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2.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3.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4.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5.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6.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ables/table7.xml" ContentType="application/vnd.openxmlformats-officedocument.spreadsheetml.table+xml"/>
  <Override PartName="/xl/worksheets/sheet10.xml" ContentType="application/vnd.openxmlformats-officedocument.spreadsheetml.worksheet+xml"/>
  <Override PartName="/xl/worksheets/sheet11.xml" ContentType="application/vnd.openxmlformats-officedocument.spreadsheetml.worksheet+xml"/>
  <Override PartName="/xl/drawings/drawing7.xml" ContentType="application/vnd.openxmlformats-officedocument.drawing+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120" yWindow="-120" windowWidth="29040" windowHeight="15840" tabRatio="600" firstSheet="0" activeTab="2" autoFilterDateGrouping="1"/>
  </bookViews>
  <sheets>
    <sheet xmlns:r="http://schemas.openxmlformats.org/officeDocument/2006/relationships" name="A1" sheetId="1" state="visible" r:id="rId1"/>
    <sheet xmlns:r="http://schemas.openxmlformats.org/officeDocument/2006/relationships" name="A2" sheetId="2" state="visible" r:id="rId2"/>
    <sheet xmlns:r="http://schemas.openxmlformats.org/officeDocument/2006/relationships" name="A3" sheetId="3" state="visible" r:id="rId3"/>
    <sheet xmlns:r="http://schemas.openxmlformats.org/officeDocument/2006/relationships" name="CTE" sheetId="4" state="visible" r:id="rId4"/>
    <sheet xmlns:r="http://schemas.openxmlformats.org/officeDocument/2006/relationships" name="BLENDING" sheetId="5" state="visible" r:id="rId5"/>
    <sheet xmlns:r="http://schemas.openxmlformats.org/officeDocument/2006/relationships" name="Riepilogo" sheetId="6" state="visible" r:id="rId6"/>
    <sheet xmlns:r="http://schemas.openxmlformats.org/officeDocument/2006/relationships" name="BARCODE" sheetId="7" state="visible" r:id="rId7"/>
    <sheet xmlns:r="http://schemas.openxmlformats.org/officeDocument/2006/relationships" name="Inserimento dati" sheetId="8" state="visible" r:id="rId8"/>
    <sheet xmlns:r="http://schemas.openxmlformats.org/officeDocument/2006/relationships" name="nuovi PdL rilevati" sheetId="9" state="visible" r:id="rId9"/>
    <sheet xmlns:r="http://schemas.openxmlformats.org/officeDocument/2006/relationships" name="caricamento Desiderata" sheetId="10" state="visible" r:id="rId10"/>
    <sheet xmlns:r="http://schemas.openxmlformats.org/officeDocument/2006/relationships" name="Desiderata" sheetId="11" state="visible" r:id="rId11"/>
  </sheets>
  <definedNames>
    <definedName name="prova">#REF!</definedName>
    <definedName name="Tabella10121314">#REF!</definedName>
    <definedName name="Tabella323">'A3'!$C$4:$T$443</definedName>
    <definedName name="TabellaA2">'A2'!$C$173:$T$175</definedName>
    <definedName name="TabellaA3">#REF!</definedName>
    <definedName name="TabellaDaFarePDL">#REF!</definedName>
    <definedName name="_xlnm.Print_Area" localSheetId="0">'A1'!$D$209:$M$271</definedName>
    <definedName name="_xlnm.Print_Titles" localSheetId="0">'A1'!$1:$3</definedName>
    <definedName name="prova2" localSheetId="0">'A1'!#REF!</definedName>
    <definedName name="prova3" localSheetId="0">'A1'!$1:$3</definedName>
    <definedName name="_xlnm.Print_Area" localSheetId="1">'A2'!$D$157:$M$157</definedName>
    <definedName name="A" localSheetId="2">'A3'!$1:$3</definedName>
    <definedName name="ASQW" localSheetId="2">'A3'!$1:$3</definedName>
    <definedName name="GVG" localSheetId="2">'A3'!$A$352:$S$368</definedName>
    <definedName name="prova" localSheetId="2">#REF!</definedName>
    <definedName name="SDSD" localSheetId="2">'A3'!$A$380:$S$443</definedName>
    <definedName name="TabellaA3" localSheetId="2">'A3'!$C$4:$T$443</definedName>
    <definedName name="UYHYGH" localSheetId="2">'A3'!$1:$3</definedName>
    <definedName name="_xlnm.Print_Area" localSheetId="3">CTE!$D$29:$M$29</definedName>
    <definedName name="_xlnm.Print_Titles" localSheetId="3">CTE!$2:$3</definedName>
    <definedName name="_xlnm.Print_Area" localSheetId="4">BLENDING!$D$180:$M$180</definedName>
    <definedName name="asc" localSheetId="5">Riepilogo!$A$170:$S$1091</definedName>
    <definedName name="ascac" localSheetId="5">Riepilogo!$1:$3</definedName>
    <definedName name="asd" localSheetId="5">Riepilogo!$A$170:$S$1091</definedName>
    <definedName name="asdasd" localSheetId="5">Riepilogo!$A$170:$S$1091</definedName>
    <definedName name="asdasd2" localSheetId="5">Riepilogo!$1:$3</definedName>
    <definedName name="asfd12" localSheetId="5">Riepilogo!$1:$3</definedName>
    <definedName name="d" localSheetId="5">Riepilogo!$A$4:$S$482</definedName>
    <definedName name="DatiEsterni_1" localSheetId="5" hidden="1">Riepilogo!$A$3:$U$1091</definedName>
    <definedName name="dggndfd" localSheetId="5">Riepilogo!$1:$3</definedName>
    <definedName name="e" localSheetId="5">Riepilogo!$1:$3</definedName>
    <definedName name="QWERT" localSheetId="5">Riepilogo!$1:$3</definedName>
    <definedName name="sdcsc" localSheetId="5">Riepilogo!$A$170:$S$1091</definedName>
    <definedName name="sdcsdc" localSheetId="5">Riepilogo!$1:$3</definedName>
    <definedName name="se" localSheetId="5">Riepilogo!$A$170:$S$1091</definedName>
    <definedName name="sed" localSheetId="5">Riepilogo!$1:$3</definedName>
    <definedName name="_xlnm.Print_Area" localSheetId="5">'Riepilogo'!$D$247:$M$270,'Riepilogo'!$D$425:$M$425,'Riepilogo'!$D$812:$M$818,'Riepilogo'!$D$1024:$M$1087</definedName>
    <definedName name="_xlnm.Print_Area" localSheetId="9">'caricamento Desiderata'!$A$4:$S$20</definedName>
    <definedName name="_xlnm.Print_Titles" localSheetId="9">'caricamento Desiderata'!$1:$3</definedName>
    <definedName name="prova" localSheetId="10">#REF!</definedName>
    <definedName name="TabellaA3" localSheetId="10">#REF!</definedName>
    <definedName name="TabellaDaFarePDL" localSheetId="10">#REF!</definedName>
  </definedNames>
  <calcPr calcId="191029" fullCalcOnLoad="1"/>
</workbook>
</file>

<file path=xl/styles.xml><?xml version="1.0" encoding="utf-8"?>
<styleSheet xmlns="http://schemas.openxmlformats.org/spreadsheetml/2006/main">
  <numFmts count="2">
    <numFmt numFmtId="164" formatCode="dd/mm/yy;@"/>
    <numFmt numFmtId="165" formatCode="dd/mm"/>
  </numFmts>
  <fonts count="32">
    <font>
      <name val="Arial"/>
      <family val="2"/>
      <color theme="1"/>
      <sz val="11"/>
    </font>
    <font>
      <name val="Calibri"/>
      <family val="2"/>
      <b val="1"/>
      <color rgb="FF000000"/>
      <sz val="14"/>
    </font>
    <font>
      <name val="Calibri"/>
      <family val="2"/>
      <b val="1"/>
      <color theme="1"/>
      <sz val="11"/>
      <scheme val="minor"/>
    </font>
    <font>
      <name val="Calibri"/>
      <family val="2"/>
      <b val="1"/>
      <color theme="1"/>
      <sz val="14"/>
      <scheme val="minor"/>
    </font>
    <font>
      <name val="Calibri"/>
      <family val="2"/>
      <b val="1"/>
      <color theme="1"/>
      <sz val="12"/>
      <scheme val="minor"/>
    </font>
    <font>
      <name val="Calibri"/>
      <family val="2"/>
      <b val="1"/>
      <color theme="1"/>
      <sz val="16"/>
      <scheme val="minor"/>
    </font>
    <font>
      <name val="Arial"/>
      <family val="2"/>
      <color theme="1"/>
      <sz val="10"/>
    </font>
    <font>
      <name val="Calibri"/>
      <family val="2"/>
      <b val="1"/>
      <color theme="1"/>
      <sz val="10"/>
      <scheme val="minor"/>
    </font>
    <font>
      <name val="Arial"/>
      <family val="2"/>
      <b val="1"/>
      <color theme="0"/>
      <sz val="10"/>
    </font>
    <font>
      <name val="Calibri"/>
      <family val="2"/>
      <b val="1"/>
      <color theme="0"/>
      <sz val="10"/>
      <scheme val="minor"/>
    </font>
    <font>
      <name val="Calibri"/>
      <family val="2"/>
      <b val="1"/>
      <color rgb="FF000000"/>
      <sz val="12"/>
      <scheme val="minor"/>
    </font>
    <font>
      <name val="Calibri"/>
      <family val="2"/>
      <b val="1"/>
      <color rgb="FF000000"/>
      <sz val="12"/>
    </font>
    <font>
      <name val="Arial"/>
      <family val="2"/>
      <color theme="1"/>
      <sz val="12"/>
    </font>
    <font>
      <name val="Arial"/>
      <family val="2"/>
      <color theme="1"/>
      <sz val="18"/>
    </font>
    <font>
      <name val="Arial"/>
      <family val="2"/>
      <sz val="8"/>
    </font>
    <font>
      <name val="Calibri"/>
      <family val="2"/>
      <color theme="10"/>
      <sz val="11"/>
      <u val="single"/>
      <scheme val="minor"/>
    </font>
    <font>
      <name val="Calibri"/>
      <family val="2"/>
      <color theme="0"/>
      <sz val="10"/>
      <u val="single"/>
      <scheme val="minor"/>
    </font>
    <font>
      <name val="Calibri"/>
      <family val="2"/>
      <b val="1"/>
      <color theme="1"/>
      <sz val="18"/>
      <scheme val="minor"/>
    </font>
    <font>
      <name val="Calibri"/>
      <family val="2"/>
      <b val="1"/>
      <color rgb="FF000000"/>
      <sz val="11"/>
    </font>
    <font>
      <name val="Calibri"/>
      <family val="2"/>
      <b val="1"/>
      <color theme="1"/>
      <sz val="14"/>
    </font>
    <font>
      <name val="Calibri"/>
      <family val="2"/>
      <b val="1"/>
      <color rgb="FF000000"/>
      <sz val="14"/>
      <scheme val="minor"/>
    </font>
    <font>
      <name val="Calibri"/>
      <family val="2"/>
      <color rgb="FF000000"/>
      <sz val="12"/>
    </font>
    <font>
      <name val="Calibri"/>
      <family val="2"/>
      <color theme="1"/>
      <sz val="11"/>
    </font>
    <font>
      <name val="Calibri"/>
      <family val="2"/>
      <color rgb="FF222A35"/>
      <sz val="11"/>
    </font>
    <font>
      <name val="Calibri"/>
      <family val="2"/>
      <b val="1"/>
      <color rgb="FF222A35"/>
      <sz val="11"/>
    </font>
    <font>
      <name val="Arial"/>
      <family val="2"/>
      <b val="1"/>
      <color theme="1"/>
      <sz val="12"/>
    </font>
    <font>
      <name val="Arial"/>
      <family val="2"/>
      <i val="1"/>
      <color theme="1"/>
      <sz val="12"/>
    </font>
    <font>
      <name val="Arial"/>
      <family val="2"/>
      <b val="1"/>
      <color theme="1"/>
      <sz val="11"/>
    </font>
    <font>
      <name val="Arial"/>
      <family val="2"/>
      <b val="1"/>
      <color theme="1"/>
      <sz val="10"/>
    </font>
    <font>
      <name val="Calibri"/>
      <family val="2"/>
      <b val="1"/>
      <i val="1"/>
      <color theme="1"/>
      <sz val="22"/>
      <scheme val="minor"/>
    </font>
    <font>
      <name val="Calibri"/>
      <family val="2"/>
      <b val="1"/>
      <color rgb="FF000000"/>
      <sz val="20"/>
    </font>
    <font>
      <name val="Libre Barcode 39"/>
      <color theme="1"/>
      <sz val="48"/>
    </font>
  </fonts>
  <fills count="13">
    <fill>
      <patternFill/>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0.09997863704336681"/>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theme="0"/>
      </right>
      <top/>
      <bottom/>
      <diagonal/>
    </border>
    <border>
      <left/>
      <right/>
      <top style="thin">
        <color theme="4"/>
      </top>
      <bottom/>
      <diagonal/>
    </border>
    <border>
      <left/>
      <right style="thin">
        <color theme="4"/>
      </right>
      <top style="thin">
        <color theme="4"/>
      </top>
      <bottom/>
      <diagonal/>
    </border>
  </borders>
  <cellStyleXfs count="2">
    <xf numFmtId="0" fontId="0" fillId="0" borderId="0"/>
    <xf numFmtId="0" fontId="15" fillId="0" borderId="0"/>
  </cellStyleXfs>
  <cellXfs count="227">
    <xf numFmtId="0" fontId="0" fillId="0" borderId="0" pivotButton="0" quotePrefix="0" xfId="0"/>
    <xf numFmtId="0" fontId="2" fillId="0" borderId="0" applyAlignment="1" pivotButton="0" quotePrefix="0" xfId="0">
      <alignment wrapText="1"/>
    </xf>
    <xf numFmtId="49" fontId="2" fillId="0" borderId="0" applyAlignment="1" pivotButton="0" quotePrefix="0" xfId="0">
      <alignment wrapText="1"/>
    </xf>
    <xf numFmtId="0" fontId="2" fillId="0" borderId="1" applyAlignment="1" pivotButton="0" quotePrefix="0" xfId="0">
      <alignment horizontal="left" vertical="center" wrapText="1"/>
    </xf>
    <xf numFmtId="49" fontId="2" fillId="0" borderId="0" pivotButton="0" quotePrefix="0" xfId="0"/>
    <xf numFmtId="49" fontId="2" fillId="2" borderId="0" pivotButton="0" quotePrefix="0" xfId="0"/>
    <xf numFmtId="0" fontId="2" fillId="0" borderId="0" applyAlignment="1" pivotButton="0" quotePrefix="0" xfId="0">
      <alignment vertical="center" wrapText="1"/>
    </xf>
    <xf numFmtId="0" fontId="2" fillId="0" borderId="0" applyAlignment="1" pivotButton="0" quotePrefix="0" xfId="0">
      <alignment horizontal="center" wrapText="1"/>
    </xf>
    <xf numFmtId="0" fontId="2" fillId="0" borderId="0" applyAlignment="1" pivotButton="0" quotePrefix="0" xfId="0">
      <alignment horizontal="left" wrapText="1"/>
    </xf>
    <xf numFmtId="164" fontId="2" fillId="0" borderId="0" applyAlignment="1" pivotButton="0" quotePrefix="0" xfId="0">
      <alignment horizontal="center" wrapText="1"/>
    </xf>
    <xf numFmtId="0" fontId="2" fillId="0" borderId="0" pivotButton="0" quotePrefix="0" xfId="0"/>
    <xf numFmtId="0" fontId="2" fillId="0" borderId="0" applyAlignment="1" pivotButton="0" quotePrefix="0" xfId="0">
      <alignment horizontal="left" vertical="center" wrapText="1"/>
    </xf>
    <xf numFmtId="165" fontId="0" fillId="0" borderId="0" pivotButton="0" quotePrefix="0" xfId="0"/>
    <xf numFmtId="0" fontId="5" fillId="0" borderId="0" applyAlignment="1" pivotButton="0" quotePrefix="0" xfId="0">
      <alignment horizontal="left" wrapText="1"/>
    </xf>
    <xf numFmtId="165" fontId="5" fillId="0" borderId="0" applyAlignment="1" pivotButton="0" quotePrefix="0" xfId="0">
      <alignment horizontal="center" wrapText="1"/>
    </xf>
    <xf numFmtId="14" fontId="2" fillId="0" borderId="0" pivotButton="0" quotePrefix="0" xfId="0"/>
    <xf numFmtId="0" fontId="6" fillId="0" borderId="0" applyAlignment="1" pivotButton="0" quotePrefix="0" xfId="0">
      <alignment horizontal="left" vertical="center" wrapText="1"/>
    </xf>
    <xf numFmtId="0" fontId="6" fillId="0" borderId="0" applyAlignment="1" pivotButton="0" quotePrefix="0" xfId="0">
      <alignment horizontal="center" vertical="center" wrapText="1"/>
    </xf>
    <xf numFmtId="14" fontId="6" fillId="0" borderId="0" applyAlignment="1" pivotButton="0" quotePrefix="0" xfId="0">
      <alignment horizontal="left" vertical="center" wrapText="1"/>
    </xf>
    <xf numFmtId="0" fontId="7" fillId="0" borderId="0" applyAlignment="1" pivotButton="0" quotePrefix="0" xfId="0">
      <alignment wrapText="1"/>
    </xf>
    <xf numFmtId="0" fontId="2" fillId="0" borderId="0" applyAlignment="1" pivotButton="0" quotePrefix="0" xfId="0">
      <alignment horizontal="right" wrapText="1"/>
    </xf>
    <xf numFmtId="14" fontId="0" fillId="0" borderId="0" pivotButton="0" quotePrefix="0" xfId="0"/>
    <xf numFmtId="0" fontId="8" fillId="3" borderId="2" applyAlignment="1" pivotButton="0" quotePrefix="0" xfId="0">
      <alignment horizontal="left" vertical="center" wrapText="1"/>
    </xf>
    <xf numFmtId="0" fontId="8" fillId="3" borderId="2" applyAlignment="1" pivotButton="0" quotePrefix="0" xfId="0">
      <alignment horizontal="center" vertical="center" wrapText="1"/>
    </xf>
    <xf numFmtId="14" fontId="8" fillId="3" borderId="2" applyAlignment="1" pivotButton="0" quotePrefix="0" xfId="0">
      <alignment horizontal="left" vertical="center" wrapText="1"/>
    </xf>
    <xf numFmtId="0" fontId="8" fillId="3" borderId="0" applyAlignment="1" pivotButton="0" quotePrefix="0" xfId="0">
      <alignment horizontal="left" vertical="center" wrapText="1"/>
    </xf>
    <xf numFmtId="0" fontId="8" fillId="3" borderId="0" applyAlignment="1" pivotButton="0" quotePrefix="0" xfId="0">
      <alignment horizontal="center" vertical="center" wrapText="1"/>
    </xf>
    <xf numFmtId="14" fontId="8" fillId="3" borderId="0" applyAlignment="1" pivotButton="0" quotePrefix="0" xfId="0">
      <alignment horizontal="left" vertical="center" wrapText="1"/>
    </xf>
    <xf numFmtId="0" fontId="9" fillId="3" borderId="0" applyAlignment="1" pivotButton="0" quotePrefix="0" xfId="0">
      <alignment horizontal="center" vertical="center" wrapText="1"/>
    </xf>
    <xf numFmtId="0" fontId="8" fillId="3" borderId="3" applyAlignment="1" pivotButton="0" quotePrefix="0" xfId="0">
      <alignment horizontal="left" vertical="center" wrapText="1"/>
    </xf>
    <xf numFmtId="0" fontId="6" fillId="0" borderId="0" applyAlignment="1" pivotButton="0" quotePrefix="0" xfId="0">
      <alignment horizontal="left" vertical="center" wrapText="1"/>
    </xf>
    <xf numFmtId="0" fontId="2" fillId="2" borderId="0" applyAlignment="1" pivotButton="0" quotePrefix="0" xfId="0">
      <alignment horizontal="left" wrapText="1"/>
    </xf>
    <xf numFmtId="164" fontId="2" fillId="0" borderId="0" applyAlignment="1" pivotButton="0" quotePrefix="0" xfId="0">
      <alignment horizontal="center" wrapText="1"/>
    </xf>
    <xf numFmtId="0" fontId="6" fillId="0" borderId="0" applyAlignment="1" pivotButton="0" quotePrefix="0" xfId="0">
      <alignment horizontal="left" vertical="top" wrapText="1"/>
    </xf>
    <xf numFmtId="0" fontId="8" fillId="3" borderId="0" applyAlignment="1" pivotButton="0" quotePrefix="0" xfId="0">
      <alignment horizontal="left" vertical="top" wrapText="1"/>
    </xf>
    <xf numFmtId="0" fontId="5" fillId="0" borderId="0" applyAlignment="1" pivotButton="0" quotePrefix="0" xfId="0">
      <alignment wrapText="1"/>
    </xf>
    <xf numFmtId="164" fontId="2" fillId="0" borderId="1" applyAlignment="1" pivotButton="0" quotePrefix="0" xfId="0">
      <alignment horizontal="left" vertical="center" wrapText="1"/>
    </xf>
    <xf numFmtId="0" fontId="0" fillId="0" borderId="0" applyAlignment="1" pivotButton="0" quotePrefix="0" xfId="0">
      <alignment horizontal="right"/>
    </xf>
    <xf numFmtId="164" fontId="2" fillId="0" borderId="0" applyAlignment="1" pivotButton="0" quotePrefix="0" xfId="0">
      <alignment horizontal="center" wrapText="1"/>
    </xf>
    <xf numFmtId="164" fontId="2" fillId="0" borderId="0" applyAlignment="1" pivotButton="0" quotePrefix="0" xfId="0">
      <alignment wrapText="1"/>
    </xf>
    <xf numFmtId="14" fontId="3" fillId="0" borderId="0" pivotButton="0" quotePrefix="0" xfId="0"/>
    <xf numFmtId="164" fontId="3" fillId="0" borderId="0" applyAlignment="1" pivotButton="0" quotePrefix="0" xfId="0">
      <alignment wrapText="1"/>
    </xf>
    <xf numFmtId="0" fontId="12" fillId="0" borderId="0" pivotButton="0" quotePrefix="0" xfId="0"/>
    <xf numFmtId="0" fontId="13" fillId="0" borderId="0" pivotButton="0" quotePrefix="0" xfId="0"/>
    <xf numFmtId="0" fontId="8" fillId="3" borderId="0" applyAlignment="1" pivotButton="0" quotePrefix="0" xfId="0">
      <alignment vertical="center" wrapText="1"/>
    </xf>
    <xf numFmtId="0" fontId="7" fillId="0" borderId="0" applyAlignment="1" pivotButton="0" quotePrefix="0" xfId="0">
      <alignment wrapText="1"/>
    </xf>
    <xf numFmtId="0" fontId="0" fillId="0" borderId="0" applyAlignment="1" pivotButton="0" quotePrefix="0" xfId="0">
      <alignment horizontal="center" vertical="center"/>
    </xf>
    <xf numFmtId="0" fontId="2" fillId="0" borderId="1" applyAlignment="1" pivotButton="0" quotePrefix="0" xfId="0">
      <alignment horizontal="left" vertical="center" wrapText="1"/>
    </xf>
    <xf numFmtId="164" fontId="7" fillId="0" borderId="0" applyAlignment="1" pivotButton="0" quotePrefix="0" xfId="0">
      <alignment horizontal="center" wrapText="1"/>
    </xf>
    <xf numFmtId="49" fontId="2" fillId="0" borderId="0" applyAlignment="1" pivotButton="0" quotePrefix="0" xfId="0">
      <alignment horizontal="center" vertical="center"/>
    </xf>
    <xf numFmtId="0" fontId="2" fillId="0" borderId="0" applyAlignment="1" pivotButton="0" quotePrefix="0" xfId="0">
      <alignment horizontal="center" vertical="center"/>
    </xf>
    <xf numFmtId="14" fontId="6" fillId="0" borderId="0" applyAlignment="1" pivotButton="0" quotePrefix="0" xfId="0">
      <alignment horizontal="center" vertical="center" wrapText="1"/>
    </xf>
    <xf numFmtId="0" fontId="4" fillId="5" borderId="5" applyAlignment="1" pivotButton="0" quotePrefix="0" xfId="0">
      <alignment horizontal="center" vertical="center" wrapText="1"/>
    </xf>
    <xf numFmtId="0" fontId="16" fillId="6" borderId="7" pivotButton="0" quotePrefix="1" xfId="1"/>
    <xf numFmtId="0" fontId="16" fillId="6" borderId="0" pivotButton="0" quotePrefix="1" xfId="1"/>
    <xf numFmtId="0" fontId="17" fillId="0" borderId="0" applyAlignment="1" pivotButton="0" quotePrefix="0" xfId="0">
      <alignment horizontal="center" vertical="center" wrapText="1"/>
    </xf>
    <xf numFmtId="164" fontId="17" fillId="0" borderId="0" applyAlignment="1" pivotButton="0" quotePrefix="0" xfId="0">
      <alignment horizontal="center" vertical="center" wrapText="1"/>
    </xf>
    <xf numFmtId="0" fontId="4" fillId="0" borderId="12" applyAlignment="1" pivotButton="0" quotePrefix="0" xfId="0">
      <alignment wrapText="1"/>
    </xf>
    <xf numFmtId="0" fontId="4" fillId="0" borderId="14" applyAlignment="1" pivotButton="0" quotePrefix="0" xfId="0">
      <alignment wrapText="1"/>
    </xf>
    <xf numFmtId="0" fontId="4" fillId="0" borderId="17" applyAlignment="1" pivotButton="0" quotePrefix="0" xfId="0">
      <alignment wrapText="1"/>
    </xf>
    <xf numFmtId="0" fontId="9" fillId="4" borderId="6" applyAlignment="1" pivotButton="0" quotePrefix="0" xfId="0">
      <alignment horizontal="center" vertical="center" wrapText="1"/>
    </xf>
    <xf numFmtId="0" fontId="3" fillId="0" borderId="0" applyAlignment="1" pivotButton="0" quotePrefix="0" xfId="0">
      <alignment horizontal="left"/>
    </xf>
    <xf numFmtId="164" fontId="3" fillId="0" borderId="0" applyAlignment="1" pivotButton="0" quotePrefix="0" xfId="0">
      <alignment horizontal="center" vertical="top" wrapText="1"/>
    </xf>
    <xf numFmtId="0" fontId="3" fillId="0" borderId="0" applyAlignment="1" pivotButton="0" quotePrefix="0" xfId="0">
      <alignment horizontal="center" vertical="center" wrapText="1"/>
    </xf>
    <xf numFmtId="164" fontId="2" fillId="0" borderId="0" applyAlignment="1" pivotButton="0" quotePrefix="0" xfId="0">
      <alignment horizontal="left" vertical="center" wrapText="1"/>
    </xf>
    <xf numFmtId="0" fontId="2" fillId="0" borderId="0" applyAlignment="1" pivotButton="0" quotePrefix="0" xfId="0">
      <alignment horizontal="left" vertical="center"/>
    </xf>
    <xf numFmtId="0" fontId="3" fillId="0" borderId="0" applyAlignment="1" pivotButton="0" quotePrefix="0" xfId="0">
      <alignment horizontal="center" vertical="center"/>
    </xf>
    <xf numFmtId="0" fontId="1" fillId="7" borderId="1" applyAlignment="1" pivotButton="0" quotePrefix="0" xfId="0">
      <alignment horizontal="center" vertical="center" wrapText="1"/>
    </xf>
    <xf numFmtId="164" fontId="3" fillId="0" borderId="0" applyAlignment="1" pivotButton="0" quotePrefix="0" xfId="0">
      <alignment horizontal="center" wrapText="1"/>
    </xf>
    <xf numFmtId="0" fontId="11" fillId="7" borderId="1" applyAlignment="1" pivotButton="0" quotePrefix="0" xfId="0">
      <alignment horizontal="center" vertical="center" wrapText="1"/>
    </xf>
    <xf numFmtId="0" fontId="22" fillId="0" borderId="0" applyAlignment="1" pivotButton="0" quotePrefix="0" xfId="0">
      <alignment vertical="center"/>
    </xf>
    <xf numFmtId="0" fontId="22" fillId="0" borderId="0" applyAlignment="1" pivotButton="0" quotePrefix="1" xfId="0">
      <alignment vertical="center"/>
    </xf>
    <xf numFmtId="0" fontId="0" fillId="0" borderId="1" applyAlignment="1" pivotButton="0" quotePrefix="0" xfId="0">
      <alignment horizontal="left" vertical="center"/>
    </xf>
    <xf numFmtId="0" fontId="0" fillId="0" borderId="1" applyAlignment="1" pivotButton="0" quotePrefix="0" xfId="0">
      <alignment horizontal="center" vertical="center"/>
    </xf>
    <xf numFmtId="0" fontId="0" fillId="0" borderId="1" applyAlignment="1" pivotButton="0" quotePrefix="0" xfId="0">
      <alignment vertical="center"/>
    </xf>
    <xf numFmtId="0" fontId="0" fillId="0" borderId="1" applyAlignment="1" pivotButton="0" quotePrefix="0" xfId="0">
      <alignment vertical="center" wrapText="1"/>
    </xf>
    <xf numFmtId="14" fontId="0" fillId="0" borderId="1" applyAlignment="1" pivotButton="0" quotePrefix="0" xfId="0">
      <alignment horizontal="center" vertical="center"/>
    </xf>
    <xf numFmtId="0" fontId="2" fillId="0" borderId="1" applyAlignment="1" pivotButton="0" quotePrefix="0" xfId="0">
      <alignment horizontal="center" wrapText="1"/>
    </xf>
    <xf numFmtId="0" fontId="2" fillId="0" borderId="1" applyAlignment="1" pivotButton="0" quotePrefix="0" xfId="0">
      <alignment horizontal="center" wrapText="1"/>
    </xf>
    <xf numFmtId="0" fontId="0" fillId="0" borderId="0" applyAlignment="1" pivotButton="0" quotePrefix="0" xfId="0">
      <alignment wrapText="1"/>
    </xf>
    <xf numFmtId="0" fontId="25" fillId="0" borderId="0" applyAlignment="1" pivotButton="0" quotePrefix="0" xfId="0">
      <alignment wrapText="1"/>
    </xf>
    <xf numFmtId="0" fontId="27" fillId="0" borderId="0" applyAlignment="1" pivotButton="0" quotePrefix="0" xfId="0">
      <alignment wrapText="1"/>
    </xf>
    <xf numFmtId="0" fontId="0" fillId="0" borderId="22" applyAlignment="1" pivotButton="0" quotePrefix="0" xfId="0">
      <alignment horizontal="left" vertical="center" wrapText="1"/>
    </xf>
    <xf numFmtId="0" fontId="26" fillId="0" borderId="0" applyAlignment="1" pivotButton="0" quotePrefix="0" xfId="0">
      <alignment wrapText="1"/>
    </xf>
    <xf numFmtId="0" fontId="8" fillId="8" borderId="24" applyAlignment="1" pivotButton="0" quotePrefix="0" xfId="0">
      <alignment horizontal="center" vertical="center"/>
    </xf>
    <xf numFmtId="0" fontId="8" fillId="8" borderId="25" applyAlignment="1" pivotButton="0" quotePrefix="0" xfId="0">
      <alignment horizontal="center" vertical="center"/>
    </xf>
    <xf numFmtId="0" fontId="0" fillId="0" borderId="0" applyAlignment="1" pivotButton="0" quotePrefix="0" xfId="0">
      <alignment horizontal="left" vertical="center" wrapText="1"/>
    </xf>
    <xf numFmtId="0" fontId="0" fillId="0" borderId="1" applyAlignment="1" pivotButton="0" quotePrefix="0" xfId="0">
      <alignment horizontal="left" vertical="center"/>
    </xf>
    <xf numFmtId="0" fontId="0" fillId="0" borderId="1" applyAlignment="1" pivotButton="0" quotePrefix="0" xfId="0">
      <alignment horizontal="center" vertical="center"/>
    </xf>
    <xf numFmtId="0" fontId="0" fillId="0" borderId="1" applyAlignment="1" pivotButton="0" quotePrefix="0" xfId="0">
      <alignment vertical="center"/>
    </xf>
    <xf numFmtId="0" fontId="28" fillId="0" borderId="18" applyAlignment="1" pivotButton="0" quotePrefix="0" xfId="0">
      <alignment horizontal="center" vertical="center" wrapText="1"/>
    </xf>
    <xf numFmtId="14" fontId="0" fillId="0" borderId="0" applyAlignment="1" pivotButton="0" quotePrefix="0" xfId="0">
      <alignment wrapText="1"/>
    </xf>
    <xf numFmtId="164" fontId="2" fillId="9" borderId="1" applyAlignment="1" pivotButton="0" quotePrefix="0" xfId="0">
      <alignment horizontal="left" vertical="center" wrapText="1"/>
    </xf>
    <xf numFmtId="0" fontId="28" fillId="0" borderId="1" applyAlignment="1" pivotButton="0" quotePrefix="0" xfId="0">
      <alignment horizontal="center" vertical="center" wrapText="1"/>
    </xf>
    <xf numFmtId="0" fontId="25" fillId="0" borderId="0" applyAlignment="1" pivotButton="0" quotePrefix="0" xfId="0">
      <alignment horizontal="center" wrapText="1"/>
    </xf>
    <xf numFmtId="0" fontId="27" fillId="0" borderId="22" applyAlignment="1" pivotButton="0" quotePrefix="0" xfId="0">
      <alignment horizontal="center" vertical="center" wrapText="1"/>
    </xf>
    <xf numFmtId="0" fontId="27" fillId="0" borderId="0" applyAlignment="1" pivotButton="0" quotePrefix="0" xfId="0">
      <alignment horizontal="center" vertical="center" wrapText="1"/>
    </xf>
    <xf numFmtId="0" fontId="0" fillId="0" borderId="22" applyAlignment="1" pivotButton="0" quotePrefix="0" xfId="0">
      <alignment vertical="center" wrapText="1"/>
    </xf>
    <xf numFmtId="14" fontId="0" fillId="0" borderId="22" applyAlignment="1" pivotButton="0" quotePrefix="0" xfId="0">
      <alignment horizontal="left" vertical="center" wrapText="1"/>
    </xf>
    <xf numFmtId="14" fontId="0" fillId="0" borderId="0" pivotButton="0" quotePrefix="0" xfId="0"/>
    <xf numFmtId="0" fontId="0" fillId="0" borderId="0" pivotButton="0" quotePrefix="0" xfId="0"/>
    <xf numFmtId="0" fontId="8" fillId="8" borderId="24" applyAlignment="1" pivotButton="0" quotePrefix="0" xfId="0">
      <alignment horizontal="left" vertical="center"/>
    </xf>
    <xf numFmtId="0" fontId="8" fillId="8" borderId="26" applyAlignment="1" pivotButton="0" quotePrefix="0" xfId="0">
      <alignment vertical="center"/>
    </xf>
    <xf numFmtId="0" fontId="8" fillId="8" borderId="23" applyAlignment="1" pivotButton="0" quotePrefix="0" xfId="0">
      <alignment horizontal="center" vertical="center"/>
    </xf>
    <xf numFmtId="0" fontId="0" fillId="0" borderId="0" applyAlignment="1" pivotButton="0" quotePrefix="0" xfId="0">
      <alignment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horizontal="left" vertical="center" wrapText="1"/>
    </xf>
    <xf numFmtId="0" fontId="2" fillId="10" borderId="1" applyAlignment="1" pivotButton="0" quotePrefix="0" xfId="0">
      <alignment horizontal="left" vertical="center" wrapText="1"/>
    </xf>
    <xf numFmtId="0" fontId="2" fillId="0" borderId="1" applyAlignment="1" pivotButton="0" quotePrefix="0" xfId="0">
      <alignment horizontal="left" vertical="center" wrapText="1"/>
    </xf>
    <xf numFmtId="164" fontId="2" fillId="0" borderId="1" applyAlignment="1" pivotButton="0" quotePrefix="0" xfId="0">
      <alignment horizontal="left" vertical="center" wrapText="1"/>
    </xf>
    <xf numFmtId="0" fontId="17" fillId="0" borderId="1" applyAlignment="1" pivotButton="0" quotePrefix="0" xfId="0">
      <alignment horizontal="center" vertical="center" wrapText="1"/>
    </xf>
    <xf numFmtId="0" fontId="3" fillId="0" borderId="1" applyAlignment="1" pivotButton="0" quotePrefix="0" xfId="0">
      <alignment horizontal="center" vertical="center" wrapText="1"/>
    </xf>
    <xf numFmtId="0" fontId="2" fillId="0" borderId="1" applyAlignment="1" pivotButton="0" quotePrefix="0" xfId="0">
      <alignment horizontal="center" vertical="center" wrapText="1"/>
    </xf>
    <xf numFmtId="0" fontId="10" fillId="7" borderId="1" applyAlignment="1" pivotButton="0" quotePrefix="0" xfId="0">
      <alignment horizontal="center" vertical="center" wrapText="1"/>
    </xf>
    <xf numFmtId="0" fontId="20" fillId="7" borderId="1" applyAlignment="1" pivotButton="0" quotePrefix="0" xfId="0">
      <alignment horizontal="center" vertical="center" wrapText="1"/>
    </xf>
    <xf numFmtId="0" fontId="19" fillId="0" borderId="1" applyAlignment="1" pivotButton="0" quotePrefix="0" xfId="0">
      <alignment horizontal="center" vertical="center" wrapText="1"/>
    </xf>
    <xf numFmtId="0" fontId="10" fillId="7" borderId="0" applyAlignment="1" pivotButton="0" quotePrefix="0" xfId="0">
      <alignment horizontal="center" vertical="center" wrapText="1"/>
    </xf>
    <xf numFmtId="14" fontId="2" fillId="0" borderId="1" applyAlignment="1" pivotButton="0" quotePrefix="0" xfId="0">
      <alignment horizontal="left" vertical="center" wrapText="1"/>
    </xf>
    <xf numFmtId="0" fontId="25" fillId="0" borderId="0" applyAlignment="1" pivotButton="0" quotePrefix="0" xfId="0">
      <alignment horizontal="left" vertical="center"/>
    </xf>
    <xf numFmtId="0" fontId="6" fillId="0" borderId="0" applyAlignment="1" pivotButton="0" quotePrefix="0" xfId="0">
      <alignment horizontal="center" vertical="center" wrapText="1"/>
    </xf>
    <xf numFmtId="0" fontId="6" fillId="0" borderId="0" applyAlignment="1" pivotButton="0" quotePrefix="0" xfId="0">
      <alignment horizontal="center" vertical="center" wrapText="1"/>
    </xf>
    <xf numFmtId="0" fontId="0" fillId="0" borderId="0" pivotButton="0" quotePrefix="0" xfId="0"/>
    <xf numFmtId="0" fontId="0" fillId="0" borderId="4" applyAlignment="1" pivotButton="0" quotePrefix="0" xfId="0">
      <alignment horizontal="left" vertical="center"/>
    </xf>
    <xf numFmtId="0" fontId="0" fillId="0" borderId="4" applyAlignment="1" pivotButton="0" quotePrefix="0" xfId="0">
      <alignment horizontal="left" vertical="center" wrapText="1"/>
    </xf>
    <xf numFmtId="0" fontId="27" fillId="0" borderId="4" applyAlignment="1" pivotButton="0" quotePrefix="0" xfId="0">
      <alignment horizontal="left" vertical="center"/>
    </xf>
    <xf numFmtId="0" fontId="0" fillId="0" borderId="1" pivotButton="0" quotePrefix="0" xfId="0"/>
    <xf numFmtId="0" fontId="6" fillId="3" borderId="0" applyAlignment="1" pivotButton="0" quotePrefix="0" xfId="0">
      <alignment horizontal="center" vertical="center" wrapText="1"/>
    </xf>
    <xf numFmtId="0" fontId="10" fillId="7" borderId="1" applyAlignment="1" pivotButton="0" quotePrefix="0" xfId="0">
      <alignment wrapText="1"/>
    </xf>
    <xf numFmtId="164" fontId="17" fillId="0" borderId="1" applyAlignment="1" pivotButton="0" quotePrefix="0" xfId="0">
      <alignment horizontal="center" vertical="center" wrapText="1"/>
    </xf>
    <xf numFmtId="0" fontId="28" fillId="2" borderId="1" applyAlignment="1" pivotButton="0" quotePrefix="0" xfId="0">
      <alignment horizontal="center" vertical="center" wrapText="1"/>
    </xf>
    <xf numFmtId="0" fontId="28" fillId="2" borderId="1" applyAlignment="1" pivotButton="0" quotePrefix="0" xfId="0">
      <alignment horizontal="center" vertical="center" wrapText="1"/>
    </xf>
    <xf numFmtId="0" fontId="7" fillId="2" borderId="1" applyAlignment="1" pivotButton="0" quotePrefix="0" xfId="0">
      <alignment wrapText="1"/>
    </xf>
    <xf numFmtId="0" fontId="2" fillId="2" borderId="1" pivotButton="0" quotePrefix="0" xfId="0"/>
    <xf numFmtId="0" fontId="28" fillId="11" borderId="1" applyAlignment="1" pivotButton="0" quotePrefix="0" xfId="0">
      <alignment horizontal="center" vertical="center" wrapText="1"/>
    </xf>
    <xf numFmtId="0" fontId="6" fillId="2" borderId="1" applyAlignment="1" pivotButton="0" quotePrefix="0" xfId="0">
      <alignment horizontal="center" vertical="center" wrapText="1"/>
    </xf>
    <xf numFmtId="0" fontId="2" fillId="2" borderId="1" applyAlignment="1" pivotButton="0" quotePrefix="0" xfId="0">
      <alignment horizontal="center" vertical="center" wrapText="1"/>
    </xf>
    <xf numFmtId="0" fontId="2" fillId="2" borderId="1" applyAlignment="1" pivotButton="0" quotePrefix="0" xfId="0">
      <alignment horizontal="center" vertical="center" wrapText="1"/>
    </xf>
    <xf numFmtId="0" fontId="6" fillId="2" borderId="1" applyAlignment="1" pivotButton="0" quotePrefix="0" xfId="0">
      <alignment horizontal="center" vertical="center" wrapText="1"/>
    </xf>
    <xf numFmtId="0" fontId="2" fillId="2" borderId="1" applyAlignment="1" pivotButton="0" quotePrefix="0" xfId="0">
      <alignment horizontal="left" vertical="center" wrapText="1"/>
    </xf>
    <xf numFmtId="0" fontId="2" fillId="0" borderId="1" applyAlignment="1" pivotButton="0" quotePrefix="0" xfId="0">
      <alignment wrapText="1"/>
    </xf>
    <xf numFmtId="0" fontId="2" fillId="2" borderId="1" applyAlignment="1" pivotButton="0" quotePrefix="0" xfId="0">
      <alignment wrapText="1"/>
    </xf>
    <xf numFmtId="0" fontId="6" fillId="11" borderId="1" applyAlignment="1" pivotButton="0" quotePrefix="0" xfId="0">
      <alignment horizontal="center" vertical="center" wrapText="1"/>
    </xf>
    <xf numFmtId="0" fontId="6" fillId="11" borderId="1" applyAlignment="1" pivotButton="0" quotePrefix="0" xfId="0">
      <alignment horizontal="center" vertical="center" wrapText="1"/>
    </xf>
    <xf numFmtId="0" fontId="7" fillId="2" borderId="1" applyAlignment="1" pivotButton="0" quotePrefix="0" xfId="0">
      <alignment horizontal="center" vertical="center" wrapText="1"/>
    </xf>
    <xf numFmtId="0" fontId="7" fillId="2" borderId="1" applyAlignment="1" pivotButton="0" quotePrefix="0" xfId="0">
      <alignment horizontal="center" vertical="center"/>
    </xf>
    <xf numFmtId="0" fontId="10" fillId="7" borderId="1" applyAlignment="1" pivotButton="0" quotePrefix="0" xfId="0">
      <alignment horizontal="left" vertical="center" wrapText="1"/>
    </xf>
    <xf numFmtId="0" fontId="2" fillId="2" borderId="1" applyAlignment="1" pivotButton="0" quotePrefix="0" xfId="0">
      <alignment horizontal="left" vertical="center" wrapText="1"/>
    </xf>
    <xf numFmtId="0" fontId="28" fillId="2" borderId="18" applyAlignment="1" pivotButton="0" quotePrefix="0" xfId="0">
      <alignment horizontal="center" vertical="center" wrapText="1"/>
    </xf>
    <xf numFmtId="0" fontId="6" fillId="2" borderId="0" applyAlignment="1" pivotButton="0" quotePrefix="0" xfId="0">
      <alignment horizontal="center" vertical="center" wrapText="1"/>
    </xf>
    <xf numFmtId="0" fontId="6" fillId="0" borderId="1" applyAlignment="1" pivotButton="0" quotePrefix="0" xfId="0">
      <alignment horizontal="center" vertical="center" wrapText="1"/>
    </xf>
    <xf numFmtId="14" fontId="2" fillId="0" borderId="1" applyAlignment="1" pivotButton="0" quotePrefix="0" xfId="0">
      <alignment horizontal="left" vertical="center" wrapText="1"/>
    </xf>
    <xf numFmtId="0" fontId="6" fillId="0" borderId="1" applyAlignment="1" pivotButton="0" quotePrefix="0" xfId="0">
      <alignment horizontal="center" vertical="center" wrapText="1"/>
    </xf>
    <xf numFmtId="0" fontId="22" fillId="0" borderId="0" applyAlignment="1" pivotButton="0" quotePrefix="1" xfId="0">
      <alignment vertical="center"/>
    </xf>
    <xf numFmtId="0" fontId="21" fillId="0" borderId="0" applyAlignment="1" pivotButton="0" quotePrefix="0" xfId="0">
      <alignment vertical="center"/>
    </xf>
    <xf numFmtId="0" fontId="23" fillId="0" borderId="0" applyAlignment="1" pivotButton="0" quotePrefix="0" xfId="0">
      <alignment vertical="center"/>
    </xf>
    <xf numFmtId="0" fontId="22" fillId="0" borderId="0" applyAlignment="1" pivotButton="0" quotePrefix="0" xfId="0">
      <alignment vertical="center"/>
    </xf>
    <xf numFmtId="0" fontId="23" fillId="0" borderId="0" applyAlignment="1" pivotButton="0" quotePrefix="1" xfId="0">
      <alignment vertical="center"/>
    </xf>
    <xf numFmtId="0" fontId="7" fillId="2" borderId="18" applyAlignment="1" pivotButton="0" quotePrefix="0" xfId="0">
      <alignment horizontal="center" vertical="center" wrapText="1"/>
    </xf>
    <xf numFmtId="0" fontId="2" fillId="2" borderId="0" applyAlignment="1" pivotButton="0" quotePrefix="0" xfId="0">
      <alignment horizontal="center" vertical="center" wrapText="1"/>
    </xf>
    <xf numFmtId="0" fontId="2" fillId="2" borderId="0" applyAlignment="1" pivotButton="0" quotePrefix="0" xfId="0">
      <alignment horizontal="center" vertical="center" wrapText="1"/>
    </xf>
    <xf numFmtId="0" fontId="2" fillId="2" borderId="0" applyAlignment="1" pivotButton="0" quotePrefix="0" xfId="0">
      <alignment wrapText="1"/>
    </xf>
    <xf numFmtId="0" fontId="6" fillId="3" borderId="1" applyAlignment="1" pivotButton="0" quotePrefix="0" xfId="0">
      <alignment horizontal="center" vertical="center" wrapText="1"/>
    </xf>
    <xf numFmtId="0" fontId="0" fillId="0" borderId="0" applyAlignment="1" pivotButton="0" quotePrefix="0" xfId="0">
      <alignment horizontal="left" vertical="center"/>
    </xf>
    <xf numFmtId="0" fontId="0" fillId="0" borderId="0" applyAlignment="1" pivotButton="0" quotePrefix="0" xfId="0">
      <alignment horizontal="left" vertical="center" wrapText="1"/>
    </xf>
    <xf numFmtId="0" fontId="27" fillId="0" borderId="1" applyAlignment="1" pivotButton="0" quotePrefix="0" xfId="0">
      <alignment horizontal="center" vertical="center"/>
    </xf>
    <xf numFmtId="0" fontId="27" fillId="0" borderId="1" applyAlignment="1" pivotButton="0" quotePrefix="0" xfId="0">
      <alignment horizontal="center" vertical="center" wrapText="1"/>
    </xf>
    <xf numFmtId="0" fontId="0" fillId="0" borderId="1" applyAlignment="1" pivotButton="0" quotePrefix="0" xfId="0">
      <alignment horizontal="left" vertical="center" wrapText="1"/>
    </xf>
    <xf numFmtId="164" fontId="2" fillId="0" borderId="1" applyAlignment="1" pivotButton="0" quotePrefix="0" xfId="0">
      <alignment horizontal="center" vertical="center" wrapText="1"/>
    </xf>
    <xf numFmtId="0" fontId="2" fillId="0" borderId="0" applyAlignment="1" pivotButton="0" quotePrefix="0" xfId="0">
      <alignment horizontal="center"/>
    </xf>
    <xf numFmtId="49" fontId="2" fillId="0" borderId="0" applyAlignment="1" pivotButton="0" quotePrefix="0" xfId="0">
      <alignment horizontal="center"/>
    </xf>
    <xf numFmtId="0" fontId="18" fillId="0" borderId="1" applyAlignment="1" pivotButton="0" quotePrefix="0" xfId="0">
      <alignment horizontal="left" vertical="center" wrapText="1"/>
    </xf>
    <xf numFmtId="14" fontId="0" fillId="0" borderId="1" pivotButton="0" quotePrefix="0" xfId="0"/>
    <xf numFmtId="0" fontId="0" fillId="0" borderId="0" applyAlignment="1" pivotButton="0" quotePrefix="0" xfId="0">
      <alignment wrapText="1"/>
    </xf>
    <xf numFmtId="14" fontId="2" fillId="0" borderId="0" applyAlignment="1" pivotButton="0" quotePrefix="0" xfId="0">
      <alignment horizontal="center" wrapText="1"/>
    </xf>
    <xf numFmtId="14" fontId="3" fillId="0" borderId="0" applyAlignment="1" pivotButton="0" quotePrefix="0" xfId="0">
      <alignment wrapText="1"/>
    </xf>
    <xf numFmtId="0" fontId="2" fillId="0" borderId="0" applyAlignment="1" pivotButton="0" quotePrefix="0" xfId="0">
      <alignment horizontal="left" vertical="center" wrapText="1"/>
    </xf>
    <xf numFmtId="0" fontId="2" fillId="0" borderId="0" applyAlignment="1" pivotButton="0" quotePrefix="0" xfId="0">
      <alignment horizontal="left" vertical="center" wrapText="1"/>
    </xf>
    <xf numFmtId="0" fontId="2" fillId="10" borderId="0" applyAlignment="1" pivotButton="0" quotePrefix="0" xfId="0">
      <alignment horizontal="left" vertical="center" wrapText="1"/>
    </xf>
    <xf numFmtId="0" fontId="2" fillId="0" borderId="0" applyAlignment="1" pivotButton="0" quotePrefix="0" xfId="0">
      <alignment horizontal="left" vertical="center" wrapText="1"/>
    </xf>
    <xf numFmtId="164" fontId="2" fillId="0" borderId="0" applyAlignment="1" pivotButton="0" quotePrefix="0" xfId="0">
      <alignment horizontal="left" vertical="center" wrapText="1"/>
    </xf>
    <xf numFmtId="14" fontId="2" fillId="0" borderId="0" applyAlignment="1" pivotButton="0" quotePrefix="0" xfId="0">
      <alignment horizontal="left" vertical="center" wrapText="1"/>
    </xf>
    <xf numFmtId="14" fontId="2" fillId="0" borderId="0" applyAlignment="1" pivotButton="0" quotePrefix="0" xfId="0">
      <alignment horizontal="left" vertical="center" wrapText="1"/>
    </xf>
    <xf numFmtId="0" fontId="2" fillId="2" borderId="0" applyAlignment="1" pivotButton="0" quotePrefix="0" xfId="0">
      <alignment horizontal="left" vertical="center" wrapText="1"/>
    </xf>
    <xf numFmtId="0" fontId="2" fillId="2" borderId="0" applyAlignment="1" pivotButton="0" quotePrefix="0" xfId="0">
      <alignment horizontal="left" vertical="center" wrapText="1"/>
    </xf>
    <xf numFmtId="0" fontId="0" fillId="12" borderId="1" pivotButton="0" quotePrefix="0" xfId="0"/>
    <xf numFmtId="22" fontId="2" fillId="0" borderId="1" applyAlignment="1" pivotButton="0" quotePrefix="0" xfId="0">
      <alignment horizontal="left" vertical="center" wrapText="1"/>
    </xf>
    <xf numFmtId="164" fontId="2" fillId="0" borderId="0" applyAlignment="1" pivotButton="0" quotePrefix="0" xfId="0">
      <alignment horizontal="left" vertical="center" wrapText="1"/>
    </xf>
    <xf numFmtId="0" fontId="2" fillId="0" borderId="0" applyAlignment="1" pivotButton="0" quotePrefix="0" xfId="0">
      <alignment horizontal="center" vertical="center" wrapText="1"/>
    </xf>
    <xf numFmtId="49" fontId="4" fillId="0" borderId="0" applyAlignment="1" pivotButton="0" quotePrefix="0" xfId="0">
      <alignment horizontal="center"/>
    </xf>
    <xf numFmtId="0" fontId="31" fillId="0" borderId="0" applyAlignment="1" pivotButton="0" quotePrefix="0" xfId="0">
      <alignment horizontal="center" vertical="center"/>
    </xf>
    <xf numFmtId="0" fontId="31" fillId="0" borderId="1" applyAlignment="1" pivotButton="0" quotePrefix="0" xfId="0">
      <alignment horizontal="center" vertical="center"/>
    </xf>
    <xf numFmtId="0" fontId="27" fillId="0" borderId="1" applyAlignment="1" pivotButton="0" quotePrefix="0" xfId="0">
      <alignment horizontal="center" vertical="center"/>
    </xf>
    <xf numFmtId="0" fontId="4" fillId="0" borderId="13" applyAlignment="1" pivotButton="0" quotePrefix="0" xfId="0">
      <alignment wrapText="1"/>
    </xf>
    <xf numFmtId="0" fontId="4" fillId="0" borderId="5" applyAlignment="1" pivotButton="0" quotePrefix="0" xfId="0">
      <alignment wrapText="1"/>
    </xf>
    <xf numFmtId="0" fontId="4" fillId="0" borderId="15" applyAlignment="1" pivotButton="0" quotePrefix="0" xfId="0">
      <alignment wrapText="1"/>
    </xf>
    <xf numFmtId="0" fontId="4" fillId="0" borderId="16" applyAlignment="1" pivotButton="0" quotePrefix="0" xfId="0">
      <alignment wrapText="1"/>
    </xf>
    <xf numFmtId="0" fontId="0" fillId="0" borderId="0" applyAlignment="1" pivotButton="0" quotePrefix="0" xfId="0">
      <alignment horizontal="left" vertical="center"/>
    </xf>
    <xf numFmtId="0" fontId="4" fillId="0" borderId="11" applyAlignment="1" pivotButton="0" quotePrefix="0" xfId="0">
      <alignment wrapText="1"/>
    </xf>
    <xf numFmtId="0" fontId="4" fillId="0" borderId="1" applyAlignment="1" pivotButton="0" quotePrefix="0" xfId="0">
      <alignment wrapText="1"/>
    </xf>
    <xf numFmtId="0" fontId="4" fillId="0" borderId="11" pivotButton="0" quotePrefix="0" xfId="0"/>
    <xf numFmtId="0" fontId="4" fillId="0" borderId="1"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10" applyAlignment="1" pivotButton="0" quotePrefix="0" xfId="0">
      <alignment horizontal="center"/>
    </xf>
    <xf numFmtId="0" fontId="25" fillId="0" borderId="18" applyAlignment="1" pivotButton="0" quotePrefix="0" xfId="0">
      <alignment horizontal="left" vertical="center"/>
    </xf>
    <xf numFmtId="0" fontId="0" fillId="0" borderId="18" pivotButton="0" quotePrefix="0" xfId="0"/>
    <xf numFmtId="0" fontId="0" fillId="0" borderId="19" applyAlignment="1" pivotButton="0" quotePrefix="0" xfId="0">
      <alignment horizontal="left" vertical="center" wrapText="1"/>
    </xf>
    <xf numFmtId="0" fontId="0" fillId="0" borderId="21" applyAlignment="1" pivotButton="0" quotePrefix="0" xfId="0">
      <alignment horizontal="left" vertical="center" wrapText="1"/>
    </xf>
    <xf numFmtId="0" fontId="0" fillId="0" borderId="20" applyAlignment="1" pivotButton="0" quotePrefix="0" xfId="0">
      <alignment horizontal="left" vertical="center" wrapText="1"/>
    </xf>
    <xf numFmtId="0" fontId="0" fillId="0" borderId="19" applyAlignment="1" pivotButton="0" quotePrefix="0" xfId="0">
      <alignment horizontal="left" vertical="center" wrapText="1"/>
    </xf>
    <xf numFmtId="0" fontId="0" fillId="0" borderId="21" applyAlignment="1" pivotButton="0" quotePrefix="0" xfId="0">
      <alignment horizontal="left" vertical="center" wrapText="1"/>
    </xf>
    <xf numFmtId="0" fontId="0" fillId="0" borderId="20" applyAlignment="1" pivotButton="0" quotePrefix="0" xfId="0">
      <alignment horizontal="left" vertical="center" wrapText="1"/>
    </xf>
    <xf numFmtId="0" fontId="29" fillId="0" borderId="0" applyAlignment="1" pivotButton="0" quotePrefix="0" xfId="0">
      <alignment horizontal="center" wrapText="1"/>
    </xf>
    <xf numFmtId="0" fontId="8" fillId="8" borderId="26" applyAlignment="1" pivotButton="0" quotePrefix="0" xfId="0">
      <alignment horizontal="center" vertical="center"/>
    </xf>
    <xf numFmtId="0" fontId="8" fillId="8" borderId="27" applyAlignment="1" pivotButton="0" quotePrefix="0" xfId="0">
      <alignment horizontal="center" vertical="center"/>
    </xf>
    <xf numFmtId="0" fontId="8" fillId="8" borderId="28" applyAlignment="1" pivotButton="0" quotePrefix="0" xfId="0">
      <alignment horizontal="center" vertical="center"/>
    </xf>
    <xf numFmtId="0" fontId="8" fillId="8" borderId="29" applyAlignment="1" pivotButton="0" quotePrefix="0" xfId="0">
      <alignment horizontal="center" vertical="center"/>
    </xf>
    <xf numFmtId="0" fontId="0" fillId="0" borderId="32" pivotButton="0" quotePrefix="0" xfId="0"/>
    <xf numFmtId="0" fontId="0" fillId="0" borderId="5" pivotButton="0" quotePrefix="0" xfId="0"/>
    <xf numFmtId="0" fontId="0" fillId="0" borderId="36" pivotButton="0" quotePrefix="0" xfId="0"/>
    <xf numFmtId="0" fontId="0" fillId="0" borderId="37" pivotButton="0" quotePrefix="0" xfId="0"/>
    <xf numFmtId="0" fontId="0" fillId="0" borderId="33" pivotButton="0" quotePrefix="0" xfId="0"/>
    <xf numFmtId="0" fontId="0" fillId="0" borderId="28" pivotButton="0" quotePrefix="0" xfId="0"/>
    <xf numFmtId="0" fontId="0" fillId="0" borderId="29" pivotButton="0" quotePrefix="0" xfId="0"/>
    <xf numFmtId="0" fontId="0" fillId="0" borderId="21" pivotButton="0" quotePrefix="0" xfId="0"/>
    <xf numFmtId="0" fontId="0" fillId="0" borderId="20" pivotButton="0" quotePrefix="0" xfId="0"/>
  </cellXfs>
  <cellStyles count="2">
    <cellStyle name="Normale" xfId="0" builtinId="0"/>
    <cellStyle name="Collegamento ipertestuale" xfId="1" builtinId="8"/>
  </cellStyles>
  <dxfs count="8146">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9" formatCode="dd/mm/yy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b val="1"/>
        <strike val="0"/>
        <outline val="0"/>
        <shadow val="0"/>
        <color theme="1"/>
        <sz val="11"/>
        <vertAlign val="baseline"/>
        <scheme val="minor"/>
      </font>
      <alignment horizontal="left" vertical="center" wrapText="1"/>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dxf>
    <dxf>
      <fill>
        <patternFill>
          <fgColor indexed="64"/>
          <bgColor indexed="65"/>
        </patternFill>
      </fill>
      <alignment horizontal="left" vertical="center"/>
      <border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name val="Calibri"/>
        <b val="1"/>
        <strike val="0"/>
        <outline val="0"/>
        <shadow val="0"/>
        <color theme="1"/>
        <sz val="11"/>
        <vertAlign val="baseline"/>
        <scheme val="minor"/>
      </font>
      <alignment horizontal="left" vertical="center" wrapText="1"/>
    </dxf>
    <dxf>
      <font>
        <name val="Arial"/>
        <b val="1"/>
        <strike val="0"/>
        <outline val="0"/>
        <shadow val="0"/>
        <condense val="0"/>
        <color theme="0"/>
        <extend val="0"/>
        <sz val="10"/>
        <vertAlign val="baseline"/>
      </font>
      <numFmt numFmtId="0" formatCode="General"/>
      <fill>
        <patternFill patternType="solid">
          <fgColor theme="1"/>
          <bgColor theme="1"/>
        </patternFill>
      </fil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strike val="0"/>
        <outline val="0"/>
        <shadow val="0"/>
        <color theme="1"/>
        <sz val="10"/>
        <vertAlign val="baseline"/>
        <scheme val="minor"/>
      </font>
      <numFmt numFmtId="0" formatCode="General"/>
      <fill>
        <patternFill>
          <bgColor theme="0"/>
        </patternFill>
      </fill>
      <alignment horizontal="center" vertical="center" wrapText="1"/>
      <border outline="0">
        <left style="thin">
          <color indexed="64"/>
        </left>
        <right style="thin">
          <color indexed="64"/>
        </right>
        <top style="thin">
          <color indexed="64"/>
        </top>
        <bottom style="thin">
          <color indexed="64"/>
        </bottom>
      </border>
    </dxf>
    <dxf>
      <font>
        <name val="Calibri"/>
        <family val="2"/>
        <b val="1"/>
        <strike val="0"/>
        <outline val="0"/>
        <shadow val="0"/>
        <condense val="0"/>
        <color rgb="FF000000"/>
        <extend val="0"/>
        <sz val="12"/>
        <vertAlign val="baseline"/>
        <scheme val="minor"/>
      </font>
      <numFmt numFmtId="0" formatCode="General"/>
      <fill>
        <patternFill patternType="solid">
          <fgColor indexed="64"/>
          <bgColor rgb="FFFFFFFF"/>
        </patternFill>
      </fill>
      <alignment horizontal="center" vertical="center" wrapText="1"/>
      <border outline="0">
        <left style="thin">
          <color indexed="64"/>
        </left>
        <right style="thin">
          <color indexed="64"/>
        </right>
        <top style="thin">
          <color indexed="64"/>
        </top>
        <bottom style="thin">
          <color indexed="64"/>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name val="Arial"/>
        <strike val="0"/>
        <outline val="0"/>
        <shadow val="0"/>
        <condense val="0"/>
        <color theme="1"/>
        <extend val="0"/>
        <sz val="10"/>
        <vertAlign val="baseline"/>
      </font>
      <numFmt numFmtId="0" formatCode="Genera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family val="2"/>
        <b val="1"/>
        <strike val="0"/>
        <outline val="0"/>
        <shadow val="0"/>
        <color theme="1"/>
        <vertAlign val="baseline"/>
        <scheme val="minor"/>
      </font>
      <numFmt numFmtId="0" formatCode="General"/>
      <fill>
        <patternFill>
          <bgColor theme="0"/>
        </patternFill>
      </fill>
      <alignment horizontal="general" vertical="bottom" wrapText="1"/>
      <border outline="0">
        <left style="thin">
          <color auto="1"/>
        </left>
        <right style="thin">
          <color auto="1"/>
        </right>
        <top style="thin">
          <color auto="1"/>
        </top>
        <bottom style="thin">
          <color auto="1"/>
        </bottom>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outline="0">
        <left style="thin">
          <color auto="1"/>
        </left>
        <right style="thin">
          <color indexed="64"/>
        </right>
        <top style="thin">
          <color auto="1"/>
        </top>
        <bottom style="thin">
          <color auto="1"/>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1"/>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name val="Arial"/>
        <strike val="0"/>
        <outline val="0"/>
        <shadow val="0"/>
        <condense val="0"/>
        <color theme="1"/>
        <extend val="0"/>
        <sz val="10"/>
        <vertAlign val="baseline"/>
      </font>
      <numFmt numFmtId="0" formatCode="Genera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family val="2"/>
        <b val="1"/>
        <strike val="0"/>
        <outline val="0"/>
        <shadow val="0"/>
        <color theme="1"/>
        <sz val="10"/>
        <vertAlign val="baseline"/>
        <scheme val="minor"/>
      </font>
      <numFmt numFmtId="0" formatCode="General"/>
      <fill>
        <patternFill patternType="solid">
          <fgColor indexed="64"/>
          <bgColor theme="0"/>
        </patternFill>
      </fill>
      <alignment horizontal="center" vertical="center"/>
      <border>
        <left style="thin">
          <color auto="1"/>
        </left>
        <right style="thin">
          <color auto="1"/>
        </right>
        <top style="thin">
          <color auto="1"/>
        </top>
        <bottom style="thin">
          <color auto="1"/>
        </bottom>
      </border>
    </dxf>
    <dxf>
      <font>
        <name val="Calibri"/>
        <family val="2"/>
        <b val="1"/>
        <strike val="0"/>
        <outline val="0"/>
        <shadow val="0"/>
        <condense val="0"/>
        <color theme="1"/>
        <extend val="0"/>
        <sz val="14"/>
        <vertAlign val="baseline"/>
      </font>
      <numFmt numFmtId="0" formatCode="General"/>
      <fill>
        <patternFill>
          <fgColor indexed="64"/>
          <bgColor auto="1"/>
        </patternFill>
      </fill>
      <alignment horizontal="center" vertical="center" wrapText="1"/>
      <border outline="0">
        <left style="thin">
          <color auto="1"/>
        </left>
        <right style="thin">
          <color indexed="64"/>
        </right>
        <top style="thin">
          <color auto="1"/>
        </top>
        <bottom style="thin">
          <color auto="1"/>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name val="Arial"/>
        <b val="1"/>
        <strike val="0"/>
        <outline val="0"/>
        <shadow val="0"/>
        <condense val="0"/>
        <color theme="0"/>
        <extend val="0"/>
        <sz val="10"/>
        <vertAlign val="baseline"/>
      </font>
      <numFmt numFmtId="0" formatCode="General"/>
      <fill>
        <patternFill patternType="solid">
          <fgColor theme="1"/>
          <bgColor theme="1"/>
        </patternFill>
      </fil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family val="2"/>
        <b val="1"/>
        <strike val="0"/>
        <outline val="0"/>
        <shadow val="0"/>
        <color theme="1"/>
        <sz val="10"/>
        <vertAlign val="baseline"/>
        <scheme val="minor"/>
      </font>
      <numFmt numFmtId="0" formatCode="General"/>
      <fill>
        <patternFill>
          <bgColor theme="0"/>
        </patternFill>
      </fill>
      <alignment horizontal="general" vertical="bottom"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name val="Arial"/>
        <b val="1"/>
        <strike val="0"/>
        <outline val="0"/>
        <shadow val="0"/>
        <condense val="0"/>
        <color theme="0"/>
        <extend val="0"/>
        <sz val="10"/>
        <vertAlign val="baseline"/>
      </font>
      <numFmt numFmtId="0" formatCode="General"/>
      <fill>
        <patternFill patternType="solid">
          <fgColor theme="1"/>
          <bgColor theme="1"/>
        </patternFill>
      </fil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0" formatCode="General"/>
      <fill>
        <patternFill patternType="solid">
          <fgColor indexed="64"/>
          <bgColor theme="0"/>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lor theme="1"/>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lor theme="1"/>
        <sz val="11"/>
        <vertAlign val="baseline"/>
        <scheme val="minor"/>
      </font>
      <numFmt numFmtId="30" formatCode="@"/>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30" formatCode="@"/>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30" formatCode="@"/>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alignment horizontal="left" vertical="center"/>
      <border outline="0">
        <left style="thin">
          <color indexed="64"/>
        </left>
        <right style="thin">
          <color indexed="64"/>
        </right>
        <top/>
        <bottom/>
      </border>
    </dxf>
    <dxf>
      <font>
        <name val="Calibri"/>
        <family val="2"/>
        <b val="1"/>
        <strike val="0"/>
        <outline val="0"/>
        <shadow val="0"/>
        <color theme="1"/>
        <sz val="11"/>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lor theme="1"/>
        <sz val="11"/>
        <vertAlign val="baseline"/>
        <scheme val="minor"/>
      </font>
      <numFmt numFmtId="30" formatCode="@"/>
      <alignment/>
    </dxf>
    <dxf>
      <border outline="0">
        <bottom style="thin">
          <color indexed="64"/>
        </bottom>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dxf>
    <dxf>
      <border>
        <bottom style="thin">
          <color indexed="64"/>
        </bottom>
      </border>
    </dxf>
    <dxf>
      <font>
        <name val="Arial"/>
        <strike val="0"/>
        <outline val="0"/>
        <shadow val="0"/>
        <condense val="0"/>
        <color theme="1"/>
        <extend val="0"/>
        <sz val="10"/>
        <vertAlign val="baseline"/>
      </font>
      <numFmt numFmtId="0" formatCode="Genera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s>
</file>

<file path=xl/drawings/_rels/drawing2.xml.rels><Relationships xmlns="http://schemas.openxmlformats.org/package/2006/relationships"><Relationship Type="http://schemas.openxmlformats.org/officeDocument/2006/relationships/image" Target="/xl/media/image5.png" Id="rId1"/><Relationship Type="http://schemas.openxmlformats.org/officeDocument/2006/relationships/image" Target="/xl/media/image6.png" Id="rId2"/><Relationship Type="http://schemas.openxmlformats.org/officeDocument/2006/relationships/image" Target="/xl/media/image7.png" Id="rId3"/><Relationship Type="http://schemas.openxmlformats.org/officeDocument/2006/relationships/image" Target="/xl/media/image8.png" Id="rId4"/></Relationships>
</file>

<file path=xl/drawings/_rels/drawing3.xml.rels><Relationships xmlns="http://schemas.openxmlformats.org/package/2006/relationships"><Relationship Type="http://schemas.openxmlformats.org/officeDocument/2006/relationships/image" Target="/xl/media/image9.png" Id="rId1"/><Relationship Type="http://schemas.openxmlformats.org/officeDocument/2006/relationships/image" Target="/xl/media/image10.png" Id="rId2"/><Relationship Type="http://schemas.openxmlformats.org/officeDocument/2006/relationships/image" Target="/xl/media/image11.png" Id="rId3"/><Relationship Type="http://schemas.openxmlformats.org/officeDocument/2006/relationships/image" Target="/xl/media/image12.png" Id="rId4"/></Relationships>
</file>

<file path=xl/drawings/_rels/drawing4.xml.rels><Relationships xmlns="http://schemas.openxmlformats.org/package/2006/relationships"><Relationship Type="http://schemas.openxmlformats.org/officeDocument/2006/relationships/image" Target="/xl/media/image13.png" Id="rId1"/><Relationship Type="http://schemas.openxmlformats.org/officeDocument/2006/relationships/image" Target="/xl/media/image14.png" Id="rId2"/><Relationship Type="http://schemas.openxmlformats.org/officeDocument/2006/relationships/image" Target="/xl/media/image15.png" Id="rId3"/><Relationship Type="http://schemas.openxmlformats.org/officeDocument/2006/relationships/image" Target="/xl/media/image16.png" Id="rId4"/></Relationships>
</file>

<file path=xl/drawings/_rels/drawing5.xml.rels><Relationships xmlns="http://schemas.openxmlformats.org/package/2006/relationships"><Relationship Type="http://schemas.openxmlformats.org/officeDocument/2006/relationships/image" Target="/xl/media/image17.png" Id="rId1"/><Relationship Type="http://schemas.openxmlformats.org/officeDocument/2006/relationships/image" Target="/xl/media/image18.png" Id="rId2"/><Relationship Type="http://schemas.openxmlformats.org/officeDocument/2006/relationships/image" Target="/xl/media/image19.png" Id="rId3"/><Relationship Type="http://schemas.openxmlformats.org/officeDocument/2006/relationships/image" Target="/xl/media/image20.png" Id="rId4"/></Relationships>
</file>

<file path=xl/drawings/_rels/drawing6.xml.rels><Relationships xmlns="http://schemas.openxmlformats.org/package/2006/relationships"><Relationship Type="http://schemas.openxmlformats.org/officeDocument/2006/relationships/image" Target="/xl/media/image21.png" Id="rId1"/><Relationship Type="http://schemas.openxmlformats.org/officeDocument/2006/relationships/image" Target="/xl/media/image22.png" Id="rId2"/></Relationships>
</file>

<file path=xl/drawings/_rels/drawing7.xml.rels><Relationships xmlns="http://schemas.openxmlformats.org/package/2006/relationships"><Relationship Type="http://schemas.openxmlformats.org/officeDocument/2006/relationships/image" Target="/xl/media/image23.jpeg" Id="rId1"/></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wsDr xmlns="http://schemas.openxmlformats.org/drawingml/2006/spreadsheetDrawing">
  <twoCellAnchor editAs="oneCell">
    <from>
      <col>7</col>
      <colOff>142301</colOff>
      <row>0</row>
      <rowOff>741376</rowOff>
    </from>
    <to>
      <col>8</col>
      <colOff>433914</colOff>
      <row>0</row>
      <rowOff>1434121</rowOff>
    </to>
    <pic>
      <nvPicPr>
        <cNvPr id="17"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8067101" y="265126"/>
          <a:ext cx="997808" cy="692745"/>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10</col>
      <colOff>317592</colOff>
      <row>0</row>
      <rowOff>556636</rowOff>
    </from>
    <to>
      <col>11</col>
      <colOff>431699</colOff>
      <row>0</row>
      <rowOff>1379562</rowOff>
    </to>
    <pic>
      <nvPicPr>
        <cNvPr id="18" name="Immagine 17"/>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10363144" y="556636"/>
          <a:ext cx="822742" cy="822926"/>
        </a:xfrm>
        <a:prstGeom xmlns:a="http://schemas.openxmlformats.org/drawingml/2006/main" prst="rect">
          <avLst/>
        </a:prstGeom>
        <a:ln xmlns:a="http://schemas.openxmlformats.org/drawingml/2006/main">
          <a:prstDash val="solid"/>
        </a:ln>
      </spPr>
    </pic>
    <clientData/>
  </twoCellAnchor>
  <twoCellAnchor editAs="oneCell">
    <from>
      <col>6</col>
      <colOff>1511563</colOff>
      <row>1</row>
      <rowOff>247650</rowOff>
    </from>
    <to>
      <col>6</col>
      <colOff>2249132</colOff>
      <row>2</row>
      <rowOff>443779</rowOff>
    </to>
    <pic>
      <nvPicPr>
        <cNvPr id="15"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3990228" y="1871230"/>
          <a:ext cx="737569" cy="466725"/>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6</col>
      <colOff>2438806</colOff>
      <row>1</row>
      <rowOff>266699</rowOff>
    </from>
    <to>
      <col>6</col>
      <colOff>2924349</colOff>
      <row>2</row>
      <rowOff>478452</rowOff>
    </to>
    <pic>
      <nvPicPr>
        <cNvPr id="16" name="Immagine 15"/>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5134381" y="1885949"/>
          <a:ext cx="485543" cy="478453"/>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editAs="oneCell">
    <from>
      <col>7</col>
      <colOff>142301</colOff>
      <row>0</row>
      <rowOff>741376</rowOff>
    </from>
    <to>
      <col>8</col>
      <colOff>422995</colOff>
      <row>0</row>
      <rowOff>1436362</rowOff>
    </to>
    <pic>
      <nvPicPr>
        <cNvPr id="13"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71851" y="741376"/>
          <a:ext cx="997808" cy="691859"/>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10</col>
      <colOff>528028</colOff>
      <row>0</row>
      <rowOff>589863</rowOff>
    </from>
    <to>
      <col>11</col>
      <colOff>631215</colOff>
      <row>0</row>
      <rowOff>1415030</rowOff>
    </to>
    <pic>
      <nvPicPr>
        <cNvPr id="14" name="Immagine 13"/>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10573580" y="589863"/>
          <a:ext cx="822742" cy="822040"/>
        </a:xfrm>
        <a:prstGeom xmlns:a="http://schemas.openxmlformats.org/drawingml/2006/main" prst="rect">
          <avLst/>
        </a:prstGeom>
        <a:ln xmlns:a="http://schemas.openxmlformats.org/drawingml/2006/main">
          <a:prstDash val="solid"/>
        </a:ln>
      </spPr>
    </pic>
    <clientData/>
  </twoCellAnchor>
  <twoCellAnchor editAs="oneCell">
    <from>
      <col>6</col>
      <colOff>1511563</colOff>
      <row>1</row>
      <rowOff>247650</rowOff>
    </from>
    <to>
      <col>6</col>
      <colOff>2249132</colOff>
      <row>3</row>
      <rowOff>0</rowOff>
    </to>
    <pic>
      <nvPicPr>
        <cNvPr id="16"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4084408" y="1867995"/>
          <a:ext cx="737569" cy="496833"/>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6</col>
      <colOff>2438806</colOff>
      <row>1</row>
      <rowOff>266699</rowOff>
    </from>
    <to>
      <col>6</col>
      <colOff>2924349</colOff>
      <row>2</row>
      <rowOff>478452</rowOff>
    </to>
    <pic>
      <nvPicPr>
        <cNvPr id="17" name="Immagine 16"/>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5134381" y="1885949"/>
          <a:ext cx="485543" cy="478453"/>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7</col>
      <colOff>142301</colOff>
      <row>0</row>
      <rowOff>741376</rowOff>
    </from>
    <to>
      <col>8</col>
      <colOff>455760</colOff>
      <row>0</row>
      <rowOff>1433235</rowOff>
    </to>
    <pic>
      <nvPicPr>
        <cNvPr id="17"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64007" y="741376"/>
          <a:ext cx="997248" cy="691859"/>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10</col>
      <colOff>528028</colOff>
      <row>0</row>
      <rowOff>589863</rowOff>
    </from>
    <to>
      <col>11</col>
      <colOff>663987</colOff>
      <row>0</row>
      <rowOff>1411903</rowOff>
    </to>
    <pic>
      <nvPicPr>
        <cNvPr id="18" name="Immagine 17"/>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10434028" y="589863"/>
          <a:ext cx="819745" cy="822040"/>
        </a:xfrm>
        <a:prstGeom xmlns:a="http://schemas.openxmlformats.org/drawingml/2006/main" prst="rect">
          <avLst/>
        </a:prstGeom>
        <a:ln xmlns:a="http://schemas.openxmlformats.org/drawingml/2006/main">
          <a:prstDash val="solid"/>
        </a:ln>
      </spPr>
    </pic>
    <clientData/>
  </twoCellAnchor>
  <twoCellAnchor editAs="oneCell">
    <from>
      <col>6</col>
      <colOff>1511564</colOff>
      <row>1</row>
      <rowOff>247650</rowOff>
    </from>
    <to>
      <col>6</col>
      <colOff>2086842</colOff>
      <row>3</row>
      <rowOff>21548</rowOff>
    </to>
    <pic>
      <nvPicPr>
        <cNvPr id="21"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4014041" y="1866900"/>
          <a:ext cx="575278" cy="544557"/>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6</col>
      <colOff>2438806</colOff>
      <row>1</row>
      <rowOff>266699</rowOff>
    </from>
    <to>
      <col>6</col>
      <colOff>2924349</colOff>
      <row>2</row>
      <rowOff>478452</rowOff>
    </to>
    <pic>
      <nvPicPr>
        <cNvPr id="22" name="Immagine 21"/>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5134381" y="1885949"/>
          <a:ext cx="485543" cy="478453"/>
        </a:xfrm>
        <a:prstGeom xmlns:a="http://schemas.openxmlformats.org/drawingml/2006/main" prst="rect">
          <avLst/>
        </a:prstGeom>
        <a:ln xmlns:a="http://schemas.openxmlformats.org/drawingml/2006/main">
          <a:prstDash val="solid"/>
        </a:ln>
      </spPr>
    </pic>
    <clientData/>
  </twoCellAnchor>
</wsDr>
</file>

<file path=xl/drawings/drawing4.xml><?xml version="1.0" encoding="utf-8"?>
<wsDr xmlns="http://schemas.openxmlformats.org/drawingml/2006/spreadsheetDrawing">
  <twoCellAnchor editAs="oneCell">
    <from>
      <col>7</col>
      <colOff>142301</colOff>
      <row>0</row>
      <rowOff>741376</rowOff>
    </from>
    <to>
      <col>8</col>
      <colOff>422995</colOff>
      <row>0</row>
      <rowOff>1433235</rowOff>
    </to>
    <pic>
      <nvPicPr>
        <cNvPr id="16"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71851" y="741376"/>
          <a:ext cx="997808" cy="691859"/>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10</col>
      <colOff>528028</colOff>
      <row>0</row>
      <rowOff>589863</rowOff>
    </from>
    <to>
      <col>11</col>
      <colOff>631215</colOff>
      <row>0</row>
      <rowOff>1411903</rowOff>
    </to>
    <pic>
      <nvPicPr>
        <cNvPr id="17" name="Immagine 16"/>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10443553" y="589863"/>
          <a:ext cx="820305" cy="822040"/>
        </a:xfrm>
        <a:prstGeom xmlns:a="http://schemas.openxmlformats.org/drawingml/2006/main" prst="rect">
          <avLst/>
        </a:prstGeom>
        <a:ln xmlns:a="http://schemas.openxmlformats.org/drawingml/2006/main">
          <a:prstDash val="solid"/>
        </a:ln>
      </spPr>
    </pic>
    <clientData/>
  </twoCellAnchor>
  <twoCellAnchor editAs="oneCell">
    <from>
      <col>6</col>
      <colOff>1511563</colOff>
      <row>1</row>
      <rowOff>247651</rowOff>
    </from>
    <to>
      <col>6</col>
      <colOff>2249132</colOff>
      <row>2</row>
      <rowOff>459829</rowOff>
    </to>
    <pic>
      <nvPicPr>
        <cNvPr id="19"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4084408" y="1867996"/>
          <a:ext cx="737569" cy="474936"/>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6</col>
      <colOff>2438806</colOff>
      <row>1</row>
      <rowOff>266699</rowOff>
    </from>
    <to>
      <col>6</col>
      <colOff>2924349</colOff>
      <row>2</row>
      <rowOff>478452</rowOff>
    </to>
    <pic>
      <nvPicPr>
        <cNvPr id="20" name="Immagine 19"/>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5134381" y="1885949"/>
          <a:ext cx="485543" cy="478453"/>
        </a:xfrm>
        <a:prstGeom xmlns:a="http://schemas.openxmlformats.org/drawingml/2006/main" prst="rect">
          <avLst/>
        </a:prstGeom>
        <a:ln xmlns:a="http://schemas.openxmlformats.org/drawingml/2006/main">
          <a:prstDash val="solid"/>
        </a:ln>
      </spPr>
    </pic>
    <clientData/>
  </twoCellAnchor>
</wsDr>
</file>

<file path=xl/drawings/drawing5.xml><?xml version="1.0" encoding="utf-8"?>
<wsDr xmlns="http://schemas.openxmlformats.org/drawingml/2006/spreadsheetDrawing">
  <twoCellAnchor editAs="oneCell">
    <from>
      <col>7</col>
      <colOff>142301</colOff>
      <row>0</row>
      <rowOff>741376</rowOff>
    </from>
    <to>
      <col>8</col>
      <colOff>433967</colOff>
      <row>0</row>
      <rowOff>1433235</rowOff>
    </to>
    <pic>
      <nvPicPr>
        <cNvPr id="13"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8067101" y="741376"/>
          <a:ext cx="997808" cy="691859"/>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10</col>
      <colOff>528028</colOff>
      <row>0</row>
      <rowOff>589863</rowOff>
    </from>
    <to>
      <col>11</col>
      <colOff>642184</colOff>
      <row>0</row>
      <rowOff>1411903</rowOff>
    </to>
    <pic>
      <nvPicPr>
        <cNvPr id="14" name="Immagine 13"/>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10538803" y="589863"/>
          <a:ext cx="820305" cy="822040"/>
        </a:xfrm>
        <a:prstGeom xmlns:a="http://schemas.openxmlformats.org/drawingml/2006/main" prst="rect">
          <avLst/>
        </a:prstGeom>
        <a:ln xmlns:a="http://schemas.openxmlformats.org/drawingml/2006/main">
          <a:prstDash val="solid"/>
        </a:ln>
      </spPr>
    </pic>
    <clientData/>
  </twoCellAnchor>
  <twoCellAnchor editAs="oneCell">
    <from>
      <col>6</col>
      <colOff>1511563</colOff>
      <row>1</row>
      <rowOff>247650</rowOff>
    </from>
    <to>
      <col>6</col>
      <colOff>2249132</colOff>
      <row>3</row>
      <rowOff>22152</rowOff>
    </to>
    <pic>
      <nvPicPr>
        <cNvPr id="25"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4191854" y="1864685"/>
          <a:ext cx="737569" cy="527641"/>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6</col>
      <colOff>2438806</colOff>
      <row>1</row>
      <rowOff>266699</rowOff>
    </from>
    <to>
      <col>6</col>
      <colOff>2924349</colOff>
      <row>2</row>
      <rowOff>478452</rowOff>
    </to>
    <pic>
      <nvPicPr>
        <cNvPr id="28" name="Immagine 27"/>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5134381" y="1885949"/>
          <a:ext cx="485543" cy="478453"/>
        </a:xfrm>
        <a:prstGeom xmlns:a="http://schemas.openxmlformats.org/drawingml/2006/main" prst="rect">
          <avLst/>
        </a:prstGeom>
        <a:ln xmlns:a="http://schemas.openxmlformats.org/drawingml/2006/main">
          <a:prstDash val="solid"/>
        </a:ln>
      </spPr>
    </pic>
    <clientData/>
  </twoCellAnchor>
</wsDr>
</file>

<file path=xl/drawings/drawing6.xml><?xml version="1.0" encoding="utf-8"?>
<wsDr xmlns="http://schemas.openxmlformats.org/drawingml/2006/spreadsheetDrawing">
  <twoCellAnchor editAs="oneCell">
    <from>
      <col>6</col>
      <colOff>1511563</colOff>
      <row>1</row>
      <rowOff>247650</rowOff>
    </from>
    <to>
      <col>6</col>
      <colOff>2249132</colOff>
      <row>2</row>
      <rowOff>537882</rowOff>
    </to>
    <pic>
      <nvPicPr>
        <cNvPr id="18" name="Immagine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4200975" y="1872503"/>
          <a:ext cx="737569" cy="559173"/>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6</col>
      <colOff>2438806</colOff>
      <row>1</row>
      <rowOff>266699</rowOff>
    </from>
    <to>
      <col>6</col>
      <colOff>2924349</colOff>
      <row>2</row>
      <rowOff>470832</rowOff>
    </to>
    <pic>
      <nvPicPr>
        <cNvPr id="19" name="Immagine 18"/>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5134381" y="1885949"/>
          <a:ext cx="485543" cy="478453"/>
        </a:xfrm>
        <a:prstGeom xmlns:a="http://schemas.openxmlformats.org/drawingml/2006/main" prst="rect">
          <avLst/>
        </a:prstGeom>
        <a:ln xmlns:a="http://schemas.openxmlformats.org/drawingml/2006/main">
          <a:prstDash val="solid"/>
        </a:ln>
      </spPr>
    </pic>
    <clientData/>
  </twoCellAnchor>
</wsDr>
</file>

<file path=xl/drawings/drawing7.xml><?xml version="1.0" encoding="utf-8"?>
<wsDr xmlns="http://schemas.openxmlformats.org/drawingml/2006/spreadsheetDrawing">
  <twoCellAnchor editAs="oneCell">
    <from>
      <col>13</col>
      <colOff>1476375</colOff>
      <row>0</row>
      <rowOff>76200</rowOff>
    </from>
    <to>
      <col>13</col>
      <colOff>2776480</colOff>
      <row>10</row>
      <rowOff>302704</rowOff>
    </to>
    <pic>
      <nvPicPr>
        <cNvPr id="430" name="Picture 105" descr="img_9c4cfe9c-157a-405b-839a-ac95ce7b5ad3"/>
        <cNvPicPr>
          <a:picLocks xmlns:a="http://schemas.openxmlformats.org/drawingml/2006/main" noChangeAspect="1" noChangeArrowheads="1"/>
        </cNvPicPr>
      </nvPicPr>
      <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blipFill>
      <spPr bwMode="auto">
        <a:xfrm xmlns:a="http://schemas.openxmlformats.org/drawingml/2006/main">
          <a:off x="17259300" y="76200"/>
          <a:ext cx="1300105" cy="1264729"/>
        </a:xfrm>
        <a:prstGeom xmlns:a="http://schemas.openxmlformats.org/drawingml/2006/main" prst="rect">
          <avLst/>
        </a:prstGeom>
        <a:noFill xmlns:a="http://schemas.openxmlformats.org/drawingml/2006/main"/>
        <a:ln xmlns:a="http://schemas.openxmlformats.org/drawingml/2006/main">
          <a:noFill/>
          <a:prstDash val="solid"/>
        </a:ln>
      </spPr>
    </pic>
    <clientData/>
  </twoCellAnchor>
</wsDr>
</file>

<file path=xl/tables/table1.xml><?xml version="1.0" encoding="utf-8"?>
<table xmlns="http://schemas.openxmlformats.org/spreadsheetml/2006/main" id="1" name="TabellaA1" displayName="TabellaA1" ref="A3:U271" headerRowCount="1" headerRowDxfId="6225" dataDxfId="6223" totalsRowDxfId="6221" headerRowBorderDxfId="6224" tableBorderDxfId="6222">
  <autoFilter ref="A3:U271">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271">
    <sortCondition ref="M3:M271"/>
  </sortState>
  <tableColumns count="21">
    <tableColumn id="17" name="FERM" dataDxfId="6220" totalsRowDxfId="6219"/>
    <tableColumn id="16" name="MANUT" dataDxfId="6218" totalsRowDxfId="6217"/>
    <tableColumn id="3" name="PS" dataDxfId="6216" totalsRowDxfId="6215">
      <calculatedColumnFormula>IF(OR(TabellaA1[[#This Row],[LUN]]="X",TabellaA1[[#This Row],[MAR]]="X",TabellaA1[[#This Row],[MER]]="X",TabellaA1[[#This Row],[GIO]]="X",TabellaA1[[#This Row],[VEN]]="X",),"X","")</calculatedColumnFormula>
    </tableColumn>
    <tableColumn id="1" name="AREA " totalsRowLabel="Totale" dataDxfId="6214" totalsRowDxfId="6213"/>
    <tableColumn id="7" name="PdL" dataDxfId="6212" totalsRowDxfId="6211"/>
    <tableColumn id="12" name="IMP." dataDxfId="6210" totalsRowDxfId="6209"/>
    <tableColumn id="2" name="DESCRIZIONE_x000a_ATTIVITA'" dataDxfId="6208" totalsRowDxfId="6207"/>
    <tableColumn id="14" name="LUN" dataDxfId="6206" totalsRowDxfId="6205"/>
    <tableColumn id="15" name="MAR" dataDxfId="6204" totalsRowDxfId="6203"/>
    <tableColumn id="5" name="MER" dataDxfId="6202" totalsRowDxfId="6201"/>
    <tableColumn id="13" name="GIO" dataDxfId="6200" totalsRowDxfId="6199"/>
    <tableColumn id="4" name="VEN" dataDxfId="6198" totalsRowDxfId="6197"/>
    <tableColumn id="9" name="STATO_x000a_PdL" dataDxfId="6196" totalsRowDxfId="6195"/>
    <tableColumn id="20" name="ESE" dataDxfId="6194" totalsRowDxfId="6193"/>
    <tableColumn id="19" name="SAIT" dataDxfId="6192" totalsRowDxfId="6191"/>
    <tableColumn id="18" name="PONTEROSSO" dataDxfId="6190" totalsRowDxfId="6189"/>
    <tableColumn id="10" name="STATO_x000a_ATTIVITA'" dataDxfId="6188" totalsRowDxfId="6187"/>
    <tableColumn id="6" name="DATA_x000a_CONTROLLO" dataDxfId="6186" totalsRowDxfId="6185"/>
    <tableColumn id="8" name="PERSONALE_x000a_IMPIEGATO" totalsRowFunction="count" dataDxfId="6184" totalsRowDxfId="6183"/>
    <tableColumn id="11" name="PO" dataDxfId="6182" totalsRowDxfId="6181">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name="AVVISO" dataDxfId="6180" totalsRowDxfId="6179">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id="2" name="Tabella1" displayName="Tabella1" ref="A3:U178" headerRowCount="1" totalsRowShown="0" headerRowDxfId="5602" tableBorderDxfId="5601">
  <autoFilter ref="A3:U178">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178">
    <sortCondition ref="M3:M178"/>
  </sortState>
  <tableColumns count="21">
    <tableColumn id="17" name="FERM" dataDxfId="5600"/>
    <tableColumn id="16" name="MANUT" dataDxfId="5599"/>
    <tableColumn id="1" name="PS" dataDxfId="5598">
      <calculatedColumnFormula>IF(OR(Tabella1[[#This Row],[LUN]]="X",Tabella1[[#This Row],[MAR]]="X",Tabella1[[#This Row],[MER]]="X",Tabella1[[#This Row],[GIO]]="X",Tabella1[[#This Row],[VEN]]="X",),"X","")</calculatedColumnFormula>
    </tableColumn>
    <tableColumn id="2" name="AREA " dataDxfId="5597"/>
    <tableColumn id="3" name="PdL" dataDxfId="5596"/>
    <tableColumn id="4" name="IMP." dataDxfId="5595"/>
    <tableColumn id="5" name="DESCRIZIONE_x000a_ATTIVITA'" dataDxfId="5594"/>
    <tableColumn id="6" name="LUN" dataDxfId="5593"/>
    <tableColumn id="7" name="MAR" dataDxfId="5592"/>
    <tableColumn id="8" name="MER" dataDxfId="5591"/>
    <tableColumn id="9" name="GIO" dataDxfId="5590"/>
    <tableColumn id="10" name="VEN" dataDxfId="5589"/>
    <tableColumn id="11" name="STATO_x000a_PdL" dataDxfId="5588"/>
    <tableColumn id="20" name="ESE" dataDxfId="5587"/>
    <tableColumn id="19" name="SAIT" dataDxfId="5586"/>
    <tableColumn id="18" name="PONTEROSSO" dataDxfId="5585"/>
    <tableColumn id="12" name="STATO_x000a_ATTIVITA'" dataDxfId="5584"/>
    <tableColumn id="13" name="DATA_x000a_CONTROLLO" dataDxfId="5583"/>
    <tableColumn id="14" name="PERSONALE_x000a_IMPIEGATO" dataDxfId="5582"/>
    <tableColumn id="15" name="PO" dataDxfId="5581">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name="AVVISO" dataDxfId="5580">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id="3" name="Tabella3" displayName="Tabella3" ref="A3:U443" headerRowCount="1" totalsRowShown="0" headerRowDxfId="3227" tableBorderDxfId="3226">
  <autoFilter ref="A3:U443">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443">
    <sortCondition ref="M3:M443"/>
  </sortState>
  <tableColumns count="21">
    <tableColumn id="17" name="FERM" dataDxfId="3225"/>
    <tableColumn id="16" name="MANUT" dataDxfId="3224"/>
    <tableColumn id="1" name="PS" dataDxfId="3223">
      <calculatedColumnFormula>IF(OR(Tabella3[[#This Row],[LUN]]="X",Tabella3[[#This Row],[MAR]]="X",Tabella3[[#This Row],[MER]]="X",Tabella3[[#This Row],[GIO]]="X",Tabella3[[#This Row],[VEN]]="X",),"X","")</calculatedColumnFormula>
    </tableColumn>
    <tableColumn id="2" name="AREA " dataDxfId="3222"/>
    <tableColumn id="3" name="PdL" dataDxfId="3221"/>
    <tableColumn id="4" name="IMP." dataDxfId="3220"/>
    <tableColumn id="5" name="DESCRIZIONE_x000a_ATTIVITA'" dataDxfId="3219"/>
    <tableColumn id="6" name="LUN" dataDxfId="3218"/>
    <tableColumn id="7" name="MAR" dataDxfId="3217"/>
    <tableColumn id="8" name="MER" dataDxfId="3216"/>
    <tableColumn id="9" name="GIO" dataDxfId="3215"/>
    <tableColumn id="10" name="VEN" dataDxfId="3214"/>
    <tableColumn id="11" name="STATO_x000a_PdL" dataDxfId="3213"/>
    <tableColumn id="20" name="ESE" dataDxfId="3212"/>
    <tableColumn id="19" name="SAIT" dataDxfId="3211"/>
    <tableColumn id="18" name="PONTEROSSO" dataDxfId="3210"/>
    <tableColumn id="12" name="STATO_x000a_ATTIVITA'" dataDxfId="3209"/>
    <tableColumn id="13" name="DATA_x000a_CONTROLLO" dataDxfId="3208"/>
    <tableColumn id="14" name="PERSONALE_x000a_IMPIEGATO" dataDxfId="3207"/>
    <tableColumn id="15" name="PO" dataDxfId="320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id="4" name="TabellaCTE" displayName="TabellaCTE" ref="A3:U29" headerRowCount="1" totalsRowShown="0" headerRowDxfId="3168" headerRowBorderDxfId="3167" tableBorderDxfId="3166">
  <autoFilter ref="A3:U29">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29">
    <sortCondition ref="M3:M29"/>
  </sortState>
  <tableColumns count="21">
    <tableColumn id="17" name="FERM" dataDxfId="3165"/>
    <tableColumn id="16" name="MANUT" dataDxfId="3164">
      <calculatedColumnFormula>IF(OR(A4="x",A4="X"),"",IF(ISBLANK(A4),"X",""))</calculatedColumnFormula>
    </tableColumn>
    <tableColumn id="11" name="PS" dataDxfId="3163">
      <calculatedColumnFormula>IF(OR(TabellaCTE[[#This Row],[LUN]]="X",TabellaCTE[[#This Row],[MAR]]="X",TabellaCTE[[#This Row],[MER]]="X",TabellaCTE[[#This Row],[GIO]]="X",TabellaCTE[[#This Row],[VEN]]="X",),"X","")</calculatedColumnFormula>
    </tableColumn>
    <tableColumn id="1" name="AREA " dataDxfId="3162"/>
    <tableColumn id="7" name="PdL" dataDxfId="3161"/>
    <tableColumn id="12" name="IMP." dataDxfId="3160"/>
    <tableColumn id="2" name="DESCRIZIONE_x000a_ATTIVITA'" dataDxfId="3159"/>
    <tableColumn id="5" name="LUN" dataDxfId="3158"/>
    <tableColumn id="13" name="MAR" dataDxfId="3157"/>
    <tableColumn id="14" name="MER" dataDxfId="3156"/>
    <tableColumn id="4" name="GIO" dataDxfId="3155"/>
    <tableColumn id="3" name="VEN" dataDxfId="3154"/>
    <tableColumn id="9" name="STATO_x000a_PdL" dataDxfId="3153"/>
    <tableColumn id="20" name="ESE" dataDxfId="3152"/>
    <tableColumn id="19" name="SAIT" dataDxfId="3151"/>
    <tableColumn id="18" name="PONTEROSSO" dataDxfId="3150"/>
    <tableColumn id="10" name="STATO_x000a_ATTIVITA'" dataDxfId="3149"/>
    <tableColumn id="6" name="DATA_x000a_CONTROLLO" dataDxfId="3148"/>
    <tableColumn id="8" name="PERSONALE_x000a_IMPIEGATO" dataDxfId="3147"/>
    <tableColumn id="15" name="PO" dataDxfId="314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name="AVVISO" dataDxfId="314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5" name="TabellaBLENDING" displayName="TabellaBLENDING" ref="A3:U182" headerRowCount="1" totalsRowShown="0" headerRowDxfId="84" headerRowBorderDxfId="83" tableBorderDxfId="82">
  <autoFilter ref="A3:U182">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182">
    <sortCondition ref="M3:M182"/>
  </sortState>
  <tableColumns count="21">
    <tableColumn id="17" name="FERM" dataDxfId="81"/>
    <tableColumn id="16" name="MANUT" dataDxfId="80"/>
    <tableColumn id="11" name="PS" dataDxfId="79">
      <calculatedColumnFormula>IF(OR(TabellaBLENDING[[#This Row],[LUN]]="X",TabellaBLENDING[[#This Row],[MAR]]="X",TabellaBLENDING[[#This Row],[MER]]="X",TabellaBLENDING[[#This Row],[GIO]]="X",TabellaBLENDING[[#This Row],[VEN]]="X",),"X","")</calculatedColumnFormula>
    </tableColumn>
    <tableColumn id="1" name="AREA " dataDxfId="78"/>
    <tableColumn id="7" name="PdL" dataDxfId="77"/>
    <tableColumn id="12" name="IMP." dataDxfId="76"/>
    <tableColumn id="2" name="DESCRIZIONE_x000a_ATTIVITA'" dataDxfId="75"/>
    <tableColumn id="5" name="LUN" dataDxfId="74"/>
    <tableColumn id="13" name="MAR" dataDxfId="73"/>
    <tableColumn id="14" name="MER" dataDxfId="72"/>
    <tableColumn id="4" name="GIO" dataDxfId="71"/>
    <tableColumn id="3" name="VEN" dataDxfId="70"/>
    <tableColumn id="9" name="STATO_x000a_PdL" dataDxfId="69"/>
    <tableColumn id="20" name="ESE" dataDxfId="68"/>
    <tableColumn id="19" name="SAIT" dataDxfId="67"/>
    <tableColumn id="18" name="PONTEROSSO" dataDxfId="66"/>
    <tableColumn id="10" name="STATO_x000a_ATTIVITA'" dataDxfId="65"/>
    <tableColumn id="6" name="DATA_x000a_CONTROLLO" dataDxfId="64"/>
    <tableColumn id="8" name="PERSONALE_x000a_IMPIEGATO" dataDxfId="63"/>
    <tableColumn id="15"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id="6" name="QueryGenerale" displayName="QueryGenerale" ref="A3:U1091" tableType="queryTable" headerRowCount="1" totalsRowShown="0" headerRowDxfId="54" dataDxfId="53">
  <autoFilter ref="A3:U1091">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1091">
    <sortCondition ref="M3:M1091"/>
  </sortState>
  <tableColumns count="21">
    <tableColumn id="22" uniqueName="22" name="FERM" queryTableFieldId="1" dataDxfId="19"/>
    <tableColumn id="23" uniqueName="23" name="MANUT" queryTableFieldId="2" dataDxfId="18"/>
    <tableColumn id="24" uniqueName="24" name="PS" queryTableFieldId="3" dataDxfId="17"/>
    <tableColumn id="25" uniqueName="25" name="AREA " queryTableFieldId="4" dataDxfId="16"/>
    <tableColumn id="26" uniqueName="26" name="PdL" queryTableFieldId="5" dataDxfId="15"/>
    <tableColumn id="27" uniqueName="27" name="IMP." queryTableFieldId="6" dataDxfId="14"/>
    <tableColumn id="28" uniqueName="28" name="DESCRIZIONE_x000a_ATTIVITA'" queryTableFieldId="7" dataDxfId="13"/>
    <tableColumn id="29" uniqueName="29" name="LUN" queryTableFieldId="8" dataDxfId="12"/>
    <tableColumn id="30" uniqueName="30" name="MAR" queryTableFieldId="9" dataDxfId="11"/>
    <tableColumn id="31" uniqueName="31" name="MER" queryTableFieldId="10" dataDxfId="10"/>
    <tableColumn id="32" uniqueName="32" name="GIO" queryTableFieldId="11" dataDxfId="9"/>
    <tableColumn id="33" uniqueName="33" name="VEN" queryTableFieldId="12" dataDxfId="8"/>
    <tableColumn id="34" uniqueName="34" name="STATO_x000a_PdL" queryTableFieldId="13" dataDxfId="7"/>
    <tableColumn id="35" uniqueName="35" name="ESE" queryTableFieldId="14" dataDxfId="6"/>
    <tableColumn id="36" uniqueName="36" name="SAIT" queryTableFieldId="15" dataDxfId="5"/>
    <tableColumn id="37" uniqueName="37" name="PONTEROSSO" queryTableFieldId="16" dataDxfId="4"/>
    <tableColumn id="38" uniqueName="38" name="STATO_x000a_ATTIVITA'" queryTableFieldId="17" dataDxfId="3"/>
    <tableColumn id="39" uniqueName="39" name="DATA_x000a_CONTROLLO" queryTableFieldId="18" dataDxfId="2"/>
    <tableColumn id="40" uniqueName="40" name="PERSONALE_x000a_IMPIEGATO" queryTableFieldId="19" dataDxfId="1"/>
    <tableColumn id="41" uniqueName="41" name="PO" queryTableFieldId="20" dataDxfId="0"/>
    <tableColumn id="42" uniqueName="42" name="AVVISO" queryTableFieldId="21" dataDxfId="20"/>
  </tableColumns>
  <tableStyleInfo name="TableStyleMedium1" showFirstColumn="0" showLastColumn="0" showRowStripes="1" showColumnStripes="0"/>
</table>
</file>

<file path=xl/tables/table7.xml><?xml version="1.0" encoding="utf-8"?>
<table xmlns="http://schemas.openxmlformats.org/spreadsheetml/2006/main" id="7" name="Tabella4" displayName="Tabella4" ref="A2:S13" headerRowCount="1" totalsRowShown="0" headerRowDxfId="41" dataDxfId="40">
  <autoFilter ref="A2:S13"/>
  <tableColumns count="19">
    <tableColumn id="1" name="N. PdL" dataDxfId="39"/>
    <tableColumn id="2" name="Descrizione PdL" dataDxfId="38"/>
    <tableColumn id="3" name="Stato PdL" dataDxfId="37"/>
    <tableColumn id="4" name="OdC" dataDxfId="36"/>
    <tableColumn id="5" name="Apparecchiatura" dataDxfId="35"/>
    <tableColumn id="6" name="Unità" dataDxfId="34"/>
    <tableColumn id="7" name="Area" dataDxfId="33"/>
    <tableColumn id="8" name="Richiedente" dataDxfId="32"/>
    <tableColumn id="9" name="AVVISO" dataDxfId="31"/>
    <tableColumn id="10" name=".." dataDxfId="30"/>
    <tableColumn id="11" name="STATO PdL2" dataDxfId="29"/>
    <tableColumn id="12" name="ESE" dataDxfId="28"/>
    <tableColumn id="13" name="SAIT" dataDxfId="27"/>
    <tableColumn id="14" name="PR" dataDxfId="26"/>
    <tableColumn id="15" name="AZIONE CORRETTIVA" dataDxfId="25"/>
    <tableColumn id="16" name="DATA CONTROLLO" dataDxfId="24"/>
    <tableColumn id="17" name="PERSONALE IMPIEGATO" dataDxfId="23"/>
    <tableColumn id="18" name="." dataDxfId="22"/>
    <tableColumn id="19" name="CARICA?" dataDxfId="21"/>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 Type="http://schemas.openxmlformats.org/officeDocument/2006/relationships/vmlDrawing" Target="/xl/drawings/vmlDrawing2.vml" Id="anysvml"/></Relationships>
</file>

<file path=xl/worksheets/_rels/sheet3.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 Type="http://schemas.openxmlformats.org/officeDocument/2006/relationships/vmlDrawing" Target="/xl/drawings/vmlDrawing4.vml" Id="anysvml"/></Relationships>
</file>

<file path=xl/worksheets/_rels/sheet5.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 Type="http://schemas.openxmlformats.org/officeDocument/2006/relationships/vmlDrawing" Target="/xl/drawings/vmlDrawing5.vml" Id="anysvml"/></Relationships>
</file>

<file path=xl/worksheets/_rels/sheet6.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 Type="http://schemas.openxmlformats.org/officeDocument/2006/relationships/vmlDrawing" Target="/xl/drawings/vmlDrawing6.vml" Id="anysvml"/></Relationships>
</file>

<file path=xl/worksheets/_rels/sheet8.xml.rels><Relationships xmlns="http://schemas.openxmlformats.org/package/2006/relationships"><Relationship Type="http://schemas.openxmlformats.org/officeDocument/2006/relationships/vmlDrawing" Target="/xl/drawings/vmlDrawing7.vml" Id="anysvml"/></Relationships>
</file>

<file path=xl/worksheets/_rels/sheet9.xml.rels><Relationships xmlns="http://schemas.openxmlformats.org/package/2006/relationships"><Relationship Type="http://schemas.openxmlformats.org/officeDocument/2006/relationships/table" Target="/xl/tables/table7.xml" Id="rId1"/><Relationship Type="http://schemas.openxmlformats.org/officeDocument/2006/relationships/vmlDrawing" Target="/xl/drawings/vmlDrawing8.vml" Id="anysvml"/></Relationships>
</file>

<file path=xl/worksheets/_rels/sheet10.xml.rels><Relationships xmlns="http://schemas.openxmlformats.org/package/2006/relationships"><Relationship Type="http://schemas.openxmlformats.org/officeDocument/2006/relationships/vmlDrawing" Target="/xl/drawings/vmlDrawing9.vml" Id="anysvml"/></Relationships>
</file>

<file path=xl/worksheets/_rels/sheet11.xml.rels><Relationships xmlns="http://schemas.openxmlformats.org/package/2006/relationships"><Relationship Type="http://schemas.openxmlformats.org/officeDocument/2006/relationships/drawing" Target="/xl/drawings/drawing7.xml" Id="rId1"/><Relationship Type="http://schemas.openxmlformats.org/officeDocument/2006/relationships/vmlDrawing" Target="/xl/drawings/vmlDrawing10.vml" Id="anysvml"/></Relationships>
</file>

<file path=xl/worksheets/sheet1.xml><?xml version="1.0" encoding="utf-8"?>
<worksheet xmlns="http://schemas.openxmlformats.org/spreadsheetml/2006/main">
  <sheetPr codeName="Foglio1">
    <tabColor theme="3"/>
    <outlinePr summaryBelow="1" summaryRight="1"/>
    <pageSetUpPr fitToPage="1"/>
  </sheetPr>
  <dimension ref="A1:V271"/>
  <sheetViews>
    <sheetView topLeftCell="E4" workbookViewId="0">
      <selection activeCell="A4" sqref="A4:U271"/>
    </sheetView>
  </sheetViews>
  <sheetFormatPr baseColWidth="8" defaultColWidth="10.75" defaultRowHeight="15"/>
  <cols>
    <col width="3.125" customWidth="1" style="6" min="1" max="1"/>
    <col width="3.125" customWidth="1" style="1" min="2" max="2"/>
    <col width="3.125" customWidth="1" style="7" min="3" max="3"/>
    <col width="6.62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4" min="14" max="14"/>
    <col width="6.375" customWidth="1" style="170" min="15" max="16"/>
    <col width="55.625" customWidth="1" style="4" min="17" max="17"/>
    <col width="11.375" bestFit="1" customWidth="1" style="49" min="18" max="18"/>
    <col width="13.125" customWidth="1" style="4" min="19" max="19"/>
    <col width="3.125" customWidth="1" style="4" min="20" max="20"/>
    <col width="10.75" customWidth="1" style="4" min="21" max="16384"/>
  </cols>
  <sheetData>
    <row r="1" ht="128.1" customHeight="1" s="122">
      <c r="A1" s="188" t="n"/>
      <c r="G1" s="13" t="n"/>
      <c r="L1" s="38" t="n"/>
      <c r="M1" s="62" t="inlineStr">
        <is>
          <t>FILTRA PDL</t>
        </is>
      </c>
      <c r="N1" s="10" t="n"/>
      <c r="O1" s="169" t="n"/>
      <c r="P1" s="169" t="n"/>
      <c r="Q1" s="62" t="inlineStr">
        <is>
          <t>FILTRA ATTIVITA'</t>
        </is>
      </c>
    </row>
    <row r="2" ht="21" customFormat="1" customHeight="1" s="10">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c r="R2" s="50" t="n"/>
    </row>
    <row r="3" ht="38.25" customFormat="1" customHeight="1" s="45">
      <c r="A3" s="26" t="inlineStr">
        <is>
          <t>FERM</t>
        </is>
      </c>
      <c r="B3" s="34" t="inlineStr">
        <is>
          <t>MANUT</t>
        </is>
      </c>
      <c r="C3" s="30" t="inlineStr">
        <is>
          <t>PS</t>
        </is>
      </c>
      <c r="D3" s="30" t="inlineStr">
        <is>
          <t xml:space="preserve">AREA </t>
        </is>
      </c>
      <c r="E3" s="30" t="inlineStr">
        <is>
          <t>PdL</t>
        </is>
      </c>
      <c r="F3" s="30"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121" t="inlineStr">
        <is>
          <t>STATO
ATTIVITA'</t>
        </is>
      </c>
      <c r="R3" s="51" t="inlineStr">
        <is>
          <t>DATA
CONTROLLO</t>
        </is>
      </c>
      <c r="S3" s="121" t="inlineStr">
        <is>
          <t>PERSONALE
IMPIEGATO</t>
        </is>
      </c>
      <c r="T3" s="121" t="inlineStr">
        <is>
          <t>PO</t>
        </is>
      </c>
      <c r="U3" s="121" t="inlineStr">
        <is>
          <t>AVVISO</t>
        </is>
      </c>
      <c r="V3" t="inlineStr">
        <is>
          <t>DataUltimaModifica</t>
        </is>
      </c>
    </row>
    <row r="4" ht="30" customFormat="1" customHeight="1" s="45">
      <c r="A4" s="112" t="n"/>
      <c r="B4" s="112" t="n"/>
      <c r="C4" s="112">
        <f>IF(OR(TabellaA1[[#This Row],[LUN]]="X",TabellaA1[[#This Row],[MAR]]="X",TabellaA1[[#This Row],[MER]]="X",TabellaA1[[#This Row],[GIO]]="X",TabellaA1[[#This Row],[VEN]]="X",),"X","")</f>
        <v/>
      </c>
      <c r="D4" s="113" t="inlineStr">
        <is>
          <t>AREA 1</t>
        </is>
      </c>
      <c r="E4" s="109" t="inlineStr">
        <is>
          <t>544421/C</t>
        </is>
      </c>
      <c r="F4" s="109" t="n">
        <v>400</v>
      </c>
      <c r="G4" s="109" t="inlineStr">
        <is>
          <t>400F101 SOSTITUZIONE E PASSAGGIO CAVI TERMOCOPPIE CON RIPRISTINI SU STRUMENTAZIONE DANNEGGIATA ED ALLINEAMENTO CON SALA CONTROLLO</t>
        </is>
      </c>
      <c r="H4" s="111" t="n"/>
      <c r="I4" s="111" t="n"/>
      <c r="J4" s="111" t="n"/>
      <c r="K4" s="111" t="n"/>
      <c r="L4" s="111" t="n"/>
      <c r="M4" s="109" t="inlineStr">
        <is>
          <t>DA CHIUDERE</t>
        </is>
      </c>
      <c r="N4" s="110" t="n"/>
      <c r="O4" s="168" t="n"/>
      <c r="P4" s="168" t="n"/>
      <c r="Q4" s="110" t="inlineStr">
        <is>
          <t>RIPRISTINATO BATTENTE SULLA TRIPLICE MISURA.</t>
        </is>
      </c>
      <c r="R4" s="110" t="n">
        <v>45880</v>
      </c>
      <c r="S4" s="110" t="inlineStr">
        <is>
          <t>MILLO</t>
        </is>
      </c>
      <c r="T4" s="114">
        <f>IF(AND('Inserimento dati'!$B$3=$H$2, TabellaA1[[#This Row],[LUN]]="X"), "X",IF(AND('Inserimento dati'!$B$3=$I$2, TabellaA1[[#This Row],[MAR]]="X"), "X", IF(AND('Inserimento dati'!$B$3=$J$2, TabellaA1[[#This Row],[MER]]="X"), "X",IF(AND('Inserimento dati'!$B$3=$K$2, TabellaA1[[#This Row],[GIO]]="X"), "X", IF(AND('Inserimento dati'!$B$3=$L$2, TabellaA1[[#This Row],[VEN]]="X"), "X","")))))</f>
        <v/>
      </c>
      <c r="U4" s="121" t="n"/>
      <c r="V4" t="inlineStr">
        <is>
          <t>2025-09-30 20:00:00</t>
        </is>
      </c>
    </row>
    <row r="5" ht="30" customFormat="1" customHeight="1" s="45">
      <c r="A5" s="112" t="n"/>
      <c r="B5" s="112" t="n"/>
      <c r="C5" s="112">
        <f>IF(OR(TabellaA1[[#This Row],[LUN]]="X",TabellaA1[[#This Row],[MAR]]="X",TabellaA1[[#This Row],[MER]]="X",TabellaA1[[#This Row],[GIO]]="X",TabellaA1[[#This Row],[VEN]]="X",),"X","")</f>
        <v/>
      </c>
      <c r="D5" s="113" t="inlineStr">
        <is>
          <t>AREA 1</t>
        </is>
      </c>
      <c r="E5" s="109" t="inlineStr">
        <is>
          <t>547395/C</t>
        </is>
      </c>
      <c r="F5" s="109" t="n">
        <v>900</v>
      </c>
      <c r="G5" s="109" t="inlineStr">
        <is>
          <t>900L030A/B/C (LIVELLI FONDO T101) CONTROLLO E RIPRISTINO MISURA (METTERE MOS PRIMA DI INIZIARE ATTIVITA)</t>
        </is>
      </c>
      <c r="H5" s="111" t="n"/>
      <c r="I5" s="111" t="n"/>
      <c r="J5" s="111" t="n"/>
      <c r="K5" s="111" t="n"/>
      <c r="L5" s="111" t="n"/>
      <c r="M5" s="109" t="inlineStr">
        <is>
          <t>DA CHIUDERE</t>
        </is>
      </c>
      <c r="N5" s="110" t="n"/>
      <c r="O5" s="168" t="n"/>
      <c r="P5" s="168" t="n"/>
      <c r="Q5" s="110" t="inlineStr">
        <is>
          <t>RIPRISTINATO BATTENTE SULLA TRIPLICE MISURA.</t>
        </is>
      </c>
      <c r="R5" s="110" t="n"/>
      <c r="S5" s="110" t="n"/>
      <c r="T5" s="114">
        <f>IF(AND('Inserimento dati'!$B$3=$H$2, TabellaA1[[#This Row],[LUN]]="X"), "X",IF(AND('Inserimento dati'!$B$3=$I$2, TabellaA1[[#This Row],[MAR]]="X"), "X", IF(AND('Inserimento dati'!$B$3=$J$2, TabellaA1[[#This Row],[MER]]="X"), "X",IF(AND('Inserimento dati'!$B$3=$K$2, TabellaA1[[#This Row],[GIO]]="X"), "X", IF(AND('Inserimento dati'!$B$3=$L$2, TabellaA1[[#This Row],[VEN]]="X"), "X","")))))</f>
        <v/>
      </c>
      <c r="U5" s="121" t="n"/>
      <c r="V5" t="inlineStr">
        <is>
          <t>2025-09-30 20:00:00</t>
        </is>
      </c>
    </row>
    <row r="6" ht="23.25" customFormat="1" customHeight="1" s="45">
      <c r="A6" s="112" t="n"/>
      <c r="B6" s="112" t="n"/>
      <c r="C6" s="112">
        <f>IF(OR(TabellaA1[[#This Row],[LUN]]="X",TabellaA1[[#This Row],[MAR]]="X",TabellaA1[[#This Row],[MER]]="X",TabellaA1[[#This Row],[GIO]]="X",TabellaA1[[#This Row],[VEN]]="X",),"X","")</f>
        <v/>
      </c>
      <c r="D6" s="113" t="inlineStr">
        <is>
          <t>AREA 1</t>
        </is>
      </c>
      <c r="E6" s="109" t="inlineStr">
        <is>
          <t>544428/C</t>
        </is>
      </c>
      <c r="F6" s="109" t="n">
        <v>400</v>
      </c>
      <c r="G6" s="109" t="inlineStr">
        <is>
          <t>400FCV604 : RIPRISTINO FUNZIONALITA'</t>
        </is>
      </c>
      <c r="H6" s="111" t="n"/>
      <c r="I6" s="111" t="n"/>
      <c r="J6" s="111" t="n"/>
      <c r="K6" s="111" t="n"/>
      <c r="L6" s="111" t="n"/>
      <c r="M6" s="109" t="inlineStr">
        <is>
          <t>DA CHIUDERE</t>
        </is>
      </c>
      <c r="N6" s="110" t="n"/>
      <c r="O6" s="168" t="n"/>
      <c r="P6" s="168" t="n"/>
      <c r="Q6" s="110" t="n"/>
      <c r="R6" s="110" t="n"/>
      <c r="S6" s="110" t="n"/>
      <c r="T6" s="114">
        <f>IF(AND('Inserimento dati'!$B$3=$H$2, TabellaA1[[#This Row],[LUN]]="X"), "X",IF(AND('Inserimento dati'!$B$3=$I$2, TabellaA1[[#This Row],[MAR]]="X"), "X", IF(AND('Inserimento dati'!$B$3=$J$2, TabellaA1[[#This Row],[MER]]="X"), "X",IF(AND('Inserimento dati'!$B$3=$K$2, TabellaA1[[#This Row],[GIO]]="X"), "X", IF(AND('Inserimento dati'!$B$3=$L$2, TabellaA1[[#This Row],[VEN]]="X"), "X","")))))</f>
        <v/>
      </c>
      <c r="U6" s="121" t="n"/>
      <c r="V6" t="inlineStr">
        <is>
          <t>2025-09-30 20:00:00</t>
        </is>
      </c>
    </row>
    <row r="7" ht="23.25" customFormat="1" customHeight="1" s="45">
      <c r="A7" s="112" t="n"/>
      <c r="B7" s="112" t="n"/>
      <c r="C7" s="112">
        <f>IF(OR(TabellaA1[[#This Row],[LUN]]="X",TabellaA1[[#This Row],[MAR]]="X",TabellaA1[[#This Row],[MER]]="X",TabellaA1[[#This Row],[GIO]]="X",TabellaA1[[#This Row],[VEN]]="X",),"X","")</f>
        <v/>
      </c>
      <c r="D7" s="113" t="inlineStr">
        <is>
          <t>AREA 1</t>
        </is>
      </c>
      <c r="E7" s="109" t="inlineStr">
        <is>
          <t>539642/C</t>
        </is>
      </c>
      <c r="F7" s="109" t="n">
        <v>300</v>
      </c>
      <c r="G7" s="109" t="inlineStr">
        <is>
          <t>300 - P103B CONTROLLO E VERIFICA STRUMENTAZIONE BARILOTTO TENUTE POMPE</t>
        </is>
      </c>
      <c r="H7" s="111" t="n"/>
      <c r="I7" s="111" t="n"/>
      <c r="J7" s="111" t="n"/>
      <c r="K7" s="111" t="n"/>
      <c r="L7" s="111" t="n"/>
      <c r="M7" s="109" t="inlineStr">
        <is>
          <t>DA CHIUDERE</t>
        </is>
      </c>
      <c r="N7" s="110" t="n"/>
      <c r="O7" s="168" t="n"/>
      <c r="P7" s="168" t="n"/>
      <c r="Q7" s="110" t="inlineStr">
        <is>
          <t>ALLARME REALE (TRAFILA PRODOTTO DALLE TENUTE)</t>
        </is>
      </c>
      <c r="R7" s="110" t="n">
        <v>45825</v>
      </c>
      <c r="S7" s="110" t="inlineStr">
        <is>
          <t>SPINALI</t>
        </is>
      </c>
      <c r="T7" s="114">
        <f>IF(AND('Inserimento dati'!$B$3=$H$2, TabellaA1[[#This Row],[LUN]]="X"), "X",IF(AND('Inserimento dati'!$B$3=$I$2, TabellaA1[[#This Row],[MAR]]="X"), "X", IF(AND('Inserimento dati'!$B$3=$J$2, TabellaA1[[#This Row],[MER]]="X"), "X",IF(AND('Inserimento dati'!$B$3=$K$2, TabellaA1[[#This Row],[GIO]]="X"), "X", IF(AND('Inserimento dati'!$B$3=$L$2, TabellaA1[[#This Row],[VEN]]="X"), "X","")))))</f>
        <v/>
      </c>
      <c r="U7" s="149">
        <f>IFERROR(MID(G7,_xlfn.AGGREGATE(15,6,(ROW(INDIRECT("1:"&amp;LEN(G7)-7)))/(ISNUMBER(--MID(G7,ROW(INDIRECT("1:"&amp;LEN(G7)-7)),8))),1),8),"")</f>
        <v/>
      </c>
      <c r="V7" t="inlineStr">
        <is>
          <t>2025-09-30 20:00:00</t>
        </is>
      </c>
    </row>
    <row r="8" ht="30" customFormat="1" customHeight="1" s="45">
      <c r="A8" s="112" t="n"/>
      <c r="B8" s="112">
        <f>IF(OR(A8="x",A8="X"),"",IF(ISBLANK(A8),"X",""))</f>
        <v/>
      </c>
      <c r="C8" s="112">
        <f>IF(OR(TabellaA1[[#This Row],[LUN]]="X",TabellaA1[[#This Row],[MAR]]="X",TabellaA1[[#This Row],[MER]]="X",TabellaA1[[#This Row],[GIO]]="X",TabellaA1[[#This Row],[VEN]]="X",),"X","")</f>
        <v/>
      </c>
      <c r="D8" s="113" t="inlineStr">
        <is>
          <t>AREA 1</t>
        </is>
      </c>
      <c r="E8" s="109" t="inlineStr">
        <is>
          <t>539855/C</t>
        </is>
      </c>
      <c r="F8" s="109" t="n">
        <v>400</v>
      </c>
      <c r="G8" s="109" t="inlineStr">
        <is>
          <t>400Z751HA ALLARME ABBASSAMENTO ASTA PRIMO CILINDRO C401.CONTROLLO E RIPRISTINO FUNZIONALITA(METTERE MOS SU 04Z751SH)</t>
        </is>
      </c>
      <c r="H8" s="111" t="n"/>
      <c r="I8" s="111" t="n"/>
      <c r="J8" s="111" t="n"/>
      <c r="K8" s="111" t="n"/>
      <c r="L8" s="111" t="n"/>
      <c r="M8" s="109" t="inlineStr">
        <is>
          <t>DA CHIUDERE</t>
        </is>
      </c>
      <c r="N8" s="110" t="n"/>
      <c r="O8" s="168" t="n"/>
      <c r="P8" s="168" t="n"/>
      <c r="Q8" s="110" t="n"/>
      <c r="R8" s="110" t="n">
        <v>45814</v>
      </c>
      <c r="S8" s="110" t="inlineStr">
        <is>
          <t>MILLO</t>
        </is>
      </c>
      <c r="T8" s="114">
        <f>IF(AND('Inserimento dati'!$B$3=$H$2, TabellaA1[[#This Row],[LUN]]="X"), "X",IF(AND('Inserimento dati'!$B$3=$I$2, TabellaA1[[#This Row],[MAR]]="X"), "X", IF(AND('Inserimento dati'!$B$3=$J$2, TabellaA1[[#This Row],[MER]]="X"), "X",IF(AND('Inserimento dati'!$B$3=$K$2, TabellaA1[[#This Row],[GIO]]="X"), "X", IF(AND('Inserimento dati'!$B$3=$L$2, TabellaA1[[#This Row],[VEN]]="X"), "X","")))))</f>
        <v/>
      </c>
      <c r="U8" s="149">
        <f>IFERROR(MID(G8,_xlfn.AGGREGATE(15,6,(ROW(INDIRECT("1:"&amp;LEN(G8)-7)))/(ISNUMBER(--MID(G8,ROW(INDIRECT("1:"&amp;LEN(G8)-7)),8))),1),8),"")</f>
        <v/>
      </c>
      <c r="V8" t="inlineStr">
        <is>
          <t>2025-09-30 20:00:00</t>
        </is>
      </c>
    </row>
    <row r="9" ht="23.25" customFormat="1" customHeight="1" s="45">
      <c r="A9" s="112" t="n"/>
      <c r="B9" s="112" t="n"/>
      <c r="C9" s="112">
        <f>IF(OR(TabellaA1[[#This Row],[LUN]]="X",TabellaA1[[#This Row],[MAR]]="X",TabellaA1[[#This Row],[MER]]="X",TabellaA1[[#This Row],[GIO]]="X",TabellaA1[[#This Row],[VEN]]="X",),"X","")</f>
        <v/>
      </c>
      <c r="D9" s="113" t="inlineStr">
        <is>
          <t>AREA 1</t>
        </is>
      </c>
      <c r="E9" s="109" t="inlineStr">
        <is>
          <t>539473/C</t>
        </is>
      </c>
      <c r="F9" s="109" t="n">
        <v>200</v>
      </c>
      <c r="G9" s="109" t="inlineStr">
        <is>
          <t>200 - F015CV RIFLUSSO DEB. CONTROLLO E RIPRISTINO FUNZIONALITA VALVOLA</t>
        </is>
      </c>
      <c r="H9" s="111" t="n"/>
      <c r="I9" s="111" t="n"/>
      <c r="J9" s="111" t="n"/>
      <c r="K9" s="111" t="n"/>
      <c r="L9" s="111" t="n"/>
      <c r="M9" s="109" t="inlineStr">
        <is>
          <t>DA CHIUDERE</t>
        </is>
      </c>
      <c r="N9" s="110" t="n"/>
      <c r="O9" s="168" t="n"/>
      <c r="P9" s="168" t="n"/>
      <c r="Q9" s="110" t="n"/>
      <c r="R9" s="110" t="n">
        <v>45813</v>
      </c>
      <c r="S9" s="110" t="inlineStr">
        <is>
          <t>MILLO/GARRO</t>
        </is>
      </c>
      <c r="T9" s="114">
        <f>IF(AND('Inserimento dati'!$B$3=$H$2, TabellaA1[[#This Row],[LUN]]="X"), "X",IF(AND('Inserimento dati'!$B$3=$I$2, TabellaA1[[#This Row],[MAR]]="X"), "X", IF(AND('Inserimento dati'!$B$3=$J$2, TabellaA1[[#This Row],[MER]]="X"), "X",IF(AND('Inserimento dati'!$B$3=$K$2, TabellaA1[[#This Row],[GIO]]="X"), "X", IF(AND('Inserimento dati'!$B$3=$L$2, TabellaA1[[#This Row],[VEN]]="X"), "X","")))))</f>
        <v/>
      </c>
      <c r="U9" s="149">
        <f>IFERROR(MID(G9,_xlfn.AGGREGATE(15,6,(ROW(INDIRECT("1:"&amp;LEN(G9)-7)))/(ISNUMBER(--MID(G9,ROW(INDIRECT("1:"&amp;LEN(G9)-7)),8))),1),8),"")</f>
        <v/>
      </c>
      <c r="V9" t="inlineStr">
        <is>
          <t>2025-09-30 20:00:00</t>
        </is>
      </c>
    </row>
    <row r="10" ht="30" customFormat="1" customHeight="1" s="45">
      <c r="A10" s="112" t="n"/>
      <c r="B10" s="112">
        <f>IF(OR(A10="x",A10="X"),"",IF(ISBLANK(A10),"X",""))</f>
        <v/>
      </c>
      <c r="C10" s="112">
        <f>IF(OR(TabellaA1[[#This Row],[LUN]]="X",TabellaA1[[#This Row],[MAR]]="X",TabellaA1[[#This Row],[MER]]="X",TabellaA1[[#This Row],[GIO]]="X",TabellaA1[[#This Row],[VEN]]="X",),"X","")</f>
        <v/>
      </c>
      <c r="D10" s="113" t="inlineStr">
        <is>
          <t>AREA 1</t>
        </is>
      </c>
      <c r="E10" s="109" t="inlineStr">
        <is>
          <t>536907/C</t>
        </is>
      </c>
      <c r="F10" s="109" t="n">
        <v>400</v>
      </c>
      <c r="G10" s="109" t="inlineStr">
        <is>
          <t>400 - 400T700/703R CONTROLLO TEMPERATURE ED ALLINEAMENTO CON SALA CONTROLLO</t>
        </is>
      </c>
      <c r="H10" s="111" t="n"/>
      <c r="I10" s="111" t="n"/>
      <c r="J10" s="111" t="n"/>
      <c r="K10" s="111" t="n"/>
      <c r="L10" s="111" t="n"/>
      <c r="M10" s="109" t="inlineStr">
        <is>
          <t>DA CHIUDERE</t>
        </is>
      </c>
      <c r="N10" s="110" t="n"/>
      <c r="O10" s="168" t="n"/>
      <c r="P10" s="168" t="n"/>
      <c r="Q10" s="110" t="n"/>
      <c r="R10" s="110" t="n"/>
      <c r="S10" s="110" t="n"/>
      <c r="T10" s="115">
        <f>IF(AND('Inserimento dati'!$B$3=$H$2, TabellaA1[[#This Row],[LUN]]="X"), "X",IF(AND('Inserimento dati'!$B$3=$I$2, TabellaA1[[#This Row],[MAR]]="X"), "X", IF(AND('Inserimento dati'!$B$3=$J$2, TabellaA1[[#This Row],[MER]]="X"), "X",IF(AND('Inserimento dati'!$B$3=$K$2, TabellaA1[[#This Row],[GIO]]="X"), "X", IF(AND('Inserimento dati'!$B$3=$L$2, TabellaA1[[#This Row],[VEN]]="X"), "X","")))))</f>
        <v/>
      </c>
      <c r="U10" s="160">
        <f>IFERROR(MID(G10,_xlfn.AGGREGATE(15,6,(ROW(INDIRECT("1:"&amp;LEN(G10)-7)))/(ISNUMBER(--MID(G10,ROW(INDIRECT("1:"&amp;LEN(G10)-7)),8))),1),8),"")</f>
        <v/>
      </c>
      <c r="V10" t="inlineStr">
        <is>
          <t>2025-09-30 20:00:00</t>
        </is>
      </c>
    </row>
    <row r="11" ht="23.25" customFormat="1" customHeight="1" s="45">
      <c r="A11" s="112" t="n"/>
      <c r="B11" s="112" t="n"/>
      <c r="C11" s="112">
        <f>IF(OR(TabellaA1[[#This Row],[LUN]]="X",TabellaA1[[#This Row],[MAR]]="X",TabellaA1[[#This Row],[MER]]="X",TabellaA1[[#This Row],[GIO]]="X",TabellaA1[[#This Row],[VEN]]="X",),"X","")</f>
        <v/>
      </c>
      <c r="D11" s="113" t="inlineStr">
        <is>
          <t>AREA 1</t>
        </is>
      </c>
      <c r="E11" s="109" t="inlineStr">
        <is>
          <t>537751/C</t>
        </is>
      </c>
      <c r="F11" s="109" t="n">
        <v>300</v>
      </c>
      <c r="G11" s="109" t="inlineStr">
        <is>
          <t>300 - P103A RIMONTAGGIO STRUMENTAZIONE SU BARILOTTI TENUTA POMPE</t>
        </is>
      </c>
      <c r="H11" s="111" t="n"/>
      <c r="I11" s="111" t="n"/>
      <c r="J11" s="111" t="n"/>
      <c r="K11" s="111" t="n"/>
      <c r="L11" s="111" t="n"/>
      <c r="M11" s="109" t="inlineStr">
        <is>
          <t>DA CHIUDERE</t>
        </is>
      </c>
      <c r="N11" s="110" t="n"/>
      <c r="O11" s="168" t="n"/>
      <c r="P11" s="168" t="n"/>
      <c r="Q11" s="110" t="n"/>
      <c r="R11" s="110" t="n"/>
      <c r="S11" s="110" t="n"/>
      <c r="T11" s="114">
        <f>IF(AND('Inserimento dati'!$B$3=$H$2, TabellaA1[[#This Row],[LUN]]="X"), "X",IF(AND('Inserimento dati'!$B$3=$I$2, TabellaA1[[#This Row],[MAR]]="X"), "X", IF(AND('Inserimento dati'!$B$3=$J$2, TabellaA1[[#This Row],[MER]]="X"), "X",IF(AND('Inserimento dati'!$B$3=$K$2, TabellaA1[[#This Row],[GIO]]="X"), "X", IF(AND('Inserimento dati'!$B$3=$L$2, TabellaA1[[#This Row],[VEN]]="X"), "X","")))))</f>
        <v/>
      </c>
      <c r="U11" s="149">
        <f>IFERROR(MID(G11,_xlfn.AGGREGATE(15,6,(ROW(INDIRECT("1:"&amp;LEN(G11)-7)))/(ISNUMBER(--MID(G11,ROW(INDIRECT("1:"&amp;LEN(G11)-7)),8))),1),8),"")</f>
        <v/>
      </c>
      <c r="V11" t="inlineStr">
        <is>
          <t>2025-09-30 20:00:00</t>
        </is>
      </c>
    </row>
    <row r="12" ht="30" customFormat="1" customHeight="1" s="45">
      <c r="A12" s="112" t="n"/>
      <c r="B12" s="112">
        <f>IF(OR(A12="x",A12="X"),"",IF(ISBLANK(A12),"X",""))</f>
        <v/>
      </c>
      <c r="C12" s="112">
        <f>IF(OR(TabellaA1[[#This Row],[LUN]]="X",TabellaA1[[#This Row],[MAR]]="X",TabellaA1[[#This Row],[MER]]="X",TabellaA1[[#This Row],[GIO]]="X",TabellaA1[[#This Row],[VEN]]="X",),"X","")</f>
        <v/>
      </c>
      <c r="D12" s="113" t="inlineStr">
        <is>
          <t>AREA 1</t>
        </is>
      </c>
      <c r="E12" s="109" t="inlineStr">
        <is>
          <t>535185/C</t>
        </is>
      </c>
      <c r="F12" s="109" t="n">
        <v>100</v>
      </c>
      <c r="G12" s="109" t="inlineStr">
        <is>
          <t>100 - P102B CONTROLLO E RIPRISTINO ALLARME CUMULATIVO 1P102BRA</t>
        </is>
      </c>
      <c r="H12" s="111" t="n"/>
      <c r="I12" s="111" t="n"/>
      <c r="J12" s="111" t="n"/>
      <c r="K12" s="111" t="n"/>
      <c r="L12" s="111" t="n"/>
      <c r="M12" s="109" t="inlineStr">
        <is>
          <t>DA CHIUDERE</t>
        </is>
      </c>
      <c r="N12" s="110" t="n"/>
      <c r="O12" s="168" t="n"/>
      <c r="P12" s="168" t="n"/>
      <c r="Q12" s="110" t="inlineStr">
        <is>
          <t>BYPASSATO TERMOSTATO DOPPIO CONTATTO ANALOGICO, CON MORSETTIERA LE CUI VITI GIRANO A VUOTO.</t>
        </is>
      </c>
      <c r="R12" s="110" t="n">
        <v>45782</v>
      </c>
      <c r="S12" s="110" t="inlineStr">
        <is>
          <t>MILLO/ALLEGRETTI</t>
        </is>
      </c>
      <c r="T12" s="112">
        <f>IF(AND('Inserimento dati'!$B$3=$H$2, TabellaA1[[#This Row],[LUN]]="X"), "X",IF(AND('Inserimento dati'!$B$3=$I$2, TabellaA1[[#This Row],[MAR]]="X"), "X", IF(AND('Inserimento dati'!$B$3=$J$2, TabellaA1[[#This Row],[MER]]="X"), "X",IF(AND('Inserimento dati'!$B$3=$K$2, TabellaA1[[#This Row],[GIO]]="X"), "X", IF(AND('Inserimento dati'!$B$3=$L$2, TabellaA1[[#This Row],[VEN]]="X"), "X","")))))</f>
        <v/>
      </c>
      <c r="U12" s="160">
        <f>IFERROR(MID(G12,_xlfn.AGGREGATE(15,6,(ROW(INDIRECT("1:"&amp;LEN(G12)-7)))/(ISNUMBER(--MID(G12,ROW(INDIRECT("1:"&amp;LEN(G12)-7)),8))),1),8),"")</f>
        <v/>
      </c>
      <c r="V12" t="inlineStr">
        <is>
          <t>2025-09-30 20:00:00</t>
        </is>
      </c>
    </row>
    <row r="13" ht="23.25" customFormat="1" customHeight="1" s="45">
      <c r="A13" s="112" t="n"/>
      <c r="B13" s="112">
        <f>IF(OR(A13="x",A13="X"),"",IF(ISBLANK(A13),"X",""))</f>
        <v/>
      </c>
      <c r="C13" s="112">
        <f>IF(OR(TabellaA1[[#This Row],[LUN]]="X",TabellaA1[[#This Row],[MAR]]="X",TabellaA1[[#This Row],[MER]]="X",TabellaA1[[#This Row],[GIO]]="X",TabellaA1[[#This Row],[VEN]]="X",),"X","")</f>
        <v/>
      </c>
      <c r="D13" s="113" t="inlineStr">
        <is>
          <t>AREA 1</t>
        </is>
      </c>
      <c r="E13" s="109" t="inlineStr">
        <is>
          <t>535280/C</t>
        </is>
      </c>
      <c r="F13" s="109" t="n">
        <v>100</v>
      </c>
      <c r="G13" s="109" t="inlineStr">
        <is>
          <t>100 - T419I (USCITA LM E107C/D)CONTROLLO E RIPRISTINO MISURA DI TEMPERATURA</t>
        </is>
      </c>
      <c r="H13" s="111" t="n"/>
      <c r="I13" s="111" t="n"/>
      <c r="J13" s="111" t="n"/>
      <c r="K13" s="111" t="n"/>
      <c r="L13" s="111" t="n"/>
      <c r="M13" s="110" t="inlineStr">
        <is>
          <t>DA CHIUDERE</t>
        </is>
      </c>
      <c r="N13" s="110" t="n"/>
      <c r="O13" s="168" t="n"/>
      <c r="P13" s="168" t="n"/>
      <c r="Q13" s="110" t="inlineStr">
        <is>
          <t>MORSETTI OSSIDATI, RIPRISTINATA FUNZIONALITA'</t>
        </is>
      </c>
      <c r="R13" s="110" t="n">
        <v>45783</v>
      </c>
      <c r="S13" s="110" t="inlineStr">
        <is>
          <t>TARASCIO</t>
        </is>
      </c>
      <c r="T13" s="112">
        <f>IF(AND('Inserimento dati'!$B$3=$H$2, TabellaA1[[#This Row],[LUN]]="X"), "X",IF(AND('Inserimento dati'!$B$3=$I$2, TabellaA1[[#This Row],[MAR]]="X"), "X", IF(AND('Inserimento dati'!$B$3=$J$2, TabellaA1[[#This Row],[MER]]="X"), "X",IF(AND('Inserimento dati'!$B$3=$K$2, TabellaA1[[#This Row],[GIO]]="X"), "X", IF(AND('Inserimento dati'!$B$3=$L$2, TabellaA1[[#This Row],[VEN]]="X"), "X","")))))</f>
        <v/>
      </c>
      <c r="U13" s="160">
        <f>IFERROR(MID(G13,_xlfn.AGGREGATE(15,6,(ROW(INDIRECT("1:"&amp;LEN(G13)-7)))/(ISNUMBER(--MID(G13,ROW(INDIRECT("1:"&amp;LEN(G13)-7)),8))),1),8),"")</f>
        <v/>
      </c>
      <c r="V13" t="inlineStr">
        <is>
          <t>2025-09-30 20:00:00</t>
        </is>
      </c>
    </row>
    <row r="14" ht="30" customFormat="1" customHeight="1" s="45">
      <c r="A14" s="112" t="n"/>
      <c r="B14" s="112">
        <f>IF(OR(A14="x",A14="X"),"",IF(ISBLANK(A14),"X",""))</f>
        <v/>
      </c>
      <c r="C14" s="112">
        <f>IF(OR(TabellaA1[[#This Row],[LUN]]="X",TabellaA1[[#This Row],[MAR]]="X",TabellaA1[[#This Row],[MER]]="X",TabellaA1[[#This Row],[GIO]]="X",TabellaA1[[#This Row],[VEN]]="X",),"X","")</f>
        <v/>
      </c>
      <c r="D14" s="113" t="inlineStr">
        <is>
          <t>AREA 1</t>
        </is>
      </c>
      <c r="E14" s="109" t="inlineStr">
        <is>
          <t>534468/C</t>
        </is>
      </c>
      <c r="F14" s="109" t="n">
        <v>300</v>
      </c>
      <c r="G14" s="109" t="inlineStr">
        <is>
          <t>300 - L012IC(MAMMELLONE D101)RIPRISTINO LOOP DI REGOLAZIONE CON CONTROLLO LIVELLO E VALVOLA</t>
        </is>
      </c>
      <c r="H14" s="111" t="n"/>
      <c r="I14" s="111" t="n"/>
      <c r="J14" s="111" t="n"/>
      <c r="K14" s="111" t="n"/>
      <c r="L14" s="111" t="n"/>
      <c r="M14" s="110" t="inlineStr">
        <is>
          <t>DA CHIUDERE</t>
        </is>
      </c>
      <c r="N14" s="110" t="n"/>
      <c r="O14" s="168" t="n"/>
      <c r="P14" s="168" t="n"/>
      <c r="Q14" s="110" t="inlineStr">
        <is>
          <t>SMONTAGGIO VALVOLA TROVATA OSTRUITA DA MELMA, PULITA E RIMONTATA</t>
        </is>
      </c>
      <c r="R14" s="110" t="n">
        <v>45777</v>
      </c>
      <c r="S14" s="110" t="inlineStr">
        <is>
          <t>CIANCHINO/SAGGIO</t>
        </is>
      </c>
      <c r="T14" s="112">
        <f>IF(AND('Inserimento dati'!$B$3=$H$2, TabellaA1[[#This Row],[LUN]]="X"), "X",IF(AND('Inserimento dati'!$B$3=$I$2, TabellaA1[[#This Row],[MAR]]="X"), "X", IF(AND('Inserimento dati'!$B$3=$J$2, TabellaA1[[#This Row],[MER]]="X"), "X",IF(AND('Inserimento dati'!$B$3=$K$2, TabellaA1[[#This Row],[GIO]]="X"), "X", IF(AND('Inserimento dati'!$B$3=$L$2, TabellaA1[[#This Row],[VEN]]="X"), "X","")))))</f>
        <v/>
      </c>
      <c r="U14" s="160">
        <f>IFERROR(MID(G14,_xlfn.AGGREGATE(15,6,(ROW(INDIRECT("1:"&amp;LEN(G14)-7)))/(ISNUMBER(--MID(G14,ROW(INDIRECT("1:"&amp;LEN(G14)-7)),8))),1),8),"")</f>
        <v/>
      </c>
      <c r="V14" t="inlineStr">
        <is>
          <t>2025-09-30 20:00:00</t>
        </is>
      </c>
    </row>
    <row r="15" ht="30" customFormat="1" customHeight="1" s="45">
      <c r="A15" s="112" t="n"/>
      <c r="B15" s="112">
        <f>IF(OR(A15="x",A15="X"),"",IF(ISBLANK(A15),"X",""))</f>
        <v/>
      </c>
      <c r="C15" s="112">
        <f>IF(OR(TabellaA1[[#This Row],[LUN]]="X",TabellaA1[[#This Row],[MAR]]="X",TabellaA1[[#This Row],[MER]]="X",TabellaA1[[#This Row],[GIO]]="X",TabellaA1[[#This Row],[VEN]]="X",),"X","")</f>
        <v/>
      </c>
      <c r="D15" s="113" t="inlineStr">
        <is>
          <t>AREA 1</t>
        </is>
      </c>
      <c r="E15" s="109" t="inlineStr">
        <is>
          <t>534462/C</t>
        </is>
      </c>
      <c r="F15" s="109" t="n">
        <v>900</v>
      </c>
      <c r="G15" s="109" t="inlineStr">
        <is>
          <t>900 - F024R(CARICA TOTALE T101) RIPRISTINO FUNZIONALITA PORTATA</t>
        </is>
      </c>
      <c r="H15" s="111" t="n"/>
      <c r="I15" s="111" t="n"/>
      <c r="J15" s="111" t="n"/>
      <c r="K15" s="111" t="n"/>
      <c r="L15" s="111" t="n"/>
      <c r="M15" s="110" t="inlineStr">
        <is>
          <t>DA CHIUDERE</t>
        </is>
      </c>
      <c r="N15" s="110" t="n"/>
      <c r="O15" s="168" t="n"/>
      <c r="P15" s="168" t="n"/>
      <c r="Q15" s="110" t="inlineStr">
        <is>
          <t>SOSTITUITO STRUMENTO GUASTO, ALLINEAMENTO MISURA CON SALA CONTROLLO</t>
        </is>
      </c>
      <c r="R15" s="110" t="n">
        <v>45777</v>
      </c>
      <c r="S15" s="110" t="inlineStr">
        <is>
          <t>TARASCIO/PARTESANO</t>
        </is>
      </c>
      <c r="T15" s="112">
        <f>IF(AND('Inserimento dati'!$B$3=$H$2, TabellaA1[[#This Row],[LUN]]="X"), "X",IF(AND('Inserimento dati'!$B$3=$I$2, TabellaA1[[#This Row],[MAR]]="X"), "X", IF(AND('Inserimento dati'!$B$3=$J$2, TabellaA1[[#This Row],[MER]]="X"), "X",IF(AND('Inserimento dati'!$B$3=$K$2, TabellaA1[[#This Row],[GIO]]="X"), "X", IF(AND('Inserimento dati'!$B$3=$L$2, TabellaA1[[#This Row],[VEN]]="X"), "X","")))))</f>
        <v/>
      </c>
      <c r="U15" s="160">
        <f>IFERROR(MID(G15,_xlfn.AGGREGATE(15,6,(ROW(INDIRECT("1:"&amp;LEN(G15)-7)))/(ISNUMBER(--MID(G15,ROW(INDIRECT("1:"&amp;LEN(G15)-7)),8))),1),8),"")</f>
        <v/>
      </c>
      <c r="V15" t="inlineStr">
        <is>
          <t>2025-09-30 20:00:00</t>
        </is>
      </c>
    </row>
    <row r="16" ht="30" customFormat="1" customHeight="1" s="45">
      <c r="A16" s="112" t="n"/>
      <c r="B16" s="112">
        <f>IF(OR(A16="x",A16="X"),"",IF(ISBLANK(A16),"X",""))</f>
        <v/>
      </c>
      <c r="C16" s="112">
        <f>IF(OR(TabellaA1[[#This Row],[LUN]]="X",TabellaA1[[#This Row],[MAR]]="X",TabellaA1[[#This Row],[MER]]="X",TabellaA1[[#This Row],[GIO]]="X",TabellaA1[[#This Row],[VEN]]="X",),"X","")</f>
        <v/>
      </c>
      <c r="D16" s="113" t="inlineStr">
        <is>
          <t>AREA 1</t>
        </is>
      </c>
      <c r="E16" s="109" t="inlineStr">
        <is>
          <t>533751/C</t>
        </is>
      </c>
      <c r="F16" s="109" t="n">
        <v>100</v>
      </c>
      <c r="G16" s="109" t="inlineStr">
        <is>
          <t>100 - P102CRA (P102C ALLARME CUMULATIVO)  CONTROLLO E RIPRISTINO FUNZIONALITA</t>
        </is>
      </c>
      <c r="H16" s="111" t="n"/>
      <c r="I16" s="111" t="n"/>
      <c r="J16" s="111" t="n"/>
      <c r="K16" s="111" t="n"/>
      <c r="L16" s="111" t="n"/>
      <c r="M16" s="110" t="inlineStr">
        <is>
          <t>DA CHIUDERE</t>
        </is>
      </c>
      <c r="N16" s="110" t="n"/>
      <c r="O16" s="168" t="n"/>
      <c r="P16" s="168" t="n"/>
      <c r="Q16" s="110" t="inlineStr">
        <is>
          <t>DA CHIUDERE</t>
        </is>
      </c>
      <c r="R16" s="110" t="n">
        <v>45764</v>
      </c>
      <c r="S16" s="110" t="inlineStr">
        <is>
          <t>SPINALI</t>
        </is>
      </c>
      <c r="T16" s="112">
        <f>IF(AND('Inserimento dati'!$B$3=$H$2, TabellaA1[[#This Row],[LUN]]="X"), "X",IF(AND('Inserimento dati'!$B$3=$I$2, TabellaA1[[#This Row],[MAR]]="X"), "X", IF(AND('Inserimento dati'!$B$3=$J$2, TabellaA1[[#This Row],[MER]]="X"), "X",IF(AND('Inserimento dati'!$B$3=$K$2, TabellaA1[[#This Row],[GIO]]="X"), "X", IF(AND('Inserimento dati'!$B$3=$L$2, TabellaA1[[#This Row],[VEN]]="X"), "X","")))))</f>
        <v/>
      </c>
      <c r="U16" s="160">
        <f>IFERROR(MID(G16,_xlfn.AGGREGATE(15,6,(ROW(INDIRECT("1:"&amp;LEN(G16)-7)))/(ISNUMBER(--MID(G16,ROW(INDIRECT("1:"&amp;LEN(G16)-7)),8))),1),8),"")</f>
        <v/>
      </c>
      <c r="V16" t="inlineStr">
        <is>
          <t>2025-09-30 20:00:00</t>
        </is>
      </c>
    </row>
    <row r="17" ht="30" customFormat="1" customHeight="1" s="45">
      <c r="A17" s="112" t="n"/>
      <c r="B17" s="112">
        <f>IF(OR(A17="x",A17="X"),"",IF(ISBLANK(A17),"X",""))</f>
        <v/>
      </c>
      <c r="C17" s="112">
        <f>IF(OR(TabellaA1[[#This Row],[LUN]]="X",TabellaA1[[#This Row],[MAR]]="X",TabellaA1[[#This Row],[MER]]="X",TabellaA1[[#This Row],[GIO]]="X",TabellaA1[[#This Row],[VEN]]="X",),"X","")</f>
        <v/>
      </c>
      <c r="D17" s="113" t="inlineStr">
        <is>
          <t>AREA 1</t>
        </is>
      </c>
      <c r="E17" s="109" t="inlineStr">
        <is>
          <t>532690/C</t>
        </is>
      </c>
      <c r="F17" s="109" t="n">
        <v>100</v>
      </c>
      <c r="G17" s="109" t="inlineStr">
        <is>
          <t>100 - 01F030RC VAPORE A T104 CONTROLLO  LOOP DI REGOLAZIONE PARTENDO DALLA MISURA DI PORTATA</t>
        </is>
      </c>
      <c r="H17" s="111" t="n"/>
      <c r="I17" s="111" t="n"/>
      <c r="J17" s="111" t="n"/>
      <c r="K17" s="111" t="n"/>
      <c r="L17" s="111" t="n"/>
      <c r="M17" s="110" t="inlineStr">
        <is>
          <t>DA CHIUDERE</t>
        </is>
      </c>
      <c r="N17" s="110" t="n"/>
      <c r="O17" s="168" t="n"/>
      <c r="P17" s="168" t="n"/>
      <c r="Q17" s="110" t="inlineStr">
        <is>
          <t>NEGATIVA TAPPATA, STASATA OK. ALLARMI NON INTERVENGONO IN SALA CONTROLLO</t>
        </is>
      </c>
      <c r="R17" s="110" t="n">
        <v>45764</v>
      </c>
      <c r="S17" s="110" t="inlineStr">
        <is>
          <t>SPINALI</t>
        </is>
      </c>
      <c r="T17" s="112">
        <f>IF(AND('Inserimento dati'!$B$3=$H$2, TabellaA1[[#This Row],[LUN]]="X"), "X",IF(AND('Inserimento dati'!$B$3=$I$2, TabellaA1[[#This Row],[MAR]]="X"), "X", IF(AND('Inserimento dati'!$B$3=$J$2, TabellaA1[[#This Row],[MER]]="X"), "X",IF(AND('Inserimento dati'!$B$3=$K$2, TabellaA1[[#This Row],[GIO]]="X"), "X", IF(AND('Inserimento dati'!$B$3=$L$2, TabellaA1[[#This Row],[VEN]]="X"), "X","")))))</f>
        <v/>
      </c>
      <c r="U17" s="160">
        <f>IFERROR(MID(G17,_xlfn.AGGREGATE(15,6,(ROW(INDIRECT("1:"&amp;LEN(G17)-7)))/(ISNUMBER(--MID(G17,ROW(INDIRECT("1:"&amp;LEN(G17)-7)),8))),1),8),"")</f>
        <v/>
      </c>
      <c r="V17" t="inlineStr">
        <is>
          <t>2025-09-30 20:00:00</t>
        </is>
      </c>
    </row>
    <row r="18" ht="23.25" customFormat="1" customHeight="1" s="45">
      <c r="A18" s="112" t="n"/>
      <c r="B18" s="112">
        <f>IF(OR(A18="x",A18="X"),"",IF(ISBLANK(A18),"X",""))</f>
        <v/>
      </c>
      <c r="C18" s="112">
        <f>IF(OR(TabellaA1[[#This Row],[LUN]]="X",TabellaA1[[#This Row],[MAR]]="X",TabellaA1[[#This Row],[MER]]="X",TabellaA1[[#This Row],[GIO]]="X",TabellaA1[[#This Row],[VEN]]="X",),"X","")</f>
        <v/>
      </c>
      <c r="D18" s="113" t="inlineStr">
        <is>
          <t>AREA 1</t>
        </is>
      </c>
      <c r="E18" s="109" t="inlineStr">
        <is>
          <t>534322/C</t>
        </is>
      </c>
      <c r="F18" s="109" t="n">
        <v>200</v>
      </c>
      <c r="G18" s="109" t="inlineStr">
        <is>
          <t>200 - P001I(INGRESSO 200-R101)CONTROLLO E TARATURA STRUMENTO DI PRESSIONE</t>
        </is>
      </c>
      <c r="H18" s="111" t="n"/>
      <c r="I18" s="111" t="n"/>
      <c r="J18" s="111" t="n"/>
      <c r="K18" s="111" t="n"/>
      <c r="L18" s="111" t="n"/>
      <c r="M18" s="110" t="inlineStr">
        <is>
          <t>DA CHIUDERE</t>
        </is>
      </c>
      <c r="N18" s="110" t="n"/>
      <c r="O18" s="168" t="n"/>
      <c r="P18" s="168" t="n"/>
      <c r="Q18" s="110" t="inlineStr">
        <is>
          <t>NULLA DA SEGNALARE, AZZERATO.</t>
        </is>
      </c>
      <c r="R18" s="110" t="n">
        <v>45775</v>
      </c>
      <c r="S18" s="110" t="inlineStr">
        <is>
          <t>SPINALI/SERRA</t>
        </is>
      </c>
      <c r="T18" s="112">
        <f>IF(AND('Inserimento dati'!$B$3=$H$2, TabellaA1[[#This Row],[LUN]]="X"), "X",IF(AND('Inserimento dati'!$B$3=$I$2, TabellaA1[[#This Row],[MAR]]="X"), "X", IF(AND('Inserimento dati'!$B$3=$J$2, TabellaA1[[#This Row],[MER]]="X"), "X",IF(AND('Inserimento dati'!$B$3=$K$2, TabellaA1[[#This Row],[GIO]]="X"), "X", IF(AND('Inserimento dati'!$B$3=$L$2, TabellaA1[[#This Row],[VEN]]="X"), "X","")))))</f>
        <v/>
      </c>
      <c r="U18" s="160">
        <f>IFERROR(MID(G18,_xlfn.AGGREGATE(15,6,(ROW(INDIRECT("1:"&amp;LEN(G18)-7)))/(ISNUMBER(--MID(G18,ROW(INDIRECT("1:"&amp;LEN(G18)-7)),8))),1),8),"")</f>
        <v/>
      </c>
      <c r="V18" t="inlineStr">
        <is>
          <t>2025-09-30 20:00:00</t>
        </is>
      </c>
    </row>
    <row r="19" ht="30" customFormat="1" customHeight="1" s="45">
      <c r="A19" s="112" t="n"/>
      <c r="B19" s="112">
        <f>IF(OR(A19="x",A19="X"),"",IF(ISBLANK(A19),"X",""))</f>
        <v/>
      </c>
      <c r="C19" s="112">
        <f>IF(OR(TabellaA1[[#This Row],[LUN]]="X",TabellaA1[[#This Row],[MAR]]="X",TabellaA1[[#This Row],[MER]]="X",TabellaA1[[#This Row],[GIO]]="X",TabellaA1[[#This Row],[VEN]]="X",),"X","")</f>
        <v/>
      </c>
      <c r="D19" s="113" t="inlineStr">
        <is>
          <t>AREA 1</t>
        </is>
      </c>
      <c r="E19" s="109" t="inlineStr">
        <is>
          <t>534327/C</t>
        </is>
      </c>
      <c r="F19" s="109" t="n">
        <v>200</v>
      </c>
      <c r="G19" s="109" t="inlineStr">
        <is>
          <t>200 - P002DC(DIFFERENZIALE PRESSIONE 200-R101)CONTROLLO E TARATURA STRUMENTO DI PRESSIONE</t>
        </is>
      </c>
      <c r="H19" s="111" t="n"/>
      <c r="I19" s="111" t="n"/>
      <c r="J19" s="111" t="n"/>
      <c r="K19" s="111" t="n"/>
      <c r="L19" s="111" t="n"/>
      <c r="M19" s="110" t="inlineStr">
        <is>
          <t>DA CHIUDERE</t>
        </is>
      </c>
      <c r="N19" s="110" t="n"/>
      <c r="O19" s="168" t="n"/>
      <c r="P19" s="168" t="n"/>
      <c r="Q19" s="110" t="inlineStr">
        <is>
          <t>VALVOLE D'INTERCETTO NON FANNO TENUTA, CORRETTO DI ZERO</t>
        </is>
      </c>
      <c r="R19" s="110" t="n">
        <v>45771</v>
      </c>
      <c r="S19" s="110" t="inlineStr">
        <is>
          <t>SPINALI</t>
        </is>
      </c>
      <c r="T19" s="112">
        <f>IF(AND('Inserimento dati'!$B$3=$H$2, TabellaA1[[#This Row],[LUN]]="X"), "X",IF(AND('Inserimento dati'!$B$3=$I$2, TabellaA1[[#This Row],[MAR]]="X"), "X", IF(AND('Inserimento dati'!$B$3=$J$2, TabellaA1[[#This Row],[MER]]="X"), "X",IF(AND('Inserimento dati'!$B$3=$K$2, TabellaA1[[#This Row],[GIO]]="X"), "X", IF(AND('Inserimento dati'!$B$3=$L$2, TabellaA1[[#This Row],[VEN]]="X"), "X","")))))</f>
        <v/>
      </c>
      <c r="U19" s="160">
        <f>IFERROR(MID(G19,_xlfn.AGGREGATE(15,6,(ROW(INDIRECT("1:"&amp;LEN(G19)-7)))/(ISNUMBER(--MID(G19,ROW(INDIRECT("1:"&amp;LEN(G19)-7)),8))),1),8),"")</f>
        <v/>
      </c>
      <c r="V19" t="inlineStr">
        <is>
          <t>2025-09-30 20:00:00</t>
        </is>
      </c>
    </row>
    <row r="20" ht="30" customFormat="1" customHeight="1" s="45">
      <c r="A20" s="112" t="n"/>
      <c r="B20" s="112">
        <f>IF(OR(A20="x",A20="X"),"",IF(ISBLANK(A20),"X",""))</f>
        <v/>
      </c>
      <c r="C20" s="112">
        <f>IF(OR(TabellaA1[[#This Row],[LUN]]="X",TabellaA1[[#This Row],[MAR]]="X",TabellaA1[[#This Row],[MER]]="X",TabellaA1[[#This Row],[GIO]]="X",TabellaA1[[#This Row],[VEN]]="X",),"X","")</f>
        <v/>
      </c>
      <c r="D20" s="113" t="inlineStr">
        <is>
          <t>AREA 1</t>
        </is>
      </c>
      <c r="E20" s="109" t="inlineStr">
        <is>
          <t>534324/C</t>
        </is>
      </c>
      <c r="F20" s="109" t="n">
        <v>200</v>
      </c>
      <c r="G20" s="109" t="inlineStr">
        <is>
          <t>200 - P030R(USCITA 200-R101)CONTROLLO E TARATURA STRUMENTO DI PRESSIONE</t>
        </is>
      </c>
      <c r="H20" s="111" t="n"/>
      <c r="I20" s="111" t="n"/>
      <c r="J20" s="111" t="n"/>
      <c r="K20" s="111" t="n"/>
      <c r="L20" s="111" t="n"/>
      <c r="M20" s="110" t="inlineStr">
        <is>
          <t>DA CHIUDERE</t>
        </is>
      </c>
      <c r="N20" s="110" t="n"/>
      <c r="O20" s="168" t="n"/>
      <c r="P20" s="168" t="n"/>
      <c r="Q20" s="110" t="inlineStr">
        <is>
          <t>STARATA BARRIERA, SOSTITUITA CON RIPRISTINO DELLA FUNZIONALITA'</t>
        </is>
      </c>
      <c r="R20" s="110" t="n">
        <v>45771</v>
      </c>
      <c r="S20" s="110" t="inlineStr">
        <is>
          <t>SPINALI</t>
        </is>
      </c>
      <c r="T20" s="112">
        <f>IF(AND('Inserimento dati'!$B$3=$H$2, TabellaA1[[#This Row],[LUN]]="X"), "X",IF(AND('Inserimento dati'!$B$3=$I$2, TabellaA1[[#This Row],[MAR]]="X"), "X", IF(AND('Inserimento dati'!$B$3=$J$2, TabellaA1[[#This Row],[MER]]="X"), "X",IF(AND('Inserimento dati'!$B$3=$K$2, TabellaA1[[#This Row],[GIO]]="X"), "X", IF(AND('Inserimento dati'!$B$3=$L$2, TabellaA1[[#This Row],[VEN]]="X"), "X","")))))</f>
        <v/>
      </c>
      <c r="U20" s="160">
        <f>IFERROR(MID(G20,_xlfn.AGGREGATE(15,6,(ROW(INDIRECT("1:"&amp;LEN(G20)-7)))/(ISNUMBER(--MID(G20,ROW(INDIRECT("1:"&amp;LEN(G20)-7)),8))),1),8),"")</f>
        <v/>
      </c>
      <c r="V20" t="inlineStr">
        <is>
          <t>2025-09-30 20:00:00</t>
        </is>
      </c>
    </row>
    <row r="21" ht="23.25" customFormat="1" customHeight="1" s="45">
      <c r="A21" s="112" t="n"/>
      <c r="B21" s="112">
        <f>IF(OR(A21="x",A21="X"),"",IF(ISBLANK(A21),"X",""))</f>
        <v/>
      </c>
      <c r="C21" s="112">
        <f>IF(OR(TabellaA1[[#This Row],[LUN]]="X",TabellaA1[[#This Row],[MAR]]="X",TabellaA1[[#This Row],[MER]]="X",TabellaA1[[#This Row],[GIO]]="X",TabellaA1[[#This Row],[VEN]]="X",),"X","")</f>
        <v/>
      </c>
      <c r="D21" s="113" t="inlineStr">
        <is>
          <t>AREA 1</t>
        </is>
      </c>
      <c r="E21" s="109" t="inlineStr">
        <is>
          <t>533920/C</t>
        </is>
      </c>
      <c r="F21" s="109" t="inlineStr">
        <is>
          <t>200A</t>
        </is>
      </c>
      <c r="G21" s="109" t="inlineStr">
        <is>
          <t>200A - L355HA D303  CONTROLLO E RIPRISTINO FUNZIONALITA LIVELLOSTATO</t>
        </is>
      </c>
      <c r="H21" s="111" t="n"/>
      <c r="I21" s="111" t="n"/>
      <c r="J21" s="111" t="n"/>
      <c r="K21" s="111" t="n"/>
      <c r="L21" s="111" t="n"/>
      <c r="M21" s="110" t="inlineStr">
        <is>
          <t>DA CHIUDERE</t>
        </is>
      </c>
      <c r="N21" s="110" t="n"/>
      <c r="O21" s="168" t="n"/>
      <c r="P21" s="168" t="n"/>
      <c r="Q21" s="110" t="n"/>
      <c r="R21" s="110" t="n"/>
      <c r="S21" s="110" t="n"/>
      <c r="T21" s="112">
        <f>IF(AND('Inserimento dati'!$B$3=$H$2, TabellaA1[[#This Row],[LUN]]="X"), "X",IF(AND('Inserimento dati'!$B$3=$I$2, TabellaA1[[#This Row],[MAR]]="X"), "X", IF(AND('Inserimento dati'!$B$3=$J$2, TabellaA1[[#This Row],[MER]]="X"), "X",IF(AND('Inserimento dati'!$B$3=$K$2, TabellaA1[[#This Row],[GIO]]="X"), "X", IF(AND('Inserimento dati'!$B$3=$L$2, TabellaA1[[#This Row],[VEN]]="X"), "X","")))))</f>
        <v/>
      </c>
      <c r="U21" s="160">
        <f>IFERROR(MID(G21,_xlfn.AGGREGATE(15,6,(ROW(INDIRECT("1:"&amp;LEN(G21)-7)))/(ISNUMBER(--MID(G21,ROW(INDIRECT("1:"&amp;LEN(G21)-7)),8))),1),8),"")</f>
        <v/>
      </c>
      <c r="V21" t="inlineStr">
        <is>
          <t>2025-09-30 20:00:00</t>
        </is>
      </c>
    </row>
    <row r="22" ht="30" customFormat="1" customHeight="1" s="45">
      <c r="A22" s="112" t="n"/>
      <c r="B22" s="112">
        <f>IF(OR(A22="x",A22="X"),"",IF(ISBLANK(A22),"X",""))</f>
        <v/>
      </c>
      <c r="C22" s="112">
        <f>IF(OR(TabellaA1[[#This Row],[LUN]]="X",TabellaA1[[#This Row],[MAR]]="X",TabellaA1[[#This Row],[MER]]="X",TabellaA1[[#This Row],[GIO]]="X",TabellaA1[[#This Row],[VEN]]="X",),"X","")</f>
        <v/>
      </c>
      <c r="D22" s="113" t="inlineStr">
        <is>
          <t>AREA 1</t>
        </is>
      </c>
      <c r="E22" s="109" t="inlineStr">
        <is>
          <t>533748/C</t>
        </is>
      </c>
      <c r="F22" s="109" t="n">
        <v>100</v>
      </c>
      <c r="G22" s="109" t="inlineStr">
        <is>
          <t xml:space="preserve">100 - L352RC (T301)CONTROLLO E TARATURA LIVELLO E  ALLINEAMENTO CON SALA CONTROLLOI </t>
        </is>
      </c>
      <c r="H22" s="111" t="n"/>
      <c r="I22" s="111" t="n"/>
      <c r="J22" s="111" t="n"/>
      <c r="K22" s="111" t="n"/>
      <c r="L22" s="111" t="n"/>
      <c r="M22" s="110" t="inlineStr">
        <is>
          <t>DA CHIUDERE</t>
        </is>
      </c>
      <c r="N22" s="110" t="n"/>
      <c r="O22" s="168" t="n"/>
      <c r="P22" s="168" t="n"/>
      <c r="Q22" s="110" t="inlineStr">
        <is>
          <t>SOSTITUITO STRUMENTO IN CHIAMATA CTG, FUNZIONANTE E COSTRUITA PALINA</t>
        </is>
      </c>
      <c r="R22" s="110" t="n">
        <v>45771</v>
      </c>
      <c r="S22" s="110" t="inlineStr">
        <is>
          <t>CAVAGNACCHI</t>
        </is>
      </c>
      <c r="T22" s="112">
        <f>IF(AND('Inserimento dati'!$B$3=$H$2, TabellaA1[[#This Row],[LUN]]="X"), "X",IF(AND('Inserimento dati'!$B$3=$I$2, TabellaA1[[#This Row],[MAR]]="X"), "X", IF(AND('Inserimento dati'!$B$3=$J$2, TabellaA1[[#This Row],[MER]]="X"), "X",IF(AND('Inserimento dati'!$B$3=$K$2, TabellaA1[[#This Row],[GIO]]="X"), "X", IF(AND('Inserimento dati'!$B$3=$L$2, TabellaA1[[#This Row],[VEN]]="X"), "X","")))))</f>
        <v/>
      </c>
      <c r="U22" s="160">
        <f>IFERROR(MID(G22,_xlfn.AGGREGATE(15,6,(ROW(INDIRECT("1:"&amp;LEN(G22)-7)))/(ISNUMBER(--MID(G22,ROW(INDIRECT("1:"&amp;LEN(G22)-7)),8))),1),8),"")</f>
        <v/>
      </c>
      <c r="V22" t="inlineStr">
        <is>
          <t>2025-09-30 20:00:00</t>
        </is>
      </c>
    </row>
    <row r="23" ht="30" customFormat="1" customHeight="1" s="45">
      <c r="A23" s="112" t="n"/>
      <c r="B23" s="112">
        <f>IF(OR(A23="x",A23="X"),"",IF(ISBLANK(A23),"X",""))</f>
        <v/>
      </c>
      <c r="C23" s="112">
        <f>IF(OR(TabellaA1[[#This Row],[LUN]]="X",TabellaA1[[#This Row],[MAR]]="X",TabellaA1[[#This Row],[MER]]="X",TabellaA1[[#This Row],[GIO]]="X",TabellaA1[[#This Row],[VEN]]="X",),"X","")</f>
        <v/>
      </c>
      <c r="D23" s="113" t="inlineStr">
        <is>
          <t>AREA 1</t>
        </is>
      </c>
      <c r="E23" s="109" t="inlineStr">
        <is>
          <t>533507/C</t>
        </is>
      </c>
      <c r="F23" s="109" t="n">
        <v>100</v>
      </c>
      <c r="G23" s="109" t="inlineStr">
        <is>
          <t>100 - L352CV (T301) CONTROLLO E RIPRISTINO VALVOLA ATTIVITA DA EFFETTUARE CON SUPPORTO OPERATORE</t>
        </is>
      </c>
      <c r="H23" s="111" t="n"/>
      <c r="I23" s="111" t="n"/>
      <c r="J23" s="111" t="n"/>
      <c r="K23" s="111" t="n"/>
      <c r="L23" s="111" t="n"/>
      <c r="M23" s="110" t="inlineStr">
        <is>
          <t>DA CHIUDERE</t>
        </is>
      </c>
      <c r="N23" s="110" t="n"/>
      <c r="O23" s="168" t="n"/>
      <c r="P23" s="168" t="n"/>
      <c r="Q23" s="110" t="inlineStr">
        <is>
          <t>PER VALVOLISTI</t>
        </is>
      </c>
      <c r="R23" s="110" t="n"/>
      <c r="S23" s="110" t="n"/>
      <c r="T23" s="112">
        <f>IF(AND('Inserimento dati'!$B$3=$H$2, TabellaA1[[#This Row],[LUN]]="X"), "X",IF(AND('Inserimento dati'!$B$3=$I$2, TabellaA1[[#This Row],[MAR]]="X"), "X", IF(AND('Inserimento dati'!$B$3=$J$2, TabellaA1[[#This Row],[MER]]="X"), "X",IF(AND('Inserimento dati'!$B$3=$K$2, TabellaA1[[#This Row],[GIO]]="X"), "X", IF(AND('Inserimento dati'!$B$3=$L$2, TabellaA1[[#This Row],[VEN]]="X"), "X","")))))</f>
        <v/>
      </c>
      <c r="U23" s="160">
        <f>IFERROR(MID(G23,_xlfn.AGGREGATE(15,6,(ROW(INDIRECT("1:"&amp;LEN(G23)-7)))/(ISNUMBER(--MID(G23,ROW(INDIRECT("1:"&amp;LEN(G23)-7)),8))),1),8),"")</f>
        <v/>
      </c>
      <c r="V23" t="inlineStr">
        <is>
          <t>2025-09-30 20:00:00</t>
        </is>
      </c>
    </row>
    <row r="24" ht="30" customFormat="1" customHeight="1" s="45">
      <c r="A24" s="112" t="n"/>
      <c r="B24" s="112">
        <f>IF(OR(A24="x",A24="X"),"",IF(ISBLANK(A24),"X",""))</f>
        <v/>
      </c>
      <c r="C24" s="112">
        <f>IF(OR(TabellaA1[[#This Row],[LUN]]="X",TabellaA1[[#This Row],[MAR]]="X",TabellaA1[[#This Row],[MER]]="X",TabellaA1[[#This Row],[GIO]]="X",TabellaA1[[#This Row],[VEN]]="X",),"X","")</f>
        <v/>
      </c>
      <c r="D24" s="113" t="inlineStr">
        <is>
          <t>AREA 1</t>
        </is>
      </c>
      <c r="E24" s="109" t="inlineStr">
        <is>
          <t>532694/C</t>
        </is>
      </c>
      <c r="F24" s="109" t="n">
        <v>100</v>
      </c>
      <c r="G24" s="109" t="inlineStr">
        <is>
          <t>100 - 01F035RC VAPORE A T103 CONTROLLO  LOOP DI REGOLAZIONE PARTENDO DALLA MISURA DI PORTATA</t>
        </is>
      </c>
      <c r="H24" s="111" t="n"/>
      <c r="I24" s="111" t="n"/>
      <c r="J24" s="111" t="n"/>
      <c r="K24" s="111" t="n"/>
      <c r="L24" s="111" t="n"/>
      <c r="M24" s="110" t="inlineStr">
        <is>
          <t>DA CHIUDERE</t>
        </is>
      </c>
      <c r="N24" s="110" t="n"/>
      <c r="O24" s="168" t="n"/>
      <c r="P24" s="168" t="n"/>
      <c r="Q24" s="110" t="n"/>
      <c r="R24" s="110" t="n"/>
      <c r="S24" s="110" t="n"/>
      <c r="T24" s="112">
        <f>IF(AND('Inserimento dati'!$B$3=$H$2, TabellaA1[[#This Row],[LUN]]="X"), "X",IF(AND('Inserimento dati'!$B$3=$I$2, TabellaA1[[#This Row],[MAR]]="X"), "X", IF(AND('Inserimento dati'!$B$3=$J$2, TabellaA1[[#This Row],[MER]]="X"), "X",IF(AND('Inserimento dati'!$B$3=$K$2, TabellaA1[[#This Row],[GIO]]="X"), "X", IF(AND('Inserimento dati'!$B$3=$L$2, TabellaA1[[#This Row],[VEN]]="X"), "X","")))))</f>
        <v/>
      </c>
      <c r="U24" s="160">
        <f>IFERROR(MID(G24,_xlfn.AGGREGATE(15,6,(ROW(INDIRECT("1:"&amp;LEN(G24)-7)))/(ISNUMBER(--MID(G24,ROW(INDIRECT("1:"&amp;LEN(G24)-7)),8))),1),8),"")</f>
        <v/>
      </c>
      <c r="V24" t="inlineStr">
        <is>
          <t>2025-09-30 20:00:00</t>
        </is>
      </c>
    </row>
    <row r="25" ht="23.25" customFormat="1" customHeight="1" s="45">
      <c r="A25" s="112" t="n"/>
      <c r="B25" s="112">
        <f>IF(OR(A25="x",A25="X"),"",IF(ISBLANK(A25),"X",""))</f>
        <v/>
      </c>
      <c r="C25" s="112">
        <f>IF(OR(TabellaA1[[#This Row],[LUN]]="X",TabellaA1[[#This Row],[MAR]]="X",TabellaA1[[#This Row],[MER]]="X",TabellaA1[[#This Row],[GIO]]="X",TabellaA1[[#This Row],[VEN]]="X",),"X","")</f>
        <v/>
      </c>
      <c r="D25" s="113" t="inlineStr">
        <is>
          <t>AREA 1</t>
        </is>
      </c>
      <c r="E25" s="109" t="inlineStr">
        <is>
          <t>532479/C</t>
        </is>
      </c>
      <c r="F25" s="109" t="n">
        <v>900</v>
      </c>
      <c r="G25" s="109" t="inlineStr">
        <is>
          <t>900 - F004R PROPANO A STOCCAGGIO RIPRISTINO MISURA PORTATA</t>
        </is>
      </c>
      <c r="H25" s="111" t="n"/>
      <c r="I25" s="111" t="n"/>
      <c r="J25" s="111" t="n"/>
      <c r="K25" s="111" t="n"/>
      <c r="L25" s="111" t="n"/>
      <c r="M25" s="110" t="inlineStr">
        <is>
          <t>DA CHIUDERE</t>
        </is>
      </c>
      <c r="N25" s="110" t="n"/>
      <c r="O25" s="168" t="n"/>
      <c r="P25" s="168" t="n"/>
      <c r="Q25" s="110" t="inlineStr">
        <is>
          <t>SOSTITUITO TX DI PORTATA RIPRISTINATA FUNZIONALITA'</t>
        </is>
      </c>
      <c r="R25" s="110" t="n">
        <v>45762</v>
      </c>
      <c r="S25" s="110" t="inlineStr">
        <is>
          <t>SPINALI/SERRA</t>
        </is>
      </c>
      <c r="T25" s="112">
        <f>IF(AND('Inserimento dati'!$B$3=$H$2, TabellaA1[[#This Row],[LUN]]="X"), "X",IF(AND('Inserimento dati'!$B$3=$I$2, TabellaA1[[#This Row],[MAR]]="X"), "X", IF(AND('Inserimento dati'!$B$3=$J$2, TabellaA1[[#This Row],[MER]]="X"), "X",IF(AND('Inserimento dati'!$B$3=$K$2, TabellaA1[[#This Row],[GIO]]="X"), "X", IF(AND('Inserimento dati'!$B$3=$L$2, TabellaA1[[#This Row],[VEN]]="X"), "X","")))))</f>
        <v/>
      </c>
      <c r="U25" s="160">
        <f>IFERROR(MID(G25,_xlfn.AGGREGATE(15,6,(ROW(INDIRECT("1:"&amp;LEN(G25)-7)))/(ISNUMBER(--MID(G25,ROW(INDIRECT("1:"&amp;LEN(G25)-7)),8))),1),8),"")</f>
        <v/>
      </c>
      <c r="V25" t="inlineStr">
        <is>
          <t>2025-09-30 20:00:00</t>
        </is>
      </c>
    </row>
    <row r="26" ht="30" customFormat="1" customHeight="1" s="45">
      <c r="A26" s="112" t="n"/>
      <c r="B26" s="112">
        <f>IF(OR(A26="x",A26="X"),"",IF(ISBLANK(A26),"X",""))</f>
        <v/>
      </c>
      <c r="C26" s="112">
        <f>IF(OR(TabellaA1[[#This Row],[LUN]]="X",TabellaA1[[#This Row],[MAR]]="X",TabellaA1[[#This Row],[MER]]="X",TabellaA1[[#This Row],[GIO]]="X",TabellaA1[[#This Row],[VEN]]="X",),"X","")</f>
        <v/>
      </c>
      <c r="D26" s="113" t="inlineStr">
        <is>
          <t>AREA 1</t>
        </is>
      </c>
      <c r="E26" s="109" t="inlineStr">
        <is>
          <t>523172/C</t>
        </is>
      </c>
      <c r="F26" s="109" t="inlineStr">
        <is>
          <t>200A</t>
        </is>
      </c>
      <c r="G26" s="109" t="inlineStr">
        <is>
          <t>200 T361I(TEMPERATURA FASE LIQUIDA D301)CONTROLLO E ALLINEAMENTO CON SALA CONTROLLO</t>
        </is>
      </c>
      <c r="H26" s="111" t="n"/>
      <c r="I26" s="111" t="n"/>
      <c r="J26" s="111" t="n"/>
      <c r="K26" s="111" t="n"/>
      <c r="L26" s="111" t="n"/>
      <c r="M26" s="110" t="inlineStr">
        <is>
          <t>DA CHIUDERE</t>
        </is>
      </c>
      <c r="N26" s="110" t="n"/>
      <c r="O26" s="168" t="inlineStr">
        <is>
          <t>X</t>
        </is>
      </c>
      <c r="P26" s="168" t="n"/>
      <c r="Q26" s="109" t="inlineStr">
        <is>
          <t>INVERSIONE DI POLARITA' SUL TERMOELEMENTO, NECESSITA PONTEGGIO PER ACCEDERE. MISURA OK DA INFO NASELLI</t>
        </is>
      </c>
      <c r="R26" s="110" t="n">
        <v>45680</v>
      </c>
      <c r="S26" s="110" t="inlineStr">
        <is>
          <t>MILLO/ALLEGRETTI</t>
        </is>
      </c>
      <c r="T26" s="112">
        <f>IF(AND('Inserimento dati'!$B$3=$H$2, TabellaA1[[#This Row],[LUN]]="X"), "X",IF(AND('Inserimento dati'!$B$3=$I$2, TabellaA1[[#This Row],[MAR]]="X"), "X", IF(AND('Inserimento dati'!$B$3=$J$2, TabellaA1[[#This Row],[MER]]="X"), "X",IF(AND('Inserimento dati'!$B$3=$K$2, TabellaA1[[#This Row],[GIO]]="X"), "X", IF(AND('Inserimento dati'!$B$3=$L$2, TabellaA1[[#This Row],[VEN]]="X"), "X","")))))</f>
        <v/>
      </c>
      <c r="U26" s="160">
        <f>IFERROR(MID(G26,_xlfn.AGGREGATE(15,6,(ROW(INDIRECT("1:"&amp;LEN(G26)-7)))/(ISNUMBER(--MID(G26,ROW(INDIRECT("1:"&amp;LEN(G26)-7)),8))),1),8),"")</f>
        <v/>
      </c>
      <c r="V26" t="inlineStr">
        <is>
          <t>2025-09-30 20:00:00</t>
        </is>
      </c>
    </row>
    <row r="27" ht="23.25" customFormat="1" customHeight="1" s="45">
      <c r="A27" s="112" t="n"/>
      <c r="B27" s="112">
        <f>IF(OR(A27="x",A27="X"),"",IF(ISBLANK(A27),"X",""))</f>
        <v/>
      </c>
      <c r="C27" s="112">
        <f>IF(OR(TabellaA1[[#This Row],[LUN]]="X",TabellaA1[[#This Row],[MAR]]="X",TabellaA1[[#This Row],[MER]]="X",TabellaA1[[#This Row],[GIO]]="X",TabellaA1[[#This Row],[VEN]]="X",),"X","")</f>
        <v/>
      </c>
      <c r="D27" s="113" t="inlineStr">
        <is>
          <t>AREA 1</t>
        </is>
      </c>
      <c r="E27" s="109" t="inlineStr">
        <is>
          <t>527367/C</t>
        </is>
      </c>
      <c r="F27" s="109" t="n">
        <v>200</v>
      </c>
      <c r="G27" s="109" t="inlineStr">
        <is>
          <t>200 - F150R(VAPORE MS L.B.)CONTROLLO E RIPRISTINO FUNZIONALITA</t>
        </is>
      </c>
      <c r="H27" s="111" t="n"/>
      <c r="I27" s="111" t="n"/>
      <c r="J27" s="111" t="n"/>
      <c r="K27" s="111" t="n"/>
      <c r="L27" s="111" t="n"/>
      <c r="M27" s="110" t="inlineStr">
        <is>
          <t>DA CHIUDERE</t>
        </is>
      </c>
      <c r="N27" s="110" t="n"/>
      <c r="O27" s="168" t="n"/>
      <c r="P27" s="168" t="n"/>
      <c r="Q27" s="110" t="inlineStr">
        <is>
          <t xml:space="preserve">RISOLTO CON SCATOLA DI CONTENIMENTO STRUMENTO IN SERVIZIO </t>
        </is>
      </c>
      <c r="R27" s="110" t="n">
        <v>45715</v>
      </c>
      <c r="S27" s="110" t="inlineStr">
        <is>
          <t>SPINALI/SERRA</t>
        </is>
      </c>
      <c r="T27" s="116">
        <f>IF(AND('Inserimento dati'!$B$3=$H$2, TabellaA1[[#This Row],[LUN]]="X"), "X",IF(AND('Inserimento dati'!$B$3=$I$2, TabellaA1[[#This Row],[MAR]]="X"), "X", IF(AND('Inserimento dati'!$B$3=$J$2, TabellaA1[[#This Row],[MER]]="X"), "X",IF(AND('Inserimento dati'!$B$3=$K$2, TabellaA1[[#This Row],[GIO]]="X"), "X", IF(AND('Inserimento dati'!$B$3=$L$2, TabellaA1[[#This Row],[VEN]]="X"), "X","")))))</f>
        <v/>
      </c>
      <c r="U27" s="160">
        <f>IFERROR(MID(G27,_xlfn.AGGREGATE(15,6,(ROW(INDIRECT("1:"&amp;LEN(G27)-7)))/(ISNUMBER(--MID(G27,ROW(INDIRECT("1:"&amp;LEN(G27)-7)),8))),1),8),"")</f>
        <v/>
      </c>
      <c r="V27" t="inlineStr">
        <is>
          <t>2025-09-30 20:00:00</t>
        </is>
      </c>
    </row>
    <row r="28" ht="45" customFormat="1" customHeight="1" s="45">
      <c r="A28" s="112" t="n"/>
      <c r="B28" s="112">
        <f>IF(OR(A28="x",A28="X"),"",IF(ISBLANK(A28),"X",""))</f>
        <v/>
      </c>
      <c r="C28" s="112">
        <f>IF(OR(TabellaA1[[#This Row],[LUN]]="X",TabellaA1[[#This Row],[MAR]]="X",TabellaA1[[#This Row],[MER]]="X",TabellaA1[[#This Row],[GIO]]="X",TabellaA1[[#This Row],[VEN]]="X",),"X","")</f>
        <v/>
      </c>
      <c r="D28" s="113" t="inlineStr">
        <is>
          <t>AREA 1</t>
        </is>
      </c>
      <c r="E28" s="109" t="inlineStr">
        <is>
          <t>531793/C</t>
        </is>
      </c>
      <c r="F28" s="109" t="n">
        <v>900</v>
      </c>
      <c r="G28" s="109" t="inlineStr">
        <is>
          <t>900 - (ZONA TRA T101 E P106A) RIPRISTINI CAVI E PASSARELLE  DANNEGIATE IN H24 TRAMITE REALIZZAZIONE DI GIUNTI E RIPRISTINO  CASSETE DI GIUNZIONE ELETTROVALVOLE (SOV-2 )TEMPERATURE (T3)E ALLARMI (AL1-2)</t>
        </is>
      </c>
      <c r="H28" s="111" t="n"/>
      <c r="I28" s="111" t="n"/>
      <c r="J28" s="111" t="n"/>
      <c r="K28" s="111" t="n"/>
      <c r="L28" s="111" t="n"/>
      <c r="M28" s="110" t="inlineStr">
        <is>
          <t>DA CHIUDERE</t>
        </is>
      </c>
      <c r="N28" s="110" t="n"/>
      <c r="O28" s="168" t="n"/>
      <c r="P28" s="168" t="n"/>
      <c r="Q28" s="110" t="n"/>
      <c r="R28" s="110" t="n"/>
      <c r="S28" s="110" t="n"/>
      <c r="T28" s="112">
        <f>IF(AND('Inserimento dati'!$B$3=$H$2, TabellaA1[[#This Row],[LUN]]="X"), "X",IF(AND('Inserimento dati'!$B$3=$I$2, TabellaA1[[#This Row],[MAR]]="X"), "X", IF(AND('Inserimento dati'!$B$3=$J$2, TabellaA1[[#This Row],[MER]]="X"), "X",IF(AND('Inserimento dati'!$B$3=$K$2, TabellaA1[[#This Row],[GIO]]="X"), "X", IF(AND('Inserimento dati'!$B$3=$L$2, TabellaA1[[#This Row],[VEN]]="X"), "X","")))))</f>
        <v/>
      </c>
      <c r="U28" s="160">
        <f>IFERROR(MID(G28,_xlfn.AGGREGATE(15,6,(ROW(INDIRECT("1:"&amp;LEN(G28)-7)))/(ISNUMBER(--MID(G28,ROW(INDIRECT("1:"&amp;LEN(G28)-7)),8))),1),8),"")</f>
        <v/>
      </c>
      <c r="V28" t="inlineStr">
        <is>
          <t>2025-09-30 20:00:00</t>
        </is>
      </c>
    </row>
    <row r="29" ht="30" customFormat="1" customHeight="1" s="45">
      <c r="A29" s="112" t="n"/>
      <c r="B29" s="112">
        <f>IF(OR(A29="x",A29="X"),"",IF(ISBLANK(A29),"X",""))</f>
        <v/>
      </c>
      <c r="C29" s="112">
        <f>IF(OR(TabellaA1[[#This Row],[LUN]]="X",TabellaA1[[#This Row],[MAR]]="X",TabellaA1[[#This Row],[MER]]="X",TabellaA1[[#This Row],[GIO]]="X",TabellaA1[[#This Row],[VEN]]="X",),"X","")</f>
        <v/>
      </c>
      <c r="D29" s="113" t="inlineStr">
        <is>
          <t>AREA 1</t>
        </is>
      </c>
      <c r="E29" s="109" t="inlineStr">
        <is>
          <t>531726/C</t>
        </is>
      </c>
      <c r="F29" s="109" t="n">
        <v>900</v>
      </c>
      <c r="G29" s="109" t="inlineStr">
        <is>
          <t>900 - T101 CONTROLLO LOOP CHECK SU STRUMENTAZIONE COLONNA E A CORREDO CON LA STESSA.</t>
        </is>
      </c>
      <c r="H29" s="111" t="n"/>
      <c r="I29" s="111" t="n"/>
      <c r="J29" s="111" t="n"/>
      <c r="K29" s="111" t="n"/>
      <c r="L29" s="111" t="n"/>
      <c r="M29" s="110" t="inlineStr">
        <is>
          <t>DA CHIUDERE</t>
        </is>
      </c>
      <c r="N29" s="110" t="n"/>
      <c r="O29" s="168" t="n"/>
      <c r="P29" s="168" t="n"/>
      <c r="Q29" s="110" t="n"/>
      <c r="R29" s="110" t="n"/>
      <c r="S29" s="110" t="n"/>
      <c r="T29" s="112">
        <f>IF(AND('Inserimento dati'!$B$3=$H$2, TabellaA1[[#This Row],[LUN]]="X"), "X",IF(AND('Inserimento dati'!$B$3=$I$2, TabellaA1[[#This Row],[MAR]]="X"), "X", IF(AND('Inserimento dati'!$B$3=$J$2, TabellaA1[[#This Row],[MER]]="X"), "X",IF(AND('Inserimento dati'!$B$3=$K$2, TabellaA1[[#This Row],[GIO]]="X"), "X", IF(AND('Inserimento dati'!$B$3=$L$2, TabellaA1[[#This Row],[VEN]]="X"), "X","")))))</f>
        <v/>
      </c>
      <c r="U29" s="160">
        <f>IFERROR(MID(G29,_xlfn.AGGREGATE(15,6,(ROW(INDIRECT("1:"&amp;LEN(G29)-7)))/(ISNUMBER(--MID(G29,ROW(INDIRECT("1:"&amp;LEN(G29)-7)),8))),1),8),"")</f>
        <v/>
      </c>
      <c r="V29" t="inlineStr">
        <is>
          <t>2025-09-30 20:00:00</t>
        </is>
      </c>
    </row>
    <row r="30" ht="23.25" customFormat="1" customHeight="1" s="45">
      <c r="A30" s="112" t="n"/>
      <c r="B30" s="112">
        <f>IF(OR(A30="x",A30="X"),"",IF(ISBLANK(A30),"X",""))</f>
        <v/>
      </c>
      <c r="C30" s="112">
        <f>IF(OR(TabellaA1[[#This Row],[LUN]]="X",TabellaA1[[#This Row],[MAR]]="X",TabellaA1[[#This Row],[MER]]="X",TabellaA1[[#This Row],[GIO]]="X",TabellaA1[[#This Row],[VEN]]="X",),"X","")</f>
        <v/>
      </c>
      <c r="D30" s="113" t="inlineStr">
        <is>
          <t>AREA 1</t>
        </is>
      </c>
      <c r="E30" s="109" t="inlineStr">
        <is>
          <t>531636/C</t>
        </is>
      </c>
      <c r="F30" s="109" t="n">
        <v>100</v>
      </c>
      <c r="G30" s="109" t="inlineStr">
        <is>
          <t>100 - L009CV STRIPPER T103  CONTROLLO E RIPRISTINO FUNZIONALITA VALVOLA</t>
        </is>
      </c>
      <c r="H30" s="111" t="n"/>
      <c r="I30" s="111" t="n"/>
      <c r="J30" s="111" t="n"/>
      <c r="K30" s="111" t="n"/>
      <c r="L30" s="111" t="n"/>
      <c r="M30" s="110" t="inlineStr">
        <is>
          <t>DA CHIUDERE</t>
        </is>
      </c>
      <c r="N30" s="110" t="n"/>
      <c r="O30" s="168" t="n"/>
      <c r="P30" s="168" t="n"/>
      <c r="Q30" s="110" t="n"/>
      <c r="R30" s="110" t="n"/>
      <c r="S30" s="110" t="n"/>
      <c r="T30" s="112">
        <f>IF(AND('Inserimento dati'!$B$3=$H$2, TabellaA1[[#This Row],[LUN]]="X"), "X",IF(AND('Inserimento dati'!$B$3=$I$2, TabellaA1[[#This Row],[MAR]]="X"), "X", IF(AND('Inserimento dati'!$B$3=$J$2, TabellaA1[[#This Row],[MER]]="X"), "X",IF(AND('Inserimento dati'!$B$3=$K$2, TabellaA1[[#This Row],[GIO]]="X"), "X", IF(AND('Inserimento dati'!$B$3=$L$2, TabellaA1[[#This Row],[VEN]]="X"), "X","")))))</f>
        <v/>
      </c>
      <c r="U30" s="160">
        <f>IFERROR(MID(G30,_xlfn.AGGREGATE(15,6,(ROW(INDIRECT("1:"&amp;LEN(G30)-7)))/(ISNUMBER(--MID(G30,ROW(INDIRECT("1:"&amp;LEN(G30)-7)),8))),1),8),"")</f>
        <v/>
      </c>
      <c r="V30" t="inlineStr">
        <is>
          <t>2025-09-30 20:00:00</t>
        </is>
      </c>
    </row>
    <row r="31" ht="23.25" customFormat="1" customHeight="1" s="45">
      <c r="A31" s="112" t="n"/>
      <c r="B31" s="112">
        <f>IF(OR(A31="x",A31="X"),"",IF(ISBLANK(A31),"X",""))</f>
        <v/>
      </c>
      <c r="C31" s="112">
        <f>IF(OR(TabellaA1[[#This Row],[LUN]]="X",TabellaA1[[#This Row],[MAR]]="X",TabellaA1[[#This Row],[MER]]="X",TabellaA1[[#This Row],[GIO]]="X",TabellaA1[[#This Row],[VEN]]="X",),"X","")</f>
        <v/>
      </c>
      <c r="D31" s="113" t="inlineStr">
        <is>
          <t>AREA 1</t>
        </is>
      </c>
      <c r="E31" s="109" t="inlineStr">
        <is>
          <t>531195/C</t>
        </is>
      </c>
      <c r="F31" s="109" t="n">
        <v>100</v>
      </c>
      <c r="G31" s="109" t="inlineStr">
        <is>
          <t>100 - 01P501LB (ABBASSAMENTO ASTA K651B)CONTROLLO E RIPRISTINO FUNZIONALITA</t>
        </is>
      </c>
      <c r="H31" s="111" t="n"/>
      <c r="I31" s="111" t="n"/>
      <c r="J31" s="111" t="n"/>
      <c r="K31" s="111" t="n"/>
      <c r="L31" s="111" t="n"/>
      <c r="M31" s="110" t="inlineStr">
        <is>
          <t>DA CHIUDERE</t>
        </is>
      </c>
      <c r="N31" s="110" t="n"/>
      <c r="O31" s="168" t="n"/>
      <c r="P31" s="168" t="n"/>
      <c r="Q31" s="110" t="n"/>
      <c r="R31" s="110" t="n"/>
      <c r="S31" s="110" t="n"/>
      <c r="T31" s="112">
        <f>IF(AND('Inserimento dati'!$B$3=$H$2, TabellaA1[[#This Row],[LUN]]="X"), "X",IF(AND('Inserimento dati'!$B$3=$I$2, TabellaA1[[#This Row],[MAR]]="X"), "X", IF(AND('Inserimento dati'!$B$3=$J$2, TabellaA1[[#This Row],[MER]]="X"), "X",IF(AND('Inserimento dati'!$B$3=$K$2, TabellaA1[[#This Row],[GIO]]="X"), "X", IF(AND('Inserimento dati'!$B$3=$L$2, TabellaA1[[#This Row],[VEN]]="X"), "X","")))))</f>
        <v/>
      </c>
      <c r="U31" s="160">
        <f>IFERROR(MID(G31,_xlfn.AGGREGATE(15,6,(ROW(INDIRECT("1:"&amp;LEN(G31)-7)))/(ISNUMBER(--MID(G31,ROW(INDIRECT("1:"&amp;LEN(G31)-7)),8))),1),8),"")</f>
        <v/>
      </c>
      <c r="V31" t="inlineStr">
        <is>
          <t>2025-09-30 20:00:00</t>
        </is>
      </c>
    </row>
    <row r="32" ht="30" customFormat="1" customHeight="1" s="45">
      <c r="A32" s="112" t="n"/>
      <c r="B32" s="112">
        <f>IF(OR(A32="x",A32="X"),"",IF(ISBLANK(A32),"X",""))</f>
        <v/>
      </c>
      <c r="C32" s="112">
        <f>IF(OR(TabellaA1[[#This Row],[LUN]]="X",TabellaA1[[#This Row],[MAR]]="X",TabellaA1[[#This Row],[MER]]="X",TabellaA1[[#This Row],[GIO]]="X",TabellaA1[[#This Row],[VEN]]="X",),"X","")</f>
        <v/>
      </c>
      <c r="D32" s="113" t="inlineStr">
        <is>
          <t>AREA 1</t>
        </is>
      </c>
      <c r="E32" s="109" t="inlineStr">
        <is>
          <t>527836/C</t>
        </is>
      </c>
      <c r="F32" s="109" t="n">
        <v>900</v>
      </c>
      <c r="G32" s="109" t="inlineStr">
        <is>
          <t>900  - 09L115LA BASSO LIVELLO TENUTA P115  09P115HA ALTA PRESSIONE TENUTA P115.CONTROLLO E RIPRISTINO FUNZIONALITA.</t>
        </is>
      </c>
      <c r="H32" s="111" t="n"/>
      <c r="I32" s="111" t="n"/>
      <c r="J32" s="111" t="n"/>
      <c r="K32" s="111" t="n"/>
      <c r="L32" s="111" t="n"/>
      <c r="M32" s="110" t="inlineStr">
        <is>
          <t>DA CHIUDERE</t>
        </is>
      </c>
      <c r="N32" s="110" t="n"/>
      <c r="O32" s="168" t="n"/>
      <c r="P32" s="168" t="n"/>
      <c r="Q32" s="110" t="n"/>
      <c r="R32" s="110" t="n"/>
      <c r="S32" s="110" t="n"/>
      <c r="T32" s="112">
        <f>IF(AND('Inserimento dati'!$B$3=$H$2, TabellaA1[[#This Row],[LUN]]="X"), "X",IF(AND('Inserimento dati'!$B$3=$I$2, TabellaA1[[#This Row],[MAR]]="X"), "X", IF(AND('Inserimento dati'!$B$3=$J$2, TabellaA1[[#This Row],[MER]]="X"), "X",IF(AND('Inserimento dati'!$B$3=$K$2, TabellaA1[[#This Row],[GIO]]="X"), "X", IF(AND('Inserimento dati'!$B$3=$L$2, TabellaA1[[#This Row],[VEN]]="X"), "X","")))))</f>
        <v/>
      </c>
      <c r="U32" s="160">
        <f>IFERROR(MID(G32,_xlfn.AGGREGATE(15,6,(ROW(INDIRECT("1:"&amp;LEN(G32)-7)))/(ISNUMBER(--MID(G32,ROW(INDIRECT("1:"&amp;LEN(G32)-7)),8))),1),8),"")</f>
        <v/>
      </c>
      <c r="V32" t="inlineStr">
        <is>
          <t>2025-09-30 20:00:00</t>
        </is>
      </c>
    </row>
    <row r="33" ht="23.25" customFormat="1" customHeight="1" s="45">
      <c r="A33" s="112" t="n"/>
      <c r="B33" s="112">
        <f>IF(OR(A33="x",A33="X"),"",IF(ISBLANK(A33),"X",""))</f>
        <v/>
      </c>
      <c r="C33" s="112">
        <f>IF(OR(TabellaA1[[#This Row],[LUN]]="X",TabellaA1[[#This Row],[MAR]]="X",TabellaA1[[#This Row],[MER]]="X",TabellaA1[[#This Row],[GIO]]="X",TabellaA1[[#This Row],[VEN]]="X",),"X","")</f>
        <v/>
      </c>
      <c r="D33" s="113" t="inlineStr">
        <is>
          <t>AREA 1</t>
        </is>
      </c>
      <c r="E33" s="109" t="inlineStr">
        <is>
          <t>530531/C</t>
        </is>
      </c>
      <c r="F33" s="109" t="n">
        <v>100</v>
      </c>
      <c r="G33" s="109" t="inlineStr">
        <is>
          <t>100 - F470I CONTROLLO E RIPRISTINO MISURA</t>
        </is>
      </c>
      <c r="H33" s="111" t="n"/>
      <c r="I33" s="111" t="n"/>
      <c r="J33" s="111" t="n"/>
      <c r="K33" s="111" t="n"/>
      <c r="L33" s="111" t="n"/>
      <c r="M33" s="110" t="inlineStr">
        <is>
          <t>DA CHIUDERE</t>
        </is>
      </c>
      <c r="N33" s="110" t="n"/>
      <c r="O33" s="168" t="n"/>
      <c r="P33" s="168" t="n"/>
      <c r="Q33" s="110" t="n"/>
      <c r="R33" s="110" t="n"/>
      <c r="S33" s="110" t="n"/>
      <c r="T33" s="112">
        <f>IF(AND('Inserimento dati'!$B$3=$H$2, TabellaA1[[#This Row],[LUN]]="X"), "X",IF(AND('Inserimento dati'!$B$3=$I$2, TabellaA1[[#This Row],[MAR]]="X"), "X", IF(AND('Inserimento dati'!$B$3=$J$2, TabellaA1[[#This Row],[MER]]="X"), "X",IF(AND('Inserimento dati'!$B$3=$K$2, TabellaA1[[#This Row],[GIO]]="X"), "X", IF(AND('Inserimento dati'!$B$3=$L$2, TabellaA1[[#This Row],[VEN]]="X"), "X","")))))</f>
        <v/>
      </c>
      <c r="U33" s="160">
        <f>IFERROR(MID(G33,_xlfn.AGGREGATE(15,6,(ROW(INDIRECT("1:"&amp;LEN(G33)-7)))/(ISNUMBER(--MID(G33,ROW(INDIRECT("1:"&amp;LEN(G33)-7)),8))),1),8),"")</f>
        <v/>
      </c>
      <c r="V33" t="inlineStr">
        <is>
          <t>2025-09-30 20:00:00</t>
        </is>
      </c>
    </row>
    <row r="34" ht="23.25" customFormat="1" customHeight="1" s="45">
      <c r="A34" s="112" t="n"/>
      <c r="B34" s="112">
        <f>IF(OR(A34="x",A34="X"),"",IF(ISBLANK(A34),"X",""))</f>
        <v/>
      </c>
      <c r="C34" s="112">
        <f>IF(OR(TabellaA1[[#This Row],[LUN]]="X",TabellaA1[[#This Row],[MAR]]="X",TabellaA1[[#This Row],[MER]]="X",TabellaA1[[#This Row],[GIO]]="X",TabellaA1[[#This Row],[VEN]]="X",),"X","")</f>
        <v/>
      </c>
      <c r="D34" s="113" t="inlineStr">
        <is>
          <t>AREA 1</t>
        </is>
      </c>
      <c r="E34" s="109" t="inlineStr">
        <is>
          <t>530128/C</t>
        </is>
      </c>
      <c r="F34" s="109" t="n">
        <v>900</v>
      </c>
      <c r="G34" s="109" t="inlineStr">
        <is>
          <t>900 - L005RC(ACQUA D104) CONTROLLO E RIPRISTINO MISURA</t>
        </is>
      </c>
      <c r="H34" s="111" t="n"/>
      <c r="I34" s="111" t="n"/>
      <c r="J34" s="111" t="n"/>
      <c r="K34" s="111" t="n"/>
      <c r="L34" s="111" t="n"/>
      <c r="M34" s="110" t="inlineStr">
        <is>
          <t>DA CHIUDERE</t>
        </is>
      </c>
      <c r="N34" s="110" t="n"/>
      <c r="O34" s="168" t="n"/>
      <c r="P34" s="168" t="n"/>
      <c r="Q34" s="110" t="n"/>
      <c r="R34" s="110" t="n"/>
      <c r="S34" s="110" t="n"/>
      <c r="T34" s="112">
        <f>IF(AND('Inserimento dati'!$B$3=$H$2, TabellaA1[[#This Row],[LUN]]="X"), "X",IF(AND('Inserimento dati'!$B$3=$I$2, TabellaA1[[#This Row],[MAR]]="X"), "X", IF(AND('Inserimento dati'!$B$3=$J$2, TabellaA1[[#This Row],[MER]]="X"), "X",IF(AND('Inserimento dati'!$B$3=$K$2, TabellaA1[[#This Row],[GIO]]="X"), "X", IF(AND('Inserimento dati'!$B$3=$L$2, TabellaA1[[#This Row],[VEN]]="X"), "X","")))))</f>
        <v/>
      </c>
      <c r="U34" s="160">
        <f>IFERROR(MID(G34,_xlfn.AGGREGATE(15,6,(ROW(INDIRECT("1:"&amp;LEN(G34)-7)))/(ISNUMBER(--MID(G34,ROW(INDIRECT("1:"&amp;LEN(G34)-7)),8))),1),8),"")</f>
        <v/>
      </c>
      <c r="V34" t="inlineStr">
        <is>
          <t>2025-09-30 20:00:00</t>
        </is>
      </c>
    </row>
    <row r="35" ht="23.25" customFormat="1" customHeight="1" s="45">
      <c r="A35" s="112" t="n"/>
      <c r="B35" s="112">
        <f>IF(OR(A35="x",A35="X"),"",IF(ISBLANK(A35),"X",""))</f>
        <v/>
      </c>
      <c r="C35" s="112">
        <f>IF(OR(TabellaA1[[#This Row],[LUN]]="X",TabellaA1[[#This Row],[MAR]]="X",TabellaA1[[#This Row],[MER]]="X",TabellaA1[[#This Row],[GIO]]="X",TabellaA1[[#This Row],[VEN]]="X",),"X","")</f>
        <v/>
      </c>
      <c r="D35" s="113" t="inlineStr">
        <is>
          <t>AREA 1</t>
        </is>
      </c>
      <c r="E35" s="109" t="inlineStr">
        <is>
          <t>527365/C</t>
        </is>
      </c>
      <c r="F35" s="109" t="n">
        <v>100</v>
      </c>
      <c r="G35" s="109" t="inlineStr">
        <is>
          <t>100 - 01F023RC montaggio staffa di sostegno su nuovo strumento</t>
        </is>
      </c>
      <c r="H35" s="111" t="n"/>
      <c r="I35" s="111" t="n"/>
      <c r="J35" s="111" t="n"/>
      <c r="K35" s="111" t="n"/>
      <c r="L35" s="111" t="n"/>
      <c r="M35" s="110" t="inlineStr">
        <is>
          <t>DA CHIUDERE</t>
        </is>
      </c>
      <c r="N35" s="110" t="n"/>
      <c r="O35" s="168" t="n"/>
      <c r="P35" s="168" t="n"/>
      <c r="Q35" s="110" t="n"/>
      <c r="R35" s="110" t="n"/>
      <c r="S35" s="110" t="n"/>
      <c r="T35" s="116">
        <f>IF(AND('Inserimento dati'!$B$3=$H$2, TabellaA1[[#This Row],[LUN]]="X"), "X",IF(AND('Inserimento dati'!$B$3=$I$2, TabellaA1[[#This Row],[MAR]]="X"), "X", IF(AND('Inserimento dati'!$B$3=$J$2, TabellaA1[[#This Row],[MER]]="X"), "X",IF(AND('Inserimento dati'!$B$3=$K$2, TabellaA1[[#This Row],[GIO]]="X"), "X", IF(AND('Inserimento dati'!$B$3=$L$2, TabellaA1[[#This Row],[VEN]]="X"), "X","")))))</f>
        <v/>
      </c>
      <c r="U35" s="160">
        <f>IFERROR(MID(G35,_xlfn.AGGREGATE(15,6,(ROW(INDIRECT("1:"&amp;LEN(G35)-7)))/(ISNUMBER(--MID(G35,ROW(INDIRECT("1:"&amp;LEN(G35)-7)),8))),1),8),"")</f>
        <v/>
      </c>
      <c r="V35" t="inlineStr">
        <is>
          <t>2025-09-30 20:00:00</t>
        </is>
      </c>
    </row>
    <row r="36" ht="30" customFormat="1" customHeight="1" s="45">
      <c r="A36" s="112" t="n"/>
      <c r="B36" s="112">
        <f>IF(OR(A36="x",A36="X"),"",IF(ISBLANK(A36),"X",""))</f>
        <v/>
      </c>
      <c r="C36" s="112">
        <f>IF(OR(TabellaA1[[#This Row],[LUN]]="X",TabellaA1[[#This Row],[MAR]]="X",TabellaA1[[#This Row],[MER]]="X",TabellaA1[[#This Row],[GIO]]="X",TabellaA1[[#This Row],[VEN]]="X",),"X","")</f>
        <v/>
      </c>
      <c r="D36" s="113" t="inlineStr">
        <is>
          <t>AREA 1</t>
        </is>
      </c>
      <c r="E36" s="109" t="inlineStr">
        <is>
          <t>530718/C</t>
        </is>
      </c>
      <c r="F36" s="109" t="n">
        <v>100</v>
      </c>
      <c r="G36" s="109" t="inlineStr">
        <is>
          <t>100 - 01F169Q (CONTATORE SODA )MONTAGGIO NUOVO  CONTATORE E PROVE DI FUNZIONALITA</t>
        </is>
      </c>
      <c r="H36" s="111" t="n"/>
      <c r="I36" s="111" t="n"/>
      <c r="J36" s="111" t="n"/>
      <c r="K36" s="111" t="n"/>
      <c r="L36" s="111" t="n"/>
      <c r="M36" s="110" t="inlineStr">
        <is>
          <t>DA CHIUDERE</t>
        </is>
      </c>
      <c r="N36" s="110" t="n"/>
      <c r="O36" s="168" t="n"/>
      <c r="P36" s="168" t="n"/>
      <c r="Q36" s="110" t="n"/>
      <c r="R36" s="110" t="n"/>
      <c r="S36" s="110" t="n"/>
      <c r="T36" s="112">
        <f>IF(AND('Inserimento dati'!$B$3=$H$2, TabellaA1[[#This Row],[LUN]]="X"), "X",IF(AND('Inserimento dati'!$B$3=$I$2, TabellaA1[[#This Row],[MAR]]="X"), "X", IF(AND('Inserimento dati'!$B$3=$J$2, TabellaA1[[#This Row],[MER]]="X"), "X",IF(AND('Inserimento dati'!$B$3=$K$2, TabellaA1[[#This Row],[GIO]]="X"), "X", IF(AND('Inserimento dati'!$B$3=$L$2, TabellaA1[[#This Row],[VEN]]="X"), "X","")))))</f>
        <v/>
      </c>
      <c r="U36" s="160">
        <f>IFERROR(MID(G36,_xlfn.AGGREGATE(15,6,(ROW(INDIRECT("1:"&amp;LEN(G36)-7)))/(ISNUMBER(--MID(G36,ROW(INDIRECT("1:"&amp;LEN(G36)-7)),8))),1),8),"")</f>
        <v/>
      </c>
      <c r="V36" t="inlineStr">
        <is>
          <t>2025-09-30 20:00:00</t>
        </is>
      </c>
    </row>
    <row r="37" ht="23.25" customFormat="1" customHeight="1" s="45">
      <c r="A37" s="112" t="n"/>
      <c r="B37" s="112">
        <f>IF(OR(A37="x",A37="X"),"",IF(ISBLANK(A37),"X",""))</f>
        <v/>
      </c>
      <c r="C37" s="112">
        <f>IF(OR(TabellaA1[[#This Row],[LUN]]="X",TabellaA1[[#This Row],[MAR]]="X",TabellaA1[[#This Row],[MER]]="X",TabellaA1[[#This Row],[GIO]]="X",TabellaA1[[#This Row],[VEN]]="X",),"X","")</f>
        <v/>
      </c>
      <c r="D37" s="113" t="inlineStr">
        <is>
          <t>AREA 1</t>
        </is>
      </c>
      <c r="E37" s="109" t="inlineStr">
        <is>
          <t>529414/C</t>
        </is>
      </c>
      <c r="F37" s="109" t="inlineStr">
        <is>
          <t>200A</t>
        </is>
      </c>
      <c r="G37" s="109" t="inlineStr">
        <is>
          <t>200A - L353CV (MEA T301)SMONTAGGIO/MONTAGGIO PER REVISIONE VALVOLA</t>
        </is>
      </c>
      <c r="H37" s="111" t="n"/>
      <c r="I37" s="111" t="n"/>
      <c r="J37" s="111" t="n"/>
      <c r="K37" s="111" t="n"/>
      <c r="L37" s="111" t="n"/>
      <c r="M37" s="110" t="inlineStr">
        <is>
          <t>DA CHIUDERE</t>
        </is>
      </c>
      <c r="N37" s="110" t="n"/>
      <c r="O37" s="168" t="n"/>
      <c r="P37" s="168" t="n"/>
      <c r="Q37" s="110" t="n"/>
      <c r="R37" s="110" t="n"/>
      <c r="S37" s="110" t="n"/>
      <c r="T37" s="112">
        <f>IF(AND('Inserimento dati'!$B$3=$H$2, TabellaA1[[#This Row],[LUN]]="X"), "X",IF(AND('Inserimento dati'!$B$3=$I$2, TabellaA1[[#This Row],[MAR]]="X"), "X", IF(AND('Inserimento dati'!$B$3=$J$2, TabellaA1[[#This Row],[MER]]="X"), "X",IF(AND('Inserimento dati'!$B$3=$K$2, TabellaA1[[#This Row],[GIO]]="X"), "X", IF(AND('Inserimento dati'!$B$3=$L$2, TabellaA1[[#This Row],[VEN]]="X"), "X","")))))</f>
        <v/>
      </c>
      <c r="U37" s="160">
        <f>IFERROR(MID(G37,_xlfn.AGGREGATE(15,6,(ROW(INDIRECT("1:"&amp;LEN(G37)-7)))/(ISNUMBER(--MID(G37,ROW(INDIRECT("1:"&amp;LEN(G37)-7)),8))),1),8),"")</f>
        <v/>
      </c>
      <c r="V37" t="inlineStr">
        <is>
          <t>2025-09-30 20:00:00</t>
        </is>
      </c>
    </row>
    <row r="38" ht="23.25" customFormat="1" customHeight="1" s="45">
      <c r="A38" s="112" t="n"/>
      <c r="B38" s="112">
        <f>IF(OR(A38="x",A38="X"),"",IF(ISBLANK(A38),"X",""))</f>
        <v/>
      </c>
      <c r="C38" s="112">
        <f>IF(OR(TabellaA1[[#This Row],[LUN]]="X",TabellaA1[[#This Row],[MAR]]="X",TabellaA1[[#This Row],[MER]]="X",TabellaA1[[#This Row],[GIO]]="X",TabellaA1[[#This Row],[VEN]]="X",),"X","")</f>
        <v/>
      </c>
      <c r="D38" s="113" t="inlineStr">
        <is>
          <t>AREA 1</t>
        </is>
      </c>
      <c r="E38" s="109" t="inlineStr">
        <is>
          <t>530131/C</t>
        </is>
      </c>
      <c r="F38" s="109" t="n">
        <v>200</v>
      </c>
      <c r="G38" s="109" t="inlineStr">
        <is>
          <t>200 - T004I(USCITA CARICA TUBI E102A/B) CONTROLLO E RIPRISTINO MISURA</t>
        </is>
      </c>
      <c r="H38" s="111" t="n"/>
      <c r="I38" s="111" t="n"/>
      <c r="J38" s="111" t="n"/>
      <c r="K38" s="111" t="n"/>
      <c r="L38" s="111" t="n"/>
      <c r="M38" s="110" t="inlineStr">
        <is>
          <t>DA CHIUDERE</t>
        </is>
      </c>
      <c r="N38" s="110" t="n"/>
      <c r="O38" s="168" t="n"/>
      <c r="P38" s="168" t="n"/>
      <c r="Q38" s="110" t="n"/>
      <c r="R38" s="110" t="n"/>
      <c r="S38" s="110" t="n"/>
      <c r="T38" s="112">
        <f>IF(AND('Inserimento dati'!$B$3=$H$2, TabellaA1[[#This Row],[LUN]]="X"), "X",IF(AND('Inserimento dati'!$B$3=$I$2, TabellaA1[[#This Row],[MAR]]="X"), "X", IF(AND('Inserimento dati'!$B$3=$J$2, TabellaA1[[#This Row],[MER]]="X"), "X",IF(AND('Inserimento dati'!$B$3=$K$2, TabellaA1[[#This Row],[GIO]]="X"), "X", IF(AND('Inserimento dati'!$B$3=$L$2, TabellaA1[[#This Row],[VEN]]="X"), "X","")))))</f>
        <v/>
      </c>
      <c r="U38" s="160">
        <f>IFERROR(MID(G38,_xlfn.AGGREGATE(15,6,(ROW(INDIRECT("1:"&amp;LEN(G38)-7)))/(ISNUMBER(--MID(G38,ROW(INDIRECT("1:"&amp;LEN(G38)-7)),8))),1),8),"")</f>
        <v/>
      </c>
      <c r="V38" t="inlineStr">
        <is>
          <t>2025-09-30 20:00:00</t>
        </is>
      </c>
    </row>
    <row r="39" ht="30" customFormat="1" customHeight="1" s="45">
      <c r="A39" s="112" t="n"/>
      <c r="B39" s="112">
        <f>IF(OR(A39="x",A39="X"),"",IF(ISBLANK(A39),"X",""))</f>
        <v/>
      </c>
      <c r="C39" s="112">
        <f>IF(OR(TabellaA1[[#This Row],[LUN]]="X",TabellaA1[[#This Row],[MAR]]="X",TabellaA1[[#This Row],[MER]]="X",TabellaA1[[#This Row],[GIO]]="X",TabellaA1[[#This Row],[VEN]]="X",),"X","")</f>
        <v/>
      </c>
      <c r="D39" s="113" t="inlineStr">
        <is>
          <t>AREA 1</t>
        </is>
      </c>
      <c r="E39" s="109" t="inlineStr">
        <is>
          <t>529726/C</t>
        </is>
      </c>
      <c r="F39" s="109" t="n">
        <v>100</v>
      </c>
      <c r="G39" s="109" t="inlineStr">
        <is>
          <t>100 - E112A/B SCOLLEGAMENTO/COLLE GAMENTO TERMOCOPPIE E  SISTEMAZIONE CAVI PER MANUTENZIONE SCAMBIATORE</t>
        </is>
      </c>
      <c r="H39" s="111" t="n"/>
      <c r="I39" s="111" t="n"/>
      <c r="J39" s="111" t="n"/>
      <c r="K39" s="111" t="n"/>
      <c r="L39" s="111" t="n"/>
      <c r="M39" s="110" t="inlineStr">
        <is>
          <t>DA CHIUDERE</t>
        </is>
      </c>
      <c r="N39" s="110" t="n"/>
      <c r="O39" s="168" t="n"/>
      <c r="P39" s="168" t="n"/>
      <c r="Q39" s="110" t="n"/>
      <c r="R39" s="110" t="n"/>
      <c r="S39" s="110" t="n"/>
      <c r="T39" s="112">
        <f>IF(AND('Inserimento dati'!$B$3=$H$2, TabellaA1[[#This Row],[LUN]]="X"), "X",IF(AND('Inserimento dati'!$B$3=$I$2, TabellaA1[[#This Row],[MAR]]="X"), "X", IF(AND('Inserimento dati'!$B$3=$J$2, TabellaA1[[#This Row],[MER]]="X"), "X",IF(AND('Inserimento dati'!$B$3=$K$2, TabellaA1[[#This Row],[GIO]]="X"), "X", IF(AND('Inserimento dati'!$B$3=$L$2, TabellaA1[[#This Row],[VEN]]="X"), "X","")))))</f>
        <v/>
      </c>
      <c r="U39" s="160">
        <f>IFERROR(MID(G39,_xlfn.AGGREGATE(15,6,(ROW(INDIRECT("1:"&amp;LEN(G39)-7)))/(ISNUMBER(--MID(G39,ROW(INDIRECT("1:"&amp;LEN(G39)-7)),8))),1),8),"")</f>
        <v/>
      </c>
      <c r="V39" t="inlineStr">
        <is>
          <t>2025-09-30 20:00:00</t>
        </is>
      </c>
    </row>
    <row r="40" ht="30" customFormat="1" customHeight="1" s="45">
      <c r="A40" s="112" t="n"/>
      <c r="B40" s="112">
        <f>IF(OR(A40="x",A40="X"),"",IF(ISBLANK(A40),"X",""))</f>
        <v/>
      </c>
      <c r="C40" s="112">
        <f>IF(OR(TabellaA1[[#This Row],[LUN]]="X",TabellaA1[[#This Row],[MAR]]="X",TabellaA1[[#This Row],[MER]]="X",TabellaA1[[#This Row],[GIO]]="X",TabellaA1[[#This Row],[VEN]]="X",),"X","")</f>
        <v/>
      </c>
      <c r="D40" s="113" t="inlineStr">
        <is>
          <t>AREA 1</t>
        </is>
      </c>
      <c r="E40" s="109" t="inlineStr">
        <is>
          <t>528658/C</t>
        </is>
      </c>
      <c r="F40" s="109" t="n">
        <v>300</v>
      </c>
      <c r="G40" s="109" t="inlineStr">
        <is>
          <t xml:space="preserve">300 - 300X161A  300X161B (TENUTA POMPE P101A/B)CONTROLLO E RIPRISTINO ALLARMI TENUTA POMPE </t>
        </is>
      </c>
      <c r="H40" s="111" t="n"/>
      <c r="I40" s="111" t="n"/>
      <c r="J40" s="111" t="n"/>
      <c r="K40" s="111" t="n"/>
      <c r="L40" s="111" t="n"/>
      <c r="M40" s="110" t="inlineStr">
        <is>
          <t>DA CHIUDERE</t>
        </is>
      </c>
      <c r="N40" s="110" t="n"/>
      <c r="O40" s="168" t="n"/>
      <c r="P40" s="168" t="n"/>
      <c r="Q40" s="110" t="n"/>
      <c r="R40" s="110" t="n"/>
      <c r="S40" s="110" t="n"/>
      <c r="T40" s="112">
        <f>IF(AND('Inserimento dati'!$B$3=$H$2, TabellaA1[[#This Row],[LUN]]="X"), "X",IF(AND('Inserimento dati'!$B$3=$I$2, TabellaA1[[#This Row],[MAR]]="X"), "X", IF(AND('Inserimento dati'!$B$3=$J$2, TabellaA1[[#This Row],[MER]]="X"), "X",IF(AND('Inserimento dati'!$B$3=$K$2, TabellaA1[[#This Row],[GIO]]="X"), "X", IF(AND('Inserimento dati'!$B$3=$L$2, TabellaA1[[#This Row],[VEN]]="X"), "X","")))))</f>
        <v/>
      </c>
      <c r="U40" s="160">
        <f>IFERROR(MID(G40,_xlfn.AGGREGATE(15,6,(ROW(INDIRECT("1:"&amp;LEN(G40)-7)))/(ISNUMBER(--MID(G40,ROW(INDIRECT("1:"&amp;LEN(G40)-7)),8))),1),8),"")</f>
        <v/>
      </c>
      <c r="V40" t="inlineStr">
        <is>
          <t>2025-09-30 20:00:00</t>
        </is>
      </c>
    </row>
    <row r="41" ht="30" customFormat="1" customHeight="1" s="45">
      <c r="A41" s="112" t="n"/>
      <c r="B41" s="112">
        <f>IF(OR(A41="x",A41="X"),"",IF(ISBLANK(A41),"X",""))</f>
        <v/>
      </c>
      <c r="C41" s="112">
        <f>IF(OR(TabellaA1[[#This Row],[LUN]]="X",TabellaA1[[#This Row],[MAR]]="X",TabellaA1[[#This Row],[MER]]="X",TabellaA1[[#This Row],[GIO]]="X",TabellaA1[[#This Row],[VEN]]="X",),"X","")</f>
        <v/>
      </c>
      <c r="D41" s="113" t="inlineStr">
        <is>
          <t>AREA 1</t>
        </is>
      </c>
      <c r="E41" s="109" t="inlineStr">
        <is>
          <t>528052/C</t>
        </is>
      </c>
      <c r="F41" s="109" t="n">
        <v>900</v>
      </c>
      <c r="G41" s="109" t="inlineStr">
        <is>
          <t>900 - (RIPRISTINI ALLARMI ATTIVI)IMP.900 09L110BL ALLARME TENUTA MP110/B .CONTROLLO E RIPRISTINO FUNZIONALITA.</t>
        </is>
      </c>
      <c r="H41" s="111" t="n"/>
      <c r="I41" s="111" t="n"/>
      <c r="J41" s="111" t="n"/>
      <c r="K41" s="111" t="n"/>
      <c r="L41" s="111" t="n"/>
      <c r="M41" s="110" t="inlineStr">
        <is>
          <t>DA CHIUDERE</t>
        </is>
      </c>
      <c r="N41" s="110" t="n"/>
      <c r="O41" s="168" t="n"/>
      <c r="P41" s="168" t="n"/>
      <c r="Q41" s="110" t="inlineStr">
        <is>
          <t>ESCLUSO LIVELLOSTATO GUASTO, MANCA RICAMBIO. SISTEMA OK</t>
        </is>
      </c>
      <c r="R41" s="110" t="n">
        <v>45720</v>
      </c>
      <c r="S41" s="110" t="inlineStr">
        <is>
          <t>SPINALI/SERRA</t>
        </is>
      </c>
      <c r="T41" s="112">
        <f>IF(AND('Inserimento dati'!$B$3=$H$2, TabellaA1[[#This Row],[LUN]]="X"), "X",IF(AND('Inserimento dati'!$B$3=$I$2, TabellaA1[[#This Row],[MAR]]="X"), "X", IF(AND('Inserimento dati'!$B$3=$J$2, TabellaA1[[#This Row],[MER]]="X"), "X",IF(AND('Inserimento dati'!$B$3=$K$2, TabellaA1[[#This Row],[GIO]]="X"), "X", IF(AND('Inserimento dati'!$B$3=$L$2, TabellaA1[[#This Row],[VEN]]="X"), "X","")))))</f>
        <v/>
      </c>
      <c r="U41" s="160">
        <f>IFERROR(MID(G41,_xlfn.AGGREGATE(15,6,(ROW(INDIRECT("1:"&amp;LEN(G41)-7)))/(ISNUMBER(--MID(G41,ROW(INDIRECT("1:"&amp;LEN(G41)-7)),8))),1),8),"")</f>
        <v/>
      </c>
      <c r="V41" t="inlineStr">
        <is>
          <t>2025-09-30 20:00:00</t>
        </is>
      </c>
    </row>
    <row r="42" ht="30" customFormat="1" customHeight="1" s="45">
      <c r="A42" s="112" t="n"/>
      <c r="B42" s="112">
        <f>IF(OR(A42="x",A42="X"),"",IF(ISBLANK(A42),"X",""))</f>
        <v/>
      </c>
      <c r="C42" s="112">
        <f>IF(OR(TabellaA1[[#This Row],[LUN]]="X",TabellaA1[[#This Row],[MAR]]="X",TabellaA1[[#This Row],[MER]]="X",TabellaA1[[#This Row],[GIO]]="X",TabellaA1[[#This Row],[VEN]]="X",),"X","")</f>
        <v/>
      </c>
      <c r="D42" s="113" t="inlineStr">
        <is>
          <t>AREA 1</t>
        </is>
      </c>
      <c r="E42" s="109" t="inlineStr">
        <is>
          <t>528050/C</t>
        </is>
      </c>
      <c r="F42" s="109" t="n">
        <v>900</v>
      </c>
      <c r="G42" s="109" t="inlineStr">
        <is>
          <t>900 - (RIPRISTINI ALLARMI ATTIVI)IMP.900 09L106BL ALLARME TENUTA MP106/B .CONTROLLO E RIPRISTINO FUNZIONALITA.</t>
        </is>
      </c>
      <c r="H42" s="111" t="n"/>
      <c r="I42" s="111" t="n"/>
      <c r="J42" s="111" t="n"/>
      <c r="K42" s="111" t="n"/>
      <c r="L42" s="111" t="n"/>
      <c r="M42" s="110" t="inlineStr">
        <is>
          <t>DA CHIUDERE</t>
        </is>
      </c>
      <c r="N42" s="110" t="n"/>
      <c r="O42" s="168" t="n"/>
      <c r="P42" s="168" t="n"/>
      <c r="Q42" s="110" t="inlineStr">
        <is>
          <t>ESCLUSO LIVELLOSTATO GUASTO, MANCA RICAMBIO. SISTEMA OK</t>
        </is>
      </c>
      <c r="R42" s="110" t="n">
        <v>45720</v>
      </c>
      <c r="S42" s="110" t="inlineStr">
        <is>
          <t>SPINALI/SERRA</t>
        </is>
      </c>
      <c r="T42" s="112">
        <f>IF(AND('Inserimento dati'!$B$3=$H$2, TabellaA1[[#This Row],[LUN]]="X"), "X",IF(AND('Inserimento dati'!$B$3=$I$2, TabellaA1[[#This Row],[MAR]]="X"), "X", IF(AND('Inserimento dati'!$B$3=$J$2, TabellaA1[[#This Row],[MER]]="X"), "X",IF(AND('Inserimento dati'!$B$3=$K$2, TabellaA1[[#This Row],[GIO]]="X"), "X", IF(AND('Inserimento dati'!$B$3=$L$2, TabellaA1[[#This Row],[VEN]]="X"), "X","")))))</f>
        <v/>
      </c>
      <c r="U42" s="160">
        <f>IFERROR(MID(G42,_xlfn.AGGREGATE(15,6,(ROW(INDIRECT("1:"&amp;LEN(G42)-7)))/(ISNUMBER(--MID(G42,ROW(INDIRECT("1:"&amp;LEN(G42)-7)),8))),1),8),"")</f>
        <v/>
      </c>
      <c r="V42" t="inlineStr">
        <is>
          <t>2025-09-30 20:00:00</t>
        </is>
      </c>
    </row>
    <row r="43" ht="30" customFormat="1" customHeight="1" s="45">
      <c r="A43" s="112" t="n"/>
      <c r="B43" s="112">
        <f>IF(OR(A43="x",A43="X"),"",IF(ISBLANK(A43),"X",""))</f>
        <v/>
      </c>
      <c r="C43" s="112">
        <f>IF(OR(TabellaA1[[#This Row],[LUN]]="X",TabellaA1[[#This Row],[MAR]]="X",TabellaA1[[#This Row],[MER]]="X",TabellaA1[[#This Row],[GIO]]="X",TabellaA1[[#This Row],[VEN]]="X",),"X","")</f>
        <v/>
      </c>
      <c r="D43" s="113" t="inlineStr">
        <is>
          <t>AREA 1</t>
        </is>
      </c>
      <c r="E43" s="109" t="inlineStr">
        <is>
          <t>528047/C</t>
        </is>
      </c>
      <c r="F43" s="109" t="n">
        <v>900</v>
      </c>
      <c r="G43" s="109" t="inlineStr">
        <is>
          <t>900 - RIPRISTINI ALLARMI ATTIVI)IMP.900 09L106AL ALLARME TENUTA MP106/A .CONTROLLO E RIPRISTINO FUNZIONALITA.</t>
        </is>
      </c>
      <c r="H43" s="111" t="n"/>
      <c r="I43" s="111" t="n"/>
      <c r="J43" s="111" t="n"/>
      <c r="K43" s="111" t="n"/>
      <c r="L43" s="111" t="n"/>
      <c r="M43" s="110" t="inlineStr">
        <is>
          <t>DA CHIUDERE</t>
        </is>
      </c>
      <c r="N43" s="110" t="n"/>
      <c r="O43" s="168" t="n"/>
      <c r="P43" s="168" t="n"/>
      <c r="Q43" s="110" t="inlineStr">
        <is>
          <t>ESCLUSO LIVELLOSTATO GUASTO, MANCA RICAMBIO. SISTEMA OK</t>
        </is>
      </c>
      <c r="R43" s="110" t="n">
        <v>45720</v>
      </c>
      <c r="S43" s="110" t="inlineStr">
        <is>
          <t>SPINALI/SERRA</t>
        </is>
      </c>
      <c r="T43" s="112">
        <f>IF(AND('Inserimento dati'!$B$3=$H$2, TabellaA1[[#This Row],[LUN]]="X"), "X",IF(AND('Inserimento dati'!$B$3=$I$2, TabellaA1[[#This Row],[MAR]]="X"), "X", IF(AND('Inserimento dati'!$B$3=$J$2, TabellaA1[[#This Row],[MER]]="X"), "X",IF(AND('Inserimento dati'!$B$3=$K$2, TabellaA1[[#This Row],[GIO]]="X"), "X", IF(AND('Inserimento dati'!$B$3=$L$2, TabellaA1[[#This Row],[VEN]]="X"), "X","")))))</f>
        <v/>
      </c>
      <c r="U43" s="160">
        <f>IFERROR(MID(G43,_xlfn.AGGREGATE(15,6,(ROW(INDIRECT("1:"&amp;LEN(G43)-7)))/(ISNUMBER(--MID(G43,ROW(INDIRECT("1:"&amp;LEN(G43)-7)),8))),1),8),"")</f>
        <v/>
      </c>
      <c r="V43" t="inlineStr">
        <is>
          <t>2025-09-30 20:00:00</t>
        </is>
      </c>
    </row>
    <row r="44" ht="30" customFormat="1" customHeight="1" s="45">
      <c r="A44" s="112" t="n"/>
      <c r="B44" s="112">
        <f>IF(OR(A44="x",A44="X"),"",IF(ISBLANK(A44),"X",""))</f>
        <v/>
      </c>
      <c r="C44" s="112">
        <f>IF(OR(TabellaA1[[#This Row],[LUN]]="X",TabellaA1[[#This Row],[MAR]]="X",TabellaA1[[#This Row],[MER]]="X",TabellaA1[[#This Row],[GIO]]="X",TabellaA1[[#This Row],[VEN]]="X",),"X","")</f>
        <v/>
      </c>
      <c r="D44" s="113" t="inlineStr">
        <is>
          <t>AREA 1</t>
        </is>
      </c>
      <c r="E44" s="109" t="inlineStr">
        <is>
          <t>533269/C</t>
        </is>
      </c>
      <c r="F44" s="109" t="n">
        <v>200</v>
      </c>
      <c r="G44" s="109" t="inlineStr">
        <is>
          <t>200 - F701CV INGRESSO H2 CONTROLLO E RIPRISTINO FUNZIONALITA VALVOLA CON SOSTITUZIONE ACCESSORI A CORREDO</t>
        </is>
      </c>
      <c r="H44" s="111" t="n"/>
      <c r="I44" s="111" t="n"/>
      <c r="J44" s="111" t="n"/>
      <c r="K44" s="111" t="n"/>
      <c r="L44" s="111" t="n"/>
      <c r="M44" s="110" t="inlineStr">
        <is>
          <t>DA CHIUDERE</t>
        </is>
      </c>
      <c r="N44" s="110" t="n"/>
      <c r="O44" s="168" t="n"/>
      <c r="P44" s="168" t="n"/>
      <c r="Q44" s="110" t="inlineStr">
        <is>
          <t>ATTIVITA' IN CORSO PASSATA AD OFFICINA VALVOLE</t>
        </is>
      </c>
      <c r="R44" s="110" t="n">
        <v>45762</v>
      </c>
      <c r="S44" s="110" t="inlineStr">
        <is>
          <t>CIANCHINO/ANDRONICO</t>
        </is>
      </c>
      <c r="T44" s="112">
        <f>IF(AND('Inserimento dati'!$B$3=$H$2, TabellaA1[[#This Row],[LUN]]="X"), "X",IF(AND('Inserimento dati'!$B$3=$I$2, TabellaA1[[#This Row],[MAR]]="X"), "X", IF(AND('Inserimento dati'!$B$3=$J$2, TabellaA1[[#This Row],[MER]]="X"), "X",IF(AND('Inserimento dati'!$B$3=$K$2, TabellaA1[[#This Row],[GIO]]="X"), "X", IF(AND('Inserimento dati'!$B$3=$L$2, TabellaA1[[#This Row],[VEN]]="X"), "X","")))))</f>
        <v/>
      </c>
      <c r="U44" s="160">
        <f>IFERROR(MID(G44,_xlfn.AGGREGATE(15,6,(ROW(INDIRECT("1:"&amp;LEN(G44)-7)))/(ISNUMBER(--MID(G44,ROW(INDIRECT("1:"&amp;LEN(G44)-7)),8))),1),8),"")</f>
        <v/>
      </c>
      <c r="V44" t="inlineStr">
        <is>
          <t>2025-09-30 20:00:00</t>
        </is>
      </c>
    </row>
    <row r="45" ht="30" customFormat="1" customHeight="1" s="45">
      <c r="A45" s="112" t="n"/>
      <c r="B45" s="112">
        <f>IF(OR(A45="x",A45="X"),"",IF(ISBLANK(A45),"X",""))</f>
        <v/>
      </c>
      <c r="C45" s="112">
        <f>IF(OR(TabellaA1[[#This Row],[LUN]]="X",TabellaA1[[#This Row],[MAR]]="X",TabellaA1[[#This Row],[MER]]="X",TabellaA1[[#This Row],[GIO]]="X",TabellaA1[[#This Row],[VEN]]="X",),"X","")</f>
        <v/>
      </c>
      <c r="D45" s="113" t="inlineStr">
        <is>
          <t>AREA 1</t>
        </is>
      </c>
      <c r="E45" s="109" t="inlineStr">
        <is>
          <t>532930/C</t>
        </is>
      </c>
      <c r="F45" s="109" t="n">
        <v>900</v>
      </c>
      <c r="G45" s="109" t="inlineStr">
        <is>
          <t>900 - F004R SOSTITUZIONE CAVO SECONDARIO E RIFACIMENTO CONDUIT TRA  STRUMENTO E CASSETTA JB E2</t>
        </is>
      </c>
      <c r="H45" s="111" t="n"/>
      <c r="I45" s="111" t="n"/>
      <c r="J45" s="111" t="n"/>
      <c r="K45" s="111" t="n"/>
      <c r="L45" s="111" t="n"/>
      <c r="M45" s="110" t="inlineStr">
        <is>
          <t>DA CHIUDERE</t>
        </is>
      </c>
      <c r="N45" s="110" t="n"/>
      <c r="O45" s="168" t="n"/>
      <c r="P45" s="168" t="n"/>
      <c r="Q45" s="110" t="inlineStr">
        <is>
          <t>COSTRUZIONE E POSA TUBO CONDUIT E PASSAGGIO DOPPINO DA CHIUDERE</t>
        </is>
      </c>
      <c r="R45" s="110" t="n">
        <v>45762</v>
      </c>
      <c r="S45" s="110" t="inlineStr">
        <is>
          <t>CAVAGNACCHI/MANSERVIGI</t>
        </is>
      </c>
      <c r="T45" s="112">
        <f>IF(AND('Inserimento dati'!$B$3=$H$2, TabellaA1[[#This Row],[LUN]]="X"), "X",IF(AND('Inserimento dati'!$B$3=$I$2, TabellaA1[[#This Row],[MAR]]="X"), "X", IF(AND('Inserimento dati'!$B$3=$J$2, TabellaA1[[#This Row],[MER]]="X"), "X",IF(AND('Inserimento dati'!$B$3=$K$2, TabellaA1[[#This Row],[GIO]]="X"), "X", IF(AND('Inserimento dati'!$B$3=$L$2, TabellaA1[[#This Row],[VEN]]="X"), "X","")))))</f>
        <v/>
      </c>
      <c r="U45" s="160">
        <f>IFERROR(MID(G45,_xlfn.AGGREGATE(15,6,(ROW(INDIRECT("1:"&amp;LEN(G45)-7)))/(ISNUMBER(--MID(G45,ROW(INDIRECT("1:"&amp;LEN(G45)-7)),8))),1),8),"")</f>
        <v/>
      </c>
      <c r="V45" t="inlineStr">
        <is>
          <t>2025-09-30 20:00:00</t>
        </is>
      </c>
    </row>
    <row r="46" ht="30" customFormat="1" customHeight="1" s="45">
      <c r="A46" s="112" t="n"/>
      <c r="B46" s="112">
        <f>IF(OR(A46="x",A46="X"),"",IF(ISBLANK(A46),"X",""))</f>
        <v/>
      </c>
      <c r="C46" s="112">
        <f>IF(OR(TabellaA1[[#This Row],[LUN]]="X",TabellaA1[[#This Row],[MAR]]="X",TabellaA1[[#This Row],[MER]]="X",TabellaA1[[#This Row],[GIO]]="X",TabellaA1[[#This Row],[VEN]]="X",),"X","")</f>
        <v/>
      </c>
      <c r="D46" s="113" t="inlineStr">
        <is>
          <t>AREA 1</t>
        </is>
      </c>
      <c r="E46" s="109" t="inlineStr">
        <is>
          <t>532822/C</t>
        </is>
      </c>
      <c r="F46" s="109" t="n">
        <v>200</v>
      </c>
      <c r="G46" s="109" t="inlineStr">
        <is>
          <t>200 - H261IC(VALVOLA GLOBO IDROGENO) CONTROLLO E RIPRISTINO FUNZIONALITA VALVOLA</t>
        </is>
      </c>
      <c r="H46" s="111" t="n"/>
      <c r="I46" s="111" t="n"/>
      <c r="J46" s="111" t="n"/>
      <c r="K46" s="111" t="n"/>
      <c r="L46" s="111" t="n"/>
      <c r="M46" s="110" t="inlineStr">
        <is>
          <t>DA CHIUDERE</t>
        </is>
      </c>
      <c r="N46" s="110" t="n"/>
      <c r="O46" s="168" t="n"/>
      <c r="P46" s="168" t="n"/>
      <c r="Q46" s="110" t="n"/>
      <c r="R46" s="110" t="n">
        <v>45757</v>
      </c>
      <c r="S46" s="110" t="inlineStr">
        <is>
          <t>GARRO</t>
        </is>
      </c>
      <c r="T46" s="112">
        <f>IF(AND('Inserimento dati'!$B$3=$H$2, TabellaA1[[#This Row],[LUN]]="X"), "X",IF(AND('Inserimento dati'!$B$3=$I$2, TabellaA1[[#This Row],[MAR]]="X"), "X", IF(AND('Inserimento dati'!$B$3=$J$2, TabellaA1[[#This Row],[MER]]="X"), "X",IF(AND('Inserimento dati'!$B$3=$K$2, TabellaA1[[#This Row],[GIO]]="X"), "X", IF(AND('Inserimento dati'!$B$3=$L$2, TabellaA1[[#This Row],[VEN]]="X"), "X","")))))</f>
        <v/>
      </c>
      <c r="U46" s="160">
        <f>IFERROR(MID(G46,_xlfn.AGGREGATE(15,6,(ROW(INDIRECT("1:"&amp;LEN(G46)-7)))/(ISNUMBER(--MID(G46,ROW(INDIRECT("1:"&amp;LEN(G46)-7)),8))),1),8),"")</f>
        <v/>
      </c>
      <c r="V46" t="inlineStr">
        <is>
          <t>2025-09-30 20:00:00</t>
        </is>
      </c>
    </row>
    <row r="47" ht="23.25" customFormat="1" customHeight="1" s="45">
      <c r="A47" s="112" t="n"/>
      <c r="B47" s="112">
        <f>IF(OR(A47="x",A47="X"),"",IF(ISBLANK(A47),"X",""))</f>
        <v/>
      </c>
      <c r="C47" s="112">
        <f>IF(OR(TabellaA1[[#This Row],[LUN]]="X",TabellaA1[[#This Row],[MAR]]="X",TabellaA1[[#This Row],[MER]]="X",TabellaA1[[#This Row],[GIO]]="X",TabellaA1[[#This Row],[VEN]]="X",),"X","")</f>
        <v/>
      </c>
      <c r="D47" s="113" t="inlineStr">
        <is>
          <t>AREA 1</t>
        </is>
      </c>
      <c r="E47" s="109" t="inlineStr">
        <is>
          <t>531429/C</t>
        </is>
      </c>
      <c r="F47" s="109" t="n">
        <v>100</v>
      </c>
      <c r="G47" s="109" t="inlineStr">
        <is>
          <t>100 - T316HA CONTROLLO TEMPERATURA OLIO MANOVELLISMI K651A</t>
        </is>
      </c>
      <c r="H47" s="111" t="n"/>
      <c r="I47" s="111" t="n"/>
      <c r="J47" s="111" t="n"/>
      <c r="K47" s="111" t="n"/>
      <c r="L47" s="111" t="n"/>
      <c r="M47" s="110" t="inlineStr">
        <is>
          <t>DA CHIUDERE</t>
        </is>
      </c>
      <c r="N47" s="110" t="n"/>
      <c r="O47" s="168" t="n"/>
      <c r="P47" s="168" t="n"/>
      <c r="Q47" s="110" t="n"/>
      <c r="R47" s="110" t="n">
        <v>45755</v>
      </c>
      <c r="S47" s="110" t="inlineStr">
        <is>
          <t>SPINALI</t>
        </is>
      </c>
      <c r="T47" s="112">
        <f>IF(AND('Inserimento dati'!$B$3=$H$2, TabellaA1[[#This Row],[LUN]]="X"), "X",IF(AND('Inserimento dati'!$B$3=$I$2, TabellaA1[[#This Row],[MAR]]="X"), "X", IF(AND('Inserimento dati'!$B$3=$J$2, TabellaA1[[#This Row],[MER]]="X"), "X",IF(AND('Inserimento dati'!$B$3=$K$2, TabellaA1[[#This Row],[GIO]]="X"), "X", IF(AND('Inserimento dati'!$B$3=$L$2, TabellaA1[[#This Row],[VEN]]="X"), "X","")))))</f>
        <v/>
      </c>
      <c r="U47" s="160">
        <f>IFERROR(MID(G47,_xlfn.AGGREGATE(15,6,(ROW(INDIRECT("1:"&amp;LEN(G47)-7)))/(ISNUMBER(--MID(G47,ROW(INDIRECT("1:"&amp;LEN(G47)-7)),8))),1),8),"")</f>
        <v/>
      </c>
      <c r="V47" t="inlineStr">
        <is>
          <t>2025-09-30 20:00:00</t>
        </is>
      </c>
    </row>
    <row r="48" ht="30" customFormat="1" customHeight="1" s="45">
      <c r="A48" s="112" t="n"/>
      <c r="B48" s="112">
        <f>IF(OR(A48="x",A48="X"),"",IF(ISBLANK(A48),"X",""))</f>
        <v/>
      </c>
      <c r="C48" s="112">
        <f>IF(OR(TabellaA1[[#This Row],[LUN]]="X",TabellaA1[[#This Row],[MAR]]="X",TabellaA1[[#This Row],[MER]]="X",TabellaA1[[#This Row],[GIO]]="X",TabellaA1[[#This Row],[VEN]]="X",),"X","")</f>
        <v/>
      </c>
      <c r="D48" s="113" t="inlineStr">
        <is>
          <t>AREA 1</t>
        </is>
      </c>
      <c r="E48" s="109" t="inlineStr">
        <is>
          <t>527841/C</t>
        </is>
      </c>
      <c r="F48" s="109" t="n">
        <v>900</v>
      </c>
      <c r="G48" s="109" t="inlineStr">
        <is>
          <t>900 - 09P102AL BASSA PRESSIONE TENUTA P102/A CONTROLLO E RIPRISTINO FUNZIONALITA.</t>
        </is>
      </c>
      <c r="H48" s="111" t="n"/>
      <c r="I48" s="111" t="n"/>
      <c r="J48" s="111" t="n"/>
      <c r="K48" s="111" t="n"/>
      <c r="L48" s="111" t="n"/>
      <c r="M48" s="110" t="inlineStr">
        <is>
          <t>DA CHIUDERE</t>
        </is>
      </c>
      <c r="N48" s="110" t="n"/>
      <c r="O48" s="168" t="n"/>
      <c r="P48" s="168" t="n"/>
      <c r="Q48" s="110" t="inlineStr">
        <is>
          <t>ATTIVITA' CONCLUSA</t>
        </is>
      </c>
      <c r="R48" s="110" t="n">
        <v>45747</v>
      </c>
      <c r="S48" s="110" t="inlineStr">
        <is>
          <t>SPINALI/SERRA</t>
        </is>
      </c>
      <c r="T48" s="112">
        <f>IF(AND('Inserimento dati'!$B$3=$H$2, TabellaA1[[#This Row],[LUN]]="X"), "X",IF(AND('Inserimento dati'!$B$3=$I$2, TabellaA1[[#This Row],[MAR]]="X"), "X", IF(AND('Inserimento dati'!$B$3=$J$2, TabellaA1[[#This Row],[MER]]="X"), "X",IF(AND('Inserimento dati'!$B$3=$K$2, TabellaA1[[#This Row],[GIO]]="X"), "X", IF(AND('Inserimento dati'!$B$3=$L$2, TabellaA1[[#This Row],[VEN]]="X"), "X","")))))</f>
        <v/>
      </c>
      <c r="U48" s="160">
        <f>IFERROR(MID(G48,_xlfn.AGGREGATE(15,6,(ROW(INDIRECT("1:"&amp;LEN(G48)-7)))/(ISNUMBER(--MID(G48,ROW(INDIRECT("1:"&amp;LEN(G48)-7)),8))),1),8),"")</f>
        <v/>
      </c>
      <c r="V48" t="inlineStr">
        <is>
          <t>2025-09-30 20:00:00</t>
        </is>
      </c>
    </row>
    <row r="49" ht="30" customFormat="1" customHeight="1" s="45">
      <c r="A49" s="112" t="n"/>
      <c r="B49" s="112">
        <f>IF(OR(A49="x",A49="X"),"",IF(ISBLANK(A49),"X",""))</f>
        <v/>
      </c>
      <c r="C49" s="112">
        <f>IF(OR(TabellaA1[[#This Row],[LUN]]="X",TabellaA1[[#This Row],[MAR]]="X",TabellaA1[[#This Row],[MER]]="X",TabellaA1[[#This Row],[GIO]]="X",TabellaA1[[#This Row],[VEN]]="X",),"X","")</f>
        <v/>
      </c>
      <c r="D49" s="113" t="inlineStr">
        <is>
          <t>AREA 1</t>
        </is>
      </c>
      <c r="E49" s="109" t="inlineStr">
        <is>
          <t>527840/C</t>
        </is>
      </c>
      <c r="F49" s="109" t="n">
        <v>900</v>
      </c>
      <c r="G49" s="109" t="inlineStr">
        <is>
          <t>900 - 09P105AL BASSA PRESSIONE  TENUTA P105/A   09P105BL BASSA PRESSIONE  TENUTA P105/B.CONTROLLO E RIPRISTINO FUNZIONALITA.</t>
        </is>
      </c>
      <c r="H49" s="111" t="n"/>
      <c r="I49" s="111" t="n"/>
      <c r="J49" s="111" t="n"/>
      <c r="K49" s="111" t="n"/>
      <c r="L49" s="111" t="n"/>
      <c r="M49" s="110" t="inlineStr">
        <is>
          <t>DA CHIUDERE</t>
        </is>
      </c>
      <c r="N49" s="110" t="n"/>
      <c r="O49" s="168" t="n"/>
      <c r="P49" s="168" t="n"/>
      <c r="Q49" s="110" t="inlineStr">
        <is>
          <t>ATTIVITA' CONCLUSA</t>
        </is>
      </c>
      <c r="R49" s="110" t="n">
        <v>45747</v>
      </c>
      <c r="S49" s="110" t="inlineStr">
        <is>
          <t>SPINALI/SERRA</t>
        </is>
      </c>
      <c r="T49" s="112">
        <f>IF(AND('Inserimento dati'!$B$3=$H$2, TabellaA1[[#This Row],[LUN]]="X"), "X",IF(AND('Inserimento dati'!$B$3=$I$2, TabellaA1[[#This Row],[MAR]]="X"), "X", IF(AND('Inserimento dati'!$B$3=$J$2, TabellaA1[[#This Row],[MER]]="X"), "X",IF(AND('Inserimento dati'!$B$3=$K$2, TabellaA1[[#This Row],[GIO]]="X"), "X", IF(AND('Inserimento dati'!$B$3=$L$2, TabellaA1[[#This Row],[VEN]]="X"), "X","")))))</f>
        <v/>
      </c>
      <c r="U49" s="160">
        <f>IFERROR(MID(G49,_xlfn.AGGREGATE(15,6,(ROW(INDIRECT("1:"&amp;LEN(G49)-7)))/(ISNUMBER(--MID(G49,ROW(INDIRECT("1:"&amp;LEN(G49)-7)),8))),1),8),"")</f>
        <v/>
      </c>
      <c r="V49" t="inlineStr">
        <is>
          <t>2025-09-30 20:00:00</t>
        </is>
      </c>
    </row>
    <row r="50" ht="30" customFormat="1" customHeight="1" s="45">
      <c r="A50" s="112" t="n"/>
      <c r="B50" s="112">
        <f>IF(OR(A50="x",A50="X"),"",IF(ISBLANK(A50),"X",""))</f>
        <v/>
      </c>
      <c r="C50" s="112">
        <f>IF(OR(TabellaA1[[#This Row],[LUN]]="X",TabellaA1[[#This Row],[MAR]]="X",TabellaA1[[#This Row],[MER]]="X",TabellaA1[[#This Row],[GIO]]="X",TabellaA1[[#This Row],[VEN]]="X",),"X","")</f>
        <v/>
      </c>
      <c r="D50" s="113" t="inlineStr">
        <is>
          <t>AREA 1</t>
        </is>
      </c>
      <c r="E50" s="109" t="inlineStr">
        <is>
          <t>527838/C</t>
        </is>
      </c>
      <c r="F50" s="109" t="n">
        <v>900</v>
      </c>
      <c r="G50" s="109" t="inlineStr">
        <is>
          <t>900 - 09L040LA BASSO LIVELLO TENUTA P107/A  09L041BASSO LIVELLO TENUTA P107/B.CONTROLLO E RIPRISTINO FUNZIONALITA.</t>
        </is>
      </c>
      <c r="H50" s="111" t="n"/>
      <c r="I50" s="111" t="n"/>
      <c r="J50" s="111" t="n"/>
      <c r="K50" s="111" t="n"/>
      <c r="L50" s="111" t="n"/>
      <c r="M50" s="110" t="inlineStr">
        <is>
          <t>DA CHIUDERE</t>
        </is>
      </c>
      <c r="N50" s="110" t="n"/>
      <c r="O50" s="168" t="n"/>
      <c r="P50" s="168" t="n"/>
      <c r="Q50" s="110" t="inlineStr">
        <is>
          <t>ATTIVITA' CONCLUSA</t>
        </is>
      </c>
      <c r="R50" s="110" t="n">
        <v>45747</v>
      </c>
      <c r="S50" s="110" t="inlineStr">
        <is>
          <t>SPINALI/SERRA</t>
        </is>
      </c>
      <c r="T50" s="112">
        <f>IF(AND('Inserimento dati'!$B$3=$H$2, TabellaA1[[#This Row],[LUN]]="X"), "X",IF(AND('Inserimento dati'!$B$3=$I$2, TabellaA1[[#This Row],[MAR]]="X"), "X", IF(AND('Inserimento dati'!$B$3=$J$2, TabellaA1[[#This Row],[MER]]="X"), "X",IF(AND('Inserimento dati'!$B$3=$K$2, TabellaA1[[#This Row],[GIO]]="X"), "X", IF(AND('Inserimento dati'!$B$3=$L$2, TabellaA1[[#This Row],[VEN]]="X"), "X","")))))</f>
        <v/>
      </c>
      <c r="U50" s="160">
        <f>IFERROR(MID(G50,_xlfn.AGGREGATE(15,6,(ROW(INDIRECT("1:"&amp;LEN(G50)-7)))/(ISNUMBER(--MID(G50,ROW(INDIRECT("1:"&amp;LEN(G50)-7)),8))),1),8),"")</f>
        <v/>
      </c>
      <c r="V50" t="inlineStr">
        <is>
          <t>2025-09-30 20:00:00</t>
        </is>
      </c>
    </row>
    <row r="51" ht="30" customFormat="1" customHeight="1" s="45">
      <c r="A51" s="112" t="n"/>
      <c r="B51" s="112">
        <f>IF(OR(A51="x",A51="X"),"",IF(ISBLANK(A51),"X",""))</f>
        <v/>
      </c>
      <c r="C51" s="112">
        <f>IF(OR(TabellaA1[[#This Row],[LUN]]="X",TabellaA1[[#This Row],[MAR]]="X",TabellaA1[[#This Row],[MER]]="X",TabellaA1[[#This Row],[GIO]]="X",TabellaA1[[#This Row],[VEN]]="X",),"X","")</f>
        <v/>
      </c>
      <c r="D51" s="113" t="inlineStr">
        <is>
          <t>AREA 1</t>
        </is>
      </c>
      <c r="E51" s="109" t="inlineStr">
        <is>
          <t>528660/C</t>
        </is>
      </c>
      <c r="F51" s="109" t="n">
        <v>200</v>
      </c>
      <c r="G51" s="109" t="inlineStr">
        <is>
          <t xml:space="preserve">200 - 200P101AL   200P101BL (AVARIA TENUTA POMPE P101A/B )CONTROLLO E RIPRISTINO ALLARMI TENUTA POMPE </t>
        </is>
      </c>
      <c r="H51" s="111" t="n"/>
      <c r="I51" s="111" t="n"/>
      <c r="J51" s="111" t="n"/>
      <c r="K51" s="111" t="n"/>
      <c r="L51" s="111" t="n"/>
      <c r="M51" s="110" t="inlineStr">
        <is>
          <t>DA CHIUDERE</t>
        </is>
      </c>
      <c r="N51" s="110" t="n"/>
      <c r="O51" s="168" t="n"/>
      <c r="P51" s="168" t="n"/>
      <c r="Q51" s="110" t="n"/>
      <c r="R51" s="110" t="n"/>
      <c r="S51" s="110" t="n"/>
      <c r="T51" s="112">
        <f>IF(AND('Inserimento dati'!$B$3=$H$2, TabellaA1[[#This Row],[LUN]]="X"), "X",IF(AND('Inserimento dati'!$B$3=$I$2, TabellaA1[[#This Row],[MAR]]="X"), "X", IF(AND('Inserimento dati'!$B$3=$J$2, TabellaA1[[#This Row],[MER]]="X"), "X",IF(AND('Inserimento dati'!$B$3=$K$2, TabellaA1[[#This Row],[GIO]]="X"), "X", IF(AND('Inserimento dati'!$B$3=$L$2, TabellaA1[[#This Row],[VEN]]="X"), "X","")))))</f>
        <v/>
      </c>
      <c r="U51" s="160">
        <f>IFERROR(MID(G51,_xlfn.AGGREGATE(15,6,(ROW(INDIRECT("1:"&amp;LEN(G51)-7)))/(ISNUMBER(--MID(G51,ROW(INDIRECT("1:"&amp;LEN(G51)-7)),8))),1),8),"")</f>
        <v/>
      </c>
      <c r="V51" t="inlineStr">
        <is>
          <t>2025-09-30 20:00:00</t>
        </is>
      </c>
    </row>
    <row r="52" ht="30" customFormat="1" customHeight="1" s="45">
      <c r="A52" s="112" t="n"/>
      <c r="B52" s="112">
        <f>IF(OR(A52="x",A52="X"),"",IF(ISBLANK(A52),"X",""))</f>
        <v/>
      </c>
      <c r="C52" s="112">
        <f>IF(OR(TabellaA1[[#This Row],[LUN]]="X",TabellaA1[[#This Row],[MAR]]="X",TabellaA1[[#This Row],[MER]]="X",TabellaA1[[#This Row],[GIO]]="X",TabellaA1[[#This Row],[VEN]]="X",),"X","")</f>
        <v/>
      </c>
      <c r="D52" s="113" t="inlineStr">
        <is>
          <t>AREA 1</t>
        </is>
      </c>
      <c r="E52" s="109" t="inlineStr">
        <is>
          <t>528664/C</t>
        </is>
      </c>
      <c r="F52" s="109" t="n">
        <v>200</v>
      </c>
      <c r="G52" s="109" t="inlineStr">
        <is>
          <t xml:space="preserve">200 - 200P102BL  (AVARIA TENUTA POMPA P102B )CONTROLLO E RIPRISTINO ALLARMI TENUTA POMPE </t>
        </is>
      </c>
      <c r="H52" s="111" t="n"/>
      <c r="I52" s="111" t="n"/>
      <c r="J52" s="111" t="n"/>
      <c r="K52" s="111" t="n"/>
      <c r="L52" s="111" t="n"/>
      <c r="M52" s="110" t="inlineStr">
        <is>
          <t>DA CHIUDERE</t>
        </is>
      </c>
      <c r="N52" s="110" t="n"/>
      <c r="O52" s="168" t="n"/>
      <c r="P52" s="168" t="n"/>
      <c r="Q52" s="110" t="n"/>
      <c r="R52" s="110" t="n">
        <v>45727</v>
      </c>
      <c r="S52" s="110" t="inlineStr">
        <is>
          <t>SPINALI</t>
        </is>
      </c>
      <c r="T52" s="112">
        <f>IF(AND('Inserimento dati'!$B$3=$H$2, TabellaA1[[#This Row],[LUN]]="X"), "X",IF(AND('Inserimento dati'!$B$3=$I$2, TabellaA1[[#This Row],[MAR]]="X"), "X", IF(AND('Inserimento dati'!$B$3=$J$2, TabellaA1[[#This Row],[MER]]="X"), "X",IF(AND('Inserimento dati'!$B$3=$K$2, TabellaA1[[#This Row],[GIO]]="X"), "X", IF(AND('Inserimento dati'!$B$3=$L$2, TabellaA1[[#This Row],[VEN]]="X"), "X","")))))</f>
        <v/>
      </c>
      <c r="U52" s="160">
        <f>IFERROR(MID(G52,_xlfn.AGGREGATE(15,6,(ROW(INDIRECT("1:"&amp;LEN(G52)-7)))/(ISNUMBER(--MID(G52,ROW(INDIRECT("1:"&amp;LEN(G52)-7)),8))),1),8),"")</f>
        <v/>
      </c>
      <c r="V52" t="inlineStr">
        <is>
          <t>2025-09-30 20:00:00</t>
        </is>
      </c>
    </row>
    <row r="53" ht="30" customFormat="1" customHeight="1" s="45">
      <c r="A53" s="112" t="n"/>
      <c r="B53" s="112">
        <f>IF(OR(A53="x",A53="X"),"",IF(ISBLANK(A53),"X",""))</f>
        <v/>
      </c>
      <c r="C53" s="112">
        <f>IF(OR(TabellaA1[[#This Row],[LUN]]="X",TabellaA1[[#This Row],[MAR]]="X",TabellaA1[[#This Row],[MER]]="X",TabellaA1[[#This Row],[GIO]]="X",TabellaA1[[#This Row],[VEN]]="X",),"X","")</f>
        <v/>
      </c>
      <c r="D53" s="113" t="inlineStr">
        <is>
          <t>AREA 1</t>
        </is>
      </c>
      <c r="E53" s="109" t="inlineStr">
        <is>
          <t>528663/C</t>
        </is>
      </c>
      <c r="F53" s="109" t="n">
        <v>200</v>
      </c>
      <c r="G53" s="109" t="inlineStr">
        <is>
          <t xml:space="preserve">200 - 200P103AL  (AVARIA TENUTA POMPA P103/A )CONTROLLO E RIPRISTINO ALLARMI TENUTA POMPE </t>
        </is>
      </c>
      <c r="H53" s="111" t="n"/>
      <c r="I53" s="111" t="n"/>
      <c r="J53" s="111" t="n"/>
      <c r="K53" s="111" t="n"/>
      <c r="L53" s="111" t="n"/>
      <c r="M53" s="110" t="inlineStr">
        <is>
          <t>DA CHIUDERE</t>
        </is>
      </c>
      <c r="N53" s="110" t="n"/>
      <c r="O53" s="168" t="n"/>
      <c r="P53" s="168" t="n"/>
      <c r="Q53" s="110" t="inlineStr">
        <is>
          <t>STARATO, CORRETTO</t>
        </is>
      </c>
      <c r="R53" s="110" t="n">
        <v>45727</v>
      </c>
      <c r="S53" s="110" t="inlineStr">
        <is>
          <t>SPINALI</t>
        </is>
      </c>
      <c r="T53" s="112">
        <f>IF(AND('Inserimento dati'!$B$3=$H$2, TabellaA1[[#This Row],[LUN]]="X"), "X",IF(AND('Inserimento dati'!$B$3=$I$2, TabellaA1[[#This Row],[MAR]]="X"), "X", IF(AND('Inserimento dati'!$B$3=$J$2, TabellaA1[[#This Row],[MER]]="X"), "X",IF(AND('Inserimento dati'!$B$3=$K$2, TabellaA1[[#This Row],[GIO]]="X"), "X", IF(AND('Inserimento dati'!$B$3=$L$2, TabellaA1[[#This Row],[VEN]]="X"), "X","")))))</f>
        <v/>
      </c>
      <c r="U53" s="160">
        <f>IFERROR(MID(G53,_xlfn.AGGREGATE(15,6,(ROW(INDIRECT("1:"&amp;LEN(G53)-7)))/(ISNUMBER(--MID(G53,ROW(INDIRECT("1:"&amp;LEN(G53)-7)),8))),1),8),"")</f>
        <v/>
      </c>
      <c r="V53" t="inlineStr">
        <is>
          <t>2025-09-30 20:00:00</t>
        </is>
      </c>
    </row>
    <row r="54" ht="30" customFormat="1" customHeight="1" s="45">
      <c r="A54" s="112" t="n"/>
      <c r="B54" s="112">
        <f>IF(OR(A54="x",A54="X"),"",IF(ISBLANK(A54),"X",""))</f>
        <v/>
      </c>
      <c r="C54" s="112">
        <f>IF(OR(TabellaA1[[#This Row],[LUN]]="X",TabellaA1[[#This Row],[MAR]]="X",TabellaA1[[#This Row],[MER]]="X",TabellaA1[[#This Row],[GIO]]="X",TabellaA1[[#This Row],[VEN]]="X",),"X","")</f>
        <v/>
      </c>
      <c r="D54" s="113" t="inlineStr">
        <is>
          <t>AREA 1</t>
        </is>
      </c>
      <c r="E54" s="109" t="inlineStr">
        <is>
          <t>528662/C</t>
        </is>
      </c>
      <c r="F54" s="109" t="n">
        <v>200</v>
      </c>
      <c r="G54" s="109" t="inlineStr">
        <is>
          <t xml:space="preserve">200 - P104BL  (AVARIA TENUTA POMPA P104B )CONTROLLO E RIPRISTINO ALLARMI TENUTA POMPE </t>
        </is>
      </c>
      <c r="H54" s="111" t="n"/>
      <c r="I54" s="111" t="n"/>
      <c r="J54" s="111" t="n"/>
      <c r="K54" s="111" t="n"/>
      <c r="L54" s="111" t="n"/>
      <c r="M54" s="110" t="inlineStr">
        <is>
          <t>DA CHIUDERE</t>
        </is>
      </c>
      <c r="N54" s="110" t="n"/>
      <c r="O54" s="168" t="n"/>
      <c r="P54" s="168" t="n"/>
      <c r="Q54" s="110" t="n"/>
      <c r="R54" s="110" t="n">
        <v>45727</v>
      </c>
      <c r="S54" s="110" t="inlineStr">
        <is>
          <t>SPINALI</t>
        </is>
      </c>
      <c r="T54" s="112">
        <f>IF(AND('Inserimento dati'!$B$3=$H$2, TabellaA1[[#This Row],[LUN]]="X"), "X",IF(AND('Inserimento dati'!$B$3=$I$2, TabellaA1[[#This Row],[MAR]]="X"), "X", IF(AND('Inserimento dati'!$B$3=$J$2, TabellaA1[[#This Row],[MER]]="X"), "X",IF(AND('Inserimento dati'!$B$3=$K$2, TabellaA1[[#This Row],[GIO]]="X"), "X", IF(AND('Inserimento dati'!$B$3=$L$2, TabellaA1[[#This Row],[VEN]]="X"), "X","")))))</f>
        <v/>
      </c>
      <c r="U54" s="160">
        <f>IFERROR(MID(G54,_xlfn.AGGREGATE(15,6,(ROW(INDIRECT("1:"&amp;LEN(G54)-7)))/(ISNUMBER(--MID(G54,ROW(INDIRECT("1:"&amp;LEN(G54)-7)),8))),1),8),"")</f>
        <v/>
      </c>
      <c r="V54" t="inlineStr">
        <is>
          <t>2025-09-30 20:00:00</t>
        </is>
      </c>
    </row>
    <row r="55" ht="23.25" customFormat="1" customHeight="1" s="45">
      <c r="A55" s="112" t="n"/>
      <c r="B55" s="112">
        <f>IF(OR(A55="x",A55="X"),"",IF(ISBLANK(A55),"X",""))</f>
        <v/>
      </c>
      <c r="C55" s="112">
        <f>IF(OR(TabellaA1[[#This Row],[LUN]]="X",TabellaA1[[#This Row],[MAR]]="X",TabellaA1[[#This Row],[MER]]="X",TabellaA1[[#This Row],[GIO]]="X",TabellaA1[[#This Row],[VEN]]="X",),"X","")</f>
        <v/>
      </c>
      <c r="D55" s="113" t="inlineStr">
        <is>
          <t>AREA 1</t>
        </is>
      </c>
      <c r="E55" s="109" t="inlineStr">
        <is>
          <t>530129/C</t>
        </is>
      </c>
      <c r="F55" s="109" t="n">
        <v>900</v>
      </c>
      <c r="G55" s="109" t="inlineStr">
        <is>
          <t>900 - T006I(CONDENSATO USCITA E101A/B ) CONTROLLO E RIPRISTINO MISURA</t>
        </is>
      </c>
      <c r="H55" s="111" t="n"/>
      <c r="I55" s="111" t="n"/>
      <c r="J55" s="111" t="n"/>
      <c r="K55" s="111" t="n"/>
      <c r="L55" s="111" t="n"/>
      <c r="M55" s="110" t="inlineStr">
        <is>
          <t>DA CHIUDERE</t>
        </is>
      </c>
      <c r="N55" s="110" t="n"/>
      <c r="O55" s="168" t="n"/>
      <c r="P55" s="168" t="n"/>
      <c r="Q55" s="110" t="inlineStr">
        <is>
          <t>RIPRISTINATA FUNZIONALITA' DOPO AVER COLLEGATO</t>
        </is>
      </c>
      <c r="R55" s="110" t="n">
        <v>45736</v>
      </c>
      <c r="S55" s="110" t="inlineStr">
        <is>
          <t>TARASCIO</t>
        </is>
      </c>
      <c r="T55" s="112">
        <f>IF(AND('Inserimento dati'!$B$3=$H$2, TabellaA1[[#This Row],[LUN]]="X"), "X",IF(AND('Inserimento dati'!$B$3=$I$2, TabellaA1[[#This Row],[MAR]]="X"), "X", IF(AND('Inserimento dati'!$B$3=$J$2, TabellaA1[[#This Row],[MER]]="X"), "X",IF(AND('Inserimento dati'!$B$3=$K$2, TabellaA1[[#This Row],[GIO]]="X"), "X", IF(AND('Inserimento dati'!$B$3=$L$2, TabellaA1[[#This Row],[VEN]]="X"), "X","")))))</f>
        <v/>
      </c>
      <c r="U55" s="160">
        <f>IFERROR(MID(G55,_xlfn.AGGREGATE(15,6,(ROW(INDIRECT("1:"&amp;LEN(G55)-7)))/(ISNUMBER(--MID(G55,ROW(INDIRECT("1:"&amp;LEN(G55)-7)),8))),1),8),"")</f>
        <v/>
      </c>
      <c r="V55" t="inlineStr">
        <is>
          <t>2025-09-30 20:00:00</t>
        </is>
      </c>
    </row>
    <row r="56" ht="30" customFormat="1" customHeight="1" s="45">
      <c r="A56" s="112" t="n"/>
      <c r="B56" s="112">
        <f>IF(OR(A56="x",A56="X"),"",IF(ISBLANK(A56),"X",""))</f>
        <v/>
      </c>
      <c r="C56" s="112">
        <f>IF(OR(TabellaA1[[#This Row],[LUN]]="X",TabellaA1[[#This Row],[MAR]]="X",TabellaA1[[#This Row],[MER]]="X",TabellaA1[[#This Row],[GIO]]="X",TabellaA1[[#This Row],[VEN]]="X",),"X","")</f>
        <v/>
      </c>
      <c r="D56" s="113" t="inlineStr">
        <is>
          <t>AREA 1</t>
        </is>
      </c>
      <c r="E56" s="109" t="inlineStr">
        <is>
          <t>528180/C</t>
        </is>
      </c>
      <c r="F56" s="109" t="n">
        <v>400</v>
      </c>
      <c r="G56" s="109" t="inlineStr">
        <is>
          <t>(RIDUZIONE ALLARMI ATTIVI)400L612AR (D403 BLOCCO  C401 ) CONTROLLO E RIPRISTINO FUNZIONALITA LIVELLO.METTERE I MOS PRIMA DI INIZIARE L'ATTIVITA</t>
        </is>
      </c>
      <c r="H56" s="111" t="n"/>
      <c r="I56" s="111" t="n"/>
      <c r="J56" s="111" t="n"/>
      <c r="K56" s="111" t="n"/>
      <c r="L56" s="111" t="n"/>
      <c r="M56" s="110" t="inlineStr">
        <is>
          <t>DA CHIUDERE</t>
        </is>
      </c>
      <c r="N56" s="110" t="n"/>
      <c r="O56" s="168" t="n"/>
      <c r="P56" s="168" t="n"/>
      <c r="Q56" s="110" t="inlineStr">
        <is>
          <t>ATTESA RICAMBIO TESTINA FOXBORO</t>
        </is>
      </c>
      <c r="R56" s="110" t="n">
        <v>45722</v>
      </c>
      <c r="S56" s="110" t="inlineStr">
        <is>
          <t>SPINALI/SERRA</t>
        </is>
      </c>
      <c r="T56" s="112">
        <f>IF(AND('Inserimento dati'!$B$3=$H$2, TabellaA1[[#This Row],[LUN]]="X"), "X",IF(AND('Inserimento dati'!$B$3=$I$2, TabellaA1[[#This Row],[MAR]]="X"), "X", IF(AND('Inserimento dati'!$B$3=$J$2, TabellaA1[[#This Row],[MER]]="X"), "X",IF(AND('Inserimento dati'!$B$3=$K$2, TabellaA1[[#This Row],[GIO]]="X"), "X", IF(AND('Inserimento dati'!$B$3=$L$2, TabellaA1[[#This Row],[VEN]]="X"), "X","")))))</f>
        <v/>
      </c>
      <c r="U56" s="160">
        <f>IFERROR(MID(G56,_xlfn.AGGREGATE(15,6,(ROW(INDIRECT("1:"&amp;LEN(G56)-7)))/(ISNUMBER(--MID(G56,ROW(INDIRECT("1:"&amp;LEN(G56)-7)),8))),1),8),"")</f>
        <v/>
      </c>
      <c r="V56" t="inlineStr">
        <is>
          <t>2025-09-30 20:00:00</t>
        </is>
      </c>
    </row>
    <row r="57" ht="30" customFormat="1" customHeight="1" s="45">
      <c r="A57" s="112" t="n"/>
      <c r="B57" s="112">
        <f>IF(OR(A57="x",A57="X"),"",IF(ISBLANK(A57),"X",""))</f>
        <v/>
      </c>
      <c r="C57" s="112">
        <f>IF(OR(TabellaA1[[#This Row],[LUN]]="X",TabellaA1[[#This Row],[MAR]]="X",TabellaA1[[#This Row],[MER]]="X",TabellaA1[[#This Row],[GIO]]="X",TabellaA1[[#This Row],[VEN]]="X",),"X","")</f>
        <v/>
      </c>
      <c r="D57" s="113" t="inlineStr">
        <is>
          <t>AREA 1</t>
        </is>
      </c>
      <c r="E57" s="109" t="inlineStr">
        <is>
          <t>529765/C</t>
        </is>
      </c>
      <c r="F57" s="109" t="n">
        <v>100</v>
      </c>
      <c r="G57" s="109" t="inlineStr">
        <is>
          <t>100 - H101A (B101A) CONTROLLO E RIPRISTINO SERVOMATORE  DOPO AVER BLOCCACCATO MECCANICAMENTE LA SERRANDA</t>
        </is>
      </c>
      <c r="H57" s="111" t="n"/>
      <c r="I57" s="111" t="n"/>
      <c r="J57" s="111" t="n"/>
      <c r="K57" s="111" t="n"/>
      <c r="L57" s="111" t="n"/>
      <c r="M57" s="110" t="inlineStr">
        <is>
          <t>DA CHIUDERE</t>
        </is>
      </c>
      <c r="N57" s="110" t="n"/>
      <c r="O57" s="168" t="n"/>
      <c r="P57" s="168" t="n"/>
      <c r="Q57" s="110" t="n"/>
      <c r="R57" s="110" t="n">
        <v>45734</v>
      </c>
      <c r="S57" s="110" t="inlineStr">
        <is>
          <t>GARRO L.</t>
        </is>
      </c>
      <c r="T57" s="112">
        <f>IF(AND('Inserimento dati'!$B$3=$H$2, TabellaA1[[#This Row],[LUN]]="X"), "X",IF(AND('Inserimento dati'!$B$3=$I$2, TabellaA1[[#This Row],[MAR]]="X"), "X", IF(AND('Inserimento dati'!$B$3=$J$2, TabellaA1[[#This Row],[MER]]="X"), "X",IF(AND('Inserimento dati'!$B$3=$K$2, TabellaA1[[#This Row],[GIO]]="X"), "X", IF(AND('Inserimento dati'!$B$3=$L$2, TabellaA1[[#This Row],[VEN]]="X"), "X","")))))</f>
        <v/>
      </c>
      <c r="U57" s="160">
        <f>IFERROR(MID(G57,_xlfn.AGGREGATE(15,6,(ROW(INDIRECT("1:"&amp;LEN(G57)-7)))/(ISNUMBER(--MID(G57,ROW(INDIRECT("1:"&amp;LEN(G57)-7)),8))),1),8),"")</f>
        <v/>
      </c>
      <c r="V57" t="inlineStr">
        <is>
          <t>2025-09-30 20:00:00</t>
        </is>
      </c>
    </row>
    <row r="58" ht="45" customFormat="1" customHeight="1" s="45">
      <c r="A58" s="112" t="n"/>
      <c r="B58" s="112">
        <f>IF(OR(A58="x",A58="X"),"",IF(ISBLANK(A58),"X",""))</f>
        <v/>
      </c>
      <c r="C58" s="112">
        <f>IF(OR(TabellaA1[[#This Row],[LUN]]="X",TabellaA1[[#This Row],[MAR]]="X",TabellaA1[[#This Row],[MER]]="X",TabellaA1[[#This Row],[GIO]]="X",TabellaA1[[#This Row],[VEN]]="X",),"X","")</f>
        <v/>
      </c>
      <c r="D58" s="113" t="inlineStr">
        <is>
          <t>AREA 1</t>
        </is>
      </c>
      <c r="E58" s="109" t="inlineStr">
        <is>
          <t>529041/C</t>
        </is>
      </c>
      <c r="F58" s="109" t="n">
        <v>900</v>
      </c>
      <c r="G58" s="109" t="inlineStr">
        <is>
          <t>900 - F019CV CONTROLLO E RIPRISTINO VALVOLA (APRE DOPO IL25% DI OP)</t>
        </is>
      </c>
      <c r="H58" s="111" t="n"/>
      <c r="I58" s="111" t="n"/>
      <c r="J58" s="111" t="n"/>
      <c r="K58" s="111" t="n"/>
      <c r="L58" s="111" t="n"/>
      <c r="M58" s="110" t="inlineStr">
        <is>
          <t>DA CHIUDERE</t>
        </is>
      </c>
      <c r="N58" s="110" t="n"/>
      <c r="O58" s="168" t="n"/>
      <c r="P58" s="168" t="n"/>
      <c r="Q58" s="110" t="inlineStr">
        <is>
          <t>LA VALVOLA RISULTA STARATA CAUSA MANCANZA ALIMENTAZIONE DAL FILTRO RIDUTTORE. AUMENTATA ARIA, ALLINEATA CON SALA CONTROLLO. ATTIVITA' DA CHIUDERE.</t>
        </is>
      </c>
      <c r="R58" s="110" t="n">
        <v>45733</v>
      </c>
      <c r="S58" s="110" t="inlineStr">
        <is>
          <t>GARRO L.</t>
        </is>
      </c>
      <c r="T58" s="112">
        <f>IF(AND('Inserimento dati'!$B$3=$H$2, TabellaA1[[#This Row],[LUN]]="X"), "X",IF(AND('Inserimento dati'!$B$3=$I$2, TabellaA1[[#This Row],[MAR]]="X"), "X", IF(AND('Inserimento dati'!$B$3=$J$2, TabellaA1[[#This Row],[MER]]="X"), "X",IF(AND('Inserimento dati'!$B$3=$K$2, TabellaA1[[#This Row],[GIO]]="X"), "X", IF(AND('Inserimento dati'!$B$3=$L$2, TabellaA1[[#This Row],[VEN]]="X"), "X","")))))</f>
        <v/>
      </c>
      <c r="U58" s="160">
        <f>IFERROR(MID(G58,_xlfn.AGGREGATE(15,6,(ROW(INDIRECT("1:"&amp;LEN(G58)-7)))/(ISNUMBER(--MID(G58,ROW(INDIRECT("1:"&amp;LEN(G58)-7)),8))),1),8),"")</f>
        <v/>
      </c>
      <c r="V58" t="inlineStr">
        <is>
          <t>2025-09-30 20:00:00</t>
        </is>
      </c>
    </row>
    <row r="59" ht="23.25" customFormat="1" customHeight="1" s="45">
      <c r="A59" s="112" t="n"/>
      <c r="B59" s="112">
        <f>IF(OR(A59="x",A59="X"),"",IF(ISBLANK(A59),"X",""))</f>
        <v/>
      </c>
      <c r="C59" s="112">
        <f>IF(OR(TabellaA1[[#This Row],[LUN]]="X",TabellaA1[[#This Row],[MAR]]="X",TabellaA1[[#This Row],[MER]]="X",TabellaA1[[#This Row],[GIO]]="X",TabellaA1[[#This Row],[VEN]]="X",),"X","")</f>
        <v/>
      </c>
      <c r="D59" s="113" t="inlineStr">
        <is>
          <t>AREA 1</t>
        </is>
      </c>
      <c r="E59" s="109" t="inlineStr">
        <is>
          <t>529039/C</t>
        </is>
      </c>
      <c r="F59" s="109" t="n">
        <v>200</v>
      </c>
      <c r="G59" s="109" t="inlineStr">
        <is>
          <t>200 - T029I TESTA T101 RIPRISTINO PRESSACAVO E CAVI DI TERMOCOPPIA</t>
        </is>
      </c>
      <c r="H59" s="111" t="n"/>
      <c r="I59" s="111" t="n"/>
      <c r="J59" s="111" t="n"/>
      <c r="K59" s="111" t="n"/>
      <c r="L59" s="111" t="n"/>
      <c r="M59" s="110" t="inlineStr">
        <is>
          <t>DA CHIUDERE</t>
        </is>
      </c>
      <c r="N59" s="110" t="n"/>
      <c r="O59" s="168" t="n"/>
      <c r="P59" s="168" t="n"/>
      <c r="Q59" s="110" t="n"/>
      <c r="R59" s="110" t="n">
        <v>45733</v>
      </c>
      <c r="S59" s="110" t="inlineStr">
        <is>
          <t>SPINALI/SERRA</t>
        </is>
      </c>
      <c r="T59" s="112">
        <f>IF(AND('Inserimento dati'!$B$3=$H$2, TabellaA1[[#This Row],[LUN]]="X"), "X",IF(AND('Inserimento dati'!$B$3=$I$2, TabellaA1[[#This Row],[MAR]]="X"), "X", IF(AND('Inserimento dati'!$B$3=$J$2, TabellaA1[[#This Row],[MER]]="X"), "X",IF(AND('Inserimento dati'!$B$3=$K$2, TabellaA1[[#This Row],[GIO]]="X"), "X", IF(AND('Inserimento dati'!$B$3=$L$2, TabellaA1[[#This Row],[VEN]]="X"), "X","")))))</f>
        <v/>
      </c>
      <c r="U59" s="160">
        <f>IFERROR(MID(G59,_xlfn.AGGREGATE(15,6,(ROW(INDIRECT("1:"&amp;LEN(G59)-7)))/(ISNUMBER(--MID(G59,ROW(INDIRECT("1:"&amp;LEN(G59)-7)),8))),1),8),"")</f>
        <v/>
      </c>
      <c r="V59" t="inlineStr">
        <is>
          <t>2025-09-30 20:00:00</t>
        </is>
      </c>
    </row>
    <row r="60" ht="23.25" customFormat="1" customHeight="1" s="45">
      <c r="A60" s="112" t="n"/>
      <c r="B60" s="112">
        <f>IF(OR(A60="x",A60="X"),"",IF(ISBLANK(A60),"X",""))</f>
        <v/>
      </c>
      <c r="C60" s="112">
        <f>IF(OR(TabellaA1[[#This Row],[LUN]]="X",TabellaA1[[#This Row],[MAR]]="X",TabellaA1[[#This Row],[MER]]="X",TabellaA1[[#This Row],[GIO]]="X",TabellaA1[[#This Row],[VEN]]="X",),"X","")</f>
        <v/>
      </c>
      <c r="D60" s="113" t="inlineStr">
        <is>
          <t>AREA 1</t>
        </is>
      </c>
      <c r="E60" s="109" t="inlineStr">
        <is>
          <t>529037/C</t>
        </is>
      </c>
      <c r="F60" s="109" t="n">
        <v>200</v>
      </c>
      <c r="G60" s="109" t="inlineStr">
        <is>
          <t>200 - F015CV(RIFLUSSO DEBUT.)CONTROLLO E RIPRISTINO FUNZIONALITA VALVOLA</t>
        </is>
      </c>
      <c r="H60" s="111" t="n"/>
      <c r="I60" s="111" t="n"/>
      <c r="J60" s="111" t="n"/>
      <c r="K60" s="111" t="n"/>
      <c r="L60" s="111" t="n"/>
      <c r="M60" s="110" t="inlineStr">
        <is>
          <t>DA CHIUDERE</t>
        </is>
      </c>
      <c r="N60" s="110" t="n"/>
      <c r="O60" s="168" t="n"/>
      <c r="P60" s="168" t="n"/>
      <c r="Q60" s="110" t="n"/>
      <c r="R60" s="110" t="n"/>
      <c r="S60" s="110" t="n"/>
      <c r="T60" s="112">
        <f>IF(AND('Inserimento dati'!$B$3=$H$2, TabellaA1[[#This Row],[LUN]]="X"), "X",IF(AND('Inserimento dati'!$B$3=$I$2, TabellaA1[[#This Row],[MAR]]="X"), "X", IF(AND('Inserimento dati'!$B$3=$J$2, TabellaA1[[#This Row],[MER]]="X"), "X",IF(AND('Inserimento dati'!$B$3=$K$2, TabellaA1[[#This Row],[GIO]]="X"), "X", IF(AND('Inserimento dati'!$B$3=$L$2, TabellaA1[[#This Row],[VEN]]="X"), "X","")))))</f>
        <v/>
      </c>
      <c r="U60" s="160">
        <f>IFERROR(MID(G60,_xlfn.AGGREGATE(15,6,(ROW(INDIRECT("1:"&amp;LEN(G60)-7)))/(ISNUMBER(--MID(G60,ROW(INDIRECT("1:"&amp;LEN(G60)-7)),8))),1),8),"")</f>
        <v/>
      </c>
      <c r="V60" t="inlineStr">
        <is>
          <t>2025-09-30 20:00:00</t>
        </is>
      </c>
    </row>
    <row r="61" ht="30" customFormat="1" customHeight="1" s="45">
      <c r="A61" s="112" t="n"/>
      <c r="B61" s="112">
        <f>IF(OR(A61="x",A61="X"),"",IF(ISBLANK(A61),"X",""))</f>
        <v/>
      </c>
      <c r="C61" s="112">
        <f>IF(OR(TabellaA1[[#This Row],[LUN]]="X",TabellaA1[[#This Row],[MAR]]="X",TabellaA1[[#This Row],[MER]]="X",TabellaA1[[#This Row],[GIO]]="X",TabellaA1[[#This Row],[VEN]]="X",),"X","")</f>
        <v/>
      </c>
      <c r="D61" s="113" t="inlineStr">
        <is>
          <t>AREA 1</t>
        </is>
      </c>
      <c r="E61" s="109" t="inlineStr">
        <is>
          <t>528659/C</t>
        </is>
      </c>
      <c r="F61" s="109" t="n">
        <v>300</v>
      </c>
      <c r="G61" s="109" t="inlineStr">
        <is>
          <t xml:space="preserve">300 - 300X163A  300X163B  300X163C  (TENUTA POMPE MP103A/B/C )CONTROLLO E RIPRISTINO ALLARMI TENUTA POMPE </t>
        </is>
      </c>
      <c r="H61" s="111" t="n"/>
      <c r="I61" s="111" t="n"/>
      <c r="J61" s="111" t="n"/>
      <c r="K61" s="111" t="n"/>
      <c r="L61" s="111" t="n"/>
      <c r="M61" s="110" t="inlineStr">
        <is>
          <t>DA CHIUDERE</t>
        </is>
      </c>
      <c r="N61" s="110" t="n"/>
      <c r="O61" s="168" t="n"/>
      <c r="P61" s="168" t="n"/>
      <c r="Q61" s="110" t="n"/>
      <c r="R61" s="110" t="n"/>
      <c r="S61" s="110" t="n"/>
      <c r="T61" s="112">
        <f>IF(AND('Inserimento dati'!$B$3=$H$2, TabellaA1[[#This Row],[LUN]]="X"), "X",IF(AND('Inserimento dati'!$B$3=$I$2, TabellaA1[[#This Row],[MAR]]="X"), "X", IF(AND('Inserimento dati'!$B$3=$J$2, TabellaA1[[#This Row],[MER]]="X"), "X",IF(AND('Inserimento dati'!$B$3=$K$2, TabellaA1[[#This Row],[GIO]]="X"), "X", IF(AND('Inserimento dati'!$B$3=$L$2, TabellaA1[[#This Row],[VEN]]="X"), "X","")))))</f>
        <v/>
      </c>
      <c r="U61" s="160">
        <f>IFERROR(MID(G61,_xlfn.AGGREGATE(15,6,(ROW(INDIRECT("1:"&amp;LEN(G61)-7)))/(ISNUMBER(--MID(G61,ROW(INDIRECT("1:"&amp;LEN(G61)-7)),8))),1),8),"")</f>
        <v/>
      </c>
      <c r="V61" t="inlineStr">
        <is>
          <t>2025-09-30 20:00:00</t>
        </is>
      </c>
    </row>
    <row r="62" ht="23.25" customFormat="1" customHeight="1" s="45">
      <c r="A62" s="112" t="n"/>
      <c r="B62" s="112">
        <f>IF(OR(A62="x",A62="X"),"",IF(ISBLANK(A62),"X",""))</f>
        <v/>
      </c>
      <c r="C62" s="112">
        <f>IF(OR(TabellaA1[[#This Row],[LUN]]="X",TabellaA1[[#This Row],[MAR]]="X",TabellaA1[[#This Row],[MER]]="X",TabellaA1[[#This Row],[GIO]]="X",TabellaA1[[#This Row],[VEN]]="X",),"X","")</f>
        <v/>
      </c>
      <c r="D62" s="113" t="inlineStr">
        <is>
          <t>AREA 1</t>
        </is>
      </c>
      <c r="E62" s="109" t="inlineStr">
        <is>
          <t>529043/C</t>
        </is>
      </c>
      <c r="F62" s="109" t="n">
        <v>300</v>
      </c>
      <c r="G62" s="109" t="inlineStr">
        <is>
          <t>300 - F021CV CONTROLLO E RIPRISTINO CON TARATURA VALVOLA</t>
        </is>
      </c>
      <c r="H62" s="111" t="n"/>
      <c r="I62" s="111" t="n"/>
      <c r="J62" s="111" t="n"/>
      <c r="K62" s="111" t="n"/>
      <c r="L62" s="111" t="n"/>
      <c r="M62" s="110" t="inlineStr">
        <is>
          <t>DA CHIUDERE</t>
        </is>
      </c>
      <c r="N62" s="110" t="n"/>
      <c r="O62" s="168" t="n"/>
      <c r="P62" s="168" t="n"/>
      <c r="Q62" s="110" t="n"/>
      <c r="R62" s="110" t="n"/>
      <c r="S62" s="110" t="n"/>
      <c r="T62" s="112">
        <f>IF(AND('Inserimento dati'!$B$3=$H$2, TabellaA1[[#This Row],[LUN]]="X"), "X",IF(AND('Inserimento dati'!$B$3=$I$2, TabellaA1[[#This Row],[MAR]]="X"), "X", IF(AND('Inserimento dati'!$B$3=$J$2, TabellaA1[[#This Row],[MER]]="X"), "X",IF(AND('Inserimento dati'!$B$3=$K$2, TabellaA1[[#This Row],[GIO]]="X"), "X", IF(AND('Inserimento dati'!$B$3=$L$2, TabellaA1[[#This Row],[VEN]]="X"), "X","")))))</f>
        <v/>
      </c>
      <c r="U62" s="160">
        <f>IFERROR(MID(G62,_xlfn.AGGREGATE(15,6,(ROW(INDIRECT("1:"&amp;LEN(G62)-7)))/(ISNUMBER(--MID(G62,ROW(INDIRECT("1:"&amp;LEN(G62)-7)),8))),1),8),"")</f>
        <v/>
      </c>
      <c r="V62" t="inlineStr">
        <is>
          <t>2025-09-30 20:00:00</t>
        </is>
      </c>
    </row>
    <row r="63" ht="23.25" customFormat="1" customHeight="1" s="45">
      <c r="A63" s="112" t="n"/>
      <c r="B63" s="112">
        <f>IF(OR(A63="x",A63="X"),"",IF(ISBLANK(A63),"X",""))</f>
        <v/>
      </c>
      <c r="C63" s="112">
        <f>IF(OR(TabellaA1[[#This Row],[LUN]]="X",TabellaA1[[#This Row],[MAR]]="X",TabellaA1[[#This Row],[MER]]="X",TabellaA1[[#This Row],[GIO]]="X",TabellaA1[[#This Row],[VEN]]="X",),"X","")</f>
        <v/>
      </c>
      <c r="D63" s="113" t="inlineStr">
        <is>
          <t>AREA 1</t>
        </is>
      </c>
      <c r="E63" s="109" t="inlineStr">
        <is>
          <t>528890/C</t>
        </is>
      </c>
      <c r="F63" s="109" t="n">
        <v>400</v>
      </c>
      <c r="G63" s="109" t="inlineStr">
        <is>
          <t>400 - C101A CONTROLLO PARZIALIZZAZIONE COMPRESSORE</t>
        </is>
      </c>
      <c r="H63" s="111" t="n"/>
      <c r="I63" s="111" t="n"/>
      <c r="J63" s="111" t="n"/>
      <c r="K63" s="111" t="n"/>
      <c r="L63" s="111" t="n"/>
      <c r="M63" s="110" t="inlineStr">
        <is>
          <t>DA CHIUDERE</t>
        </is>
      </c>
      <c r="N63" s="110" t="n"/>
      <c r="O63" s="168" t="n"/>
      <c r="P63" s="168" t="n"/>
      <c r="Q63" s="110" t="n"/>
      <c r="R63" s="110" t="n"/>
      <c r="S63" s="110" t="n"/>
      <c r="T63" s="112">
        <f>IF(AND('Inserimento dati'!$B$3=$H$2, TabellaA1[[#This Row],[LUN]]="X"), "X",IF(AND('Inserimento dati'!$B$3=$I$2, TabellaA1[[#This Row],[MAR]]="X"), "X", IF(AND('Inserimento dati'!$B$3=$J$2, TabellaA1[[#This Row],[MER]]="X"), "X",IF(AND('Inserimento dati'!$B$3=$K$2, TabellaA1[[#This Row],[GIO]]="X"), "X", IF(AND('Inserimento dati'!$B$3=$L$2, TabellaA1[[#This Row],[VEN]]="X"), "X","")))))</f>
        <v/>
      </c>
      <c r="U63" s="160">
        <f>IFERROR(MID(G63,_xlfn.AGGREGATE(15,6,(ROW(INDIRECT("1:"&amp;LEN(G63)-7)))/(ISNUMBER(--MID(G63,ROW(INDIRECT("1:"&amp;LEN(G63)-7)),8))),1),8),"")</f>
        <v/>
      </c>
      <c r="V63" t="inlineStr">
        <is>
          <t>2025-09-30 20:00:00</t>
        </is>
      </c>
    </row>
    <row r="64" ht="23.25" customFormat="1" customHeight="1" s="45">
      <c r="A64" s="112" t="n"/>
      <c r="B64" s="112">
        <f>IF(OR(A64="x",A64="X"),"",IF(ISBLANK(A64),"X",""))</f>
        <v/>
      </c>
      <c r="C64" s="112">
        <f>IF(OR(TabellaA1[[#This Row],[LUN]]="X",TabellaA1[[#This Row],[MAR]]="X",TabellaA1[[#This Row],[MER]]="X",TabellaA1[[#This Row],[GIO]]="X",TabellaA1[[#This Row],[VEN]]="X",),"X","")</f>
        <v/>
      </c>
      <c r="D64" s="113" t="inlineStr">
        <is>
          <t>AREA 1</t>
        </is>
      </c>
      <c r="E64" s="109" t="inlineStr">
        <is>
          <t>529044/C</t>
        </is>
      </c>
      <c r="F64" s="109" t="n">
        <v>100</v>
      </c>
      <c r="G64" s="109" t="inlineStr">
        <is>
          <t>100 - L120I CONTROLLO E RIPRISTINO LIVELLO</t>
        </is>
      </c>
      <c r="H64" s="111" t="n"/>
      <c r="I64" s="111" t="n"/>
      <c r="J64" s="111" t="n"/>
      <c r="K64" s="111" t="n"/>
      <c r="L64" s="111" t="n"/>
      <c r="M64" s="110" t="inlineStr">
        <is>
          <t>DA CHIUDERE</t>
        </is>
      </c>
      <c r="N64" s="110" t="n"/>
      <c r="O64" s="168" t="n"/>
      <c r="P64" s="168" t="n"/>
      <c r="Q64" s="110" t="inlineStr">
        <is>
          <t>tag errato</t>
        </is>
      </c>
      <c r="R64" s="110" t="n">
        <v>45728</v>
      </c>
      <c r="S64" s="110" t="inlineStr">
        <is>
          <t>SPINALI</t>
        </is>
      </c>
      <c r="T64" s="112">
        <f>IF(AND('Inserimento dati'!$B$3=$H$2, TabellaA1[[#This Row],[LUN]]="X"), "X",IF(AND('Inserimento dati'!$B$3=$I$2, TabellaA1[[#This Row],[MAR]]="X"), "X", IF(AND('Inserimento dati'!$B$3=$J$2, TabellaA1[[#This Row],[MER]]="X"), "X",IF(AND('Inserimento dati'!$B$3=$K$2, TabellaA1[[#This Row],[GIO]]="X"), "X", IF(AND('Inserimento dati'!$B$3=$L$2, TabellaA1[[#This Row],[VEN]]="X"), "X","")))))</f>
        <v/>
      </c>
      <c r="U64" s="160">
        <f>IFERROR(MID(G64,_xlfn.AGGREGATE(15,6,(ROW(INDIRECT("1:"&amp;LEN(G64)-7)))/(ISNUMBER(--MID(G64,ROW(INDIRECT("1:"&amp;LEN(G64)-7)),8))),1),8),"")</f>
        <v/>
      </c>
      <c r="V64" t="inlineStr">
        <is>
          <t>2025-09-30 20:00:00</t>
        </is>
      </c>
    </row>
    <row r="65" ht="30" customFormat="1" customHeight="1" s="45">
      <c r="A65" s="112" t="n"/>
      <c r="B65" s="112">
        <f>IF(OR(A65="x",A65="X"),"",IF(ISBLANK(A65),"X",""))</f>
        <v/>
      </c>
      <c r="C65" s="112">
        <f>IF(OR(TabellaA1[[#This Row],[LUN]]="X",TabellaA1[[#This Row],[MAR]]="X",TabellaA1[[#This Row],[MER]]="X",TabellaA1[[#This Row],[GIO]]="X",TabellaA1[[#This Row],[VEN]]="X",),"X","")</f>
        <v/>
      </c>
      <c r="D65" s="113" t="inlineStr">
        <is>
          <t>AREA 1</t>
        </is>
      </c>
      <c r="E65" s="109" t="inlineStr">
        <is>
          <t>528474/C</t>
        </is>
      </c>
      <c r="F65" s="109" t="n">
        <v>200</v>
      </c>
      <c r="G65" s="109" t="inlineStr">
        <is>
          <t>200F150R ELIMINAZIONE PERDITA DI VAPORE CON RIFACIMENTO TUBING BARILOTTI DI RIEMPIMENTO IN PROSSIMITA FLANGIA TARATA</t>
        </is>
      </c>
      <c r="H65" s="111" t="n"/>
      <c r="I65" s="111" t="n"/>
      <c r="J65" s="111" t="n"/>
      <c r="K65" s="111" t="n"/>
      <c r="L65" s="111" t="n"/>
      <c r="M65" s="110" t="inlineStr">
        <is>
          <t>DA CHIUDERE</t>
        </is>
      </c>
      <c r="N65" s="110" t="n"/>
      <c r="O65" s="168" t="n"/>
      <c r="P65" s="168" t="n"/>
      <c r="Q65" s="110" t="inlineStr">
        <is>
          <t xml:space="preserve">VALVOLE DI RADICE BLOCCATE. </t>
        </is>
      </c>
      <c r="R65" s="110" t="n">
        <v>45726</v>
      </c>
      <c r="S65" s="110" t="inlineStr">
        <is>
          <t>MILLO/ALLEGRETTI</t>
        </is>
      </c>
      <c r="T65" s="112">
        <f>IF(AND('Inserimento dati'!$B$3=$H$2, TabellaA1[[#This Row],[LUN]]="X"), "X",IF(AND('Inserimento dati'!$B$3=$I$2, TabellaA1[[#This Row],[MAR]]="X"), "X", IF(AND('Inserimento dati'!$B$3=$J$2, TabellaA1[[#This Row],[MER]]="X"), "X",IF(AND('Inserimento dati'!$B$3=$K$2, TabellaA1[[#This Row],[GIO]]="X"), "X", IF(AND('Inserimento dati'!$B$3=$L$2, TabellaA1[[#This Row],[VEN]]="X"), "X","")))))</f>
        <v/>
      </c>
      <c r="U65" s="160">
        <f>IFERROR(MID(G65,_xlfn.AGGREGATE(15,6,(ROW(INDIRECT("1:"&amp;LEN(G65)-7)))/(ISNUMBER(--MID(G65,ROW(INDIRECT("1:"&amp;LEN(G65)-7)),8))),1),8),"")</f>
        <v/>
      </c>
      <c r="V65" t="inlineStr">
        <is>
          <t>2025-09-30 20:00:00</t>
        </is>
      </c>
    </row>
    <row r="66" ht="45" customFormat="1" customHeight="1" s="45">
      <c r="A66" s="112" t="n"/>
      <c r="B66" s="112">
        <f>IF(OR(A66="x",A66="X"),"",IF(ISBLANK(A66),"X",""))</f>
        <v/>
      </c>
      <c r="C66" s="112">
        <f>IF(OR(TabellaA1[[#This Row],[LUN]]="X",TabellaA1[[#This Row],[MAR]]="X",TabellaA1[[#This Row],[MER]]="X",TabellaA1[[#This Row],[GIO]]="X",TabellaA1[[#This Row],[VEN]]="X",),"X","")</f>
        <v/>
      </c>
      <c r="D66" s="113" t="inlineStr">
        <is>
          <t>AREA 1</t>
        </is>
      </c>
      <c r="E66" s="109" t="inlineStr">
        <is>
          <t>528714/C</t>
        </is>
      </c>
      <c r="F66" s="109" t="n">
        <v>300</v>
      </c>
      <c r="G66" s="109" t="inlineStr">
        <is>
          <t>300T059RC (TESTA T101)  CONTROLLO E RIPRISTINO FUNZIONALITA CON SOSTITUZIONE BARRIERA E ALLINEAMENTO CON SALA CONTROLLO</t>
        </is>
      </c>
      <c r="H66" s="111" t="n"/>
      <c r="I66" s="111" t="n"/>
      <c r="J66" s="111" t="n"/>
      <c r="K66" s="111" t="n"/>
      <c r="L66" s="111" t="n"/>
      <c r="M66" s="110" t="inlineStr">
        <is>
          <t>DA CHIUDERE</t>
        </is>
      </c>
      <c r="N66" s="110" t="n"/>
      <c r="O66" s="168" t="n"/>
      <c r="P66" s="168" t="n"/>
      <c r="Q66" s="110" t="inlineStr">
        <is>
          <t>TERMINNATA, SOSTITUITA LA BARRIERA. SI E' DOVUTO CAMBIARE ANCHE IL DOPPINO SECONDARIO DA J. BOX, PERCHE' ERA IN DISPERSIONE. MULTICACO COMPROMESSO.</t>
        </is>
      </c>
      <c r="R66" s="110" t="n">
        <v>45726</v>
      </c>
      <c r="S66" s="110" t="inlineStr">
        <is>
          <t>SPINALI/SERRA</t>
        </is>
      </c>
      <c r="T66" s="112">
        <f>IF(AND('Inserimento dati'!$B$3=$H$2, TabellaA1[[#This Row],[LUN]]="X"), "X",IF(AND('Inserimento dati'!$B$3=$I$2, TabellaA1[[#This Row],[MAR]]="X"), "X", IF(AND('Inserimento dati'!$B$3=$J$2, TabellaA1[[#This Row],[MER]]="X"), "X",IF(AND('Inserimento dati'!$B$3=$K$2, TabellaA1[[#This Row],[GIO]]="X"), "X", IF(AND('Inserimento dati'!$B$3=$L$2, TabellaA1[[#This Row],[VEN]]="X"), "X","")))))</f>
        <v/>
      </c>
      <c r="U66" s="160">
        <f>IFERROR(MID(G66,_xlfn.AGGREGATE(15,6,(ROW(INDIRECT("1:"&amp;LEN(G66)-7)))/(ISNUMBER(--MID(G66,ROW(INDIRECT("1:"&amp;LEN(G66)-7)),8))),1),8),"")</f>
        <v/>
      </c>
      <c r="V66" t="inlineStr">
        <is>
          <t>2025-09-30 20:00:00</t>
        </is>
      </c>
    </row>
    <row r="67" ht="45" customFormat="1" customHeight="1" s="45">
      <c r="A67" s="112" t="n"/>
      <c r="B67" s="112">
        <f>IF(OR(A67="x",A67="X"),"",IF(ISBLANK(A67),"X",""))</f>
        <v/>
      </c>
      <c r="C67" s="112">
        <f>IF(OR(TabellaA1[[#This Row],[LUN]]="X",TabellaA1[[#This Row],[MAR]]="X",TabellaA1[[#This Row],[MER]]="X",TabellaA1[[#This Row],[GIO]]="X",TabellaA1[[#This Row],[VEN]]="X",),"X","")</f>
        <v/>
      </c>
      <c r="D67" s="113" t="inlineStr">
        <is>
          <t>AREA 1</t>
        </is>
      </c>
      <c r="E67" s="109" t="inlineStr">
        <is>
          <t>528181/C</t>
        </is>
      </c>
      <c r="F67" s="109" t="n">
        <v>400</v>
      </c>
      <c r="G67" s="109" t="inlineStr">
        <is>
          <t>(RIDUZIONE ALLARMI ATTIVI)400T151I (VAPORE USCITA SURR. F101) CONTROLLO E RIPRISTINO FUNZIONALITA TEMPERATURA</t>
        </is>
      </c>
      <c r="H67" s="111" t="n"/>
      <c r="I67" s="111" t="n"/>
      <c r="J67" s="111" t="n"/>
      <c r="K67" s="111" t="n"/>
      <c r="L67" s="111" t="n"/>
      <c r="M67" s="110" t="inlineStr">
        <is>
          <t>DA CHIUDERE</t>
        </is>
      </c>
      <c r="N67" s="110" t="n"/>
      <c r="O67" s="168" t="n"/>
      <c r="P67" s="168" t="n"/>
      <c r="Q67" s="110" t="inlineStr">
        <is>
          <t>IL DOPPINO SECONDARIO DA TERMOELEMENTO PARTE, MA NON ARRIVA A J.BOX. TAGLIATO IN PASSARELLA INSIEME A QUALCHE ALTRO CHE NON SI CAPISCE NESSUN TAG.</t>
        </is>
      </c>
      <c r="R67" s="110" t="n">
        <v>45722</v>
      </c>
      <c r="S67" s="110" t="inlineStr">
        <is>
          <t>SPINALI/SERRA</t>
        </is>
      </c>
      <c r="T67" s="112">
        <f>IF(AND('Inserimento dati'!$B$3=$H$2, TabellaA1[[#This Row],[LUN]]="X"), "X",IF(AND('Inserimento dati'!$B$3=$I$2, TabellaA1[[#This Row],[MAR]]="X"), "X", IF(AND('Inserimento dati'!$B$3=$J$2, TabellaA1[[#This Row],[MER]]="X"), "X",IF(AND('Inserimento dati'!$B$3=$K$2, TabellaA1[[#This Row],[GIO]]="X"), "X", IF(AND('Inserimento dati'!$B$3=$L$2, TabellaA1[[#This Row],[VEN]]="X"), "X","")))))</f>
        <v/>
      </c>
      <c r="U67" s="160">
        <f>IFERROR(MID(G67,_xlfn.AGGREGATE(15,6,(ROW(INDIRECT("1:"&amp;LEN(G67)-7)))/(ISNUMBER(--MID(G67,ROW(INDIRECT("1:"&amp;LEN(G67)-7)),8))),1),8),"")</f>
        <v/>
      </c>
      <c r="V67" t="inlineStr">
        <is>
          <t>2025-09-30 20:00:00</t>
        </is>
      </c>
    </row>
    <row r="68" ht="30" customFormat="1" customHeight="1" s="45">
      <c r="A68" s="112" t="n"/>
      <c r="B68" s="112">
        <f>IF(OR(A68="x",A68="X"),"",IF(ISBLANK(A68),"X",""))</f>
        <v/>
      </c>
      <c r="C68" s="112">
        <f>IF(OR(TabellaA1[[#This Row],[LUN]]="X",TabellaA1[[#This Row],[MAR]]="X",TabellaA1[[#This Row],[MER]]="X",TabellaA1[[#This Row],[GIO]]="X",TabellaA1[[#This Row],[VEN]]="X",),"X","")</f>
        <v/>
      </c>
      <c r="D68" s="113" t="inlineStr">
        <is>
          <t>AREA 1</t>
        </is>
      </c>
      <c r="E68" s="109" t="inlineStr">
        <is>
          <t>527681/C</t>
        </is>
      </c>
      <c r="F68" s="109" t="n">
        <v>300</v>
      </c>
      <c r="G68" s="109" t="inlineStr">
        <is>
          <t>300 - P217HA (ALTA PRESSIONE T101)CONTROLLO E RIPRISTINO FUNZIONALITA</t>
        </is>
      </c>
      <c r="H68" s="111" t="n"/>
      <c r="I68" s="111" t="n"/>
      <c r="J68" s="111" t="n"/>
      <c r="K68" s="111" t="n"/>
      <c r="L68" s="111" t="n"/>
      <c r="M68" s="110" t="inlineStr">
        <is>
          <t>DA CHIUDERE</t>
        </is>
      </c>
      <c r="N68" s="110" t="n"/>
      <c r="O68" s="168" t="n"/>
      <c r="P68" s="168" t="n"/>
      <c r="Q68" s="110" t="inlineStr">
        <is>
          <t>VALVOLA DI RADICE BLOCCATA APERTA, RILEVATA PRESSIONE D'ESERCIZIO E AUMENTATO IL SET PER RIENTRARE L'ALLARME</t>
        </is>
      </c>
      <c r="R68" s="110" t="n">
        <v>45716</v>
      </c>
      <c r="S68" s="110" t="inlineStr">
        <is>
          <t>SPINALI/SERRA</t>
        </is>
      </c>
      <c r="T68" s="112">
        <f>IF(AND('Inserimento dati'!$B$3=$H$2, TabellaA1[[#This Row],[LUN]]="X"), "X",IF(AND('Inserimento dati'!$B$3=$I$2, TabellaA1[[#This Row],[MAR]]="X"), "X", IF(AND('Inserimento dati'!$B$3=$J$2, TabellaA1[[#This Row],[MER]]="X"), "X",IF(AND('Inserimento dati'!$B$3=$K$2, TabellaA1[[#This Row],[GIO]]="X"), "X", IF(AND('Inserimento dati'!$B$3=$L$2, TabellaA1[[#This Row],[VEN]]="X"), "X","")))))</f>
        <v/>
      </c>
      <c r="U68" s="160">
        <f>IFERROR(MID(G68,_xlfn.AGGREGATE(15,6,(ROW(INDIRECT("1:"&amp;LEN(G68)-7)))/(ISNUMBER(--MID(G68,ROW(INDIRECT("1:"&amp;LEN(G68)-7)),8))),1),8),"")</f>
        <v/>
      </c>
      <c r="V68" t="inlineStr">
        <is>
          <t>2025-09-30 20:00:00</t>
        </is>
      </c>
    </row>
    <row r="69" ht="30" customFormat="1" customHeight="1" s="45">
      <c r="A69" s="112" t="n"/>
      <c r="B69" s="112">
        <f>IF(OR(A69="x",A69="X"),"",IF(ISBLANK(A69),"X",""))</f>
        <v/>
      </c>
      <c r="C69" s="112">
        <f>IF(OR(TabellaA1[[#This Row],[LUN]]="X",TabellaA1[[#This Row],[MAR]]="X",TabellaA1[[#This Row],[MER]]="X",TabellaA1[[#This Row],[GIO]]="X",TabellaA1[[#This Row],[VEN]]="X",),"X","")</f>
        <v/>
      </c>
      <c r="D69" s="113" t="inlineStr">
        <is>
          <t>AREA 1</t>
        </is>
      </c>
      <c r="E69" s="109" t="inlineStr">
        <is>
          <t>527614/C</t>
        </is>
      </c>
      <c r="F69" s="109" t="n">
        <v>400</v>
      </c>
      <c r="G69" s="109" t="inlineStr">
        <is>
          <t>400 - F225RC (VIRGIN NAFTA DA TOPPING)CONTROLLO E RIPRISTINO FUNZIONALITA PORTATA</t>
        </is>
      </c>
      <c r="H69" s="111" t="n"/>
      <c r="I69" s="111" t="n"/>
      <c r="J69" s="111" t="n"/>
      <c r="K69" s="111" t="n"/>
      <c r="L69" s="111" t="n"/>
      <c r="M69" s="110" t="inlineStr">
        <is>
          <t>DA CHIUDERE</t>
        </is>
      </c>
      <c r="N69" s="110" t="n"/>
      <c r="O69" s="168" t="n"/>
      <c r="P69" s="168" t="n"/>
      <c r="Q69" s="110" t="inlineStr">
        <is>
          <t>LINEA CIECATA E PORTATA SEGNA ZERO E L'ALLARME DI BASSA PORTATA RISULTA VERITIERA</t>
        </is>
      </c>
      <c r="R69" s="110" t="n">
        <v>45716</v>
      </c>
      <c r="S69" s="110" t="inlineStr">
        <is>
          <t>SPINALI/SERRA</t>
        </is>
      </c>
      <c r="T69" s="112">
        <f>IF(AND('Inserimento dati'!$B$3=$H$2, TabellaA1[[#This Row],[LUN]]="X"), "X",IF(AND('Inserimento dati'!$B$3=$I$2, TabellaA1[[#This Row],[MAR]]="X"), "X", IF(AND('Inserimento dati'!$B$3=$J$2, TabellaA1[[#This Row],[MER]]="X"), "X",IF(AND('Inserimento dati'!$B$3=$K$2, TabellaA1[[#This Row],[GIO]]="X"), "X", IF(AND('Inserimento dati'!$B$3=$L$2, TabellaA1[[#This Row],[VEN]]="X"), "X","")))))</f>
        <v/>
      </c>
      <c r="U69" s="160">
        <f>IFERROR(MID(G69,_xlfn.AGGREGATE(15,6,(ROW(INDIRECT("1:"&amp;LEN(G69)-7)))/(ISNUMBER(--MID(G69,ROW(INDIRECT("1:"&amp;LEN(G69)-7)),8))),1),8),"")</f>
        <v/>
      </c>
      <c r="V69" t="inlineStr">
        <is>
          <t>2025-09-30 20:00:00</t>
        </is>
      </c>
    </row>
    <row r="70" ht="30" customFormat="1" customHeight="1" s="45">
      <c r="A70" s="112" t="n"/>
      <c r="B70" s="112">
        <f>IF(OR(A70="x",A70="X"),"",IF(ISBLANK(A70),"X",""))</f>
        <v/>
      </c>
      <c r="C70" s="112">
        <f>IF(OR(TabellaA1[[#This Row],[LUN]]="X",TabellaA1[[#This Row],[MAR]]="X",TabellaA1[[#This Row],[MER]]="X",TabellaA1[[#This Row],[GIO]]="X",TabellaA1[[#This Row],[VEN]]="X",),"X","")</f>
        <v/>
      </c>
      <c r="D70" s="113" t="inlineStr">
        <is>
          <t>AREA 1</t>
        </is>
      </c>
      <c r="E70" s="109" t="inlineStr">
        <is>
          <t>527619/C</t>
        </is>
      </c>
      <c r="F70" s="109" t="n">
        <v>400</v>
      </c>
      <c r="G70" s="109" t="inlineStr">
        <is>
          <t>400 - T049IM(USCITA PASSO 1 RADIANTE F101)   400T169IM(USCITA PASSO 2 RADIANTE F101) CONTROLLO E RIPRISTINO FUNZIONALITA TEMPERATURE</t>
        </is>
      </c>
      <c r="H70" s="111" t="n"/>
      <c r="I70" s="111" t="n"/>
      <c r="J70" s="111" t="n"/>
      <c r="K70" s="111" t="n"/>
      <c r="L70" s="111" t="n"/>
      <c r="M70" s="110" t="inlineStr">
        <is>
          <t>DA CHIUDERE</t>
        </is>
      </c>
      <c r="N70" s="110" t="n"/>
      <c r="O70" s="168" t="n"/>
      <c r="P70" s="168" t="n"/>
      <c r="Q70" s="110" t="inlineStr">
        <is>
          <t>GLI STRUMENTI SONO STATI ELIMINATI DOPO IL REVAMPING, NON ESISTONO IN CAMPO E VERRANNO CANCELLATI AL DCS.</t>
        </is>
      </c>
      <c r="R70" s="110" t="n">
        <v>45716</v>
      </c>
      <c r="S70" s="110" t="inlineStr">
        <is>
          <t>SPINALI/SERRA</t>
        </is>
      </c>
      <c r="T70" s="112">
        <f>IF(AND('Inserimento dati'!$B$3=$H$2, TabellaA1[[#This Row],[LUN]]="X"), "X",IF(AND('Inserimento dati'!$B$3=$I$2, TabellaA1[[#This Row],[MAR]]="X"), "X", IF(AND('Inserimento dati'!$B$3=$J$2, TabellaA1[[#This Row],[MER]]="X"), "X",IF(AND('Inserimento dati'!$B$3=$K$2, TabellaA1[[#This Row],[GIO]]="X"), "X", IF(AND('Inserimento dati'!$B$3=$L$2, TabellaA1[[#This Row],[VEN]]="X"), "X","")))))</f>
        <v/>
      </c>
      <c r="U70" s="160">
        <f>IFERROR(MID(G70,_xlfn.AGGREGATE(15,6,(ROW(INDIRECT("1:"&amp;LEN(G70)-7)))/(ISNUMBER(--MID(G70,ROW(INDIRECT("1:"&amp;LEN(G70)-7)),8))),1),8),"")</f>
        <v/>
      </c>
      <c r="V70" t="inlineStr">
        <is>
          <t>2025-09-30 20:00:00</t>
        </is>
      </c>
    </row>
    <row r="71" ht="30" customFormat="1" customHeight="1" s="45">
      <c r="A71" s="112" t="n"/>
      <c r="B71" s="112">
        <f>IF(OR(A71="x",A71="X"),"",IF(ISBLANK(A71),"X",""))</f>
        <v/>
      </c>
      <c r="C71" s="112">
        <f>IF(OR(TabellaA1[[#This Row],[LUN]]="X",TabellaA1[[#This Row],[MAR]]="X",TabellaA1[[#This Row],[MER]]="X",TabellaA1[[#This Row],[GIO]]="X",TabellaA1[[#This Row],[VEN]]="X",),"X","")</f>
        <v/>
      </c>
      <c r="D71" s="113" t="inlineStr">
        <is>
          <t>AREA 1</t>
        </is>
      </c>
      <c r="E71" s="109" t="inlineStr">
        <is>
          <t>525249/C</t>
        </is>
      </c>
      <c r="F71" s="109" t="n">
        <v>100</v>
      </c>
      <c r="G71" s="109" t="inlineStr">
        <is>
          <t>100 - E1001C/D SCOLLEGAMENTO/RICOLLEGAMENTO TERMOCOPPIE E SISTEMAZIONE CAVI PER MANUTENZIONE SCAMBIATORE</t>
        </is>
      </c>
      <c r="H71" s="111" t="n"/>
      <c r="I71" s="111" t="n"/>
      <c r="J71" s="111" t="n"/>
      <c r="K71" s="111" t="n"/>
      <c r="L71" s="111" t="n"/>
      <c r="M71" s="110" t="inlineStr">
        <is>
          <t>DA CHIUDERE</t>
        </is>
      </c>
      <c r="N71" s="110" t="inlineStr">
        <is>
          <t>X</t>
        </is>
      </c>
      <c r="O71" s="168" t="n"/>
      <c r="P71" s="168" t="n"/>
      <c r="Q71" s="110" t="inlineStr">
        <is>
          <t>ATTIVITA' CONCLUSA</t>
        </is>
      </c>
      <c r="R71" s="110" t="n">
        <v>45715</v>
      </c>
      <c r="S71" s="110" t="inlineStr">
        <is>
          <t>TARASCIO</t>
        </is>
      </c>
      <c r="T71" s="112">
        <f>IF(AND('Inserimento dati'!$B$3=$H$2, TabellaA1[[#This Row],[LUN]]="X"), "X",IF(AND('Inserimento dati'!$B$3=$I$2, TabellaA1[[#This Row],[MAR]]="X"), "X", IF(AND('Inserimento dati'!$B$3=$J$2, TabellaA1[[#This Row],[MER]]="X"), "X",IF(AND('Inserimento dati'!$B$3=$K$2, TabellaA1[[#This Row],[GIO]]="X"), "X", IF(AND('Inserimento dati'!$B$3=$L$2, TabellaA1[[#This Row],[VEN]]="X"), "X","")))))</f>
        <v/>
      </c>
      <c r="U71" s="160">
        <f>IFERROR(MID(G71,_xlfn.AGGREGATE(15,6,(ROW(INDIRECT("1:"&amp;LEN(G71)-7)))/(ISNUMBER(--MID(G71,ROW(INDIRECT("1:"&amp;LEN(G71)-7)),8))),1),8),"")</f>
        <v/>
      </c>
      <c r="V71" t="inlineStr">
        <is>
          <t>2025-09-30 20:00:00</t>
        </is>
      </c>
    </row>
    <row r="72" ht="30" customFormat="1" customHeight="1" s="45">
      <c r="A72" s="112" t="n"/>
      <c r="B72" s="112">
        <f>IF(OR(A72="x",A72="X"),"",IF(ISBLANK(A72),"X",""))</f>
        <v/>
      </c>
      <c r="C72" s="112">
        <f>IF(OR(TabellaA1[[#This Row],[LUN]]="X",TabellaA1[[#This Row],[MAR]]="X",TabellaA1[[#This Row],[MER]]="X",TabellaA1[[#This Row],[GIO]]="X",TabellaA1[[#This Row],[VEN]]="X",),"X","")</f>
        <v/>
      </c>
      <c r="D72" s="113" t="inlineStr">
        <is>
          <t>AREA 1</t>
        </is>
      </c>
      <c r="E72" s="109" t="inlineStr">
        <is>
          <t>527380/C</t>
        </is>
      </c>
      <c r="F72" s="109" t="n">
        <v>200</v>
      </c>
      <c r="G72" s="109" t="inlineStr">
        <is>
          <t>200 - F152R(VAPORE LS L.B.)CONTROLLO E RIPRISTINO FUNZIONALITA</t>
        </is>
      </c>
      <c r="H72" s="111" t="n"/>
      <c r="I72" s="111" t="n"/>
      <c r="J72" s="111" t="n"/>
      <c r="K72" s="111" t="n"/>
      <c r="L72" s="111" t="n"/>
      <c r="M72" s="110" t="inlineStr">
        <is>
          <t>DA CHIUDERE</t>
        </is>
      </c>
      <c r="N72" s="110" t="n"/>
      <c r="O72" s="168" t="n"/>
      <c r="P72" s="168" t="n"/>
      <c r="Q72" s="110" t="inlineStr">
        <is>
          <t>CONTROLLO FUNZIONALE, TARATURA ED ALLINEAMENTO MISURA A DCS. NESSUNA ANOMALIA</t>
        </is>
      </c>
      <c r="R72" s="110" t="n">
        <v>45715</v>
      </c>
      <c r="S72" s="110" t="inlineStr">
        <is>
          <t>SPINALI/SERRA</t>
        </is>
      </c>
      <c r="T72" s="116">
        <f>IF(AND('Inserimento dati'!$B$3=$H$2, TabellaA1[[#This Row],[LUN]]="X"), "X",IF(AND('Inserimento dati'!$B$3=$I$2, TabellaA1[[#This Row],[MAR]]="X"), "X", IF(AND('Inserimento dati'!$B$3=$J$2, TabellaA1[[#This Row],[MER]]="X"), "X",IF(AND('Inserimento dati'!$B$3=$K$2, TabellaA1[[#This Row],[GIO]]="X"), "X", IF(AND('Inserimento dati'!$B$3=$L$2, TabellaA1[[#This Row],[VEN]]="X"), "X","")))))</f>
        <v/>
      </c>
      <c r="U72" s="160">
        <f>IFERROR(MID(G72,_xlfn.AGGREGATE(15,6,(ROW(INDIRECT("1:"&amp;LEN(G72)-7)))/(ISNUMBER(--MID(G72,ROW(INDIRECT("1:"&amp;LEN(G72)-7)),8))),1),8),"")</f>
        <v/>
      </c>
      <c r="V72" t="inlineStr">
        <is>
          <t>2025-09-30 20:00:00</t>
        </is>
      </c>
    </row>
    <row r="73" ht="30" customFormat="1" customHeight="1" s="45">
      <c r="A73" s="112" t="n"/>
      <c r="B73" s="112">
        <f>IF(OR(A73="x",A73="X"),"",IF(ISBLANK(A73),"X",""))</f>
        <v/>
      </c>
      <c r="C73" s="112">
        <f>IF(OR(TabellaA1[[#This Row],[LUN]]="X",TabellaA1[[#This Row],[MAR]]="X",TabellaA1[[#This Row],[MER]]="X",TabellaA1[[#This Row],[GIO]]="X",TabellaA1[[#This Row],[VEN]]="X",),"X","")</f>
        <v/>
      </c>
      <c r="D73" s="113" t="inlineStr">
        <is>
          <t>AREA 1</t>
        </is>
      </c>
      <c r="E73" s="109" t="inlineStr">
        <is>
          <t>526843/C</t>
        </is>
      </c>
      <c r="F73" s="109" t="n">
        <v>100</v>
      </c>
      <c r="G73" s="109" t="inlineStr">
        <is>
          <t>100 - 01F023RC SOSTITUZIONE STRUMENTO E RIEMPIMENTO BARILOTTI CON GLICERINA</t>
        </is>
      </c>
      <c r="H73" s="111" t="n"/>
      <c r="I73" s="111" t="n"/>
      <c r="J73" s="111" t="n"/>
      <c r="K73" s="111" t="n"/>
      <c r="L73" s="111" t="n"/>
      <c r="M73" s="110" t="inlineStr">
        <is>
          <t>DA CHIUDERE</t>
        </is>
      </c>
      <c r="N73" s="110" t="n"/>
      <c r="O73" s="168" t="n"/>
      <c r="P73" s="168" t="n"/>
      <c r="Q73" s="110" t="inlineStr">
        <is>
          <t>ATTIVITA' CONCLUSA, AGGIUNTO TX E COSTRUITA STAFFA PER ANCORAGGIO</t>
        </is>
      </c>
      <c r="R73" s="110" t="n">
        <v>45713</v>
      </c>
      <c r="S73" s="110" t="inlineStr">
        <is>
          <t>SPINALI/SERRA</t>
        </is>
      </c>
      <c r="T73" s="116">
        <f>IF(AND('Inserimento dati'!$B$3=$H$2, TabellaA1[[#This Row],[LUN]]="X"), "X",IF(AND('Inserimento dati'!$B$3=$I$2, TabellaA1[[#This Row],[MAR]]="X"), "X", IF(AND('Inserimento dati'!$B$3=$J$2, TabellaA1[[#This Row],[MER]]="X"), "X",IF(AND('Inserimento dati'!$B$3=$K$2, TabellaA1[[#This Row],[GIO]]="X"), "X", IF(AND('Inserimento dati'!$B$3=$L$2, TabellaA1[[#This Row],[VEN]]="X"), "X","")))))</f>
        <v/>
      </c>
      <c r="U73" s="160">
        <f>IFERROR(MID(G73,_xlfn.AGGREGATE(15,6,(ROW(INDIRECT("1:"&amp;LEN(G73)-7)))/(ISNUMBER(--MID(G73,ROW(INDIRECT("1:"&amp;LEN(G73)-7)),8))),1),8),"")</f>
        <v/>
      </c>
      <c r="V73" t="inlineStr">
        <is>
          <t>2025-09-30 20:00:00</t>
        </is>
      </c>
    </row>
    <row r="74" ht="30" customFormat="1" customHeight="1" s="45">
      <c r="A74" s="112" t="n"/>
      <c r="B74" s="112">
        <f>IF(OR(A74="x",A74="X"),"",IF(ISBLANK(A74),"X",""))</f>
        <v/>
      </c>
      <c r="C74" s="112">
        <f>IF(OR(TabellaA1[[#This Row],[LUN]]="X",TabellaA1[[#This Row],[MAR]]="X",TabellaA1[[#This Row],[MER]]="X",TabellaA1[[#This Row],[GIO]]="X",TabellaA1[[#This Row],[VEN]]="X",),"X","")</f>
        <v/>
      </c>
      <c r="D74" s="113" t="inlineStr">
        <is>
          <t>AREA 1</t>
        </is>
      </c>
      <c r="E74" s="109" t="inlineStr">
        <is>
          <t>527062/C</t>
        </is>
      </c>
      <c r="F74" s="109" t="n">
        <v>100</v>
      </c>
      <c r="G74" s="109" t="inlineStr">
        <is>
          <t>100 - 100P004LA  (BASSA PRESSIONE B101A/B)CONTROLLO E RIPRISTINO FUNZIONALITA PRESSOSTATO (PIANO RIPRISTINI ALLARMI ATTIVI)</t>
        </is>
      </c>
      <c r="H74" s="111" t="n"/>
      <c r="I74" s="111" t="n"/>
      <c r="J74" s="111" t="n"/>
      <c r="K74" s="111" t="n"/>
      <c r="L74" s="111" t="n"/>
      <c r="M74" s="110" t="inlineStr">
        <is>
          <t>DA CHIUDERE</t>
        </is>
      </c>
      <c r="N74" s="110" t="n"/>
      <c r="O74" s="168" t="n"/>
      <c r="P74" s="168" t="n"/>
      <c r="Q74" s="110" t="inlineStr">
        <is>
          <t>IL PUNTO NON ESISTE A PAGINA GRAFICA, ELIMINATO A CURA TECNICO DCS.</t>
        </is>
      </c>
      <c r="R74" s="110" t="n">
        <v>45714</v>
      </c>
      <c r="S74" s="110" t="inlineStr">
        <is>
          <t>MILLO/ALLEGRETTI</t>
        </is>
      </c>
      <c r="T74" s="116">
        <f>IF(AND('Inserimento dati'!$B$3=$H$2, TabellaA1[[#This Row],[LUN]]="X"), "X",IF(AND('Inserimento dati'!$B$3=$I$2, TabellaA1[[#This Row],[MAR]]="X"), "X", IF(AND('Inserimento dati'!$B$3=$J$2, TabellaA1[[#This Row],[MER]]="X"), "X",IF(AND('Inserimento dati'!$B$3=$K$2, TabellaA1[[#This Row],[GIO]]="X"), "X", IF(AND('Inserimento dati'!$B$3=$L$2, TabellaA1[[#This Row],[VEN]]="X"), "X","")))))</f>
        <v/>
      </c>
      <c r="U74" s="160">
        <f>IFERROR(MID(G74,_xlfn.AGGREGATE(15,6,(ROW(INDIRECT("1:"&amp;LEN(G74)-7)))/(ISNUMBER(--MID(G74,ROW(INDIRECT("1:"&amp;LEN(G74)-7)),8))),1),8),"")</f>
        <v/>
      </c>
      <c r="V74" t="inlineStr">
        <is>
          <t>2025-09-30 20:00:00</t>
        </is>
      </c>
    </row>
    <row r="75" ht="30" customFormat="1" customHeight="1" s="45">
      <c r="A75" s="112" t="n"/>
      <c r="B75" s="112">
        <f>IF(OR(A75="x",A75="X"),"",IF(ISBLANK(A75),"X",""))</f>
        <v/>
      </c>
      <c r="C75" s="112">
        <f>IF(OR(TabellaA1[[#This Row],[LUN]]="X",TabellaA1[[#This Row],[MAR]]="X",TabellaA1[[#This Row],[MER]]="X",TabellaA1[[#This Row],[GIO]]="X",TabellaA1[[#This Row],[VEN]]="X",),"X","")</f>
        <v/>
      </c>
      <c r="D75" s="113" t="inlineStr">
        <is>
          <t>AREA 1</t>
        </is>
      </c>
      <c r="E75" s="109" t="inlineStr">
        <is>
          <t>527047/C</t>
        </is>
      </c>
      <c r="F75" s="109" t="n">
        <v>100</v>
      </c>
      <c r="G75" s="109" t="inlineStr">
        <is>
          <t>100 - 100P003DI (PREVALENZA B101B)CONTROLLO E RIPRISTINO FUNZIONALITA DIFFERENZIALE DI PRESSIONE (PIANO RIPRISTINI ALLARMI ATTIVI)</t>
        </is>
      </c>
      <c r="H75" s="111" t="n"/>
      <c r="I75" s="111" t="n"/>
      <c r="J75" s="111" t="n"/>
      <c r="K75" s="111" t="n"/>
      <c r="L75" s="111" t="n"/>
      <c r="M75" s="110" t="inlineStr">
        <is>
          <t>DA CHIUDERE</t>
        </is>
      </c>
      <c r="N75" s="110" t="n"/>
      <c r="O75" s="168" t="n"/>
      <c r="P75" s="168" t="n"/>
      <c r="Q75" s="110" t="inlineStr">
        <is>
          <t>CONTROLLO TARATURA TX, VERIFICA PRESE, INSERITO. ALLARME RIPRISTINATO.</t>
        </is>
      </c>
      <c r="R75" s="110" t="n">
        <v>45714</v>
      </c>
      <c r="S75" s="110" t="inlineStr">
        <is>
          <t>MILLO/ALLEGRETTI</t>
        </is>
      </c>
      <c r="T75" s="116">
        <f>IF(AND('Inserimento dati'!$B$3=$H$2, TabellaA1[[#This Row],[LUN]]="X"), "X",IF(AND('Inserimento dati'!$B$3=$I$2, TabellaA1[[#This Row],[MAR]]="X"), "X", IF(AND('Inserimento dati'!$B$3=$J$2, TabellaA1[[#This Row],[MER]]="X"), "X",IF(AND('Inserimento dati'!$B$3=$K$2, TabellaA1[[#This Row],[GIO]]="X"), "X", IF(AND('Inserimento dati'!$B$3=$L$2, TabellaA1[[#This Row],[VEN]]="X"), "X","")))))</f>
        <v/>
      </c>
      <c r="U75" s="160">
        <f>IFERROR(MID(G75,_xlfn.AGGREGATE(15,6,(ROW(INDIRECT("1:"&amp;LEN(G75)-7)))/(ISNUMBER(--MID(G75,ROW(INDIRECT("1:"&amp;LEN(G75)-7)),8))),1),8),"")</f>
        <v/>
      </c>
      <c r="V75" t="inlineStr">
        <is>
          <t>2025-09-30 20:00:00</t>
        </is>
      </c>
    </row>
    <row r="76" ht="30" customFormat="1" customHeight="1" s="45">
      <c r="A76" s="112" t="n"/>
      <c r="B76" s="112">
        <f>IF(OR(A76="x",A76="X"),"",IF(ISBLANK(A76),"X",""))</f>
        <v/>
      </c>
      <c r="C76" s="112">
        <f>IF(OR(TabellaA1[[#This Row],[LUN]]="X",TabellaA1[[#This Row],[MAR]]="X",TabellaA1[[#This Row],[MER]]="X",TabellaA1[[#This Row],[GIO]]="X",TabellaA1[[#This Row],[VEN]]="X",),"X","")</f>
        <v/>
      </c>
      <c r="D76" s="113" t="inlineStr">
        <is>
          <t>AREA 1</t>
        </is>
      </c>
      <c r="E76" s="109" t="inlineStr">
        <is>
          <t>526933/C</t>
        </is>
      </c>
      <c r="F76" s="109" t="n">
        <v>100</v>
      </c>
      <c r="G76" s="109" t="inlineStr">
        <is>
          <t>100 - F101 VALVOLA VAPORE DI SOFFIATURA SOSTITUZIONE POSIZIONATORE E RIPRISTINO FUNZIONALITA(CON VAPORE INTERCETTATO)</t>
        </is>
      </c>
      <c r="H76" s="111" t="n"/>
      <c r="I76" s="111" t="n"/>
      <c r="J76" s="111" t="n"/>
      <c r="K76" s="111" t="n"/>
      <c r="L76" s="111" t="n"/>
      <c r="M76" s="110" t="inlineStr">
        <is>
          <t>DA CHIUDERE</t>
        </is>
      </c>
      <c r="N76" s="110" t="n"/>
      <c r="O76" s="168" t="n"/>
      <c r="P76" s="168" t="n"/>
      <c r="Q76" s="110" t="inlineStr">
        <is>
          <t>SOSTITUITO POSIZIONATORE EICARD, SOSTITUITA E.V. CHE NON SCARICAVA. VALVOLA ALLINEATA OK</t>
        </is>
      </c>
      <c r="R76" s="110" t="n">
        <v>45712</v>
      </c>
      <c r="S76" s="110" t="inlineStr">
        <is>
          <t>GARRO L.</t>
        </is>
      </c>
      <c r="T76" s="116">
        <f>IF(AND('Inserimento dati'!$B$3=$H$2, TabellaA1[[#This Row],[LUN]]="X"), "X",IF(AND('Inserimento dati'!$B$3=$I$2, TabellaA1[[#This Row],[MAR]]="X"), "X", IF(AND('Inserimento dati'!$B$3=$J$2, TabellaA1[[#This Row],[MER]]="X"), "X",IF(AND('Inserimento dati'!$B$3=$K$2, TabellaA1[[#This Row],[GIO]]="X"), "X", IF(AND('Inserimento dati'!$B$3=$L$2, TabellaA1[[#This Row],[VEN]]="X"), "X","")))))</f>
        <v/>
      </c>
      <c r="U76" s="160">
        <f>IFERROR(MID(G76,_xlfn.AGGREGATE(15,6,(ROW(INDIRECT("1:"&amp;LEN(G76)-7)))/(ISNUMBER(--MID(G76,ROW(INDIRECT("1:"&amp;LEN(G76)-7)),8))),1),8),"")</f>
        <v/>
      </c>
      <c r="V76" t="inlineStr">
        <is>
          <t>2025-09-30 20:00:00</t>
        </is>
      </c>
    </row>
    <row r="77" ht="30" customFormat="1" customHeight="1" s="45">
      <c r="A77" s="112" t="n"/>
      <c r="B77" s="112">
        <f>IF(OR(A77="x",A77="X"),"",IF(ISBLANK(A77),"X",""))</f>
        <v/>
      </c>
      <c r="C77" s="112">
        <f>IF(OR(TabellaA1[[#This Row],[LUN]]="X",TabellaA1[[#This Row],[MAR]]="X",TabellaA1[[#This Row],[MER]]="X",TabellaA1[[#This Row],[GIO]]="X",TabellaA1[[#This Row],[VEN]]="X",),"X","")</f>
        <v/>
      </c>
      <c r="D77" s="113" t="inlineStr">
        <is>
          <t>AREA 1</t>
        </is>
      </c>
      <c r="E77" s="109" t="inlineStr">
        <is>
          <t>526431/C</t>
        </is>
      </c>
      <c r="F77" s="109" t="n">
        <v>300</v>
      </c>
      <c r="G77" s="109" t="inlineStr">
        <is>
          <t>300 - P218HA(DA D102 A E104)CONTROLLO E RIPRISTINO FUNZIONALITA PRESSOSTATO</t>
        </is>
      </c>
      <c r="H77" s="111" t="n"/>
      <c r="I77" s="111" t="n"/>
      <c r="J77" s="111" t="n"/>
      <c r="K77" s="111" t="n"/>
      <c r="L77" s="111" t="n"/>
      <c r="M77" s="110" t="inlineStr">
        <is>
          <t>DA CHIUDERE</t>
        </is>
      </c>
      <c r="N77" s="110" t="n"/>
      <c r="O77" s="168" t="inlineStr">
        <is>
          <t>X</t>
        </is>
      </c>
      <c r="P77" s="168" t="n"/>
      <c r="Q77" s="110" t="inlineStr">
        <is>
          <t>SOSTITUITO PRESSOSTATO, RIFACIMENTO PRIMARIO IN ACCIAIO CON AGGIUNTA DI T E VALVOLA DI DRENO DA 1/2 POLLICE.</t>
        </is>
      </c>
      <c r="R77" s="110" t="n">
        <v>45712</v>
      </c>
      <c r="S77" s="110" t="inlineStr">
        <is>
          <t>SPINALI/SERRA</t>
        </is>
      </c>
      <c r="T77" s="116">
        <f>IF(AND('Inserimento dati'!$B$3=$H$2, TabellaA1[[#This Row],[LUN]]="X"), "X",IF(AND('Inserimento dati'!$B$3=$I$2, TabellaA1[[#This Row],[MAR]]="X"), "X", IF(AND('Inserimento dati'!$B$3=$J$2, TabellaA1[[#This Row],[MER]]="X"), "X",IF(AND('Inserimento dati'!$B$3=$K$2, TabellaA1[[#This Row],[GIO]]="X"), "X", IF(AND('Inserimento dati'!$B$3=$L$2, TabellaA1[[#This Row],[VEN]]="X"), "X","")))))</f>
        <v/>
      </c>
      <c r="U77" s="160">
        <f>IFERROR(MID(G77,_xlfn.AGGREGATE(15,6,(ROW(INDIRECT("1:"&amp;LEN(G77)-7)))/(ISNUMBER(--MID(G77,ROW(INDIRECT("1:"&amp;LEN(G77)-7)),8))),1),8),"")</f>
        <v/>
      </c>
      <c r="V77" t="inlineStr">
        <is>
          <t>2025-09-30 20:00:00</t>
        </is>
      </c>
    </row>
    <row r="78" ht="30" customFormat="1" customHeight="1" s="45">
      <c r="A78" s="112" t="n"/>
      <c r="B78" s="112">
        <f>IF(OR(A78="x",A78="X"),"",IF(ISBLANK(A78),"X",""))</f>
        <v/>
      </c>
      <c r="C78" s="112">
        <f>IF(OR(TabellaA1[[#This Row],[LUN]]="X",TabellaA1[[#This Row],[MAR]]="X",TabellaA1[[#This Row],[MER]]="X",TabellaA1[[#This Row],[GIO]]="X",TabellaA1[[#This Row],[VEN]]="X",),"X","")</f>
        <v/>
      </c>
      <c r="D78" s="113" t="inlineStr">
        <is>
          <t>AREA 1</t>
        </is>
      </c>
      <c r="E78" s="109" t="inlineStr">
        <is>
          <t>526779/C</t>
        </is>
      </c>
      <c r="F78" s="109" t="n">
        <v>200</v>
      </c>
      <c r="G78" s="109" t="inlineStr">
        <is>
          <t>200 - 200L353CV (T301) RIPRISTINO FUNZIONALITA VALVOLA NON CHIUDE OLTRE IL 30%</t>
        </is>
      </c>
      <c r="H78" s="111" t="n"/>
      <c r="I78" s="111" t="n"/>
      <c r="J78" s="111" t="n"/>
      <c r="K78" s="111" t="n"/>
      <c r="L78" s="111" t="n"/>
      <c r="M78" s="110" t="inlineStr">
        <is>
          <t>DA CHIUDERE</t>
        </is>
      </c>
      <c r="N78" s="110" t="n"/>
      <c r="O78" s="168" t="n"/>
      <c r="P78" s="168" t="n"/>
      <c r="Q78" s="110" t="inlineStr">
        <is>
          <t>SOSTITUITO I/P CONVERTER, SBLOCCATA VALVOLA CHE RIMANEVA AL 20%, TARATA E ALLINEATA CON SALA CONTROLLO.</t>
        </is>
      </c>
      <c r="R78" s="110" t="n">
        <v>45708</v>
      </c>
      <c r="S78" s="110" t="inlineStr">
        <is>
          <t>MILLO/GARRO L.</t>
        </is>
      </c>
      <c r="T78" s="116">
        <f>IF(AND('Inserimento dati'!$B$3=$H$2, TabellaA1[[#This Row],[LUN]]="X"), "X",IF(AND('Inserimento dati'!$B$3=$I$2, TabellaA1[[#This Row],[MAR]]="X"), "X", IF(AND('Inserimento dati'!$B$3=$J$2, TabellaA1[[#This Row],[MER]]="X"), "X",IF(AND('Inserimento dati'!$B$3=$K$2, TabellaA1[[#This Row],[GIO]]="X"), "X", IF(AND('Inserimento dati'!$B$3=$L$2, TabellaA1[[#This Row],[VEN]]="X"), "X","")))))</f>
        <v/>
      </c>
      <c r="U78" s="160">
        <f>IFERROR(MID(G78,_xlfn.AGGREGATE(15,6,(ROW(INDIRECT("1:"&amp;LEN(G78)-7)))/(ISNUMBER(--MID(G78,ROW(INDIRECT("1:"&amp;LEN(G78)-7)),8))),1),8),"")</f>
        <v/>
      </c>
      <c r="V78" t="inlineStr">
        <is>
          <t>2025-09-30 20:00:00</t>
        </is>
      </c>
    </row>
    <row r="79" ht="30" customFormat="1" customHeight="1" s="45">
      <c r="A79" s="112" t="n"/>
      <c r="B79" s="112">
        <f>IF(OR(A79="x",A79="X"),"",IF(ISBLANK(A79),"X",""))</f>
        <v/>
      </c>
      <c r="C79" s="112">
        <f>IF(OR(TabellaA1[[#This Row],[LUN]]="X",TabellaA1[[#This Row],[MAR]]="X",TabellaA1[[#This Row],[MER]]="X",TabellaA1[[#This Row],[GIO]]="X",TabellaA1[[#This Row],[VEN]]="X",),"X","")</f>
        <v/>
      </c>
      <c r="D79" s="113" t="inlineStr">
        <is>
          <t>AREA 1</t>
        </is>
      </c>
      <c r="E79" s="109" t="inlineStr">
        <is>
          <t>526588/C</t>
        </is>
      </c>
      <c r="F79" s="109" t="n">
        <v>400</v>
      </c>
      <c r="G79" s="109" t="inlineStr">
        <is>
          <t>400 - 04F227T_BAD 04F225T_BAD verifica simulazione di portata se rientrano dal BED</t>
        </is>
      </c>
      <c r="H79" s="111" t="n"/>
      <c r="I79" s="111" t="n"/>
      <c r="J79" s="111" t="n"/>
      <c r="K79" s="111" t="n"/>
      <c r="L79" s="111" t="n"/>
      <c r="M79" s="110" t="inlineStr">
        <is>
          <t>DA CHIUDERE</t>
        </is>
      </c>
      <c r="N79" s="110" t="n"/>
      <c r="O79" s="168" t="n"/>
      <c r="P79" s="168" t="n"/>
      <c r="Q79" s="110" t="inlineStr">
        <is>
          <t>ESEGUITO AZZERAMENTO SULLE DUE PORTATE, ALLINEATE A DCS, OK.</t>
        </is>
      </c>
      <c r="R79" s="110" t="n">
        <v>45708</v>
      </c>
      <c r="S79" s="110" t="inlineStr">
        <is>
          <t>TARASCIO/PARTESANO</t>
        </is>
      </c>
      <c r="T79" s="116">
        <f>IF(AND('Inserimento dati'!$B$3=$H$2, TabellaA1[[#This Row],[LUN]]="X"), "X",IF(AND('Inserimento dati'!$B$3=$I$2, TabellaA1[[#This Row],[MAR]]="X"), "X", IF(AND('Inserimento dati'!$B$3=$J$2, TabellaA1[[#This Row],[MER]]="X"), "X",IF(AND('Inserimento dati'!$B$3=$K$2, TabellaA1[[#This Row],[GIO]]="X"), "X", IF(AND('Inserimento dati'!$B$3=$L$2, TabellaA1[[#This Row],[VEN]]="X"), "X","")))))</f>
        <v/>
      </c>
      <c r="U79" s="137">
        <f>IFERROR(MID(G79,_xlfn.AGGREGATE(15,6,(ROW(INDIRECT("1:"&amp;LEN(G79)-7)))/(ISNUMBER(--MID(G79,ROW(INDIRECT("1:"&amp;LEN(G79)-7)),8))),1),8),"")</f>
        <v/>
      </c>
      <c r="V79" t="inlineStr">
        <is>
          <t>2025-09-30 20:00:00</t>
        </is>
      </c>
    </row>
    <row r="80" ht="30" customFormat="1" customHeight="1" s="45">
      <c r="A80" s="112" t="n"/>
      <c r="B80" s="112">
        <f>IF(OR(A80="x",A80="X"),"",IF(ISBLANK(A80),"X",""))</f>
        <v/>
      </c>
      <c r="C80" s="112">
        <f>IF(OR(TabellaA1[[#This Row],[LUN]]="X",TabellaA1[[#This Row],[MAR]]="X",TabellaA1[[#This Row],[MER]]="X",TabellaA1[[#This Row],[GIO]]="X",TabellaA1[[#This Row],[VEN]]="X",),"X","")</f>
        <v/>
      </c>
      <c r="D80" s="113" t="inlineStr">
        <is>
          <t>AREA 1</t>
        </is>
      </c>
      <c r="E80" s="109" t="inlineStr">
        <is>
          <t>526579/C</t>
        </is>
      </c>
      <c r="F80" s="109" t="n">
        <v>400</v>
      </c>
      <c r="G80" s="109" t="inlineStr">
        <is>
          <t>T151 CONTROLLO LOOP DI REGOLAZIONE 04-LIC152 +04-L330A/B/C   E LOGICA DELL'AUTOMATISMO DEI LIVELLI CON CONTROLLO VALVOLA DI BLOCCO 04-XV330</t>
        </is>
      </c>
      <c r="H80" s="111" t="n"/>
      <c r="I80" s="111" t="n"/>
      <c r="J80" s="111" t="n"/>
      <c r="K80" s="111" t="n"/>
      <c r="L80" s="111" t="n"/>
      <c r="M80" s="110" t="inlineStr">
        <is>
          <t>DA CHIUDERE</t>
        </is>
      </c>
      <c r="N80" s="110" t="n"/>
      <c r="O80" s="168" t="n"/>
      <c r="P80" s="168" t="n"/>
      <c r="Q80" s="110" t="inlineStr">
        <is>
          <t>CONTROLLO FUNZIONALE TRASMETTITORI, ESEGUITA TARATURA ED ALLINEATI AL LIVELLO VISIVO. CONTROLLO VALVOLA BLOCCO OK</t>
        </is>
      </c>
      <c r="R80" s="110" t="n">
        <v>45708</v>
      </c>
      <c r="S80" s="110" t="inlineStr">
        <is>
          <t>SPINALI/SERRA</t>
        </is>
      </c>
      <c r="T80" s="116">
        <f>IF(AND('Inserimento dati'!$B$3=$H$2, TabellaA1[[#This Row],[LUN]]="X"), "X",IF(AND('Inserimento dati'!$B$3=$I$2, TabellaA1[[#This Row],[MAR]]="X"), "X", IF(AND('Inserimento dati'!$B$3=$J$2, TabellaA1[[#This Row],[MER]]="X"), "X",IF(AND('Inserimento dati'!$B$3=$K$2, TabellaA1[[#This Row],[GIO]]="X"), "X", IF(AND('Inserimento dati'!$B$3=$L$2, TabellaA1[[#This Row],[VEN]]="X"), "X","")))))</f>
        <v/>
      </c>
      <c r="U80" s="137">
        <f>IFERROR(MID(G80,_xlfn.AGGREGATE(15,6,(ROW(INDIRECT("1:"&amp;LEN(G80)-7)))/(ISNUMBER(--MID(G80,ROW(INDIRECT("1:"&amp;LEN(G80)-7)),8))),1),8),"")</f>
        <v/>
      </c>
      <c r="V80" t="inlineStr">
        <is>
          <t>2025-09-30 20:00:00</t>
        </is>
      </c>
    </row>
    <row r="81" ht="30" customFormat="1" customHeight="1" s="45">
      <c r="A81" s="112" t="n"/>
      <c r="B81" s="112">
        <f>IF(OR(A81="x",A81="X"),"",IF(ISBLANK(A81),"X",""))</f>
        <v/>
      </c>
      <c r="C81" s="112">
        <f>IF(OR(TabellaA1[[#This Row],[LUN]]="X",TabellaA1[[#This Row],[MAR]]="X",TabellaA1[[#This Row],[MER]]="X",TabellaA1[[#This Row],[GIO]]="X",TabellaA1[[#This Row],[VEN]]="X",),"X","")</f>
        <v/>
      </c>
      <c r="D81" s="113" t="inlineStr">
        <is>
          <t>AREA 1</t>
        </is>
      </c>
      <c r="E81" s="109" t="inlineStr">
        <is>
          <t>526301/C</t>
        </is>
      </c>
      <c r="F81" s="109" t="n">
        <v>300</v>
      </c>
      <c r="G81" s="109" t="inlineStr">
        <is>
          <t>300 - F017RC VAPORE STRIPP. T101 CONTROLLO  E TARATURA  PORTATA</t>
        </is>
      </c>
      <c r="H81" s="111" t="n"/>
      <c r="I81" s="111" t="n"/>
      <c r="J81" s="111" t="n"/>
      <c r="K81" s="111" t="n"/>
      <c r="L81" s="111" t="n"/>
      <c r="M81" s="110" t="inlineStr">
        <is>
          <t>DA CHIUDERE</t>
        </is>
      </c>
      <c r="N81" s="110" t="n"/>
      <c r="O81" s="168" t="n"/>
      <c r="P81" s="168" t="n"/>
      <c r="Q81" s="110" t="inlineStr">
        <is>
          <t>POSITIVA PARZIALMENTE TAPPATA, STASATA E BYPASS ROTTO</t>
        </is>
      </c>
      <c r="R81" s="110" t="n">
        <v>45706</v>
      </c>
      <c r="S81" s="110" t="inlineStr">
        <is>
          <t>TARASCIO/PARTESANO</t>
        </is>
      </c>
      <c r="T81" s="116">
        <f>IF(AND('Inserimento dati'!$B$3=$H$2, TabellaA1[[#This Row],[LUN]]="X"), "X",IF(AND('Inserimento dati'!$B$3=$I$2, TabellaA1[[#This Row],[MAR]]="X"), "X", IF(AND('Inserimento dati'!$B$3=$J$2, TabellaA1[[#This Row],[MER]]="X"), "X",IF(AND('Inserimento dati'!$B$3=$K$2, TabellaA1[[#This Row],[GIO]]="X"), "X", IF(AND('Inserimento dati'!$B$3=$L$2, TabellaA1[[#This Row],[VEN]]="X"), "X","")))))</f>
        <v/>
      </c>
      <c r="U81" s="137">
        <f>IFERROR(MID(G81,_xlfn.AGGREGATE(15,6,(ROW(INDIRECT("1:"&amp;LEN(G81)-7)))/(ISNUMBER(--MID(G81,ROW(INDIRECT("1:"&amp;LEN(G81)-7)),8))),1),8),"")</f>
        <v/>
      </c>
      <c r="V81" t="inlineStr">
        <is>
          <t>2025-09-30 20:00:00</t>
        </is>
      </c>
    </row>
    <row r="82" ht="30" customFormat="1" customHeight="1" s="45">
      <c r="A82" s="112" t="n"/>
      <c r="B82" s="112">
        <f>IF(OR(A82="x",A82="X"),"",IF(ISBLANK(A82),"X",""))</f>
        <v/>
      </c>
      <c r="C82" s="112">
        <f>IF(OR(TabellaA1[[#This Row],[LUN]]="X",TabellaA1[[#This Row],[MAR]]="X",TabellaA1[[#This Row],[MER]]="X",TabellaA1[[#This Row],[GIO]]="X",TabellaA1[[#This Row],[VEN]]="X",),"X","")</f>
        <v/>
      </c>
      <c r="D82" s="113" t="inlineStr">
        <is>
          <t>AREA 1</t>
        </is>
      </c>
      <c r="E82" s="109" t="inlineStr">
        <is>
          <t>526298/C</t>
        </is>
      </c>
      <c r="F82" s="109" t="n">
        <v>300</v>
      </c>
      <c r="G82" s="109" t="inlineStr">
        <is>
          <t>300 - F020I(H2O D104)CONTROLLO E TARATURA PORTATA</t>
        </is>
      </c>
      <c r="H82" s="111" t="n"/>
      <c r="I82" s="111" t="n"/>
      <c r="J82" s="111" t="n"/>
      <c r="K82" s="111" t="n"/>
      <c r="L82" s="111" t="n"/>
      <c r="M82" s="110" t="inlineStr">
        <is>
          <t>DA CHIUDERE</t>
        </is>
      </c>
      <c r="N82" s="110" t="n"/>
      <c r="O82" s="168" t="n"/>
      <c r="P82" s="168" t="n"/>
      <c r="Q82" s="110" t="inlineStr">
        <is>
          <t>CORRETTO DI ZERO ED ESEGUITO ALLINEAMENTO.</t>
        </is>
      </c>
      <c r="R82" s="110" t="n">
        <v>45706</v>
      </c>
      <c r="S82" s="110" t="inlineStr">
        <is>
          <t>TARASCIO/PARTESANO</t>
        </is>
      </c>
      <c r="T82" s="116">
        <f>IF(AND('Inserimento dati'!$B$3=$H$2, TabellaA1[[#This Row],[LUN]]="X"), "X",IF(AND('Inserimento dati'!$B$3=$I$2, TabellaA1[[#This Row],[MAR]]="X"), "X", IF(AND('Inserimento dati'!$B$3=$J$2, TabellaA1[[#This Row],[MER]]="X"), "X",IF(AND('Inserimento dati'!$B$3=$K$2, TabellaA1[[#This Row],[GIO]]="X"), "X", IF(AND('Inserimento dati'!$B$3=$L$2, TabellaA1[[#This Row],[VEN]]="X"), "X","")))))</f>
        <v/>
      </c>
      <c r="U82" s="137">
        <f>IFERROR(MID(G82,_xlfn.AGGREGATE(15,6,(ROW(INDIRECT("1:"&amp;LEN(G82)-7)))/(ISNUMBER(--MID(G82,ROW(INDIRECT("1:"&amp;LEN(G82)-7)),8))),1),8),"")</f>
        <v/>
      </c>
      <c r="V82" t="inlineStr">
        <is>
          <t>2025-09-30 20:00:00</t>
        </is>
      </c>
    </row>
    <row r="83" ht="30" customFormat="1" customHeight="1" s="45">
      <c r="A83" s="112" t="n"/>
      <c r="B83" s="112">
        <f>IF(OR(A83="x",A83="X"),"",IF(ISBLANK(A83),"X",""))</f>
        <v/>
      </c>
      <c r="C83" s="112">
        <f>IF(OR(TabellaA1[[#This Row],[LUN]]="X",TabellaA1[[#This Row],[MAR]]="X",TabellaA1[[#This Row],[MER]]="X",TabellaA1[[#This Row],[GIO]]="X",TabellaA1[[#This Row],[VEN]]="X",),"X","")</f>
        <v/>
      </c>
      <c r="D83" s="113" t="inlineStr">
        <is>
          <t>AREA 1</t>
        </is>
      </c>
      <c r="E83" s="109" t="inlineStr">
        <is>
          <t>525238/C</t>
        </is>
      </c>
      <c r="F83" s="109" t="n">
        <v>100</v>
      </c>
      <c r="G83" s="109" t="inlineStr">
        <is>
          <t>100 - E109A/B SCOLLEGAMENTO/RICOLLEGAMENTO TERMOCOPPIE E SISTEMAZIONE CAVI PER MANUTENZIONE SCAMBIATORE</t>
        </is>
      </c>
      <c r="H83" s="111" t="n"/>
      <c r="I83" s="111" t="n"/>
      <c r="J83" s="111" t="n"/>
      <c r="K83" s="111" t="n"/>
      <c r="L83" s="111" t="n"/>
      <c r="M83" s="110" t="inlineStr">
        <is>
          <t>DA CHIUDERE</t>
        </is>
      </c>
      <c r="N83" s="110" t="inlineStr">
        <is>
          <t>X</t>
        </is>
      </c>
      <c r="O83" s="168" t="n"/>
      <c r="P83" s="168" t="n"/>
      <c r="Q83" s="110" t="inlineStr">
        <is>
          <t>ATTIVITA' CONCLUSA</t>
        </is>
      </c>
      <c r="R83" s="110" t="n"/>
      <c r="S83" s="110" t="inlineStr">
        <is>
          <t>TARASCIO</t>
        </is>
      </c>
      <c r="T83" s="112">
        <f>IF(AND('Inserimento dati'!$B$3=$H$2, TabellaA1[[#This Row],[LUN]]="X"), "X",IF(AND('Inserimento dati'!$B$3=$I$2, TabellaA1[[#This Row],[MAR]]="X"), "X", IF(AND('Inserimento dati'!$B$3=$J$2, TabellaA1[[#This Row],[MER]]="X"), "X",IF(AND('Inserimento dati'!$B$3=$K$2, TabellaA1[[#This Row],[GIO]]="X"), "X", IF(AND('Inserimento dati'!$B$3=$L$2, TabellaA1[[#This Row],[VEN]]="X"), "X","")))))</f>
        <v/>
      </c>
      <c r="U83" s="137">
        <f>IFERROR(MID(G83,_xlfn.AGGREGATE(15,6,(ROW(INDIRECT("1:"&amp;LEN(G83)-7)))/(ISNUMBER(--MID(G83,ROW(INDIRECT("1:"&amp;LEN(G83)-7)),8))),1),8),"")</f>
        <v/>
      </c>
      <c r="V83" s="117" t="inlineStr">
        <is>
          <t>2025-09-30 20:00:00</t>
        </is>
      </c>
    </row>
    <row r="84" ht="23.25" customFormat="1" customHeight="1" s="45">
      <c r="A84" s="112" t="n"/>
      <c r="B84" s="112">
        <f>IF(OR(A84="x",A84="X"),"",IF(ISBLANK(A84),"X",""))</f>
        <v/>
      </c>
      <c r="C84" s="112">
        <f>IF(OR(TabellaA1[[#This Row],[LUN]]="X",TabellaA1[[#This Row],[MAR]]="X",TabellaA1[[#This Row],[MER]]="X",TabellaA1[[#This Row],[GIO]]="X",TabellaA1[[#This Row],[VEN]]="X",),"X","")</f>
        <v/>
      </c>
      <c r="D84" s="113" t="inlineStr">
        <is>
          <t>AREA 1</t>
        </is>
      </c>
      <c r="E84" s="109" t="inlineStr">
        <is>
          <t>524894/C</t>
        </is>
      </c>
      <c r="F84" s="109" t="n">
        <v>100</v>
      </c>
      <c r="G84" s="109" t="inlineStr">
        <is>
          <t>100 - 01F031RC(GOL A STOCK.)CONTROLLO E TARATURA STRUMENTO DI PORTATA</t>
        </is>
      </c>
      <c r="H84" s="111" t="n"/>
      <c r="I84" s="111" t="n"/>
      <c r="J84" s="111" t="n"/>
      <c r="K84" s="111" t="n"/>
      <c r="L84" s="111" t="n"/>
      <c r="M84" s="110" t="inlineStr">
        <is>
          <t>DA CHIUDERE</t>
        </is>
      </c>
      <c r="N84" s="110" t="n"/>
      <c r="O84" s="168" t="n"/>
      <c r="P84" s="168" t="n"/>
      <c r="Q84" s="109" t="n"/>
      <c r="R84" s="110" t="n"/>
      <c r="S84" s="110" t="inlineStr">
        <is>
          <t>TARASCIO</t>
        </is>
      </c>
      <c r="T84" s="112">
        <f>IF(AND('Inserimento dati'!$B$3=$H$2, TabellaA1[[#This Row],[LUN]]="X"), "X",IF(AND('Inserimento dati'!$B$3=$I$2, TabellaA1[[#This Row],[MAR]]="X"), "X", IF(AND('Inserimento dati'!$B$3=$J$2, TabellaA1[[#This Row],[MER]]="X"), "X",IF(AND('Inserimento dati'!$B$3=$K$2, TabellaA1[[#This Row],[GIO]]="X"), "X", IF(AND('Inserimento dati'!$B$3=$L$2, TabellaA1[[#This Row],[VEN]]="X"), "X","")))))</f>
        <v/>
      </c>
      <c r="U84" s="137">
        <f>IFERROR(MID(G84,_xlfn.AGGREGATE(15,6,(ROW(INDIRECT("1:"&amp;LEN(G84)-7)))/(ISNUMBER(--MID(G84,ROW(INDIRECT("1:"&amp;LEN(G84)-7)),8))),1),8),"")</f>
        <v/>
      </c>
      <c r="V84" t="inlineStr">
        <is>
          <t>2025-09-30 20:00:00</t>
        </is>
      </c>
    </row>
    <row r="85" ht="30" customFormat="1" customHeight="1" s="45">
      <c r="A85" s="112" t="n"/>
      <c r="B85" s="112">
        <f>IF(OR(A85="x",A85="X"),"",IF(ISBLANK(A85),"X",""))</f>
        <v/>
      </c>
      <c r="C85" s="112">
        <f>IF(OR(TabellaA1[[#This Row],[LUN]]="X",TabellaA1[[#This Row],[MAR]]="X",TabellaA1[[#This Row],[MER]]="X",TabellaA1[[#This Row],[GIO]]="X",TabellaA1[[#This Row],[VEN]]="X",),"X","")</f>
        <v/>
      </c>
      <c r="D85" s="113" t="inlineStr">
        <is>
          <t>AREA 1</t>
        </is>
      </c>
      <c r="E85" s="109" t="inlineStr">
        <is>
          <t>526196/C</t>
        </is>
      </c>
      <c r="F85" s="109" t="n">
        <v>100</v>
      </c>
      <c r="G85" s="109" t="inlineStr">
        <is>
          <t>100 - F101 CONTROLLO FUNZIONALITA VALVOLA VAPORE SOFFIATURA(VAPORE INTERCETTATO)-VALVOLA CLYDE-</t>
        </is>
      </c>
      <c r="H85" s="111" t="n"/>
      <c r="I85" s="111" t="n"/>
      <c r="J85" s="111" t="n"/>
      <c r="K85" s="111" t="n"/>
      <c r="L85" s="111" t="n"/>
      <c r="M85" s="110" t="inlineStr">
        <is>
          <t>DA CHIUDERE</t>
        </is>
      </c>
      <c r="N85" s="110" t="n"/>
      <c r="O85" s="168" t="n"/>
      <c r="P85" s="168" t="n"/>
      <c r="Q85" s="109" t="inlineStr">
        <is>
          <t>NESSUNA ANOMALIA</t>
        </is>
      </c>
      <c r="R85" s="110" t="n">
        <v>45705</v>
      </c>
      <c r="S85" s="110" t="inlineStr">
        <is>
          <t>MILLO F.</t>
        </is>
      </c>
      <c r="T85" s="116">
        <f>IF(AND('Inserimento dati'!$B$3=$H$2, TabellaA1[[#This Row],[LUN]]="X"), "X",IF(AND('Inserimento dati'!$B$3=$I$2, TabellaA1[[#This Row],[MAR]]="X"), "X", IF(AND('Inserimento dati'!$B$3=$J$2, TabellaA1[[#This Row],[MER]]="X"), "X",IF(AND('Inserimento dati'!$B$3=$K$2, TabellaA1[[#This Row],[GIO]]="X"), "X", IF(AND('Inserimento dati'!$B$3=$L$2, TabellaA1[[#This Row],[VEN]]="X"), "X","")))))</f>
        <v/>
      </c>
      <c r="U85" s="137">
        <f>IFERROR(MID(G85,_xlfn.AGGREGATE(15,6,(ROW(INDIRECT("1:"&amp;LEN(G85)-7)))/(ISNUMBER(--MID(G85,ROW(INDIRECT("1:"&amp;LEN(G85)-7)),8))),1),8),"")</f>
        <v/>
      </c>
      <c r="V85" t="inlineStr">
        <is>
          <t>2025-09-30 20:00:00</t>
        </is>
      </c>
    </row>
    <row r="86" ht="23.25" customFormat="1" customHeight="1" s="45">
      <c r="A86" s="112" t="n"/>
      <c r="B86" s="112">
        <f>IF(OR(A86="x",A86="X"),"",IF(ISBLANK(A86),"X",""))</f>
        <v/>
      </c>
      <c r="C86" s="112">
        <f>IF(OR(TabellaA1[[#This Row],[LUN]]="X",TabellaA1[[#This Row],[MAR]]="X",TabellaA1[[#This Row],[MER]]="X",TabellaA1[[#This Row],[GIO]]="X",TabellaA1[[#This Row],[VEN]]="X",),"X","")</f>
        <v/>
      </c>
      <c r="D86" s="113" t="inlineStr">
        <is>
          <t>AREA 1</t>
        </is>
      </c>
      <c r="E86" s="109" t="inlineStr">
        <is>
          <t>523180/C</t>
        </is>
      </c>
      <c r="F86" s="109" t="n">
        <v>400</v>
      </c>
      <c r="G86" s="109" t="inlineStr">
        <is>
          <t>400 - F160R VAPORE LB CONTROLLO E RIPRISTINO FUNZIONALITA'</t>
        </is>
      </c>
      <c r="H86" s="111" t="n"/>
      <c r="I86" s="111" t="n"/>
      <c r="J86" s="111" t="n"/>
      <c r="K86" s="111" t="n"/>
      <c r="L86" s="111" t="n"/>
      <c r="M86" s="109" t="inlineStr">
        <is>
          <t>DA CHIUDERE</t>
        </is>
      </c>
      <c r="N86" s="109" t="n"/>
      <c r="O86" s="113" t="n"/>
      <c r="P86" s="113" t="n"/>
      <c r="Q86" s="109" t="inlineStr">
        <is>
          <t>NESSUNA ANOMALIA DA SEGNALARE</t>
        </is>
      </c>
      <c r="R86" s="110" t="n">
        <v>45705</v>
      </c>
      <c r="S86" s="110" t="inlineStr">
        <is>
          <t>SPINALI/SERRA</t>
        </is>
      </c>
      <c r="T86" s="112">
        <f>IF(AND('Inserimento dati'!$B$3=$H$2, TabellaA1[[#This Row],[LUN]]="X"), "X",IF(AND('Inserimento dati'!$B$3=$I$2, TabellaA1[[#This Row],[MAR]]="X"), "X", IF(AND('Inserimento dati'!$B$3=$J$2, TabellaA1[[#This Row],[MER]]="X"), "X",IF(AND('Inserimento dati'!$B$3=$K$2, TabellaA1[[#This Row],[GIO]]="X"), "X", IF(AND('Inserimento dati'!$B$3=$L$2, TabellaA1[[#This Row],[VEN]]="X"), "X","")))))</f>
        <v/>
      </c>
      <c r="U86" s="137">
        <f>IFERROR(MID(G86,_xlfn.AGGREGATE(15,6,(ROW(INDIRECT("1:"&amp;LEN(G86)-7)))/(ISNUMBER(--MID(G86,ROW(INDIRECT("1:"&amp;LEN(G86)-7)),8))),1),8),"")</f>
        <v/>
      </c>
      <c r="V86" t="inlineStr">
        <is>
          <t>2025-09-30 20:00:00</t>
        </is>
      </c>
    </row>
    <row r="87" ht="30" customFormat="1" customHeight="1" s="45">
      <c r="A87" s="112" t="n"/>
      <c r="B87" s="112">
        <f>IF(OR(A87="x",A87="X"),"",IF(ISBLANK(A87),"X",""))</f>
        <v/>
      </c>
      <c r="C87" s="112">
        <f>IF(OR(TabellaA1[[#This Row],[LUN]]="X",TabellaA1[[#This Row],[MAR]]="X",TabellaA1[[#This Row],[MER]]="X",TabellaA1[[#This Row],[GIO]]="X",TabellaA1[[#This Row],[VEN]]="X",),"X","")</f>
        <v/>
      </c>
      <c r="D87" s="113" t="inlineStr">
        <is>
          <t>AREA 1</t>
        </is>
      </c>
      <c r="E87" s="109" t="inlineStr">
        <is>
          <t>524883/C</t>
        </is>
      </c>
      <c r="F87" s="109" t="n">
        <v>100</v>
      </c>
      <c r="G87" s="109" t="inlineStr">
        <is>
          <t>100 - 01F354R(CARICA A STR.301 MANDATA P302A/B)CONTROLLO E TARATURA STRUMENTO DI PORTATA METTERE IL MOS PRIMA DI INIZIARE ATTIVITA</t>
        </is>
      </c>
      <c r="H87" s="111" t="n"/>
      <c r="I87" s="111" t="n"/>
      <c r="J87" s="111" t="n"/>
      <c r="K87" s="111" t="n"/>
      <c r="L87" s="111" t="n"/>
      <c r="M87" s="110" t="inlineStr">
        <is>
          <t>DA CHIUDERE</t>
        </is>
      </c>
      <c r="N87" s="110" t="n"/>
      <c r="O87" s="168" t="n"/>
      <c r="P87" s="168" t="n"/>
      <c r="Q87" s="109" t="inlineStr">
        <is>
          <t>ATTIVITA' CONCLUSA - CHIUSO</t>
        </is>
      </c>
      <c r="R87" s="110" t="n"/>
      <c r="S87" s="110" t="n"/>
      <c r="T87" s="112">
        <f>IF(AND('Inserimento dati'!$B$3=$H$2, TabellaA1[[#This Row],[LUN]]="X"), "X",IF(AND('Inserimento dati'!$B$3=$I$2, TabellaA1[[#This Row],[MAR]]="X"), "X", IF(AND('Inserimento dati'!$B$3=$J$2, TabellaA1[[#This Row],[MER]]="X"), "X",IF(AND('Inserimento dati'!$B$3=$K$2, TabellaA1[[#This Row],[GIO]]="X"), "X", IF(AND('Inserimento dati'!$B$3=$L$2, TabellaA1[[#This Row],[VEN]]="X"), "X","")))))</f>
        <v/>
      </c>
      <c r="U87" s="137">
        <f>IFERROR(MID(G87,_xlfn.AGGREGATE(15,6,(ROW(INDIRECT("1:"&amp;LEN(G87)-7)))/(ISNUMBER(--MID(G87,ROW(INDIRECT("1:"&amp;LEN(G87)-7)),8))),1),8),"")</f>
        <v/>
      </c>
      <c r="V87" t="inlineStr">
        <is>
          <t>2025-09-30 20:00:00</t>
        </is>
      </c>
    </row>
    <row r="88" ht="30" customFormat="1" customHeight="1" s="45">
      <c r="A88" s="112" t="n"/>
      <c r="B88" s="112">
        <f>IF(OR(A88="x",A88="X"),"",IF(ISBLANK(A88),"X",""))</f>
        <v/>
      </c>
      <c r="C88" s="112">
        <f>IF(OR(TabellaA1[[#This Row],[LUN]]="X",TabellaA1[[#This Row],[MAR]]="X",TabellaA1[[#This Row],[MER]]="X",TabellaA1[[#This Row],[GIO]]="X",TabellaA1[[#This Row],[VEN]]="X",),"X","")</f>
        <v/>
      </c>
      <c r="D88" s="113" t="inlineStr">
        <is>
          <t>AREA 1</t>
        </is>
      </c>
      <c r="E88" s="109" t="inlineStr">
        <is>
          <t>525250/C</t>
        </is>
      </c>
      <c r="F88" s="109" t="inlineStr">
        <is>
          <t>200A</t>
        </is>
      </c>
      <c r="G88" s="109" t="inlineStr">
        <is>
          <t>200A - E302A  SCOLLEGAMENTO/RICOLLEGAMENTO TERMOCOPPIE E SISTEMAZIONE CAVI PER MANUTENZIONE SCAMBIATORE</t>
        </is>
      </c>
      <c r="H88" s="111" t="n"/>
      <c r="I88" s="111" t="n"/>
      <c r="J88" s="111" t="n"/>
      <c r="K88" s="111" t="n"/>
      <c r="L88" s="111" t="n"/>
      <c r="M88" s="110" t="inlineStr">
        <is>
          <t>DA CHIUDERE</t>
        </is>
      </c>
      <c r="N88" s="110" t="n"/>
      <c r="O88" s="168" t="n"/>
      <c r="P88" s="168" t="n"/>
      <c r="Q88" s="109" t="inlineStr">
        <is>
          <t>ATTIVITA' CONCLUSA - CHIUSO</t>
        </is>
      </c>
      <c r="R88" s="110" t="n"/>
      <c r="S88" s="110" t="n"/>
      <c r="T88" s="112">
        <f>IF(AND('Inserimento dati'!$B$3=$H$2, TabellaA1[[#This Row],[LUN]]="X"), "X",IF(AND('Inserimento dati'!$B$3=$I$2, TabellaA1[[#This Row],[MAR]]="X"), "X", IF(AND('Inserimento dati'!$B$3=$J$2, TabellaA1[[#This Row],[MER]]="X"), "X",IF(AND('Inserimento dati'!$B$3=$K$2, TabellaA1[[#This Row],[GIO]]="X"), "X", IF(AND('Inserimento dati'!$B$3=$L$2, TabellaA1[[#This Row],[VEN]]="X"), "X","")))))</f>
        <v/>
      </c>
      <c r="U88" s="137">
        <f>IFERROR(MID(G88,_xlfn.AGGREGATE(15,6,(ROW(INDIRECT("1:"&amp;LEN(G88)-7)))/(ISNUMBER(--MID(G88,ROW(INDIRECT("1:"&amp;LEN(G88)-7)),8))),1),8),"")</f>
        <v/>
      </c>
      <c r="V88" t="inlineStr">
        <is>
          <t>2025-09-30 20:00:00</t>
        </is>
      </c>
    </row>
    <row r="89" ht="30" customFormat="1" customHeight="1" s="45">
      <c r="A89" s="112" t="n"/>
      <c r="B89" s="112">
        <f>IF(OR(A89="x",A89="X"),"",IF(ISBLANK(A89),"X",""))</f>
        <v/>
      </c>
      <c r="C89" s="112">
        <f>IF(OR(TabellaA1[[#This Row],[LUN]]="X",TabellaA1[[#This Row],[MAR]]="X",TabellaA1[[#This Row],[MER]]="X",TabellaA1[[#This Row],[GIO]]="X",TabellaA1[[#This Row],[VEN]]="X",),"X","")</f>
        <v/>
      </c>
      <c r="D89" s="113" t="inlineStr">
        <is>
          <t>AREA 1</t>
        </is>
      </c>
      <c r="E89" s="109" t="inlineStr">
        <is>
          <t>525236/C</t>
        </is>
      </c>
      <c r="F89" s="109" t="n">
        <v>100</v>
      </c>
      <c r="G89" s="109" t="inlineStr">
        <is>
          <t>100 - E105A SCOLLEGAMENTO/RICOLLEGAMENTO TERMOCOPPIE E SISTEMAZIONE CAVI PER MANUTENZIONE SCAMBIATORE</t>
        </is>
      </c>
      <c r="H89" s="111" t="n"/>
      <c r="I89" s="111" t="n"/>
      <c r="J89" s="111" t="n"/>
      <c r="K89" s="111" t="n"/>
      <c r="L89" s="111" t="n"/>
      <c r="M89" s="110" t="inlineStr">
        <is>
          <t>DA CHIUDERE</t>
        </is>
      </c>
      <c r="N89" s="110" t="n"/>
      <c r="O89" s="168" t="n"/>
      <c r="P89" s="168" t="n"/>
      <c r="Q89" s="109" t="inlineStr">
        <is>
          <t>ATTIVITA' CONCLUSA - CHIUSO</t>
        </is>
      </c>
      <c r="R89" s="110" t="n"/>
      <c r="S89" s="110" t="n"/>
      <c r="T89" s="112">
        <f>IF(AND('Inserimento dati'!$B$3=$H$2, TabellaA1[[#This Row],[LUN]]="X"), "X",IF(AND('Inserimento dati'!$B$3=$I$2, TabellaA1[[#This Row],[MAR]]="X"), "X", IF(AND('Inserimento dati'!$B$3=$J$2, TabellaA1[[#This Row],[MER]]="X"), "X",IF(AND('Inserimento dati'!$B$3=$K$2, TabellaA1[[#This Row],[GIO]]="X"), "X", IF(AND('Inserimento dati'!$B$3=$L$2, TabellaA1[[#This Row],[VEN]]="X"), "X","")))))</f>
        <v/>
      </c>
      <c r="U89" s="137">
        <f>IFERROR(MID(G89,_xlfn.AGGREGATE(15,6,(ROW(INDIRECT("1:"&amp;LEN(G89)-7)))/(ISNUMBER(--MID(G89,ROW(INDIRECT("1:"&amp;LEN(G89)-7)),8))),1),8),"")</f>
        <v/>
      </c>
      <c r="V89" t="inlineStr">
        <is>
          <t>2025-09-30 20:00:00</t>
        </is>
      </c>
    </row>
    <row r="90" ht="30" customFormat="1" customHeight="1" s="45">
      <c r="A90" s="112" t="n"/>
      <c r="B90" s="112">
        <f>IF(OR(A90="x",A90="X"),"",IF(ISBLANK(A90),"X",""))</f>
        <v/>
      </c>
      <c r="C90" s="112">
        <f>IF(OR(TabellaA1[[#This Row],[LUN]]="X",TabellaA1[[#This Row],[MAR]]="X",TabellaA1[[#This Row],[MER]]="X",TabellaA1[[#This Row],[GIO]]="X",TabellaA1[[#This Row],[VEN]]="X",),"X","")</f>
        <v/>
      </c>
      <c r="D90" s="113" t="inlineStr">
        <is>
          <t>AREA 1</t>
        </is>
      </c>
      <c r="E90" s="109" t="inlineStr">
        <is>
          <t>525360/C</t>
        </is>
      </c>
      <c r="F90" s="109" t="n">
        <v>100</v>
      </c>
      <c r="G90" s="109" t="inlineStr">
        <is>
          <t>100 - RIPRISTINI STRUMENTALI E RIPRISTINI FUNZIONALITA VALVOLE  PER AVVIAMENTO IMPIANTO IN ACCORDO CON ESERCIZIO</t>
        </is>
      </c>
      <c r="H90" s="111" t="n"/>
      <c r="I90" s="111" t="n"/>
      <c r="J90" s="111" t="n"/>
      <c r="K90" s="111" t="n"/>
      <c r="L90" s="111" t="n"/>
      <c r="M90" s="110" t="inlineStr">
        <is>
          <t>DA CHIUDERE</t>
        </is>
      </c>
      <c r="N90" s="110" t="n"/>
      <c r="O90" s="168" t="n"/>
      <c r="P90" s="168" t="n"/>
      <c r="Q90" s="110" t="n"/>
      <c r="R90" s="110" t="n"/>
      <c r="S90" s="110" t="n"/>
      <c r="T90" s="112">
        <f>IF(AND('Inserimento dati'!$B$3=$H$2, TabellaA1[[#This Row],[LUN]]="X"), "X",IF(AND('Inserimento dati'!$B$3=$I$2, TabellaA1[[#This Row],[MAR]]="X"), "X", IF(AND('Inserimento dati'!$B$3=$J$2, TabellaA1[[#This Row],[MER]]="X"), "X",IF(AND('Inserimento dati'!$B$3=$K$2, TabellaA1[[#This Row],[GIO]]="X"), "X", IF(AND('Inserimento dati'!$B$3=$L$2, TabellaA1[[#This Row],[VEN]]="X"), "X","")))))</f>
        <v/>
      </c>
      <c r="U90" s="137">
        <f>IFERROR(MID(G90,_xlfn.AGGREGATE(15,6,(ROW(INDIRECT("1:"&amp;LEN(G90)-7)))/(ISNUMBER(--MID(G90,ROW(INDIRECT("1:"&amp;LEN(G90)-7)),8))),1),8),"")</f>
        <v/>
      </c>
      <c r="V90" t="inlineStr">
        <is>
          <t>2025-09-30 20:00:00</t>
        </is>
      </c>
    </row>
    <row r="91" ht="60" customFormat="1" customHeight="1" s="45">
      <c r="A91" s="112" t="n"/>
      <c r="B91" s="112">
        <f>IF(OR(A91="x",A91="X"),"",IF(ISBLANK(A91),"X",""))</f>
        <v/>
      </c>
      <c r="C91" s="112">
        <f>IF(OR(TabellaA1[[#This Row],[LUN]]="X",TabellaA1[[#This Row],[MAR]]="X",TabellaA1[[#This Row],[MER]]="X",TabellaA1[[#This Row],[GIO]]="X",TabellaA1[[#This Row],[VEN]]="X",),"X","")</f>
        <v/>
      </c>
      <c r="D91" s="113" t="inlineStr">
        <is>
          <t>AREA 1</t>
        </is>
      </c>
      <c r="E91" s="109" t="inlineStr">
        <is>
          <t>525048/C</t>
        </is>
      </c>
      <c r="F91" s="109" t="n">
        <v>200</v>
      </c>
      <c r="G91" s="109" t="inlineStr">
        <is>
          <t>200A - L361DC(D111)CONTROLLO E RIPRISTINO FUNZIONALITA LIVELLO</t>
        </is>
      </c>
      <c r="H91" s="111" t="n"/>
      <c r="I91" s="111" t="n"/>
      <c r="J91" s="111" t="n"/>
      <c r="K91" s="111" t="n"/>
      <c r="L91" s="111" t="n"/>
      <c r="M91" s="110" t="inlineStr">
        <is>
          <t>DA CHIUDERE</t>
        </is>
      </c>
      <c r="N91" s="110" t="n"/>
      <c r="O91" s="168" t="n"/>
      <c r="P91" s="168" t="n"/>
      <c r="Q91" s="110" t="inlineStr">
        <is>
          <t>PULIZIA CORPO LIVELLO ( TROVATO PIENO DI MORCHIA NELL'EQUIPAGGIO MOBILE ), TARATO ED INSERITO. LA VALVOLA DI REGOLAZIONE E' TOTALMENTE CORROSA DA ACQUA ACIDA, SI CONSIGLIA LA REVISIONE.</t>
        </is>
      </c>
      <c r="R91" s="110" t="n">
        <v>45701</v>
      </c>
      <c r="S91" s="110" t="inlineStr">
        <is>
          <t>MILLO/GARRO</t>
        </is>
      </c>
      <c r="T91" s="112">
        <f>IF(AND('Inserimento dati'!$B$3=$H$2, TabellaA1[[#This Row],[LUN]]="X"), "X",IF(AND('Inserimento dati'!$B$3=$I$2, TabellaA1[[#This Row],[MAR]]="X"), "X", IF(AND('Inserimento dati'!$B$3=$J$2, TabellaA1[[#This Row],[MER]]="X"), "X",IF(AND('Inserimento dati'!$B$3=$K$2, TabellaA1[[#This Row],[GIO]]="X"), "X", IF(AND('Inserimento dati'!$B$3=$L$2, TabellaA1[[#This Row],[VEN]]="X"), "X","")))))</f>
        <v/>
      </c>
      <c r="U91" s="137">
        <f>IFERROR(MID(G91,_xlfn.AGGREGATE(15,6,(ROW(INDIRECT("1:"&amp;LEN(G91)-7)))/(ISNUMBER(--MID(G91,ROW(INDIRECT("1:"&amp;LEN(G91)-7)),8))),1),8),"")</f>
        <v/>
      </c>
      <c r="V91" t="inlineStr">
        <is>
          <t>2025-09-30 20:00:00</t>
        </is>
      </c>
    </row>
    <row r="92" ht="90" customFormat="1" customHeight="1" s="45">
      <c r="A92" s="112" t="n"/>
      <c r="B92" s="112">
        <f>IF(OR(A92="x",A92="X"),"",IF(ISBLANK(A92),"X",""))</f>
        <v/>
      </c>
      <c r="C92" s="112">
        <f>IF(OR(TabellaA1[[#This Row],[LUN]]="X",TabellaA1[[#This Row],[MAR]]="X",TabellaA1[[#This Row],[MER]]="X",TabellaA1[[#This Row],[GIO]]="X",TabellaA1[[#This Row],[VEN]]="X",),"X","")</f>
        <v/>
      </c>
      <c r="D92" s="113" t="inlineStr">
        <is>
          <t>AREA 1</t>
        </is>
      </c>
      <c r="E92" s="109" t="inlineStr">
        <is>
          <t>535656/C</t>
        </is>
      </c>
      <c r="F92" s="109" t="n">
        <v>300</v>
      </c>
      <c r="G92" s="109" t="inlineStr">
        <is>
          <t>300 - L008RC CONTROLLO E TARATURA CON EVENTUALE  RIPRISTINO FUNZIONALITA LIVELLO</t>
        </is>
      </c>
      <c r="H92" s="111" t="n"/>
      <c r="I92" s="111" t="n"/>
      <c r="J92" s="111" t="n"/>
      <c r="K92" s="111" t="n"/>
      <c r="L92" s="111" t="n"/>
      <c r="M92" s="110" t="inlineStr">
        <is>
          <t>DA CHIUDERE</t>
        </is>
      </c>
      <c r="N92" s="110" t="n"/>
      <c r="O92" s="168" t="n"/>
      <c r="P92" s="168" t="n"/>
      <c r="Q92" s="110" t="inlineStr">
        <is>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is>
      </c>
      <c r="R92" s="110" t="n">
        <v>45811</v>
      </c>
      <c r="S92" s="110" t="inlineStr">
        <is>
          <t>MILLO/GARRO L/CIANCHINO</t>
        </is>
      </c>
      <c r="T92" s="112">
        <f>IF(AND('Inserimento dati'!$B$3=$H$2, TabellaA1[[#This Row],[LUN]]="X"), "X",IF(AND('Inserimento dati'!$B$3=$I$2, TabellaA1[[#This Row],[MAR]]="X"), "X", IF(AND('Inserimento dati'!$B$3=$J$2, TabellaA1[[#This Row],[MER]]="X"), "X",IF(AND('Inserimento dati'!$B$3=$K$2, TabellaA1[[#This Row],[GIO]]="X"), "X", IF(AND('Inserimento dati'!$B$3=$L$2, TabellaA1[[#This Row],[VEN]]="X"), "X","")))))</f>
        <v/>
      </c>
      <c r="U92" s="137">
        <f>IFERROR(MID(G92,_xlfn.AGGREGATE(15,6,(ROW(INDIRECT("1:"&amp;LEN(G92)-7)))/(ISNUMBER(--MID(G92,ROW(INDIRECT("1:"&amp;LEN(G92)-7)),8))),1),8),"")</f>
        <v/>
      </c>
      <c r="V92" t="inlineStr">
        <is>
          <t>2025-09-30 20:00:00</t>
        </is>
      </c>
    </row>
    <row r="93" ht="30" customFormat="1" customHeight="1" s="45">
      <c r="A93" s="112" t="n"/>
      <c r="B93" s="112">
        <f>IF(OR(A93="x",A93="X"),"",IF(ISBLANK(A93),"X",""))</f>
        <v/>
      </c>
      <c r="C93" s="112">
        <f>IF(OR(TabellaA1[[#This Row],[LUN]]="X",TabellaA1[[#This Row],[MAR]]="X",TabellaA1[[#This Row],[MER]]="X",TabellaA1[[#This Row],[GIO]]="X",TabellaA1[[#This Row],[VEN]]="X",),"X","")</f>
        <v/>
      </c>
      <c r="D93" s="113" t="inlineStr">
        <is>
          <t>AREA 1</t>
        </is>
      </c>
      <c r="E93" s="109" t="inlineStr">
        <is>
          <t>524892/C</t>
        </is>
      </c>
      <c r="F93" s="109" t="inlineStr">
        <is>
          <t>200A</t>
        </is>
      </c>
      <c r="G93" s="109" t="inlineStr">
        <is>
          <t>200A - 02F390R(CARICA LIQUIDA PASSO 2)CONTROLLO E TARATURA STRUMENTO DI PORTATA METTERE IL MOS PRIMA DI INIZIARE ATTIVITA</t>
        </is>
      </c>
      <c r="H93" s="111" t="n"/>
      <c r="I93" s="111" t="n"/>
      <c r="J93" s="111" t="n"/>
      <c r="K93" s="111" t="n"/>
      <c r="L93" s="111" t="n"/>
      <c r="M93" s="110" t="inlineStr">
        <is>
          <t>DA CHIUDERE</t>
        </is>
      </c>
      <c r="N93" s="110" t="n"/>
      <c r="O93" s="168" t="n"/>
      <c r="P93" s="168" t="n"/>
      <c r="Q93" s="109" t="n"/>
      <c r="R93" s="110" t="n"/>
      <c r="S93" s="110" t="n"/>
      <c r="T93" s="112">
        <f>IF(AND('Inserimento dati'!$B$3=$H$2, TabellaA1[[#This Row],[LUN]]="X"), "X",IF(AND('Inserimento dati'!$B$3=$I$2, TabellaA1[[#This Row],[MAR]]="X"), "X", IF(AND('Inserimento dati'!$B$3=$J$2, TabellaA1[[#This Row],[MER]]="X"), "X",IF(AND('Inserimento dati'!$B$3=$K$2, TabellaA1[[#This Row],[GIO]]="X"), "X", IF(AND('Inserimento dati'!$B$3=$L$2, TabellaA1[[#This Row],[VEN]]="X"), "X","")))))</f>
        <v/>
      </c>
      <c r="U93" s="137">
        <f>IFERROR(MID(G93,_xlfn.AGGREGATE(15,6,(ROW(INDIRECT("1:"&amp;LEN(G93)-7)))/(ISNUMBER(--MID(G93,ROW(INDIRECT("1:"&amp;LEN(G93)-7)),8))),1),8),"")</f>
        <v/>
      </c>
      <c r="V93" t="inlineStr">
        <is>
          <t>2025-09-30 20:00:00</t>
        </is>
      </c>
    </row>
    <row r="94" ht="30" customFormat="1" customHeight="1" s="45">
      <c r="A94" s="112" t="n"/>
      <c r="B94" s="112">
        <f>IF(OR(A94="x",A94="X"),"",IF(ISBLANK(A94),"X",""))</f>
        <v/>
      </c>
      <c r="C94" s="112">
        <f>IF(OR(TabellaA1[[#This Row],[LUN]]="X",TabellaA1[[#This Row],[MAR]]="X",TabellaA1[[#This Row],[MER]]="X",TabellaA1[[#This Row],[GIO]]="X",TabellaA1[[#This Row],[VEN]]="X",),"X","")</f>
        <v/>
      </c>
      <c r="D94" s="113" t="inlineStr">
        <is>
          <t>AREA 1</t>
        </is>
      </c>
      <c r="E94" s="109" t="inlineStr">
        <is>
          <t>524888/C</t>
        </is>
      </c>
      <c r="F94" s="109" t="inlineStr">
        <is>
          <t>200A</t>
        </is>
      </c>
      <c r="G94" s="109" t="inlineStr">
        <is>
          <t>200A - 02F379R(CARICA LIQUIDA PASSO 1)CONTROLLO E TARATURA STRUMENTO DI PORTATA METTERE IL MOS PRIMA DI INIZIARE ATTIVITA</t>
        </is>
      </c>
      <c r="H94" s="111" t="n"/>
      <c r="I94" s="111" t="n"/>
      <c r="J94" s="111" t="n"/>
      <c r="K94" s="111" t="n"/>
      <c r="L94" s="111" t="n"/>
      <c r="M94" s="110" t="inlineStr">
        <is>
          <t>DA CHIUDERE</t>
        </is>
      </c>
      <c r="N94" s="110" t="n"/>
      <c r="O94" s="168" t="n"/>
      <c r="P94" s="168" t="n"/>
      <c r="Q94" s="109" t="n"/>
      <c r="R94" s="110" t="n"/>
      <c r="S94" s="110" t="n"/>
      <c r="T94" s="112">
        <f>IF(AND('Inserimento dati'!$B$3=$H$2, TabellaA1[[#This Row],[LUN]]="X"), "X",IF(AND('Inserimento dati'!$B$3=$I$2, TabellaA1[[#This Row],[MAR]]="X"), "X", IF(AND('Inserimento dati'!$B$3=$J$2, TabellaA1[[#This Row],[MER]]="X"), "X",IF(AND('Inserimento dati'!$B$3=$K$2, TabellaA1[[#This Row],[GIO]]="X"), "X", IF(AND('Inserimento dati'!$B$3=$L$2, TabellaA1[[#This Row],[VEN]]="X"), "X","")))))</f>
        <v/>
      </c>
      <c r="U94" s="137">
        <f>IFERROR(MID(G94,_xlfn.AGGREGATE(15,6,(ROW(INDIRECT("1:"&amp;LEN(G94)-7)))/(ISNUMBER(--MID(G94,ROW(INDIRECT("1:"&amp;LEN(G94)-7)),8))),1),8),"")</f>
        <v/>
      </c>
      <c r="V94" t="inlineStr">
        <is>
          <t>2025-09-30 20:00:00</t>
        </is>
      </c>
    </row>
    <row r="95" ht="30" customFormat="1" customHeight="1" s="45">
      <c r="A95" s="112" t="n"/>
      <c r="B95" s="112">
        <f>IF(OR(A95="x",A95="X"),"",IF(ISBLANK(A95),"X",""))</f>
        <v/>
      </c>
      <c r="C95" s="112">
        <f>IF(OR(TabellaA1[[#This Row],[LUN]]="X",TabellaA1[[#This Row],[MAR]]="X",TabellaA1[[#This Row],[MER]]="X",TabellaA1[[#This Row],[GIO]]="X",TabellaA1[[#This Row],[VEN]]="X",),"X","")</f>
        <v/>
      </c>
      <c r="D95" s="113" t="inlineStr">
        <is>
          <t>AREA 1</t>
        </is>
      </c>
      <c r="E95" s="109" t="inlineStr">
        <is>
          <t>524881/C</t>
        </is>
      </c>
      <c r="F95" s="109" t="n">
        <v>400</v>
      </c>
      <c r="G95" s="109" t="inlineStr">
        <is>
          <t>400 - V877SHH(P401B  CUSC.)CONTROLLO E RIPRISTINO SONDA DI VIBRAZIONE METTERE IL MOS PRIMA DI INIZIARE ATTIVITA</t>
        </is>
      </c>
      <c r="H95" s="111" t="n"/>
      <c r="I95" s="111" t="n"/>
      <c r="J95" s="111" t="n"/>
      <c r="K95" s="111" t="n"/>
      <c r="L95" s="111" t="n"/>
      <c r="M95" s="110" t="inlineStr">
        <is>
          <t>DA CHIUDERE</t>
        </is>
      </c>
      <c r="N95" s="110" t="n"/>
      <c r="O95" s="168" t="n"/>
      <c r="P95" s="168" t="n"/>
      <c r="Q95" s="110" t="inlineStr">
        <is>
          <t>TROVATO CAVO SCORTICATO, NASTRATO CON VULCANIZZANTE E RIPRISTINATO.</t>
        </is>
      </c>
      <c r="R95" s="110" t="n">
        <v>45694</v>
      </c>
      <c r="S95" s="110" t="inlineStr">
        <is>
          <t>TARASCIO/PARTESANO</t>
        </is>
      </c>
      <c r="T95" s="112">
        <f>IF(AND('Inserimento dati'!$B$3=$H$2, TabellaA1[[#This Row],[LUN]]="X"), "X",IF(AND('Inserimento dati'!$B$3=$I$2, TabellaA1[[#This Row],[MAR]]="X"), "X", IF(AND('Inserimento dati'!$B$3=$J$2, TabellaA1[[#This Row],[MER]]="X"), "X",IF(AND('Inserimento dati'!$B$3=$K$2, TabellaA1[[#This Row],[GIO]]="X"), "X", IF(AND('Inserimento dati'!$B$3=$L$2, TabellaA1[[#This Row],[VEN]]="X"), "X","")))))</f>
        <v/>
      </c>
      <c r="U95" s="137">
        <f>IFERROR(MID(G95,_xlfn.AGGREGATE(15,6,(ROW(INDIRECT("1:"&amp;LEN(G95)-7)))/(ISNUMBER(--MID(G95,ROW(INDIRECT("1:"&amp;LEN(G95)-7)),8))),1),8),"")</f>
        <v/>
      </c>
      <c r="V95" t="inlineStr">
        <is>
          <t>2025-09-30 20:00:00</t>
        </is>
      </c>
    </row>
    <row r="96" ht="30" customFormat="1" customHeight="1" s="45">
      <c r="A96" s="112" t="n"/>
      <c r="B96" s="112">
        <f>IF(OR(A96="x",A96="X"),"",IF(ISBLANK(A96),"X",""))</f>
        <v/>
      </c>
      <c r="C96" s="112">
        <f>IF(OR(TabellaA1[[#This Row],[LUN]]="X",TabellaA1[[#This Row],[MAR]]="X",TabellaA1[[#This Row],[MER]]="X",TabellaA1[[#This Row],[GIO]]="X",TabellaA1[[#This Row],[VEN]]="X",),"X","")</f>
        <v/>
      </c>
      <c r="D96" s="113" t="inlineStr">
        <is>
          <t>AREA 1</t>
        </is>
      </c>
      <c r="E96" s="109" t="inlineStr">
        <is>
          <t>524215/C</t>
        </is>
      </c>
      <c r="F96" s="109" t="n">
        <v>200</v>
      </c>
      <c r="G96" s="109" t="inlineStr">
        <is>
          <t>200 - L005IC (MAMMELLONE D102) SMONTAGGIO PER REVISIONE LIVELLO (METTERE LE CONTROFLANGIE)</t>
        </is>
      </c>
      <c r="H96" s="111" t="n"/>
      <c r="I96" s="111" t="n"/>
      <c r="J96" s="111" t="n"/>
      <c r="K96" s="111" t="n"/>
      <c r="L96" s="111" t="n"/>
      <c r="M96" s="110" t="inlineStr">
        <is>
          <t>DA CHIUDERE</t>
        </is>
      </c>
      <c r="N96" s="110" t="n"/>
      <c r="O96" s="168" t="n"/>
      <c r="P96" s="168" t="n"/>
      <c r="Q96" s="109" t="inlineStr">
        <is>
          <t>ESEGUITO RIMONTAGGIO LIVELLO.</t>
        </is>
      </c>
      <c r="R96" s="110" t="n">
        <v>45691</v>
      </c>
      <c r="S96" s="110" t="inlineStr">
        <is>
          <t>MILLO/ALLEGRETTI</t>
        </is>
      </c>
      <c r="T96" s="112">
        <f>IF(AND('Inserimento dati'!$B$3=$H$2, TabellaA1[[#This Row],[LUN]]="X"), "X",IF(AND('Inserimento dati'!$B$3=$I$2, TabellaA1[[#This Row],[MAR]]="X"), "X", IF(AND('Inserimento dati'!$B$3=$J$2, TabellaA1[[#This Row],[MER]]="X"), "X",IF(AND('Inserimento dati'!$B$3=$K$2, TabellaA1[[#This Row],[GIO]]="X"), "X", IF(AND('Inserimento dati'!$B$3=$L$2, TabellaA1[[#This Row],[VEN]]="X"), "X","")))))</f>
        <v/>
      </c>
      <c r="U96" s="137">
        <f>IFERROR(MID(G96,_xlfn.AGGREGATE(15,6,(ROW(INDIRECT("1:"&amp;LEN(G96)-7)))/(ISNUMBER(--MID(G96,ROW(INDIRECT("1:"&amp;LEN(G96)-7)),8))),1),8),"")</f>
        <v/>
      </c>
      <c r="V96" t="inlineStr">
        <is>
          <t>2025-09-30 20:00:00</t>
        </is>
      </c>
    </row>
    <row r="97" ht="45" customFormat="1" customHeight="1" s="45">
      <c r="A97" s="112" t="n"/>
      <c r="B97" s="112">
        <f>IF(OR(A97="x",A97="X"),"",IF(ISBLANK(A97),"X",""))</f>
        <v/>
      </c>
      <c r="C97" s="112">
        <f>IF(OR(TabellaA1[[#This Row],[LUN]]="X",TabellaA1[[#This Row],[MAR]]="X",TabellaA1[[#This Row],[MER]]="X",TabellaA1[[#This Row],[GIO]]="X",TabellaA1[[#This Row],[VEN]]="X",),"X","")</f>
        <v/>
      </c>
      <c r="D97" s="113" t="inlineStr">
        <is>
          <t>AREA 1</t>
        </is>
      </c>
      <c r="E97" s="109" t="inlineStr">
        <is>
          <t>524096/C</t>
        </is>
      </c>
      <c r="F97" s="109" t="n">
        <v>400</v>
      </c>
      <c r="G97" s="109" t="inlineStr">
        <is>
          <t xml:space="preserve">400 - L151DRC (D101) CONTROLLO LOOP DI REGOLAZIONE PARTENDO PRIMA DAL TX LIVELLO </t>
        </is>
      </c>
      <c r="H97" s="111" t="n"/>
      <c r="I97" s="111" t="n"/>
      <c r="J97" s="111" t="n"/>
      <c r="K97" s="111" t="n"/>
      <c r="L97" s="111" t="n"/>
      <c r="M97" s="110" t="inlineStr">
        <is>
          <t>DA CHIUDERE</t>
        </is>
      </c>
      <c r="N97" s="110" t="n"/>
      <c r="O97" s="168" t="n"/>
      <c r="P97" s="168" t="n"/>
      <c r="Q97" s="109" t="inlineStr">
        <is>
          <t>CONTROLLATO E AZZERATO TRASMETTITORE DI LIVELLO INTERFASE AD ONDA GUIDATA; CONTROLLATA E TARATA VALVOLA ( STARATA DEL 25% ). LOOP IN REGOLAZIONE _OK</t>
        </is>
      </c>
      <c r="R97" s="110" t="n">
        <v>45692</v>
      </c>
      <c r="S97" s="110" t="inlineStr">
        <is>
          <t>MILLO/SERRA</t>
        </is>
      </c>
      <c r="T97" s="112">
        <f>IF(AND('Inserimento dati'!$B$3=$H$2, TabellaA1[[#This Row],[LUN]]="X"), "X",IF(AND('Inserimento dati'!$B$3=$I$2, TabellaA1[[#This Row],[MAR]]="X"), "X", IF(AND('Inserimento dati'!$B$3=$J$2, TabellaA1[[#This Row],[MER]]="X"), "X",IF(AND('Inserimento dati'!$B$3=$K$2, TabellaA1[[#This Row],[GIO]]="X"), "X", IF(AND('Inserimento dati'!$B$3=$L$2, TabellaA1[[#This Row],[VEN]]="X"), "X","")))))</f>
        <v/>
      </c>
      <c r="U97" s="137">
        <f>IFERROR(MID(G97,_xlfn.AGGREGATE(15,6,(ROW(INDIRECT("1:"&amp;LEN(G97)-7)))/(ISNUMBER(--MID(G97,ROW(INDIRECT("1:"&amp;LEN(G97)-7)),8))),1),8),"")</f>
        <v/>
      </c>
      <c r="V97" t="inlineStr">
        <is>
          <t>2025-09-30 20:00:00</t>
        </is>
      </c>
    </row>
    <row r="98" ht="45" customFormat="1" customHeight="1" s="45">
      <c r="A98" s="112" t="n"/>
      <c r="B98" s="112">
        <f>IF(OR(A98="x",A98="X"),"",IF(ISBLANK(A98),"X",""))</f>
        <v/>
      </c>
      <c r="C98" s="112">
        <f>IF(OR(TabellaA1[[#This Row],[LUN]]="X",TabellaA1[[#This Row],[MAR]]="X",TabellaA1[[#This Row],[MER]]="X",TabellaA1[[#This Row],[GIO]]="X",TabellaA1[[#This Row],[VEN]]="X",),"X","")</f>
        <v/>
      </c>
      <c r="D98" s="113" t="inlineStr">
        <is>
          <t>AREA 1</t>
        </is>
      </c>
      <c r="E98" s="109" t="inlineStr">
        <is>
          <t>524094/C</t>
        </is>
      </c>
      <c r="F98" s="109" t="n">
        <v>400</v>
      </c>
      <c r="G98" s="109" t="inlineStr">
        <is>
          <t xml:space="preserve">400 - L010RC(D104) CONTROLLO LOOP DI REGOLAZIONE PARTENDO PRIMA DAL TX LIVELLO </t>
        </is>
      </c>
      <c r="H98" s="111" t="n"/>
      <c r="I98" s="111" t="n"/>
      <c r="J98" s="111" t="n"/>
      <c r="K98" s="111" t="n"/>
      <c r="L98" s="111" t="n"/>
      <c r="M98" s="110" t="inlineStr">
        <is>
          <t>DA CHIUDERE</t>
        </is>
      </c>
      <c r="N98" s="110" t="n"/>
      <c r="O98" s="168" t="n"/>
      <c r="P98" s="168" t="n"/>
      <c r="Q98" s="109" t="inlineStr">
        <is>
          <t>CONTROLLATO LIVELLO, DRENATO E PROVATE PRESE INFERIORE E SUPERIORE. CONTROLLO VALVOLA REGOLATRICE ( NESSUNA ANOMALIA ).</t>
        </is>
      </c>
      <c r="R98" s="110" t="n">
        <v>45692</v>
      </c>
      <c r="S98" s="110" t="inlineStr">
        <is>
          <t>MILLO/SERRA</t>
        </is>
      </c>
      <c r="T98" s="112">
        <f>IF(AND('Inserimento dati'!$B$3=$H$2, TabellaA1[[#This Row],[LUN]]="X"), "X",IF(AND('Inserimento dati'!$B$3=$I$2, TabellaA1[[#This Row],[MAR]]="X"), "X", IF(AND('Inserimento dati'!$B$3=$J$2, TabellaA1[[#This Row],[MER]]="X"), "X",IF(AND('Inserimento dati'!$B$3=$K$2, TabellaA1[[#This Row],[GIO]]="X"), "X", IF(AND('Inserimento dati'!$B$3=$L$2, TabellaA1[[#This Row],[VEN]]="X"), "X","")))))</f>
        <v/>
      </c>
      <c r="U98" s="137">
        <f>IFERROR(MID(G98,_xlfn.AGGREGATE(15,6,(ROW(INDIRECT("1:"&amp;LEN(G98)-7)))/(ISNUMBER(--MID(G98,ROW(INDIRECT("1:"&amp;LEN(G98)-7)),8))),1),8),"")</f>
        <v/>
      </c>
      <c r="V98" t="inlineStr">
        <is>
          <t>2025-09-30 20:00:00</t>
        </is>
      </c>
    </row>
    <row r="99" ht="30" customFormat="1" customHeight="1" s="45">
      <c r="A99" s="112" t="n"/>
      <c r="B99" s="112">
        <f>IF(OR(A99="x",A99="X"),"",IF(ISBLANK(A99),"X",""))</f>
        <v/>
      </c>
      <c r="C99" s="112">
        <f>IF(OR(TabellaA1[[#This Row],[LUN]]="X",TabellaA1[[#This Row],[MAR]]="X",TabellaA1[[#This Row],[MER]]="X",TabellaA1[[#This Row],[GIO]]="X",TabellaA1[[#This Row],[VEN]]="X",),"X","")</f>
        <v/>
      </c>
      <c r="D99" s="113" t="inlineStr">
        <is>
          <t>AREA 1</t>
        </is>
      </c>
      <c r="E99" s="109" t="inlineStr">
        <is>
          <t>524414/C</t>
        </is>
      </c>
      <c r="F99" s="109" t="n">
        <v>900</v>
      </c>
      <c r="G99" s="109" t="inlineStr">
        <is>
          <t>900 - F014R(FONDO T102 A STOCK)CONTROLLO E RIPRISTINO FUNZIONALITA' PORTATA</t>
        </is>
      </c>
      <c r="H99" s="111" t="n"/>
      <c r="I99" s="111" t="n"/>
      <c r="J99" s="111" t="n"/>
      <c r="K99" s="111" t="n"/>
      <c r="L99" s="111" t="n"/>
      <c r="M99" s="110" t="inlineStr">
        <is>
          <t>DA CHIUDERE</t>
        </is>
      </c>
      <c r="N99" s="110" t="n"/>
      <c r="O99" s="168" t="n"/>
      <c r="P99" s="168" t="n"/>
      <c r="Q99" s="109" t="inlineStr">
        <is>
          <t>STRUMENTO TROVATO CON BY-PASS SPUNTATO. ESEGUITA STASATURA PRESA NEGATIVA. INSERITO_OK</t>
        </is>
      </c>
      <c r="R99" s="110" t="n">
        <v>45692</v>
      </c>
      <c r="S99" s="110" t="inlineStr">
        <is>
          <t>MILLO/SERRA</t>
        </is>
      </c>
      <c r="T99" s="112">
        <f>IF(AND('Inserimento dati'!$B$3=$H$2, TabellaA1[[#This Row],[LUN]]="X"), "X",IF(AND('Inserimento dati'!$B$3=$I$2, TabellaA1[[#This Row],[MAR]]="X"), "X", IF(AND('Inserimento dati'!$B$3=$J$2, TabellaA1[[#This Row],[MER]]="X"), "X",IF(AND('Inserimento dati'!$B$3=$K$2, TabellaA1[[#This Row],[GIO]]="X"), "X", IF(AND('Inserimento dati'!$B$3=$L$2, TabellaA1[[#This Row],[VEN]]="X"), "X","")))))</f>
        <v/>
      </c>
      <c r="U99" s="137">
        <f>IFERROR(MID(G99,_xlfn.AGGREGATE(15,6,(ROW(INDIRECT("1:"&amp;LEN(G99)-7)))/(ISNUMBER(--MID(G99,ROW(INDIRECT("1:"&amp;LEN(G99)-7)),8))),1),8),"")</f>
        <v/>
      </c>
      <c r="V99" t="inlineStr">
        <is>
          <t>2025-09-30 20:00:00</t>
        </is>
      </c>
    </row>
    <row r="100" ht="30" customFormat="1" customHeight="1" s="45">
      <c r="A100" s="112" t="n"/>
      <c r="B100" s="112">
        <f>IF(OR(A100="x",A100="X"),"",IF(ISBLANK(A100),"X",""))</f>
        <v/>
      </c>
      <c r="C100" s="112">
        <f>IF(OR(TabellaA1[[#This Row],[LUN]]="X",TabellaA1[[#This Row],[MAR]]="X",TabellaA1[[#This Row],[MER]]="X",TabellaA1[[#This Row],[GIO]]="X",TabellaA1[[#This Row],[VEN]]="X",),"X","")</f>
        <v/>
      </c>
      <c r="D100" s="113" t="inlineStr">
        <is>
          <t>AREA 1</t>
        </is>
      </c>
      <c r="E100" s="109" t="inlineStr">
        <is>
          <t>524214/C</t>
        </is>
      </c>
      <c r="F100" s="109" t="n">
        <v>200</v>
      </c>
      <c r="G100" s="109" t="inlineStr">
        <is>
          <t>200 - L006RC(E106A)CONTROLLO DI TARATURA TRASMETTITORE DI LIVELLO</t>
        </is>
      </c>
      <c r="H100" s="111" t="n"/>
      <c r="I100" s="111" t="n"/>
      <c r="J100" s="111" t="n"/>
      <c r="K100" s="111" t="n"/>
      <c r="L100" s="111" t="n"/>
      <c r="M100" s="110" t="inlineStr">
        <is>
          <t>DA CHIUDERE</t>
        </is>
      </c>
      <c r="N100" s="110" t="n"/>
      <c r="O100" s="168" t="n"/>
      <c r="P100" s="168" t="n"/>
      <c r="Q100" s="109" t="inlineStr">
        <is>
          <t>ESEGUITO RIEMPIMENTO CON GLICOLE, TARATO ED ALLINEATO A KLINGER.</t>
        </is>
      </c>
      <c r="R100" s="110" t="n">
        <v>45686</v>
      </c>
      <c r="S100" s="110" t="inlineStr">
        <is>
          <t>MILLO/ALLEGRETTI</t>
        </is>
      </c>
      <c r="T100" s="112">
        <f>IF(AND('Inserimento dati'!$B$3=$H$2, TabellaA1[[#This Row],[LUN]]="X"), "X",IF(AND('Inserimento dati'!$B$3=$I$2, TabellaA1[[#This Row],[MAR]]="X"), "X", IF(AND('Inserimento dati'!$B$3=$J$2, TabellaA1[[#This Row],[MER]]="X"), "X",IF(AND('Inserimento dati'!$B$3=$K$2, TabellaA1[[#This Row],[GIO]]="X"), "X", IF(AND('Inserimento dati'!$B$3=$L$2, TabellaA1[[#This Row],[VEN]]="X"), "X","")))))</f>
        <v/>
      </c>
      <c r="U100" s="137">
        <f>IFERROR(MID(G100,_xlfn.AGGREGATE(15,6,(ROW(INDIRECT("1:"&amp;LEN(G100)-7)))/(ISNUMBER(--MID(G100,ROW(INDIRECT("1:"&amp;LEN(G100)-7)),8))),1),8),"")</f>
        <v/>
      </c>
      <c r="V100" t="inlineStr">
        <is>
          <t>2025-09-30 20:00:00</t>
        </is>
      </c>
    </row>
    <row r="101" ht="75" customFormat="1" customHeight="1" s="45">
      <c r="A101" s="112" t="n"/>
      <c r="B101" s="112">
        <f>IF(OR(A101="x",A101="X"),"",IF(ISBLANK(A101),"X",""))</f>
        <v/>
      </c>
      <c r="C101" s="112">
        <f>IF(OR(TabellaA1[[#This Row],[LUN]]="X",TabellaA1[[#This Row],[MAR]]="X",TabellaA1[[#This Row],[MER]]="X",TabellaA1[[#This Row],[GIO]]="X",TabellaA1[[#This Row],[VEN]]="X",),"X","")</f>
        <v/>
      </c>
      <c r="D101" s="113" t="inlineStr">
        <is>
          <t>AREA 1</t>
        </is>
      </c>
      <c r="E101" s="109" t="inlineStr">
        <is>
          <t>524093/C</t>
        </is>
      </c>
      <c r="F101" s="109" t="n">
        <v>400</v>
      </c>
      <c r="G101" s="109" t="inlineStr">
        <is>
          <t>400 - F016R(ACQUA ACIDA DA D104)CONTROLLO E RIPRISTINO FUNZIONALITA' PORTATA</t>
        </is>
      </c>
      <c r="H101" s="111" t="n"/>
      <c r="I101" s="111" t="n"/>
      <c r="J101" s="111" t="n"/>
      <c r="K101" s="111" t="n"/>
      <c r="L101" s="111" t="n"/>
      <c r="M101" s="110" t="inlineStr">
        <is>
          <t>DA CHIUDERE</t>
        </is>
      </c>
      <c r="N101" s="110" t="n"/>
      <c r="O101" s="168" t="n"/>
      <c r="P101" s="168" t="n"/>
      <c r="Q101" s="109" t="inlineStr">
        <is>
          <t>LA REGOLAZIONE NON FUNZIONA DA OLTRE 10 ANNI. LO STRUMENTO CON APERTURA VALVOLA DEL 5% SEGNA 4,5 T/H SU UN F.S. DI 6.7. IN ACCORDO CON TECNOLOGIA E TCL, E' STATO CAMBIATO IL F.S. DI TARATURA TX DA 2500 A 10200mm/H20, IN ATTESA CHE IN FERMATA VENGA ISPEZIONATO IL DISCO CALIBRATO.</t>
        </is>
      </c>
      <c r="R101" s="110" t="n">
        <v>45693</v>
      </c>
      <c r="S101" s="110" t="inlineStr">
        <is>
          <t>MILLO/ALLEGRETTI</t>
        </is>
      </c>
      <c r="T101" s="112">
        <f>IF(AND('Inserimento dati'!$B$3=$H$2, TabellaA1[[#This Row],[LUN]]="X"), "X",IF(AND('Inserimento dati'!$B$3=$I$2, TabellaA1[[#This Row],[MAR]]="X"), "X", IF(AND('Inserimento dati'!$B$3=$J$2, TabellaA1[[#This Row],[MER]]="X"), "X",IF(AND('Inserimento dati'!$B$3=$K$2, TabellaA1[[#This Row],[GIO]]="X"), "X", IF(AND('Inserimento dati'!$B$3=$L$2, TabellaA1[[#This Row],[VEN]]="X"), "X","")))))</f>
        <v/>
      </c>
      <c r="U101" s="137">
        <f>IFERROR(MID(G101,_xlfn.AGGREGATE(15,6,(ROW(INDIRECT("1:"&amp;LEN(G101)-7)))/(ISNUMBER(--MID(G101,ROW(INDIRECT("1:"&amp;LEN(G101)-7)),8))),1),8),"")</f>
        <v/>
      </c>
      <c r="V101" t="inlineStr">
        <is>
          <t>2025-09-30 20:00:00</t>
        </is>
      </c>
    </row>
    <row r="102" ht="30" customFormat="1" customHeight="1" s="45">
      <c r="A102" s="112" t="n"/>
      <c r="B102" s="112">
        <f>IF(OR(A102="x",A102="X"),"",IF(ISBLANK(A102),"X",""))</f>
        <v/>
      </c>
      <c r="C102" s="112">
        <f>IF(OR(TabellaA1[[#This Row],[LUN]]="X",TabellaA1[[#This Row],[MAR]]="X",TabellaA1[[#This Row],[MER]]="X",TabellaA1[[#This Row],[GIO]]="X",TabellaA1[[#This Row],[VEN]]="X",),"X","")</f>
        <v/>
      </c>
      <c r="D102" s="113" t="inlineStr">
        <is>
          <t>AREA 1</t>
        </is>
      </c>
      <c r="E102" s="109" t="inlineStr">
        <is>
          <t>524092/C</t>
        </is>
      </c>
      <c r="F102" s="109" t="n">
        <v>400</v>
      </c>
      <c r="G102" s="109" t="inlineStr">
        <is>
          <t>400 - F014RC(VAPORE DI STRIPPAGGIO A T101)CONTROLLO DI TARATURA PORTATA</t>
        </is>
      </c>
      <c r="H102" s="111" t="n"/>
      <c r="I102" s="111" t="n"/>
      <c r="J102" s="111" t="n"/>
      <c r="K102" s="111" t="n"/>
      <c r="L102" s="111" t="n"/>
      <c r="M102" s="110" t="inlineStr">
        <is>
          <t>DA CHIUDERE</t>
        </is>
      </c>
      <c r="N102" s="110" t="n"/>
      <c r="O102" s="168" t="n"/>
      <c r="P102" s="168" t="n"/>
      <c r="Q102" s="109" t="inlineStr">
        <is>
          <t>NESSUNA ANOMALIA</t>
        </is>
      </c>
      <c r="R102" s="110" t="n">
        <v>45687</v>
      </c>
      <c r="S102" s="110" t="inlineStr">
        <is>
          <t>TARASCIO/PARTESANO</t>
        </is>
      </c>
      <c r="T102" s="112">
        <f>IF(AND('Inserimento dati'!$B$3=$H$2, TabellaA1[[#This Row],[LUN]]="X"), "X",IF(AND('Inserimento dati'!$B$3=$I$2, TabellaA1[[#This Row],[MAR]]="X"), "X", IF(AND('Inserimento dati'!$B$3=$J$2, TabellaA1[[#This Row],[MER]]="X"), "X",IF(AND('Inserimento dati'!$B$3=$K$2, TabellaA1[[#This Row],[GIO]]="X"), "X", IF(AND('Inserimento dati'!$B$3=$L$2, TabellaA1[[#This Row],[VEN]]="X"), "X","")))))</f>
        <v/>
      </c>
      <c r="U102" s="137">
        <f>IFERROR(MID(G102,_xlfn.AGGREGATE(15,6,(ROW(INDIRECT("1:"&amp;LEN(G102)-7)))/(ISNUMBER(--MID(G102,ROW(INDIRECT("1:"&amp;LEN(G102)-7)),8))),1),8),"")</f>
        <v/>
      </c>
      <c r="V102" t="inlineStr">
        <is>
          <t>2025-09-30 20:00:00</t>
        </is>
      </c>
    </row>
    <row r="103" ht="45" customFormat="1" customHeight="1" s="45">
      <c r="A103" s="112" t="n"/>
      <c r="B103" s="112">
        <f>IF(OR(A103="x",A103="X"),"",IF(ISBLANK(A103),"X",""))</f>
        <v/>
      </c>
      <c r="C103" s="112">
        <f>IF(OR(TabellaA1[[#This Row],[LUN]]="X",TabellaA1[[#This Row],[MAR]]="X",TabellaA1[[#This Row],[MER]]="X",TabellaA1[[#This Row],[GIO]]="X",TabellaA1[[#This Row],[VEN]]="X",),"X","")</f>
        <v/>
      </c>
      <c r="D103" s="113" t="inlineStr">
        <is>
          <t>AREA 1</t>
        </is>
      </c>
      <c r="E103" s="109" t="inlineStr">
        <is>
          <t>523786/C</t>
        </is>
      </c>
      <c r="F103" s="109" t="n">
        <v>200</v>
      </c>
      <c r="G103" s="109" t="inlineStr">
        <is>
          <t>200 - F353R(GAS LAVAGGIO)RIPRISTINO O EVENTUALE SOSTITUZIONE STRUMENTO DI PORTATA</t>
        </is>
      </c>
      <c r="H103" s="111" t="n"/>
      <c r="I103" s="111" t="n"/>
      <c r="J103" s="111" t="n"/>
      <c r="K103" s="111" t="n"/>
      <c r="L103" s="111" t="n"/>
      <c r="M103" s="109" t="inlineStr">
        <is>
          <t>DA CHIUDERE</t>
        </is>
      </c>
      <c r="N103" s="109" t="n"/>
      <c r="O103" s="113" t="n"/>
      <c r="P103" s="113" t="n"/>
      <c r="Q103" s="109" t="inlineStr">
        <is>
          <t>LE PRESE DI RADICE NON FANNO TENUTA,RIMONTATO NUOVO STRUMENTO. EMESSO VALVOLE D'INTERCETTO, CHE SI SONO SPEZZATE. IL LAVORO VA COMPLETATO IN FERMATA</t>
        </is>
      </c>
      <c r="R103" s="110" t="n">
        <v>45687</v>
      </c>
      <c r="S103" s="110" t="inlineStr">
        <is>
          <t>MILLO/ALLEGRETTI</t>
        </is>
      </c>
      <c r="T103" s="112">
        <f>IF(AND('Inserimento dati'!$B$3=$H$2, TabellaA1[[#This Row],[LUN]]="X"), "X",IF(AND('Inserimento dati'!$B$3=$I$2, TabellaA1[[#This Row],[MAR]]="X"), "X", IF(AND('Inserimento dati'!$B$3=$J$2, TabellaA1[[#This Row],[MER]]="X"), "X",IF(AND('Inserimento dati'!$B$3=$K$2, TabellaA1[[#This Row],[GIO]]="X"), "X", IF(AND('Inserimento dati'!$B$3=$L$2, TabellaA1[[#This Row],[VEN]]="X"), "X","")))))</f>
        <v/>
      </c>
      <c r="U103" s="137">
        <f>IFERROR(MID(G103,_xlfn.AGGREGATE(15,6,(ROW(INDIRECT("1:"&amp;LEN(G103)-7)))/(ISNUMBER(--MID(G103,ROW(INDIRECT("1:"&amp;LEN(G103)-7)),8))),1),8),"")</f>
        <v/>
      </c>
      <c r="V103" t="inlineStr">
        <is>
          <t>2025-09-30 20:00:00</t>
        </is>
      </c>
    </row>
    <row r="104" ht="30" customFormat="1" customHeight="1" s="45">
      <c r="A104" s="112" t="n"/>
      <c r="B104" s="112">
        <f>IF(OR(A104="x",A104="X"),"",IF(ISBLANK(A104),"X",""))</f>
        <v/>
      </c>
      <c r="C104" s="112">
        <f>IF(OR(TabellaA1[[#This Row],[LUN]]="X",TabellaA1[[#This Row],[MAR]]="X",TabellaA1[[#This Row],[MER]]="X",TabellaA1[[#This Row],[GIO]]="X",TabellaA1[[#This Row],[VEN]]="X",),"X","")</f>
        <v/>
      </c>
      <c r="D104" s="113" t="inlineStr">
        <is>
          <t>AREA 1</t>
        </is>
      </c>
      <c r="E104" s="109" t="inlineStr">
        <is>
          <t>523747/C</t>
        </is>
      </c>
      <c r="F104" s="109" t="n">
        <v>900</v>
      </c>
      <c r="G104" s="109" t="inlineStr">
        <is>
          <t xml:space="preserve">900 - F019RC (C3/C4 A RETE GAS)CONTROLLO E RIPRISTINO LOOP DI REGOLAZIONE </t>
        </is>
      </c>
      <c r="H104" s="111" t="n"/>
      <c r="I104" s="111" t="n"/>
      <c r="J104" s="111" t="n"/>
      <c r="K104" s="111" t="n"/>
      <c r="L104" s="111" t="n"/>
      <c r="M104" s="110" t="inlineStr">
        <is>
          <t>DA CHIUDERE</t>
        </is>
      </c>
      <c r="N104" s="110" t="n"/>
      <c r="O104" s="168" t="n"/>
      <c r="P104" s="168" t="n"/>
      <c r="Q104" s="109" t="inlineStr">
        <is>
          <t xml:space="preserve">TARATA VALVOLA PNEUMATICA ED ESEGUITO ZERO SUL TRASMETTITORE DI PORTATA. </t>
        </is>
      </c>
      <c r="R104" s="110" t="n">
        <v>45687</v>
      </c>
      <c r="S104" s="110" t="inlineStr">
        <is>
          <t>MILLO/ALLEGRETTI</t>
        </is>
      </c>
      <c r="T104" s="112">
        <f>IF(AND('Inserimento dati'!$B$3=$H$2, TabellaA1[[#This Row],[LUN]]="X"), "X",IF(AND('Inserimento dati'!$B$3=$I$2, TabellaA1[[#This Row],[MAR]]="X"), "X", IF(AND('Inserimento dati'!$B$3=$J$2, TabellaA1[[#This Row],[MER]]="X"), "X",IF(AND('Inserimento dati'!$B$3=$K$2, TabellaA1[[#This Row],[GIO]]="X"), "X", IF(AND('Inserimento dati'!$B$3=$L$2, TabellaA1[[#This Row],[VEN]]="X"), "X","")))))</f>
        <v/>
      </c>
      <c r="U104" s="137">
        <f>IFERROR(MID(G104,_xlfn.AGGREGATE(15,6,(ROW(INDIRECT("1:"&amp;LEN(G104)-7)))/(ISNUMBER(--MID(G104,ROW(INDIRECT("1:"&amp;LEN(G104)-7)),8))),1),8),"")</f>
        <v/>
      </c>
      <c r="V104" t="inlineStr">
        <is>
          <t>2025-09-30 20:00:00</t>
        </is>
      </c>
    </row>
    <row r="105" ht="23.25" customFormat="1" customHeight="1" s="45">
      <c r="A105" s="112" t="n"/>
      <c r="B105" s="112">
        <f>IF(OR(A105="x",A105="X"),"",IF(ISBLANK(A105),"X",""))</f>
        <v/>
      </c>
      <c r="C105" s="112">
        <f>IF(OR(TabellaA1[[#This Row],[LUN]]="X",TabellaA1[[#This Row],[MAR]]="X",TabellaA1[[#This Row],[MER]]="X",TabellaA1[[#This Row],[GIO]]="X",TabellaA1[[#This Row],[VEN]]="X",),"X","")</f>
        <v/>
      </c>
      <c r="D105" s="113" t="inlineStr">
        <is>
          <t>AREA 1</t>
        </is>
      </c>
      <c r="E105" s="109" t="inlineStr">
        <is>
          <t>524052/C</t>
        </is>
      </c>
      <c r="F105" s="109" t="n">
        <v>100</v>
      </c>
      <c r="G105" s="109" t="inlineStr">
        <is>
          <t>100 - H351BS(RICICLO NHDS )MONTAGGIO DOPO REVISIONE VOLANTINO VALVOLA</t>
        </is>
      </c>
      <c r="H105" s="111" t="n"/>
      <c r="I105" s="111" t="n"/>
      <c r="J105" s="111" t="n"/>
      <c r="K105" s="111" t="n"/>
      <c r="L105" s="111" t="n"/>
      <c r="M105" s="109" t="inlineStr">
        <is>
          <t>DA CHIUDERE</t>
        </is>
      </c>
      <c r="N105" s="109" t="n"/>
      <c r="O105" s="113" t="n"/>
      <c r="P105" s="113" t="n"/>
      <c r="Q105" s="109" t="inlineStr">
        <is>
          <t>ESEGUITO RIMONTAGGIO VOLANTINO MANUALE</t>
        </is>
      </c>
      <c r="R105" s="110" t="n">
        <v>45686</v>
      </c>
      <c r="S105" s="110" t="inlineStr">
        <is>
          <t>GARRO L.</t>
        </is>
      </c>
      <c r="T105" s="112">
        <f>IF(AND('Inserimento dati'!$B$3=$H$2, TabellaA1[[#This Row],[LUN]]="X"), "X",IF(AND('Inserimento dati'!$B$3=$I$2, TabellaA1[[#This Row],[MAR]]="X"), "X", IF(AND('Inserimento dati'!$B$3=$J$2, TabellaA1[[#This Row],[MER]]="X"), "X",IF(AND('Inserimento dati'!$B$3=$K$2, TabellaA1[[#This Row],[GIO]]="X"), "X", IF(AND('Inserimento dati'!$B$3=$L$2, TabellaA1[[#This Row],[VEN]]="X"), "X","")))))</f>
        <v/>
      </c>
      <c r="U105" s="137">
        <f>IFERROR(MID(G105,_xlfn.AGGREGATE(15,6,(ROW(INDIRECT("1:"&amp;LEN(G105)-7)))/(ISNUMBER(--MID(G105,ROW(INDIRECT("1:"&amp;LEN(G105)-7)),8))),1),8),"")</f>
        <v/>
      </c>
      <c r="V105" t="inlineStr">
        <is>
          <t>2025-09-30 20:00:00</t>
        </is>
      </c>
    </row>
    <row r="106" ht="30" customFormat="1" customHeight="1" s="45">
      <c r="A106" s="112" t="n"/>
      <c r="B106" s="112">
        <f>IF(OR(A106="x",A106="X"),"",IF(ISBLANK(A106),"X",""))</f>
        <v/>
      </c>
      <c r="C106" s="112">
        <f>IF(OR(TabellaA1[[#This Row],[LUN]]="X",TabellaA1[[#This Row],[MAR]]="X",TabellaA1[[#This Row],[MER]]="X",TabellaA1[[#This Row],[GIO]]="X",TabellaA1[[#This Row],[VEN]]="X",),"X","")</f>
        <v/>
      </c>
      <c r="D106" s="113" t="inlineStr">
        <is>
          <t>AREA 1</t>
        </is>
      </c>
      <c r="E106" s="109" t="inlineStr">
        <is>
          <t>523553/C</t>
        </is>
      </c>
      <c r="F106" s="109" t="n">
        <v>100</v>
      </c>
      <c r="G106" s="109" t="inlineStr">
        <is>
          <t>100 - 100P452RC (T301) CONTROLLO E RIPRISTINO PRESSIONE</t>
        </is>
      </c>
      <c r="H106" s="111" t="n"/>
      <c r="I106" s="111" t="n"/>
      <c r="J106" s="111" t="n"/>
      <c r="K106" s="111" t="n"/>
      <c r="L106" s="111" t="n"/>
      <c r="M106" s="110" t="inlineStr">
        <is>
          <t>DA CHIUDERE</t>
        </is>
      </c>
      <c r="N106" s="110" t="n"/>
      <c r="O106" s="168" t="n"/>
      <c r="P106" s="168" t="n"/>
      <c r="Q106" s="109" t="inlineStr">
        <is>
          <t>SOSTITUITO TRASMETTITORE DI PRESSIONE CON RIPRISTINO DELLA FUNZIONALITA'</t>
        </is>
      </c>
      <c r="R106" s="110" t="n">
        <v>45685</v>
      </c>
      <c r="S106" s="110" t="inlineStr">
        <is>
          <t>SPINALI</t>
        </is>
      </c>
      <c r="T106" s="112">
        <f>IF(AND('Inserimento dati'!$B$3=$H$2, TabellaA1[[#This Row],[LUN]]="X"), "X",IF(AND('Inserimento dati'!$B$3=$I$2, TabellaA1[[#This Row],[MAR]]="X"), "X", IF(AND('Inserimento dati'!$B$3=$J$2, TabellaA1[[#This Row],[MER]]="X"), "X",IF(AND('Inserimento dati'!$B$3=$K$2, TabellaA1[[#This Row],[GIO]]="X"), "X", IF(AND('Inserimento dati'!$B$3=$L$2, TabellaA1[[#This Row],[VEN]]="X"), "X","")))))</f>
        <v/>
      </c>
      <c r="U106" s="137">
        <f>IFERROR(MID(G106,_xlfn.AGGREGATE(15,6,(ROW(INDIRECT("1:"&amp;LEN(G106)-7)))/(ISNUMBER(--MID(G106,ROW(INDIRECT("1:"&amp;LEN(G106)-7)),8))),1),8),"")</f>
        <v/>
      </c>
      <c r="V106" t="inlineStr">
        <is>
          <t>2025-09-30 20:00:00</t>
        </is>
      </c>
    </row>
    <row r="107" ht="30" customFormat="1" customHeight="1" s="45">
      <c r="A107" s="112" t="n"/>
      <c r="B107" s="112">
        <f>IF(OR(A107="x",A107="X"),"",IF(ISBLANK(A107),"X",""))</f>
        <v/>
      </c>
      <c r="C107" s="112">
        <f>IF(OR(TabellaA1[[#This Row],[LUN]]="X",TabellaA1[[#This Row],[MAR]]="X",TabellaA1[[#This Row],[MER]]="X",TabellaA1[[#This Row],[GIO]]="X",TabellaA1[[#This Row],[VEN]]="X",),"X","")</f>
        <v/>
      </c>
      <c r="D107" s="113" t="inlineStr">
        <is>
          <t>AREA 1</t>
        </is>
      </c>
      <c r="E107" s="109" t="inlineStr">
        <is>
          <t>521859/C</t>
        </is>
      </c>
      <c r="F107" s="109" t="n">
        <v>200</v>
      </c>
      <c r="G107" s="109" t="inlineStr">
        <is>
          <t xml:space="preserve">200 - F021CV(FONDO T102) SOSTITUZIONE TUBICINI ALIMENTAZIONE ARIA VALVOLA METTERE IN VOLANTINO LA VALVOLA </t>
        </is>
      </c>
      <c r="H107" s="111" t="n"/>
      <c r="I107" s="111" t="n"/>
      <c r="J107" s="111" t="n"/>
      <c r="K107" s="111" t="n"/>
      <c r="L107" s="111" t="n"/>
      <c r="M107" s="109" t="inlineStr">
        <is>
          <t>DA CHIUDERE</t>
        </is>
      </c>
      <c r="N107" s="109" t="n"/>
      <c r="O107" s="113" t="n"/>
      <c r="P107" s="113" t="n"/>
      <c r="Q107" s="109" t="inlineStr">
        <is>
          <t>RIPRISTINATA NUOVA LINEA ALIMENTAZIONE ARIA E USCITA IP-CONVERTER. (RIMESSO IN PROGRAMMA)</t>
        </is>
      </c>
      <c r="R107" s="110" t="n"/>
      <c r="S107" s="110" t="inlineStr">
        <is>
          <t>GARRO L.</t>
        </is>
      </c>
      <c r="T107" s="112">
        <f>IF(AND('Inserimento dati'!$B$3=$H$2, TabellaA1[[#This Row],[LUN]]="X"), "X",IF(AND('Inserimento dati'!$B$3=$I$2, TabellaA1[[#This Row],[MAR]]="X"), "X", IF(AND('Inserimento dati'!$B$3=$J$2, TabellaA1[[#This Row],[MER]]="X"), "X",IF(AND('Inserimento dati'!$B$3=$K$2, TabellaA1[[#This Row],[GIO]]="X"), "X", IF(AND('Inserimento dati'!$B$3=$L$2, TabellaA1[[#This Row],[VEN]]="X"), "X","")))))</f>
        <v/>
      </c>
      <c r="U107" s="137">
        <f>IFERROR(MID(G107,_xlfn.AGGREGATE(15,6,(ROW(INDIRECT("1:"&amp;LEN(G107)-7)))/(ISNUMBER(--MID(G107,ROW(INDIRECT("1:"&amp;LEN(G107)-7)),8))),1),8),"")</f>
        <v/>
      </c>
      <c r="V107" t="inlineStr">
        <is>
          <t>2025-09-30 20:00:00</t>
        </is>
      </c>
    </row>
    <row r="108" ht="23.25" customFormat="1" customHeight="1" s="45">
      <c r="A108" s="112" t="n"/>
      <c r="B108" s="112">
        <f>IF(OR(A108="x",A108="X"),"",IF(ISBLANK(A108),"X",""))</f>
        <v/>
      </c>
      <c r="C108" s="112">
        <f>IF(OR(TabellaA1[[#This Row],[LUN]]="X",TabellaA1[[#This Row],[MAR]]="X",TabellaA1[[#This Row],[MER]]="X",TabellaA1[[#This Row],[GIO]]="X",TabellaA1[[#This Row],[VEN]]="X",),"X","")</f>
        <v/>
      </c>
      <c r="D108" s="113" t="inlineStr">
        <is>
          <t>AREA 1</t>
        </is>
      </c>
      <c r="E108" s="109" t="inlineStr">
        <is>
          <t>523683/C</t>
        </is>
      </c>
      <c r="F108" s="109" t="n">
        <v>100</v>
      </c>
      <c r="G108" s="109" t="inlineStr">
        <is>
          <t>100 - F068I STASATURA BARILOTTI E VALVOLE DI RADICE SU FLANGIA TARATA</t>
        </is>
      </c>
      <c r="H108" s="111" t="n"/>
      <c r="I108" s="111" t="n"/>
      <c r="J108" s="111" t="n"/>
      <c r="K108" s="111" t="n"/>
      <c r="L108" s="111" t="n"/>
      <c r="M108" s="109" t="inlineStr">
        <is>
          <t>DA CHIUDERE</t>
        </is>
      </c>
      <c r="N108" s="109" t="n"/>
      <c r="O108" s="113" t="n"/>
      <c r="P108" s="113" t="n"/>
      <c r="Q108" s="109" t="inlineStr">
        <is>
          <t>ESEGUITA STASATURA CON RIPRISTINO FUNZIONALITA'</t>
        </is>
      </c>
      <c r="R108" s="110" t="n">
        <v>45684</v>
      </c>
      <c r="S108" s="110" t="inlineStr">
        <is>
          <t>TARASCIO</t>
        </is>
      </c>
      <c r="T108" s="112">
        <f>IF(AND('Inserimento dati'!$B$3=$H$2, TabellaA1[[#This Row],[LUN]]="X"), "X",IF(AND('Inserimento dati'!$B$3=$I$2, TabellaA1[[#This Row],[MAR]]="X"), "X", IF(AND('Inserimento dati'!$B$3=$J$2, TabellaA1[[#This Row],[MER]]="X"), "X",IF(AND('Inserimento dati'!$B$3=$K$2, TabellaA1[[#This Row],[GIO]]="X"), "X", IF(AND('Inserimento dati'!$B$3=$L$2, TabellaA1[[#This Row],[VEN]]="X"), "X","")))))</f>
        <v/>
      </c>
      <c r="U108" s="137">
        <f>IFERROR(MID(G108,_xlfn.AGGREGATE(15,6,(ROW(INDIRECT("1:"&amp;LEN(G108)-7)))/(ISNUMBER(--MID(G108,ROW(INDIRECT("1:"&amp;LEN(G108)-7)),8))),1),8),"")</f>
        <v/>
      </c>
      <c r="V108" t="inlineStr">
        <is>
          <t>2025-09-30 20:00:00</t>
        </is>
      </c>
    </row>
    <row r="109" ht="45" customFormat="1" customHeight="1" s="45">
      <c r="A109" s="112" t="n"/>
      <c r="B109" s="112">
        <f>IF(OR(A109="x",A109="X"),"",IF(ISBLANK(A109),"X",""))</f>
        <v/>
      </c>
      <c r="C109" s="112">
        <f>IF(OR(TabellaA1[[#This Row],[LUN]]="X",TabellaA1[[#This Row],[MAR]]="X",TabellaA1[[#This Row],[MER]]="X",TabellaA1[[#This Row],[GIO]]="X",TabellaA1[[#This Row],[VEN]]="X",),"X","")</f>
        <v/>
      </c>
      <c r="D109" s="113" t="inlineStr">
        <is>
          <t>AREA 1</t>
        </is>
      </c>
      <c r="E109" s="109" t="inlineStr">
        <is>
          <t>523177/C</t>
        </is>
      </c>
      <c r="F109" s="109" t="n">
        <v>400</v>
      </c>
      <c r="G109" s="109" t="inlineStr">
        <is>
          <t>400 - T151RC(USCITA VAPORE SURRISCALDATO F101) CONTROLLO E ALLINEAMENTO CON SALA CONTROLLO TEMPERATURA</t>
        </is>
      </c>
      <c r="H109" s="111" t="n"/>
      <c r="I109" s="111" t="n"/>
      <c r="J109" s="111" t="n"/>
      <c r="K109" s="111" t="n"/>
      <c r="L109" s="111" t="n"/>
      <c r="M109" s="110" t="inlineStr">
        <is>
          <t>DA CHIUDERE</t>
        </is>
      </c>
      <c r="N109" s="110" t="n"/>
      <c r="O109" s="168" t="n"/>
      <c r="P109" s="168" t="n"/>
      <c r="Q109" s="109" t="inlineStr">
        <is>
          <t>RIFATTA TESTINA TERMOELEMENTO E PROVATA VALVOLA REGOLATRICE (STRETTO BYPASS); DA ESEGUIRE TUNING REGOLAZIONE ( A CURA AUTOMATION SERVICE)</t>
        </is>
      </c>
      <c r="R109" s="110" t="n"/>
      <c r="S109" s="110" t="n"/>
      <c r="T109" s="112">
        <f>IF(AND('Inserimento dati'!$B$3=$H$2, TabellaA1[[#This Row],[LUN]]="X"), "X",IF(AND('Inserimento dati'!$B$3=$I$2, TabellaA1[[#This Row],[MAR]]="X"), "X", IF(AND('Inserimento dati'!$B$3=$J$2, TabellaA1[[#This Row],[MER]]="X"), "X",IF(AND('Inserimento dati'!$B$3=$K$2, TabellaA1[[#This Row],[GIO]]="X"), "X", IF(AND('Inserimento dati'!$B$3=$L$2, TabellaA1[[#This Row],[VEN]]="X"), "X","")))))</f>
        <v/>
      </c>
      <c r="U109" s="137">
        <f>IFERROR(MID(G109,_xlfn.AGGREGATE(15,6,(ROW(INDIRECT("1:"&amp;LEN(G109)-7)))/(ISNUMBER(--MID(G109,ROW(INDIRECT("1:"&amp;LEN(G109)-7)),8))),1),8),"")</f>
        <v/>
      </c>
      <c r="V109" t="inlineStr">
        <is>
          <t>2025-09-30 20:00:00</t>
        </is>
      </c>
    </row>
    <row r="110" ht="30" customFormat="1" customHeight="1" s="45">
      <c r="A110" s="112" t="n"/>
      <c r="B110" s="112">
        <f>IF(OR(A110="x",A110="X"),"",IF(ISBLANK(A110),"X",""))</f>
        <v/>
      </c>
      <c r="C110" s="112">
        <f>IF(OR(TabellaA1[[#This Row],[LUN]]="X",TabellaA1[[#This Row],[MAR]]="X",TabellaA1[[#This Row],[MER]]="X",TabellaA1[[#This Row],[GIO]]="X",TabellaA1[[#This Row],[VEN]]="X",),"X","")</f>
        <v/>
      </c>
      <c r="D110" s="113" t="inlineStr">
        <is>
          <t>AREA 1</t>
        </is>
      </c>
      <c r="E110" s="109" t="inlineStr">
        <is>
          <t>522606/C</t>
        </is>
      </c>
      <c r="F110" s="109" t="n">
        <v>200</v>
      </c>
      <c r="G110" s="109" t="inlineStr">
        <is>
          <t xml:space="preserve">300T018I(USCITA PASSI F101)CONTROLLO FUNZIONALITA E ALLINEAMENTO CON SALA CONTROLLO </t>
        </is>
      </c>
      <c r="H110" s="111" t="n"/>
      <c r="I110" s="111" t="n"/>
      <c r="J110" s="111" t="n"/>
      <c r="K110" s="111" t="n"/>
      <c r="L110" s="111" t="n"/>
      <c r="M110" s="109" t="inlineStr">
        <is>
          <t>DA CHIUDERE</t>
        </is>
      </c>
      <c r="N110" s="109" t="n"/>
      <c r="O110" s="113" t="n"/>
      <c r="P110" s="113" t="n"/>
      <c r="Q110" s="109" t="inlineStr">
        <is>
          <t>SEGUITO SERRAGGIO FILI IN CAMPO CON RIPRISTINO DELLA FUNZIONALITA'</t>
        </is>
      </c>
      <c r="R110" s="110" t="n">
        <v>45678</v>
      </c>
      <c r="S110" s="110" t="inlineStr">
        <is>
          <t>TARASCIO</t>
        </is>
      </c>
      <c r="T110" s="112">
        <f>IF(AND('Inserimento dati'!$B$3=$H$2, TabellaA1[[#This Row],[LUN]]="X"), "X",IF(AND('Inserimento dati'!$B$3=$I$2, TabellaA1[[#This Row],[MAR]]="X"), "X", IF(AND('Inserimento dati'!$B$3=$J$2, TabellaA1[[#This Row],[MER]]="X"), "X",IF(AND('Inserimento dati'!$B$3=$K$2, TabellaA1[[#This Row],[GIO]]="X"), "X", IF(AND('Inserimento dati'!$B$3=$L$2, TabellaA1[[#This Row],[VEN]]="X"), "X","")))))</f>
        <v/>
      </c>
      <c r="U110" s="137">
        <f>IFERROR(MID(G110,_xlfn.AGGREGATE(15,6,(ROW(INDIRECT("1:"&amp;LEN(G110)-7)))/(ISNUMBER(--MID(G110,ROW(INDIRECT("1:"&amp;LEN(G110)-7)),8))),1),8),"")</f>
        <v/>
      </c>
      <c r="V110" t="inlineStr">
        <is>
          <t>2025-09-30 20:00:00</t>
        </is>
      </c>
    </row>
    <row r="111" ht="30" customFormat="1" customHeight="1" s="45">
      <c r="A111" s="112" t="n"/>
      <c r="B111" s="112">
        <f>IF(OR(A111="x",A111="X"),"",IF(ISBLANK(A111),"X",""))</f>
        <v/>
      </c>
      <c r="C111" s="112">
        <f>IF(OR(TabellaA1[[#This Row],[LUN]]="X",TabellaA1[[#This Row],[MAR]]="X",TabellaA1[[#This Row],[MER]]="X",TabellaA1[[#This Row],[GIO]]="X",TabellaA1[[#This Row],[VEN]]="X",),"X","")</f>
        <v/>
      </c>
      <c r="D111" s="113" t="inlineStr">
        <is>
          <t>AREA 1</t>
        </is>
      </c>
      <c r="E111" s="109" t="inlineStr">
        <is>
          <t>522598/C</t>
        </is>
      </c>
      <c r="F111" s="109" t="n">
        <v>200</v>
      </c>
      <c r="G111" s="109" t="inlineStr">
        <is>
          <t>300T017I (TREAT GAS USCITA F101)RIPRISTINO TEMPERATURA IN BAD</t>
        </is>
      </c>
      <c r="H111" s="111" t="n"/>
      <c r="I111" s="111" t="n"/>
      <c r="J111" s="111" t="n"/>
      <c r="K111" s="111" t="n"/>
      <c r="L111" s="111" t="n"/>
      <c r="M111" s="109" t="inlineStr">
        <is>
          <t>DA CHIUDERE</t>
        </is>
      </c>
      <c r="N111" s="109" t="n"/>
      <c r="O111" s="113" t="n"/>
      <c r="P111" s="113" t="n"/>
      <c r="Q111" s="109" t="inlineStr">
        <is>
          <t>FILO SCOLLEGATO IN CASSETTA, RICOLLEGATO E RIPRISTINATA LA FUNZIONALITA'</t>
        </is>
      </c>
      <c r="R111" s="110" t="n">
        <v>45678</v>
      </c>
      <c r="S111" s="110" t="inlineStr">
        <is>
          <t>TARASCIO</t>
        </is>
      </c>
      <c r="T111" s="112">
        <f>IF(AND('Inserimento dati'!$B$3=$H$2, TabellaA1[[#This Row],[LUN]]="X"), "X",IF(AND('Inserimento dati'!$B$3=$I$2, TabellaA1[[#This Row],[MAR]]="X"), "X", IF(AND('Inserimento dati'!$B$3=$J$2, TabellaA1[[#This Row],[MER]]="X"), "X",IF(AND('Inserimento dati'!$B$3=$K$2, TabellaA1[[#This Row],[GIO]]="X"), "X", IF(AND('Inserimento dati'!$B$3=$L$2, TabellaA1[[#This Row],[VEN]]="X"), "X","")))))</f>
        <v/>
      </c>
      <c r="U111" s="137">
        <f>IFERROR(MID(G111,_xlfn.AGGREGATE(15,6,(ROW(INDIRECT("1:"&amp;LEN(G111)-7)))/(ISNUMBER(--MID(G111,ROW(INDIRECT("1:"&amp;LEN(G111)-7)),8))),1),8),"")</f>
        <v/>
      </c>
      <c r="V111" t="inlineStr">
        <is>
          <t>2025-09-30 20:00:00</t>
        </is>
      </c>
    </row>
    <row r="112" ht="30" customFormat="1" customHeight="1" s="45">
      <c r="A112" s="112" t="n"/>
      <c r="B112" s="112">
        <f>IF(OR(A112="x",A112="X"),"",IF(ISBLANK(A112),"X",""))</f>
        <v/>
      </c>
      <c r="C112" s="112">
        <f>IF(OR(TabellaA1[[#This Row],[LUN]]="X",TabellaA1[[#This Row],[MAR]]="X",TabellaA1[[#This Row],[MER]]="X",TabellaA1[[#This Row],[GIO]]="X",TabellaA1[[#This Row],[VEN]]="X",),"X","")</f>
        <v/>
      </c>
      <c r="D112" s="113" t="inlineStr">
        <is>
          <t>AREA 1</t>
        </is>
      </c>
      <c r="E112" s="109" t="inlineStr">
        <is>
          <t>522591/C</t>
        </is>
      </c>
      <c r="F112" s="109" t="n">
        <v>200</v>
      </c>
      <c r="G112" s="109" t="inlineStr">
        <is>
          <t>200T019IC(E106A A T102)RIPRISTINO TEMPERATURA IN BAD</t>
        </is>
      </c>
      <c r="H112" s="111" t="n"/>
      <c r="I112" s="111" t="n"/>
      <c r="J112" s="111" t="n"/>
      <c r="K112" s="111" t="n"/>
      <c r="L112" s="111" t="n"/>
      <c r="M112" s="109" t="inlineStr">
        <is>
          <t>DA CHIUDERE</t>
        </is>
      </c>
      <c r="N112" s="109" t="n"/>
      <c r="O112" s="113" t="n"/>
      <c r="P112" s="113" t="n"/>
      <c r="Q112" s="109" t="inlineStr">
        <is>
          <t>SOSTITUITO TERMOELEMENTO CON RIPRISTINO DELLA FUNZIONALITA'.</t>
        </is>
      </c>
      <c r="R112" s="110" t="n">
        <v>45677</v>
      </c>
      <c r="S112" s="110" t="inlineStr">
        <is>
          <t>SPINALI</t>
        </is>
      </c>
      <c r="T112" s="112">
        <f>IF(AND('Inserimento dati'!$B$3=$H$2, TabellaA1[[#This Row],[LUN]]="X"), "X",IF(AND('Inserimento dati'!$B$3=$I$2, TabellaA1[[#This Row],[MAR]]="X"), "X", IF(AND('Inserimento dati'!$B$3=$J$2, TabellaA1[[#This Row],[MER]]="X"), "X",IF(AND('Inserimento dati'!$B$3=$K$2, TabellaA1[[#This Row],[GIO]]="X"), "X", IF(AND('Inserimento dati'!$B$3=$L$2, TabellaA1[[#This Row],[VEN]]="X"), "X","")))))</f>
        <v/>
      </c>
      <c r="U112" s="137">
        <f>IFERROR(MID(G112,_xlfn.AGGREGATE(15,6,(ROW(INDIRECT("1:"&amp;LEN(G112)-7)))/(ISNUMBER(--MID(G112,ROW(INDIRECT("1:"&amp;LEN(G112)-7)),8))),1),8),"")</f>
        <v/>
      </c>
      <c r="V112" t="inlineStr">
        <is>
          <t>2025-09-30 20:00:00</t>
        </is>
      </c>
    </row>
    <row r="113" ht="30" customFormat="1" customHeight="1" s="45">
      <c r="A113" s="112" t="n"/>
      <c r="B113" s="112">
        <f>IF(OR(A113="x",A113="X"),"",IF(ISBLANK(A113),"X",""))</f>
        <v/>
      </c>
      <c r="C113" s="112">
        <f>IF(OR(TabellaA1[[#This Row],[LUN]]="X",TabellaA1[[#This Row],[MAR]]="X",TabellaA1[[#This Row],[MER]]="X",TabellaA1[[#This Row],[GIO]]="X",TabellaA1[[#This Row],[VEN]]="X",),"X","")</f>
        <v/>
      </c>
      <c r="D113" s="113" t="inlineStr">
        <is>
          <t>AREA 1</t>
        </is>
      </c>
      <c r="E113" s="109" t="inlineStr">
        <is>
          <t>522590/C</t>
        </is>
      </c>
      <c r="F113" s="109" t="n">
        <v>200</v>
      </c>
      <c r="G113" s="109" t="inlineStr">
        <is>
          <t>02F037R(GPL D104 A U1100)CONTROLLO DI TARATURA ED EVENTUALE CONTROLLO LOOP DI REGOLAZIONE</t>
        </is>
      </c>
      <c r="H113" s="111" t="n"/>
      <c r="I113" s="111" t="n"/>
      <c r="J113" s="111" t="n"/>
      <c r="K113" s="111" t="n"/>
      <c r="L113" s="111" t="n"/>
      <c r="M113" s="109" t="inlineStr">
        <is>
          <t>DA CHIUDERE</t>
        </is>
      </c>
      <c r="N113" s="109" t="n"/>
      <c r="O113" s="113" t="n"/>
      <c r="P113" s="113" t="n"/>
      <c r="Q113" s="109" t="inlineStr">
        <is>
          <t>CORRETTO DI ZERO ED ESEGUITO ALLINEAMENTO.</t>
        </is>
      </c>
      <c r="R113" s="110" t="n">
        <v>45677</v>
      </c>
      <c r="S113" s="110" t="inlineStr">
        <is>
          <t>SPINALI</t>
        </is>
      </c>
      <c r="T113" s="112">
        <f>IF(AND('Inserimento dati'!$B$3=$H$2, TabellaA1[[#This Row],[LUN]]="X"), "X",IF(AND('Inserimento dati'!$B$3=$I$2, TabellaA1[[#This Row],[MAR]]="X"), "X", IF(AND('Inserimento dati'!$B$3=$J$2, TabellaA1[[#This Row],[MER]]="X"), "X",IF(AND('Inserimento dati'!$B$3=$K$2, TabellaA1[[#This Row],[GIO]]="X"), "X", IF(AND('Inserimento dati'!$B$3=$L$2, TabellaA1[[#This Row],[VEN]]="X"), "X","")))))</f>
        <v/>
      </c>
      <c r="U113" s="137">
        <f>IFERROR(MID(G113,_xlfn.AGGREGATE(15,6,(ROW(INDIRECT("1:"&amp;LEN(G113)-7)))/(ISNUMBER(--MID(G113,ROW(INDIRECT("1:"&amp;LEN(G113)-7)),8))),1),8),"")</f>
        <v/>
      </c>
      <c r="V113" t="inlineStr">
        <is>
          <t>2025-09-30 20:00:00</t>
        </is>
      </c>
    </row>
    <row r="114" ht="30" customFormat="1" customHeight="1" s="45">
      <c r="A114" s="112" t="n"/>
      <c r="B114" s="112">
        <f>IF(OR(A114="x",A114="X"),"",IF(ISBLANK(A114),"X",""))</f>
        <v/>
      </c>
      <c r="C114" s="112">
        <f>IF(OR(TabellaA1[[#This Row],[LUN]]="X",TabellaA1[[#This Row],[MAR]]="X",TabellaA1[[#This Row],[MER]]="X",TabellaA1[[#This Row],[GIO]]="X",TabellaA1[[#This Row],[VEN]]="X",),"X","")</f>
        <v/>
      </c>
      <c r="D114" s="113" t="inlineStr">
        <is>
          <t>AREA 1</t>
        </is>
      </c>
      <c r="E114" s="109" t="inlineStr">
        <is>
          <t>522664/C</t>
        </is>
      </c>
      <c r="F114" s="109" t="n">
        <v>300</v>
      </c>
      <c r="G114" s="109" t="inlineStr">
        <is>
          <t>300 - L101CV RIPRISTINO ELETTROVALVOLA DI BLOCCO</t>
        </is>
      </c>
      <c r="H114" s="111" t="n"/>
      <c r="I114" s="111" t="n"/>
      <c r="J114" s="111" t="n"/>
      <c r="K114" s="111" t="n"/>
      <c r="L114" s="111" t="n"/>
      <c r="M114" s="109" t="inlineStr">
        <is>
          <t>DA CHIUDERE</t>
        </is>
      </c>
      <c r="N114" s="109" t="n"/>
      <c r="O114" s="113" t="n"/>
      <c r="P114" s="113" t="n"/>
      <c r="Q114" s="109" t="inlineStr">
        <is>
          <t>SOSTITUITO FUSIBILE SU LOOP ELETTROVALVOLA RIPRISTINANDO LA TENSIONE IN CAMPO.</t>
        </is>
      </c>
      <c r="R114" s="110" t="n">
        <v>45677</v>
      </c>
      <c r="S114" s="110" t="inlineStr">
        <is>
          <t>TARASCIO/PARTESANO</t>
        </is>
      </c>
      <c r="T114" s="112">
        <f>IF(AND('Inserimento dati'!$B$3=$H$2, TabellaA1[[#This Row],[LUN]]="X"), "X",IF(AND('Inserimento dati'!$B$3=$I$2, TabellaA1[[#This Row],[MAR]]="X"), "X", IF(AND('Inserimento dati'!$B$3=$J$2, TabellaA1[[#This Row],[MER]]="X"), "X",IF(AND('Inserimento dati'!$B$3=$K$2, TabellaA1[[#This Row],[GIO]]="X"), "X", IF(AND('Inserimento dati'!$B$3=$L$2, TabellaA1[[#This Row],[VEN]]="X"), "X","")))))</f>
        <v/>
      </c>
      <c r="U114" s="137">
        <f>IFERROR(MID(G114,_xlfn.AGGREGATE(15,6,(ROW(INDIRECT("1:"&amp;LEN(G114)-7)))/(ISNUMBER(--MID(G114,ROW(INDIRECT("1:"&amp;LEN(G114)-7)),8))),1),8),"")</f>
        <v/>
      </c>
      <c r="V114" t="inlineStr">
        <is>
          <t>2025-09-30 20:00:00</t>
        </is>
      </c>
    </row>
    <row r="115" ht="30" customFormat="1" customHeight="1" s="45">
      <c r="A115" s="112" t="n"/>
      <c r="B115" s="112">
        <f>IF(OR(A115="x",A115="X"),"",IF(ISBLANK(A115),"X",""))</f>
        <v/>
      </c>
      <c r="C115" s="112">
        <f>IF(OR(TabellaA1[[#This Row],[LUN]]="X",TabellaA1[[#This Row],[MAR]]="X",TabellaA1[[#This Row],[MER]]="X",TabellaA1[[#This Row],[GIO]]="X",TabellaA1[[#This Row],[VEN]]="X",),"X","")</f>
        <v/>
      </c>
      <c r="D115" s="113" t="inlineStr">
        <is>
          <t>AREA 1</t>
        </is>
      </c>
      <c r="E115" s="109" t="inlineStr">
        <is>
          <t>520988/C</t>
        </is>
      </c>
      <c r="F115" s="109" t="n">
        <v>100</v>
      </c>
      <c r="G115" s="109" t="inlineStr">
        <is>
          <t>100L020HA 100L021LA(D109)CONTROLLO E RIPRISTINO FUNZIONALITA'</t>
        </is>
      </c>
      <c r="H115" s="111" t="n"/>
      <c r="I115" s="111" t="n"/>
      <c r="J115" s="111" t="n"/>
      <c r="K115" s="111" t="n"/>
      <c r="L115" s="111" t="n"/>
      <c r="M115" s="109" t="inlineStr">
        <is>
          <t>DA CHIUDERE</t>
        </is>
      </c>
      <c r="N115" s="109" t="n"/>
      <c r="O115" s="113" t="n"/>
      <c r="P115" s="113" t="n"/>
      <c r="Q115" s="109" t="inlineStr">
        <is>
          <t>VALVOLE DI RADICE NON TENGONO MA INTERCETTANDO E DRENANDO VIENE ALLARMATO ALLARME DI BASSO</t>
        </is>
      </c>
      <c r="R115" s="110" t="n">
        <v>45656</v>
      </c>
      <c r="S115" s="110" t="inlineStr">
        <is>
          <t>SPINALI</t>
        </is>
      </c>
      <c r="T115" s="112">
        <f>IF(AND('Inserimento dati'!$B$3=$H$2, TabellaA1[[#This Row],[LUN]]="X"), "X",IF(AND('Inserimento dati'!$B$3=$I$2, TabellaA1[[#This Row],[MAR]]="X"), "X", IF(AND('Inserimento dati'!$B$3=$J$2, TabellaA1[[#This Row],[MER]]="X"), "X",IF(AND('Inserimento dati'!$B$3=$K$2, TabellaA1[[#This Row],[GIO]]="X"), "X", IF(AND('Inserimento dati'!$B$3=$L$2, TabellaA1[[#This Row],[VEN]]="X"), "X","")))))</f>
        <v/>
      </c>
      <c r="U115" s="137">
        <f>IFERROR(MID(G115,_xlfn.AGGREGATE(15,6,(ROW(INDIRECT("1:"&amp;LEN(G115)-7)))/(ISNUMBER(--MID(G115,ROW(INDIRECT("1:"&amp;LEN(G115)-7)),8))),1),8),"")</f>
        <v/>
      </c>
      <c r="V115" t="inlineStr">
        <is>
          <t>2025-09-30 20:00:00</t>
        </is>
      </c>
    </row>
    <row r="116" ht="30" customFormat="1" customHeight="1" s="45">
      <c r="A116" s="112" t="n"/>
      <c r="B116" s="112">
        <f>IF(OR(A116="x",A116="X"),"",IF(ISBLANK(A116),"X",""))</f>
        <v/>
      </c>
      <c r="C116" s="112">
        <f>IF(OR(TabellaA1[[#This Row],[LUN]]="X",TabellaA1[[#This Row],[MAR]]="X",TabellaA1[[#This Row],[MER]]="X",TabellaA1[[#This Row],[GIO]]="X",TabellaA1[[#This Row],[VEN]]="X",),"X","")</f>
        <v/>
      </c>
      <c r="D116" s="113" t="inlineStr">
        <is>
          <t>AREA 1</t>
        </is>
      </c>
      <c r="E116" s="109" t="inlineStr">
        <is>
          <t>522265/C</t>
        </is>
      </c>
      <c r="F116" s="109" t="n">
        <v>400</v>
      </c>
      <c r="G116" s="109" t="inlineStr">
        <is>
          <t>400T044R (MANDATA 2 STADIO C101A) CONTROLLO E RIPRISTINO TEMPERATURA</t>
        </is>
      </c>
      <c r="H116" s="111" t="n"/>
      <c r="I116" s="111" t="n"/>
      <c r="J116" s="111" t="n"/>
      <c r="K116" s="111" t="n"/>
      <c r="L116" s="111" t="n"/>
      <c r="M116" s="109" t="inlineStr">
        <is>
          <t>DA CHIUDERE</t>
        </is>
      </c>
      <c r="N116" s="109" t="n"/>
      <c r="O116" s="113" t="n"/>
      <c r="P116" s="113" t="n"/>
      <c r="Q116" s="109" t="inlineStr">
        <is>
          <t xml:space="preserve">TERMOELEMENTO ROTTO. SOSTITUITO. </t>
        </is>
      </c>
      <c r="R116" s="110" t="n">
        <v>45672</v>
      </c>
      <c r="S116" s="110" t="inlineStr">
        <is>
          <t>TARASCIO/SERRA</t>
        </is>
      </c>
      <c r="T116" s="112">
        <f>IF(AND('Inserimento dati'!$B$3=$H$2, TabellaA1[[#This Row],[LUN]]="X"), "X",IF(AND('Inserimento dati'!$B$3=$I$2, TabellaA1[[#This Row],[MAR]]="X"), "X", IF(AND('Inserimento dati'!$B$3=$J$2, TabellaA1[[#This Row],[MER]]="X"), "X",IF(AND('Inserimento dati'!$B$3=$K$2, TabellaA1[[#This Row],[GIO]]="X"), "X", IF(AND('Inserimento dati'!$B$3=$L$2, TabellaA1[[#This Row],[VEN]]="X"), "X","")))))</f>
        <v/>
      </c>
      <c r="U116" s="137">
        <f>IFERROR(MID(G116,_xlfn.AGGREGATE(15,6,(ROW(INDIRECT("1:"&amp;LEN(G116)-7)))/(ISNUMBER(--MID(G116,ROW(INDIRECT("1:"&amp;LEN(G116)-7)),8))),1),8),"")</f>
        <v/>
      </c>
      <c r="V116" t="inlineStr">
        <is>
          <t>2025-09-30 20:00:00</t>
        </is>
      </c>
    </row>
    <row r="117" ht="45" customFormat="1" customHeight="1" s="45">
      <c r="A117" s="112" t="n"/>
      <c r="B117" s="112">
        <f>IF(OR(A117="x",A117="X"),"",IF(ISBLANK(A117),"X",""))</f>
        <v/>
      </c>
      <c r="C117" s="112">
        <f>IF(OR(TabellaA1[[#This Row],[LUN]]="X",TabellaA1[[#This Row],[MAR]]="X",TabellaA1[[#This Row],[MER]]="X",TabellaA1[[#This Row],[GIO]]="X",TabellaA1[[#This Row],[VEN]]="X",),"X","")</f>
        <v/>
      </c>
      <c r="D117" s="113" t="inlineStr">
        <is>
          <t>AREA 1</t>
        </is>
      </c>
      <c r="E117" s="109" t="inlineStr">
        <is>
          <t>522038/C</t>
        </is>
      </c>
      <c r="F117" s="109" t="n">
        <v>100</v>
      </c>
      <c r="G117" s="109" t="inlineStr">
        <is>
          <t>100 - L453RC (D302)CONTROLLO E RIPRISTINO FUNZIONALITA' LIVELLO</t>
        </is>
      </c>
      <c r="H117" s="111" t="n"/>
      <c r="I117" s="111" t="n"/>
      <c r="J117" s="111" t="n"/>
      <c r="K117" s="111" t="n"/>
      <c r="L117" s="111" t="n"/>
      <c r="M117" s="109" t="inlineStr">
        <is>
          <t>DA CHIUDERE</t>
        </is>
      </c>
      <c r="N117" s="109" t="n"/>
      <c r="O117" s="113" t="n"/>
      <c r="P117" s="113" t="n"/>
      <c r="Q117" s="109" t="inlineStr">
        <is>
          <t>CONTROLLATO LIVELLO, INTERCETTATO E SCARICATO. PRESE PROVATE. ( IL LIVELLO E' A ZERO PERCHE' E VERITIERO ). NULLA DA SEGNALARE.</t>
        </is>
      </c>
      <c r="R117" s="110" t="n">
        <v>45672</v>
      </c>
      <c r="S117" s="110" t="inlineStr">
        <is>
          <t>MILLO/AMARA</t>
        </is>
      </c>
      <c r="T117" s="112">
        <f>IF(AND('Inserimento dati'!$B$3=$H$2, TabellaA1[[#This Row],[LUN]]="X"), "X",IF(AND('Inserimento dati'!$B$3=$I$2, TabellaA1[[#This Row],[MAR]]="X"), "X", IF(AND('Inserimento dati'!$B$3=$J$2, TabellaA1[[#This Row],[MER]]="X"), "X",IF(AND('Inserimento dati'!$B$3=$K$2, TabellaA1[[#This Row],[GIO]]="X"), "X", IF(AND('Inserimento dati'!$B$3=$L$2, TabellaA1[[#This Row],[VEN]]="X"), "X","")))))</f>
        <v/>
      </c>
      <c r="U117" s="137">
        <f>IFERROR(MID(G117,_xlfn.AGGREGATE(15,6,(ROW(INDIRECT("1:"&amp;LEN(G117)-7)))/(ISNUMBER(--MID(G117,ROW(INDIRECT("1:"&amp;LEN(G117)-7)),8))),1),8),"")</f>
        <v/>
      </c>
      <c r="V117" t="inlineStr">
        <is>
          <t>2025-09-30 20:00:00</t>
        </is>
      </c>
    </row>
    <row r="118" ht="30" customFormat="1" customHeight="1" s="45">
      <c r="A118" s="112" t="n"/>
      <c r="B118" s="112">
        <f>IF(OR(A118="x",A118="X"),"",IF(ISBLANK(A118),"X",""))</f>
        <v/>
      </c>
      <c r="C118" s="112">
        <f>IF(OR(TabellaA1[[#This Row],[LUN]]="X",TabellaA1[[#This Row],[MAR]]="X",TabellaA1[[#This Row],[MER]]="X",TabellaA1[[#This Row],[GIO]]="X",TabellaA1[[#This Row],[VEN]]="X",),"X","")</f>
        <v/>
      </c>
      <c r="D118" s="113" t="inlineStr">
        <is>
          <t>AREA 1</t>
        </is>
      </c>
      <c r="E118" s="109" t="inlineStr">
        <is>
          <t>522037/C</t>
        </is>
      </c>
      <c r="F118" s="109" t="n">
        <v>100</v>
      </c>
      <c r="G118" s="109" t="inlineStr">
        <is>
          <t>100 - L008RC (T104)CONTROLLO E RIPRISTINO FUNZIONALITA' LIVELLO</t>
        </is>
      </c>
      <c r="H118" s="111" t="n"/>
      <c r="I118" s="111" t="n"/>
      <c r="J118" s="111" t="n"/>
      <c r="K118" s="111" t="n"/>
      <c r="L118" s="111" t="n"/>
      <c r="M118" s="109" t="inlineStr">
        <is>
          <t>DA CHIUDERE</t>
        </is>
      </c>
      <c r="N118" s="109" t="n"/>
      <c r="O118" s="113" t="n"/>
      <c r="P118" s="113" t="n"/>
      <c r="Q118" s="109" t="inlineStr">
        <is>
          <t>CONTROLLO FUNZIONALE TRASMETTITORE, VERIFICA RIEMPIMENTO, TARATURA_OK. RIMESSO IN REGOLAZIONE</t>
        </is>
      </c>
      <c r="R118" s="110" t="n">
        <v>45672</v>
      </c>
      <c r="S118" s="110" t="inlineStr">
        <is>
          <t>MILLO/AMARA</t>
        </is>
      </c>
      <c r="T118" s="112">
        <f>IF(AND('Inserimento dati'!$B$3=$H$2, TabellaA1[[#This Row],[LUN]]="X"), "X",IF(AND('Inserimento dati'!$B$3=$I$2, TabellaA1[[#This Row],[MAR]]="X"), "X", IF(AND('Inserimento dati'!$B$3=$J$2, TabellaA1[[#This Row],[MER]]="X"), "X",IF(AND('Inserimento dati'!$B$3=$K$2, TabellaA1[[#This Row],[GIO]]="X"), "X", IF(AND('Inserimento dati'!$B$3=$L$2, TabellaA1[[#This Row],[VEN]]="X"), "X","")))))</f>
        <v/>
      </c>
      <c r="U118" s="137">
        <f>IFERROR(MID(G118,_xlfn.AGGREGATE(15,6,(ROW(INDIRECT("1:"&amp;LEN(G118)-7)))/(ISNUMBER(--MID(G118,ROW(INDIRECT("1:"&amp;LEN(G118)-7)),8))),1),8),"")</f>
        <v/>
      </c>
      <c r="V118" t="inlineStr">
        <is>
          <t>2025-09-30 20:00:00</t>
        </is>
      </c>
    </row>
    <row r="119" ht="45" customFormat="1" customHeight="1" s="45">
      <c r="A119" s="112" t="n"/>
      <c r="B119" s="112">
        <f>IF(OR(A119="x",A119="X"),"",IF(ISBLANK(A119),"X",""))</f>
        <v/>
      </c>
      <c r="C119" s="112">
        <f>IF(OR(TabellaA1[[#This Row],[LUN]]="X",TabellaA1[[#This Row],[MAR]]="X",TabellaA1[[#This Row],[MER]]="X",TabellaA1[[#This Row],[GIO]]="X",TabellaA1[[#This Row],[VEN]]="X",),"X","")</f>
        <v/>
      </c>
      <c r="D119" s="113" t="inlineStr">
        <is>
          <t>AREA 1</t>
        </is>
      </c>
      <c r="E119" s="109" t="inlineStr">
        <is>
          <t>522162/C</t>
        </is>
      </c>
      <c r="F119" s="109" t="n">
        <v>100</v>
      </c>
      <c r="G119" s="109" t="inlineStr">
        <is>
          <t>100 - T263HA(INGRESSO D101A)CONTROLLO E RIPRISTINO FUNZIONALITA TEMPERATURA</t>
        </is>
      </c>
      <c r="H119" s="111" t="n"/>
      <c r="I119" s="111" t="n"/>
      <c r="J119" s="111" t="n"/>
      <c r="K119" s="111" t="n"/>
      <c r="L119" s="111" t="n"/>
      <c r="M119" s="109" t="inlineStr">
        <is>
          <t>DA CHIUDERE</t>
        </is>
      </c>
      <c r="N119" s="109" t="n"/>
      <c r="O119" s="113" t="n"/>
      <c r="P119" s="113" t="n"/>
      <c r="Q119" s="109" t="inlineStr">
        <is>
          <t>CONTROLLATO TERMOELEMENTO, SI NOTA CHE SUL POZZETTO TERMOMETRICO E' PRESENTE ACQUA E FALSA LA MISURA DI 20 GRADI CIRCA. ASCIUGATA ED ALLINEATA A DCS.</t>
        </is>
      </c>
      <c r="R119" s="110" t="n">
        <v>45672</v>
      </c>
      <c r="S119" s="110" t="inlineStr">
        <is>
          <t>TARASCIO/SERRA</t>
        </is>
      </c>
      <c r="T119" s="112">
        <f>IF(AND('Inserimento dati'!$B$3=$H$2, TabellaA1[[#This Row],[LUN]]="X"), "X",IF(AND('Inserimento dati'!$B$3=$I$2, TabellaA1[[#This Row],[MAR]]="X"), "X", IF(AND('Inserimento dati'!$B$3=$J$2, TabellaA1[[#This Row],[MER]]="X"), "X",IF(AND('Inserimento dati'!$B$3=$K$2, TabellaA1[[#This Row],[GIO]]="X"), "X", IF(AND('Inserimento dati'!$B$3=$L$2, TabellaA1[[#This Row],[VEN]]="X"), "X","")))))</f>
        <v/>
      </c>
      <c r="U119" s="137">
        <f>IFERROR(MID(G119,_xlfn.AGGREGATE(15,6,(ROW(INDIRECT("1:"&amp;LEN(G119)-7)))/(ISNUMBER(--MID(G119,ROW(INDIRECT("1:"&amp;LEN(G119)-7)),8))),1),8),"")</f>
        <v/>
      </c>
      <c r="V119" t="inlineStr">
        <is>
          <t>2025-09-30 20:00:00</t>
        </is>
      </c>
    </row>
    <row r="120" ht="30" customFormat="1" customHeight="1" s="45">
      <c r="A120" s="112" t="n"/>
      <c r="B120" s="112">
        <f>IF(OR(A120="x",A120="X"),"",IF(ISBLANK(A120),"X",""))</f>
        <v/>
      </c>
      <c r="C120" s="112">
        <f>IF(OR(TabellaA1[[#This Row],[LUN]]="X",TabellaA1[[#This Row],[MAR]]="X",TabellaA1[[#This Row],[MER]]="X",TabellaA1[[#This Row],[GIO]]="X",TabellaA1[[#This Row],[VEN]]="X",),"X","")</f>
        <v/>
      </c>
      <c r="D120" s="113" t="inlineStr">
        <is>
          <t>AREA 1</t>
        </is>
      </c>
      <c r="E120" s="109" t="inlineStr">
        <is>
          <t>517609/C</t>
        </is>
      </c>
      <c r="F120" s="109" t="n">
        <v>100</v>
      </c>
      <c r="G120" s="109" t="inlineStr">
        <is>
          <t>10211872  - 100 : LCV162 non chiude oltre il 30%. controllo LOOP di regolazione</t>
        </is>
      </c>
      <c r="H120" s="111" t="n"/>
      <c r="I120" s="111" t="n"/>
      <c r="J120" s="111" t="n"/>
      <c r="K120" s="111" t="n"/>
      <c r="L120" s="111" t="n"/>
      <c r="M120" s="109" t="inlineStr">
        <is>
          <t>DA CHIUDERE</t>
        </is>
      </c>
      <c r="N120" s="109" t="n"/>
      <c r="O120" s="113" t="n"/>
      <c r="P120" s="113" t="n"/>
      <c r="Q120" s="109" t="inlineStr">
        <is>
          <t>SBLOCCATA IN CAMPO, TARATA ED INSERITA IN REGOLAZIONE</t>
        </is>
      </c>
      <c r="R120" s="110" t="n">
        <v>45671</v>
      </c>
      <c r="S120" s="110" t="inlineStr">
        <is>
          <t>CIANCHINO/ANDRONICO</t>
        </is>
      </c>
      <c r="T120" s="112">
        <f>IF(AND('Inserimento dati'!$B$3=$H$2, TabellaA1[[#This Row],[LUN]]="X"), "X",IF(AND('Inserimento dati'!$B$3=$I$2, TabellaA1[[#This Row],[MAR]]="X"), "X", IF(AND('Inserimento dati'!$B$3=$J$2, TabellaA1[[#This Row],[MER]]="X"), "X",IF(AND('Inserimento dati'!$B$3=$K$2, TabellaA1[[#This Row],[GIO]]="X"), "X", IF(AND('Inserimento dati'!$B$3=$L$2, TabellaA1[[#This Row],[VEN]]="X"), "X","")))))</f>
        <v/>
      </c>
      <c r="U120" s="137">
        <f>IFERROR(MID(G120,_xlfn.AGGREGATE(15,6,(ROW(INDIRECT("1:"&amp;LEN(G120)-7)))/(ISNUMBER(--MID(G120,ROW(INDIRECT("1:"&amp;LEN(G120)-7)),8))),1),8),"")</f>
        <v/>
      </c>
      <c r="V120" t="inlineStr">
        <is>
          <t>2025-09-30 20:00:00</t>
        </is>
      </c>
    </row>
    <row r="121" ht="23.25" customFormat="1" customHeight="1" s="45">
      <c r="A121" s="112" t="n"/>
      <c r="B121" s="112">
        <f>IF(OR(A121="x",A121="X"),"",IF(ISBLANK(A121),"X",""))</f>
        <v/>
      </c>
      <c r="C121" s="112">
        <f>IF(OR(TabellaA1[[#This Row],[LUN]]="X",TabellaA1[[#This Row],[MAR]]="X",TabellaA1[[#This Row],[MER]]="X",TabellaA1[[#This Row],[GIO]]="X",TabellaA1[[#This Row],[VEN]]="X",),"X","")</f>
        <v/>
      </c>
      <c r="D121" s="113" t="inlineStr">
        <is>
          <t>AREA 1</t>
        </is>
      </c>
      <c r="E121" s="109" t="inlineStr">
        <is>
          <t>520993/C</t>
        </is>
      </c>
      <c r="F121" s="109" t="n">
        <v>100</v>
      </c>
      <c r="G121" s="109" t="inlineStr">
        <is>
          <t>POT DI ASPIRAZIONE  K651A/B (CONTROLLO LIVELLI)</t>
        </is>
      </c>
      <c r="H121" s="111" t="n"/>
      <c r="I121" s="111" t="n"/>
      <c r="J121" s="111" t="n"/>
      <c r="K121" s="111" t="n"/>
      <c r="L121" s="111" t="n"/>
      <c r="M121" s="109" t="inlineStr">
        <is>
          <t>DA CHIUDERE</t>
        </is>
      </c>
      <c r="N121" s="109" t="n"/>
      <c r="O121" s="113" t="n"/>
      <c r="P121" s="113" t="n"/>
      <c r="Q121" s="109" t="n"/>
      <c r="R121" s="110" t="n">
        <v>45656</v>
      </c>
      <c r="S121" s="110" t="inlineStr">
        <is>
          <t>SPINALI</t>
        </is>
      </c>
      <c r="T121" s="112">
        <f>IF(AND('Inserimento dati'!$B$3=$H$2, TabellaA1[[#This Row],[LUN]]="X"), "X",IF(AND('Inserimento dati'!$B$3=$I$2, TabellaA1[[#This Row],[MAR]]="X"), "X", IF(AND('Inserimento dati'!$B$3=$J$2, TabellaA1[[#This Row],[MER]]="X"), "X",IF(AND('Inserimento dati'!$B$3=$K$2, TabellaA1[[#This Row],[GIO]]="X"), "X", IF(AND('Inserimento dati'!$B$3=$L$2, TabellaA1[[#This Row],[VEN]]="X"), "X","")))))</f>
        <v/>
      </c>
      <c r="U121" s="137">
        <f>IFERROR(MID(G121,_xlfn.AGGREGATE(15,6,(ROW(INDIRECT("1:"&amp;LEN(G121)-7)))/(ISNUMBER(--MID(G121,ROW(INDIRECT("1:"&amp;LEN(G121)-7)),8))),1),8),"")</f>
        <v/>
      </c>
      <c r="V121" t="inlineStr">
        <is>
          <t>2025-09-30 20:00:00</t>
        </is>
      </c>
    </row>
    <row r="122" ht="30" customFormat="1" customHeight="1" s="45">
      <c r="A122" s="112" t="n"/>
      <c r="B122" s="112">
        <f>IF(OR(A122="x",A122="X"),"",IF(ISBLANK(A122),"X",""))</f>
        <v/>
      </c>
      <c r="C122" s="112">
        <f>IF(OR(TabellaA1[[#This Row],[LUN]]="X",TabellaA1[[#This Row],[MAR]]="X",TabellaA1[[#This Row],[MER]]="X",TabellaA1[[#This Row],[GIO]]="X",TabellaA1[[#This Row],[VEN]]="X",),"X","")</f>
        <v/>
      </c>
      <c r="D122" s="113" t="inlineStr">
        <is>
          <t>AREA 1</t>
        </is>
      </c>
      <c r="E122" s="109" t="inlineStr">
        <is>
          <t>520729/C</t>
        </is>
      </c>
      <c r="F122" s="109" t="n">
        <v>400</v>
      </c>
      <c r="G122" s="109" t="inlineStr">
        <is>
          <t>400 - F024R(IDROGENO A RETE GAS)CONTROLLO DI TARATURA E ALLINEAMENTO CON SALA CONTROLLO</t>
        </is>
      </c>
      <c r="H122" s="111" t="n"/>
      <c r="I122" s="111" t="n"/>
      <c r="J122" s="111" t="n"/>
      <c r="K122" s="111" t="n"/>
      <c r="L122" s="111" t="n"/>
      <c r="M122" s="109" t="inlineStr">
        <is>
          <t>DA CHIUDERE</t>
        </is>
      </c>
      <c r="N122" s="109" t="n"/>
      <c r="O122" s="113" t="n"/>
      <c r="P122" s="113" t="n"/>
      <c r="Q122" s="109" t="n"/>
      <c r="R122" s="110" t="n">
        <v>45649</v>
      </c>
      <c r="S122" s="110" t="inlineStr">
        <is>
          <t>RICIPUTO</t>
        </is>
      </c>
      <c r="T122" s="112">
        <f>IF(AND('Inserimento dati'!$B$3=$H$2, TabellaA1[[#This Row],[LUN]]="X"), "X",IF(AND('Inserimento dati'!$B$3=$I$2, TabellaA1[[#This Row],[MAR]]="X"), "X", IF(AND('Inserimento dati'!$B$3=$J$2, TabellaA1[[#This Row],[MER]]="X"), "X",IF(AND('Inserimento dati'!$B$3=$K$2, TabellaA1[[#This Row],[GIO]]="X"), "X", IF(AND('Inserimento dati'!$B$3=$L$2, TabellaA1[[#This Row],[VEN]]="X"), "X","")))))</f>
        <v/>
      </c>
      <c r="U122" s="137">
        <f>IFERROR(MID(G122,_xlfn.AGGREGATE(15,6,(ROW(INDIRECT("1:"&amp;LEN(G122)-7)))/(ISNUMBER(--MID(G122,ROW(INDIRECT("1:"&amp;LEN(G122)-7)),8))),1),8),"")</f>
        <v/>
      </c>
      <c r="V122" t="inlineStr">
        <is>
          <t>2025-09-30 20:00:00</t>
        </is>
      </c>
    </row>
    <row r="123" ht="23.25" customFormat="1" customHeight="1" s="45">
      <c r="A123" s="112" t="n"/>
      <c r="B123" s="112">
        <f>IF(OR(A123="x",A123="X"),"",IF(ISBLANK(A123),"X",""))</f>
        <v/>
      </c>
      <c r="C123" s="112">
        <f>IF(OR(TabellaA1[[#This Row],[LUN]]="X",TabellaA1[[#This Row],[MAR]]="X",TabellaA1[[#This Row],[MER]]="X",TabellaA1[[#This Row],[GIO]]="X",TabellaA1[[#This Row],[VEN]]="X",),"X","")</f>
        <v/>
      </c>
      <c r="D123" s="113" t="inlineStr">
        <is>
          <t>AREA 1</t>
        </is>
      </c>
      <c r="E123" s="109" t="inlineStr">
        <is>
          <t>520422/C</t>
        </is>
      </c>
      <c r="F123" s="109" t="n">
        <v>100</v>
      </c>
      <c r="G123" s="109" t="inlineStr">
        <is>
          <t>100 - L038HA RIPRISTINO E CONTROLLO LIVELLOSTATO</t>
        </is>
      </c>
      <c r="H123" s="111" t="n"/>
      <c r="I123" s="111" t="n"/>
      <c r="J123" s="111" t="n"/>
      <c r="K123" s="111" t="n"/>
      <c r="L123" s="111" t="n"/>
      <c r="M123" s="109" t="inlineStr">
        <is>
          <t>DA CHIUDERE</t>
        </is>
      </c>
      <c r="N123" s="109" t="n"/>
      <c r="O123" s="113" t="n"/>
      <c r="P123" s="113" t="n"/>
      <c r="Q123" s="109" t="n"/>
      <c r="R123" s="110" t="n">
        <v>45646</v>
      </c>
      <c r="S123" s="110" t="inlineStr">
        <is>
          <t>SPINALI</t>
        </is>
      </c>
      <c r="T123" s="112">
        <f>IF(AND('Inserimento dati'!$B$3=$H$2, TabellaA1[[#This Row],[LUN]]="X"), "X",IF(AND('Inserimento dati'!$B$3=$I$2, TabellaA1[[#This Row],[MAR]]="X"), "X", IF(AND('Inserimento dati'!$B$3=$J$2, TabellaA1[[#This Row],[MER]]="X"), "X",IF(AND('Inserimento dati'!$B$3=$K$2, TabellaA1[[#This Row],[GIO]]="X"), "X", IF(AND('Inserimento dati'!$B$3=$L$2, TabellaA1[[#This Row],[VEN]]="X"), "X","")))))</f>
        <v/>
      </c>
      <c r="U123" s="137">
        <f>IFERROR(MID(G123,_xlfn.AGGREGATE(15,6,(ROW(INDIRECT("1:"&amp;LEN(G123)-7)))/(ISNUMBER(--MID(G123,ROW(INDIRECT("1:"&amp;LEN(G123)-7)),8))),1),8),"")</f>
        <v/>
      </c>
      <c r="V123" t="inlineStr">
        <is>
          <t>2025-09-30 20:00:00</t>
        </is>
      </c>
    </row>
    <row r="124" ht="23.25" customFormat="1" customHeight="1" s="45">
      <c r="A124" s="112" t="n"/>
      <c r="B124" s="112">
        <f>IF(OR(A124="x",A124="X"),"",IF(ISBLANK(A124),"X",""))</f>
        <v/>
      </c>
      <c r="C124" s="112">
        <f>IF(OR(TabellaA1[[#This Row],[LUN]]="X",TabellaA1[[#This Row],[MAR]]="X",TabellaA1[[#This Row],[MER]]="X",TabellaA1[[#This Row],[GIO]]="X",TabellaA1[[#This Row],[VEN]]="X",),"X","")</f>
        <v/>
      </c>
      <c r="D124" s="113" t="inlineStr">
        <is>
          <t>AREA 1</t>
        </is>
      </c>
      <c r="E124" s="109" t="inlineStr">
        <is>
          <t>520425/C</t>
        </is>
      </c>
      <c r="F124" s="109" t="n">
        <v>100</v>
      </c>
      <c r="G124" s="109" t="inlineStr">
        <is>
          <t>100 - 100L036HA RIPRISTINO E CONTROLLO LIVELLOSTATO</t>
        </is>
      </c>
      <c r="H124" s="111" t="n"/>
      <c r="I124" s="111" t="n"/>
      <c r="J124" s="111" t="n"/>
      <c r="K124" s="111" t="n"/>
      <c r="L124" s="111" t="n"/>
      <c r="M124" s="109" t="inlineStr">
        <is>
          <t>DA CHIUDERE</t>
        </is>
      </c>
      <c r="N124" s="109" t="n"/>
      <c r="O124" s="113" t="n"/>
      <c r="P124" s="113" t="n"/>
      <c r="Q124" s="109" t="n"/>
      <c r="R124" s="110" t="n">
        <v>45646</v>
      </c>
      <c r="S124" s="110" t="inlineStr">
        <is>
          <t>SPINALI</t>
        </is>
      </c>
      <c r="T124" s="112">
        <f>IF(AND('Inserimento dati'!$B$3=$H$2, TabellaA1[[#This Row],[LUN]]="X"), "X",IF(AND('Inserimento dati'!$B$3=$I$2, TabellaA1[[#This Row],[MAR]]="X"), "X", IF(AND('Inserimento dati'!$B$3=$J$2, TabellaA1[[#This Row],[MER]]="X"), "X",IF(AND('Inserimento dati'!$B$3=$K$2, TabellaA1[[#This Row],[GIO]]="X"), "X", IF(AND('Inserimento dati'!$B$3=$L$2, TabellaA1[[#This Row],[VEN]]="X"), "X","")))))</f>
        <v/>
      </c>
      <c r="U124" s="137">
        <f>IFERROR(MID(G124,_xlfn.AGGREGATE(15,6,(ROW(INDIRECT("1:"&amp;LEN(G124)-7)))/(ISNUMBER(--MID(G124,ROW(INDIRECT("1:"&amp;LEN(G124)-7)),8))),1),8),"")</f>
        <v/>
      </c>
      <c r="V124" t="inlineStr">
        <is>
          <t>2025-09-30 20:00:00</t>
        </is>
      </c>
    </row>
    <row r="125" ht="23.25" customFormat="1" customHeight="1" s="45">
      <c r="A125" s="112" t="n"/>
      <c r="B125" s="112">
        <f>IF(OR(A125="x",A125="X"),"",IF(ISBLANK(A125),"X",""))</f>
        <v/>
      </c>
      <c r="C125" s="112">
        <f>IF(OR(TabellaA1[[#This Row],[LUN]]="X",TabellaA1[[#This Row],[MAR]]="X",TabellaA1[[#This Row],[MER]]="X",TabellaA1[[#This Row],[GIO]]="X",TabellaA1[[#This Row],[VEN]]="X",),"X","")</f>
        <v/>
      </c>
      <c r="D125" s="113" t="inlineStr">
        <is>
          <t>AREA 1</t>
        </is>
      </c>
      <c r="E125" s="109" t="inlineStr">
        <is>
          <t>517135/C</t>
        </is>
      </c>
      <c r="F125" s="109" t="n">
        <v>300</v>
      </c>
      <c r="G125" s="109" t="inlineStr">
        <is>
          <t>300F009RC(TREAT GAS A F101)CONTROLLO E TARATURA STRUMENTO</t>
        </is>
      </c>
      <c r="H125" s="111" t="n"/>
      <c r="I125" s="111" t="n"/>
      <c r="J125" s="111" t="n"/>
      <c r="K125" s="111" t="n"/>
      <c r="L125" s="111" t="n"/>
      <c r="M125" s="109" t="inlineStr">
        <is>
          <t>DA CHIUDERE</t>
        </is>
      </c>
      <c r="N125" s="109" t="n"/>
      <c r="O125" s="113" t="n"/>
      <c r="P125" s="113" t="n"/>
      <c r="Q125" s="109" t="n"/>
      <c r="R125" s="110" t="n"/>
      <c r="S125" s="110" t="n"/>
      <c r="T125" s="112">
        <f>IF(AND('Inserimento dati'!$B$3=$H$2, TabellaA1[[#This Row],[LUN]]="X"), "X",IF(AND('Inserimento dati'!$B$3=$I$2, TabellaA1[[#This Row],[MAR]]="X"), "X", IF(AND('Inserimento dati'!$B$3=$J$2, TabellaA1[[#This Row],[MER]]="X"), "X",IF(AND('Inserimento dati'!$B$3=$K$2, TabellaA1[[#This Row],[GIO]]="X"), "X", IF(AND('Inserimento dati'!$B$3=$L$2, TabellaA1[[#This Row],[VEN]]="X"), "X","")))))</f>
        <v/>
      </c>
      <c r="U125" s="137">
        <f>IFERROR(MID(G125,_xlfn.AGGREGATE(15,6,(ROW(INDIRECT("1:"&amp;LEN(G125)-7)))/(ISNUMBER(--MID(G125,ROW(INDIRECT("1:"&amp;LEN(G125)-7)),8))),1),8),"")</f>
        <v/>
      </c>
      <c r="V125" t="inlineStr">
        <is>
          <t>2025-09-30 20:00:00</t>
        </is>
      </c>
    </row>
    <row r="126" ht="23.25" customFormat="1" customHeight="1" s="45">
      <c r="A126" s="112" t="n"/>
      <c r="B126" s="112">
        <f>IF(OR(A126="x",A126="X"),"",IF(ISBLANK(A126),"X",""))</f>
        <v/>
      </c>
      <c r="C126" s="112">
        <f>IF(OR(TabellaA1[[#This Row],[LUN]]="X",TabellaA1[[#This Row],[MAR]]="X",TabellaA1[[#This Row],[MER]]="X",TabellaA1[[#This Row],[GIO]]="X",TabellaA1[[#This Row],[VEN]]="X",),"X","")</f>
        <v/>
      </c>
      <c r="D126" s="113" t="inlineStr">
        <is>
          <t>AREA 1</t>
        </is>
      </c>
      <c r="E126" s="109" t="inlineStr">
        <is>
          <t>517115/C</t>
        </is>
      </c>
      <c r="F126" s="109" t="n">
        <v>400</v>
      </c>
      <c r="G126" s="109" t="inlineStr">
        <is>
          <t>400P625R(R 401B)CONTROLLO E RIPRISTINO FUNZIONALITA'</t>
        </is>
      </c>
      <c r="H126" s="111" t="n"/>
      <c r="I126" s="111" t="n"/>
      <c r="J126" s="111" t="n"/>
      <c r="K126" s="111" t="n"/>
      <c r="L126" s="111" t="n"/>
      <c r="M126" s="109" t="inlineStr">
        <is>
          <t>DA CHIUDERE</t>
        </is>
      </c>
      <c r="N126" s="109" t="n"/>
      <c r="O126" s="113" t="n"/>
      <c r="P126" s="113" t="n"/>
      <c r="Q126" s="109" t="n"/>
      <c r="R126" s="110" t="n"/>
      <c r="S126" s="110" t="n"/>
      <c r="T126" s="112">
        <f>IF(AND('Inserimento dati'!$B$3=$H$2, TabellaA1[[#This Row],[LUN]]="X"), "X",IF(AND('Inserimento dati'!$B$3=$I$2, TabellaA1[[#This Row],[MAR]]="X"), "X", IF(AND('Inserimento dati'!$B$3=$J$2, TabellaA1[[#This Row],[MER]]="X"), "X",IF(AND('Inserimento dati'!$B$3=$K$2, TabellaA1[[#This Row],[GIO]]="X"), "X", IF(AND('Inserimento dati'!$B$3=$L$2, TabellaA1[[#This Row],[VEN]]="X"), "X","")))))</f>
        <v/>
      </c>
      <c r="U126" s="137">
        <f>IFERROR(MID(G126,_xlfn.AGGREGATE(15,6,(ROW(INDIRECT("1:"&amp;LEN(G126)-7)))/(ISNUMBER(--MID(G126,ROW(INDIRECT("1:"&amp;LEN(G126)-7)),8))),1),8),"")</f>
        <v/>
      </c>
      <c r="V126" t="inlineStr">
        <is>
          <t>2025-09-30 20:00:00</t>
        </is>
      </c>
    </row>
    <row r="127" ht="30" customFormat="1" customHeight="1" s="45">
      <c r="A127" s="112" t="n"/>
      <c r="B127" s="112">
        <f>IF(OR(A127="x",A127="X"),"",IF(ISBLANK(A127),"X",""))</f>
        <v/>
      </c>
      <c r="C127" s="112">
        <f>IF(OR(TabellaA1[[#This Row],[LUN]]="X",TabellaA1[[#This Row],[MAR]]="X",TabellaA1[[#This Row],[MER]]="X",TabellaA1[[#This Row],[GIO]]="X",TabellaA1[[#This Row],[VEN]]="X",),"X","")</f>
        <v/>
      </c>
      <c r="D127" s="113" t="inlineStr">
        <is>
          <t>AREA 1</t>
        </is>
      </c>
      <c r="E127" s="109" t="inlineStr">
        <is>
          <t>515100/C</t>
        </is>
      </c>
      <c r="F127" s="109" t="n">
        <v>900</v>
      </c>
      <c r="G127" s="109" t="inlineStr">
        <is>
          <t>P115HA P115LA (TENUTA POMPA 115)</t>
        </is>
      </c>
      <c r="H127" s="111" t="n"/>
      <c r="I127" s="111" t="n"/>
      <c r="J127" s="111" t="n"/>
      <c r="K127" s="111" t="n"/>
      <c r="L127" s="111" t="n"/>
      <c r="M127" s="109" t="inlineStr">
        <is>
          <t>DA CHIUDERE</t>
        </is>
      </c>
      <c r="N127" s="109" t="n"/>
      <c r="O127" s="113" t="n"/>
      <c r="P127" s="113" t="n"/>
      <c r="Q127" s="109" t="n"/>
      <c r="R127" s="110" t="n">
        <v>45609</v>
      </c>
      <c r="S127" s="110" t="inlineStr">
        <is>
          <t>SPINALI/PUGLIARES</t>
        </is>
      </c>
      <c r="T127" s="112">
        <f>IF(AND('Inserimento dati'!$B$3=$H$2, TabellaA1[[#This Row],[LUN]]="X"), "X",IF(AND('Inserimento dati'!$B$3=$I$2, TabellaA1[[#This Row],[MAR]]="X"), "X", IF(AND('Inserimento dati'!$B$3=$J$2, TabellaA1[[#This Row],[MER]]="X"), "X",IF(AND('Inserimento dati'!$B$3=$K$2, TabellaA1[[#This Row],[GIO]]="X"), "X", IF(AND('Inserimento dati'!$B$3=$L$2, TabellaA1[[#This Row],[VEN]]="X"), "X","")))))</f>
        <v/>
      </c>
      <c r="U127" s="137">
        <f>IFERROR(MID(G127,_xlfn.AGGREGATE(15,6,(ROW(INDIRECT("1:"&amp;LEN(G127)-7)))/(ISNUMBER(--MID(G127,ROW(INDIRECT("1:"&amp;LEN(G127)-7)),8))),1),8),"")</f>
        <v/>
      </c>
      <c r="V127" t="inlineStr">
        <is>
          <t>2025-09-30 20:00:00</t>
        </is>
      </c>
    </row>
    <row r="128" ht="30" customFormat="1" customHeight="1" s="45">
      <c r="A128" s="112" t="n"/>
      <c r="B128" s="112">
        <f>IF(OR(A128="x",A128="X"),"",IF(ISBLANK(A128),"X",""))</f>
        <v/>
      </c>
      <c r="C128" s="112">
        <f>IF(OR(TabellaA1[[#This Row],[LUN]]="X",TabellaA1[[#This Row],[MAR]]="X",TabellaA1[[#This Row],[MER]]="X",TabellaA1[[#This Row],[GIO]]="X",TabellaA1[[#This Row],[VEN]]="X",),"X","")</f>
        <v/>
      </c>
      <c r="D128" s="113" t="inlineStr">
        <is>
          <t>AREA 1</t>
        </is>
      </c>
      <c r="E128" s="109" t="inlineStr">
        <is>
          <t>515104/C</t>
        </is>
      </c>
      <c r="F128" s="109" t="n">
        <v>900</v>
      </c>
      <c r="G128" s="109" t="inlineStr">
        <is>
          <t>900P110BL(TENUTA POMPA P110B)</t>
        </is>
      </c>
      <c r="H128" s="111" t="n"/>
      <c r="I128" s="111" t="n"/>
      <c r="J128" s="111" t="n"/>
      <c r="K128" s="111" t="n"/>
      <c r="L128" s="111" t="n"/>
      <c r="M128" s="109" t="inlineStr">
        <is>
          <t>DA CHIUDERE</t>
        </is>
      </c>
      <c r="N128" s="109" t="n"/>
      <c r="O128" s="113" t="n"/>
      <c r="P128" s="113" t="n"/>
      <c r="Q128" s="109" t="n"/>
      <c r="R128" s="110" t="n">
        <v>45609</v>
      </c>
      <c r="S128" s="110" t="inlineStr">
        <is>
          <t>SPINALI/PUGLIARES</t>
        </is>
      </c>
      <c r="T128" s="112">
        <f>IF(AND('Inserimento dati'!$B$3=$H$2, TabellaA1[[#This Row],[LUN]]="X"), "X",IF(AND('Inserimento dati'!$B$3=$I$2, TabellaA1[[#This Row],[MAR]]="X"), "X", IF(AND('Inserimento dati'!$B$3=$J$2, TabellaA1[[#This Row],[MER]]="X"), "X",IF(AND('Inserimento dati'!$B$3=$K$2, TabellaA1[[#This Row],[GIO]]="X"), "X", IF(AND('Inserimento dati'!$B$3=$L$2, TabellaA1[[#This Row],[VEN]]="X"), "X","")))))</f>
        <v/>
      </c>
      <c r="U128" s="137">
        <f>IFERROR(MID(G128,_xlfn.AGGREGATE(15,6,(ROW(INDIRECT("1:"&amp;LEN(G128)-7)))/(ISNUMBER(--MID(G128,ROW(INDIRECT("1:"&amp;LEN(G128)-7)),8))),1),8),"")</f>
        <v/>
      </c>
      <c r="V128" t="inlineStr">
        <is>
          <t>2025-09-30 20:00:00</t>
        </is>
      </c>
    </row>
    <row r="129" ht="30" customFormat="1" customHeight="1" s="45">
      <c r="A129" s="112" t="n"/>
      <c r="B129" s="112">
        <f>IF(OR(A129="x",A129="X"),"",IF(ISBLANK(A129),"X",""))</f>
        <v/>
      </c>
      <c r="C129" s="112">
        <f>IF(OR(TabellaA1[[#This Row],[LUN]]="X",TabellaA1[[#This Row],[MAR]]="X",TabellaA1[[#This Row],[MER]]="X",TabellaA1[[#This Row],[GIO]]="X",TabellaA1[[#This Row],[VEN]]="X",),"X","")</f>
        <v/>
      </c>
      <c r="D129" s="113" t="inlineStr">
        <is>
          <t>AREA 1</t>
        </is>
      </c>
      <c r="E129" s="109" t="inlineStr">
        <is>
          <t>516428/C</t>
        </is>
      </c>
      <c r="F129" s="109" t="n">
        <v>300</v>
      </c>
      <c r="G129" s="109" t="inlineStr">
        <is>
          <t>300F151R(VAPORE BASSA DA LIMITE BATTERIA) 300F151RA(USCITA DSH-102) CONTROLLO E RIPRISTINO FUNZIONALITA'</t>
        </is>
      </c>
      <c r="H129" s="111" t="n"/>
      <c r="I129" s="111" t="n"/>
      <c r="J129" s="111" t="n"/>
      <c r="K129" s="111" t="n"/>
      <c r="L129" s="111" t="n"/>
      <c r="M129" s="109" t="inlineStr">
        <is>
          <t>DA CHIUDERE</t>
        </is>
      </c>
      <c r="N129" s="109" t="n"/>
      <c r="O129" s="113" t="n"/>
      <c r="P129" s="113" t="n"/>
      <c r="Q129" s="109" t="n"/>
      <c r="R129" s="110" t="n"/>
      <c r="S129" s="110" t="n"/>
      <c r="T129" s="112">
        <f>IF(AND('Inserimento dati'!$B$3=$H$2, TabellaA1[[#This Row],[LUN]]="X"), "X",IF(AND('Inserimento dati'!$B$3=$I$2, TabellaA1[[#This Row],[MAR]]="X"), "X", IF(AND('Inserimento dati'!$B$3=$J$2, TabellaA1[[#This Row],[MER]]="X"), "X",IF(AND('Inserimento dati'!$B$3=$K$2, TabellaA1[[#This Row],[GIO]]="X"), "X", IF(AND('Inserimento dati'!$B$3=$L$2, TabellaA1[[#This Row],[VEN]]="X"), "X","")))))</f>
        <v/>
      </c>
      <c r="U129" s="137">
        <f>IFERROR(MID(G129,_xlfn.AGGREGATE(15,6,(ROW(INDIRECT("1:"&amp;LEN(G129)-7)))/(ISNUMBER(--MID(G129,ROW(INDIRECT("1:"&amp;LEN(G129)-7)),8))),1),8),"")</f>
        <v/>
      </c>
      <c r="V129" t="inlineStr">
        <is>
          <t>2025-09-30 20:00:00</t>
        </is>
      </c>
    </row>
    <row r="130" ht="30" customFormat="1" customHeight="1" s="45">
      <c r="A130" s="112" t="n"/>
      <c r="B130" s="112">
        <f>IF(OR(A130="x",A130="X"),"",IF(ISBLANK(A130),"X",""))</f>
        <v/>
      </c>
      <c r="C130" s="112">
        <f>IF(OR(TabellaA1[[#This Row],[LUN]]="X",TabellaA1[[#This Row],[MAR]]="X",TabellaA1[[#This Row],[MER]]="X",TabellaA1[[#This Row],[GIO]]="X",TabellaA1[[#This Row],[VEN]]="X",),"X","")</f>
        <v/>
      </c>
      <c r="D130" s="113" t="inlineStr">
        <is>
          <t>AREA 1</t>
        </is>
      </c>
      <c r="E130" s="109" t="inlineStr">
        <is>
          <t>516432/C</t>
        </is>
      </c>
      <c r="F130" s="109" t="n">
        <v>100</v>
      </c>
      <c r="G130" s="109" t="inlineStr">
        <is>
          <t>100T156I(INGRESSO BUTANO)RIPRISTINO FUNZIONALITA' TEMPERATURA POICHE' SPESSO VA IN BAD</t>
        </is>
      </c>
      <c r="H130" s="111" t="n"/>
      <c r="I130" s="111" t="n"/>
      <c r="J130" s="111" t="n"/>
      <c r="K130" s="111" t="n"/>
      <c r="L130" s="111" t="n"/>
      <c r="M130" s="109" t="inlineStr">
        <is>
          <t>DA CHIUDERE</t>
        </is>
      </c>
      <c r="N130" s="109" t="n"/>
      <c r="O130" s="113" t="n"/>
      <c r="P130" s="113" t="n"/>
      <c r="Q130" s="109" t="n"/>
      <c r="R130" s="110" t="n"/>
      <c r="S130" s="110" t="n"/>
      <c r="T130" s="112">
        <f>IF(AND('Inserimento dati'!$B$3=$H$2, TabellaA1[[#This Row],[LUN]]="X"), "X",IF(AND('Inserimento dati'!$B$3=$I$2, TabellaA1[[#This Row],[MAR]]="X"), "X", IF(AND('Inserimento dati'!$B$3=$J$2, TabellaA1[[#This Row],[MER]]="X"), "X",IF(AND('Inserimento dati'!$B$3=$K$2, TabellaA1[[#This Row],[GIO]]="X"), "X", IF(AND('Inserimento dati'!$B$3=$L$2, TabellaA1[[#This Row],[VEN]]="X"), "X","")))))</f>
        <v/>
      </c>
      <c r="U130" s="137">
        <f>IFERROR(MID(G130,_xlfn.AGGREGATE(15,6,(ROW(INDIRECT("1:"&amp;LEN(G130)-7)))/(ISNUMBER(--MID(G130,ROW(INDIRECT("1:"&amp;LEN(G130)-7)),8))),1),8),"")</f>
        <v/>
      </c>
      <c r="V130" t="inlineStr">
        <is>
          <t>2025-09-30 20:00:00</t>
        </is>
      </c>
    </row>
    <row r="131" ht="23.25" customFormat="1" customHeight="1" s="45">
      <c r="A131" s="112" t="n"/>
      <c r="B131" s="112">
        <f>IF(OR(A131="x",A131="X"),"",IF(ISBLANK(A131),"X",""))</f>
        <v/>
      </c>
      <c r="C131" s="112">
        <f>IF(OR(TabellaA1[[#This Row],[LUN]]="X",TabellaA1[[#This Row],[MAR]]="X",TabellaA1[[#This Row],[MER]]="X",TabellaA1[[#This Row],[GIO]]="X",TabellaA1[[#This Row],[VEN]]="X",),"X","")</f>
        <v/>
      </c>
      <c r="D131" s="113" t="inlineStr">
        <is>
          <t>AREA 1</t>
        </is>
      </c>
      <c r="E131" s="109" t="inlineStr">
        <is>
          <t>515096/C</t>
        </is>
      </c>
      <c r="F131" s="109" t="n">
        <v>100</v>
      </c>
      <c r="G131" s="109" t="inlineStr">
        <is>
          <t>L036HA(ALTO LIVELLO POT LINEA BILANCIO )</t>
        </is>
      </c>
      <c r="H131" s="111" t="n"/>
      <c r="I131" s="111" t="n"/>
      <c r="J131" s="111" t="n"/>
      <c r="K131" s="111" t="n"/>
      <c r="L131" s="111" t="n"/>
      <c r="M131" s="109" t="inlineStr">
        <is>
          <t>DA CHIUDERE</t>
        </is>
      </c>
      <c r="N131" s="109" t="n"/>
      <c r="O131" s="113" t="n"/>
      <c r="P131" s="113" t="n"/>
      <c r="Q131" s="109" t="n"/>
      <c r="R131" s="110" t="n"/>
      <c r="S131" s="110" t="n"/>
      <c r="T131" s="112">
        <f>IF(AND('Inserimento dati'!$B$3=$H$2, TabellaA1[[#This Row],[LUN]]="X"), "X",IF(AND('Inserimento dati'!$B$3=$I$2, TabellaA1[[#This Row],[MAR]]="X"), "X", IF(AND('Inserimento dati'!$B$3=$J$2, TabellaA1[[#This Row],[MER]]="X"), "X",IF(AND('Inserimento dati'!$B$3=$K$2, TabellaA1[[#This Row],[GIO]]="X"), "X", IF(AND('Inserimento dati'!$B$3=$L$2, TabellaA1[[#This Row],[VEN]]="X"), "X","")))))</f>
        <v/>
      </c>
      <c r="U131" s="137">
        <f>IFERROR(MID(G131,_xlfn.AGGREGATE(15,6,(ROW(INDIRECT("1:"&amp;LEN(G131)-7)))/(ISNUMBER(--MID(G131,ROW(INDIRECT("1:"&amp;LEN(G131)-7)),8))),1),8),"")</f>
        <v/>
      </c>
      <c r="V131" t="inlineStr">
        <is>
          <t>2025-09-30 20:00:00</t>
        </is>
      </c>
    </row>
    <row r="132" ht="23.25" customFormat="1" customHeight="1" s="45">
      <c r="A132" s="112" t="n"/>
      <c r="B132" s="112">
        <f>IF(OR(A132="x",A132="X"),"",IF(ISBLANK(A132),"X",""))</f>
        <v/>
      </c>
      <c r="C132" s="112">
        <f>IF(OR(TabellaA1[[#This Row],[LUN]]="X",TabellaA1[[#This Row],[MAR]]="X",TabellaA1[[#This Row],[MER]]="X",TabellaA1[[#This Row],[GIO]]="X",TabellaA1[[#This Row],[VEN]]="X",),"X","")</f>
        <v/>
      </c>
      <c r="D132" s="113" t="inlineStr">
        <is>
          <t>AREA 1</t>
        </is>
      </c>
      <c r="E132" s="109" t="inlineStr">
        <is>
          <t>515108/C</t>
        </is>
      </c>
      <c r="F132" s="109" t="n">
        <v>900</v>
      </c>
      <c r="G132" s="109" t="inlineStr">
        <is>
          <t>P105AL 105BL(TENUTA POMPA 105A P105B)</t>
        </is>
      </c>
      <c r="H132" s="111" t="n"/>
      <c r="I132" s="111" t="n"/>
      <c r="J132" s="111" t="n"/>
      <c r="K132" s="111" t="n"/>
      <c r="L132" s="111" t="n"/>
      <c r="M132" s="109" t="inlineStr">
        <is>
          <t>DA CHIUDERE</t>
        </is>
      </c>
      <c r="N132" s="109" t="n"/>
      <c r="O132" s="113" t="n"/>
      <c r="P132" s="113" t="n"/>
      <c r="Q132" s="109" t="n"/>
      <c r="R132" s="110" t="n"/>
      <c r="S132" s="110" t="n"/>
      <c r="T132" s="112">
        <f>IF(AND('Inserimento dati'!$B$3=$H$2, TabellaA1[[#This Row],[LUN]]="X"), "X",IF(AND('Inserimento dati'!$B$3=$I$2, TabellaA1[[#This Row],[MAR]]="X"), "X", IF(AND('Inserimento dati'!$B$3=$J$2, TabellaA1[[#This Row],[MER]]="X"), "X",IF(AND('Inserimento dati'!$B$3=$K$2, TabellaA1[[#This Row],[GIO]]="X"), "X", IF(AND('Inserimento dati'!$B$3=$L$2, TabellaA1[[#This Row],[VEN]]="X"), "X","")))))</f>
        <v/>
      </c>
      <c r="U132" s="137">
        <f>IFERROR(MID(G132,_xlfn.AGGREGATE(15,6,(ROW(INDIRECT("1:"&amp;LEN(G132)-7)))/(ISNUMBER(--MID(G132,ROW(INDIRECT("1:"&amp;LEN(G132)-7)),8))),1),8),"")</f>
        <v/>
      </c>
      <c r="V132" t="inlineStr">
        <is>
          <t>2025-09-30 20:00:00</t>
        </is>
      </c>
    </row>
    <row r="133" ht="23.25" customFormat="1" customHeight="1" s="45">
      <c r="A133" s="112" t="n"/>
      <c r="B133" s="112">
        <f>IF(OR(A133="x",A133="X"),"",IF(ISBLANK(A133),"X",""))</f>
        <v/>
      </c>
      <c r="C133" s="112">
        <f>IF(OR(TabellaA1[[#This Row],[LUN]]="X",TabellaA1[[#This Row],[MAR]]="X",TabellaA1[[#This Row],[MER]]="X",TabellaA1[[#This Row],[GIO]]="X",TabellaA1[[#This Row],[VEN]]="X",),"X","")</f>
        <v/>
      </c>
      <c r="D133" s="113" t="inlineStr">
        <is>
          <t>AREA 1</t>
        </is>
      </c>
      <c r="E133" s="109" t="inlineStr">
        <is>
          <t>515109/C</t>
        </is>
      </c>
      <c r="F133" s="109" t="n">
        <v>900</v>
      </c>
      <c r="G133" s="109" t="inlineStr">
        <is>
          <t>P102AL (TENUTA POMPA 102A)</t>
        </is>
      </c>
      <c r="H133" s="111" t="n"/>
      <c r="I133" s="111" t="n"/>
      <c r="J133" s="111" t="n"/>
      <c r="K133" s="111" t="n"/>
      <c r="L133" s="111" t="n"/>
      <c r="M133" s="109" t="inlineStr">
        <is>
          <t>DA CHIUDERE</t>
        </is>
      </c>
      <c r="N133" s="109" t="n"/>
      <c r="O133" s="113" t="n"/>
      <c r="P133" s="113" t="n"/>
      <c r="Q133" s="109" t="n"/>
      <c r="R133" s="110" t="n"/>
      <c r="S133" s="110" t="n"/>
      <c r="T133" s="112">
        <f>IF(AND('Inserimento dati'!$B$3=$H$2, TabellaA1[[#This Row],[LUN]]="X"), "X",IF(AND('Inserimento dati'!$B$3=$I$2, TabellaA1[[#This Row],[MAR]]="X"), "X", IF(AND('Inserimento dati'!$B$3=$J$2, TabellaA1[[#This Row],[MER]]="X"), "X",IF(AND('Inserimento dati'!$B$3=$K$2, TabellaA1[[#This Row],[GIO]]="X"), "X", IF(AND('Inserimento dati'!$B$3=$L$2, TabellaA1[[#This Row],[VEN]]="X"), "X","")))))</f>
        <v/>
      </c>
      <c r="U133" s="137">
        <f>IFERROR(MID(G133,_xlfn.AGGREGATE(15,6,(ROW(INDIRECT("1:"&amp;LEN(G133)-7)))/(ISNUMBER(--MID(G133,ROW(INDIRECT("1:"&amp;LEN(G133)-7)),8))),1),8),"")</f>
        <v/>
      </c>
      <c r="V133" t="inlineStr">
        <is>
          <t>2025-09-30 20:00:00</t>
        </is>
      </c>
    </row>
    <row r="134" ht="23.25" customFormat="1" customHeight="1" s="45">
      <c r="A134" s="112" t="n"/>
      <c r="B134" s="112">
        <f>IF(OR(A134="x",A134="X"),"",IF(ISBLANK(A134),"X",""))</f>
        <v/>
      </c>
      <c r="C134" s="112">
        <f>IF(OR(TabellaA1[[#This Row],[LUN]]="X",TabellaA1[[#This Row],[MAR]]="X",TabellaA1[[#This Row],[MER]]="X",TabellaA1[[#This Row],[GIO]]="X",TabellaA1[[#This Row],[VEN]]="X",),"X","")</f>
        <v/>
      </c>
      <c r="D134" s="113" t="inlineStr">
        <is>
          <t>AREA 1</t>
        </is>
      </c>
      <c r="E134" s="109" t="inlineStr">
        <is>
          <t>515111/C</t>
        </is>
      </c>
      <c r="F134" s="109" t="n">
        <v>900</v>
      </c>
      <c r="G134" s="109" t="inlineStr">
        <is>
          <t>L041LA L040LA(BASSO LIVELLO TENUTA POMPA P107A P107B)</t>
        </is>
      </c>
      <c r="H134" s="111" t="n"/>
      <c r="I134" s="111" t="n"/>
      <c r="J134" s="111" t="n"/>
      <c r="K134" s="111" t="n"/>
      <c r="L134" s="111" t="n"/>
      <c r="M134" s="109" t="inlineStr">
        <is>
          <t>DA CHIUDERE</t>
        </is>
      </c>
      <c r="N134" s="109" t="n"/>
      <c r="O134" s="113" t="n"/>
      <c r="P134" s="113" t="n"/>
      <c r="Q134" s="109" t="n"/>
      <c r="R134" s="110" t="n"/>
      <c r="S134" s="110" t="n"/>
      <c r="T134" s="112">
        <f>IF(AND('Inserimento dati'!$B$3=$H$2, TabellaA1[[#This Row],[LUN]]="X"), "X",IF(AND('Inserimento dati'!$B$3=$I$2, TabellaA1[[#This Row],[MAR]]="X"), "X", IF(AND('Inserimento dati'!$B$3=$J$2, TabellaA1[[#This Row],[MER]]="X"), "X",IF(AND('Inserimento dati'!$B$3=$K$2, TabellaA1[[#This Row],[GIO]]="X"), "X", IF(AND('Inserimento dati'!$B$3=$L$2, TabellaA1[[#This Row],[VEN]]="X"), "X","")))))</f>
        <v/>
      </c>
      <c r="U134" s="137">
        <f>IFERROR(MID(G134,_xlfn.AGGREGATE(15,6,(ROW(INDIRECT("1:"&amp;LEN(G134)-7)))/(ISNUMBER(--MID(G134,ROW(INDIRECT("1:"&amp;LEN(G134)-7)),8))),1),8),"")</f>
        <v/>
      </c>
      <c r="V134" t="inlineStr">
        <is>
          <t>2025-09-30 20:00:00</t>
        </is>
      </c>
    </row>
    <row r="135" ht="23.25" customFormat="1" customHeight="1" s="45">
      <c r="A135" s="112" t="n"/>
      <c r="B135" s="112">
        <f>IF(OR(A135="x",A135="X"),"",IF(ISBLANK(A135),"X",""))</f>
        <v/>
      </c>
      <c r="C135" s="112">
        <f>IF(OR(TabellaA1[[#This Row],[LUN]]="X",TabellaA1[[#This Row],[MAR]]="X",TabellaA1[[#This Row],[MER]]="X",TabellaA1[[#This Row],[GIO]]="X",TabellaA1[[#This Row],[VEN]]="X",),"X","")</f>
        <v/>
      </c>
      <c r="D135" s="113" t="inlineStr">
        <is>
          <t>AREA 1</t>
        </is>
      </c>
      <c r="E135" s="109" t="inlineStr">
        <is>
          <t>515112/C</t>
        </is>
      </c>
      <c r="F135" s="109" t="n">
        <v>900</v>
      </c>
      <c r="G135" s="109" t="inlineStr">
        <is>
          <t>L020RC (LIVELLO INTERFASE  D105B)</t>
        </is>
      </c>
      <c r="H135" s="111" t="n"/>
      <c r="I135" s="111" t="n"/>
      <c r="J135" s="111" t="n"/>
      <c r="K135" s="111" t="n"/>
      <c r="L135" s="111" t="n"/>
      <c r="M135" s="109" t="inlineStr">
        <is>
          <t>DA CHIUDERE</t>
        </is>
      </c>
      <c r="N135" s="109" t="n"/>
      <c r="O135" s="113" t="n"/>
      <c r="P135" s="113" t="n"/>
      <c r="Q135" s="109" t="n"/>
      <c r="R135" s="110" t="n"/>
      <c r="S135" s="110" t="n"/>
      <c r="T135" s="112">
        <f>IF(AND('Inserimento dati'!$B$3=$H$2, TabellaA1[[#This Row],[LUN]]="X"), "X",IF(AND('Inserimento dati'!$B$3=$I$2, TabellaA1[[#This Row],[MAR]]="X"), "X", IF(AND('Inserimento dati'!$B$3=$J$2, TabellaA1[[#This Row],[MER]]="X"), "X",IF(AND('Inserimento dati'!$B$3=$K$2, TabellaA1[[#This Row],[GIO]]="X"), "X", IF(AND('Inserimento dati'!$B$3=$L$2, TabellaA1[[#This Row],[VEN]]="X"), "X","")))))</f>
        <v/>
      </c>
      <c r="U135" s="137">
        <f>IFERROR(MID(G135,_xlfn.AGGREGATE(15,6,(ROW(INDIRECT("1:"&amp;LEN(G135)-7)))/(ISNUMBER(--MID(G135,ROW(INDIRECT("1:"&amp;LEN(G135)-7)),8))),1),8),"")</f>
        <v/>
      </c>
      <c r="V135" t="inlineStr">
        <is>
          <t>2025-09-30 20:00:00</t>
        </is>
      </c>
    </row>
    <row r="136" ht="23.25" customFormat="1" customHeight="1" s="45">
      <c r="A136" s="112" t="n"/>
      <c r="B136" s="112">
        <f>IF(OR(A136="x",A136="X"),"",IF(ISBLANK(A136),"X",""))</f>
        <v/>
      </c>
      <c r="C136" s="112">
        <f>IF(OR(TabellaA1[[#This Row],[LUN]]="X",TabellaA1[[#This Row],[MAR]]="X",TabellaA1[[#This Row],[MER]]="X",TabellaA1[[#This Row],[GIO]]="X",TabellaA1[[#This Row],[VEN]]="X",),"X","")</f>
        <v/>
      </c>
      <c r="D136" s="113" t="inlineStr">
        <is>
          <t>AREA 1</t>
        </is>
      </c>
      <c r="E136" s="109" t="inlineStr">
        <is>
          <t>515116/C</t>
        </is>
      </c>
      <c r="F136" s="109" t="n">
        <v>300</v>
      </c>
      <c r="G136" s="109" t="inlineStr">
        <is>
          <t>P218HA(USCITA SEPARATORE D102)</t>
        </is>
      </c>
      <c r="H136" s="111" t="n"/>
      <c r="I136" s="111" t="n"/>
      <c r="J136" s="111" t="n"/>
      <c r="K136" s="111" t="n"/>
      <c r="L136" s="111" t="n"/>
      <c r="M136" s="109" t="inlineStr">
        <is>
          <t>DA CHIUDERE</t>
        </is>
      </c>
      <c r="N136" s="109" t="n"/>
      <c r="O136" s="113" t="n"/>
      <c r="P136" s="113" t="n"/>
      <c r="Q136" s="109" t="n"/>
      <c r="R136" s="110" t="n"/>
      <c r="S136" s="110" t="n"/>
      <c r="T136" s="112">
        <f>IF(AND('Inserimento dati'!$B$3=$H$2, TabellaA1[[#This Row],[LUN]]="X"), "X",IF(AND('Inserimento dati'!$B$3=$I$2, TabellaA1[[#This Row],[MAR]]="X"), "X", IF(AND('Inserimento dati'!$B$3=$J$2, TabellaA1[[#This Row],[MER]]="X"), "X",IF(AND('Inserimento dati'!$B$3=$K$2, TabellaA1[[#This Row],[GIO]]="X"), "X", IF(AND('Inserimento dati'!$B$3=$L$2, TabellaA1[[#This Row],[VEN]]="X"), "X","")))))</f>
        <v/>
      </c>
      <c r="U136" s="137">
        <f>IFERROR(MID(G136,_xlfn.AGGREGATE(15,6,(ROW(INDIRECT("1:"&amp;LEN(G136)-7)))/(ISNUMBER(--MID(G136,ROW(INDIRECT("1:"&amp;LEN(G136)-7)),8))),1),8),"")</f>
        <v/>
      </c>
      <c r="V136" t="inlineStr">
        <is>
          <t>2025-09-30 20:00:00</t>
        </is>
      </c>
    </row>
    <row r="137" ht="23.25" customFormat="1" customHeight="1" s="45">
      <c r="A137" s="112" t="n"/>
      <c r="B137" s="112">
        <f>IF(OR(A137="x",A137="X"),"",IF(ISBLANK(A137),"X",""))</f>
        <v/>
      </c>
      <c r="C137" s="112">
        <f>IF(OR(TabellaA1[[#This Row],[LUN]]="X",TabellaA1[[#This Row],[MAR]]="X",TabellaA1[[#This Row],[MER]]="X",TabellaA1[[#This Row],[GIO]]="X",TabellaA1[[#This Row],[VEN]]="X",),"X","")</f>
        <v/>
      </c>
      <c r="D137" s="113" t="inlineStr">
        <is>
          <t>AREA 1</t>
        </is>
      </c>
      <c r="E137" s="109" t="inlineStr">
        <is>
          <t>517838/C</t>
        </is>
      </c>
      <c r="F137" s="109" t="n">
        <v>300</v>
      </c>
      <c r="G137" s="109" t="inlineStr">
        <is>
          <t>300T064RC(USCITA DSH-101)CONTROLLO E RIPRISTINO TEMPERATURA</t>
        </is>
      </c>
      <c r="H137" s="111" t="n"/>
      <c r="I137" s="111" t="n"/>
      <c r="J137" s="111" t="n"/>
      <c r="K137" s="111" t="n"/>
      <c r="L137" s="111" t="n"/>
      <c r="M137" s="109" t="inlineStr">
        <is>
          <t>DA CHIUDERE</t>
        </is>
      </c>
      <c r="N137" s="109" t="n"/>
      <c r="O137" s="113" t="n"/>
      <c r="P137" s="113" t="n"/>
      <c r="Q137" s="109" t="n"/>
      <c r="R137" s="110" t="n"/>
      <c r="S137" s="110" t="n"/>
      <c r="T137" s="112">
        <f>IF(AND('Inserimento dati'!$B$3=$H$2, TabellaA1[[#This Row],[LUN]]="X"), "X",IF(AND('Inserimento dati'!$B$3=$I$2, TabellaA1[[#This Row],[MAR]]="X"), "X", IF(AND('Inserimento dati'!$B$3=$J$2, TabellaA1[[#This Row],[MER]]="X"), "X",IF(AND('Inserimento dati'!$B$3=$K$2, TabellaA1[[#This Row],[GIO]]="X"), "X", IF(AND('Inserimento dati'!$B$3=$L$2, TabellaA1[[#This Row],[VEN]]="X"), "X","")))))</f>
        <v/>
      </c>
      <c r="U137" s="137">
        <f>IFERROR(MID(G137,_xlfn.AGGREGATE(15,6,(ROW(INDIRECT("1:"&amp;LEN(G137)-7)))/(ISNUMBER(--MID(G137,ROW(INDIRECT("1:"&amp;LEN(G137)-7)),8))),1),8),"")</f>
        <v/>
      </c>
      <c r="V137" t="inlineStr">
        <is>
          <t>2025-09-30 20:00:00</t>
        </is>
      </c>
    </row>
    <row r="138" ht="30" customFormat="1" customHeight="1" s="45">
      <c r="A138" s="112" t="n"/>
      <c r="B138" s="112">
        <f>IF(OR(A138="x",A138="X"),"",IF(ISBLANK(A138),"X",""))</f>
        <v/>
      </c>
      <c r="C138" s="112">
        <f>IF(OR(TabellaA1[[#This Row],[LUN]]="X",TabellaA1[[#This Row],[MAR]]="X",TabellaA1[[#This Row],[MER]]="X",TabellaA1[[#This Row],[GIO]]="X",TabellaA1[[#This Row],[VEN]]="X",),"X","")</f>
        <v/>
      </c>
      <c r="D138" s="113" t="inlineStr">
        <is>
          <t>AREA 1</t>
        </is>
      </c>
      <c r="E138" s="109" t="inlineStr">
        <is>
          <t>514822/C</t>
        </is>
      </c>
      <c r="F138" s="109" t="n">
        <v>100</v>
      </c>
      <c r="G138" s="109" t="inlineStr">
        <is>
          <t>302B - SONDA DI VIBRAZIONE 01V471I</t>
        </is>
      </c>
      <c r="H138" s="111" t="n"/>
      <c r="I138" s="111" t="n"/>
      <c r="J138" s="111" t="n"/>
      <c r="K138" s="111" t="n"/>
      <c r="L138" s="111" t="n"/>
      <c r="M138" s="109" t="inlineStr">
        <is>
          <t>DA CHIUDERE</t>
        </is>
      </c>
      <c r="N138" s="109" t="n"/>
      <c r="O138" s="113" t="n"/>
      <c r="P138" s="113" t="n"/>
      <c r="Q138" s="109" t="inlineStr">
        <is>
          <t>IN ATTESA DI RIMONTAGGIO POMPA P302A PER EFFETTUARE IL CONTROLLO</t>
        </is>
      </c>
      <c r="R138" s="110" t="n"/>
      <c r="S138" s="110" t="n"/>
      <c r="T138" s="112">
        <f>IF(AND('Inserimento dati'!$B$3=$H$2, TabellaA1[[#This Row],[LUN]]="X"), "X",IF(AND('Inserimento dati'!$B$3=$I$2, TabellaA1[[#This Row],[MAR]]="X"), "X", IF(AND('Inserimento dati'!$B$3=$J$2, TabellaA1[[#This Row],[MER]]="X"), "X",IF(AND('Inserimento dati'!$B$3=$K$2, TabellaA1[[#This Row],[GIO]]="X"), "X", IF(AND('Inserimento dati'!$B$3=$L$2, TabellaA1[[#This Row],[VEN]]="X"), "X","")))))</f>
        <v/>
      </c>
      <c r="U138" s="137">
        <f>IFERROR(MID(G138,_xlfn.AGGREGATE(15,6,(ROW(INDIRECT("1:"&amp;LEN(G138)-7)))/(ISNUMBER(--MID(G138,ROW(INDIRECT("1:"&amp;LEN(G138)-7)),8))),1),8),"")</f>
        <v/>
      </c>
      <c r="V138" t="inlineStr">
        <is>
          <t>2025-09-30 20:00:00</t>
        </is>
      </c>
    </row>
    <row r="139" ht="30" customFormat="1" customHeight="1" s="45">
      <c r="A139" s="112" t="n"/>
      <c r="B139" s="112">
        <f>IF(OR(A139="x",A139="X"),"",IF(ISBLANK(A139),"X",""))</f>
        <v/>
      </c>
      <c r="C139" s="112">
        <f>IF(OR(TabellaA1[[#This Row],[LUN]]="X",TabellaA1[[#This Row],[MAR]]="X",TabellaA1[[#This Row],[MER]]="X",TabellaA1[[#This Row],[GIO]]="X",TabellaA1[[#This Row],[VEN]]="X",),"X","")</f>
        <v/>
      </c>
      <c r="D139" s="113" t="inlineStr">
        <is>
          <t>AREA 1</t>
        </is>
      </c>
      <c r="E139" s="109" t="inlineStr">
        <is>
          <t>515095/C</t>
        </is>
      </c>
      <c r="F139" s="109" t="n">
        <v>100</v>
      </c>
      <c r="G139" s="109" t="inlineStr">
        <is>
          <t>L038HA(ALTO LIVELLO POT LINEA 1100)</t>
        </is>
      </c>
      <c r="H139" s="111" t="n"/>
      <c r="I139" s="111" t="n"/>
      <c r="J139" s="111" t="n"/>
      <c r="K139" s="111" t="n"/>
      <c r="L139" s="111" t="n"/>
      <c r="M139" s="109" t="inlineStr">
        <is>
          <t>DA CHIUDERE</t>
        </is>
      </c>
      <c r="N139" s="109" t="n"/>
      <c r="O139" s="113" t="n"/>
      <c r="P139" s="113" t="n"/>
      <c r="Q139" s="109" t="inlineStr">
        <is>
          <t>SERVE PONTEGGIO PER ACCEDERE AL LIVELLO</t>
        </is>
      </c>
      <c r="R139" s="110" t="n">
        <v>45602</v>
      </c>
      <c r="S139" s="110" t="inlineStr">
        <is>
          <t>TARASCIO/PARTESANO</t>
        </is>
      </c>
      <c r="T139" s="112">
        <f>IF(AND('Inserimento dati'!$B$3=$H$2, TabellaA1[[#This Row],[LUN]]="X"), "X",IF(AND('Inserimento dati'!$B$3=$I$2, TabellaA1[[#This Row],[MAR]]="X"), "X", IF(AND('Inserimento dati'!$B$3=$J$2, TabellaA1[[#This Row],[MER]]="X"), "X",IF(AND('Inserimento dati'!$B$3=$K$2, TabellaA1[[#This Row],[GIO]]="X"), "X", IF(AND('Inserimento dati'!$B$3=$L$2, TabellaA1[[#This Row],[VEN]]="X"), "X","")))))</f>
        <v/>
      </c>
      <c r="U139" s="137">
        <f>IFERROR(MID(G139,_xlfn.AGGREGATE(15,6,(ROW(INDIRECT("1:"&amp;LEN(G139)-7)))/(ISNUMBER(--MID(G139,ROW(INDIRECT("1:"&amp;LEN(G139)-7)),8))),1),8),"")</f>
        <v/>
      </c>
      <c r="V139" t="inlineStr">
        <is>
          <t>2025-09-30 20:00:00</t>
        </is>
      </c>
    </row>
    <row r="140" ht="30" customFormat="1" customHeight="1" s="45">
      <c r="A140" s="112" t="n"/>
      <c r="B140" s="112">
        <f>IF(OR(A140="x",A140="X"),"",IF(ISBLANK(A140),"X",""))</f>
        <v/>
      </c>
      <c r="C140" s="112">
        <f>IF(OR(TabellaA1[[#This Row],[LUN]]="X",TabellaA1[[#This Row],[MAR]]="X",TabellaA1[[#This Row],[MER]]="X",TabellaA1[[#This Row],[GIO]]="X",TabellaA1[[#This Row],[VEN]]="X",),"X","")</f>
        <v/>
      </c>
      <c r="D140" s="113" t="inlineStr">
        <is>
          <t>AREA 1</t>
        </is>
      </c>
      <c r="E140" s="109" t="inlineStr">
        <is>
          <t>518674/C</t>
        </is>
      </c>
      <c r="F140" s="109" t="n">
        <v>100</v>
      </c>
      <c r="G140" s="109" t="inlineStr">
        <is>
          <t>100F041R(KERO A U300)CONTROLLO E TARATURA STRUMENTO E CONTROLLO LOOP DI REGOLAZIONE CON RELATIVA VALVOLA</t>
        </is>
      </c>
      <c r="H140" s="111" t="n"/>
      <c r="I140" s="111" t="n"/>
      <c r="J140" s="111" t="n"/>
      <c r="K140" s="111" t="n"/>
      <c r="L140" s="111" t="n"/>
      <c r="M140" s="109" t="inlineStr">
        <is>
          <t>DA CHIUDERE</t>
        </is>
      </c>
      <c r="N140" s="109" t="n"/>
      <c r="O140" s="113" t="n"/>
      <c r="P140" s="113" t="n"/>
      <c r="Q140" s="109" t="n"/>
      <c r="R140" s="110" t="n">
        <v>45629</v>
      </c>
      <c r="S140" s="110" t="inlineStr">
        <is>
          <t>SPINALI</t>
        </is>
      </c>
      <c r="T140" s="112">
        <f>IF(AND('Inserimento dati'!$B$3=$H$2, TabellaA1[[#This Row],[LUN]]="X"), "X",IF(AND('Inserimento dati'!$B$3=$I$2, TabellaA1[[#This Row],[MAR]]="X"), "X", IF(AND('Inserimento dati'!$B$3=$J$2, TabellaA1[[#This Row],[MER]]="X"), "X",IF(AND('Inserimento dati'!$B$3=$K$2, TabellaA1[[#This Row],[GIO]]="X"), "X", IF(AND('Inserimento dati'!$B$3=$L$2, TabellaA1[[#This Row],[VEN]]="X"), "X","")))))</f>
        <v/>
      </c>
      <c r="U140" s="137">
        <f>IFERROR(MID(G140,_xlfn.AGGREGATE(15,6,(ROW(INDIRECT("1:"&amp;LEN(G140)-7)))/(ISNUMBER(--MID(G140,ROW(INDIRECT("1:"&amp;LEN(G140)-7)),8))),1),8),"")</f>
        <v/>
      </c>
      <c r="V140" t="inlineStr">
        <is>
          <t>2025-09-30 20:00:00</t>
        </is>
      </c>
    </row>
    <row r="141" ht="30" customFormat="1" customHeight="1" s="45">
      <c r="A141" s="112" t="n"/>
      <c r="B141" s="112">
        <f>IF(OR(A141="x",A141="X"),"",IF(ISBLANK(A141),"X",""))</f>
        <v/>
      </c>
      <c r="C141" s="112">
        <f>IF(OR(TabellaA1[[#This Row],[LUN]]="X",TabellaA1[[#This Row],[MAR]]="X",TabellaA1[[#This Row],[MER]]="X",TabellaA1[[#This Row],[GIO]]="X",TabellaA1[[#This Row],[VEN]]="X",),"X","")</f>
        <v/>
      </c>
      <c r="D141" s="113" t="inlineStr">
        <is>
          <t>AREA 1</t>
        </is>
      </c>
      <c r="E141" s="109" t="inlineStr">
        <is>
          <t>518009/C</t>
        </is>
      </c>
      <c r="F141" s="109" t="n">
        <v>300</v>
      </c>
      <c r="G141" s="109" t="inlineStr">
        <is>
          <t>300F150R CONTROLLO E RIPRISTINO FUNZIONALITA' PORTATA VAPORE</t>
        </is>
      </c>
      <c r="H141" s="111" t="n"/>
      <c r="I141" s="111" t="n"/>
      <c r="J141" s="111" t="n"/>
      <c r="K141" s="111" t="n"/>
      <c r="L141" s="111" t="n"/>
      <c r="M141" s="109" t="inlineStr">
        <is>
          <t>DA CHIUDERE</t>
        </is>
      </c>
      <c r="N141" s="109" t="n"/>
      <c r="O141" s="113" t="n"/>
      <c r="P141" s="113" t="n"/>
      <c r="Q141" s="109" t="n"/>
      <c r="R141" s="110" t="n">
        <v>45622</v>
      </c>
      <c r="S141" s="110" t="inlineStr">
        <is>
          <t>SPINALI/PUGLIARES</t>
        </is>
      </c>
      <c r="T141" s="112">
        <f>IF(AND('Inserimento dati'!$B$3=$H$2, TabellaA1[[#This Row],[LUN]]="X"), "X",IF(AND('Inserimento dati'!$B$3=$I$2, TabellaA1[[#This Row],[MAR]]="X"), "X", IF(AND('Inserimento dati'!$B$3=$J$2, TabellaA1[[#This Row],[MER]]="X"), "X",IF(AND('Inserimento dati'!$B$3=$K$2, TabellaA1[[#This Row],[GIO]]="X"), "X", IF(AND('Inserimento dati'!$B$3=$L$2, TabellaA1[[#This Row],[VEN]]="X"), "X","")))))</f>
        <v/>
      </c>
      <c r="U141" s="137">
        <f>IFERROR(MID(G141,_xlfn.AGGREGATE(15,6,(ROW(INDIRECT("1:"&amp;LEN(G141)-7)))/(ISNUMBER(--MID(G141,ROW(INDIRECT("1:"&amp;LEN(G141)-7)),8))),1),8),"")</f>
        <v/>
      </c>
      <c r="V141" t="inlineStr">
        <is>
          <t>2025-09-30 20:00:00</t>
        </is>
      </c>
    </row>
    <row r="142" ht="30" customFormat="1" customHeight="1" s="45">
      <c r="A142" s="112" t="n"/>
      <c r="B142" s="112">
        <f>IF(OR(A142="x",A142="X"),"",IF(ISBLANK(A142),"X",""))</f>
        <v/>
      </c>
      <c r="C142" s="112">
        <f>IF(OR(TabellaA1[[#This Row],[LUN]]="X",TabellaA1[[#This Row],[MAR]]="X",TabellaA1[[#This Row],[MER]]="X",TabellaA1[[#This Row],[GIO]]="X",TabellaA1[[#This Row],[VEN]]="X",),"X","")</f>
        <v/>
      </c>
      <c r="D142" s="113" t="inlineStr">
        <is>
          <t>AREA 1</t>
        </is>
      </c>
      <c r="E142" s="109" t="inlineStr">
        <is>
          <t>518003/C</t>
        </is>
      </c>
      <c r="F142" s="109" t="n">
        <v>100</v>
      </c>
      <c r="G142" s="109" t="inlineStr">
        <is>
          <t>100P102RCA CONTROLLO E RIPRISTINO FUNZIONALITA' ALLARME CUMULATIVO</t>
        </is>
      </c>
      <c r="H142" s="111" t="n"/>
      <c r="I142" s="111" t="n"/>
      <c r="J142" s="111" t="n"/>
      <c r="K142" s="111" t="n"/>
      <c r="L142" s="111" t="n"/>
      <c r="M142" s="109" t="inlineStr">
        <is>
          <t>DA CHIUDERE</t>
        </is>
      </c>
      <c r="N142" s="109" t="n"/>
      <c r="O142" s="113" t="n"/>
      <c r="P142" s="113" t="n"/>
      <c r="Q142" s="109" t="n"/>
      <c r="R142" s="110" t="n"/>
      <c r="S142" s="110" t="inlineStr">
        <is>
          <t>SPINALI/PUGLIARES</t>
        </is>
      </c>
      <c r="T142" s="112">
        <f>IF(AND('Inserimento dati'!$B$3=$H$2, TabellaA1[[#This Row],[LUN]]="X"), "X",IF(AND('Inserimento dati'!$B$3=$I$2, TabellaA1[[#This Row],[MAR]]="X"), "X", IF(AND('Inserimento dati'!$B$3=$J$2, TabellaA1[[#This Row],[MER]]="X"), "X",IF(AND('Inserimento dati'!$B$3=$K$2, TabellaA1[[#This Row],[GIO]]="X"), "X", IF(AND('Inserimento dati'!$B$3=$L$2, TabellaA1[[#This Row],[VEN]]="X"), "X","")))))</f>
        <v/>
      </c>
      <c r="U142" s="137">
        <f>IFERROR(MID(G142,_xlfn.AGGREGATE(15,6,(ROW(INDIRECT("1:"&amp;LEN(G142)-7)))/(ISNUMBER(--MID(G142,ROW(INDIRECT("1:"&amp;LEN(G142)-7)),8))),1),8),"")</f>
        <v/>
      </c>
      <c r="V142" t="inlineStr">
        <is>
          <t>2025-09-30 20:00:00</t>
        </is>
      </c>
    </row>
    <row r="143" ht="30" customFormat="1" customHeight="1" s="45">
      <c r="A143" s="112" t="n"/>
      <c r="B143" s="112">
        <f>IF(OR(A143="x",A143="X"),"",IF(ISBLANK(A143),"X",""))</f>
        <v/>
      </c>
      <c r="C143" s="112">
        <f>IF(OR(TabellaA1[[#This Row],[LUN]]="X",TabellaA1[[#This Row],[MAR]]="X",TabellaA1[[#This Row],[MER]]="X",TabellaA1[[#This Row],[GIO]]="X",TabellaA1[[#This Row],[VEN]]="X",),"X","")</f>
        <v/>
      </c>
      <c r="D143" s="113" t="inlineStr">
        <is>
          <t>AREA 1</t>
        </is>
      </c>
      <c r="E143" s="109" t="inlineStr">
        <is>
          <t>518006/C</t>
        </is>
      </c>
      <c r="F143" s="109" t="n">
        <v>100</v>
      </c>
      <c r="G143" s="109" t="inlineStr">
        <is>
          <t>100P101BRA CONTROLLO E RIPRISTINO FUNZIONALITA' ALLARME CUMULATIVO</t>
        </is>
      </c>
      <c r="H143" s="111" t="n"/>
      <c r="I143" s="111" t="n"/>
      <c r="J143" s="111" t="n"/>
      <c r="K143" s="111" t="n"/>
      <c r="L143" s="111" t="n"/>
      <c r="M143" s="109" t="inlineStr">
        <is>
          <t>DA CHIUDERE</t>
        </is>
      </c>
      <c r="N143" s="109" t="n"/>
      <c r="O143" s="113" t="n"/>
      <c r="P143" s="113" t="n"/>
      <c r="Q143" s="109" t="n"/>
      <c r="R143" s="110" t="n"/>
      <c r="S143" s="110" t="inlineStr">
        <is>
          <t>SPINALI/PUGLIARES</t>
        </is>
      </c>
      <c r="T143" s="112">
        <f>IF(AND('Inserimento dati'!$B$3=$H$2, TabellaA1[[#This Row],[LUN]]="X"), "X",IF(AND('Inserimento dati'!$B$3=$I$2, TabellaA1[[#This Row],[MAR]]="X"), "X", IF(AND('Inserimento dati'!$B$3=$J$2, TabellaA1[[#This Row],[MER]]="X"), "X",IF(AND('Inserimento dati'!$B$3=$K$2, TabellaA1[[#This Row],[GIO]]="X"), "X", IF(AND('Inserimento dati'!$B$3=$L$2, TabellaA1[[#This Row],[VEN]]="X"), "X","")))))</f>
        <v/>
      </c>
      <c r="U143" s="137">
        <f>IFERROR(MID(G143,_xlfn.AGGREGATE(15,6,(ROW(INDIRECT("1:"&amp;LEN(G143)-7)))/(ISNUMBER(--MID(G143,ROW(INDIRECT("1:"&amp;LEN(G143)-7)),8))),1),8),"")</f>
        <v/>
      </c>
      <c r="V143" t="inlineStr">
        <is>
          <t>2025-09-30 20:00:00</t>
        </is>
      </c>
    </row>
    <row r="144" ht="23.25" customFormat="1" customHeight="1" s="45">
      <c r="A144" s="112" t="n"/>
      <c r="B144" s="112">
        <f>IF(OR(A144="x",A144="X"),"",IF(ISBLANK(A144),"X",""))</f>
        <v/>
      </c>
      <c r="C144" s="112">
        <f>IF(OR(TabellaA1[[#This Row],[LUN]]="X",TabellaA1[[#This Row],[MAR]]="X",TabellaA1[[#This Row],[MER]]="X",TabellaA1[[#This Row],[GIO]]="X",TabellaA1[[#This Row],[VEN]]="X",),"X","")</f>
        <v/>
      </c>
      <c r="D144" s="113" t="inlineStr">
        <is>
          <t>AREA 1</t>
        </is>
      </c>
      <c r="E144" s="109" t="inlineStr">
        <is>
          <t>518185/C</t>
        </is>
      </c>
      <c r="F144" s="109" t="n">
        <v>200</v>
      </c>
      <c r="G144" s="109" t="inlineStr">
        <is>
          <t>200F041CO(MEA A T103)CONTROLLO E RIPRISTINO FUNZIONALITA'</t>
        </is>
      </c>
      <c r="H144" s="111" t="n"/>
      <c r="I144" s="111" t="n"/>
      <c r="J144" s="111" t="n"/>
      <c r="K144" s="111" t="n"/>
      <c r="L144" s="111" t="n"/>
      <c r="M144" s="109" t="inlineStr">
        <is>
          <t>DA CHIUDERE</t>
        </is>
      </c>
      <c r="N144" s="109" t="n"/>
      <c r="O144" s="113" t="n"/>
      <c r="P144" s="113" t="n"/>
      <c r="Q144" s="109" t="inlineStr">
        <is>
          <t>il problema è sulla valvola</t>
        </is>
      </c>
      <c r="R144" s="110" t="n"/>
      <c r="S144" s="110" t="n"/>
      <c r="T144" s="112">
        <f>IF(AND('Inserimento dati'!$B$3=$H$2, TabellaA1[[#This Row],[LUN]]="X"), "X",IF(AND('Inserimento dati'!$B$3=$I$2, TabellaA1[[#This Row],[MAR]]="X"), "X", IF(AND('Inserimento dati'!$B$3=$J$2, TabellaA1[[#This Row],[MER]]="X"), "X",IF(AND('Inserimento dati'!$B$3=$K$2, TabellaA1[[#This Row],[GIO]]="X"), "X", IF(AND('Inserimento dati'!$B$3=$L$2, TabellaA1[[#This Row],[VEN]]="X"), "X","")))))</f>
        <v/>
      </c>
      <c r="U144" s="137">
        <f>IFERROR(MID(G144,_xlfn.AGGREGATE(15,6,(ROW(INDIRECT("1:"&amp;LEN(G144)-7)))/(ISNUMBER(--MID(G144,ROW(INDIRECT("1:"&amp;LEN(G144)-7)),8))),1),8),"")</f>
        <v/>
      </c>
      <c r="V144" t="inlineStr">
        <is>
          <t>2025-09-30 20:00:00</t>
        </is>
      </c>
    </row>
    <row r="145" ht="30" customFormat="1" customHeight="1" s="45">
      <c r="A145" s="112" t="n"/>
      <c r="B145" s="112">
        <f>IF(OR(A145="x",A145="X"),"",IF(ISBLANK(A145),"X",""))</f>
        <v/>
      </c>
      <c r="C145" s="112">
        <f>IF(OR(TabellaA1[[#This Row],[LUN]]="X",TabellaA1[[#This Row],[MAR]]="X",TabellaA1[[#This Row],[MER]]="X",TabellaA1[[#This Row],[GIO]]="X",TabellaA1[[#This Row],[VEN]]="X",),"X","")</f>
        <v/>
      </c>
      <c r="D145" s="113" t="inlineStr">
        <is>
          <t>AREA 1</t>
        </is>
      </c>
      <c r="E145" s="109" t="inlineStr">
        <is>
          <t>516709/C</t>
        </is>
      </c>
      <c r="F145" s="109" t="n">
        <v>400</v>
      </c>
      <c r="G145" s="109" t="inlineStr">
        <is>
          <t>400V852I(SONDA DI VIBRAZIONE P401A CUSCINETTO)CONTROLLO  ERIPRISTINO FUNZIONALITA'.METTERE IL MOS PRIMA DI INIZIARE ATTIVITA'</t>
        </is>
      </c>
      <c r="H145" s="111" t="n"/>
      <c r="I145" s="111" t="n"/>
      <c r="J145" s="111" t="n"/>
      <c r="K145" s="111" t="n"/>
      <c r="L145" s="111" t="n"/>
      <c r="M145" s="109" t="inlineStr">
        <is>
          <t>DA CHIUDERE</t>
        </is>
      </c>
      <c r="N145" s="109" t="n"/>
      <c r="O145" s="113" t="n"/>
      <c r="P145" s="113" t="n"/>
      <c r="Q145" s="109" t="n"/>
      <c r="R145" s="110" t="n"/>
      <c r="S145" s="110" t="n"/>
      <c r="T145" s="112">
        <f>IF(AND('Inserimento dati'!$B$3=$H$2, TabellaA1[[#This Row],[LUN]]="X"), "X",IF(AND('Inserimento dati'!$B$3=$I$2, TabellaA1[[#This Row],[MAR]]="X"), "X", IF(AND('Inserimento dati'!$B$3=$J$2, TabellaA1[[#This Row],[MER]]="X"), "X",IF(AND('Inserimento dati'!$B$3=$K$2, TabellaA1[[#This Row],[GIO]]="X"), "X", IF(AND('Inserimento dati'!$B$3=$L$2, TabellaA1[[#This Row],[VEN]]="X"), "X","")))))</f>
        <v/>
      </c>
      <c r="U145" s="137">
        <f>IFERROR(MID(G145,_xlfn.AGGREGATE(15,6,(ROW(INDIRECT("1:"&amp;LEN(G145)-7)))/(ISNUMBER(--MID(G145,ROW(INDIRECT("1:"&amp;LEN(G145)-7)),8))),1),8),"")</f>
        <v/>
      </c>
      <c r="V145" t="inlineStr">
        <is>
          <t>2025-09-30 20:00:00</t>
        </is>
      </c>
    </row>
    <row r="146" ht="30" customFormat="1" customHeight="1" s="45">
      <c r="A146" s="112" t="n"/>
      <c r="B146" s="112">
        <f>IF(OR(A146="x",A146="X"),"",IF(ISBLANK(A146),"X",""))</f>
        <v/>
      </c>
      <c r="C146" s="112">
        <f>IF(OR(TabellaA1[[#This Row],[LUN]]="X",TabellaA1[[#This Row],[MAR]]="X",TabellaA1[[#This Row],[MER]]="X",TabellaA1[[#This Row],[GIO]]="X",TabellaA1[[#This Row],[VEN]]="X",),"X","")</f>
        <v/>
      </c>
      <c r="D146" s="113" t="inlineStr">
        <is>
          <t>AREA 1</t>
        </is>
      </c>
      <c r="E146" s="109" t="inlineStr">
        <is>
          <t>517138/C</t>
        </is>
      </c>
      <c r="F146" s="109" t="n">
        <v>400</v>
      </c>
      <c r="G146" s="109" t="inlineStr">
        <is>
          <t>400F611R(H2O LAV. E105)CONTROLLO E RIPRISTINO FUNZIONALITA'.METTERE IL MOS PRIMA DI INIZIARE ATTIVITA'</t>
        </is>
      </c>
      <c r="H146" s="111" t="n"/>
      <c r="I146" s="111" t="n"/>
      <c r="J146" s="111" t="n"/>
      <c r="K146" s="111" t="n"/>
      <c r="L146" s="111" t="n"/>
      <c r="M146" s="109" t="inlineStr">
        <is>
          <t>DA CHIUDERE</t>
        </is>
      </c>
      <c r="N146" s="109" t="n"/>
      <c r="O146" s="113" t="n"/>
      <c r="P146" s="113" t="n"/>
      <c r="Q146" s="109" t="n"/>
      <c r="R146" s="110" t="n">
        <v>45615</v>
      </c>
      <c r="S146" s="110" t="inlineStr">
        <is>
          <t>SPINALI/PUGLIARES</t>
        </is>
      </c>
      <c r="T146" s="112">
        <f>IF(AND('Inserimento dati'!$B$3=$H$2, TabellaA1[[#This Row],[LUN]]="X"), "X",IF(AND('Inserimento dati'!$B$3=$I$2, TabellaA1[[#This Row],[MAR]]="X"), "X", IF(AND('Inserimento dati'!$B$3=$J$2, TabellaA1[[#This Row],[MER]]="X"), "X",IF(AND('Inserimento dati'!$B$3=$K$2, TabellaA1[[#This Row],[GIO]]="X"), "X", IF(AND('Inserimento dati'!$B$3=$L$2, TabellaA1[[#This Row],[VEN]]="X"), "X","")))))</f>
        <v/>
      </c>
      <c r="U146" s="137">
        <f>IFERROR(MID(G146,_xlfn.AGGREGATE(15,6,(ROW(INDIRECT("1:"&amp;LEN(G146)-7)))/(ISNUMBER(--MID(G146,ROW(INDIRECT("1:"&amp;LEN(G146)-7)),8))),1),8),"")</f>
        <v/>
      </c>
      <c r="V146" t="inlineStr">
        <is>
          <t>2025-09-30 20:00:00</t>
        </is>
      </c>
    </row>
    <row r="147" ht="23.25" customFormat="1" customHeight="1" s="45">
      <c r="A147" s="112" t="n"/>
      <c r="B147" s="112">
        <f>IF(OR(A147="x",A147="X"),"",IF(ISBLANK(A147),"X",""))</f>
        <v/>
      </c>
      <c r="C147" s="112">
        <f>IF(OR(TabellaA1[[#This Row],[LUN]]="X",TabellaA1[[#This Row],[MAR]]="X",TabellaA1[[#This Row],[MER]]="X",TabellaA1[[#This Row],[GIO]]="X",TabellaA1[[#This Row],[VEN]]="X",),"X","")</f>
        <v/>
      </c>
      <c r="D147" s="113" t="inlineStr">
        <is>
          <t>AREA 1</t>
        </is>
      </c>
      <c r="E147" s="109" t="inlineStr">
        <is>
          <t>517136/C</t>
        </is>
      </c>
      <c r="F147" s="109" t="n">
        <v>300</v>
      </c>
      <c r="G147" s="109" t="inlineStr">
        <is>
          <t>300F016RC(TREAT GAS A U400)CONTROLLO E TARATURA STRUMENTO</t>
        </is>
      </c>
      <c r="H147" s="111" t="n"/>
      <c r="I147" s="111" t="n"/>
      <c r="J147" s="111" t="n"/>
      <c r="K147" s="111" t="n"/>
      <c r="L147" s="111" t="n"/>
      <c r="M147" s="109" t="inlineStr">
        <is>
          <t>DA CHIUDERE</t>
        </is>
      </c>
      <c r="N147" s="109" t="n"/>
      <c r="O147" s="113" t="n"/>
      <c r="P147" s="113" t="n"/>
      <c r="Q147" s="109" t="n"/>
      <c r="R147" s="110" t="n"/>
      <c r="S147" s="110" t="n"/>
      <c r="T147" s="112">
        <f>IF(AND('Inserimento dati'!$B$3=$H$2, TabellaA1[[#This Row],[LUN]]="X"), "X",IF(AND('Inserimento dati'!$B$3=$I$2, TabellaA1[[#This Row],[MAR]]="X"), "X", IF(AND('Inserimento dati'!$B$3=$J$2, TabellaA1[[#This Row],[MER]]="X"), "X",IF(AND('Inserimento dati'!$B$3=$K$2, TabellaA1[[#This Row],[GIO]]="X"), "X", IF(AND('Inserimento dati'!$B$3=$L$2, TabellaA1[[#This Row],[VEN]]="X"), "X","")))))</f>
        <v/>
      </c>
      <c r="U147" s="137">
        <f>IFERROR(MID(G147,_xlfn.AGGREGATE(15,6,(ROW(INDIRECT("1:"&amp;LEN(G147)-7)))/(ISNUMBER(--MID(G147,ROW(INDIRECT("1:"&amp;LEN(G147)-7)),8))),1),8),"")</f>
        <v/>
      </c>
      <c r="V147" t="inlineStr">
        <is>
          <t>2025-09-30 20:00:00</t>
        </is>
      </c>
    </row>
    <row r="148" ht="30" customFormat="1" customHeight="1" s="45">
      <c r="A148" s="112" t="n"/>
      <c r="B148" s="112">
        <f>IF(OR(A148="x",A148="X"),"",IF(ISBLANK(A148),"X",""))</f>
        <v/>
      </c>
      <c r="C148" s="112">
        <f>IF(OR(TabellaA1[[#This Row],[LUN]]="X",TabellaA1[[#This Row],[MAR]]="X",TabellaA1[[#This Row],[MER]]="X",TabellaA1[[#This Row],[GIO]]="X",TabellaA1[[#This Row],[VEN]]="X",),"X","")</f>
        <v/>
      </c>
      <c r="D148" s="113" t="inlineStr">
        <is>
          <t>AREA 1</t>
        </is>
      </c>
      <c r="E148" s="109" t="inlineStr">
        <is>
          <t>515105/C</t>
        </is>
      </c>
      <c r="F148" s="109" t="n">
        <v>900</v>
      </c>
      <c r="G148" s="109" t="inlineStr">
        <is>
          <t>P106AL 106BL(TENUTA POMPA 106A P106B)</t>
        </is>
      </c>
      <c r="H148" s="111" t="n"/>
      <c r="I148" s="111" t="n"/>
      <c r="J148" s="111" t="n"/>
      <c r="K148" s="111" t="n"/>
      <c r="L148" s="111" t="n"/>
      <c r="M148" s="109" t="inlineStr">
        <is>
          <t>DA CHIUDERE</t>
        </is>
      </c>
      <c r="N148" s="109" t="n"/>
      <c r="O148" s="113" t="n"/>
      <c r="P148" s="113" t="n"/>
      <c r="Q148" s="109" t="inlineStr">
        <is>
          <t>LAVORO IN CORSO</t>
        </is>
      </c>
      <c r="R148" s="110" t="n">
        <v>45609</v>
      </c>
      <c r="S148" s="110" t="inlineStr">
        <is>
          <t>SPINALI/PUGLIARES</t>
        </is>
      </c>
      <c r="T148" s="112">
        <f>IF(AND('Inserimento dati'!$B$3=$H$2, TabellaA1[[#This Row],[LUN]]="X"), "X",IF(AND('Inserimento dati'!$B$3=$I$2, TabellaA1[[#This Row],[MAR]]="X"), "X", IF(AND('Inserimento dati'!$B$3=$J$2, TabellaA1[[#This Row],[MER]]="X"), "X",IF(AND('Inserimento dati'!$B$3=$K$2, TabellaA1[[#This Row],[GIO]]="X"), "X", IF(AND('Inserimento dati'!$B$3=$L$2, TabellaA1[[#This Row],[VEN]]="X"), "X","")))))</f>
        <v/>
      </c>
      <c r="U148" s="137">
        <f>IFERROR(MID(G148,_xlfn.AGGREGATE(15,6,(ROW(INDIRECT("1:"&amp;LEN(G148)-7)))/(ISNUMBER(--MID(G148,ROW(INDIRECT("1:"&amp;LEN(G148)-7)),8))),1),8),"")</f>
        <v/>
      </c>
      <c r="V148" t="inlineStr">
        <is>
          <t>2025-09-30 20:00:00</t>
        </is>
      </c>
    </row>
    <row r="149" ht="30" customFormat="1" customHeight="1" s="45">
      <c r="A149" s="112" t="n"/>
      <c r="B149" s="112">
        <f>IF(OR(A149="x",A149="X"),"",IF(ISBLANK(A149),"X",""))</f>
        <v/>
      </c>
      <c r="C149" s="112">
        <f>IF(OR(TabellaA1[[#This Row],[LUN]]="X",TabellaA1[[#This Row],[MAR]]="X",TabellaA1[[#This Row],[MER]]="X",TabellaA1[[#This Row],[GIO]]="X",TabellaA1[[#This Row],[VEN]]="X",),"X","")</f>
        <v/>
      </c>
      <c r="D149" s="113" t="inlineStr">
        <is>
          <t>AREA 1</t>
        </is>
      </c>
      <c r="E149" s="109" t="inlineStr">
        <is>
          <t>515090/C</t>
        </is>
      </c>
      <c r="F149" s="109" t="n">
        <v>200</v>
      </c>
      <c r="G149" s="109" t="inlineStr">
        <is>
          <t>P102BL (POMPE P102B) RIPRISTINO STRUM. TENUTA</t>
        </is>
      </c>
      <c r="H149" s="111" t="n"/>
      <c r="I149" s="111" t="n"/>
      <c r="J149" s="111" t="n"/>
      <c r="K149" s="111" t="n"/>
      <c r="L149" s="111" t="n"/>
      <c r="M149" s="109" t="inlineStr">
        <is>
          <t>DA CHIUDERE</t>
        </is>
      </c>
      <c r="N149" s="109" t="n"/>
      <c r="O149" s="113" t="n"/>
      <c r="P149" s="113" t="n"/>
      <c r="Q149" s="109" t="inlineStr">
        <is>
          <t>DA CHIUDERE, OK</t>
        </is>
      </c>
      <c r="R149" s="110" t="n">
        <v>45600</v>
      </c>
      <c r="S149" s="110" t="inlineStr">
        <is>
          <t>SPINALI/PUGLIARES</t>
        </is>
      </c>
      <c r="T149" s="112">
        <f>IF(AND('Inserimento dati'!$B$3=$H$2, TabellaA1[[#This Row],[LUN]]="X"), "X",IF(AND('Inserimento dati'!$B$3=$I$2, TabellaA1[[#This Row],[MAR]]="X"), "X", IF(AND('Inserimento dati'!$B$3=$J$2, TabellaA1[[#This Row],[MER]]="X"), "X",IF(AND('Inserimento dati'!$B$3=$K$2, TabellaA1[[#This Row],[GIO]]="X"), "X", IF(AND('Inserimento dati'!$B$3=$L$2, TabellaA1[[#This Row],[VEN]]="X"), "X","")))))</f>
        <v/>
      </c>
      <c r="U149" s="137">
        <f>IFERROR(MID(G149,_xlfn.AGGREGATE(15,6,(ROW(INDIRECT("1:"&amp;LEN(G149)-7)))/(ISNUMBER(--MID(G149,ROW(INDIRECT("1:"&amp;LEN(G149)-7)),8))),1),8),"")</f>
        <v/>
      </c>
      <c r="V149" t="inlineStr">
        <is>
          <t>2025-09-30 20:00:00</t>
        </is>
      </c>
    </row>
    <row r="150" ht="30" customFormat="1" customHeight="1" s="45">
      <c r="A150" s="112" t="n"/>
      <c r="B150" s="112">
        <f>IF(OR(A150="x",A150="X"),"",IF(ISBLANK(A150),"X",""))</f>
        <v/>
      </c>
      <c r="C150" s="112">
        <f>IF(OR(TabellaA1[[#This Row],[LUN]]="X",TabellaA1[[#This Row],[MAR]]="X",TabellaA1[[#This Row],[MER]]="X",TabellaA1[[#This Row],[GIO]]="X",TabellaA1[[#This Row],[VEN]]="X",),"X","")</f>
        <v/>
      </c>
      <c r="D150" s="113" t="inlineStr">
        <is>
          <t>AREA 1</t>
        </is>
      </c>
      <c r="E150" s="109" t="inlineStr">
        <is>
          <t>515083/C</t>
        </is>
      </c>
      <c r="F150" s="109" t="n">
        <v>200</v>
      </c>
      <c r="G150" s="109" t="inlineStr">
        <is>
          <t>P101AL P101BL (POMPE P101A P101B)RIPR. STRUM. TENUTA</t>
        </is>
      </c>
      <c r="H150" s="111" t="n"/>
      <c r="I150" s="111" t="n"/>
      <c r="J150" s="111" t="n"/>
      <c r="K150" s="111" t="n"/>
      <c r="L150" s="111" t="n"/>
      <c r="M150" s="109" t="inlineStr">
        <is>
          <t>DA CHIUDERE</t>
        </is>
      </c>
      <c r="N150" s="109" t="n"/>
      <c r="O150" s="113" t="n"/>
      <c r="P150" s="113" t="n"/>
      <c r="Q150" s="109" t="inlineStr">
        <is>
          <t>DA CHIUDERE, OK</t>
        </is>
      </c>
      <c r="R150" s="110" t="n">
        <v>45600</v>
      </c>
      <c r="S150" s="110" t="inlineStr">
        <is>
          <t>SPINALI/PUGLIARES</t>
        </is>
      </c>
      <c r="T150" s="112">
        <f>IF(AND('Inserimento dati'!$B$3=$H$2, TabellaA1[[#This Row],[LUN]]="X"), "X",IF(AND('Inserimento dati'!$B$3=$I$2, TabellaA1[[#This Row],[MAR]]="X"), "X", IF(AND('Inserimento dati'!$B$3=$J$2, TabellaA1[[#This Row],[MER]]="X"), "X",IF(AND('Inserimento dati'!$B$3=$K$2, TabellaA1[[#This Row],[GIO]]="X"), "X", IF(AND('Inserimento dati'!$B$3=$L$2, TabellaA1[[#This Row],[VEN]]="X"), "X","")))))</f>
        <v/>
      </c>
      <c r="U150" s="137">
        <f>IFERROR(MID(G150,_xlfn.AGGREGATE(15,6,(ROW(INDIRECT("1:"&amp;LEN(G150)-7)))/(ISNUMBER(--MID(G150,ROW(INDIRECT("1:"&amp;LEN(G150)-7)),8))),1),8),"")</f>
        <v/>
      </c>
      <c r="V150" t="inlineStr">
        <is>
          <t>2025-09-30 20:00:00</t>
        </is>
      </c>
    </row>
    <row r="151" ht="23.25" customFormat="1" customHeight="1" s="45">
      <c r="A151" s="112" t="n"/>
      <c r="B151" s="112">
        <f>IF(OR(A151="x",A151="X"),"",IF(ISBLANK(A151),"X",""))</f>
        <v/>
      </c>
      <c r="C151" s="112">
        <f>IF(OR(TabellaA1[[#This Row],[LUN]]="X",TabellaA1[[#This Row],[MAR]]="X",TabellaA1[[#This Row],[MER]]="X",TabellaA1[[#This Row],[GIO]]="X",TabellaA1[[#This Row],[VEN]]="X",),"X","")</f>
        <v/>
      </c>
      <c r="D151" s="113" t="inlineStr">
        <is>
          <t>AREA 1</t>
        </is>
      </c>
      <c r="E151" s="109" t="inlineStr">
        <is>
          <t>514818/C</t>
        </is>
      </c>
      <c r="F151" s="109" t="n">
        <v>100</v>
      </c>
      <c r="G151" s="109" t="inlineStr">
        <is>
          <t>P302A - SONDA DI VIBRAZIONE 01V470I</t>
        </is>
      </c>
      <c r="H151" s="111" t="n"/>
      <c r="I151" s="111" t="n"/>
      <c r="J151" s="111" t="n"/>
      <c r="K151" s="111" t="n"/>
      <c r="L151" s="111" t="n"/>
      <c r="M151" s="109" t="inlineStr">
        <is>
          <t>DA CHIUDERE</t>
        </is>
      </c>
      <c r="N151" s="109" t="n"/>
      <c r="O151" s="113" t="n"/>
      <c r="P151" s="113" t="n"/>
      <c r="Q151" s="109" t="inlineStr">
        <is>
          <t>SOSTITUITA, OK</t>
        </is>
      </c>
      <c r="R151" s="110" t="n"/>
      <c r="S151" s="110" t="n"/>
      <c r="T151" s="112">
        <f>IF(AND('Inserimento dati'!$B$3=$H$2, TabellaA1[[#This Row],[LUN]]="X"), "X",IF(AND('Inserimento dati'!$B$3=$I$2, TabellaA1[[#This Row],[MAR]]="X"), "X", IF(AND('Inserimento dati'!$B$3=$J$2, TabellaA1[[#This Row],[MER]]="X"), "X",IF(AND('Inserimento dati'!$B$3=$K$2, TabellaA1[[#This Row],[GIO]]="X"), "X", IF(AND('Inserimento dati'!$B$3=$L$2, TabellaA1[[#This Row],[VEN]]="X"), "X","")))))</f>
        <v/>
      </c>
      <c r="U151" s="137">
        <f>IFERROR(MID(G151,_xlfn.AGGREGATE(15,6,(ROW(INDIRECT("1:"&amp;LEN(G151)-7)))/(ISNUMBER(--MID(G151,ROW(INDIRECT("1:"&amp;LEN(G151)-7)),8))),1),8),"")</f>
        <v/>
      </c>
      <c r="V151" t="inlineStr">
        <is>
          <t>2025-09-30 20:00:00</t>
        </is>
      </c>
    </row>
    <row r="152" ht="23.25" customFormat="1" customHeight="1" s="45">
      <c r="A152" s="112" t="n"/>
      <c r="B152" s="112">
        <f>IF(OR(A152="x",A152="X"),"",IF(ISBLANK(A152),"X",""))</f>
        <v/>
      </c>
      <c r="C152" s="112">
        <f>IF(OR(TabellaA1[[#This Row],[LUN]]="X",TabellaA1[[#This Row],[MAR]]="X",TabellaA1[[#This Row],[MER]]="X",TabellaA1[[#This Row],[GIO]]="X",TabellaA1[[#This Row],[VEN]]="X",),"X","")</f>
        <v/>
      </c>
      <c r="D152" s="113" t="inlineStr">
        <is>
          <t>AREA 1</t>
        </is>
      </c>
      <c r="E152" s="109" t="inlineStr">
        <is>
          <t>513657/C</t>
        </is>
      </c>
      <c r="F152" s="109" t="n">
        <v>100</v>
      </c>
      <c r="G152" s="109" t="inlineStr">
        <is>
          <t xml:space="preserve">F169Q CONTATORE SODA PER REVISIONE IN OFFICINA </t>
        </is>
      </c>
      <c r="H152" s="111" t="n"/>
      <c r="I152" s="111" t="n"/>
      <c r="J152" s="111" t="n"/>
      <c r="K152" s="111" t="n"/>
      <c r="L152" s="111" t="n"/>
      <c r="M152" s="109" t="inlineStr">
        <is>
          <t>DA CHIUDERE</t>
        </is>
      </c>
      <c r="N152" s="109" t="n"/>
      <c r="O152" s="113" t="n"/>
      <c r="P152" s="113" t="n"/>
      <c r="Q152" s="109" t="inlineStr">
        <is>
          <t>IN ATTESA DI RIMONTAGGIO ( CORPO GUASTO)</t>
        </is>
      </c>
      <c r="R152" s="110" t="n"/>
      <c r="S152" s="110" t="n"/>
      <c r="T152" s="112">
        <f>IF(AND('Inserimento dati'!$B$3=$H$2, TabellaA1[[#This Row],[LUN]]="X"), "X",IF(AND('Inserimento dati'!$B$3=$I$2, TabellaA1[[#This Row],[MAR]]="X"), "X", IF(AND('Inserimento dati'!$B$3=$J$2, TabellaA1[[#This Row],[MER]]="X"), "X",IF(AND('Inserimento dati'!$B$3=$K$2, TabellaA1[[#This Row],[GIO]]="X"), "X", IF(AND('Inserimento dati'!$B$3=$L$2, TabellaA1[[#This Row],[VEN]]="X"), "X","")))))</f>
        <v/>
      </c>
      <c r="U152" s="137">
        <f>IFERROR(MID(G152,_xlfn.AGGREGATE(15,6,(ROW(INDIRECT("1:"&amp;LEN(G152)-7)))/(ISNUMBER(--MID(G152,ROW(INDIRECT("1:"&amp;LEN(G152)-7)),8))),1),8),"")</f>
        <v/>
      </c>
      <c r="V152" t="inlineStr">
        <is>
          <t>2025-09-30 20:00:00</t>
        </is>
      </c>
    </row>
    <row r="153" ht="30" customFormat="1" customHeight="1" s="45">
      <c r="A153" s="112" t="n"/>
      <c r="B153" s="112">
        <f>IF(OR(A153="x",A153="X"),"",IF(ISBLANK(A153),"X",""))</f>
        <v/>
      </c>
      <c r="C153" s="112">
        <f>IF(OR(TabellaA1[[#This Row],[LUN]]="X",TabellaA1[[#This Row],[MAR]]="X",TabellaA1[[#This Row],[MER]]="X",TabellaA1[[#This Row],[GIO]]="X",TabellaA1[[#This Row],[VEN]]="X",),"X","")</f>
        <v/>
      </c>
      <c r="D153" s="113" t="inlineStr">
        <is>
          <t>AREA 1</t>
        </is>
      </c>
      <c r="E153" s="109" t="inlineStr">
        <is>
          <t>515091/C</t>
        </is>
      </c>
      <c r="F153" s="109" t="n">
        <v>100</v>
      </c>
      <c r="G153" s="109" t="inlineStr">
        <is>
          <t>L018DL (BASSO LIVELLO INTERFASE D105)</t>
        </is>
      </c>
      <c r="H153" s="111" t="n"/>
      <c r="I153" s="111" t="n"/>
      <c r="J153" s="111" t="n"/>
      <c r="K153" s="111" t="n"/>
      <c r="L153" s="111" t="n"/>
      <c r="M153" s="109" t="inlineStr">
        <is>
          <t>DA CHIUDERE</t>
        </is>
      </c>
      <c r="N153" s="109" t="n"/>
      <c r="O153" s="113" t="n"/>
      <c r="P153" s="113" t="n"/>
      <c r="Q153" s="109" t="inlineStr">
        <is>
          <t>SOSTITUITO TUBO ALIMENTAZIONE ARIA, OK</t>
        </is>
      </c>
      <c r="R153" s="110" t="n">
        <v>45602</v>
      </c>
      <c r="S153" s="110" t="inlineStr">
        <is>
          <t>TARASCIO/PARTESANO</t>
        </is>
      </c>
      <c r="T153" s="112">
        <f>IF(AND('Inserimento dati'!$B$3=$H$2, TabellaA1[[#This Row],[LUN]]="X"), "X",IF(AND('Inserimento dati'!$B$3=$I$2, TabellaA1[[#This Row],[MAR]]="X"), "X", IF(AND('Inserimento dati'!$B$3=$J$2, TabellaA1[[#This Row],[MER]]="X"), "X",IF(AND('Inserimento dati'!$B$3=$K$2, TabellaA1[[#This Row],[GIO]]="X"), "X", IF(AND('Inserimento dati'!$B$3=$L$2, TabellaA1[[#This Row],[VEN]]="X"), "X","")))))</f>
        <v/>
      </c>
      <c r="U153" s="137">
        <f>IFERROR(MID(G153,_xlfn.AGGREGATE(15,6,(ROW(INDIRECT("1:"&amp;LEN(G153)-7)))/(ISNUMBER(--MID(G153,ROW(INDIRECT("1:"&amp;LEN(G153)-7)),8))),1),8),"")</f>
        <v/>
      </c>
      <c r="V153" t="inlineStr">
        <is>
          <t>2025-09-30 20:00:00</t>
        </is>
      </c>
    </row>
    <row r="154" ht="30" customFormat="1" customHeight="1" s="45">
      <c r="A154" s="112" t="n"/>
      <c r="B154" s="112">
        <f>IF(OR(A154="x",A154="X"),"",IF(ISBLANK(A154),"X",""))</f>
        <v/>
      </c>
      <c r="C154" s="112">
        <f>IF(OR(TabellaA1[[#This Row],[LUN]]="X",TabellaA1[[#This Row],[MAR]]="X",TabellaA1[[#This Row],[MER]]="X",TabellaA1[[#This Row],[GIO]]="X",TabellaA1[[#This Row],[VEN]]="X",),"X","")</f>
        <v/>
      </c>
      <c r="D154" s="113" t="inlineStr">
        <is>
          <t>AREA 1</t>
        </is>
      </c>
      <c r="E154" s="109" t="inlineStr">
        <is>
          <t>535625/C</t>
        </is>
      </c>
      <c r="F154" s="109" t="n">
        <v>400</v>
      </c>
      <c r="G154" s="109" t="inlineStr">
        <is>
          <t>400 - P401A RIPRISTINO SONDA DI VIBRAZIONE 04V852I(METTERE I MOS PRIMA DI INIZIARE ATTIVITA)</t>
        </is>
      </c>
      <c r="H154" s="111" t="n"/>
      <c r="I154" s="111" t="n"/>
      <c r="J154" s="111" t="n"/>
      <c r="K154" s="111" t="n"/>
      <c r="L154" s="111" t="n"/>
      <c r="M154" s="109" t="inlineStr">
        <is>
          <t>DA CHIUDERE</t>
        </is>
      </c>
      <c r="N154" s="110" t="n"/>
      <c r="O154" s="168" t="n"/>
      <c r="P154" s="168" t="n"/>
      <c r="Q154" s="110" t="inlineStr">
        <is>
          <t>SOSTITUITA SONDA VIBRAZIONI. ALLINEATA CON SALA CONTROLLO.</t>
        </is>
      </c>
      <c r="R154" s="110" t="n">
        <v>45788</v>
      </c>
      <c r="S154" s="110" t="inlineStr">
        <is>
          <t>MILLO/CAVAGNACCHI</t>
        </is>
      </c>
      <c r="T154" s="115">
        <f>IF(AND('Inserimento dati'!$B$3=$H$2, TabellaA1[[#This Row],[LUN]]="X"), "X",IF(AND('Inserimento dati'!$B$3=$I$2, TabellaA1[[#This Row],[MAR]]="X"), "X", IF(AND('Inserimento dati'!$B$3=$J$2, TabellaA1[[#This Row],[MER]]="X"), "X",IF(AND('Inserimento dati'!$B$3=$K$2, TabellaA1[[#This Row],[GIO]]="X"), "X", IF(AND('Inserimento dati'!$B$3=$L$2, TabellaA1[[#This Row],[VEN]]="X"), "X","")))))</f>
        <v/>
      </c>
      <c r="U154" s="137">
        <f>IFERROR(MID(G154,_xlfn.AGGREGATE(15,6,(ROW(INDIRECT("1:"&amp;LEN(G154)-7)))/(ISNUMBER(--MID(G154,ROW(INDIRECT("1:"&amp;LEN(G154)-7)),8))),1),8),"")</f>
        <v/>
      </c>
      <c r="V154" t="inlineStr">
        <is>
          <t>2025-09-30 20:00:00</t>
        </is>
      </c>
    </row>
    <row r="155" ht="30" customFormat="1" customHeight="1" s="45">
      <c r="A155" s="112" t="n"/>
      <c r="B155" s="112" t="n"/>
      <c r="C155" s="112">
        <f>IF(OR(TabellaA1[[#This Row],[LUN]]="X",TabellaA1[[#This Row],[MAR]]="X",TabellaA1[[#This Row],[MER]]="X",TabellaA1[[#This Row],[GIO]]="X",TabellaA1[[#This Row],[VEN]]="X",),"X","")</f>
        <v/>
      </c>
      <c r="D155" s="113" t="inlineStr">
        <is>
          <t>AREA 1</t>
        </is>
      </c>
      <c r="E155" s="109" t="inlineStr">
        <is>
          <t>537496/C</t>
        </is>
      </c>
      <c r="F155" s="109" t="n">
        <v>400</v>
      </c>
      <c r="G155" s="109" t="inlineStr">
        <is>
          <t>400 - F401RC (H2 MAKE UP DA IES)CONTROLLO STRUMENTO DI PORTATA</t>
        </is>
      </c>
      <c r="H155" s="111" t="n"/>
      <c r="I155" s="111" t="n"/>
      <c r="J155" s="111" t="n"/>
      <c r="K155" s="111" t="n"/>
      <c r="L155" s="111" t="n"/>
      <c r="M155" s="109" t="inlineStr">
        <is>
          <t>DA CHIUDERE</t>
        </is>
      </c>
      <c r="N155" s="110" t="n"/>
      <c r="O155" s="168" t="n"/>
      <c r="P155" s="168" t="n"/>
      <c r="Q155" s="110" t="inlineStr">
        <is>
          <t>fare zero a retroquadro (NON SI TROVA LOOP)</t>
        </is>
      </c>
      <c r="R155" s="110" t="n"/>
      <c r="S155" s="110" t="inlineStr">
        <is>
          <t>22/05/2025 00:00:00</t>
        </is>
      </c>
      <c r="T155" s="114">
        <f>IF(AND('Inserimento dati'!$B$3=$H$2, TabellaA1[[#This Row],[LUN]]="X"), "X",IF(AND('Inserimento dati'!$B$3=$I$2, TabellaA1[[#This Row],[MAR]]="X"), "X", IF(AND('Inserimento dati'!$B$3=$J$2, TabellaA1[[#This Row],[MER]]="X"), "X",IF(AND('Inserimento dati'!$B$3=$K$2, TabellaA1[[#This Row],[GIO]]="X"), "X", IF(AND('Inserimento dati'!$B$3=$L$2, TabellaA1[[#This Row],[VEN]]="X"), "X","")))))</f>
        <v/>
      </c>
      <c r="U155" s="138">
        <f>IFERROR(MID(G155,_xlfn.AGGREGATE(15,6,(ROW(INDIRECT("1:"&amp;LEN(G155)-7)))/(ISNUMBER(--MID(G155,ROW(INDIRECT("1:"&amp;LEN(G155)-7)),8))),1),8),"")</f>
        <v/>
      </c>
      <c r="V155" t="inlineStr">
        <is>
          <t>2025-09-30 20:00:00</t>
        </is>
      </c>
    </row>
    <row r="156" ht="23.25" customFormat="1" customHeight="1" s="45">
      <c r="A156" s="112" t="n"/>
      <c r="B156" s="112" t="n"/>
      <c r="C156" s="112">
        <f>IF(OR(TabellaA1[[#This Row],[LUN]]="X",TabellaA1[[#This Row],[MAR]]="X",TabellaA1[[#This Row],[MER]]="X",TabellaA1[[#This Row],[GIO]]="X",TabellaA1[[#This Row],[VEN]]="X",),"X","")</f>
        <v/>
      </c>
      <c r="D156" s="113" t="inlineStr">
        <is>
          <t>AREA 1</t>
        </is>
      </c>
      <c r="E156" s="109" t="inlineStr">
        <is>
          <t>537928/C</t>
        </is>
      </c>
      <c r="F156" s="109" t="n">
        <v>400</v>
      </c>
      <c r="G156" s="109" t="inlineStr">
        <is>
          <t>400 - C101B RIPRISTINO TUBING IN ACCIAIO PARZIALIZZAZIONE COMPRESSORE</t>
        </is>
      </c>
      <c r="H156" s="111" t="n"/>
      <c r="I156" s="111" t="n"/>
      <c r="J156" s="111" t="n"/>
      <c r="K156" s="111" t="n"/>
      <c r="L156" s="111" t="n"/>
      <c r="M156" s="109" t="inlineStr">
        <is>
          <t>DA CHIUDERE</t>
        </is>
      </c>
      <c r="N156" s="110" t="n"/>
      <c r="O156" s="168" t="n"/>
      <c r="P156" s="168" t="n"/>
      <c r="Q156" s="110" t="n"/>
      <c r="R156" s="110" t="n"/>
      <c r="S156" s="110" t="n"/>
      <c r="T156" s="114">
        <f>IF(AND('Inserimento dati'!$B$3=$H$2, TabellaA1[[#This Row],[LUN]]="X"), "X",IF(AND('Inserimento dati'!$B$3=$I$2, TabellaA1[[#This Row],[MAR]]="X"), "X", IF(AND('Inserimento dati'!$B$3=$J$2, TabellaA1[[#This Row],[MER]]="X"), "X",IF(AND('Inserimento dati'!$B$3=$K$2, TabellaA1[[#This Row],[GIO]]="X"), "X", IF(AND('Inserimento dati'!$B$3=$L$2, TabellaA1[[#This Row],[VEN]]="X"), "X","")))))</f>
        <v/>
      </c>
      <c r="U156" s="138">
        <f>IFERROR(MID(G156,_xlfn.AGGREGATE(15,6,(ROW(INDIRECT("1:"&amp;LEN(G156)-7)))/(ISNUMBER(--MID(G156,ROW(INDIRECT("1:"&amp;LEN(G156)-7)),8))),1),8),"")</f>
        <v/>
      </c>
      <c r="V156" t="inlineStr">
        <is>
          <t>2025-09-30 20:00:00</t>
        </is>
      </c>
    </row>
    <row r="157" ht="30" customFormat="1" customHeight="1" s="45">
      <c r="A157" s="112" t="n"/>
      <c r="B157" s="112">
        <f>IF(OR(A157="x",A157="X"),"",IF(ISBLANK(A157),"X",""))</f>
        <v/>
      </c>
      <c r="C157" s="112">
        <f>IF(OR(TabellaA1[[#This Row],[LUN]]="X",TabellaA1[[#This Row],[MAR]]="X",TabellaA1[[#This Row],[MER]]="X",TabellaA1[[#This Row],[GIO]]="X",TabellaA1[[#This Row],[VEN]]="X",),"X","")</f>
        <v/>
      </c>
      <c r="D157" s="113" t="inlineStr">
        <is>
          <t>AREA 1</t>
        </is>
      </c>
      <c r="E157" s="109" t="inlineStr">
        <is>
          <t>534896/C</t>
        </is>
      </c>
      <c r="F157" s="109" t="n">
        <v>100</v>
      </c>
      <c r="G157" s="109" t="inlineStr">
        <is>
          <t>100 - F359R (RICICLO IMPIANTO NHDS)CONTROLLO E RIPRISTINO FUNZIONALITA STRUMENTO DI PORTATA</t>
        </is>
      </c>
      <c r="H157" s="111" t="n"/>
      <c r="I157" s="111" t="n"/>
      <c r="J157" s="111" t="n"/>
      <c r="K157" s="111" t="n"/>
      <c r="L157" s="111" t="n"/>
      <c r="M157" s="110" t="inlineStr">
        <is>
          <t>DA CHIUDERE</t>
        </is>
      </c>
      <c r="N157" s="110" t="n"/>
      <c r="O157" s="168" t="n"/>
      <c r="P157" s="168" t="n"/>
      <c r="Q157" s="110" t="n"/>
      <c r="R157" s="110" t="n">
        <v>45800</v>
      </c>
      <c r="S157" s="110" t="inlineStr">
        <is>
          <t>SPINALI/CAVAGNACCHI</t>
        </is>
      </c>
      <c r="T157" s="112">
        <f>IF(AND('Inserimento dati'!$B$3=$H$2, TabellaA1[[#This Row],[LUN]]="X"), "X",IF(AND('Inserimento dati'!$B$3=$I$2, TabellaA1[[#This Row],[MAR]]="X"), "X", IF(AND('Inserimento dati'!$B$3=$J$2, TabellaA1[[#This Row],[MER]]="X"), "X",IF(AND('Inserimento dati'!$B$3=$K$2, TabellaA1[[#This Row],[GIO]]="X"), "X", IF(AND('Inserimento dati'!$B$3=$L$2, TabellaA1[[#This Row],[VEN]]="X"), "X","")))))</f>
        <v/>
      </c>
      <c r="U157" s="137">
        <f>IFERROR(MID(G157,_xlfn.AGGREGATE(15,6,(ROW(INDIRECT("1:"&amp;LEN(G157)-7)))/(ISNUMBER(--MID(G157,ROW(INDIRECT("1:"&amp;LEN(G157)-7)),8))),1),8),"")</f>
        <v/>
      </c>
      <c r="V157" t="inlineStr">
        <is>
          <t>2025-09-30 20:00:00</t>
        </is>
      </c>
    </row>
    <row r="158" ht="30" customFormat="1" customHeight="1" s="45">
      <c r="A158" s="112" t="n"/>
      <c r="B158" s="112" t="n"/>
      <c r="C158" s="112">
        <f>IF(OR(TabellaA1[[#This Row],[LUN]]="X",TabellaA1[[#This Row],[MAR]]="X",TabellaA1[[#This Row],[MER]]="X",TabellaA1[[#This Row],[GIO]]="X",TabellaA1[[#This Row],[VEN]]="X",),"X","")</f>
        <v/>
      </c>
      <c r="D158" s="113" t="inlineStr">
        <is>
          <t>AREA 1</t>
        </is>
      </c>
      <c r="E158" s="109" t="inlineStr">
        <is>
          <t>538038/C</t>
        </is>
      </c>
      <c r="F158" s="109" t="n">
        <v>300</v>
      </c>
      <c r="G158" s="109" t="inlineStr">
        <is>
          <t>300 - T060RC(VAPORE MS A T101)CONTROLLO E RIPRISTINO TEMPERATURA</t>
        </is>
      </c>
      <c r="H158" s="111" t="n"/>
      <c r="I158" s="111" t="n"/>
      <c r="J158" s="111" t="n"/>
      <c r="K158" s="111" t="n"/>
      <c r="L158" s="111" t="n"/>
      <c r="M158" s="109" t="inlineStr">
        <is>
          <t>DA CHIUDERE</t>
        </is>
      </c>
      <c r="N158" s="110" t="n"/>
      <c r="O158" s="168" t="n"/>
      <c r="P158" s="168" t="n"/>
      <c r="Q158" s="110" t="inlineStr">
        <is>
          <t>ATTIVITA' COMPLETATA.</t>
        </is>
      </c>
      <c r="R158" s="110" t="n">
        <v>45803</v>
      </c>
      <c r="S158" s="110" t="inlineStr">
        <is>
          <t>SPINALI/MANSERVIGI</t>
        </is>
      </c>
      <c r="T158" s="114">
        <f>IF(AND('Inserimento dati'!$B$3=$H$2, TabellaA1[[#This Row],[LUN]]="X"), "X",IF(AND('Inserimento dati'!$B$3=$I$2, TabellaA1[[#This Row],[MAR]]="X"), "X", IF(AND('Inserimento dati'!$B$3=$J$2, TabellaA1[[#This Row],[MER]]="X"), "X",IF(AND('Inserimento dati'!$B$3=$K$2, TabellaA1[[#This Row],[GIO]]="X"), "X", IF(AND('Inserimento dati'!$B$3=$L$2, TabellaA1[[#This Row],[VEN]]="X"), "X","")))))</f>
        <v/>
      </c>
      <c r="U158" s="138">
        <f>IFERROR(MID(G158,_xlfn.AGGREGATE(15,6,(ROW(INDIRECT("1:"&amp;LEN(G158)-7)))/(ISNUMBER(--MID(G158,ROW(INDIRECT("1:"&amp;LEN(G158)-7)),8))),1),8),"")</f>
        <v/>
      </c>
      <c r="V158" t="inlineStr">
        <is>
          <t>2025-09-30 20:00:00</t>
        </is>
      </c>
    </row>
    <row r="159" ht="30" customFormat="1" customHeight="1" s="45">
      <c r="A159" s="112" t="n"/>
      <c r="B159" s="112" t="n"/>
      <c r="C159" s="112">
        <f>IF(OR(TabellaA1[[#This Row],[LUN]]="X",TabellaA1[[#This Row],[MAR]]="X",TabellaA1[[#This Row],[MER]]="X",TabellaA1[[#This Row],[GIO]]="X",TabellaA1[[#This Row],[VEN]]="X",),"X","")</f>
        <v/>
      </c>
      <c r="D159" s="113" t="inlineStr">
        <is>
          <t>AREA 1</t>
        </is>
      </c>
      <c r="E159" s="109" t="inlineStr">
        <is>
          <t>538470/C</t>
        </is>
      </c>
      <c r="F159" s="109" t="n">
        <v>400</v>
      </c>
      <c r="G159" s="109" t="inlineStr">
        <is>
          <t>400 - B603V 400B604V SCOLLEGAMENTO/RICOLLEGAMENTO ELETTROPNEUMATICO PER REVISIONE VALVOLE</t>
        </is>
      </c>
      <c r="H159" s="111" t="n"/>
      <c r="I159" s="111" t="n"/>
      <c r="J159" s="111" t="n"/>
      <c r="K159" s="111" t="n"/>
      <c r="L159" s="111" t="n"/>
      <c r="M159" s="109" t="inlineStr">
        <is>
          <t>DA CHIUDERE</t>
        </is>
      </c>
      <c r="N159" s="110" t="n"/>
      <c r="O159" s="168" t="n"/>
      <c r="P159" s="168" t="n"/>
      <c r="Q159" s="110" t="inlineStr">
        <is>
          <t>SCOLLEGAMENTO PER REVISIONE VALVOLE</t>
        </is>
      </c>
      <c r="R159" s="110" t="n">
        <v>45804</v>
      </c>
      <c r="S159" s="110" t="inlineStr">
        <is>
          <t>SPINALI/GARRO S.</t>
        </is>
      </c>
      <c r="T159" s="114">
        <f>IF(AND('Inserimento dati'!$B$3=$H$2, TabellaA1[[#This Row],[LUN]]="X"), "X",IF(AND('Inserimento dati'!$B$3=$I$2, TabellaA1[[#This Row],[MAR]]="X"), "X", IF(AND('Inserimento dati'!$B$3=$J$2, TabellaA1[[#This Row],[MER]]="X"), "X",IF(AND('Inserimento dati'!$B$3=$K$2, TabellaA1[[#This Row],[GIO]]="X"), "X", IF(AND('Inserimento dati'!$B$3=$L$2, TabellaA1[[#This Row],[VEN]]="X"), "X","")))))</f>
        <v/>
      </c>
      <c r="U159" s="138">
        <f>IFERROR(MID(G159,_xlfn.AGGREGATE(15,6,(ROW(INDIRECT("1:"&amp;LEN(G159)-7)))/(ISNUMBER(--MID(G159,ROW(INDIRECT("1:"&amp;LEN(G159)-7)),8))),1),8),"")</f>
        <v/>
      </c>
      <c r="V159" t="inlineStr">
        <is>
          <t>2025-09-30 20:00:00</t>
        </is>
      </c>
    </row>
    <row r="160" ht="30" customFormat="1" customHeight="1" s="45">
      <c r="A160" s="112" t="n"/>
      <c r="B160" s="112" t="n"/>
      <c r="C160" s="112">
        <f>IF(OR(TabellaA1[[#This Row],[LUN]]="X",TabellaA1[[#This Row],[MAR]]="X",TabellaA1[[#This Row],[MER]]="X",TabellaA1[[#This Row],[GIO]]="X",TabellaA1[[#This Row],[VEN]]="X",),"X","")</f>
        <v/>
      </c>
      <c r="D160" s="113" t="inlineStr">
        <is>
          <t>AREA 1</t>
        </is>
      </c>
      <c r="E160" s="109" t="inlineStr">
        <is>
          <t>538277/C</t>
        </is>
      </c>
      <c r="F160" s="109" t="n">
        <v>400</v>
      </c>
      <c r="G160" s="109" t="inlineStr">
        <is>
          <t>400 - P401/A SMONTAGGIO/RIMONTAGGIO SONDE DI TEMPERATURA PER SOSTITUZIONE TENUTE</t>
        </is>
      </c>
      <c r="H160" s="111" t="n"/>
      <c r="I160" s="111" t="n"/>
      <c r="J160" s="111" t="n"/>
      <c r="K160" s="111" t="n"/>
      <c r="L160" s="111" t="n"/>
      <c r="M160" s="109" t="inlineStr">
        <is>
          <t>DA CHIUDERE</t>
        </is>
      </c>
      <c r="N160" s="110" t="n"/>
      <c r="O160" s="168" t="n"/>
      <c r="P160" s="168" t="n"/>
      <c r="Q160" s="110" t="inlineStr">
        <is>
          <t>SMTG SONDE DI TEMPERATURA</t>
        </is>
      </c>
      <c r="R160" s="110" t="n">
        <v>45804</v>
      </c>
      <c r="S160" s="110" t="inlineStr">
        <is>
          <t>SPINALI/GARRO S.</t>
        </is>
      </c>
      <c r="T160" s="114">
        <f>IF(AND('Inserimento dati'!$B$3=$H$2, TabellaA1[[#This Row],[LUN]]="X"), "X",IF(AND('Inserimento dati'!$B$3=$I$2, TabellaA1[[#This Row],[MAR]]="X"), "X", IF(AND('Inserimento dati'!$B$3=$J$2, TabellaA1[[#This Row],[MER]]="X"), "X",IF(AND('Inserimento dati'!$B$3=$K$2, TabellaA1[[#This Row],[GIO]]="X"), "X", IF(AND('Inserimento dati'!$B$3=$L$2, TabellaA1[[#This Row],[VEN]]="X"), "X","")))))</f>
        <v/>
      </c>
      <c r="U160" s="138">
        <f>IFERROR(MID(G160,_xlfn.AGGREGATE(15,6,(ROW(INDIRECT("1:"&amp;LEN(G160)-7)))/(ISNUMBER(--MID(G160,ROW(INDIRECT("1:"&amp;LEN(G160)-7)),8))),1),8),"")</f>
        <v/>
      </c>
      <c r="V160" t="inlineStr">
        <is>
          <t>2025-09-30 20:00:00</t>
        </is>
      </c>
    </row>
    <row r="161" ht="23.25" customFormat="1" customHeight="1" s="45">
      <c r="A161" s="112" t="n"/>
      <c r="B161" s="112" t="n"/>
      <c r="C161" s="112">
        <f>IF(OR(TabellaA1[[#This Row],[LUN]]="X",TabellaA1[[#This Row],[MAR]]="X",TabellaA1[[#This Row],[MER]]="X",TabellaA1[[#This Row],[GIO]]="X",TabellaA1[[#This Row],[VEN]]="X",),"X","")</f>
        <v/>
      </c>
      <c r="D161" s="113" t="inlineStr">
        <is>
          <t>AREA 1</t>
        </is>
      </c>
      <c r="E161" s="109" t="inlineStr">
        <is>
          <t>538998/C</t>
        </is>
      </c>
      <c r="F161" s="109" t="n">
        <v>100</v>
      </c>
      <c r="G161" s="109" t="inlineStr">
        <is>
          <t>100 - F160</t>
        </is>
      </c>
      <c r="H161" s="111" t="n"/>
      <c r="I161" s="111" t="n"/>
      <c r="J161" s="111" t="n"/>
      <c r="K161" s="111" t="n"/>
      <c r="L161" s="111" t="n"/>
      <c r="M161" s="109" t="inlineStr">
        <is>
          <t>DA CHIUDERE</t>
        </is>
      </c>
      <c r="N161" s="110" t="n"/>
      <c r="O161" s="168" t="n"/>
      <c r="P161" s="168" t="n"/>
      <c r="Q161" s="110" t="n"/>
      <c r="R161" s="110" t="n"/>
      <c r="S161" s="110" t="n"/>
      <c r="T161" s="114">
        <f>IF(AND('Inserimento dati'!$B$3=$H$2, TabellaA1[[#This Row],[LUN]]="X"), "X",IF(AND('Inserimento dati'!$B$3=$I$2, TabellaA1[[#This Row],[MAR]]="X"), "X", IF(AND('Inserimento dati'!$B$3=$J$2, TabellaA1[[#This Row],[MER]]="X"), "X",IF(AND('Inserimento dati'!$B$3=$K$2, TabellaA1[[#This Row],[GIO]]="X"), "X", IF(AND('Inserimento dati'!$B$3=$L$2, TabellaA1[[#This Row],[VEN]]="X"), "X","")))))</f>
        <v/>
      </c>
      <c r="U161" s="138">
        <f>IFERROR(MID(G161,_xlfn.AGGREGATE(15,6,(ROW(INDIRECT("1:"&amp;LEN(G161)-7)))/(ISNUMBER(--MID(G161,ROW(INDIRECT("1:"&amp;LEN(G161)-7)),8))),1),8),"")</f>
        <v/>
      </c>
      <c r="V161" t="inlineStr">
        <is>
          <t>2025-09-30 20:00:00</t>
        </is>
      </c>
    </row>
    <row r="162" ht="45" customFormat="1" customHeight="1" s="45">
      <c r="A162" s="112" t="n"/>
      <c r="B162" s="112" t="n"/>
      <c r="C162" s="112">
        <f>IF(OR(TabellaA1[[#This Row],[LUN]]="X",TabellaA1[[#This Row],[MAR]]="X",TabellaA1[[#This Row],[MER]]="X",TabellaA1[[#This Row],[GIO]]="X",TabellaA1[[#This Row],[VEN]]="X",),"X","")</f>
        <v/>
      </c>
      <c r="D162" s="113" t="inlineStr">
        <is>
          <t>AREA 1</t>
        </is>
      </c>
      <c r="E162" s="109" t="inlineStr">
        <is>
          <t>539133/C</t>
        </is>
      </c>
      <c r="F162" s="109" t="n">
        <v>100</v>
      </c>
      <c r="G162" s="109" t="inlineStr">
        <is>
          <t>100 - F012RC (INGRESSO F101 PASSO 12) CONTROLLO E RIPRISTINO FUNZIONALITA PORTATA</t>
        </is>
      </c>
      <c r="H162" s="111" t="n"/>
      <c r="I162" s="111" t="n"/>
      <c r="J162" s="111" t="n"/>
      <c r="K162" s="111" t="n"/>
      <c r="L162" s="111" t="n"/>
      <c r="M162" s="109" t="inlineStr">
        <is>
          <t>DA CHIUDERE</t>
        </is>
      </c>
      <c r="N162" s="110" t="n"/>
      <c r="O162" s="168" t="n"/>
      <c r="P162" s="168" t="n"/>
      <c r="Q162" s="110" t="inlineStr">
        <is>
          <t>TROVATA TRACCIA DI VAPORE FREDDA, NECESSITA PONTEGGIO PER INTERCETTARE. TX CON NESSUNA ANOMALIA DA SEGNALARE, AZZERATA MISURA.</t>
        </is>
      </c>
      <c r="R162" s="110" t="n"/>
      <c r="S162" s="110" t="n"/>
      <c r="T162" s="114">
        <f>IF(AND('Inserimento dati'!$B$3=$H$2, TabellaA1[[#This Row],[LUN]]="X"), "X",IF(AND('Inserimento dati'!$B$3=$I$2, TabellaA1[[#This Row],[MAR]]="X"), "X", IF(AND('Inserimento dati'!$B$3=$J$2, TabellaA1[[#This Row],[MER]]="X"), "X",IF(AND('Inserimento dati'!$B$3=$K$2, TabellaA1[[#This Row],[GIO]]="X"), "X", IF(AND('Inserimento dati'!$B$3=$L$2, TabellaA1[[#This Row],[VEN]]="X"), "X","")))))</f>
        <v/>
      </c>
      <c r="U162" s="138">
        <f>IFERROR(MID(G162,_xlfn.AGGREGATE(15,6,(ROW(INDIRECT("1:"&amp;LEN(G162)-7)))/(ISNUMBER(--MID(G162,ROW(INDIRECT("1:"&amp;LEN(G162)-7)),8))),1),8),"")</f>
        <v/>
      </c>
      <c r="V162" t="inlineStr">
        <is>
          <t>2025-09-30 20:00:00</t>
        </is>
      </c>
    </row>
    <row r="163" ht="30" customFormat="1" customHeight="1" s="45">
      <c r="A163" s="112" t="n"/>
      <c r="B163" s="112" t="n"/>
      <c r="C163" s="112">
        <f>IF(OR(TabellaA1[[#This Row],[LUN]]="X",TabellaA1[[#This Row],[MAR]]="X",TabellaA1[[#This Row],[MER]]="X",TabellaA1[[#This Row],[GIO]]="X",TabellaA1[[#This Row],[VEN]]="X",),"X","")</f>
        <v/>
      </c>
      <c r="D163" s="113" t="inlineStr">
        <is>
          <t>AREA 1</t>
        </is>
      </c>
      <c r="E163" s="109" t="inlineStr">
        <is>
          <t>541858/C</t>
        </is>
      </c>
      <c r="F163" s="109" t="n">
        <v>100</v>
      </c>
      <c r="G163" s="109" t="inlineStr">
        <is>
          <t>01F457RC (RIFLUSSO T301)CONTROLLO FUNZIONALE E RIPRISTINO PERDITA SU RACCORDO GRUPPO BYPASS E PRIMARI</t>
        </is>
      </c>
      <c r="H163" s="111" t="n"/>
      <c r="I163" s="111" t="n"/>
      <c r="J163" s="111" t="n"/>
      <c r="K163" s="111" t="n"/>
      <c r="L163" s="111" t="n"/>
      <c r="M163" s="109" t="inlineStr">
        <is>
          <t>DA CHIUDERE</t>
        </is>
      </c>
      <c r="N163" s="110" t="n"/>
      <c r="O163" s="168" t="n"/>
      <c r="P163" s="168" t="n"/>
      <c r="Q163" s="110" t="inlineStr">
        <is>
          <t>ELIMINATA PERDITA DA GRUPPO BYPASS, E STASATA CON POMPA ALTA PRESSIONE PRESA NEGATIVA. STRUMENTO INSERITO OK</t>
        </is>
      </c>
      <c r="R163" s="110" t="n">
        <v>45831</v>
      </c>
      <c r="S163" s="110" t="inlineStr">
        <is>
          <t>MILLO/LEONE</t>
        </is>
      </c>
      <c r="T163" s="114">
        <f>IF(AND('Inserimento dati'!$B$3=$H$2, TabellaA1[[#This Row],[LUN]]="X"), "X",IF(AND('Inserimento dati'!$B$3=$I$2, TabellaA1[[#This Row],[MAR]]="X"), "X", IF(AND('Inserimento dati'!$B$3=$J$2, TabellaA1[[#This Row],[MER]]="X"), "X",IF(AND('Inserimento dati'!$B$3=$K$2, TabellaA1[[#This Row],[GIO]]="X"), "X", IF(AND('Inserimento dati'!$B$3=$L$2, TabellaA1[[#This Row],[VEN]]="X"), "X","")))))</f>
        <v/>
      </c>
      <c r="U163" s="138">
        <f>IFERROR(MID(G163,_xlfn.AGGREGATE(15,6,(ROW(INDIRECT("1:"&amp;LEN(G163)-7)))/(ISNUMBER(--MID(G163,ROW(INDIRECT("1:"&amp;LEN(G163)-7)),8))),1),8),"")</f>
        <v/>
      </c>
      <c r="V163" t="inlineStr">
        <is>
          <t>2025-09-30 20:00:00</t>
        </is>
      </c>
    </row>
    <row r="164" ht="30" customFormat="1" customHeight="1" s="45">
      <c r="A164" s="112" t="n"/>
      <c r="B164" s="112" t="n"/>
      <c r="C164" s="112">
        <f>IF(OR(TabellaA1[[#This Row],[LUN]]="X",TabellaA1[[#This Row],[MAR]]="X",TabellaA1[[#This Row],[MER]]="X",TabellaA1[[#This Row],[GIO]]="X",TabellaA1[[#This Row],[VEN]]="X",),"X","")</f>
        <v/>
      </c>
      <c r="D164" s="113" t="inlineStr">
        <is>
          <t>AREA 1</t>
        </is>
      </c>
      <c r="E164" s="109" t="inlineStr">
        <is>
          <t>541859/C</t>
        </is>
      </c>
      <c r="F164" s="109" t="n">
        <v>100</v>
      </c>
      <c r="G164" s="109" t="inlineStr">
        <is>
          <t>01T075I 01T076I (USCITA FUMI LATO EST/OVEST) CONTROLLO DI FUNZIONALITA CON ALLINEAMENTO MISURA CON SALA CONTROLLO</t>
        </is>
      </c>
      <c r="H164" s="111" t="n"/>
      <c r="I164" s="111" t="n"/>
      <c r="J164" s="111" t="n"/>
      <c r="K164" s="111" t="n"/>
      <c r="L164" s="111" t="n"/>
      <c r="M164" s="109" t="inlineStr">
        <is>
          <t>DA CHIUDERE</t>
        </is>
      </c>
      <c r="N164" s="110" t="n"/>
      <c r="O164" s="168" t="n"/>
      <c r="P164" s="168" t="n"/>
      <c r="Q164" s="110" t="inlineStr">
        <is>
          <t>CONTROLLATE E ALLINEATE TEMPERATURE (SKIN POINT). NULLA DA SEGNALARE</t>
        </is>
      </c>
      <c r="R164" s="110" t="n">
        <v>45831</v>
      </c>
      <c r="S164" s="110" t="inlineStr">
        <is>
          <t>TARASCIO/PARTESANO</t>
        </is>
      </c>
      <c r="T164" s="114">
        <f>IF(AND('Inserimento dati'!$B$3=$H$2, TabellaA1[[#This Row],[LUN]]="X"), "X",IF(AND('Inserimento dati'!$B$3=$I$2, TabellaA1[[#This Row],[MAR]]="X"), "X", IF(AND('Inserimento dati'!$B$3=$J$2, TabellaA1[[#This Row],[MER]]="X"), "X",IF(AND('Inserimento dati'!$B$3=$K$2, TabellaA1[[#This Row],[GIO]]="X"), "X", IF(AND('Inserimento dati'!$B$3=$L$2, TabellaA1[[#This Row],[VEN]]="X"), "X","")))))</f>
        <v/>
      </c>
      <c r="U164" s="138">
        <f>IFERROR(MID(G164,_xlfn.AGGREGATE(15,6,(ROW(INDIRECT("1:"&amp;LEN(G164)-7)))/(ISNUMBER(--MID(G164,ROW(INDIRECT("1:"&amp;LEN(G164)-7)),8))),1),8),"")</f>
        <v/>
      </c>
      <c r="V164" t="inlineStr">
        <is>
          <t>2025-09-30 20:00:00</t>
        </is>
      </c>
    </row>
    <row r="165" ht="23.25" customFormat="1" customHeight="1" s="45">
      <c r="A165" s="112" t="n"/>
      <c r="B165" s="112" t="n"/>
      <c r="C165" s="112">
        <f>IF(OR(TabellaA1[[#This Row],[LUN]]="X",TabellaA1[[#This Row],[MAR]]="X",TabellaA1[[#This Row],[MER]]="X",TabellaA1[[#This Row],[GIO]]="X",TabellaA1[[#This Row],[VEN]]="X",),"X","")</f>
        <v/>
      </c>
      <c r="D165" s="113" t="inlineStr">
        <is>
          <t>AREA 1</t>
        </is>
      </c>
      <c r="E165" s="109" t="inlineStr">
        <is>
          <t>541862/C</t>
        </is>
      </c>
      <c r="F165" s="109" t="n">
        <v>100</v>
      </c>
      <c r="G165" s="109" t="inlineStr">
        <is>
          <t>01L009RC(STRIPPER T103 KEP)CONTROLLO E RIPRISTINO FUNZIONALITA LIVELLO</t>
        </is>
      </c>
      <c r="H165" s="111" t="n"/>
      <c r="I165" s="111" t="n"/>
      <c r="J165" s="111" t="n"/>
      <c r="K165" s="111" t="n"/>
      <c r="L165" s="111" t="n"/>
      <c r="M165" s="109" t="inlineStr">
        <is>
          <t>DA CHIUDERE</t>
        </is>
      </c>
      <c r="N165" s="110" t="n"/>
      <c r="O165" s="168" t="n"/>
      <c r="P165" s="168" t="n"/>
      <c r="Q165" s="110" t="inlineStr">
        <is>
          <t>LIVELLO TROVATO SPENTO, SOSTITUITA BARRIERA. OK</t>
        </is>
      </c>
      <c r="R165" s="110" t="n">
        <v>45832</v>
      </c>
      <c r="S165" s="110" t="inlineStr">
        <is>
          <t>MILLO</t>
        </is>
      </c>
      <c r="T165" s="114">
        <f>IF(AND('Inserimento dati'!$B$3=$H$2, TabellaA1[[#This Row],[LUN]]="X"), "X",IF(AND('Inserimento dati'!$B$3=$I$2, TabellaA1[[#This Row],[MAR]]="X"), "X", IF(AND('Inserimento dati'!$B$3=$J$2, TabellaA1[[#This Row],[MER]]="X"), "X",IF(AND('Inserimento dati'!$B$3=$K$2, TabellaA1[[#This Row],[GIO]]="X"), "X", IF(AND('Inserimento dati'!$B$3=$L$2, TabellaA1[[#This Row],[VEN]]="X"), "X","")))))</f>
        <v/>
      </c>
      <c r="U165" s="138">
        <f>IFERROR(MID(G165,_xlfn.AGGREGATE(15,6,(ROW(INDIRECT("1:"&amp;LEN(G165)-7)))/(ISNUMBER(--MID(G165,ROW(INDIRECT("1:"&amp;LEN(G165)-7)),8))),1),8),"")</f>
        <v/>
      </c>
      <c r="V165" t="inlineStr">
        <is>
          <t>2025-09-30 20:00:00</t>
        </is>
      </c>
    </row>
    <row r="166" ht="23.25" customFormat="1" customHeight="1" s="45">
      <c r="A166" s="112" t="n"/>
      <c r="B166" s="112" t="n"/>
      <c r="C166" s="112">
        <f>IF(OR(TabellaA1[[#This Row],[LUN]]="X",TabellaA1[[#This Row],[MAR]]="X",TabellaA1[[#This Row],[MER]]="X",TabellaA1[[#This Row],[GIO]]="X",TabellaA1[[#This Row],[VEN]]="X",),"X","")</f>
        <v/>
      </c>
      <c r="D166" s="113" t="inlineStr">
        <is>
          <t>AREA 1</t>
        </is>
      </c>
      <c r="E166" s="109" t="inlineStr">
        <is>
          <t>543125/C</t>
        </is>
      </c>
      <c r="F166" s="109" t="n">
        <v>400</v>
      </c>
      <c r="G166" s="109" t="inlineStr">
        <is>
          <t xml:space="preserve">400- T004RC - T022I CONTROLLO FUNZIONALE (uscita E102 lato prodotto) </t>
        </is>
      </c>
      <c r="H166" s="111" t="n"/>
      <c r="I166" s="111" t="n"/>
      <c r="J166" s="111" t="n"/>
      <c r="K166" s="111" t="n"/>
      <c r="L166" s="111" t="n"/>
      <c r="M166" s="109" t="inlineStr">
        <is>
          <t>DA CHIUDERE</t>
        </is>
      </c>
      <c r="N166" s="110" t="n"/>
      <c r="O166" s="168" t="n"/>
      <c r="P166" s="168" t="n"/>
      <c r="Q166" s="110" t="inlineStr">
        <is>
          <t>BARRIERA STARATA, RIPRISTINATA FUNZIONALITA'</t>
        </is>
      </c>
      <c r="R166" s="110" t="n">
        <v>45841</v>
      </c>
      <c r="S166" s="110" t="inlineStr">
        <is>
          <t>SPINALI</t>
        </is>
      </c>
      <c r="T166" s="114">
        <f>IF(AND('Inserimento dati'!$B$3=$H$2, TabellaA1[[#This Row],[LUN]]="X"), "X",IF(AND('Inserimento dati'!$B$3=$I$2, TabellaA1[[#This Row],[MAR]]="X"), "X", IF(AND('Inserimento dati'!$B$3=$J$2, TabellaA1[[#This Row],[MER]]="X"), "X",IF(AND('Inserimento dati'!$B$3=$K$2, TabellaA1[[#This Row],[GIO]]="X"), "X", IF(AND('Inserimento dati'!$B$3=$L$2, TabellaA1[[#This Row],[VEN]]="X"), "X","")))))</f>
        <v/>
      </c>
      <c r="U166" s="138">
        <f>IFERROR(MID(G166,_xlfn.AGGREGATE(15,6,(ROW(INDIRECT("1:"&amp;LEN(G166)-7)))/(ISNUMBER(--MID(G166,ROW(INDIRECT("1:"&amp;LEN(G166)-7)),8))),1),8),"")</f>
        <v/>
      </c>
      <c r="V166" t="inlineStr">
        <is>
          <t>2025-09-30 20:00:00</t>
        </is>
      </c>
    </row>
    <row r="167" ht="30" customFormat="1" customHeight="1" s="45">
      <c r="A167" s="112" t="n"/>
      <c r="B167" s="112" t="n"/>
      <c r="C167" s="112">
        <f>IF(OR(TabellaA1[[#This Row],[LUN]]="X",TabellaA1[[#This Row],[MAR]]="X",TabellaA1[[#This Row],[MER]]="X",TabellaA1[[#This Row],[GIO]]="X",TabellaA1[[#This Row],[VEN]]="X",),"X","")</f>
        <v/>
      </c>
      <c r="D167" s="113" t="inlineStr">
        <is>
          <t>AREA 1</t>
        </is>
      </c>
      <c r="E167" s="109" t="inlineStr">
        <is>
          <t>542831/C</t>
        </is>
      </c>
      <c r="F167" s="109" t="inlineStr">
        <is>
          <t>200A</t>
        </is>
      </c>
      <c r="G167" s="109" t="inlineStr">
        <is>
          <t>200A T407HA(CARICA REATTORE)CONTROLLO E RIPRISTINO MISURA DI TEMPERATURA</t>
        </is>
      </c>
      <c r="H167" s="111" t="n"/>
      <c r="I167" s="111" t="n"/>
      <c r="J167" s="129" t="n"/>
      <c r="K167" s="129" t="n"/>
      <c r="L167" s="129" t="n"/>
      <c r="M167" s="110" t="inlineStr">
        <is>
          <t>DA CHIUDERE</t>
        </is>
      </c>
      <c r="N167" s="110" t="n"/>
      <c r="O167" s="168" t="n"/>
      <c r="P167" s="114" t="n"/>
      <c r="Q167" s="109" t="inlineStr">
        <is>
          <t>TROVATA BARRIERA STARATA, CONTROLLATA E TARATA. TEMPERATURE ALLINEATE.</t>
        </is>
      </c>
      <c r="R167" s="110" t="n">
        <v>45841</v>
      </c>
      <c r="S167" s="109" t="inlineStr">
        <is>
          <t>SPINALI/DE LUCA</t>
        </is>
      </c>
      <c r="T167" s="114">
        <f>IF(AND('Inserimento dati'!$B$3=$H$2, TabellaA1[[#This Row],[LUN]]="X"), "X",IF(AND('Inserimento dati'!$B$3=$I$2, TabellaA1[[#This Row],[MAR]]="X"), "X", IF(AND('Inserimento dati'!$B$3=$J$2, TabellaA1[[#This Row],[MER]]="X"), "X",IF(AND('Inserimento dati'!$B$3=$K$2, TabellaA1[[#This Row],[GIO]]="X"), "X", IF(AND('Inserimento dati'!$B$3=$L$2, TabellaA1[[#This Row],[VEN]]="X"), "X","")))))</f>
        <v/>
      </c>
      <c r="U167" s="147">
        <f>IFERROR(MID(G167,_xlfn.AGGREGATE(15,6,(ROW(INDIRECT("1:"&amp;LEN(G167)-7)))/(ISNUMBER(--MID(G167,ROW(INDIRECT("1:"&amp;LEN(G167)-7)),8))),1),8),"")</f>
        <v/>
      </c>
      <c r="V167" t="inlineStr">
        <is>
          <t>2025-09-30 20:00:00</t>
        </is>
      </c>
    </row>
    <row r="168" ht="45" customFormat="1" customHeight="1" s="45">
      <c r="A168" s="112" t="n"/>
      <c r="B168" s="112" t="n"/>
      <c r="C168" s="112">
        <f>IF(OR(TabellaA1[[#This Row],[LUN]]="X",TabellaA1[[#This Row],[MAR]]="X",TabellaA1[[#This Row],[MER]]="X",TabellaA1[[#This Row],[GIO]]="X",TabellaA1[[#This Row],[VEN]]="X",),"X","")</f>
        <v/>
      </c>
      <c r="D168" s="113" t="inlineStr">
        <is>
          <t>AREA 1</t>
        </is>
      </c>
      <c r="E168" s="109" t="inlineStr">
        <is>
          <t>543905/C</t>
        </is>
      </c>
      <c r="F168" s="109" t="n">
        <v>100</v>
      </c>
      <c r="G168" s="109" t="inlineStr">
        <is>
          <t>100L021LA(BASSO LIVELLO D109)CONTROLLO E RIPRISTINO FUNZIONALITA LIVELLOSTATO</t>
        </is>
      </c>
      <c r="H168" s="111" t="n"/>
      <c r="I168" s="111" t="n"/>
      <c r="J168" s="111" t="n"/>
      <c r="K168" s="111" t="n"/>
      <c r="L168" s="111" t="n"/>
      <c r="M168" s="109" t="inlineStr">
        <is>
          <t>DA CHIUDERE</t>
        </is>
      </c>
      <c r="N168" s="110" t="n"/>
      <c r="O168" s="168" t="n"/>
      <c r="P168" s="168" t="n"/>
      <c r="Q168" s="110" t="inlineStr">
        <is>
          <t>VALVOLE D'INTERCETTO NON FANNO PERFETTA TENUTA. EFFETTUATI CONTROLLI FUNZIONALI SU LIVELLOSTATO L021LA NON RISCONTRANDO ANOMALIE (ALLARME INTERVENUTO A DCS).</t>
        </is>
      </c>
      <c r="R168" s="110" t="n">
        <v>45847</v>
      </c>
      <c r="S168" s="110" t="inlineStr">
        <is>
          <t>SPINALI/MANSERVIGI</t>
        </is>
      </c>
      <c r="T168" s="114">
        <f>IF(AND('Inserimento dati'!$B$3=$H$2, TabellaA1[[#This Row],[LUN]]="X"), "X",IF(AND('Inserimento dati'!$B$3=$I$2, TabellaA1[[#This Row],[MAR]]="X"), "X", IF(AND('Inserimento dati'!$B$3=$J$2, TabellaA1[[#This Row],[MER]]="X"), "X",IF(AND('Inserimento dati'!$B$3=$K$2, TabellaA1[[#This Row],[GIO]]="X"), "X", IF(AND('Inserimento dati'!$B$3=$L$2, TabellaA1[[#This Row],[VEN]]="X"), "X","")))))</f>
        <v/>
      </c>
      <c r="U168" s="138" t="n"/>
      <c r="V168" t="inlineStr">
        <is>
          <t>2025-09-30 20:00:00</t>
        </is>
      </c>
    </row>
    <row r="169" ht="30" customFormat="1" customHeight="1" s="45">
      <c r="A169" s="112" t="n"/>
      <c r="B169" s="112" t="n"/>
      <c r="C169" s="112">
        <f>IF(OR(TabellaA1[[#This Row],[LUN]]="X",TabellaA1[[#This Row],[MAR]]="X",TabellaA1[[#This Row],[MER]]="X",TabellaA1[[#This Row],[GIO]]="X",TabellaA1[[#This Row],[VEN]]="X",),"X","")</f>
        <v/>
      </c>
      <c r="D169" s="113" t="inlineStr">
        <is>
          <t>AREA 1</t>
        </is>
      </c>
      <c r="E169" s="109" t="inlineStr">
        <is>
          <t>544541/C</t>
        </is>
      </c>
      <c r="F169" s="109" t="n">
        <v>100</v>
      </c>
      <c r="G169" s="109" t="inlineStr">
        <is>
          <t xml:space="preserve">100L015CV (H2O DI SCARICO D103)CONTROLLO E RIPRISTINO FUNZIONALITA SE DOVESSE SERVIRE SI PREVEDE LO SMONTAGGIO/MONTAGGIO PER REVISIONE </t>
        </is>
      </c>
      <c r="H169" s="111" t="n"/>
      <c r="I169" s="111" t="n"/>
      <c r="J169" s="111" t="n"/>
      <c r="K169" s="111" t="n"/>
      <c r="L169" s="111" t="n"/>
      <c r="M169" s="109" t="inlineStr">
        <is>
          <t>DA CHIUDERE</t>
        </is>
      </c>
      <c r="N169" s="110" t="n"/>
      <c r="O169" s="168" t="n"/>
      <c r="P169" s="168" t="n"/>
      <c r="Q169" s="110" t="inlineStr">
        <is>
          <t>VALVOLA PORTATA IN OFFICINA PER REVISIONE</t>
        </is>
      </c>
      <c r="R169" s="110" t="n">
        <v>45853</v>
      </c>
      <c r="S169" s="110" t="inlineStr">
        <is>
          <t>GARRO L.</t>
        </is>
      </c>
      <c r="T169" s="114">
        <f>IF(AND('Inserimento dati'!$B$3=$H$2, TabellaA1[[#This Row],[LUN]]="X"), "X",IF(AND('Inserimento dati'!$B$3=$I$2, TabellaA1[[#This Row],[MAR]]="X"), "X", IF(AND('Inserimento dati'!$B$3=$J$2, TabellaA1[[#This Row],[MER]]="X"), "X",IF(AND('Inserimento dati'!$B$3=$K$2, TabellaA1[[#This Row],[GIO]]="X"), "X", IF(AND('Inserimento dati'!$B$3=$L$2, TabellaA1[[#This Row],[VEN]]="X"), "X","")))))</f>
        <v/>
      </c>
      <c r="U169" s="152" t="n"/>
      <c r="V169" t="inlineStr">
        <is>
          <t>2025-09-30 20:00:00</t>
        </is>
      </c>
    </row>
    <row r="170" ht="23.25" customFormat="1" customHeight="1" s="45">
      <c r="A170" s="112" t="n"/>
      <c r="B170" s="112" t="n"/>
      <c r="C170" s="112">
        <f>IF(OR(TabellaA1[[#This Row],[LUN]]="X",TabellaA1[[#This Row],[MAR]]="X",TabellaA1[[#This Row],[MER]]="X",TabellaA1[[#This Row],[GIO]]="X",TabellaA1[[#This Row],[VEN]]="X",),"X","")</f>
        <v/>
      </c>
      <c r="D170" s="113" t="inlineStr">
        <is>
          <t>AREA 1</t>
        </is>
      </c>
      <c r="E170" s="109" t="inlineStr">
        <is>
          <t>545215/C</t>
        </is>
      </c>
      <c r="F170" s="109" t="n">
        <v>300</v>
      </c>
      <c r="G170" s="109" t="inlineStr">
        <is>
          <t>300P006CV(FUEL GAS F101)RIPRISTINO FUNZIONALITA VALVOLA</t>
        </is>
      </c>
      <c r="H170" s="111" t="n"/>
      <c r="I170" s="111" t="n"/>
      <c r="J170" s="111" t="n"/>
      <c r="K170" s="111" t="n"/>
      <c r="L170" s="111" t="n"/>
      <c r="M170" s="109" t="inlineStr">
        <is>
          <t>DA CHIUDERE</t>
        </is>
      </c>
      <c r="N170" s="110" t="n"/>
      <c r="O170" s="168" t="n"/>
      <c r="P170" s="168" t="n"/>
      <c r="Q170" s="110" t="inlineStr">
        <is>
          <t>NESSUNA ANOMALIA DA SEGNALARE, TCL NASELLI A CONOSCENZA</t>
        </is>
      </c>
      <c r="R170" s="110" t="n">
        <v>45860</v>
      </c>
      <c r="S170" s="110" t="inlineStr">
        <is>
          <t>MILLO</t>
        </is>
      </c>
      <c r="T170" s="114">
        <f>IF(AND('Inserimento dati'!$B$3=$H$2, TabellaA1[[#This Row],[LUN]]="X"), "X",IF(AND('Inserimento dati'!$B$3=$I$2, TabellaA1[[#This Row],[MAR]]="X"), "X", IF(AND('Inserimento dati'!$B$3=$J$2, TabellaA1[[#This Row],[MER]]="X"), "X",IF(AND('Inserimento dati'!$B$3=$K$2, TabellaA1[[#This Row],[GIO]]="X"), "X", IF(AND('Inserimento dati'!$B$3=$L$2, TabellaA1[[#This Row],[VEN]]="X"), "X","")))))</f>
        <v/>
      </c>
      <c r="U170" s="152" t="n"/>
      <c r="V170" t="inlineStr">
        <is>
          <t>2025-09-30 20:00:00</t>
        </is>
      </c>
    </row>
    <row r="171" ht="30" customFormat="1" customHeight="1" s="45">
      <c r="A171" s="112" t="n"/>
      <c r="B171" s="112" t="n"/>
      <c r="C171" s="112">
        <f>IF(OR(TabellaA1[[#This Row],[LUN]]="X",TabellaA1[[#This Row],[MAR]]="X",TabellaA1[[#This Row],[MER]]="X",TabellaA1[[#This Row],[GIO]]="X",TabellaA1[[#This Row],[VEN]]="X",),"X","")</f>
        <v/>
      </c>
      <c r="D171" s="113" t="inlineStr">
        <is>
          <t>AREA 1</t>
        </is>
      </c>
      <c r="E171" s="109" t="inlineStr">
        <is>
          <t>545075/C</t>
        </is>
      </c>
      <c r="F171" s="109" t="inlineStr">
        <is>
          <t>200A</t>
        </is>
      </c>
      <c r="G171" s="109" t="inlineStr">
        <is>
          <t>200AL361CV (SCARICO H20 D111)SMONTAGGIO/MONTAGGIO VALVOLA PER  ELIMINAZIONE EVENTUALE OCCLUSIONE</t>
        </is>
      </c>
      <c r="H171" s="111" t="n"/>
      <c r="I171" s="111" t="n"/>
      <c r="J171" s="111" t="n"/>
      <c r="K171" s="111" t="n"/>
      <c r="L171" s="111" t="n"/>
      <c r="M171" s="109" t="inlineStr">
        <is>
          <t>DA CHIUDERE</t>
        </is>
      </c>
      <c r="N171" s="110" t="n"/>
      <c r="O171" s="168" t="n"/>
      <c r="P171" s="168" t="n"/>
      <c r="Q171" s="110" t="inlineStr">
        <is>
          <t>LA VALVOLA E' STATA SMONTATA ED E' A REVISIONE. ESEGUITO RIMONTAGGIO IN CAMPO.</t>
        </is>
      </c>
      <c r="R171" s="110" t="n">
        <v>45856</v>
      </c>
      <c r="S171" s="110" t="inlineStr">
        <is>
          <t>GARRO</t>
        </is>
      </c>
      <c r="T171" s="114">
        <f>IF(AND('Inserimento dati'!$B$3=$H$2, TabellaA1[[#This Row],[LUN]]="X"), "X",IF(AND('Inserimento dati'!$B$3=$I$2, TabellaA1[[#This Row],[MAR]]="X"), "X", IF(AND('Inserimento dati'!$B$3=$J$2, TabellaA1[[#This Row],[MER]]="X"), "X",IF(AND('Inserimento dati'!$B$3=$K$2, TabellaA1[[#This Row],[GIO]]="X"), "X", IF(AND('Inserimento dati'!$B$3=$L$2, TabellaA1[[#This Row],[VEN]]="X"), "X","")))))</f>
        <v/>
      </c>
      <c r="U171" s="152" t="n"/>
      <c r="V171" t="inlineStr">
        <is>
          <t>2025-09-30 20:00:00</t>
        </is>
      </c>
    </row>
    <row r="172" ht="23.25" customFormat="1" customHeight="1" s="45">
      <c r="A172" s="112" t="n"/>
      <c r="B172" s="112" t="n"/>
      <c r="C172" s="112">
        <f>IF(OR(TabellaA1[[#This Row],[LUN]]="X",TabellaA1[[#This Row],[MAR]]="X",TabellaA1[[#This Row],[MER]]="X",TabellaA1[[#This Row],[GIO]]="X",TabellaA1[[#This Row],[VEN]]="X",),"X","")</f>
        <v/>
      </c>
      <c r="D172" s="113" t="inlineStr">
        <is>
          <t>AREA 1</t>
        </is>
      </c>
      <c r="E172" s="109" t="inlineStr">
        <is>
          <t>542910/C</t>
        </is>
      </c>
      <c r="F172" s="109" t="n">
        <v>200</v>
      </c>
      <c r="G172" s="109" t="inlineStr">
        <is>
          <t>02F211R(H2O MARE A E107N A/B)CONRTOLLO E RIPRISTINO MISURA DI PORTATA</t>
        </is>
      </c>
      <c r="H172" s="111" t="n"/>
      <c r="I172" s="111" t="n"/>
      <c r="J172" s="111" t="n"/>
      <c r="K172" s="111" t="n"/>
      <c r="L172" s="111" t="n"/>
      <c r="M172" s="109" t="inlineStr">
        <is>
          <t>DA CHIUDERE</t>
        </is>
      </c>
      <c r="N172" s="110" t="n"/>
      <c r="O172" s="168" t="n"/>
      <c r="P172" s="168" t="n"/>
      <c r="Q172" s="110" t="inlineStr">
        <is>
          <t>RIPRISTINATA FUNZIONALTA', SOSTITUITO TRASMETTORE.</t>
        </is>
      </c>
      <c r="R172" s="110" t="n">
        <v>45852</v>
      </c>
      <c r="S172" s="110" t="inlineStr">
        <is>
          <t>SPINALI</t>
        </is>
      </c>
      <c r="T172" s="114">
        <f>IF(AND('Inserimento dati'!$B$3=$H$2, TabellaA1[[#This Row],[LUN]]="X"), "X",IF(AND('Inserimento dati'!$B$3=$I$2, TabellaA1[[#This Row],[MAR]]="X"), "X", IF(AND('Inserimento dati'!$B$3=$J$2, TabellaA1[[#This Row],[MER]]="X"), "X",IF(AND('Inserimento dati'!$B$3=$K$2, TabellaA1[[#This Row],[GIO]]="X"), "X", IF(AND('Inserimento dati'!$B$3=$L$2, TabellaA1[[#This Row],[VEN]]="X"), "X","")))))</f>
        <v/>
      </c>
      <c r="U172" s="138">
        <f>IFERROR(MID(G172,_xlfn.AGGREGATE(15,6,(ROW(INDIRECT("1:"&amp;LEN(G172)-7)))/(ISNUMBER(--MID(G172,ROW(INDIRECT("1:"&amp;LEN(G172)-7)),8))),1),8),"")</f>
        <v/>
      </c>
      <c r="V172" t="inlineStr">
        <is>
          <t>2025-09-30 20:00:00</t>
        </is>
      </c>
    </row>
    <row r="173" ht="23.25" customFormat="1" customHeight="1" s="45">
      <c r="A173" s="112" t="n"/>
      <c r="B173" s="112" t="n"/>
      <c r="C173" s="112">
        <f>IF(OR(TabellaA1[[#This Row],[LUN]]="X",TabellaA1[[#This Row],[MAR]]="X",TabellaA1[[#This Row],[MER]]="X",TabellaA1[[#This Row],[GIO]]="X",TabellaA1[[#This Row],[VEN]]="X",),"X","")</f>
        <v/>
      </c>
      <c r="D173" s="113" t="inlineStr">
        <is>
          <t>AREA 1</t>
        </is>
      </c>
      <c r="E173" s="109" t="inlineStr">
        <is>
          <t>544810/C</t>
        </is>
      </c>
      <c r="F173" s="109" t="n">
        <v>400</v>
      </c>
      <c r="G173" s="109" t="inlineStr">
        <is>
          <t>400T679I Effluente reattore a 400-E-404 A/B RIPRISTINO FILETTATURA  TERMOCOPPIA</t>
        </is>
      </c>
      <c r="H173" s="111" t="n"/>
      <c r="I173" s="111" t="n"/>
      <c r="J173" s="111" t="n"/>
      <c r="K173" s="111" t="n"/>
      <c r="L173" s="111" t="n"/>
      <c r="M173" s="109" t="inlineStr">
        <is>
          <t>DA CHIUDERE</t>
        </is>
      </c>
      <c r="N173" s="110" t="n"/>
      <c r="O173" s="168" t="n"/>
      <c r="P173" s="168" t="n"/>
      <c r="Q173" s="110" t="inlineStr">
        <is>
          <t>SOSTITUZIONE NIPPLES SFILETTATO, TERMOCOPPIA RIPRISTINATA.</t>
        </is>
      </c>
      <c r="R173" s="110" t="n">
        <v>45868</v>
      </c>
      <c r="S173" s="110" t="inlineStr">
        <is>
          <t>TARASCIO</t>
        </is>
      </c>
      <c r="T173" s="114">
        <f>IF(AND('Inserimento dati'!$B$3=$H$2, TabellaA1[[#This Row],[LUN]]="X"), "X",IF(AND('Inserimento dati'!$B$3=$I$2, TabellaA1[[#This Row],[MAR]]="X"), "X", IF(AND('Inserimento dati'!$B$3=$J$2, TabellaA1[[#This Row],[MER]]="X"), "X",IF(AND('Inserimento dati'!$B$3=$K$2, TabellaA1[[#This Row],[GIO]]="X"), "X", IF(AND('Inserimento dati'!$B$3=$L$2, TabellaA1[[#This Row],[VEN]]="X"), "X","")))))</f>
        <v/>
      </c>
      <c r="U173" s="152" t="n"/>
      <c r="V173" t="inlineStr">
        <is>
          <t>2025-09-30 20:00:00</t>
        </is>
      </c>
    </row>
    <row r="174" ht="45" customFormat="1" customHeight="1" s="45">
      <c r="A174" s="112" t="n"/>
      <c r="B174" s="112" t="n"/>
      <c r="C174" s="112">
        <f>IF(OR(TabellaA1[[#This Row],[LUN]]="X",TabellaA1[[#This Row],[MAR]]="X",TabellaA1[[#This Row],[MER]]="X",TabellaA1[[#This Row],[GIO]]="X",TabellaA1[[#This Row],[VEN]]="X",),"X","")</f>
        <v/>
      </c>
      <c r="D174" s="113" t="inlineStr">
        <is>
          <t>AREA 1</t>
        </is>
      </c>
      <c r="E174" s="109" t="inlineStr">
        <is>
          <t>545833/C</t>
        </is>
      </c>
      <c r="F174" s="109" t="n">
        <v>100</v>
      </c>
      <c r="G174" s="109" t="inlineStr">
        <is>
          <t>100L013CV (D103) RIPRISTINO E RIFACIMENTO  PALINA DI SUPPORTO TRASDUTTORE DI SEGNALE VALVOLA(DOPO LE ATTIVITA PROPEDEUTICHE SERVIRA METTERE IN BY PASS LA VALVOLA)</t>
        </is>
      </c>
      <c r="H174" s="111" t="n"/>
      <c r="I174" s="111" t="n"/>
      <c r="J174" s="111" t="n"/>
      <c r="K174" s="111" t="n"/>
      <c r="L174" s="111" t="n"/>
      <c r="M174" s="109" t="inlineStr">
        <is>
          <t>DA CHIUDERE</t>
        </is>
      </c>
      <c r="N174" s="110" t="n"/>
      <c r="O174" s="168" t="n"/>
      <c r="P174" s="168" t="n"/>
      <c r="Q174" s="110" t="inlineStr">
        <is>
          <t>SOSTITUITA PALINA E RILOCATI INDICATORE E IP/CONVERTER</t>
        </is>
      </c>
      <c r="R174" s="110" t="n">
        <v>45882</v>
      </c>
      <c r="S174" s="110" t="inlineStr">
        <is>
          <t>DE LUCA</t>
        </is>
      </c>
      <c r="T174" s="114">
        <f>IF(AND('Inserimento dati'!$B$3=$H$2, TabellaA1[[#This Row],[LUN]]="X"), "X",IF(AND('Inserimento dati'!$B$3=$I$2, TabellaA1[[#This Row],[MAR]]="X"), "X", IF(AND('Inserimento dati'!$B$3=$J$2, TabellaA1[[#This Row],[MER]]="X"), "X",IF(AND('Inserimento dati'!$B$3=$K$2, TabellaA1[[#This Row],[GIO]]="X"), "X", IF(AND('Inserimento dati'!$B$3=$L$2, TabellaA1[[#This Row],[VEN]]="X"), "X","")))))</f>
        <v/>
      </c>
      <c r="U174" s="152" t="n"/>
      <c r="V174" t="inlineStr">
        <is>
          <t>2025-09-30 20:00:00</t>
        </is>
      </c>
    </row>
    <row r="175" ht="30" customFormat="1" customHeight="1" s="45">
      <c r="A175" s="112" t="n"/>
      <c r="B175" s="112" t="n"/>
      <c r="C175" s="112">
        <f>IF(OR(TabellaA1[[#This Row],[LUN]]="X",TabellaA1[[#This Row],[MAR]]="X",TabellaA1[[#This Row],[MER]]="X",TabellaA1[[#This Row],[GIO]]="X",TabellaA1[[#This Row],[VEN]]="X",),"X","")</f>
        <v/>
      </c>
      <c r="D175" s="113" t="inlineStr">
        <is>
          <t>AREA 1</t>
        </is>
      </c>
      <c r="E175" s="109" t="inlineStr">
        <is>
          <t>547638/C</t>
        </is>
      </c>
      <c r="F175" s="109" t="n">
        <v>100</v>
      </c>
      <c r="G175" s="109" t="inlineStr">
        <is>
          <t>100F016RC(INGRESSO F101 PASSO 4)CONTROLLO E RIPRISTINO MISURA DI PORTATA</t>
        </is>
      </c>
      <c r="H175" s="111" t="n"/>
      <c r="I175" s="111" t="n"/>
      <c r="J175" s="111" t="n"/>
      <c r="K175" s="111" t="n"/>
      <c r="L175" s="111" t="n"/>
      <c r="M175" s="109" t="inlineStr">
        <is>
          <t>DA CHIUDERE</t>
        </is>
      </c>
      <c r="N175" s="110" t="n"/>
      <c r="O175" s="168" t="n"/>
      <c r="P175" s="168" t="n"/>
      <c r="Q175" s="110" t="inlineStr">
        <is>
          <t>ESEGUITO RIEMPIMENTO, STRUMENTO ALLINEATO CON SALA CONTROLLO</t>
        </is>
      </c>
      <c r="R175" s="110" t="n">
        <v>45882</v>
      </c>
      <c r="S175" s="110" t="inlineStr">
        <is>
          <t>SPINALI</t>
        </is>
      </c>
      <c r="T175" s="114">
        <f>IF(AND('Inserimento dati'!$B$3=$H$2, TabellaA1[[#This Row],[LUN]]="X"), "X",IF(AND('Inserimento dati'!$B$3=$I$2, TabellaA1[[#This Row],[MAR]]="X"), "X", IF(AND('Inserimento dati'!$B$3=$J$2, TabellaA1[[#This Row],[MER]]="X"), "X",IF(AND('Inserimento dati'!$B$3=$K$2, TabellaA1[[#This Row],[GIO]]="X"), "X", IF(AND('Inserimento dati'!$B$3=$L$2, TabellaA1[[#This Row],[VEN]]="X"), "X","")))))</f>
        <v/>
      </c>
      <c r="U175" s="152" t="n"/>
      <c r="V175" t="inlineStr">
        <is>
          <t>2025-09-30 20:00:00</t>
        </is>
      </c>
    </row>
    <row r="176" ht="23.25" customFormat="1" customHeight="1" s="45">
      <c r="A176" s="112" t="n"/>
      <c r="B176" s="112" t="n"/>
      <c r="C176" s="112">
        <f>IF(OR(TabellaA1[[#This Row],[LUN]]="X",TabellaA1[[#This Row],[MAR]]="X",TabellaA1[[#This Row],[MER]]="X",TabellaA1[[#This Row],[GIO]]="X",TabellaA1[[#This Row],[VEN]]="X",),"X","")</f>
        <v/>
      </c>
      <c r="D176" s="113" t="inlineStr">
        <is>
          <t>AREA 1</t>
        </is>
      </c>
      <c r="E176" s="109" t="inlineStr">
        <is>
          <t>547637/C</t>
        </is>
      </c>
      <c r="F176" s="109" t="n">
        <v>300</v>
      </c>
      <c r="G176" s="109" t="inlineStr">
        <is>
          <t>300F016RC(TREAT GAS A U400)CONTROLLO E RIPRISTINO MISURA DI PORTATA</t>
        </is>
      </c>
      <c r="H176" s="111" t="n"/>
      <c r="I176" s="111" t="n"/>
      <c r="J176" s="111" t="n"/>
      <c r="K176" s="111" t="n"/>
      <c r="L176" s="111" t="n"/>
      <c r="M176" s="109" t="inlineStr">
        <is>
          <t>DA CHIUDERE</t>
        </is>
      </c>
      <c r="N176" s="110" t="n"/>
      <c r="O176" s="168" t="n"/>
      <c r="P176" s="168" t="n"/>
      <c r="Q176" s="110" t="inlineStr">
        <is>
          <t>AZZERATO STRUMENTO ED ALLINEATO CON SALA CONTROLLO</t>
        </is>
      </c>
      <c r="R176" s="110" t="n"/>
      <c r="S176" s="110" t="n"/>
      <c r="T176" s="114">
        <f>IF(AND('Inserimento dati'!$B$3=$H$2, TabellaA1[[#This Row],[LUN]]="X"), "X",IF(AND('Inserimento dati'!$B$3=$I$2, TabellaA1[[#This Row],[MAR]]="X"), "X", IF(AND('Inserimento dati'!$B$3=$J$2, TabellaA1[[#This Row],[MER]]="X"), "X",IF(AND('Inserimento dati'!$B$3=$K$2, TabellaA1[[#This Row],[GIO]]="X"), "X", IF(AND('Inserimento dati'!$B$3=$L$2, TabellaA1[[#This Row],[VEN]]="X"), "X","")))))</f>
        <v/>
      </c>
      <c r="U176" s="152" t="n"/>
      <c r="V176" t="inlineStr">
        <is>
          <t>2025-09-30 20:00:00</t>
        </is>
      </c>
    </row>
    <row r="177" ht="23.25" customFormat="1" customHeight="1" s="45">
      <c r="A177" s="112" t="n"/>
      <c r="B177" s="112" t="n"/>
      <c r="C177" s="112">
        <f>IF(OR(TabellaA1[[#This Row],[LUN]]="X",TabellaA1[[#This Row],[MAR]]="X",TabellaA1[[#This Row],[MER]]="X",TabellaA1[[#This Row],[GIO]]="X",TabellaA1[[#This Row],[VEN]]="X",),"X","")</f>
        <v/>
      </c>
      <c r="D177" s="113" t="inlineStr">
        <is>
          <t>AREA 1</t>
        </is>
      </c>
      <c r="E177" s="109" t="inlineStr">
        <is>
          <t>547922/C</t>
        </is>
      </c>
      <c r="F177" s="109" t="n">
        <v>400</v>
      </c>
      <c r="G177" s="109" t="inlineStr">
        <is>
          <t>IMP.400  FIL 101 CONTROLLO DELTA P MANOMETRI LOCALI</t>
        </is>
      </c>
      <c r="H177" s="111" t="n"/>
      <c r="I177" s="111" t="n"/>
      <c r="J177" s="111" t="n"/>
      <c r="K177" s="111" t="n"/>
      <c r="L177" s="111" t="n"/>
      <c r="M177" s="109" t="inlineStr">
        <is>
          <t>DA CHIUDERE</t>
        </is>
      </c>
      <c r="N177" s="110" t="n"/>
      <c r="O177" s="168" t="n"/>
      <c r="P177" s="168" t="n"/>
      <c r="Q177" s="110" t="inlineStr">
        <is>
          <t>CONTROLLO TARATURA, VERIFICA PRESE, NULLA DA SEGNALARE.</t>
        </is>
      </c>
      <c r="R177" s="110" t="n">
        <v>45888</v>
      </c>
      <c r="S177" s="110" t="inlineStr">
        <is>
          <t>LOMBARDO</t>
        </is>
      </c>
      <c r="T177" s="114">
        <f>IF(AND('Inserimento dati'!$B$3=$H$2, TabellaA1[[#This Row],[LUN]]="X"), "X",IF(AND('Inserimento dati'!$B$3=$I$2, TabellaA1[[#This Row],[MAR]]="X"), "X", IF(AND('Inserimento dati'!$B$3=$J$2, TabellaA1[[#This Row],[MER]]="X"), "X",IF(AND('Inserimento dati'!$B$3=$K$2, TabellaA1[[#This Row],[GIO]]="X"), "X", IF(AND('Inserimento dati'!$B$3=$L$2, TabellaA1[[#This Row],[VEN]]="X"), "X","")))))</f>
        <v/>
      </c>
      <c r="U177" s="152" t="n"/>
      <c r="V177" t="inlineStr">
        <is>
          <t>2025-09-30 20:00:00</t>
        </is>
      </c>
    </row>
    <row r="178" ht="45" customFormat="1" customHeight="1" s="45">
      <c r="A178" s="112" t="n"/>
      <c r="B178" s="112" t="n"/>
      <c r="C178" s="112">
        <f>IF(OR(TabellaA1[[#This Row],[LUN]]="X",TabellaA1[[#This Row],[MAR]]="X",TabellaA1[[#This Row],[MER]]="X",TabellaA1[[#This Row],[GIO]]="X",TabellaA1[[#This Row],[VEN]]="X",),"X","")</f>
        <v/>
      </c>
      <c r="D178" s="113" t="inlineStr">
        <is>
          <t>AREA 1</t>
        </is>
      </c>
      <c r="E178" s="109" t="inlineStr">
        <is>
          <t>547928/C</t>
        </is>
      </c>
      <c r="F178" s="109" t="n">
        <v>900</v>
      </c>
      <c r="G178" s="109" t="inlineStr">
        <is>
          <t>900T021I RIFLUSSO T103 CONTROLLO E RIPRISTINO TEMPERATURA</t>
        </is>
      </c>
      <c r="H178" s="111" t="n"/>
      <c r="I178" s="111" t="n"/>
      <c r="J178" s="111" t="n"/>
      <c r="K178" s="111" t="n"/>
      <c r="L178" s="111" t="n"/>
      <c r="M178" s="109" t="inlineStr">
        <is>
          <t>DA CHIUDERE</t>
        </is>
      </c>
      <c r="N178" s="110" t="n"/>
      <c r="O178" s="168" t="n"/>
      <c r="P178" s="168" t="n"/>
      <c r="Q178" s="110" t="inlineStr">
        <is>
          <t>CONTROLLATO TERMOELEMENTO E BARRIERA, OK. IL PROBLEMA ERA A QUADRO, DOPO AVER FATTO IL RESET E' RIENTRATA LA TEMPERATURA</t>
        </is>
      </c>
      <c r="R178" s="110" t="n">
        <v>45888</v>
      </c>
      <c r="S178" s="110" t="inlineStr">
        <is>
          <t>LOMBARDO</t>
        </is>
      </c>
      <c r="T178" s="114">
        <f>IF(AND('Inserimento dati'!$B$3=$H$2, TabellaA1[[#This Row],[LUN]]="X"), "X",IF(AND('Inserimento dati'!$B$3=$I$2, TabellaA1[[#This Row],[MAR]]="X"), "X", IF(AND('Inserimento dati'!$B$3=$J$2, TabellaA1[[#This Row],[MER]]="X"), "X",IF(AND('Inserimento dati'!$B$3=$K$2, TabellaA1[[#This Row],[GIO]]="X"), "X", IF(AND('Inserimento dati'!$B$3=$L$2, TabellaA1[[#This Row],[VEN]]="X"), "X","")))))</f>
        <v/>
      </c>
      <c r="U178" s="152" t="n"/>
      <c r="V178" t="inlineStr">
        <is>
          <t>2025-09-30 20:00:00</t>
        </is>
      </c>
    </row>
    <row r="179" ht="30" customFormat="1" customHeight="1" s="45">
      <c r="A179" s="112" t="n"/>
      <c r="B179" s="112" t="n"/>
      <c r="C179" s="112">
        <f>IF(OR(TabellaA1[[#This Row],[LUN]]="X",TabellaA1[[#This Row],[MAR]]="X",TabellaA1[[#This Row],[MER]]="X",TabellaA1[[#This Row],[GIO]]="X",TabellaA1[[#This Row],[VEN]]="X",),"X","")</f>
        <v/>
      </c>
      <c r="D179" s="113" t="inlineStr">
        <is>
          <t>AREA 1</t>
        </is>
      </c>
      <c r="E179" s="109" t="inlineStr">
        <is>
          <t>548458/C</t>
        </is>
      </c>
      <c r="F179" s="109" t="n">
        <v>200</v>
      </c>
      <c r="G179" s="109" t="inlineStr">
        <is>
          <t>200F358RC(TREAT GAS A E301A/D)CONTROLLO LOOP DI RGOLAZIONE PARTENDO DALLA PORTATA</t>
        </is>
      </c>
      <c r="H179" s="111" t="n"/>
      <c r="I179" s="111" t="n"/>
      <c r="J179" s="111" t="n"/>
      <c r="K179" s="111" t="n"/>
      <c r="L179" s="111" t="n"/>
      <c r="M179" s="109" t="inlineStr">
        <is>
          <t>DA CHIUDERE</t>
        </is>
      </c>
      <c r="N179" s="110" t="n"/>
      <c r="O179" s="168" t="n"/>
      <c r="P179" s="168" t="n"/>
      <c r="Q179" s="110" t="n"/>
      <c r="R179" s="110" t="n"/>
      <c r="S179" s="110" t="n"/>
      <c r="T179" s="114">
        <f>IF(AND('Inserimento dati'!$B$3=$H$2, TabellaA1[[#This Row],[LUN]]="X"), "X",IF(AND('Inserimento dati'!$B$3=$I$2, TabellaA1[[#This Row],[MAR]]="X"), "X", IF(AND('Inserimento dati'!$B$3=$J$2, TabellaA1[[#This Row],[MER]]="X"), "X",IF(AND('Inserimento dati'!$B$3=$K$2, TabellaA1[[#This Row],[GIO]]="X"), "X", IF(AND('Inserimento dati'!$B$3=$L$2, TabellaA1[[#This Row],[VEN]]="X"), "X","")))))</f>
        <v/>
      </c>
      <c r="U179" s="152" t="n"/>
      <c r="V179" t="inlineStr">
        <is>
          <t>2025-09-30 20:00:00</t>
        </is>
      </c>
    </row>
    <row r="180" ht="30" customFormat="1" customHeight="1" s="45">
      <c r="A180" s="112" t="n"/>
      <c r="B180" s="112" t="n"/>
      <c r="C180" s="112">
        <f>IF(OR(TabellaA1[[#This Row],[LUN]]="X",TabellaA1[[#This Row],[MAR]]="X",TabellaA1[[#This Row],[MER]]="X",TabellaA1[[#This Row],[GIO]]="X",TabellaA1[[#This Row],[VEN]]="X",),"X","")</f>
        <v/>
      </c>
      <c r="D180" s="113" t="inlineStr">
        <is>
          <t>AREA 1</t>
        </is>
      </c>
      <c r="E180" s="109" t="inlineStr">
        <is>
          <t>548424/C</t>
        </is>
      </c>
      <c r="F180" s="109" t="n">
        <v>200</v>
      </c>
      <c r="G180" s="109" t="inlineStr">
        <is>
          <t>200P011CV SMONTAGGIO/MONTAGGIO VALVOLA PER SOSTITUZIONE E RIFACIMENTO TUBING PER COLLEGAMENTO PNEUMATICO CON RELATIVE PROVE DI FUNZIONALITA</t>
        </is>
      </c>
      <c r="H180" s="111" t="n"/>
      <c r="I180" s="111" t="n"/>
      <c r="J180" s="111" t="n"/>
      <c r="K180" s="111" t="n"/>
      <c r="L180" s="111" t="n"/>
      <c r="M180" s="109" t="inlineStr">
        <is>
          <t>DA CHIUDERE</t>
        </is>
      </c>
      <c r="N180" s="110" t="n"/>
      <c r="O180" s="168" t="n"/>
      <c r="P180" s="168" t="n"/>
      <c r="Q180" s="110" t="n"/>
      <c r="R180" s="110" t="n"/>
      <c r="S180" s="110" t="n"/>
      <c r="T180" s="114">
        <f>IF(AND('Inserimento dati'!$B$3=$H$2, TabellaA1[[#This Row],[LUN]]="X"), "X",IF(AND('Inserimento dati'!$B$3=$I$2, TabellaA1[[#This Row],[MAR]]="X"), "X", IF(AND('Inserimento dati'!$B$3=$J$2, TabellaA1[[#This Row],[MER]]="X"), "X",IF(AND('Inserimento dati'!$B$3=$K$2, TabellaA1[[#This Row],[GIO]]="X"), "X", IF(AND('Inserimento dati'!$B$3=$L$2, TabellaA1[[#This Row],[VEN]]="X"), "X","")))))</f>
        <v/>
      </c>
      <c r="U180" s="152" t="n"/>
      <c r="V180" t="inlineStr">
        <is>
          <t>2025-09-30 20:00:00</t>
        </is>
      </c>
    </row>
    <row r="181" ht="23.25" customFormat="1" customHeight="1" s="45">
      <c r="A181" s="112" t="n"/>
      <c r="B181" s="112" t="n"/>
      <c r="C181" s="112">
        <f>IF(OR(TabellaA1[[#This Row],[LUN]]="X",TabellaA1[[#This Row],[MAR]]="X",TabellaA1[[#This Row],[MER]]="X",TabellaA1[[#This Row],[GIO]]="X",TabellaA1[[#This Row],[VEN]]="X",),"X","")</f>
        <v/>
      </c>
      <c r="D181" s="113" t="inlineStr">
        <is>
          <t>AREA 1</t>
        </is>
      </c>
      <c r="E181" s="109" t="inlineStr">
        <is>
          <t>548722/C</t>
        </is>
      </c>
      <c r="F181" s="109" t="n">
        <v>100</v>
      </c>
      <c r="G181" s="109" t="inlineStr">
        <is>
          <t>100L501LB (ABBASSAMENTO ASTA K651B)CONTROLLO E RIPRISTINO PRESSOSTATO</t>
        </is>
      </c>
      <c r="H181" s="111" t="n"/>
      <c r="I181" s="111" t="n"/>
      <c r="J181" s="111" t="n"/>
      <c r="K181" s="111" t="n"/>
      <c r="L181" s="111" t="n"/>
      <c r="M181" s="109" t="inlineStr">
        <is>
          <t>DA CHIUDERE</t>
        </is>
      </c>
      <c r="N181" s="110" t="n"/>
      <c r="O181" s="168" t="n"/>
      <c r="P181" s="168" t="n"/>
      <c r="Q181" s="110" t="n"/>
      <c r="R181" s="110" t="n">
        <v>45895</v>
      </c>
      <c r="S181" s="110" t="inlineStr">
        <is>
          <t>SPINALI</t>
        </is>
      </c>
      <c r="T181" s="114">
        <f>IF(AND('Inserimento dati'!$B$3=$H$2, TabellaA1[[#This Row],[LUN]]="X"), "X",IF(AND('Inserimento dati'!$B$3=$I$2, TabellaA1[[#This Row],[MAR]]="X"), "X", IF(AND('Inserimento dati'!$B$3=$J$2, TabellaA1[[#This Row],[MER]]="X"), "X",IF(AND('Inserimento dati'!$B$3=$K$2, TabellaA1[[#This Row],[GIO]]="X"), "X", IF(AND('Inserimento dati'!$B$3=$L$2, TabellaA1[[#This Row],[VEN]]="X"), "X","")))))</f>
        <v/>
      </c>
      <c r="U181" s="152" t="n"/>
      <c r="V181" t="inlineStr">
        <is>
          <t>2025-09-30 20:00:00</t>
        </is>
      </c>
    </row>
    <row r="182" ht="23.25" customFormat="1" customHeight="1" s="45">
      <c r="A182" s="112" t="n"/>
      <c r="B182" s="112" t="n"/>
      <c r="C182" s="112">
        <f>IF(OR(TabellaA1[[#This Row],[LUN]]="X",TabellaA1[[#This Row],[MAR]]="X",TabellaA1[[#This Row],[MER]]="X",TabellaA1[[#This Row],[GIO]]="X",TabellaA1[[#This Row],[VEN]]="X",),"X","")</f>
        <v/>
      </c>
      <c r="D182" s="113" t="inlineStr">
        <is>
          <t>AREA 1</t>
        </is>
      </c>
      <c r="E182" s="109" t="inlineStr">
        <is>
          <t>548459/C</t>
        </is>
      </c>
      <c r="F182" s="109" t="n">
        <v>300</v>
      </c>
      <c r="G182" s="109" t="inlineStr">
        <is>
          <t>300F001R(CARICA DA STOCC.  A D101)CONTROLLO E TARATURA  PORTATA</t>
        </is>
      </c>
      <c r="H182" s="111" t="n"/>
      <c r="I182" s="111" t="n"/>
      <c r="J182" s="111" t="n"/>
      <c r="K182" s="111" t="n"/>
      <c r="L182" s="111" t="n"/>
      <c r="M182" s="109" t="inlineStr">
        <is>
          <t>DA CHIUDERE</t>
        </is>
      </c>
      <c r="N182" s="110" t="n"/>
      <c r="O182" s="168" t="n"/>
      <c r="P182" s="168" t="n"/>
      <c r="Q182" s="110" t="inlineStr">
        <is>
          <t>PRIMARI TAPPATI, ESEGUITA STASATURA E SOSTITUITA BARRIERA</t>
        </is>
      </c>
      <c r="R182" s="110" t="n">
        <v>45896</v>
      </c>
      <c r="S182" s="110" t="inlineStr">
        <is>
          <t>SPINALI</t>
        </is>
      </c>
      <c r="T182" s="114">
        <f>IF(AND('Inserimento dati'!$B$3=$H$2, TabellaA1[[#This Row],[LUN]]="X"), "X",IF(AND('Inserimento dati'!$B$3=$I$2, TabellaA1[[#This Row],[MAR]]="X"), "X", IF(AND('Inserimento dati'!$B$3=$J$2, TabellaA1[[#This Row],[MER]]="X"), "X",IF(AND('Inserimento dati'!$B$3=$K$2, TabellaA1[[#This Row],[GIO]]="X"), "X", IF(AND('Inserimento dati'!$B$3=$L$2, TabellaA1[[#This Row],[VEN]]="X"), "X","")))))</f>
        <v/>
      </c>
      <c r="U182" s="152" t="n"/>
      <c r="V182" t="inlineStr">
        <is>
          <t>2025-09-30 20:00:00</t>
        </is>
      </c>
    </row>
    <row r="183" ht="30" customFormat="1" customHeight="1" s="45">
      <c r="A183" s="112" t="n"/>
      <c r="B183" s="112" t="n"/>
      <c r="C183" s="112">
        <f>IF(OR(TabellaA1[[#This Row],[LUN]]="X",TabellaA1[[#This Row],[MAR]]="X",TabellaA1[[#This Row],[MER]]="X",TabellaA1[[#This Row],[GIO]]="X",TabellaA1[[#This Row],[VEN]]="X",),"X","")</f>
        <v/>
      </c>
      <c r="D183" s="113" t="inlineStr">
        <is>
          <t>AREA 1</t>
        </is>
      </c>
      <c r="E183" s="109" t="inlineStr">
        <is>
          <t>548825/C</t>
        </is>
      </c>
      <c r="F183" s="109" t="n">
        <v>300</v>
      </c>
      <c r="G183" s="109" t="inlineStr">
        <is>
          <t>300F151R CONTROLLO E RIPRISTINO FUNZIONALITA CON STASAMENTO PRIMARI/RADICI</t>
        </is>
      </c>
      <c r="H183" s="111" t="n"/>
      <c r="I183" s="111" t="n"/>
      <c r="J183" s="111" t="n"/>
      <c r="K183" s="111" t="n"/>
      <c r="L183" s="111" t="n"/>
      <c r="M183" s="109" t="inlineStr">
        <is>
          <t>DA CHIUDERE</t>
        </is>
      </c>
      <c r="N183" s="110" t="n"/>
      <c r="O183" s="168" t="n"/>
      <c r="P183" s="168" t="n"/>
      <c r="Q183" s="110" t="inlineStr">
        <is>
          <t>VALVOLA DI RADICE NEGATIVA BLOCCATA APERTA, PRIMARIO POSITIVO TAPPATO E VALVOLA DI RADICE POSITIVA NON FA' TENUTA</t>
        </is>
      </c>
      <c r="R183" s="110" t="n">
        <v>45896</v>
      </c>
      <c r="S183" s="110" t="inlineStr">
        <is>
          <t>SPINALI</t>
        </is>
      </c>
      <c r="T183" s="114">
        <f>IF(AND('Inserimento dati'!$B$3=$H$2, TabellaA1[[#This Row],[LUN]]="X"), "X",IF(AND('Inserimento dati'!$B$3=$I$2, TabellaA1[[#This Row],[MAR]]="X"), "X", IF(AND('Inserimento dati'!$B$3=$J$2, TabellaA1[[#This Row],[MER]]="X"), "X",IF(AND('Inserimento dati'!$B$3=$K$2, TabellaA1[[#This Row],[GIO]]="X"), "X", IF(AND('Inserimento dati'!$B$3=$L$2, TabellaA1[[#This Row],[VEN]]="X"), "X","")))))</f>
        <v/>
      </c>
      <c r="U183" s="152" t="n"/>
      <c r="V183" t="inlineStr">
        <is>
          <t>2025-09-30 20:00:00</t>
        </is>
      </c>
    </row>
    <row r="184" ht="23.25" customFormat="1" customHeight="1" s="45">
      <c r="A184" s="112" t="n"/>
      <c r="B184" s="112" t="n"/>
      <c r="C184" s="112">
        <f>IF(OR(TabellaA1[[#This Row],[LUN]]="X",TabellaA1[[#This Row],[MAR]]="X",TabellaA1[[#This Row],[MER]]="X",TabellaA1[[#This Row],[GIO]]="X",TabellaA1[[#This Row],[VEN]]="X",),"X","")</f>
        <v/>
      </c>
      <c r="D184" s="113" t="inlineStr">
        <is>
          <t>AREA 1</t>
        </is>
      </c>
      <c r="E184" s="109" t="inlineStr">
        <is>
          <t>547934/C</t>
        </is>
      </c>
      <c r="F184" s="109" t="n">
        <v>100</v>
      </c>
      <c r="G184" s="109" t="inlineStr">
        <is>
          <t>100T076I (USCITA FUMI LATO OVEST F101) CONTROLLO E RIPRISTINO TEMPERATURA</t>
        </is>
      </c>
      <c r="H184" s="111" t="n"/>
      <c r="I184" s="111" t="n"/>
      <c r="J184" s="111" t="n"/>
      <c r="K184" s="111" t="n"/>
      <c r="L184" s="111" t="n"/>
      <c r="M184" s="109" t="inlineStr">
        <is>
          <t>DA CHIUDERE</t>
        </is>
      </c>
      <c r="N184" s="110" t="n"/>
      <c r="O184" s="168" t="n"/>
      <c r="P184" s="168" t="n"/>
      <c r="Q184" s="110" t="n"/>
      <c r="R184" s="110" t="n">
        <v>45889</v>
      </c>
      <c r="S184" s="110" t="inlineStr">
        <is>
          <t>SPINALI</t>
        </is>
      </c>
      <c r="T184" s="114">
        <f>IF(AND('Inserimento dati'!$B$3=$H$2, TabellaA1[[#This Row],[LUN]]="X"), "X",IF(AND('Inserimento dati'!$B$3=$I$2, TabellaA1[[#This Row],[MAR]]="X"), "X", IF(AND('Inserimento dati'!$B$3=$J$2, TabellaA1[[#This Row],[MER]]="X"), "X",IF(AND('Inserimento dati'!$B$3=$K$2, TabellaA1[[#This Row],[GIO]]="X"), "X", IF(AND('Inserimento dati'!$B$3=$L$2, TabellaA1[[#This Row],[VEN]]="X"), "X","")))))</f>
        <v/>
      </c>
      <c r="U184" s="152" t="n"/>
      <c r="V184" t="inlineStr">
        <is>
          <t>2025-09-30 20:00:00</t>
        </is>
      </c>
    </row>
    <row r="185" ht="23.25" customFormat="1" customHeight="1" s="45">
      <c r="A185" s="112" t="n"/>
      <c r="B185" s="112" t="n"/>
      <c r="C185" s="112">
        <f>IF(OR(TabellaA1[[#This Row],[LUN]]="X",TabellaA1[[#This Row],[MAR]]="X",TabellaA1[[#This Row],[MER]]="X",TabellaA1[[#This Row],[GIO]]="X",TabellaA1[[#This Row],[VEN]]="X",),"X","")</f>
        <v/>
      </c>
      <c r="D185" s="113" t="inlineStr">
        <is>
          <t>AREA 1</t>
        </is>
      </c>
      <c r="E185" s="109" t="inlineStr">
        <is>
          <t>548939/C</t>
        </is>
      </c>
      <c r="F185" s="109" t="n">
        <v>100</v>
      </c>
      <c r="G185" s="109" t="inlineStr">
        <is>
          <t>100F024rc(residuo a u600)controllo loop di regolazione partendo dalla portata</t>
        </is>
      </c>
      <c r="H185" s="111" t="n"/>
      <c r="I185" s="111" t="n"/>
      <c r="J185" s="111" t="n"/>
      <c r="K185" s="111" t="n"/>
      <c r="L185" s="111" t="n"/>
      <c r="M185" s="109" t="inlineStr">
        <is>
          <t>DA CHIUDERE</t>
        </is>
      </c>
      <c r="N185" s="110" t="n"/>
      <c r="O185" s="168" t="n"/>
      <c r="P185" s="168" t="n"/>
      <c r="Q185" s="110" t="n"/>
      <c r="R185" s="110" t="n">
        <v>45897</v>
      </c>
      <c r="S185" s="110" t="inlineStr">
        <is>
          <t>SPINALI</t>
        </is>
      </c>
      <c r="T185" s="114">
        <f>IF(AND('Inserimento dati'!$B$3=$H$2, TabellaA1[[#This Row],[LUN]]="X"), "X",IF(AND('Inserimento dati'!$B$3=$I$2, TabellaA1[[#This Row],[MAR]]="X"), "X", IF(AND('Inserimento dati'!$B$3=$J$2, TabellaA1[[#This Row],[MER]]="X"), "X",IF(AND('Inserimento dati'!$B$3=$K$2, TabellaA1[[#This Row],[GIO]]="X"), "X", IF(AND('Inserimento dati'!$B$3=$L$2, TabellaA1[[#This Row],[VEN]]="X"), "X","")))))</f>
        <v/>
      </c>
      <c r="U185" s="152" t="n"/>
      <c r="V185" t="inlineStr">
        <is>
          <t>2025-09-30 20:00:00</t>
        </is>
      </c>
    </row>
    <row r="186" ht="30" customFormat="1" customHeight="1" s="45">
      <c r="A186" s="112" t="n"/>
      <c r="B186" s="112" t="n"/>
      <c r="C186" s="112">
        <f>IF(OR(TabellaA1[[#This Row],[LUN]]="X",TabellaA1[[#This Row],[MAR]]="X",TabellaA1[[#This Row],[MER]]="X",TabellaA1[[#This Row],[GIO]]="X",TabellaA1[[#This Row],[VEN]]="X",),"X","")</f>
        <v/>
      </c>
      <c r="D186" s="113" t="inlineStr">
        <is>
          <t>AREA 1</t>
        </is>
      </c>
      <c r="E186" s="109" t="inlineStr">
        <is>
          <t>548944/C</t>
        </is>
      </c>
      <c r="F186" s="109" t="n">
        <v>900</v>
      </c>
      <c r="G186" s="109" t="inlineStr">
        <is>
          <t>900F003RC(RIFLUSSO T101 SPLITTER C3/C4)controllo loop di regolazione partendo dalla portata</t>
        </is>
      </c>
      <c r="H186" s="111" t="n"/>
      <c r="I186" s="111" t="n"/>
      <c r="J186" s="111" t="n"/>
      <c r="K186" s="111" t="n"/>
      <c r="L186" s="111" t="n"/>
      <c r="M186" s="109" t="inlineStr">
        <is>
          <t>DA CHIUDERE</t>
        </is>
      </c>
      <c r="N186" s="110" t="n"/>
      <c r="O186" s="168" t="n"/>
      <c r="P186" s="168" t="n"/>
      <c r="Q186" s="110" t="inlineStr">
        <is>
          <t>NESSUNA ANOMALIA</t>
        </is>
      </c>
      <c r="R186" s="110" t="n">
        <v>45897</v>
      </c>
      <c r="S186" s="110" t="inlineStr">
        <is>
          <t>TARASCIO</t>
        </is>
      </c>
      <c r="T186" s="114">
        <f>IF(AND('Inserimento dati'!$B$3=$H$2, TabellaA1[[#This Row],[LUN]]="X"), "X",IF(AND('Inserimento dati'!$B$3=$I$2, TabellaA1[[#This Row],[MAR]]="X"), "X", IF(AND('Inserimento dati'!$B$3=$J$2, TabellaA1[[#This Row],[MER]]="X"), "X",IF(AND('Inserimento dati'!$B$3=$K$2, TabellaA1[[#This Row],[GIO]]="X"), "X", IF(AND('Inserimento dati'!$B$3=$L$2, TabellaA1[[#This Row],[VEN]]="X"), "X","")))))</f>
        <v/>
      </c>
      <c r="U186" s="152" t="n"/>
      <c r="V186" t="inlineStr">
        <is>
          <t>2025-09-30 20:00:00</t>
        </is>
      </c>
    </row>
    <row r="187" ht="23.25" customFormat="1" customHeight="1" s="45">
      <c r="A187" s="112" t="n"/>
      <c r="B187" s="112" t="n"/>
      <c r="C187" s="112">
        <f>IF(OR(TabellaA1[[#This Row],[LUN]]="X",TabellaA1[[#This Row],[MAR]]="X",TabellaA1[[#This Row],[MER]]="X",TabellaA1[[#This Row],[GIO]]="X",TabellaA1[[#This Row],[VEN]]="X",),"X","")</f>
        <v/>
      </c>
      <c r="D187" s="113" t="inlineStr">
        <is>
          <t>AREA 1</t>
        </is>
      </c>
      <c r="E187" s="109" t="inlineStr">
        <is>
          <t>549105/C</t>
        </is>
      </c>
      <c r="F187" s="109" t="n">
        <v>400</v>
      </c>
      <c r="G187" s="109" t="inlineStr">
        <is>
          <t>400L005HA (K.O. DRUM FUEL GAS)CONTROLLO E RIPRISTINO LIVELLOSTATO</t>
        </is>
      </c>
      <c r="H187" s="111" t="n"/>
      <c r="I187" s="111" t="n"/>
      <c r="J187" s="111" t="n"/>
      <c r="K187" s="111" t="n"/>
      <c r="L187" s="111" t="n"/>
      <c r="M187" s="109" t="inlineStr">
        <is>
          <t>DA CHIUDERE</t>
        </is>
      </c>
      <c r="N187" s="110" t="n"/>
      <c r="O187" s="168" t="n"/>
      <c r="P187" s="168" t="n"/>
      <c r="Q187" s="110" t="n"/>
      <c r="R187" s="110" t="n">
        <v>45898</v>
      </c>
      <c r="S187" s="110" t="inlineStr">
        <is>
          <t>SPINALI</t>
        </is>
      </c>
      <c r="T187" s="114">
        <f>IF(AND('Inserimento dati'!$B$3=$H$2, TabellaA1[[#This Row],[LUN]]="X"), "X",IF(AND('Inserimento dati'!$B$3=$I$2, TabellaA1[[#This Row],[MAR]]="X"), "X", IF(AND('Inserimento dati'!$B$3=$J$2, TabellaA1[[#This Row],[MER]]="X"), "X",IF(AND('Inserimento dati'!$B$3=$K$2, TabellaA1[[#This Row],[GIO]]="X"), "X", IF(AND('Inserimento dati'!$B$3=$L$2, TabellaA1[[#This Row],[VEN]]="X"), "X","")))))</f>
        <v/>
      </c>
      <c r="U187" s="152" t="n"/>
      <c r="V187" t="inlineStr">
        <is>
          <t>2025-09-30 20:00:00</t>
        </is>
      </c>
    </row>
    <row r="188" ht="30" customFormat="1" customHeight="1" s="45">
      <c r="A188" s="112" t="n"/>
      <c r="B188" s="112" t="n"/>
      <c r="C188" s="112">
        <f>IF(OR(TabellaA1[[#This Row],[LUN]]="X",TabellaA1[[#This Row],[MAR]]="X",TabellaA1[[#This Row],[MER]]="X",TabellaA1[[#This Row],[GIO]]="X",TabellaA1[[#This Row],[VEN]]="X",),"X","")</f>
        <v/>
      </c>
      <c r="D188" s="113" t="inlineStr">
        <is>
          <t>AREA 1</t>
        </is>
      </c>
      <c r="E188" s="109" t="inlineStr">
        <is>
          <t>548947/C</t>
        </is>
      </c>
      <c r="F188" s="109" t="n">
        <v>900</v>
      </c>
      <c r="G188" s="109" t="inlineStr">
        <is>
          <t>900F015RC(RIC.FONDO T103))controllo loop di regolazione partendo dalla portata</t>
        </is>
      </c>
      <c r="H188" s="111" t="n"/>
      <c r="I188" s="111" t="n"/>
      <c r="J188" s="111" t="n"/>
      <c r="K188" s="111" t="n"/>
      <c r="L188" s="111" t="n"/>
      <c r="M188" s="109" t="inlineStr">
        <is>
          <t>DA CHIUDERE</t>
        </is>
      </c>
      <c r="N188" s="110" t="n"/>
      <c r="O188" s="168" t="n"/>
      <c r="P188" s="168" t="n"/>
      <c r="Q188" s="110" t="inlineStr">
        <is>
          <t>STRUMENTO SOSTITUITO. VALVOLA D'INTERCETTO POSITIVA NON FA PERFETTA TENUTA.</t>
        </is>
      </c>
      <c r="R188" s="110" t="n">
        <v>45898</v>
      </c>
      <c r="S188" s="110" t="inlineStr">
        <is>
          <t>SPINALI</t>
        </is>
      </c>
      <c r="T188" s="114">
        <f>IF(AND('Inserimento dati'!$B$3=$H$2, TabellaA1[[#This Row],[LUN]]="X"), "X",IF(AND('Inserimento dati'!$B$3=$I$2, TabellaA1[[#This Row],[MAR]]="X"), "X", IF(AND('Inserimento dati'!$B$3=$J$2, TabellaA1[[#This Row],[MER]]="X"), "X",IF(AND('Inserimento dati'!$B$3=$K$2, TabellaA1[[#This Row],[GIO]]="X"), "X", IF(AND('Inserimento dati'!$B$3=$L$2, TabellaA1[[#This Row],[VEN]]="X"), "X","")))))</f>
        <v/>
      </c>
      <c r="U188" s="152" t="n"/>
      <c r="V188" t="inlineStr">
        <is>
          <t>2025-09-30 20:00:00</t>
        </is>
      </c>
    </row>
    <row r="189" ht="23.25" customFormat="1" customHeight="1" s="45">
      <c r="A189" s="112" t="n"/>
      <c r="B189" s="112" t="n"/>
      <c r="C189" s="112">
        <f>IF(OR(TabellaA1[[#This Row],[LUN]]="X",TabellaA1[[#This Row],[MAR]]="X",TabellaA1[[#This Row],[MER]]="X",TabellaA1[[#This Row],[GIO]]="X",TabellaA1[[#This Row],[VEN]]="X",),"X","")</f>
        <v/>
      </c>
      <c r="D189" s="113" t="inlineStr">
        <is>
          <t>AREA 1</t>
        </is>
      </c>
      <c r="E189" s="109" t="inlineStr">
        <is>
          <t>549261/C</t>
        </is>
      </c>
      <c r="F189" s="109" t="n">
        <v>900</v>
      </c>
      <c r="G189" s="109" t="inlineStr">
        <is>
          <t>IMP.900 TK101 06T007RC RIPRISTINO FUNZIONALITA TEMPERATURA</t>
        </is>
      </c>
      <c r="H189" s="111" t="n"/>
      <c r="I189" s="111" t="n"/>
      <c r="J189" s="111" t="n"/>
      <c r="K189" s="111" t="n"/>
      <c r="L189" s="111" t="n"/>
      <c r="M189" s="109" t="inlineStr">
        <is>
          <t>DA CHIUDERE</t>
        </is>
      </c>
      <c r="N189" s="110" t="n"/>
      <c r="O189" s="168" t="n"/>
      <c r="P189" s="168" t="n"/>
      <c r="Q189" s="110" t="inlineStr">
        <is>
          <t>ESEGUITO RIPRISTINO DELLE FUNZIONALITA'</t>
        </is>
      </c>
      <c r="R189" s="110" t="n">
        <v>45901</v>
      </c>
      <c r="S189" s="110" t="inlineStr">
        <is>
          <t>SPINALI</t>
        </is>
      </c>
      <c r="T189" s="114">
        <f>IF(AND('Inserimento dati'!$B$3=$H$2, TabellaA1[[#This Row],[LUN]]="X"), "X",IF(AND('Inserimento dati'!$B$3=$I$2, TabellaA1[[#This Row],[MAR]]="X"), "X", IF(AND('Inserimento dati'!$B$3=$J$2, TabellaA1[[#This Row],[MER]]="X"), "X",IF(AND('Inserimento dati'!$B$3=$K$2, TabellaA1[[#This Row],[GIO]]="X"), "X", IF(AND('Inserimento dati'!$B$3=$L$2, TabellaA1[[#This Row],[VEN]]="X"), "X","")))))</f>
        <v/>
      </c>
      <c r="U189" s="152" t="n"/>
      <c r="V189" t="inlineStr">
        <is>
          <t>2025-09-30 20:00:00</t>
        </is>
      </c>
    </row>
    <row r="190" ht="23.25" customFormat="1" customHeight="1" s="45">
      <c r="A190" s="112" t="n"/>
      <c r="B190" s="112" t="n"/>
      <c r="C190" s="112">
        <f>IF(OR(TabellaA1[[#This Row],[LUN]]="X",TabellaA1[[#This Row],[MAR]]="X",TabellaA1[[#This Row],[MER]]="X",TabellaA1[[#This Row],[GIO]]="X",TabellaA1[[#This Row],[VEN]]="X",),"X","")</f>
        <v/>
      </c>
      <c r="D190" s="113" t="inlineStr">
        <is>
          <t>AREA 1</t>
        </is>
      </c>
      <c r="E190" s="109" t="inlineStr">
        <is>
          <t>549454/C</t>
        </is>
      </c>
      <c r="F190" s="109" t="inlineStr">
        <is>
          <t>200A</t>
        </is>
      </c>
      <c r="G190" s="109" t="inlineStr">
        <is>
          <t>200F457RC (RIFLUSSO  T301)CONTROLLO E RIPRISTINO PERDITA SU PRIMARI STRUMENTO</t>
        </is>
      </c>
      <c r="H190" s="111" t="n"/>
      <c r="I190" s="111" t="n"/>
      <c r="J190" s="111" t="n"/>
      <c r="K190" s="111" t="n"/>
      <c r="L190" s="111" t="n"/>
      <c r="M190" s="109" t="inlineStr">
        <is>
          <t>DA CHIUDERE</t>
        </is>
      </c>
      <c r="N190" s="110" t="n"/>
      <c r="O190" s="168" t="n"/>
      <c r="P190" s="168" t="n"/>
      <c r="Q190" s="110" t="inlineStr">
        <is>
          <t>ESEGUITO RIFACIMENTO PRIMARI, RIPRISTINATA FUNZIONALITA'</t>
        </is>
      </c>
      <c r="R190" s="110" t="n">
        <v>45903</v>
      </c>
      <c r="S190" s="110" t="inlineStr">
        <is>
          <t>SPINALI</t>
        </is>
      </c>
      <c r="T190" s="114">
        <f>IF(AND('Inserimento dati'!$B$3=$H$2, TabellaA1[[#This Row],[LUN]]="X"), "X",IF(AND('Inserimento dati'!$B$3=$I$2, TabellaA1[[#This Row],[MAR]]="X"), "X", IF(AND('Inserimento dati'!$B$3=$J$2, TabellaA1[[#This Row],[MER]]="X"), "X",IF(AND('Inserimento dati'!$B$3=$K$2, TabellaA1[[#This Row],[GIO]]="X"), "X", IF(AND('Inserimento dati'!$B$3=$L$2, TabellaA1[[#This Row],[VEN]]="X"), "X","")))))</f>
        <v/>
      </c>
      <c r="U190" s="152" t="n"/>
      <c r="V190" t="inlineStr">
        <is>
          <t>2025-09-30 20:00:00</t>
        </is>
      </c>
    </row>
    <row r="191" ht="23.25" customFormat="1" customHeight="1" s="45">
      <c r="A191" s="112" t="n"/>
      <c r="B191" s="112" t="n"/>
      <c r="C191" s="112">
        <f>IF(OR(TabellaA1[[#This Row],[LUN]]="X",TabellaA1[[#This Row],[MAR]]="X",TabellaA1[[#This Row],[MER]]="X",TabellaA1[[#This Row],[GIO]]="X",TabellaA1[[#This Row],[VEN]]="X",),"X","")</f>
        <v/>
      </c>
      <c r="D191" s="113" t="inlineStr">
        <is>
          <t>AREA 1</t>
        </is>
      </c>
      <c r="E191" s="109" t="inlineStr">
        <is>
          <t>549268/C</t>
        </is>
      </c>
      <c r="F191" s="109" t="n">
        <v>200</v>
      </c>
      <c r="G191" s="109" t="inlineStr">
        <is>
          <t>200L005CV (D102) SMONTAGGIO/MONTAGGIO VALVOLA PER REVISIONE</t>
        </is>
      </c>
      <c r="H191" s="111" t="n"/>
      <c r="I191" s="111" t="n"/>
      <c r="J191" s="111" t="n"/>
      <c r="K191" s="111" t="n"/>
      <c r="L191" s="111" t="n"/>
      <c r="M191" s="109" t="inlineStr">
        <is>
          <t>DA CHIUDERE</t>
        </is>
      </c>
      <c r="N191" s="110" t="n"/>
      <c r="O191" s="168" t="n"/>
      <c r="P191" s="168" t="n"/>
      <c r="Q191" s="110" t="n"/>
      <c r="R191" s="110" t="n"/>
      <c r="S191" s="110" t="n"/>
      <c r="T191" s="114">
        <f>IF(AND('Inserimento dati'!$B$3=$H$2, TabellaA1[[#This Row],[LUN]]="X"), "X",IF(AND('Inserimento dati'!$B$3=$I$2, TabellaA1[[#This Row],[MAR]]="X"), "X", IF(AND('Inserimento dati'!$B$3=$J$2, TabellaA1[[#This Row],[MER]]="X"), "X",IF(AND('Inserimento dati'!$B$3=$K$2, TabellaA1[[#This Row],[GIO]]="X"), "X", IF(AND('Inserimento dati'!$B$3=$L$2, TabellaA1[[#This Row],[VEN]]="X"), "X","")))))</f>
        <v/>
      </c>
      <c r="U191" s="152" t="n"/>
      <c r="V191" t="inlineStr">
        <is>
          <t>2025-09-30 20:00:00</t>
        </is>
      </c>
    </row>
    <row r="192" ht="23.25" customFormat="1" customHeight="1" s="45">
      <c r="A192" s="112" t="n"/>
      <c r="B192" s="112" t="n"/>
      <c r="C192" s="112">
        <f>IF(OR(TabellaA1[[#This Row],[LUN]]="X",TabellaA1[[#This Row],[MAR]]="X",TabellaA1[[#This Row],[MER]]="X",TabellaA1[[#This Row],[GIO]]="X",TabellaA1[[#This Row],[VEN]]="X",),"X","")</f>
        <v/>
      </c>
      <c r="D192" s="113" t="inlineStr">
        <is>
          <t>AREA 1</t>
        </is>
      </c>
      <c r="E192" s="109" t="inlineStr">
        <is>
          <t>549816/C</t>
        </is>
      </c>
      <c r="F192" s="109" t="n">
        <v>100</v>
      </c>
      <c r="G192" s="109" t="inlineStr">
        <is>
          <t>100F025R(OVERFLASH)CONTROLLO E INSERIMENTO STRUMENTO</t>
        </is>
      </c>
      <c r="H192" s="111" t="n"/>
      <c r="I192" s="111" t="n"/>
      <c r="J192" s="111" t="n"/>
      <c r="K192" s="111" t="n"/>
      <c r="L192" s="111" t="n"/>
      <c r="M192" s="109" t="inlineStr">
        <is>
          <t>DA CHIUDERE</t>
        </is>
      </c>
      <c r="N192" s="110" t="n"/>
      <c r="O192" s="168" t="n"/>
      <c r="P192" s="168" t="n"/>
      <c r="Q192" s="110" t="n"/>
      <c r="R192" s="110" t="n"/>
      <c r="S192" s="110" t="n"/>
      <c r="T192" s="114">
        <f>IF(AND('Inserimento dati'!$B$3=$H$2, TabellaA1[[#This Row],[LUN]]="X"), "X",IF(AND('Inserimento dati'!$B$3=$I$2, TabellaA1[[#This Row],[MAR]]="X"), "X", IF(AND('Inserimento dati'!$B$3=$J$2, TabellaA1[[#This Row],[MER]]="X"), "X",IF(AND('Inserimento dati'!$B$3=$K$2, TabellaA1[[#This Row],[GIO]]="X"), "X", IF(AND('Inserimento dati'!$B$3=$L$2, TabellaA1[[#This Row],[VEN]]="X"), "X","")))))</f>
        <v/>
      </c>
      <c r="U192" s="152" t="n"/>
      <c r="V192" t="inlineStr">
        <is>
          <t>2025-09-30 20:00:00</t>
        </is>
      </c>
    </row>
    <row r="193" ht="30" customFormat="1" customHeight="1" s="45">
      <c r="A193" s="112" t="n"/>
      <c r="B193" s="112" t="n"/>
      <c r="C193" s="112">
        <f>IF(OR(TabellaA1[[#This Row],[LUN]]="X",TabellaA1[[#This Row],[MAR]]="X",TabellaA1[[#This Row],[MER]]="X",TabellaA1[[#This Row],[GIO]]="X",TabellaA1[[#This Row],[VEN]]="X",),"X","")</f>
        <v/>
      </c>
      <c r="D193" s="113" t="inlineStr">
        <is>
          <t>AREA 1</t>
        </is>
      </c>
      <c r="E193" s="109" t="inlineStr">
        <is>
          <t>549677/C</t>
        </is>
      </c>
      <c r="F193" s="109" t="n">
        <v>100</v>
      </c>
      <c r="G193" s="109" t="inlineStr">
        <is>
          <t>100F083I(VN PRELEVATA DA STOCCAGGIO)CONTROLLO E TARATURA E RIPRISTINO PORTATA</t>
        </is>
      </c>
      <c r="H193" s="111" t="n"/>
      <c r="I193" s="111" t="n"/>
      <c r="J193" s="111" t="n"/>
      <c r="K193" s="111" t="n"/>
      <c r="L193" s="111" t="n"/>
      <c r="M193" s="109" t="inlineStr">
        <is>
          <t>DA CHIUDERE</t>
        </is>
      </c>
      <c r="N193" s="110" t="n"/>
      <c r="O193" s="168" t="n"/>
      <c r="P193" s="168" t="n"/>
      <c r="Q193" s="110" t="n"/>
      <c r="R193" s="110" t="n"/>
      <c r="S193" s="110" t="n"/>
      <c r="T193" s="114">
        <f>IF(AND('Inserimento dati'!$B$3=$H$2, TabellaA1[[#This Row],[LUN]]="X"), "X",IF(AND('Inserimento dati'!$B$3=$I$2, TabellaA1[[#This Row],[MAR]]="X"), "X", IF(AND('Inserimento dati'!$B$3=$J$2, TabellaA1[[#This Row],[MER]]="X"), "X",IF(AND('Inserimento dati'!$B$3=$K$2, TabellaA1[[#This Row],[GIO]]="X"), "X", IF(AND('Inserimento dati'!$B$3=$L$2, TabellaA1[[#This Row],[VEN]]="X"), "X","")))))</f>
        <v/>
      </c>
      <c r="U193" s="152" t="n"/>
      <c r="V193" t="inlineStr">
        <is>
          <t>2025-09-30 20:00:00</t>
        </is>
      </c>
    </row>
    <row r="194" ht="23.25" customFormat="1" customHeight="1" s="45">
      <c r="A194" s="112" t="n"/>
      <c r="B194" s="112" t="n"/>
      <c r="C194" s="112">
        <f>IF(OR(TabellaA1[[#This Row],[LUN]]="X",TabellaA1[[#This Row],[MAR]]="X",TabellaA1[[#This Row],[MER]]="X",TabellaA1[[#This Row],[GIO]]="X",TabellaA1[[#This Row],[VEN]]="X",),"X","")</f>
        <v/>
      </c>
      <c r="D194" s="113" t="inlineStr">
        <is>
          <t>AREA 1</t>
        </is>
      </c>
      <c r="E194" s="109" t="inlineStr">
        <is>
          <t>549917/C</t>
        </is>
      </c>
      <c r="F194" s="109" t="n">
        <v>100</v>
      </c>
      <c r="G194" s="109" t="inlineStr">
        <is>
          <t>100L651R(D651)CONTROLLO E TARATURA STRUMENTO DI LIVELLO</t>
        </is>
      </c>
      <c r="H194" s="111" t="n"/>
      <c r="I194" s="111" t="n"/>
      <c r="J194" s="111" t="n"/>
      <c r="K194" s="111" t="n"/>
      <c r="L194" s="111" t="n"/>
      <c r="M194" s="109" t="inlineStr">
        <is>
          <t>DA CHIUDERE</t>
        </is>
      </c>
      <c r="N194" s="110" t="n"/>
      <c r="O194" s="168" t="n"/>
      <c r="P194" s="168" t="n"/>
      <c r="Q194" s="110" t="inlineStr">
        <is>
          <t>RIPRISTINATA FUNZIONALITA'</t>
        </is>
      </c>
      <c r="R194" s="110" t="n">
        <v>45905</v>
      </c>
      <c r="S194" s="110" t="inlineStr">
        <is>
          <t>SPINALI</t>
        </is>
      </c>
      <c r="T194" s="114">
        <f>IF(AND('Inserimento dati'!$B$3=$H$2, TabellaA1[[#This Row],[LUN]]="X"), "X",IF(AND('Inserimento dati'!$B$3=$I$2, TabellaA1[[#This Row],[MAR]]="X"), "X", IF(AND('Inserimento dati'!$B$3=$J$2, TabellaA1[[#This Row],[MER]]="X"), "X",IF(AND('Inserimento dati'!$B$3=$K$2, TabellaA1[[#This Row],[GIO]]="X"), "X", IF(AND('Inserimento dati'!$B$3=$L$2, TabellaA1[[#This Row],[VEN]]="X"), "X","")))))</f>
        <v/>
      </c>
      <c r="U194" s="152" t="n"/>
      <c r="V194" t="inlineStr">
        <is>
          <t>2025-09-30 20:00:00</t>
        </is>
      </c>
    </row>
    <row r="195" ht="23.25" customFormat="1" customHeight="1" s="45">
      <c r="A195" s="112" t="n"/>
      <c r="B195" s="112" t="n"/>
      <c r="C195" s="112">
        <f>IF(OR(TabellaA1[[#This Row],[LUN]]="X",TabellaA1[[#This Row],[MAR]]="X",TabellaA1[[#This Row],[MER]]="X",TabellaA1[[#This Row],[GIO]]="X",TabellaA1[[#This Row],[VEN]]="X",),"X","")</f>
        <v/>
      </c>
      <c r="D195" s="113" t="inlineStr">
        <is>
          <t>AREA 1</t>
        </is>
      </c>
      <c r="E195" s="109" t="inlineStr">
        <is>
          <t>549920/C</t>
        </is>
      </c>
      <c r="F195" s="109" t="n">
        <v>100</v>
      </c>
      <c r="G195" s="109" t="inlineStr">
        <is>
          <t>100T107I(MANDATA P114A/B)CONTROLLO  E ALLINEAMENTO CON SALA CONTROLLO</t>
        </is>
      </c>
      <c r="H195" s="111" t="n"/>
      <c r="I195" s="111" t="n"/>
      <c r="J195" s="111" t="n"/>
      <c r="K195" s="111" t="n"/>
      <c r="L195" s="111" t="n"/>
      <c r="M195" s="109" t="inlineStr">
        <is>
          <t>DA CHIUDERE</t>
        </is>
      </c>
      <c r="N195" s="110" t="n"/>
      <c r="O195" s="168" t="n"/>
      <c r="P195" s="168" t="n"/>
      <c r="Q195" s="110" t="n"/>
      <c r="R195" s="110" t="n">
        <v>45905</v>
      </c>
      <c r="S195" s="110" t="inlineStr">
        <is>
          <t>SPINALI</t>
        </is>
      </c>
      <c r="T195" s="114">
        <f>IF(AND('Inserimento dati'!$B$3=$H$2, TabellaA1[[#This Row],[LUN]]="X"), "X",IF(AND('Inserimento dati'!$B$3=$I$2, TabellaA1[[#This Row],[MAR]]="X"), "X", IF(AND('Inserimento dati'!$B$3=$J$2, TabellaA1[[#This Row],[MER]]="X"), "X",IF(AND('Inserimento dati'!$B$3=$K$2, TabellaA1[[#This Row],[GIO]]="X"), "X", IF(AND('Inserimento dati'!$B$3=$L$2, TabellaA1[[#This Row],[VEN]]="X"), "X","")))))</f>
        <v/>
      </c>
      <c r="U195" s="152" t="n"/>
      <c r="V195" t="inlineStr">
        <is>
          <t>2025-09-30 20:00:00</t>
        </is>
      </c>
    </row>
    <row r="196" ht="23.25" customFormat="1" customHeight="1" s="45">
      <c r="A196" s="112" t="n"/>
      <c r="B196" s="112" t="n"/>
      <c r="C196" s="112">
        <f>IF(OR(TabellaA1[[#This Row],[LUN]]="X",TabellaA1[[#This Row],[MAR]]="X",TabellaA1[[#This Row],[MER]]="X",TabellaA1[[#This Row],[GIO]]="X",TabellaA1[[#This Row],[VEN]]="X",),"X","")</f>
        <v/>
      </c>
      <c r="D196" s="113" t="inlineStr">
        <is>
          <t>AREA 1</t>
        </is>
      </c>
      <c r="E196" s="109" t="inlineStr">
        <is>
          <t>550136/C</t>
        </is>
      </c>
      <c r="F196" s="109" t="n">
        <v>100</v>
      </c>
      <c r="G196" s="109" t="inlineStr">
        <is>
          <t>100L302HA(D651)CONTROLLO E RIPRISTINO FUNZIONALITA LIVELLOSTATO</t>
        </is>
      </c>
      <c r="H196" s="111" t="n"/>
      <c r="I196" s="111" t="n"/>
      <c r="J196" s="111" t="n"/>
      <c r="K196" s="111" t="n"/>
      <c r="L196" s="111" t="n"/>
      <c r="M196" s="109" t="inlineStr">
        <is>
          <t>DA CHIUDERE</t>
        </is>
      </c>
      <c r="N196" s="110" t="n"/>
      <c r="O196" s="168" t="n"/>
      <c r="P196" s="168" t="n"/>
      <c r="Q196" s="110" t="inlineStr">
        <is>
          <t>RIPRISTINATA FUNZIONALITA'</t>
        </is>
      </c>
      <c r="R196" s="110" t="n">
        <v>45908</v>
      </c>
      <c r="S196" s="110" t="inlineStr">
        <is>
          <t>LOMBARDO</t>
        </is>
      </c>
      <c r="T196" s="114">
        <f>IF(AND('Inserimento dati'!$B$3=$H$2, TabellaA1[[#This Row],[LUN]]="X"), "X",IF(AND('Inserimento dati'!$B$3=$I$2, TabellaA1[[#This Row],[MAR]]="X"), "X", IF(AND('Inserimento dati'!$B$3=$J$2, TabellaA1[[#This Row],[MER]]="X"), "X",IF(AND('Inserimento dati'!$B$3=$K$2, TabellaA1[[#This Row],[GIO]]="X"), "X", IF(AND('Inserimento dati'!$B$3=$L$2, TabellaA1[[#This Row],[VEN]]="X"), "X","")))))</f>
        <v/>
      </c>
      <c r="U196" s="152" t="n"/>
      <c r="V196" t="inlineStr">
        <is>
          <t>2025-09-30 20:00:00</t>
        </is>
      </c>
    </row>
    <row r="197" ht="30" customFormat="1" customHeight="1" s="45">
      <c r="A197" s="112" t="n"/>
      <c r="B197" s="112" t="n"/>
      <c r="C197" s="112">
        <f>IF(OR(TabellaA1[[#This Row],[LUN]]="X",TabellaA1[[#This Row],[MAR]]="X",TabellaA1[[#This Row],[MER]]="X",TabellaA1[[#This Row],[GIO]]="X",TabellaA1[[#This Row],[VEN]]="X",),"X","")</f>
        <v/>
      </c>
      <c r="D197" s="113" t="inlineStr">
        <is>
          <t>AREA 1</t>
        </is>
      </c>
      <c r="E197" s="109" t="inlineStr">
        <is>
          <t>550176/C</t>
        </is>
      </c>
      <c r="F197" s="109" t="n">
        <v>100</v>
      </c>
      <c r="G197" s="109" t="inlineStr">
        <is>
          <t>100K651A CONTROLLO E RIPRISTINO  PARZIALIZZAZIONE COMPRESSORE PARTE STRUMENTALE</t>
        </is>
      </c>
      <c r="H197" s="111" t="n"/>
      <c r="I197" s="111" t="n"/>
      <c r="J197" s="111" t="n"/>
      <c r="K197" s="111" t="n"/>
      <c r="L197" s="111" t="n"/>
      <c r="M197" s="109" t="inlineStr">
        <is>
          <t>DA CHIUDERE</t>
        </is>
      </c>
      <c r="N197" s="110" t="n"/>
      <c r="O197" s="168" t="n"/>
      <c r="P197" s="168" t="n"/>
      <c r="Q197" s="110" t="n"/>
      <c r="R197" s="110" t="n"/>
      <c r="S197" s="110" t="n"/>
      <c r="T197" s="114">
        <f>IF(AND('Inserimento dati'!$B$3=$H$2, TabellaA1[[#This Row],[LUN]]="X"), "X",IF(AND('Inserimento dati'!$B$3=$I$2, TabellaA1[[#This Row],[MAR]]="X"), "X", IF(AND('Inserimento dati'!$B$3=$J$2, TabellaA1[[#This Row],[MER]]="X"), "X",IF(AND('Inserimento dati'!$B$3=$K$2, TabellaA1[[#This Row],[GIO]]="X"), "X", IF(AND('Inserimento dati'!$B$3=$L$2, TabellaA1[[#This Row],[VEN]]="X"), "X","")))))</f>
        <v/>
      </c>
      <c r="U197" s="152" t="n"/>
      <c r="V197" t="inlineStr">
        <is>
          <t>2025-09-30 20:00:00</t>
        </is>
      </c>
    </row>
    <row r="198" ht="30" customFormat="1" customHeight="1" s="45">
      <c r="A198" s="112" t="n"/>
      <c r="B198" s="112" t="n"/>
      <c r="C198" s="112">
        <f>IF(OR(TabellaA1[[#This Row],[LUN]]="X",TabellaA1[[#This Row],[MAR]]="X",TabellaA1[[#This Row],[MER]]="X",TabellaA1[[#This Row],[GIO]]="X",TabellaA1[[#This Row],[VEN]]="X",),"X","")</f>
        <v/>
      </c>
      <c r="D198" s="113" t="inlineStr">
        <is>
          <t>AREA 1</t>
        </is>
      </c>
      <c r="E198" s="109" t="inlineStr">
        <is>
          <t>550665/C</t>
        </is>
      </c>
      <c r="F198" s="109" t="n">
        <v>100</v>
      </c>
      <c r="G198" s="109" t="inlineStr">
        <is>
          <t>100P329SD(BASSO DELTA P ASP./MAND. K651A)CONTROLLO E TARATURA STRUMENTO DI PRESSIONE</t>
        </is>
      </c>
      <c r="H198" s="111" t="n"/>
      <c r="I198" s="111" t="n"/>
      <c r="J198" s="111" t="n"/>
      <c r="K198" s="111" t="n"/>
      <c r="L198" s="111" t="n"/>
      <c r="M198" s="109" t="inlineStr">
        <is>
          <t>DA CHIUDERE</t>
        </is>
      </c>
      <c r="N198" s="110" t="n"/>
      <c r="O198" s="168" t="n"/>
      <c r="P198" s="168" t="n"/>
      <c r="Q198" s="110" t="inlineStr">
        <is>
          <t>STRUMENTO PNEUMATICO GUASTO. MONTATO PRESSOSTATO DIFFERENZIALE , ALLINEATO CON SALA CONTROLLO.</t>
        </is>
      </c>
      <c r="R198" s="110" t="n">
        <v>45911</v>
      </c>
      <c r="S198" s="110" t="inlineStr">
        <is>
          <t>SPINALI/LOMBARDO</t>
        </is>
      </c>
      <c r="T198" s="114">
        <f>IF(AND('Inserimento dati'!$B$3=$H$2, TabellaA1[[#This Row],[LUN]]="X"), "X",IF(AND('Inserimento dati'!$B$3=$I$2, TabellaA1[[#This Row],[MAR]]="X"), "X", IF(AND('Inserimento dati'!$B$3=$J$2, TabellaA1[[#This Row],[MER]]="X"), "X",IF(AND('Inserimento dati'!$B$3=$K$2, TabellaA1[[#This Row],[GIO]]="X"), "X", IF(AND('Inserimento dati'!$B$3=$L$2, TabellaA1[[#This Row],[VEN]]="X"), "X","")))))</f>
        <v/>
      </c>
      <c r="U198" s="152" t="n"/>
      <c r="V198" t="inlineStr">
        <is>
          <t>2025-09-30 20:00:00</t>
        </is>
      </c>
    </row>
    <row r="199" ht="30" customFormat="1" customHeight="1" s="45">
      <c r="A199" s="112" t="n"/>
      <c r="B199" s="112" t="n"/>
      <c r="C199" s="112">
        <f>IF(OR(TabellaA1[[#This Row],[LUN]]="X",TabellaA1[[#This Row],[MAR]]="X",TabellaA1[[#This Row],[MER]]="X",TabellaA1[[#This Row],[GIO]]="X",TabellaA1[[#This Row],[VEN]]="X",),"X","")</f>
        <v/>
      </c>
      <c r="D199" s="113" t="inlineStr">
        <is>
          <t>AREA 1</t>
        </is>
      </c>
      <c r="E199" s="109" t="inlineStr">
        <is>
          <t>550173/C</t>
        </is>
      </c>
      <c r="F199" s="109" t="n">
        <v>100</v>
      </c>
      <c r="G199" s="109" t="inlineStr">
        <is>
          <t>100P3032A_DR DIFFERENZIALE DI PRESSIONE TENUTA K651A CONTROLLO E RIPRISTINO MISURA</t>
        </is>
      </c>
      <c r="H199" s="111" t="n"/>
      <c r="I199" s="111" t="n"/>
      <c r="J199" s="111" t="n"/>
      <c r="K199" s="111" t="n"/>
      <c r="L199" s="111" t="n"/>
      <c r="M199" s="109" t="inlineStr">
        <is>
          <t>DA CHIUDERE</t>
        </is>
      </c>
      <c r="N199" s="110" t="n"/>
      <c r="O199" s="168" t="n"/>
      <c r="P199" s="168" t="n"/>
      <c r="Q199" s="110" t="inlineStr">
        <is>
          <t xml:space="preserve">ATTIVATA TEMINATA IN DATA 15/09/2025. RIPRISTINATA FUNZIONALITÀ </t>
        </is>
      </c>
      <c r="R199" s="110" t="n">
        <v>45915</v>
      </c>
      <c r="S199" s="110" t="inlineStr">
        <is>
          <t>SPINALI</t>
        </is>
      </c>
      <c r="T199" s="114">
        <f>IF(AND('Inserimento dati'!$B$3=$H$2, TabellaA1[[#This Row],[LUN]]="X"), "X",IF(AND('Inserimento dati'!$B$3=$I$2, TabellaA1[[#This Row],[MAR]]="X"), "X", IF(AND('Inserimento dati'!$B$3=$J$2, TabellaA1[[#This Row],[MER]]="X"), "X",IF(AND('Inserimento dati'!$B$3=$K$2, TabellaA1[[#This Row],[GIO]]="X"), "X", IF(AND('Inserimento dati'!$B$3=$L$2, TabellaA1[[#This Row],[VEN]]="X"), "X","")))))</f>
        <v/>
      </c>
      <c r="U199" s="152" t="n"/>
      <c r="V199" t="inlineStr">
        <is>
          <t>2025-09-30 20:00:00</t>
        </is>
      </c>
    </row>
    <row r="200" ht="45" customFormat="1" customHeight="1" s="45">
      <c r="A200" s="112" t="n"/>
      <c r="B200" s="112" t="n"/>
      <c r="C200" s="112">
        <f>IF(OR(TabellaA1[[#This Row],[LUN]]="X",TabellaA1[[#This Row],[MAR]]="X",TabellaA1[[#This Row],[MER]]="X",TabellaA1[[#This Row],[GIO]]="X",TabellaA1[[#This Row],[VEN]]="X",),"X","")</f>
        <v/>
      </c>
      <c r="D200" s="113" t="inlineStr">
        <is>
          <t>AREA 1</t>
        </is>
      </c>
      <c r="E200" s="109" t="inlineStr">
        <is>
          <t>550161/C</t>
        </is>
      </c>
      <c r="F200" s="109" t="n">
        <v>100</v>
      </c>
      <c r="G200" s="109" t="inlineStr">
        <is>
          <t>01F026RC VAPORE A T105 CONTROLLO E TARATURA STRUMENTO DI PORTATA</t>
        </is>
      </c>
      <c r="H200" s="111" t="n"/>
      <c r="I200" s="111" t="n"/>
      <c r="J200" s="111" t="n"/>
      <c r="K200" s="111" t="n"/>
      <c r="L200" s="111" t="n"/>
      <c r="M200" s="109" t="inlineStr">
        <is>
          <t>DA CHIUDERE</t>
        </is>
      </c>
      <c r="N200" s="110" t="n"/>
      <c r="O200" s="168" t="n"/>
      <c r="P200" s="168" t="n"/>
      <c r="Q200" s="110" t="inlineStr">
        <is>
          <t>PRIMARI TAPPATI, VALVOLE DI RADICI BLOCCATE APERTE. NECESSITA PONTEGGIO X ESEGUIRE ATTIVITÀ., DA PROGRAMMARE A PRIMA FERMATA IMPIANTO</t>
        </is>
      </c>
      <c r="R200" s="110" t="n">
        <v>45916</v>
      </c>
      <c r="S200" s="110" t="inlineStr">
        <is>
          <t>SPINALI</t>
        </is>
      </c>
      <c r="T200" s="114">
        <f>IF(AND('Inserimento dati'!$B$3=$H$2, TabellaA1[[#This Row],[LUN]]="X"), "X",IF(AND('Inserimento dati'!$B$3=$I$2, TabellaA1[[#This Row],[MAR]]="X"), "X", IF(AND('Inserimento dati'!$B$3=$J$2, TabellaA1[[#This Row],[MER]]="X"), "X",IF(AND('Inserimento dati'!$B$3=$K$2, TabellaA1[[#This Row],[GIO]]="X"), "X", IF(AND('Inserimento dati'!$B$3=$L$2, TabellaA1[[#This Row],[VEN]]="X"), "X","")))))</f>
        <v/>
      </c>
      <c r="U200" s="152" t="n"/>
      <c r="V200" t="inlineStr">
        <is>
          <t>2025-09-30 20:00:00</t>
        </is>
      </c>
    </row>
    <row r="201" ht="23.25" customFormat="1" customHeight="1" s="45">
      <c r="A201" s="112" t="n"/>
      <c r="B201" s="112" t="n"/>
      <c r="C201" s="112">
        <f>IF(OR(TabellaA1[[#This Row],[LUN]]="X",TabellaA1[[#This Row],[MAR]]="X",TabellaA1[[#This Row],[MER]]="X",TabellaA1[[#This Row],[GIO]]="X",TabellaA1[[#This Row],[VEN]]="X",),"X","")</f>
        <v/>
      </c>
      <c r="D201" s="113" t="inlineStr">
        <is>
          <t>AREA 1</t>
        </is>
      </c>
      <c r="E201" s="109" t="inlineStr">
        <is>
          <t>551966/C</t>
        </is>
      </c>
      <c r="F201" s="109" t="n">
        <v>100</v>
      </c>
      <c r="G201" s="109" t="inlineStr">
        <is>
          <t>100P101ARA (ALLARME CUMULATIVO P101A)CONTROLLO E RIPRISTINO FUNZIONALITA</t>
        </is>
      </c>
      <c r="H201" s="111" t="n"/>
      <c r="I201" s="111" t="n"/>
      <c r="J201" s="111" t="n"/>
      <c r="K201" s="111" t="n"/>
      <c r="L201" s="111" t="n"/>
      <c r="M201" s="109" t="inlineStr">
        <is>
          <t>DA CHIUDERE</t>
        </is>
      </c>
      <c r="N201" s="110" t="n"/>
      <c r="O201" s="168" t="n"/>
      <c r="P201" s="168" t="n"/>
      <c r="Q201" s="110" t="inlineStr">
        <is>
          <t>SOSTITUITO PRESSOSTATO POCO RIPETIBILE DI ALLARME E BLOCCO</t>
        </is>
      </c>
      <c r="R201" s="110" t="n">
        <v>45922</v>
      </c>
      <c r="S201" s="110" t="inlineStr">
        <is>
          <t>SPINALI</t>
        </is>
      </c>
      <c r="T201" s="114">
        <f>IF(AND('Inserimento dati'!$B$3=$H$2, TabellaA1[[#This Row],[LUN]]="X"), "X",IF(AND('Inserimento dati'!$B$3=$I$2, TabellaA1[[#This Row],[MAR]]="X"), "X", IF(AND('Inserimento dati'!$B$3=$J$2, TabellaA1[[#This Row],[MER]]="X"), "X",IF(AND('Inserimento dati'!$B$3=$K$2, TabellaA1[[#This Row],[GIO]]="X"), "X", IF(AND('Inserimento dati'!$B$3=$L$2, TabellaA1[[#This Row],[VEN]]="X"), "X","")))))</f>
        <v/>
      </c>
      <c r="U201" s="152" t="n"/>
      <c r="V201" t="inlineStr">
        <is>
          <t>2025-09-30 20:00:00</t>
        </is>
      </c>
    </row>
    <row r="202" ht="23.25" customFormat="1" customHeight="1" s="45">
      <c r="A202" s="112" t="n"/>
      <c r="B202" s="112" t="n"/>
      <c r="C202" s="112">
        <f>IF(OR(TabellaA1[[#This Row],[LUN]]="X",TabellaA1[[#This Row],[MAR]]="X",TabellaA1[[#This Row],[MER]]="X",TabellaA1[[#This Row],[GIO]]="X",TabellaA1[[#This Row],[VEN]]="X",),"X","")</f>
        <v/>
      </c>
      <c r="D202" s="113" t="inlineStr">
        <is>
          <t>AREA 1</t>
        </is>
      </c>
      <c r="E202" s="109" t="inlineStr">
        <is>
          <t>550913/C</t>
        </is>
      </c>
      <c r="F202" s="109" t="n">
        <v>400</v>
      </c>
      <c r="G202" s="109" t="inlineStr">
        <is>
          <t>400C101B RIPRISTINI STRUMENTALI PER AVVAMENTO COMPRESSORE</t>
        </is>
      </c>
      <c r="H202" s="111" t="n"/>
      <c r="I202" s="111" t="n"/>
      <c r="J202" s="111" t="n"/>
      <c r="K202" s="111" t="n"/>
      <c r="L202" s="111" t="n"/>
      <c r="M202" s="109" t="inlineStr">
        <is>
          <t>EMESSO</t>
        </is>
      </c>
      <c r="N202" s="110" t="n"/>
      <c r="O202" s="168" t="n"/>
      <c r="P202" s="168" t="n"/>
      <c r="Q202" s="110" t="n"/>
      <c r="R202" s="110" t="n"/>
      <c r="S202" s="110" t="n"/>
      <c r="T202" s="114">
        <f>IF(AND('Inserimento dati'!$B$3=$H$2, TabellaA1[[#This Row],[LUN]]="X"), "X",IF(AND('Inserimento dati'!$B$3=$I$2, TabellaA1[[#This Row],[MAR]]="X"), "X", IF(AND('Inserimento dati'!$B$3=$J$2, TabellaA1[[#This Row],[MER]]="X"), "X",IF(AND('Inserimento dati'!$B$3=$K$2, TabellaA1[[#This Row],[GIO]]="X"), "X", IF(AND('Inserimento dati'!$B$3=$L$2, TabellaA1[[#This Row],[VEN]]="X"), "X","")))))</f>
        <v/>
      </c>
      <c r="U202" s="152" t="n"/>
      <c r="V202" t="inlineStr">
        <is>
          <t>2025-09-30 20:00:00</t>
        </is>
      </c>
    </row>
    <row r="203" ht="30" customFormat="1" customHeight="1" s="45">
      <c r="A203" s="112" t="n"/>
      <c r="B203" s="112" t="n"/>
      <c r="C203" s="112">
        <f>IF(OR(TabellaA1[[#This Row],[LUN]]="X",TabellaA1[[#This Row],[MAR]]="X",TabellaA1[[#This Row],[MER]]="X",TabellaA1[[#This Row],[GIO]]="X",TabellaA1[[#This Row],[VEN]]="X",),"X","")</f>
        <v/>
      </c>
      <c r="D203" s="113" t="inlineStr">
        <is>
          <t>AREA 1</t>
        </is>
      </c>
      <c r="E203" s="109" t="inlineStr">
        <is>
          <t>545739/C</t>
        </is>
      </c>
      <c r="F203" s="109" t="n">
        <v>400</v>
      </c>
      <c r="G203" s="109" t="inlineStr">
        <is>
          <t>400-C401 04L750-G LIVELLO VISIVO MAGNETICO SMONTAGGIO/MONTAGGIO LIVELLO PER RIPRISTINO CRICCHE(CONTROFLANGIARE LE DUE PRESE)</t>
        </is>
      </c>
      <c r="H203" s="111" t="n"/>
      <c r="I203" s="111" t="n"/>
      <c r="J203" s="111" t="n"/>
      <c r="K203" s="111" t="n"/>
      <c r="L203" s="111" t="n"/>
      <c r="M203" s="109" t="inlineStr">
        <is>
          <t>EMESSO</t>
        </is>
      </c>
      <c r="N203" s="110" t="n"/>
      <c r="O203" s="168" t="n"/>
      <c r="P203" s="168" t="n"/>
      <c r="Q203" s="110" t="n"/>
      <c r="R203" s="110" t="n"/>
      <c r="S203" s="110" t="n"/>
      <c r="T203" s="114">
        <f>IF(AND('Inserimento dati'!$B$3=$H$2, TabellaA1[[#This Row],[LUN]]="X"), "X",IF(AND('Inserimento dati'!$B$3=$I$2, TabellaA1[[#This Row],[MAR]]="X"), "X", IF(AND('Inserimento dati'!$B$3=$J$2, TabellaA1[[#This Row],[MER]]="X"), "X",IF(AND('Inserimento dati'!$B$3=$K$2, TabellaA1[[#This Row],[GIO]]="X"), "X", IF(AND('Inserimento dati'!$B$3=$L$2, TabellaA1[[#This Row],[VEN]]="X"), "X","")))))</f>
        <v/>
      </c>
      <c r="U203" s="152" t="n"/>
      <c r="V203" t="inlineStr">
        <is>
          <t>2025-09-30 20:00:00</t>
        </is>
      </c>
    </row>
    <row r="204" ht="30" customFormat="1" customHeight="1" s="45">
      <c r="A204" s="112" t="n"/>
      <c r="B204" s="112" t="n"/>
      <c r="C204" s="112">
        <f>IF(OR(TabellaA1[[#This Row],[LUN]]="X",TabellaA1[[#This Row],[MAR]]="X",TabellaA1[[#This Row],[MER]]="X",TabellaA1[[#This Row],[GIO]]="X",TabellaA1[[#This Row],[VEN]]="X",),"X","")</f>
        <v/>
      </c>
      <c r="D204" s="113" t="inlineStr">
        <is>
          <t>AREA 1</t>
        </is>
      </c>
      <c r="E204" s="109" t="inlineStr">
        <is>
          <t>545114/C</t>
        </is>
      </c>
      <c r="F204" s="109" t="inlineStr">
        <is>
          <t>200A</t>
        </is>
      </c>
      <c r="G204" s="109" t="inlineStr">
        <is>
          <t xml:space="preserve">200AL361CV (SCARICO H20 D111)SMONTAGGIO/MONTAGGIO VALVOLA PER  ELIMINAZIONE  OCCLUSIONE O EVENTUALE REVISIONE </t>
        </is>
      </c>
      <c r="H204" s="111" t="n"/>
      <c r="I204" s="111" t="n"/>
      <c r="J204" s="111" t="n"/>
      <c r="K204" s="111" t="n"/>
      <c r="L204" s="111" t="n"/>
      <c r="M204" s="109" t="inlineStr">
        <is>
          <t>EMESSO</t>
        </is>
      </c>
      <c r="N204" s="110" t="n"/>
      <c r="O204" s="168" t="n"/>
      <c r="P204" s="168" t="n"/>
      <c r="Q204" s="110" t="n"/>
      <c r="R204" s="110" t="n"/>
      <c r="S204" s="110" t="n"/>
      <c r="T204" s="114">
        <f>IF(AND('Inserimento dati'!$B$3=$H$2, TabellaA1[[#This Row],[LUN]]="X"), "X",IF(AND('Inserimento dati'!$B$3=$I$2, TabellaA1[[#This Row],[MAR]]="X"), "X", IF(AND('Inserimento dati'!$B$3=$J$2, TabellaA1[[#This Row],[MER]]="X"), "X",IF(AND('Inserimento dati'!$B$3=$K$2, TabellaA1[[#This Row],[GIO]]="X"), "X", IF(AND('Inserimento dati'!$B$3=$L$2, TabellaA1[[#This Row],[VEN]]="X"), "X","")))))</f>
        <v/>
      </c>
      <c r="U204" s="152" t="n"/>
      <c r="V204" t="inlineStr">
        <is>
          <t>2025-09-30 20:00:00</t>
        </is>
      </c>
    </row>
    <row r="205" ht="30" customFormat="1" customHeight="1" s="45">
      <c r="A205" s="112" t="n"/>
      <c r="B205" s="112" t="n"/>
      <c r="C205" s="112">
        <f>IF(OR(TabellaA1[[#This Row],[LUN]]="X",TabellaA1[[#This Row],[MAR]]="X",TabellaA1[[#This Row],[MER]]="X",TabellaA1[[#This Row],[GIO]]="X",TabellaA1[[#This Row],[VEN]]="X",),"X","")</f>
        <v/>
      </c>
      <c r="D205" s="113" t="inlineStr">
        <is>
          <t>AREA 1</t>
        </is>
      </c>
      <c r="E205" s="109" t="inlineStr">
        <is>
          <t>544406/C</t>
        </is>
      </c>
      <c r="F205" s="109" t="n">
        <v>400</v>
      </c>
      <c r="G205" s="109" t="inlineStr">
        <is>
          <t>400F101 CONTROLLO E RIPRISTINO T605I T606I ED EVENTUALE STRUMENTAZIONE DANNEGGIATA</t>
        </is>
      </c>
      <c r="H205" s="111" t="n"/>
      <c r="I205" s="111" t="n"/>
      <c r="J205" s="111" t="n"/>
      <c r="K205" s="111" t="n"/>
      <c r="L205" s="111" t="n"/>
      <c r="M205" s="109" t="inlineStr">
        <is>
          <t>EMESSO</t>
        </is>
      </c>
      <c r="N205" s="110" t="n"/>
      <c r="O205" s="168" t="n"/>
      <c r="P205" s="168" t="n"/>
      <c r="Q205" s="110" t="n"/>
      <c r="R205" s="110" t="n"/>
      <c r="S205" s="110" t="n"/>
      <c r="T205" s="114">
        <f>IF(AND('Inserimento dati'!$B$3=$H$2, TabellaA1[[#This Row],[LUN]]="X"), "X",IF(AND('Inserimento dati'!$B$3=$I$2, TabellaA1[[#This Row],[MAR]]="X"), "X", IF(AND('Inserimento dati'!$B$3=$J$2, TabellaA1[[#This Row],[MER]]="X"), "X",IF(AND('Inserimento dati'!$B$3=$K$2, TabellaA1[[#This Row],[GIO]]="X"), "X", IF(AND('Inserimento dati'!$B$3=$L$2, TabellaA1[[#This Row],[VEN]]="X"), "X","")))))</f>
        <v/>
      </c>
      <c r="U205" s="152" t="n"/>
      <c r="V205" t="inlineStr">
        <is>
          <t>2025-09-30 20:00:00</t>
        </is>
      </c>
    </row>
    <row r="206" ht="30" customFormat="1" customHeight="1" s="45">
      <c r="A206" s="112" t="n"/>
      <c r="B206" s="112" t="n"/>
      <c r="C206" s="112">
        <f>IF(OR(TabellaA1[[#This Row],[LUN]]="X",TabellaA1[[#This Row],[MAR]]="X",TabellaA1[[#This Row],[MER]]="X",TabellaA1[[#This Row],[GIO]]="X",TabellaA1[[#This Row],[VEN]]="X",),"X","")</f>
        <v/>
      </c>
      <c r="D206" s="113" t="inlineStr">
        <is>
          <t>AREA 1</t>
        </is>
      </c>
      <c r="E206" s="109" t="inlineStr">
        <is>
          <t>543478/C</t>
        </is>
      </c>
      <c r="F206" s="109" t="n">
        <v>400</v>
      </c>
      <c r="G206" s="109" t="inlineStr">
        <is>
          <t>18000155612  400C401 assistenza macchinisti per montaggio/smontaggio strumentazione a bordo macchina per revisione della stessa</t>
        </is>
      </c>
      <c r="H206" s="111" t="n"/>
      <c r="I206" s="111" t="n"/>
      <c r="J206" s="111" t="n"/>
      <c r="K206" s="111" t="n"/>
      <c r="L206" s="111" t="n"/>
      <c r="M206" s="109" t="inlineStr">
        <is>
          <t>EMESSO</t>
        </is>
      </c>
      <c r="N206" s="110" t="n"/>
      <c r="O206" s="168" t="n"/>
      <c r="P206" s="168" t="n"/>
      <c r="Q206" s="110" t="n"/>
      <c r="R206" s="110" t="n"/>
      <c r="S206" s="110" t="n"/>
      <c r="T206" s="114">
        <f>IF(AND('Inserimento dati'!$B$3=$H$2, TabellaA1[[#This Row],[LUN]]="X"), "X",IF(AND('Inserimento dati'!$B$3=$I$2, TabellaA1[[#This Row],[MAR]]="X"), "X", IF(AND('Inserimento dati'!$B$3=$J$2, TabellaA1[[#This Row],[MER]]="X"), "X",IF(AND('Inserimento dati'!$B$3=$K$2, TabellaA1[[#This Row],[GIO]]="X"), "X", IF(AND('Inserimento dati'!$B$3=$L$2, TabellaA1[[#This Row],[VEN]]="X"), "X","")))))</f>
        <v/>
      </c>
      <c r="U206" s="138">
        <f>IFERROR(MID(G206,_xlfn.AGGREGATE(15,6,(ROW(INDIRECT("1:"&amp;LEN(G206)-7)))/(ISNUMBER(--MID(G206,ROW(INDIRECT("1:"&amp;LEN(G206)-7)),8))),1),8),"")</f>
        <v/>
      </c>
      <c r="V206" t="inlineStr">
        <is>
          <t>2025-09-30 20:00:00</t>
        </is>
      </c>
    </row>
    <row r="207" ht="30" customFormat="1" customHeight="1" s="45">
      <c r="A207" s="112" t="n"/>
      <c r="B207" s="112" t="n"/>
      <c r="C207" s="112">
        <f>IF(OR(TabellaA1[[#This Row],[LUN]]="X",TabellaA1[[#This Row],[MAR]]="X",TabellaA1[[#This Row],[MER]]="X",TabellaA1[[#This Row],[GIO]]="X",TabellaA1[[#This Row],[VEN]]="X",),"X","")</f>
        <v/>
      </c>
      <c r="D207" s="113" t="inlineStr">
        <is>
          <t>AREA 1</t>
        </is>
      </c>
      <c r="E207" s="109" t="inlineStr">
        <is>
          <t>542240/C</t>
        </is>
      </c>
      <c r="F207" s="109" t="n">
        <v>100</v>
      </c>
      <c r="G207" s="109" t="inlineStr">
        <is>
          <t>100P080RC MANDATA P102A/B/C CONTROLLO ED EVENTUALE SOSTITUZIONE STRUMENTO DI PRESSIONE(METTERE I MOS PRIMA DI INIZIARE ATTIVITA)</t>
        </is>
      </c>
      <c r="H207" s="111" t="n"/>
      <c r="I207" s="111" t="n"/>
      <c r="J207" s="111" t="n"/>
      <c r="K207" s="111" t="n"/>
      <c r="L207" s="111" t="n"/>
      <c r="M207" s="109" t="inlineStr">
        <is>
          <t>EMESSO</t>
        </is>
      </c>
      <c r="N207" s="110" t="n"/>
      <c r="O207" s="168" t="n"/>
      <c r="P207" s="168" t="n"/>
      <c r="Q207" s="110" t="inlineStr">
        <is>
          <t>SOSTITUITO STRUMENTO DI PRESSIONE E CONTROLLATA BARRIERA</t>
        </is>
      </c>
      <c r="R207" s="110" t="n">
        <v>45833</v>
      </c>
      <c r="S207" s="110" t="inlineStr">
        <is>
          <t>RICIPUTO/SERRA</t>
        </is>
      </c>
      <c r="T207" s="114">
        <f>IF(AND('Inserimento dati'!$B$3=$H$2, TabellaA1[[#This Row],[LUN]]="X"), "X",IF(AND('Inserimento dati'!$B$3=$I$2, TabellaA1[[#This Row],[MAR]]="X"), "X", IF(AND('Inserimento dati'!$B$3=$J$2, TabellaA1[[#This Row],[MER]]="X"), "X",IF(AND('Inserimento dati'!$B$3=$K$2, TabellaA1[[#This Row],[GIO]]="X"), "X", IF(AND('Inserimento dati'!$B$3=$L$2, TabellaA1[[#This Row],[VEN]]="X"), "X","")))))</f>
        <v/>
      </c>
      <c r="U207" s="138">
        <f>IFERROR(MID(G207,_xlfn.AGGREGATE(15,6,(ROW(INDIRECT("1:"&amp;LEN(G207)-7)))/(ISNUMBER(--MID(G207,ROW(INDIRECT("1:"&amp;LEN(G207)-7)),8))),1),8),"")</f>
        <v/>
      </c>
      <c r="V207" t="inlineStr">
        <is>
          <t>2025-09-30 20:00:00</t>
        </is>
      </c>
    </row>
    <row r="208" ht="45" customFormat="1" customHeight="1" s="45">
      <c r="A208" s="112" t="n"/>
      <c r="B208" s="112" t="n"/>
      <c r="C208" s="112">
        <f>IF(OR(TabellaA1[[#This Row],[LUN]]="X",TabellaA1[[#This Row],[MAR]]="X",TabellaA1[[#This Row],[MER]]="X",TabellaA1[[#This Row],[GIO]]="X",TabellaA1[[#This Row],[VEN]]="X",),"X","")</f>
        <v/>
      </c>
      <c r="D208" s="113" t="inlineStr">
        <is>
          <t>AREA 1</t>
        </is>
      </c>
      <c r="E208" s="109" t="inlineStr">
        <is>
          <t>540997/C</t>
        </is>
      </c>
      <c r="F208" s="109" t="n">
        <v>100</v>
      </c>
      <c r="G208" s="109" t="inlineStr">
        <is>
          <t>100T073I(CAMERA COMBUSTIONE L.EST)100T074I(CAMERA DI COMBUSTIONE L.OVEST)CONTROLLO E RIPRISTINO MISURE DI TEMPERATURE CON ALLINEAMENTO A DCS</t>
        </is>
      </c>
      <c r="H208" s="111" t="n"/>
      <c r="I208" s="111" t="n"/>
      <c r="J208" s="111" t="n"/>
      <c r="K208" s="111" t="n"/>
      <c r="L208" s="111" t="n"/>
      <c r="M208" s="109" t="inlineStr">
        <is>
          <t>EMESSO</t>
        </is>
      </c>
      <c r="N208" s="110" t="n"/>
      <c r="O208" s="168" t="n"/>
      <c r="P208" s="168" t="n"/>
      <c r="Q208" s="110" t="inlineStr">
        <is>
          <t>NESSUNA ANOMALIA RISCONTRATA</t>
        </is>
      </c>
      <c r="R208" s="110" t="n">
        <v>45824</v>
      </c>
      <c r="S208" s="110" t="inlineStr">
        <is>
          <t>SPINALI</t>
        </is>
      </c>
      <c r="T208" s="114">
        <f>IF(AND('Inserimento dati'!$B$3=$H$2, TabellaA1[[#This Row],[LUN]]="X"), "X",IF(AND('Inserimento dati'!$B$3=$I$2, TabellaA1[[#This Row],[MAR]]="X"), "X", IF(AND('Inserimento dati'!$B$3=$J$2, TabellaA1[[#This Row],[MER]]="X"), "X",IF(AND('Inserimento dati'!$B$3=$K$2, TabellaA1[[#This Row],[GIO]]="X"), "X", IF(AND('Inserimento dati'!$B$3=$L$2, TabellaA1[[#This Row],[VEN]]="X"), "X","")))))</f>
        <v/>
      </c>
      <c r="U208" s="138">
        <f>IFERROR(MID(G208,_xlfn.AGGREGATE(15,6,(ROW(INDIRECT("1:"&amp;LEN(G208)-7)))/(ISNUMBER(--MID(G208,ROW(INDIRECT("1:"&amp;LEN(G208)-7)),8))),1),8),"")</f>
        <v/>
      </c>
      <c r="V208" t="inlineStr">
        <is>
          <t>2025-09-30 20:00:00</t>
        </is>
      </c>
    </row>
    <row r="209" ht="23.25" customFormat="1" customHeight="1" s="45">
      <c r="A209" s="112" t="n"/>
      <c r="B209" s="112" t="n"/>
      <c r="C209" s="112">
        <f>IF(OR(TabellaA1[[#This Row],[LUN]]="X",TabellaA1[[#This Row],[MAR]]="X",TabellaA1[[#This Row],[MER]]="X",TabellaA1[[#This Row],[GIO]]="X",TabellaA1[[#This Row],[VEN]]="X",),"X","")</f>
        <v/>
      </c>
      <c r="D209" s="113" t="inlineStr">
        <is>
          <t>AREA 1</t>
        </is>
      </c>
      <c r="E209" s="109" t="inlineStr">
        <is>
          <t>540858/C</t>
        </is>
      </c>
      <c r="F209" s="109" t="n">
        <v>100</v>
      </c>
      <c r="G209" s="109" t="inlineStr">
        <is>
          <t>01T264I(USCITA MANTELLO E109D)CONTROLLO E RIPRISTINO MISURA DI TEMPERATURA</t>
        </is>
      </c>
      <c r="H209" s="111" t="n"/>
      <c r="I209" s="111" t="n"/>
      <c r="J209" s="111" t="n"/>
      <c r="K209" s="111" t="n"/>
      <c r="L209" s="111" t="n"/>
      <c r="M209" s="109" t="inlineStr">
        <is>
          <t>EMESSO</t>
        </is>
      </c>
      <c r="N209" s="110" t="n"/>
      <c r="O209" s="168" t="n"/>
      <c r="P209" s="168" t="n"/>
      <c r="Q209" s="110" t="n"/>
      <c r="R209" s="110" t="n"/>
      <c r="S209" s="110" t="n"/>
      <c r="T209" s="114">
        <f>IF(AND('Inserimento dati'!$B$3=$H$2, TabellaA1[[#This Row],[LUN]]="X"), "X",IF(AND('Inserimento dati'!$B$3=$I$2, TabellaA1[[#This Row],[MAR]]="X"), "X", IF(AND('Inserimento dati'!$B$3=$J$2, TabellaA1[[#This Row],[MER]]="X"), "X",IF(AND('Inserimento dati'!$B$3=$K$2, TabellaA1[[#This Row],[GIO]]="X"), "X", IF(AND('Inserimento dati'!$B$3=$L$2, TabellaA1[[#This Row],[VEN]]="X"), "X","")))))</f>
        <v/>
      </c>
      <c r="U209" s="138">
        <f>IFERROR(MID(G209,_xlfn.AGGREGATE(15,6,(ROW(INDIRECT("1:"&amp;LEN(G209)-7)))/(ISNUMBER(--MID(G209,ROW(INDIRECT("1:"&amp;LEN(G209)-7)),8))),1),8),"")</f>
        <v/>
      </c>
      <c r="V209" t="inlineStr">
        <is>
          <t>2025-09-30 20:00:00</t>
        </is>
      </c>
    </row>
    <row r="210" ht="23.25" customFormat="1" customHeight="1" s="45">
      <c r="A210" s="112" t="n"/>
      <c r="B210" s="112">
        <f>IF(OR(A210="x",A210="X"),"",IF(ISBLANK(A210),"X",""))</f>
        <v/>
      </c>
      <c r="C210" s="112">
        <f>IF(OR(TabellaA1[[#This Row],[LUN]]="X",TabellaA1[[#This Row],[MAR]]="X",TabellaA1[[#This Row],[MER]]="X",TabellaA1[[#This Row],[GIO]]="X",TabellaA1[[#This Row],[VEN]]="X",),"X","")</f>
        <v/>
      </c>
      <c r="D210" s="113" t="inlineStr">
        <is>
          <t>AREA 1</t>
        </is>
      </c>
      <c r="E210" s="109" t="inlineStr">
        <is>
          <t>540661/C</t>
        </is>
      </c>
      <c r="F210" s="109" t="n">
        <v>200</v>
      </c>
      <c r="G210" s="109" t="inlineStr">
        <is>
          <t>200F023RC CONTROLLO E RIPRISTINO FUNZIONALITA PORTATA</t>
        </is>
      </c>
      <c r="H210" s="111" t="n"/>
      <c r="I210" s="111" t="n"/>
      <c r="J210" s="111" t="n"/>
      <c r="K210" s="111" t="n"/>
      <c r="L210" s="111" t="n"/>
      <c r="M210" s="109" t="inlineStr">
        <is>
          <t>EMESSO</t>
        </is>
      </c>
      <c r="N210" s="110" t="n"/>
      <c r="O210" s="168" t="n"/>
      <c r="P210" s="168" t="n"/>
      <c r="Q210" s="110" t="n"/>
      <c r="R210" s="110" t="n"/>
      <c r="S210" s="110" t="n"/>
      <c r="T210" s="114">
        <f>IF(AND('Inserimento dati'!$B$3=$H$2, TabellaA1[[#This Row],[LUN]]="X"), "X",IF(AND('Inserimento dati'!$B$3=$I$2, TabellaA1[[#This Row],[MAR]]="X"), "X", IF(AND('Inserimento dati'!$B$3=$J$2, TabellaA1[[#This Row],[MER]]="X"), "X",IF(AND('Inserimento dati'!$B$3=$K$2, TabellaA1[[#This Row],[GIO]]="X"), "X", IF(AND('Inserimento dati'!$B$3=$L$2, TabellaA1[[#This Row],[VEN]]="X"), "X","")))))</f>
        <v/>
      </c>
      <c r="U210" s="138">
        <f>IFERROR(MID(G210,_xlfn.AGGREGATE(15,6,(ROW(INDIRECT("1:"&amp;LEN(G210)-7)))/(ISNUMBER(--MID(G210,ROW(INDIRECT("1:"&amp;LEN(G210)-7)),8))),1),8),"")</f>
        <v/>
      </c>
      <c r="V210" t="inlineStr">
        <is>
          <t>2025-09-30 20:00:00</t>
        </is>
      </c>
    </row>
    <row r="211" ht="23.25" customFormat="1" customHeight="1" s="45">
      <c r="A211" s="112" t="n"/>
      <c r="B211" s="112">
        <f>IF(OR(A211="x",A211="X"),"",IF(ISBLANK(A211),"X",""))</f>
        <v/>
      </c>
      <c r="C211" s="112">
        <f>IF(OR(TabellaA1[[#This Row],[LUN]]="X",TabellaA1[[#This Row],[MAR]]="X",TabellaA1[[#This Row],[MER]]="X",TabellaA1[[#This Row],[GIO]]="X",TabellaA1[[#This Row],[VEN]]="X",),"X","")</f>
        <v/>
      </c>
      <c r="D211" s="113" t="inlineStr">
        <is>
          <t>AREA 1</t>
        </is>
      </c>
      <c r="E211" s="109" t="inlineStr">
        <is>
          <t>534413/C</t>
        </is>
      </c>
      <c r="F211" s="109" t="inlineStr">
        <is>
          <t>200A</t>
        </is>
      </c>
      <c r="G211" s="109" t="inlineStr">
        <is>
          <t>200AL352RC RIFACIMENTO STAFFAGGIO SU STRUMENTO</t>
        </is>
      </c>
      <c r="H211" s="111" t="n"/>
      <c r="I211" s="111" t="n"/>
      <c r="J211" s="111" t="n"/>
      <c r="K211" s="111" t="n"/>
      <c r="L211" s="111" t="n"/>
      <c r="M211" s="109" t="inlineStr">
        <is>
          <t>EMESSO</t>
        </is>
      </c>
      <c r="N211" s="110" t="n"/>
      <c r="O211" s="168" t="n"/>
      <c r="P211" s="168" t="n"/>
      <c r="Q211" s="110" t="inlineStr">
        <is>
          <t>RIPRISTINATA FUNZIONALITA'</t>
        </is>
      </c>
      <c r="R211" s="110" t="n">
        <v>45771</v>
      </c>
      <c r="S211" s="110" t="inlineStr">
        <is>
          <t>MILLO</t>
        </is>
      </c>
      <c r="T211" s="114">
        <f>IF(AND('Inserimento dati'!$B$3=$H$2, TabellaA1[[#This Row],[LUN]]="X"), "X",IF(AND('Inserimento dati'!$B$3=$I$2, TabellaA1[[#This Row],[MAR]]="X"), "X", IF(AND('Inserimento dati'!$B$3=$J$2, TabellaA1[[#This Row],[MER]]="X"), "X",IF(AND('Inserimento dati'!$B$3=$K$2, TabellaA1[[#This Row],[GIO]]="X"), "X", IF(AND('Inserimento dati'!$B$3=$L$2, TabellaA1[[#This Row],[VEN]]="X"), "X","")))))</f>
        <v/>
      </c>
      <c r="U211" s="138">
        <f>IFERROR(MID(G211,_xlfn.AGGREGATE(15,6,(ROW(INDIRECT("1:"&amp;LEN(G211)-7)))/(ISNUMBER(--MID(G211,ROW(INDIRECT("1:"&amp;LEN(G211)-7)),8))),1),8),"")</f>
        <v/>
      </c>
      <c r="V211" t="inlineStr">
        <is>
          <t>2025-09-30 20:00:00</t>
        </is>
      </c>
    </row>
    <row r="212" ht="30" customFormat="1" customHeight="1" s="45">
      <c r="A212" s="112" t="n"/>
      <c r="B212" s="112">
        <f>IF(OR(A212="x",A212="X"),"",IF(ISBLANK(A212),"X",""))</f>
        <v/>
      </c>
      <c r="C212" s="112">
        <f>IF(OR(TabellaA1[[#This Row],[LUN]]="X",TabellaA1[[#This Row],[MAR]]="X",TabellaA1[[#This Row],[MER]]="X",TabellaA1[[#This Row],[GIO]]="X",TabellaA1[[#This Row],[VEN]]="X",),"X","")</f>
        <v/>
      </c>
      <c r="D212" s="113" t="inlineStr">
        <is>
          <t>AREA 1</t>
        </is>
      </c>
      <c r="E212" s="109" t="inlineStr">
        <is>
          <t>537644/C</t>
        </is>
      </c>
      <c r="F212" s="109" t="n">
        <v>200</v>
      </c>
      <c r="G212" s="109" t="inlineStr">
        <is>
          <t>200T003RC FONDO T101 CONTROLLO E RIPRISTINO TEMPERATURA</t>
        </is>
      </c>
      <c r="H212" s="111" t="n"/>
      <c r="I212" s="111" t="n"/>
      <c r="J212" s="111" t="n"/>
      <c r="K212" s="111" t="n"/>
      <c r="L212" s="111" t="n"/>
      <c r="M212" s="109" t="inlineStr">
        <is>
          <t>EMESSO</t>
        </is>
      </c>
      <c r="N212" s="110" t="n"/>
      <c r="O212" s="168" t="n"/>
      <c r="P212" s="168" t="n"/>
      <c r="Q212" s="110" t="n"/>
      <c r="R212" s="110" t="n">
        <v>45798</v>
      </c>
      <c r="S212" s="110" t="inlineStr">
        <is>
          <t>SPINALI/MANSERVIGI</t>
        </is>
      </c>
      <c r="T212" s="114">
        <f>IF(AND('Inserimento dati'!$B$3=$H$2, TabellaA1[[#This Row],[LUN]]="X"), "X",IF(AND('Inserimento dati'!$B$3=$I$2, TabellaA1[[#This Row],[MAR]]="X"), "X", IF(AND('Inserimento dati'!$B$3=$J$2, TabellaA1[[#This Row],[MER]]="X"), "X",IF(AND('Inserimento dati'!$B$3=$K$2, TabellaA1[[#This Row],[GIO]]="X"), "X", IF(AND('Inserimento dati'!$B$3=$L$2, TabellaA1[[#This Row],[VEN]]="X"), "X","")))))</f>
        <v/>
      </c>
      <c r="U212" s="138">
        <f>IFERROR(MID(G212,_xlfn.AGGREGATE(15,6,(ROW(INDIRECT("1:"&amp;LEN(G212)-7)))/(ISNUMBER(--MID(G212,ROW(INDIRECT("1:"&amp;LEN(G212)-7)),8))),1),8),"")</f>
        <v/>
      </c>
      <c r="V212" t="inlineStr">
        <is>
          <t>2025-09-30 20:00:00</t>
        </is>
      </c>
    </row>
    <row r="213" ht="30" customFormat="1" customHeight="1" s="45">
      <c r="A213" s="112" t="n"/>
      <c r="B213" s="112" t="n"/>
      <c r="C213" s="112">
        <f>IF(OR(TabellaA1[[#This Row],[LUN]]="X",TabellaA1[[#This Row],[MAR]]="X",TabellaA1[[#This Row],[MER]]="X",TabellaA1[[#This Row],[GIO]]="X",TabellaA1[[#This Row],[VEN]]="X",),"X","")</f>
        <v/>
      </c>
      <c r="D213" s="113" t="inlineStr">
        <is>
          <t>AREA 1</t>
        </is>
      </c>
      <c r="E213" s="109" t="inlineStr">
        <is>
          <t>537506/C</t>
        </is>
      </c>
      <c r="F213" s="109" t="n">
        <v>900</v>
      </c>
      <c r="G213" s="109" t="inlineStr">
        <is>
          <t>900 - F011RC (CARICA A T103)CONTROLLO E RIPRISTINO FUNZIONALITA PORTATA</t>
        </is>
      </c>
      <c r="H213" s="111" t="n"/>
      <c r="I213" s="111" t="n"/>
      <c r="J213" s="111" t="n"/>
      <c r="K213" s="111" t="n"/>
      <c r="L213" s="111" t="n"/>
      <c r="M213" s="109" t="inlineStr">
        <is>
          <t>EMESSO</t>
        </is>
      </c>
      <c r="N213" s="110" t="n"/>
      <c r="O213" s="168" t="n"/>
      <c r="P213" s="168" t="n"/>
      <c r="Q213" s="110" t="n"/>
      <c r="R213" s="110" t="n"/>
      <c r="S213" s="110" t="inlineStr">
        <is>
          <t>22/05/2025 00:00:00</t>
        </is>
      </c>
      <c r="T213" s="114">
        <f>IF(AND('Inserimento dati'!$B$3=$H$2, TabellaA1[[#This Row],[LUN]]="X"), "X",IF(AND('Inserimento dati'!$B$3=$I$2, TabellaA1[[#This Row],[MAR]]="X"), "X", IF(AND('Inserimento dati'!$B$3=$J$2, TabellaA1[[#This Row],[MER]]="X"), "X",IF(AND('Inserimento dati'!$B$3=$K$2, TabellaA1[[#This Row],[GIO]]="X"), "X", IF(AND('Inserimento dati'!$B$3=$L$2, TabellaA1[[#This Row],[VEN]]="X"), "X","")))))</f>
        <v/>
      </c>
      <c r="U213" s="138">
        <f>IFERROR(MID(G213,_xlfn.AGGREGATE(15,6,(ROW(INDIRECT("1:"&amp;LEN(G213)-7)))/(ISNUMBER(--MID(G213,ROW(INDIRECT("1:"&amp;LEN(G213)-7)),8))),1),8),"")</f>
        <v/>
      </c>
      <c r="V213" t="inlineStr">
        <is>
          <t>2025-09-30 20:00:00</t>
        </is>
      </c>
    </row>
    <row r="214" ht="23.25" customFormat="1" customHeight="1" s="45">
      <c r="A214" s="112" t="n"/>
      <c r="B214" s="112">
        <f>IF(OR(A214="x",A214="X"),"",IF(ISBLANK(A214),"X",""))</f>
        <v/>
      </c>
      <c r="C214" s="112">
        <f>IF(OR(TabellaA1[[#This Row],[LUN]]="X",TabellaA1[[#This Row],[MAR]]="X",TabellaA1[[#This Row],[MER]]="X",TabellaA1[[#This Row],[GIO]]="X",TabellaA1[[#This Row],[VEN]]="X",),"X","")</f>
        <v/>
      </c>
      <c r="D214" s="113" t="inlineStr">
        <is>
          <t>AREA 1</t>
        </is>
      </c>
      <c r="E214" s="109" t="inlineStr">
        <is>
          <t>536445/C</t>
        </is>
      </c>
      <c r="F214" s="109" t="n">
        <v>400</v>
      </c>
      <c r="G214" s="109" t="inlineStr">
        <is>
          <t>400 - T700/T703R CONTROLLO TEMPERATURE ED ALLINEAMENTO CON SALA CONTROLLO</t>
        </is>
      </c>
      <c r="H214" s="111" t="n"/>
      <c r="I214" s="111" t="n"/>
      <c r="J214" s="111" t="n"/>
      <c r="K214" s="111" t="n"/>
      <c r="L214" s="111" t="n"/>
      <c r="M214" s="109" t="inlineStr">
        <is>
          <t>EMESSO</t>
        </is>
      </c>
      <c r="N214" s="110" t="n"/>
      <c r="O214" s="168" t="n"/>
      <c r="P214" s="168" t="n"/>
      <c r="Q214" s="110" t="n"/>
      <c r="R214" s="110" t="n"/>
      <c r="S214" s="110" t="n"/>
      <c r="T214" s="114">
        <f>IF(AND('Inserimento dati'!$B$3=$H$2, TabellaA1[[#This Row],[LUN]]="X"), "X",IF(AND('Inserimento dati'!$B$3=$I$2, TabellaA1[[#This Row],[MAR]]="X"), "X", IF(AND('Inserimento dati'!$B$3=$J$2, TabellaA1[[#This Row],[MER]]="X"), "X",IF(AND('Inserimento dati'!$B$3=$K$2, TabellaA1[[#This Row],[GIO]]="X"), "X", IF(AND('Inserimento dati'!$B$3=$L$2, TabellaA1[[#This Row],[VEN]]="X"), "X","")))))</f>
        <v/>
      </c>
      <c r="U214" s="137">
        <f>IFERROR(MID(G214,_xlfn.AGGREGATE(15,6,(ROW(INDIRECT("1:"&amp;LEN(G214)-7)))/(ISNUMBER(--MID(G214,ROW(INDIRECT("1:"&amp;LEN(G214)-7)),8))),1),8),"")</f>
        <v/>
      </c>
      <c r="V214" t="inlineStr">
        <is>
          <t>2025-09-30 20:00:00</t>
        </is>
      </c>
    </row>
    <row r="215" ht="23.25" customFormat="1" customHeight="1" s="45">
      <c r="A215" s="112" t="n"/>
      <c r="B215" s="112">
        <f>IF(OR(A215="x",A215="X"),"",IF(ISBLANK(A215),"X",""))</f>
        <v/>
      </c>
      <c r="C215" s="112">
        <f>IF(OR(TabellaA1[[#This Row],[LUN]]="X",TabellaA1[[#This Row],[MAR]]="X",TabellaA1[[#This Row],[MER]]="X",TabellaA1[[#This Row],[GIO]]="X",TabellaA1[[#This Row],[VEN]]="X",),"X","")</f>
        <v/>
      </c>
      <c r="D215" s="113" t="inlineStr">
        <is>
          <t>AREA 1</t>
        </is>
      </c>
      <c r="E215" s="109" t="inlineStr">
        <is>
          <t>529745/C</t>
        </is>
      </c>
      <c r="F215" s="109" t="n">
        <v>300</v>
      </c>
      <c r="G215" s="109" t="inlineStr">
        <is>
          <t>300 - T011I (TREAT GAS A F101)RIPRISTINO FUNZIONALITA TEMPERATURA</t>
        </is>
      </c>
      <c r="H215" s="111" t="n"/>
      <c r="I215" s="111" t="n"/>
      <c r="J215" s="111" t="n"/>
      <c r="K215" s="111" t="n"/>
      <c r="L215" s="111" t="n"/>
      <c r="M215" s="110" t="inlineStr">
        <is>
          <t>EMESSO</t>
        </is>
      </c>
      <c r="N215" s="110" t="n"/>
      <c r="O215" s="168" t="n"/>
      <c r="P215" s="168" t="n"/>
      <c r="Q215" s="110" t="inlineStr">
        <is>
          <t>NESSUNA LAVORAZIONE, DA FARE</t>
        </is>
      </c>
      <c r="R215" s="110" t="n"/>
      <c r="S215" s="110" t="n"/>
      <c r="T215" s="112">
        <f>IF(AND('Inserimento dati'!$B$3=$H$2, TabellaA1[[#This Row],[LUN]]="X"), "X",IF(AND('Inserimento dati'!$B$3=$I$2, TabellaA1[[#This Row],[MAR]]="X"), "X", IF(AND('Inserimento dati'!$B$3=$J$2, TabellaA1[[#This Row],[MER]]="X"), "X",IF(AND('Inserimento dati'!$B$3=$K$2, TabellaA1[[#This Row],[GIO]]="X"), "X", IF(AND('Inserimento dati'!$B$3=$L$2, TabellaA1[[#This Row],[VEN]]="X"), "X","")))))</f>
        <v/>
      </c>
      <c r="U215" s="137">
        <f>IFERROR(MID(G215,_xlfn.AGGREGATE(15,6,(ROW(INDIRECT("1:"&amp;LEN(G215)-7)))/(ISNUMBER(--MID(G215,ROW(INDIRECT("1:"&amp;LEN(G215)-7)),8))),1),8),"")</f>
        <v/>
      </c>
      <c r="V215" t="inlineStr">
        <is>
          <t>2025-09-30 20:00:00</t>
        </is>
      </c>
    </row>
    <row r="216" ht="30" customFormat="1" customHeight="1" s="45">
      <c r="A216" s="112" t="n"/>
      <c r="B216" s="112">
        <f>IF(OR(A216="x",A216="X"),"",IF(ISBLANK(A216),"X",""))</f>
        <v/>
      </c>
      <c r="C216" s="112">
        <f>IF(OR(TabellaA1[[#This Row],[LUN]]="X",TabellaA1[[#This Row],[MAR]]="X",TabellaA1[[#This Row],[MER]]="X",TabellaA1[[#This Row],[GIO]]="X",TabellaA1[[#This Row],[VEN]]="X",),"X","")</f>
        <v/>
      </c>
      <c r="D216" s="113" t="inlineStr">
        <is>
          <t>AREA 1</t>
        </is>
      </c>
      <c r="E216" s="109" t="inlineStr">
        <is>
          <t>535720/C</t>
        </is>
      </c>
      <c r="F216" s="109" t="n">
        <v>100</v>
      </c>
      <c r="G216" s="109" t="inlineStr">
        <is>
          <t>100 - P103B CONTROLLO DI TARATURA 01T268BHA 01T269BSH ALLARME E BLOCCO ALTA TEMPERATURA OLIO LUBE</t>
        </is>
      </c>
      <c r="H216" s="111" t="n"/>
      <c r="I216" s="111" t="n"/>
      <c r="J216" s="111" t="n"/>
      <c r="K216" s="111" t="n"/>
      <c r="L216" s="111" t="n"/>
      <c r="M216" s="110" t="inlineStr">
        <is>
          <t>EMESSO</t>
        </is>
      </c>
      <c r="N216" s="110" t="n"/>
      <c r="O216" s="168" t="n"/>
      <c r="P216" s="168" t="n"/>
      <c r="Q216" s="110" t="inlineStr">
        <is>
          <t>ESERCIZIO ALLA FINE NON HA VOLUTO IL CONTROLL0</t>
        </is>
      </c>
      <c r="R216" s="110" t="n">
        <v>45785</v>
      </c>
      <c r="S216" s="110" t="n"/>
      <c r="T216" s="114">
        <f>IF(AND('Inserimento dati'!$B$3=$H$2, TabellaA1[[#This Row],[LUN]]="X"), "X",IF(AND('Inserimento dati'!$B$3=$I$2, TabellaA1[[#This Row],[MAR]]="X"), "X", IF(AND('Inserimento dati'!$B$3=$J$2, TabellaA1[[#This Row],[MER]]="X"), "X",IF(AND('Inserimento dati'!$B$3=$K$2, TabellaA1[[#This Row],[GIO]]="X"), "X", IF(AND('Inserimento dati'!$B$3=$L$2, TabellaA1[[#This Row],[VEN]]="X"), "X","")))))</f>
        <v/>
      </c>
      <c r="U216" s="137">
        <f>IFERROR(MID(G216,_xlfn.AGGREGATE(15,6,(ROW(INDIRECT("1:"&amp;LEN(G216)-7)))/(ISNUMBER(--MID(G216,ROW(INDIRECT("1:"&amp;LEN(G216)-7)),8))),1),8),"")</f>
        <v/>
      </c>
      <c r="V216" t="inlineStr">
        <is>
          <t>2025-09-30 20:00:00</t>
        </is>
      </c>
    </row>
    <row r="217" ht="30" customFormat="1" customHeight="1" s="45">
      <c r="A217" s="112" t="n"/>
      <c r="B217" s="112">
        <f>IF(OR(A217="x",A217="X"),"",IF(ISBLANK(A217),"X",""))</f>
        <v/>
      </c>
      <c r="C217" s="112">
        <f>IF(OR(TabellaA1[[#This Row],[LUN]]="X",TabellaA1[[#This Row],[MAR]]="X",TabellaA1[[#This Row],[MER]]="X",TabellaA1[[#This Row],[GIO]]="X",TabellaA1[[#This Row],[VEN]]="X",),"X","")</f>
        <v/>
      </c>
      <c r="D217" s="113" t="inlineStr">
        <is>
          <t>AREA 1</t>
        </is>
      </c>
      <c r="E217" s="109" t="inlineStr">
        <is>
          <t>535807/C</t>
        </is>
      </c>
      <c r="F217" s="109" t="n">
        <v>100</v>
      </c>
      <c r="G217" s="109" t="inlineStr">
        <is>
          <t>100 - F039CV (BENZINA AD E102A/B)CONTROLLO E RIPRISTINO FUNZIONALITA VALVOLA</t>
        </is>
      </c>
      <c r="H217" s="111" t="n"/>
      <c r="I217" s="111" t="n"/>
      <c r="J217" s="111" t="n"/>
      <c r="K217" s="111" t="n"/>
      <c r="L217" s="111" t="n"/>
      <c r="M217" s="109" t="inlineStr">
        <is>
          <t>EMESSO</t>
        </is>
      </c>
      <c r="N217" s="110" t="n"/>
      <c r="O217" s="168" t="n"/>
      <c r="P217" s="168" t="n"/>
      <c r="Q217" s="110" t="n"/>
      <c r="R217" s="110" t="n">
        <v>45788</v>
      </c>
      <c r="S217" s="110" t="inlineStr">
        <is>
          <t>TARASCIO/PARTESANO</t>
        </is>
      </c>
      <c r="T217" s="114">
        <f>IF(AND('Inserimento dati'!$B$3=$H$2, TabellaA1[[#This Row],[LUN]]="X"), "X",IF(AND('Inserimento dati'!$B$3=$I$2, TabellaA1[[#This Row],[MAR]]="X"), "X", IF(AND('Inserimento dati'!$B$3=$J$2, TabellaA1[[#This Row],[MER]]="X"), "X",IF(AND('Inserimento dati'!$B$3=$K$2, TabellaA1[[#This Row],[GIO]]="X"), "X", IF(AND('Inserimento dati'!$B$3=$L$2, TabellaA1[[#This Row],[VEN]]="X"), "X","")))))</f>
        <v/>
      </c>
      <c r="U217" s="137">
        <f>IFERROR(MID(G217,_xlfn.AGGREGATE(15,6,(ROW(INDIRECT("1:"&amp;LEN(G217)-7)))/(ISNUMBER(--MID(G217,ROW(INDIRECT("1:"&amp;LEN(G217)-7)),8))),1),8),"")</f>
        <v/>
      </c>
      <c r="V217" t="inlineStr">
        <is>
          <t>2025-09-30 20:00:00</t>
        </is>
      </c>
    </row>
    <row r="218" ht="30" customFormat="1" customHeight="1" s="45">
      <c r="A218" s="112" t="n"/>
      <c r="B218" s="112">
        <f>IF(OR(A218="x",A218="X"),"",IF(ISBLANK(A218),"X",""))</f>
        <v/>
      </c>
      <c r="C218" s="112">
        <f>IF(OR(TabellaA1[[#This Row],[LUN]]="X",TabellaA1[[#This Row],[MAR]]="X",TabellaA1[[#This Row],[MER]]="X",TabellaA1[[#This Row],[GIO]]="X",TabellaA1[[#This Row],[VEN]]="X",),"X","")</f>
        <v/>
      </c>
      <c r="D218" s="113" t="inlineStr">
        <is>
          <t>AREA 1</t>
        </is>
      </c>
      <c r="E218" s="109" t="inlineStr">
        <is>
          <t>536439/C</t>
        </is>
      </c>
      <c r="F218" s="109" t="n">
        <v>100</v>
      </c>
      <c r="G218" s="109" t="inlineStr">
        <is>
          <t>100 - K651A RIMONTAGGIO E MESSA IN SERVIZIO SONDA DI VIBRAZIONE 01VBMABI(LATO SR)</t>
        </is>
      </c>
      <c r="H218" s="111" t="n"/>
      <c r="I218" s="111" t="n"/>
      <c r="J218" s="111" t="n"/>
      <c r="K218" s="111" t="n"/>
      <c r="L218" s="111" t="n"/>
      <c r="M218" s="109" t="inlineStr">
        <is>
          <t>EMESSO</t>
        </is>
      </c>
      <c r="N218" s="110" t="n"/>
      <c r="O218" s="168" t="n"/>
      <c r="P218" s="168" t="n"/>
      <c r="Q218" s="110" t="inlineStr">
        <is>
          <t>ESEGUITA SOSTITUZIONE SONDA CONNETTORE RIMANE IN FAULT PER PROBLEMA SCHEDA DI ACQUISIZIONE SCHEDA</t>
        </is>
      </c>
      <c r="R218" s="110" t="n">
        <v>45792</v>
      </c>
      <c r="S218" s="110" t="inlineStr">
        <is>
          <t>SPINALI/PARTESANO</t>
        </is>
      </c>
      <c r="T218" s="114">
        <f>IF(AND('Inserimento dati'!$B$3=$H$2, TabellaA1[[#This Row],[LUN]]="X"), "X",IF(AND('Inserimento dati'!$B$3=$I$2, TabellaA1[[#This Row],[MAR]]="X"), "X", IF(AND('Inserimento dati'!$B$3=$J$2, TabellaA1[[#This Row],[MER]]="X"), "X",IF(AND('Inserimento dati'!$B$3=$K$2, TabellaA1[[#This Row],[GIO]]="X"), "X", IF(AND('Inserimento dati'!$B$3=$L$2, TabellaA1[[#This Row],[VEN]]="X"), "X","")))))</f>
        <v/>
      </c>
      <c r="U218" s="137">
        <f>IFERROR(MID(G218,_xlfn.AGGREGATE(15,6,(ROW(INDIRECT("1:"&amp;LEN(G218)-7)))/(ISNUMBER(--MID(G218,ROW(INDIRECT("1:"&amp;LEN(G218)-7)),8))),1),8),"")</f>
        <v/>
      </c>
      <c r="V218" t="inlineStr">
        <is>
          <t>2025-09-30 20:00:00</t>
        </is>
      </c>
    </row>
    <row r="219" ht="23.25" customFormat="1" customHeight="1" s="45">
      <c r="A219" s="112" t="n"/>
      <c r="B219" s="112">
        <f>IF(OR(A219="x",A219="X"),"",IF(ISBLANK(A219),"X",""))</f>
        <v/>
      </c>
      <c r="C219" s="112">
        <f>IF(OR(TabellaA1[[#This Row],[LUN]]="X",TabellaA1[[#This Row],[MAR]]="X",TabellaA1[[#This Row],[MER]]="X",TabellaA1[[#This Row],[GIO]]="X",TabellaA1[[#This Row],[VEN]]="X",),"X","")</f>
        <v/>
      </c>
      <c r="D219" s="113" t="inlineStr">
        <is>
          <t>AREA 1</t>
        </is>
      </c>
      <c r="E219" s="109" t="inlineStr">
        <is>
          <t>536778/C</t>
        </is>
      </c>
      <c r="F219" s="109" t="n">
        <v>300</v>
      </c>
      <c r="G219" s="109" t="inlineStr">
        <is>
          <t>300 - 300P103A SMONTAGGIO STRUMENTAZIONE SU BARILOTTI TENUTA POMPE</t>
        </is>
      </c>
      <c r="H219" s="111" t="n"/>
      <c r="I219" s="111" t="n"/>
      <c r="J219" s="111" t="n"/>
      <c r="K219" s="111" t="n"/>
      <c r="L219" s="111" t="n"/>
      <c r="M219" s="109" t="inlineStr">
        <is>
          <t>EMESSO</t>
        </is>
      </c>
      <c r="N219" s="110" t="n"/>
      <c r="O219" s="168" t="n"/>
      <c r="P219" s="168" t="n"/>
      <c r="Q219" s="110" t="n"/>
      <c r="R219" s="110" t="n"/>
      <c r="S219" s="110" t="n"/>
      <c r="T219" s="114">
        <f>IF(AND('Inserimento dati'!$B$3=$H$2, TabellaA1[[#This Row],[LUN]]="X"), "X",IF(AND('Inserimento dati'!$B$3=$I$2, TabellaA1[[#This Row],[MAR]]="X"), "X", IF(AND('Inserimento dati'!$B$3=$J$2, TabellaA1[[#This Row],[MER]]="X"), "X",IF(AND('Inserimento dati'!$B$3=$K$2, TabellaA1[[#This Row],[GIO]]="X"), "X", IF(AND('Inserimento dati'!$B$3=$L$2, TabellaA1[[#This Row],[VEN]]="X"), "X","")))))</f>
        <v/>
      </c>
      <c r="U219" s="137">
        <f>IFERROR(MID(G219,_xlfn.AGGREGATE(15,6,(ROW(INDIRECT("1:"&amp;LEN(G219)-7)))/(ISNUMBER(--MID(G219,ROW(INDIRECT("1:"&amp;LEN(G219)-7)),8))),1),8),"")</f>
        <v/>
      </c>
      <c r="V219" t="inlineStr">
        <is>
          <t>2025-09-30 20:00:00</t>
        </is>
      </c>
    </row>
    <row r="220" ht="30" customFormat="1" customHeight="1" s="45">
      <c r="A220" s="112" t="n"/>
      <c r="B220" s="112" t="n"/>
      <c r="C220" s="112">
        <f>IF(OR(TabellaA1[[#This Row],[LUN]]="X",TabellaA1[[#This Row],[MAR]]="X",TabellaA1[[#This Row],[MER]]="X",TabellaA1[[#This Row],[GIO]]="X",TabellaA1[[#This Row],[VEN]]="X",),"X","")</f>
        <v/>
      </c>
      <c r="D220" s="113" t="inlineStr">
        <is>
          <t>AREA 1</t>
        </is>
      </c>
      <c r="E220" s="109" t="inlineStr">
        <is>
          <t>538036/C</t>
        </is>
      </c>
      <c r="F220" s="109" t="n">
        <v>200</v>
      </c>
      <c r="G220" s="109" t="inlineStr">
        <is>
          <t>200 - T019HA(USCITA PASSO 2 F102)CONTROLLO E RIPRISTINO TEMPERATURA</t>
        </is>
      </c>
      <c r="H220" s="111" t="n"/>
      <c r="I220" s="111" t="n"/>
      <c r="J220" s="111" t="n"/>
      <c r="K220" s="111" t="n"/>
      <c r="L220" s="111" t="n"/>
      <c r="M220" s="109" t="inlineStr">
        <is>
          <t>EMESSO</t>
        </is>
      </c>
      <c r="N220" s="110" t="n"/>
      <c r="O220" s="168" t="n"/>
      <c r="P220" s="168" t="n"/>
      <c r="Q220" s="110" t="n"/>
      <c r="R220" s="110" t="n">
        <v>45804</v>
      </c>
      <c r="S220" s="110" t="inlineStr">
        <is>
          <t>SPINALI/GARRO S.</t>
        </is>
      </c>
      <c r="T220" s="114">
        <f>IF(AND('Inserimento dati'!$B$3=$H$2, TabellaA1[[#This Row],[LUN]]="X"), "X",IF(AND('Inserimento dati'!$B$3=$I$2, TabellaA1[[#This Row],[MAR]]="X"), "X", IF(AND('Inserimento dati'!$B$3=$J$2, TabellaA1[[#This Row],[MER]]="X"), "X",IF(AND('Inserimento dati'!$B$3=$K$2, TabellaA1[[#This Row],[GIO]]="X"), "X", IF(AND('Inserimento dati'!$B$3=$L$2, TabellaA1[[#This Row],[VEN]]="X"), "X","")))))</f>
        <v/>
      </c>
      <c r="U220" s="138">
        <f>IFERROR(MID(G220,_xlfn.AGGREGATE(15,6,(ROW(INDIRECT("1:"&amp;LEN(G220)-7)))/(ISNUMBER(--MID(G220,ROW(INDIRECT("1:"&amp;LEN(G220)-7)),8))),1),8),"")</f>
        <v/>
      </c>
      <c r="V220" t="inlineStr">
        <is>
          <t>2025-09-30 20:00:00</t>
        </is>
      </c>
    </row>
    <row r="221" ht="30" customFormat="1" customHeight="1" s="45">
      <c r="A221" s="112" t="n"/>
      <c r="B221" s="112">
        <f>IF(OR(A221="x",A221="X"),"",IF(ISBLANK(A221),"X",""))</f>
        <v/>
      </c>
      <c r="C221" s="112">
        <f>IF(OR(TabellaA1[[#This Row],[LUN]]="X",TabellaA1[[#This Row],[MAR]]="X",TabellaA1[[#This Row],[MER]]="X",TabellaA1[[#This Row],[GIO]]="X",TabellaA1[[#This Row],[VEN]]="X",),"X","")</f>
        <v/>
      </c>
      <c r="D221" s="113" t="inlineStr">
        <is>
          <t>AREA 1</t>
        </is>
      </c>
      <c r="E221" s="109" t="inlineStr">
        <is>
          <t>540210/C</t>
        </is>
      </c>
      <c r="F221" s="109" t="n">
        <v>900</v>
      </c>
      <c r="G221" s="109" t="inlineStr">
        <is>
          <t>900P031SH (T101) CONTROLLO E RIPRISTINO FUNZIONALITA PRESSOSTATO(METTERE IL MOS PRIMA DI INIZIARE ATTIVITA)</t>
        </is>
      </c>
      <c r="H221" s="111" t="n"/>
      <c r="I221" s="111" t="n"/>
      <c r="J221" s="111" t="n"/>
      <c r="K221" s="111" t="n"/>
      <c r="L221" s="111" t="n"/>
      <c r="M221" s="109" t="inlineStr">
        <is>
          <t>EMESSO</t>
        </is>
      </c>
      <c r="N221" s="110" t="n"/>
      <c r="O221" s="168" t="n"/>
      <c r="P221" s="168" t="n"/>
      <c r="Q221" s="110" t="n"/>
      <c r="R221" s="110" t="n">
        <v>45818</v>
      </c>
      <c r="S221" s="110" t="inlineStr">
        <is>
          <t>MILLO</t>
        </is>
      </c>
      <c r="T221" s="114">
        <f>IF(AND('Inserimento dati'!$B$3=$H$2, TabellaA1[[#This Row],[LUN]]="X"), "X",IF(AND('Inserimento dati'!$B$3=$I$2, TabellaA1[[#This Row],[MAR]]="X"), "X", IF(AND('Inserimento dati'!$B$3=$J$2, TabellaA1[[#This Row],[MER]]="X"), "X",IF(AND('Inserimento dati'!$B$3=$K$2, TabellaA1[[#This Row],[GIO]]="X"), "X", IF(AND('Inserimento dati'!$B$3=$L$2, TabellaA1[[#This Row],[VEN]]="X"), "X","")))))</f>
        <v/>
      </c>
      <c r="U221" s="138">
        <f>IFERROR(MID(G221,_xlfn.AGGREGATE(15,6,(ROW(INDIRECT("1:"&amp;LEN(G221)-7)))/(ISNUMBER(--MID(G221,ROW(INDIRECT("1:"&amp;LEN(G221)-7)),8))),1),8),"")</f>
        <v/>
      </c>
      <c r="V221" t="inlineStr">
        <is>
          <t>2025-09-30 20:00:00</t>
        </is>
      </c>
    </row>
    <row r="222" ht="30" customFormat="1" customHeight="1" s="45">
      <c r="A222" s="112" t="n"/>
      <c r="B222" s="112" t="n"/>
      <c r="C222" s="112">
        <f>IF(OR(TabellaA1[[#This Row],[LUN]]="X",TabellaA1[[#This Row],[MAR]]="X",TabellaA1[[#This Row],[MER]]="X",TabellaA1[[#This Row],[GIO]]="X",TabellaA1[[#This Row],[VEN]]="X",),"X","")</f>
        <v/>
      </c>
      <c r="D222" s="113" t="inlineStr">
        <is>
          <t>AREA 1</t>
        </is>
      </c>
      <c r="E222" s="109" t="inlineStr">
        <is>
          <t>539641/C</t>
        </is>
      </c>
      <c r="F222" s="109" t="n">
        <v>200</v>
      </c>
      <c r="G222" s="109" t="inlineStr">
        <is>
          <t>200 - T010HA(USCITA PASSO 1 F101)CONTROLLO LOOP DI TEMPERATURA E ALLINEAMENTO CON SALA CONTROLLO</t>
        </is>
      </c>
      <c r="H222" s="111" t="n"/>
      <c r="I222" s="111" t="n"/>
      <c r="J222" s="111" t="n"/>
      <c r="K222" s="111" t="n"/>
      <c r="L222" s="111" t="n"/>
      <c r="M222" s="109" t="inlineStr">
        <is>
          <t>EMESSO</t>
        </is>
      </c>
      <c r="N222" s="110" t="n"/>
      <c r="O222" s="168" t="n"/>
      <c r="P222" s="168" t="n"/>
      <c r="Q222" s="110" t="n"/>
      <c r="R222" s="110" t="n"/>
      <c r="S222" s="110" t="n"/>
      <c r="T222" s="114">
        <f>IF(AND('Inserimento dati'!$B$3=$H$2, TabellaA1[[#This Row],[LUN]]="X"), "X",IF(AND('Inserimento dati'!$B$3=$I$2, TabellaA1[[#This Row],[MAR]]="X"), "X", IF(AND('Inserimento dati'!$B$3=$J$2, TabellaA1[[#This Row],[MER]]="X"), "X",IF(AND('Inserimento dati'!$B$3=$K$2, TabellaA1[[#This Row],[GIO]]="X"), "X", IF(AND('Inserimento dati'!$B$3=$L$2, TabellaA1[[#This Row],[VEN]]="X"), "X","")))))</f>
        <v/>
      </c>
      <c r="U222" s="138">
        <f>IFERROR(MID(G222,_xlfn.AGGREGATE(15,6,(ROW(INDIRECT("1:"&amp;LEN(G222)-7)))/(ISNUMBER(--MID(G222,ROW(INDIRECT("1:"&amp;LEN(G222)-7)),8))),1),8),"")</f>
        <v/>
      </c>
      <c r="V222" t="inlineStr">
        <is>
          <t>2025-09-30 20:00:00</t>
        </is>
      </c>
    </row>
    <row r="223" ht="45" customFormat="1" customHeight="1" s="45">
      <c r="A223" s="112" t="n"/>
      <c r="B223" s="112" t="n"/>
      <c r="C223" s="112">
        <f>IF(OR(TabellaA1[[#This Row],[LUN]]="X",TabellaA1[[#This Row],[MAR]]="X",TabellaA1[[#This Row],[MER]]="X",TabellaA1[[#This Row],[GIO]]="X",TabellaA1[[#This Row],[VEN]]="X",),"X","")</f>
        <v/>
      </c>
      <c r="D223" s="113" t="inlineStr">
        <is>
          <t>AREA 1</t>
        </is>
      </c>
      <c r="E223" s="109" t="inlineStr">
        <is>
          <t>541863/C</t>
        </is>
      </c>
      <c r="F223" s="109" t="n">
        <v>100</v>
      </c>
      <c r="G223" s="109" t="inlineStr">
        <is>
          <t>01F035RC(VAPORE STRIPP. T103)CONTROLLO LOOP DI REGOLAZIONE PER MISURA SOTTOSTIMATA</t>
        </is>
      </c>
      <c r="H223" s="111" t="n"/>
      <c r="I223" s="111" t="n"/>
      <c r="J223" s="111" t="n"/>
      <c r="K223" s="111" t="n"/>
      <c r="L223" s="111" t="n"/>
      <c r="M223" s="109" t="inlineStr">
        <is>
          <t>EMESSO</t>
        </is>
      </c>
      <c r="N223" s="110" t="n"/>
      <c r="O223" s="168" t="n"/>
      <c r="P223" s="168" t="n"/>
      <c r="Q223" s="110" t="inlineStr">
        <is>
          <t>TROVATO CONVERTITORE I/P IN DISPERSIONE. DA SOSTITUIRE.
SOSTITUITO CONVERTITORE ED ALLINEATA REGOLATRICE</t>
        </is>
      </c>
      <c r="R223" s="110" t="n">
        <v>45831</v>
      </c>
      <c r="S223" s="110" t="inlineStr">
        <is>
          <t>TARASCIO/PARTESANO/GARRO</t>
        </is>
      </c>
      <c r="T223" s="114">
        <f>IF(AND('Inserimento dati'!$B$3=$H$2, TabellaA1[[#This Row],[LUN]]="X"), "X",IF(AND('Inserimento dati'!$B$3=$I$2, TabellaA1[[#This Row],[MAR]]="X"), "X", IF(AND('Inserimento dati'!$B$3=$J$2, TabellaA1[[#This Row],[MER]]="X"), "X",IF(AND('Inserimento dati'!$B$3=$K$2, TabellaA1[[#This Row],[GIO]]="X"), "X", IF(AND('Inserimento dati'!$B$3=$L$2, TabellaA1[[#This Row],[VEN]]="X"), "X","")))))</f>
        <v/>
      </c>
      <c r="U223" s="138">
        <f>IFERROR(MID(G223,_xlfn.AGGREGATE(15,6,(ROW(INDIRECT("1:"&amp;LEN(G223)-7)))/(ISNUMBER(--MID(G223,ROW(INDIRECT("1:"&amp;LEN(G223)-7)),8))),1),8),"")</f>
        <v/>
      </c>
      <c r="V223" t="inlineStr">
        <is>
          <t>2025-09-30 20:00:00</t>
        </is>
      </c>
    </row>
    <row r="224" ht="30" customFormat="1" customHeight="1" s="45">
      <c r="A224" s="112" t="n"/>
      <c r="B224" s="112" t="n"/>
      <c r="C224" s="112">
        <f>IF(OR(TabellaA1[[#This Row],[LUN]]="X",TabellaA1[[#This Row],[MAR]]="X",TabellaA1[[#This Row],[MER]]="X",TabellaA1[[#This Row],[GIO]]="X",TabellaA1[[#This Row],[VEN]]="X",),"X","")</f>
        <v/>
      </c>
      <c r="D224" s="113" t="inlineStr">
        <is>
          <t>AREA 1</t>
        </is>
      </c>
      <c r="E224" s="109" t="inlineStr">
        <is>
          <t>542381/C</t>
        </is>
      </c>
      <c r="F224" s="109" t="n">
        <v>100</v>
      </c>
      <c r="G224" s="109" t="inlineStr">
        <is>
          <t>100F101 ASSISTENZA STRUMENTALE CON APERTURA CASSETTE ADF PER SISTEMA SOFFIATURA</t>
        </is>
      </c>
      <c r="H224" s="111" t="n"/>
      <c r="I224" s="111" t="n"/>
      <c r="J224" s="111" t="n"/>
      <c r="K224" s="111" t="n"/>
      <c r="L224" s="111" t="n"/>
      <c r="M224" s="109" t="inlineStr">
        <is>
          <t>EMESSO</t>
        </is>
      </c>
      <c r="N224" s="110" t="n"/>
      <c r="O224" s="168" t="n"/>
      <c r="P224" s="168" t="n"/>
      <c r="Q224" s="110" t="n"/>
      <c r="R224" s="110" t="n"/>
      <c r="S224" s="110" t="n"/>
      <c r="T224" s="114">
        <f>IF(AND('Inserimento dati'!$B$3=$H$2, TabellaA1[[#This Row],[LUN]]="X"), "X",IF(AND('Inserimento dati'!$B$3=$I$2, TabellaA1[[#This Row],[MAR]]="X"), "X", IF(AND('Inserimento dati'!$B$3=$J$2, TabellaA1[[#This Row],[MER]]="X"), "X",IF(AND('Inserimento dati'!$B$3=$K$2, TabellaA1[[#This Row],[GIO]]="X"), "X", IF(AND('Inserimento dati'!$B$3=$L$2, TabellaA1[[#This Row],[VEN]]="X"), "X","")))))</f>
        <v/>
      </c>
      <c r="U224" s="138">
        <f>IFERROR(MID(G224,_xlfn.AGGREGATE(15,6,(ROW(INDIRECT("1:"&amp;LEN(G224)-7)))/(ISNUMBER(--MID(G224,ROW(INDIRECT("1:"&amp;LEN(G224)-7)),8))),1),8),"")</f>
        <v/>
      </c>
      <c r="V224" t="inlineStr">
        <is>
          <t>2025-09-30 20:00:00</t>
        </is>
      </c>
    </row>
    <row r="225" ht="23.25" customFormat="1" customHeight="1" s="45">
      <c r="A225" s="112" t="n"/>
      <c r="B225" s="112" t="n"/>
      <c r="C225" s="112">
        <f>IF(OR(TabellaA1[[#This Row],[LUN]]="X",TabellaA1[[#This Row],[MAR]]="X",TabellaA1[[#This Row],[MER]]="X",TabellaA1[[#This Row],[GIO]]="X",TabellaA1[[#This Row],[VEN]]="X",),"X","")</f>
        <v/>
      </c>
      <c r="D225" s="113" t="inlineStr">
        <is>
          <t>AREA 1</t>
        </is>
      </c>
      <c r="E225" s="109" t="inlineStr">
        <is>
          <t>542194/C</t>
        </is>
      </c>
      <c r="F225" s="109" t="n">
        <v>400</v>
      </c>
      <c r="G225" s="109" t="inlineStr">
        <is>
          <t>400T165RC INGRESSO E164 CONTROLLO E RIPRISTINO MISURA DI TEMPERATURA</t>
        </is>
      </c>
      <c r="H225" s="111" t="n"/>
      <c r="I225" s="111" t="n"/>
      <c r="J225" s="111" t="n"/>
      <c r="K225" s="111" t="n"/>
      <c r="L225" s="111" t="n"/>
      <c r="M225" s="109" t="inlineStr">
        <is>
          <t>EMESSO</t>
        </is>
      </c>
      <c r="N225" s="110" t="n"/>
      <c r="O225" s="168" t="n"/>
      <c r="P225" s="168" t="n"/>
      <c r="Q225" s="110" t="n"/>
      <c r="R225" s="110" t="n"/>
      <c r="S225" s="110" t="n"/>
      <c r="T225" s="114">
        <f>IF(AND('Inserimento dati'!$B$3=$H$2, TabellaA1[[#This Row],[LUN]]="X"), "X",IF(AND('Inserimento dati'!$B$3=$I$2, TabellaA1[[#This Row],[MAR]]="X"), "X", IF(AND('Inserimento dati'!$B$3=$J$2, TabellaA1[[#This Row],[MER]]="X"), "X",IF(AND('Inserimento dati'!$B$3=$K$2, TabellaA1[[#This Row],[GIO]]="X"), "X", IF(AND('Inserimento dati'!$B$3=$L$2, TabellaA1[[#This Row],[VEN]]="X"), "X","")))))</f>
        <v/>
      </c>
      <c r="U225" s="138">
        <f>IFERROR(MID(G225,_xlfn.AGGREGATE(15,6,(ROW(INDIRECT("1:"&amp;LEN(G225)-7)))/(ISNUMBER(--MID(G225,ROW(INDIRECT("1:"&amp;LEN(G225)-7)),8))),1),8),"")</f>
        <v/>
      </c>
      <c r="V225" t="inlineStr">
        <is>
          <t>2025-09-30 20:00:00</t>
        </is>
      </c>
    </row>
    <row r="226" ht="30" customFormat="1" customHeight="1" s="45">
      <c r="A226" s="112" t="n"/>
      <c r="B226" s="112" t="n"/>
      <c r="C226" s="112">
        <f>IF(OR(TabellaA1[[#This Row],[LUN]]="X",TabellaA1[[#This Row],[MAR]]="X",TabellaA1[[#This Row],[MER]]="X",TabellaA1[[#This Row],[GIO]]="X",TabellaA1[[#This Row],[VEN]]="X",),"X","")</f>
        <v/>
      </c>
      <c r="D226" s="113" t="inlineStr">
        <is>
          <t>AREA 1</t>
        </is>
      </c>
      <c r="E226" s="109" t="inlineStr">
        <is>
          <t>542198/C</t>
        </is>
      </c>
      <c r="F226" s="109" t="n">
        <v>300</v>
      </c>
      <c r="G226" s="109" t="inlineStr">
        <is>
          <t>300T009RC FONDO STRIPPER E108 CONTROLLO MISURA DI TEMPERATURA E ALLINEAMENTO CON SALA CONTROLLO</t>
        </is>
      </c>
      <c r="H226" s="111" t="n"/>
      <c r="I226" s="111" t="n"/>
      <c r="J226" s="111" t="n"/>
      <c r="K226" s="111" t="n"/>
      <c r="L226" s="111" t="n"/>
      <c r="M226" s="109" t="inlineStr">
        <is>
          <t>EMESSO</t>
        </is>
      </c>
      <c r="N226" s="110" t="n"/>
      <c r="O226" s="168" t="n"/>
      <c r="P226" s="168" t="n"/>
      <c r="Q226" s="110" t="inlineStr">
        <is>
          <t>ATTESA MODIFICA PONTEGGIO PER POTER ISPEZIONARE IL TERMOELEMENTO</t>
        </is>
      </c>
      <c r="R226" s="110" t="n">
        <v>45841</v>
      </c>
      <c r="S226" s="110" t="inlineStr">
        <is>
          <t>TARASCIO</t>
        </is>
      </c>
      <c r="T226" s="114">
        <f>IF(AND('Inserimento dati'!$B$3=$H$2, TabellaA1[[#This Row],[LUN]]="X"), "X",IF(AND('Inserimento dati'!$B$3=$I$2, TabellaA1[[#This Row],[MAR]]="X"), "X", IF(AND('Inserimento dati'!$B$3=$J$2, TabellaA1[[#This Row],[MER]]="X"), "X",IF(AND('Inserimento dati'!$B$3=$K$2, TabellaA1[[#This Row],[GIO]]="X"), "X", IF(AND('Inserimento dati'!$B$3=$L$2, TabellaA1[[#This Row],[VEN]]="X"), "X","")))))</f>
        <v/>
      </c>
      <c r="U226" s="138">
        <f>IFERROR(MID(G226,_xlfn.AGGREGATE(15,6,(ROW(INDIRECT("1:"&amp;LEN(G226)-7)))/(ISNUMBER(--MID(G226,ROW(INDIRECT("1:"&amp;LEN(G226)-7)),8))),1),8),"")</f>
        <v/>
      </c>
      <c r="V226" t="inlineStr">
        <is>
          <t>2025-09-30 20:00:00</t>
        </is>
      </c>
    </row>
    <row r="227" ht="30" customFormat="1" customHeight="1" s="45">
      <c r="A227" s="112" t="n"/>
      <c r="B227" s="112" t="n"/>
      <c r="C227" s="112">
        <f>IF(OR(TabellaA1[[#This Row],[LUN]]="X",TabellaA1[[#This Row],[MAR]]="X",TabellaA1[[#This Row],[MER]]="X",TabellaA1[[#This Row],[GIO]]="X",TabellaA1[[#This Row],[VEN]]="X",),"X","")</f>
        <v/>
      </c>
      <c r="D227" s="113" t="inlineStr">
        <is>
          <t>AREA 1</t>
        </is>
      </c>
      <c r="E227" s="109" t="inlineStr">
        <is>
          <t>542834/C</t>
        </is>
      </c>
      <c r="F227" s="109" t="n">
        <v>100</v>
      </c>
      <c r="G227" s="109" t="inlineStr">
        <is>
          <t>100P3032A_DR DIFFERENZIALE DI PRESSIONE TENUTA K651A CONTROLLO E RIPRISTINO MISURA</t>
        </is>
      </c>
      <c r="H227" s="111" t="n"/>
      <c r="I227" s="111" t="n"/>
      <c r="J227" s="111" t="n"/>
      <c r="K227" s="111" t="n"/>
      <c r="L227" s="111" t="n"/>
      <c r="M227" s="109" t="inlineStr">
        <is>
          <t>EMESSO</t>
        </is>
      </c>
      <c r="N227" s="110" t="n"/>
      <c r="O227" s="168" t="n"/>
      <c r="P227" s="168" t="n"/>
      <c r="Q227" s="110" t="n"/>
      <c r="R227" s="110" t="n"/>
      <c r="S227" s="110" t="n"/>
      <c r="T227" s="114">
        <f>IF(AND('Inserimento dati'!$B$3=$H$2, TabellaA1[[#This Row],[LUN]]="X"), "X",IF(AND('Inserimento dati'!$B$3=$I$2, TabellaA1[[#This Row],[MAR]]="X"), "X", IF(AND('Inserimento dati'!$B$3=$J$2, TabellaA1[[#This Row],[MER]]="X"), "X",IF(AND('Inserimento dati'!$B$3=$K$2, TabellaA1[[#This Row],[GIO]]="X"), "X", IF(AND('Inserimento dati'!$B$3=$L$2, TabellaA1[[#This Row],[VEN]]="X"), "X","")))))</f>
        <v/>
      </c>
      <c r="U227" s="138">
        <f>IFERROR(MID(G227,_xlfn.AGGREGATE(15,6,(ROW(INDIRECT("1:"&amp;LEN(G227)-7)))/(ISNUMBER(--MID(G227,ROW(INDIRECT("1:"&amp;LEN(G227)-7)),8))),1),8),"")</f>
        <v/>
      </c>
      <c r="V227" t="inlineStr">
        <is>
          <t>2025-09-30 20:00:00</t>
        </is>
      </c>
    </row>
    <row r="228" ht="30" customFormat="1" customHeight="1" s="45">
      <c r="A228" s="112" t="n"/>
      <c r="B228" s="112" t="n"/>
      <c r="C228" s="112">
        <f>IF(OR(TabellaA1[[#This Row],[LUN]]="X",TabellaA1[[#This Row],[MAR]]="X",TabellaA1[[#This Row],[MER]]="X",TabellaA1[[#This Row],[GIO]]="X",TabellaA1[[#This Row],[VEN]]="X",),"X","")</f>
        <v/>
      </c>
      <c r="D228" s="113" t="inlineStr">
        <is>
          <t>AREA 1</t>
        </is>
      </c>
      <c r="E228" s="109" t="inlineStr">
        <is>
          <t>544276/C</t>
        </is>
      </c>
      <c r="F228" s="109" t="n">
        <v>400</v>
      </c>
      <c r="G228" s="109" t="inlineStr">
        <is>
          <t>400C401 RIMONTAGGIO SONDE DI TEMPERATURA E REGOLAZIONE SENSORE  ABBASSAMENTO ASTA</t>
        </is>
      </c>
      <c r="H228" s="111" t="n"/>
      <c r="I228" s="111" t="n"/>
      <c r="J228" s="111" t="n"/>
      <c r="K228" s="111" t="n"/>
      <c r="L228" s="111" t="n"/>
      <c r="M228" s="109" t="inlineStr">
        <is>
          <t>EMESSO</t>
        </is>
      </c>
      <c r="N228" s="110" t="n"/>
      <c r="O228" s="168" t="n"/>
      <c r="P228" s="168" t="n"/>
      <c r="Q228" s="110" t="n"/>
      <c r="R228" s="110" t="n"/>
      <c r="S228" s="110" t="n"/>
      <c r="T228" s="114">
        <f>IF(AND('Inserimento dati'!$B$3=$H$2, TabellaA1[[#This Row],[LUN]]="X"), "X",IF(AND('Inserimento dati'!$B$3=$I$2, TabellaA1[[#This Row],[MAR]]="X"), "X", IF(AND('Inserimento dati'!$B$3=$J$2, TabellaA1[[#This Row],[MER]]="X"), "X",IF(AND('Inserimento dati'!$B$3=$K$2, TabellaA1[[#This Row],[GIO]]="X"), "X", IF(AND('Inserimento dati'!$B$3=$L$2, TabellaA1[[#This Row],[VEN]]="X"), "X","")))))</f>
        <v/>
      </c>
      <c r="U228" s="152" t="n"/>
      <c r="V228" t="inlineStr">
        <is>
          <t>2025-09-30 20:00:00</t>
        </is>
      </c>
    </row>
    <row r="229" ht="30" customFormat="1" customHeight="1" s="45">
      <c r="A229" s="112" t="n"/>
      <c r="B229" s="112" t="n"/>
      <c r="C229" s="112">
        <f>IF(OR(TabellaA1[[#This Row],[LUN]]="X",TabellaA1[[#This Row],[MAR]]="X",TabellaA1[[#This Row],[MER]]="X",TabellaA1[[#This Row],[GIO]]="X",TabellaA1[[#This Row],[VEN]]="X",),"X","")</f>
        <v/>
      </c>
      <c r="D229" s="113" t="inlineStr">
        <is>
          <t>AREA 1</t>
        </is>
      </c>
      <c r="E229" s="109" t="inlineStr">
        <is>
          <t>544814/C</t>
        </is>
      </c>
      <c r="F229" s="109" t="n">
        <v>400</v>
      </c>
      <c r="G229" s="109" t="inlineStr">
        <is>
          <t>400L325CV( Scarico acqua a unit 1400 da 400-D158 )CONTROLLO E RIPRISTINO VALVOLA SE NECESSITA SI PREVEDE SMONTAGGIO/MONTAGGIO PER REVISIONE</t>
        </is>
      </c>
      <c r="H229" s="111" t="n"/>
      <c r="I229" s="111" t="n"/>
      <c r="J229" s="111" t="n"/>
      <c r="K229" s="111" t="n"/>
      <c r="L229" s="111" t="n"/>
      <c r="M229" s="109" t="inlineStr">
        <is>
          <t>EMESSO</t>
        </is>
      </c>
      <c r="N229" s="110" t="n"/>
      <c r="O229" s="168" t="n"/>
      <c r="P229" s="168" t="n"/>
      <c r="Q229" s="110" t="n"/>
      <c r="R229" s="110" t="n"/>
      <c r="S229" s="110" t="n"/>
      <c r="T229" s="114">
        <f>IF(AND('Inserimento dati'!$B$3=$H$2, TabellaA1[[#This Row],[LUN]]="X"), "X",IF(AND('Inserimento dati'!$B$3=$I$2, TabellaA1[[#This Row],[MAR]]="X"), "X", IF(AND('Inserimento dati'!$B$3=$J$2, TabellaA1[[#This Row],[MER]]="X"), "X",IF(AND('Inserimento dati'!$B$3=$K$2, TabellaA1[[#This Row],[GIO]]="X"), "X", IF(AND('Inserimento dati'!$B$3=$L$2, TabellaA1[[#This Row],[VEN]]="X"), "X","")))))</f>
        <v/>
      </c>
      <c r="U229" s="152" t="n"/>
      <c r="V229" t="inlineStr">
        <is>
          <t>2025-09-30 20:00:00</t>
        </is>
      </c>
    </row>
    <row r="230" ht="30" customFormat="1" customHeight="1" s="45">
      <c r="A230" s="112" t="n"/>
      <c r="B230" s="112" t="n"/>
      <c r="C230" s="112">
        <f>IF(OR(TabellaA1[[#This Row],[LUN]]="X",TabellaA1[[#This Row],[MAR]]="X",TabellaA1[[#This Row],[MER]]="X",TabellaA1[[#This Row],[GIO]]="X",TabellaA1[[#This Row],[VEN]]="X",),"X","")</f>
        <v/>
      </c>
      <c r="D230" s="113" t="inlineStr">
        <is>
          <t>AREA 1</t>
        </is>
      </c>
      <c r="E230" s="109" t="inlineStr">
        <is>
          <t>544809/C</t>
        </is>
      </c>
      <c r="F230" s="109" t="inlineStr">
        <is>
          <t>200A</t>
        </is>
      </c>
      <c r="G230" s="109" t="inlineStr">
        <is>
          <t>200AF457RC (RIFLUSSO T301) CONTROLLO ED ELIMINAZIONE PERDITA SU STRUMENTO DI PORTATA</t>
        </is>
      </c>
      <c r="H230" s="111" t="n"/>
      <c r="I230" s="111" t="n"/>
      <c r="J230" s="111" t="n"/>
      <c r="K230" s="111" t="n"/>
      <c r="L230" s="111" t="n"/>
      <c r="M230" s="109" t="inlineStr">
        <is>
          <t>EMESSO</t>
        </is>
      </c>
      <c r="N230" s="110" t="n"/>
      <c r="O230" s="168" t="n"/>
      <c r="P230" s="168" t="n"/>
      <c r="Q230" s="110" t="n"/>
      <c r="R230" s="110" t="n"/>
      <c r="S230" s="110" t="n"/>
      <c r="T230" s="114">
        <f>IF(AND('Inserimento dati'!$B$3=$H$2, TabellaA1[[#This Row],[LUN]]="X"), "X",IF(AND('Inserimento dati'!$B$3=$I$2, TabellaA1[[#This Row],[MAR]]="X"), "X", IF(AND('Inserimento dati'!$B$3=$J$2, TabellaA1[[#This Row],[MER]]="X"), "X",IF(AND('Inserimento dati'!$B$3=$K$2, TabellaA1[[#This Row],[GIO]]="X"), "X", IF(AND('Inserimento dati'!$B$3=$L$2, TabellaA1[[#This Row],[VEN]]="X"), "X","")))))</f>
        <v/>
      </c>
      <c r="U230" s="152" t="n"/>
      <c r="V230" t="inlineStr">
        <is>
          <t>2025-09-30 20:00:00</t>
        </is>
      </c>
    </row>
    <row r="231" ht="30" customFormat="1" customHeight="1" s="45">
      <c r="A231" s="112" t="n"/>
      <c r="B231" s="112" t="n"/>
      <c r="C231" s="112">
        <f>IF(OR(TabellaA1[[#This Row],[LUN]]="X",TabellaA1[[#This Row],[MAR]]="X",TabellaA1[[#This Row],[MER]]="X",TabellaA1[[#This Row],[GIO]]="X",TabellaA1[[#This Row],[VEN]]="X",),"X","")</f>
        <v/>
      </c>
      <c r="D231" s="113" t="inlineStr">
        <is>
          <t>AREA 1</t>
        </is>
      </c>
      <c r="E231" s="109" t="inlineStr">
        <is>
          <t>545191/C</t>
        </is>
      </c>
      <c r="F231" s="109" t="inlineStr">
        <is>
          <t>200A</t>
        </is>
      </c>
      <c r="G231" s="109" t="inlineStr">
        <is>
          <t>200AL351IC(SEPARATORE CALDO D301) 200AL352IC(SEPARATORE FREDDO D302)CONTROLLO E RIPRISTINO FUNZIONALITA LIVELLI</t>
        </is>
      </c>
      <c r="H231" s="111" t="n"/>
      <c r="I231" s="111" t="n"/>
      <c r="J231" s="111" t="n"/>
      <c r="K231" s="111" t="n"/>
      <c r="L231" s="111" t="n"/>
      <c r="M231" s="109" t="inlineStr">
        <is>
          <t>EMESSO</t>
        </is>
      </c>
      <c r="N231" s="110" t="n"/>
      <c r="O231" s="168" t="n"/>
      <c r="P231" s="168" t="n"/>
      <c r="Q231" s="110" t="n"/>
      <c r="R231" s="110" t="n"/>
      <c r="S231" s="110" t="n"/>
      <c r="T231" s="114">
        <f>IF(AND('Inserimento dati'!$B$3=$H$2, TabellaA1[[#This Row],[LUN]]="X"), "X",IF(AND('Inserimento dati'!$B$3=$I$2, TabellaA1[[#This Row],[MAR]]="X"), "X", IF(AND('Inserimento dati'!$B$3=$J$2, TabellaA1[[#This Row],[MER]]="X"), "X",IF(AND('Inserimento dati'!$B$3=$K$2, TabellaA1[[#This Row],[GIO]]="X"), "X", IF(AND('Inserimento dati'!$B$3=$L$2, TabellaA1[[#This Row],[VEN]]="X"), "X","")))))</f>
        <v/>
      </c>
      <c r="U231" s="152" t="n"/>
      <c r="V231" t="inlineStr">
        <is>
          <t>2025-09-30 20:00:00</t>
        </is>
      </c>
    </row>
    <row r="232" ht="23.25" customFormat="1" customHeight="1" s="45">
      <c r="A232" s="112" t="n"/>
      <c r="B232" s="112" t="n"/>
      <c r="C232" s="112">
        <f>IF(OR(TabellaA1[[#This Row],[LUN]]="X",TabellaA1[[#This Row],[MAR]]="X",TabellaA1[[#This Row],[MER]]="X",TabellaA1[[#This Row],[GIO]]="X",TabellaA1[[#This Row],[VEN]]="X",),"X","")</f>
        <v/>
      </c>
      <c r="D232" s="113" t="inlineStr">
        <is>
          <t>AREA 1</t>
        </is>
      </c>
      <c r="E232" s="109" t="inlineStr">
        <is>
          <t>545172/C</t>
        </is>
      </c>
      <c r="F232" s="109" t="n">
        <v>100</v>
      </c>
      <c r="G232" s="109" t="inlineStr">
        <is>
          <t>100F354R (CARICA A STR 301) CONTROLLO DI TARATURA STRUMENTO DI PORTATA</t>
        </is>
      </c>
      <c r="H232" s="111" t="n"/>
      <c r="I232" s="111" t="n"/>
      <c r="J232" s="111" t="n"/>
      <c r="K232" s="111" t="n"/>
      <c r="L232" s="111" t="n"/>
      <c r="M232" s="109" t="inlineStr">
        <is>
          <t>EMESSO</t>
        </is>
      </c>
      <c r="N232" s="110" t="n"/>
      <c r="O232" s="168" t="n"/>
      <c r="P232" s="168" t="n"/>
      <c r="Q232" s="110" t="n"/>
      <c r="R232" s="110" t="n"/>
      <c r="S232" s="110" t="n"/>
      <c r="T232" s="114">
        <f>IF(AND('Inserimento dati'!$B$3=$H$2, TabellaA1[[#This Row],[LUN]]="X"), "X",IF(AND('Inserimento dati'!$B$3=$I$2, TabellaA1[[#This Row],[MAR]]="X"), "X", IF(AND('Inserimento dati'!$B$3=$J$2, TabellaA1[[#This Row],[MER]]="X"), "X",IF(AND('Inserimento dati'!$B$3=$K$2, TabellaA1[[#This Row],[GIO]]="X"), "X", IF(AND('Inserimento dati'!$B$3=$L$2, TabellaA1[[#This Row],[VEN]]="X"), "X","")))))</f>
        <v/>
      </c>
      <c r="U232" s="152" t="n"/>
      <c r="V232" t="inlineStr">
        <is>
          <t>2025-09-30 20:00:00</t>
        </is>
      </c>
    </row>
    <row r="233" ht="23.25" customFormat="1" customHeight="1" s="45">
      <c r="A233" s="112" t="n"/>
      <c r="B233" s="112" t="n"/>
      <c r="C233" s="112">
        <f>IF(OR(TabellaA1[[#This Row],[LUN]]="X",TabellaA1[[#This Row],[MAR]]="X",TabellaA1[[#This Row],[MER]]="X",TabellaA1[[#This Row],[GIO]]="X",TabellaA1[[#This Row],[VEN]]="X",),"X","")</f>
        <v/>
      </c>
      <c r="D233" s="113" t="inlineStr">
        <is>
          <t>AREA 1</t>
        </is>
      </c>
      <c r="E233" s="109" t="inlineStr">
        <is>
          <t>545175/C</t>
        </is>
      </c>
      <c r="F233" s="109" t="n">
        <v>100</v>
      </c>
      <c r="G233" s="109" t="inlineStr">
        <is>
          <t>100F031RC (GOL A STOCCAGGIO) CONTROLLO DI TARATURA STRUMENTO DI PORTATA</t>
        </is>
      </c>
      <c r="H233" s="111" t="n"/>
      <c r="I233" s="111" t="n"/>
      <c r="J233" s="111" t="n"/>
      <c r="K233" s="111" t="n"/>
      <c r="L233" s="111" t="n"/>
      <c r="M233" s="109" t="inlineStr">
        <is>
          <t>EMESSO</t>
        </is>
      </c>
      <c r="N233" s="110" t="n"/>
      <c r="O233" s="168" t="n"/>
      <c r="P233" s="168" t="n"/>
      <c r="Q233" s="110" t="n"/>
      <c r="R233" s="110" t="n"/>
      <c r="S233" s="110" t="n"/>
      <c r="T233" s="114">
        <f>IF(AND('Inserimento dati'!$B$3=$H$2, TabellaA1[[#This Row],[LUN]]="X"), "X",IF(AND('Inserimento dati'!$B$3=$I$2, TabellaA1[[#This Row],[MAR]]="X"), "X", IF(AND('Inserimento dati'!$B$3=$J$2, TabellaA1[[#This Row],[MER]]="X"), "X",IF(AND('Inserimento dati'!$B$3=$K$2, TabellaA1[[#This Row],[GIO]]="X"), "X", IF(AND('Inserimento dati'!$B$3=$L$2, TabellaA1[[#This Row],[VEN]]="X"), "X","")))))</f>
        <v/>
      </c>
      <c r="U233" s="152" t="n"/>
      <c r="V233" t="inlineStr">
        <is>
          <t>2025-09-30 20:00:00</t>
        </is>
      </c>
    </row>
    <row r="234" ht="30" customFormat="1" customHeight="1" s="45">
      <c r="A234" s="112" t="n"/>
      <c r="B234" s="112" t="n"/>
      <c r="C234" s="112">
        <f>IF(OR(TabellaA1[[#This Row],[LUN]]="X",TabellaA1[[#This Row],[MAR]]="X",TabellaA1[[#This Row],[MER]]="X",TabellaA1[[#This Row],[GIO]]="X",TabellaA1[[#This Row],[VEN]]="X",),"X","")</f>
        <v/>
      </c>
      <c r="D234" s="113" t="inlineStr">
        <is>
          <t>AREA 1</t>
        </is>
      </c>
      <c r="E234" s="109" t="inlineStr">
        <is>
          <t>545499/C</t>
        </is>
      </c>
      <c r="F234" s="109" t="n">
        <v>400</v>
      </c>
      <c r="G234" s="109" t="inlineStr">
        <is>
          <t>400L011IC LIVELLO T102 CONTROLLO LOOP DI REGOLAZIONE PARTENDO DALLA VALVOLA</t>
        </is>
      </c>
      <c r="H234" s="111" t="n"/>
      <c r="I234" s="111" t="n"/>
      <c r="J234" s="111" t="n"/>
      <c r="K234" s="111" t="n"/>
      <c r="L234" s="111" t="n"/>
      <c r="M234" s="109" t="inlineStr">
        <is>
          <t>EMESSO</t>
        </is>
      </c>
      <c r="N234" s="110" t="n"/>
      <c r="O234" s="168" t="n"/>
      <c r="P234" s="168" t="n"/>
      <c r="Q234" s="110" t="inlineStr">
        <is>
          <t>LA VALVOLA REGOLATRICE AVEVA IL LINK DEL POSIZIONATORE STACCATO. RIPRISTINATO, LOOP IN REGOLAZIONE.</t>
        </is>
      </c>
      <c r="R234" s="110" t="n">
        <v>45861</v>
      </c>
      <c r="S234" s="110" t="inlineStr">
        <is>
          <t>MILLO</t>
        </is>
      </c>
      <c r="T234" s="114">
        <f>IF(AND('Inserimento dati'!$B$3=$H$2, TabellaA1[[#This Row],[LUN]]="X"), "X",IF(AND('Inserimento dati'!$B$3=$I$2, TabellaA1[[#This Row],[MAR]]="X"), "X", IF(AND('Inserimento dati'!$B$3=$J$2, TabellaA1[[#This Row],[MER]]="X"), "X",IF(AND('Inserimento dati'!$B$3=$K$2, TabellaA1[[#This Row],[GIO]]="X"), "X", IF(AND('Inserimento dati'!$B$3=$L$2, TabellaA1[[#This Row],[VEN]]="X"), "X","")))))</f>
        <v/>
      </c>
      <c r="U234" s="152" t="n"/>
      <c r="V234" t="inlineStr">
        <is>
          <t>2025-09-30 20:00:00</t>
        </is>
      </c>
    </row>
    <row r="235" ht="30" customFormat="1" customHeight="1" s="45">
      <c r="A235" s="112" t="n"/>
      <c r="B235" s="112" t="n"/>
      <c r="C235" s="112">
        <f>IF(OR(TabellaA1[[#This Row],[LUN]]="X",TabellaA1[[#This Row],[MAR]]="X",TabellaA1[[#This Row],[MER]]="X",TabellaA1[[#This Row],[GIO]]="X",TabellaA1[[#This Row],[VEN]]="X",),"X","")</f>
        <v/>
      </c>
      <c r="D235" s="113" t="inlineStr">
        <is>
          <t>AREA 1</t>
        </is>
      </c>
      <c r="E235" s="109" t="inlineStr">
        <is>
          <t>545173/C</t>
        </is>
      </c>
      <c r="F235" s="109" t="inlineStr">
        <is>
          <t>200A</t>
        </is>
      </c>
      <c r="G235" s="109" t="inlineStr">
        <is>
          <t>200AF390RC (CARICA LIQUIDA A FORNO) CONTROLLO DI TARATURA STRUMENTO DI PORTATA(METTERE MOS PRIMA DI INIZIARE ATTIVITA)</t>
        </is>
      </c>
      <c r="H235" s="111" t="n"/>
      <c r="I235" s="111" t="n"/>
      <c r="J235" s="111" t="n"/>
      <c r="K235" s="111" t="n"/>
      <c r="L235" s="111" t="n"/>
      <c r="M235" s="109" t="inlineStr">
        <is>
          <t>EMESSO</t>
        </is>
      </c>
      <c r="N235" s="110" t="n"/>
      <c r="O235" s="168" t="n"/>
      <c r="P235" s="168" t="n"/>
      <c r="Q235" s="110" t="n"/>
      <c r="R235" s="110" t="n"/>
      <c r="S235" s="110" t="n"/>
      <c r="T235" s="114">
        <f>IF(AND('Inserimento dati'!$B$3=$H$2, TabellaA1[[#This Row],[LUN]]="X"), "X",IF(AND('Inserimento dati'!$B$3=$I$2, TabellaA1[[#This Row],[MAR]]="X"), "X", IF(AND('Inserimento dati'!$B$3=$J$2, TabellaA1[[#This Row],[MER]]="X"), "X",IF(AND('Inserimento dati'!$B$3=$K$2, TabellaA1[[#This Row],[GIO]]="X"), "X", IF(AND('Inserimento dati'!$B$3=$L$2, TabellaA1[[#This Row],[VEN]]="X"), "X","")))))</f>
        <v/>
      </c>
      <c r="U235" s="152" t="n"/>
      <c r="V235" t="inlineStr">
        <is>
          <t>2025-09-30 20:00:00</t>
        </is>
      </c>
    </row>
    <row r="236" ht="30" customFormat="1" customHeight="1" s="45">
      <c r="A236" s="112" t="n"/>
      <c r="B236" s="112" t="n"/>
      <c r="C236" s="112">
        <f>IF(OR(TabellaA1[[#This Row],[LUN]]="X",TabellaA1[[#This Row],[MAR]]="X",TabellaA1[[#This Row],[MER]]="X",TabellaA1[[#This Row],[GIO]]="X",TabellaA1[[#This Row],[VEN]]="X",),"X","")</f>
        <v/>
      </c>
      <c r="D236" s="113" t="inlineStr">
        <is>
          <t>AREA 1</t>
        </is>
      </c>
      <c r="E236" s="109" t="inlineStr">
        <is>
          <t>545174/C</t>
        </is>
      </c>
      <c r="F236" s="109" t="inlineStr">
        <is>
          <t>200A</t>
        </is>
      </c>
      <c r="G236" s="109" t="inlineStr">
        <is>
          <t>200AF379RC (CARICA LIQUIDA A FORNO) CONTROLLO DI TARATURA STRUMENTO DI PORTATA(METTERE MOS PRIMA DI INIZIARE ATTIVITA)</t>
        </is>
      </c>
      <c r="H236" s="111" t="n"/>
      <c r="I236" s="111" t="n"/>
      <c r="J236" s="111" t="n"/>
      <c r="K236" s="111" t="n"/>
      <c r="L236" s="111" t="n"/>
      <c r="M236" s="109" t="inlineStr">
        <is>
          <t>EMESSO</t>
        </is>
      </c>
      <c r="N236" s="110" t="n"/>
      <c r="O236" s="168" t="n"/>
      <c r="P236" s="168" t="n"/>
      <c r="Q236" s="110" t="n"/>
      <c r="R236" s="110" t="n"/>
      <c r="S236" s="110" t="n"/>
      <c r="T236" s="114">
        <f>IF(AND('Inserimento dati'!$B$3=$H$2, TabellaA1[[#This Row],[LUN]]="X"), "X",IF(AND('Inserimento dati'!$B$3=$I$2, TabellaA1[[#This Row],[MAR]]="X"), "X", IF(AND('Inserimento dati'!$B$3=$J$2, TabellaA1[[#This Row],[MER]]="X"), "X",IF(AND('Inserimento dati'!$B$3=$K$2, TabellaA1[[#This Row],[GIO]]="X"), "X", IF(AND('Inserimento dati'!$B$3=$L$2, TabellaA1[[#This Row],[VEN]]="X"), "X","")))))</f>
        <v/>
      </c>
      <c r="U236" s="152" t="n"/>
      <c r="V236" t="inlineStr">
        <is>
          <t>2025-09-30 20:00:00</t>
        </is>
      </c>
    </row>
    <row r="237" ht="45" customFormat="1" customHeight="1" s="45">
      <c r="A237" s="112" t="n"/>
      <c r="B237" s="112" t="n"/>
      <c r="C237" s="112">
        <f>IF(OR(TabellaA1[[#This Row],[LUN]]="X",TabellaA1[[#This Row],[MAR]]="X",TabellaA1[[#This Row],[MER]]="X",TabellaA1[[#This Row],[GIO]]="X",TabellaA1[[#This Row],[VEN]]="X",),"X","")</f>
        <v/>
      </c>
      <c r="D237" s="113" t="inlineStr">
        <is>
          <t>AREA 1</t>
        </is>
      </c>
      <c r="E237" s="109" t="inlineStr">
        <is>
          <t>544999/C</t>
        </is>
      </c>
      <c r="F237" s="109" t="n">
        <v>200</v>
      </c>
      <c r="G237" s="109" t="inlineStr">
        <is>
          <t>200F152BR (VAPORE LS DA IMPIANTO) CONTROLLO E RIPRISTINO FUNZIONALITA PORTATA CON INTERVENTO SU PRESE DI RADICE FLANGIA TARATA</t>
        </is>
      </c>
      <c r="H237" s="111" t="n"/>
      <c r="I237" s="111" t="n"/>
      <c r="J237" s="111" t="n"/>
      <c r="K237" s="111" t="n"/>
      <c r="L237" s="111" t="n"/>
      <c r="M237" s="109" t="inlineStr">
        <is>
          <t>EMESSO</t>
        </is>
      </c>
      <c r="N237" s="110" t="n"/>
      <c r="O237" s="168" t="n"/>
      <c r="P237" s="168" t="n"/>
      <c r="Q237" s="110" t="inlineStr">
        <is>
          <t>VERIFICA PRESE, RIEMPIMENTO CON H20, AZZERAMENTO STRUMENTO ( STRUMENTO IN COMUNE CON 200F152R BIDIREZIONALE )</t>
        </is>
      </c>
      <c r="R237" s="110" t="n">
        <v>45868</v>
      </c>
      <c r="S237" s="110" t="inlineStr">
        <is>
          <t>TARASCIO</t>
        </is>
      </c>
      <c r="T237" s="114">
        <f>IF(AND('Inserimento dati'!$B$3=$H$2, TabellaA1[[#This Row],[LUN]]="X"), "X",IF(AND('Inserimento dati'!$B$3=$I$2, TabellaA1[[#This Row],[MAR]]="X"), "X", IF(AND('Inserimento dati'!$B$3=$J$2, TabellaA1[[#This Row],[MER]]="X"), "X",IF(AND('Inserimento dati'!$B$3=$K$2, TabellaA1[[#This Row],[GIO]]="X"), "X", IF(AND('Inserimento dati'!$B$3=$L$2, TabellaA1[[#This Row],[VEN]]="X"), "X","")))))</f>
        <v/>
      </c>
      <c r="U237" s="152" t="n"/>
      <c r="V237" t="inlineStr">
        <is>
          <t>2025-09-30 20:00:00</t>
        </is>
      </c>
    </row>
    <row r="238" ht="23.25" customFormat="1" customHeight="1" s="45">
      <c r="A238" s="112" t="n"/>
      <c r="B238" s="112" t="n"/>
      <c r="C238" s="112">
        <f>IF(OR(TabellaA1[[#This Row],[LUN]]="X",TabellaA1[[#This Row],[MAR]]="X",TabellaA1[[#This Row],[MER]]="X",TabellaA1[[#This Row],[GIO]]="X",TabellaA1[[#This Row],[VEN]]="X",),"X","")</f>
        <v/>
      </c>
      <c r="D238" s="113" t="inlineStr">
        <is>
          <t>AREA 1</t>
        </is>
      </c>
      <c r="E238" s="109" t="inlineStr">
        <is>
          <t>547118/C</t>
        </is>
      </c>
      <c r="F238" s="109" t="n">
        <v>400</v>
      </c>
      <c r="G238" s="109" t="inlineStr">
        <is>
          <t>400-T102 RIMONTAGGIO SU PALINA ACCESSORI VALVOLE L 011CV- L020BV</t>
        </is>
      </c>
      <c r="H238" s="111" t="n"/>
      <c r="I238" s="111" t="n"/>
      <c r="J238" s="111" t="n"/>
      <c r="K238" s="111" t="n"/>
      <c r="L238" s="111" t="n"/>
      <c r="M238" s="109" t="inlineStr">
        <is>
          <t>EMESSO</t>
        </is>
      </c>
      <c r="N238" s="110" t="n"/>
      <c r="O238" s="168" t="n"/>
      <c r="P238" s="168" t="n"/>
      <c r="Q238" s="110" t="n"/>
      <c r="R238" s="110" t="n"/>
      <c r="S238" s="110" t="n"/>
      <c r="T238" s="114">
        <f>IF(AND('Inserimento dati'!$B$3=$H$2, TabellaA1[[#This Row],[LUN]]="X"), "X",IF(AND('Inserimento dati'!$B$3=$I$2, TabellaA1[[#This Row],[MAR]]="X"), "X", IF(AND('Inserimento dati'!$B$3=$J$2, TabellaA1[[#This Row],[MER]]="X"), "X",IF(AND('Inserimento dati'!$B$3=$K$2, TabellaA1[[#This Row],[GIO]]="X"), "X", IF(AND('Inserimento dati'!$B$3=$L$2, TabellaA1[[#This Row],[VEN]]="X"), "X","")))))</f>
        <v/>
      </c>
      <c r="U238" s="152" t="n"/>
      <c r="V238" t="inlineStr">
        <is>
          <t>2025-09-30 20:00:00</t>
        </is>
      </c>
    </row>
    <row r="239" ht="23.25" customFormat="1" customHeight="1" s="45">
      <c r="A239" s="112" t="n"/>
      <c r="B239" s="112" t="n"/>
      <c r="C239" s="112">
        <f>IF(OR(TabellaA1[[#This Row],[LUN]]="X",TabellaA1[[#This Row],[MAR]]="X",TabellaA1[[#This Row],[MER]]="X",TabellaA1[[#This Row],[GIO]]="X",TabellaA1[[#This Row],[VEN]]="X",),"X","")</f>
        <v/>
      </c>
      <c r="D239" s="113" t="inlineStr">
        <is>
          <t>AREA 1</t>
        </is>
      </c>
      <c r="E239" s="109" t="inlineStr">
        <is>
          <t>547126/C</t>
        </is>
      </c>
      <c r="F239" s="109" t="n">
        <v>100</v>
      </c>
      <c r="G239" s="109" t="inlineStr">
        <is>
          <t>10228065     100 FRC 026 controllo e ripristino</t>
        </is>
      </c>
      <c r="H239" s="111" t="n"/>
      <c r="I239" s="111" t="n"/>
      <c r="J239" s="111" t="n"/>
      <c r="K239" s="111" t="n"/>
      <c r="L239" s="111" t="n"/>
      <c r="M239" s="109" t="inlineStr">
        <is>
          <t>EMESSO</t>
        </is>
      </c>
      <c r="N239" s="110" t="n"/>
      <c r="O239" s="168" t="n"/>
      <c r="P239" s="168" t="n"/>
      <c r="Q239" s="110" t="n"/>
      <c r="R239" s="110" t="n"/>
      <c r="S239" s="110" t="n"/>
      <c r="T239" s="114">
        <f>IF(AND('Inserimento dati'!$B$3=$H$2, TabellaA1[[#This Row],[LUN]]="X"), "X",IF(AND('Inserimento dati'!$B$3=$I$2, TabellaA1[[#This Row],[MAR]]="X"), "X", IF(AND('Inserimento dati'!$B$3=$J$2, TabellaA1[[#This Row],[MER]]="X"), "X",IF(AND('Inserimento dati'!$B$3=$K$2, TabellaA1[[#This Row],[GIO]]="X"), "X", IF(AND('Inserimento dati'!$B$3=$L$2, TabellaA1[[#This Row],[VEN]]="X"), "X","")))))</f>
        <v/>
      </c>
      <c r="U239" s="152" t="n"/>
      <c r="V239" t="inlineStr">
        <is>
          <t>2025-09-30 20:00:00</t>
        </is>
      </c>
    </row>
    <row r="240" ht="30" customFormat="1" customHeight="1" s="45">
      <c r="A240" s="112" t="n"/>
      <c r="B240" s="112" t="n"/>
      <c r="C240" s="112">
        <f>IF(OR(TabellaA1[[#This Row],[LUN]]="X",TabellaA1[[#This Row],[MAR]]="X",TabellaA1[[#This Row],[MER]]="X",TabellaA1[[#This Row],[GIO]]="X",TabellaA1[[#This Row],[VEN]]="X",),"X","")</f>
        <v/>
      </c>
      <c r="D240" s="113" t="inlineStr">
        <is>
          <t>AREA 1</t>
        </is>
      </c>
      <c r="E240" s="109" t="inlineStr">
        <is>
          <t>550231/C</t>
        </is>
      </c>
      <c r="F240" s="109" t="n">
        <v>100</v>
      </c>
      <c r="G240" s="109" t="inlineStr">
        <is>
          <t>100P102C CONTROLLO ALLARME CUMILATIVO BASSA PRESSIONE OLIO DI LUBRIFICAZIONE</t>
        </is>
      </c>
      <c r="H240" s="111" t="n"/>
      <c r="I240" s="111" t="n"/>
      <c r="J240" s="111" t="n"/>
      <c r="K240" s="111" t="n"/>
      <c r="L240" s="111" t="n"/>
      <c r="M240" s="109" t="inlineStr">
        <is>
          <t>EMESSO</t>
        </is>
      </c>
      <c r="N240" s="110" t="n"/>
      <c r="O240" s="168" t="n"/>
      <c r="P240" s="168" t="n"/>
      <c r="Q240" s="110" t="n"/>
      <c r="R240" s="110" t="n"/>
      <c r="S240" s="110" t="n"/>
      <c r="T240" s="114">
        <f>IF(AND('Inserimento dati'!$B$3=$H$2, TabellaA1[[#This Row],[LUN]]="X"), "X",IF(AND('Inserimento dati'!$B$3=$I$2, TabellaA1[[#This Row],[MAR]]="X"), "X", IF(AND('Inserimento dati'!$B$3=$J$2, TabellaA1[[#This Row],[MER]]="X"), "X",IF(AND('Inserimento dati'!$B$3=$K$2, TabellaA1[[#This Row],[GIO]]="X"), "X", IF(AND('Inserimento dati'!$B$3=$L$2, TabellaA1[[#This Row],[VEN]]="X"), "X","")))))</f>
        <v/>
      </c>
      <c r="U240" s="152" t="n"/>
      <c r="V240" t="inlineStr">
        <is>
          <t>2025-09-30 20:00:00</t>
        </is>
      </c>
    </row>
    <row r="241" ht="30" customFormat="1" customHeight="1" s="45">
      <c r="A241" s="112" t="n"/>
      <c r="B241" s="112" t="n"/>
      <c r="C241" s="112">
        <f>IF(OR(TabellaA1[[#This Row],[LUN]]="X",TabellaA1[[#This Row],[MAR]]="X",TabellaA1[[#This Row],[MER]]="X",TabellaA1[[#This Row],[GIO]]="X",TabellaA1[[#This Row],[VEN]]="X",),"X","")</f>
        <v/>
      </c>
      <c r="D241" s="113" t="inlineStr">
        <is>
          <t>AREA 1</t>
        </is>
      </c>
      <c r="E241" s="109" t="inlineStr">
        <is>
          <t>550162/C</t>
        </is>
      </c>
      <c r="F241" s="109" t="n">
        <v>900</v>
      </c>
      <c r="G241" s="109" t="inlineStr">
        <is>
          <t>900P004CV(TESTA T102)CONTROLLO E RIPRISTINO FUNZIONALITA VALVOLA(SI MUOVE SCATTI)</t>
        </is>
      </c>
      <c r="H241" s="111" t="n"/>
      <c r="I241" s="111" t="n"/>
      <c r="J241" s="111" t="n"/>
      <c r="K241" s="111" t="n"/>
      <c r="L241" s="111" t="n"/>
      <c r="M241" s="109" t="inlineStr">
        <is>
          <t>EMESSO</t>
        </is>
      </c>
      <c r="N241" s="110" t="n"/>
      <c r="O241" s="168" t="n"/>
      <c r="P241" s="168" t="n"/>
      <c r="Q241" s="110" t="n"/>
      <c r="R241" s="110" t="n"/>
      <c r="S241" s="110" t="n"/>
      <c r="T241" s="114">
        <f>IF(AND('Inserimento dati'!$B$3=$H$2, TabellaA1[[#This Row],[LUN]]="X"), "X",IF(AND('Inserimento dati'!$B$3=$I$2, TabellaA1[[#This Row],[MAR]]="X"), "X", IF(AND('Inserimento dati'!$B$3=$J$2, TabellaA1[[#This Row],[MER]]="X"), "X",IF(AND('Inserimento dati'!$B$3=$K$2, TabellaA1[[#This Row],[GIO]]="X"), "X", IF(AND('Inserimento dati'!$B$3=$L$2, TabellaA1[[#This Row],[VEN]]="X"), "X","")))))</f>
        <v/>
      </c>
      <c r="U241" s="152" t="n"/>
      <c r="V241" t="inlineStr">
        <is>
          <t>2025-09-30 20:00:00</t>
        </is>
      </c>
    </row>
    <row r="242" ht="30" customFormat="1" customHeight="1" s="45">
      <c r="A242" s="112" t="n"/>
      <c r="B242" s="112" t="n"/>
      <c r="C242" s="112">
        <f>IF(OR(TabellaA1[[#This Row],[LUN]]="X",TabellaA1[[#This Row],[MAR]]="X",TabellaA1[[#This Row],[MER]]="X",TabellaA1[[#This Row],[GIO]]="X",TabellaA1[[#This Row],[VEN]]="X",),"X","")</f>
        <v/>
      </c>
      <c r="D242" s="113" t="inlineStr">
        <is>
          <t>AREA 1</t>
        </is>
      </c>
      <c r="E242" s="109" t="inlineStr">
        <is>
          <t>545495/C</t>
        </is>
      </c>
      <c r="F242" s="109" t="n">
        <v>100</v>
      </c>
      <c r="G242" s="109" t="inlineStr">
        <is>
          <t>100F022RC VAPORE STRIPPAGGIO FONDO T101 CONTROLLO E RIPRISTINO FUNZIONALITA PORTATA</t>
        </is>
      </c>
      <c r="H242" s="111" t="n"/>
      <c r="I242" s="111" t="n"/>
      <c r="J242" s="111" t="n"/>
      <c r="K242" s="111" t="n"/>
      <c r="L242" s="111" t="n"/>
      <c r="M242" s="109" t="inlineStr">
        <is>
          <t>EMESSO</t>
        </is>
      </c>
      <c r="N242" s="110" t="n"/>
      <c r="O242" s="168" t="n"/>
      <c r="P242" s="168" t="n"/>
      <c r="Q242" s="110" t="inlineStr">
        <is>
          <t>SOSTITUITO STRUMENTO, SOSTITUITA BARRIERA. LA MISURA CONTINUA AD ESSERE NEGATIVA, BISOGNA TROVARE IL GUASTO.</t>
        </is>
      </c>
      <c r="R242" s="110" t="n">
        <v>45862</v>
      </c>
      <c r="S242" s="110" t="inlineStr">
        <is>
          <t>SPINALI/PARTESANO</t>
        </is>
      </c>
      <c r="T242" s="114">
        <f>IF(AND('Inserimento dati'!$B$3=$H$2, TabellaA1[[#This Row],[LUN]]="X"), "X",IF(AND('Inserimento dati'!$B$3=$I$2, TabellaA1[[#This Row],[MAR]]="X"), "X", IF(AND('Inserimento dati'!$B$3=$J$2, TabellaA1[[#This Row],[MER]]="X"), "X",IF(AND('Inserimento dati'!$B$3=$K$2, TabellaA1[[#This Row],[GIO]]="X"), "X", IF(AND('Inserimento dati'!$B$3=$L$2, TabellaA1[[#This Row],[VEN]]="X"), "X","")))))</f>
        <v/>
      </c>
      <c r="U242" s="152" t="n"/>
      <c r="V242" t="inlineStr">
        <is>
          <t>2025-09-30 20:00:00</t>
        </is>
      </c>
    </row>
    <row r="243" ht="23.25" customFormat="1" customHeight="1" s="45">
      <c r="A243" s="112" t="n"/>
      <c r="B243" s="112" t="n"/>
      <c r="C243" s="112">
        <f>IF(OR(TabellaA1[[#This Row],[LUN]]="X",TabellaA1[[#This Row],[MAR]]="X",TabellaA1[[#This Row],[MER]]="X",TabellaA1[[#This Row],[GIO]]="X",TabellaA1[[#This Row],[VEN]]="X",),"X","")</f>
        <v/>
      </c>
      <c r="D243" s="113" t="inlineStr">
        <is>
          <t>AREA 1</t>
        </is>
      </c>
      <c r="E243" s="109" t="inlineStr">
        <is>
          <t>550767/C</t>
        </is>
      </c>
      <c r="F243" s="109" t="n">
        <v>100</v>
      </c>
      <c r="G243" s="109" t="inlineStr">
        <is>
          <t>100P317LA(ASP.D1)   100P334LA(ASP. D3) CONTROLLO E TARATURA PRESSOSTATI</t>
        </is>
      </c>
      <c r="H243" s="111" t="n"/>
      <c r="I243" s="111" t="n"/>
      <c r="J243" s="111" t="n"/>
      <c r="K243" s="111" t="n"/>
      <c r="L243" s="111" t="n"/>
      <c r="M243" s="109" t="inlineStr">
        <is>
          <t>EMESSO</t>
        </is>
      </c>
      <c r="N243" s="110" t="n"/>
      <c r="O243" s="168" t="n"/>
      <c r="P243" s="168" t="n"/>
      <c r="Q243" s="110" t="n"/>
      <c r="R243" s="110" t="n"/>
      <c r="S243" s="110" t="n"/>
      <c r="T243" s="114">
        <f>IF(AND('Inserimento dati'!$B$3=$H$2, TabellaA1[[#This Row],[LUN]]="X"), "X",IF(AND('Inserimento dati'!$B$3=$I$2, TabellaA1[[#This Row],[MAR]]="X"), "X", IF(AND('Inserimento dati'!$B$3=$J$2, TabellaA1[[#This Row],[MER]]="X"), "X",IF(AND('Inserimento dati'!$B$3=$K$2, TabellaA1[[#This Row],[GIO]]="X"), "X", IF(AND('Inserimento dati'!$B$3=$L$2, TabellaA1[[#This Row],[VEN]]="X"), "X","")))))</f>
        <v/>
      </c>
      <c r="U243" s="152" t="n"/>
      <c r="V243" t="inlineStr">
        <is>
          <t>2025-09-30 20:00:00</t>
        </is>
      </c>
    </row>
    <row r="244" ht="23.25" customFormat="1" customHeight="1" s="45">
      <c r="A244" s="112" t="n"/>
      <c r="B244" s="112" t="n"/>
      <c r="C244" s="112">
        <f>IF(OR(TabellaA1[[#This Row],[LUN]]="X",TabellaA1[[#This Row],[MAR]]="X",TabellaA1[[#This Row],[MER]]="X",TabellaA1[[#This Row],[GIO]]="X",TabellaA1[[#This Row],[VEN]]="X",),"X","")</f>
        <v/>
      </c>
      <c r="D244" s="113" t="inlineStr">
        <is>
          <t>AREA 1</t>
        </is>
      </c>
      <c r="E244" s="109" t="inlineStr">
        <is>
          <t>551957/C</t>
        </is>
      </c>
      <c r="F244" s="109" t="n">
        <v>300</v>
      </c>
      <c r="G244" s="109" t="inlineStr">
        <is>
          <t>300P007CV CONTROLLO E RIPRISTINO VALVOLA E LOOP DI REGOLAZIONE LOCALE</t>
        </is>
      </c>
      <c r="H244" s="111" t="n"/>
      <c r="I244" s="111" t="n"/>
      <c r="J244" s="111" t="n"/>
      <c r="K244" s="111" t="n"/>
      <c r="L244" s="111" t="n"/>
      <c r="M244" s="109" t="inlineStr">
        <is>
          <t>EMESSO</t>
        </is>
      </c>
      <c r="N244" s="110" t="n"/>
      <c r="O244" s="168" t="n"/>
      <c r="P244" s="168" t="n"/>
      <c r="Q244" s="110" t="n"/>
      <c r="R244" s="110" t="n"/>
      <c r="S244" s="110" t="n"/>
      <c r="T244" s="114">
        <f>IF(AND('Inserimento dati'!$B$3=$H$2, TabellaA1[[#This Row],[LUN]]="X"), "X",IF(AND('Inserimento dati'!$B$3=$I$2, TabellaA1[[#This Row],[MAR]]="X"), "X", IF(AND('Inserimento dati'!$B$3=$J$2, TabellaA1[[#This Row],[MER]]="X"), "X",IF(AND('Inserimento dati'!$B$3=$K$2, TabellaA1[[#This Row],[GIO]]="X"), "X", IF(AND('Inserimento dati'!$B$3=$L$2, TabellaA1[[#This Row],[VEN]]="X"), "X","")))))</f>
        <v/>
      </c>
      <c r="U244" s="152" t="n"/>
      <c r="V244" t="inlineStr">
        <is>
          <t>2025-09-30 20:00:00</t>
        </is>
      </c>
    </row>
    <row r="245" ht="30" customFormat="1" customHeight="1" s="45">
      <c r="A245" s="112" t="n"/>
      <c r="B245" s="112" t="n"/>
      <c r="C245" s="112">
        <f>IF(OR(TabellaA1[[#This Row],[LUN]]="X",TabellaA1[[#This Row],[MAR]]="X",TabellaA1[[#This Row],[MER]]="X",TabellaA1[[#This Row],[GIO]]="X",TabellaA1[[#This Row],[VEN]]="X",),"X","")</f>
        <v/>
      </c>
      <c r="D245" s="113" t="inlineStr">
        <is>
          <t>AREA 1</t>
        </is>
      </c>
      <c r="E245" s="109" t="inlineStr">
        <is>
          <t>551099/C</t>
        </is>
      </c>
      <c r="F245" s="109" t="n">
        <v>400</v>
      </c>
      <c r="G245" s="109" t="inlineStr">
        <is>
          <t>400T213I (C101B CUSCINETTI) CONTROLLO E RIPRISTINO LOOP DI TEMPERATURA</t>
        </is>
      </c>
      <c r="H245" s="111" t="n"/>
      <c r="I245" s="111" t="n"/>
      <c r="J245" s="111" t="n"/>
      <c r="K245" s="111" t="n"/>
      <c r="L245" s="111" t="n"/>
      <c r="M245" s="109" t="inlineStr">
        <is>
          <t>EMESSO</t>
        </is>
      </c>
      <c r="N245" s="110" t="n"/>
      <c r="O245" s="168" t="n"/>
      <c r="P245" s="168" t="n"/>
      <c r="Q245" s="110" t="inlineStr">
        <is>
          <t>TERMORESISTENZA NON TROVATA SULL'APPARECCHIATURA, ATTIVITÀ PROGRAMMATA PER DOMANI 18 SETTEMBRE</t>
        </is>
      </c>
      <c r="R245" s="110" t="n">
        <v>45917</v>
      </c>
      <c r="S245" s="110" t="inlineStr">
        <is>
          <t>SPINALI</t>
        </is>
      </c>
      <c r="T245" s="114">
        <f>IF(AND('Inserimento dati'!$B$3=$H$2, TabellaA1[[#This Row],[LUN]]="X"), "X",IF(AND('Inserimento dati'!$B$3=$I$2, TabellaA1[[#This Row],[MAR]]="X"), "X", IF(AND('Inserimento dati'!$B$3=$J$2, TabellaA1[[#This Row],[MER]]="X"), "X",IF(AND('Inserimento dati'!$B$3=$K$2, TabellaA1[[#This Row],[GIO]]="X"), "X", IF(AND('Inserimento dati'!$B$3=$L$2, TabellaA1[[#This Row],[VEN]]="X"), "X","")))))</f>
        <v/>
      </c>
      <c r="U245" s="152" t="n"/>
      <c r="V245" t="inlineStr">
        <is>
          <t>2025-09-30 20:00:00</t>
        </is>
      </c>
    </row>
    <row r="246" ht="30" customFormat="1" customHeight="1" s="45">
      <c r="A246" s="112" t="n"/>
      <c r="B246" s="112" t="n"/>
      <c r="C246" s="112">
        <f>IF(OR(TabellaA1[[#This Row],[LUN]]="X",TabellaA1[[#This Row],[MAR]]="X",TabellaA1[[#This Row],[MER]]="X",TabellaA1[[#This Row],[GIO]]="X",TabellaA1[[#This Row],[VEN]]="X",),"X","")</f>
        <v/>
      </c>
      <c r="D246" s="113" t="inlineStr">
        <is>
          <t>AREA 1</t>
        </is>
      </c>
      <c r="E246" s="109" t="inlineStr">
        <is>
          <t>552663/C</t>
        </is>
      </c>
      <c r="F246" s="109" t="n">
        <v>100</v>
      </c>
      <c r="G246" s="109" t="inlineStr">
        <is>
          <t>100K651A PASSAGGIO E POSA CAVI CON  CABLAGGIO IN CASSETTA PER RIPRISTINO SISTEMA DI VIBRAZIONI</t>
        </is>
      </c>
      <c r="H246" s="111" t="n"/>
      <c r="I246" s="111" t="n"/>
      <c r="J246" s="111" t="n"/>
      <c r="K246" s="111" t="n"/>
      <c r="L246" s="111" t="n"/>
      <c r="M246" s="109" t="inlineStr">
        <is>
          <t>EMESSO</t>
        </is>
      </c>
      <c r="N246" s="110" t="n"/>
      <c r="O246" s="168" t="n"/>
      <c r="P246" s="168" t="n"/>
      <c r="Q246" s="110" t="n"/>
      <c r="R246" s="110" t="n"/>
      <c r="S246" s="110" t="n"/>
      <c r="T246" s="114">
        <f>IF(AND('Inserimento dati'!$B$3=$H$2, TabellaA1[[#This Row],[LUN]]="X"), "X",IF(AND('Inserimento dati'!$B$3=$I$2, TabellaA1[[#This Row],[MAR]]="X"), "X", IF(AND('Inserimento dati'!$B$3=$J$2, TabellaA1[[#This Row],[MER]]="X"), "X",IF(AND('Inserimento dati'!$B$3=$K$2, TabellaA1[[#This Row],[GIO]]="X"), "X", IF(AND('Inserimento dati'!$B$3=$L$2, TabellaA1[[#This Row],[VEN]]="X"), "X","")))))</f>
        <v/>
      </c>
      <c r="U246" s="152" t="n"/>
      <c r="V246" t="inlineStr">
        <is>
          <t>2025-09-30 20:00:00</t>
        </is>
      </c>
    </row>
    <row r="247" ht="30" customFormat="1" customHeight="1" s="45">
      <c r="A247" s="112" t="n"/>
      <c r="B247" s="112" t="n"/>
      <c r="C247" s="112">
        <f>IF(OR(TabellaA1[[#This Row],[LUN]]="X",TabellaA1[[#This Row],[MAR]]="X",TabellaA1[[#This Row],[MER]]="X",TabellaA1[[#This Row],[GIO]]="X",TabellaA1[[#This Row],[VEN]]="X",),"X","")</f>
        <v/>
      </c>
      <c r="D247" s="113" t="inlineStr">
        <is>
          <t>AREA 1</t>
        </is>
      </c>
      <c r="E247" s="109" t="inlineStr">
        <is>
          <t>552918/C</t>
        </is>
      </c>
      <c r="F247" s="109" t="n">
        <v>200</v>
      </c>
      <c r="G247" s="109" t="inlineStr">
        <is>
          <t>200F008R(FUEL GAS F101)  200F033R(FUEL GAS F102)CONTROLLO  E TARATURA STRUMENTI DI PORTATA</t>
        </is>
      </c>
      <c r="H247" s="111" t="inlineStr">
        <is>
          <t>X</t>
        </is>
      </c>
      <c r="I247" s="111" t="inlineStr">
        <is>
          <t>X</t>
        </is>
      </c>
      <c r="J247" s="111" t="n"/>
      <c r="K247" s="111" t="n"/>
      <c r="L247" s="111" t="n"/>
      <c r="M247" s="109" t="inlineStr">
        <is>
          <t>EMESSO</t>
        </is>
      </c>
      <c r="N247" s="110" t="n"/>
      <c r="O247" s="168" t="n"/>
      <c r="P247" s="168" t="n"/>
      <c r="Q247" s="110" t="n"/>
      <c r="R247" s="110" t="n"/>
      <c r="S247" s="110" t="n"/>
      <c r="T247" s="114">
        <f>IF(AND('Inserimento dati'!$B$3=$H$2, TabellaA1[[#This Row],[LUN]]="X"), "X",IF(AND('Inserimento dati'!$B$3=$I$2, TabellaA1[[#This Row],[MAR]]="X"), "X", IF(AND('Inserimento dati'!$B$3=$J$2, TabellaA1[[#This Row],[MER]]="X"), "X",IF(AND('Inserimento dati'!$B$3=$K$2, TabellaA1[[#This Row],[GIO]]="X"), "X", IF(AND('Inserimento dati'!$B$3=$L$2, TabellaA1[[#This Row],[VEN]]="X"), "X","")))))</f>
        <v/>
      </c>
      <c r="U247" s="152" t="n"/>
      <c r="V247" t="inlineStr">
        <is>
          <t>2025-09-30 20:00:00</t>
        </is>
      </c>
    </row>
    <row r="248" ht="23.25" customFormat="1" customHeight="1" s="2">
      <c r="A248" s="112" t="n"/>
      <c r="B248" s="112" t="n"/>
      <c r="C248" s="112">
        <f>IF(OR(TabellaA1[[#This Row],[LUN]]="X",TabellaA1[[#This Row],[MAR]]="X",TabellaA1[[#This Row],[MER]]="X",TabellaA1[[#This Row],[GIO]]="X",TabellaA1[[#This Row],[VEN]]="X",),"X","")</f>
        <v/>
      </c>
      <c r="D248" s="113" t="inlineStr">
        <is>
          <t>AREA 1</t>
        </is>
      </c>
      <c r="E248" s="109" t="inlineStr">
        <is>
          <t>552930/C</t>
        </is>
      </c>
      <c r="F248" s="109" t="n">
        <v>400</v>
      </c>
      <c r="G248" s="109" t="inlineStr">
        <is>
          <t>400L152IC (LIVELLO T151)CONTROLLO E RIPRISTINO LOOP DI REGOLAZIONE</t>
        </is>
      </c>
      <c r="H248" s="111" t="inlineStr">
        <is>
          <t>X</t>
        </is>
      </c>
      <c r="I248" s="111" t="inlineStr">
        <is>
          <t>X</t>
        </is>
      </c>
      <c r="J248" s="111" t="n"/>
      <c r="K248" s="111" t="n"/>
      <c r="L248" s="111" t="n"/>
      <c r="M248" s="109" t="inlineStr">
        <is>
          <t>EMESSO</t>
        </is>
      </c>
      <c r="N248" s="110" t="n"/>
      <c r="O248" s="168" t="n"/>
      <c r="P248" s="168" t="n"/>
      <c r="Q248" s="110" t="n"/>
      <c r="R248" s="110" t="n"/>
      <c r="S248" s="110" t="n"/>
      <c r="T248" s="114">
        <f>IF(AND('Inserimento dati'!$B$3=$H$2, TabellaA1[[#This Row],[LUN]]="X"), "X",IF(AND('Inserimento dati'!$B$3=$I$2, TabellaA1[[#This Row],[MAR]]="X"), "X", IF(AND('Inserimento dati'!$B$3=$J$2, TabellaA1[[#This Row],[MER]]="X"), "X",IF(AND('Inserimento dati'!$B$3=$K$2, TabellaA1[[#This Row],[GIO]]="X"), "X", IF(AND('Inserimento dati'!$B$3=$L$2, TabellaA1[[#This Row],[VEN]]="X"), "X","")))))</f>
        <v/>
      </c>
      <c r="U248" s="152" t="n"/>
      <c r="V248" t="inlineStr">
        <is>
          <t>2025-09-30 20:00:00</t>
        </is>
      </c>
    </row>
    <row r="249" ht="30" customFormat="1" customHeight="1" s="2">
      <c r="A249" s="112" t="n"/>
      <c r="B249" s="112" t="n"/>
      <c r="C249" s="112">
        <f>IF(OR(TabellaA1[[#This Row],[LUN]]="X",TabellaA1[[#This Row],[MAR]]="X",TabellaA1[[#This Row],[MER]]="X",TabellaA1[[#This Row],[GIO]]="X",TabellaA1[[#This Row],[VEN]]="X",),"X","")</f>
        <v/>
      </c>
      <c r="D249" s="113" t="inlineStr">
        <is>
          <t>AREA 1</t>
        </is>
      </c>
      <c r="E249" s="109" t="inlineStr">
        <is>
          <t>552707/C</t>
        </is>
      </c>
      <c r="F249" s="109" t="n">
        <v>400</v>
      </c>
      <c r="G249" s="109" t="inlineStr">
        <is>
          <t xml:space="preserve">FERMATA U400 SCOLLEGAMENTO E SUCCESSIV0 RICOLEGGAMENTO ED EVENTUALI PROVE DI FUNZIONALITA 04F604A/B/C 04F607A/B/C CARICA GASOILIO PASSO 1 E 2 </t>
        </is>
      </c>
      <c r="H249" s="111" t="inlineStr">
        <is>
          <t>X</t>
        </is>
      </c>
      <c r="I249" s="111" t="inlineStr">
        <is>
          <t>X</t>
        </is>
      </c>
      <c r="J249" s="111" t="inlineStr">
        <is>
          <t>X</t>
        </is>
      </c>
      <c r="K249" s="111" t="inlineStr">
        <is>
          <t>X</t>
        </is>
      </c>
      <c r="L249" s="111" t="inlineStr">
        <is>
          <t>X</t>
        </is>
      </c>
      <c r="M249" s="109" t="inlineStr">
        <is>
          <t>EMESSO</t>
        </is>
      </c>
      <c r="N249" s="110" t="n"/>
      <c r="O249" s="168" t="n"/>
      <c r="P249" s="168" t="n"/>
      <c r="Q249" s="110" t="n"/>
      <c r="R249" s="110" t="n"/>
      <c r="S249" s="110" t="n"/>
      <c r="T249" s="114">
        <f>IF(AND('Inserimento dati'!$B$3=$H$2, TabellaA1[[#This Row],[LUN]]="X"), "X",IF(AND('Inserimento dati'!$B$3=$I$2, TabellaA1[[#This Row],[MAR]]="X"), "X", IF(AND('Inserimento dati'!$B$3=$J$2, TabellaA1[[#This Row],[MER]]="X"), "X",IF(AND('Inserimento dati'!$B$3=$K$2, TabellaA1[[#This Row],[GIO]]="X"), "X", IF(AND('Inserimento dati'!$B$3=$L$2, TabellaA1[[#This Row],[VEN]]="X"), "X","")))))</f>
        <v/>
      </c>
      <c r="U249" s="152" t="n"/>
      <c r="V249" t="inlineStr">
        <is>
          <t>2025-09-30 20:00:00</t>
        </is>
      </c>
    </row>
    <row r="250" ht="45" customFormat="1" customHeight="1" s="2">
      <c r="A250" s="112" t="n"/>
      <c r="B250" s="112" t="n"/>
      <c r="C250" s="112">
        <f>IF(OR(TabellaA1[[#This Row],[LUN]]="X",TabellaA1[[#This Row],[MAR]]="X",TabellaA1[[#This Row],[MER]]="X",TabellaA1[[#This Row],[GIO]]="X",TabellaA1[[#This Row],[VEN]]="X",),"X","")</f>
        <v/>
      </c>
      <c r="D250" s="113" t="inlineStr">
        <is>
          <t>AREA 1</t>
        </is>
      </c>
      <c r="E250" s="109" t="inlineStr">
        <is>
          <t>552712/C</t>
        </is>
      </c>
      <c r="F250" s="109" t="n">
        <v>400</v>
      </c>
      <c r="G250" s="109" t="inlineStr">
        <is>
          <t>FERMATA U400 SCOLLEGAMENTO ELETTROPNEUMATICO E SUCCESSIV0 RICOLEGGAMENTO CON ALLINEAMENTO CON SALA CONTROLLO VALVOLE F604CV  F607CV PER REVISIONE.CARICO E SCARICO VALVOLE A BORDO STRADA IMPIANTO</t>
        </is>
      </c>
      <c r="H250" s="111" t="inlineStr">
        <is>
          <t>X</t>
        </is>
      </c>
      <c r="I250" s="111" t="inlineStr">
        <is>
          <t>X</t>
        </is>
      </c>
      <c r="J250" s="111" t="inlineStr">
        <is>
          <t>X</t>
        </is>
      </c>
      <c r="K250" s="111" t="inlineStr">
        <is>
          <t>X</t>
        </is>
      </c>
      <c r="L250" s="111" t="inlineStr">
        <is>
          <t>X</t>
        </is>
      </c>
      <c r="M250" s="109" t="inlineStr">
        <is>
          <t>EMESSO</t>
        </is>
      </c>
      <c r="N250" s="110" t="n"/>
      <c r="O250" s="168" t="n"/>
      <c r="P250" s="168" t="n"/>
      <c r="Q250" s="110" t="n"/>
      <c r="R250" s="110" t="n"/>
      <c r="S250" s="110" t="n"/>
      <c r="T250" s="114">
        <f>IF(AND('Inserimento dati'!$B$3=$H$2, TabellaA1[[#This Row],[LUN]]="X"), "X",IF(AND('Inserimento dati'!$B$3=$I$2, TabellaA1[[#This Row],[MAR]]="X"), "X", IF(AND('Inserimento dati'!$B$3=$J$2, TabellaA1[[#This Row],[MER]]="X"), "X",IF(AND('Inserimento dati'!$B$3=$K$2, TabellaA1[[#This Row],[GIO]]="X"), "X", IF(AND('Inserimento dati'!$B$3=$L$2, TabellaA1[[#This Row],[VEN]]="X"), "X","")))))</f>
        <v/>
      </c>
      <c r="U250" s="152" t="n"/>
      <c r="V250" t="inlineStr">
        <is>
          <t>2025-09-30 20:00:00</t>
        </is>
      </c>
    </row>
    <row r="251" ht="30" customFormat="1" customHeight="1" s="2">
      <c r="A251" s="112" t="n"/>
      <c r="B251" s="112" t="n"/>
      <c r="C251" s="112">
        <f>IF(OR(TabellaA1[[#This Row],[LUN]]="X",TabellaA1[[#This Row],[MAR]]="X",TabellaA1[[#This Row],[MER]]="X",TabellaA1[[#This Row],[GIO]]="X",TabellaA1[[#This Row],[VEN]]="X",),"X","")</f>
        <v/>
      </c>
      <c r="D251" s="113" t="inlineStr">
        <is>
          <t>AREA 1</t>
        </is>
      </c>
      <c r="E251" s="109" t="inlineStr">
        <is>
          <t>552715/C</t>
        </is>
      </c>
      <c r="F251" s="109" t="n">
        <v>400</v>
      </c>
      <c r="G251" s="109" t="inlineStr">
        <is>
          <t>FERMATA U400 SCOLLEGAMENTO E SUCCESSIVO RICOLLEGAMENTO TERMOCOPPIE PER DECOKING SU F101</t>
        </is>
      </c>
      <c r="H251" s="111" t="inlineStr">
        <is>
          <t>X</t>
        </is>
      </c>
      <c r="I251" s="111" t="inlineStr">
        <is>
          <t>X</t>
        </is>
      </c>
      <c r="J251" s="111" t="inlineStr">
        <is>
          <t>X</t>
        </is>
      </c>
      <c r="K251" s="111" t="inlineStr">
        <is>
          <t>X</t>
        </is>
      </c>
      <c r="L251" s="111" t="inlineStr">
        <is>
          <t>X</t>
        </is>
      </c>
      <c r="M251" s="109" t="inlineStr">
        <is>
          <t>EMESSO</t>
        </is>
      </c>
      <c r="N251" s="110" t="n"/>
      <c r="O251" s="168" t="n"/>
      <c r="P251" s="168" t="n"/>
      <c r="Q251" s="110" t="n"/>
      <c r="R251" s="110" t="n"/>
      <c r="S251" s="110" t="n"/>
      <c r="T251" s="114">
        <f>IF(AND('Inserimento dati'!$B$3=$H$2, TabellaA1[[#This Row],[LUN]]="X"), "X",IF(AND('Inserimento dati'!$B$3=$I$2, TabellaA1[[#This Row],[MAR]]="X"), "X", IF(AND('Inserimento dati'!$B$3=$J$2, TabellaA1[[#This Row],[MER]]="X"), "X",IF(AND('Inserimento dati'!$B$3=$K$2, TabellaA1[[#This Row],[GIO]]="X"), "X", IF(AND('Inserimento dati'!$B$3=$L$2, TabellaA1[[#This Row],[VEN]]="X"), "X","")))))</f>
        <v/>
      </c>
      <c r="U251" s="152" t="n"/>
      <c r="V251" t="inlineStr">
        <is>
          <t>2025-09-30 20:00:00</t>
        </is>
      </c>
    </row>
    <row r="252" ht="30" customFormat="1" customHeight="1" s="2">
      <c r="A252" s="112" t="n"/>
      <c r="B252" s="112" t="n"/>
      <c r="C252" s="112">
        <f>IF(OR(TabellaA1[[#This Row],[LUN]]="X",TabellaA1[[#This Row],[MAR]]="X",TabellaA1[[#This Row],[MER]]="X",TabellaA1[[#This Row],[GIO]]="X",TabellaA1[[#This Row],[VEN]]="X",),"X","")</f>
        <v/>
      </c>
      <c r="D252" s="113" t="inlineStr">
        <is>
          <t>AREA 1</t>
        </is>
      </c>
      <c r="E252" s="109" t="inlineStr">
        <is>
          <t>552781/C</t>
        </is>
      </c>
      <c r="F252" s="109" t="n">
        <v>100</v>
      </c>
      <c r="G252" s="109" t="inlineStr">
        <is>
          <t>100K651A PASSAGGIO E POSA CAVI CON  CABLAGGIO IN CASSETTA PER RIPRISTINO SISTEMA DI VIBRAZIONI</t>
        </is>
      </c>
      <c r="H252" s="111" t="inlineStr">
        <is>
          <t>X</t>
        </is>
      </c>
      <c r="I252" s="111" t="inlineStr">
        <is>
          <t>X</t>
        </is>
      </c>
      <c r="J252" s="111" t="n"/>
      <c r="K252" s="111" t="n"/>
      <c r="L252" s="111" t="n"/>
      <c r="M252" s="109" t="inlineStr">
        <is>
          <t>EMESSO</t>
        </is>
      </c>
      <c r="N252" s="110" t="n"/>
      <c r="O252" s="168" t="n"/>
      <c r="P252" s="168" t="n"/>
      <c r="Q252" s="110" t="n"/>
      <c r="R252" s="110" t="n"/>
      <c r="S252" s="110" t="n"/>
      <c r="T252" s="114">
        <f>IF(AND('Inserimento dati'!$B$3=$H$2, TabellaA1[[#This Row],[LUN]]="X"), "X",IF(AND('Inserimento dati'!$B$3=$I$2, TabellaA1[[#This Row],[MAR]]="X"), "X", IF(AND('Inserimento dati'!$B$3=$J$2, TabellaA1[[#This Row],[MER]]="X"), "X",IF(AND('Inserimento dati'!$B$3=$K$2, TabellaA1[[#This Row],[GIO]]="X"), "X", IF(AND('Inserimento dati'!$B$3=$L$2, TabellaA1[[#This Row],[VEN]]="X"), "X","")))))</f>
        <v/>
      </c>
      <c r="U252" s="152" t="n"/>
      <c r="V252" t="inlineStr">
        <is>
          <t>2025-09-30 20:00:00</t>
        </is>
      </c>
    </row>
    <row r="253" ht="23.25" customFormat="1" customHeight="1" s="2">
      <c r="A253" s="112" t="n"/>
      <c r="B253" s="112" t="n"/>
      <c r="C253" s="112">
        <f>IF(OR(TabellaA1[[#This Row],[LUN]]="X",TabellaA1[[#This Row],[MAR]]="X",TabellaA1[[#This Row],[MER]]="X",TabellaA1[[#This Row],[GIO]]="X",TabellaA1[[#This Row],[VEN]]="X",),"X","")</f>
        <v/>
      </c>
      <c r="D253" s="113" t="inlineStr">
        <is>
          <t>AREA 1</t>
        </is>
      </c>
      <c r="E253" s="109" t="inlineStr">
        <is>
          <t>549263/C</t>
        </is>
      </c>
      <c r="F253" s="109" t="n">
        <v>400</v>
      </c>
      <c r="G253" s="109" t="inlineStr">
        <is>
          <t>400F027R(GASOLIO DA STOCCAGGIO)CONTROLLO E TARATURA STRUMENTO DI PORTATA</t>
        </is>
      </c>
      <c r="H253" s="111" t="n"/>
      <c r="I253" s="111" t="n"/>
      <c r="J253" s="111" t="n"/>
      <c r="K253" s="111" t="n"/>
      <c r="L253" s="111" t="n"/>
      <c r="M253" s="109" t="inlineStr">
        <is>
          <t>INTERROTTO</t>
        </is>
      </c>
      <c r="N253" s="110" t="n"/>
      <c r="O253" s="168" t="n"/>
      <c r="P253" s="168" t="n"/>
      <c r="Q253" s="110" t="inlineStr">
        <is>
          <t>SI NECESSITA PONTEGGIO PER CONTROLLO</t>
        </is>
      </c>
      <c r="R253" s="110" t="n">
        <v>45901</v>
      </c>
      <c r="S253" s="110" t="inlineStr">
        <is>
          <t>SPINALI</t>
        </is>
      </c>
      <c r="T253" s="114">
        <f>IF(AND('Inserimento dati'!$B$3=$H$2, TabellaA1[[#This Row],[LUN]]="X"), "X",IF(AND('Inserimento dati'!$B$3=$I$2, TabellaA1[[#This Row],[MAR]]="X"), "X", IF(AND('Inserimento dati'!$B$3=$J$2, TabellaA1[[#This Row],[MER]]="X"), "X",IF(AND('Inserimento dati'!$B$3=$K$2, TabellaA1[[#This Row],[GIO]]="X"), "X", IF(AND('Inserimento dati'!$B$3=$L$2, TabellaA1[[#This Row],[VEN]]="X"), "X","")))))</f>
        <v/>
      </c>
      <c r="U253" s="152" t="n"/>
      <c r="V253" t="inlineStr">
        <is>
          <t>2025-09-30 20:00:00</t>
        </is>
      </c>
    </row>
    <row r="254" ht="30" customFormat="1" customHeight="1" s="2">
      <c r="A254" s="112" t="n"/>
      <c r="B254" s="112" t="n"/>
      <c r="C254" s="112">
        <f>IF(OR(TabellaA1[[#This Row],[LUN]]="X",TabellaA1[[#This Row],[MAR]]="X",TabellaA1[[#This Row],[MER]]="X",TabellaA1[[#This Row],[GIO]]="X",TabellaA1[[#This Row],[VEN]]="X",),"X","")</f>
        <v/>
      </c>
      <c r="D254" s="113" t="inlineStr">
        <is>
          <t>AREA 1</t>
        </is>
      </c>
      <c r="E254" s="109" t="inlineStr">
        <is>
          <t>547978/C</t>
        </is>
      </c>
      <c r="F254" s="109" t="n">
        <v>100</v>
      </c>
      <c r="G254" s="109" t="inlineStr">
        <is>
          <t>100F354R (CARICA 200A)CONTROLLO E TARATURA STRUMENTO DI PORTATA</t>
        </is>
      </c>
      <c r="H254" s="111" t="n"/>
      <c r="I254" s="111" t="n"/>
      <c r="J254" s="111" t="n"/>
      <c r="K254" s="111" t="n"/>
      <c r="L254" s="111" t="n"/>
      <c r="M254" s="109" t="inlineStr">
        <is>
          <t>INTERROTTO</t>
        </is>
      </c>
      <c r="N254" s="110" t="n"/>
      <c r="O254" s="168" t="n"/>
      <c r="P254" s="168" t="n"/>
      <c r="Q254" s="110" t="inlineStr">
        <is>
          <t>Sostituito strumento guasto, prese parzialmente intasate, da programmare intervento in fermata impianto.</t>
        </is>
      </c>
      <c r="R254" s="110" t="n">
        <v>45889</v>
      </c>
      <c r="S254" s="110" t="inlineStr">
        <is>
          <t>SPINALI</t>
        </is>
      </c>
      <c r="T254" s="114">
        <f>IF(AND('Inserimento dati'!$B$3=$H$2, TabellaA1[[#This Row],[LUN]]="X"), "X",IF(AND('Inserimento dati'!$B$3=$I$2, TabellaA1[[#This Row],[MAR]]="X"), "X", IF(AND('Inserimento dati'!$B$3=$J$2, TabellaA1[[#This Row],[MER]]="X"), "X",IF(AND('Inserimento dati'!$B$3=$K$2, TabellaA1[[#This Row],[GIO]]="X"), "X", IF(AND('Inserimento dati'!$B$3=$L$2, TabellaA1[[#This Row],[VEN]]="X"), "X","")))))</f>
        <v/>
      </c>
      <c r="U254" s="152" t="n"/>
      <c r="V254" t="inlineStr">
        <is>
          <t>2025-09-30 20:00:00</t>
        </is>
      </c>
    </row>
    <row r="255" ht="45" customHeight="1" s="122">
      <c r="A255" s="112" t="n"/>
      <c r="B255" s="112" t="n"/>
      <c r="C255" s="112">
        <f>IF(OR(TabellaA1[[#This Row],[LUN]]="X",TabellaA1[[#This Row],[MAR]]="X",TabellaA1[[#This Row],[MER]]="X",TabellaA1[[#This Row],[GIO]]="X",TabellaA1[[#This Row],[VEN]]="X",),"X","")</f>
        <v/>
      </c>
      <c r="D255" s="113" t="inlineStr">
        <is>
          <t>AREA 1</t>
        </is>
      </c>
      <c r="E255" s="109" t="inlineStr">
        <is>
          <t>545834/C</t>
        </is>
      </c>
      <c r="F255" s="109" t="n">
        <v>200</v>
      </c>
      <c r="G255" s="109" t="inlineStr">
        <is>
          <t>200F163(F,G. LIMITE BATTERIA) 200F033R(F.G. A F102) 200F008R (F.G. A F101)CONTROLLO DI TARATURA SU PORTATE</t>
        </is>
      </c>
      <c r="H255" s="111" t="n"/>
      <c r="I255" s="111" t="n"/>
      <c r="J255" s="111" t="n"/>
      <c r="K255" s="111" t="n"/>
      <c r="L255" s="111" t="n"/>
      <c r="M255" s="109" t="inlineStr">
        <is>
          <t>INTERROTTO</t>
        </is>
      </c>
      <c r="N255" s="110" t="n"/>
      <c r="O255" s="168" t="inlineStr">
        <is>
          <t>X</t>
        </is>
      </c>
      <c r="P255" s="168" t="inlineStr">
        <is>
          <t>X</t>
        </is>
      </c>
      <c r="Q255" s="110" t="inlineStr">
        <is>
          <t>200F033R SOSTITUITO PERCHE' GUASTO. OK
200F008R AZZERATO ED ALLINEATO CON SALA CONTROLLO.
200F163R Azzerato ed allineato con sala controllo</t>
        </is>
      </c>
      <c r="R255" s="110" t="n">
        <v>45889</v>
      </c>
      <c r="S255" s="110" t="inlineStr">
        <is>
          <t>LOMBARDO SPINALI</t>
        </is>
      </c>
      <c r="T255" s="114">
        <f>IF(AND('Inserimento dati'!$B$3=$H$2, TabellaA1[[#This Row],[LUN]]="X"), "X",IF(AND('Inserimento dati'!$B$3=$I$2, TabellaA1[[#This Row],[MAR]]="X"), "X", IF(AND('Inserimento dati'!$B$3=$J$2, TabellaA1[[#This Row],[MER]]="X"), "X",IF(AND('Inserimento dati'!$B$3=$K$2, TabellaA1[[#This Row],[GIO]]="X"), "X", IF(AND('Inserimento dati'!$B$3=$L$2, TabellaA1[[#This Row],[VEN]]="X"), "X","")))))</f>
        <v/>
      </c>
      <c r="U255" s="152" t="n"/>
      <c r="V255" t="inlineStr">
        <is>
          <t>2025-09-30 20:00:00</t>
        </is>
      </c>
    </row>
    <row r="256" ht="30" customHeight="1" s="122">
      <c r="A256" s="112" t="n"/>
      <c r="B256" s="112" t="n"/>
      <c r="C256" s="112">
        <f>IF(OR(TabellaA1[[#This Row],[LUN]]="X",TabellaA1[[#This Row],[MAR]]="X",TabellaA1[[#This Row],[MER]]="X",TabellaA1[[#This Row],[GIO]]="X",TabellaA1[[#This Row],[VEN]]="X",),"X","")</f>
        <v/>
      </c>
      <c r="D256" s="113" t="inlineStr">
        <is>
          <t>AREA 1</t>
        </is>
      </c>
      <c r="E256" s="109" t="inlineStr">
        <is>
          <t>547930/C</t>
        </is>
      </c>
      <c r="F256" s="109" t="n">
        <v>900</v>
      </c>
      <c r="G256" s="109" t="inlineStr">
        <is>
          <t>900F013I I RIFLUSSO T103 CONTROLLO E RIPRISTINO PORTATA</t>
        </is>
      </c>
      <c r="H256" s="111" t="n"/>
      <c r="I256" s="111" t="n"/>
      <c r="J256" s="111" t="n"/>
      <c r="K256" s="111" t="n"/>
      <c r="L256" s="111" t="n"/>
      <c r="M256" s="109" t="inlineStr">
        <is>
          <t>INTERROTTO</t>
        </is>
      </c>
      <c r="N256" s="110" t="n"/>
      <c r="O256" s="168" t="n"/>
      <c r="P256" s="168" t="n"/>
      <c r="Q256" s="110" t="inlineStr">
        <is>
          <t>LE VALVOLE DI RADICE SONO BLOCCATE APERTE. LO STRUMENTO NON SI PUO' CONTROLLARE.</t>
        </is>
      </c>
      <c r="R256" s="110" t="n">
        <v>45888</v>
      </c>
      <c r="S256" s="110" t="inlineStr">
        <is>
          <t>LOMBARDO</t>
        </is>
      </c>
      <c r="T256" s="114">
        <f>IF(AND('Inserimento dati'!$B$3=$H$2, TabellaA1[[#This Row],[LUN]]="X"), "X",IF(AND('Inserimento dati'!$B$3=$I$2, TabellaA1[[#This Row],[MAR]]="X"), "X", IF(AND('Inserimento dati'!$B$3=$J$2, TabellaA1[[#This Row],[MER]]="X"), "X",IF(AND('Inserimento dati'!$B$3=$K$2, TabellaA1[[#This Row],[GIO]]="X"), "X", IF(AND('Inserimento dati'!$B$3=$L$2, TabellaA1[[#This Row],[VEN]]="X"), "X","")))))</f>
        <v/>
      </c>
      <c r="U256" s="152" t="n"/>
      <c r="V256" t="inlineStr">
        <is>
          <t>2025-09-30 20:00:00</t>
        </is>
      </c>
    </row>
    <row r="257" ht="30" customHeight="1" s="122">
      <c r="A257" s="112" t="n"/>
      <c r="B257" s="112" t="n"/>
      <c r="C257" s="112">
        <f>IF(OR(TabellaA1[[#This Row],[LUN]]="X",TabellaA1[[#This Row],[MAR]]="X",TabellaA1[[#This Row],[MER]]="X",TabellaA1[[#This Row],[GIO]]="X",TabellaA1[[#This Row],[VEN]]="X",),"X","")</f>
        <v/>
      </c>
      <c r="D257" s="113" t="inlineStr">
        <is>
          <t>AREA 1</t>
        </is>
      </c>
      <c r="E257" s="109" t="inlineStr">
        <is>
          <t>547498/C</t>
        </is>
      </c>
      <c r="F257" s="109" t="n">
        <v>300</v>
      </c>
      <c r="G257" s="109" t="inlineStr">
        <is>
          <t>300F151RA(VAPORE USCITA DSH-102)CONTROLLO E RIPRISTINO FUNZIONALITA PORTATA</t>
        </is>
      </c>
      <c r="H257" s="111" t="n"/>
      <c r="I257" s="111" t="n"/>
      <c r="J257" s="111" t="n"/>
      <c r="K257" s="111" t="n"/>
      <c r="L257" s="111" t="n"/>
      <c r="M257" s="109" t="inlineStr">
        <is>
          <t>INTERROTTO</t>
        </is>
      </c>
      <c r="N257" s="110" t="n"/>
      <c r="O257" s="168" t="inlineStr">
        <is>
          <t>X</t>
        </is>
      </c>
      <c r="P257" s="168" t="n"/>
      <c r="Q257" s="110" t="inlineStr">
        <is>
          <t>SERVE PONTEGGIO PER CONTROLLARE I BARILOTTI, POSITIVA TAPPATA. STRUMENTO OK</t>
        </is>
      </c>
      <c r="R257" s="110" t="n">
        <v>45881</v>
      </c>
      <c r="S257" s="110" t="inlineStr">
        <is>
          <t>SPINALI/LOMBARDO</t>
        </is>
      </c>
      <c r="T257" s="114">
        <f>IF(AND('Inserimento dati'!$B$3=$H$2, TabellaA1[[#This Row],[LUN]]="X"), "X",IF(AND('Inserimento dati'!$B$3=$I$2, TabellaA1[[#This Row],[MAR]]="X"), "X", IF(AND('Inserimento dati'!$B$3=$J$2, TabellaA1[[#This Row],[MER]]="X"), "X",IF(AND('Inserimento dati'!$B$3=$K$2, TabellaA1[[#This Row],[GIO]]="X"), "X", IF(AND('Inserimento dati'!$B$3=$L$2, TabellaA1[[#This Row],[VEN]]="X"), "X","")))))</f>
        <v/>
      </c>
      <c r="U257" s="152" t="n"/>
      <c r="V257" t="inlineStr">
        <is>
          <t>2025-09-30 20:00:00</t>
        </is>
      </c>
    </row>
    <row r="258" ht="23.25" customHeight="1" s="122">
      <c r="A258" s="112" t="n"/>
      <c r="B258" s="112" t="n"/>
      <c r="C258" s="112">
        <f>IF(OR(TabellaA1[[#This Row],[LUN]]="X",TabellaA1[[#This Row],[MAR]]="X",TabellaA1[[#This Row],[MER]]="X",TabellaA1[[#This Row],[GIO]]="X",TabellaA1[[#This Row],[VEN]]="X",),"X","")</f>
        <v/>
      </c>
      <c r="D258" s="113" t="inlineStr">
        <is>
          <t>AREA 1</t>
        </is>
      </c>
      <c r="E258" s="109" t="inlineStr">
        <is>
          <t>546378/C</t>
        </is>
      </c>
      <c r="F258" s="109" t="n">
        <v>200</v>
      </c>
      <c r="G258" s="109" t="inlineStr">
        <is>
          <t>10228176 200 P011CV CONTROLLO E RIPRISTINO FUNZIONALE</t>
        </is>
      </c>
      <c r="H258" s="111" t="n"/>
      <c r="I258" s="111" t="n"/>
      <c r="J258" s="111" t="n"/>
      <c r="K258" s="111" t="n"/>
      <c r="L258" s="111" t="n"/>
      <c r="M258" s="109" t="inlineStr">
        <is>
          <t>INTERROTTO</t>
        </is>
      </c>
      <c r="N258" s="110" t="inlineStr">
        <is>
          <t>X</t>
        </is>
      </c>
      <c r="O258" s="168" t="n"/>
      <c r="P258" s="168" t="n"/>
      <c r="Q258" s="110" t="inlineStr">
        <is>
          <t>LA VALVOLA NON FA TENUTA, DEVE ANDARE A REVISIONE</t>
        </is>
      </c>
      <c r="R258" s="110" t="n">
        <v>45869</v>
      </c>
      <c r="S258" s="110" t="inlineStr">
        <is>
          <t>GARRO</t>
        </is>
      </c>
      <c r="T258" s="114">
        <f>IF(AND('Inserimento dati'!$B$3=$H$2, TabellaA1[[#This Row],[LUN]]="X"), "X",IF(AND('Inserimento dati'!$B$3=$I$2, TabellaA1[[#This Row],[MAR]]="X"), "X", IF(AND('Inserimento dati'!$B$3=$J$2, TabellaA1[[#This Row],[MER]]="X"), "X",IF(AND('Inserimento dati'!$B$3=$K$2, TabellaA1[[#This Row],[GIO]]="X"), "X", IF(AND('Inserimento dati'!$B$3=$L$2, TabellaA1[[#This Row],[VEN]]="X"), "X","")))))</f>
        <v/>
      </c>
      <c r="U258" s="152" t="n"/>
      <c r="V258" t="inlineStr">
        <is>
          <t>2025-09-30 20:00:00</t>
        </is>
      </c>
    </row>
    <row r="259" ht="30" customHeight="1" s="122">
      <c r="A259" s="112" t="n"/>
      <c r="B259" s="112" t="n"/>
      <c r="C259" s="112">
        <f>IF(OR(TabellaA1[[#This Row],[LUN]]="X",TabellaA1[[#This Row],[MAR]]="X",TabellaA1[[#This Row],[MER]]="X",TabellaA1[[#This Row],[GIO]]="X",TabellaA1[[#This Row],[VEN]]="X",),"X","")</f>
        <v/>
      </c>
      <c r="D259" s="113" t="inlineStr">
        <is>
          <t>AREA 1</t>
        </is>
      </c>
      <c r="E259" s="109" t="inlineStr">
        <is>
          <t>545327/C</t>
        </is>
      </c>
      <c r="F259" s="109" t="inlineStr">
        <is>
          <t>200A</t>
        </is>
      </c>
      <c r="G259" s="109" t="inlineStr">
        <is>
          <t>U200A RIPRISTINI DI FUNZIONALITA STRUMENTI DI PROCESSO  E VALVOLE DI REGOLAZIONE  PER AVVIAMENTO IMPIANTO</t>
        </is>
      </c>
      <c r="H259" s="111" t="n"/>
      <c r="I259" s="111" t="n"/>
      <c r="J259" s="111" t="n"/>
      <c r="K259" s="111" t="n"/>
      <c r="L259" s="111" t="n"/>
      <c r="M259" s="109" t="inlineStr">
        <is>
          <t>INTERROTTO</t>
        </is>
      </c>
      <c r="N259" s="110" t="n"/>
      <c r="O259" s="168" t="n"/>
      <c r="P259" s="168" t="n"/>
      <c r="Q259" s="110" t="n"/>
      <c r="R259" s="110" t="n"/>
      <c r="S259" s="110" t="n"/>
      <c r="T259" s="114">
        <f>IF(AND('Inserimento dati'!$B$3=$H$2, TabellaA1[[#This Row],[LUN]]="X"), "X",IF(AND('Inserimento dati'!$B$3=$I$2, TabellaA1[[#This Row],[MAR]]="X"), "X", IF(AND('Inserimento dati'!$B$3=$J$2, TabellaA1[[#This Row],[MER]]="X"), "X",IF(AND('Inserimento dati'!$B$3=$K$2, TabellaA1[[#This Row],[GIO]]="X"), "X", IF(AND('Inserimento dati'!$B$3=$L$2, TabellaA1[[#This Row],[VEN]]="X"), "X","")))))</f>
        <v/>
      </c>
      <c r="U259" s="152" t="n"/>
      <c r="V259" t="inlineStr">
        <is>
          <t>2025-09-30 20:00:00</t>
        </is>
      </c>
    </row>
    <row r="260" ht="45" customHeight="1" s="122">
      <c r="A260" s="112" t="n"/>
      <c r="B260" s="112" t="n"/>
      <c r="C260" s="112">
        <f>IF(OR(TabellaA1[[#This Row],[LUN]]="X",TabellaA1[[#This Row],[MAR]]="X",TabellaA1[[#This Row],[MER]]="X",TabellaA1[[#This Row],[GIO]]="X",TabellaA1[[#This Row],[VEN]]="X",),"X","")</f>
        <v/>
      </c>
      <c r="D260" s="113" t="inlineStr">
        <is>
          <t>AREA 1</t>
        </is>
      </c>
      <c r="E260" s="109" t="inlineStr">
        <is>
          <t>539640/C</t>
        </is>
      </c>
      <c r="F260" s="109" t="n">
        <v>200</v>
      </c>
      <c r="G260" s="109" t="inlineStr">
        <is>
          <t>200 - F211R(C.W AD E107A/B)CONTROLLO DI FUNZIONALITA E TARATURA  STRUMENTO DI PORTATA</t>
        </is>
      </c>
      <c r="H260" s="111" t="n"/>
      <c r="I260" s="111" t="n"/>
      <c r="J260" s="111" t="n"/>
      <c r="K260" s="111" t="n"/>
      <c r="L260" s="111" t="n"/>
      <c r="M260" s="109" t="inlineStr">
        <is>
          <t>INTERROTTO</t>
        </is>
      </c>
      <c r="N260" s="110" t="n"/>
      <c r="O260" s="168" t="n"/>
      <c r="P260" s="168" t="n"/>
      <c r="Q260" s="110" t="inlineStr">
        <is>
          <t>STRUMENTO TROVATO INTERCETTATO DALLE VALVOLE DI RADICE. PER POTERVI ACCEDERE SERVE PONTEGGIO DI CIRCA 10MT. SITUATO NEI PRESSI DI FCV016.</t>
        </is>
      </c>
      <c r="R260" s="110" t="n">
        <v>45817</v>
      </c>
      <c r="S260" s="110" t="inlineStr">
        <is>
          <t>MILLO</t>
        </is>
      </c>
      <c r="T260" s="114">
        <f>IF(AND('Inserimento dati'!$B$3=$H$2, TabellaA1[[#This Row],[LUN]]="X"), "X",IF(AND('Inserimento dati'!$B$3=$I$2, TabellaA1[[#This Row],[MAR]]="X"), "X", IF(AND('Inserimento dati'!$B$3=$J$2, TabellaA1[[#This Row],[MER]]="X"), "X",IF(AND('Inserimento dati'!$B$3=$K$2, TabellaA1[[#This Row],[GIO]]="X"), "X", IF(AND('Inserimento dati'!$B$3=$L$2, TabellaA1[[#This Row],[VEN]]="X"), "X","")))))</f>
        <v/>
      </c>
      <c r="U260" s="138">
        <f>IFERROR(MID(G260,_xlfn.AGGREGATE(15,6,(ROW(INDIRECT("1:"&amp;LEN(G260)-7)))/(ISNUMBER(--MID(G260,ROW(INDIRECT("1:"&amp;LEN(G260)-7)),8))),1),8),"")</f>
        <v/>
      </c>
      <c r="V260" t="inlineStr">
        <is>
          <t>2025-09-30 20:00:00</t>
        </is>
      </c>
    </row>
    <row r="261" ht="45" customHeight="1" s="122">
      <c r="A261" s="112" t="n"/>
      <c r="B261" s="112" t="n"/>
      <c r="C261" s="112">
        <f>IF(OR(TabellaA1[[#This Row],[LUN]]="X",TabellaA1[[#This Row],[MAR]]="X",TabellaA1[[#This Row],[MER]]="X",TabellaA1[[#This Row],[GIO]]="X",TabellaA1[[#This Row],[VEN]]="X",),"X","")</f>
        <v/>
      </c>
      <c r="D261" s="113" t="inlineStr">
        <is>
          <t>AREA 1</t>
        </is>
      </c>
      <c r="E261" s="109" t="inlineStr">
        <is>
          <t>539639/C</t>
        </is>
      </c>
      <c r="F261" s="109" t="n">
        <v>200</v>
      </c>
      <c r="G261" s="109" t="inlineStr">
        <is>
          <t>200 - L013DIC (D103 LIVELLO) CONTROLLO DI  FUNZIONALITA LIVELLO CON RELATIVI ALLARMI L013DL E L013DH(BASSO E ALTO)</t>
        </is>
      </c>
      <c r="H261" s="111" t="n"/>
      <c r="I261" s="111" t="n"/>
      <c r="J261" s="111" t="n"/>
      <c r="K261" s="111" t="n"/>
      <c r="L261" s="111" t="n"/>
      <c r="M261" s="109" t="inlineStr">
        <is>
          <t>INTERROTTO</t>
        </is>
      </c>
      <c r="N261" s="110" t="n"/>
      <c r="O261" s="168" t="n"/>
      <c r="P261" s="168" t="n"/>
      <c r="Q261" s="110" t="inlineStr">
        <is>
          <t>CONTROLLO EFFETTUATO SU TX DI LIVELLO. NULLA DA SEGNALARE, INTERVENGONO REGOLARMENTE GLI ALL. DI BASSO E ALTO LIVELLO. ATTUALMENTE VUOTO, E QUINDI IN BASSO LIVELLO.</t>
        </is>
      </c>
      <c r="R261" s="110" t="n">
        <v>45817</v>
      </c>
      <c r="S261" s="110" t="inlineStr">
        <is>
          <t>MILLO</t>
        </is>
      </c>
      <c r="T261" s="114">
        <f>IF(AND('Inserimento dati'!$B$3=$H$2, TabellaA1[[#This Row],[LUN]]="X"), "X",IF(AND('Inserimento dati'!$B$3=$I$2, TabellaA1[[#This Row],[MAR]]="X"), "X", IF(AND('Inserimento dati'!$B$3=$J$2, TabellaA1[[#This Row],[MER]]="X"), "X",IF(AND('Inserimento dati'!$B$3=$K$2, TabellaA1[[#This Row],[GIO]]="X"), "X", IF(AND('Inserimento dati'!$B$3=$L$2, TabellaA1[[#This Row],[VEN]]="X"), "X","")))))</f>
        <v/>
      </c>
      <c r="U261" s="138">
        <f>IFERROR(MID(G261,_xlfn.AGGREGATE(15,6,(ROW(INDIRECT("1:"&amp;LEN(G261)-7)))/(ISNUMBER(--MID(G261,ROW(INDIRECT("1:"&amp;LEN(G261)-7)),8))),1),8),"")</f>
        <v/>
      </c>
      <c r="V261" t="inlineStr">
        <is>
          <t>2025-09-30 20:00:00</t>
        </is>
      </c>
    </row>
    <row r="262" ht="45" customHeight="1" s="122">
      <c r="A262" s="112" t="n"/>
      <c r="B262" s="112">
        <f>IF(OR(A262="x",A262="X"),"",IF(ISBLANK(A262),"X",""))</f>
        <v/>
      </c>
      <c r="C262" s="112">
        <f>IF(OR(TabellaA1[[#This Row],[LUN]]="X",TabellaA1[[#This Row],[MAR]]="X",TabellaA1[[#This Row],[MER]]="X",TabellaA1[[#This Row],[GIO]]="X",TabellaA1[[#This Row],[VEN]]="X",),"X","")</f>
        <v/>
      </c>
      <c r="D262" s="113" t="inlineStr">
        <is>
          <t>AREA 1</t>
        </is>
      </c>
      <c r="E262" s="109" t="inlineStr">
        <is>
          <t>535627/C</t>
        </is>
      </c>
      <c r="F262" s="109" t="n">
        <v>400</v>
      </c>
      <c r="G262" s="109" t="inlineStr">
        <is>
          <t>04T700R  04T703R (F101) CONTROLLO TEMPERATURE  E ALLINEAMENTO CON SALA CONTROLLO</t>
        </is>
      </c>
      <c r="H262" s="111" t="n"/>
      <c r="I262" s="111" t="n"/>
      <c r="J262" s="111" t="n"/>
      <c r="K262" s="111" t="n"/>
      <c r="L262" s="111" t="n"/>
      <c r="M262" s="109" t="inlineStr">
        <is>
          <t>INTERROTTO</t>
        </is>
      </c>
      <c r="N262" s="110" t="n"/>
      <c r="O262" s="168" t="n"/>
      <c r="P262" s="168" t="n"/>
      <c r="Q262" s="110" t="inlineStr">
        <is>
          <t>ALLINEATE E CONTROLLATE TEMPERATURE DA J.BOX. NULLA DA SEGNALARE. IL TCL VORREBBE FARE IL CONTROLLO DA TERMOELEMENTO(SKINPOINT), MA SERVE PONTEGGIO</t>
        </is>
      </c>
      <c r="R262" s="110" t="n">
        <v>45788</v>
      </c>
      <c r="S262" s="110" t="inlineStr">
        <is>
          <t>MILLO/CAVAGNACCHI</t>
        </is>
      </c>
      <c r="T262" s="115">
        <f>IF(AND('Inserimento dati'!$B$3=$H$2, TabellaA1[[#This Row],[LUN]]="X"), "X",IF(AND('Inserimento dati'!$B$3=$I$2, TabellaA1[[#This Row],[MAR]]="X"), "X", IF(AND('Inserimento dati'!$B$3=$J$2, TabellaA1[[#This Row],[MER]]="X"), "X",IF(AND('Inserimento dati'!$B$3=$K$2, TabellaA1[[#This Row],[GIO]]="X"), "X", IF(AND('Inserimento dati'!$B$3=$L$2, TabellaA1[[#This Row],[VEN]]="X"), "X","")))))</f>
        <v/>
      </c>
      <c r="U262" s="137">
        <f>IFERROR(MID(G262,_xlfn.AGGREGATE(15,6,(ROW(INDIRECT("1:"&amp;LEN(G262)-7)))/(ISNUMBER(--MID(G262,ROW(INDIRECT("1:"&amp;LEN(G262)-7)),8))),1),8),"")</f>
        <v/>
      </c>
      <c r="V262" t="inlineStr">
        <is>
          <t>2025-09-30 20:00:00</t>
        </is>
      </c>
    </row>
    <row r="263" ht="30" customHeight="1" s="122">
      <c r="A263" s="112" t="n"/>
      <c r="B263" s="112">
        <f>IF(OR(A263="x",A263="X"),"",IF(ISBLANK(A263),"X",""))</f>
        <v/>
      </c>
      <c r="C263" s="112">
        <f>IF(OR(TabellaA1[[#This Row],[LUN]]="X",TabellaA1[[#This Row],[MAR]]="X",TabellaA1[[#This Row],[MER]]="X",TabellaA1[[#This Row],[GIO]]="X",TabellaA1[[#This Row],[VEN]]="X",),"X","")</f>
        <v/>
      </c>
      <c r="D263" s="113" t="inlineStr">
        <is>
          <t>AREA 1</t>
        </is>
      </c>
      <c r="E263" s="109" t="inlineStr">
        <is>
          <t>535412/C</t>
        </is>
      </c>
      <c r="F263" s="109" t="n">
        <v>200</v>
      </c>
      <c r="G263" s="109" t="inlineStr">
        <is>
          <t>200 - T406HA( EFFLUENTE REATTORE A D 301)CONTROLLO E RIPRISTINO MISURA TEMPERATURA</t>
        </is>
      </c>
      <c r="H263" s="111" t="n"/>
      <c r="I263" s="111" t="n"/>
      <c r="J263" s="111" t="n"/>
      <c r="K263" s="111" t="n"/>
      <c r="L263" s="111" t="n"/>
      <c r="M263" s="110" t="inlineStr">
        <is>
          <t>INTERROTTO</t>
        </is>
      </c>
      <c r="N263" s="110" t="n"/>
      <c r="O263" s="168" t="n"/>
      <c r="P263" s="168" t="n"/>
      <c r="Q263" s="110" t="inlineStr">
        <is>
          <t>LA TEMPERATURA IN CAMPO NON ESISTE</t>
        </is>
      </c>
      <c r="R263" s="110" t="n">
        <v>45784</v>
      </c>
      <c r="S263" s="110" t="inlineStr">
        <is>
          <t>SPINALI/CAVAGNACCHI</t>
        </is>
      </c>
      <c r="T263" s="112">
        <f>IF(AND('Inserimento dati'!$B$3=$H$2, TabellaA1[[#This Row],[LUN]]="X"), "X",IF(AND('Inserimento dati'!$B$3=$I$2, TabellaA1[[#This Row],[MAR]]="X"), "X", IF(AND('Inserimento dati'!$B$3=$J$2, TabellaA1[[#This Row],[MER]]="X"), "X",IF(AND('Inserimento dati'!$B$3=$K$2, TabellaA1[[#This Row],[GIO]]="X"), "X", IF(AND('Inserimento dati'!$B$3=$L$2, TabellaA1[[#This Row],[VEN]]="X"), "X","")))))</f>
        <v/>
      </c>
      <c r="U263" s="137">
        <f>IFERROR(MID(G263,_xlfn.AGGREGATE(15,6,(ROW(INDIRECT("1:"&amp;LEN(G263)-7)))/(ISNUMBER(--MID(G263,ROW(INDIRECT("1:"&amp;LEN(G263)-7)),8))),1),8),"")</f>
        <v/>
      </c>
      <c r="V263" t="inlineStr">
        <is>
          <t>2025-09-30 20:00:00</t>
        </is>
      </c>
    </row>
    <row r="264" ht="30" customHeight="1" s="122">
      <c r="A264" s="112" t="n"/>
      <c r="B264" s="112">
        <f>IF(OR(A264="x",A264="X"),"",IF(ISBLANK(A264),"X",""))</f>
        <v/>
      </c>
      <c r="C264" s="112">
        <f>IF(OR(TabellaA1[[#This Row],[LUN]]="X",TabellaA1[[#This Row],[MAR]]="X",TabellaA1[[#This Row],[MER]]="X",TabellaA1[[#This Row],[GIO]]="X",TabellaA1[[#This Row],[VEN]]="X",),"X","")</f>
        <v/>
      </c>
      <c r="D264" s="113" t="inlineStr">
        <is>
          <t>AREA 1</t>
        </is>
      </c>
      <c r="E264" s="109" t="inlineStr">
        <is>
          <t>533917/C</t>
        </is>
      </c>
      <c r="F264" s="109" t="inlineStr">
        <is>
          <t>200A</t>
        </is>
      </c>
      <c r="G264" s="109" t="inlineStr">
        <is>
          <t>200A - L357SL BLOCCO BASSO LIVELLO D302 CONTROLLO E RIPRISTINO FUNZIONALITA LIVELLOSTATO(ATTUARE AZIONI PER NON CHIUDERE B352V)</t>
        </is>
      </c>
      <c r="H264" s="111" t="n"/>
      <c r="I264" s="111" t="n"/>
      <c r="J264" s="111" t="n"/>
      <c r="K264" s="111" t="n"/>
      <c r="L264" s="111" t="n"/>
      <c r="M264" s="110" t="inlineStr">
        <is>
          <t>INTERROTTO</t>
        </is>
      </c>
      <c r="N264" s="110" t="n"/>
      <c r="O264" s="168" t="n"/>
      <c r="P264" s="168" t="n"/>
      <c r="Q264" s="110" t="inlineStr">
        <is>
          <t>VALVOLA DI RADICE POSITIVA CON STELO ROTTO, IMPOSSIBILE DA INTERCETTARE</t>
        </is>
      </c>
      <c r="R264" s="110" t="n">
        <v>45770</v>
      </c>
      <c r="S264" s="110" t="inlineStr">
        <is>
          <t>MILLO</t>
        </is>
      </c>
      <c r="T264" s="112">
        <f>IF(AND('Inserimento dati'!$B$3=$H$2, TabellaA1[[#This Row],[LUN]]="X"), "X",IF(AND('Inserimento dati'!$B$3=$I$2, TabellaA1[[#This Row],[MAR]]="X"), "X", IF(AND('Inserimento dati'!$B$3=$J$2, TabellaA1[[#This Row],[MER]]="X"), "X",IF(AND('Inserimento dati'!$B$3=$K$2, TabellaA1[[#This Row],[GIO]]="X"), "X", IF(AND('Inserimento dati'!$B$3=$L$2, TabellaA1[[#This Row],[VEN]]="X"), "X","")))))</f>
        <v/>
      </c>
      <c r="U264" s="137">
        <f>IFERROR(MID(G264,_xlfn.AGGREGATE(15,6,(ROW(INDIRECT("1:"&amp;LEN(G264)-7)))/(ISNUMBER(--MID(G264,ROW(INDIRECT("1:"&amp;LEN(G264)-7)),8))),1),8),"")</f>
        <v/>
      </c>
      <c r="V264" t="inlineStr">
        <is>
          <t>2025-09-30 20:00:00</t>
        </is>
      </c>
    </row>
    <row r="265" ht="30" customHeight="1" s="122">
      <c r="A265" s="112" t="n"/>
      <c r="B265" s="112">
        <f>IF(OR(A265="x",A265="X"),"",IF(ISBLANK(A265),"X",""))</f>
        <v/>
      </c>
      <c r="C265" s="112">
        <f>IF(OR(TabellaA1[[#This Row],[LUN]]="X",TabellaA1[[#This Row],[MAR]]="X",TabellaA1[[#This Row],[MER]]="X",TabellaA1[[#This Row],[GIO]]="X",TabellaA1[[#This Row],[VEN]]="X",),"X","")</f>
        <v/>
      </c>
      <c r="D265" s="113" t="inlineStr">
        <is>
          <t>AREA 1</t>
        </is>
      </c>
      <c r="E265" s="109" t="inlineStr">
        <is>
          <t>532688/C</t>
        </is>
      </c>
      <c r="F265" s="109" t="n">
        <v>100</v>
      </c>
      <c r="G265" s="109" t="inlineStr">
        <is>
          <t>100 - 01F026RC VAPORE A T105 CONTROLLO  LOOP DI REGOLAZIONE PARTENDO DALLA MISURA DI PORTATA</t>
        </is>
      </c>
      <c r="H265" s="111" t="n"/>
      <c r="I265" s="111" t="n"/>
      <c r="J265" s="111" t="n"/>
      <c r="K265" s="111" t="n"/>
      <c r="L265" s="111" t="n"/>
      <c r="M265" s="110" t="inlineStr">
        <is>
          <t>INTERROTTO</t>
        </is>
      </c>
      <c r="N265" s="110" t="n"/>
      <c r="O265" s="168" t="n"/>
      <c r="P265" s="168" t="n"/>
      <c r="Q265" s="110" t="inlineStr">
        <is>
          <t>PRESA POSITIVA TAPPATA, LASCIATO CON BYPASS IN CORSO. SERVE PIANO DI LAVORO PER ARRIVARE NEI BARILOTTI</t>
        </is>
      </c>
      <c r="R265" s="110" t="n">
        <v>45762</v>
      </c>
      <c r="S265" s="110" t="inlineStr">
        <is>
          <t>TARASCIO/PARTESANO</t>
        </is>
      </c>
      <c r="T265" s="112">
        <f>IF(AND('Inserimento dati'!$B$3=$H$2, TabellaA1[[#This Row],[LUN]]="X"), "X",IF(AND('Inserimento dati'!$B$3=$I$2, TabellaA1[[#This Row],[MAR]]="X"), "X", IF(AND('Inserimento dati'!$B$3=$J$2, TabellaA1[[#This Row],[MER]]="X"), "X",IF(AND('Inserimento dati'!$B$3=$K$2, TabellaA1[[#This Row],[GIO]]="X"), "X", IF(AND('Inserimento dati'!$B$3=$L$2, TabellaA1[[#This Row],[VEN]]="X"), "X","")))))</f>
        <v/>
      </c>
      <c r="U265" s="137">
        <f>IFERROR(MID(G265,_xlfn.AGGREGATE(15,6,(ROW(INDIRECT("1:"&amp;LEN(G265)-7)))/(ISNUMBER(--MID(G265,ROW(INDIRECT("1:"&amp;LEN(G265)-7)),8))),1),8),"")</f>
        <v/>
      </c>
      <c r="V265" t="inlineStr">
        <is>
          <t>2025-09-30 20:00:00</t>
        </is>
      </c>
    </row>
    <row r="266" ht="30" customHeight="1" s="122">
      <c r="A266" s="112" t="n"/>
      <c r="B266" s="112">
        <f>IF(OR(A266="x",A266="X"),"",IF(ISBLANK(A266),"X",""))</f>
        <v/>
      </c>
      <c r="C266" s="112">
        <f>IF(OR(TabellaA1[[#This Row],[LUN]]="X",TabellaA1[[#This Row],[MAR]]="X",TabellaA1[[#This Row],[MER]]="X",TabellaA1[[#This Row],[GIO]]="X",TabellaA1[[#This Row],[VEN]]="X",),"X","")</f>
        <v/>
      </c>
      <c r="D266" s="113" t="inlineStr">
        <is>
          <t>AREA 1</t>
        </is>
      </c>
      <c r="E266" s="109" t="inlineStr">
        <is>
          <t>529218/C</t>
        </is>
      </c>
      <c r="F266" s="109" t="n">
        <v>400</v>
      </c>
      <c r="G266" s="109" t="inlineStr">
        <is>
          <t>400 - L612AR (D403) RIPRISTINO MISURA DI LIVELLO METTERE I MOS PRIMA DI INIZIARE ATTIVITA</t>
        </is>
      </c>
      <c r="H266" s="111" t="n"/>
      <c r="I266" s="111" t="n"/>
      <c r="J266" s="111" t="n"/>
      <c r="K266" s="111" t="n"/>
      <c r="L266" s="111" t="n"/>
      <c r="M266" s="110" t="inlineStr">
        <is>
          <t>INTERROTTO</t>
        </is>
      </c>
      <c r="N266" s="110" t="n"/>
      <c r="O266" s="168" t="n"/>
      <c r="P266" s="168" t="n"/>
      <c r="Q266" s="110" t="inlineStr">
        <is>
          <t>ATTESA RICAMBIO TESTINA FOXBORO</t>
        </is>
      </c>
      <c r="R266" s="110" t="n">
        <v>45722</v>
      </c>
      <c r="S266" s="110" t="inlineStr">
        <is>
          <t>SPINALI/SERRA</t>
        </is>
      </c>
      <c r="T266" s="112">
        <f>IF(AND('Inserimento dati'!$B$3=$H$2, TabellaA1[[#This Row],[LUN]]="X"), "X",IF(AND('Inserimento dati'!$B$3=$I$2, TabellaA1[[#This Row],[MAR]]="X"), "X", IF(AND('Inserimento dati'!$B$3=$J$2, TabellaA1[[#This Row],[MER]]="X"), "X",IF(AND('Inserimento dati'!$B$3=$K$2, TabellaA1[[#This Row],[GIO]]="X"), "X", IF(AND('Inserimento dati'!$B$3=$L$2, TabellaA1[[#This Row],[VEN]]="X"), "X","")))))</f>
        <v/>
      </c>
      <c r="U266" s="137">
        <f>IFERROR(MID(G266,_xlfn.AGGREGATE(15,6,(ROW(INDIRECT("1:"&amp;LEN(G266)-7)))/(ISNUMBER(--MID(G266,ROW(INDIRECT("1:"&amp;LEN(G266)-7)),8))),1),8),"")</f>
        <v/>
      </c>
      <c r="V266" t="inlineStr">
        <is>
          <t>2025-09-30 20:00:00</t>
        </is>
      </c>
    </row>
    <row r="267" ht="30" customHeight="1" s="122">
      <c r="A267" s="112" t="n"/>
      <c r="B267" s="112">
        <f>IF(OR(A267="x",A267="X"),"",IF(ISBLANK(A267),"X",""))</f>
        <v/>
      </c>
      <c r="C267" s="112">
        <f>IF(OR(TabellaA1[[#This Row],[LUN]]="X",TabellaA1[[#This Row],[MAR]]="X",TabellaA1[[#This Row],[MER]]="X",TabellaA1[[#This Row],[GIO]]="X",TabellaA1[[#This Row],[VEN]]="X",),"X","")</f>
        <v/>
      </c>
      <c r="D267" s="113" t="inlineStr">
        <is>
          <t>AREA 1</t>
        </is>
      </c>
      <c r="E267" s="109" t="inlineStr">
        <is>
          <t>527046/C</t>
        </is>
      </c>
      <c r="F267" s="109" t="n">
        <v>100</v>
      </c>
      <c r="G267" s="109" t="inlineStr">
        <is>
          <t>100 - 100F593RC (GAS DA D505 A F101)RIPRISTINO MISURA PORTATA (PIANO RIPRISTINI ALLARMI ATTIVI)</t>
        </is>
      </c>
      <c r="H267" s="111" t="n"/>
      <c r="I267" s="111" t="n"/>
      <c r="J267" s="111" t="n"/>
      <c r="K267" s="111" t="n"/>
      <c r="L267" s="111" t="n"/>
      <c r="M267" s="110" t="inlineStr">
        <is>
          <t>INTERROTTO</t>
        </is>
      </c>
      <c r="N267" s="110" t="n"/>
      <c r="O267" s="168" t="n"/>
      <c r="P267" s="168" t="n"/>
      <c r="Q267" s="110" t="inlineStr">
        <is>
          <t>TROVATO INTERCETTATO, BARRIERA SPENTA. DA PREVEDERE UN RIFACIMENTO TOTALE DOPO OK DEL TCL.</t>
        </is>
      </c>
      <c r="R267" s="110" t="n">
        <v>45714</v>
      </c>
      <c r="S267" s="110" t="inlineStr">
        <is>
          <t>SPINALI/SERRA</t>
        </is>
      </c>
      <c r="T267" s="116">
        <f>IF(AND('Inserimento dati'!$B$3=$H$2, TabellaA1[[#This Row],[LUN]]="X"), "X",IF(AND('Inserimento dati'!$B$3=$I$2, TabellaA1[[#This Row],[MAR]]="X"), "X", IF(AND('Inserimento dati'!$B$3=$J$2, TabellaA1[[#This Row],[MER]]="X"), "X",IF(AND('Inserimento dati'!$B$3=$K$2, TabellaA1[[#This Row],[GIO]]="X"), "X", IF(AND('Inserimento dati'!$B$3=$L$2, TabellaA1[[#This Row],[VEN]]="X"), "X","")))))</f>
        <v/>
      </c>
      <c r="U267" s="137">
        <f>IFERROR(MID(G267,_xlfn.AGGREGATE(15,6,(ROW(INDIRECT("1:"&amp;LEN(G267)-7)))/(ISNUMBER(--MID(G267,ROW(INDIRECT("1:"&amp;LEN(G267)-7)),8))),1),8),"")</f>
        <v/>
      </c>
      <c r="V267" t="inlineStr">
        <is>
          <t>2025-09-30 20:00:00</t>
        </is>
      </c>
    </row>
    <row r="268" ht="30" customHeight="1" s="122">
      <c r="A268" s="112" t="n"/>
      <c r="B268" s="112">
        <f>IF(OR(A268="x",A268="X"),"",IF(ISBLANK(A268),"X",""))</f>
        <v/>
      </c>
      <c r="C268" s="112">
        <f>IF(OR(TabellaA1[[#This Row],[LUN]]="X",TabellaA1[[#This Row],[MAR]]="X",TabellaA1[[#This Row],[MER]]="X",TabellaA1[[#This Row],[GIO]]="X",TabellaA1[[#This Row],[VEN]]="X",),"X","")</f>
        <v/>
      </c>
      <c r="D268" s="113" t="inlineStr">
        <is>
          <t>AREA 1</t>
        </is>
      </c>
      <c r="E268" s="109" t="inlineStr">
        <is>
          <t>522595/C</t>
        </is>
      </c>
      <c r="F268" s="109" t="n">
        <v>200</v>
      </c>
      <c r="G268" s="109" t="inlineStr">
        <is>
          <t>200A F353R(GAS SPORCO DA D302 A T301)RIPRISTINO MISURA PORTATA IN BAD</t>
        </is>
      </c>
      <c r="H268" s="111" t="n"/>
      <c r="I268" s="111" t="n"/>
      <c r="J268" s="111" t="n"/>
      <c r="K268" s="111" t="n"/>
      <c r="L268" s="111" t="n"/>
      <c r="M268" s="109" t="inlineStr">
        <is>
          <t>INTERROTTO</t>
        </is>
      </c>
      <c r="N268" s="109" t="n"/>
      <c r="O268" s="113" t="inlineStr">
        <is>
          <t>X</t>
        </is>
      </c>
      <c r="P268" s="113" t="n"/>
      <c r="Q268" s="109" t="inlineStr">
        <is>
          <t>SOSTITUITA BARRIERA DA REALIZZARE PONTEGGIO PER CONTROLLO STRUMENTO.</t>
        </is>
      </c>
      <c r="R268" s="110" t="n">
        <v>45680</v>
      </c>
      <c r="S268" s="110" t="inlineStr">
        <is>
          <t>TARASCIO/PARTESANO</t>
        </is>
      </c>
      <c r="T268" s="112">
        <f>IF(AND('Inserimento dati'!$B$3=$H$2, TabellaA1[[#This Row],[LUN]]="X"), "X",IF(AND('Inserimento dati'!$B$3=$I$2, TabellaA1[[#This Row],[MAR]]="X"), "X", IF(AND('Inserimento dati'!$B$3=$J$2, TabellaA1[[#This Row],[MER]]="X"), "X",IF(AND('Inserimento dati'!$B$3=$K$2, TabellaA1[[#This Row],[GIO]]="X"), "X", IF(AND('Inserimento dati'!$B$3=$L$2, TabellaA1[[#This Row],[VEN]]="X"), "X","")))))</f>
        <v/>
      </c>
      <c r="U268" s="137">
        <f>IFERROR(MID(G268,_xlfn.AGGREGATE(15,6,(ROW(INDIRECT("1:"&amp;LEN(G268)-7)))/(ISNUMBER(--MID(G268,ROW(INDIRECT("1:"&amp;LEN(G268)-7)),8))),1),8),"")</f>
        <v/>
      </c>
      <c r="V268" t="inlineStr">
        <is>
          <t>2025-09-30 20:00:00</t>
        </is>
      </c>
    </row>
    <row r="269" ht="45" customHeight="1" s="122">
      <c r="A269" s="112" t="n"/>
      <c r="B269" s="112">
        <f>IF(OR(A269="x",A269="X"),"",IF(ISBLANK(A269),"X",""))</f>
        <v/>
      </c>
      <c r="C269" s="112">
        <f>IF(OR(TabellaA1[[#This Row],[LUN]]="X",TabellaA1[[#This Row],[MAR]]="X",TabellaA1[[#This Row],[MER]]="X",TabellaA1[[#This Row],[GIO]]="X",TabellaA1[[#This Row],[VEN]]="X",),"X","")</f>
        <v/>
      </c>
      <c r="D269" s="113" t="inlineStr">
        <is>
          <t>AREA 1</t>
        </is>
      </c>
      <c r="E269" s="109" t="inlineStr">
        <is>
          <t>520325/C</t>
        </is>
      </c>
      <c r="F269" s="109" t="n">
        <v>200</v>
      </c>
      <c r="G269" s="109" t="inlineStr">
        <is>
          <t>200F211R CONTROLLO DI TARATURA E RIPRISTINO FUNZIONALITA'</t>
        </is>
      </c>
      <c r="H269" s="111" t="n"/>
      <c r="I269" s="111" t="n"/>
      <c r="J269" s="111" t="n"/>
      <c r="K269" s="111" t="n"/>
      <c r="L269" s="111" t="n"/>
      <c r="M269" s="109" t="inlineStr">
        <is>
          <t>INTERROTTO</t>
        </is>
      </c>
      <c r="N269" s="109" t="n"/>
      <c r="O269" s="113" t="inlineStr">
        <is>
          <t>X</t>
        </is>
      </c>
      <c r="P269" s="113" t="n"/>
      <c r="Q269" s="109" t="inlineStr">
        <is>
          <t>PRIMARI BUCATI E VALVOLA DI RADICE CHIUSA. NECESSITA PONTEGGIO (STRUM. NEI PRESSI DI FCV016). DA VERIFICARE BARRIERA.</t>
        </is>
      </c>
      <c r="R269" s="110" t="n">
        <v>45644</v>
      </c>
      <c r="S269" s="110" t="inlineStr">
        <is>
          <t>RICIPUTO</t>
        </is>
      </c>
      <c r="T269" s="112">
        <f>IF(AND('Inserimento dati'!$B$3=$H$2, TabellaA1[[#This Row],[LUN]]="X"), "X",IF(AND('Inserimento dati'!$B$3=$I$2, TabellaA1[[#This Row],[MAR]]="X"), "X", IF(AND('Inserimento dati'!$B$3=$J$2, TabellaA1[[#This Row],[MER]]="X"), "X",IF(AND('Inserimento dati'!$B$3=$K$2, TabellaA1[[#This Row],[GIO]]="X"), "X", IF(AND('Inserimento dati'!$B$3=$L$2, TabellaA1[[#This Row],[VEN]]="X"), "X","")))))</f>
        <v/>
      </c>
      <c r="U269" s="137">
        <f>IFERROR(MID(G269,_xlfn.AGGREGATE(15,6,(ROW(INDIRECT("1:"&amp;LEN(G269)-7)))/(ISNUMBER(--MID(G269,ROW(INDIRECT("1:"&amp;LEN(G269)-7)),8))),1),8),"")</f>
        <v/>
      </c>
      <c r="V269" t="inlineStr">
        <is>
          <t>2025-09-30 20:00:00</t>
        </is>
      </c>
    </row>
    <row r="270" ht="30" customFormat="1" customHeight="1" s="5">
      <c r="A270" s="112" t="n"/>
      <c r="B270" s="112" t="n"/>
      <c r="C270" s="112">
        <f>IF(OR(TabellaA1[[#This Row],[LUN]]="X",TabellaA1[[#This Row],[MAR]]="X",TabellaA1[[#This Row],[MER]]="X",TabellaA1[[#This Row],[GIO]]="X",TabellaA1[[#This Row],[VEN]]="X",),"X","")</f>
        <v/>
      </c>
      <c r="D270" s="113" t="inlineStr">
        <is>
          <t>AREA 1</t>
        </is>
      </c>
      <c r="E270" s="109" t="inlineStr">
        <is>
          <t>552792/C</t>
        </is>
      </c>
      <c r="F270" s="109" t="n">
        <v>400</v>
      </c>
      <c r="G270" s="109" t="inlineStr">
        <is>
          <t>400C101A CONTROLLO PARZIALIZZAZIONE STRUMENTALE E SOSTITUZIONE TUBING DI ACCIAIO OLIO DI LUBRIFICAZIONE</t>
        </is>
      </c>
      <c r="H270" s="111" t="inlineStr">
        <is>
          <t>X</t>
        </is>
      </c>
      <c r="I270" s="111" t="inlineStr">
        <is>
          <t>X</t>
        </is>
      </c>
      <c r="J270" s="111" t="n"/>
      <c r="K270" s="111" t="n"/>
      <c r="L270" s="111" t="n"/>
      <c r="M270" s="109" t="inlineStr">
        <is>
          <t>RICHIESTO</t>
        </is>
      </c>
      <c r="N270" s="110" t="n"/>
      <c r="O270" s="168" t="n"/>
      <c r="P270" s="168" t="n"/>
      <c r="Q270" s="110" t="n"/>
      <c r="R270" s="110" t="n"/>
      <c r="S270" s="110" t="n"/>
      <c r="T270" s="114">
        <f>IF(AND('Inserimento dati'!$B$3=$H$2, TabellaA1[[#This Row],[LUN]]="X"), "X",IF(AND('Inserimento dati'!$B$3=$I$2, TabellaA1[[#This Row],[MAR]]="X"), "X", IF(AND('Inserimento dati'!$B$3=$J$2, TabellaA1[[#This Row],[MER]]="X"), "X",IF(AND('Inserimento dati'!$B$3=$K$2, TabellaA1[[#This Row],[GIO]]="X"), "X", IF(AND('Inserimento dati'!$B$3=$L$2, TabellaA1[[#This Row],[VEN]]="X"), "X","")))))</f>
        <v/>
      </c>
      <c r="U270" s="152" t="n"/>
      <c r="V270" t="inlineStr">
        <is>
          <t>2025-09-30 20:00:00</t>
        </is>
      </c>
    </row>
    <row r="271" ht="60" customHeight="1" s="122">
      <c r="A271" s="112" t="n"/>
      <c r="B271" s="112" t="n"/>
      <c r="C271" s="112">
        <f>IF(OR(TabellaA1[[#This Row],[LUN]]="X",TabellaA1[[#This Row],[MAR]]="X",TabellaA1[[#This Row],[MER]]="X",TabellaA1[[#This Row],[GIO]]="X",TabellaA1[[#This Row],[VEN]]="X",),"X","")</f>
        <v/>
      </c>
      <c r="D271" s="113" t="inlineStr">
        <is>
          <t>AREA 1</t>
        </is>
      </c>
      <c r="E271" s="109" t="inlineStr">
        <is>
          <t>552675/C</t>
        </is>
      </c>
      <c r="F271" s="109" t="n">
        <v>100</v>
      </c>
      <c r="G271" s="109" t="inlineStr">
        <is>
          <t>100F024RC(RESIDUO A U600)CONTROLLO E TARATURA STRUMENTO DI PORTATA</t>
        </is>
      </c>
      <c r="H271" s="111" t="n"/>
      <c r="I271" s="111" t="n"/>
      <c r="J271" s="111" t="n"/>
      <c r="K271" s="111" t="n"/>
      <c r="L271" s="111" t="n"/>
      <c r="M271" s="109" t="inlineStr">
        <is>
          <t>TERMINATA</t>
        </is>
      </c>
      <c r="N271" s="110" t="n"/>
      <c r="O271" s="168" t="n"/>
      <c r="P271" s="168" t="n"/>
      <c r="Q271" s="110" t="inlineStr">
        <is>
          <t xml:space="preserve">Attrezzatura: Strumento di Misura
- **Tipo_misura:** Portata
- **Azione_eseguita:** Taratura / Calibrazione
Regolati flussaggi e ripristinata traccia di vapore. </t>
        </is>
      </c>
      <c r="R271" s="110" t="n"/>
      <c r="S271" s="110" t="inlineStr">
        <is>
          <t>SPINALI</t>
        </is>
      </c>
      <c r="T271" s="114">
        <f>IF(AND('Inserimento dati'!$B$3=$H$2, TabellaA1[[#This Row],[LUN]]="X"), "X",IF(AND('Inserimento dati'!$B$3=$I$2, TabellaA1[[#This Row],[MAR]]="X"), "X", IF(AND('Inserimento dati'!$B$3=$J$2, TabellaA1[[#This Row],[MER]]="X"), "X",IF(AND('Inserimento dati'!$B$3=$K$2, TabellaA1[[#This Row],[GIO]]="X"), "X", IF(AND('Inserimento dati'!$B$3=$L$2, TabellaA1[[#This Row],[VEN]]="X"), "X","")))))</f>
        <v/>
      </c>
      <c r="U271" s="152" t="n"/>
      <c r="V271" t="inlineStr">
        <is>
          <t>2025-09-30 20:00:00</t>
        </is>
      </c>
    </row>
  </sheetData>
  <mergeCells count="2">
    <mergeCell ref="A1:D1"/>
    <mergeCell ref="N2:P2"/>
  </mergeCells>
  <conditionalFormatting sqref="E114:G271 M114:S257 M267:S271">
    <cfRule type="expression" priority="1927" dxfId="60">
      <formula>SEARCH("IN CORSO",$M114)&gt;0</formula>
    </cfRule>
    <cfRule type="expression" priority="1928" dxfId="59">
      <formula>SEARCH("CHIUSO",$M114)&gt;0</formula>
    </cfRule>
    <cfRule type="expression" priority="1929" dxfId="58">
      <formula>SEARCH("EMESSO",$M114)&gt;0</formula>
    </cfRule>
    <cfRule type="expression" priority="1930" dxfId="57">
      <formula>SEARCH("RICHIESTO",$M114)&gt;0</formula>
    </cfRule>
    <cfRule type="expression" priority="1931" dxfId="56">
      <formula>SEARCH("DA CHIUDERE",$M114)&gt;0</formula>
    </cfRule>
    <cfRule type="expression" priority="1932" dxfId="55">
      <formula>SEARCH("INTERROTTO",$M114)&gt;0</formula>
    </cfRule>
  </conditionalFormatting>
  <conditionalFormatting sqref="E113:G113 M113:S113">
    <cfRule type="expression" priority="1921" dxfId="60">
      <formula>SEARCH("IN CORSO",$M113)&gt;0</formula>
    </cfRule>
    <cfRule type="expression" priority="1922" dxfId="59">
      <formula>SEARCH("CHIUSO",$M113)&gt;0</formula>
    </cfRule>
    <cfRule type="expression" priority="1923" dxfId="58">
      <formula>SEARCH("EMESSO",$M113)&gt;0</formula>
    </cfRule>
    <cfRule type="expression" priority="1924" dxfId="57">
      <formula>SEARCH("RICHIESTO",$M113)&gt;0</formula>
    </cfRule>
    <cfRule type="expression" priority="1925" dxfId="56">
      <formula>SEARCH("DA CHIUDERE",$M113)&gt;0</formula>
    </cfRule>
    <cfRule type="expression" priority="1926" dxfId="55">
      <formula>SEARCH("INTERROTTO",$M113)&gt;0</formula>
    </cfRule>
  </conditionalFormatting>
  <conditionalFormatting sqref="E112:G112 M112:S112">
    <cfRule type="expression" priority="1915" dxfId="60">
      <formula>SEARCH("IN CORSO",$M112)&gt;0</formula>
    </cfRule>
    <cfRule type="expression" priority="1916" dxfId="59">
      <formula>SEARCH("CHIUSO",$M112)&gt;0</formula>
    </cfRule>
    <cfRule type="expression" priority="1917" dxfId="58">
      <formula>SEARCH("EMESSO",$M112)&gt;0</formula>
    </cfRule>
    <cfRule type="expression" priority="1918" dxfId="57">
      <formula>SEARCH("RICHIESTO",$M112)&gt;0</formula>
    </cfRule>
    <cfRule type="expression" priority="1919" dxfId="56">
      <formula>SEARCH("DA CHIUDERE",$M112)&gt;0</formula>
    </cfRule>
    <cfRule type="expression" priority="1920" dxfId="55">
      <formula>SEARCH("INTERROTTO",$M112)&gt;0</formula>
    </cfRule>
  </conditionalFormatting>
  <conditionalFormatting sqref="M258 M265">
    <cfRule type="expression" priority="1909" dxfId="60">
      <formula>SEARCH("IN CORSO",$M258)&gt;0</formula>
    </cfRule>
    <cfRule type="expression" priority="1910" dxfId="59">
      <formula>SEARCH("CHIUSO",$M258)&gt;0</formula>
    </cfRule>
    <cfRule type="expression" priority="1911" dxfId="58">
      <formula>SEARCH("EMESSO",$M258)&gt;0</formula>
    </cfRule>
    <cfRule type="expression" priority="1912" dxfId="57">
      <formula>SEARCH("RICHIESTO",$M258)&gt;0</formula>
    </cfRule>
    <cfRule type="expression" priority="1913" dxfId="56">
      <formula>SEARCH("DA CHIUDERE",$M258)&gt;0</formula>
    </cfRule>
    <cfRule type="expression" priority="1914" dxfId="55">
      <formula>SEARCH("INTERROTTO",$M258)&gt;0</formula>
    </cfRule>
  </conditionalFormatting>
  <conditionalFormatting sqref="E111:G111 M111:S111">
    <cfRule type="expression" priority="1903" dxfId="60">
      <formula>SEARCH("IN CORSO",$M111)&gt;0</formula>
    </cfRule>
    <cfRule type="expression" priority="1904" dxfId="59">
      <formula>SEARCH("CHIUSO",$M111)&gt;0</formula>
    </cfRule>
    <cfRule type="expression" priority="1905" dxfId="58">
      <formula>SEARCH("EMESSO",$M111)&gt;0</formula>
    </cfRule>
    <cfRule type="expression" priority="1906" dxfId="57">
      <formula>SEARCH("RICHIESTO",$M111)&gt;0</formula>
    </cfRule>
    <cfRule type="expression" priority="1907" dxfId="56">
      <formula>SEARCH("DA CHIUDERE",$M111)&gt;0</formula>
    </cfRule>
    <cfRule type="expression" priority="1908" dxfId="55">
      <formula>SEARCH("INTERROTTO",$M111)&gt;0</formula>
    </cfRule>
  </conditionalFormatting>
  <conditionalFormatting sqref="E110:G110 N110:S110">
    <cfRule type="expression" priority="1897" dxfId="60">
      <formula>SEARCH("IN CORSO",$M110)&gt;0</formula>
    </cfRule>
    <cfRule type="expression" priority="1898" dxfId="59">
      <formula>SEARCH("CHIUSO",$M110)&gt;0</formula>
    </cfRule>
    <cfRule type="expression" priority="1899" dxfId="58">
      <formula>SEARCH("EMESSO",$M110)&gt;0</formula>
    </cfRule>
    <cfRule type="expression" priority="1900" dxfId="57">
      <formula>SEARCH("RICHIESTO",$M110)&gt;0</formula>
    </cfRule>
    <cfRule type="expression" priority="1901" dxfId="56">
      <formula>SEARCH("DA CHIUDERE",$M110)&gt;0</formula>
    </cfRule>
    <cfRule type="expression" priority="1902" dxfId="55">
      <formula>SEARCH("INTERROTTO",$M110)&gt;0</formula>
    </cfRule>
  </conditionalFormatting>
  <conditionalFormatting sqref="E109:G109 M109:S109">
    <cfRule type="expression" priority="1891" dxfId="60">
      <formula>SEARCH("IN CORSO",$M109)&gt;0</formula>
    </cfRule>
    <cfRule type="expression" priority="1892" dxfId="59">
      <formula>SEARCH("CHIUSO",$M109)&gt;0</formula>
    </cfRule>
    <cfRule type="expression" priority="1893" dxfId="58">
      <formula>SEARCH("EMESSO",$M109)&gt;0</formula>
    </cfRule>
    <cfRule type="expression" priority="1894" dxfId="57">
      <formula>SEARCH("RICHIESTO",$M109)&gt;0</formula>
    </cfRule>
    <cfRule type="expression" priority="1895" dxfId="56">
      <formula>SEARCH("DA CHIUDERE",$M109)&gt;0</formula>
    </cfRule>
    <cfRule type="expression" priority="1896" dxfId="55">
      <formula>SEARCH("INTERROTTO",$M109)&gt;0</formula>
    </cfRule>
  </conditionalFormatting>
  <conditionalFormatting sqref="M110">
    <cfRule type="expression" priority="1885" dxfId="60">
      <formula>SEARCH("IN CORSO",$M110)&gt;0</formula>
    </cfRule>
    <cfRule type="expression" priority="1886" dxfId="59">
      <formula>SEARCH("CHIUSO",$M110)&gt;0</formula>
    </cfRule>
    <cfRule type="expression" priority="1887" dxfId="58">
      <formula>SEARCH("EMESSO",$M110)&gt;0</formula>
    </cfRule>
    <cfRule type="expression" priority="1888" dxfId="57">
      <formula>SEARCH("RICHIESTO",$M110)&gt;0</formula>
    </cfRule>
    <cfRule type="expression" priority="1889" dxfId="56">
      <formula>SEARCH("DA CHIUDERE",$M110)&gt;0</formula>
    </cfRule>
    <cfRule type="expression" priority="1890" dxfId="55">
      <formula>SEARCH("INTERROTTO",$M110)&gt;0</formula>
    </cfRule>
  </conditionalFormatting>
  <conditionalFormatting sqref="E108:G108 M108:S108">
    <cfRule type="expression" priority="1879" dxfId="60">
      <formula>SEARCH("IN CORSO",$M108)&gt;0</formula>
    </cfRule>
    <cfRule type="expression" priority="1880" dxfId="59">
      <formula>SEARCH("CHIUSO",$M108)&gt;0</formula>
    </cfRule>
    <cfRule type="expression" priority="1881" dxfId="58">
      <formula>SEARCH("EMESSO",$M108)&gt;0</formula>
    </cfRule>
    <cfRule type="expression" priority="1882" dxfId="57">
      <formula>SEARCH("RICHIESTO",$M108)&gt;0</formula>
    </cfRule>
    <cfRule type="expression" priority="1883" dxfId="56">
      <formula>SEARCH("DA CHIUDERE",$M108)&gt;0</formula>
    </cfRule>
    <cfRule type="expression" priority="1884" dxfId="55">
      <formula>SEARCH("INTERROTTO",$M108)&gt;0</formula>
    </cfRule>
  </conditionalFormatting>
  <conditionalFormatting sqref="E107:G107 M107:Q107">
    <cfRule type="expression" priority="1873" dxfId="60">
      <formula>SEARCH("IN CORSO",$M107)&gt;0</formula>
    </cfRule>
    <cfRule type="expression" priority="1874" dxfId="59">
      <formula>SEARCH("CHIUSO",$M107)&gt;0</formula>
    </cfRule>
    <cfRule type="expression" priority="1875" dxfId="58">
      <formula>SEARCH("EMESSO",$M107)&gt;0</formula>
    </cfRule>
    <cfRule type="expression" priority="1876" dxfId="57">
      <formula>SEARCH("RICHIESTO",$M107)&gt;0</formula>
    </cfRule>
    <cfRule type="expression" priority="1877" dxfId="56">
      <formula>SEARCH("DA CHIUDERE",$M107)&gt;0</formula>
    </cfRule>
    <cfRule type="expression" priority="1878" dxfId="55">
      <formula>SEARCH("INTERROTTO",$M107)&gt;0</formula>
    </cfRule>
  </conditionalFormatting>
  <conditionalFormatting sqref="M266">
    <cfRule type="expression" priority="1861" dxfId="60">
      <formula>SEARCH("IN CORSO",$M266)&gt;0</formula>
    </cfRule>
    <cfRule type="expression" priority="1862" dxfId="59">
      <formula>SEARCH("CHIUSO",$M266)&gt;0</formula>
    </cfRule>
    <cfRule type="expression" priority="1863" dxfId="58">
      <formula>SEARCH("EMESSO",$M266)&gt;0</formula>
    </cfRule>
    <cfRule type="expression" priority="1864" dxfId="57">
      <formula>SEARCH("RICHIESTO",$M266)&gt;0</formula>
    </cfRule>
    <cfRule type="expression" priority="1865" dxfId="56">
      <formula>SEARCH("DA CHIUDERE",$M266)&gt;0</formula>
    </cfRule>
    <cfRule type="expression" priority="1866" dxfId="55">
      <formula>SEARCH("INTERROTTO",$M266)&gt;0</formula>
    </cfRule>
  </conditionalFormatting>
  <conditionalFormatting sqref="E106:G106 M106:Q106">
    <cfRule type="expression" priority="1855" dxfId="60">
      <formula>SEARCH("IN CORSO",$M106)&gt;0</formula>
    </cfRule>
    <cfRule type="expression" priority="1856" dxfId="59">
      <formula>SEARCH("CHIUSO",$M106)&gt;0</formula>
    </cfRule>
    <cfRule type="expression" priority="1857" dxfId="58">
      <formula>SEARCH("EMESSO",$M106)&gt;0</formula>
    </cfRule>
    <cfRule type="expression" priority="1858" dxfId="57">
      <formula>SEARCH("RICHIESTO",$M106)&gt;0</formula>
    </cfRule>
    <cfRule type="expression" priority="1859" dxfId="56">
      <formula>SEARCH("DA CHIUDERE",$M106)&gt;0</formula>
    </cfRule>
    <cfRule type="expression" priority="1860" dxfId="55">
      <formula>SEARCH("INTERROTTO",$M106)&gt;0</formula>
    </cfRule>
  </conditionalFormatting>
  <conditionalFormatting sqref="R106:S106">
    <cfRule type="expression" priority="1849" dxfId="60">
      <formula>SEARCH("IN CORSO",$M106)&gt;0</formula>
    </cfRule>
    <cfRule type="expression" priority="1850" dxfId="59">
      <formula>SEARCH("CHIUSO",$M106)&gt;0</formula>
    </cfRule>
    <cfRule type="expression" priority="1851" dxfId="58">
      <formula>SEARCH("EMESSO",$M106)&gt;0</formula>
    </cfRule>
    <cfRule type="expression" priority="1852" dxfId="57">
      <formula>SEARCH("RICHIESTO",$M106)&gt;0</formula>
    </cfRule>
    <cfRule type="expression" priority="1853" dxfId="56">
      <formula>SEARCH("DA CHIUDERE",$M106)&gt;0</formula>
    </cfRule>
    <cfRule type="expression" priority="1854" dxfId="55">
      <formula>SEARCH("INTERROTTO",$M106)&gt;0</formula>
    </cfRule>
  </conditionalFormatting>
  <conditionalFormatting sqref="E105:G105 M105:Q105">
    <cfRule type="expression" priority="1843" dxfId="60">
      <formula>SEARCH("IN CORSO",$M105)&gt;0</formula>
    </cfRule>
    <cfRule type="expression" priority="1844" dxfId="59">
      <formula>SEARCH("CHIUSO",$M105)&gt;0</formula>
    </cfRule>
    <cfRule type="expression" priority="1845" dxfId="58">
      <formula>SEARCH("EMESSO",$M105)&gt;0</formula>
    </cfRule>
    <cfRule type="expression" priority="1846" dxfId="57">
      <formula>SEARCH("RICHIESTO",$M105)&gt;0</formula>
    </cfRule>
    <cfRule type="expression" priority="1847" dxfId="56">
      <formula>SEARCH("DA CHIUDERE",$M105)&gt;0</formula>
    </cfRule>
    <cfRule type="expression" priority="1848" dxfId="55">
      <formula>SEARCH("INTERROTTO",$M105)&gt;0</formula>
    </cfRule>
  </conditionalFormatting>
  <conditionalFormatting sqref="R105:S105">
    <cfRule type="expression" priority="1837" dxfId="60">
      <formula>SEARCH("IN CORSO",$M105)&gt;0</formula>
    </cfRule>
    <cfRule type="expression" priority="1838" dxfId="59">
      <formula>SEARCH("CHIUSO",$M105)&gt;0</formula>
    </cfRule>
    <cfRule type="expression" priority="1839" dxfId="58">
      <formula>SEARCH("EMESSO",$M105)&gt;0</formula>
    </cfRule>
    <cfRule type="expression" priority="1840" dxfId="57">
      <formula>SEARCH("RICHIESTO",$M105)&gt;0</formula>
    </cfRule>
    <cfRule type="expression" priority="1841" dxfId="56">
      <formula>SEARCH("DA CHIUDERE",$M105)&gt;0</formula>
    </cfRule>
    <cfRule type="expression" priority="1842" dxfId="55">
      <formula>SEARCH("INTERROTTO",$M105)&gt;0</formula>
    </cfRule>
  </conditionalFormatting>
  <conditionalFormatting sqref="E103:G103 N103:Q103">
    <cfRule type="expression" priority="1813" dxfId="60">
      <formula>SEARCH("IN CORSO",$M103)&gt;0</formula>
    </cfRule>
    <cfRule type="expression" priority="1814" dxfId="59">
      <formula>SEARCH("CHIUSO",$M103)&gt;0</formula>
    </cfRule>
    <cfRule type="expression" priority="1815" dxfId="58">
      <formula>SEARCH("EMESSO",$M103)&gt;0</formula>
    </cfRule>
    <cfRule type="expression" priority="1816" dxfId="57">
      <formula>SEARCH("RICHIESTO",$M103)&gt;0</formula>
    </cfRule>
    <cfRule type="expression" priority="1817" dxfId="56">
      <formula>SEARCH("DA CHIUDERE",$M103)&gt;0</formula>
    </cfRule>
    <cfRule type="expression" priority="1818" dxfId="55">
      <formula>SEARCH("INTERROTTO",$M103)&gt;0</formula>
    </cfRule>
  </conditionalFormatting>
  <conditionalFormatting sqref="R103:S103">
    <cfRule type="expression" priority="1807" dxfId="60">
      <formula>SEARCH("IN CORSO",$M103)&gt;0</formula>
    </cfRule>
    <cfRule type="expression" priority="1808" dxfId="59">
      <formula>SEARCH("CHIUSO",$M103)&gt;0</formula>
    </cfRule>
    <cfRule type="expression" priority="1809" dxfId="58">
      <formula>SEARCH("EMESSO",$M103)&gt;0</formula>
    </cfRule>
    <cfRule type="expression" priority="1810" dxfId="57">
      <formula>SEARCH("RICHIESTO",$M103)&gt;0</formula>
    </cfRule>
    <cfRule type="expression" priority="1811" dxfId="56">
      <formula>SEARCH("DA CHIUDERE",$M103)&gt;0</formula>
    </cfRule>
    <cfRule type="expression" priority="1812" dxfId="55">
      <formula>SEARCH("INTERROTTO",$M103)&gt;0</formula>
    </cfRule>
  </conditionalFormatting>
  <conditionalFormatting sqref="M103">
    <cfRule type="expression" priority="1801" dxfId="60">
      <formula>SEARCH("IN CORSO",$M103)&gt;0</formula>
    </cfRule>
    <cfRule type="expression" priority="1802" dxfId="59">
      <formula>SEARCH("CHIUSO",$M103)&gt;0</formula>
    </cfRule>
    <cfRule type="expression" priority="1803" dxfId="58">
      <formula>SEARCH("EMESSO",$M103)&gt;0</formula>
    </cfRule>
    <cfRule type="expression" priority="1804" dxfId="57">
      <formula>SEARCH("RICHIESTO",$M103)&gt;0</formula>
    </cfRule>
    <cfRule type="expression" priority="1805" dxfId="56">
      <formula>SEARCH("DA CHIUDERE",$M103)&gt;0</formula>
    </cfRule>
    <cfRule type="expression" priority="1806" dxfId="55">
      <formula>SEARCH("INTERROTTO",$M103)&gt;0</formula>
    </cfRule>
  </conditionalFormatting>
  <conditionalFormatting sqref="E102:G102 N102:Q102">
    <cfRule type="expression" priority="1795" dxfId="60">
      <formula>SEARCH("IN CORSO",$M102)&gt;0</formula>
    </cfRule>
    <cfRule type="expression" priority="1796" dxfId="59">
      <formula>SEARCH("CHIUSO",$M102)&gt;0</formula>
    </cfRule>
    <cfRule type="expression" priority="1797" dxfId="58">
      <formula>SEARCH("EMESSO",$M102)&gt;0</formula>
    </cfRule>
    <cfRule type="expression" priority="1798" dxfId="57">
      <formula>SEARCH("RICHIESTO",$M102)&gt;0</formula>
    </cfRule>
    <cfRule type="expression" priority="1799" dxfId="56">
      <formula>SEARCH("DA CHIUDERE",$M102)&gt;0</formula>
    </cfRule>
    <cfRule type="expression" priority="1800" dxfId="55">
      <formula>SEARCH("INTERROTTO",$M102)&gt;0</formula>
    </cfRule>
  </conditionalFormatting>
  <conditionalFormatting sqref="R102:S102">
    <cfRule type="expression" priority="1789" dxfId="60">
      <formula>SEARCH("IN CORSO",$M102)&gt;0</formula>
    </cfRule>
    <cfRule type="expression" priority="1790" dxfId="59">
      <formula>SEARCH("CHIUSO",$M102)&gt;0</formula>
    </cfRule>
    <cfRule type="expression" priority="1791" dxfId="58">
      <formula>SEARCH("EMESSO",$M102)&gt;0</formula>
    </cfRule>
    <cfRule type="expression" priority="1792" dxfId="57">
      <formula>SEARCH("RICHIESTO",$M102)&gt;0</formula>
    </cfRule>
    <cfRule type="expression" priority="1793" dxfId="56">
      <formula>SEARCH("DA CHIUDERE",$M102)&gt;0</formula>
    </cfRule>
    <cfRule type="expression" priority="1794" dxfId="55">
      <formula>SEARCH("INTERROTTO",$M102)&gt;0</formula>
    </cfRule>
  </conditionalFormatting>
  <conditionalFormatting sqref="M102">
    <cfRule type="expression" priority="1783" dxfId="60">
      <formula>SEARCH("IN CORSO",$M102)&gt;0</formula>
    </cfRule>
    <cfRule type="expression" priority="1784" dxfId="59">
      <formula>SEARCH("CHIUSO",$M102)&gt;0</formula>
    </cfRule>
    <cfRule type="expression" priority="1785" dxfId="58">
      <formula>SEARCH("EMESSO",$M102)&gt;0</formula>
    </cfRule>
    <cfRule type="expression" priority="1786" dxfId="57">
      <formula>SEARCH("RICHIESTO",$M102)&gt;0</formula>
    </cfRule>
    <cfRule type="expression" priority="1787" dxfId="56">
      <formula>SEARCH("DA CHIUDERE",$M102)&gt;0</formula>
    </cfRule>
    <cfRule type="expression" priority="1788" dxfId="55">
      <formula>SEARCH("INTERROTTO",$M102)&gt;0</formula>
    </cfRule>
  </conditionalFormatting>
  <conditionalFormatting sqref="E101:G101 N101:Q101">
    <cfRule type="expression" priority="1777" dxfId="60">
      <formula>SEARCH("IN CORSO",$M101)&gt;0</formula>
    </cfRule>
    <cfRule type="expression" priority="1778" dxfId="59">
      <formula>SEARCH("CHIUSO",$M101)&gt;0</formula>
    </cfRule>
    <cfRule type="expression" priority="1779" dxfId="58">
      <formula>SEARCH("EMESSO",$M101)&gt;0</formula>
    </cfRule>
    <cfRule type="expression" priority="1780" dxfId="57">
      <formula>SEARCH("RICHIESTO",$M101)&gt;0</formula>
    </cfRule>
    <cfRule type="expression" priority="1781" dxfId="56">
      <formula>SEARCH("DA CHIUDERE",$M101)&gt;0</formula>
    </cfRule>
    <cfRule type="expression" priority="1782" dxfId="55">
      <formula>SEARCH("INTERROTTO",$M101)&gt;0</formula>
    </cfRule>
  </conditionalFormatting>
  <conditionalFormatting sqref="R101:S101">
    <cfRule type="expression" priority="1771" dxfId="60">
      <formula>SEARCH("IN CORSO",$M101)&gt;0</formula>
    </cfRule>
    <cfRule type="expression" priority="1772" dxfId="59">
      <formula>SEARCH("CHIUSO",$M101)&gt;0</formula>
    </cfRule>
    <cfRule type="expression" priority="1773" dxfId="58">
      <formula>SEARCH("EMESSO",$M101)&gt;0</formula>
    </cfRule>
    <cfRule type="expression" priority="1774" dxfId="57">
      <formula>SEARCH("RICHIESTO",$M101)&gt;0</formula>
    </cfRule>
    <cfRule type="expression" priority="1775" dxfId="56">
      <formula>SEARCH("DA CHIUDERE",$M101)&gt;0</formula>
    </cfRule>
    <cfRule type="expression" priority="1776" dxfId="55">
      <formula>SEARCH("INTERROTTO",$M101)&gt;0</formula>
    </cfRule>
  </conditionalFormatting>
  <conditionalFormatting sqref="M101">
    <cfRule type="expression" priority="1765" dxfId="60">
      <formula>SEARCH("IN CORSO",$M101)&gt;0</formula>
    </cfRule>
    <cfRule type="expression" priority="1766" dxfId="59">
      <formula>SEARCH("CHIUSO",$M101)&gt;0</formula>
    </cfRule>
    <cfRule type="expression" priority="1767" dxfId="58">
      <formula>SEARCH("EMESSO",$M101)&gt;0</formula>
    </cfRule>
    <cfRule type="expression" priority="1768" dxfId="57">
      <formula>SEARCH("RICHIESTO",$M101)&gt;0</formula>
    </cfRule>
    <cfRule type="expression" priority="1769" dxfId="56">
      <formula>SEARCH("DA CHIUDERE",$M101)&gt;0</formula>
    </cfRule>
    <cfRule type="expression" priority="1770" dxfId="55">
      <formula>SEARCH("INTERROTTO",$M101)&gt;0</formula>
    </cfRule>
  </conditionalFormatting>
  <conditionalFormatting sqref="E100:G100 N100:Q100">
    <cfRule type="expression" priority="1759" dxfId="60">
      <formula>SEARCH("IN CORSO",$M100)&gt;0</formula>
    </cfRule>
    <cfRule type="expression" priority="1760" dxfId="59">
      <formula>SEARCH("CHIUSO",$M100)&gt;0</formula>
    </cfRule>
    <cfRule type="expression" priority="1761" dxfId="58">
      <formula>SEARCH("EMESSO",$M100)&gt;0</formula>
    </cfRule>
    <cfRule type="expression" priority="1762" dxfId="57">
      <formula>SEARCH("RICHIESTO",$M100)&gt;0</formula>
    </cfRule>
    <cfRule type="expression" priority="1763" dxfId="56">
      <formula>SEARCH("DA CHIUDERE",$M100)&gt;0</formula>
    </cfRule>
    <cfRule type="expression" priority="1764" dxfId="55">
      <formula>SEARCH("INTERROTTO",$M100)&gt;0</formula>
    </cfRule>
  </conditionalFormatting>
  <conditionalFormatting sqref="R100:S100">
    <cfRule type="expression" priority="1753" dxfId="60">
      <formula>SEARCH("IN CORSO",$M100)&gt;0</formula>
    </cfRule>
    <cfRule type="expression" priority="1754" dxfId="59">
      <formula>SEARCH("CHIUSO",$M100)&gt;0</formula>
    </cfRule>
    <cfRule type="expression" priority="1755" dxfId="58">
      <formula>SEARCH("EMESSO",$M100)&gt;0</formula>
    </cfRule>
    <cfRule type="expression" priority="1756" dxfId="57">
      <formula>SEARCH("RICHIESTO",$M100)&gt;0</formula>
    </cfRule>
    <cfRule type="expression" priority="1757" dxfId="56">
      <formula>SEARCH("DA CHIUDERE",$M100)&gt;0</formula>
    </cfRule>
    <cfRule type="expression" priority="1758" dxfId="55">
      <formula>SEARCH("INTERROTTO",$M100)&gt;0</formula>
    </cfRule>
  </conditionalFormatting>
  <conditionalFormatting sqref="M100">
    <cfRule type="expression" priority="1747" dxfId="60">
      <formula>SEARCH("IN CORSO",$M100)&gt;0</formula>
    </cfRule>
    <cfRule type="expression" priority="1748" dxfId="59">
      <formula>SEARCH("CHIUSO",$M100)&gt;0</formula>
    </cfRule>
    <cfRule type="expression" priority="1749" dxfId="58">
      <formula>SEARCH("EMESSO",$M100)&gt;0</formula>
    </cfRule>
    <cfRule type="expression" priority="1750" dxfId="57">
      <formula>SEARCH("RICHIESTO",$M100)&gt;0</formula>
    </cfRule>
    <cfRule type="expression" priority="1751" dxfId="56">
      <formula>SEARCH("DA CHIUDERE",$M100)&gt;0</formula>
    </cfRule>
    <cfRule type="expression" priority="1752" dxfId="55">
      <formula>SEARCH("INTERROTTO",$M100)&gt;0</formula>
    </cfRule>
  </conditionalFormatting>
  <conditionalFormatting sqref="E99:G99 N99:Q99">
    <cfRule type="expression" priority="1741" dxfId="60">
      <formula>SEARCH("IN CORSO",$M99)&gt;0</formula>
    </cfRule>
    <cfRule type="expression" priority="1742" dxfId="59">
      <formula>SEARCH("CHIUSO",$M99)&gt;0</formula>
    </cfRule>
    <cfRule type="expression" priority="1743" dxfId="58">
      <formula>SEARCH("EMESSO",$M99)&gt;0</formula>
    </cfRule>
    <cfRule type="expression" priority="1744" dxfId="57">
      <formula>SEARCH("RICHIESTO",$M99)&gt;0</formula>
    </cfRule>
    <cfRule type="expression" priority="1745" dxfId="56">
      <formula>SEARCH("DA CHIUDERE",$M99)&gt;0</formula>
    </cfRule>
    <cfRule type="expression" priority="1746" dxfId="55">
      <formula>SEARCH("INTERROTTO",$M99)&gt;0</formula>
    </cfRule>
  </conditionalFormatting>
  <conditionalFormatting sqref="R99:S99">
    <cfRule type="expression" priority="1735" dxfId="60">
      <formula>SEARCH("IN CORSO",$M99)&gt;0</formula>
    </cfRule>
    <cfRule type="expression" priority="1736" dxfId="59">
      <formula>SEARCH("CHIUSO",$M99)&gt;0</formula>
    </cfRule>
    <cfRule type="expression" priority="1737" dxfId="58">
      <formula>SEARCH("EMESSO",$M99)&gt;0</formula>
    </cfRule>
    <cfRule type="expression" priority="1738" dxfId="57">
      <formula>SEARCH("RICHIESTO",$M99)&gt;0</formula>
    </cfRule>
    <cfRule type="expression" priority="1739" dxfId="56">
      <formula>SEARCH("DA CHIUDERE",$M99)&gt;0</formula>
    </cfRule>
    <cfRule type="expression" priority="1740" dxfId="55">
      <formula>SEARCH("INTERROTTO",$M99)&gt;0</formula>
    </cfRule>
  </conditionalFormatting>
  <conditionalFormatting sqref="M99">
    <cfRule type="expression" priority="1729" dxfId="60">
      <formula>SEARCH("IN CORSO",$M99)&gt;0</formula>
    </cfRule>
    <cfRule type="expression" priority="1730" dxfId="59">
      <formula>SEARCH("CHIUSO",$M99)&gt;0</formula>
    </cfRule>
    <cfRule type="expression" priority="1731" dxfId="58">
      <formula>SEARCH("EMESSO",$M99)&gt;0</formula>
    </cfRule>
    <cfRule type="expression" priority="1732" dxfId="57">
      <formula>SEARCH("RICHIESTO",$M99)&gt;0</formula>
    </cfRule>
    <cfRule type="expression" priority="1733" dxfId="56">
      <formula>SEARCH("DA CHIUDERE",$M99)&gt;0</formula>
    </cfRule>
    <cfRule type="expression" priority="1734" dxfId="55">
      <formula>SEARCH("INTERROTTO",$M99)&gt;0</formula>
    </cfRule>
  </conditionalFormatting>
  <conditionalFormatting sqref="E98:G98 N98:Q98">
    <cfRule type="expression" priority="1723" dxfId="60">
      <formula>SEARCH("IN CORSO",$M98)&gt;0</formula>
    </cfRule>
    <cfRule type="expression" priority="1724" dxfId="59">
      <formula>SEARCH("CHIUSO",$M98)&gt;0</formula>
    </cfRule>
    <cfRule type="expression" priority="1725" dxfId="58">
      <formula>SEARCH("EMESSO",$M98)&gt;0</formula>
    </cfRule>
    <cfRule type="expression" priority="1726" dxfId="57">
      <formula>SEARCH("RICHIESTO",$M98)&gt;0</formula>
    </cfRule>
    <cfRule type="expression" priority="1727" dxfId="56">
      <formula>SEARCH("DA CHIUDERE",$M98)&gt;0</formula>
    </cfRule>
    <cfRule type="expression" priority="1728" dxfId="55">
      <formula>SEARCH("INTERROTTO",$M98)&gt;0</formula>
    </cfRule>
  </conditionalFormatting>
  <conditionalFormatting sqref="R98:S98">
    <cfRule type="expression" priority="1717" dxfId="60">
      <formula>SEARCH("IN CORSO",$M98)&gt;0</formula>
    </cfRule>
    <cfRule type="expression" priority="1718" dxfId="59">
      <formula>SEARCH("CHIUSO",$M98)&gt;0</formula>
    </cfRule>
    <cfRule type="expression" priority="1719" dxfId="58">
      <formula>SEARCH("EMESSO",$M98)&gt;0</formula>
    </cfRule>
    <cfRule type="expression" priority="1720" dxfId="57">
      <formula>SEARCH("RICHIESTO",$M98)&gt;0</formula>
    </cfRule>
    <cfRule type="expression" priority="1721" dxfId="56">
      <formula>SEARCH("DA CHIUDERE",$M98)&gt;0</formula>
    </cfRule>
    <cfRule type="expression" priority="1722" dxfId="55">
      <formula>SEARCH("INTERROTTO",$M98)&gt;0</formula>
    </cfRule>
  </conditionalFormatting>
  <conditionalFormatting sqref="M98">
    <cfRule type="expression" priority="1711" dxfId="60">
      <formula>SEARCH("IN CORSO",$M98)&gt;0</formula>
    </cfRule>
    <cfRule type="expression" priority="1712" dxfId="59">
      <formula>SEARCH("CHIUSO",$M98)&gt;0</formula>
    </cfRule>
    <cfRule type="expression" priority="1713" dxfId="58">
      <formula>SEARCH("EMESSO",$M98)&gt;0</formula>
    </cfRule>
    <cfRule type="expression" priority="1714" dxfId="57">
      <formula>SEARCH("RICHIESTO",$M98)&gt;0</formula>
    </cfRule>
    <cfRule type="expression" priority="1715" dxfId="56">
      <formula>SEARCH("DA CHIUDERE",$M98)&gt;0</formula>
    </cfRule>
    <cfRule type="expression" priority="1716" dxfId="55">
      <formula>SEARCH("INTERROTTO",$M98)&gt;0</formula>
    </cfRule>
  </conditionalFormatting>
  <conditionalFormatting sqref="E97:G97 N97:Q97">
    <cfRule type="expression" priority="1705" dxfId="60">
      <formula>SEARCH("IN CORSO",$M97)&gt;0</formula>
    </cfRule>
    <cfRule type="expression" priority="1706" dxfId="59">
      <formula>SEARCH("CHIUSO",$M97)&gt;0</formula>
    </cfRule>
    <cfRule type="expression" priority="1707" dxfId="58">
      <formula>SEARCH("EMESSO",$M97)&gt;0</formula>
    </cfRule>
    <cfRule type="expression" priority="1708" dxfId="57">
      <formula>SEARCH("RICHIESTO",$M97)&gt;0</formula>
    </cfRule>
    <cfRule type="expression" priority="1709" dxfId="56">
      <formula>SEARCH("DA CHIUDERE",$M97)&gt;0</formula>
    </cfRule>
    <cfRule type="expression" priority="1710" dxfId="55">
      <formula>SEARCH("INTERROTTO",$M97)&gt;0</formula>
    </cfRule>
  </conditionalFormatting>
  <conditionalFormatting sqref="R97:S97">
    <cfRule type="expression" priority="1699" dxfId="60">
      <formula>SEARCH("IN CORSO",$M97)&gt;0</formula>
    </cfRule>
    <cfRule type="expression" priority="1700" dxfId="59">
      <formula>SEARCH("CHIUSO",$M97)&gt;0</formula>
    </cfRule>
    <cfRule type="expression" priority="1701" dxfId="58">
      <formula>SEARCH("EMESSO",$M97)&gt;0</formula>
    </cfRule>
    <cfRule type="expression" priority="1702" dxfId="57">
      <formula>SEARCH("RICHIESTO",$M97)&gt;0</formula>
    </cfRule>
    <cfRule type="expression" priority="1703" dxfId="56">
      <formula>SEARCH("DA CHIUDERE",$M97)&gt;0</formula>
    </cfRule>
    <cfRule type="expression" priority="1704" dxfId="55">
      <formula>SEARCH("INTERROTTO",$M97)&gt;0</formula>
    </cfRule>
  </conditionalFormatting>
  <conditionalFormatting sqref="M97">
    <cfRule type="expression" priority="1693" dxfId="60">
      <formula>SEARCH("IN CORSO",$M97)&gt;0</formula>
    </cfRule>
    <cfRule type="expression" priority="1694" dxfId="59">
      <formula>SEARCH("CHIUSO",$M97)&gt;0</formula>
    </cfRule>
    <cfRule type="expression" priority="1695" dxfId="58">
      <formula>SEARCH("EMESSO",$M97)&gt;0</formula>
    </cfRule>
    <cfRule type="expression" priority="1696" dxfId="57">
      <formula>SEARCH("RICHIESTO",$M97)&gt;0</formula>
    </cfRule>
    <cfRule type="expression" priority="1697" dxfId="56">
      <formula>SEARCH("DA CHIUDERE",$M97)&gt;0</formula>
    </cfRule>
    <cfRule type="expression" priority="1698" dxfId="55">
      <formula>SEARCH("INTERROTTO",$M97)&gt;0</formula>
    </cfRule>
  </conditionalFormatting>
  <conditionalFormatting sqref="E96:G96 N96:Q96">
    <cfRule type="expression" priority="1687" dxfId="60">
      <formula>SEARCH("IN CORSO",$M96)&gt;0</formula>
    </cfRule>
    <cfRule type="expression" priority="1688" dxfId="59">
      <formula>SEARCH("CHIUSO",$M96)&gt;0</formula>
    </cfRule>
    <cfRule type="expression" priority="1689" dxfId="58">
      <formula>SEARCH("EMESSO",$M96)&gt;0</formula>
    </cfRule>
    <cfRule type="expression" priority="1690" dxfId="57">
      <formula>SEARCH("RICHIESTO",$M96)&gt;0</formula>
    </cfRule>
    <cfRule type="expression" priority="1691" dxfId="56">
      <formula>SEARCH("DA CHIUDERE",$M96)&gt;0</formula>
    </cfRule>
    <cfRule type="expression" priority="1692" dxfId="55">
      <formula>SEARCH("INTERROTTO",$M96)&gt;0</formula>
    </cfRule>
  </conditionalFormatting>
  <conditionalFormatting sqref="R96:S96">
    <cfRule type="expression" priority="1681" dxfId="60">
      <formula>SEARCH("IN CORSO",$M96)&gt;0</formula>
    </cfRule>
    <cfRule type="expression" priority="1682" dxfId="59">
      <formula>SEARCH("CHIUSO",$M96)&gt;0</formula>
    </cfRule>
    <cfRule type="expression" priority="1683" dxfId="58">
      <formula>SEARCH("EMESSO",$M96)&gt;0</formula>
    </cfRule>
    <cfRule type="expression" priority="1684" dxfId="57">
      <formula>SEARCH("RICHIESTO",$M96)&gt;0</formula>
    </cfRule>
    <cfRule type="expression" priority="1685" dxfId="56">
      <formula>SEARCH("DA CHIUDERE",$M96)&gt;0</formula>
    </cfRule>
    <cfRule type="expression" priority="1686" dxfId="55">
      <formula>SEARCH("INTERROTTO",$M96)&gt;0</formula>
    </cfRule>
  </conditionalFormatting>
  <conditionalFormatting sqref="M96">
    <cfRule type="expression" priority="1675" dxfId="60">
      <formula>SEARCH("IN CORSO",$M96)&gt;0</formula>
    </cfRule>
    <cfRule type="expression" priority="1676" dxfId="59">
      <formula>SEARCH("CHIUSO",$M96)&gt;0</formula>
    </cfRule>
    <cfRule type="expression" priority="1677" dxfId="58">
      <formula>SEARCH("EMESSO",$M96)&gt;0</formula>
    </cfRule>
    <cfRule type="expression" priority="1678" dxfId="57">
      <formula>SEARCH("RICHIESTO",$M96)&gt;0</formula>
    </cfRule>
    <cfRule type="expression" priority="1679" dxfId="56">
      <formula>SEARCH("DA CHIUDERE",$M96)&gt;0</formula>
    </cfRule>
    <cfRule type="expression" priority="1680" dxfId="55">
      <formula>SEARCH("INTERROTTO",$M96)&gt;0</formula>
    </cfRule>
  </conditionalFormatting>
  <conditionalFormatting sqref="E95:G95 N95:Q95">
    <cfRule type="expression" priority="1669" dxfId="60">
      <formula>SEARCH("IN CORSO",$M95)&gt;0</formula>
    </cfRule>
    <cfRule type="expression" priority="1670" dxfId="59">
      <formula>SEARCH("CHIUSO",$M95)&gt;0</formula>
    </cfRule>
    <cfRule type="expression" priority="1671" dxfId="58">
      <formula>SEARCH("EMESSO",$M95)&gt;0</formula>
    </cfRule>
    <cfRule type="expression" priority="1672" dxfId="57">
      <formula>SEARCH("RICHIESTO",$M95)&gt;0</formula>
    </cfRule>
    <cfRule type="expression" priority="1673" dxfId="56">
      <formula>SEARCH("DA CHIUDERE",$M95)&gt;0</formula>
    </cfRule>
    <cfRule type="expression" priority="1674" dxfId="55">
      <formula>SEARCH("INTERROTTO",$M95)&gt;0</formula>
    </cfRule>
  </conditionalFormatting>
  <conditionalFormatting sqref="R95:S95">
    <cfRule type="expression" priority="1663" dxfId="60">
      <formula>SEARCH("IN CORSO",$M95)&gt;0</formula>
    </cfRule>
    <cfRule type="expression" priority="1664" dxfId="59">
      <formula>SEARCH("CHIUSO",$M95)&gt;0</formula>
    </cfRule>
    <cfRule type="expression" priority="1665" dxfId="58">
      <formula>SEARCH("EMESSO",$M95)&gt;0</formula>
    </cfRule>
    <cfRule type="expression" priority="1666" dxfId="57">
      <formula>SEARCH("RICHIESTO",$M95)&gt;0</formula>
    </cfRule>
    <cfRule type="expression" priority="1667" dxfId="56">
      <formula>SEARCH("DA CHIUDERE",$M95)&gt;0</formula>
    </cfRule>
    <cfRule type="expression" priority="1668" dxfId="55">
      <formula>SEARCH("INTERROTTO",$M95)&gt;0</formula>
    </cfRule>
  </conditionalFormatting>
  <conditionalFormatting sqref="M95">
    <cfRule type="expression" priority="1657" dxfId="60">
      <formula>SEARCH("IN CORSO",$M95)&gt;0</formula>
    </cfRule>
    <cfRule type="expression" priority="1658" dxfId="59">
      <formula>SEARCH("CHIUSO",$M95)&gt;0</formula>
    </cfRule>
    <cfRule type="expression" priority="1659" dxfId="58">
      <formula>SEARCH("EMESSO",$M95)&gt;0</formula>
    </cfRule>
    <cfRule type="expression" priority="1660" dxfId="57">
      <formula>SEARCH("RICHIESTO",$M95)&gt;0</formula>
    </cfRule>
    <cfRule type="expression" priority="1661" dxfId="56">
      <formula>SEARCH("DA CHIUDERE",$M95)&gt;0</formula>
    </cfRule>
    <cfRule type="expression" priority="1662" dxfId="55">
      <formula>SEARCH("INTERROTTO",$M95)&gt;0</formula>
    </cfRule>
  </conditionalFormatting>
  <conditionalFormatting sqref="M259:S264 N258:S258 N265:S266">
    <cfRule type="expression" priority="1933" dxfId="60">
      <formula>SEARCH("IN CORSO",$M258)&gt;0</formula>
    </cfRule>
    <cfRule type="expression" priority="1934" dxfId="59">
      <formula>SEARCH("CHIUSO",$M258)&gt;0</formula>
    </cfRule>
    <cfRule type="expression" priority="1935" dxfId="58">
      <formula>SEARCH("EMESSO",$M258)&gt;0</formula>
    </cfRule>
    <cfRule type="expression" priority="1936" dxfId="57">
      <formula>SEARCH("RICHIESTO",$M258)&gt;0</formula>
    </cfRule>
    <cfRule type="expression" priority="1937" dxfId="56">
      <formula>SEARCH("DA CHIUDERE",$M258)&gt;0</formula>
    </cfRule>
    <cfRule type="expression" priority="1938" dxfId="55">
      <formula>SEARCH("INTERROTTO",$M258)&gt;0</formula>
    </cfRule>
  </conditionalFormatting>
  <conditionalFormatting sqref="R107:S107">
    <cfRule type="expression" priority="1867" dxfId="60">
      <formula>SEARCH("IN CORSO",$M107)&gt;0</formula>
    </cfRule>
    <cfRule type="expression" priority="1868" dxfId="59">
      <formula>SEARCH("CHIUSO",$M107)&gt;0</formula>
    </cfRule>
    <cfRule type="expression" priority="1869" dxfId="58">
      <formula>SEARCH("EMESSO",$M107)&gt;0</formula>
    </cfRule>
    <cfRule type="expression" priority="1870" dxfId="57">
      <formula>SEARCH("RICHIESTO",$M107)&gt;0</formula>
    </cfRule>
    <cfRule type="expression" priority="1871" dxfId="56">
      <formula>SEARCH("DA CHIUDERE",$M107)&gt;0</formula>
    </cfRule>
    <cfRule type="expression" priority="1872" dxfId="55">
      <formula>SEARCH("INTERROTTO",$M107)&gt;0</formula>
    </cfRule>
  </conditionalFormatting>
  <conditionalFormatting sqref="E104:G104 N104:Q104">
    <cfRule type="expression" priority="1831" dxfId="60">
      <formula>SEARCH("IN CORSO",$M104)&gt;0</formula>
    </cfRule>
    <cfRule type="expression" priority="1832" dxfId="59">
      <formula>SEARCH("CHIUSO",$M104)&gt;0</formula>
    </cfRule>
    <cfRule type="expression" priority="1833" dxfId="58">
      <formula>SEARCH("EMESSO",$M104)&gt;0</formula>
    </cfRule>
    <cfRule type="expression" priority="1834" dxfId="57">
      <formula>SEARCH("RICHIESTO",$M104)&gt;0</formula>
    </cfRule>
    <cfRule type="expression" priority="1835" dxfId="56">
      <formula>SEARCH("DA CHIUDERE",$M104)&gt;0</formula>
    </cfRule>
    <cfRule type="expression" priority="1836" dxfId="55">
      <formula>SEARCH("INTERROTTO",$M104)&gt;0</formula>
    </cfRule>
  </conditionalFormatting>
  <conditionalFormatting sqref="R104:S104">
    <cfRule type="expression" priority="1825" dxfId="60">
      <formula>SEARCH("IN CORSO",$M104)&gt;0</formula>
    </cfRule>
    <cfRule type="expression" priority="1826" dxfId="59">
      <formula>SEARCH("CHIUSO",$M104)&gt;0</formula>
    </cfRule>
    <cfRule type="expression" priority="1827" dxfId="58">
      <formula>SEARCH("EMESSO",$M104)&gt;0</formula>
    </cfRule>
    <cfRule type="expression" priority="1828" dxfId="57">
      <formula>SEARCH("RICHIESTO",$M104)&gt;0</formula>
    </cfRule>
    <cfRule type="expression" priority="1829" dxfId="56">
      <formula>SEARCH("DA CHIUDERE",$M104)&gt;0</formula>
    </cfRule>
    <cfRule type="expression" priority="1830" dxfId="55">
      <formula>SEARCH("INTERROTTO",$M104)&gt;0</formula>
    </cfRule>
  </conditionalFormatting>
  <conditionalFormatting sqref="M104">
    <cfRule type="expression" priority="1819" dxfId="60">
      <formula>SEARCH("IN CORSO",$M104)&gt;0</formula>
    </cfRule>
    <cfRule type="expression" priority="1820" dxfId="59">
      <formula>SEARCH("CHIUSO",$M104)&gt;0</formula>
    </cfRule>
    <cfRule type="expression" priority="1821" dxfId="58">
      <formula>SEARCH("EMESSO",$M104)&gt;0</formula>
    </cfRule>
    <cfRule type="expression" priority="1822" dxfId="57">
      <formula>SEARCH("RICHIESTO",$M104)&gt;0</formula>
    </cfRule>
    <cfRule type="expression" priority="1823" dxfId="56">
      <formula>SEARCH("DA CHIUDERE",$M104)&gt;0</formula>
    </cfRule>
    <cfRule type="expression" priority="1824" dxfId="55">
      <formula>SEARCH("INTERROTTO",$M104)&gt;0</formula>
    </cfRule>
  </conditionalFormatting>
  <conditionalFormatting sqref="E94:G94 N94:Q94">
    <cfRule type="expression" priority="1651" dxfId="60">
      <formula>SEARCH("IN CORSO",$M94)&gt;0</formula>
    </cfRule>
    <cfRule type="expression" priority="1652" dxfId="59">
      <formula>SEARCH("CHIUSO",$M94)&gt;0</formula>
    </cfRule>
    <cfRule type="expression" priority="1653" dxfId="58">
      <formula>SEARCH("EMESSO",$M94)&gt;0</formula>
    </cfRule>
    <cfRule type="expression" priority="1654" dxfId="57">
      <formula>SEARCH("RICHIESTO",$M94)&gt;0</formula>
    </cfRule>
    <cfRule type="expression" priority="1655" dxfId="56">
      <formula>SEARCH("DA CHIUDERE",$M94)&gt;0</formula>
    </cfRule>
    <cfRule type="expression" priority="1656" dxfId="55">
      <formula>SEARCH("INTERROTTO",$M94)&gt;0</formula>
    </cfRule>
  </conditionalFormatting>
  <conditionalFormatting sqref="R94:S94">
    <cfRule type="expression" priority="1645" dxfId="60">
      <formula>SEARCH("IN CORSO",$M94)&gt;0</formula>
    </cfRule>
    <cfRule type="expression" priority="1646" dxfId="59">
      <formula>SEARCH("CHIUSO",$M94)&gt;0</formula>
    </cfRule>
    <cfRule type="expression" priority="1647" dxfId="58">
      <formula>SEARCH("EMESSO",$M94)&gt;0</formula>
    </cfRule>
    <cfRule type="expression" priority="1648" dxfId="57">
      <formula>SEARCH("RICHIESTO",$M94)&gt;0</formula>
    </cfRule>
    <cfRule type="expression" priority="1649" dxfId="56">
      <formula>SEARCH("DA CHIUDERE",$M94)&gt;0</formula>
    </cfRule>
    <cfRule type="expression" priority="1650" dxfId="55">
      <formula>SEARCH("INTERROTTO",$M94)&gt;0</formula>
    </cfRule>
  </conditionalFormatting>
  <conditionalFormatting sqref="M94">
    <cfRule type="expression" priority="1639" dxfId="60">
      <formula>SEARCH("IN CORSO",$M94)&gt;0</formula>
    </cfRule>
    <cfRule type="expression" priority="1640" dxfId="59">
      <formula>SEARCH("CHIUSO",$M94)&gt;0</formula>
    </cfRule>
    <cfRule type="expression" priority="1641" dxfId="58">
      <formula>SEARCH("EMESSO",$M94)&gt;0</formula>
    </cfRule>
    <cfRule type="expression" priority="1642" dxfId="57">
      <formula>SEARCH("RICHIESTO",$M94)&gt;0</formula>
    </cfRule>
    <cfRule type="expression" priority="1643" dxfId="56">
      <formula>SEARCH("DA CHIUDERE",$M94)&gt;0</formula>
    </cfRule>
    <cfRule type="expression" priority="1644" dxfId="55">
      <formula>SEARCH("INTERROTTO",$M94)&gt;0</formula>
    </cfRule>
  </conditionalFormatting>
  <conditionalFormatting sqref="E93:G93 N93:Q93">
    <cfRule type="expression" priority="1633" dxfId="60">
      <formula>SEARCH("IN CORSO",$M93)&gt;0</formula>
    </cfRule>
    <cfRule type="expression" priority="1634" dxfId="59">
      <formula>SEARCH("CHIUSO",$M93)&gt;0</formula>
    </cfRule>
    <cfRule type="expression" priority="1635" dxfId="58">
      <formula>SEARCH("EMESSO",$M93)&gt;0</formula>
    </cfRule>
    <cfRule type="expression" priority="1636" dxfId="57">
      <formula>SEARCH("RICHIESTO",$M93)&gt;0</formula>
    </cfRule>
    <cfRule type="expression" priority="1637" dxfId="56">
      <formula>SEARCH("DA CHIUDERE",$M93)&gt;0</formula>
    </cfRule>
    <cfRule type="expression" priority="1638" dxfId="55">
      <formula>SEARCH("INTERROTTO",$M93)&gt;0</formula>
    </cfRule>
  </conditionalFormatting>
  <conditionalFormatting sqref="R93:S93">
    <cfRule type="expression" priority="1627" dxfId="60">
      <formula>SEARCH("IN CORSO",$M93)&gt;0</formula>
    </cfRule>
    <cfRule type="expression" priority="1628" dxfId="59">
      <formula>SEARCH("CHIUSO",$M93)&gt;0</formula>
    </cfRule>
    <cfRule type="expression" priority="1629" dxfId="58">
      <formula>SEARCH("EMESSO",$M93)&gt;0</formula>
    </cfRule>
    <cfRule type="expression" priority="1630" dxfId="57">
      <formula>SEARCH("RICHIESTO",$M93)&gt;0</formula>
    </cfRule>
    <cfRule type="expression" priority="1631" dxfId="56">
      <formula>SEARCH("DA CHIUDERE",$M93)&gt;0</formula>
    </cfRule>
    <cfRule type="expression" priority="1632" dxfId="55">
      <formula>SEARCH("INTERROTTO",$M93)&gt;0</formula>
    </cfRule>
  </conditionalFormatting>
  <conditionalFormatting sqref="M93">
    <cfRule type="expression" priority="1621" dxfId="60">
      <formula>SEARCH("IN CORSO",$M93)&gt;0</formula>
    </cfRule>
    <cfRule type="expression" priority="1622" dxfId="59">
      <formula>SEARCH("CHIUSO",$M93)&gt;0</formula>
    </cfRule>
    <cfRule type="expression" priority="1623" dxfId="58">
      <formula>SEARCH("EMESSO",$M93)&gt;0</formula>
    </cfRule>
    <cfRule type="expression" priority="1624" dxfId="57">
      <formula>SEARCH("RICHIESTO",$M93)&gt;0</formula>
    </cfRule>
    <cfRule type="expression" priority="1625" dxfId="56">
      <formula>SEARCH("DA CHIUDERE",$M93)&gt;0</formula>
    </cfRule>
    <cfRule type="expression" priority="1626" dxfId="55">
      <formula>SEARCH("INTERROTTO",$M93)&gt;0</formula>
    </cfRule>
  </conditionalFormatting>
  <conditionalFormatting sqref="E92:G92 N92:Q92">
    <cfRule type="expression" priority="1615" dxfId="60">
      <formula>SEARCH("IN CORSO",$M92)&gt;0</formula>
    </cfRule>
    <cfRule type="expression" priority="1616" dxfId="59">
      <formula>SEARCH("CHIUSO",$M92)&gt;0</formula>
    </cfRule>
    <cfRule type="expression" priority="1617" dxfId="58">
      <formula>SEARCH("EMESSO",$M92)&gt;0</formula>
    </cfRule>
    <cfRule type="expression" priority="1618" dxfId="57">
      <formula>SEARCH("RICHIESTO",$M92)&gt;0</formula>
    </cfRule>
    <cfRule type="expression" priority="1619" dxfId="56">
      <formula>SEARCH("DA CHIUDERE",$M92)&gt;0</formula>
    </cfRule>
    <cfRule type="expression" priority="1620" dxfId="55">
      <formula>SEARCH("INTERROTTO",$M92)&gt;0</formula>
    </cfRule>
  </conditionalFormatting>
  <conditionalFormatting sqref="R92:S92">
    <cfRule type="expression" priority="1609" dxfId="60">
      <formula>SEARCH("IN CORSO",$M92)&gt;0</formula>
    </cfRule>
    <cfRule type="expression" priority="1610" dxfId="59">
      <formula>SEARCH("CHIUSO",$M92)&gt;0</formula>
    </cfRule>
    <cfRule type="expression" priority="1611" dxfId="58">
      <formula>SEARCH("EMESSO",$M92)&gt;0</formula>
    </cfRule>
    <cfRule type="expression" priority="1612" dxfId="57">
      <formula>SEARCH("RICHIESTO",$M92)&gt;0</formula>
    </cfRule>
    <cfRule type="expression" priority="1613" dxfId="56">
      <formula>SEARCH("DA CHIUDERE",$M92)&gt;0</formula>
    </cfRule>
    <cfRule type="expression" priority="1614" dxfId="55">
      <formula>SEARCH("INTERROTTO",$M92)&gt;0</formula>
    </cfRule>
  </conditionalFormatting>
  <conditionalFormatting sqref="M92">
    <cfRule type="expression" priority="1603" dxfId="60">
      <formula>SEARCH("IN CORSO",$M92)&gt;0</formula>
    </cfRule>
    <cfRule type="expression" priority="1604" dxfId="59">
      <formula>SEARCH("CHIUSO",$M92)&gt;0</formula>
    </cfRule>
    <cfRule type="expression" priority="1605" dxfId="58">
      <formula>SEARCH("EMESSO",$M92)&gt;0</formula>
    </cfRule>
    <cfRule type="expression" priority="1606" dxfId="57">
      <formula>SEARCH("RICHIESTO",$M92)&gt;0</formula>
    </cfRule>
    <cfRule type="expression" priority="1607" dxfId="56">
      <formula>SEARCH("DA CHIUDERE",$M92)&gt;0</formula>
    </cfRule>
    <cfRule type="expression" priority="1608" dxfId="55">
      <formula>SEARCH("INTERROTTO",$M92)&gt;0</formula>
    </cfRule>
  </conditionalFormatting>
  <conditionalFormatting sqref="E91:G91 N91:Q91">
    <cfRule type="expression" priority="1597" dxfId="60">
      <formula>SEARCH("IN CORSO",$M91)&gt;0</formula>
    </cfRule>
    <cfRule type="expression" priority="1598" dxfId="59">
      <formula>SEARCH("CHIUSO",$M91)&gt;0</formula>
    </cfRule>
    <cfRule type="expression" priority="1599" dxfId="58">
      <formula>SEARCH("EMESSO",$M91)&gt;0</formula>
    </cfRule>
    <cfRule type="expression" priority="1600" dxfId="57">
      <formula>SEARCH("RICHIESTO",$M91)&gt;0</formula>
    </cfRule>
    <cfRule type="expression" priority="1601" dxfId="56">
      <formula>SEARCH("DA CHIUDERE",$M91)&gt;0</formula>
    </cfRule>
    <cfRule type="expression" priority="1602" dxfId="55">
      <formula>SEARCH("INTERROTTO",$M91)&gt;0</formula>
    </cfRule>
  </conditionalFormatting>
  <conditionalFormatting sqref="R91:S91">
    <cfRule type="expression" priority="1591" dxfId="60">
      <formula>SEARCH("IN CORSO",$M91)&gt;0</formula>
    </cfRule>
    <cfRule type="expression" priority="1592" dxfId="59">
      <formula>SEARCH("CHIUSO",$M91)&gt;0</formula>
    </cfRule>
    <cfRule type="expression" priority="1593" dxfId="58">
      <formula>SEARCH("EMESSO",$M91)&gt;0</formula>
    </cfRule>
    <cfRule type="expression" priority="1594" dxfId="57">
      <formula>SEARCH("RICHIESTO",$M91)&gt;0</formula>
    </cfRule>
    <cfRule type="expression" priority="1595" dxfId="56">
      <formula>SEARCH("DA CHIUDERE",$M91)&gt;0</formula>
    </cfRule>
    <cfRule type="expression" priority="1596" dxfId="55">
      <formula>SEARCH("INTERROTTO",$M91)&gt;0</formula>
    </cfRule>
  </conditionalFormatting>
  <conditionalFormatting sqref="M91">
    <cfRule type="expression" priority="1585" dxfId="60">
      <formula>SEARCH("IN CORSO",$M91)&gt;0</formula>
    </cfRule>
    <cfRule type="expression" priority="1586" dxfId="59">
      <formula>SEARCH("CHIUSO",$M91)&gt;0</formula>
    </cfRule>
    <cfRule type="expression" priority="1587" dxfId="58">
      <formula>SEARCH("EMESSO",$M91)&gt;0</formula>
    </cfRule>
    <cfRule type="expression" priority="1588" dxfId="57">
      <formula>SEARCH("RICHIESTO",$M91)&gt;0</formula>
    </cfRule>
    <cfRule type="expression" priority="1589" dxfId="56">
      <formula>SEARCH("DA CHIUDERE",$M91)&gt;0</formula>
    </cfRule>
    <cfRule type="expression" priority="1590" dxfId="55">
      <formula>SEARCH("INTERROTTO",$M91)&gt;0</formula>
    </cfRule>
  </conditionalFormatting>
  <conditionalFormatting sqref="E90:G90 N90:Q90">
    <cfRule type="expression" priority="1579" dxfId="60">
      <formula>SEARCH("IN CORSO",$M90)&gt;0</formula>
    </cfRule>
    <cfRule type="expression" priority="1580" dxfId="59">
      <formula>SEARCH("CHIUSO",$M90)&gt;0</formula>
    </cfRule>
    <cfRule type="expression" priority="1581" dxfId="58">
      <formula>SEARCH("EMESSO",$M90)&gt;0</formula>
    </cfRule>
    <cfRule type="expression" priority="1582" dxfId="57">
      <formula>SEARCH("RICHIESTO",$M90)&gt;0</formula>
    </cfRule>
    <cfRule type="expression" priority="1583" dxfId="56">
      <formula>SEARCH("DA CHIUDERE",$M90)&gt;0</formula>
    </cfRule>
    <cfRule type="expression" priority="1584" dxfId="55">
      <formula>SEARCH("INTERROTTO",$M90)&gt;0</formula>
    </cfRule>
  </conditionalFormatting>
  <conditionalFormatting sqref="R90:S90">
    <cfRule type="expression" priority="1573" dxfId="60">
      <formula>SEARCH("IN CORSO",$M90)&gt;0</formula>
    </cfRule>
    <cfRule type="expression" priority="1574" dxfId="59">
      <formula>SEARCH("CHIUSO",$M90)&gt;0</formula>
    </cfRule>
    <cfRule type="expression" priority="1575" dxfId="58">
      <formula>SEARCH("EMESSO",$M90)&gt;0</formula>
    </cfRule>
    <cfRule type="expression" priority="1576" dxfId="57">
      <formula>SEARCH("RICHIESTO",$M90)&gt;0</formula>
    </cfRule>
    <cfRule type="expression" priority="1577" dxfId="56">
      <formula>SEARCH("DA CHIUDERE",$M90)&gt;0</formula>
    </cfRule>
    <cfRule type="expression" priority="1578" dxfId="55">
      <formula>SEARCH("INTERROTTO",$M90)&gt;0</formula>
    </cfRule>
  </conditionalFormatting>
  <conditionalFormatting sqref="M90">
    <cfRule type="expression" priority="1567" dxfId="60">
      <formula>SEARCH("IN CORSO",$M90)&gt;0</formula>
    </cfRule>
    <cfRule type="expression" priority="1568" dxfId="59">
      <formula>SEARCH("CHIUSO",$M90)&gt;0</formula>
    </cfRule>
    <cfRule type="expression" priority="1569" dxfId="58">
      <formula>SEARCH("EMESSO",$M90)&gt;0</formula>
    </cfRule>
    <cfRule type="expression" priority="1570" dxfId="57">
      <formula>SEARCH("RICHIESTO",$M90)&gt;0</formula>
    </cfRule>
    <cfRule type="expression" priority="1571" dxfId="56">
      <formula>SEARCH("DA CHIUDERE",$M90)&gt;0</formula>
    </cfRule>
    <cfRule type="expression" priority="1572" dxfId="55">
      <formula>SEARCH("INTERROTTO",$M90)&gt;0</formula>
    </cfRule>
  </conditionalFormatting>
  <conditionalFormatting sqref="E89:G89 N89:Q89">
    <cfRule type="expression" priority="1561" dxfId="60">
      <formula>SEARCH("IN CORSO",$M89)&gt;0</formula>
    </cfRule>
    <cfRule type="expression" priority="1562" dxfId="59">
      <formula>SEARCH("CHIUSO",$M89)&gt;0</formula>
    </cfRule>
    <cfRule type="expression" priority="1563" dxfId="58">
      <formula>SEARCH("EMESSO",$M89)&gt;0</formula>
    </cfRule>
    <cfRule type="expression" priority="1564" dxfId="57">
      <formula>SEARCH("RICHIESTO",$M89)&gt;0</formula>
    </cfRule>
    <cfRule type="expression" priority="1565" dxfId="56">
      <formula>SEARCH("DA CHIUDERE",$M89)&gt;0</formula>
    </cfRule>
    <cfRule type="expression" priority="1566" dxfId="55">
      <formula>SEARCH("INTERROTTO",$M89)&gt;0</formula>
    </cfRule>
  </conditionalFormatting>
  <conditionalFormatting sqref="R89:S89">
    <cfRule type="expression" priority="1555" dxfId="60">
      <formula>SEARCH("IN CORSO",$M89)&gt;0</formula>
    </cfRule>
    <cfRule type="expression" priority="1556" dxfId="59">
      <formula>SEARCH("CHIUSO",$M89)&gt;0</formula>
    </cfRule>
    <cfRule type="expression" priority="1557" dxfId="58">
      <formula>SEARCH("EMESSO",$M89)&gt;0</formula>
    </cfRule>
    <cfRule type="expression" priority="1558" dxfId="57">
      <formula>SEARCH("RICHIESTO",$M89)&gt;0</formula>
    </cfRule>
    <cfRule type="expression" priority="1559" dxfId="56">
      <formula>SEARCH("DA CHIUDERE",$M89)&gt;0</formula>
    </cfRule>
    <cfRule type="expression" priority="1560" dxfId="55">
      <formula>SEARCH("INTERROTTO",$M89)&gt;0</formula>
    </cfRule>
  </conditionalFormatting>
  <conditionalFormatting sqref="M89">
    <cfRule type="expression" priority="1549" dxfId="60">
      <formula>SEARCH("IN CORSO",$M89)&gt;0</formula>
    </cfRule>
    <cfRule type="expression" priority="1550" dxfId="59">
      <formula>SEARCH("CHIUSO",$M89)&gt;0</formula>
    </cfRule>
    <cfRule type="expression" priority="1551" dxfId="58">
      <formula>SEARCH("EMESSO",$M89)&gt;0</formula>
    </cfRule>
    <cfRule type="expression" priority="1552" dxfId="57">
      <formula>SEARCH("RICHIESTO",$M89)&gt;0</formula>
    </cfRule>
    <cfRule type="expression" priority="1553" dxfId="56">
      <formula>SEARCH("DA CHIUDERE",$M89)&gt;0</formula>
    </cfRule>
    <cfRule type="expression" priority="1554" dxfId="55">
      <formula>SEARCH("INTERROTTO",$M89)&gt;0</formula>
    </cfRule>
  </conditionalFormatting>
  <conditionalFormatting sqref="E88:G88 N88:Q88">
    <cfRule type="expression" priority="1543" dxfId="60">
      <formula>SEARCH("IN CORSO",$M88)&gt;0</formula>
    </cfRule>
    <cfRule type="expression" priority="1544" dxfId="59">
      <formula>SEARCH("CHIUSO",$M88)&gt;0</formula>
    </cfRule>
    <cfRule type="expression" priority="1545" dxfId="58">
      <formula>SEARCH("EMESSO",$M88)&gt;0</formula>
    </cfRule>
    <cfRule type="expression" priority="1546" dxfId="57">
      <formula>SEARCH("RICHIESTO",$M88)&gt;0</formula>
    </cfRule>
    <cfRule type="expression" priority="1547" dxfId="56">
      <formula>SEARCH("DA CHIUDERE",$M88)&gt;0</formula>
    </cfRule>
    <cfRule type="expression" priority="1548" dxfId="55">
      <formula>SEARCH("INTERROTTO",$M88)&gt;0</formula>
    </cfRule>
  </conditionalFormatting>
  <conditionalFormatting sqref="R88:S88">
    <cfRule type="expression" priority="1537" dxfId="60">
      <formula>SEARCH("IN CORSO",$M88)&gt;0</formula>
    </cfRule>
    <cfRule type="expression" priority="1538" dxfId="59">
      <formula>SEARCH("CHIUSO",$M88)&gt;0</formula>
    </cfRule>
    <cfRule type="expression" priority="1539" dxfId="58">
      <formula>SEARCH("EMESSO",$M88)&gt;0</formula>
    </cfRule>
    <cfRule type="expression" priority="1540" dxfId="57">
      <formula>SEARCH("RICHIESTO",$M88)&gt;0</formula>
    </cfRule>
    <cfRule type="expression" priority="1541" dxfId="56">
      <formula>SEARCH("DA CHIUDERE",$M88)&gt;0</formula>
    </cfRule>
    <cfRule type="expression" priority="1542" dxfId="55">
      <formula>SEARCH("INTERROTTO",$M88)&gt;0</formula>
    </cfRule>
  </conditionalFormatting>
  <conditionalFormatting sqref="M88">
    <cfRule type="expression" priority="1531" dxfId="60">
      <formula>SEARCH("IN CORSO",$M88)&gt;0</formula>
    </cfRule>
    <cfRule type="expression" priority="1532" dxfId="59">
      <formula>SEARCH("CHIUSO",$M88)&gt;0</formula>
    </cfRule>
    <cfRule type="expression" priority="1533" dxfId="58">
      <formula>SEARCH("EMESSO",$M88)&gt;0</formula>
    </cfRule>
    <cfRule type="expression" priority="1534" dxfId="57">
      <formula>SEARCH("RICHIESTO",$M88)&gt;0</formula>
    </cfRule>
    <cfRule type="expression" priority="1535" dxfId="56">
      <formula>SEARCH("DA CHIUDERE",$M88)&gt;0</formula>
    </cfRule>
    <cfRule type="expression" priority="1536" dxfId="55">
      <formula>SEARCH("INTERROTTO",$M88)&gt;0</formula>
    </cfRule>
  </conditionalFormatting>
  <conditionalFormatting sqref="E87:G87 N87:Q87">
    <cfRule type="expression" priority="1525" dxfId="60">
      <formula>SEARCH("IN CORSO",$M87)&gt;0</formula>
    </cfRule>
    <cfRule type="expression" priority="1526" dxfId="59">
      <formula>SEARCH("CHIUSO",$M87)&gt;0</formula>
    </cfRule>
    <cfRule type="expression" priority="1527" dxfId="58">
      <formula>SEARCH("EMESSO",$M87)&gt;0</formula>
    </cfRule>
    <cfRule type="expression" priority="1528" dxfId="57">
      <formula>SEARCH("RICHIESTO",$M87)&gt;0</formula>
    </cfRule>
    <cfRule type="expression" priority="1529" dxfId="56">
      <formula>SEARCH("DA CHIUDERE",$M87)&gt;0</formula>
    </cfRule>
    <cfRule type="expression" priority="1530" dxfId="55">
      <formula>SEARCH("INTERROTTO",$M87)&gt;0</formula>
    </cfRule>
  </conditionalFormatting>
  <conditionalFormatting sqref="R87:S87">
    <cfRule type="expression" priority="1519" dxfId="60">
      <formula>SEARCH("IN CORSO",$M87)&gt;0</formula>
    </cfRule>
    <cfRule type="expression" priority="1520" dxfId="59">
      <formula>SEARCH("CHIUSO",$M87)&gt;0</formula>
    </cfRule>
    <cfRule type="expression" priority="1521" dxfId="58">
      <formula>SEARCH("EMESSO",$M87)&gt;0</formula>
    </cfRule>
    <cfRule type="expression" priority="1522" dxfId="57">
      <formula>SEARCH("RICHIESTO",$M87)&gt;0</formula>
    </cfRule>
    <cfRule type="expression" priority="1523" dxfId="56">
      <formula>SEARCH("DA CHIUDERE",$M87)&gt;0</formula>
    </cfRule>
    <cfRule type="expression" priority="1524" dxfId="55">
      <formula>SEARCH("INTERROTTO",$M87)&gt;0</formula>
    </cfRule>
  </conditionalFormatting>
  <conditionalFormatting sqref="M87">
    <cfRule type="expression" priority="1513" dxfId="60">
      <formula>SEARCH("IN CORSO",$M87)&gt;0</formula>
    </cfRule>
    <cfRule type="expression" priority="1514" dxfId="59">
      <formula>SEARCH("CHIUSO",$M87)&gt;0</formula>
    </cfRule>
    <cfRule type="expression" priority="1515" dxfId="58">
      <formula>SEARCH("EMESSO",$M87)&gt;0</formula>
    </cfRule>
    <cfRule type="expression" priority="1516" dxfId="57">
      <formula>SEARCH("RICHIESTO",$M87)&gt;0</formula>
    </cfRule>
    <cfRule type="expression" priority="1517" dxfId="56">
      <formula>SEARCH("DA CHIUDERE",$M87)&gt;0</formula>
    </cfRule>
    <cfRule type="expression" priority="1518" dxfId="55">
      <formula>SEARCH("INTERROTTO",$M87)&gt;0</formula>
    </cfRule>
  </conditionalFormatting>
  <conditionalFormatting sqref="E86:G86 N86:Q86">
    <cfRule type="expression" priority="1507" dxfId="60">
      <formula>SEARCH("IN CORSO",$M86)&gt;0</formula>
    </cfRule>
    <cfRule type="expression" priority="1508" dxfId="59">
      <formula>SEARCH("CHIUSO",$M86)&gt;0</formula>
    </cfRule>
    <cfRule type="expression" priority="1509" dxfId="58">
      <formula>SEARCH("EMESSO",$M86)&gt;0</formula>
    </cfRule>
    <cfRule type="expression" priority="1510" dxfId="57">
      <formula>SEARCH("RICHIESTO",$M86)&gt;0</formula>
    </cfRule>
    <cfRule type="expression" priority="1511" dxfId="56">
      <formula>SEARCH("DA CHIUDERE",$M86)&gt;0</formula>
    </cfRule>
    <cfRule type="expression" priority="1512" dxfId="55">
      <formula>SEARCH("INTERROTTO",$M86)&gt;0</formula>
    </cfRule>
  </conditionalFormatting>
  <conditionalFormatting sqref="R86:S86">
    <cfRule type="expression" priority="1501" dxfId="60">
      <formula>SEARCH("IN CORSO",$M86)&gt;0</formula>
    </cfRule>
    <cfRule type="expression" priority="1502" dxfId="59">
      <formula>SEARCH("CHIUSO",$M86)&gt;0</formula>
    </cfRule>
    <cfRule type="expression" priority="1503" dxfId="58">
      <formula>SEARCH("EMESSO",$M86)&gt;0</formula>
    </cfRule>
    <cfRule type="expression" priority="1504" dxfId="57">
      <formula>SEARCH("RICHIESTO",$M86)&gt;0</formula>
    </cfRule>
    <cfRule type="expression" priority="1505" dxfId="56">
      <formula>SEARCH("DA CHIUDERE",$M86)&gt;0</formula>
    </cfRule>
    <cfRule type="expression" priority="1506" dxfId="55">
      <formula>SEARCH("INTERROTTO",$M86)&gt;0</formula>
    </cfRule>
  </conditionalFormatting>
  <conditionalFormatting sqref="M86">
    <cfRule type="expression" priority="1495" dxfId="60">
      <formula>SEARCH("IN CORSO",$M86)&gt;0</formula>
    </cfRule>
    <cfRule type="expression" priority="1496" dxfId="59">
      <formula>SEARCH("CHIUSO",$M86)&gt;0</formula>
    </cfRule>
    <cfRule type="expression" priority="1497" dxfId="58">
      <formula>SEARCH("EMESSO",$M86)&gt;0</formula>
    </cfRule>
    <cfRule type="expression" priority="1498" dxfId="57">
      <formula>SEARCH("RICHIESTO",$M86)&gt;0</formula>
    </cfRule>
    <cfRule type="expression" priority="1499" dxfId="56">
      <formula>SEARCH("DA CHIUDERE",$M86)&gt;0</formula>
    </cfRule>
    <cfRule type="expression" priority="1500" dxfId="55">
      <formula>SEARCH("INTERROTTO",$M86)&gt;0</formula>
    </cfRule>
  </conditionalFormatting>
  <conditionalFormatting sqref="E85:G85 N85:Q85">
    <cfRule type="expression" priority="1489" dxfId="60">
      <formula>SEARCH("IN CORSO",$M85)&gt;0</formula>
    </cfRule>
    <cfRule type="expression" priority="1490" dxfId="59">
      <formula>SEARCH("CHIUSO",$M85)&gt;0</formula>
    </cfRule>
    <cfRule type="expression" priority="1491" dxfId="58">
      <formula>SEARCH("EMESSO",$M85)&gt;0</formula>
    </cfRule>
    <cfRule type="expression" priority="1492" dxfId="57">
      <formula>SEARCH("RICHIESTO",$M85)&gt;0</formula>
    </cfRule>
    <cfRule type="expression" priority="1493" dxfId="56">
      <formula>SEARCH("DA CHIUDERE",$M85)&gt;0</formula>
    </cfRule>
    <cfRule type="expression" priority="1494" dxfId="55">
      <formula>SEARCH("INTERROTTO",$M85)&gt;0</formula>
    </cfRule>
  </conditionalFormatting>
  <conditionalFormatting sqref="R85:S85">
    <cfRule type="expression" priority="1483" dxfId="60">
      <formula>SEARCH("IN CORSO",$M85)&gt;0</formula>
    </cfRule>
    <cfRule type="expression" priority="1484" dxfId="59">
      <formula>SEARCH("CHIUSO",$M85)&gt;0</formula>
    </cfRule>
    <cfRule type="expression" priority="1485" dxfId="58">
      <formula>SEARCH("EMESSO",$M85)&gt;0</formula>
    </cfRule>
    <cfRule type="expression" priority="1486" dxfId="57">
      <formula>SEARCH("RICHIESTO",$M85)&gt;0</formula>
    </cfRule>
    <cfRule type="expression" priority="1487" dxfId="56">
      <formula>SEARCH("DA CHIUDERE",$M85)&gt;0</formula>
    </cfRule>
    <cfRule type="expression" priority="1488" dxfId="55">
      <formula>SEARCH("INTERROTTO",$M85)&gt;0</formula>
    </cfRule>
  </conditionalFormatting>
  <conditionalFormatting sqref="M85">
    <cfRule type="expression" priority="1477" dxfId="60">
      <formula>SEARCH("IN CORSO",$M85)&gt;0</formula>
    </cfRule>
    <cfRule type="expression" priority="1478" dxfId="59">
      <formula>SEARCH("CHIUSO",$M85)&gt;0</formula>
    </cfRule>
    <cfRule type="expression" priority="1479" dxfId="58">
      <formula>SEARCH("EMESSO",$M85)&gt;0</formula>
    </cfRule>
    <cfRule type="expression" priority="1480" dxfId="57">
      <formula>SEARCH("RICHIESTO",$M85)&gt;0</formula>
    </cfRule>
    <cfRule type="expression" priority="1481" dxfId="56">
      <formula>SEARCH("DA CHIUDERE",$M85)&gt;0</formula>
    </cfRule>
    <cfRule type="expression" priority="1482" dxfId="55">
      <formula>SEARCH("INTERROTTO",$M85)&gt;0</formula>
    </cfRule>
  </conditionalFormatting>
  <conditionalFormatting sqref="E84:G84 N84:Q84">
    <cfRule type="expression" priority="1471" dxfId="60">
      <formula>SEARCH("IN CORSO",$M84)&gt;0</formula>
    </cfRule>
    <cfRule type="expression" priority="1472" dxfId="59">
      <formula>SEARCH("CHIUSO",$M84)&gt;0</formula>
    </cfRule>
    <cfRule type="expression" priority="1473" dxfId="58">
      <formula>SEARCH("EMESSO",$M84)&gt;0</formula>
    </cfRule>
    <cfRule type="expression" priority="1474" dxfId="57">
      <formula>SEARCH("RICHIESTO",$M84)&gt;0</formula>
    </cfRule>
    <cfRule type="expression" priority="1475" dxfId="56">
      <formula>SEARCH("DA CHIUDERE",$M84)&gt;0</formula>
    </cfRule>
    <cfRule type="expression" priority="1476" dxfId="55">
      <formula>SEARCH("INTERROTTO",$M84)&gt;0</formula>
    </cfRule>
  </conditionalFormatting>
  <conditionalFormatting sqref="R84:S84">
    <cfRule type="expression" priority="1465" dxfId="60">
      <formula>SEARCH("IN CORSO",$M84)&gt;0</formula>
    </cfRule>
    <cfRule type="expression" priority="1466" dxfId="59">
      <formula>SEARCH("CHIUSO",$M84)&gt;0</formula>
    </cfRule>
    <cfRule type="expression" priority="1467" dxfId="58">
      <formula>SEARCH("EMESSO",$M84)&gt;0</formula>
    </cfRule>
    <cfRule type="expression" priority="1468" dxfId="57">
      <formula>SEARCH("RICHIESTO",$M84)&gt;0</formula>
    </cfRule>
    <cfRule type="expression" priority="1469" dxfId="56">
      <formula>SEARCH("DA CHIUDERE",$M84)&gt;0</formula>
    </cfRule>
    <cfRule type="expression" priority="1470" dxfId="55">
      <formula>SEARCH("INTERROTTO",$M84)&gt;0</formula>
    </cfRule>
  </conditionalFormatting>
  <conditionalFormatting sqref="M84">
    <cfRule type="expression" priority="1459" dxfId="60">
      <formula>SEARCH("IN CORSO",$M84)&gt;0</formula>
    </cfRule>
    <cfRule type="expression" priority="1460" dxfId="59">
      <formula>SEARCH("CHIUSO",$M84)&gt;0</formula>
    </cfRule>
    <cfRule type="expression" priority="1461" dxfId="58">
      <formula>SEARCH("EMESSO",$M84)&gt;0</formula>
    </cfRule>
    <cfRule type="expression" priority="1462" dxfId="57">
      <formula>SEARCH("RICHIESTO",$M84)&gt;0</formula>
    </cfRule>
    <cfRule type="expression" priority="1463" dxfId="56">
      <formula>SEARCH("DA CHIUDERE",$M84)&gt;0</formula>
    </cfRule>
    <cfRule type="expression" priority="1464" dxfId="55">
      <formula>SEARCH("INTERROTTO",$M84)&gt;0</formula>
    </cfRule>
  </conditionalFormatting>
  <conditionalFormatting sqref="E83:G83 N83:Q83">
    <cfRule type="expression" priority="1435" dxfId="60">
      <formula>SEARCH("IN CORSO",$M83)&gt;0</formula>
    </cfRule>
    <cfRule type="expression" priority="1436" dxfId="59">
      <formula>SEARCH("CHIUSO",$M83)&gt;0</formula>
    </cfRule>
    <cfRule type="expression" priority="1437" dxfId="58">
      <formula>SEARCH("EMESSO",$M83)&gt;0</formula>
    </cfRule>
    <cfRule type="expression" priority="1438" dxfId="57">
      <formula>SEARCH("RICHIESTO",$M83)&gt;0</formula>
    </cfRule>
    <cfRule type="expression" priority="1439" dxfId="56">
      <formula>SEARCH("DA CHIUDERE",$M83)&gt;0</formula>
    </cfRule>
    <cfRule type="expression" priority="1440" dxfId="55">
      <formula>SEARCH("INTERROTTO",$M83)&gt;0</formula>
    </cfRule>
  </conditionalFormatting>
  <conditionalFormatting sqref="R83:S83">
    <cfRule type="expression" priority="1429" dxfId="60">
      <formula>SEARCH("IN CORSO",$M83)&gt;0</formula>
    </cfRule>
    <cfRule type="expression" priority="1430" dxfId="59">
      <formula>SEARCH("CHIUSO",$M83)&gt;0</formula>
    </cfRule>
    <cfRule type="expression" priority="1431" dxfId="58">
      <formula>SEARCH("EMESSO",$M83)&gt;0</formula>
    </cfRule>
    <cfRule type="expression" priority="1432" dxfId="57">
      <formula>SEARCH("RICHIESTO",$M83)&gt;0</formula>
    </cfRule>
    <cfRule type="expression" priority="1433" dxfId="56">
      <formula>SEARCH("DA CHIUDERE",$M83)&gt;0</formula>
    </cfRule>
    <cfRule type="expression" priority="1434" dxfId="55">
      <formula>SEARCH("INTERROTTO",$M83)&gt;0</formula>
    </cfRule>
  </conditionalFormatting>
  <conditionalFormatting sqref="M83">
    <cfRule type="expression" priority="1423" dxfId="60">
      <formula>SEARCH("IN CORSO",$M83)&gt;0</formula>
    </cfRule>
    <cfRule type="expression" priority="1424" dxfId="59">
      <formula>SEARCH("CHIUSO",$M83)&gt;0</formula>
    </cfRule>
    <cfRule type="expression" priority="1425" dxfId="58">
      <formula>SEARCH("EMESSO",$M83)&gt;0</formula>
    </cfRule>
    <cfRule type="expression" priority="1426" dxfId="57">
      <formula>SEARCH("RICHIESTO",$M83)&gt;0</formula>
    </cfRule>
    <cfRule type="expression" priority="1427" dxfId="56">
      <formula>SEARCH("DA CHIUDERE",$M83)&gt;0</formula>
    </cfRule>
    <cfRule type="expression" priority="1428" dxfId="55">
      <formula>SEARCH("INTERROTTO",$M83)&gt;0</formula>
    </cfRule>
  </conditionalFormatting>
  <conditionalFormatting sqref="E82:G82 N82:Q82">
    <cfRule type="expression" priority="1417" dxfId="60">
      <formula>SEARCH("IN CORSO",$M82)&gt;0</formula>
    </cfRule>
    <cfRule type="expression" priority="1418" dxfId="59">
      <formula>SEARCH("CHIUSO",$M82)&gt;0</formula>
    </cfRule>
    <cfRule type="expression" priority="1419" dxfId="58">
      <formula>SEARCH("EMESSO",$M82)&gt;0</formula>
    </cfRule>
    <cfRule type="expression" priority="1420" dxfId="57">
      <formula>SEARCH("RICHIESTO",$M82)&gt;0</formula>
    </cfRule>
    <cfRule type="expression" priority="1421" dxfId="56">
      <formula>SEARCH("DA CHIUDERE",$M82)&gt;0</formula>
    </cfRule>
    <cfRule type="expression" priority="1422" dxfId="55">
      <formula>SEARCH("INTERROTTO",$M82)&gt;0</formula>
    </cfRule>
  </conditionalFormatting>
  <conditionalFormatting sqref="R82:S82">
    <cfRule type="expression" priority="1411" dxfId="60">
      <formula>SEARCH("IN CORSO",$M82)&gt;0</formula>
    </cfRule>
    <cfRule type="expression" priority="1412" dxfId="59">
      <formula>SEARCH("CHIUSO",$M82)&gt;0</formula>
    </cfRule>
    <cfRule type="expression" priority="1413" dxfId="58">
      <formula>SEARCH("EMESSO",$M82)&gt;0</formula>
    </cfRule>
    <cfRule type="expression" priority="1414" dxfId="57">
      <formula>SEARCH("RICHIESTO",$M82)&gt;0</formula>
    </cfRule>
    <cfRule type="expression" priority="1415" dxfId="56">
      <formula>SEARCH("DA CHIUDERE",$M82)&gt;0</formula>
    </cfRule>
    <cfRule type="expression" priority="1416" dxfId="55">
      <formula>SEARCH("INTERROTTO",$M82)&gt;0</formula>
    </cfRule>
  </conditionalFormatting>
  <conditionalFormatting sqref="M82">
    <cfRule type="expression" priority="1405" dxfId="60">
      <formula>SEARCH("IN CORSO",$M82)&gt;0</formula>
    </cfRule>
    <cfRule type="expression" priority="1406" dxfId="59">
      <formula>SEARCH("CHIUSO",$M82)&gt;0</formula>
    </cfRule>
    <cfRule type="expression" priority="1407" dxfId="58">
      <formula>SEARCH("EMESSO",$M82)&gt;0</formula>
    </cfRule>
    <cfRule type="expression" priority="1408" dxfId="57">
      <formula>SEARCH("RICHIESTO",$M82)&gt;0</formula>
    </cfRule>
    <cfRule type="expression" priority="1409" dxfId="56">
      <formula>SEARCH("DA CHIUDERE",$M82)&gt;0</formula>
    </cfRule>
    <cfRule type="expression" priority="1410" dxfId="55">
      <formula>SEARCH("INTERROTTO",$M82)&gt;0</formula>
    </cfRule>
  </conditionalFormatting>
  <conditionalFormatting sqref="E81:G81 N81:Q81">
    <cfRule type="expression" priority="1399" dxfId="60">
      <formula>SEARCH("IN CORSO",$M81)&gt;0</formula>
    </cfRule>
    <cfRule type="expression" priority="1400" dxfId="59">
      <formula>SEARCH("CHIUSO",$M81)&gt;0</formula>
    </cfRule>
    <cfRule type="expression" priority="1401" dxfId="58">
      <formula>SEARCH("EMESSO",$M81)&gt;0</formula>
    </cfRule>
    <cfRule type="expression" priority="1402" dxfId="57">
      <formula>SEARCH("RICHIESTO",$M81)&gt;0</formula>
    </cfRule>
    <cfRule type="expression" priority="1403" dxfId="56">
      <formula>SEARCH("DA CHIUDERE",$M81)&gt;0</formula>
    </cfRule>
    <cfRule type="expression" priority="1404" dxfId="55">
      <formula>SEARCH("INTERROTTO",$M81)&gt;0</formula>
    </cfRule>
  </conditionalFormatting>
  <conditionalFormatting sqref="R81:S81">
    <cfRule type="expression" priority="1393" dxfId="60">
      <formula>SEARCH("IN CORSO",$M81)&gt;0</formula>
    </cfRule>
    <cfRule type="expression" priority="1394" dxfId="59">
      <formula>SEARCH("CHIUSO",$M81)&gt;0</formula>
    </cfRule>
    <cfRule type="expression" priority="1395" dxfId="58">
      <formula>SEARCH("EMESSO",$M81)&gt;0</formula>
    </cfRule>
    <cfRule type="expression" priority="1396" dxfId="57">
      <formula>SEARCH("RICHIESTO",$M81)&gt;0</formula>
    </cfRule>
    <cfRule type="expression" priority="1397" dxfId="56">
      <formula>SEARCH("DA CHIUDERE",$M81)&gt;0</formula>
    </cfRule>
    <cfRule type="expression" priority="1398" dxfId="55">
      <formula>SEARCH("INTERROTTO",$M81)&gt;0</formula>
    </cfRule>
  </conditionalFormatting>
  <conditionalFormatting sqref="M81">
    <cfRule type="expression" priority="1387" dxfId="60">
      <formula>SEARCH("IN CORSO",$M81)&gt;0</formula>
    </cfRule>
    <cfRule type="expression" priority="1388" dxfId="59">
      <formula>SEARCH("CHIUSO",$M81)&gt;0</formula>
    </cfRule>
    <cfRule type="expression" priority="1389" dxfId="58">
      <formula>SEARCH("EMESSO",$M81)&gt;0</formula>
    </cfRule>
    <cfRule type="expression" priority="1390" dxfId="57">
      <formula>SEARCH("RICHIESTO",$M81)&gt;0</formula>
    </cfRule>
    <cfRule type="expression" priority="1391" dxfId="56">
      <formula>SEARCH("DA CHIUDERE",$M81)&gt;0</formula>
    </cfRule>
    <cfRule type="expression" priority="1392" dxfId="55">
      <formula>SEARCH("INTERROTTO",$M81)&gt;0</formula>
    </cfRule>
  </conditionalFormatting>
  <conditionalFormatting sqref="E80:G80 N80:Q80">
    <cfRule type="expression" priority="1381" dxfId="60">
      <formula>SEARCH("IN CORSO",$M80)&gt;0</formula>
    </cfRule>
    <cfRule type="expression" priority="1382" dxfId="59">
      <formula>SEARCH("CHIUSO",$M80)&gt;0</formula>
    </cfRule>
    <cfRule type="expression" priority="1383" dxfId="58">
      <formula>SEARCH("EMESSO",$M80)&gt;0</formula>
    </cfRule>
    <cfRule type="expression" priority="1384" dxfId="57">
      <formula>SEARCH("RICHIESTO",$M80)&gt;0</formula>
    </cfRule>
    <cfRule type="expression" priority="1385" dxfId="56">
      <formula>SEARCH("DA CHIUDERE",$M80)&gt;0</formula>
    </cfRule>
    <cfRule type="expression" priority="1386" dxfId="55">
      <formula>SEARCH("INTERROTTO",$M80)&gt;0</formula>
    </cfRule>
  </conditionalFormatting>
  <conditionalFormatting sqref="R80:S80">
    <cfRule type="expression" priority="1375" dxfId="60">
      <formula>SEARCH("IN CORSO",$M80)&gt;0</formula>
    </cfRule>
    <cfRule type="expression" priority="1376" dxfId="59">
      <formula>SEARCH("CHIUSO",$M80)&gt;0</formula>
    </cfRule>
    <cfRule type="expression" priority="1377" dxfId="58">
      <formula>SEARCH("EMESSO",$M80)&gt;0</formula>
    </cfRule>
    <cfRule type="expression" priority="1378" dxfId="57">
      <formula>SEARCH("RICHIESTO",$M80)&gt;0</formula>
    </cfRule>
    <cfRule type="expression" priority="1379" dxfId="56">
      <formula>SEARCH("DA CHIUDERE",$M80)&gt;0</formula>
    </cfRule>
    <cfRule type="expression" priority="1380" dxfId="55">
      <formula>SEARCH("INTERROTTO",$M80)&gt;0</formula>
    </cfRule>
  </conditionalFormatting>
  <conditionalFormatting sqref="M80">
    <cfRule type="expression" priority="1369" dxfId="60">
      <formula>SEARCH("IN CORSO",$M80)&gt;0</formula>
    </cfRule>
    <cfRule type="expression" priority="1370" dxfId="59">
      <formula>SEARCH("CHIUSO",$M80)&gt;0</formula>
    </cfRule>
    <cfRule type="expression" priority="1371" dxfId="58">
      <formula>SEARCH("EMESSO",$M80)&gt;0</formula>
    </cfRule>
    <cfRule type="expression" priority="1372" dxfId="57">
      <formula>SEARCH("RICHIESTO",$M80)&gt;0</formula>
    </cfRule>
    <cfRule type="expression" priority="1373" dxfId="56">
      <formula>SEARCH("DA CHIUDERE",$M80)&gt;0</formula>
    </cfRule>
    <cfRule type="expression" priority="1374" dxfId="55">
      <formula>SEARCH("INTERROTTO",$M80)&gt;0</formula>
    </cfRule>
  </conditionalFormatting>
  <conditionalFormatting sqref="E79:G79 N79:Q79">
    <cfRule type="expression" priority="1363" dxfId="60">
      <formula>SEARCH("IN CORSO",$M79)&gt;0</formula>
    </cfRule>
    <cfRule type="expression" priority="1364" dxfId="59">
      <formula>SEARCH("CHIUSO",$M79)&gt;0</formula>
    </cfRule>
    <cfRule type="expression" priority="1365" dxfId="58">
      <formula>SEARCH("EMESSO",$M79)&gt;0</formula>
    </cfRule>
    <cfRule type="expression" priority="1366" dxfId="57">
      <formula>SEARCH("RICHIESTO",$M79)&gt;0</formula>
    </cfRule>
    <cfRule type="expression" priority="1367" dxfId="56">
      <formula>SEARCH("DA CHIUDERE",$M79)&gt;0</formula>
    </cfRule>
    <cfRule type="expression" priority="1368" dxfId="55">
      <formula>SEARCH("INTERROTTO",$M79)&gt;0</formula>
    </cfRule>
  </conditionalFormatting>
  <conditionalFormatting sqref="R79:S79">
    <cfRule type="expression" priority="1357" dxfId="60">
      <formula>SEARCH("IN CORSO",$M79)&gt;0</formula>
    </cfRule>
    <cfRule type="expression" priority="1358" dxfId="59">
      <formula>SEARCH("CHIUSO",$M79)&gt;0</formula>
    </cfRule>
    <cfRule type="expression" priority="1359" dxfId="58">
      <formula>SEARCH("EMESSO",$M79)&gt;0</formula>
    </cfRule>
    <cfRule type="expression" priority="1360" dxfId="57">
      <formula>SEARCH("RICHIESTO",$M79)&gt;0</formula>
    </cfRule>
    <cfRule type="expression" priority="1361" dxfId="56">
      <formula>SEARCH("DA CHIUDERE",$M79)&gt;0</formula>
    </cfRule>
    <cfRule type="expression" priority="1362" dxfId="55">
      <formula>SEARCH("INTERROTTO",$M79)&gt;0</formula>
    </cfRule>
  </conditionalFormatting>
  <conditionalFormatting sqref="M79">
    <cfRule type="expression" priority="1351" dxfId="60">
      <formula>SEARCH("IN CORSO",$M79)&gt;0</formula>
    </cfRule>
    <cfRule type="expression" priority="1352" dxfId="59">
      <formula>SEARCH("CHIUSO",$M79)&gt;0</formula>
    </cfRule>
    <cfRule type="expression" priority="1353" dxfId="58">
      <formula>SEARCH("EMESSO",$M79)&gt;0</formula>
    </cfRule>
    <cfRule type="expression" priority="1354" dxfId="57">
      <formula>SEARCH("RICHIESTO",$M79)&gt;0</formula>
    </cfRule>
    <cfRule type="expression" priority="1355" dxfId="56">
      <formula>SEARCH("DA CHIUDERE",$M79)&gt;0</formula>
    </cfRule>
    <cfRule type="expression" priority="1356" dxfId="55">
      <formula>SEARCH("INTERROTTO",$M79)&gt;0</formula>
    </cfRule>
  </conditionalFormatting>
  <conditionalFormatting sqref="E78:G78 N78:Q78">
    <cfRule type="expression" priority="1345" dxfId="60">
      <formula>SEARCH("IN CORSO",$M78)&gt;0</formula>
    </cfRule>
    <cfRule type="expression" priority="1346" dxfId="59">
      <formula>SEARCH("CHIUSO",$M78)&gt;0</formula>
    </cfRule>
    <cfRule type="expression" priority="1347" dxfId="58">
      <formula>SEARCH("EMESSO",$M78)&gt;0</formula>
    </cfRule>
    <cfRule type="expression" priority="1348" dxfId="57">
      <formula>SEARCH("RICHIESTO",$M78)&gt;0</formula>
    </cfRule>
    <cfRule type="expression" priority="1349" dxfId="56">
      <formula>SEARCH("DA CHIUDERE",$M78)&gt;0</formula>
    </cfRule>
    <cfRule type="expression" priority="1350" dxfId="55">
      <formula>SEARCH("INTERROTTO",$M78)&gt;0</formula>
    </cfRule>
  </conditionalFormatting>
  <conditionalFormatting sqref="R78:S78">
    <cfRule type="expression" priority="1339" dxfId="60">
      <formula>SEARCH("IN CORSO",$M78)&gt;0</formula>
    </cfRule>
    <cfRule type="expression" priority="1340" dxfId="59">
      <formula>SEARCH("CHIUSO",$M78)&gt;0</formula>
    </cfRule>
    <cfRule type="expression" priority="1341" dxfId="58">
      <formula>SEARCH("EMESSO",$M78)&gt;0</formula>
    </cfRule>
    <cfRule type="expression" priority="1342" dxfId="57">
      <formula>SEARCH("RICHIESTO",$M78)&gt;0</formula>
    </cfRule>
    <cfRule type="expression" priority="1343" dxfId="56">
      <formula>SEARCH("DA CHIUDERE",$M78)&gt;0</formula>
    </cfRule>
    <cfRule type="expression" priority="1344" dxfId="55">
      <formula>SEARCH("INTERROTTO",$M78)&gt;0</formula>
    </cfRule>
  </conditionalFormatting>
  <conditionalFormatting sqref="M78">
    <cfRule type="expression" priority="1333" dxfId="60">
      <formula>SEARCH("IN CORSO",$M78)&gt;0</formula>
    </cfRule>
    <cfRule type="expression" priority="1334" dxfId="59">
      <formula>SEARCH("CHIUSO",$M78)&gt;0</formula>
    </cfRule>
    <cfRule type="expression" priority="1335" dxfId="58">
      <formula>SEARCH("EMESSO",$M78)&gt;0</formula>
    </cfRule>
    <cfRule type="expression" priority="1336" dxfId="57">
      <formula>SEARCH("RICHIESTO",$M78)&gt;0</formula>
    </cfRule>
    <cfRule type="expression" priority="1337" dxfId="56">
      <formula>SEARCH("DA CHIUDERE",$M78)&gt;0</formula>
    </cfRule>
    <cfRule type="expression" priority="1338" dxfId="55">
      <formula>SEARCH("INTERROTTO",$M78)&gt;0</formula>
    </cfRule>
  </conditionalFormatting>
  <conditionalFormatting sqref="E77:G77 N77:Q77">
    <cfRule type="expression" priority="1327" dxfId="60">
      <formula>SEARCH("IN CORSO",$M77)&gt;0</formula>
    </cfRule>
    <cfRule type="expression" priority="1328" dxfId="59">
      <formula>SEARCH("CHIUSO",$M77)&gt;0</formula>
    </cfRule>
    <cfRule type="expression" priority="1329" dxfId="58">
      <formula>SEARCH("EMESSO",$M77)&gt;0</formula>
    </cfRule>
    <cfRule type="expression" priority="1330" dxfId="57">
      <formula>SEARCH("RICHIESTO",$M77)&gt;0</formula>
    </cfRule>
    <cfRule type="expression" priority="1331" dxfId="56">
      <formula>SEARCH("DA CHIUDERE",$M77)&gt;0</formula>
    </cfRule>
    <cfRule type="expression" priority="1332" dxfId="55">
      <formula>SEARCH("INTERROTTO",$M77)&gt;0</formula>
    </cfRule>
  </conditionalFormatting>
  <conditionalFormatting sqref="R77:S77">
    <cfRule type="expression" priority="1321" dxfId="60">
      <formula>SEARCH("IN CORSO",$M77)&gt;0</formula>
    </cfRule>
    <cfRule type="expression" priority="1322" dxfId="59">
      <formula>SEARCH("CHIUSO",$M77)&gt;0</formula>
    </cfRule>
    <cfRule type="expression" priority="1323" dxfId="58">
      <formula>SEARCH("EMESSO",$M77)&gt;0</formula>
    </cfRule>
    <cfRule type="expression" priority="1324" dxfId="57">
      <formula>SEARCH("RICHIESTO",$M77)&gt;0</formula>
    </cfRule>
    <cfRule type="expression" priority="1325" dxfId="56">
      <formula>SEARCH("DA CHIUDERE",$M77)&gt;0</formula>
    </cfRule>
    <cfRule type="expression" priority="1326" dxfId="55">
      <formula>SEARCH("INTERROTTO",$M77)&gt;0</formula>
    </cfRule>
  </conditionalFormatting>
  <conditionalFormatting sqref="M77">
    <cfRule type="expression" priority="1315" dxfId="60">
      <formula>SEARCH("IN CORSO",$M77)&gt;0</formula>
    </cfRule>
    <cfRule type="expression" priority="1316" dxfId="59">
      <formula>SEARCH("CHIUSO",$M77)&gt;0</formula>
    </cfRule>
    <cfRule type="expression" priority="1317" dxfId="58">
      <formula>SEARCH("EMESSO",$M77)&gt;0</formula>
    </cfRule>
    <cfRule type="expression" priority="1318" dxfId="57">
      <formula>SEARCH("RICHIESTO",$M77)&gt;0</formula>
    </cfRule>
    <cfRule type="expression" priority="1319" dxfId="56">
      <formula>SEARCH("DA CHIUDERE",$M77)&gt;0</formula>
    </cfRule>
    <cfRule type="expression" priority="1320" dxfId="55">
      <formula>SEARCH("INTERROTTO",$M77)&gt;0</formula>
    </cfRule>
  </conditionalFormatting>
  <conditionalFormatting sqref="E76:G76 N76:Q76">
    <cfRule type="expression" priority="1309" dxfId="60">
      <formula>SEARCH("IN CORSO",$M76)&gt;0</formula>
    </cfRule>
    <cfRule type="expression" priority="1310" dxfId="59">
      <formula>SEARCH("CHIUSO",$M76)&gt;0</formula>
    </cfRule>
    <cfRule type="expression" priority="1311" dxfId="58">
      <formula>SEARCH("EMESSO",$M76)&gt;0</formula>
    </cfRule>
    <cfRule type="expression" priority="1312" dxfId="57">
      <formula>SEARCH("RICHIESTO",$M76)&gt;0</formula>
    </cfRule>
    <cfRule type="expression" priority="1313" dxfId="56">
      <formula>SEARCH("DA CHIUDERE",$M76)&gt;0</formula>
    </cfRule>
    <cfRule type="expression" priority="1314" dxfId="55">
      <formula>SEARCH("INTERROTTO",$M76)&gt;0</formula>
    </cfRule>
  </conditionalFormatting>
  <conditionalFormatting sqref="R76:S76">
    <cfRule type="expression" priority="1303" dxfId="60">
      <formula>SEARCH("IN CORSO",$M76)&gt;0</formula>
    </cfRule>
    <cfRule type="expression" priority="1304" dxfId="59">
      <formula>SEARCH("CHIUSO",$M76)&gt;0</formula>
    </cfRule>
    <cfRule type="expression" priority="1305" dxfId="58">
      <formula>SEARCH("EMESSO",$M76)&gt;0</formula>
    </cfRule>
    <cfRule type="expression" priority="1306" dxfId="57">
      <formula>SEARCH("RICHIESTO",$M76)&gt;0</formula>
    </cfRule>
    <cfRule type="expression" priority="1307" dxfId="56">
      <formula>SEARCH("DA CHIUDERE",$M76)&gt;0</formula>
    </cfRule>
    <cfRule type="expression" priority="1308" dxfId="55">
      <formula>SEARCH("INTERROTTO",$M76)&gt;0</formula>
    </cfRule>
  </conditionalFormatting>
  <conditionalFormatting sqref="M76">
    <cfRule type="expression" priority="1297" dxfId="60">
      <formula>SEARCH("IN CORSO",$M76)&gt;0</formula>
    </cfRule>
    <cfRule type="expression" priority="1298" dxfId="59">
      <formula>SEARCH("CHIUSO",$M76)&gt;0</formula>
    </cfRule>
    <cfRule type="expression" priority="1299" dxfId="58">
      <formula>SEARCH("EMESSO",$M76)&gt;0</formula>
    </cfRule>
    <cfRule type="expression" priority="1300" dxfId="57">
      <formula>SEARCH("RICHIESTO",$M76)&gt;0</formula>
    </cfRule>
    <cfRule type="expression" priority="1301" dxfId="56">
      <formula>SEARCH("DA CHIUDERE",$M76)&gt;0</formula>
    </cfRule>
    <cfRule type="expression" priority="1302" dxfId="55">
      <formula>SEARCH("INTERROTTO",$M76)&gt;0</formula>
    </cfRule>
  </conditionalFormatting>
  <conditionalFormatting sqref="E75:G75 N75:Q75">
    <cfRule type="expression" priority="1291" dxfId="60">
      <formula>SEARCH("IN CORSO",$M75)&gt;0</formula>
    </cfRule>
    <cfRule type="expression" priority="1292" dxfId="59">
      <formula>SEARCH("CHIUSO",$M75)&gt;0</formula>
    </cfRule>
    <cfRule type="expression" priority="1293" dxfId="58">
      <formula>SEARCH("EMESSO",$M75)&gt;0</formula>
    </cfRule>
    <cfRule type="expression" priority="1294" dxfId="57">
      <formula>SEARCH("RICHIESTO",$M75)&gt;0</formula>
    </cfRule>
    <cfRule type="expression" priority="1295" dxfId="56">
      <formula>SEARCH("DA CHIUDERE",$M75)&gt;0</formula>
    </cfRule>
    <cfRule type="expression" priority="1296" dxfId="55">
      <formula>SEARCH("INTERROTTO",$M75)&gt;0</formula>
    </cfRule>
  </conditionalFormatting>
  <conditionalFormatting sqref="R75:S75">
    <cfRule type="expression" priority="1285" dxfId="60">
      <formula>SEARCH("IN CORSO",$M75)&gt;0</formula>
    </cfRule>
    <cfRule type="expression" priority="1286" dxfId="59">
      <formula>SEARCH("CHIUSO",$M75)&gt;0</formula>
    </cfRule>
    <cfRule type="expression" priority="1287" dxfId="58">
      <formula>SEARCH("EMESSO",$M75)&gt;0</formula>
    </cfRule>
    <cfRule type="expression" priority="1288" dxfId="57">
      <formula>SEARCH("RICHIESTO",$M75)&gt;0</formula>
    </cfRule>
    <cfRule type="expression" priority="1289" dxfId="56">
      <formula>SEARCH("DA CHIUDERE",$M75)&gt;0</formula>
    </cfRule>
    <cfRule type="expression" priority="1290" dxfId="55">
      <formula>SEARCH("INTERROTTO",$M75)&gt;0</formula>
    </cfRule>
  </conditionalFormatting>
  <conditionalFormatting sqref="M75">
    <cfRule type="expression" priority="1279" dxfId="60">
      <formula>SEARCH("IN CORSO",$M75)&gt;0</formula>
    </cfRule>
    <cfRule type="expression" priority="1280" dxfId="59">
      <formula>SEARCH("CHIUSO",$M75)&gt;0</formula>
    </cfRule>
    <cfRule type="expression" priority="1281" dxfId="58">
      <formula>SEARCH("EMESSO",$M75)&gt;0</formula>
    </cfRule>
    <cfRule type="expression" priority="1282" dxfId="57">
      <formula>SEARCH("RICHIESTO",$M75)&gt;0</formula>
    </cfRule>
    <cfRule type="expression" priority="1283" dxfId="56">
      <formula>SEARCH("DA CHIUDERE",$M75)&gt;0</formula>
    </cfRule>
    <cfRule type="expression" priority="1284" dxfId="55">
      <formula>SEARCH("INTERROTTO",$M75)&gt;0</formula>
    </cfRule>
  </conditionalFormatting>
  <conditionalFormatting sqref="E74:G74 N74:Q74">
    <cfRule type="expression" priority="1273" dxfId="60">
      <formula>SEARCH("IN CORSO",$M74)&gt;0</formula>
    </cfRule>
    <cfRule type="expression" priority="1274" dxfId="59">
      <formula>SEARCH("CHIUSO",$M74)&gt;0</formula>
    </cfRule>
    <cfRule type="expression" priority="1275" dxfId="58">
      <formula>SEARCH("EMESSO",$M74)&gt;0</formula>
    </cfRule>
    <cfRule type="expression" priority="1276" dxfId="57">
      <formula>SEARCH("RICHIESTO",$M74)&gt;0</formula>
    </cfRule>
    <cfRule type="expression" priority="1277" dxfId="56">
      <formula>SEARCH("DA CHIUDERE",$M74)&gt;0</formula>
    </cfRule>
    <cfRule type="expression" priority="1278" dxfId="55">
      <formula>SEARCH("INTERROTTO",$M74)&gt;0</formula>
    </cfRule>
  </conditionalFormatting>
  <conditionalFormatting sqref="R74:S74">
    <cfRule type="expression" priority="1267" dxfId="60">
      <formula>SEARCH("IN CORSO",$M74)&gt;0</formula>
    </cfRule>
    <cfRule type="expression" priority="1268" dxfId="59">
      <formula>SEARCH("CHIUSO",$M74)&gt;0</formula>
    </cfRule>
    <cfRule type="expression" priority="1269" dxfId="58">
      <formula>SEARCH("EMESSO",$M74)&gt;0</formula>
    </cfRule>
    <cfRule type="expression" priority="1270" dxfId="57">
      <formula>SEARCH("RICHIESTO",$M74)&gt;0</formula>
    </cfRule>
    <cfRule type="expression" priority="1271" dxfId="56">
      <formula>SEARCH("DA CHIUDERE",$M74)&gt;0</formula>
    </cfRule>
    <cfRule type="expression" priority="1272" dxfId="55">
      <formula>SEARCH("INTERROTTO",$M74)&gt;0</formula>
    </cfRule>
  </conditionalFormatting>
  <conditionalFormatting sqref="M74">
    <cfRule type="expression" priority="1261" dxfId="60">
      <formula>SEARCH("IN CORSO",$M74)&gt;0</formula>
    </cfRule>
    <cfRule type="expression" priority="1262" dxfId="59">
      <formula>SEARCH("CHIUSO",$M74)&gt;0</formula>
    </cfRule>
    <cfRule type="expression" priority="1263" dxfId="58">
      <formula>SEARCH("EMESSO",$M74)&gt;0</formula>
    </cfRule>
    <cfRule type="expression" priority="1264" dxfId="57">
      <formula>SEARCH("RICHIESTO",$M74)&gt;0</formula>
    </cfRule>
    <cfRule type="expression" priority="1265" dxfId="56">
      <formula>SEARCH("DA CHIUDERE",$M74)&gt;0</formula>
    </cfRule>
    <cfRule type="expression" priority="1266" dxfId="55">
      <formula>SEARCH("INTERROTTO",$M74)&gt;0</formula>
    </cfRule>
  </conditionalFormatting>
  <conditionalFormatting sqref="E73:G73 N73:Q73">
    <cfRule type="expression" priority="1255" dxfId="60">
      <formula>SEARCH("IN CORSO",$M73)&gt;0</formula>
    </cfRule>
    <cfRule type="expression" priority="1256" dxfId="59">
      <formula>SEARCH("CHIUSO",$M73)&gt;0</formula>
    </cfRule>
    <cfRule type="expression" priority="1257" dxfId="58">
      <formula>SEARCH("EMESSO",$M73)&gt;0</formula>
    </cfRule>
    <cfRule type="expression" priority="1258" dxfId="57">
      <formula>SEARCH("RICHIESTO",$M73)&gt;0</formula>
    </cfRule>
    <cfRule type="expression" priority="1259" dxfId="56">
      <formula>SEARCH("DA CHIUDERE",$M73)&gt;0</formula>
    </cfRule>
    <cfRule type="expression" priority="1260" dxfId="55">
      <formula>SEARCH("INTERROTTO",$M73)&gt;0</formula>
    </cfRule>
  </conditionalFormatting>
  <conditionalFormatting sqref="R73:S73">
    <cfRule type="expression" priority="1249" dxfId="60">
      <formula>SEARCH("IN CORSO",$M73)&gt;0</formula>
    </cfRule>
    <cfRule type="expression" priority="1250" dxfId="59">
      <formula>SEARCH("CHIUSO",$M73)&gt;0</formula>
    </cfRule>
    <cfRule type="expression" priority="1251" dxfId="58">
      <formula>SEARCH("EMESSO",$M73)&gt;0</formula>
    </cfRule>
    <cfRule type="expression" priority="1252" dxfId="57">
      <formula>SEARCH("RICHIESTO",$M73)&gt;0</formula>
    </cfRule>
    <cfRule type="expression" priority="1253" dxfId="56">
      <formula>SEARCH("DA CHIUDERE",$M73)&gt;0</formula>
    </cfRule>
    <cfRule type="expression" priority="1254" dxfId="55">
      <formula>SEARCH("INTERROTTO",$M73)&gt;0</formula>
    </cfRule>
  </conditionalFormatting>
  <conditionalFormatting sqref="M73">
    <cfRule type="expression" priority="1243" dxfId="60">
      <formula>SEARCH("IN CORSO",$M73)&gt;0</formula>
    </cfRule>
    <cfRule type="expression" priority="1244" dxfId="59">
      <formula>SEARCH("CHIUSO",$M73)&gt;0</formula>
    </cfRule>
    <cfRule type="expression" priority="1245" dxfId="58">
      <formula>SEARCH("EMESSO",$M73)&gt;0</formula>
    </cfRule>
    <cfRule type="expression" priority="1246" dxfId="57">
      <formula>SEARCH("RICHIESTO",$M73)&gt;0</formula>
    </cfRule>
    <cfRule type="expression" priority="1247" dxfId="56">
      <formula>SEARCH("DA CHIUDERE",$M73)&gt;0</formula>
    </cfRule>
    <cfRule type="expression" priority="1248" dxfId="55">
      <formula>SEARCH("INTERROTTO",$M73)&gt;0</formula>
    </cfRule>
  </conditionalFormatting>
  <conditionalFormatting sqref="E72:G72 N72:Q72">
    <cfRule type="expression" priority="1237" dxfId="60">
      <formula>SEARCH("IN CORSO",$M72)&gt;0</formula>
    </cfRule>
    <cfRule type="expression" priority="1238" dxfId="59">
      <formula>SEARCH("CHIUSO",$M72)&gt;0</formula>
    </cfRule>
    <cfRule type="expression" priority="1239" dxfId="58">
      <formula>SEARCH("EMESSO",$M72)&gt;0</formula>
    </cfRule>
    <cfRule type="expression" priority="1240" dxfId="57">
      <formula>SEARCH("RICHIESTO",$M72)&gt;0</formula>
    </cfRule>
    <cfRule type="expression" priority="1241" dxfId="56">
      <formula>SEARCH("DA CHIUDERE",$M72)&gt;0</formula>
    </cfRule>
    <cfRule type="expression" priority="1242" dxfId="55">
      <formula>SEARCH("INTERROTTO",$M72)&gt;0</formula>
    </cfRule>
  </conditionalFormatting>
  <conditionalFormatting sqref="R72:S72">
    <cfRule type="expression" priority="1231" dxfId="60">
      <formula>SEARCH("IN CORSO",$M72)&gt;0</formula>
    </cfRule>
    <cfRule type="expression" priority="1232" dxfId="59">
      <formula>SEARCH("CHIUSO",$M72)&gt;0</formula>
    </cfRule>
    <cfRule type="expression" priority="1233" dxfId="58">
      <formula>SEARCH("EMESSO",$M72)&gt;0</formula>
    </cfRule>
    <cfRule type="expression" priority="1234" dxfId="57">
      <formula>SEARCH("RICHIESTO",$M72)&gt;0</formula>
    </cfRule>
    <cfRule type="expression" priority="1235" dxfId="56">
      <formula>SEARCH("DA CHIUDERE",$M72)&gt;0</formula>
    </cfRule>
    <cfRule type="expression" priority="1236" dxfId="55">
      <formula>SEARCH("INTERROTTO",$M72)&gt;0</formula>
    </cfRule>
  </conditionalFormatting>
  <conditionalFormatting sqref="M72">
    <cfRule type="expression" priority="1225" dxfId="60">
      <formula>SEARCH("IN CORSO",$M72)&gt;0</formula>
    </cfRule>
    <cfRule type="expression" priority="1226" dxfId="59">
      <formula>SEARCH("CHIUSO",$M72)&gt;0</formula>
    </cfRule>
    <cfRule type="expression" priority="1227" dxfId="58">
      <formula>SEARCH("EMESSO",$M72)&gt;0</formula>
    </cfRule>
    <cfRule type="expression" priority="1228" dxfId="57">
      <formula>SEARCH("RICHIESTO",$M72)&gt;0</formula>
    </cfRule>
    <cfRule type="expression" priority="1229" dxfId="56">
      <formula>SEARCH("DA CHIUDERE",$M72)&gt;0</formula>
    </cfRule>
    <cfRule type="expression" priority="1230" dxfId="55">
      <formula>SEARCH("INTERROTTO",$M72)&gt;0</formula>
    </cfRule>
  </conditionalFormatting>
  <conditionalFormatting sqref="E71:G71 N71:Q71">
    <cfRule type="expression" priority="1219" dxfId="60">
      <formula>SEARCH("IN CORSO",$M71)&gt;0</formula>
    </cfRule>
    <cfRule type="expression" priority="1220" dxfId="59">
      <formula>SEARCH("CHIUSO",$M71)&gt;0</formula>
    </cfRule>
    <cfRule type="expression" priority="1221" dxfId="58">
      <formula>SEARCH("EMESSO",$M71)&gt;0</formula>
    </cfRule>
    <cfRule type="expression" priority="1222" dxfId="57">
      <formula>SEARCH("RICHIESTO",$M71)&gt;0</formula>
    </cfRule>
    <cfRule type="expression" priority="1223" dxfId="56">
      <formula>SEARCH("DA CHIUDERE",$M71)&gt;0</formula>
    </cfRule>
    <cfRule type="expression" priority="1224" dxfId="55">
      <formula>SEARCH("INTERROTTO",$M71)&gt;0</formula>
    </cfRule>
  </conditionalFormatting>
  <conditionalFormatting sqref="R71:S71">
    <cfRule type="expression" priority="1213" dxfId="60">
      <formula>SEARCH("IN CORSO",$M71)&gt;0</formula>
    </cfRule>
    <cfRule type="expression" priority="1214" dxfId="59">
      <formula>SEARCH("CHIUSO",$M71)&gt;0</formula>
    </cfRule>
    <cfRule type="expression" priority="1215" dxfId="58">
      <formula>SEARCH("EMESSO",$M71)&gt;0</formula>
    </cfRule>
    <cfRule type="expression" priority="1216" dxfId="57">
      <formula>SEARCH("RICHIESTO",$M71)&gt;0</formula>
    </cfRule>
    <cfRule type="expression" priority="1217" dxfId="56">
      <formula>SEARCH("DA CHIUDERE",$M71)&gt;0</formula>
    </cfRule>
    <cfRule type="expression" priority="1218" dxfId="55">
      <formula>SEARCH("INTERROTTO",$M71)&gt;0</formula>
    </cfRule>
  </conditionalFormatting>
  <conditionalFormatting sqref="M71">
    <cfRule type="expression" priority="1207" dxfId="60">
      <formula>SEARCH("IN CORSO",$M71)&gt;0</formula>
    </cfRule>
    <cfRule type="expression" priority="1208" dxfId="59">
      <formula>SEARCH("CHIUSO",$M71)&gt;0</formula>
    </cfRule>
    <cfRule type="expression" priority="1209" dxfId="58">
      <formula>SEARCH("EMESSO",$M71)&gt;0</formula>
    </cfRule>
    <cfRule type="expression" priority="1210" dxfId="57">
      <formula>SEARCH("RICHIESTO",$M71)&gt;0</formula>
    </cfRule>
    <cfRule type="expression" priority="1211" dxfId="56">
      <formula>SEARCH("DA CHIUDERE",$M71)&gt;0</formula>
    </cfRule>
    <cfRule type="expression" priority="1212" dxfId="55">
      <formula>SEARCH("INTERROTTO",$M71)&gt;0</formula>
    </cfRule>
  </conditionalFormatting>
  <conditionalFormatting sqref="E70:G70 N70:Q70">
    <cfRule type="expression" priority="1201" dxfId="60">
      <formula>SEARCH("IN CORSO",$M70)&gt;0</formula>
    </cfRule>
    <cfRule type="expression" priority="1202" dxfId="59">
      <formula>SEARCH("CHIUSO",$M70)&gt;0</formula>
    </cfRule>
    <cfRule type="expression" priority="1203" dxfId="58">
      <formula>SEARCH("EMESSO",$M70)&gt;0</formula>
    </cfRule>
    <cfRule type="expression" priority="1204" dxfId="57">
      <formula>SEARCH("RICHIESTO",$M70)&gt;0</formula>
    </cfRule>
    <cfRule type="expression" priority="1205" dxfId="56">
      <formula>SEARCH("DA CHIUDERE",$M70)&gt;0</formula>
    </cfRule>
    <cfRule type="expression" priority="1206" dxfId="55">
      <formula>SEARCH("INTERROTTO",$M70)&gt;0</formula>
    </cfRule>
  </conditionalFormatting>
  <conditionalFormatting sqref="R70:S70">
    <cfRule type="expression" priority="1195" dxfId="60">
      <formula>SEARCH("IN CORSO",$M70)&gt;0</formula>
    </cfRule>
    <cfRule type="expression" priority="1196" dxfId="59">
      <formula>SEARCH("CHIUSO",$M70)&gt;0</formula>
    </cfRule>
    <cfRule type="expression" priority="1197" dxfId="58">
      <formula>SEARCH("EMESSO",$M70)&gt;0</formula>
    </cfRule>
    <cfRule type="expression" priority="1198" dxfId="57">
      <formula>SEARCH("RICHIESTO",$M70)&gt;0</formula>
    </cfRule>
    <cfRule type="expression" priority="1199" dxfId="56">
      <formula>SEARCH("DA CHIUDERE",$M70)&gt;0</formula>
    </cfRule>
    <cfRule type="expression" priority="1200" dxfId="55">
      <formula>SEARCH("INTERROTTO",$M70)&gt;0</formula>
    </cfRule>
  </conditionalFormatting>
  <conditionalFormatting sqref="M70">
    <cfRule type="expression" priority="1189" dxfId="60">
      <formula>SEARCH("IN CORSO",$M70)&gt;0</formula>
    </cfRule>
    <cfRule type="expression" priority="1190" dxfId="59">
      <formula>SEARCH("CHIUSO",$M70)&gt;0</formula>
    </cfRule>
    <cfRule type="expression" priority="1191" dxfId="58">
      <formula>SEARCH("EMESSO",$M70)&gt;0</formula>
    </cfRule>
    <cfRule type="expression" priority="1192" dxfId="57">
      <formula>SEARCH("RICHIESTO",$M70)&gt;0</formula>
    </cfRule>
    <cfRule type="expression" priority="1193" dxfId="56">
      <formula>SEARCH("DA CHIUDERE",$M70)&gt;0</formula>
    </cfRule>
    <cfRule type="expression" priority="1194" dxfId="55">
      <formula>SEARCH("INTERROTTO",$M70)&gt;0</formula>
    </cfRule>
  </conditionalFormatting>
  <conditionalFormatting sqref="E69:G69 N69:Q69">
    <cfRule type="expression" priority="1183" dxfId="60">
      <formula>SEARCH("IN CORSO",$M69)&gt;0</formula>
    </cfRule>
    <cfRule type="expression" priority="1184" dxfId="59">
      <formula>SEARCH("CHIUSO",$M69)&gt;0</formula>
    </cfRule>
    <cfRule type="expression" priority="1185" dxfId="58">
      <formula>SEARCH("EMESSO",$M69)&gt;0</formula>
    </cfRule>
    <cfRule type="expression" priority="1186" dxfId="57">
      <formula>SEARCH("RICHIESTO",$M69)&gt;0</formula>
    </cfRule>
    <cfRule type="expression" priority="1187" dxfId="56">
      <formula>SEARCH("DA CHIUDERE",$M69)&gt;0</formula>
    </cfRule>
    <cfRule type="expression" priority="1188" dxfId="55">
      <formula>SEARCH("INTERROTTO",$M69)&gt;0</formula>
    </cfRule>
  </conditionalFormatting>
  <conditionalFormatting sqref="R69:S69">
    <cfRule type="expression" priority="1177" dxfId="60">
      <formula>SEARCH("IN CORSO",$M69)&gt;0</formula>
    </cfRule>
    <cfRule type="expression" priority="1178" dxfId="59">
      <formula>SEARCH("CHIUSO",$M69)&gt;0</formula>
    </cfRule>
    <cfRule type="expression" priority="1179" dxfId="58">
      <formula>SEARCH("EMESSO",$M69)&gt;0</formula>
    </cfRule>
    <cfRule type="expression" priority="1180" dxfId="57">
      <formula>SEARCH("RICHIESTO",$M69)&gt;0</formula>
    </cfRule>
    <cfRule type="expression" priority="1181" dxfId="56">
      <formula>SEARCH("DA CHIUDERE",$M69)&gt;0</formula>
    </cfRule>
    <cfRule type="expression" priority="1182" dxfId="55">
      <formula>SEARCH("INTERROTTO",$M69)&gt;0</formula>
    </cfRule>
  </conditionalFormatting>
  <conditionalFormatting sqref="M69">
    <cfRule type="expression" priority="1171" dxfId="60">
      <formula>SEARCH("IN CORSO",$M69)&gt;0</formula>
    </cfRule>
    <cfRule type="expression" priority="1172" dxfId="59">
      <formula>SEARCH("CHIUSO",$M69)&gt;0</formula>
    </cfRule>
    <cfRule type="expression" priority="1173" dxfId="58">
      <formula>SEARCH("EMESSO",$M69)&gt;0</formula>
    </cfRule>
    <cfRule type="expression" priority="1174" dxfId="57">
      <formula>SEARCH("RICHIESTO",$M69)&gt;0</formula>
    </cfRule>
    <cfRule type="expression" priority="1175" dxfId="56">
      <formula>SEARCH("DA CHIUDERE",$M69)&gt;0</formula>
    </cfRule>
    <cfRule type="expression" priority="1176" dxfId="55">
      <formula>SEARCH("INTERROTTO",$M69)&gt;0</formula>
    </cfRule>
  </conditionalFormatting>
  <conditionalFormatting sqref="E68:G68 N68:Q68">
    <cfRule type="expression" priority="1165" dxfId="60">
      <formula>SEARCH("IN CORSO",$M68)&gt;0</formula>
    </cfRule>
    <cfRule type="expression" priority="1166" dxfId="59">
      <formula>SEARCH("CHIUSO",$M68)&gt;0</formula>
    </cfRule>
    <cfRule type="expression" priority="1167" dxfId="58">
      <formula>SEARCH("EMESSO",$M68)&gt;0</formula>
    </cfRule>
    <cfRule type="expression" priority="1168" dxfId="57">
      <formula>SEARCH("RICHIESTO",$M68)&gt;0</formula>
    </cfRule>
    <cfRule type="expression" priority="1169" dxfId="56">
      <formula>SEARCH("DA CHIUDERE",$M68)&gt;0</formula>
    </cfRule>
    <cfRule type="expression" priority="1170" dxfId="55">
      <formula>SEARCH("INTERROTTO",$M68)&gt;0</formula>
    </cfRule>
  </conditionalFormatting>
  <conditionalFormatting sqref="R68:S68">
    <cfRule type="expression" priority="1159" dxfId="60">
      <formula>SEARCH("IN CORSO",$M68)&gt;0</formula>
    </cfRule>
    <cfRule type="expression" priority="1160" dxfId="59">
      <formula>SEARCH("CHIUSO",$M68)&gt;0</formula>
    </cfRule>
    <cfRule type="expression" priority="1161" dxfId="58">
      <formula>SEARCH("EMESSO",$M68)&gt;0</formula>
    </cfRule>
    <cfRule type="expression" priority="1162" dxfId="57">
      <formula>SEARCH("RICHIESTO",$M68)&gt;0</formula>
    </cfRule>
    <cfRule type="expression" priority="1163" dxfId="56">
      <formula>SEARCH("DA CHIUDERE",$M68)&gt;0</formula>
    </cfRule>
    <cfRule type="expression" priority="1164" dxfId="55">
      <formula>SEARCH("INTERROTTO",$M68)&gt;0</formula>
    </cfRule>
  </conditionalFormatting>
  <conditionalFormatting sqref="M68">
    <cfRule type="expression" priority="1153" dxfId="60">
      <formula>SEARCH("IN CORSO",$M68)&gt;0</formula>
    </cfRule>
    <cfRule type="expression" priority="1154" dxfId="59">
      <formula>SEARCH("CHIUSO",$M68)&gt;0</formula>
    </cfRule>
    <cfRule type="expression" priority="1155" dxfId="58">
      <formula>SEARCH("EMESSO",$M68)&gt;0</formula>
    </cfRule>
    <cfRule type="expression" priority="1156" dxfId="57">
      <formula>SEARCH("RICHIESTO",$M68)&gt;0</formula>
    </cfRule>
    <cfRule type="expression" priority="1157" dxfId="56">
      <formula>SEARCH("DA CHIUDERE",$M68)&gt;0</formula>
    </cfRule>
    <cfRule type="expression" priority="1158" dxfId="55">
      <formula>SEARCH("INTERROTTO",$M68)&gt;0</formula>
    </cfRule>
  </conditionalFormatting>
  <conditionalFormatting sqref="E67:G67 N67:Q67">
    <cfRule type="expression" priority="1147" dxfId="60">
      <formula>SEARCH("IN CORSO",$M67)&gt;0</formula>
    </cfRule>
    <cfRule type="expression" priority="1148" dxfId="59">
      <formula>SEARCH("CHIUSO",$M67)&gt;0</formula>
    </cfRule>
    <cfRule type="expression" priority="1149" dxfId="58">
      <formula>SEARCH("EMESSO",$M67)&gt;0</formula>
    </cfRule>
    <cfRule type="expression" priority="1150" dxfId="57">
      <formula>SEARCH("RICHIESTO",$M67)&gt;0</formula>
    </cfRule>
    <cfRule type="expression" priority="1151" dxfId="56">
      <formula>SEARCH("DA CHIUDERE",$M67)&gt;0</formula>
    </cfRule>
    <cfRule type="expression" priority="1152" dxfId="55">
      <formula>SEARCH("INTERROTTO",$M67)&gt;0</formula>
    </cfRule>
  </conditionalFormatting>
  <conditionalFormatting sqref="R67:S67">
    <cfRule type="expression" priority="1141" dxfId="60">
      <formula>SEARCH("IN CORSO",$M67)&gt;0</formula>
    </cfRule>
    <cfRule type="expression" priority="1142" dxfId="59">
      <formula>SEARCH("CHIUSO",$M67)&gt;0</formula>
    </cfRule>
    <cfRule type="expression" priority="1143" dxfId="58">
      <formula>SEARCH("EMESSO",$M67)&gt;0</formula>
    </cfRule>
    <cfRule type="expression" priority="1144" dxfId="57">
      <formula>SEARCH("RICHIESTO",$M67)&gt;0</formula>
    </cfRule>
    <cfRule type="expression" priority="1145" dxfId="56">
      <formula>SEARCH("DA CHIUDERE",$M67)&gt;0</formula>
    </cfRule>
    <cfRule type="expression" priority="1146" dxfId="55">
      <formula>SEARCH("INTERROTTO",$M67)&gt;0</formula>
    </cfRule>
  </conditionalFormatting>
  <conditionalFormatting sqref="M67">
    <cfRule type="expression" priority="1135" dxfId="60">
      <formula>SEARCH("IN CORSO",$M67)&gt;0</formula>
    </cfRule>
    <cfRule type="expression" priority="1136" dxfId="59">
      <formula>SEARCH("CHIUSO",$M67)&gt;0</formula>
    </cfRule>
    <cfRule type="expression" priority="1137" dxfId="58">
      <formula>SEARCH("EMESSO",$M67)&gt;0</formula>
    </cfRule>
    <cfRule type="expression" priority="1138" dxfId="57">
      <formula>SEARCH("RICHIESTO",$M67)&gt;0</formula>
    </cfRule>
    <cfRule type="expression" priority="1139" dxfId="56">
      <formula>SEARCH("DA CHIUDERE",$M67)&gt;0</formula>
    </cfRule>
    <cfRule type="expression" priority="1140" dxfId="55">
      <formula>SEARCH("INTERROTTO",$M67)&gt;0</formula>
    </cfRule>
  </conditionalFormatting>
  <conditionalFormatting sqref="E66:G66 N66:Q66">
    <cfRule type="expression" priority="1129" dxfId="60">
      <formula>SEARCH("IN CORSO",$M66)&gt;0</formula>
    </cfRule>
    <cfRule type="expression" priority="1130" dxfId="59">
      <formula>SEARCH("CHIUSO",$M66)&gt;0</formula>
    </cfRule>
    <cfRule type="expression" priority="1131" dxfId="58">
      <formula>SEARCH("EMESSO",$M66)&gt;0</formula>
    </cfRule>
    <cfRule type="expression" priority="1132" dxfId="57">
      <formula>SEARCH("RICHIESTO",$M66)&gt;0</formula>
    </cfRule>
    <cfRule type="expression" priority="1133" dxfId="56">
      <formula>SEARCH("DA CHIUDERE",$M66)&gt;0</formula>
    </cfRule>
    <cfRule type="expression" priority="1134" dxfId="55">
      <formula>SEARCH("INTERROTTO",$M66)&gt;0</formula>
    </cfRule>
  </conditionalFormatting>
  <conditionalFormatting sqref="R66:S66">
    <cfRule type="expression" priority="1123" dxfId="60">
      <formula>SEARCH("IN CORSO",$M66)&gt;0</formula>
    </cfRule>
    <cfRule type="expression" priority="1124" dxfId="59">
      <formula>SEARCH("CHIUSO",$M66)&gt;0</formula>
    </cfRule>
    <cfRule type="expression" priority="1125" dxfId="58">
      <formula>SEARCH("EMESSO",$M66)&gt;0</formula>
    </cfRule>
    <cfRule type="expression" priority="1126" dxfId="57">
      <formula>SEARCH("RICHIESTO",$M66)&gt;0</formula>
    </cfRule>
    <cfRule type="expression" priority="1127" dxfId="56">
      <formula>SEARCH("DA CHIUDERE",$M66)&gt;0</formula>
    </cfRule>
    <cfRule type="expression" priority="1128" dxfId="55">
      <formula>SEARCH("INTERROTTO",$M66)&gt;0</formula>
    </cfRule>
  </conditionalFormatting>
  <conditionalFormatting sqref="M66">
    <cfRule type="expression" priority="1117" dxfId="60">
      <formula>SEARCH("IN CORSO",$M66)&gt;0</formula>
    </cfRule>
    <cfRule type="expression" priority="1118" dxfId="59">
      <formula>SEARCH("CHIUSO",$M66)&gt;0</formula>
    </cfRule>
    <cfRule type="expression" priority="1119" dxfId="58">
      <formula>SEARCH("EMESSO",$M66)&gt;0</formula>
    </cfRule>
    <cfRule type="expression" priority="1120" dxfId="57">
      <formula>SEARCH("RICHIESTO",$M66)&gt;0</formula>
    </cfRule>
    <cfRule type="expression" priority="1121" dxfId="56">
      <formula>SEARCH("DA CHIUDERE",$M66)&gt;0</formula>
    </cfRule>
    <cfRule type="expression" priority="1122" dxfId="55">
      <formula>SEARCH("INTERROTTO",$M66)&gt;0</formula>
    </cfRule>
  </conditionalFormatting>
  <conditionalFormatting sqref="E65:G65 N65:Q65">
    <cfRule type="expression" priority="1111" dxfId="60">
      <formula>SEARCH("IN CORSO",$M65)&gt;0</formula>
    </cfRule>
    <cfRule type="expression" priority="1112" dxfId="59">
      <formula>SEARCH("CHIUSO",$M65)&gt;0</formula>
    </cfRule>
    <cfRule type="expression" priority="1113" dxfId="58">
      <formula>SEARCH("EMESSO",$M65)&gt;0</formula>
    </cfRule>
    <cfRule type="expression" priority="1114" dxfId="57">
      <formula>SEARCH("RICHIESTO",$M65)&gt;0</formula>
    </cfRule>
    <cfRule type="expression" priority="1115" dxfId="56">
      <formula>SEARCH("DA CHIUDERE",$M65)&gt;0</formula>
    </cfRule>
    <cfRule type="expression" priority="1116" dxfId="55">
      <formula>SEARCH("INTERROTTO",$M65)&gt;0</formula>
    </cfRule>
  </conditionalFormatting>
  <conditionalFormatting sqref="R65:S65">
    <cfRule type="expression" priority="1105" dxfId="60">
      <formula>SEARCH("IN CORSO",$M65)&gt;0</formula>
    </cfRule>
    <cfRule type="expression" priority="1106" dxfId="59">
      <formula>SEARCH("CHIUSO",$M65)&gt;0</formula>
    </cfRule>
    <cfRule type="expression" priority="1107" dxfId="58">
      <formula>SEARCH("EMESSO",$M65)&gt;0</formula>
    </cfRule>
    <cfRule type="expression" priority="1108" dxfId="57">
      <formula>SEARCH("RICHIESTO",$M65)&gt;0</formula>
    </cfRule>
    <cfRule type="expression" priority="1109" dxfId="56">
      <formula>SEARCH("DA CHIUDERE",$M65)&gt;0</formula>
    </cfRule>
    <cfRule type="expression" priority="1110" dxfId="55">
      <formula>SEARCH("INTERROTTO",$M65)&gt;0</formula>
    </cfRule>
  </conditionalFormatting>
  <conditionalFormatting sqref="M65">
    <cfRule type="expression" priority="1099" dxfId="60">
      <formula>SEARCH("IN CORSO",$M65)&gt;0</formula>
    </cfRule>
    <cfRule type="expression" priority="1100" dxfId="59">
      <formula>SEARCH("CHIUSO",$M65)&gt;0</formula>
    </cfRule>
    <cfRule type="expression" priority="1101" dxfId="58">
      <formula>SEARCH("EMESSO",$M65)&gt;0</formula>
    </cfRule>
    <cfRule type="expression" priority="1102" dxfId="57">
      <formula>SEARCH("RICHIESTO",$M65)&gt;0</formula>
    </cfRule>
    <cfRule type="expression" priority="1103" dxfId="56">
      <formula>SEARCH("DA CHIUDERE",$M65)&gt;0</formula>
    </cfRule>
    <cfRule type="expression" priority="1104" dxfId="55">
      <formula>SEARCH("INTERROTTO",$M65)&gt;0</formula>
    </cfRule>
  </conditionalFormatting>
  <conditionalFormatting sqref="E64:G64 N64:Q64">
    <cfRule type="expression" priority="1093" dxfId="60">
      <formula>SEARCH("IN CORSO",$M64)&gt;0</formula>
    </cfRule>
    <cfRule type="expression" priority="1094" dxfId="59">
      <formula>SEARCH("CHIUSO",$M64)&gt;0</formula>
    </cfRule>
    <cfRule type="expression" priority="1095" dxfId="58">
      <formula>SEARCH("EMESSO",$M64)&gt;0</formula>
    </cfRule>
    <cfRule type="expression" priority="1096" dxfId="57">
      <formula>SEARCH("RICHIESTO",$M64)&gt;0</formula>
    </cfRule>
    <cfRule type="expression" priority="1097" dxfId="56">
      <formula>SEARCH("DA CHIUDERE",$M64)&gt;0</formula>
    </cfRule>
    <cfRule type="expression" priority="1098" dxfId="55">
      <formula>SEARCH("INTERROTTO",$M64)&gt;0</formula>
    </cfRule>
  </conditionalFormatting>
  <conditionalFormatting sqref="R64:S64">
    <cfRule type="expression" priority="1087" dxfId="60">
      <formula>SEARCH("IN CORSO",$M64)&gt;0</formula>
    </cfRule>
    <cfRule type="expression" priority="1088" dxfId="59">
      <formula>SEARCH("CHIUSO",$M64)&gt;0</formula>
    </cfRule>
    <cfRule type="expression" priority="1089" dxfId="58">
      <formula>SEARCH("EMESSO",$M64)&gt;0</formula>
    </cfRule>
    <cfRule type="expression" priority="1090" dxfId="57">
      <formula>SEARCH("RICHIESTO",$M64)&gt;0</formula>
    </cfRule>
    <cfRule type="expression" priority="1091" dxfId="56">
      <formula>SEARCH("DA CHIUDERE",$M64)&gt;0</formula>
    </cfRule>
    <cfRule type="expression" priority="1092" dxfId="55">
      <formula>SEARCH("INTERROTTO",$M64)&gt;0</formula>
    </cfRule>
  </conditionalFormatting>
  <conditionalFormatting sqref="M64">
    <cfRule type="expression" priority="1081" dxfId="60">
      <formula>SEARCH("IN CORSO",$M64)&gt;0</formula>
    </cfRule>
    <cfRule type="expression" priority="1082" dxfId="59">
      <formula>SEARCH("CHIUSO",$M64)&gt;0</formula>
    </cfRule>
    <cfRule type="expression" priority="1083" dxfId="58">
      <formula>SEARCH("EMESSO",$M64)&gt;0</formula>
    </cfRule>
    <cfRule type="expression" priority="1084" dxfId="57">
      <formula>SEARCH("RICHIESTO",$M64)&gt;0</formula>
    </cfRule>
    <cfRule type="expression" priority="1085" dxfId="56">
      <formula>SEARCH("DA CHIUDERE",$M64)&gt;0</formula>
    </cfRule>
    <cfRule type="expression" priority="1086" dxfId="55">
      <formula>SEARCH("INTERROTTO",$M64)&gt;0</formula>
    </cfRule>
  </conditionalFormatting>
  <conditionalFormatting sqref="E63:G63 N63:Q63">
    <cfRule type="expression" priority="1075" dxfId="60">
      <formula>SEARCH("IN CORSO",$M63)&gt;0</formula>
    </cfRule>
    <cfRule type="expression" priority="1076" dxfId="59">
      <formula>SEARCH("CHIUSO",$M63)&gt;0</formula>
    </cfRule>
    <cfRule type="expression" priority="1077" dxfId="58">
      <formula>SEARCH("EMESSO",$M63)&gt;0</formula>
    </cfRule>
    <cfRule type="expression" priority="1078" dxfId="57">
      <formula>SEARCH("RICHIESTO",$M63)&gt;0</formula>
    </cfRule>
    <cfRule type="expression" priority="1079" dxfId="56">
      <formula>SEARCH("DA CHIUDERE",$M63)&gt;0</formula>
    </cfRule>
    <cfRule type="expression" priority="1080" dxfId="55">
      <formula>SEARCH("INTERROTTO",$M63)&gt;0</formula>
    </cfRule>
  </conditionalFormatting>
  <conditionalFormatting sqref="R63:S63">
    <cfRule type="expression" priority="1069" dxfId="60">
      <formula>SEARCH("IN CORSO",$M63)&gt;0</formula>
    </cfRule>
    <cfRule type="expression" priority="1070" dxfId="59">
      <formula>SEARCH("CHIUSO",$M63)&gt;0</formula>
    </cfRule>
    <cfRule type="expression" priority="1071" dxfId="58">
      <formula>SEARCH("EMESSO",$M63)&gt;0</formula>
    </cfRule>
    <cfRule type="expression" priority="1072" dxfId="57">
      <formula>SEARCH("RICHIESTO",$M63)&gt;0</formula>
    </cfRule>
    <cfRule type="expression" priority="1073" dxfId="56">
      <formula>SEARCH("DA CHIUDERE",$M63)&gt;0</formula>
    </cfRule>
    <cfRule type="expression" priority="1074" dxfId="55">
      <formula>SEARCH("INTERROTTO",$M63)&gt;0</formula>
    </cfRule>
  </conditionalFormatting>
  <conditionalFormatting sqref="M63">
    <cfRule type="expression" priority="1063" dxfId="60">
      <formula>SEARCH("IN CORSO",$M63)&gt;0</formula>
    </cfRule>
    <cfRule type="expression" priority="1064" dxfId="59">
      <formula>SEARCH("CHIUSO",$M63)&gt;0</formula>
    </cfRule>
    <cfRule type="expression" priority="1065" dxfId="58">
      <formula>SEARCH("EMESSO",$M63)&gt;0</formula>
    </cfRule>
    <cfRule type="expression" priority="1066" dxfId="57">
      <formula>SEARCH("RICHIESTO",$M63)&gt;0</formula>
    </cfRule>
    <cfRule type="expression" priority="1067" dxfId="56">
      <formula>SEARCH("DA CHIUDERE",$M63)&gt;0</formula>
    </cfRule>
    <cfRule type="expression" priority="1068" dxfId="55">
      <formula>SEARCH("INTERROTTO",$M63)&gt;0</formula>
    </cfRule>
  </conditionalFormatting>
  <conditionalFormatting sqref="E62:G62 N62:Q62">
    <cfRule type="expression" priority="1057" dxfId="60">
      <formula>SEARCH("IN CORSO",$M62)&gt;0</formula>
    </cfRule>
    <cfRule type="expression" priority="1058" dxfId="59">
      <formula>SEARCH("CHIUSO",$M62)&gt;0</formula>
    </cfRule>
    <cfRule type="expression" priority="1059" dxfId="58">
      <formula>SEARCH("EMESSO",$M62)&gt;0</formula>
    </cfRule>
    <cfRule type="expression" priority="1060" dxfId="57">
      <formula>SEARCH("RICHIESTO",$M62)&gt;0</formula>
    </cfRule>
    <cfRule type="expression" priority="1061" dxfId="56">
      <formula>SEARCH("DA CHIUDERE",$M62)&gt;0</formula>
    </cfRule>
    <cfRule type="expression" priority="1062" dxfId="55">
      <formula>SEARCH("INTERROTTO",$M62)&gt;0</formula>
    </cfRule>
  </conditionalFormatting>
  <conditionalFormatting sqref="R62:S62">
    <cfRule type="expression" priority="1051" dxfId="60">
      <formula>SEARCH("IN CORSO",$M62)&gt;0</formula>
    </cfRule>
    <cfRule type="expression" priority="1052" dxfId="59">
      <formula>SEARCH("CHIUSO",$M62)&gt;0</formula>
    </cfRule>
    <cfRule type="expression" priority="1053" dxfId="58">
      <formula>SEARCH("EMESSO",$M62)&gt;0</formula>
    </cfRule>
    <cfRule type="expression" priority="1054" dxfId="57">
      <formula>SEARCH("RICHIESTO",$M62)&gt;0</formula>
    </cfRule>
    <cfRule type="expression" priority="1055" dxfId="56">
      <formula>SEARCH("DA CHIUDERE",$M62)&gt;0</formula>
    </cfRule>
    <cfRule type="expression" priority="1056" dxfId="55">
      <formula>SEARCH("INTERROTTO",$M62)&gt;0</formula>
    </cfRule>
  </conditionalFormatting>
  <conditionalFormatting sqref="M62">
    <cfRule type="expression" priority="1045" dxfId="60">
      <formula>SEARCH("IN CORSO",$M62)&gt;0</formula>
    </cfRule>
    <cfRule type="expression" priority="1046" dxfId="59">
      <formula>SEARCH("CHIUSO",$M62)&gt;0</formula>
    </cfRule>
    <cfRule type="expression" priority="1047" dxfId="58">
      <formula>SEARCH("EMESSO",$M62)&gt;0</formula>
    </cfRule>
    <cfRule type="expression" priority="1048" dxfId="57">
      <formula>SEARCH("RICHIESTO",$M62)&gt;0</formula>
    </cfRule>
    <cfRule type="expression" priority="1049" dxfId="56">
      <formula>SEARCH("DA CHIUDERE",$M62)&gt;0</formula>
    </cfRule>
    <cfRule type="expression" priority="1050" dxfId="55">
      <formula>SEARCH("INTERROTTO",$M62)&gt;0</formula>
    </cfRule>
  </conditionalFormatting>
  <conditionalFormatting sqref="E61:G61 N61:Q61">
    <cfRule type="expression" priority="1039" dxfId="60">
      <formula>SEARCH("IN CORSO",$M61)&gt;0</formula>
    </cfRule>
    <cfRule type="expression" priority="1040" dxfId="59">
      <formula>SEARCH("CHIUSO",$M61)&gt;0</formula>
    </cfRule>
    <cfRule type="expression" priority="1041" dxfId="58">
      <formula>SEARCH("EMESSO",$M61)&gt;0</formula>
    </cfRule>
    <cfRule type="expression" priority="1042" dxfId="57">
      <formula>SEARCH("RICHIESTO",$M61)&gt;0</formula>
    </cfRule>
    <cfRule type="expression" priority="1043" dxfId="56">
      <formula>SEARCH("DA CHIUDERE",$M61)&gt;0</formula>
    </cfRule>
    <cfRule type="expression" priority="1044" dxfId="55">
      <formula>SEARCH("INTERROTTO",$M61)&gt;0</formula>
    </cfRule>
  </conditionalFormatting>
  <conditionalFormatting sqref="R61:S61">
    <cfRule type="expression" priority="1033" dxfId="60">
      <formula>SEARCH("IN CORSO",$M61)&gt;0</formula>
    </cfRule>
    <cfRule type="expression" priority="1034" dxfId="59">
      <formula>SEARCH("CHIUSO",$M61)&gt;0</formula>
    </cfRule>
    <cfRule type="expression" priority="1035" dxfId="58">
      <formula>SEARCH("EMESSO",$M61)&gt;0</formula>
    </cfRule>
    <cfRule type="expression" priority="1036" dxfId="57">
      <formula>SEARCH("RICHIESTO",$M61)&gt;0</formula>
    </cfRule>
    <cfRule type="expression" priority="1037" dxfId="56">
      <formula>SEARCH("DA CHIUDERE",$M61)&gt;0</formula>
    </cfRule>
    <cfRule type="expression" priority="1038" dxfId="55">
      <formula>SEARCH("INTERROTTO",$M61)&gt;0</formula>
    </cfRule>
  </conditionalFormatting>
  <conditionalFormatting sqref="M61">
    <cfRule type="expression" priority="1027" dxfId="60">
      <formula>SEARCH("IN CORSO",$M61)&gt;0</formula>
    </cfRule>
    <cfRule type="expression" priority="1028" dxfId="59">
      <formula>SEARCH("CHIUSO",$M61)&gt;0</formula>
    </cfRule>
    <cfRule type="expression" priority="1029" dxfId="58">
      <formula>SEARCH("EMESSO",$M61)&gt;0</formula>
    </cfRule>
    <cfRule type="expression" priority="1030" dxfId="57">
      <formula>SEARCH("RICHIESTO",$M61)&gt;0</formula>
    </cfRule>
    <cfRule type="expression" priority="1031" dxfId="56">
      <formula>SEARCH("DA CHIUDERE",$M61)&gt;0</formula>
    </cfRule>
    <cfRule type="expression" priority="1032" dxfId="55">
      <formula>SEARCH("INTERROTTO",$M61)&gt;0</formula>
    </cfRule>
  </conditionalFormatting>
  <conditionalFormatting sqref="E60:G60 N60:Q60">
    <cfRule type="expression" priority="1021" dxfId="60">
      <formula>SEARCH("IN CORSO",$M60)&gt;0</formula>
    </cfRule>
    <cfRule type="expression" priority="1022" dxfId="59">
      <formula>SEARCH("CHIUSO",$M60)&gt;0</formula>
    </cfRule>
    <cfRule type="expression" priority="1023" dxfId="58">
      <formula>SEARCH("EMESSO",$M60)&gt;0</formula>
    </cfRule>
    <cfRule type="expression" priority="1024" dxfId="57">
      <formula>SEARCH("RICHIESTO",$M60)&gt;0</formula>
    </cfRule>
    <cfRule type="expression" priority="1025" dxfId="56">
      <formula>SEARCH("DA CHIUDERE",$M60)&gt;0</formula>
    </cfRule>
    <cfRule type="expression" priority="1026" dxfId="55">
      <formula>SEARCH("INTERROTTO",$M60)&gt;0</formula>
    </cfRule>
  </conditionalFormatting>
  <conditionalFormatting sqref="R60:S60">
    <cfRule type="expression" priority="1015" dxfId="60">
      <formula>SEARCH("IN CORSO",$M60)&gt;0</formula>
    </cfRule>
    <cfRule type="expression" priority="1016" dxfId="59">
      <formula>SEARCH("CHIUSO",$M60)&gt;0</formula>
    </cfRule>
    <cfRule type="expression" priority="1017" dxfId="58">
      <formula>SEARCH("EMESSO",$M60)&gt;0</formula>
    </cfRule>
    <cfRule type="expression" priority="1018" dxfId="57">
      <formula>SEARCH("RICHIESTO",$M60)&gt;0</formula>
    </cfRule>
    <cfRule type="expression" priority="1019" dxfId="56">
      <formula>SEARCH("DA CHIUDERE",$M60)&gt;0</formula>
    </cfRule>
    <cfRule type="expression" priority="1020" dxfId="55">
      <formula>SEARCH("INTERROTTO",$M60)&gt;0</formula>
    </cfRule>
  </conditionalFormatting>
  <conditionalFormatting sqref="M60">
    <cfRule type="expression" priority="1009" dxfId="60">
      <formula>SEARCH("IN CORSO",$M60)&gt;0</formula>
    </cfRule>
    <cfRule type="expression" priority="1010" dxfId="59">
      <formula>SEARCH("CHIUSO",$M60)&gt;0</formula>
    </cfRule>
    <cfRule type="expression" priority="1011" dxfId="58">
      <formula>SEARCH("EMESSO",$M60)&gt;0</formula>
    </cfRule>
    <cfRule type="expression" priority="1012" dxfId="57">
      <formula>SEARCH("RICHIESTO",$M60)&gt;0</formula>
    </cfRule>
    <cfRule type="expression" priority="1013" dxfId="56">
      <formula>SEARCH("DA CHIUDERE",$M60)&gt;0</formula>
    </cfRule>
    <cfRule type="expression" priority="1014" dxfId="55">
      <formula>SEARCH("INTERROTTO",$M60)&gt;0</formula>
    </cfRule>
  </conditionalFormatting>
  <conditionalFormatting sqref="E59:G59 N59:Q59">
    <cfRule type="expression" priority="1003" dxfId="60">
      <formula>SEARCH("IN CORSO",$M59)&gt;0</formula>
    </cfRule>
    <cfRule type="expression" priority="1004" dxfId="59">
      <formula>SEARCH("CHIUSO",$M59)&gt;0</formula>
    </cfRule>
    <cfRule type="expression" priority="1005" dxfId="58">
      <formula>SEARCH("EMESSO",$M59)&gt;0</formula>
    </cfRule>
    <cfRule type="expression" priority="1006" dxfId="57">
      <formula>SEARCH("RICHIESTO",$M59)&gt;0</formula>
    </cfRule>
    <cfRule type="expression" priority="1007" dxfId="56">
      <formula>SEARCH("DA CHIUDERE",$M59)&gt;0</formula>
    </cfRule>
    <cfRule type="expression" priority="1008" dxfId="55">
      <formula>SEARCH("INTERROTTO",$M59)&gt;0</formula>
    </cfRule>
  </conditionalFormatting>
  <conditionalFormatting sqref="R59:S59">
    <cfRule type="expression" priority="997" dxfId="60">
      <formula>SEARCH("IN CORSO",$M59)&gt;0</formula>
    </cfRule>
    <cfRule type="expression" priority="998" dxfId="59">
      <formula>SEARCH("CHIUSO",$M59)&gt;0</formula>
    </cfRule>
    <cfRule type="expression" priority="999" dxfId="58">
      <formula>SEARCH("EMESSO",$M59)&gt;0</formula>
    </cfRule>
    <cfRule type="expression" priority="1000" dxfId="57">
      <formula>SEARCH("RICHIESTO",$M59)&gt;0</formula>
    </cfRule>
    <cfRule type="expression" priority="1001" dxfId="56">
      <formula>SEARCH("DA CHIUDERE",$M59)&gt;0</formula>
    </cfRule>
    <cfRule type="expression" priority="1002" dxfId="55">
      <formula>SEARCH("INTERROTTO",$M59)&gt;0</formula>
    </cfRule>
  </conditionalFormatting>
  <conditionalFormatting sqref="M59">
    <cfRule type="expression" priority="991" dxfId="60">
      <formula>SEARCH("IN CORSO",$M59)&gt;0</formula>
    </cfRule>
    <cfRule type="expression" priority="992" dxfId="59">
      <formula>SEARCH("CHIUSO",$M59)&gt;0</formula>
    </cfRule>
    <cfRule type="expression" priority="993" dxfId="58">
      <formula>SEARCH("EMESSO",$M59)&gt;0</formula>
    </cfRule>
    <cfRule type="expression" priority="994" dxfId="57">
      <formula>SEARCH("RICHIESTO",$M59)&gt;0</formula>
    </cfRule>
    <cfRule type="expression" priority="995" dxfId="56">
      <formula>SEARCH("DA CHIUDERE",$M59)&gt;0</formula>
    </cfRule>
    <cfRule type="expression" priority="996" dxfId="55">
      <formula>SEARCH("INTERROTTO",$M59)&gt;0</formula>
    </cfRule>
  </conditionalFormatting>
  <conditionalFormatting sqref="E58:G58 N58:Q58">
    <cfRule type="expression" priority="985" dxfId="60">
      <formula>SEARCH("IN CORSO",$M58)&gt;0</formula>
    </cfRule>
    <cfRule type="expression" priority="986" dxfId="59">
      <formula>SEARCH("CHIUSO",$M58)&gt;0</formula>
    </cfRule>
    <cfRule type="expression" priority="987" dxfId="58">
      <formula>SEARCH("EMESSO",$M58)&gt;0</formula>
    </cfRule>
    <cfRule type="expression" priority="988" dxfId="57">
      <formula>SEARCH("RICHIESTO",$M58)&gt;0</formula>
    </cfRule>
    <cfRule type="expression" priority="989" dxfId="56">
      <formula>SEARCH("DA CHIUDERE",$M58)&gt;0</formula>
    </cfRule>
    <cfRule type="expression" priority="990" dxfId="55">
      <formula>SEARCH("INTERROTTO",$M58)&gt;0</formula>
    </cfRule>
  </conditionalFormatting>
  <conditionalFormatting sqref="R58:S58">
    <cfRule type="expression" priority="979" dxfId="60">
      <formula>SEARCH("IN CORSO",$M58)&gt;0</formula>
    </cfRule>
    <cfRule type="expression" priority="980" dxfId="59">
      <formula>SEARCH("CHIUSO",$M58)&gt;0</formula>
    </cfRule>
    <cfRule type="expression" priority="981" dxfId="58">
      <formula>SEARCH("EMESSO",$M58)&gt;0</formula>
    </cfRule>
    <cfRule type="expression" priority="982" dxfId="57">
      <formula>SEARCH("RICHIESTO",$M58)&gt;0</formula>
    </cfRule>
    <cfRule type="expression" priority="983" dxfId="56">
      <formula>SEARCH("DA CHIUDERE",$M58)&gt;0</formula>
    </cfRule>
    <cfRule type="expression" priority="984" dxfId="55">
      <formula>SEARCH("INTERROTTO",$M58)&gt;0</formula>
    </cfRule>
  </conditionalFormatting>
  <conditionalFormatting sqref="M58">
    <cfRule type="expression" priority="973" dxfId="60">
      <formula>SEARCH("IN CORSO",$M58)&gt;0</formula>
    </cfRule>
    <cfRule type="expression" priority="974" dxfId="59">
      <formula>SEARCH("CHIUSO",$M58)&gt;0</formula>
    </cfRule>
    <cfRule type="expression" priority="975" dxfId="58">
      <formula>SEARCH("EMESSO",$M58)&gt;0</formula>
    </cfRule>
    <cfRule type="expression" priority="976" dxfId="57">
      <formula>SEARCH("RICHIESTO",$M58)&gt;0</formula>
    </cfRule>
    <cfRule type="expression" priority="977" dxfId="56">
      <formula>SEARCH("DA CHIUDERE",$M58)&gt;0</formula>
    </cfRule>
    <cfRule type="expression" priority="978" dxfId="55">
      <formula>SEARCH("INTERROTTO",$M58)&gt;0</formula>
    </cfRule>
  </conditionalFormatting>
  <conditionalFormatting sqref="E57:G57 N57:Q57">
    <cfRule type="expression" priority="967" dxfId="60">
      <formula>SEARCH("IN CORSO",$M57)&gt;0</formula>
    </cfRule>
    <cfRule type="expression" priority="968" dxfId="59">
      <formula>SEARCH("CHIUSO",$M57)&gt;0</formula>
    </cfRule>
    <cfRule type="expression" priority="969" dxfId="58">
      <formula>SEARCH("EMESSO",$M57)&gt;0</formula>
    </cfRule>
    <cfRule type="expression" priority="970" dxfId="57">
      <formula>SEARCH("RICHIESTO",$M57)&gt;0</formula>
    </cfRule>
    <cfRule type="expression" priority="971" dxfId="56">
      <formula>SEARCH("DA CHIUDERE",$M57)&gt;0</formula>
    </cfRule>
    <cfRule type="expression" priority="972" dxfId="55">
      <formula>SEARCH("INTERROTTO",$M57)&gt;0</formula>
    </cfRule>
  </conditionalFormatting>
  <conditionalFormatting sqref="R57:S57">
    <cfRule type="expression" priority="961" dxfId="60">
      <formula>SEARCH("IN CORSO",$M57)&gt;0</formula>
    </cfRule>
    <cfRule type="expression" priority="962" dxfId="59">
      <formula>SEARCH("CHIUSO",$M57)&gt;0</formula>
    </cfRule>
    <cfRule type="expression" priority="963" dxfId="58">
      <formula>SEARCH("EMESSO",$M57)&gt;0</formula>
    </cfRule>
    <cfRule type="expression" priority="964" dxfId="57">
      <formula>SEARCH("RICHIESTO",$M57)&gt;0</formula>
    </cfRule>
    <cfRule type="expression" priority="965" dxfId="56">
      <formula>SEARCH("DA CHIUDERE",$M57)&gt;0</formula>
    </cfRule>
    <cfRule type="expression" priority="966" dxfId="55">
      <formula>SEARCH("INTERROTTO",$M57)&gt;0</formula>
    </cfRule>
  </conditionalFormatting>
  <conditionalFormatting sqref="M57">
    <cfRule type="expression" priority="955" dxfId="60">
      <formula>SEARCH("IN CORSO",$M57)&gt;0</formula>
    </cfRule>
    <cfRule type="expression" priority="956" dxfId="59">
      <formula>SEARCH("CHIUSO",$M57)&gt;0</formula>
    </cfRule>
    <cfRule type="expression" priority="957" dxfId="58">
      <formula>SEARCH("EMESSO",$M57)&gt;0</formula>
    </cfRule>
    <cfRule type="expression" priority="958" dxfId="57">
      <formula>SEARCH("RICHIESTO",$M57)&gt;0</formula>
    </cfRule>
    <cfRule type="expression" priority="959" dxfId="56">
      <formula>SEARCH("DA CHIUDERE",$M57)&gt;0</formula>
    </cfRule>
    <cfRule type="expression" priority="960" dxfId="55">
      <formula>SEARCH("INTERROTTO",$M57)&gt;0</formula>
    </cfRule>
  </conditionalFormatting>
  <conditionalFormatting sqref="E56:G56 N56:Q56">
    <cfRule type="expression" priority="949" dxfId="60">
      <formula>SEARCH("IN CORSO",$M56)&gt;0</formula>
    </cfRule>
    <cfRule type="expression" priority="950" dxfId="59">
      <formula>SEARCH("CHIUSO",$M56)&gt;0</formula>
    </cfRule>
    <cfRule type="expression" priority="951" dxfId="58">
      <formula>SEARCH("EMESSO",$M56)&gt;0</formula>
    </cfRule>
    <cfRule type="expression" priority="952" dxfId="57">
      <formula>SEARCH("RICHIESTO",$M56)&gt;0</formula>
    </cfRule>
    <cfRule type="expression" priority="953" dxfId="56">
      <formula>SEARCH("DA CHIUDERE",$M56)&gt;0</formula>
    </cfRule>
    <cfRule type="expression" priority="954" dxfId="55">
      <formula>SEARCH("INTERROTTO",$M56)&gt;0</formula>
    </cfRule>
  </conditionalFormatting>
  <conditionalFormatting sqref="R56:S56">
    <cfRule type="expression" priority="943" dxfId="60">
      <formula>SEARCH("IN CORSO",$M56)&gt;0</formula>
    </cfRule>
    <cfRule type="expression" priority="944" dxfId="59">
      <formula>SEARCH("CHIUSO",$M56)&gt;0</formula>
    </cfRule>
    <cfRule type="expression" priority="945" dxfId="58">
      <formula>SEARCH("EMESSO",$M56)&gt;0</formula>
    </cfRule>
    <cfRule type="expression" priority="946" dxfId="57">
      <formula>SEARCH("RICHIESTO",$M56)&gt;0</formula>
    </cfRule>
    <cfRule type="expression" priority="947" dxfId="56">
      <formula>SEARCH("DA CHIUDERE",$M56)&gt;0</formula>
    </cfRule>
    <cfRule type="expression" priority="948" dxfId="55">
      <formula>SEARCH("INTERROTTO",$M56)&gt;0</formula>
    </cfRule>
  </conditionalFormatting>
  <conditionalFormatting sqref="M56">
    <cfRule type="expression" priority="937" dxfId="60">
      <formula>SEARCH("IN CORSO",$M56)&gt;0</formula>
    </cfRule>
    <cfRule type="expression" priority="938" dxfId="59">
      <formula>SEARCH("CHIUSO",$M56)&gt;0</formula>
    </cfRule>
    <cfRule type="expression" priority="939" dxfId="58">
      <formula>SEARCH("EMESSO",$M56)&gt;0</formula>
    </cfRule>
    <cfRule type="expression" priority="940" dxfId="57">
      <formula>SEARCH("RICHIESTO",$M56)&gt;0</formula>
    </cfRule>
    <cfRule type="expression" priority="941" dxfId="56">
      <formula>SEARCH("DA CHIUDERE",$M56)&gt;0</formula>
    </cfRule>
    <cfRule type="expression" priority="942" dxfId="55">
      <formula>SEARCH("INTERROTTO",$M56)&gt;0</formula>
    </cfRule>
  </conditionalFormatting>
  <conditionalFormatting sqref="E55:G55 N55:Q55">
    <cfRule type="expression" priority="931" dxfId="60">
      <formula>SEARCH("IN CORSO",$M55)&gt;0</formula>
    </cfRule>
    <cfRule type="expression" priority="932" dxfId="59">
      <formula>SEARCH("CHIUSO",$M55)&gt;0</formula>
    </cfRule>
    <cfRule type="expression" priority="933" dxfId="58">
      <formula>SEARCH("EMESSO",$M55)&gt;0</formula>
    </cfRule>
    <cfRule type="expression" priority="934" dxfId="57">
      <formula>SEARCH("RICHIESTO",$M55)&gt;0</formula>
    </cfRule>
    <cfRule type="expression" priority="935" dxfId="56">
      <formula>SEARCH("DA CHIUDERE",$M55)&gt;0</formula>
    </cfRule>
    <cfRule type="expression" priority="936" dxfId="55">
      <formula>SEARCH("INTERROTTO",$M55)&gt;0</formula>
    </cfRule>
  </conditionalFormatting>
  <conditionalFormatting sqref="R55:S55">
    <cfRule type="expression" priority="925" dxfId="60">
      <formula>SEARCH("IN CORSO",$M55)&gt;0</formula>
    </cfRule>
    <cfRule type="expression" priority="926" dxfId="59">
      <formula>SEARCH("CHIUSO",$M55)&gt;0</formula>
    </cfRule>
    <cfRule type="expression" priority="927" dxfId="58">
      <formula>SEARCH("EMESSO",$M55)&gt;0</formula>
    </cfRule>
    <cfRule type="expression" priority="928" dxfId="57">
      <formula>SEARCH("RICHIESTO",$M55)&gt;0</formula>
    </cfRule>
    <cfRule type="expression" priority="929" dxfId="56">
      <formula>SEARCH("DA CHIUDERE",$M55)&gt;0</formula>
    </cfRule>
    <cfRule type="expression" priority="930" dxfId="55">
      <formula>SEARCH("INTERROTTO",$M55)&gt;0</formula>
    </cfRule>
  </conditionalFormatting>
  <conditionalFormatting sqref="M55">
    <cfRule type="expression" priority="919" dxfId="60">
      <formula>SEARCH("IN CORSO",$M55)&gt;0</formula>
    </cfRule>
    <cfRule type="expression" priority="920" dxfId="59">
      <formula>SEARCH("CHIUSO",$M55)&gt;0</formula>
    </cfRule>
    <cfRule type="expression" priority="921" dxfId="58">
      <formula>SEARCH("EMESSO",$M55)&gt;0</formula>
    </cfRule>
    <cfRule type="expression" priority="922" dxfId="57">
      <formula>SEARCH("RICHIESTO",$M55)&gt;0</formula>
    </cfRule>
    <cfRule type="expression" priority="923" dxfId="56">
      <formula>SEARCH("DA CHIUDERE",$M55)&gt;0</formula>
    </cfRule>
    <cfRule type="expression" priority="924" dxfId="55">
      <formula>SEARCH("INTERROTTO",$M55)&gt;0</formula>
    </cfRule>
  </conditionalFormatting>
  <conditionalFormatting sqref="E54:G54 N54:Q54">
    <cfRule type="expression" priority="913" dxfId="60">
      <formula>SEARCH("IN CORSO",$M54)&gt;0</formula>
    </cfRule>
    <cfRule type="expression" priority="914" dxfId="59">
      <formula>SEARCH("CHIUSO",$M54)&gt;0</formula>
    </cfRule>
    <cfRule type="expression" priority="915" dxfId="58">
      <formula>SEARCH("EMESSO",$M54)&gt;0</formula>
    </cfRule>
    <cfRule type="expression" priority="916" dxfId="57">
      <formula>SEARCH("RICHIESTO",$M54)&gt;0</formula>
    </cfRule>
    <cfRule type="expression" priority="917" dxfId="56">
      <formula>SEARCH("DA CHIUDERE",$M54)&gt;0</formula>
    </cfRule>
    <cfRule type="expression" priority="918" dxfId="55">
      <formula>SEARCH("INTERROTTO",$M54)&gt;0</formula>
    </cfRule>
  </conditionalFormatting>
  <conditionalFormatting sqref="R54:S54">
    <cfRule type="expression" priority="907" dxfId="60">
      <formula>SEARCH("IN CORSO",$M54)&gt;0</formula>
    </cfRule>
    <cfRule type="expression" priority="908" dxfId="59">
      <formula>SEARCH("CHIUSO",$M54)&gt;0</formula>
    </cfRule>
    <cfRule type="expression" priority="909" dxfId="58">
      <formula>SEARCH("EMESSO",$M54)&gt;0</formula>
    </cfRule>
    <cfRule type="expression" priority="910" dxfId="57">
      <formula>SEARCH("RICHIESTO",$M54)&gt;0</formula>
    </cfRule>
    <cfRule type="expression" priority="911" dxfId="56">
      <formula>SEARCH("DA CHIUDERE",$M54)&gt;0</formula>
    </cfRule>
    <cfRule type="expression" priority="912" dxfId="55">
      <formula>SEARCH("INTERROTTO",$M54)&gt;0</formula>
    </cfRule>
  </conditionalFormatting>
  <conditionalFormatting sqref="M54">
    <cfRule type="expression" priority="901" dxfId="60">
      <formula>SEARCH("IN CORSO",$M54)&gt;0</formula>
    </cfRule>
    <cfRule type="expression" priority="902" dxfId="59">
      <formula>SEARCH("CHIUSO",$M54)&gt;0</formula>
    </cfRule>
    <cfRule type="expression" priority="903" dxfId="58">
      <formula>SEARCH("EMESSO",$M54)&gt;0</formula>
    </cfRule>
    <cfRule type="expression" priority="904" dxfId="57">
      <formula>SEARCH("RICHIESTO",$M54)&gt;0</formula>
    </cfRule>
    <cfRule type="expression" priority="905" dxfId="56">
      <formula>SEARCH("DA CHIUDERE",$M54)&gt;0</formula>
    </cfRule>
    <cfRule type="expression" priority="906" dxfId="55">
      <formula>SEARCH("INTERROTTO",$M54)&gt;0</formula>
    </cfRule>
  </conditionalFormatting>
  <conditionalFormatting sqref="E53:G53 N53:Q53">
    <cfRule type="expression" priority="895" dxfId="60">
      <formula>SEARCH("IN CORSO",$M53)&gt;0</formula>
    </cfRule>
    <cfRule type="expression" priority="896" dxfId="59">
      <formula>SEARCH("CHIUSO",$M53)&gt;0</formula>
    </cfRule>
    <cfRule type="expression" priority="897" dxfId="58">
      <formula>SEARCH("EMESSO",$M53)&gt;0</formula>
    </cfRule>
    <cfRule type="expression" priority="898" dxfId="57">
      <formula>SEARCH("RICHIESTO",$M53)&gt;0</formula>
    </cfRule>
    <cfRule type="expression" priority="899" dxfId="56">
      <formula>SEARCH("DA CHIUDERE",$M53)&gt;0</formula>
    </cfRule>
    <cfRule type="expression" priority="900" dxfId="55">
      <formula>SEARCH("INTERROTTO",$M53)&gt;0</formula>
    </cfRule>
  </conditionalFormatting>
  <conditionalFormatting sqref="R53:S53">
    <cfRule type="expression" priority="889" dxfId="60">
      <formula>SEARCH("IN CORSO",$M53)&gt;0</formula>
    </cfRule>
    <cfRule type="expression" priority="890" dxfId="59">
      <formula>SEARCH("CHIUSO",$M53)&gt;0</formula>
    </cfRule>
    <cfRule type="expression" priority="891" dxfId="58">
      <formula>SEARCH("EMESSO",$M53)&gt;0</formula>
    </cfRule>
    <cfRule type="expression" priority="892" dxfId="57">
      <formula>SEARCH("RICHIESTO",$M53)&gt;0</formula>
    </cfRule>
    <cfRule type="expression" priority="893" dxfId="56">
      <formula>SEARCH("DA CHIUDERE",$M53)&gt;0</formula>
    </cfRule>
    <cfRule type="expression" priority="894" dxfId="55">
      <formula>SEARCH("INTERROTTO",$M53)&gt;0</formula>
    </cfRule>
  </conditionalFormatting>
  <conditionalFormatting sqref="M53">
    <cfRule type="expression" priority="883" dxfId="60">
      <formula>SEARCH("IN CORSO",$M53)&gt;0</formula>
    </cfRule>
    <cfRule type="expression" priority="884" dxfId="59">
      <formula>SEARCH("CHIUSO",$M53)&gt;0</formula>
    </cfRule>
    <cfRule type="expression" priority="885" dxfId="58">
      <formula>SEARCH("EMESSO",$M53)&gt;0</formula>
    </cfRule>
    <cfRule type="expression" priority="886" dxfId="57">
      <formula>SEARCH("RICHIESTO",$M53)&gt;0</formula>
    </cfRule>
    <cfRule type="expression" priority="887" dxfId="56">
      <formula>SEARCH("DA CHIUDERE",$M53)&gt;0</formula>
    </cfRule>
    <cfRule type="expression" priority="888" dxfId="55">
      <formula>SEARCH("INTERROTTO",$M53)&gt;0</formula>
    </cfRule>
  </conditionalFormatting>
  <conditionalFormatting sqref="E52:G52 N52:Q52">
    <cfRule type="expression" priority="877" dxfId="60">
      <formula>SEARCH("IN CORSO",$M52)&gt;0</formula>
    </cfRule>
    <cfRule type="expression" priority="878" dxfId="59">
      <formula>SEARCH("CHIUSO",$M52)&gt;0</formula>
    </cfRule>
    <cfRule type="expression" priority="879" dxfId="58">
      <formula>SEARCH("EMESSO",$M52)&gt;0</formula>
    </cfRule>
    <cfRule type="expression" priority="880" dxfId="57">
      <formula>SEARCH("RICHIESTO",$M52)&gt;0</formula>
    </cfRule>
    <cfRule type="expression" priority="881" dxfId="56">
      <formula>SEARCH("DA CHIUDERE",$M52)&gt;0</formula>
    </cfRule>
    <cfRule type="expression" priority="882" dxfId="55">
      <formula>SEARCH("INTERROTTO",$M52)&gt;0</formula>
    </cfRule>
  </conditionalFormatting>
  <conditionalFormatting sqref="R52:S52">
    <cfRule type="expression" priority="871" dxfId="60">
      <formula>SEARCH("IN CORSO",$M52)&gt;0</formula>
    </cfRule>
    <cfRule type="expression" priority="872" dxfId="59">
      <formula>SEARCH("CHIUSO",$M52)&gt;0</formula>
    </cfRule>
    <cfRule type="expression" priority="873" dxfId="58">
      <formula>SEARCH("EMESSO",$M52)&gt;0</formula>
    </cfRule>
    <cfRule type="expression" priority="874" dxfId="57">
      <formula>SEARCH("RICHIESTO",$M52)&gt;0</formula>
    </cfRule>
    <cfRule type="expression" priority="875" dxfId="56">
      <formula>SEARCH("DA CHIUDERE",$M52)&gt;0</formula>
    </cfRule>
    <cfRule type="expression" priority="876" dxfId="55">
      <formula>SEARCH("INTERROTTO",$M52)&gt;0</formula>
    </cfRule>
  </conditionalFormatting>
  <conditionalFormatting sqref="M52">
    <cfRule type="expression" priority="865" dxfId="60">
      <formula>SEARCH("IN CORSO",$M52)&gt;0</formula>
    </cfRule>
    <cfRule type="expression" priority="866" dxfId="59">
      <formula>SEARCH("CHIUSO",$M52)&gt;0</formula>
    </cfRule>
    <cfRule type="expression" priority="867" dxfId="58">
      <formula>SEARCH("EMESSO",$M52)&gt;0</formula>
    </cfRule>
    <cfRule type="expression" priority="868" dxfId="57">
      <formula>SEARCH("RICHIESTO",$M52)&gt;0</formula>
    </cfRule>
    <cfRule type="expression" priority="869" dxfId="56">
      <formula>SEARCH("DA CHIUDERE",$M52)&gt;0</formula>
    </cfRule>
    <cfRule type="expression" priority="870" dxfId="55">
      <formula>SEARCH("INTERROTTO",$M52)&gt;0</formula>
    </cfRule>
  </conditionalFormatting>
  <conditionalFormatting sqref="E51:G51 N51:Q51">
    <cfRule type="expression" priority="859" dxfId="60">
      <formula>SEARCH("IN CORSO",$M51)&gt;0</formula>
    </cfRule>
    <cfRule type="expression" priority="860" dxfId="59">
      <formula>SEARCH("CHIUSO",$M51)&gt;0</formula>
    </cfRule>
    <cfRule type="expression" priority="861" dxfId="58">
      <formula>SEARCH("EMESSO",$M51)&gt;0</formula>
    </cfRule>
    <cfRule type="expression" priority="862" dxfId="57">
      <formula>SEARCH("RICHIESTO",$M51)&gt;0</formula>
    </cfRule>
    <cfRule type="expression" priority="863" dxfId="56">
      <formula>SEARCH("DA CHIUDERE",$M51)&gt;0</formula>
    </cfRule>
    <cfRule type="expression" priority="864" dxfId="55">
      <formula>SEARCH("INTERROTTO",$M51)&gt;0</formula>
    </cfRule>
  </conditionalFormatting>
  <conditionalFormatting sqref="R51:S51">
    <cfRule type="expression" priority="853" dxfId="60">
      <formula>SEARCH("IN CORSO",$M51)&gt;0</formula>
    </cfRule>
    <cfRule type="expression" priority="854" dxfId="59">
      <formula>SEARCH("CHIUSO",$M51)&gt;0</formula>
    </cfRule>
    <cfRule type="expression" priority="855" dxfId="58">
      <formula>SEARCH("EMESSO",$M51)&gt;0</formula>
    </cfRule>
    <cfRule type="expression" priority="856" dxfId="57">
      <formula>SEARCH("RICHIESTO",$M51)&gt;0</formula>
    </cfRule>
    <cfRule type="expression" priority="857" dxfId="56">
      <formula>SEARCH("DA CHIUDERE",$M51)&gt;0</formula>
    </cfRule>
    <cfRule type="expression" priority="858" dxfId="55">
      <formula>SEARCH("INTERROTTO",$M51)&gt;0</formula>
    </cfRule>
  </conditionalFormatting>
  <conditionalFormatting sqref="M51">
    <cfRule type="expression" priority="847" dxfId="60">
      <formula>SEARCH("IN CORSO",$M51)&gt;0</formula>
    </cfRule>
    <cfRule type="expression" priority="848" dxfId="59">
      <formula>SEARCH("CHIUSO",$M51)&gt;0</formula>
    </cfRule>
    <cfRule type="expression" priority="849" dxfId="58">
      <formula>SEARCH("EMESSO",$M51)&gt;0</formula>
    </cfRule>
    <cfRule type="expression" priority="850" dxfId="57">
      <formula>SEARCH("RICHIESTO",$M51)&gt;0</formula>
    </cfRule>
    <cfRule type="expression" priority="851" dxfId="56">
      <formula>SEARCH("DA CHIUDERE",$M51)&gt;0</formula>
    </cfRule>
    <cfRule type="expression" priority="852" dxfId="55">
      <formula>SEARCH("INTERROTTO",$M51)&gt;0</formula>
    </cfRule>
  </conditionalFormatting>
  <conditionalFormatting sqref="E50:G50 N50:Q50">
    <cfRule type="expression" priority="841" dxfId="60">
      <formula>SEARCH("IN CORSO",$M50)&gt;0</formula>
    </cfRule>
    <cfRule type="expression" priority="842" dxfId="59">
      <formula>SEARCH("CHIUSO",$M50)&gt;0</formula>
    </cfRule>
    <cfRule type="expression" priority="843" dxfId="58">
      <formula>SEARCH("EMESSO",$M50)&gt;0</formula>
    </cfRule>
    <cfRule type="expression" priority="844" dxfId="57">
      <formula>SEARCH("RICHIESTO",$M50)&gt;0</formula>
    </cfRule>
    <cfRule type="expression" priority="845" dxfId="56">
      <formula>SEARCH("DA CHIUDERE",$M50)&gt;0</formula>
    </cfRule>
    <cfRule type="expression" priority="846" dxfId="55">
      <formula>SEARCH("INTERROTTO",$M50)&gt;0</formula>
    </cfRule>
  </conditionalFormatting>
  <conditionalFormatting sqref="R50:S50">
    <cfRule type="expression" priority="835" dxfId="60">
      <formula>SEARCH("IN CORSO",$M50)&gt;0</formula>
    </cfRule>
    <cfRule type="expression" priority="836" dxfId="59">
      <formula>SEARCH("CHIUSO",$M50)&gt;0</formula>
    </cfRule>
    <cfRule type="expression" priority="837" dxfId="58">
      <formula>SEARCH("EMESSO",$M50)&gt;0</formula>
    </cfRule>
    <cfRule type="expression" priority="838" dxfId="57">
      <formula>SEARCH("RICHIESTO",$M50)&gt;0</formula>
    </cfRule>
    <cfRule type="expression" priority="839" dxfId="56">
      <formula>SEARCH("DA CHIUDERE",$M50)&gt;0</formula>
    </cfRule>
    <cfRule type="expression" priority="840" dxfId="55">
      <formula>SEARCH("INTERROTTO",$M50)&gt;0</formula>
    </cfRule>
  </conditionalFormatting>
  <conditionalFormatting sqref="M50">
    <cfRule type="expression" priority="829" dxfId="60">
      <formula>SEARCH("IN CORSO",$M50)&gt;0</formula>
    </cfRule>
    <cfRule type="expression" priority="830" dxfId="59">
      <formula>SEARCH("CHIUSO",$M50)&gt;0</formula>
    </cfRule>
    <cfRule type="expression" priority="831" dxfId="58">
      <formula>SEARCH("EMESSO",$M50)&gt;0</formula>
    </cfRule>
    <cfRule type="expression" priority="832" dxfId="57">
      <formula>SEARCH("RICHIESTO",$M50)&gt;0</formula>
    </cfRule>
    <cfRule type="expression" priority="833" dxfId="56">
      <formula>SEARCH("DA CHIUDERE",$M50)&gt;0</formula>
    </cfRule>
    <cfRule type="expression" priority="834" dxfId="55">
      <formula>SEARCH("INTERROTTO",$M50)&gt;0</formula>
    </cfRule>
  </conditionalFormatting>
  <conditionalFormatting sqref="E49:G49 N49:Q49">
    <cfRule type="expression" priority="823" dxfId="60">
      <formula>SEARCH("IN CORSO",$M49)&gt;0</formula>
    </cfRule>
    <cfRule type="expression" priority="824" dxfId="59">
      <formula>SEARCH("CHIUSO",$M49)&gt;0</formula>
    </cfRule>
    <cfRule type="expression" priority="825" dxfId="58">
      <formula>SEARCH("EMESSO",$M49)&gt;0</formula>
    </cfRule>
    <cfRule type="expression" priority="826" dxfId="57">
      <formula>SEARCH("RICHIESTO",$M49)&gt;0</formula>
    </cfRule>
    <cfRule type="expression" priority="827" dxfId="56">
      <formula>SEARCH("DA CHIUDERE",$M49)&gt;0</formula>
    </cfRule>
    <cfRule type="expression" priority="828" dxfId="55">
      <formula>SEARCH("INTERROTTO",$M49)&gt;0</formula>
    </cfRule>
  </conditionalFormatting>
  <conditionalFormatting sqref="R49:S49">
    <cfRule type="expression" priority="817" dxfId="60">
      <formula>SEARCH("IN CORSO",$M49)&gt;0</formula>
    </cfRule>
    <cfRule type="expression" priority="818" dxfId="59">
      <formula>SEARCH("CHIUSO",$M49)&gt;0</formula>
    </cfRule>
    <cfRule type="expression" priority="819" dxfId="58">
      <formula>SEARCH("EMESSO",$M49)&gt;0</formula>
    </cfRule>
    <cfRule type="expression" priority="820" dxfId="57">
      <formula>SEARCH("RICHIESTO",$M49)&gt;0</formula>
    </cfRule>
    <cfRule type="expression" priority="821" dxfId="56">
      <formula>SEARCH("DA CHIUDERE",$M49)&gt;0</formula>
    </cfRule>
    <cfRule type="expression" priority="822" dxfId="55">
      <formula>SEARCH("INTERROTTO",$M49)&gt;0</formula>
    </cfRule>
  </conditionalFormatting>
  <conditionalFormatting sqref="M49">
    <cfRule type="expression" priority="811" dxfId="60">
      <formula>SEARCH("IN CORSO",$M49)&gt;0</formula>
    </cfRule>
    <cfRule type="expression" priority="812" dxfId="59">
      <formula>SEARCH("CHIUSO",$M49)&gt;0</formula>
    </cfRule>
    <cfRule type="expression" priority="813" dxfId="58">
      <formula>SEARCH("EMESSO",$M49)&gt;0</formula>
    </cfRule>
    <cfRule type="expression" priority="814" dxfId="57">
      <formula>SEARCH("RICHIESTO",$M49)&gt;0</formula>
    </cfRule>
    <cfRule type="expression" priority="815" dxfId="56">
      <formula>SEARCH("DA CHIUDERE",$M49)&gt;0</formula>
    </cfRule>
    <cfRule type="expression" priority="816" dxfId="55">
      <formula>SEARCH("INTERROTTO",$M49)&gt;0</formula>
    </cfRule>
  </conditionalFormatting>
  <conditionalFormatting sqref="E48:G48 N48:Q48">
    <cfRule type="expression" priority="805" dxfId="60">
      <formula>SEARCH("IN CORSO",$M48)&gt;0</formula>
    </cfRule>
    <cfRule type="expression" priority="806" dxfId="59">
      <formula>SEARCH("CHIUSO",$M48)&gt;0</formula>
    </cfRule>
    <cfRule type="expression" priority="807" dxfId="58">
      <formula>SEARCH("EMESSO",$M48)&gt;0</formula>
    </cfRule>
    <cfRule type="expression" priority="808" dxfId="57">
      <formula>SEARCH("RICHIESTO",$M48)&gt;0</formula>
    </cfRule>
    <cfRule type="expression" priority="809" dxfId="56">
      <formula>SEARCH("DA CHIUDERE",$M48)&gt;0</formula>
    </cfRule>
    <cfRule type="expression" priority="810" dxfId="55">
      <formula>SEARCH("INTERROTTO",$M48)&gt;0</formula>
    </cfRule>
  </conditionalFormatting>
  <conditionalFormatting sqref="R48:S48">
    <cfRule type="expression" priority="799" dxfId="60">
      <formula>SEARCH("IN CORSO",$M48)&gt;0</formula>
    </cfRule>
    <cfRule type="expression" priority="800" dxfId="59">
      <formula>SEARCH("CHIUSO",$M48)&gt;0</formula>
    </cfRule>
    <cfRule type="expression" priority="801" dxfId="58">
      <formula>SEARCH("EMESSO",$M48)&gt;0</formula>
    </cfRule>
    <cfRule type="expression" priority="802" dxfId="57">
      <formula>SEARCH("RICHIESTO",$M48)&gt;0</formula>
    </cfRule>
    <cfRule type="expression" priority="803" dxfId="56">
      <formula>SEARCH("DA CHIUDERE",$M48)&gt;0</formula>
    </cfRule>
    <cfRule type="expression" priority="804" dxfId="55">
      <formula>SEARCH("INTERROTTO",$M48)&gt;0</formula>
    </cfRule>
  </conditionalFormatting>
  <conditionalFormatting sqref="M48">
    <cfRule type="expression" priority="793" dxfId="60">
      <formula>SEARCH("IN CORSO",$M48)&gt;0</formula>
    </cfRule>
    <cfRule type="expression" priority="794" dxfId="59">
      <formula>SEARCH("CHIUSO",$M48)&gt;0</formula>
    </cfRule>
    <cfRule type="expression" priority="795" dxfId="58">
      <formula>SEARCH("EMESSO",$M48)&gt;0</formula>
    </cfRule>
    <cfRule type="expression" priority="796" dxfId="57">
      <formula>SEARCH("RICHIESTO",$M48)&gt;0</formula>
    </cfRule>
    <cfRule type="expression" priority="797" dxfId="56">
      <formula>SEARCH("DA CHIUDERE",$M48)&gt;0</formula>
    </cfRule>
    <cfRule type="expression" priority="798" dxfId="55">
      <formula>SEARCH("INTERROTTO",$M48)&gt;0</formula>
    </cfRule>
  </conditionalFormatting>
  <conditionalFormatting sqref="E47:G47 N47:Q47">
    <cfRule type="expression" priority="787" dxfId="60">
      <formula>SEARCH("IN CORSO",$M47)&gt;0</formula>
    </cfRule>
    <cfRule type="expression" priority="788" dxfId="59">
      <formula>SEARCH("CHIUSO",$M47)&gt;0</formula>
    </cfRule>
    <cfRule type="expression" priority="789" dxfId="58">
      <formula>SEARCH("EMESSO",$M47)&gt;0</formula>
    </cfRule>
    <cfRule type="expression" priority="790" dxfId="57">
      <formula>SEARCH("RICHIESTO",$M47)&gt;0</formula>
    </cfRule>
    <cfRule type="expression" priority="791" dxfId="56">
      <formula>SEARCH("DA CHIUDERE",$M47)&gt;0</formula>
    </cfRule>
    <cfRule type="expression" priority="792" dxfId="55">
      <formula>SEARCH("INTERROTTO",$M47)&gt;0</formula>
    </cfRule>
  </conditionalFormatting>
  <conditionalFormatting sqref="R47:S47">
    <cfRule type="expression" priority="781" dxfId="60">
      <formula>SEARCH("IN CORSO",$M47)&gt;0</formula>
    </cfRule>
    <cfRule type="expression" priority="782" dxfId="59">
      <formula>SEARCH("CHIUSO",$M47)&gt;0</formula>
    </cfRule>
    <cfRule type="expression" priority="783" dxfId="58">
      <formula>SEARCH("EMESSO",$M47)&gt;0</formula>
    </cfRule>
    <cfRule type="expression" priority="784" dxfId="57">
      <formula>SEARCH("RICHIESTO",$M47)&gt;0</formula>
    </cfRule>
    <cfRule type="expression" priority="785" dxfId="56">
      <formula>SEARCH("DA CHIUDERE",$M47)&gt;0</formula>
    </cfRule>
    <cfRule type="expression" priority="786" dxfId="55">
      <formula>SEARCH("INTERROTTO",$M47)&gt;0</formula>
    </cfRule>
  </conditionalFormatting>
  <conditionalFormatting sqref="M47">
    <cfRule type="expression" priority="775" dxfId="60">
      <formula>SEARCH("IN CORSO",$M47)&gt;0</formula>
    </cfRule>
    <cfRule type="expression" priority="776" dxfId="59">
      <formula>SEARCH("CHIUSO",$M47)&gt;0</formula>
    </cfRule>
    <cfRule type="expression" priority="777" dxfId="58">
      <formula>SEARCH("EMESSO",$M47)&gt;0</formula>
    </cfRule>
    <cfRule type="expression" priority="778" dxfId="57">
      <formula>SEARCH("RICHIESTO",$M47)&gt;0</formula>
    </cfRule>
    <cfRule type="expression" priority="779" dxfId="56">
      <formula>SEARCH("DA CHIUDERE",$M47)&gt;0</formula>
    </cfRule>
    <cfRule type="expression" priority="780" dxfId="55">
      <formula>SEARCH("INTERROTTO",$M47)&gt;0</formula>
    </cfRule>
  </conditionalFormatting>
  <conditionalFormatting sqref="E46:G46 N46:Q46">
    <cfRule type="expression" priority="769" dxfId="60">
      <formula>SEARCH("IN CORSO",$M46)&gt;0</formula>
    </cfRule>
    <cfRule type="expression" priority="770" dxfId="59">
      <formula>SEARCH("CHIUSO",$M46)&gt;0</formula>
    </cfRule>
    <cfRule type="expression" priority="771" dxfId="58">
      <formula>SEARCH("EMESSO",$M46)&gt;0</formula>
    </cfRule>
    <cfRule type="expression" priority="772" dxfId="57">
      <formula>SEARCH("RICHIESTO",$M46)&gt;0</formula>
    </cfRule>
    <cfRule type="expression" priority="773" dxfId="56">
      <formula>SEARCH("DA CHIUDERE",$M46)&gt;0</formula>
    </cfRule>
    <cfRule type="expression" priority="774" dxfId="55">
      <formula>SEARCH("INTERROTTO",$M46)&gt;0</formula>
    </cfRule>
  </conditionalFormatting>
  <conditionalFormatting sqref="R46:S46">
    <cfRule type="expression" priority="763" dxfId="60">
      <formula>SEARCH("IN CORSO",$M46)&gt;0</formula>
    </cfRule>
    <cfRule type="expression" priority="764" dxfId="59">
      <formula>SEARCH("CHIUSO",$M46)&gt;0</formula>
    </cfRule>
    <cfRule type="expression" priority="765" dxfId="58">
      <formula>SEARCH("EMESSO",$M46)&gt;0</formula>
    </cfRule>
    <cfRule type="expression" priority="766" dxfId="57">
      <formula>SEARCH("RICHIESTO",$M46)&gt;0</formula>
    </cfRule>
    <cfRule type="expression" priority="767" dxfId="56">
      <formula>SEARCH("DA CHIUDERE",$M46)&gt;0</formula>
    </cfRule>
    <cfRule type="expression" priority="768" dxfId="55">
      <formula>SEARCH("INTERROTTO",$M46)&gt;0</formula>
    </cfRule>
  </conditionalFormatting>
  <conditionalFormatting sqref="M46">
    <cfRule type="expression" priority="757" dxfId="60">
      <formula>SEARCH("IN CORSO",$M46)&gt;0</formula>
    </cfRule>
    <cfRule type="expression" priority="758" dxfId="59">
      <formula>SEARCH("CHIUSO",$M46)&gt;0</formula>
    </cfRule>
    <cfRule type="expression" priority="759" dxfId="58">
      <formula>SEARCH("EMESSO",$M46)&gt;0</formula>
    </cfRule>
    <cfRule type="expression" priority="760" dxfId="57">
      <formula>SEARCH("RICHIESTO",$M46)&gt;0</formula>
    </cfRule>
    <cfRule type="expression" priority="761" dxfId="56">
      <formula>SEARCH("DA CHIUDERE",$M46)&gt;0</formula>
    </cfRule>
    <cfRule type="expression" priority="762" dxfId="55">
      <formula>SEARCH("INTERROTTO",$M46)&gt;0</formula>
    </cfRule>
  </conditionalFormatting>
  <conditionalFormatting sqref="E45:G45 N45:Q45">
    <cfRule type="expression" priority="751" dxfId="60">
      <formula>SEARCH("IN CORSO",$M45)&gt;0</formula>
    </cfRule>
    <cfRule type="expression" priority="752" dxfId="59">
      <formula>SEARCH("CHIUSO",$M45)&gt;0</formula>
    </cfRule>
    <cfRule type="expression" priority="753" dxfId="58">
      <formula>SEARCH("EMESSO",$M45)&gt;0</formula>
    </cfRule>
    <cfRule type="expression" priority="754" dxfId="57">
      <formula>SEARCH("RICHIESTO",$M45)&gt;0</formula>
    </cfRule>
    <cfRule type="expression" priority="755" dxfId="56">
      <formula>SEARCH("DA CHIUDERE",$M45)&gt;0</formula>
    </cfRule>
    <cfRule type="expression" priority="756" dxfId="55">
      <formula>SEARCH("INTERROTTO",$M45)&gt;0</formula>
    </cfRule>
  </conditionalFormatting>
  <conditionalFormatting sqref="R45:S45">
    <cfRule type="expression" priority="745" dxfId="60">
      <formula>SEARCH("IN CORSO",$M45)&gt;0</formula>
    </cfRule>
    <cfRule type="expression" priority="746" dxfId="59">
      <formula>SEARCH("CHIUSO",$M45)&gt;0</formula>
    </cfRule>
    <cfRule type="expression" priority="747" dxfId="58">
      <formula>SEARCH("EMESSO",$M45)&gt;0</formula>
    </cfRule>
    <cfRule type="expression" priority="748" dxfId="57">
      <formula>SEARCH("RICHIESTO",$M45)&gt;0</formula>
    </cfRule>
    <cfRule type="expression" priority="749" dxfId="56">
      <formula>SEARCH("DA CHIUDERE",$M45)&gt;0</formula>
    </cfRule>
    <cfRule type="expression" priority="750" dxfId="55">
      <formula>SEARCH("INTERROTTO",$M45)&gt;0</formula>
    </cfRule>
  </conditionalFormatting>
  <conditionalFormatting sqref="M45">
    <cfRule type="expression" priority="739" dxfId="60">
      <formula>SEARCH("IN CORSO",$M45)&gt;0</formula>
    </cfRule>
    <cfRule type="expression" priority="740" dxfId="59">
      <formula>SEARCH("CHIUSO",$M45)&gt;0</formula>
    </cfRule>
    <cfRule type="expression" priority="741" dxfId="58">
      <formula>SEARCH("EMESSO",$M45)&gt;0</formula>
    </cfRule>
    <cfRule type="expression" priority="742" dxfId="57">
      <formula>SEARCH("RICHIESTO",$M45)&gt;0</formula>
    </cfRule>
    <cfRule type="expression" priority="743" dxfId="56">
      <formula>SEARCH("DA CHIUDERE",$M45)&gt;0</formula>
    </cfRule>
    <cfRule type="expression" priority="744" dxfId="55">
      <formula>SEARCH("INTERROTTO",$M45)&gt;0</formula>
    </cfRule>
  </conditionalFormatting>
  <conditionalFormatting sqref="E44:G44 N44:Q44">
    <cfRule type="expression" priority="733" dxfId="60">
      <formula>SEARCH("IN CORSO",$M44)&gt;0</formula>
    </cfRule>
    <cfRule type="expression" priority="734" dxfId="59">
      <formula>SEARCH("CHIUSO",$M44)&gt;0</formula>
    </cfRule>
    <cfRule type="expression" priority="735" dxfId="58">
      <formula>SEARCH("EMESSO",$M44)&gt;0</formula>
    </cfRule>
    <cfRule type="expression" priority="736" dxfId="57">
      <formula>SEARCH("RICHIESTO",$M44)&gt;0</formula>
    </cfRule>
    <cfRule type="expression" priority="737" dxfId="56">
      <formula>SEARCH("DA CHIUDERE",$M44)&gt;0</formula>
    </cfRule>
    <cfRule type="expression" priority="738" dxfId="55">
      <formula>SEARCH("INTERROTTO",$M44)&gt;0</formula>
    </cfRule>
  </conditionalFormatting>
  <conditionalFormatting sqref="R44:S44">
    <cfRule type="expression" priority="727" dxfId="60">
      <formula>SEARCH("IN CORSO",$M44)&gt;0</formula>
    </cfRule>
    <cfRule type="expression" priority="728" dxfId="59">
      <formula>SEARCH("CHIUSO",$M44)&gt;0</formula>
    </cfRule>
    <cfRule type="expression" priority="729" dxfId="58">
      <formula>SEARCH("EMESSO",$M44)&gt;0</formula>
    </cfRule>
    <cfRule type="expression" priority="730" dxfId="57">
      <formula>SEARCH("RICHIESTO",$M44)&gt;0</formula>
    </cfRule>
    <cfRule type="expression" priority="731" dxfId="56">
      <formula>SEARCH("DA CHIUDERE",$M44)&gt;0</formula>
    </cfRule>
    <cfRule type="expression" priority="732" dxfId="55">
      <formula>SEARCH("INTERROTTO",$M44)&gt;0</formula>
    </cfRule>
  </conditionalFormatting>
  <conditionalFormatting sqref="M44">
    <cfRule type="expression" priority="721" dxfId="60">
      <formula>SEARCH("IN CORSO",$M44)&gt;0</formula>
    </cfRule>
    <cfRule type="expression" priority="722" dxfId="59">
      <formula>SEARCH("CHIUSO",$M44)&gt;0</formula>
    </cfRule>
    <cfRule type="expression" priority="723" dxfId="58">
      <formula>SEARCH("EMESSO",$M44)&gt;0</formula>
    </cfRule>
    <cfRule type="expression" priority="724" dxfId="57">
      <formula>SEARCH("RICHIESTO",$M44)&gt;0</formula>
    </cfRule>
    <cfRule type="expression" priority="725" dxfId="56">
      <formula>SEARCH("DA CHIUDERE",$M44)&gt;0</formula>
    </cfRule>
    <cfRule type="expression" priority="726" dxfId="55">
      <formula>SEARCH("INTERROTTO",$M44)&gt;0</formula>
    </cfRule>
  </conditionalFormatting>
  <conditionalFormatting sqref="E43:G43 N43:Q43">
    <cfRule type="expression" priority="715" dxfId="60">
      <formula>SEARCH("IN CORSO",$M43)&gt;0</formula>
    </cfRule>
    <cfRule type="expression" priority="716" dxfId="59">
      <formula>SEARCH("CHIUSO",$M43)&gt;0</formula>
    </cfRule>
    <cfRule type="expression" priority="717" dxfId="58">
      <formula>SEARCH("EMESSO",$M43)&gt;0</formula>
    </cfRule>
    <cfRule type="expression" priority="718" dxfId="57">
      <formula>SEARCH("RICHIESTO",$M43)&gt;0</formula>
    </cfRule>
    <cfRule type="expression" priority="719" dxfId="56">
      <formula>SEARCH("DA CHIUDERE",$M43)&gt;0</formula>
    </cfRule>
    <cfRule type="expression" priority="720" dxfId="55">
      <formula>SEARCH("INTERROTTO",$M43)&gt;0</formula>
    </cfRule>
  </conditionalFormatting>
  <conditionalFormatting sqref="R43:S43">
    <cfRule type="expression" priority="709" dxfId="60">
      <formula>SEARCH("IN CORSO",$M43)&gt;0</formula>
    </cfRule>
    <cfRule type="expression" priority="710" dxfId="59">
      <formula>SEARCH("CHIUSO",$M43)&gt;0</formula>
    </cfRule>
    <cfRule type="expression" priority="711" dxfId="58">
      <formula>SEARCH("EMESSO",$M43)&gt;0</formula>
    </cfRule>
    <cfRule type="expression" priority="712" dxfId="57">
      <formula>SEARCH("RICHIESTO",$M43)&gt;0</formula>
    </cfRule>
    <cfRule type="expression" priority="713" dxfId="56">
      <formula>SEARCH("DA CHIUDERE",$M43)&gt;0</formula>
    </cfRule>
    <cfRule type="expression" priority="714" dxfId="55">
      <formula>SEARCH("INTERROTTO",$M43)&gt;0</formula>
    </cfRule>
  </conditionalFormatting>
  <conditionalFormatting sqref="M43">
    <cfRule type="expression" priority="703" dxfId="60">
      <formula>SEARCH("IN CORSO",$M43)&gt;0</formula>
    </cfRule>
    <cfRule type="expression" priority="704" dxfId="59">
      <formula>SEARCH("CHIUSO",$M43)&gt;0</formula>
    </cfRule>
    <cfRule type="expression" priority="705" dxfId="58">
      <formula>SEARCH("EMESSO",$M43)&gt;0</formula>
    </cfRule>
    <cfRule type="expression" priority="706" dxfId="57">
      <formula>SEARCH("RICHIESTO",$M43)&gt;0</formula>
    </cfRule>
    <cfRule type="expression" priority="707" dxfId="56">
      <formula>SEARCH("DA CHIUDERE",$M43)&gt;0</formula>
    </cfRule>
    <cfRule type="expression" priority="708" dxfId="55">
      <formula>SEARCH("INTERROTTO",$M43)&gt;0</formula>
    </cfRule>
  </conditionalFormatting>
  <conditionalFormatting sqref="E42:G42 N42:Q42">
    <cfRule type="expression" priority="697" dxfId="60">
      <formula>SEARCH("IN CORSO",$M42)&gt;0</formula>
    </cfRule>
    <cfRule type="expression" priority="698" dxfId="59">
      <formula>SEARCH("CHIUSO",$M42)&gt;0</formula>
    </cfRule>
    <cfRule type="expression" priority="699" dxfId="58">
      <formula>SEARCH("EMESSO",$M42)&gt;0</formula>
    </cfRule>
    <cfRule type="expression" priority="700" dxfId="57">
      <formula>SEARCH("RICHIESTO",$M42)&gt;0</formula>
    </cfRule>
    <cfRule type="expression" priority="701" dxfId="56">
      <formula>SEARCH("DA CHIUDERE",$M42)&gt;0</formula>
    </cfRule>
    <cfRule type="expression" priority="702" dxfId="55">
      <formula>SEARCH("INTERROTTO",$M42)&gt;0</formula>
    </cfRule>
  </conditionalFormatting>
  <conditionalFormatting sqref="R42:S42">
    <cfRule type="expression" priority="691" dxfId="60">
      <formula>SEARCH("IN CORSO",$M42)&gt;0</formula>
    </cfRule>
    <cfRule type="expression" priority="692" dxfId="59">
      <formula>SEARCH("CHIUSO",$M42)&gt;0</formula>
    </cfRule>
    <cfRule type="expression" priority="693" dxfId="58">
      <formula>SEARCH("EMESSO",$M42)&gt;0</formula>
    </cfRule>
    <cfRule type="expression" priority="694" dxfId="57">
      <formula>SEARCH("RICHIESTO",$M42)&gt;0</formula>
    </cfRule>
    <cfRule type="expression" priority="695" dxfId="56">
      <formula>SEARCH("DA CHIUDERE",$M42)&gt;0</formula>
    </cfRule>
    <cfRule type="expression" priority="696" dxfId="55">
      <formula>SEARCH("INTERROTTO",$M42)&gt;0</formula>
    </cfRule>
  </conditionalFormatting>
  <conditionalFormatting sqref="M42">
    <cfRule type="expression" priority="685" dxfId="60">
      <formula>SEARCH("IN CORSO",$M42)&gt;0</formula>
    </cfRule>
    <cfRule type="expression" priority="686" dxfId="59">
      <formula>SEARCH("CHIUSO",$M42)&gt;0</formula>
    </cfRule>
    <cfRule type="expression" priority="687" dxfId="58">
      <formula>SEARCH("EMESSO",$M42)&gt;0</formula>
    </cfRule>
    <cfRule type="expression" priority="688" dxfId="57">
      <formula>SEARCH("RICHIESTO",$M42)&gt;0</formula>
    </cfRule>
    <cfRule type="expression" priority="689" dxfId="56">
      <formula>SEARCH("DA CHIUDERE",$M42)&gt;0</formula>
    </cfRule>
    <cfRule type="expression" priority="690" dxfId="55">
      <formula>SEARCH("INTERROTTO",$M42)&gt;0</formula>
    </cfRule>
  </conditionalFormatting>
  <conditionalFormatting sqref="E41:G41 N41:Q41">
    <cfRule type="expression" priority="679" dxfId="60">
      <formula>SEARCH("IN CORSO",$M41)&gt;0</formula>
    </cfRule>
    <cfRule type="expression" priority="680" dxfId="59">
      <formula>SEARCH("CHIUSO",$M41)&gt;0</formula>
    </cfRule>
    <cfRule type="expression" priority="681" dxfId="58">
      <formula>SEARCH("EMESSO",$M41)&gt;0</formula>
    </cfRule>
    <cfRule type="expression" priority="682" dxfId="57">
      <formula>SEARCH("RICHIESTO",$M41)&gt;0</formula>
    </cfRule>
    <cfRule type="expression" priority="683" dxfId="56">
      <formula>SEARCH("DA CHIUDERE",$M41)&gt;0</formula>
    </cfRule>
    <cfRule type="expression" priority="684" dxfId="55">
      <formula>SEARCH("INTERROTTO",$M41)&gt;0</formula>
    </cfRule>
  </conditionalFormatting>
  <conditionalFormatting sqref="R41:S41">
    <cfRule type="expression" priority="673" dxfId="60">
      <formula>SEARCH("IN CORSO",$M41)&gt;0</formula>
    </cfRule>
    <cfRule type="expression" priority="674" dxfId="59">
      <formula>SEARCH("CHIUSO",$M41)&gt;0</formula>
    </cfRule>
    <cfRule type="expression" priority="675" dxfId="58">
      <formula>SEARCH("EMESSO",$M41)&gt;0</formula>
    </cfRule>
    <cfRule type="expression" priority="676" dxfId="57">
      <formula>SEARCH("RICHIESTO",$M41)&gt;0</formula>
    </cfRule>
    <cfRule type="expression" priority="677" dxfId="56">
      <formula>SEARCH("DA CHIUDERE",$M41)&gt;0</formula>
    </cfRule>
    <cfRule type="expression" priority="678" dxfId="55">
      <formula>SEARCH("INTERROTTO",$M41)&gt;0</formula>
    </cfRule>
  </conditionalFormatting>
  <conditionalFormatting sqref="M41">
    <cfRule type="expression" priority="667" dxfId="60">
      <formula>SEARCH("IN CORSO",$M41)&gt;0</formula>
    </cfRule>
    <cfRule type="expression" priority="668" dxfId="59">
      <formula>SEARCH("CHIUSO",$M41)&gt;0</formula>
    </cfRule>
    <cfRule type="expression" priority="669" dxfId="58">
      <formula>SEARCH("EMESSO",$M41)&gt;0</formula>
    </cfRule>
    <cfRule type="expression" priority="670" dxfId="57">
      <formula>SEARCH("RICHIESTO",$M41)&gt;0</formula>
    </cfRule>
    <cfRule type="expression" priority="671" dxfId="56">
      <formula>SEARCH("DA CHIUDERE",$M41)&gt;0</formula>
    </cfRule>
    <cfRule type="expression" priority="672" dxfId="55">
      <formula>SEARCH("INTERROTTO",$M41)&gt;0</formula>
    </cfRule>
  </conditionalFormatting>
  <conditionalFormatting sqref="E40:G40 N40:Q40">
    <cfRule type="expression" priority="661" dxfId="60">
      <formula>SEARCH("IN CORSO",$M40)&gt;0</formula>
    </cfRule>
    <cfRule type="expression" priority="662" dxfId="59">
      <formula>SEARCH("CHIUSO",$M40)&gt;0</formula>
    </cfRule>
    <cfRule type="expression" priority="663" dxfId="58">
      <formula>SEARCH("EMESSO",$M40)&gt;0</formula>
    </cfRule>
    <cfRule type="expression" priority="664" dxfId="57">
      <formula>SEARCH("RICHIESTO",$M40)&gt;0</formula>
    </cfRule>
    <cfRule type="expression" priority="665" dxfId="56">
      <formula>SEARCH("DA CHIUDERE",$M40)&gt;0</formula>
    </cfRule>
    <cfRule type="expression" priority="666" dxfId="55">
      <formula>SEARCH("INTERROTTO",$M40)&gt;0</formula>
    </cfRule>
  </conditionalFormatting>
  <conditionalFormatting sqref="R40:S40">
    <cfRule type="expression" priority="655" dxfId="60">
      <formula>SEARCH("IN CORSO",$M40)&gt;0</formula>
    </cfRule>
    <cfRule type="expression" priority="656" dxfId="59">
      <formula>SEARCH("CHIUSO",$M40)&gt;0</formula>
    </cfRule>
    <cfRule type="expression" priority="657" dxfId="58">
      <formula>SEARCH("EMESSO",$M40)&gt;0</formula>
    </cfRule>
    <cfRule type="expression" priority="658" dxfId="57">
      <formula>SEARCH("RICHIESTO",$M40)&gt;0</formula>
    </cfRule>
    <cfRule type="expression" priority="659" dxfId="56">
      <formula>SEARCH("DA CHIUDERE",$M40)&gt;0</formula>
    </cfRule>
    <cfRule type="expression" priority="660" dxfId="55">
      <formula>SEARCH("INTERROTTO",$M40)&gt;0</formula>
    </cfRule>
  </conditionalFormatting>
  <conditionalFormatting sqref="M40">
    <cfRule type="expression" priority="649" dxfId="60">
      <formula>SEARCH("IN CORSO",$M40)&gt;0</formula>
    </cfRule>
    <cfRule type="expression" priority="650" dxfId="59">
      <formula>SEARCH("CHIUSO",$M40)&gt;0</formula>
    </cfRule>
    <cfRule type="expression" priority="651" dxfId="58">
      <formula>SEARCH("EMESSO",$M40)&gt;0</formula>
    </cfRule>
    <cfRule type="expression" priority="652" dxfId="57">
      <formula>SEARCH("RICHIESTO",$M40)&gt;0</formula>
    </cfRule>
    <cfRule type="expression" priority="653" dxfId="56">
      <formula>SEARCH("DA CHIUDERE",$M40)&gt;0</formula>
    </cfRule>
    <cfRule type="expression" priority="654" dxfId="55">
      <formula>SEARCH("INTERROTTO",$M40)&gt;0</formula>
    </cfRule>
  </conditionalFormatting>
  <conditionalFormatting sqref="E39:G39 N39:Q39">
    <cfRule type="expression" priority="643" dxfId="60">
      <formula>SEARCH("IN CORSO",$M39)&gt;0</formula>
    </cfRule>
    <cfRule type="expression" priority="644" dxfId="59">
      <formula>SEARCH("CHIUSO",$M39)&gt;0</formula>
    </cfRule>
    <cfRule type="expression" priority="645" dxfId="58">
      <formula>SEARCH("EMESSO",$M39)&gt;0</formula>
    </cfRule>
    <cfRule type="expression" priority="646" dxfId="57">
      <formula>SEARCH("RICHIESTO",$M39)&gt;0</formula>
    </cfRule>
    <cfRule type="expression" priority="647" dxfId="56">
      <formula>SEARCH("DA CHIUDERE",$M39)&gt;0</formula>
    </cfRule>
    <cfRule type="expression" priority="648" dxfId="55">
      <formula>SEARCH("INTERROTTO",$M39)&gt;0</formula>
    </cfRule>
  </conditionalFormatting>
  <conditionalFormatting sqref="R39:S39">
    <cfRule type="expression" priority="637" dxfId="60">
      <formula>SEARCH("IN CORSO",$M39)&gt;0</formula>
    </cfRule>
    <cfRule type="expression" priority="638" dxfId="59">
      <formula>SEARCH("CHIUSO",$M39)&gt;0</formula>
    </cfRule>
    <cfRule type="expression" priority="639" dxfId="58">
      <formula>SEARCH("EMESSO",$M39)&gt;0</formula>
    </cfRule>
    <cfRule type="expression" priority="640" dxfId="57">
      <formula>SEARCH("RICHIESTO",$M39)&gt;0</formula>
    </cfRule>
    <cfRule type="expression" priority="641" dxfId="56">
      <formula>SEARCH("DA CHIUDERE",$M39)&gt;0</formula>
    </cfRule>
    <cfRule type="expression" priority="642" dxfId="55">
      <formula>SEARCH("INTERROTTO",$M39)&gt;0</formula>
    </cfRule>
  </conditionalFormatting>
  <conditionalFormatting sqref="M39">
    <cfRule type="expression" priority="631" dxfId="60">
      <formula>SEARCH("IN CORSO",$M39)&gt;0</formula>
    </cfRule>
    <cfRule type="expression" priority="632" dxfId="59">
      <formula>SEARCH("CHIUSO",$M39)&gt;0</formula>
    </cfRule>
    <cfRule type="expression" priority="633" dxfId="58">
      <formula>SEARCH("EMESSO",$M39)&gt;0</formula>
    </cfRule>
    <cfRule type="expression" priority="634" dxfId="57">
      <formula>SEARCH("RICHIESTO",$M39)&gt;0</formula>
    </cfRule>
    <cfRule type="expression" priority="635" dxfId="56">
      <formula>SEARCH("DA CHIUDERE",$M39)&gt;0</formula>
    </cfRule>
    <cfRule type="expression" priority="636" dxfId="55">
      <formula>SEARCH("INTERROTTO",$M39)&gt;0</formula>
    </cfRule>
  </conditionalFormatting>
  <conditionalFormatting sqref="E38:G38 N38:Q38">
    <cfRule type="expression" priority="625" dxfId="60">
      <formula>SEARCH("IN CORSO",$M38)&gt;0</formula>
    </cfRule>
    <cfRule type="expression" priority="626" dxfId="59">
      <formula>SEARCH("CHIUSO",$M38)&gt;0</formula>
    </cfRule>
    <cfRule type="expression" priority="627" dxfId="58">
      <formula>SEARCH("EMESSO",$M38)&gt;0</formula>
    </cfRule>
    <cfRule type="expression" priority="628" dxfId="57">
      <formula>SEARCH("RICHIESTO",$M38)&gt;0</formula>
    </cfRule>
    <cfRule type="expression" priority="629" dxfId="56">
      <formula>SEARCH("DA CHIUDERE",$M38)&gt;0</formula>
    </cfRule>
    <cfRule type="expression" priority="630" dxfId="55">
      <formula>SEARCH("INTERROTTO",$M38)&gt;0</formula>
    </cfRule>
  </conditionalFormatting>
  <conditionalFormatting sqref="R38:S38">
    <cfRule type="expression" priority="619" dxfId="60">
      <formula>SEARCH("IN CORSO",$M38)&gt;0</formula>
    </cfRule>
    <cfRule type="expression" priority="620" dxfId="59">
      <formula>SEARCH("CHIUSO",$M38)&gt;0</formula>
    </cfRule>
    <cfRule type="expression" priority="621" dxfId="58">
      <formula>SEARCH("EMESSO",$M38)&gt;0</formula>
    </cfRule>
    <cfRule type="expression" priority="622" dxfId="57">
      <formula>SEARCH("RICHIESTO",$M38)&gt;0</formula>
    </cfRule>
    <cfRule type="expression" priority="623" dxfId="56">
      <formula>SEARCH("DA CHIUDERE",$M38)&gt;0</formula>
    </cfRule>
    <cfRule type="expression" priority="624" dxfId="55">
      <formula>SEARCH("INTERROTTO",$M38)&gt;0</formula>
    </cfRule>
  </conditionalFormatting>
  <conditionalFormatting sqref="M38">
    <cfRule type="expression" priority="613" dxfId="60">
      <formula>SEARCH("IN CORSO",$M38)&gt;0</formula>
    </cfRule>
    <cfRule type="expression" priority="614" dxfId="59">
      <formula>SEARCH("CHIUSO",$M38)&gt;0</formula>
    </cfRule>
    <cfRule type="expression" priority="615" dxfId="58">
      <formula>SEARCH("EMESSO",$M38)&gt;0</formula>
    </cfRule>
    <cfRule type="expression" priority="616" dxfId="57">
      <formula>SEARCH("RICHIESTO",$M38)&gt;0</formula>
    </cfRule>
    <cfRule type="expression" priority="617" dxfId="56">
      <formula>SEARCH("DA CHIUDERE",$M38)&gt;0</formula>
    </cfRule>
    <cfRule type="expression" priority="618" dxfId="55">
      <formula>SEARCH("INTERROTTO",$M38)&gt;0</formula>
    </cfRule>
  </conditionalFormatting>
  <conditionalFormatting sqref="E37:G37 N37:Q37">
    <cfRule type="expression" priority="607" dxfId="60">
      <formula>SEARCH("IN CORSO",$M37)&gt;0</formula>
    </cfRule>
    <cfRule type="expression" priority="608" dxfId="59">
      <formula>SEARCH("CHIUSO",$M37)&gt;0</formula>
    </cfRule>
    <cfRule type="expression" priority="609" dxfId="58">
      <formula>SEARCH("EMESSO",$M37)&gt;0</formula>
    </cfRule>
    <cfRule type="expression" priority="610" dxfId="57">
      <formula>SEARCH("RICHIESTO",$M37)&gt;0</formula>
    </cfRule>
    <cfRule type="expression" priority="611" dxfId="56">
      <formula>SEARCH("DA CHIUDERE",$M37)&gt;0</formula>
    </cfRule>
    <cfRule type="expression" priority="612" dxfId="55">
      <formula>SEARCH("INTERROTTO",$M37)&gt;0</formula>
    </cfRule>
  </conditionalFormatting>
  <conditionalFormatting sqref="R37:S37">
    <cfRule type="expression" priority="601" dxfId="60">
      <formula>SEARCH("IN CORSO",$M37)&gt;0</formula>
    </cfRule>
    <cfRule type="expression" priority="602" dxfId="59">
      <formula>SEARCH("CHIUSO",$M37)&gt;0</formula>
    </cfRule>
    <cfRule type="expression" priority="603" dxfId="58">
      <formula>SEARCH("EMESSO",$M37)&gt;0</formula>
    </cfRule>
    <cfRule type="expression" priority="604" dxfId="57">
      <formula>SEARCH("RICHIESTO",$M37)&gt;0</formula>
    </cfRule>
    <cfRule type="expression" priority="605" dxfId="56">
      <formula>SEARCH("DA CHIUDERE",$M37)&gt;0</formula>
    </cfRule>
    <cfRule type="expression" priority="606" dxfId="55">
      <formula>SEARCH("INTERROTTO",$M37)&gt;0</formula>
    </cfRule>
  </conditionalFormatting>
  <conditionalFormatting sqref="M37">
    <cfRule type="expression" priority="595" dxfId="60">
      <formula>SEARCH("IN CORSO",$M37)&gt;0</formula>
    </cfRule>
    <cfRule type="expression" priority="596" dxfId="59">
      <formula>SEARCH("CHIUSO",$M37)&gt;0</formula>
    </cfRule>
    <cfRule type="expression" priority="597" dxfId="58">
      <formula>SEARCH("EMESSO",$M37)&gt;0</formula>
    </cfRule>
    <cfRule type="expression" priority="598" dxfId="57">
      <formula>SEARCH("RICHIESTO",$M37)&gt;0</formula>
    </cfRule>
    <cfRule type="expression" priority="599" dxfId="56">
      <formula>SEARCH("DA CHIUDERE",$M37)&gt;0</formula>
    </cfRule>
    <cfRule type="expression" priority="600" dxfId="55">
      <formula>SEARCH("INTERROTTO",$M37)&gt;0</formula>
    </cfRule>
  </conditionalFormatting>
  <conditionalFormatting sqref="E36:G36 N36:Q36">
    <cfRule type="expression" priority="589" dxfId="60">
      <formula>SEARCH("IN CORSO",$M36)&gt;0</formula>
    </cfRule>
    <cfRule type="expression" priority="590" dxfId="59">
      <formula>SEARCH("CHIUSO",$M36)&gt;0</formula>
    </cfRule>
    <cfRule type="expression" priority="591" dxfId="58">
      <formula>SEARCH("EMESSO",$M36)&gt;0</formula>
    </cfRule>
    <cfRule type="expression" priority="592" dxfId="57">
      <formula>SEARCH("RICHIESTO",$M36)&gt;0</formula>
    </cfRule>
    <cfRule type="expression" priority="593" dxfId="56">
      <formula>SEARCH("DA CHIUDERE",$M36)&gt;0</formula>
    </cfRule>
    <cfRule type="expression" priority="594" dxfId="55">
      <formula>SEARCH("INTERROTTO",$M36)&gt;0</formula>
    </cfRule>
  </conditionalFormatting>
  <conditionalFormatting sqref="R36:S36">
    <cfRule type="expression" priority="583" dxfId="60">
      <formula>SEARCH("IN CORSO",$M36)&gt;0</formula>
    </cfRule>
    <cfRule type="expression" priority="584" dxfId="59">
      <formula>SEARCH("CHIUSO",$M36)&gt;0</formula>
    </cfRule>
    <cfRule type="expression" priority="585" dxfId="58">
      <formula>SEARCH("EMESSO",$M36)&gt;0</formula>
    </cfRule>
    <cfRule type="expression" priority="586" dxfId="57">
      <formula>SEARCH("RICHIESTO",$M36)&gt;0</formula>
    </cfRule>
    <cfRule type="expression" priority="587" dxfId="56">
      <formula>SEARCH("DA CHIUDERE",$M36)&gt;0</formula>
    </cfRule>
    <cfRule type="expression" priority="588" dxfId="55">
      <formula>SEARCH("INTERROTTO",$M36)&gt;0</formula>
    </cfRule>
  </conditionalFormatting>
  <conditionalFormatting sqref="M36">
    <cfRule type="expression" priority="577" dxfId="60">
      <formula>SEARCH("IN CORSO",$M36)&gt;0</formula>
    </cfRule>
    <cfRule type="expression" priority="578" dxfId="59">
      <formula>SEARCH("CHIUSO",$M36)&gt;0</formula>
    </cfRule>
    <cfRule type="expression" priority="579" dxfId="58">
      <formula>SEARCH("EMESSO",$M36)&gt;0</formula>
    </cfRule>
    <cfRule type="expression" priority="580" dxfId="57">
      <formula>SEARCH("RICHIESTO",$M36)&gt;0</formula>
    </cfRule>
    <cfRule type="expression" priority="581" dxfId="56">
      <formula>SEARCH("DA CHIUDERE",$M36)&gt;0</formula>
    </cfRule>
    <cfRule type="expression" priority="582" dxfId="55">
      <formula>SEARCH("INTERROTTO",$M36)&gt;0</formula>
    </cfRule>
  </conditionalFormatting>
  <conditionalFormatting sqref="E35:G35 N35:Q35">
    <cfRule type="expression" priority="571" dxfId="60">
      <formula>SEARCH("IN CORSO",$M35)&gt;0</formula>
    </cfRule>
    <cfRule type="expression" priority="572" dxfId="59">
      <formula>SEARCH("CHIUSO",$M35)&gt;0</formula>
    </cfRule>
    <cfRule type="expression" priority="573" dxfId="58">
      <formula>SEARCH("EMESSO",$M35)&gt;0</formula>
    </cfRule>
    <cfRule type="expression" priority="574" dxfId="57">
      <formula>SEARCH("RICHIESTO",$M35)&gt;0</formula>
    </cfRule>
    <cfRule type="expression" priority="575" dxfId="56">
      <formula>SEARCH("DA CHIUDERE",$M35)&gt;0</formula>
    </cfRule>
    <cfRule type="expression" priority="576" dxfId="55">
      <formula>SEARCH("INTERROTTO",$M35)&gt;0</formula>
    </cfRule>
  </conditionalFormatting>
  <conditionalFormatting sqref="R35:S35">
    <cfRule type="expression" priority="565" dxfId="60">
      <formula>SEARCH("IN CORSO",$M35)&gt;0</formula>
    </cfRule>
    <cfRule type="expression" priority="566" dxfId="59">
      <formula>SEARCH("CHIUSO",$M35)&gt;0</formula>
    </cfRule>
    <cfRule type="expression" priority="567" dxfId="58">
      <formula>SEARCH("EMESSO",$M35)&gt;0</formula>
    </cfRule>
    <cfRule type="expression" priority="568" dxfId="57">
      <formula>SEARCH("RICHIESTO",$M35)&gt;0</formula>
    </cfRule>
    <cfRule type="expression" priority="569" dxfId="56">
      <formula>SEARCH("DA CHIUDERE",$M35)&gt;0</formula>
    </cfRule>
    <cfRule type="expression" priority="570" dxfId="55">
      <formula>SEARCH("INTERROTTO",$M35)&gt;0</formula>
    </cfRule>
  </conditionalFormatting>
  <conditionalFormatting sqref="M35">
    <cfRule type="expression" priority="559" dxfId="60">
      <formula>SEARCH("IN CORSO",$M35)&gt;0</formula>
    </cfRule>
    <cfRule type="expression" priority="560" dxfId="59">
      <formula>SEARCH("CHIUSO",$M35)&gt;0</formula>
    </cfRule>
    <cfRule type="expression" priority="561" dxfId="58">
      <formula>SEARCH("EMESSO",$M35)&gt;0</formula>
    </cfRule>
    <cfRule type="expression" priority="562" dxfId="57">
      <formula>SEARCH("RICHIESTO",$M35)&gt;0</formula>
    </cfRule>
    <cfRule type="expression" priority="563" dxfId="56">
      <formula>SEARCH("DA CHIUDERE",$M35)&gt;0</formula>
    </cfRule>
    <cfRule type="expression" priority="564" dxfId="55">
      <formula>SEARCH("INTERROTTO",$M35)&gt;0</formula>
    </cfRule>
  </conditionalFormatting>
  <conditionalFormatting sqref="E34:G34 N34:Q34">
    <cfRule type="expression" priority="553" dxfId="60">
      <formula>SEARCH("IN CORSO",$M34)&gt;0</formula>
    </cfRule>
    <cfRule type="expression" priority="554" dxfId="59">
      <formula>SEARCH("CHIUSO",$M34)&gt;0</formula>
    </cfRule>
    <cfRule type="expression" priority="555" dxfId="58">
      <formula>SEARCH("EMESSO",$M34)&gt;0</formula>
    </cfRule>
    <cfRule type="expression" priority="556" dxfId="57">
      <formula>SEARCH("RICHIESTO",$M34)&gt;0</formula>
    </cfRule>
    <cfRule type="expression" priority="557" dxfId="56">
      <formula>SEARCH("DA CHIUDERE",$M34)&gt;0</formula>
    </cfRule>
    <cfRule type="expression" priority="558" dxfId="55">
      <formula>SEARCH("INTERROTTO",$M34)&gt;0</formula>
    </cfRule>
  </conditionalFormatting>
  <conditionalFormatting sqref="R34:S34">
    <cfRule type="expression" priority="547" dxfId="60">
      <formula>SEARCH("IN CORSO",$M34)&gt;0</formula>
    </cfRule>
    <cfRule type="expression" priority="548" dxfId="59">
      <formula>SEARCH("CHIUSO",$M34)&gt;0</formula>
    </cfRule>
    <cfRule type="expression" priority="549" dxfId="58">
      <formula>SEARCH("EMESSO",$M34)&gt;0</formula>
    </cfRule>
    <cfRule type="expression" priority="550" dxfId="57">
      <formula>SEARCH("RICHIESTO",$M34)&gt;0</formula>
    </cfRule>
    <cfRule type="expression" priority="551" dxfId="56">
      <formula>SEARCH("DA CHIUDERE",$M34)&gt;0</formula>
    </cfRule>
    <cfRule type="expression" priority="552" dxfId="55">
      <formula>SEARCH("INTERROTTO",$M34)&gt;0</formula>
    </cfRule>
  </conditionalFormatting>
  <conditionalFormatting sqref="M34">
    <cfRule type="expression" priority="541" dxfId="60">
      <formula>SEARCH("IN CORSO",$M34)&gt;0</formula>
    </cfRule>
    <cfRule type="expression" priority="542" dxfId="59">
      <formula>SEARCH("CHIUSO",$M34)&gt;0</formula>
    </cfRule>
    <cfRule type="expression" priority="543" dxfId="58">
      <formula>SEARCH("EMESSO",$M34)&gt;0</formula>
    </cfRule>
    <cfRule type="expression" priority="544" dxfId="57">
      <formula>SEARCH("RICHIESTO",$M34)&gt;0</formula>
    </cfRule>
    <cfRule type="expression" priority="545" dxfId="56">
      <formula>SEARCH("DA CHIUDERE",$M34)&gt;0</formula>
    </cfRule>
    <cfRule type="expression" priority="546" dxfId="55">
      <formula>SEARCH("INTERROTTO",$M34)&gt;0</formula>
    </cfRule>
  </conditionalFormatting>
  <conditionalFormatting sqref="E33:G33 N33:Q33">
    <cfRule type="expression" priority="535" dxfId="60">
      <formula>SEARCH("IN CORSO",$M33)&gt;0</formula>
    </cfRule>
    <cfRule type="expression" priority="536" dxfId="59">
      <formula>SEARCH("CHIUSO",$M33)&gt;0</formula>
    </cfRule>
    <cfRule type="expression" priority="537" dxfId="58">
      <formula>SEARCH("EMESSO",$M33)&gt;0</formula>
    </cfRule>
    <cfRule type="expression" priority="538" dxfId="57">
      <formula>SEARCH("RICHIESTO",$M33)&gt;0</formula>
    </cfRule>
    <cfRule type="expression" priority="539" dxfId="56">
      <formula>SEARCH("DA CHIUDERE",$M33)&gt;0</formula>
    </cfRule>
    <cfRule type="expression" priority="540" dxfId="55">
      <formula>SEARCH("INTERROTTO",$M33)&gt;0</formula>
    </cfRule>
  </conditionalFormatting>
  <conditionalFormatting sqref="R33:S33">
    <cfRule type="expression" priority="529" dxfId="60">
      <formula>SEARCH("IN CORSO",$M33)&gt;0</formula>
    </cfRule>
    <cfRule type="expression" priority="530" dxfId="59">
      <formula>SEARCH("CHIUSO",$M33)&gt;0</formula>
    </cfRule>
    <cfRule type="expression" priority="531" dxfId="58">
      <formula>SEARCH("EMESSO",$M33)&gt;0</formula>
    </cfRule>
    <cfRule type="expression" priority="532" dxfId="57">
      <formula>SEARCH("RICHIESTO",$M33)&gt;0</formula>
    </cfRule>
    <cfRule type="expression" priority="533" dxfId="56">
      <formula>SEARCH("DA CHIUDERE",$M33)&gt;0</formula>
    </cfRule>
    <cfRule type="expression" priority="534" dxfId="55">
      <formula>SEARCH("INTERROTTO",$M33)&gt;0</formula>
    </cfRule>
  </conditionalFormatting>
  <conditionalFormatting sqref="M33">
    <cfRule type="expression" priority="523" dxfId="60">
      <formula>SEARCH("IN CORSO",$M33)&gt;0</formula>
    </cfRule>
    <cfRule type="expression" priority="524" dxfId="59">
      <formula>SEARCH("CHIUSO",$M33)&gt;0</formula>
    </cfRule>
    <cfRule type="expression" priority="525" dxfId="58">
      <formula>SEARCH("EMESSO",$M33)&gt;0</formula>
    </cfRule>
    <cfRule type="expression" priority="526" dxfId="57">
      <formula>SEARCH("RICHIESTO",$M33)&gt;0</formula>
    </cfRule>
    <cfRule type="expression" priority="527" dxfId="56">
      <formula>SEARCH("DA CHIUDERE",$M33)&gt;0</formula>
    </cfRule>
    <cfRule type="expression" priority="528" dxfId="55">
      <formula>SEARCH("INTERROTTO",$M33)&gt;0</formula>
    </cfRule>
  </conditionalFormatting>
  <conditionalFormatting sqref="E32:G32 N32:Q32">
    <cfRule type="expression" priority="517" dxfId="60">
      <formula>SEARCH("IN CORSO",$M32)&gt;0</formula>
    </cfRule>
    <cfRule type="expression" priority="518" dxfId="59">
      <formula>SEARCH("CHIUSO",$M32)&gt;0</formula>
    </cfRule>
    <cfRule type="expression" priority="519" dxfId="58">
      <formula>SEARCH("EMESSO",$M32)&gt;0</formula>
    </cfRule>
    <cfRule type="expression" priority="520" dxfId="57">
      <formula>SEARCH("RICHIESTO",$M32)&gt;0</formula>
    </cfRule>
    <cfRule type="expression" priority="521" dxfId="56">
      <formula>SEARCH("DA CHIUDERE",$M32)&gt;0</formula>
    </cfRule>
    <cfRule type="expression" priority="522" dxfId="55">
      <formula>SEARCH("INTERROTTO",$M32)&gt;0</formula>
    </cfRule>
  </conditionalFormatting>
  <conditionalFormatting sqref="R32:S32">
    <cfRule type="expression" priority="511" dxfId="60">
      <formula>SEARCH("IN CORSO",$M32)&gt;0</formula>
    </cfRule>
    <cfRule type="expression" priority="512" dxfId="59">
      <formula>SEARCH("CHIUSO",$M32)&gt;0</formula>
    </cfRule>
    <cfRule type="expression" priority="513" dxfId="58">
      <formula>SEARCH("EMESSO",$M32)&gt;0</formula>
    </cfRule>
    <cfRule type="expression" priority="514" dxfId="57">
      <formula>SEARCH("RICHIESTO",$M32)&gt;0</formula>
    </cfRule>
    <cfRule type="expression" priority="515" dxfId="56">
      <formula>SEARCH("DA CHIUDERE",$M32)&gt;0</formula>
    </cfRule>
    <cfRule type="expression" priority="516" dxfId="55">
      <formula>SEARCH("INTERROTTO",$M32)&gt;0</formula>
    </cfRule>
  </conditionalFormatting>
  <conditionalFormatting sqref="M32">
    <cfRule type="expression" priority="505" dxfId="60">
      <formula>SEARCH("IN CORSO",$M32)&gt;0</formula>
    </cfRule>
    <cfRule type="expression" priority="506" dxfId="59">
      <formula>SEARCH("CHIUSO",$M32)&gt;0</formula>
    </cfRule>
    <cfRule type="expression" priority="507" dxfId="58">
      <formula>SEARCH("EMESSO",$M32)&gt;0</formula>
    </cfRule>
    <cfRule type="expression" priority="508" dxfId="57">
      <formula>SEARCH("RICHIESTO",$M32)&gt;0</formula>
    </cfRule>
    <cfRule type="expression" priority="509" dxfId="56">
      <formula>SEARCH("DA CHIUDERE",$M32)&gt;0</formula>
    </cfRule>
    <cfRule type="expression" priority="510" dxfId="55">
      <formula>SEARCH("INTERROTTO",$M32)&gt;0</formula>
    </cfRule>
  </conditionalFormatting>
  <conditionalFormatting sqref="E31:G31 N31:Q31">
    <cfRule type="expression" priority="499" dxfId="60">
      <formula>SEARCH("IN CORSO",$M31)&gt;0</formula>
    </cfRule>
    <cfRule type="expression" priority="500" dxfId="59">
      <formula>SEARCH("CHIUSO",$M31)&gt;0</formula>
    </cfRule>
    <cfRule type="expression" priority="501" dxfId="58">
      <formula>SEARCH("EMESSO",$M31)&gt;0</formula>
    </cfRule>
    <cfRule type="expression" priority="502" dxfId="57">
      <formula>SEARCH("RICHIESTO",$M31)&gt;0</formula>
    </cfRule>
    <cfRule type="expression" priority="503" dxfId="56">
      <formula>SEARCH("DA CHIUDERE",$M31)&gt;0</formula>
    </cfRule>
    <cfRule type="expression" priority="504" dxfId="55">
      <formula>SEARCH("INTERROTTO",$M31)&gt;0</formula>
    </cfRule>
  </conditionalFormatting>
  <conditionalFormatting sqref="R31:S31">
    <cfRule type="expression" priority="493" dxfId="60">
      <formula>SEARCH("IN CORSO",$M31)&gt;0</formula>
    </cfRule>
    <cfRule type="expression" priority="494" dxfId="59">
      <formula>SEARCH("CHIUSO",$M31)&gt;0</formula>
    </cfRule>
    <cfRule type="expression" priority="495" dxfId="58">
      <formula>SEARCH("EMESSO",$M31)&gt;0</formula>
    </cfRule>
    <cfRule type="expression" priority="496" dxfId="57">
      <formula>SEARCH("RICHIESTO",$M31)&gt;0</formula>
    </cfRule>
    <cfRule type="expression" priority="497" dxfId="56">
      <formula>SEARCH("DA CHIUDERE",$M31)&gt;0</formula>
    </cfRule>
    <cfRule type="expression" priority="498" dxfId="55">
      <formula>SEARCH("INTERROTTO",$M31)&gt;0</formula>
    </cfRule>
  </conditionalFormatting>
  <conditionalFormatting sqref="M31">
    <cfRule type="expression" priority="487" dxfId="60">
      <formula>SEARCH("IN CORSO",$M31)&gt;0</formula>
    </cfRule>
    <cfRule type="expression" priority="488" dxfId="59">
      <formula>SEARCH("CHIUSO",$M31)&gt;0</formula>
    </cfRule>
    <cfRule type="expression" priority="489" dxfId="58">
      <formula>SEARCH("EMESSO",$M31)&gt;0</formula>
    </cfRule>
    <cfRule type="expression" priority="490" dxfId="57">
      <formula>SEARCH("RICHIESTO",$M31)&gt;0</formula>
    </cfRule>
    <cfRule type="expression" priority="491" dxfId="56">
      <formula>SEARCH("DA CHIUDERE",$M31)&gt;0</formula>
    </cfRule>
    <cfRule type="expression" priority="492" dxfId="55">
      <formula>SEARCH("INTERROTTO",$M31)&gt;0</formula>
    </cfRule>
  </conditionalFormatting>
  <conditionalFormatting sqref="E30:G30 N30:Q30">
    <cfRule type="expression" priority="481" dxfId="60">
      <formula>SEARCH("IN CORSO",$M30)&gt;0</formula>
    </cfRule>
    <cfRule type="expression" priority="482" dxfId="59">
      <formula>SEARCH("CHIUSO",$M30)&gt;0</formula>
    </cfRule>
    <cfRule type="expression" priority="483" dxfId="58">
      <formula>SEARCH("EMESSO",$M30)&gt;0</formula>
    </cfRule>
    <cfRule type="expression" priority="484" dxfId="57">
      <formula>SEARCH("RICHIESTO",$M30)&gt;0</formula>
    </cfRule>
    <cfRule type="expression" priority="485" dxfId="56">
      <formula>SEARCH("DA CHIUDERE",$M30)&gt;0</formula>
    </cfRule>
    <cfRule type="expression" priority="486" dxfId="55">
      <formula>SEARCH("INTERROTTO",$M30)&gt;0</formula>
    </cfRule>
  </conditionalFormatting>
  <conditionalFormatting sqref="R30:S30">
    <cfRule type="expression" priority="475" dxfId="60">
      <formula>SEARCH("IN CORSO",$M30)&gt;0</formula>
    </cfRule>
    <cfRule type="expression" priority="476" dxfId="59">
      <formula>SEARCH("CHIUSO",$M30)&gt;0</formula>
    </cfRule>
    <cfRule type="expression" priority="477" dxfId="58">
      <formula>SEARCH("EMESSO",$M30)&gt;0</formula>
    </cfRule>
    <cfRule type="expression" priority="478" dxfId="57">
      <formula>SEARCH("RICHIESTO",$M30)&gt;0</formula>
    </cfRule>
    <cfRule type="expression" priority="479" dxfId="56">
      <formula>SEARCH("DA CHIUDERE",$M30)&gt;0</formula>
    </cfRule>
    <cfRule type="expression" priority="480" dxfId="55">
      <formula>SEARCH("INTERROTTO",$M30)&gt;0</formula>
    </cfRule>
  </conditionalFormatting>
  <conditionalFormatting sqref="M30">
    <cfRule type="expression" priority="469" dxfId="60">
      <formula>SEARCH("IN CORSO",$M30)&gt;0</formula>
    </cfRule>
    <cfRule type="expression" priority="470" dxfId="59">
      <formula>SEARCH("CHIUSO",$M30)&gt;0</formula>
    </cfRule>
    <cfRule type="expression" priority="471" dxfId="58">
      <formula>SEARCH("EMESSO",$M30)&gt;0</formula>
    </cfRule>
    <cfRule type="expression" priority="472" dxfId="57">
      <formula>SEARCH("RICHIESTO",$M30)&gt;0</formula>
    </cfRule>
    <cfRule type="expression" priority="473" dxfId="56">
      <formula>SEARCH("DA CHIUDERE",$M30)&gt;0</formula>
    </cfRule>
    <cfRule type="expression" priority="474" dxfId="55">
      <formula>SEARCH("INTERROTTO",$M30)&gt;0</formula>
    </cfRule>
  </conditionalFormatting>
  <conditionalFormatting sqref="E29:G29 N29:Q29">
    <cfRule type="expression" priority="463" dxfId="60">
      <formula>SEARCH("IN CORSO",$M29)&gt;0</formula>
    </cfRule>
    <cfRule type="expression" priority="464" dxfId="59">
      <formula>SEARCH("CHIUSO",$M29)&gt;0</formula>
    </cfRule>
    <cfRule type="expression" priority="465" dxfId="58">
      <formula>SEARCH("EMESSO",$M29)&gt;0</formula>
    </cfRule>
    <cfRule type="expression" priority="466" dxfId="57">
      <formula>SEARCH("RICHIESTO",$M29)&gt;0</formula>
    </cfRule>
    <cfRule type="expression" priority="467" dxfId="56">
      <formula>SEARCH("DA CHIUDERE",$M29)&gt;0</formula>
    </cfRule>
    <cfRule type="expression" priority="468" dxfId="55">
      <formula>SEARCH("INTERROTTO",$M29)&gt;0</formula>
    </cfRule>
  </conditionalFormatting>
  <conditionalFormatting sqref="R29:S29">
    <cfRule type="expression" priority="457" dxfId="60">
      <formula>SEARCH("IN CORSO",$M29)&gt;0</formula>
    </cfRule>
    <cfRule type="expression" priority="458" dxfId="59">
      <formula>SEARCH("CHIUSO",$M29)&gt;0</formula>
    </cfRule>
    <cfRule type="expression" priority="459" dxfId="58">
      <formula>SEARCH("EMESSO",$M29)&gt;0</formula>
    </cfRule>
    <cfRule type="expression" priority="460" dxfId="57">
      <formula>SEARCH("RICHIESTO",$M29)&gt;0</formula>
    </cfRule>
    <cfRule type="expression" priority="461" dxfId="56">
      <formula>SEARCH("DA CHIUDERE",$M29)&gt;0</formula>
    </cfRule>
    <cfRule type="expression" priority="462" dxfId="55">
      <formula>SEARCH("INTERROTTO",$M29)&gt;0</formula>
    </cfRule>
  </conditionalFormatting>
  <conditionalFormatting sqref="M29">
    <cfRule type="expression" priority="451" dxfId="60">
      <formula>SEARCH("IN CORSO",$M29)&gt;0</formula>
    </cfRule>
    <cfRule type="expression" priority="452" dxfId="59">
      <formula>SEARCH("CHIUSO",$M29)&gt;0</formula>
    </cfRule>
    <cfRule type="expression" priority="453" dxfId="58">
      <formula>SEARCH("EMESSO",$M29)&gt;0</formula>
    </cfRule>
    <cfRule type="expression" priority="454" dxfId="57">
      <formula>SEARCH("RICHIESTO",$M29)&gt;0</formula>
    </cfRule>
    <cfRule type="expression" priority="455" dxfId="56">
      <formula>SEARCH("DA CHIUDERE",$M29)&gt;0</formula>
    </cfRule>
    <cfRule type="expression" priority="456" dxfId="55">
      <formula>SEARCH("INTERROTTO",$M29)&gt;0</formula>
    </cfRule>
  </conditionalFormatting>
  <conditionalFormatting sqref="E28:G28 N28:Q28">
    <cfRule type="expression" priority="445" dxfId="60">
      <formula>SEARCH("IN CORSO",$M28)&gt;0</formula>
    </cfRule>
    <cfRule type="expression" priority="446" dxfId="59">
      <formula>SEARCH("CHIUSO",$M28)&gt;0</formula>
    </cfRule>
    <cfRule type="expression" priority="447" dxfId="58">
      <formula>SEARCH("EMESSO",$M28)&gt;0</formula>
    </cfRule>
    <cfRule type="expression" priority="448" dxfId="57">
      <formula>SEARCH("RICHIESTO",$M28)&gt;0</formula>
    </cfRule>
    <cfRule type="expression" priority="449" dxfId="56">
      <formula>SEARCH("DA CHIUDERE",$M28)&gt;0</formula>
    </cfRule>
    <cfRule type="expression" priority="450" dxfId="55">
      <formula>SEARCH("INTERROTTO",$M28)&gt;0</formula>
    </cfRule>
  </conditionalFormatting>
  <conditionalFormatting sqref="R28:S28">
    <cfRule type="expression" priority="439" dxfId="60">
      <formula>SEARCH("IN CORSO",$M28)&gt;0</formula>
    </cfRule>
    <cfRule type="expression" priority="440" dxfId="59">
      <formula>SEARCH("CHIUSO",$M28)&gt;0</formula>
    </cfRule>
    <cfRule type="expression" priority="441" dxfId="58">
      <formula>SEARCH("EMESSO",$M28)&gt;0</formula>
    </cfRule>
    <cfRule type="expression" priority="442" dxfId="57">
      <formula>SEARCH("RICHIESTO",$M28)&gt;0</formula>
    </cfRule>
    <cfRule type="expression" priority="443" dxfId="56">
      <formula>SEARCH("DA CHIUDERE",$M28)&gt;0</formula>
    </cfRule>
    <cfRule type="expression" priority="444" dxfId="55">
      <formula>SEARCH("INTERROTTO",$M28)&gt;0</formula>
    </cfRule>
  </conditionalFormatting>
  <conditionalFormatting sqref="M28">
    <cfRule type="expression" priority="433" dxfId="60">
      <formula>SEARCH("IN CORSO",$M28)&gt;0</formula>
    </cfRule>
    <cfRule type="expression" priority="434" dxfId="59">
      <formula>SEARCH("CHIUSO",$M28)&gt;0</formula>
    </cfRule>
    <cfRule type="expression" priority="435" dxfId="58">
      <formula>SEARCH("EMESSO",$M28)&gt;0</formula>
    </cfRule>
    <cfRule type="expression" priority="436" dxfId="57">
      <formula>SEARCH("RICHIESTO",$M28)&gt;0</formula>
    </cfRule>
    <cfRule type="expression" priority="437" dxfId="56">
      <formula>SEARCH("DA CHIUDERE",$M28)&gt;0</formula>
    </cfRule>
    <cfRule type="expression" priority="438" dxfId="55">
      <formula>SEARCH("INTERROTTO",$M28)&gt;0</formula>
    </cfRule>
  </conditionalFormatting>
  <conditionalFormatting sqref="E27:G27 N27:Q27">
    <cfRule type="expression" priority="427" dxfId="60">
      <formula>SEARCH("IN CORSO",$M27)&gt;0</formula>
    </cfRule>
    <cfRule type="expression" priority="428" dxfId="59">
      <formula>SEARCH("CHIUSO",$M27)&gt;0</formula>
    </cfRule>
    <cfRule type="expression" priority="429" dxfId="58">
      <formula>SEARCH("EMESSO",$M27)&gt;0</formula>
    </cfRule>
    <cfRule type="expression" priority="430" dxfId="57">
      <formula>SEARCH("RICHIESTO",$M27)&gt;0</formula>
    </cfRule>
    <cfRule type="expression" priority="431" dxfId="56">
      <formula>SEARCH("DA CHIUDERE",$M27)&gt;0</formula>
    </cfRule>
    <cfRule type="expression" priority="432" dxfId="55">
      <formula>SEARCH("INTERROTTO",$M27)&gt;0</formula>
    </cfRule>
  </conditionalFormatting>
  <conditionalFormatting sqref="R27:S27">
    <cfRule type="expression" priority="421" dxfId="60">
      <formula>SEARCH("IN CORSO",$M27)&gt;0</formula>
    </cfRule>
    <cfRule type="expression" priority="422" dxfId="59">
      <formula>SEARCH("CHIUSO",$M27)&gt;0</formula>
    </cfRule>
    <cfRule type="expression" priority="423" dxfId="58">
      <formula>SEARCH("EMESSO",$M27)&gt;0</formula>
    </cfRule>
    <cfRule type="expression" priority="424" dxfId="57">
      <formula>SEARCH("RICHIESTO",$M27)&gt;0</formula>
    </cfRule>
    <cfRule type="expression" priority="425" dxfId="56">
      <formula>SEARCH("DA CHIUDERE",$M27)&gt;0</formula>
    </cfRule>
    <cfRule type="expression" priority="426" dxfId="55">
      <formula>SEARCH("INTERROTTO",$M27)&gt;0</formula>
    </cfRule>
  </conditionalFormatting>
  <conditionalFormatting sqref="M27">
    <cfRule type="expression" priority="415" dxfId="60">
      <formula>SEARCH("IN CORSO",$M27)&gt;0</formula>
    </cfRule>
    <cfRule type="expression" priority="416" dxfId="59">
      <formula>SEARCH("CHIUSO",$M27)&gt;0</formula>
    </cfRule>
    <cfRule type="expression" priority="417" dxfId="58">
      <formula>SEARCH("EMESSO",$M27)&gt;0</formula>
    </cfRule>
    <cfRule type="expression" priority="418" dxfId="57">
      <formula>SEARCH("RICHIESTO",$M27)&gt;0</formula>
    </cfRule>
    <cfRule type="expression" priority="419" dxfId="56">
      <formula>SEARCH("DA CHIUDERE",$M27)&gt;0</formula>
    </cfRule>
    <cfRule type="expression" priority="420" dxfId="55">
      <formula>SEARCH("INTERROTTO",$M27)&gt;0</formula>
    </cfRule>
  </conditionalFormatting>
  <conditionalFormatting sqref="E26:G26 N26:Q26">
    <cfRule type="expression" priority="409" dxfId="60">
      <formula>SEARCH("IN CORSO",$M26)&gt;0</formula>
    </cfRule>
    <cfRule type="expression" priority="410" dxfId="59">
      <formula>SEARCH("CHIUSO",$M26)&gt;0</formula>
    </cfRule>
    <cfRule type="expression" priority="411" dxfId="58">
      <formula>SEARCH("EMESSO",$M26)&gt;0</formula>
    </cfRule>
    <cfRule type="expression" priority="412" dxfId="57">
      <formula>SEARCH("RICHIESTO",$M26)&gt;0</formula>
    </cfRule>
    <cfRule type="expression" priority="413" dxfId="56">
      <formula>SEARCH("DA CHIUDERE",$M26)&gt;0</formula>
    </cfRule>
    <cfRule type="expression" priority="414" dxfId="55">
      <formula>SEARCH("INTERROTTO",$M26)&gt;0</formula>
    </cfRule>
  </conditionalFormatting>
  <conditionalFormatting sqref="R26:S26">
    <cfRule type="expression" priority="403" dxfId="60">
      <formula>SEARCH("IN CORSO",$M26)&gt;0</formula>
    </cfRule>
    <cfRule type="expression" priority="404" dxfId="59">
      <formula>SEARCH("CHIUSO",$M26)&gt;0</formula>
    </cfRule>
    <cfRule type="expression" priority="405" dxfId="58">
      <formula>SEARCH("EMESSO",$M26)&gt;0</formula>
    </cfRule>
    <cfRule type="expression" priority="406" dxfId="57">
      <formula>SEARCH("RICHIESTO",$M26)&gt;0</formula>
    </cfRule>
    <cfRule type="expression" priority="407" dxfId="56">
      <formula>SEARCH("DA CHIUDERE",$M26)&gt;0</formula>
    </cfRule>
    <cfRule type="expression" priority="408" dxfId="55">
      <formula>SEARCH("INTERROTTO",$M26)&gt;0</formula>
    </cfRule>
  </conditionalFormatting>
  <conditionalFormatting sqref="M26">
    <cfRule type="expression" priority="397" dxfId="60">
      <formula>SEARCH("IN CORSO",$M26)&gt;0</formula>
    </cfRule>
    <cfRule type="expression" priority="398" dxfId="59">
      <formula>SEARCH("CHIUSO",$M26)&gt;0</formula>
    </cfRule>
    <cfRule type="expression" priority="399" dxfId="58">
      <formula>SEARCH("EMESSO",$M26)&gt;0</formula>
    </cfRule>
    <cfRule type="expression" priority="400" dxfId="57">
      <formula>SEARCH("RICHIESTO",$M26)&gt;0</formula>
    </cfRule>
    <cfRule type="expression" priority="401" dxfId="56">
      <formula>SEARCH("DA CHIUDERE",$M26)&gt;0</formula>
    </cfRule>
    <cfRule type="expression" priority="402" dxfId="55">
      <formula>SEARCH("INTERROTTO",$M26)&gt;0</formula>
    </cfRule>
  </conditionalFormatting>
  <conditionalFormatting sqref="E25:G25 N25:Q25">
    <cfRule type="expression" priority="391" dxfId="60">
      <formula>SEARCH("IN CORSO",$M25)&gt;0</formula>
    </cfRule>
    <cfRule type="expression" priority="392" dxfId="59">
      <formula>SEARCH("CHIUSO",$M25)&gt;0</formula>
    </cfRule>
    <cfRule type="expression" priority="393" dxfId="58">
      <formula>SEARCH("EMESSO",$M25)&gt;0</formula>
    </cfRule>
    <cfRule type="expression" priority="394" dxfId="57">
      <formula>SEARCH("RICHIESTO",$M25)&gt;0</formula>
    </cfRule>
    <cfRule type="expression" priority="395" dxfId="56">
      <formula>SEARCH("DA CHIUDERE",$M25)&gt;0</formula>
    </cfRule>
    <cfRule type="expression" priority="396" dxfId="55">
      <formula>SEARCH("INTERROTTO",$M25)&gt;0</formula>
    </cfRule>
  </conditionalFormatting>
  <conditionalFormatting sqref="R25:S25">
    <cfRule type="expression" priority="385" dxfId="60">
      <formula>SEARCH("IN CORSO",$M25)&gt;0</formula>
    </cfRule>
    <cfRule type="expression" priority="386" dxfId="59">
      <formula>SEARCH("CHIUSO",$M25)&gt;0</formula>
    </cfRule>
    <cfRule type="expression" priority="387" dxfId="58">
      <formula>SEARCH("EMESSO",$M25)&gt;0</formula>
    </cfRule>
    <cfRule type="expression" priority="388" dxfId="57">
      <formula>SEARCH("RICHIESTO",$M25)&gt;0</formula>
    </cfRule>
    <cfRule type="expression" priority="389" dxfId="56">
      <formula>SEARCH("DA CHIUDERE",$M25)&gt;0</formula>
    </cfRule>
    <cfRule type="expression" priority="390" dxfId="55">
      <formula>SEARCH("INTERROTTO",$M25)&gt;0</formula>
    </cfRule>
  </conditionalFormatting>
  <conditionalFormatting sqref="M25">
    <cfRule type="expression" priority="379" dxfId="60">
      <formula>SEARCH("IN CORSO",$M25)&gt;0</formula>
    </cfRule>
    <cfRule type="expression" priority="380" dxfId="59">
      <formula>SEARCH("CHIUSO",$M25)&gt;0</formula>
    </cfRule>
    <cfRule type="expression" priority="381" dxfId="58">
      <formula>SEARCH("EMESSO",$M25)&gt;0</formula>
    </cfRule>
    <cfRule type="expression" priority="382" dxfId="57">
      <formula>SEARCH("RICHIESTO",$M25)&gt;0</formula>
    </cfRule>
    <cfRule type="expression" priority="383" dxfId="56">
      <formula>SEARCH("DA CHIUDERE",$M25)&gt;0</formula>
    </cfRule>
    <cfRule type="expression" priority="384" dxfId="55">
      <formula>SEARCH("INTERROTTO",$M25)&gt;0</formula>
    </cfRule>
  </conditionalFormatting>
  <conditionalFormatting sqref="E24:G24 N24:Q24">
    <cfRule type="expression" priority="373" dxfId="60">
      <formula>SEARCH("IN CORSO",$M24)&gt;0</formula>
    </cfRule>
    <cfRule type="expression" priority="374" dxfId="59">
      <formula>SEARCH("CHIUSO",$M24)&gt;0</formula>
    </cfRule>
    <cfRule type="expression" priority="375" dxfId="58">
      <formula>SEARCH("EMESSO",$M24)&gt;0</formula>
    </cfRule>
    <cfRule type="expression" priority="376" dxfId="57">
      <formula>SEARCH("RICHIESTO",$M24)&gt;0</formula>
    </cfRule>
    <cfRule type="expression" priority="377" dxfId="56">
      <formula>SEARCH("DA CHIUDERE",$M24)&gt;0</formula>
    </cfRule>
    <cfRule type="expression" priority="378" dxfId="55">
      <formula>SEARCH("INTERROTTO",$M24)&gt;0</formula>
    </cfRule>
  </conditionalFormatting>
  <conditionalFormatting sqref="R24:S24">
    <cfRule type="expression" priority="367" dxfId="60">
      <formula>SEARCH("IN CORSO",$M24)&gt;0</formula>
    </cfRule>
    <cfRule type="expression" priority="368" dxfId="59">
      <formula>SEARCH("CHIUSO",$M24)&gt;0</formula>
    </cfRule>
    <cfRule type="expression" priority="369" dxfId="58">
      <formula>SEARCH("EMESSO",$M24)&gt;0</formula>
    </cfRule>
    <cfRule type="expression" priority="370" dxfId="57">
      <formula>SEARCH("RICHIESTO",$M24)&gt;0</formula>
    </cfRule>
    <cfRule type="expression" priority="371" dxfId="56">
      <formula>SEARCH("DA CHIUDERE",$M24)&gt;0</formula>
    </cfRule>
    <cfRule type="expression" priority="372" dxfId="55">
      <formula>SEARCH("INTERROTTO",$M24)&gt;0</formula>
    </cfRule>
  </conditionalFormatting>
  <conditionalFormatting sqref="M24">
    <cfRule type="expression" priority="361" dxfId="60">
      <formula>SEARCH("IN CORSO",$M24)&gt;0</formula>
    </cfRule>
    <cfRule type="expression" priority="362" dxfId="59">
      <formula>SEARCH("CHIUSO",$M24)&gt;0</formula>
    </cfRule>
    <cfRule type="expression" priority="363" dxfId="58">
      <formula>SEARCH("EMESSO",$M24)&gt;0</formula>
    </cfRule>
    <cfRule type="expression" priority="364" dxfId="57">
      <formula>SEARCH("RICHIESTO",$M24)&gt;0</formula>
    </cfRule>
    <cfRule type="expression" priority="365" dxfId="56">
      <formula>SEARCH("DA CHIUDERE",$M24)&gt;0</formula>
    </cfRule>
    <cfRule type="expression" priority="366" dxfId="55">
      <formula>SEARCH("INTERROTTO",$M24)&gt;0</formula>
    </cfRule>
  </conditionalFormatting>
  <conditionalFormatting sqref="E23:G23 N23:Q23">
    <cfRule type="expression" priority="355" dxfId="60">
      <formula>SEARCH("IN CORSO",$M23)&gt;0</formula>
    </cfRule>
    <cfRule type="expression" priority="356" dxfId="59">
      <formula>SEARCH("CHIUSO",$M23)&gt;0</formula>
    </cfRule>
    <cfRule type="expression" priority="357" dxfId="58">
      <formula>SEARCH("EMESSO",$M23)&gt;0</formula>
    </cfRule>
    <cfRule type="expression" priority="358" dxfId="57">
      <formula>SEARCH("RICHIESTO",$M23)&gt;0</formula>
    </cfRule>
    <cfRule type="expression" priority="359" dxfId="56">
      <formula>SEARCH("DA CHIUDERE",$M23)&gt;0</formula>
    </cfRule>
    <cfRule type="expression" priority="360" dxfId="55">
      <formula>SEARCH("INTERROTTO",$M23)&gt;0</formula>
    </cfRule>
  </conditionalFormatting>
  <conditionalFormatting sqref="R23:S23">
    <cfRule type="expression" priority="349" dxfId="60">
      <formula>SEARCH("IN CORSO",$M23)&gt;0</formula>
    </cfRule>
    <cfRule type="expression" priority="350" dxfId="59">
      <formula>SEARCH("CHIUSO",$M23)&gt;0</formula>
    </cfRule>
    <cfRule type="expression" priority="351" dxfId="58">
      <formula>SEARCH("EMESSO",$M23)&gt;0</formula>
    </cfRule>
    <cfRule type="expression" priority="352" dxfId="57">
      <formula>SEARCH("RICHIESTO",$M23)&gt;0</formula>
    </cfRule>
    <cfRule type="expression" priority="353" dxfId="56">
      <formula>SEARCH("DA CHIUDERE",$M23)&gt;0</formula>
    </cfRule>
    <cfRule type="expression" priority="354" dxfId="55">
      <formula>SEARCH("INTERROTTO",$M23)&gt;0</formula>
    </cfRule>
  </conditionalFormatting>
  <conditionalFormatting sqref="M23">
    <cfRule type="expression" priority="343" dxfId="60">
      <formula>SEARCH("IN CORSO",$M23)&gt;0</formula>
    </cfRule>
    <cfRule type="expression" priority="344" dxfId="59">
      <formula>SEARCH("CHIUSO",$M23)&gt;0</formula>
    </cfRule>
    <cfRule type="expression" priority="345" dxfId="58">
      <formula>SEARCH("EMESSO",$M23)&gt;0</formula>
    </cfRule>
    <cfRule type="expression" priority="346" dxfId="57">
      <formula>SEARCH("RICHIESTO",$M23)&gt;0</formula>
    </cfRule>
    <cfRule type="expression" priority="347" dxfId="56">
      <formula>SEARCH("DA CHIUDERE",$M23)&gt;0</formula>
    </cfRule>
    <cfRule type="expression" priority="348" dxfId="55">
      <formula>SEARCH("INTERROTTO",$M23)&gt;0</formula>
    </cfRule>
  </conditionalFormatting>
  <conditionalFormatting sqref="E22:G22 N22:Q22">
    <cfRule type="expression" priority="337" dxfId="60">
      <formula>SEARCH("IN CORSO",$M22)&gt;0</formula>
    </cfRule>
    <cfRule type="expression" priority="338" dxfId="59">
      <formula>SEARCH("CHIUSO",$M22)&gt;0</formula>
    </cfRule>
    <cfRule type="expression" priority="339" dxfId="58">
      <formula>SEARCH("EMESSO",$M22)&gt;0</formula>
    </cfRule>
    <cfRule type="expression" priority="340" dxfId="57">
      <formula>SEARCH("RICHIESTO",$M22)&gt;0</formula>
    </cfRule>
    <cfRule type="expression" priority="341" dxfId="56">
      <formula>SEARCH("DA CHIUDERE",$M22)&gt;0</formula>
    </cfRule>
    <cfRule type="expression" priority="342" dxfId="55">
      <formula>SEARCH("INTERROTTO",$M22)&gt;0</formula>
    </cfRule>
  </conditionalFormatting>
  <conditionalFormatting sqref="R22:S22">
    <cfRule type="expression" priority="331" dxfId="60">
      <formula>SEARCH("IN CORSO",$M22)&gt;0</formula>
    </cfRule>
    <cfRule type="expression" priority="332" dxfId="59">
      <formula>SEARCH("CHIUSO",$M22)&gt;0</formula>
    </cfRule>
    <cfRule type="expression" priority="333" dxfId="58">
      <formula>SEARCH("EMESSO",$M22)&gt;0</formula>
    </cfRule>
    <cfRule type="expression" priority="334" dxfId="57">
      <formula>SEARCH("RICHIESTO",$M22)&gt;0</formula>
    </cfRule>
    <cfRule type="expression" priority="335" dxfId="56">
      <formula>SEARCH("DA CHIUDERE",$M22)&gt;0</formula>
    </cfRule>
    <cfRule type="expression" priority="336" dxfId="55">
      <formula>SEARCH("INTERROTTO",$M22)&gt;0</formula>
    </cfRule>
  </conditionalFormatting>
  <conditionalFormatting sqref="M22">
    <cfRule type="expression" priority="325" dxfId="60">
      <formula>SEARCH("IN CORSO",$M22)&gt;0</formula>
    </cfRule>
    <cfRule type="expression" priority="326" dxfId="59">
      <formula>SEARCH("CHIUSO",$M22)&gt;0</formula>
    </cfRule>
    <cfRule type="expression" priority="327" dxfId="58">
      <formula>SEARCH("EMESSO",$M22)&gt;0</formula>
    </cfRule>
    <cfRule type="expression" priority="328" dxfId="57">
      <formula>SEARCH("RICHIESTO",$M22)&gt;0</formula>
    </cfRule>
    <cfRule type="expression" priority="329" dxfId="56">
      <formula>SEARCH("DA CHIUDERE",$M22)&gt;0</formula>
    </cfRule>
    <cfRule type="expression" priority="330" dxfId="55">
      <formula>SEARCH("INTERROTTO",$M22)&gt;0</formula>
    </cfRule>
  </conditionalFormatting>
  <conditionalFormatting sqref="E21:G21 N21:Q21">
    <cfRule type="expression" priority="319" dxfId="60">
      <formula>SEARCH("IN CORSO",$M21)&gt;0</formula>
    </cfRule>
    <cfRule type="expression" priority="320" dxfId="59">
      <formula>SEARCH("CHIUSO",$M21)&gt;0</formula>
    </cfRule>
    <cfRule type="expression" priority="321" dxfId="58">
      <formula>SEARCH("EMESSO",$M21)&gt;0</formula>
    </cfRule>
    <cfRule type="expression" priority="322" dxfId="57">
      <formula>SEARCH("RICHIESTO",$M21)&gt;0</formula>
    </cfRule>
    <cfRule type="expression" priority="323" dxfId="56">
      <formula>SEARCH("DA CHIUDERE",$M21)&gt;0</formula>
    </cfRule>
    <cfRule type="expression" priority="324" dxfId="55">
      <formula>SEARCH("INTERROTTO",$M21)&gt;0</formula>
    </cfRule>
  </conditionalFormatting>
  <conditionalFormatting sqref="R21:S21">
    <cfRule type="expression" priority="313" dxfId="60">
      <formula>SEARCH("IN CORSO",$M21)&gt;0</formula>
    </cfRule>
    <cfRule type="expression" priority="314" dxfId="59">
      <formula>SEARCH("CHIUSO",$M21)&gt;0</formula>
    </cfRule>
    <cfRule type="expression" priority="315" dxfId="58">
      <formula>SEARCH("EMESSO",$M21)&gt;0</formula>
    </cfRule>
    <cfRule type="expression" priority="316" dxfId="57">
      <formula>SEARCH("RICHIESTO",$M21)&gt;0</formula>
    </cfRule>
    <cfRule type="expression" priority="317" dxfId="56">
      <formula>SEARCH("DA CHIUDERE",$M21)&gt;0</formula>
    </cfRule>
    <cfRule type="expression" priority="318" dxfId="55">
      <formula>SEARCH("INTERROTTO",$M21)&gt;0</formula>
    </cfRule>
  </conditionalFormatting>
  <conditionalFormatting sqref="M21">
    <cfRule type="expression" priority="307" dxfId="60">
      <formula>SEARCH("IN CORSO",$M21)&gt;0</formula>
    </cfRule>
    <cfRule type="expression" priority="308" dxfId="59">
      <formula>SEARCH("CHIUSO",$M21)&gt;0</formula>
    </cfRule>
    <cfRule type="expression" priority="309" dxfId="58">
      <formula>SEARCH("EMESSO",$M21)&gt;0</formula>
    </cfRule>
    <cfRule type="expression" priority="310" dxfId="57">
      <formula>SEARCH("RICHIESTO",$M21)&gt;0</formula>
    </cfRule>
    <cfRule type="expression" priority="311" dxfId="56">
      <formula>SEARCH("DA CHIUDERE",$M21)&gt;0</formula>
    </cfRule>
    <cfRule type="expression" priority="312" dxfId="55">
      <formula>SEARCH("INTERROTTO",$M21)&gt;0</formula>
    </cfRule>
  </conditionalFormatting>
  <conditionalFormatting sqref="E20:G20 N20:Q20">
    <cfRule type="expression" priority="301" dxfId="60">
      <formula>SEARCH("IN CORSO",$M20)&gt;0</formula>
    </cfRule>
    <cfRule type="expression" priority="302" dxfId="59">
      <formula>SEARCH("CHIUSO",$M20)&gt;0</formula>
    </cfRule>
    <cfRule type="expression" priority="303" dxfId="58">
      <formula>SEARCH("EMESSO",$M20)&gt;0</formula>
    </cfRule>
    <cfRule type="expression" priority="304" dxfId="57">
      <formula>SEARCH("RICHIESTO",$M20)&gt;0</formula>
    </cfRule>
    <cfRule type="expression" priority="305" dxfId="56">
      <formula>SEARCH("DA CHIUDERE",$M20)&gt;0</formula>
    </cfRule>
    <cfRule type="expression" priority="306" dxfId="55">
      <formula>SEARCH("INTERROTTO",$M20)&gt;0</formula>
    </cfRule>
  </conditionalFormatting>
  <conditionalFormatting sqref="R20:S20">
    <cfRule type="expression" priority="295" dxfId="60">
      <formula>SEARCH("IN CORSO",$M20)&gt;0</formula>
    </cfRule>
    <cfRule type="expression" priority="296" dxfId="59">
      <formula>SEARCH("CHIUSO",$M20)&gt;0</formula>
    </cfRule>
    <cfRule type="expression" priority="297" dxfId="58">
      <formula>SEARCH("EMESSO",$M20)&gt;0</formula>
    </cfRule>
    <cfRule type="expression" priority="298" dxfId="57">
      <formula>SEARCH("RICHIESTO",$M20)&gt;0</formula>
    </cfRule>
    <cfRule type="expression" priority="299" dxfId="56">
      <formula>SEARCH("DA CHIUDERE",$M20)&gt;0</formula>
    </cfRule>
    <cfRule type="expression" priority="300" dxfId="55">
      <formula>SEARCH("INTERROTTO",$M20)&gt;0</formula>
    </cfRule>
  </conditionalFormatting>
  <conditionalFormatting sqref="M20">
    <cfRule type="expression" priority="289" dxfId="60">
      <formula>SEARCH("IN CORSO",$M20)&gt;0</formula>
    </cfRule>
    <cfRule type="expression" priority="290" dxfId="59">
      <formula>SEARCH("CHIUSO",$M20)&gt;0</formula>
    </cfRule>
    <cfRule type="expression" priority="291" dxfId="58">
      <formula>SEARCH("EMESSO",$M20)&gt;0</formula>
    </cfRule>
    <cfRule type="expression" priority="292" dxfId="57">
      <formula>SEARCH("RICHIESTO",$M20)&gt;0</formula>
    </cfRule>
    <cfRule type="expression" priority="293" dxfId="56">
      <formula>SEARCH("DA CHIUDERE",$M20)&gt;0</formula>
    </cfRule>
    <cfRule type="expression" priority="294" dxfId="55">
      <formula>SEARCH("INTERROTTO",$M20)&gt;0</formula>
    </cfRule>
  </conditionalFormatting>
  <conditionalFormatting sqref="E19:G19 N19:Q19">
    <cfRule type="expression" priority="283" dxfId="60">
      <formula>SEARCH("IN CORSO",$M19)&gt;0</formula>
    </cfRule>
    <cfRule type="expression" priority="284" dxfId="59">
      <formula>SEARCH("CHIUSO",$M19)&gt;0</formula>
    </cfRule>
    <cfRule type="expression" priority="285" dxfId="58">
      <formula>SEARCH("EMESSO",$M19)&gt;0</formula>
    </cfRule>
    <cfRule type="expression" priority="286" dxfId="57">
      <formula>SEARCH("RICHIESTO",$M19)&gt;0</formula>
    </cfRule>
    <cfRule type="expression" priority="287" dxfId="56">
      <formula>SEARCH("DA CHIUDERE",$M19)&gt;0</formula>
    </cfRule>
    <cfRule type="expression" priority="288" dxfId="55">
      <formula>SEARCH("INTERROTTO",$M19)&gt;0</formula>
    </cfRule>
  </conditionalFormatting>
  <conditionalFormatting sqref="R19:S19">
    <cfRule type="expression" priority="277" dxfId="60">
      <formula>SEARCH("IN CORSO",$M19)&gt;0</formula>
    </cfRule>
    <cfRule type="expression" priority="278" dxfId="59">
      <formula>SEARCH("CHIUSO",$M19)&gt;0</formula>
    </cfRule>
    <cfRule type="expression" priority="279" dxfId="58">
      <formula>SEARCH("EMESSO",$M19)&gt;0</formula>
    </cfRule>
    <cfRule type="expression" priority="280" dxfId="57">
      <formula>SEARCH("RICHIESTO",$M19)&gt;0</formula>
    </cfRule>
    <cfRule type="expression" priority="281" dxfId="56">
      <formula>SEARCH("DA CHIUDERE",$M19)&gt;0</formula>
    </cfRule>
    <cfRule type="expression" priority="282" dxfId="55">
      <formula>SEARCH("INTERROTTO",$M19)&gt;0</formula>
    </cfRule>
  </conditionalFormatting>
  <conditionalFormatting sqref="M19">
    <cfRule type="expression" priority="271" dxfId="60">
      <formula>SEARCH("IN CORSO",$M19)&gt;0</formula>
    </cfRule>
    <cfRule type="expression" priority="272" dxfId="59">
      <formula>SEARCH("CHIUSO",$M19)&gt;0</formula>
    </cfRule>
    <cfRule type="expression" priority="273" dxfId="58">
      <formula>SEARCH("EMESSO",$M19)&gt;0</formula>
    </cfRule>
    <cfRule type="expression" priority="274" dxfId="57">
      <formula>SEARCH("RICHIESTO",$M19)&gt;0</formula>
    </cfRule>
    <cfRule type="expression" priority="275" dxfId="56">
      <formula>SEARCH("DA CHIUDERE",$M19)&gt;0</formula>
    </cfRule>
    <cfRule type="expression" priority="276" dxfId="55">
      <formula>SEARCH("INTERROTTO",$M19)&gt;0</formula>
    </cfRule>
  </conditionalFormatting>
  <conditionalFormatting sqref="E18:G18 N18:Q18">
    <cfRule type="expression" priority="265" dxfId="60">
      <formula>SEARCH("IN CORSO",$M18)&gt;0</formula>
    </cfRule>
    <cfRule type="expression" priority="266" dxfId="59">
      <formula>SEARCH("CHIUSO",$M18)&gt;0</formula>
    </cfRule>
    <cfRule type="expression" priority="267" dxfId="58">
      <formula>SEARCH("EMESSO",$M18)&gt;0</formula>
    </cfRule>
    <cfRule type="expression" priority="268" dxfId="57">
      <formula>SEARCH("RICHIESTO",$M18)&gt;0</formula>
    </cfRule>
    <cfRule type="expression" priority="269" dxfId="56">
      <formula>SEARCH("DA CHIUDERE",$M18)&gt;0</formula>
    </cfRule>
    <cfRule type="expression" priority="270" dxfId="55">
      <formula>SEARCH("INTERROTTO",$M18)&gt;0</formula>
    </cfRule>
  </conditionalFormatting>
  <conditionalFormatting sqref="R18:S18">
    <cfRule type="expression" priority="259" dxfId="60">
      <formula>SEARCH("IN CORSO",$M18)&gt;0</formula>
    </cfRule>
    <cfRule type="expression" priority="260" dxfId="59">
      <formula>SEARCH("CHIUSO",$M18)&gt;0</formula>
    </cfRule>
    <cfRule type="expression" priority="261" dxfId="58">
      <formula>SEARCH("EMESSO",$M18)&gt;0</formula>
    </cfRule>
    <cfRule type="expression" priority="262" dxfId="57">
      <formula>SEARCH("RICHIESTO",$M18)&gt;0</formula>
    </cfRule>
    <cfRule type="expression" priority="263" dxfId="56">
      <formula>SEARCH("DA CHIUDERE",$M18)&gt;0</formula>
    </cfRule>
    <cfRule type="expression" priority="264" dxfId="55">
      <formula>SEARCH("INTERROTTO",$M18)&gt;0</formula>
    </cfRule>
  </conditionalFormatting>
  <conditionalFormatting sqref="M18">
    <cfRule type="expression" priority="253" dxfId="60">
      <formula>SEARCH("IN CORSO",$M18)&gt;0</formula>
    </cfRule>
    <cfRule type="expression" priority="254" dxfId="59">
      <formula>SEARCH("CHIUSO",$M18)&gt;0</formula>
    </cfRule>
    <cfRule type="expression" priority="255" dxfId="58">
      <formula>SEARCH("EMESSO",$M18)&gt;0</formula>
    </cfRule>
    <cfRule type="expression" priority="256" dxfId="57">
      <formula>SEARCH("RICHIESTO",$M18)&gt;0</formula>
    </cfRule>
    <cfRule type="expression" priority="257" dxfId="56">
      <formula>SEARCH("DA CHIUDERE",$M18)&gt;0</formula>
    </cfRule>
    <cfRule type="expression" priority="258" dxfId="55">
      <formula>SEARCH("INTERROTTO",$M18)&gt;0</formula>
    </cfRule>
  </conditionalFormatting>
  <conditionalFormatting sqref="E17:G17 N17:Q17">
    <cfRule type="expression" priority="247" dxfId="60">
      <formula>SEARCH("IN CORSO",$M17)&gt;0</formula>
    </cfRule>
    <cfRule type="expression" priority="248" dxfId="59">
      <formula>SEARCH("CHIUSO",$M17)&gt;0</formula>
    </cfRule>
    <cfRule type="expression" priority="249" dxfId="58">
      <formula>SEARCH("EMESSO",$M17)&gt;0</formula>
    </cfRule>
    <cfRule type="expression" priority="250" dxfId="57">
      <formula>SEARCH("RICHIESTO",$M17)&gt;0</formula>
    </cfRule>
    <cfRule type="expression" priority="251" dxfId="56">
      <formula>SEARCH("DA CHIUDERE",$M17)&gt;0</formula>
    </cfRule>
    <cfRule type="expression" priority="252" dxfId="55">
      <formula>SEARCH("INTERROTTO",$M17)&gt;0</formula>
    </cfRule>
  </conditionalFormatting>
  <conditionalFormatting sqref="R17:S17">
    <cfRule type="expression" priority="241" dxfId="60">
      <formula>SEARCH("IN CORSO",$M17)&gt;0</formula>
    </cfRule>
    <cfRule type="expression" priority="242" dxfId="59">
      <formula>SEARCH("CHIUSO",$M17)&gt;0</formula>
    </cfRule>
    <cfRule type="expression" priority="243" dxfId="58">
      <formula>SEARCH("EMESSO",$M17)&gt;0</formula>
    </cfRule>
    <cfRule type="expression" priority="244" dxfId="57">
      <formula>SEARCH("RICHIESTO",$M17)&gt;0</formula>
    </cfRule>
    <cfRule type="expression" priority="245" dxfId="56">
      <formula>SEARCH("DA CHIUDERE",$M17)&gt;0</formula>
    </cfRule>
    <cfRule type="expression" priority="246" dxfId="55">
      <formula>SEARCH("INTERROTTO",$M17)&gt;0</formula>
    </cfRule>
  </conditionalFormatting>
  <conditionalFormatting sqref="M17">
    <cfRule type="expression" priority="235" dxfId="60">
      <formula>SEARCH("IN CORSO",$M17)&gt;0</formula>
    </cfRule>
    <cfRule type="expression" priority="236" dxfId="59">
      <formula>SEARCH("CHIUSO",$M17)&gt;0</formula>
    </cfRule>
    <cfRule type="expression" priority="237" dxfId="58">
      <formula>SEARCH("EMESSO",$M17)&gt;0</formula>
    </cfRule>
    <cfRule type="expression" priority="238" dxfId="57">
      <formula>SEARCH("RICHIESTO",$M17)&gt;0</formula>
    </cfRule>
    <cfRule type="expression" priority="239" dxfId="56">
      <formula>SEARCH("DA CHIUDERE",$M17)&gt;0</formula>
    </cfRule>
    <cfRule type="expression" priority="240" dxfId="55">
      <formula>SEARCH("INTERROTTO",$M17)&gt;0</formula>
    </cfRule>
  </conditionalFormatting>
  <conditionalFormatting sqref="E16:G16 N16:Q16">
    <cfRule type="expression" priority="229" dxfId="60">
      <formula>SEARCH("IN CORSO",$M16)&gt;0</formula>
    </cfRule>
    <cfRule type="expression" priority="230" dxfId="59">
      <formula>SEARCH("CHIUSO",$M16)&gt;0</formula>
    </cfRule>
    <cfRule type="expression" priority="231" dxfId="58">
      <formula>SEARCH("EMESSO",$M16)&gt;0</formula>
    </cfRule>
    <cfRule type="expression" priority="232" dxfId="57">
      <formula>SEARCH("RICHIESTO",$M16)&gt;0</formula>
    </cfRule>
    <cfRule type="expression" priority="233" dxfId="56">
      <formula>SEARCH("DA CHIUDERE",$M16)&gt;0</formula>
    </cfRule>
    <cfRule type="expression" priority="234" dxfId="55">
      <formula>SEARCH("INTERROTTO",$M16)&gt;0</formula>
    </cfRule>
  </conditionalFormatting>
  <conditionalFormatting sqref="R16:S16">
    <cfRule type="expression" priority="223" dxfId="60">
      <formula>SEARCH("IN CORSO",$M16)&gt;0</formula>
    </cfRule>
    <cfRule type="expression" priority="224" dxfId="59">
      <formula>SEARCH("CHIUSO",$M16)&gt;0</formula>
    </cfRule>
    <cfRule type="expression" priority="225" dxfId="58">
      <formula>SEARCH("EMESSO",$M16)&gt;0</formula>
    </cfRule>
    <cfRule type="expression" priority="226" dxfId="57">
      <formula>SEARCH("RICHIESTO",$M16)&gt;0</formula>
    </cfRule>
    <cfRule type="expression" priority="227" dxfId="56">
      <formula>SEARCH("DA CHIUDERE",$M16)&gt;0</formula>
    </cfRule>
    <cfRule type="expression" priority="228" dxfId="55">
      <formula>SEARCH("INTERROTTO",$M16)&gt;0</formula>
    </cfRule>
  </conditionalFormatting>
  <conditionalFormatting sqref="M16">
    <cfRule type="expression" priority="217" dxfId="60">
      <formula>SEARCH("IN CORSO",$M16)&gt;0</formula>
    </cfRule>
    <cfRule type="expression" priority="218" dxfId="59">
      <formula>SEARCH("CHIUSO",$M16)&gt;0</formula>
    </cfRule>
    <cfRule type="expression" priority="219" dxfId="58">
      <formula>SEARCH("EMESSO",$M16)&gt;0</formula>
    </cfRule>
    <cfRule type="expression" priority="220" dxfId="57">
      <formula>SEARCH("RICHIESTO",$M16)&gt;0</formula>
    </cfRule>
    <cfRule type="expression" priority="221" dxfId="56">
      <formula>SEARCH("DA CHIUDERE",$M16)&gt;0</formula>
    </cfRule>
    <cfRule type="expression" priority="222" dxfId="55">
      <formula>SEARCH("INTERROTTO",$M16)&gt;0</formula>
    </cfRule>
  </conditionalFormatting>
  <conditionalFormatting sqref="E15:G15 N15:Q15">
    <cfRule type="expression" priority="211" dxfId="60">
      <formula>SEARCH("IN CORSO",$M15)&gt;0</formula>
    </cfRule>
    <cfRule type="expression" priority="212" dxfId="59">
      <formula>SEARCH("CHIUSO",$M15)&gt;0</formula>
    </cfRule>
    <cfRule type="expression" priority="213" dxfId="58">
      <formula>SEARCH("EMESSO",$M15)&gt;0</formula>
    </cfRule>
    <cfRule type="expression" priority="214" dxfId="57">
      <formula>SEARCH("RICHIESTO",$M15)&gt;0</formula>
    </cfRule>
    <cfRule type="expression" priority="215" dxfId="56">
      <formula>SEARCH("DA CHIUDERE",$M15)&gt;0</formula>
    </cfRule>
    <cfRule type="expression" priority="216" dxfId="55">
      <formula>SEARCH("INTERROTTO",$M15)&gt;0</formula>
    </cfRule>
  </conditionalFormatting>
  <conditionalFormatting sqref="R15:S15">
    <cfRule type="expression" priority="205" dxfId="60">
      <formula>SEARCH("IN CORSO",$M15)&gt;0</formula>
    </cfRule>
    <cfRule type="expression" priority="206" dxfId="59">
      <formula>SEARCH("CHIUSO",$M15)&gt;0</formula>
    </cfRule>
    <cfRule type="expression" priority="207" dxfId="58">
      <formula>SEARCH("EMESSO",$M15)&gt;0</formula>
    </cfRule>
    <cfRule type="expression" priority="208" dxfId="57">
      <formula>SEARCH("RICHIESTO",$M15)&gt;0</formula>
    </cfRule>
    <cfRule type="expression" priority="209" dxfId="56">
      <formula>SEARCH("DA CHIUDERE",$M15)&gt;0</formula>
    </cfRule>
    <cfRule type="expression" priority="210" dxfId="55">
      <formula>SEARCH("INTERROTTO",$M15)&gt;0</formula>
    </cfRule>
  </conditionalFormatting>
  <conditionalFormatting sqref="M15">
    <cfRule type="expression" priority="199" dxfId="60">
      <formula>SEARCH("IN CORSO",$M15)&gt;0</formula>
    </cfRule>
    <cfRule type="expression" priority="200" dxfId="59">
      <formula>SEARCH("CHIUSO",$M15)&gt;0</formula>
    </cfRule>
    <cfRule type="expression" priority="201" dxfId="58">
      <formula>SEARCH("EMESSO",$M15)&gt;0</formula>
    </cfRule>
    <cfRule type="expression" priority="202" dxfId="57">
      <formula>SEARCH("RICHIESTO",$M15)&gt;0</formula>
    </cfRule>
    <cfRule type="expression" priority="203" dxfId="56">
      <formula>SEARCH("DA CHIUDERE",$M15)&gt;0</formula>
    </cfRule>
    <cfRule type="expression" priority="204" dxfId="55">
      <formula>SEARCH("INTERROTTO",$M15)&gt;0</formula>
    </cfRule>
  </conditionalFormatting>
  <conditionalFormatting sqref="E14:G14 N14:Q14">
    <cfRule type="expression" priority="193" dxfId="60">
      <formula>SEARCH("IN CORSO",$M14)&gt;0</formula>
    </cfRule>
    <cfRule type="expression" priority="194" dxfId="59">
      <formula>SEARCH("CHIUSO",$M14)&gt;0</formula>
    </cfRule>
    <cfRule type="expression" priority="195" dxfId="58">
      <formula>SEARCH("EMESSO",$M14)&gt;0</formula>
    </cfRule>
    <cfRule type="expression" priority="196" dxfId="57">
      <formula>SEARCH("RICHIESTO",$M14)&gt;0</formula>
    </cfRule>
    <cfRule type="expression" priority="197" dxfId="56">
      <formula>SEARCH("DA CHIUDERE",$M14)&gt;0</formula>
    </cfRule>
    <cfRule type="expression" priority="198" dxfId="55">
      <formula>SEARCH("INTERROTTO",$M14)&gt;0</formula>
    </cfRule>
  </conditionalFormatting>
  <conditionalFormatting sqref="R14:S14">
    <cfRule type="expression" priority="187" dxfId="60">
      <formula>SEARCH("IN CORSO",$M14)&gt;0</formula>
    </cfRule>
    <cfRule type="expression" priority="188" dxfId="59">
      <formula>SEARCH("CHIUSO",$M14)&gt;0</formula>
    </cfRule>
    <cfRule type="expression" priority="189" dxfId="58">
      <formula>SEARCH("EMESSO",$M14)&gt;0</formula>
    </cfRule>
    <cfRule type="expression" priority="190" dxfId="57">
      <formula>SEARCH("RICHIESTO",$M14)&gt;0</formula>
    </cfRule>
    <cfRule type="expression" priority="191" dxfId="56">
      <formula>SEARCH("DA CHIUDERE",$M14)&gt;0</formula>
    </cfRule>
    <cfRule type="expression" priority="192" dxfId="55">
      <formula>SEARCH("INTERROTTO",$M14)&gt;0</formula>
    </cfRule>
  </conditionalFormatting>
  <conditionalFormatting sqref="M14">
    <cfRule type="expression" priority="181" dxfId="60">
      <formula>SEARCH("IN CORSO",$M14)&gt;0</formula>
    </cfRule>
    <cfRule type="expression" priority="182" dxfId="59">
      <formula>SEARCH("CHIUSO",$M14)&gt;0</formula>
    </cfRule>
    <cfRule type="expression" priority="183" dxfId="58">
      <formula>SEARCH("EMESSO",$M14)&gt;0</formula>
    </cfRule>
    <cfRule type="expression" priority="184" dxfId="57">
      <formula>SEARCH("RICHIESTO",$M14)&gt;0</formula>
    </cfRule>
    <cfRule type="expression" priority="185" dxfId="56">
      <formula>SEARCH("DA CHIUDERE",$M14)&gt;0</formula>
    </cfRule>
    <cfRule type="expression" priority="186" dxfId="55">
      <formula>SEARCH("INTERROTTO",$M14)&gt;0</formula>
    </cfRule>
  </conditionalFormatting>
  <conditionalFormatting sqref="E13:G13 N13:Q13">
    <cfRule type="expression" priority="175" dxfId="60">
      <formula>SEARCH("IN CORSO",$M13)&gt;0</formula>
    </cfRule>
    <cfRule type="expression" priority="176" dxfId="59">
      <formula>SEARCH("CHIUSO",$M13)&gt;0</formula>
    </cfRule>
    <cfRule type="expression" priority="177" dxfId="58">
      <formula>SEARCH("EMESSO",$M13)&gt;0</formula>
    </cfRule>
    <cfRule type="expression" priority="178" dxfId="57">
      <formula>SEARCH("RICHIESTO",$M13)&gt;0</formula>
    </cfRule>
    <cfRule type="expression" priority="179" dxfId="56">
      <formula>SEARCH("DA CHIUDERE",$M13)&gt;0</formula>
    </cfRule>
    <cfRule type="expression" priority="180" dxfId="55">
      <formula>SEARCH("INTERROTTO",$M13)&gt;0</formula>
    </cfRule>
  </conditionalFormatting>
  <conditionalFormatting sqref="R13:S13">
    <cfRule type="expression" priority="169" dxfId="60">
      <formula>SEARCH("IN CORSO",$M13)&gt;0</formula>
    </cfRule>
    <cfRule type="expression" priority="170" dxfId="59">
      <formula>SEARCH("CHIUSO",$M13)&gt;0</formula>
    </cfRule>
    <cfRule type="expression" priority="171" dxfId="58">
      <formula>SEARCH("EMESSO",$M13)&gt;0</formula>
    </cfRule>
    <cfRule type="expression" priority="172" dxfId="57">
      <formula>SEARCH("RICHIESTO",$M13)&gt;0</formula>
    </cfRule>
    <cfRule type="expression" priority="173" dxfId="56">
      <formula>SEARCH("DA CHIUDERE",$M13)&gt;0</formula>
    </cfRule>
    <cfRule type="expression" priority="174" dxfId="55">
      <formula>SEARCH("INTERROTTO",$M13)&gt;0</formula>
    </cfRule>
  </conditionalFormatting>
  <conditionalFormatting sqref="M13">
    <cfRule type="expression" priority="163" dxfId="60">
      <formula>SEARCH("IN CORSO",$M13)&gt;0</formula>
    </cfRule>
    <cfRule type="expression" priority="164" dxfId="59">
      <formula>SEARCH("CHIUSO",$M13)&gt;0</formula>
    </cfRule>
    <cfRule type="expression" priority="165" dxfId="58">
      <formula>SEARCH("EMESSO",$M13)&gt;0</formula>
    </cfRule>
    <cfRule type="expression" priority="166" dxfId="57">
      <formula>SEARCH("RICHIESTO",$M13)&gt;0</formula>
    </cfRule>
    <cfRule type="expression" priority="167" dxfId="56">
      <formula>SEARCH("DA CHIUDERE",$M13)&gt;0</formula>
    </cfRule>
    <cfRule type="expression" priority="168" dxfId="55">
      <formula>SEARCH("INTERROTTO",$M13)&gt;0</formula>
    </cfRule>
  </conditionalFormatting>
  <conditionalFormatting sqref="E12:G12 N12:Q12">
    <cfRule type="expression" priority="157" dxfId="60">
      <formula>SEARCH("IN CORSO",$M12)&gt;0</formula>
    </cfRule>
    <cfRule type="expression" priority="158" dxfId="59">
      <formula>SEARCH("CHIUSO",$M12)&gt;0</formula>
    </cfRule>
    <cfRule type="expression" priority="159" dxfId="58">
      <formula>SEARCH("EMESSO",$M12)&gt;0</formula>
    </cfRule>
    <cfRule type="expression" priority="160" dxfId="57">
      <formula>SEARCH("RICHIESTO",$M12)&gt;0</formula>
    </cfRule>
    <cfRule type="expression" priority="161" dxfId="56">
      <formula>SEARCH("DA CHIUDERE",$M12)&gt;0</formula>
    </cfRule>
    <cfRule type="expression" priority="162" dxfId="55">
      <formula>SEARCH("INTERROTTO",$M12)&gt;0</formula>
    </cfRule>
  </conditionalFormatting>
  <conditionalFormatting sqref="R12:S12">
    <cfRule type="expression" priority="151" dxfId="60">
      <formula>SEARCH("IN CORSO",$M12)&gt;0</formula>
    </cfRule>
    <cfRule type="expression" priority="152" dxfId="59">
      <formula>SEARCH("CHIUSO",$M12)&gt;0</formula>
    </cfRule>
    <cfRule type="expression" priority="153" dxfId="58">
      <formula>SEARCH("EMESSO",$M12)&gt;0</formula>
    </cfRule>
    <cfRule type="expression" priority="154" dxfId="57">
      <formula>SEARCH("RICHIESTO",$M12)&gt;0</formula>
    </cfRule>
    <cfRule type="expression" priority="155" dxfId="56">
      <formula>SEARCH("DA CHIUDERE",$M12)&gt;0</formula>
    </cfRule>
    <cfRule type="expression" priority="156" dxfId="55">
      <formula>SEARCH("INTERROTTO",$M12)&gt;0</formula>
    </cfRule>
  </conditionalFormatting>
  <conditionalFormatting sqref="M12">
    <cfRule type="expression" priority="145" dxfId="60">
      <formula>SEARCH("IN CORSO",$M12)&gt;0</formula>
    </cfRule>
    <cfRule type="expression" priority="146" dxfId="59">
      <formula>SEARCH("CHIUSO",$M12)&gt;0</formula>
    </cfRule>
    <cfRule type="expression" priority="147" dxfId="58">
      <formula>SEARCH("EMESSO",$M12)&gt;0</formula>
    </cfRule>
    <cfRule type="expression" priority="148" dxfId="57">
      <formula>SEARCH("RICHIESTO",$M12)&gt;0</formula>
    </cfRule>
    <cfRule type="expression" priority="149" dxfId="56">
      <formula>SEARCH("DA CHIUDERE",$M12)&gt;0</formula>
    </cfRule>
    <cfRule type="expression" priority="150" dxfId="55">
      <formula>SEARCH("INTERROTTO",$M12)&gt;0</formula>
    </cfRule>
  </conditionalFormatting>
  <conditionalFormatting sqref="E11:G11 N11:Q11">
    <cfRule type="expression" priority="139" dxfId="60">
      <formula>SEARCH("IN CORSO",$M11)&gt;0</formula>
    </cfRule>
    <cfRule type="expression" priority="140" dxfId="59">
      <formula>SEARCH("CHIUSO",$M11)&gt;0</formula>
    </cfRule>
    <cfRule type="expression" priority="141" dxfId="58">
      <formula>SEARCH("EMESSO",$M11)&gt;0</formula>
    </cfRule>
    <cfRule type="expression" priority="142" dxfId="57">
      <formula>SEARCH("RICHIESTO",$M11)&gt;0</formula>
    </cfRule>
    <cfRule type="expression" priority="143" dxfId="56">
      <formula>SEARCH("DA CHIUDERE",$M11)&gt;0</formula>
    </cfRule>
    <cfRule type="expression" priority="144" dxfId="55">
      <formula>SEARCH("INTERROTTO",$M11)&gt;0</formula>
    </cfRule>
  </conditionalFormatting>
  <conditionalFormatting sqref="R11:S11">
    <cfRule type="expression" priority="133" dxfId="60">
      <formula>SEARCH("IN CORSO",$M11)&gt;0</formula>
    </cfRule>
    <cfRule type="expression" priority="134" dxfId="59">
      <formula>SEARCH("CHIUSO",$M11)&gt;0</formula>
    </cfRule>
    <cfRule type="expression" priority="135" dxfId="58">
      <formula>SEARCH("EMESSO",$M11)&gt;0</formula>
    </cfRule>
    <cfRule type="expression" priority="136" dxfId="57">
      <formula>SEARCH("RICHIESTO",$M11)&gt;0</formula>
    </cfRule>
    <cfRule type="expression" priority="137" dxfId="56">
      <formula>SEARCH("DA CHIUDERE",$M11)&gt;0</formula>
    </cfRule>
    <cfRule type="expression" priority="138" dxfId="55">
      <formula>SEARCH("INTERROTTO",$M11)&gt;0</formula>
    </cfRule>
  </conditionalFormatting>
  <conditionalFormatting sqref="M11">
    <cfRule type="expression" priority="127" dxfId="60">
      <formula>SEARCH("IN CORSO",$M11)&gt;0</formula>
    </cfRule>
    <cfRule type="expression" priority="128" dxfId="59">
      <formula>SEARCH("CHIUSO",$M11)&gt;0</formula>
    </cfRule>
    <cfRule type="expression" priority="129" dxfId="58">
      <formula>SEARCH("EMESSO",$M11)&gt;0</formula>
    </cfRule>
    <cfRule type="expression" priority="130" dxfId="57">
      <formula>SEARCH("RICHIESTO",$M11)&gt;0</formula>
    </cfRule>
    <cfRule type="expression" priority="131" dxfId="56">
      <formula>SEARCH("DA CHIUDERE",$M11)&gt;0</formula>
    </cfRule>
    <cfRule type="expression" priority="132" dxfId="55">
      <formula>SEARCH("INTERROTTO",$M11)&gt;0</formula>
    </cfRule>
  </conditionalFormatting>
  <conditionalFormatting sqref="E10:G10 N10:Q10">
    <cfRule type="expression" priority="121" dxfId="60">
      <formula>SEARCH("IN CORSO",$M10)&gt;0</formula>
    </cfRule>
    <cfRule type="expression" priority="122" dxfId="59">
      <formula>SEARCH("CHIUSO",$M10)&gt;0</formula>
    </cfRule>
    <cfRule type="expression" priority="123" dxfId="58">
      <formula>SEARCH("EMESSO",$M10)&gt;0</formula>
    </cfRule>
    <cfRule type="expression" priority="124" dxfId="57">
      <formula>SEARCH("RICHIESTO",$M10)&gt;0</formula>
    </cfRule>
    <cfRule type="expression" priority="125" dxfId="56">
      <formula>SEARCH("DA CHIUDERE",$M10)&gt;0</formula>
    </cfRule>
    <cfRule type="expression" priority="126" dxfId="55">
      <formula>SEARCH("INTERROTTO",$M10)&gt;0</formula>
    </cfRule>
  </conditionalFormatting>
  <conditionalFormatting sqref="R10:S10">
    <cfRule type="expression" priority="115" dxfId="60">
      <formula>SEARCH("IN CORSO",$M10)&gt;0</formula>
    </cfRule>
    <cfRule type="expression" priority="116" dxfId="59">
      <formula>SEARCH("CHIUSO",$M10)&gt;0</formula>
    </cfRule>
    <cfRule type="expression" priority="117" dxfId="58">
      <formula>SEARCH("EMESSO",$M10)&gt;0</formula>
    </cfRule>
    <cfRule type="expression" priority="118" dxfId="57">
      <formula>SEARCH("RICHIESTO",$M10)&gt;0</formula>
    </cfRule>
    <cfRule type="expression" priority="119" dxfId="56">
      <formula>SEARCH("DA CHIUDERE",$M10)&gt;0</formula>
    </cfRule>
    <cfRule type="expression" priority="120" dxfId="55">
      <formula>SEARCH("INTERROTTO",$M10)&gt;0</formula>
    </cfRule>
  </conditionalFormatting>
  <conditionalFormatting sqref="M10">
    <cfRule type="expression" priority="109" dxfId="60">
      <formula>SEARCH("IN CORSO",$M10)&gt;0</formula>
    </cfRule>
    <cfRule type="expression" priority="110" dxfId="59">
      <formula>SEARCH("CHIUSO",$M10)&gt;0</formula>
    </cfRule>
    <cfRule type="expression" priority="111" dxfId="58">
      <formula>SEARCH("EMESSO",$M10)&gt;0</formula>
    </cfRule>
    <cfRule type="expression" priority="112" dxfId="57">
      <formula>SEARCH("RICHIESTO",$M10)&gt;0</formula>
    </cfRule>
    <cfRule type="expression" priority="113" dxfId="56">
      <formula>SEARCH("DA CHIUDERE",$M10)&gt;0</formula>
    </cfRule>
    <cfRule type="expression" priority="114" dxfId="55">
      <formula>SEARCH("INTERROTTO",$M10)&gt;0</formula>
    </cfRule>
  </conditionalFormatting>
  <conditionalFormatting sqref="E9:G9 N9:Q9">
    <cfRule type="expression" priority="103" dxfId="60">
      <formula>SEARCH("IN CORSO",$M9)&gt;0</formula>
    </cfRule>
    <cfRule type="expression" priority="104" dxfId="59">
      <formula>SEARCH("CHIUSO",$M9)&gt;0</formula>
    </cfRule>
    <cfRule type="expression" priority="105" dxfId="58">
      <formula>SEARCH("EMESSO",$M9)&gt;0</formula>
    </cfRule>
    <cfRule type="expression" priority="106" dxfId="57">
      <formula>SEARCH("RICHIESTO",$M9)&gt;0</formula>
    </cfRule>
    <cfRule type="expression" priority="107" dxfId="56">
      <formula>SEARCH("DA CHIUDERE",$M9)&gt;0</formula>
    </cfRule>
    <cfRule type="expression" priority="108" dxfId="55">
      <formula>SEARCH("INTERROTTO",$M9)&gt;0</formula>
    </cfRule>
  </conditionalFormatting>
  <conditionalFormatting sqref="R9:S9">
    <cfRule type="expression" priority="97" dxfId="60">
      <formula>SEARCH("IN CORSO",$M9)&gt;0</formula>
    </cfRule>
    <cfRule type="expression" priority="98" dxfId="59">
      <formula>SEARCH("CHIUSO",$M9)&gt;0</formula>
    </cfRule>
    <cfRule type="expression" priority="99" dxfId="58">
      <formula>SEARCH("EMESSO",$M9)&gt;0</formula>
    </cfRule>
    <cfRule type="expression" priority="100" dxfId="57">
      <formula>SEARCH("RICHIESTO",$M9)&gt;0</formula>
    </cfRule>
    <cfRule type="expression" priority="101" dxfId="56">
      <formula>SEARCH("DA CHIUDERE",$M9)&gt;0</formula>
    </cfRule>
    <cfRule type="expression" priority="102" dxfId="55">
      <formula>SEARCH("INTERROTTO",$M9)&gt;0</formula>
    </cfRule>
  </conditionalFormatting>
  <conditionalFormatting sqref="M9">
    <cfRule type="expression" priority="91" dxfId="60">
      <formula>SEARCH("IN CORSO",$M9)&gt;0</formula>
    </cfRule>
    <cfRule type="expression" priority="92" dxfId="59">
      <formula>SEARCH("CHIUSO",$M9)&gt;0</formula>
    </cfRule>
    <cfRule type="expression" priority="93" dxfId="58">
      <formula>SEARCH("EMESSO",$M9)&gt;0</formula>
    </cfRule>
    <cfRule type="expression" priority="94" dxfId="57">
      <formula>SEARCH("RICHIESTO",$M9)&gt;0</formula>
    </cfRule>
    <cfRule type="expression" priority="95" dxfId="56">
      <formula>SEARCH("DA CHIUDERE",$M9)&gt;0</formula>
    </cfRule>
    <cfRule type="expression" priority="96" dxfId="55">
      <formula>SEARCH("INTERROTTO",$M9)&gt;0</formula>
    </cfRule>
  </conditionalFormatting>
  <conditionalFormatting sqref="E8:G8 N8:Q8">
    <cfRule type="expression" priority="85" dxfId="60">
      <formula>SEARCH("IN CORSO",$M8)&gt;0</formula>
    </cfRule>
    <cfRule type="expression" priority="86" dxfId="59">
      <formula>SEARCH("CHIUSO",$M8)&gt;0</formula>
    </cfRule>
    <cfRule type="expression" priority="87" dxfId="58">
      <formula>SEARCH("EMESSO",$M8)&gt;0</formula>
    </cfRule>
    <cfRule type="expression" priority="88" dxfId="57">
      <formula>SEARCH("RICHIESTO",$M8)&gt;0</formula>
    </cfRule>
    <cfRule type="expression" priority="89" dxfId="56">
      <formula>SEARCH("DA CHIUDERE",$M8)&gt;0</formula>
    </cfRule>
    <cfRule type="expression" priority="90" dxfId="55">
      <formula>SEARCH("INTERROTTO",$M8)&gt;0</formula>
    </cfRule>
  </conditionalFormatting>
  <conditionalFormatting sqref="R8:S8">
    <cfRule type="expression" priority="79" dxfId="60">
      <formula>SEARCH("IN CORSO",$M8)&gt;0</formula>
    </cfRule>
    <cfRule type="expression" priority="80" dxfId="59">
      <formula>SEARCH("CHIUSO",$M8)&gt;0</formula>
    </cfRule>
    <cfRule type="expression" priority="81" dxfId="58">
      <formula>SEARCH("EMESSO",$M8)&gt;0</formula>
    </cfRule>
    <cfRule type="expression" priority="82" dxfId="57">
      <formula>SEARCH("RICHIESTO",$M8)&gt;0</formula>
    </cfRule>
    <cfRule type="expression" priority="83" dxfId="56">
      <formula>SEARCH("DA CHIUDERE",$M8)&gt;0</formula>
    </cfRule>
    <cfRule type="expression" priority="84" dxfId="55">
      <formula>SEARCH("INTERROTTO",$M8)&gt;0</formula>
    </cfRule>
  </conditionalFormatting>
  <conditionalFormatting sqref="M8">
    <cfRule type="expression" priority="73" dxfId="60">
      <formula>SEARCH("IN CORSO",$M8)&gt;0</formula>
    </cfRule>
    <cfRule type="expression" priority="74" dxfId="59">
      <formula>SEARCH("CHIUSO",$M8)&gt;0</formula>
    </cfRule>
    <cfRule type="expression" priority="75" dxfId="58">
      <formula>SEARCH("EMESSO",$M8)&gt;0</formula>
    </cfRule>
    <cfRule type="expression" priority="76" dxfId="57">
      <formula>SEARCH("RICHIESTO",$M8)&gt;0</formula>
    </cfRule>
    <cfRule type="expression" priority="77" dxfId="56">
      <formula>SEARCH("DA CHIUDERE",$M8)&gt;0</formula>
    </cfRule>
    <cfRule type="expression" priority="78" dxfId="55">
      <formula>SEARCH("INTERROTTO",$M8)&gt;0</formula>
    </cfRule>
  </conditionalFormatting>
  <conditionalFormatting sqref="E7:G7 N7:Q7">
    <cfRule type="expression" priority="67" dxfId="60">
      <formula>SEARCH("IN CORSO",$M7)&gt;0</formula>
    </cfRule>
    <cfRule type="expression" priority="68" dxfId="59">
      <formula>SEARCH("CHIUSO",$M7)&gt;0</formula>
    </cfRule>
    <cfRule type="expression" priority="69" dxfId="58">
      <formula>SEARCH("EMESSO",$M7)&gt;0</formula>
    </cfRule>
    <cfRule type="expression" priority="70" dxfId="57">
      <formula>SEARCH("RICHIESTO",$M7)&gt;0</formula>
    </cfRule>
    <cfRule type="expression" priority="71" dxfId="56">
      <formula>SEARCH("DA CHIUDERE",$M7)&gt;0</formula>
    </cfRule>
    <cfRule type="expression" priority="72" dxfId="55">
      <formula>SEARCH("INTERROTTO",$M7)&gt;0</formula>
    </cfRule>
  </conditionalFormatting>
  <conditionalFormatting sqref="R7:S7">
    <cfRule type="expression" priority="61" dxfId="60">
      <formula>SEARCH("IN CORSO",$M7)&gt;0</formula>
    </cfRule>
    <cfRule type="expression" priority="62" dxfId="59">
      <formula>SEARCH("CHIUSO",$M7)&gt;0</formula>
    </cfRule>
    <cfRule type="expression" priority="63" dxfId="58">
      <formula>SEARCH("EMESSO",$M7)&gt;0</formula>
    </cfRule>
    <cfRule type="expression" priority="64" dxfId="57">
      <formula>SEARCH("RICHIESTO",$M7)&gt;0</formula>
    </cfRule>
    <cfRule type="expression" priority="65" dxfId="56">
      <formula>SEARCH("DA CHIUDERE",$M7)&gt;0</formula>
    </cfRule>
    <cfRule type="expression" priority="66" dxfId="55">
      <formula>SEARCH("INTERROTTO",$M7)&gt;0</formula>
    </cfRule>
  </conditionalFormatting>
  <conditionalFormatting sqref="M7">
    <cfRule type="expression" priority="55" dxfId="60">
      <formula>SEARCH("IN CORSO",$M7)&gt;0</formula>
    </cfRule>
    <cfRule type="expression" priority="56" dxfId="59">
      <formula>SEARCH("CHIUSO",$M7)&gt;0</formula>
    </cfRule>
    <cfRule type="expression" priority="57" dxfId="58">
      <formula>SEARCH("EMESSO",$M7)&gt;0</formula>
    </cfRule>
    <cfRule type="expression" priority="58" dxfId="57">
      <formula>SEARCH("RICHIESTO",$M7)&gt;0</formula>
    </cfRule>
    <cfRule type="expression" priority="59" dxfId="56">
      <formula>SEARCH("DA CHIUDERE",$M7)&gt;0</formula>
    </cfRule>
    <cfRule type="expression" priority="60" dxfId="55">
      <formula>SEARCH("INTERROTTO",$M7)&gt;0</formula>
    </cfRule>
  </conditionalFormatting>
  <conditionalFormatting sqref="E6:G6 N6:Q6">
    <cfRule type="expression" priority="49" dxfId="60">
      <formula>SEARCH("IN CORSO",$M6)&gt;0</formula>
    </cfRule>
    <cfRule type="expression" priority="50" dxfId="59">
      <formula>SEARCH("CHIUSO",$M6)&gt;0</formula>
    </cfRule>
    <cfRule type="expression" priority="51" dxfId="58">
      <formula>SEARCH("EMESSO",$M6)&gt;0</formula>
    </cfRule>
    <cfRule type="expression" priority="52" dxfId="57">
      <formula>SEARCH("RICHIESTO",$M6)&gt;0</formula>
    </cfRule>
    <cfRule type="expression" priority="53" dxfId="56">
      <formula>SEARCH("DA CHIUDERE",$M6)&gt;0</formula>
    </cfRule>
    <cfRule type="expression" priority="54" dxfId="55">
      <formula>SEARCH("INTERROTTO",$M6)&gt;0</formula>
    </cfRule>
  </conditionalFormatting>
  <conditionalFormatting sqref="R6:S6">
    <cfRule type="expression" priority="43" dxfId="60">
      <formula>SEARCH("IN CORSO",$M6)&gt;0</formula>
    </cfRule>
    <cfRule type="expression" priority="44" dxfId="59">
      <formula>SEARCH("CHIUSO",$M6)&gt;0</formula>
    </cfRule>
    <cfRule type="expression" priority="45" dxfId="58">
      <formula>SEARCH("EMESSO",$M6)&gt;0</formula>
    </cfRule>
    <cfRule type="expression" priority="46" dxfId="57">
      <formula>SEARCH("RICHIESTO",$M6)&gt;0</formula>
    </cfRule>
    <cfRule type="expression" priority="47" dxfId="56">
      <formula>SEARCH("DA CHIUDERE",$M6)&gt;0</formula>
    </cfRule>
    <cfRule type="expression" priority="48" dxfId="55">
      <formula>SEARCH("INTERROTTO",$M6)&gt;0</formula>
    </cfRule>
  </conditionalFormatting>
  <conditionalFormatting sqref="M6">
    <cfRule type="expression" priority="37" dxfId="60">
      <formula>SEARCH("IN CORSO",$M6)&gt;0</formula>
    </cfRule>
    <cfRule type="expression" priority="38" dxfId="59">
      <formula>SEARCH("CHIUSO",$M6)&gt;0</formula>
    </cfRule>
    <cfRule type="expression" priority="39" dxfId="58">
      <formula>SEARCH("EMESSO",$M6)&gt;0</formula>
    </cfRule>
    <cfRule type="expression" priority="40" dxfId="57">
      <formula>SEARCH("RICHIESTO",$M6)&gt;0</formula>
    </cfRule>
    <cfRule type="expression" priority="41" dxfId="56">
      <formula>SEARCH("DA CHIUDERE",$M6)&gt;0</formula>
    </cfRule>
    <cfRule type="expression" priority="42" dxfId="55">
      <formula>SEARCH("INTERROTTO",$M6)&gt;0</formula>
    </cfRule>
  </conditionalFormatting>
  <conditionalFormatting sqref="E5:G5 N5:Q5">
    <cfRule type="expression" priority="31" dxfId="60">
      <formula>SEARCH("IN CORSO",$M5)&gt;0</formula>
    </cfRule>
    <cfRule type="expression" priority="32" dxfId="59">
      <formula>SEARCH("CHIUSO",$M5)&gt;0</formula>
    </cfRule>
    <cfRule type="expression" priority="33" dxfId="58">
      <formula>SEARCH("EMESSO",$M5)&gt;0</formula>
    </cfRule>
    <cfRule type="expression" priority="34" dxfId="57">
      <formula>SEARCH("RICHIESTO",$M5)&gt;0</formula>
    </cfRule>
    <cfRule type="expression" priority="35" dxfId="56">
      <formula>SEARCH("DA CHIUDERE",$M5)&gt;0</formula>
    </cfRule>
    <cfRule type="expression" priority="36" dxfId="55">
      <formula>SEARCH("INTERROTTO",$M5)&gt;0</formula>
    </cfRule>
  </conditionalFormatting>
  <conditionalFormatting sqref="R5:S5">
    <cfRule type="expression" priority="25" dxfId="60">
      <formula>SEARCH("IN CORSO",$M5)&gt;0</formula>
    </cfRule>
    <cfRule type="expression" priority="26" dxfId="59">
      <formula>SEARCH("CHIUSO",$M5)&gt;0</formula>
    </cfRule>
    <cfRule type="expression" priority="27" dxfId="58">
      <formula>SEARCH("EMESSO",$M5)&gt;0</formula>
    </cfRule>
    <cfRule type="expression" priority="28" dxfId="57">
      <formula>SEARCH("RICHIESTO",$M5)&gt;0</formula>
    </cfRule>
    <cfRule type="expression" priority="29" dxfId="56">
      <formula>SEARCH("DA CHIUDERE",$M5)&gt;0</formula>
    </cfRule>
    <cfRule type="expression" priority="30" dxfId="55">
      <formula>SEARCH("INTERROTTO",$M5)&gt;0</formula>
    </cfRule>
  </conditionalFormatting>
  <conditionalFormatting sqref="M5">
    <cfRule type="expression" priority="19" dxfId="60">
      <formula>SEARCH("IN CORSO",$M5)&gt;0</formula>
    </cfRule>
    <cfRule type="expression" priority="20" dxfId="59">
      <formula>SEARCH("CHIUSO",$M5)&gt;0</formula>
    </cfRule>
    <cfRule type="expression" priority="21" dxfId="58">
      <formula>SEARCH("EMESSO",$M5)&gt;0</formula>
    </cfRule>
    <cfRule type="expression" priority="22" dxfId="57">
      <formula>SEARCH("RICHIESTO",$M5)&gt;0</formula>
    </cfRule>
    <cfRule type="expression" priority="23" dxfId="56">
      <formula>SEARCH("DA CHIUDERE",$M5)&gt;0</formula>
    </cfRule>
    <cfRule type="expression" priority="24" dxfId="55">
      <formula>SEARCH("INTERROTTO",$M5)&gt;0</formula>
    </cfRule>
  </conditionalFormatting>
  <conditionalFormatting sqref="E4:G4 N4:Q4">
    <cfRule type="expression" priority="13" dxfId="60">
      <formula>SEARCH("IN CORSO",$M4)&gt;0</formula>
    </cfRule>
    <cfRule type="expression" priority="14" dxfId="59">
      <formula>SEARCH("CHIUSO",$M4)&gt;0</formula>
    </cfRule>
    <cfRule type="expression" priority="15" dxfId="58">
      <formula>SEARCH("EMESSO",$M4)&gt;0</formula>
    </cfRule>
    <cfRule type="expression" priority="16" dxfId="57">
      <formula>SEARCH("RICHIESTO",$M4)&gt;0</formula>
    </cfRule>
    <cfRule type="expression" priority="17" dxfId="56">
      <formula>SEARCH("DA CHIUDERE",$M4)&gt;0</formula>
    </cfRule>
    <cfRule type="expression" priority="18" dxfId="55">
      <formula>SEARCH("INTERROTTO",$M4)&gt;0</formula>
    </cfRule>
  </conditionalFormatting>
  <conditionalFormatting sqref="R4:S4">
    <cfRule type="expression" priority="7" dxfId="60">
      <formula>SEARCH("IN CORSO",$M4)&gt;0</formula>
    </cfRule>
    <cfRule type="expression" priority="8" dxfId="59">
      <formula>SEARCH("CHIUSO",$M4)&gt;0</formula>
    </cfRule>
    <cfRule type="expression" priority="9" dxfId="58">
      <formula>SEARCH("EMESSO",$M4)&gt;0</formula>
    </cfRule>
    <cfRule type="expression" priority="10" dxfId="57">
      <formula>SEARCH("RICHIESTO",$M4)&gt;0</formula>
    </cfRule>
    <cfRule type="expression" priority="11" dxfId="56">
      <formula>SEARCH("DA CHIUDERE",$M4)&gt;0</formula>
    </cfRule>
    <cfRule type="expression" priority="12" dxfId="55">
      <formula>SEARCH("INTERROTTO",$M4)&gt;0</formula>
    </cfRule>
  </conditionalFormatting>
  <conditionalFormatting sqref="M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1">
    <dataValidation sqref="M4:M271" showDropDown="0" showInputMessage="1" showErrorMessage="1" allowBlank="1" type="list">
      <formula1>"RICHIESTO,EMESSO,IN CORSO,INTERROTTO,DA CHIUDERE,SCADUTO,CHIUSO,"</formula1>
    </dataValidation>
  </dataValidations>
  <pageMargins left="0" right="0" top="0" bottom="0" header="0" footer="0"/>
  <pageSetup orientation="landscape" paperSize="8"/>
  <drawing xmlns:r="http://schemas.openxmlformats.org/officeDocument/2006/relationships" r:id="rId1"/>
  <legacyDrawing xmlns:r="http://schemas.openxmlformats.org/officeDocument/2006/relationships" r:id="anysvml"/>
  <tableParts count="1">
    <tablePart xmlns:r="http://schemas.openxmlformats.org/officeDocument/2006/relationships" r:id="rId2"/>
  </tableParts>
</worksheet>
</file>

<file path=xl/worksheets/sheet2.xml><?xml version="1.0" encoding="utf-8"?>
<worksheet xmlns="http://schemas.openxmlformats.org/spreadsheetml/2006/main">
  <sheetPr codeName="Foglio2">
    <tabColor theme="3"/>
    <outlinePr summaryBelow="1" summaryRight="1"/>
    <pageSetUpPr/>
  </sheetPr>
  <dimension ref="A1:AC178"/>
  <sheetViews>
    <sheetView topLeftCell="E4" workbookViewId="0">
      <selection activeCell="A4" sqref="A4:U178"/>
    </sheetView>
  </sheetViews>
  <sheetFormatPr baseColWidth="8" defaultColWidth="8.5" defaultRowHeight="15"/>
  <cols>
    <col width="3.125" customWidth="1" style="6" min="1" max="1"/>
    <col width="3.125" customWidth="1" style="1" min="2" max="2"/>
    <col width="3.125" customWidth="1" style="7" min="3" max="3"/>
    <col width="7.7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4"/>
    <col width="6.375" customWidth="1" style="50" min="15" max="15"/>
    <col width="6.375" customWidth="1" style="10" min="16" max="16"/>
    <col width="55.625" customWidth="1" style="10" min="17" max="17"/>
    <col width="13.625" bestFit="1" customWidth="1" style="10" min="18" max="18"/>
    <col width="13.125" customWidth="1" style="10" min="19" max="19"/>
    <col width="3.125" customWidth="1" style="10" min="20" max="20"/>
    <col width="8.5" customWidth="1" style="10" min="21" max="16384"/>
  </cols>
  <sheetData>
    <row r="1" ht="128.1" customHeight="1" s="122">
      <c r="A1" s="188" t="n"/>
      <c r="G1" s="13" t="n"/>
      <c r="L1" s="38" t="n"/>
      <c r="M1" s="62" t="inlineStr">
        <is>
          <t>FILTRA PDL</t>
        </is>
      </c>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row>
    <row r="3" ht="38.25" customFormat="1" customHeight="1" s="45">
      <c r="A3" s="26" t="inlineStr">
        <is>
          <t>FERM</t>
        </is>
      </c>
      <c r="B3" s="34" t="inlineStr">
        <is>
          <t>MANUT</t>
        </is>
      </c>
      <c r="C3" s="29" t="inlineStr">
        <is>
          <t>PS</t>
        </is>
      </c>
      <c r="D3" s="22" t="inlineStr">
        <is>
          <t xml:space="preserve">AREA </t>
        </is>
      </c>
      <c r="E3" s="22" t="inlineStr">
        <is>
          <t>PdL</t>
        </is>
      </c>
      <c r="F3" s="22"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23" t="inlineStr">
        <is>
          <t>STATO
ATTIVITA'</t>
        </is>
      </c>
      <c r="R3" s="24" t="inlineStr">
        <is>
          <t>DATA
CONTROLLO</t>
        </is>
      </c>
      <c r="S3" s="23" t="inlineStr">
        <is>
          <t>PERSONALE
IMPIEGATO</t>
        </is>
      </c>
      <c r="T3" s="23" t="inlineStr">
        <is>
          <t>PO</t>
        </is>
      </c>
      <c r="U3" s="93" t="inlineStr">
        <is>
          <t>AVVISO</t>
        </is>
      </c>
      <c r="V3" t="inlineStr">
        <is>
          <t>DataUltimaModifica</t>
        </is>
      </c>
    </row>
    <row r="4" ht="30" customFormat="1" customHeight="1" s="45">
      <c r="A4" s="112" t="n"/>
      <c r="B4" s="112" t="n"/>
      <c r="C4" s="112">
        <f>IF(OR(Tabella1[[#This Row],[LUN]]="X",Tabella1[[#This Row],[MAR]]="X",Tabella1[[#This Row],[MER]]="X",Tabella1[[#This Row],[GIO]]="X",Tabella1[[#This Row],[VEN]]="X",),"X","")</f>
        <v/>
      </c>
      <c r="D4" s="113" t="inlineStr">
        <is>
          <t>AREA 2</t>
        </is>
      </c>
      <c r="E4" s="109" t="inlineStr">
        <is>
          <t>542133/C</t>
        </is>
      </c>
      <c r="F4" s="109" t="n">
        <v>500</v>
      </c>
      <c r="G4" s="109" t="inlineStr">
        <is>
          <t>500L016RC 05L016IC (BENZINA STOCCAGGIO)CONTROLLO DI TARATURA DI ENTRAMBI I LIVELLI PER DISALLINEAMENTO MISURA</t>
        </is>
      </c>
      <c r="H4" s="111" t="n"/>
      <c r="I4" s="111" t="n"/>
      <c r="J4" s="111" t="n"/>
      <c r="K4" s="111" t="n"/>
      <c r="L4" s="111" t="n"/>
      <c r="M4" s="92" t="inlineStr">
        <is>
          <t>DA CHIUDERE</t>
        </is>
      </c>
      <c r="N4" s="110" t="n"/>
      <c r="O4" s="168" t="n"/>
      <c r="P4" s="110" t="n"/>
      <c r="Q4" s="109" t="inlineStr">
        <is>
          <t>ESEGUITO ALLINEAMENTO SULLE MISURE DI LIVELLO, CONSEGNATO A ESE.</t>
        </is>
      </c>
      <c r="R4" s="110" t="n">
        <v>45840</v>
      </c>
      <c r="S4" s="110" t="inlineStr">
        <is>
          <t>MILLO/ALLEGRETTI</t>
        </is>
      </c>
      <c r="T4" s="114">
        <f>IF(AND('Inserimento dati'!$B$3=$H$2, Tabella1[[#This Row],[LUN]]="X"), "X",IF(AND('Inserimento dati'!$B$3=$I$2, Tabella1[[#This Row],[MAR]]="X"), "X", IF(AND('Inserimento dati'!$B$3=$J$2, Tabella1[[#This Row],[MER]]="X"), "X",IF(AND('Inserimento dati'!$B$3=$K$2, Tabella1[[#This Row],[GIO]]="X"), "X", IF(AND('Inserimento dati'!$B$3=$L$2, Tabella1[[#This Row],[VEN]]="X"), "X","")))))</f>
        <v/>
      </c>
      <c r="U4" s="131">
        <f>IFERROR(MID(G4,_xlfn.AGGREGATE(15,6,(ROW(INDIRECT("1:"&amp;LEN(G4)-7)))/(ISNUMBER(--MID(G4,ROW(INDIRECT("1:"&amp;LEN(G4)-7)),8))),1),8),"")</f>
        <v/>
      </c>
      <c r="V4" t="inlineStr">
        <is>
          <t>2025-09-30 20:00:00</t>
        </is>
      </c>
    </row>
    <row r="5" ht="30" customFormat="1" customHeight="1" s="45">
      <c r="A5" s="112" t="n"/>
      <c r="B5" s="112" t="n"/>
      <c r="C5" s="112">
        <f>IF(OR(Tabella1[[#This Row],[LUN]]="X",Tabella1[[#This Row],[MAR]]="X",Tabella1[[#This Row],[MER]]="X",Tabella1[[#This Row],[GIO]]="X",Tabella1[[#This Row],[VEN]]="X",),"X","")</f>
        <v/>
      </c>
      <c r="D5" s="113" t="inlineStr">
        <is>
          <t>AREA 2</t>
        </is>
      </c>
      <c r="E5" s="109" t="inlineStr">
        <is>
          <t>547535/C</t>
        </is>
      </c>
      <c r="F5" s="109" t="n">
        <v>600</v>
      </c>
      <c r="G5" s="109" t="inlineStr">
        <is>
          <t>600P017CVB CONTROLLO E RIPRISTINO FUNZIONALITA VALVOLA DA ATTENZIONARE L'AZIONE SULLA CHIUSURA</t>
        </is>
      </c>
      <c r="H5" s="111" t="n"/>
      <c r="I5" s="111" t="n"/>
      <c r="J5" s="111" t="n"/>
      <c r="K5" s="111" t="n"/>
      <c r="L5" s="111" t="n"/>
      <c r="M5" s="92" t="inlineStr">
        <is>
          <t>DA CHIUDERE</t>
        </is>
      </c>
      <c r="N5" s="110" t="n"/>
      <c r="O5" s="168" t="n"/>
      <c r="P5" s="110" t="n"/>
      <c r="Q5" s="109" t="inlineStr">
        <is>
          <t>CONTROLLO VALVOLA ESEGUITO.</t>
        </is>
      </c>
      <c r="R5" s="110" t="n">
        <v>45881</v>
      </c>
      <c r="S5" s="110" t="inlineStr">
        <is>
          <t>SAGGIO/OGNISANTI</t>
        </is>
      </c>
      <c r="T5" s="114">
        <f>IF(AND('Inserimento dati'!$B$3=$H$2, Tabella1[[#This Row],[LUN]]="X"), "X",IF(AND('Inserimento dati'!$B$3=$I$2, Tabella1[[#This Row],[MAR]]="X"), "X", IF(AND('Inserimento dati'!$B$3=$J$2, Tabella1[[#This Row],[MER]]="X"), "X",IF(AND('Inserimento dati'!$B$3=$K$2, Tabella1[[#This Row],[GIO]]="X"), "X", IF(AND('Inserimento dati'!$B$3=$L$2, Tabella1[[#This Row],[VEN]]="X"), "X","")))))</f>
        <v/>
      </c>
      <c r="U5" s="93" t="n"/>
      <c r="V5" t="inlineStr">
        <is>
          <t>2025-09-30 20:00:00</t>
        </is>
      </c>
    </row>
    <row r="6" ht="30" customFormat="1" customHeight="1" s="45">
      <c r="A6" s="112" t="n"/>
      <c r="B6" s="112" t="n"/>
      <c r="C6" s="112">
        <f>IF(OR(Tabella1[[#This Row],[LUN]]="X",Tabella1[[#This Row],[MAR]]="X",Tabella1[[#This Row],[MER]]="X",Tabella1[[#This Row],[GIO]]="X",Tabella1[[#This Row],[VEN]]="X",),"X","")</f>
        <v/>
      </c>
      <c r="D6" s="113" t="inlineStr">
        <is>
          <t>AREA 2</t>
        </is>
      </c>
      <c r="E6" s="109" t="inlineStr">
        <is>
          <t>547538/C</t>
        </is>
      </c>
      <c r="F6" s="109" t="n">
        <v>600</v>
      </c>
      <c r="G6" s="109" t="inlineStr">
        <is>
          <t>600F006CV (PASSO DI CARICA)CONTROLLO E RIPRISTINO FUNZIONALITA VALVOLA E ALLINEAMENTO CON SALA CONTROLLO</t>
        </is>
      </c>
      <c r="H6" s="111" t="n"/>
      <c r="I6" s="111" t="n"/>
      <c r="J6" s="111" t="n"/>
      <c r="K6" s="111" t="n"/>
      <c r="L6" s="111" t="n"/>
      <c r="M6" s="92" t="inlineStr">
        <is>
          <t>DA CHIUDERE</t>
        </is>
      </c>
      <c r="N6" s="110" t="n"/>
      <c r="O6" s="168" t="n"/>
      <c r="P6" s="110" t="n"/>
      <c r="Q6" s="109" t="inlineStr">
        <is>
          <t>CONTROLLO VALVOLA ESEGUITO.</t>
        </is>
      </c>
      <c r="R6" s="110" t="n">
        <v>45881</v>
      </c>
      <c r="S6" s="110" t="inlineStr">
        <is>
          <t>SAGGIO/OGNISANTI</t>
        </is>
      </c>
      <c r="T6" s="114">
        <f>IF(AND('Inserimento dati'!$B$3=$H$2, Tabella1[[#This Row],[LUN]]="X"), "X",IF(AND('Inserimento dati'!$B$3=$I$2, Tabella1[[#This Row],[MAR]]="X"), "X", IF(AND('Inserimento dati'!$B$3=$J$2, Tabella1[[#This Row],[MER]]="X"), "X",IF(AND('Inserimento dati'!$B$3=$K$2, Tabella1[[#This Row],[GIO]]="X"), "X", IF(AND('Inserimento dati'!$B$3=$L$2, Tabella1[[#This Row],[VEN]]="X"), "X","")))))</f>
        <v/>
      </c>
      <c r="U6" s="93" t="n"/>
      <c r="V6" t="inlineStr">
        <is>
          <t>2025-09-30 20:00:00</t>
        </is>
      </c>
    </row>
    <row r="7" ht="23.25" customFormat="1" customHeight="1" s="45">
      <c r="A7" s="112" t="n"/>
      <c r="B7" s="112" t="n"/>
      <c r="C7" s="112">
        <f>IF(OR(Tabella1[[#This Row],[LUN]]="X",Tabella1[[#This Row],[MAR]]="X",Tabella1[[#This Row],[MER]]="X",Tabella1[[#This Row],[GIO]]="X",Tabella1[[#This Row],[VEN]]="X",),"X","")</f>
        <v/>
      </c>
      <c r="D7" s="113" t="inlineStr">
        <is>
          <t>AREA 2</t>
        </is>
      </c>
      <c r="E7" s="109" t="inlineStr">
        <is>
          <t>543701/C</t>
        </is>
      </c>
      <c r="F7" s="109" t="n">
        <v>1000</v>
      </c>
      <c r="G7" s="109" t="inlineStr">
        <is>
          <t>1000F115CV (RIFLUSSO) CONTROLLO E RIPRISTINO FUNZIONALITA VALVOLA</t>
        </is>
      </c>
      <c r="H7" s="111" t="n"/>
      <c r="I7" s="111" t="n"/>
      <c r="J7" s="111" t="n"/>
      <c r="K7" s="111" t="n"/>
      <c r="L7" s="111" t="n"/>
      <c r="M7" s="92" t="inlineStr">
        <is>
          <t>DA CHIUDERE</t>
        </is>
      </c>
      <c r="N7" s="110" t="n"/>
      <c r="O7" s="168" t="n"/>
      <c r="P7" s="110" t="n"/>
      <c r="Q7" s="109" t="inlineStr">
        <is>
          <t>RIPRISTINATA FUNZIONALITA'</t>
        </is>
      </c>
      <c r="R7" s="110" t="n">
        <v>45845</v>
      </c>
      <c r="S7" s="110" t="inlineStr">
        <is>
          <t>GARRO L.</t>
        </is>
      </c>
      <c r="T7" s="114">
        <f>IF(AND('Inserimento dati'!$B$3=$H$2, Tabella1[[#This Row],[LUN]]="X"), "X",IF(AND('Inserimento dati'!$B$3=$I$2, Tabella1[[#This Row],[MAR]]="X"), "X", IF(AND('Inserimento dati'!$B$3=$J$2, Tabella1[[#This Row],[MER]]="X"), "X",IF(AND('Inserimento dati'!$B$3=$K$2, Tabella1[[#This Row],[GIO]]="X"), "X", IF(AND('Inserimento dati'!$B$3=$L$2, Tabella1[[#This Row],[VEN]]="X"), "X","")))))</f>
        <v/>
      </c>
      <c r="U7" s="131" t="n"/>
      <c r="V7" t="inlineStr">
        <is>
          <t>2025-09-30 20:00:00</t>
        </is>
      </c>
    </row>
    <row r="8" ht="30" customFormat="1" customHeight="1" s="45">
      <c r="A8" s="112" t="n"/>
      <c r="B8" s="112">
        <f>IF(OR(A8="x",A8="X"),"",IF(ISBLANK(A8),"X",""))</f>
        <v/>
      </c>
      <c r="C8" s="112">
        <f>IF(OR(Tabella1[[#This Row],[LUN]]="X",Tabella1[[#This Row],[MAR]]="X",Tabella1[[#This Row],[MER]]="X",Tabella1[[#This Row],[GIO]]="X",Tabella1[[#This Row],[VEN]]="X",),"X","")</f>
        <v/>
      </c>
      <c r="D8" s="113" t="inlineStr">
        <is>
          <t>AREA 2</t>
        </is>
      </c>
      <c r="E8" s="109" t="inlineStr">
        <is>
          <t>540759/C</t>
        </is>
      </c>
      <c r="F8" s="109" t="n">
        <v>600</v>
      </c>
      <c r="G8" s="109" t="inlineStr">
        <is>
          <t>600F031CV(RESIDUO A QUENCH T101)CONTROLLO E RIPRISTINO FUNZIONALITA VALVOLA</t>
        </is>
      </c>
      <c r="H8" s="111" t="n"/>
      <c r="I8" s="111" t="n"/>
      <c r="J8" s="111" t="n"/>
      <c r="K8" s="111" t="n"/>
      <c r="L8" s="111" t="n"/>
      <c r="M8" s="92" t="inlineStr">
        <is>
          <t>DA CHIUDERE</t>
        </is>
      </c>
      <c r="N8" s="110" t="n"/>
      <c r="O8" s="168" t="n"/>
      <c r="P8" s="110" t="n"/>
      <c r="Q8" s="109" t="inlineStr">
        <is>
          <t>RIPRISTINATA FUNZIONALITA'</t>
        </is>
      </c>
      <c r="R8" s="110" t="n">
        <v>45821</v>
      </c>
      <c r="S8" s="110" t="inlineStr">
        <is>
          <t>GARRO L.</t>
        </is>
      </c>
      <c r="T8" s="114">
        <f>IF(AND('Inserimento dati'!$B$3=$H$2, Tabella1[[#This Row],[LUN]]="X"), "X",IF(AND('Inserimento dati'!$B$3=$I$2, Tabella1[[#This Row],[MAR]]="X"), "X", IF(AND('Inserimento dati'!$B$3=$J$2, Tabella1[[#This Row],[MER]]="X"), "X",IF(AND('Inserimento dati'!$B$3=$K$2, Tabella1[[#This Row],[GIO]]="X"), "X", IF(AND('Inserimento dati'!$B$3=$L$2, Tabella1[[#This Row],[VEN]]="X"), "X","")))))</f>
        <v/>
      </c>
      <c r="U8" s="131">
        <f>IFERROR(MID(G8,_xlfn.AGGREGATE(15,6,(ROW(INDIRECT("1:"&amp;LEN(G8)-7)))/(ISNUMBER(--MID(G8,ROW(INDIRECT("1:"&amp;LEN(G8)-7)),8))),1),8),"")</f>
        <v/>
      </c>
      <c r="V8" t="inlineStr">
        <is>
          <t>2025-09-30 20:00:00</t>
        </is>
      </c>
    </row>
    <row r="9" ht="30" customFormat="1" customHeight="1" s="45">
      <c r="A9" s="112" t="n"/>
      <c r="B9" s="112">
        <f>IF(OR(A9="x",A9="X"),"",IF(ISBLANK(A9),"X",""))</f>
        <v/>
      </c>
      <c r="C9" s="112">
        <f>IF(OR(Tabella1[[#This Row],[LUN]]="X",Tabella1[[#This Row],[MAR]]="X",Tabella1[[#This Row],[MER]]="X",Tabella1[[#This Row],[GIO]]="X",Tabella1[[#This Row],[VEN]]="X",),"X","")</f>
        <v/>
      </c>
      <c r="D9" s="113" t="inlineStr">
        <is>
          <t>AREA 2</t>
        </is>
      </c>
      <c r="E9" s="109" t="inlineStr">
        <is>
          <t>538168/C</t>
        </is>
      </c>
      <c r="F9" s="109" t="n">
        <v>500</v>
      </c>
      <c r="G9" s="109" t="inlineStr">
        <is>
          <t>500F031RC(GPL PRODOTTO)CONTROLLO E RIPRISTINO FUNZIONALITA PORTATA</t>
        </is>
      </c>
      <c r="H9" s="111" t="n"/>
      <c r="I9" s="111" t="n"/>
      <c r="J9" s="111" t="n"/>
      <c r="K9" s="111" t="n"/>
      <c r="L9" s="111" t="n"/>
      <c r="M9" s="92" t="inlineStr">
        <is>
          <t>DA CHIUDERE</t>
        </is>
      </c>
      <c r="N9" s="110" t="n"/>
      <c r="O9" s="168" t="n"/>
      <c r="P9" s="110" t="n"/>
      <c r="Q9" s="109" t="inlineStr">
        <is>
          <t xml:space="preserve">VALVOLE INTERCETTO DURE NELLA MOVIMENTAZIONE 
VALVOLA BYPASS CON STELO PIEGATO MA FUNZIONANTE </t>
        </is>
      </c>
      <c r="R9" s="110" t="n">
        <v>45803</v>
      </c>
      <c r="S9" s="110" t="inlineStr">
        <is>
          <t>RICIPUTO A. / TARASCIO B.</t>
        </is>
      </c>
      <c r="T9" s="114">
        <f>IF(AND('Inserimento dati'!$B$3=$H$2, Tabella1[[#This Row],[LUN]]="X"), "X",IF(AND('Inserimento dati'!$B$3=$I$2, Tabella1[[#This Row],[MAR]]="X"), "X", IF(AND('Inserimento dati'!$B$3=$J$2, Tabella1[[#This Row],[MER]]="X"), "X",IF(AND('Inserimento dati'!$B$3=$K$2, Tabella1[[#This Row],[GIO]]="X"), "X", IF(AND('Inserimento dati'!$B$3=$L$2, Tabella1[[#This Row],[VEN]]="X"), "X","")))))</f>
        <v/>
      </c>
      <c r="U9" s="131">
        <f>IFERROR(MID(G9,_xlfn.AGGREGATE(15,6,(ROW(INDIRECT("1:"&amp;LEN(G9)-7)))/(ISNUMBER(--MID(G9,ROW(INDIRECT("1:"&amp;LEN(G9)-7)),8))),1),8),"")</f>
        <v/>
      </c>
      <c r="V9" t="inlineStr">
        <is>
          <t>2025-09-30 20:00:00</t>
        </is>
      </c>
    </row>
    <row r="10" ht="23.25" customFormat="1" customHeight="1" s="45">
      <c r="A10" s="112" t="n"/>
      <c r="B10" s="112">
        <f>IF(OR(A10="x",A10="X"),"",IF(ISBLANK(A10),"X",""))</f>
        <v/>
      </c>
      <c r="C10" s="112">
        <f>IF(OR(Tabella1[[#This Row],[LUN]]="X",Tabella1[[#This Row],[MAR]]="X",Tabella1[[#This Row],[MER]]="X",Tabella1[[#This Row],[GIO]]="X",Tabella1[[#This Row],[VEN]]="X",),"X","")</f>
        <v/>
      </c>
      <c r="D10" s="113" t="inlineStr">
        <is>
          <t>AREA 2</t>
        </is>
      </c>
      <c r="E10" s="109" t="inlineStr">
        <is>
          <t>540371/C</t>
        </is>
      </c>
      <c r="F10" s="109" t="n">
        <v>1000</v>
      </c>
      <c r="G10" s="109" t="inlineStr">
        <is>
          <t>1000C101B SOSTITUZIONE MANOMETRI E TERMOMETRI A CAPILLARE</t>
        </is>
      </c>
      <c r="H10" s="111" t="n"/>
      <c r="I10" s="111" t="n"/>
      <c r="J10" s="111" t="n"/>
      <c r="K10" s="111" t="n"/>
      <c r="L10" s="111" t="n"/>
      <c r="M10" s="92" t="inlineStr">
        <is>
          <t>DA CHIUDERE</t>
        </is>
      </c>
      <c r="N10" s="110" t="n"/>
      <c r="O10" s="168" t="n"/>
      <c r="P10" s="110" t="n"/>
      <c r="Q10" s="109" t="inlineStr">
        <is>
          <t>ESEGUITA SOSTITUZIONE</t>
        </is>
      </c>
      <c r="R10" s="110" t="n">
        <v>45819</v>
      </c>
      <c r="S10" s="110" t="inlineStr">
        <is>
          <t>MILLO</t>
        </is>
      </c>
      <c r="T10" s="114">
        <f>IF(AND('Inserimento dati'!$B$3=$H$2, Tabella1[[#This Row],[LUN]]="X"), "X",IF(AND('Inserimento dati'!$B$3=$I$2, Tabella1[[#This Row],[MAR]]="X"), "X", IF(AND('Inserimento dati'!$B$3=$J$2, Tabella1[[#This Row],[MER]]="X"), "X",IF(AND('Inserimento dati'!$B$3=$K$2, Tabella1[[#This Row],[GIO]]="X"), "X", IF(AND('Inserimento dati'!$B$3=$L$2, Tabella1[[#This Row],[VEN]]="X"), "X","")))))</f>
        <v/>
      </c>
      <c r="U10" s="131">
        <f>IFERROR(MID(G10,_xlfn.AGGREGATE(15,6,(ROW(INDIRECT("1:"&amp;LEN(G10)-7)))/(ISNUMBER(--MID(G10,ROW(INDIRECT("1:"&amp;LEN(G10)-7)),8))),1),8),"")</f>
        <v/>
      </c>
      <c r="V10" t="inlineStr">
        <is>
          <t>2025-09-30 20:00:00</t>
        </is>
      </c>
    </row>
    <row r="11" ht="23.25" customFormat="1" customHeight="1" s="45">
      <c r="A11" s="112" t="n"/>
      <c r="B11" s="112">
        <f>IF(OR(A11="x",A11="X"),"",IF(ISBLANK(A11),"X",""))</f>
        <v/>
      </c>
      <c r="C11" s="112">
        <f>IF(OR(Tabella1[[#This Row],[LUN]]="X",Tabella1[[#This Row],[MAR]]="X",Tabella1[[#This Row],[MER]]="X",Tabella1[[#This Row],[GIO]]="X",Tabella1[[#This Row],[VEN]]="X",),"X","")</f>
        <v/>
      </c>
      <c r="D11" s="113" t="inlineStr">
        <is>
          <t>AREA 2</t>
        </is>
      </c>
      <c r="E11" s="109" t="inlineStr">
        <is>
          <t>540164/C</t>
        </is>
      </c>
      <c r="F11" s="109" t="n">
        <v>500</v>
      </c>
      <c r="G11" s="109" t="inlineStr">
        <is>
          <t>500 T301 CONTROLLO LIVELLI COLONNA 1-L006RC</t>
        </is>
      </c>
      <c r="H11" s="111" t="n"/>
      <c r="I11" s="111" t="n"/>
      <c r="J11" s="111" t="n"/>
      <c r="K11" s="111" t="n"/>
      <c r="L11" s="111" t="n"/>
      <c r="M11" s="92" t="inlineStr">
        <is>
          <t>DA CHIUDERE</t>
        </is>
      </c>
      <c r="N11" s="110" t="n"/>
      <c r="O11" s="168" t="n"/>
      <c r="P11" s="110" t="n"/>
      <c r="Q11" s="109" t="n"/>
      <c r="R11" s="110" t="n"/>
      <c r="S11" s="110" t="n"/>
      <c r="T11" s="114">
        <f>IF(AND('Inserimento dati'!$B$3=$H$2, Tabella1[[#This Row],[LUN]]="X"), "X",IF(AND('Inserimento dati'!$B$3=$I$2, Tabella1[[#This Row],[MAR]]="X"), "X", IF(AND('Inserimento dati'!$B$3=$J$2, Tabella1[[#This Row],[MER]]="X"), "X",IF(AND('Inserimento dati'!$B$3=$K$2, Tabella1[[#This Row],[GIO]]="X"), "X", IF(AND('Inserimento dati'!$B$3=$L$2, Tabella1[[#This Row],[VEN]]="X"), "X","")))))</f>
        <v/>
      </c>
      <c r="U11" s="131">
        <f>IFERROR(MID(G11,_xlfn.AGGREGATE(15,6,(ROW(INDIRECT("1:"&amp;LEN(G11)-7)))/(ISNUMBER(--MID(G11,ROW(INDIRECT("1:"&amp;LEN(G11)-7)),8))),1),8),"")</f>
        <v/>
      </c>
      <c r="V11" t="inlineStr">
        <is>
          <t>2025-09-30 20:00:00</t>
        </is>
      </c>
    </row>
    <row r="12" ht="23.25" customFormat="1" customHeight="1" s="45">
      <c r="A12" s="112" t="n"/>
      <c r="B12" s="112">
        <f>IF(OR(A12="x",A12="X"),"",IF(ISBLANK(A12),"X",""))</f>
        <v/>
      </c>
      <c r="C12" s="112">
        <f>IF(OR(Tabella1[[#This Row],[LUN]]="X",Tabella1[[#This Row],[MAR]]="X",Tabella1[[#This Row],[MER]]="X",Tabella1[[#This Row],[GIO]]="X",Tabella1[[#This Row],[VEN]]="X",),"X","")</f>
        <v/>
      </c>
      <c r="D12" s="113" t="inlineStr">
        <is>
          <t>AREA 2</t>
        </is>
      </c>
      <c r="E12" s="109" t="inlineStr">
        <is>
          <t>536389/C</t>
        </is>
      </c>
      <c r="F12" s="109" t="n">
        <v>500</v>
      </c>
      <c r="G12" s="109" t="inlineStr">
        <is>
          <t>500C103C CONTROLLO TEMPERATURE STATORE MOTORE</t>
        </is>
      </c>
      <c r="H12" s="111" t="n"/>
      <c r="I12" s="111" t="n"/>
      <c r="J12" s="111" t="n"/>
      <c r="K12" s="111" t="n"/>
      <c r="L12" s="111" t="n"/>
      <c r="M12" s="92" t="inlineStr">
        <is>
          <t>DA CHIUDERE</t>
        </is>
      </c>
      <c r="N12" s="110" t="n"/>
      <c r="O12" s="168" t="n"/>
      <c r="P12" s="110" t="n"/>
      <c r="Q12" s="109" t="inlineStr">
        <is>
          <t>RIPRISTINATA FUNZIONALITA'</t>
        </is>
      </c>
      <c r="R12" s="110" t="n">
        <v>45790</v>
      </c>
      <c r="S12" s="110" t="inlineStr">
        <is>
          <t>MILLO</t>
        </is>
      </c>
      <c r="T12" s="114">
        <f>IF(AND('Inserimento dati'!$B$3=$H$2, Tabella1[[#This Row],[LUN]]="X"), "X",IF(AND('Inserimento dati'!$B$3=$I$2, Tabella1[[#This Row],[MAR]]="X"), "X", IF(AND('Inserimento dati'!$B$3=$J$2, Tabella1[[#This Row],[MER]]="X"), "X",IF(AND('Inserimento dati'!$B$3=$K$2, Tabella1[[#This Row],[GIO]]="X"), "X", IF(AND('Inserimento dati'!$B$3=$L$2, Tabella1[[#This Row],[VEN]]="X"), "X","")))))</f>
        <v/>
      </c>
      <c r="U12" s="131">
        <f>IFERROR(MID(G12,_xlfn.AGGREGATE(15,6,(ROW(INDIRECT("1:"&amp;LEN(G12)-7)))/(ISNUMBER(--MID(G12,ROW(INDIRECT("1:"&amp;LEN(G12)-7)),8))),1),8),"")</f>
        <v/>
      </c>
      <c r="V12" t="inlineStr">
        <is>
          <t>2025-09-30 20:00:00</t>
        </is>
      </c>
    </row>
    <row r="13" ht="23.25" customFormat="1" customHeight="1" s="45">
      <c r="A13" s="112" t="n"/>
      <c r="B13" s="112">
        <f>IF(OR(A13="x",A13="X"),"",IF(ISBLANK(A13),"X",""))</f>
        <v/>
      </c>
      <c r="C13" s="112">
        <f>IF(OR(Tabella1[[#This Row],[LUN]]="X",Tabella1[[#This Row],[MAR]]="X",Tabella1[[#This Row],[MER]]="X",Tabella1[[#This Row],[GIO]]="X",Tabella1[[#This Row],[VEN]]="X",),"X","")</f>
        <v/>
      </c>
      <c r="D13" s="113" t="inlineStr">
        <is>
          <t>AREA 2</t>
        </is>
      </c>
      <c r="E13" s="109" t="inlineStr">
        <is>
          <t>538069/C</t>
        </is>
      </c>
      <c r="F13" s="109" t="n">
        <v>500</v>
      </c>
      <c r="G13" s="109" t="inlineStr">
        <is>
          <t>500B301SV RIPRISTINO FUNZIONALITA VALVOLA</t>
        </is>
      </c>
      <c r="H13" s="111" t="n"/>
      <c r="I13" s="111" t="n"/>
      <c r="J13" s="111" t="n"/>
      <c r="K13" s="111" t="n"/>
      <c r="L13" s="111" t="n"/>
      <c r="M13" s="92" t="inlineStr">
        <is>
          <t>DA CHIUDERE</t>
        </is>
      </c>
      <c r="N13" s="110" t="n"/>
      <c r="O13" s="168" t="n"/>
      <c r="P13" s="110" t="n"/>
      <c r="Q13" s="109" t="inlineStr">
        <is>
          <t>RIPRISTINATA FUNZIONALITA'</t>
        </is>
      </c>
      <c r="R13" s="110" t="n">
        <v>45800</v>
      </c>
      <c r="S13" s="110" t="inlineStr">
        <is>
          <t>SPINALI</t>
        </is>
      </c>
      <c r="T13" s="114">
        <f>IF(AND('Inserimento dati'!$B$3=$H$2, Tabella1[[#This Row],[LUN]]="X"), "X",IF(AND('Inserimento dati'!$B$3=$I$2, Tabella1[[#This Row],[MAR]]="X"), "X", IF(AND('Inserimento dati'!$B$3=$J$2, Tabella1[[#This Row],[MER]]="X"), "X",IF(AND('Inserimento dati'!$B$3=$K$2, Tabella1[[#This Row],[GIO]]="X"), "X", IF(AND('Inserimento dati'!$B$3=$L$2, Tabella1[[#This Row],[VEN]]="X"), "X","")))))</f>
        <v/>
      </c>
      <c r="U13" s="131">
        <f>IFERROR(MID(G13,_xlfn.AGGREGATE(15,6,(ROW(INDIRECT("1:"&amp;LEN(G13)-7)))/(ISNUMBER(--MID(G13,ROW(INDIRECT("1:"&amp;LEN(G13)-7)),8))),1),8),"")</f>
        <v/>
      </c>
      <c r="V13" t="inlineStr">
        <is>
          <t>2025-09-30 20:00:00</t>
        </is>
      </c>
    </row>
    <row r="14" ht="23.25" customFormat="1" customHeight="1" s="45">
      <c r="A14" s="112" t="n"/>
      <c r="B14" s="112">
        <f>IF(OR(A14="x",A14="X"),"",IF(ISBLANK(A14),"X",""))</f>
        <v/>
      </c>
      <c r="C14" s="112">
        <f>IF(OR(Tabella1[[#This Row],[LUN]]="X",Tabella1[[#This Row],[MAR]]="X",Tabella1[[#This Row],[MER]]="X",Tabella1[[#This Row],[GIO]]="X",Tabella1[[#This Row],[VEN]]="X",),"X","")</f>
        <v/>
      </c>
      <c r="D14" s="113" t="inlineStr">
        <is>
          <t>AREA 2</t>
        </is>
      </c>
      <c r="E14" s="109" t="inlineStr">
        <is>
          <t>539037/C</t>
        </is>
      </c>
      <c r="F14" s="109" t="n">
        <v>1000</v>
      </c>
      <c r="G14" s="109" t="inlineStr">
        <is>
          <t>1000P122CV SEPARATORE A.P. D104  CONTROLLO E RIPRISTINO FUNZIONALITA VALVOLA</t>
        </is>
      </c>
      <c r="H14" s="111" t="n"/>
      <c r="I14" s="111" t="n"/>
      <c r="J14" s="111" t="n"/>
      <c r="K14" s="111" t="n"/>
      <c r="L14" s="111" t="n"/>
      <c r="M14" s="92" t="inlineStr">
        <is>
          <t>DA CHIUDERE</t>
        </is>
      </c>
      <c r="N14" s="110" t="n"/>
      <c r="O14" s="168" t="n"/>
      <c r="P14" s="110" t="n"/>
      <c r="Q14" s="109" t="inlineStr">
        <is>
          <t>RIPRISTINATA FUNZIONALITA'</t>
        </is>
      </c>
      <c r="R14" s="110" t="n">
        <v>45807</v>
      </c>
      <c r="S14" s="110" t="inlineStr">
        <is>
          <t>MILLO</t>
        </is>
      </c>
      <c r="T14" s="114">
        <f>IF(AND('Inserimento dati'!$B$3=$H$2, Tabella1[[#This Row],[LUN]]="X"), "X",IF(AND('Inserimento dati'!$B$3=$I$2, Tabella1[[#This Row],[MAR]]="X"), "X", IF(AND('Inserimento dati'!$B$3=$J$2, Tabella1[[#This Row],[MER]]="X"), "X",IF(AND('Inserimento dati'!$B$3=$K$2, Tabella1[[#This Row],[GIO]]="X"), "X", IF(AND('Inserimento dati'!$B$3=$L$2, Tabella1[[#This Row],[VEN]]="X"), "X","")))))</f>
        <v/>
      </c>
      <c r="U14" s="131">
        <f>IFERROR(MID(G14,_xlfn.AGGREGATE(15,6,(ROW(INDIRECT("1:"&amp;LEN(G14)-7)))/(ISNUMBER(--MID(G14,ROW(INDIRECT("1:"&amp;LEN(G14)-7)),8))),1),8),"")</f>
        <v/>
      </c>
      <c r="V14" t="inlineStr">
        <is>
          <t>2025-09-30 20:00:00</t>
        </is>
      </c>
    </row>
    <row r="15" ht="23.25" customFormat="1" customHeight="1" s="45">
      <c r="A15" s="112" t="n"/>
      <c r="B15" s="112">
        <f>IF(OR(A15="x",A15="X"),"",IF(ISBLANK(A15),"X",""))</f>
        <v/>
      </c>
      <c r="C15" s="112">
        <f>IF(OR(Tabella1[[#This Row],[LUN]]="X",Tabella1[[#This Row],[MAR]]="X",Tabella1[[#This Row],[MER]]="X",Tabella1[[#This Row],[GIO]]="X",Tabella1[[#This Row],[VEN]]="X",),"X","")</f>
        <v/>
      </c>
      <c r="D15" s="113" t="inlineStr">
        <is>
          <t>AREA 2</t>
        </is>
      </c>
      <c r="E15" s="109" t="inlineStr">
        <is>
          <t>539156/C</t>
        </is>
      </c>
      <c r="F15" s="109" t="n">
        <v>500</v>
      </c>
      <c r="G15" s="109" t="inlineStr">
        <is>
          <t>500T019A/BCV CONTROLLO E RIPRISTINO FUNZIONALITA VALVOLE</t>
        </is>
      </c>
      <c r="H15" s="111" t="n"/>
      <c r="I15" s="111" t="n"/>
      <c r="J15" s="111" t="n"/>
      <c r="K15" s="111" t="n"/>
      <c r="L15" s="111" t="n"/>
      <c r="M15" s="92" t="inlineStr">
        <is>
          <t>DA CHIUDERE</t>
        </is>
      </c>
      <c r="N15" s="110" t="n"/>
      <c r="O15" s="168" t="n"/>
      <c r="P15" s="110" t="n"/>
      <c r="Q15" s="109" t="inlineStr">
        <is>
          <t>RIPRISTINATA FUNZIONALITA'</t>
        </is>
      </c>
      <c r="R15" s="110" t="n">
        <v>45808</v>
      </c>
      <c r="S15" s="110" t="inlineStr">
        <is>
          <t>GARRO</t>
        </is>
      </c>
      <c r="T15" s="114">
        <f>IF(AND('Inserimento dati'!$B$3=$H$2, Tabella1[[#This Row],[LUN]]="X"), "X",IF(AND('Inserimento dati'!$B$3=$I$2, Tabella1[[#This Row],[MAR]]="X"), "X", IF(AND('Inserimento dati'!$B$3=$J$2, Tabella1[[#This Row],[MER]]="X"), "X",IF(AND('Inserimento dati'!$B$3=$K$2, Tabella1[[#This Row],[GIO]]="X"), "X", IF(AND('Inserimento dati'!$B$3=$L$2, Tabella1[[#This Row],[VEN]]="X"), "X","")))))</f>
        <v/>
      </c>
      <c r="U15" s="131">
        <f>IFERROR(MID(G15,_xlfn.AGGREGATE(15,6,(ROW(INDIRECT("1:"&amp;LEN(G15)-7)))/(ISNUMBER(--MID(G15,ROW(INDIRECT("1:"&amp;LEN(G15)-7)),8))),1),8),"")</f>
        <v/>
      </c>
      <c r="V15" t="inlineStr">
        <is>
          <t>2025-09-30 20:00:00</t>
        </is>
      </c>
    </row>
    <row r="16" ht="23.25" customFormat="1" customHeight="1" s="45">
      <c r="A16" s="112" t="n"/>
      <c r="B16" s="112">
        <f>IF(OR(A16="x",A16="X"),"",IF(ISBLANK(A16),"X",""))</f>
        <v/>
      </c>
      <c r="C16" s="112">
        <f>IF(OR(Tabella1[[#This Row],[LUN]]="X",Tabella1[[#This Row],[MAR]]="X",Tabella1[[#This Row],[MER]]="X",Tabella1[[#This Row],[GIO]]="X",Tabella1[[#This Row],[VEN]]="X",),"X","")</f>
        <v/>
      </c>
      <c r="D16" s="113" t="inlineStr">
        <is>
          <t>AREA 2</t>
        </is>
      </c>
      <c r="E16" s="109" t="inlineStr">
        <is>
          <t>539803/C</t>
        </is>
      </c>
      <c r="F16" s="109" t="n">
        <v>1000</v>
      </c>
      <c r="G16" s="109" t="inlineStr">
        <is>
          <t>1000P122CV SEPARATORE A.P. D104  CONTROLLO E RIPRISTINO FUNZIONALITA VALVOLA</t>
        </is>
      </c>
      <c r="H16" s="111" t="n"/>
      <c r="I16" s="111" t="n"/>
      <c r="J16" s="111" t="n"/>
      <c r="K16" s="111" t="n"/>
      <c r="L16" s="111" t="n"/>
      <c r="M16" s="92" t="inlineStr">
        <is>
          <t>DA CHIUDERE</t>
        </is>
      </c>
      <c r="N16" s="110" t="n"/>
      <c r="O16" s="168" t="n"/>
      <c r="P16" s="110" t="n"/>
      <c r="Q16" s="109" t="n"/>
      <c r="R16" s="110" t="n">
        <v>45814</v>
      </c>
      <c r="S16" s="110" t="inlineStr">
        <is>
          <t>GARRO</t>
        </is>
      </c>
      <c r="T16" s="114">
        <f>IF(AND('Inserimento dati'!$B$3=$H$2, Tabella1[[#This Row],[LUN]]="X"), "X",IF(AND('Inserimento dati'!$B$3=$I$2, Tabella1[[#This Row],[MAR]]="X"), "X", IF(AND('Inserimento dati'!$B$3=$J$2, Tabella1[[#This Row],[MER]]="X"), "X",IF(AND('Inserimento dati'!$B$3=$K$2, Tabella1[[#This Row],[GIO]]="X"), "X", IF(AND('Inserimento dati'!$B$3=$L$2, Tabella1[[#This Row],[VEN]]="X"), "X","")))))</f>
        <v/>
      </c>
      <c r="U16" s="131">
        <f>IFERROR(MID(G16,_xlfn.AGGREGATE(15,6,(ROW(INDIRECT("1:"&amp;LEN(G16)-7)))/(ISNUMBER(--MID(G16,ROW(INDIRECT("1:"&amp;LEN(G16)-7)),8))),1),8),"")</f>
        <v/>
      </c>
      <c r="V16" t="inlineStr">
        <is>
          <t>2025-09-30 20:00:00</t>
        </is>
      </c>
    </row>
    <row r="17" ht="45" customFormat="1" customHeight="1" s="45">
      <c r="A17" s="112" t="n"/>
      <c r="B17" s="112">
        <f>IF(OR(A17="x",A17="X"),"",IF(ISBLANK(A17),"X",""))</f>
        <v/>
      </c>
      <c r="C17" s="112">
        <f>IF(OR(Tabella1[[#This Row],[LUN]]="X",Tabella1[[#This Row],[MAR]]="X",Tabella1[[#This Row],[MER]]="X",Tabella1[[#This Row],[GIO]]="X",Tabella1[[#This Row],[VEN]]="X",),"X","")</f>
        <v/>
      </c>
      <c r="D17" s="113" t="inlineStr">
        <is>
          <t>AREA 2</t>
        </is>
      </c>
      <c r="E17" s="109" t="inlineStr">
        <is>
          <t>535285/C</t>
        </is>
      </c>
      <c r="F17" s="109" t="n">
        <v>1000</v>
      </c>
      <c r="G17" s="109" t="inlineStr">
        <is>
          <t>1000 - L114RC(D111)CONTROLLO DI FUNZIONALITA MISURA DI LIVELLO</t>
        </is>
      </c>
      <c r="H17" s="111" t="n"/>
      <c r="I17" s="111" t="n"/>
      <c r="J17" s="111" t="n"/>
      <c r="K17" s="111" t="n"/>
      <c r="L17" s="111" t="n"/>
      <c r="M17" s="92" t="inlineStr">
        <is>
          <t>DA CHIUDERE</t>
        </is>
      </c>
      <c r="N17" s="110" t="n"/>
      <c r="O17" s="168" t="n"/>
      <c r="P17" s="110" t="n"/>
      <c r="Q17" s="109" t="inlineStr">
        <is>
          <t>IL LIVELLO E' FUNZIONANTE, DRENATO E PROVATO. IL PROBLEMA DERIVAVA DA IMPIANTO BALLERINO, CHE FACEVA SPOSTARE I LIVELLI DA 0 A 100, RISOLTO IN SERATA DA SALVATORE CICCIO, C.T.</t>
        </is>
      </c>
      <c r="R17" s="110" t="n">
        <v>45782</v>
      </c>
      <c r="S17" s="110" t="inlineStr">
        <is>
          <t>MILLO/ALLEGRETTI</t>
        </is>
      </c>
      <c r="T17" s="112">
        <f>IF(AND('Inserimento dati'!$B$3=$H$2, Tabella1[[#This Row],[LUN]]="X"), "X",IF(AND('Inserimento dati'!$B$3=$I$2, Tabella1[[#This Row],[MAR]]="X"), "X", IF(AND('Inserimento dati'!$B$3=$J$2, Tabella1[[#This Row],[MER]]="X"), "X",IF(AND('Inserimento dati'!$B$3=$K$2, Tabella1[[#This Row],[GIO]]="X"), "X", IF(AND('Inserimento dati'!$B$3=$L$2, Tabella1[[#This Row],[VEN]]="X"), "X","")))))</f>
        <v/>
      </c>
      <c r="U17" s="132">
        <f>IFERROR(MID(G17,_xlfn.AGGREGATE(15,6,(ROW(INDIRECT("1:"&amp;LEN(G17)-7)))/(ISNUMBER(--MID(G17,ROW(INDIRECT("1:"&amp;LEN(G17)-7)),8))),1),8),"")</f>
        <v/>
      </c>
      <c r="V17" t="inlineStr">
        <is>
          <t>2025-09-30 20:00:00</t>
        </is>
      </c>
    </row>
    <row r="18" ht="23.25" customFormat="1" customHeight="1" s="45">
      <c r="A18" s="112" t="n"/>
      <c r="B18" s="112">
        <f>IF(OR(A18="x",A18="X"),"",IF(ISBLANK(A18),"X",""))</f>
        <v/>
      </c>
      <c r="C18" s="112">
        <f>IF(OR(Tabella1[[#This Row],[LUN]]="X",Tabella1[[#This Row],[MAR]]="X",Tabella1[[#This Row],[MER]]="X",Tabella1[[#This Row],[GIO]]="X",Tabella1[[#This Row],[VEN]]="X",),"X","")</f>
        <v/>
      </c>
      <c r="D18" s="113" t="inlineStr">
        <is>
          <t>AREA 2</t>
        </is>
      </c>
      <c r="E18" s="109" t="inlineStr">
        <is>
          <t>534889/C</t>
        </is>
      </c>
      <c r="F18" s="109" t="n">
        <v>500</v>
      </c>
      <c r="G18" s="109" t="inlineStr">
        <is>
          <t>500 - F004RC(MANDATA P101)CONTROLLO DI TARATURA STRUMENTO DI PORTATA</t>
        </is>
      </c>
      <c r="H18" s="111" t="n"/>
      <c r="I18" s="111" t="n"/>
      <c r="J18" s="111" t="n"/>
      <c r="K18" s="111" t="n"/>
      <c r="L18" s="111" t="n"/>
      <c r="M18" s="110" t="inlineStr">
        <is>
          <t>DA CHIUDERE</t>
        </is>
      </c>
      <c r="N18" s="110" t="n"/>
      <c r="O18" s="168" t="n"/>
      <c r="P18" s="110" t="n"/>
      <c r="Q18" s="109" t="inlineStr">
        <is>
          <t>NESSUNA ANOMALIA.</t>
        </is>
      </c>
      <c r="R18" s="110" t="n">
        <v>45782</v>
      </c>
      <c r="S18" s="110" t="inlineStr">
        <is>
          <t>SPINALI</t>
        </is>
      </c>
      <c r="T18" s="112">
        <f>IF(AND('Inserimento dati'!$B$3=$H$2, Tabella1[[#This Row],[LUN]]="X"), "X",IF(AND('Inserimento dati'!$B$3=$I$2, Tabella1[[#This Row],[MAR]]="X"), "X", IF(AND('Inserimento dati'!$B$3=$J$2, Tabella1[[#This Row],[MER]]="X"), "X",IF(AND('Inserimento dati'!$B$3=$K$2, Tabella1[[#This Row],[GIO]]="X"), "X", IF(AND('Inserimento dati'!$B$3=$L$2, Tabella1[[#This Row],[VEN]]="X"), "X","")))))</f>
        <v/>
      </c>
      <c r="U18" s="132">
        <f>IFERROR(MID(G18,_xlfn.AGGREGATE(15,6,(ROW(INDIRECT("1:"&amp;LEN(G18)-7)))/(ISNUMBER(--MID(G18,ROW(INDIRECT("1:"&amp;LEN(G18)-7)),8))),1),8),"")</f>
        <v/>
      </c>
      <c r="V18" t="inlineStr">
        <is>
          <t>2025-09-30 20:00:00</t>
        </is>
      </c>
    </row>
    <row r="19" ht="30" customFormat="1" customHeight="1" s="45">
      <c r="A19" s="112" t="n"/>
      <c r="B19" s="112">
        <f>IF(OR(A19="x",A19="X"),"",IF(ISBLANK(A19),"X",""))</f>
        <v/>
      </c>
      <c r="C19" s="112">
        <f>IF(OR(Tabella1[[#This Row],[LUN]]="X",Tabella1[[#This Row],[MAR]]="X",Tabella1[[#This Row],[MER]]="X",Tabella1[[#This Row],[GIO]]="X",Tabella1[[#This Row],[VEN]]="X",),"X","")</f>
        <v/>
      </c>
      <c r="D19" s="113" t="inlineStr">
        <is>
          <t>AREA 2</t>
        </is>
      </c>
      <c r="E19" s="109" t="inlineStr">
        <is>
          <t>534565/C</t>
        </is>
      </c>
      <c r="F19" s="109" t="n">
        <v>600</v>
      </c>
      <c r="G19" s="109" t="inlineStr">
        <is>
          <t>600 - 600F152R(L.S. DA LIMITE BATTERIA)CONTROLLO E RIPRISTINO FUNZIONALITA PORTATA</t>
        </is>
      </c>
      <c r="H19" s="111" t="n"/>
      <c r="I19" s="111" t="n"/>
      <c r="J19" s="111" t="n"/>
      <c r="K19" s="111" t="n"/>
      <c r="L19" s="111" t="n"/>
      <c r="M19" s="110" t="inlineStr">
        <is>
          <t>DA CHIUDERE</t>
        </is>
      </c>
      <c r="N19" s="110" t="n"/>
      <c r="O19" s="168" t="n"/>
      <c r="P19" s="110" t="n"/>
      <c r="Q19" s="109" t="inlineStr">
        <is>
          <t>ESEGUITA CORREZIONE DI ZERO CON RIPRISTINO DELLA FUNZIONALITA'</t>
        </is>
      </c>
      <c r="R19" s="110" t="n">
        <v>45779</v>
      </c>
      <c r="S19" s="110" t="inlineStr">
        <is>
          <t>SPINALI</t>
        </is>
      </c>
      <c r="T19" s="112">
        <f>IF(AND('Inserimento dati'!$B$3=$H$2, Tabella1[[#This Row],[LUN]]="X"), "X",IF(AND('Inserimento dati'!$B$3=$I$2, Tabella1[[#This Row],[MAR]]="X"), "X", IF(AND('Inserimento dati'!$B$3=$J$2, Tabella1[[#This Row],[MER]]="X"), "X",IF(AND('Inserimento dati'!$B$3=$K$2, Tabella1[[#This Row],[GIO]]="X"), "X", IF(AND('Inserimento dati'!$B$3=$L$2, Tabella1[[#This Row],[VEN]]="X"), "X","")))))</f>
        <v/>
      </c>
      <c r="U19" s="132">
        <f>IFERROR(MID(G19,_xlfn.AGGREGATE(15,6,(ROW(INDIRECT("1:"&amp;LEN(G19)-7)))/(ISNUMBER(--MID(G19,ROW(INDIRECT("1:"&amp;LEN(G19)-7)),8))),1),8),"")</f>
        <v/>
      </c>
      <c r="V19" t="inlineStr">
        <is>
          <t>2025-09-30 20:00:00</t>
        </is>
      </c>
    </row>
    <row r="20" ht="30" customFormat="1" customHeight="1" s="45">
      <c r="A20" s="112" t="n"/>
      <c r="B20" s="112">
        <f>IF(OR(A20="x",A20="X"),"",IF(ISBLANK(A20),"X",""))</f>
        <v/>
      </c>
      <c r="C20" s="112">
        <f>IF(OR(Tabella1[[#This Row],[LUN]]="X",Tabella1[[#This Row],[MAR]]="X",Tabella1[[#This Row],[MER]]="X",Tabella1[[#This Row],[GIO]]="X",Tabella1[[#This Row],[VEN]]="X",),"X","")</f>
        <v/>
      </c>
      <c r="D20" s="113" t="inlineStr">
        <is>
          <t>AREA 2</t>
        </is>
      </c>
      <c r="E20" s="109" t="inlineStr">
        <is>
          <t>533989/C</t>
        </is>
      </c>
      <c r="F20" s="109" t="n">
        <v>1000</v>
      </c>
      <c r="G20" s="109" t="inlineStr">
        <is>
          <t>1000 - L114CV SMONTAGGIO/MONTAGGIO VALVOLA PER REVISIONE (CONTROFLANGIARE AGGIUNGEDO DRIP RING)</t>
        </is>
      </c>
      <c r="H20" s="111" t="n"/>
      <c r="I20" s="111" t="n"/>
      <c r="J20" s="111" t="n"/>
      <c r="K20" s="111" t="n"/>
      <c r="L20" s="111" t="n"/>
      <c r="M20" s="110" t="inlineStr">
        <is>
          <t>DA CHIUDERE</t>
        </is>
      </c>
      <c r="N20" s="110" t="n"/>
      <c r="O20" s="168" t="n"/>
      <c r="P20" s="110" t="n"/>
      <c r="Q20" s="109" t="n"/>
      <c r="R20" s="110" t="n"/>
      <c r="S20" s="110" t="n"/>
      <c r="T20" s="112">
        <f>IF(AND('Inserimento dati'!$B$3=$H$2, Tabella1[[#This Row],[LUN]]="X"), "X",IF(AND('Inserimento dati'!$B$3=$I$2, Tabella1[[#This Row],[MAR]]="X"), "X", IF(AND('Inserimento dati'!$B$3=$J$2, Tabella1[[#This Row],[MER]]="X"), "X",IF(AND('Inserimento dati'!$B$3=$K$2, Tabella1[[#This Row],[GIO]]="X"), "X", IF(AND('Inserimento dati'!$B$3=$L$2, Tabella1[[#This Row],[VEN]]="X"), "X","")))))</f>
        <v/>
      </c>
      <c r="U20" s="132">
        <f>IFERROR(MID(G20,_xlfn.AGGREGATE(15,6,(ROW(INDIRECT("1:"&amp;LEN(G20)-7)))/(ISNUMBER(--MID(G20,ROW(INDIRECT("1:"&amp;LEN(G20)-7)),8))),1),8),"")</f>
        <v/>
      </c>
      <c r="V20" t="inlineStr">
        <is>
          <t>2025-09-30 20:00:00</t>
        </is>
      </c>
    </row>
    <row r="21" ht="23.25" customFormat="1" customHeight="1" s="45">
      <c r="A21" s="112" t="n"/>
      <c r="B21" s="112">
        <f>IF(OR(A21="x",A21="X"),"",IF(ISBLANK(A21),"X",""))</f>
        <v/>
      </c>
      <c r="C21" s="112">
        <f>IF(OR(Tabella1[[#This Row],[LUN]]="X",Tabella1[[#This Row],[MAR]]="X",Tabella1[[#This Row],[MER]]="X",Tabella1[[#This Row],[GIO]]="X",Tabella1[[#This Row],[VEN]]="X",),"X","")</f>
        <v/>
      </c>
      <c r="D21" s="113" t="inlineStr">
        <is>
          <t>AREA 2</t>
        </is>
      </c>
      <c r="E21" s="109" t="inlineStr">
        <is>
          <t>535631/C</t>
        </is>
      </c>
      <c r="F21" s="109" t="n">
        <v>500</v>
      </c>
      <c r="G21" s="109" t="inlineStr">
        <is>
          <t>500 - F003RC CONTROLLO E RIPRISTINO FUNZIONALITA E MISURA</t>
        </is>
      </c>
      <c r="H21" s="111" t="n"/>
      <c r="I21" s="111" t="n"/>
      <c r="J21" s="111" t="n"/>
      <c r="K21" s="111" t="n"/>
      <c r="L21" s="111" t="n"/>
      <c r="M21" s="110" t="inlineStr">
        <is>
          <t>DA CHIUDERE</t>
        </is>
      </c>
      <c r="N21" s="110" t="n"/>
      <c r="O21" s="168" t="n"/>
      <c r="P21" s="110" t="n"/>
      <c r="Q21" s="109" t="inlineStr">
        <is>
          <t>CORRETTO DI ZERO</t>
        </is>
      </c>
      <c r="R21" s="110" t="n">
        <v>45785</v>
      </c>
      <c r="S21" s="110" t="inlineStr">
        <is>
          <t>SPINALI</t>
        </is>
      </c>
      <c r="T21" s="115">
        <f>IF(AND('Inserimento dati'!$B$3=$H$2, Tabella1[[#This Row],[LUN]]="X"), "X",IF(AND('Inserimento dati'!$B$3=$I$2, Tabella1[[#This Row],[MAR]]="X"), "X", IF(AND('Inserimento dati'!$B$3=$J$2, Tabella1[[#This Row],[MER]]="X"), "X",IF(AND('Inserimento dati'!$B$3=$K$2, Tabella1[[#This Row],[GIO]]="X"), "X", IF(AND('Inserimento dati'!$B$3=$L$2, Tabella1[[#This Row],[VEN]]="X"), "X","")))))</f>
        <v/>
      </c>
      <c r="U21" s="132">
        <f>IFERROR(MID(G21,_xlfn.AGGREGATE(15,6,(ROW(INDIRECT("1:"&amp;LEN(G21)-7)))/(ISNUMBER(--MID(G21,ROW(INDIRECT("1:"&amp;LEN(G21)-7)),8))),1),8),"")</f>
        <v/>
      </c>
      <c r="V21" t="inlineStr">
        <is>
          <t>2025-09-30 20:00:00</t>
        </is>
      </c>
    </row>
    <row r="22" ht="30" customFormat="1" customHeight="1" s="45">
      <c r="A22" s="112" t="n"/>
      <c r="B22" s="112">
        <f>IF(OR(A22="x",A22="X"),"",IF(ISBLANK(A22),"X",""))</f>
        <v/>
      </c>
      <c r="C22" s="112">
        <f>IF(OR(Tabella1[[#This Row],[LUN]]="X",Tabella1[[#This Row],[MAR]]="X",Tabella1[[#This Row],[MER]]="X",Tabella1[[#This Row],[GIO]]="X",Tabella1[[#This Row],[VEN]]="X",),"X","")</f>
        <v/>
      </c>
      <c r="D22" s="113" t="inlineStr">
        <is>
          <t>AREA 2</t>
        </is>
      </c>
      <c r="E22" s="109" t="inlineStr">
        <is>
          <t>534421/C</t>
        </is>
      </c>
      <c r="F22" s="109" t="n">
        <v>600</v>
      </c>
      <c r="G22" s="109" t="inlineStr">
        <is>
          <t>600 - P020BCV(OLIO DI FLUSSAGGIO) CONTROLLO VALVOLA ED EVENTUALE LOOP LOCALE DI REGOLAZIONE 06P020IC</t>
        </is>
      </c>
      <c r="H22" s="111" t="n"/>
      <c r="I22" s="111" t="n"/>
      <c r="J22" s="111" t="n"/>
      <c r="K22" s="111" t="n"/>
      <c r="L22" s="111" t="n"/>
      <c r="M22" s="110" t="inlineStr">
        <is>
          <t>DA CHIUDERE</t>
        </is>
      </c>
      <c r="N22" s="110" t="n"/>
      <c r="O22" s="168" t="n"/>
      <c r="P22" s="110" t="n"/>
      <c r="Q22" s="109" t="inlineStr">
        <is>
          <t>TROVATA VALVOLA MONTATA AL CONTRARIO. SISTEMATA, ALLINEATA OK</t>
        </is>
      </c>
      <c r="R22" s="110" t="n">
        <v>45775</v>
      </c>
      <c r="S22" s="110" t="inlineStr">
        <is>
          <t>CIANCHINO/SAGGIO</t>
        </is>
      </c>
      <c r="T22" s="112">
        <f>IF(AND('Inserimento dati'!$B$3=$H$2, Tabella1[[#This Row],[LUN]]="X"), "X",IF(AND('Inserimento dati'!$B$3=$I$2, Tabella1[[#This Row],[MAR]]="X"), "X", IF(AND('Inserimento dati'!$B$3=$J$2, Tabella1[[#This Row],[MER]]="X"), "X",IF(AND('Inserimento dati'!$B$3=$K$2, Tabella1[[#This Row],[GIO]]="X"), "X", IF(AND('Inserimento dati'!$B$3=$L$2, Tabella1[[#This Row],[VEN]]="X"), "X","")))))</f>
        <v/>
      </c>
      <c r="U22" s="132">
        <f>IFERROR(MID(G22,_xlfn.AGGREGATE(15,6,(ROW(INDIRECT("1:"&amp;LEN(G22)-7)))/(ISNUMBER(--MID(G22,ROW(INDIRECT("1:"&amp;LEN(G22)-7)),8))),1),8),"")</f>
        <v/>
      </c>
      <c r="V22" t="inlineStr">
        <is>
          <t>2025-09-30 20:00:00</t>
        </is>
      </c>
    </row>
    <row r="23" ht="30" customFormat="1" customHeight="1" s="45">
      <c r="A23" s="112" t="n"/>
      <c r="B23" s="112">
        <f>IF(OR(A23="x",A23="X"),"",IF(ISBLANK(A23),"X",""))</f>
        <v/>
      </c>
      <c r="C23" s="112">
        <f>IF(OR(Tabella1[[#This Row],[LUN]]="X",Tabella1[[#This Row],[MAR]]="X",Tabella1[[#This Row],[MER]]="X",Tabella1[[#This Row],[GIO]]="X",Tabella1[[#This Row],[VEN]]="X",),"X","")</f>
        <v/>
      </c>
      <c r="D23" s="113" t="inlineStr">
        <is>
          <t>AREA 2</t>
        </is>
      </c>
      <c r="E23" s="109" t="inlineStr">
        <is>
          <t>533766/C</t>
        </is>
      </c>
      <c r="F23" s="109" t="n">
        <v>500</v>
      </c>
      <c r="G23" s="109" t="inlineStr">
        <is>
          <t>500 - P027RC  05P028HA FUEL GAS PILOTA F101/4 CONTROLLO DI TARATURA TRASMETTITORE DI PRESSIONE E PRESSOSTATO DI ALTA PRESSIONE</t>
        </is>
      </c>
      <c r="H23" s="111" t="n"/>
      <c r="I23" s="111" t="n"/>
      <c r="J23" s="111" t="n"/>
      <c r="K23" s="111" t="n"/>
      <c r="L23" s="111" t="n"/>
      <c r="M23" s="110" t="inlineStr">
        <is>
          <t>DA CHIUDERE</t>
        </is>
      </c>
      <c r="N23" s="110" t="n"/>
      <c r="O23" s="168" t="n"/>
      <c r="P23" s="110" t="n"/>
      <c r="Q23" s="109" t="n"/>
      <c r="R23" s="110" t="n"/>
      <c r="S23" s="110" t="n"/>
      <c r="T23" s="112">
        <f>IF(AND('Inserimento dati'!$B$3=$H$2, Tabella1[[#This Row],[LUN]]="X"), "X",IF(AND('Inserimento dati'!$B$3=$I$2, Tabella1[[#This Row],[MAR]]="X"), "X", IF(AND('Inserimento dati'!$B$3=$J$2, Tabella1[[#This Row],[MER]]="X"), "X",IF(AND('Inserimento dati'!$B$3=$K$2, Tabella1[[#This Row],[GIO]]="X"), "X", IF(AND('Inserimento dati'!$B$3=$L$2, Tabella1[[#This Row],[VEN]]="X"), "X","")))))</f>
        <v/>
      </c>
      <c r="U23" s="132">
        <f>IFERROR(MID(G23,_xlfn.AGGREGATE(15,6,(ROW(INDIRECT("1:"&amp;LEN(G23)-7)))/(ISNUMBER(--MID(G23,ROW(INDIRECT("1:"&amp;LEN(G23)-7)),8))),1),8),"")</f>
        <v/>
      </c>
      <c r="V23" t="inlineStr">
        <is>
          <t>2025-09-30 20:00:00</t>
        </is>
      </c>
    </row>
    <row r="24" ht="45" customFormat="1" customHeight="1" s="45">
      <c r="A24" s="112" t="n"/>
      <c r="B24" s="112">
        <f>IF(OR(A24="x",A24="X"),"",IF(ISBLANK(A24),"X",""))</f>
        <v/>
      </c>
      <c r="C24" s="112">
        <f>IF(OR(Tabella1[[#This Row],[LUN]]="X",Tabella1[[#This Row],[MAR]]="X",Tabella1[[#This Row],[MER]]="X",Tabella1[[#This Row],[GIO]]="X",Tabella1[[#This Row],[VEN]]="X",),"X","")</f>
        <v/>
      </c>
      <c r="D24" s="113" t="inlineStr">
        <is>
          <t>AREA 2</t>
        </is>
      </c>
      <c r="E24" s="109" t="inlineStr">
        <is>
          <t>533704/C</t>
        </is>
      </c>
      <c r="F24" s="109" t="n">
        <v>500</v>
      </c>
      <c r="G24" s="109" t="inlineStr">
        <is>
          <t>500 - colonna T103 sostituzione colonna- Sistemazione cavi e passerelle/conduit strumentali propedeutiche per attivita' meccaniche; i segnali al momento non devono essere scollegati, la colonna resta in marcia.</t>
        </is>
      </c>
      <c r="H24" s="111" t="n"/>
      <c r="I24" s="111" t="n"/>
      <c r="J24" s="111" t="n"/>
      <c r="K24" s="111" t="n"/>
      <c r="L24" s="111" t="n"/>
      <c r="M24" s="110" t="inlineStr">
        <is>
          <t>DA CHIUDERE</t>
        </is>
      </c>
      <c r="N24" s="110" t="n"/>
      <c r="O24" s="168" t="n"/>
      <c r="P24" s="110" t="n"/>
      <c r="Q24" s="109" t="n"/>
      <c r="R24" s="110" t="n"/>
      <c r="S24" s="110" t="n"/>
      <c r="T24" s="112">
        <f>IF(AND('Inserimento dati'!$B$3=$H$2, Tabella1[[#This Row],[LUN]]="X"), "X",IF(AND('Inserimento dati'!$B$3=$I$2, Tabella1[[#This Row],[MAR]]="X"), "X", IF(AND('Inserimento dati'!$B$3=$J$2, Tabella1[[#This Row],[MER]]="X"), "X",IF(AND('Inserimento dati'!$B$3=$K$2, Tabella1[[#This Row],[GIO]]="X"), "X", IF(AND('Inserimento dati'!$B$3=$L$2, Tabella1[[#This Row],[VEN]]="X"), "X","")))))</f>
        <v/>
      </c>
      <c r="U24" s="132">
        <f>IFERROR(MID(G24,_xlfn.AGGREGATE(15,6,(ROW(INDIRECT("1:"&amp;LEN(G24)-7)))/(ISNUMBER(--MID(G24,ROW(INDIRECT("1:"&amp;LEN(G24)-7)),8))),1),8),"")</f>
        <v/>
      </c>
      <c r="V24" t="inlineStr">
        <is>
          <t>2025-09-30 20:00:00</t>
        </is>
      </c>
    </row>
    <row r="25" ht="30" customFormat="1" customHeight="1" s="45">
      <c r="A25" s="112" t="n"/>
      <c r="B25" s="112">
        <f>IF(OR(A25="x",A25="X"),"",IF(ISBLANK(A25),"X",""))</f>
        <v/>
      </c>
      <c r="C25" s="112">
        <f>IF(OR(Tabella1[[#This Row],[LUN]]="X",Tabella1[[#This Row],[MAR]]="X",Tabella1[[#This Row],[MER]]="X",Tabella1[[#This Row],[GIO]]="X",Tabella1[[#This Row],[VEN]]="X",),"X","")</f>
        <v/>
      </c>
      <c r="D25" s="113" t="inlineStr">
        <is>
          <t>AREA 2</t>
        </is>
      </c>
      <c r="E25" s="109" t="inlineStr">
        <is>
          <t>526264/C</t>
        </is>
      </c>
      <c r="F25" s="109" t="n">
        <v>1000</v>
      </c>
      <c r="G25" s="109" t="inlineStr">
        <is>
          <t>1000 - L102B (D105) RIPRISTINO FUNZIONALITA LIVELLO CON EVENTUALE SPOSTAMENTO MEMBRANE SU ALTRE PRESE DI RADICE INDICATE DA ESERCIZIO</t>
        </is>
      </c>
      <c r="H25" s="111" t="n"/>
      <c r="I25" s="111" t="n"/>
      <c r="J25" s="111" t="n"/>
      <c r="K25" s="111" t="n"/>
      <c r="L25" s="111" t="n"/>
      <c r="M25" s="110" t="inlineStr">
        <is>
          <t>DA CHIUDERE</t>
        </is>
      </c>
      <c r="N25" s="110" t="n"/>
      <c r="O25" s="168" t="n"/>
      <c r="P25" s="110" t="n"/>
      <c r="Q25" s="109" t="inlineStr">
        <is>
          <t>LIVELLO TARATO E CONSEGNATO A D ESE</t>
        </is>
      </c>
      <c r="R25" s="110" t="n">
        <v>45707</v>
      </c>
      <c r="S25" s="110" t="inlineStr">
        <is>
          <t>MILLO/ALLEGRETTI</t>
        </is>
      </c>
      <c r="T25" s="112">
        <f>IF(AND('Inserimento dati'!$B$3=$H$2, Tabella1[[#This Row],[LUN]]="X"), "X",IF(AND('Inserimento dati'!$B$3=$I$2, Tabella1[[#This Row],[MAR]]="X"), "X", IF(AND('Inserimento dati'!$B$3=$J$2, Tabella1[[#This Row],[MER]]="X"), "X",IF(AND('Inserimento dati'!$B$3=$K$2, Tabella1[[#This Row],[GIO]]="X"), "X", IF(AND('Inserimento dati'!$B$3=$L$2, Tabella1[[#This Row],[VEN]]="X"), "X","")))))</f>
        <v/>
      </c>
      <c r="U25" s="132">
        <f>IFERROR(MID(G25,_xlfn.AGGREGATE(15,6,(ROW(INDIRECT("1:"&amp;LEN(G25)-7)))/(ISNUMBER(--MID(G25,ROW(INDIRECT("1:"&amp;LEN(G25)-7)),8))),1),8),"")</f>
        <v/>
      </c>
      <c r="V25" t="inlineStr">
        <is>
          <t>2025-09-30 20:00:00</t>
        </is>
      </c>
    </row>
    <row r="26" ht="30" customFormat="1" customHeight="1" s="45">
      <c r="A26" s="112" t="n"/>
      <c r="B26" s="112">
        <f>IF(OR(A26="x",A26="X"),"",IF(ISBLANK(A26),"X",""))</f>
        <v/>
      </c>
      <c r="C26" s="112">
        <f>IF(OR(Tabella1[[#This Row],[LUN]]="X",Tabella1[[#This Row],[MAR]]="X",Tabella1[[#This Row],[MER]]="X",Tabella1[[#This Row],[GIO]]="X",Tabella1[[#This Row],[VEN]]="X",),"X","")</f>
        <v/>
      </c>
      <c r="D26" s="113" t="inlineStr">
        <is>
          <t>AREA 2</t>
        </is>
      </c>
      <c r="E26" s="109" t="inlineStr">
        <is>
          <t>525584/C</t>
        </is>
      </c>
      <c r="F26" s="109" t="n">
        <v>500</v>
      </c>
      <c r="G26" s="109" t="inlineStr">
        <is>
          <t>500 - F095R(FUELL GAS A F302)CONTROLLO E RIPRISTINO MISURA PORTATA</t>
        </is>
      </c>
      <c r="H26" s="111" t="n"/>
      <c r="I26" s="111" t="n"/>
      <c r="J26" s="111" t="n"/>
      <c r="K26" s="111" t="n"/>
      <c r="L26" s="111" t="n"/>
      <c r="M26" s="110" t="inlineStr">
        <is>
          <t>DA CHIUDERE</t>
        </is>
      </c>
      <c r="N26" s="110" t="n"/>
      <c r="O26" s="168" t="inlineStr">
        <is>
          <t>X</t>
        </is>
      </c>
      <c r="P26" s="110" t="inlineStr">
        <is>
          <t>X</t>
        </is>
      </c>
      <c r="Q26" s="109" t="inlineStr">
        <is>
          <t>STASATA RADICE CON PONTEROSSO STRUMENTO IN SERVIZIO</t>
        </is>
      </c>
      <c r="R26" s="110" t="n">
        <v>45700</v>
      </c>
      <c r="S26" s="110" t="inlineStr">
        <is>
          <t>MILLO/ALLEGRETTI</t>
        </is>
      </c>
      <c r="T26" s="112">
        <f>IF(AND('Inserimento dati'!$B$3=$H$2, Tabella1[[#This Row],[LUN]]="X"), "X",IF(AND('Inserimento dati'!$B$3=$I$2, Tabella1[[#This Row],[MAR]]="X"), "X", IF(AND('Inserimento dati'!$B$3=$J$2, Tabella1[[#This Row],[MER]]="X"), "X",IF(AND('Inserimento dati'!$B$3=$K$2, Tabella1[[#This Row],[GIO]]="X"), "X", IF(AND('Inserimento dati'!$B$3=$L$2, Tabella1[[#This Row],[VEN]]="X"), "X","")))))</f>
        <v/>
      </c>
      <c r="U26" s="132">
        <f>IFERROR(MID(G26,_xlfn.AGGREGATE(15,6,(ROW(INDIRECT("1:"&amp;LEN(G26)-7)))/(ISNUMBER(--MID(G26,ROW(INDIRECT("1:"&amp;LEN(G26)-7)),8))),1),8),"")</f>
        <v/>
      </c>
      <c r="V26" t="inlineStr">
        <is>
          <t>2025-09-30 20:00:00</t>
        </is>
      </c>
    </row>
    <row r="27" ht="30" customFormat="1" customHeight="1" s="45">
      <c r="A27" s="112" t="n"/>
      <c r="B27" s="112">
        <f>IF(OR(A27="x",A27="X"),"",IF(ISBLANK(A27),"X",""))</f>
        <v/>
      </c>
      <c r="C27" s="112">
        <f>IF(OR(Tabella1[[#This Row],[LUN]]="X",Tabella1[[#This Row],[MAR]]="X",Tabella1[[#This Row],[MER]]="X",Tabella1[[#This Row],[GIO]]="X",Tabella1[[#This Row],[VEN]]="X",),"X","")</f>
        <v/>
      </c>
      <c r="D27" s="113" t="inlineStr">
        <is>
          <t>AREA 2</t>
        </is>
      </c>
      <c r="E27" s="109" t="inlineStr">
        <is>
          <t>533186/C</t>
        </is>
      </c>
      <c r="F27" s="109" t="n">
        <v>500</v>
      </c>
      <c r="G27" s="109" t="inlineStr">
        <is>
          <t>500 - 500F268RC (GPL A IMPIANTO 900) CONTROLLO E RIPRISTINO FUNZIONALITA CON TARATURA STRUMENTO DI PORTATA</t>
        </is>
      </c>
      <c r="H27" s="111" t="n"/>
      <c r="I27" s="111" t="n"/>
      <c r="J27" s="111" t="n"/>
      <c r="K27" s="111" t="n"/>
      <c r="L27" s="111" t="n"/>
      <c r="M27" s="110" t="inlineStr">
        <is>
          <t>DA CHIUDERE</t>
        </is>
      </c>
      <c r="N27" s="110" t="n"/>
      <c r="O27" s="168" t="n"/>
      <c r="P27" s="110" t="n"/>
      <c r="Q27" s="109" t="n"/>
      <c r="R27" s="110" t="n">
        <v>45763</v>
      </c>
      <c r="S27" s="110" t="inlineStr">
        <is>
          <t>TARASCIO</t>
        </is>
      </c>
      <c r="T27" s="112">
        <f>IF(AND('Inserimento dati'!$B$3=$H$2, Tabella1[[#This Row],[LUN]]="X"), "X",IF(AND('Inserimento dati'!$B$3=$I$2, Tabella1[[#This Row],[MAR]]="X"), "X", IF(AND('Inserimento dati'!$B$3=$J$2, Tabella1[[#This Row],[MER]]="X"), "X",IF(AND('Inserimento dati'!$B$3=$K$2, Tabella1[[#This Row],[GIO]]="X"), "X", IF(AND('Inserimento dati'!$B$3=$L$2, Tabella1[[#This Row],[VEN]]="X"), "X","")))))</f>
        <v/>
      </c>
      <c r="U27" s="132">
        <f>IFERROR(MID(G27,_xlfn.AGGREGATE(15,6,(ROW(INDIRECT("1:"&amp;LEN(G27)-7)))/(ISNUMBER(--MID(G27,ROW(INDIRECT("1:"&amp;LEN(G27)-7)),8))),1),8),"")</f>
        <v/>
      </c>
      <c r="V27" t="inlineStr">
        <is>
          <t>2025-09-30 20:00:00</t>
        </is>
      </c>
    </row>
    <row r="28" ht="23.25" customFormat="1" customHeight="1" s="45">
      <c r="A28" s="112" t="n"/>
      <c r="B28" s="112">
        <f>IF(OR(A28="x",A28="X"),"",IF(ISBLANK(A28),"X",""))</f>
        <v/>
      </c>
      <c r="C28" s="112">
        <f>IF(OR(Tabella1[[#This Row],[LUN]]="X",Tabella1[[#This Row],[MAR]]="X",Tabella1[[#This Row],[MER]]="X",Tabella1[[#This Row],[GIO]]="X",Tabella1[[#This Row],[VEN]]="X",),"X","")</f>
        <v/>
      </c>
      <c r="D28" s="113" t="inlineStr">
        <is>
          <t>AREA 2</t>
        </is>
      </c>
      <c r="E28" s="109" t="inlineStr">
        <is>
          <t>533160/C</t>
        </is>
      </c>
      <c r="F28" s="109" t="n">
        <v>500</v>
      </c>
      <c r="G28" s="109" t="inlineStr">
        <is>
          <t>500 - F030RC (RIFLUSSO T104) CONTROLLO E TARATURA STRUMENTO DI PORTATA</t>
        </is>
      </c>
      <c r="H28" s="111" t="n"/>
      <c r="I28" s="111" t="n"/>
      <c r="J28" s="111" t="n"/>
      <c r="K28" s="111" t="n"/>
      <c r="L28" s="111" t="n"/>
      <c r="M28" s="110" t="inlineStr">
        <is>
          <t>DA CHIUDERE</t>
        </is>
      </c>
      <c r="N28" s="110" t="n"/>
      <c r="O28" s="168" t="n"/>
      <c r="P28" s="110" t="n"/>
      <c r="Q28" s="109" t="n"/>
      <c r="R28" s="110" t="n">
        <v>45763</v>
      </c>
      <c r="S28" s="110" t="inlineStr">
        <is>
          <t>TARASCIO</t>
        </is>
      </c>
      <c r="T28" s="112">
        <f>IF(AND('Inserimento dati'!$B$3=$H$2, Tabella1[[#This Row],[LUN]]="X"), "X",IF(AND('Inserimento dati'!$B$3=$I$2, Tabella1[[#This Row],[MAR]]="X"), "X", IF(AND('Inserimento dati'!$B$3=$J$2, Tabella1[[#This Row],[MER]]="X"), "X",IF(AND('Inserimento dati'!$B$3=$K$2, Tabella1[[#This Row],[GIO]]="X"), "X", IF(AND('Inserimento dati'!$B$3=$L$2, Tabella1[[#This Row],[VEN]]="X"), "X","")))))</f>
        <v/>
      </c>
      <c r="U28" s="132">
        <f>IFERROR(MID(G28,_xlfn.AGGREGATE(15,6,(ROW(INDIRECT("1:"&amp;LEN(G28)-7)))/(ISNUMBER(--MID(G28,ROW(INDIRECT("1:"&amp;LEN(G28)-7)),8))),1),8),"")</f>
        <v/>
      </c>
      <c r="V28" t="inlineStr">
        <is>
          <t>2025-09-30 20:00:00</t>
        </is>
      </c>
    </row>
    <row r="29" ht="23.25" customFormat="1" customHeight="1" s="45">
      <c r="A29" s="112" t="n"/>
      <c r="B29" s="112">
        <f>IF(OR(A29="x",A29="X"),"",IF(ISBLANK(A29),"X",""))</f>
        <v/>
      </c>
      <c r="C29" s="112">
        <f>IF(OR(Tabella1[[#This Row],[LUN]]="X",Tabella1[[#This Row],[MAR]]="X",Tabella1[[#This Row],[MER]]="X",Tabella1[[#This Row],[GIO]]="X",Tabella1[[#This Row],[VEN]]="X",),"X","")</f>
        <v/>
      </c>
      <c r="D29" s="113" t="inlineStr">
        <is>
          <t>AREA 2</t>
        </is>
      </c>
      <c r="E29" s="109" t="inlineStr">
        <is>
          <t>528568/C</t>
        </is>
      </c>
      <c r="F29" s="109" t="n">
        <v>600</v>
      </c>
      <c r="G29" s="109" t="inlineStr">
        <is>
          <t>600 - L005RC (D103) CONTROLLO E RIPRISTINO LIVELLO</t>
        </is>
      </c>
      <c r="H29" s="111" t="n"/>
      <c r="I29" s="111" t="n"/>
      <c r="J29" s="111" t="n"/>
      <c r="K29" s="111" t="n"/>
      <c r="L29" s="111" t="n"/>
      <c r="M29" s="110" t="inlineStr">
        <is>
          <t>DA CHIUDERE</t>
        </is>
      </c>
      <c r="N29" s="110" t="n"/>
      <c r="O29" s="168" t="n"/>
      <c r="P29" s="110" t="n"/>
      <c r="Q29" s="109" t="n"/>
      <c r="R29" s="110" t="n"/>
      <c r="S29" s="110" t="inlineStr">
        <is>
          <t>SPINALI/SERRA</t>
        </is>
      </c>
      <c r="T29" s="112">
        <f>IF(AND('Inserimento dati'!$B$3=$H$2, Tabella1[[#This Row],[LUN]]="X"), "X",IF(AND('Inserimento dati'!$B$3=$I$2, Tabella1[[#This Row],[MAR]]="X"), "X", IF(AND('Inserimento dati'!$B$3=$J$2, Tabella1[[#This Row],[MER]]="X"), "X",IF(AND('Inserimento dati'!$B$3=$K$2, Tabella1[[#This Row],[GIO]]="X"), "X", IF(AND('Inserimento dati'!$B$3=$L$2, Tabella1[[#This Row],[VEN]]="X"), "X","")))))</f>
        <v/>
      </c>
      <c r="U29" s="132">
        <f>IFERROR(MID(G29,_xlfn.AGGREGATE(15,6,(ROW(INDIRECT("1:"&amp;LEN(G29)-7)))/(ISNUMBER(--MID(G29,ROW(INDIRECT("1:"&amp;LEN(G29)-7)),8))),1),8),"")</f>
        <v/>
      </c>
      <c r="V29" t="inlineStr">
        <is>
          <t>2025-09-30 20:00:00</t>
        </is>
      </c>
    </row>
    <row r="30" ht="30" customFormat="1" customHeight="1" s="45">
      <c r="A30" s="112" t="n"/>
      <c r="B30" s="112">
        <f>IF(OR(A30="x",A30="X"),"",IF(ISBLANK(A30),"X",""))</f>
        <v/>
      </c>
      <c r="C30" s="112">
        <f>IF(OR(Tabella1[[#This Row],[LUN]]="X",Tabella1[[#This Row],[MAR]]="X",Tabella1[[#This Row],[MER]]="X",Tabella1[[#This Row],[GIO]]="X",Tabella1[[#This Row],[VEN]]="X",),"X","")</f>
        <v/>
      </c>
      <c r="D30" s="113" t="inlineStr">
        <is>
          <t>AREA 2</t>
        </is>
      </c>
      <c r="E30" s="109" t="inlineStr">
        <is>
          <t>533324/C</t>
        </is>
      </c>
      <c r="F30" s="109" t="n">
        <v>1000</v>
      </c>
      <c r="G30" s="109" t="inlineStr">
        <is>
          <t>1000 - L116RC (D112 ACCUMULATORE TESTA T102) CONTROLLO LOOP DI REGOLAZIONE  INIZIANDO DAL TRASMETTITORE DI LIVELLO</t>
        </is>
      </c>
      <c r="H30" s="111" t="n"/>
      <c r="I30" s="111" t="n"/>
      <c r="J30" s="111" t="n"/>
      <c r="K30" s="111" t="n"/>
      <c r="L30" s="111" t="n"/>
      <c r="M30" s="110" t="inlineStr">
        <is>
          <t>DA CHIUDERE</t>
        </is>
      </c>
      <c r="N30" s="110" t="n"/>
      <c r="O30" s="168" t="n"/>
      <c r="P30" s="110" t="n"/>
      <c r="Q30" s="109" t="inlineStr">
        <is>
          <t>RIPRISTINATO BATTENTE SU BARILOTTO, ELIMINATO INDICATORE LOCALE COLLEGATO IN PARALLELO SULL'ALIMENTAZIONE.</t>
        </is>
      </c>
      <c r="R30" s="110" t="n">
        <v>45762</v>
      </c>
      <c r="S30" s="110" t="inlineStr">
        <is>
          <t>MILLO/NOCERA</t>
        </is>
      </c>
      <c r="T30" s="112">
        <f>IF(AND('Inserimento dati'!$B$3=$H$2, Tabella1[[#This Row],[LUN]]="X"), "X",IF(AND('Inserimento dati'!$B$3=$I$2, Tabella1[[#This Row],[MAR]]="X"), "X", IF(AND('Inserimento dati'!$B$3=$J$2, Tabella1[[#This Row],[MER]]="X"), "X",IF(AND('Inserimento dati'!$B$3=$K$2, Tabella1[[#This Row],[GIO]]="X"), "X", IF(AND('Inserimento dati'!$B$3=$L$2, Tabella1[[#This Row],[VEN]]="X"), "X","")))))</f>
        <v/>
      </c>
      <c r="U30" s="132">
        <f>IFERROR(MID(G30,_xlfn.AGGREGATE(15,6,(ROW(INDIRECT("1:"&amp;LEN(G30)-7)))/(ISNUMBER(--MID(G30,ROW(INDIRECT("1:"&amp;LEN(G30)-7)),8))),1),8),"")</f>
        <v/>
      </c>
      <c r="V30" t="inlineStr">
        <is>
          <t>2025-09-30 20:00:00</t>
        </is>
      </c>
    </row>
    <row r="31" ht="23.25" customFormat="1" customHeight="1" s="45">
      <c r="A31" s="112" t="n"/>
      <c r="B31" s="112">
        <f>IF(OR(A31="x",A31="X"),"",IF(ISBLANK(A31),"X",""))</f>
        <v/>
      </c>
      <c r="C31" s="112">
        <f>IF(OR(Tabella1[[#This Row],[LUN]]="X",Tabella1[[#This Row],[MAR]]="X",Tabella1[[#This Row],[MER]]="X",Tabella1[[#This Row],[GIO]]="X",Tabella1[[#This Row],[VEN]]="X",),"X","")</f>
        <v/>
      </c>
      <c r="D31" s="113" t="inlineStr">
        <is>
          <t>AREA 2</t>
        </is>
      </c>
      <c r="E31" s="109" t="inlineStr">
        <is>
          <t>533024/C</t>
        </is>
      </c>
      <c r="F31" s="109" t="inlineStr">
        <is>
          <t>1600A</t>
        </is>
      </c>
      <c r="G31" s="109" t="inlineStr">
        <is>
          <t>1600A - TCT592HA TAR DA E518 CONTROLLO E RIPRISTINO FUNZIONALITA TEMPERATURA</t>
        </is>
      </c>
      <c r="H31" s="111" t="n"/>
      <c r="I31" s="111" t="n"/>
      <c r="J31" s="111" t="n"/>
      <c r="K31" s="111" t="n"/>
      <c r="L31" s="111" t="n"/>
      <c r="M31" s="110" t="inlineStr">
        <is>
          <t>DA CHIUDERE</t>
        </is>
      </c>
      <c r="N31" s="110" t="n"/>
      <c r="O31" s="168" t="n"/>
      <c r="P31" s="110" t="n"/>
      <c r="Q31" s="109" t="n"/>
      <c r="R31" s="110" t="n"/>
      <c r="S31" s="110" t="n"/>
      <c r="T31" s="112">
        <f>IF(AND('Inserimento dati'!$B$3=$H$2, Tabella1[[#This Row],[LUN]]="X"), "X",IF(AND('Inserimento dati'!$B$3=$I$2, Tabella1[[#This Row],[MAR]]="X"), "X", IF(AND('Inserimento dati'!$B$3=$J$2, Tabella1[[#This Row],[MER]]="X"), "X",IF(AND('Inserimento dati'!$B$3=$K$2, Tabella1[[#This Row],[GIO]]="X"), "X", IF(AND('Inserimento dati'!$B$3=$L$2, Tabella1[[#This Row],[VEN]]="X"), "X","")))))</f>
        <v/>
      </c>
      <c r="U31" s="132">
        <f>IFERROR(MID(G31,_xlfn.AGGREGATE(15,6,(ROW(INDIRECT("1:"&amp;LEN(G31)-7)))/(ISNUMBER(--MID(G31,ROW(INDIRECT("1:"&amp;LEN(G31)-7)),8))),1),8),"")</f>
        <v/>
      </c>
      <c r="V31" t="inlineStr">
        <is>
          <t>2025-09-30 20:00:00</t>
        </is>
      </c>
    </row>
    <row r="32" ht="30" customFormat="1" customHeight="1" s="45">
      <c r="A32" s="112" t="n"/>
      <c r="B32" s="112">
        <f>IF(OR(A32="x",A32="X"),"",IF(ISBLANK(A32),"X",""))</f>
        <v/>
      </c>
      <c r="C32" s="112">
        <f>IF(OR(Tabella1[[#This Row],[LUN]]="X",Tabella1[[#This Row],[MAR]]="X",Tabella1[[#This Row],[MER]]="X",Tabella1[[#This Row],[GIO]]="X",Tabella1[[#This Row],[VEN]]="X",),"X","")</f>
        <v/>
      </c>
      <c r="D32" s="113" t="inlineStr">
        <is>
          <t>AREA 2</t>
        </is>
      </c>
      <c r="E32" s="109" t="inlineStr">
        <is>
          <t>531415/C</t>
        </is>
      </c>
      <c r="F32" s="109" t="n">
        <v>1000</v>
      </c>
      <c r="G32" s="109" t="inlineStr">
        <is>
          <t>1000 - L113RC(D110)CONTROLLO E RIPRISTINO  LIVELLO A CAUSA DI OSCILLAZIONI DELLA MISURA DOPO IL 50%</t>
        </is>
      </c>
      <c r="H32" s="111" t="n"/>
      <c r="I32" s="111" t="n"/>
      <c r="J32" s="111" t="n"/>
      <c r="K32" s="111" t="n"/>
      <c r="L32" s="111" t="n"/>
      <c r="M32" s="110" t="inlineStr">
        <is>
          <t>DA CHIUDERE</t>
        </is>
      </c>
      <c r="N32" s="110" t="n"/>
      <c r="O32" s="168" t="n"/>
      <c r="P32" s="110" t="n"/>
      <c r="Q32" s="109" t="n"/>
      <c r="R32" s="110" t="n"/>
      <c r="S32" s="110" t="n"/>
      <c r="T32" s="112">
        <f>IF(AND('Inserimento dati'!$B$3=$H$2, Tabella1[[#This Row],[LUN]]="X"), "X",IF(AND('Inserimento dati'!$B$3=$I$2, Tabella1[[#This Row],[MAR]]="X"), "X", IF(AND('Inserimento dati'!$B$3=$J$2, Tabella1[[#This Row],[MER]]="X"), "X",IF(AND('Inserimento dati'!$B$3=$K$2, Tabella1[[#This Row],[GIO]]="X"), "X", IF(AND('Inserimento dati'!$B$3=$L$2, Tabella1[[#This Row],[VEN]]="X"), "X","")))))</f>
        <v/>
      </c>
      <c r="U32" s="132">
        <f>IFERROR(MID(G32,_xlfn.AGGREGATE(15,6,(ROW(INDIRECT("1:"&amp;LEN(G32)-7)))/(ISNUMBER(--MID(G32,ROW(INDIRECT("1:"&amp;LEN(G32)-7)),8))),1),8),"")</f>
        <v/>
      </c>
      <c r="V32" t="inlineStr">
        <is>
          <t>2025-09-30 20:00:00</t>
        </is>
      </c>
    </row>
    <row r="33" ht="60" customFormat="1" customHeight="1" s="45">
      <c r="A33" s="112" t="n"/>
      <c r="B33" s="112">
        <f>IF(OR(A33="x",A33="X"),"",IF(ISBLANK(A33),"X",""))</f>
        <v/>
      </c>
      <c r="C33" s="112">
        <f>IF(OR(Tabella1[[#This Row],[LUN]]="X",Tabella1[[#This Row],[MAR]]="X",Tabella1[[#This Row],[MER]]="X",Tabella1[[#This Row],[GIO]]="X",Tabella1[[#This Row],[VEN]]="X",),"X","")</f>
        <v/>
      </c>
      <c r="D33" s="113" t="inlineStr">
        <is>
          <t>AREA 2</t>
        </is>
      </c>
      <c r="E33" s="109" t="inlineStr">
        <is>
          <t>531642/C</t>
        </is>
      </c>
      <c r="F33" s="109" t="n">
        <v>600</v>
      </c>
      <c r="G33" s="109" t="inlineStr">
        <is>
          <t>600 - F016CV( VAPORE SESTO  PASSO F101)CONTROLLO E RIPRISTINO FUNZIONALITA VALVOLA</t>
        </is>
      </c>
      <c r="H33" s="111" t="n"/>
      <c r="I33" s="111" t="n"/>
      <c r="J33" s="111" t="n"/>
      <c r="K33" s="111" t="n"/>
      <c r="L33" s="111" t="n"/>
      <c r="M33" s="110" t="inlineStr">
        <is>
          <t>DA CHIUDERE</t>
        </is>
      </c>
      <c r="N33" s="110" t="n"/>
      <c r="O33" s="168" t="n"/>
      <c r="P33" s="110" t="n"/>
      <c r="Q33" s="109" t="inlineStr">
        <is>
          <t>LA VALVOLA NON CHIUDEVA OLTRE IL 50%, LUBRIFICATA, NON VA OLTRE IL 15% VERSO LA CHIUSURA. PROVATA CON ARIA DI RETE, NESSUN MIGLIORAMENTO. SE SI VUOLE LA TOTALE CHIUSURA, DEVE ANDARE A REVISIONE.</t>
        </is>
      </c>
      <c r="R33" s="110" t="n">
        <v>45747</v>
      </c>
      <c r="S33" s="110" t="inlineStr">
        <is>
          <t>RICIPUTO</t>
        </is>
      </c>
      <c r="T33" s="112">
        <f>IF(AND('Inserimento dati'!$B$3=$H$2, Tabella1[[#This Row],[LUN]]="X"), "X",IF(AND('Inserimento dati'!$B$3=$I$2, Tabella1[[#This Row],[MAR]]="X"), "X", IF(AND('Inserimento dati'!$B$3=$J$2, Tabella1[[#This Row],[MER]]="X"), "X",IF(AND('Inserimento dati'!$B$3=$K$2, Tabella1[[#This Row],[GIO]]="X"), "X", IF(AND('Inserimento dati'!$B$3=$L$2, Tabella1[[#This Row],[VEN]]="X"), "X","")))))</f>
        <v/>
      </c>
      <c r="U33" s="132">
        <f>IFERROR(MID(G33,_xlfn.AGGREGATE(15,6,(ROW(INDIRECT("1:"&amp;LEN(G33)-7)))/(ISNUMBER(--MID(G33,ROW(INDIRECT("1:"&amp;LEN(G33)-7)),8))),1),8),"")</f>
        <v/>
      </c>
      <c r="V33" t="inlineStr">
        <is>
          <t>2025-09-30 20:00:00</t>
        </is>
      </c>
    </row>
    <row r="34" ht="23.25" customFormat="1" customHeight="1" s="45">
      <c r="A34" s="112" t="n"/>
      <c r="B34" s="112">
        <f>IF(OR(A34="x",A34="X"),"",IF(ISBLANK(A34),"X",""))</f>
        <v/>
      </c>
      <c r="C34" s="112">
        <f>IF(OR(Tabella1[[#This Row],[LUN]]="X",Tabella1[[#This Row],[MAR]]="X",Tabella1[[#This Row],[MER]]="X",Tabella1[[#This Row],[GIO]]="X",Tabella1[[#This Row],[VEN]]="X",),"X","")</f>
        <v/>
      </c>
      <c r="D34" s="113" t="inlineStr">
        <is>
          <t>AREA 2</t>
        </is>
      </c>
      <c r="E34" s="109" t="inlineStr">
        <is>
          <t>531599/C</t>
        </is>
      </c>
      <c r="F34" s="109" t="n">
        <v>1000</v>
      </c>
      <c r="G34" s="109" t="inlineStr">
        <is>
          <t>1000 - L108CV RIPRISTINO FUNZIONALITA VALVOLA</t>
        </is>
      </c>
      <c r="H34" s="111" t="n"/>
      <c r="I34" s="111" t="n"/>
      <c r="J34" s="111" t="n"/>
      <c r="K34" s="111" t="n"/>
      <c r="L34" s="111" t="n"/>
      <c r="M34" s="110" t="inlineStr">
        <is>
          <t>DA CHIUDERE</t>
        </is>
      </c>
      <c r="N34" s="110" t="n"/>
      <c r="O34" s="168" t="n"/>
      <c r="P34" s="110" t="n"/>
      <c r="Q34" s="109" t="n"/>
      <c r="R34" s="110" t="n"/>
      <c r="S34" s="110" t="n"/>
      <c r="T34" s="112">
        <f>IF(AND('Inserimento dati'!$B$3=$H$2, Tabella1[[#This Row],[LUN]]="X"), "X",IF(AND('Inserimento dati'!$B$3=$I$2, Tabella1[[#This Row],[MAR]]="X"), "X", IF(AND('Inserimento dati'!$B$3=$J$2, Tabella1[[#This Row],[MER]]="X"), "X",IF(AND('Inserimento dati'!$B$3=$K$2, Tabella1[[#This Row],[GIO]]="X"), "X", IF(AND('Inserimento dati'!$B$3=$L$2, Tabella1[[#This Row],[VEN]]="X"), "X","")))))</f>
        <v/>
      </c>
      <c r="U34" s="132">
        <f>IFERROR(MID(G34,_xlfn.AGGREGATE(15,6,(ROW(INDIRECT("1:"&amp;LEN(G34)-7)))/(ISNUMBER(--MID(G34,ROW(INDIRECT("1:"&amp;LEN(G34)-7)),8))),1),8),"")</f>
        <v/>
      </c>
      <c r="V34" t="inlineStr">
        <is>
          <t>2025-09-30 20:00:00</t>
        </is>
      </c>
    </row>
    <row r="35" ht="45" customFormat="1" customHeight="1" s="45">
      <c r="A35" s="112" t="n"/>
      <c r="B35" s="112">
        <f>IF(OR(A35="x",A35="X"),"",IF(ISBLANK(A35),"X",""))</f>
        <v/>
      </c>
      <c r="C35" s="112">
        <f>IF(OR(Tabella1[[#This Row],[LUN]]="X",Tabella1[[#This Row],[MAR]]="X",Tabella1[[#This Row],[MER]]="X",Tabella1[[#This Row],[GIO]]="X",Tabella1[[#This Row],[VEN]]="X",),"X","")</f>
        <v/>
      </c>
      <c r="D35" s="113" t="inlineStr">
        <is>
          <t>AREA 2</t>
        </is>
      </c>
      <c r="E35" s="109" t="inlineStr">
        <is>
          <t>530799/C</t>
        </is>
      </c>
      <c r="F35" s="109" t="n">
        <v>1000</v>
      </c>
      <c r="G35" s="109" t="inlineStr">
        <is>
          <t>1000 - LDAR 4Q24 ELIMINAZIONE PERDITE CON SERRAGGIO PREMITRECCIA(O EVENTUALE RIBADERNATURA)  SULLE SEGUENTI VALVOLE  HOO1CV-T105CV-FCV114/C -F102CV -L116CV -F123CV</t>
        </is>
      </c>
      <c r="H35" s="111" t="n"/>
      <c r="I35" s="111" t="n"/>
      <c r="J35" s="111" t="n"/>
      <c r="K35" s="111" t="n"/>
      <c r="L35" s="111" t="n"/>
      <c r="M35" s="110" t="inlineStr">
        <is>
          <t>DA CHIUDERE</t>
        </is>
      </c>
      <c r="N35" s="110" t="n"/>
      <c r="O35" s="168" t="n"/>
      <c r="P35" s="110" t="n"/>
      <c r="Q35" s="109" t="inlineStr">
        <is>
          <t>LE VALVOLE SONO STATE CONTROLLATE, SI CONSIGLIA LA RIBADERNATURA DI TCV105-FCV114-LCV116.</t>
        </is>
      </c>
      <c r="R35" s="110" t="n"/>
      <c r="S35" s="110" t="n"/>
      <c r="T35" s="112">
        <f>IF(AND('Inserimento dati'!$B$3=$H$2, Tabella1[[#This Row],[LUN]]="X"), "X",IF(AND('Inserimento dati'!$B$3=$I$2, Tabella1[[#This Row],[MAR]]="X"), "X", IF(AND('Inserimento dati'!$B$3=$J$2, Tabella1[[#This Row],[MER]]="X"), "X",IF(AND('Inserimento dati'!$B$3=$K$2, Tabella1[[#This Row],[GIO]]="X"), "X", IF(AND('Inserimento dati'!$B$3=$L$2, Tabella1[[#This Row],[VEN]]="X"), "X","")))))</f>
        <v/>
      </c>
      <c r="U35" s="132">
        <f>IFERROR(MID(G35,_xlfn.AGGREGATE(15,6,(ROW(INDIRECT("1:"&amp;LEN(G35)-7)))/(ISNUMBER(--MID(G35,ROW(INDIRECT("1:"&amp;LEN(G35)-7)),8))),1),8),"")</f>
        <v/>
      </c>
      <c r="V35" t="inlineStr">
        <is>
          <t>2025-09-30 20:00:00</t>
        </is>
      </c>
    </row>
    <row r="36" ht="30" customFormat="1" customHeight="1" s="45">
      <c r="A36" s="112" t="n"/>
      <c r="B36" s="112">
        <f>IF(OR(A36="x",A36="X"),"",IF(ISBLANK(A36),"X",""))</f>
        <v/>
      </c>
      <c r="C36" s="112">
        <f>IF(OR(Tabella1[[#This Row],[LUN]]="X",Tabella1[[#This Row],[MAR]]="X",Tabella1[[#This Row],[MER]]="X",Tabella1[[#This Row],[GIO]]="X",Tabella1[[#This Row],[VEN]]="X",),"X","")</f>
        <v/>
      </c>
      <c r="D36" s="113" t="inlineStr">
        <is>
          <t>AREA 2</t>
        </is>
      </c>
      <c r="E36" s="109" t="inlineStr">
        <is>
          <t>522483/C</t>
        </is>
      </c>
      <c r="F36" s="109" t="n">
        <v>500</v>
      </c>
      <c r="G36" s="109" t="inlineStr">
        <is>
          <t>500 - C103B SOSTITUZIONE MANOMETRI E TERMOMETRI E RIFACIMENTO TUBING OVE NECESSITA</t>
        </is>
      </c>
      <c r="H36" s="111" t="n"/>
      <c r="I36" s="111" t="n"/>
      <c r="J36" s="111" t="n"/>
      <c r="K36" s="111" t="n"/>
      <c r="L36" s="111" t="n"/>
      <c r="M36" s="110" t="inlineStr">
        <is>
          <t>DA CHIUDERE</t>
        </is>
      </c>
      <c r="N36" s="110" t="n"/>
      <c r="O36" s="168" t="n"/>
      <c r="P36" s="110" t="n"/>
      <c r="Q36" s="109" t="inlineStr">
        <is>
          <t>DA CHIUDERE</t>
        </is>
      </c>
      <c r="R36" s="110" t="n"/>
      <c r="S36" s="110" t="n"/>
      <c r="T36" s="112">
        <f>IF(AND('Inserimento dati'!$B$3=$H$2, Tabella1[[#This Row],[LUN]]="X"), "X",IF(AND('Inserimento dati'!$B$3=$I$2, Tabella1[[#This Row],[MAR]]="X"), "X", IF(AND('Inserimento dati'!$B$3=$J$2, Tabella1[[#This Row],[MER]]="X"), "X",IF(AND('Inserimento dati'!$B$3=$K$2, Tabella1[[#This Row],[GIO]]="X"), "X", IF(AND('Inserimento dati'!$B$3=$L$2, Tabella1[[#This Row],[VEN]]="X"), "X","")))))</f>
        <v/>
      </c>
      <c r="U36" s="132">
        <f>IFERROR(MID(G36,_xlfn.AGGREGATE(15,6,(ROW(INDIRECT("1:"&amp;LEN(G36)-7)))/(ISNUMBER(--MID(G36,ROW(INDIRECT("1:"&amp;LEN(G36)-7)),8))),1),8),"")</f>
        <v/>
      </c>
      <c r="V36" t="inlineStr">
        <is>
          <t>2025-09-30 20:00:00</t>
        </is>
      </c>
    </row>
    <row r="37" ht="30" customFormat="1" customHeight="1" s="45">
      <c r="A37" s="112" t="n"/>
      <c r="B37" s="112">
        <f>IF(OR(A37="x",A37="X"),"",IF(ISBLANK(A37),"X",""))</f>
        <v/>
      </c>
      <c r="C37" s="112">
        <f>IF(OR(Tabella1[[#This Row],[LUN]]="X",Tabella1[[#This Row],[MAR]]="X",Tabella1[[#This Row],[MER]]="X",Tabella1[[#This Row],[GIO]]="X",Tabella1[[#This Row],[VEN]]="X",),"X","")</f>
        <v/>
      </c>
      <c r="D37" s="113" t="inlineStr">
        <is>
          <t>AREA 2</t>
        </is>
      </c>
      <c r="E37" s="109" t="inlineStr">
        <is>
          <t>530500/C</t>
        </is>
      </c>
      <c r="F37" s="109" t="n">
        <v>500</v>
      </c>
      <c r="G37" s="109" t="inlineStr">
        <is>
          <t xml:space="preserve">500 - F052R - RIPRISTINO TRACCIE DI RAME   PENZOLANTI E SISTEMAZIONE IN PASSARELLA </t>
        </is>
      </c>
      <c r="H37" s="111" t="n"/>
      <c r="I37" s="111" t="n"/>
      <c r="J37" s="111" t="n"/>
      <c r="K37" s="111" t="n"/>
      <c r="L37" s="111" t="n"/>
      <c r="M37" s="110" t="inlineStr">
        <is>
          <t>DA CHIUDERE</t>
        </is>
      </c>
      <c r="N37" s="110" t="n"/>
      <c r="O37" s="168" t="n"/>
      <c r="P37" s="110" t="n"/>
      <c r="Q37" s="109" t="inlineStr">
        <is>
          <t>DA CHIUDERE</t>
        </is>
      </c>
      <c r="R37" s="110" t="n"/>
      <c r="S37" s="110" t="n"/>
      <c r="T37" s="112">
        <f>IF(AND('Inserimento dati'!$B$3=$H$2, Tabella1[[#This Row],[LUN]]="X"), "X",IF(AND('Inserimento dati'!$B$3=$I$2, Tabella1[[#This Row],[MAR]]="X"), "X", IF(AND('Inserimento dati'!$B$3=$J$2, Tabella1[[#This Row],[MER]]="X"), "X",IF(AND('Inserimento dati'!$B$3=$K$2, Tabella1[[#This Row],[GIO]]="X"), "X", IF(AND('Inserimento dati'!$B$3=$L$2, Tabella1[[#This Row],[VEN]]="X"), "X","")))))</f>
        <v/>
      </c>
      <c r="U37" s="132">
        <f>IFERROR(MID(G37,_xlfn.AGGREGATE(15,6,(ROW(INDIRECT("1:"&amp;LEN(G37)-7)))/(ISNUMBER(--MID(G37,ROW(INDIRECT("1:"&amp;LEN(G37)-7)),8))),1),8),"")</f>
        <v/>
      </c>
      <c r="V37" t="inlineStr">
        <is>
          <t>2025-09-30 20:00:00</t>
        </is>
      </c>
    </row>
    <row r="38" ht="23.25" customFormat="1" customHeight="1" s="45">
      <c r="A38" s="112" t="n"/>
      <c r="B38" s="112">
        <f>IF(OR(A38="x",A38="X"),"",IF(ISBLANK(A38),"X",""))</f>
        <v/>
      </c>
      <c r="C38" s="112">
        <f>IF(OR(Tabella1[[#This Row],[LUN]]="X",Tabella1[[#This Row],[MAR]]="X",Tabella1[[#This Row],[MER]]="X",Tabella1[[#This Row],[GIO]]="X",Tabella1[[#This Row],[VEN]]="X",),"X","")</f>
        <v/>
      </c>
      <c r="D38" s="113" t="inlineStr">
        <is>
          <t>AREA 2</t>
        </is>
      </c>
      <c r="E38" s="109" t="inlineStr">
        <is>
          <t>528229/C</t>
        </is>
      </c>
      <c r="F38" s="109" t="n">
        <v>500</v>
      </c>
      <c r="G38" s="109" t="inlineStr">
        <is>
          <t>500 - Realizzazione nuovo primario su P021LA (BASSA PRESSIONE D-110).</t>
        </is>
      </c>
      <c r="H38" s="111" t="n"/>
      <c r="I38" s="111" t="n"/>
      <c r="J38" s="111" t="n"/>
      <c r="K38" s="111" t="n"/>
      <c r="L38" s="111" t="n"/>
      <c r="M38" s="110" t="inlineStr">
        <is>
          <t>DA CHIUDERE</t>
        </is>
      </c>
      <c r="N38" s="110" t="n"/>
      <c r="O38" s="168" t="n"/>
      <c r="P38" s="110" t="n"/>
      <c r="Q38" s="109" t="inlineStr">
        <is>
          <t>LAVORO TERMINATO.</t>
        </is>
      </c>
      <c r="R38" s="110" t="n"/>
      <c r="S38" s="110" t="n"/>
      <c r="T38" s="112">
        <f>IF(AND('Inserimento dati'!$B$3=$H$2, Tabella1[[#This Row],[LUN]]="X"), "X",IF(AND('Inserimento dati'!$B$3=$I$2, Tabella1[[#This Row],[MAR]]="X"), "X", IF(AND('Inserimento dati'!$B$3=$J$2, Tabella1[[#This Row],[MER]]="X"), "X",IF(AND('Inserimento dati'!$B$3=$K$2, Tabella1[[#This Row],[GIO]]="X"), "X", IF(AND('Inserimento dati'!$B$3=$L$2, Tabella1[[#This Row],[VEN]]="X"), "X","")))))</f>
        <v/>
      </c>
      <c r="U38" s="132">
        <f>IFERROR(MID(G38,_xlfn.AGGREGATE(15,6,(ROW(INDIRECT("1:"&amp;LEN(G38)-7)))/(ISNUMBER(--MID(G38,ROW(INDIRECT("1:"&amp;LEN(G38)-7)),8))),1),8),"")</f>
        <v/>
      </c>
      <c r="V38" t="inlineStr">
        <is>
          <t>2025-09-30 20:00:00</t>
        </is>
      </c>
    </row>
    <row r="39" ht="23.25" customFormat="1" customHeight="1" s="45">
      <c r="A39" s="112" t="n"/>
      <c r="B39" s="112">
        <f>IF(OR(A39="x",A39="X"),"",IF(ISBLANK(A39),"X",""))</f>
        <v/>
      </c>
      <c r="C39" s="112">
        <f>IF(OR(Tabella1[[#This Row],[LUN]]="X",Tabella1[[#This Row],[MAR]]="X",Tabella1[[#This Row],[MER]]="X",Tabella1[[#This Row],[GIO]]="X",Tabella1[[#This Row],[VEN]]="X",),"X","")</f>
        <v/>
      </c>
      <c r="D39" s="113" t="inlineStr">
        <is>
          <t>AREA 2</t>
        </is>
      </c>
      <c r="E39" s="109" t="inlineStr">
        <is>
          <t>531227/C</t>
        </is>
      </c>
      <c r="F39" s="109" t="n">
        <v>600</v>
      </c>
      <c r="G39" s="109" t="inlineStr">
        <is>
          <t>600 - 600F001CV   600F006CV  SERRAGGIO PREMITRECCIA PER ELIMINAZIONE PERDITA</t>
        </is>
      </c>
      <c r="H39" s="111" t="n"/>
      <c r="I39" s="111" t="n"/>
      <c r="J39" s="111" t="n"/>
      <c r="K39" s="111" t="n"/>
      <c r="L39" s="111" t="n"/>
      <c r="M39" s="110" t="inlineStr">
        <is>
          <t>DA CHIUDERE</t>
        </is>
      </c>
      <c r="N39" s="110" t="n"/>
      <c r="O39" s="168" t="n"/>
      <c r="P39" s="110" t="n"/>
      <c r="Q39" s="109" t="n"/>
      <c r="R39" s="110" t="n"/>
      <c r="S39" s="110" t="n"/>
      <c r="T39" s="112">
        <f>IF(AND('Inserimento dati'!$B$3=$H$2, Tabella1[[#This Row],[LUN]]="X"), "X",IF(AND('Inserimento dati'!$B$3=$I$2, Tabella1[[#This Row],[MAR]]="X"), "X", IF(AND('Inserimento dati'!$B$3=$J$2, Tabella1[[#This Row],[MER]]="X"), "X",IF(AND('Inserimento dati'!$B$3=$K$2, Tabella1[[#This Row],[GIO]]="X"), "X", IF(AND('Inserimento dati'!$B$3=$L$2, Tabella1[[#This Row],[VEN]]="X"), "X","")))))</f>
        <v/>
      </c>
      <c r="U39" s="132">
        <f>IFERROR(MID(G39,_xlfn.AGGREGATE(15,6,(ROW(INDIRECT("1:"&amp;LEN(G39)-7)))/(ISNUMBER(--MID(G39,ROW(INDIRECT("1:"&amp;LEN(G39)-7)),8))),1),8),"")</f>
        <v/>
      </c>
      <c r="V39" t="inlineStr">
        <is>
          <t>2025-09-30 20:00:00</t>
        </is>
      </c>
    </row>
    <row r="40" ht="30" customFormat="1" customHeight="1" s="45">
      <c r="A40" s="112" t="n"/>
      <c r="B40" s="112">
        <f>IF(OR(A40="x",A40="X"),"",IF(ISBLANK(A40),"X",""))</f>
        <v/>
      </c>
      <c r="C40" s="112">
        <f>IF(OR(Tabella1[[#This Row],[LUN]]="X",Tabella1[[#This Row],[MAR]]="X",Tabella1[[#This Row],[MER]]="X",Tabella1[[#This Row],[GIO]]="X",Tabella1[[#This Row],[VEN]]="X",),"X","")</f>
        <v/>
      </c>
      <c r="D40" s="113" t="inlineStr">
        <is>
          <t>AREA 2</t>
        </is>
      </c>
      <c r="E40" s="109" t="inlineStr">
        <is>
          <t>530491/C</t>
        </is>
      </c>
      <c r="F40" s="109" t="n">
        <v>500</v>
      </c>
      <c r="G40" s="109" t="inlineStr">
        <is>
          <t>500 - L014CV SOSTITUZIONE TRASDUTTORE DI SEGNALE TARATURA VALVOLA  E ALLINEAMENTO  CON SALA CONTROLLO</t>
        </is>
      </c>
      <c r="H40" s="111" t="n"/>
      <c r="I40" s="111" t="n"/>
      <c r="J40" s="111" t="n"/>
      <c r="K40" s="111" t="n"/>
      <c r="L40" s="111" t="n"/>
      <c r="M40" s="110" t="inlineStr">
        <is>
          <t>DA CHIUDERE</t>
        </is>
      </c>
      <c r="N40" s="110" t="n"/>
      <c r="O40" s="168" t="n"/>
      <c r="P40" s="110" t="n"/>
      <c r="Q40" s="109" t="n"/>
      <c r="R40" s="110" t="n"/>
      <c r="S40" s="110" t="n"/>
      <c r="T40" s="112">
        <f>IF(AND('Inserimento dati'!$B$3=$H$2, Tabella1[[#This Row],[LUN]]="X"), "X",IF(AND('Inserimento dati'!$B$3=$I$2, Tabella1[[#This Row],[MAR]]="X"), "X", IF(AND('Inserimento dati'!$B$3=$J$2, Tabella1[[#This Row],[MER]]="X"), "X",IF(AND('Inserimento dati'!$B$3=$K$2, Tabella1[[#This Row],[GIO]]="X"), "X", IF(AND('Inserimento dati'!$B$3=$L$2, Tabella1[[#This Row],[VEN]]="X"), "X","")))))</f>
        <v/>
      </c>
      <c r="U40" s="132">
        <f>IFERROR(MID(G40,_xlfn.AGGREGATE(15,6,(ROW(INDIRECT("1:"&amp;LEN(G40)-7)))/(ISNUMBER(--MID(G40,ROW(INDIRECT("1:"&amp;LEN(G40)-7)),8))),1),8),"")</f>
        <v/>
      </c>
      <c r="V40" t="inlineStr">
        <is>
          <t>2025-09-30 20:00:00</t>
        </is>
      </c>
    </row>
    <row r="41" ht="30" customFormat="1" customHeight="1" s="45">
      <c r="A41" s="112" t="n"/>
      <c r="B41" s="112">
        <f>IF(OR(A41="x",A41="X"),"",IF(ISBLANK(A41),"X",""))</f>
        <v/>
      </c>
      <c r="C41" s="112">
        <f>IF(OR(Tabella1[[#This Row],[LUN]]="X",Tabella1[[#This Row],[MAR]]="X",Tabella1[[#This Row],[MER]]="X",Tabella1[[#This Row],[GIO]]="X",Tabella1[[#This Row],[VEN]]="X",),"X","")</f>
        <v/>
      </c>
      <c r="D41" s="113" t="inlineStr">
        <is>
          <t>AREA 2</t>
        </is>
      </c>
      <c r="E41" s="109" t="inlineStr">
        <is>
          <t>529018/C</t>
        </is>
      </c>
      <c r="F41" s="109" t="n">
        <v>1000</v>
      </c>
      <c r="G41" s="109" t="inlineStr">
        <is>
          <t>1000 - R109BV RIPRISTINO FINE CORSA DI APERTURA</t>
        </is>
      </c>
      <c r="H41" s="111" t="n"/>
      <c r="I41" s="111" t="n"/>
      <c r="J41" s="111" t="n"/>
      <c r="K41" s="111" t="n"/>
      <c r="L41" s="111" t="n"/>
      <c r="M41" s="110" t="inlineStr">
        <is>
          <t>DA CHIUDERE</t>
        </is>
      </c>
      <c r="N41" s="110" t="inlineStr">
        <is>
          <t>X</t>
        </is>
      </c>
      <c r="O41" s="168" t="n"/>
      <c r="P41" s="110" t="n"/>
      <c r="Q41" s="109" t="inlineStr">
        <is>
          <t>PER ESE LE VALVOLE NON SI POSSONO MOVIMENTARE</t>
        </is>
      </c>
      <c r="R41" s="110" t="n">
        <v>45728</v>
      </c>
      <c r="S41" s="110" t="inlineStr">
        <is>
          <t>MILLO/ALLEGRETTI</t>
        </is>
      </c>
      <c r="T41" s="112">
        <f>IF(AND('Inserimento dati'!$B$3=$H$2, Tabella1[[#This Row],[LUN]]="X"), "X",IF(AND('Inserimento dati'!$B$3=$I$2, Tabella1[[#This Row],[MAR]]="X"), "X", IF(AND('Inserimento dati'!$B$3=$J$2, Tabella1[[#This Row],[MER]]="X"), "X",IF(AND('Inserimento dati'!$B$3=$K$2, Tabella1[[#This Row],[GIO]]="X"), "X", IF(AND('Inserimento dati'!$B$3=$L$2, Tabella1[[#This Row],[VEN]]="X"), "X","")))))</f>
        <v/>
      </c>
      <c r="U41" s="132">
        <f>IFERROR(MID(G41,_xlfn.AGGREGATE(15,6,(ROW(INDIRECT("1:"&amp;LEN(G41)-7)))/(ISNUMBER(--MID(G41,ROW(INDIRECT("1:"&amp;LEN(G41)-7)),8))),1),8),"")</f>
        <v/>
      </c>
      <c r="V41" t="inlineStr">
        <is>
          <t>2025-09-30 20:00:00</t>
        </is>
      </c>
    </row>
    <row r="42" ht="30" customFormat="1" customHeight="1" s="45">
      <c r="A42" s="112" t="n"/>
      <c r="B42" s="112">
        <f>IF(OR(A42="x",A42="X"),"",IF(ISBLANK(A42),"X",""))</f>
        <v/>
      </c>
      <c r="C42" s="112">
        <f>IF(OR(Tabella1[[#This Row],[LUN]]="X",Tabella1[[#This Row],[MAR]]="X",Tabella1[[#This Row],[MER]]="X",Tabella1[[#This Row],[GIO]]="X",Tabella1[[#This Row],[VEN]]="X",),"X","")</f>
        <v/>
      </c>
      <c r="D42" s="113" t="inlineStr">
        <is>
          <t>AREA 2</t>
        </is>
      </c>
      <c r="E42" s="109" t="inlineStr">
        <is>
          <t>529017/C</t>
        </is>
      </c>
      <c r="F42" s="109" t="n">
        <v>1000</v>
      </c>
      <c r="G42" s="109" t="inlineStr">
        <is>
          <t>1000 - R111BV RIPRISTINO FINE CORSA DI APERTURA</t>
        </is>
      </c>
      <c r="H42" s="111" t="n"/>
      <c r="I42" s="111" t="n"/>
      <c r="J42" s="111" t="n"/>
      <c r="K42" s="111" t="n"/>
      <c r="L42" s="111" t="n"/>
      <c r="M42" s="110" t="inlineStr">
        <is>
          <t>DA CHIUDERE</t>
        </is>
      </c>
      <c r="N42" s="110" t="inlineStr">
        <is>
          <t>X</t>
        </is>
      </c>
      <c r="O42" s="168" t="n"/>
      <c r="P42" s="110" t="n"/>
      <c r="Q42" s="109" t="inlineStr">
        <is>
          <t>PER ESE LE VALVOLE NON SI POSSONO MOVIMENTARE</t>
        </is>
      </c>
      <c r="R42" s="110" t="n">
        <v>45728</v>
      </c>
      <c r="S42" s="110" t="inlineStr">
        <is>
          <t>MILLO/ALLEGRETTI</t>
        </is>
      </c>
      <c r="T42" s="112">
        <f>IF(AND('Inserimento dati'!$B$3=$H$2, Tabella1[[#This Row],[LUN]]="X"), "X",IF(AND('Inserimento dati'!$B$3=$I$2, Tabella1[[#This Row],[MAR]]="X"), "X", IF(AND('Inserimento dati'!$B$3=$J$2, Tabella1[[#This Row],[MER]]="X"), "X",IF(AND('Inserimento dati'!$B$3=$K$2, Tabella1[[#This Row],[GIO]]="X"), "X", IF(AND('Inserimento dati'!$B$3=$L$2, Tabella1[[#This Row],[VEN]]="X"), "X","")))))</f>
        <v/>
      </c>
      <c r="U42" s="132">
        <f>IFERROR(MID(G42,_xlfn.AGGREGATE(15,6,(ROW(INDIRECT("1:"&amp;LEN(G42)-7)))/(ISNUMBER(--MID(G42,ROW(INDIRECT("1:"&amp;LEN(G42)-7)),8))),1),8),"")</f>
        <v/>
      </c>
      <c r="V42" t="inlineStr">
        <is>
          <t>2025-09-30 20:00:00</t>
        </is>
      </c>
    </row>
    <row r="43" ht="30" customFormat="1" customHeight="1" s="45">
      <c r="A43" s="112" t="n"/>
      <c r="B43" s="112">
        <f>IF(OR(A43="x",A43="X"),"",IF(ISBLANK(A43),"X",""))</f>
        <v/>
      </c>
      <c r="C43" s="112">
        <f>IF(OR(Tabella1[[#This Row],[LUN]]="X",Tabella1[[#This Row],[MAR]]="X",Tabella1[[#This Row],[MER]]="X",Tabella1[[#This Row],[GIO]]="X",Tabella1[[#This Row],[VEN]]="X",),"X","")</f>
        <v/>
      </c>
      <c r="D43" s="113" t="inlineStr">
        <is>
          <t>AREA 2</t>
        </is>
      </c>
      <c r="E43" s="109" t="inlineStr">
        <is>
          <t>528142/C</t>
        </is>
      </c>
      <c r="F43" s="109" t="n">
        <v>600</v>
      </c>
      <c r="G43" s="109" t="inlineStr">
        <is>
          <t>IMPIANTO 600 RIPRISTINO/SOSTITUZIONE  PASSARELLA PASSACAVI C/O D102(HOUSE KEEPING)</t>
        </is>
      </c>
      <c r="H43" s="111" t="n"/>
      <c r="I43" s="111" t="n"/>
      <c r="J43" s="111" t="n"/>
      <c r="K43" s="111" t="n"/>
      <c r="L43" s="111" t="n"/>
      <c r="M43" s="110" t="inlineStr">
        <is>
          <t>DA CHIUDERE</t>
        </is>
      </c>
      <c r="N43" s="110" t="n"/>
      <c r="O43" s="168" t="n"/>
      <c r="P43" s="110" t="n"/>
      <c r="Q43" s="109" t="inlineStr">
        <is>
          <t>RIPRISTINATA PASSARELLA E FASCETTATURA DOPPINI ( MT10 )</t>
        </is>
      </c>
      <c r="R43" s="110" t="n">
        <v>45722</v>
      </c>
      <c r="S43" s="110" t="inlineStr">
        <is>
          <t>CAVAGNACCHI/MANSERVIGI</t>
        </is>
      </c>
      <c r="T43" s="112">
        <f>IF(AND('Inserimento dati'!$B$3=$H$2, Tabella1[[#This Row],[LUN]]="X"), "X",IF(AND('Inserimento dati'!$B$3=$I$2, Tabella1[[#This Row],[MAR]]="X"), "X", IF(AND('Inserimento dati'!$B$3=$J$2, Tabella1[[#This Row],[MER]]="X"), "X",IF(AND('Inserimento dati'!$B$3=$K$2, Tabella1[[#This Row],[GIO]]="X"), "X", IF(AND('Inserimento dati'!$B$3=$L$2, Tabella1[[#This Row],[VEN]]="X"), "X","")))))</f>
        <v/>
      </c>
      <c r="U43" s="132">
        <f>IFERROR(MID(G43,_xlfn.AGGREGATE(15,6,(ROW(INDIRECT("1:"&amp;LEN(G43)-7)))/(ISNUMBER(--MID(G43,ROW(INDIRECT("1:"&amp;LEN(G43)-7)),8))),1),8),"")</f>
        <v/>
      </c>
      <c r="V43" t="inlineStr">
        <is>
          <t>2025-09-30 20:00:00</t>
        </is>
      </c>
    </row>
    <row r="44" ht="30" customFormat="1" customHeight="1" s="45">
      <c r="A44" s="112" t="n"/>
      <c r="B44" s="112">
        <f>IF(OR(A44="x",A44="X"),"",IF(ISBLANK(A44),"X",""))</f>
        <v/>
      </c>
      <c r="C44" s="112">
        <f>IF(OR(Tabella1[[#This Row],[LUN]]="X",Tabella1[[#This Row],[MAR]]="X",Tabella1[[#This Row],[MER]]="X",Tabella1[[#This Row],[GIO]]="X",Tabella1[[#This Row],[VEN]]="X",),"X","")</f>
        <v/>
      </c>
      <c r="D44" s="113" t="inlineStr">
        <is>
          <t>AREA 2</t>
        </is>
      </c>
      <c r="E44" s="109" t="inlineStr">
        <is>
          <t>527408/C</t>
        </is>
      </c>
      <c r="F44" s="109" t="n">
        <v>600</v>
      </c>
      <c r="G44" s="109" t="inlineStr">
        <is>
          <t>600 - manutenzione skid dosaggio antincrostante acqua CW sostituzione tubing</t>
        </is>
      </c>
      <c r="H44" s="111" t="n"/>
      <c r="I44" s="111" t="n"/>
      <c r="J44" s="111" t="n"/>
      <c r="K44" s="111" t="n"/>
      <c r="L44" s="111" t="n"/>
      <c r="M44" s="110" t="inlineStr">
        <is>
          <t>DA CHIUDERE</t>
        </is>
      </c>
      <c r="N44" s="110" t="n"/>
      <c r="O44" s="168" t="n"/>
      <c r="P44" s="110" t="n"/>
      <c r="Q44" s="109" t="inlineStr">
        <is>
          <t>ATTIVITA' CONCLUSA</t>
        </is>
      </c>
      <c r="R44" s="110" t="n">
        <v>45720</v>
      </c>
      <c r="S44" s="110" t="inlineStr">
        <is>
          <t>DE LUCA/DI BLASI</t>
        </is>
      </c>
      <c r="T44" s="112">
        <f>IF(AND('Inserimento dati'!$B$3=$H$2, Tabella1[[#This Row],[LUN]]="X"), "X",IF(AND('Inserimento dati'!$B$3=$I$2, Tabella1[[#This Row],[MAR]]="X"), "X", IF(AND('Inserimento dati'!$B$3=$J$2, Tabella1[[#This Row],[MER]]="X"), "X",IF(AND('Inserimento dati'!$B$3=$K$2, Tabella1[[#This Row],[GIO]]="X"), "X", IF(AND('Inserimento dati'!$B$3=$L$2, Tabella1[[#This Row],[VEN]]="X"), "X","")))))</f>
        <v/>
      </c>
      <c r="U44" s="132">
        <f>IFERROR(MID(G44,_xlfn.AGGREGATE(15,6,(ROW(INDIRECT("1:"&amp;LEN(G44)-7)))/(ISNUMBER(--MID(G44,ROW(INDIRECT("1:"&amp;LEN(G44)-7)),8))),1),8),"")</f>
        <v/>
      </c>
      <c r="V44" t="inlineStr">
        <is>
          <t>2025-09-30 20:00:00</t>
        </is>
      </c>
    </row>
    <row r="45" ht="45" customFormat="1" customHeight="1" s="45">
      <c r="A45" s="112" t="n"/>
      <c r="B45" s="112">
        <f>IF(OR(A45="x",A45="X"),"",IF(ISBLANK(A45),"X",""))</f>
        <v/>
      </c>
      <c r="C45" s="112">
        <f>IF(OR(Tabella1[[#This Row],[LUN]]="X",Tabella1[[#This Row],[MAR]]="X",Tabella1[[#This Row],[MER]]="X",Tabella1[[#This Row],[GIO]]="X",Tabella1[[#This Row],[VEN]]="X",),"X","")</f>
        <v/>
      </c>
      <c r="D45" s="113" t="inlineStr">
        <is>
          <t>AREA 2</t>
        </is>
      </c>
      <c r="E45" s="109" t="inlineStr">
        <is>
          <t>526937/C</t>
        </is>
      </c>
      <c r="F45" s="109" t="n">
        <v>600</v>
      </c>
      <c r="G45" s="109" t="inlineStr">
        <is>
          <t>600 - L012I (D112 VENT GAS) RIPRISTINO MISURA DI LIVELLO PREVEDERE IL RIEMPIMENTO PRIMARIO</t>
        </is>
      </c>
      <c r="H45" s="111" t="n"/>
      <c r="I45" s="111" t="n"/>
      <c r="J45" s="111" t="n"/>
      <c r="K45" s="111" t="n"/>
      <c r="L45" s="111" t="n"/>
      <c r="M45" s="110" t="inlineStr">
        <is>
          <t>DA CHIUDERE</t>
        </is>
      </c>
      <c r="N45" s="110" t="n"/>
      <c r="O45" s="168" t="n"/>
      <c r="P45" s="110" t="n"/>
      <c r="Q45" s="109" t="inlineStr">
        <is>
          <t>TROVATO CON BYPASS LEGGERMENTE SPUNTATO, E CON MANICHETTA SU PRESA POSITIVA. RIPRISTINATO BATTENTE, CONTROLLO FUNZIONALE, ALLINEATO CON SALA CONTROLLO.</t>
        </is>
      </c>
      <c r="R45" s="110" t="n">
        <v>45714</v>
      </c>
      <c r="S45" s="110" t="inlineStr">
        <is>
          <t>SPINALI/SERRA</t>
        </is>
      </c>
      <c r="T45" s="112">
        <f>IF(AND('Inserimento dati'!$B$3=$H$2, Tabella1[[#This Row],[LUN]]="X"), "X",IF(AND('Inserimento dati'!$B$3=$I$2, Tabella1[[#This Row],[MAR]]="X"), "X", IF(AND('Inserimento dati'!$B$3=$J$2, Tabella1[[#This Row],[MER]]="X"), "X",IF(AND('Inserimento dati'!$B$3=$K$2, Tabella1[[#This Row],[GIO]]="X"), "X", IF(AND('Inserimento dati'!$B$3=$L$2, Tabella1[[#This Row],[VEN]]="X"), "X","")))))</f>
        <v/>
      </c>
      <c r="U45" s="132">
        <f>IFERROR(MID(G45,_xlfn.AGGREGATE(15,6,(ROW(INDIRECT("1:"&amp;LEN(G45)-7)))/(ISNUMBER(--MID(G45,ROW(INDIRECT("1:"&amp;LEN(G45)-7)),8))),1),8),"")</f>
        <v/>
      </c>
      <c r="V45" t="inlineStr">
        <is>
          <t>2025-09-30 20:00:00</t>
        </is>
      </c>
    </row>
    <row r="46" ht="45" customFormat="1" customHeight="1" s="45">
      <c r="A46" s="112" t="n"/>
      <c r="B46" s="112">
        <f>IF(OR(A46="x",A46="X"),"",IF(ISBLANK(A46),"X",""))</f>
        <v/>
      </c>
      <c r="C46" s="112">
        <f>IF(OR(Tabella1[[#This Row],[LUN]]="X",Tabella1[[#This Row],[MAR]]="X",Tabella1[[#This Row],[MER]]="X",Tabella1[[#This Row],[GIO]]="X",Tabella1[[#This Row],[VEN]]="X",),"X","")</f>
        <v/>
      </c>
      <c r="D46" s="113" t="inlineStr">
        <is>
          <t>AREA 2</t>
        </is>
      </c>
      <c r="E46" s="109" t="inlineStr">
        <is>
          <t>526855/C</t>
        </is>
      </c>
      <c r="F46" s="109" t="n">
        <v>600</v>
      </c>
      <c r="G46" s="109" t="inlineStr">
        <is>
          <t>600 - manutenzione skid dosaggio antincrostante acqua CW sostituzione tubing</t>
        </is>
      </c>
      <c r="H46" s="111" t="n"/>
      <c r="I46" s="111" t="n"/>
      <c r="J46" s="111" t="n"/>
      <c r="K46" s="111" t="n"/>
      <c r="L46" s="111" t="n"/>
      <c r="M46" s="110" t="inlineStr">
        <is>
          <t>DA CHIUDERE</t>
        </is>
      </c>
      <c r="N46" s="110" t="n"/>
      <c r="O46" s="168" t="n"/>
      <c r="P46" s="110" t="n"/>
      <c r="Q46" s="109" t="inlineStr">
        <is>
          <t>SI PROSEGUE ATTIVITA' CON NUOVO PERMESSO (527408/C) INSERENDO SCALA A NORMA E TRABATTELLO. IN CORSO RIFACIMENTO ACCIAIO DA 12mm.</t>
        </is>
      </c>
      <c r="R46" s="110" t="n">
        <v>45714</v>
      </c>
      <c r="S46" s="110" t="inlineStr">
        <is>
          <t>DE LUCA/DI BLASI</t>
        </is>
      </c>
      <c r="T46" s="112">
        <f>IF(AND('Inserimento dati'!$B$3=$H$2, Tabella1[[#This Row],[LUN]]="X"), "X",IF(AND('Inserimento dati'!$B$3=$I$2, Tabella1[[#This Row],[MAR]]="X"), "X", IF(AND('Inserimento dati'!$B$3=$J$2, Tabella1[[#This Row],[MER]]="X"), "X",IF(AND('Inserimento dati'!$B$3=$K$2, Tabella1[[#This Row],[GIO]]="X"), "X", IF(AND('Inserimento dati'!$B$3=$L$2, Tabella1[[#This Row],[VEN]]="X"), "X","")))))</f>
        <v/>
      </c>
      <c r="U46" s="132">
        <f>IFERROR(MID(G46,_xlfn.AGGREGATE(15,6,(ROW(INDIRECT("1:"&amp;LEN(G46)-7)))/(ISNUMBER(--MID(G46,ROW(INDIRECT("1:"&amp;LEN(G46)-7)),8))),1),8),"")</f>
        <v/>
      </c>
      <c r="V46" t="inlineStr">
        <is>
          <t>2025-09-30 20:00:00</t>
        </is>
      </c>
    </row>
    <row r="47" ht="30" customFormat="1" customHeight="1" s="45">
      <c r="A47" s="112" t="n"/>
      <c r="B47" s="112">
        <f>IF(OR(A47="x",A47="X"),"",IF(ISBLANK(A47),"X",""))</f>
        <v/>
      </c>
      <c r="C47" s="112">
        <f>IF(OR(Tabella1[[#This Row],[LUN]]="X",Tabella1[[#This Row],[MAR]]="X",Tabella1[[#This Row],[MER]]="X",Tabella1[[#This Row],[GIO]]="X",Tabella1[[#This Row],[VEN]]="X",),"X","")</f>
        <v/>
      </c>
      <c r="D47" s="113" t="inlineStr">
        <is>
          <t>AREA 2</t>
        </is>
      </c>
      <c r="E47" s="109" t="inlineStr">
        <is>
          <t>526939/C</t>
        </is>
      </c>
      <c r="F47" s="109" t="n">
        <v>600</v>
      </c>
      <c r="G47" s="109" t="inlineStr">
        <is>
          <t>600 - L0151HA(D110) CONTROLLO E RIPRISTINO FUNZIONALITA LIVELLOSTATO</t>
        </is>
      </c>
      <c r="H47" s="111" t="n"/>
      <c r="I47" s="111" t="n"/>
      <c r="J47" s="111" t="n"/>
      <c r="K47" s="111" t="n"/>
      <c r="L47" s="111" t="n"/>
      <c r="M47" s="110" t="inlineStr">
        <is>
          <t>DA CHIUDERE</t>
        </is>
      </c>
      <c r="N47" s="110" t="n"/>
      <c r="O47" s="168" t="n"/>
      <c r="P47" s="110" t="n"/>
      <c r="Q47" s="109" t="inlineStr">
        <is>
          <t>SOSTITUITA BARRIERA A RETROQUADRO IN COMUNE CON L015HA</t>
        </is>
      </c>
      <c r="R47" s="110" t="n">
        <v>45713</v>
      </c>
      <c r="S47" s="110" t="inlineStr">
        <is>
          <t>MILLO/ALLEGRETTI</t>
        </is>
      </c>
      <c r="T47" s="112">
        <f>IF(AND('Inserimento dati'!$B$3=$H$2, Tabella1[[#This Row],[LUN]]="X"), "X",IF(AND('Inserimento dati'!$B$3=$I$2, Tabella1[[#This Row],[MAR]]="X"), "X", IF(AND('Inserimento dati'!$B$3=$J$2, Tabella1[[#This Row],[MER]]="X"), "X",IF(AND('Inserimento dati'!$B$3=$K$2, Tabella1[[#This Row],[GIO]]="X"), "X", IF(AND('Inserimento dati'!$B$3=$L$2, Tabella1[[#This Row],[VEN]]="X"), "X","")))))</f>
        <v/>
      </c>
      <c r="U47" s="132">
        <f>IFERROR(MID(G47,_xlfn.AGGREGATE(15,6,(ROW(INDIRECT("1:"&amp;LEN(G47)-7)))/(ISNUMBER(--MID(G47,ROW(INDIRECT("1:"&amp;LEN(G47)-7)),8))),1),8),"")</f>
        <v/>
      </c>
      <c r="V47" t="inlineStr">
        <is>
          <t>2025-09-30 20:00:00</t>
        </is>
      </c>
    </row>
    <row r="48" ht="30" customFormat="1" customHeight="1" s="45">
      <c r="A48" s="112" t="n"/>
      <c r="B48" s="112">
        <f>IF(OR(A48="x",A48="X"),"",IF(ISBLANK(A48),"X",""))</f>
        <v/>
      </c>
      <c r="C48" s="112">
        <f>IF(OR(Tabella1[[#This Row],[LUN]]="X",Tabella1[[#This Row],[MAR]]="X",Tabella1[[#This Row],[MER]]="X",Tabella1[[#This Row],[GIO]]="X",Tabella1[[#This Row],[VEN]]="X",),"X","")</f>
        <v/>
      </c>
      <c r="D48" s="113" t="inlineStr">
        <is>
          <t>AREA 2</t>
        </is>
      </c>
      <c r="E48" s="109" t="inlineStr">
        <is>
          <t>526938/C</t>
        </is>
      </c>
      <c r="F48" s="109" t="n">
        <v>600</v>
      </c>
      <c r="G48" s="109" t="inlineStr">
        <is>
          <t>600 - L015HA(D107) CONTROLLO E RIPRISTINO FUNZIONALITA LIVELLOSTATO</t>
        </is>
      </c>
      <c r="H48" s="111" t="n"/>
      <c r="I48" s="111" t="n"/>
      <c r="J48" s="111" t="n"/>
      <c r="K48" s="111" t="n"/>
      <c r="L48" s="111" t="n"/>
      <c r="M48" s="110" t="inlineStr">
        <is>
          <t>DA CHIUDERE</t>
        </is>
      </c>
      <c r="N48" s="110" t="n"/>
      <c r="O48" s="168" t="n"/>
      <c r="P48" s="110" t="n"/>
      <c r="Q48" s="109" t="inlineStr">
        <is>
          <t>SOSTITUITA BARRIERA A RETROQUADRO IN COMUNE CON L151HA</t>
        </is>
      </c>
      <c r="R48" s="110" t="n">
        <v>45713</v>
      </c>
      <c r="S48" s="110" t="inlineStr">
        <is>
          <t>MILLO/ALLEGRETTI</t>
        </is>
      </c>
      <c r="T48" s="112">
        <f>IF(AND('Inserimento dati'!$B$3=$H$2, Tabella1[[#This Row],[LUN]]="X"), "X",IF(AND('Inserimento dati'!$B$3=$I$2, Tabella1[[#This Row],[MAR]]="X"), "X", IF(AND('Inserimento dati'!$B$3=$J$2, Tabella1[[#This Row],[MER]]="X"), "X",IF(AND('Inserimento dati'!$B$3=$K$2, Tabella1[[#This Row],[GIO]]="X"), "X", IF(AND('Inserimento dati'!$B$3=$L$2, Tabella1[[#This Row],[VEN]]="X"), "X","")))))</f>
        <v/>
      </c>
      <c r="U48" s="132">
        <f>IFERROR(MID(G48,_xlfn.AGGREGATE(15,6,(ROW(INDIRECT("1:"&amp;LEN(G48)-7)))/(ISNUMBER(--MID(G48,ROW(INDIRECT("1:"&amp;LEN(G48)-7)),8))),1),8),"")</f>
        <v/>
      </c>
      <c r="V48" t="inlineStr">
        <is>
          <t>2025-09-30 20:00:00</t>
        </is>
      </c>
    </row>
    <row r="49" ht="45" customFormat="1" customHeight="1" s="45">
      <c r="A49" s="112" t="n"/>
      <c r="B49" s="112">
        <f>IF(OR(A49="x",A49="X"),"",IF(ISBLANK(A49),"X",""))</f>
        <v/>
      </c>
      <c r="C49" s="112">
        <f>IF(OR(Tabella1[[#This Row],[LUN]]="X",Tabella1[[#This Row],[MAR]]="X",Tabella1[[#This Row],[MER]]="X",Tabella1[[#This Row],[GIO]]="X",Tabella1[[#This Row],[VEN]]="X",),"X","")</f>
        <v/>
      </c>
      <c r="D49" s="113" t="inlineStr">
        <is>
          <t>AREA 2</t>
        </is>
      </c>
      <c r="E49" s="109" t="inlineStr">
        <is>
          <t>526845/C</t>
        </is>
      </c>
      <c r="F49" s="109" t="n">
        <v>500</v>
      </c>
      <c r="G49" s="109" t="inlineStr">
        <is>
          <t>500 - F095RC RIPRISTINO FUNZIONALITA CON PROVE DI STASAMENTO PRIMARI/RADICE</t>
        </is>
      </c>
      <c r="H49" s="111" t="n"/>
      <c r="I49" s="111" t="n"/>
      <c r="J49" s="111" t="n"/>
      <c r="K49" s="111" t="n"/>
      <c r="L49" s="111" t="n"/>
      <c r="M49" s="110" t="inlineStr">
        <is>
          <t>DA CHIUDERE</t>
        </is>
      </c>
      <c r="N49" s="110" t="n"/>
      <c r="O49" s="168" t="n"/>
      <c r="P49" s="110" t="n"/>
      <c r="Q49" s="109" t="inlineStr">
        <is>
          <t>ISPEZIONATE RADICI DOPO LA COSTRUZIONE DI PONTEGGIO DEDICATO, SI NOTA LA RADICE NEGATIVA INTERCETTATA. INSERITA E CONSEGNATO STRUMENTO A ESE OK</t>
        </is>
      </c>
      <c r="R49" s="110" t="n">
        <v>45712</v>
      </c>
      <c r="S49" s="110" t="inlineStr">
        <is>
          <t>TARASCIO/PARTESANO</t>
        </is>
      </c>
      <c r="T49" s="112">
        <f>IF(AND('Inserimento dati'!$B$3=$H$2, Tabella1[[#This Row],[LUN]]="X"), "X",IF(AND('Inserimento dati'!$B$3=$I$2, Tabella1[[#This Row],[MAR]]="X"), "X", IF(AND('Inserimento dati'!$B$3=$J$2, Tabella1[[#This Row],[MER]]="X"), "X",IF(AND('Inserimento dati'!$B$3=$K$2, Tabella1[[#This Row],[GIO]]="X"), "X", IF(AND('Inserimento dati'!$B$3=$L$2, Tabella1[[#This Row],[VEN]]="X"), "X","")))))</f>
        <v/>
      </c>
      <c r="U49" s="132">
        <f>IFERROR(MID(G49,_xlfn.AGGREGATE(15,6,(ROW(INDIRECT("1:"&amp;LEN(G49)-7)))/(ISNUMBER(--MID(G49,ROW(INDIRECT("1:"&amp;LEN(G49)-7)),8))),1),8),"")</f>
        <v/>
      </c>
      <c r="V49" t="inlineStr">
        <is>
          <t>2025-09-30 20:00:00</t>
        </is>
      </c>
    </row>
    <row r="50" ht="45" customFormat="1" customHeight="1" s="45">
      <c r="A50" s="112" t="n"/>
      <c r="B50" s="112">
        <f>IF(OR(A50="x",A50="X"),"",IF(ISBLANK(A50),"X",""))</f>
        <v/>
      </c>
      <c r="C50" s="112">
        <f>IF(OR(Tabella1[[#This Row],[LUN]]="X",Tabella1[[#This Row],[MAR]]="X",Tabella1[[#This Row],[MER]]="X",Tabella1[[#This Row],[GIO]]="X",Tabella1[[#This Row],[VEN]]="X",),"X","")</f>
        <v/>
      </c>
      <c r="D50" s="113" t="inlineStr">
        <is>
          <t>AREA 2</t>
        </is>
      </c>
      <c r="E50" s="109" t="inlineStr">
        <is>
          <t>525899/C</t>
        </is>
      </c>
      <c r="F50" s="109" t="n">
        <v>1000</v>
      </c>
      <c r="G50" s="109" t="inlineStr">
        <is>
          <t>1000 - P179CV SERRAGGIO PREMITRECCIA VALVOLA  E CONTROLLO FUNZIONALITA CON ALLINEAMENTO CON SALA CONTROLLO</t>
        </is>
      </c>
      <c r="H50" s="111" t="n"/>
      <c r="I50" s="111" t="n"/>
      <c r="J50" s="111" t="n"/>
      <c r="K50" s="111" t="n"/>
      <c r="L50" s="111" t="n"/>
      <c r="M50" s="110" t="inlineStr">
        <is>
          <t>DA CHIUDERE</t>
        </is>
      </c>
      <c r="N50" s="110" t="n"/>
      <c r="O50" s="168" t="n"/>
      <c r="P50" s="110" t="n"/>
      <c r="Q50" s="109" t="inlineStr">
        <is>
          <t>IL PRESSATRECCIA E' TOTALMENTE CORROSO E SOTTILE, SI NOTANO I DADI COMPLETAMENTE ASSOTTIGLIATI. E' NECESSARIO SMONTARE LA VALVOLA PER REVISIONE. ( A CONOSCENZA TCL NASELLI )</t>
        </is>
      </c>
      <c r="R50" s="110" t="n">
        <v>45705</v>
      </c>
      <c r="S50" s="110" t="inlineStr">
        <is>
          <t>MILLO</t>
        </is>
      </c>
      <c r="T50" s="112">
        <f>IF(AND('Inserimento dati'!$B$3=$H$2, Tabella1[[#This Row],[LUN]]="X"), "X",IF(AND('Inserimento dati'!$B$3=$I$2, Tabella1[[#This Row],[MAR]]="X"), "X", IF(AND('Inserimento dati'!$B$3=$J$2, Tabella1[[#This Row],[MER]]="X"), "X",IF(AND('Inserimento dati'!$B$3=$K$2, Tabella1[[#This Row],[GIO]]="X"), "X", IF(AND('Inserimento dati'!$B$3=$L$2, Tabella1[[#This Row],[VEN]]="X"), "X","")))))</f>
        <v/>
      </c>
      <c r="U50" s="132">
        <f>IFERROR(MID(G50,_xlfn.AGGREGATE(15,6,(ROW(INDIRECT("1:"&amp;LEN(G50)-7)))/(ISNUMBER(--MID(G50,ROW(INDIRECT("1:"&amp;LEN(G50)-7)),8))),1),8),"")</f>
        <v/>
      </c>
      <c r="V50" t="inlineStr">
        <is>
          <t>2025-09-30 20:00:00</t>
        </is>
      </c>
    </row>
    <row r="51" ht="45" customFormat="1" customHeight="1" s="45">
      <c r="A51" s="112" t="n"/>
      <c r="B51" s="112">
        <f>IF(OR(A51="x",A51="X"),"",IF(ISBLANK(A51),"X",""))</f>
        <v/>
      </c>
      <c r="C51" s="112">
        <f>IF(OR(Tabella1[[#This Row],[LUN]]="X",Tabella1[[#This Row],[MAR]]="X",Tabella1[[#This Row],[MER]]="X",Tabella1[[#This Row],[GIO]]="X",Tabella1[[#This Row],[VEN]]="X",),"X","")</f>
        <v/>
      </c>
      <c r="D51" s="113" t="inlineStr">
        <is>
          <t>AREA 2</t>
        </is>
      </c>
      <c r="E51" s="109" t="inlineStr">
        <is>
          <t>525259/C</t>
        </is>
      </c>
      <c r="F51" s="109" t="n">
        <v>500</v>
      </c>
      <c r="G51" s="109" t="inlineStr">
        <is>
          <t>500 - C103C RICOLLEGAMENTO E CONTROLLO STRUMENTAZIONE(CILINDRI E SNUBBER) A BORDO MACCHINA  PROVE DI FUNZIONALITA PARZIALIZZAZIONE POST REVISIONE MACCHINA</t>
        </is>
      </c>
      <c r="H51" s="111" t="n"/>
      <c r="I51" s="111" t="n"/>
      <c r="J51" s="111" t="n"/>
      <c r="K51" s="111" t="n"/>
      <c r="L51" s="111" t="n"/>
      <c r="M51" s="110" t="inlineStr">
        <is>
          <t>DA CHIUDERE</t>
        </is>
      </c>
      <c r="N51" s="110" t="n"/>
      <c r="O51" s="168" t="n"/>
      <c r="P51" s="110" t="n"/>
      <c r="Q51" s="109" t="inlineStr">
        <is>
          <t>RIFACIMENTO TUBI BUCATI DA PRIMARISTA</t>
        </is>
      </c>
      <c r="R51" s="110" t="n">
        <v>45701</v>
      </c>
      <c r="S51" s="110" t="inlineStr">
        <is>
          <t>CAVAGNACCHI</t>
        </is>
      </c>
      <c r="T51" s="112">
        <f>IF(AND('Inserimento dati'!$B$3=$H$2, Tabella1[[#This Row],[LUN]]="X"), "X",IF(AND('Inserimento dati'!$B$3=$I$2, Tabella1[[#This Row],[MAR]]="X"), "X", IF(AND('Inserimento dati'!$B$3=$J$2, Tabella1[[#This Row],[MER]]="X"), "X",IF(AND('Inserimento dati'!$B$3=$K$2, Tabella1[[#This Row],[GIO]]="X"), "X", IF(AND('Inserimento dati'!$B$3=$L$2, Tabella1[[#This Row],[VEN]]="X"), "X","")))))</f>
        <v/>
      </c>
      <c r="U51" s="132">
        <f>IFERROR(MID(G51,_xlfn.AGGREGATE(15,6,(ROW(INDIRECT("1:"&amp;LEN(G51)-7)))/(ISNUMBER(--MID(G51,ROW(INDIRECT("1:"&amp;LEN(G51)-7)),8))),1),8),"")</f>
        <v/>
      </c>
      <c r="V51" t="inlineStr">
        <is>
          <t>2025-09-30 20:00:00</t>
        </is>
      </c>
    </row>
    <row r="52" ht="30" customFormat="1" customHeight="1" s="45">
      <c r="A52" s="112" t="n"/>
      <c r="B52" s="112">
        <f>IF(OR(A52="x",A52="X"),"",IF(ISBLANK(A52),"X",""))</f>
        <v/>
      </c>
      <c r="C52" s="112">
        <f>IF(OR(Tabella1[[#This Row],[LUN]]="X",Tabella1[[#This Row],[MAR]]="X",Tabella1[[#This Row],[MER]]="X",Tabella1[[#This Row],[GIO]]="X",Tabella1[[#This Row],[VEN]]="X",),"X","")</f>
        <v/>
      </c>
      <c r="D52" s="113" t="inlineStr">
        <is>
          <t>AREA 2</t>
        </is>
      </c>
      <c r="E52" s="109" t="inlineStr">
        <is>
          <t>523947/C</t>
        </is>
      </c>
      <c r="F52" s="109" t="n">
        <v>1000</v>
      </c>
      <c r="G52" s="109" t="inlineStr">
        <is>
          <t>1000 - R110BV RIPRISTINO VOLANTINO MANUALE VALVOLA</t>
        </is>
      </c>
      <c r="H52" s="111" t="n"/>
      <c r="I52" s="111" t="n"/>
      <c r="J52" s="111" t="n"/>
      <c r="K52" s="111" t="n"/>
      <c r="L52" s="111" t="n"/>
      <c r="M52" s="110" t="inlineStr">
        <is>
          <t>DA CHIUDERE</t>
        </is>
      </c>
      <c r="N52" s="110" t="n"/>
      <c r="O52" s="168" t="n"/>
      <c r="P52" s="110" t="n"/>
      <c r="Q52" s="109" t="inlineStr">
        <is>
          <t>SMONTARE ATTUATORE PER VIA DEL VOLANTINO ROTTO (DA REVISIONARE). DA COORDINARE CON OFFICINA VALVOLE.</t>
        </is>
      </c>
      <c r="R52" s="110" t="n">
        <v>45687</v>
      </c>
      <c r="S52" s="110" t="inlineStr">
        <is>
          <t>GARRO L.</t>
        </is>
      </c>
      <c r="T52" s="112">
        <f>IF(AND('Inserimento dati'!$B$3=$H$2, Tabella1[[#This Row],[LUN]]="X"), "X",IF(AND('Inserimento dati'!$B$3=$I$2, Tabella1[[#This Row],[MAR]]="X"), "X", IF(AND('Inserimento dati'!$B$3=$J$2, Tabella1[[#This Row],[MER]]="X"), "X",IF(AND('Inserimento dati'!$B$3=$K$2, Tabella1[[#This Row],[GIO]]="X"), "X", IF(AND('Inserimento dati'!$B$3=$L$2, Tabella1[[#This Row],[VEN]]="X"), "X","")))))</f>
        <v/>
      </c>
      <c r="U52" s="132">
        <f>IFERROR(MID(G52,_xlfn.AGGREGATE(15,6,(ROW(INDIRECT("1:"&amp;LEN(G52)-7)))/(ISNUMBER(--MID(G52,ROW(INDIRECT("1:"&amp;LEN(G52)-7)),8))),1),8),"")</f>
        <v/>
      </c>
      <c r="V52" t="inlineStr">
        <is>
          <t>2025-09-30 20:00:00</t>
        </is>
      </c>
    </row>
    <row r="53" ht="23.25" customFormat="1" customHeight="1" s="45">
      <c r="A53" s="112" t="n"/>
      <c r="B53" s="112">
        <f>IF(OR(A53="x",A53="X"),"",IF(ISBLANK(A53),"X",""))</f>
        <v/>
      </c>
      <c r="C53" s="112">
        <f>IF(OR(Tabella1[[#This Row],[LUN]]="X",Tabella1[[#This Row],[MAR]]="X",Tabella1[[#This Row],[MER]]="X",Tabella1[[#This Row],[GIO]]="X",Tabella1[[#This Row],[VEN]]="X",),"X","")</f>
        <v/>
      </c>
      <c r="D53" s="113" t="inlineStr">
        <is>
          <t>AREA 2</t>
        </is>
      </c>
      <c r="E53" s="109" t="inlineStr">
        <is>
          <t>525050/C</t>
        </is>
      </c>
      <c r="F53" s="109" t="n">
        <v>600</v>
      </c>
      <c r="G53" s="109" t="inlineStr">
        <is>
          <t xml:space="preserve">600 - F004CV (PASSO DI CARICA) SERRAGGIO PREMITRECCIA E PROVA DI FUNZIONALITA </t>
        </is>
      </c>
      <c r="H53" s="111" t="n"/>
      <c r="I53" s="111" t="n"/>
      <c r="J53" s="111" t="n"/>
      <c r="K53" s="111" t="n"/>
      <c r="L53" s="111" t="n"/>
      <c r="M53" s="110" t="inlineStr">
        <is>
          <t>DA CHIUDERE</t>
        </is>
      </c>
      <c r="N53" s="110" t="n"/>
      <c r="O53" s="168" t="n"/>
      <c r="P53" s="110" t="n"/>
      <c r="Q53" s="109" t="n"/>
      <c r="R53" s="110" t="n"/>
      <c r="S53" s="110" t="n"/>
      <c r="T53" s="112">
        <f>IF(AND('Inserimento dati'!$B$3=$H$2, Tabella1[[#This Row],[LUN]]="X"), "X",IF(AND('Inserimento dati'!$B$3=$I$2, Tabella1[[#This Row],[MAR]]="X"), "X", IF(AND('Inserimento dati'!$B$3=$J$2, Tabella1[[#This Row],[MER]]="X"), "X",IF(AND('Inserimento dati'!$B$3=$K$2, Tabella1[[#This Row],[GIO]]="X"), "X", IF(AND('Inserimento dati'!$B$3=$L$2, Tabella1[[#This Row],[VEN]]="X"), "X","")))))</f>
        <v/>
      </c>
      <c r="U53" s="132">
        <f>IFERROR(MID(G53,_xlfn.AGGREGATE(15,6,(ROW(INDIRECT("1:"&amp;LEN(G53)-7)))/(ISNUMBER(--MID(G53,ROW(INDIRECT("1:"&amp;LEN(G53)-7)),8))),1),8),"")</f>
        <v/>
      </c>
      <c r="V53" t="inlineStr">
        <is>
          <t>2025-09-30 20:00:00</t>
        </is>
      </c>
    </row>
    <row r="54" ht="30" customFormat="1" customHeight="1" s="45">
      <c r="A54" s="112" t="n"/>
      <c r="B54" s="112">
        <f>IF(OR(A54="x",A54="X"),"",IF(ISBLANK(A54),"X",""))</f>
        <v/>
      </c>
      <c r="C54" s="112">
        <f>IF(OR(Tabella1[[#This Row],[LUN]]="X",Tabella1[[#This Row],[MAR]]="X",Tabella1[[#This Row],[MER]]="X",Tabella1[[#This Row],[GIO]]="X",Tabella1[[#This Row],[VEN]]="X",),"X","")</f>
        <v/>
      </c>
      <c r="D54" s="113" t="inlineStr">
        <is>
          <t>AREA 2</t>
        </is>
      </c>
      <c r="E54" s="109" t="inlineStr">
        <is>
          <t>522485/C</t>
        </is>
      </c>
      <c r="F54" s="109" t="n">
        <v>500</v>
      </c>
      <c r="G54" s="109" t="inlineStr">
        <is>
          <t>500 - C103C SOSTITUZIONE MANOMETRI E TERMOMETRI E RIFACIMENTO SUPPORTI E STAFFE OVE NECESSITA'</t>
        </is>
      </c>
      <c r="H54" s="111" t="n"/>
      <c r="I54" s="111" t="n"/>
      <c r="J54" s="111" t="n"/>
      <c r="K54" s="111" t="n"/>
      <c r="L54" s="111" t="n"/>
      <c r="M54" s="110" t="inlineStr">
        <is>
          <t>DA CHIUDERE</t>
        </is>
      </c>
      <c r="N54" s="110" t="n"/>
      <c r="O54" s="168" t="n"/>
      <c r="P54" s="110" t="n"/>
      <c r="Q54" s="109" t="inlineStr">
        <is>
          <t>SOSTITUITO TUBING E MANOMETRI</t>
        </is>
      </c>
      <c r="R54" s="110" t="n">
        <v>45694</v>
      </c>
      <c r="S54" s="110" t="inlineStr">
        <is>
          <t>CAVAGNACCHI</t>
        </is>
      </c>
      <c r="T54" s="112">
        <f>IF(AND('Inserimento dati'!$B$3=$H$2, Tabella1[[#This Row],[LUN]]="X"), "X",IF(AND('Inserimento dati'!$B$3=$I$2, Tabella1[[#This Row],[MAR]]="X"), "X", IF(AND('Inserimento dati'!$B$3=$J$2, Tabella1[[#This Row],[MER]]="X"), "X",IF(AND('Inserimento dati'!$B$3=$K$2, Tabella1[[#This Row],[GIO]]="X"), "X", IF(AND('Inserimento dati'!$B$3=$L$2, Tabella1[[#This Row],[VEN]]="X"), "X","")))))</f>
        <v/>
      </c>
      <c r="U54" s="132">
        <f>IFERROR(MID(G54,_xlfn.AGGREGATE(15,6,(ROW(INDIRECT("1:"&amp;LEN(G54)-7)))/(ISNUMBER(--MID(G54,ROW(INDIRECT("1:"&amp;LEN(G54)-7)),8))),1),8),"")</f>
        <v/>
      </c>
      <c r="V54" t="inlineStr">
        <is>
          <t>2025-09-30 20:00:00</t>
        </is>
      </c>
    </row>
    <row r="55" ht="30" customFormat="1" customHeight="1" s="45">
      <c r="A55" s="112" t="n"/>
      <c r="B55" s="112">
        <f>IF(OR(A55="x",A55="X"),"",IF(ISBLANK(A55),"X",""))</f>
        <v/>
      </c>
      <c r="C55" s="112">
        <f>IF(OR(Tabella1[[#This Row],[LUN]]="X",Tabella1[[#This Row],[MAR]]="X",Tabella1[[#This Row],[MER]]="X",Tabella1[[#This Row],[GIO]]="X",Tabella1[[#This Row],[VEN]]="X",),"X","")</f>
        <v/>
      </c>
      <c r="D55" s="113" t="inlineStr">
        <is>
          <t>AREA 2</t>
        </is>
      </c>
      <c r="E55" s="109" t="inlineStr">
        <is>
          <t>522916/C</t>
        </is>
      </c>
      <c r="F55" s="109" t="n">
        <v>1000</v>
      </c>
      <c r="G55" s="109" t="inlineStr">
        <is>
          <t>1000 - L107CV CONTROLLO VALVOLA EVENTUALMENTE TAPPATA SI PROVVEDE ALLO SMONTAGGIO/MONTAGGIO PER REVISIONE</t>
        </is>
      </c>
      <c r="H55" s="111" t="n"/>
      <c r="I55" s="111" t="n"/>
      <c r="J55" s="111" t="n"/>
      <c r="K55" s="111" t="n"/>
      <c r="L55" s="111" t="n"/>
      <c r="M55" s="109" t="inlineStr">
        <is>
          <t>DA CHIUDERE</t>
        </is>
      </c>
      <c r="N55" s="109" t="n"/>
      <c r="O55" s="113" t="n"/>
      <c r="P55" s="109" t="n"/>
      <c r="Q55" s="109" t="inlineStr">
        <is>
          <t>RIPRISTINATO POSIZIONATORE, E SOSTITUITA BARRIERA.</t>
        </is>
      </c>
      <c r="R55" s="110" t="n">
        <v>45684</v>
      </c>
      <c r="S55" s="110" t="inlineStr">
        <is>
          <t>GARRO/SPINALI</t>
        </is>
      </c>
      <c r="T55" s="112">
        <f>IF(AND('Inserimento dati'!$B$3=$H$2, Tabella1[[#This Row],[LUN]]="X"), "X",IF(AND('Inserimento dati'!$B$3=$I$2, Tabella1[[#This Row],[MAR]]="X"), "X", IF(AND('Inserimento dati'!$B$3=$J$2, Tabella1[[#This Row],[MER]]="X"), "X",IF(AND('Inserimento dati'!$B$3=$K$2, Tabella1[[#This Row],[GIO]]="X"), "X", IF(AND('Inserimento dati'!$B$3=$L$2, Tabella1[[#This Row],[VEN]]="X"), "X","")))))</f>
        <v/>
      </c>
      <c r="U55" s="132">
        <f>IFERROR(MID(G55,_xlfn.AGGREGATE(15,6,(ROW(INDIRECT("1:"&amp;LEN(G55)-7)))/(ISNUMBER(--MID(G55,ROW(INDIRECT("1:"&amp;LEN(G55)-7)),8))),1),8),"")</f>
        <v/>
      </c>
      <c r="V55" t="inlineStr">
        <is>
          <t>2025-09-30 20:00:00</t>
        </is>
      </c>
    </row>
    <row r="56" ht="23.25" customFormat="1" customHeight="1" s="45">
      <c r="A56" s="112" t="n"/>
      <c r="B56" s="112">
        <f>IF(OR(A56="x",A56="X"),"",IF(ISBLANK(A56),"X",""))</f>
        <v/>
      </c>
      <c r="C56" s="112">
        <f>IF(OR(Tabella1[[#This Row],[LUN]]="X",Tabella1[[#This Row],[MAR]]="X",Tabella1[[#This Row],[MER]]="X",Tabella1[[#This Row],[GIO]]="X",Tabella1[[#This Row],[VEN]]="X",),"X","")</f>
        <v/>
      </c>
      <c r="D56" s="113" t="inlineStr">
        <is>
          <t>AREA 2</t>
        </is>
      </c>
      <c r="E56" s="109" t="inlineStr">
        <is>
          <t>523833/C</t>
        </is>
      </c>
      <c r="F56" s="109" t="n">
        <v>1000</v>
      </c>
      <c r="G56" s="109" t="inlineStr">
        <is>
          <t>1000 - L113RC L113BT (D110) RIPRISTINO FUNZIONALITA' LIVELLI</t>
        </is>
      </c>
      <c r="H56" s="111" t="n"/>
      <c r="I56" s="111" t="n"/>
      <c r="J56" s="111" t="n"/>
      <c r="K56" s="111" t="n"/>
      <c r="L56" s="111" t="n"/>
      <c r="M56" s="109" t="inlineStr">
        <is>
          <t>DA CHIUDERE</t>
        </is>
      </c>
      <c r="N56" s="109" t="n"/>
      <c r="O56" s="113" t="n"/>
      <c r="P56" s="109" t="n"/>
      <c r="Q56" s="109" t="inlineStr">
        <is>
          <t>RIPRISTINATO BATTENTE</t>
        </is>
      </c>
      <c r="R56" s="110" t="n">
        <v>45685</v>
      </c>
      <c r="S56" s="110" t="inlineStr">
        <is>
          <t>TARASCIO</t>
        </is>
      </c>
      <c r="T56" s="112">
        <f>IF(AND('Inserimento dati'!$B$3=$H$2, Tabella1[[#This Row],[LUN]]="X"), "X",IF(AND('Inserimento dati'!$B$3=$I$2, Tabella1[[#This Row],[MAR]]="X"), "X", IF(AND('Inserimento dati'!$B$3=$J$2, Tabella1[[#This Row],[MER]]="X"), "X",IF(AND('Inserimento dati'!$B$3=$K$2, Tabella1[[#This Row],[GIO]]="X"), "X", IF(AND('Inserimento dati'!$B$3=$L$2, Tabella1[[#This Row],[VEN]]="X"), "X","")))))</f>
        <v/>
      </c>
      <c r="U56" s="132">
        <f>IFERROR(MID(G56,_xlfn.AGGREGATE(15,6,(ROW(INDIRECT("1:"&amp;LEN(G56)-7)))/(ISNUMBER(--MID(G56,ROW(INDIRECT("1:"&amp;LEN(G56)-7)),8))),1),8),"")</f>
        <v/>
      </c>
      <c r="V56" t="inlineStr">
        <is>
          <t>2025-09-30 20:00:00</t>
        </is>
      </c>
    </row>
    <row r="57" ht="23.25" customFormat="1" customHeight="1" s="45">
      <c r="A57" s="112" t="n"/>
      <c r="B57" s="112">
        <f>IF(OR(A57="x",A57="X"),"",IF(ISBLANK(A57),"X",""))</f>
        <v/>
      </c>
      <c r="C57" s="112">
        <f>IF(OR(Tabella1[[#This Row],[LUN]]="X",Tabella1[[#This Row],[MAR]]="X",Tabella1[[#This Row],[MER]]="X",Tabella1[[#This Row],[GIO]]="X",Tabella1[[#This Row],[VEN]]="X",),"X","")</f>
        <v/>
      </c>
      <c r="D57" s="113" t="inlineStr">
        <is>
          <t>AREA 2</t>
        </is>
      </c>
      <c r="E57" s="109" t="inlineStr">
        <is>
          <t>523446/C</t>
        </is>
      </c>
      <c r="F57" s="109" t="n">
        <v>1000</v>
      </c>
      <c r="G57" s="109" t="inlineStr">
        <is>
          <t>1000 - L114RC(D111)CONTROLLO DI TARATURA LIVELLO(CONTROLLO MENSILE GENNAIO)</t>
        </is>
      </c>
      <c r="H57" s="111" t="n"/>
      <c r="I57" s="111" t="n"/>
      <c r="J57" s="111" t="n"/>
      <c r="K57" s="111" t="n"/>
      <c r="L57" s="111" t="n"/>
      <c r="M57" s="109" t="inlineStr">
        <is>
          <t>DA CHIUDERE</t>
        </is>
      </c>
      <c r="N57" s="109" t="n"/>
      <c r="O57" s="113" t="n"/>
      <c r="P57" s="109" t="n"/>
      <c r="Q57" s="109" t="inlineStr">
        <is>
          <t>ESEGUITO CONTROLLO</t>
        </is>
      </c>
      <c r="R57" s="110" t="n">
        <v>45685</v>
      </c>
      <c r="S57" s="110" t="inlineStr">
        <is>
          <t>TARASCIO</t>
        </is>
      </c>
      <c r="T57" s="112">
        <f>IF(AND('Inserimento dati'!$B$3=$H$2, Tabella1[[#This Row],[LUN]]="X"), "X",IF(AND('Inserimento dati'!$B$3=$I$2, Tabella1[[#This Row],[MAR]]="X"), "X", IF(AND('Inserimento dati'!$B$3=$J$2, Tabella1[[#This Row],[MER]]="X"), "X",IF(AND('Inserimento dati'!$B$3=$K$2, Tabella1[[#This Row],[GIO]]="X"), "X", IF(AND('Inserimento dati'!$B$3=$L$2, Tabella1[[#This Row],[VEN]]="X"), "X","")))))</f>
        <v/>
      </c>
      <c r="U57" s="132">
        <f>IFERROR(MID(G57,_xlfn.AGGREGATE(15,6,(ROW(INDIRECT("1:"&amp;LEN(G57)-7)))/(ISNUMBER(--MID(G57,ROW(INDIRECT("1:"&amp;LEN(G57)-7)),8))),1),8),"")</f>
        <v/>
      </c>
      <c r="V57" t="inlineStr">
        <is>
          <t>2025-09-30 20:00:00</t>
        </is>
      </c>
    </row>
    <row r="58" ht="23.25" customFormat="1" customHeight="1" s="45">
      <c r="A58" s="112" t="n"/>
      <c r="B58" s="112">
        <f>IF(OR(A58="x",A58="X"),"",IF(ISBLANK(A58),"X",""))</f>
        <v/>
      </c>
      <c r="C58" s="112">
        <f>IF(OR(Tabella1[[#This Row],[LUN]]="X",Tabella1[[#This Row],[MAR]]="X",Tabella1[[#This Row],[MER]]="X",Tabella1[[#This Row],[GIO]]="X",Tabella1[[#This Row],[VEN]]="X",),"X","")</f>
        <v/>
      </c>
      <c r="D58" s="113" t="inlineStr">
        <is>
          <t>AREA 2</t>
        </is>
      </c>
      <c r="E58" s="109" t="inlineStr">
        <is>
          <t>523744/C</t>
        </is>
      </c>
      <c r="F58" s="109" t="n">
        <v>600</v>
      </c>
      <c r="G58" s="109" t="inlineStr">
        <is>
          <t>600 - P105B SOSTITUZIONE MANOMETRO</t>
        </is>
      </c>
      <c r="H58" s="111" t="n"/>
      <c r="I58" s="111" t="n"/>
      <c r="J58" s="111" t="n"/>
      <c r="K58" s="111" t="n"/>
      <c r="L58" s="111" t="n"/>
      <c r="M58" s="109" t="inlineStr">
        <is>
          <t>DA CHIUDERE</t>
        </is>
      </c>
      <c r="N58" s="109" t="n"/>
      <c r="O58" s="113" t="n"/>
      <c r="P58" s="109" t="n"/>
      <c r="Q58" s="109" t="inlineStr">
        <is>
          <t>MANOMETRO SOSTITUITO</t>
        </is>
      </c>
      <c r="R58" s="110" t="n">
        <v>45685</v>
      </c>
      <c r="S58" s="110" t="inlineStr">
        <is>
          <t>TARASCIO</t>
        </is>
      </c>
      <c r="T58" s="112">
        <f>IF(AND('Inserimento dati'!$B$3=$H$2, Tabella1[[#This Row],[LUN]]="X"), "X",IF(AND('Inserimento dati'!$B$3=$I$2, Tabella1[[#This Row],[MAR]]="X"), "X", IF(AND('Inserimento dati'!$B$3=$J$2, Tabella1[[#This Row],[MER]]="X"), "X",IF(AND('Inserimento dati'!$B$3=$K$2, Tabella1[[#This Row],[GIO]]="X"), "X", IF(AND('Inserimento dati'!$B$3=$L$2, Tabella1[[#This Row],[VEN]]="X"), "X","")))))</f>
        <v/>
      </c>
      <c r="U58" s="132">
        <f>IFERROR(MID(G58,_xlfn.AGGREGATE(15,6,(ROW(INDIRECT("1:"&amp;LEN(G58)-7)))/(ISNUMBER(--MID(G58,ROW(INDIRECT("1:"&amp;LEN(G58)-7)),8))),1),8),"")</f>
        <v/>
      </c>
      <c r="V58" t="inlineStr">
        <is>
          <t>2025-09-30 20:00:00</t>
        </is>
      </c>
    </row>
    <row r="59" ht="30" customFormat="1" customHeight="1" s="45">
      <c r="A59" s="112" t="n"/>
      <c r="B59" s="112">
        <f>IF(OR(A59="x",A59="X"),"",IF(ISBLANK(A59),"X",""))</f>
        <v/>
      </c>
      <c r="C59" s="112">
        <f>IF(OR(Tabella1[[#This Row],[LUN]]="X",Tabella1[[#This Row],[MAR]]="X",Tabella1[[#This Row],[MER]]="X",Tabella1[[#This Row],[GIO]]="X",Tabella1[[#This Row],[VEN]]="X",),"X","")</f>
        <v/>
      </c>
      <c r="D59" s="113" t="inlineStr">
        <is>
          <t>AREA 2</t>
        </is>
      </c>
      <c r="E59" s="109" t="inlineStr">
        <is>
          <t>522908/C</t>
        </is>
      </c>
      <c r="F59" s="109" t="n">
        <v>600</v>
      </c>
      <c r="G59" s="109" t="inlineStr">
        <is>
          <t>600 - T063IM (SKIN POINT PASSO 8) RIPRISTINO MISURA DI TEMPERATURA NON ATTENDIBILE</t>
        </is>
      </c>
      <c r="H59" s="111" t="n"/>
      <c r="I59" s="111" t="n"/>
      <c r="J59" s="111" t="n"/>
      <c r="K59" s="111" t="n"/>
      <c r="L59" s="111" t="n"/>
      <c r="M59" s="109" t="inlineStr">
        <is>
          <t>DA CHIUDERE</t>
        </is>
      </c>
      <c r="N59" s="109" t="n"/>
      <c r="O59" s="113" t="n"/>
      <c r="P59" s="109" t="n"/>
      <c r="Q59" s="109" t="inlineStr">
        <is>
          <t>PRIORITA' ESE: 3</t>
        </is>
      </c>
      <c r="R59" s="110" t="n">
        <v>45680</v>
      </c>
      <c r="S59" s="110" t="inlineStr">
        <is>
          <t>SPINALI</t>
        </is>
      </c>
      <c r="T59" s="112">
        <f>IF(AND('Inserimento dati'!$B$3=$H$2, Tabella1[[#This Row],[LUN]]="X"), "X",IF(AND('Inserimento dati'!$B$3=$I$2, Tabella1[[#This Row],[MAR]]="X"), "X", IF(AND('Inserimento dati'!$B$3=$J$2, Tabella1[[#This Row],[MER]]="X"), "X",IF(AND('Inserimento dati'!$B$3=$K$2, Tabella1[[#This Row],[GIO]]="X"), "X", IF(AND('Inserimento dati'!$B$3=$L$2, Tabella1[[#This Row],[VEN]]="X"), "X","")))))</f>
        <v/>
      </c>
      <c r="U59" s="132">
        <f>IFERROR(MID(G59,_xlfn.AGGREGATE(15,6,(ROW(INDIRECT("1:"&amp;LEN(G59)-7)))/(ISNUMBER(--MID(G59,ROW(INDIRECT("1:"&amp;LEN(G59)-7)),8))),1),8),"")</f>
        <v/>
      </c>
      <c r="V59" t="inlineStr">
        <is>
          <t>2025-09-30 20:00:00</t>
        </is>
      </c>
    </row>
    <row r="60" ht="30" customFormat="1" customHeight="1" s="45">
      <c r="A60" s="112" t="n"/>
      <c r="B60" s="112">
        <f>IF(OR(A60="x",A60="X"),"",IF(ISBLANK(A60),"X",""))</f>
        <v/>
      </c>
      <c r="C60" s="112">
        <f>IF(OR(Tabella1[[#This Row],[LUN]]="X",Tabella1[[#This Row],[MAR]]="X",Tabella1[[#This Row],[MER]]="X",Tabella1[[#This Row],[GIO]]="X",Tabella1[[#This Row],[VEN]]="X",),"X","")</f>
        <v/>
      </c>
      <c r="D60" s="113" t="inlineStr">
        <is>
          <t>AREA 2</t>
        </is>
      </c>
      <c r="E60" s="109" t="inlineStr">
        <is>
          <t>522949/C</t>
        </is>
      </c>
      <c r="F60" s="109" t="n">
        <v>500</v>
      </c>
      <c r="G60" s="109" t="inlineStr">
        <is>
          <t>500 - F034CV CONTROLLO LOGICA DI BLOCCO ED EVENTUALE RIPRISTINO  ELETTROVALVOLA DI BLOCCO VALVOLA</t>
        </is>
      </c>
      <c r="H60" s="111" t="n"/>
      <c r="I60" s="111" t="n"/>
      <c r="J60" s="111" t="n"/>
      <c r="K60" s="111" t="n"/>
      <c r="L60" s="111" t="n"/>
      <c r="M60" s="109" t="inlineStr">
        <is>
          <t>DA CHIUDERE</t>
        </is>
      </c>
      <c r="N60" s="109" t="n"/>
      <c r="O60" s="113" t="n"/>
      <c r="P60" s="109" t="n"/>
      <c r="Q60" s="109" t="inlineStr">
        <is>
          <t xml:space="preserve">PRIORITA' ESE: 1 </t>
        </is>
      </c>
      <c r="R60" s="110" t="n"/>
      <c r="S60" s="110" t="n"/>
      <c r="T60" s="112">
        <f>IF(AND('Inserimento dati'!$B$3=$H$2, Tabella1[[#This Row],[LUN]]="X"), "X",IF(AND('Inserimento dati'!$B$3=$I$2, Tabella1[[#This Row],[MAR]]="X"), "X", IF(AND('Inserimento dati'!$B$3=$J$2, Tabella1[[#This Row],[MER]]="X"), "X",IF(AND('Inserimento dati'!$B$3=$K$2, Tabella1[[#This Row],[GIO]]="X"), "X", IF(AND('Inserimento dati'!$B$3=$L$2, Tabella1[[#This Row],[VEN]]="X"), "X","")))))</f>
        <v/>
      </c>
      <c r="U60" s="132">
        <f>IFERROR(MID(G60,_xlfn.AGGREGATE(15,6,(ROW(INDIRECT("1:"&amp;LEN(G60)-7)))/(ISNUMBER(--MID(G60,ROW(INDIRECT("1:"&amp;LEN(G60)-7)),8))),1),8),"")</f>
        <v/>
      </c>
      <c r="V60" t="inlineStr">
        <is>
          <t>2025-09-30 20:00:00</t>
        </is>
      </c>
    </row>
    <row r="61" ht="30" customFormat="1" customHeight="1" s="45">
      <c r="A61" s="112" t="n"/>
      <c r="B61" s="112">
        <f>IF(OR(A61="x",A61="X"),"",IF(ISBLANK(A61),"X",""))</f>
        <v/>
      </c>
      <c r="C61" s="112">
        <f>IF(OR(Tabella1[[#This Row],[LUN]]="X",Tabella1[[#This Row],[MAR]]="X",Tabella1[[#This Row],[MER]]="X",Tabella1[[#This Row],[GIO]]="X",Tabella1[[#This Row],[VEN]]="X",),"X","")</f>
        <v/>
      </c>
      <c r="D61" s="113" t="inlineStr">
        <is>
          <t>AREA 2</t>
        </is>
      </c>
      <c r="E61" s="109" t="inlineStr">
        <is>
          <t>522883/C</t>
        </is>
      </c>
      <c r="F61" s="109" t="n">
        <v>600</v>
      </c>
      <c r="G61" s="109" t="inlineStr">
        <is>
          <t>600 - F008CV (PASSO DI CARICA) RIPRISTINO FUNZIONALITA VALVOLA</t>
        </is>
      </c>
      <c r="H61" s="111" t="n"/>
      <c r="I61" s="111" t="n"/>
      <c r="J61" s="111" t="n"/>
      <c r="K61" s="111" t="n"/>
      <c r="L61" s="111" t="n"/>
      <c r="M61" s="109" t="inlineStr">
        <is>
          <t>DA CHIUDERE</t>
        </is>
      </c>
      <c r="N61" s="109" t="n"/>
      <c r="O61" s="113" t="n"/>
      <c r="P61" s="109" t="n"/>
      <c r="Q61" s="109" t="inlineStr">
        <is>
          <t>STASATA TRACCIA VAPORE</t>
        </is>
      </c>
      <c r="R61" s="110" t="n">
        <v>45678</v>
      </c>
      <c r="S61" s="110" t="inlineStr">
        <is>
          <t>MILLO/MANSERVIGI</t>
        </is>
      </c>
      <c r="T61" s="112">
        <f>IF(AND('Inserimento dati'!$B$3=$H$2, Tabella1[[#This Row],[LUN]]="X"), "X",IF(AND('Inserimento dati'!$B$3=$I$2, Tabella1[[#This Row],[MAR]]="X"), "X", IF(AND('Inserimento dati'!$B$3=$J$2, Tabella1[[#This Row],[MER]]="X"), "X",IF(AND('Inserimento dati'!$B$3=$K$2, Tabella1[[#This Row],[GIO]]="X"), "X", IF(AND('Inserimento dati'!$B$3=$L$2, Tabella1[[#This Row],[VEN]]="X"), "X","")))))</f>
        <v/>
      </c>
      <c r="U61" s="132">
        <f>IFERROR(MID(G61,_xlfn.AGGREGATE(15,6,(ROW(INDIRECT("1:"&amp;LEN(G61)-7)))/(ISNUMBER(--MID(G61,ROW(INDIRECT("1:"&amp;LEN(G61)-7)),8))),1),8),"")</f>
        <v/>
      </c>
      <c r="V61" t="inlineStr">
        <is>
          <t>2025-09-30 20:00:00</t>
        </is>
      </c>
    </row>
    <row r="62" ht="23.25" customFormat="1" customHeight="1" s="45">
      <c r="A62" s="112" t="n"/>
      <c r="B62" s="112">
        <f>IF(OR(A62="x",A62="X"),"",IF(ISBLANK(A62),"X",""))</f>
        <v/>
      </c>
      <c r="C62" s="112">
        <f>IF(OR(Tabella1[[#This Row],[LUN]]="X",Tabella1[[#This Row],[MAR]]="X",Tabella1[[#This Row],[MER]]="X",Tabella1[[#This Row],[GIO]]="X",Tabella1[[#This Row],[VEN]]="X",),"X","")</f>
        <v/>
      </c>
      <c r="D62" s="113" t="inlineStr">
        <is>
          <t>AREA 2</t>
        </is>
      </c>
      <c r="E62" s="109" t="inlineStr">
        <is>
          <t>522913/C</t>
        </is>
      </c>
      <c r="F62" s="109" t="n">
        <v>600</v>
      </c>
      <c r="G62" s="109" t="inlineStr">
        <is>
          <t>600 - P502B SOSTITUZIONE MANOMETRO</t>
        </is>
      </c>
      <c r="H62" s="111" t="n"/>
      <c r="I62" s="111" t="n"/>
      <c r="J62" s="111" t="n"/>
      <c r="K62" s="111" t="n"/>
      <c r="L62" s="111" t="n"/>
      <c r="M62" s="109" t="inlineStr">
        <is>
          <t>DA CHIUDERE</t>
        </is>
      </c>
      <c r="N62" s="109" t="n"/>
      <c r="O62" s="113" t="n"/>
      <c r="P62" s="109" t="n"/>
      <c r="Q62" s="109" t="inlineStr">
        <is>
          <t>ESEGUITA SOSTITUZIONE MANOMETRO</t>
        </is>
      </c>
      <c r="R62" s="110" t="n">
        <v>45679</v>
      </c>
      <c r="S62" s="110" t="inlineStr">
        <is>
          <t>SPINALI</t>
        </is>
      </c>
      <c r="T62" s="112">
        <f>IF(AND('Inserimento dati'!$B$3=$H$2, Tabella1[[#This Row],[LUN]]="X"), "X",IF(AND('Inserimento dati'!$B$3=$I$2, Tabella1[[#This Row],[MAR]]="X"), "X", IF(AND('Inserimento dati'!$B$3=$J$2, Tabella1[[#This Row],[MER]]="X"), "X",IF(AND('Inserimento dati'!$B$3=$K$2, Tabella1[[#This Row],[GIO]]="X"), "X", IF(AND('Inserimento dati'!$B$3=$L$2, Tabella1[[#This Row],[VEN]]="X"), "X","")))))</f>
        <v/>
      </c>
      <c r="U62" s="132">
        <f>IFERROR(MID(G62,_xlfn.AGGREGATE(15,6,(ROW(INDIRECT("1:"&amp;LEN(G62)-7)))/(ISNUMBER(--MID(G62,ROW(INDIRECT("1:"&amp;LEN(G62)-7)),8))),1),8),"")</f>
        <v/>
      </c>
      <c r="V62" t="inlineStr">
        <is>
          <t>2025-09-30 20:00:00</t>
        </is>
      </c>
    </row>
    <row r="63" ht="23.25" customFormat="1" customHeight="1" s="45">
      <c r="A63" s="112" t="n"/>
      <c r="B63" s="112">
        <f>IF(OR(A63="x",A63="X"),"",IF(ISBLANK(A63),"X",""))</f>
        <v/>
      </c>
      <c r="C63" s="112">
        <f>IF(OR(Tabella1[[#This Row],[LUN]]="X",Tabella1[[#This Row],[MAR]]="X",Tabella1[[#This Row],[MER]]="X",Tabella1[[#This Row],[GIO]]="X",Tabella1[[#This Row],[VEN]]="X",),"X","")</f>
        <v/>
      </c>
      <c r="D63" s="113" t="inlineStr">
        <is>
          <t>AREA 2</t>
        </is>
      </c>
      <c r="E63" s="109" t="inlineStr">
        <is>
          <t>522910/C</t>
        </is>
      </c>
      <c r="F63" s="109" t="n">
        <v>600</v>
      </c>
      <c r="G63" s="109" t="inlineStr">
        <is>
          <t>600 - P108B SOSTITUZIONE MANOMETRO</t>
        </is>
      </c>
      <c r="H63" s="111" t="n"/>
      <c r="I63" s="111" t="n"/>
      <c r="J63" s="111" t="n"/>
      <c r="K63" s="111" t="n"/>
      <c r="L63" s="111" t="n"/>
      <c r="M63" s="109" t="inlineStr">
        <is>
          <t>DA CHIUDERE</t>
        </is>
      </c>
      <c r="N63" s="109" t="n"/>
      <c r="O63" s="113" t="n"/>
      <c r="P63" s="109" t="n"/>
      <c r="Q63" s="109" t="inlineStr">
        <is>
          <t>ESEGUITA SOSTITUZIONE MANOMETRO</t>
        </is>
      </c>
      <c r="R63" s="110" t="n">
        <v>45679</v>
      </c>
      <c r="S63" s="110" t="inlineStr">
        <is>
          <t>SPINALI</t>
        </is>
      </c>
      <c r="T63" s="112">
        <f>IF(AND('Inserimento dati'!$B$3=$H$2, Tabella1[[#This Row],[LUN]]="X"), "X",IF(AND('Inserimento dati'!$B$3=$I$2, Tabella1[[#This Row],[MAR]]="X"), "X", IF(AND('Inserimento dati'!$B$3=$J$2, Tabella1[[#This Row],[MER]]="X"), "X",IF(AND('Inserimento dati'!$B$3=$K$2, Tabella1[[#This Row],[GIO]]="X"), "X", IF(AND('Inserimento dati'!$B$3=$L$2, Tabella1[[#This Row],[VEN]]="X"), "X","")))))</f>
        <v/>
      </c>
      <c r="U63" s="132">
        <f>IFERROR(MID(G63,_xlfn.AGGREGATE(15,6,(ROW(INDIRECT("1:"&amp;LEN(G63)-7)))/(ISNUMBER(--MID(G63,ROW(INDIRECT("1:"&amp;LEN(G63)-7)),8))),1),8),"")</f>
        <v/>
      </c>
      <c r="V63" t="inlineStr">
        <is>
          <t>2025-09-30 20:00:00</t>
        </is>
      </c>
    </row>
    <row r="64" ht="23.25" customFormat="1" customHeight="1" s="45">
      <c r="A64" s="112" t="n"/>
      <c r="B64" s="112">
        <f>IF(OR(A64="x",A64="X"),"",IF(ISBLANK(A64),"X",""))</f>
        <v/>
      </c>
      <c r="C64" s="112">
        <f>IF(OR(Tabella1[[#This Row],[LUN]]="X",Tabella1[[#This Row],[MAR]]="X",Tabella1[[#This Row],[MER]]="X",Tabella1[[#This Row],[GIO]]="X",Tabella1[[#This Row],[VEN]]="X",),"X","")</f>
        <v/>
      </c>
      <c r="D64" s="113" t="inlineStr">
        <is>
          <t>AREA 2</t>
        </is>
      </c>
      <c r="E64" s="109" t="inlineStr">
        <is>
          <t>521513/C</t>
        </is>
      </c>
      <c r="F64" s="109" t="n">
        <v>1000</v>
      </c>
      <c r="G64" s="109" t="inlineStr">
        <is>
          <t>1000 - L115RC(FONDO T102) CONTROLLO E RIPRISTINO FUNZIONALITA LIVELLO</t>
        </is>
      </c>
      <c r="H64" s="111" t="n"/>
      <c r="I64" s="111" t="n"/>
      <c r="J64" s="111" t="n"/>
      <c r="K64" s="111" t="n"/>
      <c r="L64" s="111" t="n"/>
      <c r="M64" s="109" t="inlineStr">
        <is>
          <t>DA CHIUDERE</t>
        </is>
      </c>
      <c r="N64" s="109" t="n"/>
      <c r="O64" s="113" t="n"/>
      <c r="P64" s="109" t="n"/>
      <c r="Q64" s="109" t="n"/>
      <c r="R64" s="110" t="n"/>
      <c r="S64" s="110" t="n"/>
      <c r="T64" s="112">
        <f>IF(AND('Inserimento dati'!$B$3=$H$2, Tabella1[[#This Row],[LUN]]="X"), "X",IF(AND('Inserimento dati'!$B$3=$I$2, Tabella1[[#This Row],[MAR]]="X"), "X", IF(AND('Inserimento dati'!$B$3=$J$2, Tabella1[[#This Row],[MER]]="X"), "X",IF(AND('Inserimento dati'!$B$3=$K$2, Tabella1[[#This Row],[GIO]]="X"), "X", IF(AND('Inserimento dati'!$B$3=$L$2, Tabella1[[#This Row],[VEN]]="X"), "X","")))))</f>
        <v/>
      </c>
      <c r="U64" s="132">
        <f>IFERROR(MID(G64,_xlfn.AGGREGATE(15,6,(ROW(INDIRECT("1:"&amp;LEN(G64)-7)))/(ISNUMBER(--MID(G64,ROW(INDIRECT("1:"&amp;LEN(G64)-7)),8))),1),8),"")</f>
        <v/>
      </c>
      <c r="V64" t="inlineStr">
        <is>
          <t>2025-09-30 20:00:00</t>
        </is>
      </c>
    </row>
    <row r="65" ht="23.25" customFormat="1" customHeight="1" s="45">
      <c r="A65" s="112" t="n"/>
      <c r="B65" s="112">
        <f>IF(OR(A65="x",A65="X"),"",IF(ISBLANK(A65),"X",""))</f>
        <v/>
      </c>
      <c r="C65" s="112">
        <f>IF(OR(Tabella1[[#This Row],[LUN]]="X",Tabella1[[#This Row],[MAR]]="X",Tabella1[[#This Row],[MER]]="X",Tabella1[[#This Row],[GIO]]="X",Tabella1[[#This Row],[VEN]]="X",),"X","")</f>
        <v/>
      </c>
      <c r="D65" s="113" t="inlineStr">
        <is>
          <t>AREA 2</t>
        </is>
      </c>
      <c r="E65" s="109" t="inlineStr">
        <is>
          <t>521023/C</t>
        </is>
      </c>
      <c r="F65" s="109" t="n">
        <v>1000</v>
      </c>
      <c r="G65" s="109" t="inlineStr">
        <is>
          <t>1000R152BV RIPRISTINO FINE CORSA DI CHIUSURA</t>
        </is>
      </c>
      <c r="H65" s="111" t="n"/>
      <c r="I65" s="111" t="n"/>
      <c r="J65" s="111" t="n"/>
      <c r="K65" s="111" t="n"/>
      <c r="L65" s="111" t="n"/>
      <c r="M65" s="109" t="inlineStr">
        <is>
          <t>DA CHIUDERE</t>
        </is>
      </c>
      <c r="N65" s="109" t="n"/>
      <c r="O65" s="113" t="n"/>
      <c r="P65" s="109" t="n"/>
      <c r="Q65" s="109" t="n"/>
      <c r="R65" s="110" t="n"/>
      <c r="S65" s="110" t="n"/>
      <c r="T65" s="112">
        <f>IF(AND('Inserimento dati'!$B$3=$H$2, Tabella1[[#This Row],[LUN]]="X"), "X",IF(AND('Inserimento dati'!$B$3=$I$2, Tabella1[[#This Row],[MAR]]="X"), "X", IF(AND('Inserimento dati'!$B$3=$J$2, Tabella1[[#This Row],[MER]]="X"), "X",IF(AND('Inserimento dati'!$B$3=$K$2, Tabella1[[#This Row],[GIO]]="X"), "X", IF(AND('Inserimento dati'!$B$3=$L$2, Tabella1[[#This Row],[VEN]]="X"), "X","")))))</f>
        <v/>
      </c>
      <c r="U65" s="132">
        <f>IFERROR(MID(G65,_xlfn.AGGREGATE(15,6,(ROW(INDIRECT("1:"&amp;LEN(G65)-7)))/(ISNUMBER(--MID(G65,ROW(INDIRECT("1:"&amp;LEN(G65)-7)),8))),1),8),"")</f>
        <v/>
      </c>
      <c r="V65" t="inlineStr">
        <is>
          <t>2025-09-30 20:00:00</t>
        </is>
      </c>
    </row>
    <row r="66" ht="30" customFormat="1" customHeight="1" s="45">
      <c r="A66" s="112" t="n"/>
      <c r="B66" s="112">
        <f>IF(OR(A66="x",A66="X"),"",IF(ISBLANK(A66),"X",""))</f>
        <v/>
      </c>
      <c r="C66" s="112">
        <f>IF(OR(Tabella1[[#This Row],[LUN]]="X",Tabella1[[#This Row],[MAR]]="X",Tabella1[[#This Row],[MER]]="X",Tabella1[[#This Row],[GIO]]="X",Tabella1[[#This Row],[VEN]]="X",),"X","")</f>
        <v/>
      </c>
      <c r="D66" s="113" t="inlineStr">
        <is>
          <t>AREA 2</t>
        </is>
      </c>
      <c r="E66" s="109" t="inlineStr">
        <is>
          <t>520681/C</t>
        </is>
      </c>
      <c r="F66" s="109" t="n">
        <v>1000</v>
      </c>
      <c r="G66" s="109" t="inlineStr">
        <is>
          <t>1000 - F124CV RIMONTAGGIO VALVOLA PER REVISIONE</t>
        </is>
      </c>
      <c r="H66" s="111" t="n"/>
      <c r="I66" s="111" t="n"/>
      <c r="J66" s="111" t="n"/>
      <c r="K66" s="111" t="n"/>
      <c r="L66" s="111" t="n"/>
      <c r="M66" s="109" t="inlineStr">
        <is>
          <t>DA CHIUDERE</t>
        </is>
      </c>
      <c r="N66" s="109" t="n"/>
      <c r="O66" s="113" t="n"/>
      <c r="P66" s="109" t="n"/>
      <c r="Q66" s="109" t="inlineStr">
        <is>
          <t>OFF. VALVOLE</t>
        </is>
      </c>
      <c r="R66" s="110" t="n">
        <v>45656</v>
      </c>
      <c r="S66" s="110" t="inlineStr">
        <is>
          <t>BASSETTA / MILARDO</t>
        </is>
      </c>
      <c r="T66" s="112">
        <f>IF(AND('Inserimento dati'!$B$3=$H$2, Tabella1[[#This Row],[LUN]]="X"), "X",IF(AND('Inserimento dati'!$B$3=$I$2, Tabella1[[#This Row],[MAR]]="X"), "X", IF(AND('Inserimento dati'!$B$3=$J$2, Tabella1[[#This Row],[MER]]="X"), "X",IF(AND('Inserimento dati'!$B$3=$K$2, Tabella1[[#This Row],[GIO]]="X"), "X", IF(AND('Inserimento dati'!$B$3=$L$2, Tabella1[[#This Row],[VEN]]="X"), "X","")))))</f>
        <v/>
      </c>
      <c r="U66" s="132">
        <f>IFERROR(MID(G66,_xlfn.AGGREGATE(15,6,(ROW(INDIRECT("1:"&amp;LEN(G66)-7)))/(ISNUMBER(--MID(G66,ROW(INDIRECT("1:"&amp;LEN(G66)-7)),8))),1),8),"")</f>
        <v/>
      </c>
      <c r="V66" t="inlineStr">
        <is>
          <t>2025-09-30 20:00:00</t>
        </is>
      </c>
    </row>
    <row r="67" ht="30" customFormat="1" customHeight="1" s="4">
      <c r="A67" s="112" t="n"/>
      <c r="B67" s="112">
        <f>IF(OR(A67="x",A67="X"),"",IF(ISBLANK(A67),"X",""))</f>
        <v/>
      </c>
      <c r="C67" s="112">
        <f>IF(OR(Tabella1[[#This Row],[LUN]]="X",Tabella1[[#This Row],[MAR]]="X",Tabella1[[#This Row],[MER]]="X",Tabella1[[#This Row],[GIO]]="X",Tabella1[[#This Row],[VEN]]="X",),"X","")</f>
        <v/>
      </c>
      <c r="D67" s="113" t="inlineStr">
        <is>
          <t>AREA 2</t>
        </is>
      </c>
      <c r="E67" s="109" t="inlineStr">
        <is>
          <t>520975/C</t>
        </is>
      </c>
      <c r="F67" s="109" t="n">
        <v>1000</v>
      </c>
      <c r="G67" s="109" t="inlineStr">
        <is>
          <t>1000 - L263HCO (D107) SOSTITUZIONE GRUPPO BYPASS E RIEMPIMENTO PRIMARI METTERE MOS PRIMA DI INIZIARE ATTIVITA')</t>
        </is>
      </c>
      <c r="H67" s="111" t="n"/>
      <c r="I67" s="111" t="n"/>
      <c r="J67" s="111" t="n"/>
      <c r="K67" s="111" t="n"/>
      <c r="L67" s="111" t="n"/>
      <c r="M67" s="109" t="inlineStr">
        <is>
          <t>DA CHIUDERE</t>
        </is>
      </c>
      <c r="N67" s="109" t="n"/>
      <c r="O67" s="113" t="n"/>
      <c r="P67" s="109" t="n"/>
      <c r="Q67" s="109" t="inlineStr">
        <is>
          <t>SOSTITUITO GRUPPO BYPASS ED ESEGUITO RIEMPIMENTO PRIMARIO CON GLICERINA</t>
        </is>
      </c>
      <c r="R67" s="110" t="n">
        <v>45656</v>
      </c>
      <c r="S67" s="110" t="inlineStr">
        <is>
          <t>MILLO/ALLEGRETTI</t>
        </is>
      </c>
      <c r="T67" s="112">
        <f>IF(AND('Inserimento dati'!$B$3=$H$2, Tabella1[[#This Row],[LUN]]="X"), "X",IF(AND('Inserimento dati'!$B$3=$I$2, Tabella1[[#This Row],[MAR]]="X"), "X", IF(AND('Inserimento dati'!$B$3=$J$2, Tabella1[[#This Row],[MER]]="X"), "X",IF(AND('Inserimento dati'!$B$3=$K$2, Tabella1[[#This Row],[GIO]]="X"), "X", IF(AND('Inserimento dati'!$B$3=$L$2, Tabella1[[#This Row],[VEN]]="X"), "X","")))))</f>
        <v/>
      </c>
      <c r="U67" s="132">
        <f>IFERROR(MID(G67,_xlfn.AGGREGATE(15,6,(ROW(INDIRECT("1:"&amp;LEN(G67)-7)))/(ISNUMBER(--MID(G67,ROW(INDIRECT("1:"&amp;LEN(G67)-7)),8))),1),8),"")</f>
        <v/>
      </c>
      <c r="V67" t="inlineStr">
        <is>
          <t>2025-09-30 20:00:00</t>
        </is>
      </c>
    </row>
    <row r="68" ht="23.25" customFormat="1" customHeight="1" s="45">
      <c r="A68" s="112" t="n"/>
      <c r="B68" s="112">
        <f>IF(OR(A68="x",A68="X"),"",IF(ISBLANK(A68),"X",""))</f>
        <v/>
      </c>
      <c r="C68" s="112">
        <f>IF(OR(Tabella1[[#This Row],[LUN]]="X",Tabella1[[#This Row],[MAR]]="X",Tabella1[[#This Row],[MER]]="X",Tabella1[[#This Row],[GIO]]="X",Tabella1[[#This Row],[VEN]]="X",),"X","")</f>
        <v/>
      </c>
      <c r="D68" s="113" t="inlineStr">
        <is>
          <t>AREA 2</t>
        </is>
      </c>
      <c r="E68" s="109" t="inlineStr">
        <is>
          <t>520974/C</t>
        </is>
      </c>
      <c r="F68" s="109" t="n">
        <v>1000</v>
      </c>
      <c r="G68" s="109" t="inlineStr">
        <is>
          <t>1000 - P173CV SMONTAGGIO /MONTAGGIO PER REVISIONE VALVOLA</t>
        </is>
      </c>
      <c r="H68" s="111" t="n"/>
      <c r="I68" s="111" t="n"/>
      <c r="J68" s="111" t="n"/>
      <c r="K68" s="111" t="n"/>
      <c r="L68" s="111" t="n"/>
      <c r="M68" s="109" t="inlineStr">
        <is>
          <t>DA CHIUDERE</t>
        </is>
      </c>
      <c r="N68" s="109" t="n"/>
      <c r="O68" s="113" t="n"/>
      <c r="P68" s="109" t="n"/>
      <c r="Q68" s="109" t="inlineStr">
        <is>
          <t>OFF. VALVOLE - PERDITA DALLE TENUTE</t>
        </is>
      </c>
      <c r="R68" s="110" t="n">
        <v>45656</v>
      </c>
      <c r="S68" s="110" t="inlineStr">
        <is>
          <t>OFF.VALVOLE</t>
        </is>
      </c>
      <c r="T68" s="112">
        <f>IF(AND('Inserimento dati'!$B$3=$H$2, Tabella1[[#This Row],[LUN]]="X"), "X",IF(AND('Inserimento dati'!$B$3=$I$2, Tabella1[[#This Row],[MAR]]="X"), "X", IF(AND('Inserimento dati'!$B$3=$J$2, Tabella1[[#This Row],[MER]]="X"), "X",IF(AND('Inserimento dati'!$B$3=$K$2, Tabella1[[#This Row],[GIO]]="X"), "X", IF(AND('Inserimento dati'!$B$3=$L$2, Tabella1[[#This Row],[VEN]]="X"), "X","")))))</f>
        <v/>
      </c>
      <c r="U68" s="132">
        <f>IFERROR(MID(G68,_xlfn.AGGREGATE(15,6,(ROW(INDIRECT("1:"&amp;LEN(G68)-7)))/(ISNUMBER(--MID(G68,ROW(INDIRECT("1:"&amp;LEN(G68)-7)),8))),1),8),"")</f>
        <v/>
      </c>
      <c r="V68" t="inlineStr">
        <is>
          <t>2025-09-30 20:00:00</t>
        </is>
      </c>
    </row>
    <row r="69" ht="30" customFormat="1" customHeight="1" s="45">
      <c r="A69" s="112" t="n"/>
      <c r="B69" s="112">
        <f>IF(OR(A69="x",A69="X"),"",IF(ISBLANK(A69),"X",""))</f>
        <v/>
      </c>
      <c r="C69" s="112">
        <f>IF(OR(Tabella1[[#This Row],[LUN]]="X",Tabella1[[#This Row],[MAR]]="X",Tabella1[[#This Row],[MER]]="X",Tabella1[[#This Row],[GIO]]="X",Tabella1[[#This Row],[VEN]]="X",),"X","")</f>
        <v/>
      </c>
      <c r="D69" s="113" t="inlineStr">
        <is>
          <t>AREA 2</t>
        </is>
      </c>
      <c r="E69" s="109" t="inlineStr">
        <is>
          <t>517314/C</t>
        </is>
      </c>
      <c r="F69" s="109" t="n">
        <v>1000</v>
      </c>
      <c r="G69" s="109" t="inlineStr">
        <is>
          <t>1000 - L114CV SERRAGGIO PREMITRECCIA</t>
        </is>
      </c>
      <c r="H69" s="111" t="n"/>
      <c r="I69" s="111" t="n"/>
      <c r="J69" s="111" t="n"/>
      <c r="K69" s="111" t="n"/>
      <c r="L69" s="111" t="n"/>
      <c r="M69" s="109" t="inlineStr">
        <is>
          <t>DA CHIUDERE</t>
        </is>
      </c>
      <c r="N69" s="109" t="n"/>
      <c r="O69" s="113" t="n"/>
      <c r="P69" s="109" t="n"/>
      <c r="Q69" s="109" t="n"/>
      <c r="R69" s="110" t="n">
        <v>45610</v>
      </c>
      <c r="S69" s="110" t="inlineStr">
        <is>
          <t>SPINALI/PUGLIARES</t>
        </is>
      </c>
      <c r="T69" s="112">
        <f>IF(AND('Inserimento dati'!$B$3=$H$2, Tabella1[[#This Row],[LUN]]="X"), "X",IF(AND('Inserimento dati'!$B$3=$I$2, Tabella1[[#This Row],[MAR]]="X"), "X", IF(AND('Inserimento dati'!$B$3=$J$2, Tabella1[[#This Row],[MER]]="X"), "X",IF(AND('Inserimento dati'!$B$3=$K$2, Tabella1[[#This Row],[GIO]]="X"), "X", IF(AND('Inserimento dati'!$B$3=$L$2, Tabella1[[#This Row],[VEN]]="X"), "X","")))))</f>
        <v/>
      </c>
      <c r="U69" s="132">
        <f>IFERROR(MID(G69,_xlfn.AGGREGATE(15,6,(ROW(INDIRECT("1:"&amp;LEN(G69)-7)))/(ISNUMBER(--MID(G69,ROW(INDIRECT("1:"&amp;LEN(G69)-7)),8))),1),8),"")</f>
        <v/>
      </c>
      <c r="V69" t="inlineStr">
        <is>
          <t>2025-09-30 20:00:00</t>
        </is>
      </c>
    </row>
    <row r="70" ht="30" customFormat="1" customHeight="1" s="45">
      <c r="A70" s="112" t="n"/>
      <c r="B70" s="112">
        <f>IF(OR(A70="x",A70="X"),"",IF(ISBLANK(A70),"X",""))</f>
        <v/>
      </c>
      <c r="C70" s="112">
        <f>IF(OR(Tabella1[[#This Row],[LUN]]="X",Tabella1[[#This Row],[MAR]]="X",Tabella1[[#This Row],[MER]]="X",Tabella1[[#This Row],[GIO]]="X",Tabella1[[#This Row],[VEN]]="X",),"X","")</f>
        <v/>
      </c>
      <c r="D70" s="113" t="inlineStr">
        <is>
          <t>AREA 2</t>
        </is>
      </c>
      <c r="E70" s="109" t="inlineStr">
        <is>
          <t>518012/C</t>
        </is>
      </c>
      <c r="F70" s="109" t="n">
        <v>600</v>
      </c>
      <c r="G70" s="109" t="inlineStr">
        <is>
          <t>600P105B SCOLLEGAMENTO E SUCCESSIVO RICOLLEGAMENTO STRUMENTAZIONE BARILOTTO PERDITE TENUTE</t>
        </is>
      </c>
      <c r="H70" s="111" t="n"/>
      <c r="I70" s="111" t="n"/>
      <c r="J70" s="111" t="n"/>
      <c r="K70" s="111" t="n"/>
      <c r="L70" s="111" t="n"/>
      <c r="M70" s="109" t="inlineStr">
        <is>
          <t>DA CHIUDERE</t>
        </is>
      </c>
      <c r="N70" s="109" t="n"/>
      <c r="O70" s="113" t="n"/>
      <c r="P70" s="109" t="n"/>
      <c r="Q70" s="109" t="n"/>
      <c r="R70" s="110" t="n">
        <v>45602</v>
      </c>
      <c r="S70" s="110" t="inlineStr">
        <is>
          <t>TARASCIO/PARTESANO</t>
        </is>
      </c>
      <c r="T70" s="112">
        <f>IF(AND('Inserimento dati'!$B$3=$H$2, Tabella1[[#This Row],[LUN]]="X"), "X",IF(AND('Inserimento dati'!$B$3=$I$2, Tabella1[[#This Row],[MAR]]="X"), "X", IF(AND('Inserimento dati'!$B$3=$J$2, Tabella1[[#This Row],[MER]]="X"), "X",IF(AND('Inserimento dati'!$B$3=$K$2, Tabella1[[#This Row],[GIO]]="X"), "X", IF(AND('Inserimento dati'!$B$3=$L$2, Tabella1[[#This Row],[VEN]]="X"), "X","")))))</f>
        <v/>
      </c>
      <c r="U70" s="132">
        <f>IFERROR(MID(G70,_xlfn.AGGREGATE(15,6,(ROW(INDIRECT("1:"&amp;LEN(G70)-7)))/(ISNUMBER(--MID(G70,ROW(INDIRECT("1:"&amp;LEN(G70)-7)),8))),1),8),"")</f>
        <v/>
      </c>
      <c r="V70" t="inlineStr">
        <is>
          <t>2025-09-30 20:00:00</t>
        </is>
      </c>
    </row>
    <row r="71" ht="30" customFormat="1" customHeight="1" s="45">
      <c r="A71" s="112" t="n"/>
      <c r="B71" s="112">
        <f>IF(OR(A71="x",A71="X"),"",IF(ISBLANK(A71),"X",""))</f>
        <v/>
      </c>
      <c r="C71" s="112">
        <f>IF(OR(Tabella1[[#This Row],[LUN]]="X",Tabella1[[#This Row],[MAR]]="X",Tabella1[[#This Row],[MER]]="X",Tabella1[[#This Row],[GIO]]="X",Tabella1[[#This Row],[VEN]]="X",),"X","")</f>
        <v/>
      </c>
      <c r="D71" s="113" t="inlineStr">
        <is>
          <t>AREA 2</t>
        </is>
      </c>
      <c r="E71" s="109" t="inlineStr">
        <is>
          <t>517457/C</t>
        </is>
      </c>
      <c r="F71" s="109" t="n">
        <v>1000</v>
      </c>
      <c r="G71" s="109" t="inlineStr">
        <is>
          <t>1000RBV115 RIPRISTINO FUNZIONALITA' VALVOLA</t>
        </is>
      </c>
      <c r="H71" s="111" t="n"/>
      <c r="I71" s="111" t="n"/>
      <c r="J71" s="111" t="n"/>
      <c r="K71" s="111" t="n"/>
      <c r="L71" s="111" t="n"/>
      <c r="M71" s="109" t="inlineStr">
        <is>
          <t>DA CHIUDERE</t>
        </is>
      </c>
      <c r="N71" s="109" t="n"/>
      <c r="O71" s="113" t="n"/>
      <c r="P71" s="109" t="n"/>
      <c r="Q71" s="109" t="inlineStr">
        <is>
          <t>SOSTITUITO FINECORSA</t>
        </is>
      </c>
      <c r="R71" s="110" t="n">
        <v>45602</v>
      </c>
      <c r="S71" s="110" t="inlineStr">
        <is>
          <t>TARASCIO/PARTESANO</t>
        </is>
      </c>
      <c r="T71" s="112">
        <f>IF(AND('Inserimento dati'!$B$3=$H$2, Tabella1[[#This Row],[LUN]]="X"), "X",IF(AND('Inserimento dati'!$B$3=$I$2, Tabella1[[#This Row],[MAR]]="X"), "X", IF(AND('Inserimento dati'!$B$3=$J$2, Tabella1[[#This Row],[MER]]="X"), "X",IF(AND('Inserimento dati'!$B$3=$K$2, Tabella1[[#This Row],[GIO]]="X"), "X", IF(AND('Inserimento dati'!$B$3=$L$2, Tabella1[[#This Row],[VEN]]="X"), "X","")))))</f>
        <v/>
      </c>
      <c r="U71" s="132">
        <f>IFERROR(MID(G71,_xlfn.AGGREGATE(15,6,(ROW(INDIRECT("1:"&amp;LEN(G71)-7)))/(ISNUMBER(--MID(G71,ROW(INDIRECT("1:"&amp;LEN(G71)-7)),8))),1),8),"")</f>
        <v/>
      </c>
      <c r="V71" t="inlineStr">
        <is>
          <t>2025-09-30 20:00:00</t>
        </is>
      </c>
    </row>
    <row r="72" ht="30" customFormat="1" customHeight="1" s="45">
      <c r="A72" s="112" t="n"/>
      <c r="B72" s="112">
        <f>IF(OR(A72="x",A72="X"),"",IF(ISBLANK(A72),"X",""))</f>
        <v/>
      </c>
      <c r="C72" s="112">
        <f>IF(OR(Tabella1[[#This Row],[LUN]]="X",Tabella1[[#This Row],[MAR]]="X",Tabella1[[#This Row],[MER]]="X",Tabella1[[#This Row],[GIO]]="X",Tabella1[[#This Row],[VEN]]="X",),"X","")</f>
        <v/>
      </c>
      <c r="D72" s="113" t="inlineStr">
        <is>
          <t>AREA 2</t>
        </is>
      </c>
      <c r="E72" s="109" t="inlineStr">
        <is>
          <t>515766/C</t>
        </is>
      </c>
      <c r="F72" s="109" t="n">
        <v>1000</v>
      </c>
      <c r="G72" s="109" t="inlineStr">
        <is>
          <t>Ripristino perdita su accoppiamento flangiato livello a capillare L102BT(SEPAR. ALTA PRESS.D104); interfacciarsi con sala controllo prima di iniziare attivita'.</t>
        </is>
      </c>
      <c r="H72" s="111" t="n"/>
      <c r="I72" s="111" t="n"/>
      <c r="J72" s="111" t="n"/>
      <c r="K72" s="111" t="n"/>
      <c r="L72" s="111" t="n"/>
      <c r="M72" s="109" t="inlineStr">
        <is>
          <t>DA CHIUDERE</t>
        </is>
      </c>
      <c r="N72" s="109" t="n"/>
      <c r="O72" s="113" t="n"/>
      <c r="P72" s="109" t="n"/>
      <c r="Q72" s="109" t="inlineStr">
        <is>
          <t>NONOSTANTE LA FLANGIA E' STATA LAVORATA AL TORNIO E INSERITA GUARNIZIONE, LA PERDITA NON SI RIESCE A FERMARE.</t>
        </is>
      </c>
      <c r="R72" s="110" t="n"/>
      <c r="S72" s="110" t="n"/>
      <c r="T72" s="112">
        <f>IF(AND('Inserimento dati'!$B$3=$H$2, Tabella1[[#This Row],[LUN]]="X"), "X",IF(AND('Inserimento dati'!$B$3=$I$2, Tabella1[[#This Row],[MAR]]="X"), "X", IF(AND('Inserimento dati'!$B$3=$J$2, Tabella1[[#This Row],[MER]]="X"), "X",IF(AND('Inserimento dati'!$B$3=$K$2, Tabella1[[#This Row],[GIO]]="X"), "X", IF(AND('Inserimento dati'!$B$3=$L$2, Tabella1[[#This Row],[VEN]]="X"), "X","")))))</f>
        <v/>
      </c>
      <c r="U72" s="132">
        <f>IFERROR(MID(G72,_xlfn.AGGREGATE(15,6,(ROW(INDIRECT("1:"&amp;LEN(G72)-7)))/(ISNUMBER(--MID(G72,ROW(INDIRECT("1:"&amp;LEN(G72)-7)),8))),1),8),"")</f>
        <v/>
      </c>
      <c r="V72" t="inlineStr">
        <is>
          <t>2025-09-30 20:00:00</t>
        </is>
      </c>
    </row>
    <row r="73" ht="23.25" customFormat="1" customHeight="1" s="45">
      <c r="A73" s="112" t="n"/>
      <c r="B73" s="112">
        <f>IF(OR(A73="x",A73="X"),"",IF(ISBLANK(A73),"X",""))</f>
        <v/>
      </c>
      <c r="C73" s="112">
        <f>IF(OR(Tabella1[[#This Row],[LUN]]="X",Tabella1[[#This Row],[MAR]]="X",Tabella1[[#This Row],[MER]]="X",Tabella1[[#This Row],[GIO]]="X",Tabella1[[#This Row],[VEN]]="X",),"X","")</f>
        <v/>
      </c>
      <c r="D73" s="113" t="inlineStr">
        <is>
          <t>AREA 2</t>
        </is>
      </c>
      <c r="E73" s="109" t="inlineStr">
        <is>
          <t>515759/C</t>
        </is>
      </c>
      <c r="F73" s="109" t="n">
        <v>700</v>
      </c>
      <c r="G73" s="109" t="inlineStr">
        <is>
          <t>600F001CV 06F006CV 06F008CV (PASSI DI CARICA)</t>
        </is>
      </c>
      <c r="H73" s="111" t="n"/>
      <c r="I73" s="111" t="n"/>
      <c r="J73" s="111" t="n"/>
      <c r="K73" s="111" t="n"/>
      <c r="L73" s="111" t="n"/>
      <c r="M73" s="109" t="inlineStr">
        <is>
          <t>DA CHIUDERE</t>
        </is>
      </c>
      <c r="N73" s="109" t="n"/>
      <c r="O73" s="113" t="n"/>
      <c r="P73" s="109" t="n"/>
      <c r="Q73" s="109" t="inlineStr">
        <is>
          <t>SERRAGGIO PREMITRECCIA, VALVOLE PROVATE CON OPERATORE</t>
        </is>
      </c>
      <c r="R73" s="110" t="n"/>
      <c r="S73" s="110" t="n"/>
      <c r="T73" s="112">
        <f>IF(AND('Inserimento dati'!$B$3=$H$2, Tabella1[[#This Row],[LUN]]="X"), "X",IF(AND('Inserimento dati'!$B$3=$I$2, Tabella1[[#This Row],[MAR]]="X"), "X", IF(AND('Inserimento dati'!$B$3=$J$2, Tabella1[[#This Row],[MER]]="X"), "X",IF(AND('Inserimento dati'!$B$3=$K$2, Tabella1[[#This Row],[GIO]]="X"), "X", IF(AND('Inserimento dati'!$B$3=$L$2, Tabella1[[#This Row],[VEN]]="X"), "X","")))))</f>
        <v/>
      </c>
      <c r="U73" s="132">
        <f>IFERROR(MID(G73,_xlfn.AGGREGATE(15,6,(ROW(INDIRECT("1:"&amp;LEN(G73)-7)))/(ISNUMBER(--MID(G73,ROW(INDIRECT("1:"&amp;LEN(G73)-7)),8))),1),8),"")</f>
        <v/>
      </c>
      <c r="V73" t="inlineStr">
        <is>
          <t>2025-09-30 20:00:00</t>
        </is>
      </c>
    </row>
    <row r="74" ht="30" customFormat="1" customHeight="1" s="45">
      <c r="A74" s="112" t="n"/>
      <c r="B74" s="112">
        <f>IF(OR(A74="x",A74="X"),"",IF(ISBLANK(A74),"X",""))</f>
        <v/>
      </c>
      <c r="C74" s="112">
        <f>IF(OR(Tabella1[[#This Row],[LUN]]="X",Tabella1[[#This Row],[MAR]]="X",Tabella1[[#This Row],[MER]]="X",Tabella1[[#This Row],[GIO]]="X",Tabella1[[#This Row],[VEN]]="X",),"X","")</f>
        <v/>
      </c>
      <c r="D74" s="113" t="inlineStr">
        <is>
          <t>AREA 2</t>
        </is>
      </c>
      <c r="E74" s="109" t="inlineStr">
        <is>
          <t>515738/C</t>
        </is>
      </c>
      <c r="F74" s="109" t="n">
        <v>600</v>
      </c>
      <c r="G74" s="109" t="inlineStr">
        <is>
          <t>600F013RC (M.S. TERZO PASSO)CONTROLLO E RIPRISTINO FUNZIONALITA'</t>
        </is>
      </c>
      <c r="H74" s="111" t="n"/>
      <c r="I74" s="111" t="n"/>
      <c r="J74" s="111" t="n"/>
      <c r="K74" s="111" t="n"/>
      <c r="L74" s="111" t="n"/>
      <c r="M74" s="109" t="inlineStr">
        <is>
          <t>DA CHIUDERE</t>
        </is>
      </c>
      <c r="N74" s="109" t="n"/>
      <c r="O74" s="113" t="n"/>
      <c r="P74" s="109" t="n"/>
      <c r="Q74" s="109" t="inlineStr">
        <is>
          <t>TROVATA PRESA NEGATIVA TAPPATA, NON SI RIESCE A STASARLA. NECESSITA PONTEGGIO PER CHIUDERE LE VALVOLE DI RADICE.</t>
        </is>
      </c>
      <c r="R74" s="110" t="n"/>
      <c r="S74" s="110" t="n"/>
      <c r="T74" s="112">
        <f>IF(AND('Inserimento dati'!$B$3=$H$2, Tabella1[[#This Row],[LUN]]="X"), "X",IF(AND('Inserimento dati'!$B$3=$I$2, Tabella1[[#This Row],[MAR]]="X"), "X", IF(AND('Inserimento dati'!$B$3=$J$2, Tabella1[[#This Row],[MER]]="X"), "X",IF(AND('Inserimento dati'!$B$3=$K$2, Tabella1[[#This Row],[GIO]]="X"), "X", IF(AND('Inserimento dati'!$B$3=$L$2, Tabella1[[#This Row],[VEN]]="X"), "X","")))))</f>
        <v/>
      </c>
      <c r="U74" s="132">
        <f>IFERROR(MID(G74,_xlfn.AGGREGATE(15,6,(ROW(INDIRECT("1:"&amp;LEN(G74)-7)))/(ISNUMBER(--MID(G74,ROW(INDIRECT("1:"&amp;LEN(G74)-7)),8))),1),8),"")</f>
        <v/>
      </c>
      <c r="V74" t="inlineStr">
        <is>
          <t>2025-09-30 20:00:00</t>
        </is>
      </c>
    </row>
    <row r="75" ht="23.25" customFormat="1" customHeight="1" s="45">
      <c r="A75" s="112" t="n"/>
      <c r="B75" s="112">
        <f>IF(OR(A75="x",A75="X"),"",IF(ISBLANK(A75),"X",""))</f>
        <v/>
      </c>
      <c r="C75" s="112">
        <f>IF(OR(Tabella1[[#This Row],[LUN]]="X",Tabella1[[#This Row],[MAR]]="X",Tabella1[[#This Row],[MER]]="X",Tabella1[[#This Row],[GIO]]="X",Tabella1[[#This Row],[VEN]]="X",),"X","")</f>
        <v/>
      </c>
      <c r="D75" s="113" t="inlineStr">
        <is>
          <t>AREA 2</t>
        </is>
      </c>
      <c r="E75" s="109" t="inlineStr">
        <is>
          <t>535630/C</t>
        </is>
      </c>
      <c r="F75" s="109" t="n">
        <v>500</v>
      </c>
      <c r="G75" s="109" t="inlineStr">
        <is>
          <t>500 - F002RC(CARICA TOTALE)CONTROLLO DI TARATURA STRUMENTO DI PORTATA</t>
        </is>
      </c>
      <c r="H75" s="111" t="n"/>
      <c r="I75" s="111" t="n"/>
      <c r="J75" s="111" t="n"/>
      <c r="K75" s="111" t="n"/>
      <c r="L75" s="111" t="n"/>
      <c r="M75" s="110" t="inlineStr">
        <is>
          <t>DA CHIUDERE</t>
        </is>
      </c>
      <c r="N75" s="110" t="n"/>
      <c r="O75" s="168" t="n"/>
      <c r="P75" s="110" t="n"/>
      <c r="Q75" s="109" t="inlineStr">
        <is>
          <t>CORRETTO DI ZERO</t>
        </is>
      </c>
      <c r="R75" s="110" t="n">
        <v>45785</v>
      </c>
      <c r="S75" s="110" t="inlineStr">
        <is>
          <t>SPINALI</t>
        </is>
      </c>
      <c r="T75" s="115">
        <f>IF(AND('Inserimento dati'!$B$3=$H$2, Tabella1[[#This Row],[LUN]]="X"), "X",IF(AND('Inserimento dati'!$B$3=$I$2, Tabella1[[#This Row],[MAR]]="X"), "X", IF(AND('Inserimento dati'!$B$3=$J$2, Tabella1[[#This Row],[MER]]="X"), "X",IF(AND('Inserimento dati'!$B$3=$K$2, Tabella1[[#This Row],[GIO]]="X"), "X", IF(AND('Inserimento dati'!$B$3=$L$2, Tabella1[[#This Row],[VEN]]="X"), "X","")))))</f>
        <v/>
      </c>
      <c r="U75" s="132">
        <f>IFERROR(MID(G75,_xlfn.AGGREGATE(15,6,(ROW(INDIRECT("1:"&amp;LEN(G75)-7)))/(ISNUMBER(--MID(G75,ROW(INDIRECT("1:"&amp;LEN(G75)-7)),8))),1),8),"")</f>
        <v/>
      </c>
      <c r="V75" t="inlineStr">
        <is>
          <t>2025-09-30 20:00:00</t>
        </is>
      </c>
    </row>
    <row r="76" ht="30" customFormat="1" customHeight="1" s="45">
      <c r="A76" s="112" t="n"/>
      <c r="B76" s="112">
        <f>IF(OR(A76="x",A76="X"),"",IF(ISBLANK(A76),"X",""))</f>
        <v/>
      </c>
      <c r="C76" s="112">
        <f>IF(OR(Tabella1[[#This Row],[LUN]]="X",Tabella1[[#This Row],[MAR]]="X",Tabella1[[#This Row],[MER]]="X",Tabella1[[#This Row],[GIO]]="X",Tabella1[[#This Row],[VEN]]="X",),"X","")</f>
        <v/>
      </c>
      <c r="D76" s="113" t="inlineStr">
        <is>
          <t>AREA 2</t>
        </is>
      </c>
      <c r="E76" s="109" t="inlineStr">
        <is>
          <t>536276/C</t>
        </is>
      </c>
      <c r="F76" s="109" t="n">
        <v>1000</v>
      </c>
      <c r="G76" s="109" t="inlineStr">
        <is>
          <t>1000 - F270CV(CARICA DA IMP.500) CONTROLLO DI TARATURA E FUNZIONALITA VALVOLA</t>
        </is>
      </c>
      <c r="H76" s="111" t="n"/>
      <c r="I76" s="111" t="n"/>
      <c r="J76" s="111" t="n"/>
      <c r="K76" s="111" t="n"/>
      <c r="L76" s="111" t="n"/>
      <c r="M76" s="110" t="inlineStr">
        <is>
          <t>DA CHIUDERE</t>
        </is>
      </c>
      <c r="N76" s="110" t="n"/>
      <c r="O76" s="168" t="n"/>
      <c r="P76" s="110" t="n"/>
      <c r="Q76" s="109" t="n"/>
      <c r="R76" s="110" t="n"/>
      <c r="S76" s="110" t="inlineStr">
        <is>
          <t>SAGGIO/GIGLIUTO</t>
        </is>
      </c>
      <c r="T76" s="114">
        <f>IF(AND('Inserimento dati'!$B$3=$H$2, Tabella1[[#This Row],[LUN]]="X"), "X",IF(AND('Inserimento dati'!$B$3=$I$2, Tabella1[[#This Row],[MAR]]="X"), "X", IF(AND('Inserimento dati'!$B$3=$J$2, Tabella1[[#This Row],[MER]]="X"), "X",IF(AND('Inserimento dati'!$B$3=$K$2, Tabella1[[#This Row],[GIO]]="X"), "X", IF(AND('Inserimento dati'!$B$3=$L$2, Tabella1[[#This Row],[VEN]]="X"), "X","")))))</f>
        <v/>
      </c>
      <c r="U76" s="132">
        <f>IFERROR(MID(G76,_xlfn.AGGREGATE(15,6,(ROW(INDIRECT("1:"&amp;LEN(G76)-7)))/(ISNUMBER(--MID(G76,ROW(INDIRECT("1:"&amp;LEN(G76)-7)),8))),1),8),"")</f>
        <v/>
      </c>
      <c r="V76" t="inlineStr">
        <is>
          <t>2025-09-30 20:00:00</t>
        </is>
      </c>
    </row>
    <row r="77" ht="30" customFormat="1" customHeight="1" s="45">
      <c r="A77" s="112" t="n"/>
      <c r="B77" s="112">
        <f>IF(OR(A77="x",A77="X"),"",IF(ISBLANK(A77),"X",""))</f>
        <v/>
      </c>
      <c r="C77" s="112">
        <f>IF(OR(Tabella1[[#This Row],[LUN]]="X",Tabella1[[#This Row],[MAR]]="X",Tabella1[[#This Row],[MER]]="X",Tabella1[[#This Row],[GIO]]="X",Tabella1[[#This Row],[VEN]]="X",),"X","")</f>
        <v/>
      </c>
      <c r="D77" s="113" t="inlineStr">
        <is>
          <t>AREA 2</t>
        </is>
      </c>
      <c r="E77" s="109" t="inlineStr">
        <is>
          <t>536113/C</t>
        </is>
      </c>
      <c r="F77" s="109" t="n">
        <v>500</v>
      </c>
      <c r="G77" s="109" t="inlineStr">
        <is>
          <t>500 - COLONNA T101 CONTROLLO F352R, L351RC, L352HA, L353SL</t>
        </is>
      </c>
      <c r="H77" s="111" t="n"/>
      <c r="I77" s="111" t="n"/>
      <c r="J77" s="111" t="n"/>
      <c r="K77" s="111" t="n"/>
      <c r="L77" s="111" t="n"/>
      <c r="M77" s="110" t="inlineStr">
        <is>
          <t>DA CHIUDERE</t>
        </is>
      </c>
      <c r="N77" s="110" t="n"/>
      <c r="O77" s="168" t="n"/>
      <c r="P77" s="110" t="n"/>
      <c r="Q77" s="109" t="inlineStr">
        <is>
          <t>LE RADICI NON FANNO TENUTA. ESEGUITO SOLO ALLINEAMENTO CON SALA CONTROLLO.</t>
        </is>
      </c>
      <c r="R77" s="110" t="n"/>
      <c r="S77" s="110" t="inlineStr">
        <is>
          <t>SPINALI/NOCERA</t>
        </is>
      </c>
      <c r="T77" s="114">
        <f>IF(AND('Inserimento dati'!$B$3=$H$2, Tabella1[[#This Row],[LUN]]="X"), "X",IF(AND('Inserimento dati'!$B$3=$I$2, Tabella1[[#This Row],[MAR]]="X"), "X", IF(AND('Inserimento dati'!$B$3=$J$2, Tabella1[[#This Row],[MER]]="X"), "X",IF(AND('Inserimento dati'!$B$3=$K$2, Tabella1[[#This Row],[GIO]]="X"), "X", IF(AND('Inserimento dati'!$B$3=$L$2, Tabella1[[#This Row],[VEN]]="X"), "X","")))))</f>
        <v/>
      </c>
      <c r="U77" s="132">
        <f>IFERROR(MID(G77,_xlfn.AGGREGATE(15,6,(ROW(INDIRECT("1:"&amp;LEN(G77)-7)))/(ISNUMBER(--MID(G77,ROW(INDIRECT("1:"&amp;LEN(G77)-7)),8))),1),8),"")</f>
        <v/>
      </c>
      <c r="V77" t="inlineStr">
        <is>
          <t>2025-09-30 20:00:00</t>
        </is>
      </c>
    </row>
    <row r="78" ht="23.25" customFormat="1" customHeight="1" s="45">
      <c r="A78" s="112" t="n"/>
      <c r="B78" s="112">
        <f>IF(OR(A78="x",A78="X"),"",IF(ISBLANK(A78),"X",""))</f>
        <v/>
      </c>
      <c r="C78" s="112">
        <f>IF(OR(Tabella1[[#This Row],[LUN]]="X",Tabella1[[#This Row],[MAR]]="X",Tabella1[[#This Row],[MER]]="X",Tabella1[[#This Row],[GIO]]="X",Tabella1[[#This Row],[VEN]]="X",),"X","")</f>
        <v/>
      </c>
      <c r="D78" s="113" t="inlineStr">
        <is>
          <t>AREA 2</t>
        </is>
      </c>
      <c r="E78" s="109" t="inlineStr">
        <is>
          <t>536115/C</t>
        </is>
      </c>
      <c r="F78" s="109" t="n">
        <v>500</v>
      </c>
      <c r="G78" s="109" t="inlineStr">
        <is>
          <t>500 - COLONNA T101 CONTROLLO L311I</t>
        </is>
      </c>
      <c r="H78" s="111" t="n"/>
      <c r="I78" s="111" t="n"/>
      <c r="J78" s="111" t="n"/>
      <c r="K78" s="111" t="n"/>
      <c r="L78" s="111" t="n"/>
      <c r="M78" s="110" t="inlineStr">
        <is>
          <t>DA CHIUDERE</t>
        </is>
      </c>
      <c r="N78" s="110" t="n"/>
      <c r="O78" s="168" t="n"/>
      <c r="P78" s="110" t="n"/>
      <c r="Q78" s="109" t="inlineStr">
        <is>
          <t>ERA IN FAIL SAFE, RIPRISTINATO</t>
        </is>
      </c>
      <c r="R78" s="110" t="n">
        <v>45791</v>
      </c>
      <c r="S78" s="110" t="inlineStr">
        <is>
          <t>SPINALI</t>
        </is>
      </c>
      <c r="T78" s="114">
        <f>IF(AND('Inserimento dati'!$B$3=$H$2, Tabella1[[#This Row],[LUN]]="X"), "X",IF(AND('Inserimento dati'!$B$3=$I$2, Tabella1[[#This Row],[MAR]]="X"), "X", IF(AND('Inserimento dati'!$B$3=$J$2, Tabella1[[#This Row],[MER]]="X"), "X",IF(AND('Inserimento dati'!$B$3=$K$2, Tabella1[[#This Row],[GIO]]="X"), "X", IF(AND('Inserimento dati'!$B$3=$L$2, Tabella1[[#This Row],[VEN]]="X"), "X","")))))</f>
        <v/>
      </c>
      <c r="U78" s="132">
        <f>IFERROR(MID(G78,_xlfn.AGGREGATE(15,6,(ROW(INDIRECT("1:"&amp;LEN(G78)-7)))/(ISNUMBER(--MID(G78,ROW(INDIRECT("1:"&amp;LEN(G78)-7)),8))),1),8),"")</f>
        <v/>
      </c>
      <c r="V78" t="inlineStr">
        <is>
          <t>2025-09-30 20:00:00</t>
        </is>
      </c>
    </row>
    <row r="79" ht="30" customFormat="1" customHeight="1" s="45">
      <c r="A79" s="112" t="n"/>
      <c r="B79" s="112">
        <f>IF(OR(A79="x",A79="X"),"",IF(ISBLANK(A79),"X",""))</f>
        <v/>
      </c>
      <c r="C79" s="112">
        <f>IF(OR(Tabella1[[#This Row],[LUN]]="X",Tabella1[[#This Row],[MAR]]="X",Tabella1[[#This Row],[MER]]="X",Tabella1[[#This Row],[GIO]]="X",Tabella1[[#This Row],[VEN]]="X",),"X","")</f>
        <v/>
      </c>
      <c r="D79" s="113" t="inlineStr">
        <is>
          <t>AREA 2</t>
        </is>
      </c>
      <c r="E79" s="109" t="inlineStr">
        <is>
          <t>536447/C</t>
        </is>
      </c>
      <c r="F79" s="109" t="n">
        <v>1000</v>
      </c>
      <c r="G79" s="109" t="inlineStr">
        <is>
          <t>1000 - 1000F114BBT STASATURA PRIMARII E BARILOTTI CON POMPA MANUALE STASALINEE(METTERE MOS PRIMA DI INIZIARE ATTIVITA)</t>
        </is>
      </c>
      <c r="H79" s="111" t="n"/>
      <c r="I79" s="111" t="n"/>
      <c r="J79" s="111" t="n"/>
      <c r="K79" s="111" t="n"/>
      <c r="L79" s="111" t="n"/>
      <c r="M79" s="110" t="inlineStr">
        <is>
          <t>DA CHIUDERE</t>
        </is>
      </c>
      <c r="N79" s="110" t="n"/>
      <c r="O79" s="168" t="n"/>
      <c r="P79" s="110" t="n"/>
      <c r="Q79" s="109" t="n"/>
      <c r="R79" s="110" t="n"/>
      <c r="S79" s="110" t="n"/>
      <c r="T79" s="114">
        <f>IF(AND('Inserimento dati'!$B$3=$H$2, Tabella1[[#This Row],[LUN]]="X"), "X",IF(AND('Inserimento dati'!$B$3=$I$2, Tabella1[[#This Row],[MAR]]="X"), "X", IF(AND('Inserimento dati'!$B$3=$J$2, Tabella1[[#This Row],[MER]]="X"), "X",IF(AND('Inserimento dati'!$B$3=$K$2, Tabella1[[#This Row],[GIO]]="X"), "X", IF(AND('Inserimento dati'!$B$3=$L$2, Tabella1[[#This Row],[VEN]]="X"), "X","")))))</f>
        <v/>
      </c>
      <c r="U79" s="133">
        <f>IFERROR(MID(G79,_xlfn.AGGREGATE(15,6,(ROW(INDIRECT("1:"&amp;LEN(G79)-7)))/(ISNUMBER(--MID(G79,ROW(INDIRECT("1:"&amp;LEN(G79)-7)),8))),1),8),"")</f>
        <v/>
      </c>
      <c r="V79" t="inlineStr">
        <is>
          <t>2025-09-30 20:00:00</t>
        </is>
      </c>
    </row>
    <row r="80" ht="23.25" customFormat="1" customHeight="1" s="45">
      <c r="A80" s="112" t="n"/>
      <c r="B80" s="112">
        <f>IF(OR(A80="x",A80="X"),"",IF(ISBLANK(A80),"X",""))</f>
        <v/>
      </c>
      <c r="C80" s="112">
        <f>IF(OR(Tabella1[[#This Row],[LUN]]="X",Tabella1[[#This Row],[MAR]]="X",Tabella1[[#This Row],[MER]]="X",Tabella1[[#This Row],[GIO]]="X",Tabella1[[#This Row],[VEN]]="X",),"X","")</f>
        <v/>
      </c>
      <c r="D80" s="113" t="inlineStr">
        <is>
          <t>AREA 2</t>
        </is>
      </c>
      <c r="E80" s="109" t="inlineStr">
        <is>
          <t>536919/C</t>
        </is>
      </c>
      <c r="F80" s="109" t="n">
        <v>1000</v>
      </c>
      <c r="G80" s="109" t="inlineStr">
        <is>
          <t>1000 - F119R(FONDO T101)RIPRISTINO MISURA DI PORTATA</t>
        </is>
      </c>
      <c r="H80" s="111" t="n"/>
      <c r="I80" s="111" t="n"/>
      <c r="J80" s="111" t="n"/>
      <c r="K80" s="111" t="n"/>
      <c r="L80" s="111" t="n"/>
      <c r="M80" s="110" t="inlineStr">
        <is>
          <t>DA CHIUDERE</t>
        </is>
      </c>
      <c r="N80" s="110" t="n"/>
      <c r="O80" s="168" t="n"/>
      <c r="P80" s="110" t="n"/>
      <c r="Q80" s="109" t="n"/>
      <c r="R80" s="110" t="n"/>
      <c r="S80" s="110" t="n"/>
      <c r="T80" s="115">
        <f>IF(AND('Inserimento dati'!$B$3=$H$2, Tabella1[[#This Row],[LUN]]="X"), "X",IF(AND('Inserimento dati'!$B$3=$I$2, Tabella1[[#This Row],[MAR]]="X"), "X", IF(AND('Inserimento dati'!$B$3=$J$2, Tabella1[[#This Row],[MER]]="X"), "X",IF(AND('Inserimento dati'!$B$3=$K$2, Tabella1[[#This Row],[GIO]]="X"), "X", IF(AND('Inserimento dati'!$B$3=$L$2, Tabella1[[#This Row],[VEN]]="X"), "X","")))))</f>
        <v/>
      </c>
      <c r="U80" s="133">
        <f>IFERROR(MID(G80,_xlfn.AGGREGATE(15,6,(ROW(INDIRECT("1:"&amp;LEN(G80)-7)))/(ISNUMBER(--MID(G80,ROW(INDIRECT("1:"&amp;LEN(G80)-7)),8))),1),8),"")</f>
        <v/>
      </c>
      <c r="V80" t="inlineStr">
        <is>
          <t>2025-09-30 20:00:00</t>
        </is>
      </c>
    </row>
    <row r="81" ht="30" customFormat="1" customHeight="1" s="45">
      <c r="A81" s="112" t="n"/>
      <c r="B81" s="112" t="n"/>
      <c r="C81" s="112">
        <f>IF(OR(Tabella1[[#This Row],[LUN]]="X",Tabella1[[#This Row],[MAR]]="X",Tabella1[[#This Row],[MER]]="X",Tabella1[[#This Row],[GIO]]="X",Tabella1[[#This Row],[VEN]]="X",),"X","")</f>
        <v/>
      </c>
      <c r="D81" s="113" t="inlineStr">
        <is>
          <t>AREA 2</t>
        </is>
      </c>
      <c r="E81" s="109" t="inlineStr">
        <is>
          <t>537253/C</t>
        </is>
      </c>
      <c r="F81" s="109" t="n">
        <v>500</v>
      </c>
      <c r="G81" s="109" t="inlineStr">
        <is>
          <t xml:space="preserve">500 - P046SL (BLOCCO  BASSA PRESSIONE PILOTA GAS)CONTROLLO E RIPRISTINO FUNZIONALITA  </t>
        </is>
      </c>
      <c r="H81" s="111" t="n"/>
      <c r="I81" s="111" t="n"/>
      <c r="J81" s="111" t="n"/>
      <c r="K81" s="111" t="n"/>
      <c r="L81" s="111" t="n"/>
      <c r="M81" s="110" t="inlineStr">
        <is>
          <t>DA CHIUDERE</t>
        </is>
      </c>
      <c r="N81" s="110" t="n"/>
      <c r="O81" s="168" t="n"/>
      <c r="P81" s="110" t="n"/>
      <c r="Q81" s="109" t="n"/>
      <c r="R81" s="110" t="n">
        <v>45797</v>
      </c>
      <c r="S81" s="110" t="inlineStr">
        <is>
          <t>SPINALI</t>
        </is>
      </c>
      <c r="T81" s="115">
        <f>IF(AND('Inserimento dati'!$B$3=$H$2, Tabella1[[#This Row],[LUN]]="X"), "X",IF(AND('Inserimento dati'!$B$3=$I$2, Tabella1[[#This Row],[MAR]]="X"), "X", IF(AND('Inserimento dati'!$B$3=$J$2, Tabella1[[#This Row],[MER]]="X"), "X",IF(AND('Inserimento dati'!$B$3=$K$2, Tabella1[[#This Row],[GIO]]="X"), "X", IF(AND('Inserimento dati'!$B$3=$L$2, Tabella1[[#This Row],[VEN]]="X"), "X","")))))</f>
        <v/>
      </c>
      <c r="U81" s="132">
        <f>IFERROR(MID(G81,_xlfn.AGGREGATE(15,6,(ROW(INDIRECT("1:"&amp;LEN(G81)-7)))/(ISNUMBER(--MID(G81,ROW(INDIRECT("1:"&amp;LEN(G81)-7)),8))),1),8),"")</f>
        <v/>
      </c>
      <c r="V81" t="inlineStr">
        <is>
          <t>2025-09-30 20:00:00</t>
        </is>
      </c>
    </row>
    <row r="82" ht="30" customFormat="1" customHeight="1" s="45">
      <c r="A82" s="112" t="n"/>
      <c r="B82" s="112" t="n"/>
      <c r="C82" s="112">
        <f>IF(OR(Tabella1[[#This Row],[LUN]]="X",Tabella1[[#This Row],[MAR]]="X",Tabella1[[#This Row],[MER]]="X",Tabella1[[#This Row],[GIO]]="X",Tabella1[[#This Row],[VEN]]="X",),"X","")</f>
        <v/>
      </c>
      <c r="D82" s="113" t="inlineStr">
        <is>
          <t>AREA 2</t>
        </is>
      </c>
      <c r="E82" s="109" t="inlineStr">
        <is>
          <t>537250/C</t>
        </is>
      </c>
      <c r="F82" s="109" t="n">
        <v>1000</v>
      </c>
      <c r="G82" s="109" t="inlineStr">
        <is>
          <t>1000 - L105R (LIVELLO SEPARATORE ASP. 1 STADIO D106)CONTROLLO E RIPRISTINO FUNZIONALITA(METTERE I MOS PRIMA DI INIZIARE ATTIVITA)</t>
        </is>
      </c>
      <c r="H82" s="111" t="n"/>
      <c r="I82" s="111" t="n"/>
      <c r="J82" s="111" t="n"/>
      <c r="K82" s="111" t="n"/>
      <c r="L82" s="111" t="n"/>
      <c r="M82" s="110" t="inlineStr">
        <is>
          <t>DA CHIUDERE</t>
        </is>
      </c>
      <c r="N82" s="110" t="n"/>
      <c r="O82" s="168" t="n"/>
      <c r="P82" s="110" t="n"/>
      <c r="Q82" s="109" t="inlineStr">
        <is>
          <t>installata Dp</t>
        </is>
      </c>
      <c r="R82" s="110" t="n">
        <v>45797</v>
      </c>
      <c r="S82" s="110" t="inlineStr">
        <is>
          <t>MILLO</t>
        </is>
      </c>
      <c r="T82" s="115">
        <f>IF(AND('Inserimento dati'!$B$3=$H$2, Tabella1[[#This Row],[LUN]]="X"), "X",IF(AND('Inserimento dati'!$B$3=$I$2, Tabella1[[#This Row],[MAR]]="X"), "X", IF(AND('Inserimento dati'!$B$3=$J$2, Tabella1[[#This Row],[MER]]="X"), "X",IF(AND('Inserimento dati'!$B$3=$K$2, Tabella1[[#This Row],[GIO]]="X"), "X", IF(AND('Inserimento dati'!$B$3=$L$2, Tabella1[[#This Row],[VEN]]="X"), "X","")))))</f>
        <v/>
      </c>
      <c r="U82" s="132">
        <f>IFERROR(MID(G82,_xlfn.AGGREGATE(15,6,(ROW(INDIRECT("1:"&amp;LEN(G82)-7)))/(ISNUMBER(--MID(G82,ROW(INDIRECT("1:"&amp;LEN(G82)-7)),8))),1),8),"")</f>
        <v/>
      </c>
      <c r="V82" t="inlineStr">
        <is>
          <t>2025-09-30 20:00:00</t>
        </is>
      </c>
    </row>
    <row r="83" ht="30" customFormat="1" customHeight="1" s="45">
      <c r="A83" s="112" t="n"/>
      <c r="B83" s="112" t="n"/>
      <c r="C83" s="112">
        <f>IF(OR(Tabella1[[#This Row],[LUN]]="X",Tabella1[[#This Row],[MAR]]="X",Tabella1[[#This Row],[MER]]="X",Tabella1[[#This Row],[GIO]]="X",Tabella1[[#This Row],[VEN]]="X",),"X","")</f>
        <v/>
      </c>
      <c r="D83" s="113" t="inlineStr">
        <is>
          <t>AREA 2</t>
        </is>
      </c>
      <c r="E83" s="109" t="inlineStr">
        <is>
          <t>537734/C</t>
        </is>
      </c>
      <c r="F83" s="109" t="n">
        <v>500</v>
      </c>
      <c r="G83" s="109" t="inlineStr">
        <is>
          <t>500 - F018RC ANTIPOMPAGGIO C102 MANDATA CONTROLLO E RIPRISTINO FUNZIONALITA</t>
        </is>
      </c>
      <c r="H83" s="111" t="n"/>
      <c r="I83" s="111" t="n"/>
      <c r="J83" s="111" t="n"/>
      <c r="K83" s="111" t="n"/>
      <c r="L83" s="111" t="n"/>
      <c r="M83" s="110" t="inlineStr">
        <is>
          <t>DA CHIUDERE</t>
        </is>
      </c>
      <c r="N83" s="110" t="n"/>
      <c r="O83" s="168" t="n"/>
      <c r="P83" s="110" t="n"/>
      <c r="Q83" s="109" t="inlineStr">
        <is>
          <t>PERMESSO CANCELLATO</t>
        </is>
      </c>
      <c r="R83" s="110" t="n"/>
      <c r="S83" s="110" t="n"/>
      <c r="T83" s="114">
        <f>IF(AND('Inserimento dati'!$B$3=$H$2, Tabella1[[#This Row],[LUN]]="X"), "X",IF(AND('Inserimento dati'!$B$3=$I$2, Tabella1[[#This Row],[MAR]]="X"), "X", IF(AND('Inserimento dati'!$B$3=$J$2, Tabella1[[#This Row],[MER]]="X"), "X",IF(AND('Inserimento dati'!$B$3=$K$2, Tabella1[[#This Row],[GIO]]="X"), "X", IF(AND('Inserimento dati'!$B$3=$L$2, Tabella1[[#This Row],[VEN]]="X"), "X","")))))</f>
        <v/>
      </c>
      <c r="U83" s="134">
        <f>IFERROR(MID(G83,_xlfn.AGGREGATE(15,6,(ROW(INDIRECT("1:"&amp;LEN(G83)-7)))/(ISNUMBER(--MID(G83,ROW(INDIRECT("1:"&amp;LEN(G83)-7)),8))),1),8),"")</f>
        <v/>
      </c>
      <c r="V83" t="inlineStr">
        <is>
          <t>2025-09-30 20:00:00</t>
        </is>
      </c>
    </row>
    <row r="84" ht="23.25" customFormat="1" customHeight="1" s="45">
      <c r="A84" s="112" t="n"/>
      <c r="B84" s="112" t="n"/>
      <c r="C84" s="112">
        <f>IF(OR(Tabella1[[#This Row],[LUN]]="X",Tabella1[[#This Row],[MAR]]="X",Tabella1[[#This Row],[MER]]="X",Tabella1[[#This Row],[GIO]]="X",Tabella1[[#This Row],[VEN]]="X",),"X","")</f>
        <v/>
      </c>
      <c r="D84" s="113" t="inlineStr">
        <is>
          <t>AREA 2</t>
        </is>
      </c>
      <c r="E84" s="109" t="inlineStr">
        <is>
          <t>537124/C</t>
        </is>
      </c>
      <c r="F84" s="109" t="n">
        <v>1000</v>
      </c>
      <c r="G84" s="109" t="inlineStr">
        <is>
          <t>1000 - Ripristino armadio compressore C101</t>
        </is>
      </c>
      <c r="H84" s="111" t="n"/>
      <c r="I84" s="111" t="n"/>
      <c r="J84" s="111" t="n"/>
      <c r="K84" s="111" t="n"/>
      <c r="L84" s="111" t="n"/>
      <c r="M84" s="110" t="inlineStr">
        <is>
          <t>DA CHIUDERE</t>
        </is>
      </c>
      <c r="N84" s="110" t="n"/>
      <c r="O84" s="168" t="n"/>
      <c r="P84" s="110" t="n"/>
      <c r="Q84" s="109" t="n"/>
      <c r="R84" s="110" t="n"/>
      <c r="S84" s="110" t="n"/>
      <c r="T84" s="114">
        <f>IF(AND('Inserimento dati'!$B$3=$H$2, Tabella1[[#This Row],[LUN]]="X"), "X",IF(AND('Inserimento dati'!$B$3=$I$2, Tabella1[[#This Row],[MAR]]="X"), "X", IF(AND('Inserimento dati'!$B$3=$J$2, Tabella1[[#This Row],[MER]]="X"), "X",IF(AND('Inserimento dati'!$B$3=$K$2, Tabella1[[#This Row],[GIO]]="X"), "X", IF(AND('Inserimento dati'!$B$3=$L$2, Tabella1[[#This Row],[VEN]]="X"), "X","")))))</f>
        <v/>
      </c>
      <c r="U84" s="134">
        <f>IFERROR(MID(G84,_xlfn.AGGREGATE(15,6,(ROW(INDIRECT("1:"&amp;LEN(G84)-7)))/(ISNUMBER(--MID(G84,ROW(INDIRECT("1:"&amp;LEN(G84)-7)),8))),1),8),"")</f>
        <v/>
      </c>
      <c r="V84" t="inlineStr">
        <is>
          <t>2025-09-30 20:00:00</t>
        </is>
      </c>
    </row>
    <row r="85" ht="30" customFormat="1" customHeight="1" s="45">
      <c r="A85" s="112" t="n"/>
      <c r="B85" s="112">
        <f>IF(OR(A85="x",A85="X"),"",IF(ISBLANK(A85),"X",""))</f>
        <v/>
      </c>
      <c r="C85" s="112">
        <f>IF(OR(Tabella1[[#This Row],[LUN]]="X",Tabella1[[#This Row],[MAR]]="X",Tabella1[[#This Row],[MER]]="X",Tabella1[[#This Row],[GIO]]="X",Tabella1[[#This Row],[VEN]]="X",),"X","")</f>
        <v/>
      </c>
      <c r="D85" s="113" t="inlineStr">
        <is>
          <t>AREA 2</t>
        </is>
      </c>
      <c r="E85" s="109" t="inlineStr">
        <is>
          <t>539407/C</t>
        </is>
      </c>
      <c r="F85" s="109" t="n">
        <v>500</v>
      </c>
      <c r="G85" s="109" t="inlineStr">
        <is>
          <t>500F018RC (ANTIPOMPAGGIO C102)CONTROLLO  E RIPRISTINO FUNZIONALITA PORTATA ED EVENTUALE RIFACIMENTO PRIMARI</t>
        </is>
      </c>
      <c r="H85" s="111" t="n"/>
      <c r="I85" s="111" t="n"/>
      <c r="J85" s="111" t="n"/>
      <c r="K85" s="111" t="n"/>
      <c r="L85" s="111" t="n"/>
      <c r="M85" s="110" t="inlineStr">
        <is>
          <t>DA CHIUDERE</t>
        </is>
      </c>
      <c r="N85" s="110" t="n"/>
      <c r="O85" s="168" t="n"/>
      <c r="P85" s="110" t="n"/>
      <c r="Q85" s="109" t="n"/>
      <c r="R85" s="110" t="n">
        <v>45812</v>
      </c>
      <c r="S85" s="110" t="inlineStr">
        <is>
          <t>SPINALI/BAUDO</t>
        </is>
      </c>
      <c r="T85" s="114">
        <f>IF(AND('Inserimento dati'!$B$3=$H$2, Tabella1[[#This Row],[LUN]]="X"), "X",IF(AND('Inserimento dati'!$B$3=$I$2, Tabella1[[#This Row],[MAR]]="X"), "X", IF(AND('Inserimento dati'!$B$3=$J$2, Tabella1[[#This Row],[MER]]="X"), "X",IF(AND('Inserimento dati'!$B$3=$K$2, Tabella1[[#This Row],[GIO]]="X"), "X", IF(AND('Inserimento dati'!$B$3=$L$2, Tabella1[[#This Row],[VEN]]="X"), "X","")))))</f>
        <v/>
      </c>
      <c r="U85" s="134">
        <f>IFERROR(MID(G85,_xlfn.AGGREGATE(15,6,(ROW(INDIRECT("1:"&amp;LEN(G85)-7)))/(ISNUMBER(--MID(G85,ROW(INDIRECT("1:"&amp;LEN(G85)-7)),8))),1),8),"")</f>
        <v/>
      </c>
      <c r="V85" t="inlineStr">
        <is>
          <t>2025-09-30 20:00:00</t>
        </is>
      </c>
    </row>
    <row r="86" ht="45" customFormat="1" customHeight="1" s="45">
      <c r="A86" s="112" t="n"/>
      <c r="B86" s="112" t="n"/>
      <c r="C86" s="112">
        <f>IF(OR(Tabella1[[#This Row],[LUN]]="X",Tabella1[[#This Row],[MAR]]="X",Tabella1[[#This Row],[MER]]="X",Tabella1[[#This Row],[GIO]]="X",Tabella1[[#This Row],[VEN]]="X",),"X","")</f>
        <v/>
      </c>
      <c r="D86" s="113" t="inlineStr">
        <is>
          <t>AREA 2</t>
        </is>
      </c>
      <c r="E86" s="109" t="inlineStr">
        <is>
          <t>537249/C</t>
        </is>
      </c>
      <c r="F86" s="109" t="n">
        <v>500</v>
      </c>
      <c r="G86" s="109" t="inlineStr">
        <is>
          <t>500 - F163R(VAPORE MS a L.B.)CONTROLLO DI TARATURA  E RIPRISTINO FUNZIONALITA</t>
        </is>
      </c>
      <c r="H86" s="111" t="n"/>
      <c r="I86" s="111" t="n"/>
      <c r="J86" s="111" t="n"/>
      <c r="K86" s="111" t="n"/>
      <c r="L86" s="111" t="n"/>
      <c r="M86" s="110" t="inlineStr">
        <is>
          <t>DA CHIUDERE</t>
        </is>
      </c>
      <c r="N86" s="110" t="n"/>
      <c r="O86" s="168" t="n"/>
      <c r="P86" s="110" t="n"/>
      <c r="Q86" s="109" t="inlineStr">
        <is>
          <t>AZZERATO STRUMENTO. IL TX E' BIDIREZIONALE CON F161R,. LA MISURA E' NEGATIVA ( mm-50 in riferimento, e mm 50 sul F161R ). CONSEGNATO OK</t>
        </is>
      </c>
      <c r="R86" s="110" t="n">
        <v>45797</v>
      </c>
      <c r="S86" s="110" t="inlineStr">
        <is>
          <t>SPINALI</t>
        </is>
      </c>
      <c r="T86" s="115">
        <f>IF(AND('Inserimento dati'!$B$3=$H$2, Tabella1[[#This Row],[LUN]]="X"), "X",IF(AND('Inserimento dati'!$B$3=$I$2, Tabella1[[#This Row],[MAR]]="X"), "X", IF(AND('Inserimento dati'!$B$3=$J$2, Tabella1[[#This Row],[MER]]="X"), "X",IF(AND('Inserimento dati'!$B$3=$K$2, Tabella1[[#This Row],[GIO]]="X"), "X", IF(AND('Inserimento dati'!$B$3=$L$2, Tabella1[[#This Row],[VEN]]="X"), "X","")))))</f>
        <v/>
      </c>
      <c r="U86" s="132">
        <f>IFERROR(MID(G86,_xlfn.AGGREGATE(15,6,(ROW(INDIRECT("1:"&amp;LEN(G86)-7)))/(ISNUMBER(--MID(G86,ROW(INDIRECT("1:"&amp;LEN(G86)-7)),8))),1),8),"")</f>
        <v/>
      </c>
      <c r="V86" t="inlineStr">
        <is>
          <t>2025-09-30 20:00:00</t>
        </is>
      </c>
    </row>
    <row r="87" ht="23.25" customFormat="1" customHeight="1" s="45">
      <c r="A87" s="112" t="n"/>
      <c r="B87" s="112">
        <f>IF(OR(A87="x",A87="X"),"",IF(ISBLANK(A87),"X",""))</f>
        <v/>
      </c>
      <c r="C87" s="112">
        <f>IF(OR(Tabella1[[#This Row],[LUN]]="X",Tabella1[[#This Row],[MAR]]="X",Tabella1[[#This Row],[MER]]="X",Tabella1[[#This Row],[GIO]]="X",Tabella1[[#This Row],[VEN]]="X",),"X","")</f>
        <v/>
      </c>
      <c r="D87" s="113" t="inlineStr">
        <is>
          <t>AREA 2</t>
        </is>
      </c>
      <c r="E87" s="109" t="inlineStr">
        <is>
          <t>539402/C</t>
        </is>
      </c>
      <c r="F87" s="109" t="n">
        <v>500</v>
      </c>
      <c r="G87" s="109" t="inlineStr">
        <is>
          <t>500T019A/B CV (E109)CONTROLLO E RIPRISTINO FUNZIONALITA VALVOLE</t>
        </is>
      </c>
      <c r="H87" s="111" t="n"/>
      <c r="I87" s="111" t="n"/>
      <c r="J87" s="111" t="n"/>
      <c r="K87" s="111" t="n"/>
      <c r="L87" s="111" t="n"/>
      <c r="M87" s="110" t="inlineStr">
        <is>
          <t>DA CHIUDERE</t>
        </is>
      </c>
      <c r="N87" s="110" t="n"/>
      <c r="O87" s="168" t="n"/>
      <c r="P87" s="110" t="n"/>
      <c r="Q87" s="109" t="n"/>
      <c r="R87" s="110" t="n">
        <v>45812</v>
      </c>
      <c r="S87" s="110" t="inlineStr">
        <is>
          <t>GARRO</t>
        </is>
      </c>
      <c r="T87" s="114">
        <f>IF(AND('Inserimento dati'!$B$3=$H$2, Tabella1[[#This Row],[LUN]]="X"), "X",IF(AND('Inserimento dati'!$B$3=$I$2, Tabella1[[#This Row],[MAR]]="X"), "X", IF(AND('Inserimento dati'!$B$3=$J$2, Tabella1[[#This Row],[MER]]="X"), "X",IF(AND('Inserimento dati'!$B$3=$K$2, Tabella1[[#This Row],[GIO]]="X"), "X", IF(AND('Inserimento dati'!$B$3=$L$2, Tabella1[[#This Row],[VEN]]="X"), "X","")))))</f>
        <v/>
      </c>
      <c r="U87" s="131">
        <f>IFERROR(MID(G87,_xlfn.AGGREGATE(15,6,(ROW(INDIRECT("1:"&amp;LEN(G87)-7)))/(ISNUMBER(--MID(G87,ROW(INDIRECT("1:"&amp;LEN(G87)-7)),8))),1),8),"")</f>
        <v/>
      </c>
      <c r="V87" t="inlineStr">
        <is>
          <t>2025-09-30 20:00:00</t>
        </is>
      </c>
    </row>
    <row r="88" ht="23.25" customFormat="1" customHeight="1" s="45">
      <c r="A88" s="112" t="n"/>
      <c r="B88" s="112">
        <f>IF(OR(A88="x",A88="X"),"",IF(ISBLANK(A88),"X",""))</f>
        <v/>
      </c>
      <c r="C88" s="112">
        <f>IF(OR(Tabella1[[#This Row],[LUN]]="X",Tabella1[[#This Row],[MAR]]="X",Tabella1[[#This Row],[MER]]="X",Tabella1[[#This Row],[GIO]]="X",Tabella1[[#This Row],[VEN]]="X",),"X","")</f>
        <v/>
      </c>
      <c r="D88" s="113" t="inlineStr">
        <is>
          <t>AREA 2</t>
        </is>
      </c>
      <c r="E88" s="109" t="inlineStr">
        <is>
          <t>540012/C</t>
        </is>
      </c>
      <c r="F88" s="109" t="n">
        <v>500</v>
      </c>
      <c r="G88" s="109" t="inlineStr">
        <is>
          <t>500P017CV (GAS A C102)CONTROLLO DI FUNZIONALITA VALVOLA</t>
        </is>
      </c>
      <c r="H88" s="111" t="n"/>
      <c r="I88" s="111" t="n"/>
      <c r="J88" s="111" t="n"/>
      <c r="K88" s="111" t="n"/>
      <c r="L88" s="111" t="n"/>
      <c r="M88" s="92" t="inlineStr">
        <is>
          <t>DA CHIUDERE</t>
        </is>
      </c>
      <c r="N88" s="110" t="n"/>
      <c r="O88" s="168" t="n"/>
      <c r="P88" s="110" t="n"/>
      <c r="Q88" s="109" t="inlineStr">
        <is>
          <t>NESSUNA ANOMALIA</t>
        </is>
      </c>
      <c r="R88" s="110" t="n">
        <v>45817</v>
      </c>
      <c r="S88" s="110" t="inlineStr">
        <is>
          <t>MILLO</t>
        </is>
      </c>
      <c r="T88" s="114">
        <f>IF(AND('Inserimento dati'!$B$3=$H$2, Tabella1[[#This Row],[LUN]]="X"), "X",IF(AND('Inserimento dati'!$B$3=$I$2, Tabella1[[#This Row],[MAR]]="X"), "X", IF(AND('Inserimento dati'!$B$3=$J$2, Tabella1[[#This Row],[MER]]="X"), "X",IF(AND('Inserimento dati'!$B$3=$K$2, Tabella1[[#This Row],[GIO]]="X"), "X", IF(AND('Inserimento dati'!$B$3=$L$2, Tabella1[[#This Row],[VEN]]="X"), "X","")))))</f>
        <v/>
      </c>
      <c r="U88" s="131">
        <f>IFERROR(MID(G88,_xlfn.AGGREGATE(15,6,(ROW(INDIRECT("1:"&amp;LEN(G88)-7)))/(ISNUMBER(--MID(G88,ROW(INDIRECT("1:"&amp;LEN(G88)-7)),8))),1),8),"")</f>
        <v/>
      </c>
      <c r="V88" t="inlineStr">
        <is>
          <t>2025-09-30 20:00:00</t>
        </is>
      </c>
    </row>
    <row r="89" ht="30" customFormat="1" customHeight="1" s="45">
      <c r="A89" s="112" t="n"/>
      <c r="B89" s="112" t="n"/>
      <c r="C89" s="112">
        <f>IF(OR(Tabella1[[#This Row],[LUN]]="X",Tabella1[[#This Row],[MAR]]="X",Tabella1[[#This Row],[MER]]="X",Tabella1[[#This Row],[GIO]]="X",Tabella1[[#This Row],[VEN]]="X",),"X","")</f>
        <v/>
      </c>
      <c r="D89" s="113" t="inlineStr">
        <is>
          <t>AREA 2</t>
        </is>
      </c>
      <c r="E89" s="109" t="inlineStr">
        <is>
          <t>539313/C</t>
        </is>
      </c>
      <c r="F89" s="109" t="n">
        <v>600</v>
      </c>
      <c r="G89" s="109" t="inlineStr">
        <is>
          <t>600 - F026RC (OLIO LAVAGGIO P. A. PASSO) CONTROLLO E RIPRISTINO FUNZIONALITA PORTATA EVENTUALMENTE CON RIFACIMENTO TRACCIA DI VAPORE  SU STRUMENTO</t>
        </is>
      </c>
      <c r="H89" s="111" t="n"/>
      <c r="I89" s="111" t="n"/>
      <c r="J89" s="111" t="n"/>
      <c r="K89" s="111" t="n"/>
      <c r="L89" s="111" t="n"/>
      <c r="M89" s="110" t="inlineStr">
        <is>
          <t>DA CHIUDERE</t>
        </is>
      </c>
      <c r="N89" s="110" t="n"/>
      <c r="O89" s="168" t="n"/>
      <c r="P89" s="110" t="n"/>
      <c r="Q89" s="109" t="n"/>
      <c r="R89" s="110" t="n"/>
      <c r="S89" s="110" t="n"/>
      <c r="T89" s="114">
        <f>IF(AND('Inserimento dati'!$B$3=$H$2, Tabella1[[#This Row],[LUN]]="X"), "X",IF(AND('Inserimento dati'!$B$3=$I$2, Tabella1[[#This Row],[MAR]]="X"), "X", IF(AND('Inserimento dati'!$B$3=$J$2, Tabella1[[#This Row],[MER]]="X"), "X",IF(AND('Inserimento dati'!$B$3=$K$2, Tabella1[[#This Row],[GIO]]="X"), "X", IF(AND('Inserimento dati'!$B$3=$L$2, Tabella1[[#This Row],[VEN]]="X"), "X","")))))</f>
        <v/>
      </c>
      <c r="U89" s="131">
        <f>IFERROR(MID(G89,_xlfn.AGGREGATE(15,6,(ROW(INDIRECT("1:"&amp;LEN(G89)-7)))/(ISNUMBER(--MID(G89,ROW(INDIRECT("1:"&amp;LEN(G89)-7)),8))),1),8),"")</f>
        <v/>
      </c>
      <c r="V89" t="inlineStr">
        <is>
          <t>2025-09-30 20:00:00</t>
        </is>
      </c>
    </row>
    <row r="90" ht="30" customFormat="1" customHeight="1" s="45">
      <c r="A90" s="112" t="n"/>
      <c r="B90" s="112">
        <f>IF(OR(A90="x",A90="X"),"",IF(ISBLANK(A90),"X",""))</f>
        <v/>
      </c>
      <c r="C90" s="112">
        <f>IF(OR(Tabella1[[#This Row],[LUN]]="X",Tabella1[[#This Row],[MAR]]="X",Tabella1[[#This Row],[MER]]="X",Tabella1[[#This Row],[GIO]]="X",Tabella1[[#This Row],[VEN]]="X",),"X","")</f>
        <v/>
      </c>
      <c r="D90" s="113" t="inlineStr">
        <is>
          <t>AREA 2</t>
        </is>
      </c>
      <c r="E90" s="109" t="inlineStr">
        <is>
          <t>539817/C</t>
        </is>
      </c>
      <c r="F90" s="109" t="n">
        <v>500</v>
      </c>
      <c r="G90" s="109" t="inlineStr">
        <is>
          <t>500C102 SMONTAGGIO/RIMONTAGGIO SONDE DI VIBRAZIONE E STRUMENTAZIONE A CORREDO SU COMPRESSORE</t>
        </is>
      </c>
      <c r="H90" s="111" t="n"/>
      <c r="I90" s="111" t="n"/>
      <c r="J90" s="111" t="n"/>
      <c r="K90" s="111" t="n"/>
      <c r="L90" s="111" t="n"/>
      <c r="M90" s="92" t="inlineStr">
        <is>
          <t>DA CHIUDERE</t>
        </is>
      </c>
      <c r="N90" s="110" t="n"/>
      <c r="O90" s="168" t="n"/>
      <c r="P90" s="110" t="n"/>
      <c r="Q90" s="109" t="n"/>
      <c r="R90" s="110" t="n">
        <v>45817</v>
      </c>
      <c r="S90" s="110" t="inlineStr">
        <is>
          <t>SPINALI</t>
        </is>
      </c>
      <c r="T90" s="114">
        <f>IF(AND('Inserimento dati'!$B$3=$H$2, Tabella1[[#This Row],[LUN]]="X"), "X",IF(AND('Inserimento dati'!$B$3=$I$2, Tabella1[[#This Row],[MAR]]="X"), "X", IF(AND('Inserimento dati'!$B$3=$J$2, Tabella1[[#This Row],[MER]]="X"), "X",IF(AND('Inserimento dati'!$B$3=$K$2, Tabella1[[#This Row],[GIO]]="X"), "X", IF(AND('Inserimento dati'!$B$3=$L$2, Tabella1[[#This Row],[VEN]]="X"), "X","")))))</f>
        <v/>
      </c>
      <c r="U90" s="131">
        <f>IFERROR(MID(G90,_xlfn.AGGREGATE(15,6,(ROW(INDIRECT("1:"&amp;LEN(G90)-7)))/(ISNUMBER(--MID(G90,ROW(INDIRECT("1:"&amp;LEN(G90)-7)),8))),1),8),"")</f>
        <v/>
      </c>
      <c r="V90" t="inlineStr">
        <is>
          <t>2025-09-30 20:00:00</t>
        </is>
      </c>
    </row>
    <row r="91" ht="45" customFormat="1" customHeight="1" s="45">
      <c r="A91" s="112" t="n"/>
      <c r="B91" s="112" t="n"/>
      <c r="C91" s="112">
        <f>IF(OR(Tabella1[[#This Row],[LUN]]="X",Tabella1[[#This Row],[MAR]]="X",Tabella1[[#This Row],[MER]]="X",Tabella1[[#This Row],[GIO]]="X",Tabella1[[#This Row],[VEN]]="X",),"X","")</f>
        <v/>
      </c>
      <c r="D91" s="113" t="inlineStr">
        <is>
          <t>AREA 2</t>
        </is>
      </c>
      <c r="E91" s="109" t="inlineStr">
        <is>
          <t>540014/C</t>
        </is>
      </c>
      <c r="F91" s="109" t="n">
        <v>500</v>
      </c>
      <c r="G91" s="109" t="inlineStr">
        <is>
          <t>500F011RC RICICLO SODA T103 CONTROLLO LOOP DI REGOLAZIONE (INIZIANDO PRIMA DALLA PORTATA)</t>
        </is>
      </c>
      <c r="H91" s="111" t="n"/>
      <c r="I91" s="111" t="n"/>
      <c r="J91" s="111" t="n"/>
      <c r="K91" s="111" t="n"/>
      <c r="L91" s="111" t="n"/>
      <c r="M91" s="92" t="inlineStr">
        <is>
          <t>DA CHIUDERE</t>
        </is>
      </c>
      <c r="N91" s="110" t="n"/>
      <c r="O91" s="168" t="n"/>
      <c r="P91" s="110" t="n"/>
      <c r="Q91" s="109" t="inlineStr">
        <is>
          <t>CONTROLLATA VALVOLA E PORTATA. LA VALVOLA ERA STARATA DEL 60%, MENTRE LA PORTATA AVEVA LA PRESA NEGATIVA TAPPATA. STASATO PRIMARIO IN CANTIERE. RIPRISTINATE ENTRAMBI.</t>
        </is>
      </c>
      <c r="R91" s="110" t="n">
        <v>45824</v>
      </c>
      <c r="S91" s="110" t="inlineStr">
        <is>
          <t>MILLO/GARRO</t>
        </is>
      </c>
      <c r="T91" s="114">
        <f>IF(AND('Inserimento dati'!$B$3=$H$2, Tabella1[[#This Row],[LUN]]="X"), "X",IF(AND('Inserimento dati'!$B$3=$I$2, Tabella1[[#This Row],[MAR]]="X"), "X", IF(AND('Inserimento dati'!$B$3=$J$2, Tabella1[[#This Row],[MER]]="X"), "X",IF(AND('Inserimento dati'!$B$3=$K$2, Tabella1[[#This Row],[GIO]]="X"), "X", IF(AND('Inserimento dati'!$B$3=$L$2, Tabella1[[#This Row],[VEN]]="X"), "X","")))))</f>
        <v/>
      </c>
      <c r="U91" s="131">
        <f>IFERROR(MID(G91,_xlfn.AGGREGATE(15,6,(ROW(INDIRECT("1:"&amp;LEN(G91)-7)))/(ISNUMBER(--MID(G91,ROW(INDIRECT("1:"&amp;LEN(G91)-7)),8))),1),8),"")</f>
        <v/>
      </c>
      <c r="V91" t="inlineStr">
        <is>
          <t>2025-09-30 20:00:00</t>
        </is>
      </c>
    </row>
    <row r="92" ht="45" customFormat="1" customHeight="1" s="45">
      <c r="A92" s="112" t="n"/>
      <c r="B92" s="112" t="n"/>
      <c r="C92" s="112">
        <f>IF(OR(Tabella1[[#This Row],[LUN]]="X",Tabella1[[#This Row],[MAR]]="X",Tabella1[[#This Row],[MER]]="X",Tabella1[[#This Row],[GIO]]="X",Tabella1[[#This Row],[VEN]]="X",),"X","")</f>
        <v/>
      </c>
      <c r="D92" s="113" t="inlineStr">
        <is>
          <t>AREA 2</t>
        </is>
      </c>
      <c r="E92" s="109" t="inlineStr">
        <is>
          <t>541246/C</t>
        </is>
      </c>
      <c r="F92" s="109" t="n">
        <v>1000</v>
      </c>
      <c r="G92" s="109" t="inlineStr">
        <is>
          <t>100F005CO 100F056CO CARICA TOTALE F101 CONTROLLO E TARATURA CON RIEMPIMENTO PRIMARI SU STRUMENTI DI PORTATA(METTERE I MOS PRIMA DI INIZIARE ATTIVITA)</t>
        </is>
      </c>
      <c r="H92" s="111" t="n"/>
      <c r="I92" s="111" t="n"/>
      <c r="J92" s="111" t="n"/>
      <c r="K92" s="111" t="n"/>
      <c r="L92" s="111" t="n"/>
      <c r="M92" s="92" t="inlineStr">
        <is>
          <t>DA CHIUDERE</t>
        </is>
      </c>
      <c r="N92" s="110" t="n"/>
      <c r="O92" s="168" t="n"/>
      <c r="P92" s="110" t="n"/>
      <c r="Q92" s="109" t="inlineStr">
        <is>
          <t>ESEGUITO RIEMPIEMENTO SUI BARILOTTI. STRUMENTI ALLINEATI CON SALA CONTROLLO</t>
        </is>
      </c>
      <c r="R92" s="110" t="n">
        <v>45825</v>
      </c>
      <c r="S92" s="110" t="inlineStr">
        <is>
          <t>TARASCIO/PARTESANO</t>
        </is>
      </c>
      <c r="T92" s="114">
        <f>IF(AND('Inserimento dati'!$B$3=$H$2, Tabella1[[#This Row],[LUN]]="X"), "X",IF(AND('Inserimento dati'!$B$3=$I$2, Tabella1[[#This Row],[MAR]]="X"), "X", IF(AND('Inserimento dati'!$B$3=$J$2, Tabella1[[#This Row],[MER]]="X"), "X",IF(AND('Inserimento dati'!$B$3=$K$2, Tabella1[[#This Row],[GIO]]="X"), "X", IF(AND('Inserimento dati'!$B$3=$L$2, Tabella1[[#This Row],[VEN]]="X"), "X","")))))</f>
        <v/>
      </c>
      <c r="U92" s="131">
        <f>IFERROR(MID(G92,_xlfn.AGGREGATE(15,6,(ROW(INDIRECT("1:"&amp;LEN(G92)-7)))/(ISNUMBER(--MID(G92,ROW(INDIRECT("1:"&amp;LEN(G92)-7)),8))),1),8),"")</f>
        <v/>
      </c>
      <c r="V92" t="inlineStr">
        <is>
          <t>2025-09-30 20:00:00</t>
        </is>
      </c>
    </row>
    <row r="93" ht="45" customFormat="1" customHeight="1" s="45">
      <c r="A93" s="112" t="n"/>
      <c r="B93" s="112" t="n"/>
      <c r="C93" s="112">
        <f>IF(OR(Tabella1[[#This Row],[LUN]]="X",Tabella1[[#This Row],[MAR]]="X",Tabella1[[#This Row],[MER]]="X",Tabella1[[#This Row],[GIO]]="X",Tabella1[[#This Row],[VEN]]="X",),"X","")</f>
        <v/>
      </c>
      <c r="D93" s="113" t="inlineStr">
        <is>
          <t>AREA 2</t>
        </is>
      </c>
      <c r="E93" s="109" t="inlineStr">
        <is>
          <t>541224/C</t>
        </is>
      </c>
      <c r="F93" s="109" t="n">
        <v>1000</v>
      </c>
      <c r="G93" s="109" t="inlineStr">
        <is>
          <t>1000L117RC FONDO T103 CONTROLLO LOOP DI REGOLAZIONE E ALLINEAMENTO CON SALA CONTROLLO</t>
        </is>
      </c>
      <c r="H93" s="111" t="n"/>
      <c r="I93" s="111" t="n"/>
      <c r="J93" s="111" t="n"/>
      <c r="K93" s="111" t="n"/>
      <c r="L93" s="111" t="n"/>
      <c r="M93" s="92" t="inlineStr">
        <is>
          <t>DA CHIUDERE</t>
        </is>
      </c>
      <c r="N93" s="110" t="n"/>
      <c r="O93" s="168" t="n"/>
      <c r="P93" s="110" t="n"/>
      <c r="Q93" s="109" t="inlineStr">
        <is>
          <t>LA VALVOLA IN AUTOMATICO FA ESCURSIONI DEL 10%, IN MANUALE E' FERMA. SI NOTA DAL KLINGER CHE LE OSCILLAZIONI DI LIVELLO SONO VERITIERE, DAL 65 AL 70%. NULLA DA SEGNALARE</t>
        </is>
      </c>
      <c r="R93" s="110" t="n">
        <v>45825</v>
      </c>
      <c r="S93" s="110" t="inlineStr">
        <is>
          <t>MILLO</t>
        </is>
      </c>
      <c r="T93" s="114">
        <f>IF(AND('Inserimento dati'!$B$3=$H$2, Tabella1[[#This Row],[LUN]]="X"), "X",IF(AND('Inserimento dati'!$B$3=$I$2, Tabella1[[#This Row],[MAR]]="X"), "X", IF(AND('Inserimento dati'!$B$3=$J$2, Tabella1[[#This Row],[MER]]="X"), "X",IF(AND('Inserimento dati'!$B$3=$K$2, Tabella1[[#This Row],[GIO]]="X"), "X", IF(AND('Inserimento dati'!$B$3=$L$2, Tabella1[[#This Row],[VEN]]="X"), "X","")))))</f>
        <v/>
      </c>
      <c r="U93" s="131">
        <f>IFERROR(MID(G93,_xlfn.AGGREGATE(15,6,(ROW(INDIRECT("1:"&amp;LEN(G93)-7)))/(ISNUMBER(--MID(G93,ROW(INDIRECT("1:"&amp;LEN(G93)-7)),8))),1),8),"")</f>
        <v/>
      </c>
      <c r="V93" t="inlineStr">
        <is>
          <t>2025-09-30 20:00:00</t>
        </is>
      </c>
    </row>
    <row r="94" ht="45" customFormat="1" customHeight="1" s="45">
      <c r="A94" s="112" t="n"/>
      <c r="B94" s="112" t="n"/>
      <c r="C94" s="112">
        <f>IF(OR(Tabella1[[#This Row],[LUN]]="X",Tabella1[[#This Row],[MAR]]="X",Tabella1[[#This Row],[MER]]="X",Tabella1[[#This Row],[GIO]]="X",Tabella1[[#This Row],[VEN]]="X",),"X","")</f>
        <v/>
      </c>
      <c r="D94" s="113" t="inlineStr">
        <is>
          <t>AREA 2</t>
        </is>
      </c>
      <c r="E94" s="109" t="inlineStr">
        <is>
          <t>541605/C</t>
        </is>
      </c>
      <c r="F94" s="109" t="n">
        <v>500</v>
      </c>
      <c r="G94" s="109" t="inlineStr">
        <is>
          <t>Imp.500-Controllo funzionalita' T018RC, TI164 (SODA TOTALE A D103); se necessario far mettere in manuale il regolatore.</t>
        </is>
      </c>
      <c r="H94" s="111" t="n"/>
      <c r="I94" s="111" t="n"/>
      <c r="J94" s="111" t="n"/>
      <c r="K94" s="111" t="n"/>
      <c r="L94" s="111" t="n"/>
      <c r="M94" s="92" t="inlineStr">
        <is>
          <t>DA CHIUDERE</t>
        </is>
      </c>
      <c r="N94" s="110" t="n"/>
      <c r="O94" s="168" t="n"/>
      <c r="P94" s="110" t="n"/>
      <c r="Q94" s="109" t="inlineStr">
        <is>
          <t>T018RC SOSTITUITA BARRIERA_ OK; TI156 NESSUNA ANOMALIA RISCONTRATA; TI157 DOPPINO IN DISPERSIONE, UTILIZZATA CALZA PROVVISORIA PER GARANTIRE UNA MISUNA.</t>
        </is>
      </c>
      <c r="R94" s="110" t="n">
        <v>45832</v>
      </c>
      <c r="S94" s="110" t="inlineStr">
        <is>
          <t>SPINALI/LEONE</t>
        </is>
      </c>
      <c r="T94" s="114">
        <f>IF(AND('Inserimento dati'!$B$3=$H$2, Tabella1[[#This Row],[LUN]]="X"), "X",IF(AND('Inserimento dati'!$B$3=$I$2, Tabella1[[#This Row],[MAR]]="X"), "X", IF(AND('Inserimento dati'!$B$3=$J$2, Tabella1[[#This Row],[MER]]="X"), "X",IF(AND('Inserimento dati'!$B$3=$K$2, Tabella1[[#This Row],[GIO]]="X"), "X", IF(AND('Inserimento dati'!$B$3=$L$2, Tabella1[[#This Row],[VEN]]="X"), "X","")))))</f>
        <v/>
      </c>
      <c r="U94" s="131">
        <f>IFERROR(MID(G94,_xlfn.AGGREGATE(15,6,(ROW(INDIRECT("1:"&amp;LEN(G94)-7)))/(ISNUMBER(--MID(G94,ROW(INDIRECT("1:"&amp;LEN(G94)-7)),8))),1),8),"")</f>
        <v/>
      </c>
      <c r="V94" t="inlineStr">
        <is>
          <t>2025-09-30 20:00:00</t>
        </is>
      </c>
    </row>
    <row r="95" ht="30" customFormat="1" customHeight="1" s="45">
      <c r="A95" s="112" t="n"/>
      <c r="B95" s="112">
        <f>IF(OR(A95="x",A95="X"),"",IF(ISBLANK(A95),"X",""))</f>
        <v/>
      </c>
      <c r="C95" s="112">
        <f>IF(OR(Tabella1[[#This Row],[LUN]]="X",Tabella1[[#This Row],[MAR]]="X",Tabella1[[#This Row],[MER]]="X",Tabella1[[#This Row],[GIO]]="X",Tabella1[[#This Row],[VEN]]="X",),"X","")</f>
        <v/>
      </c>
      <c r="D95" s="113" t="inlineStr">
        <is>
          <t>AREA 2</t>
        </is>
      </c>
      <c r="E95" s="109" t="inlineStr">
        <is>
          <t>535832/C</t>
        </is>
      </c>
      <c r="F95" s="109" t="n">
        <v>600</v>
      </c>
      <c r="G95" s="109" t="inlineStr">
        <is>
          <t>600 - F026RC OLIO DI LAVAGGIO A T101 CONTROLLO E RIPRISTINO FUNZIONALITA PORTATA</t>
        </is>
      </c>
      <c r="H95" s="111" t="n"/>
      <c r="I95" s="111" t="n"/>
      <c r="J95" s="111" t="n"/>
      <c r="K95" s="111" t="n"/>
      <c r="L95" s="111" t="n"/>
      <c r="M95" s="110" t="inlineStr">
        <is>
          <t>DA CHIUDERE</t>
        </is>
      </c>
      <c r="N95" s="110" t="n"/>
      <c r="O95" s="168" t="n"/>
      <c r="P95" s="110" t="n"/>
      <c r="Q95" s="109" t="inlineStr">
        <is>
          <t>NESSUNA ANOMALIA DA SEGNALARE.</t>
        </is>
      </c>
      <c r="R95" s="110" t="n">
        <v>45832</v>
      </c>
      <c r="S95" s="110" t="inlineStr">
        <is>
          <t>SPINALI/LEONE</t>
        </is>
      </c>
      <c r="T95" s="114">
        <f>IF(AND('Inserimento dati'!$B$3=$H$2, Tabella1[[#This Row],[LUN]]="X"), "X",IF(AND('Inserimento dati'!$B$3=$I$2, Tabella1[[#This Row],[MAR]]="X"), "X", IF(AND('Inserimento dati'!$B$3=$J$2, Tabella1[[#This Row],[MER]]="X"), "X",IF(AND('Inserimento dati'!$B$3=$K$2, Tabella1[[#This Row],[GIO]]="X"), "X", IF(AND('Inserimento dati'!$B$3=$L$2, Tabella1[[#This Row],[VEN]]="X"), "X","")))))</f>
        <v/>
      </c>
      <c r="U95" s="132">
        <f>IFERROR(MID(G95,_xlfn.AGGREGATE(15,6,(ROW(INDIRECT("1:"&amp;LEN(G95)-7)))/(ISNUMBER(--MID(G95,ROW(INDIRECT("1:"&amp;LEN(G95)-7)),8))),1),8),"")</f>
        <v/>
      </c>
      <c r="V95" t="inlineStr">
        <is>
          <t>2025-09-30 20:00:00</t>
        </is>
      </c>
    </row>
    <row r="96" ht="45" customFormat="1" customHeight="1" s="45">
      <c r="A96" s="112" t="n"/>
      <c r="B96" s="112" t="n"/>
      <c r="C96" s="112">
        <f>IF(OR(Tabella1[[#This Row],[LUN]]="X",Tabella1[[#This Row],[MAR]]="X",Tabella1[[#This Row],[MER]]="X",Tabella1[[#This Row],[GIO]]="X",Tabella1[[#This Row],[VEN]]="X",),"X","")</f>
        <v/>
      </c>
      <c r="D96" s="113" t="inlineStr">
        <is>
          <t>AREA 2</t>
        </is>
      </c>
      <c r="E96" s="109" t="inlineStr">
        <is>
          <t>540507/C</t>
        </is>
      </c>
      <c r="F96" s="109" t="n">
        <v>500</v>
      </c>
      <c r="G96" s="109" t="inlineStr">
        <is>
          <t>500F016ARC 05F018RC SOSTITUZIONE STRUMENTI CON GRUPPO BYPASS E RIFACIMENTO PRIMARI CON INSTALLAZIONE NUOVA TRACCIA DI VAPORE PER RISCALDAMENTO PRIMARI</t>
        </is>
      </c>
      <c r="H96" s="111" t="n"/>
      <c r="I96" s="111" t="n"/>
      <c r="J96" s="111" t="n"/>
      <c r="K96" s="111" t="n"/>
      <c r="L96" s="111" t="n"/>
      <c r="M96" s="92" t="inlineStr">
        <is>
          <t>DA CHIUDERE</t>
        </is>
      </c>
      <c r="N96" s="110" t="n"/>
      <c r="O96" s="168" t="n"/>
      <c r="P96" s="110" t="n"/>
      <c r="Q96" s="109" t="inlineStr">
        <is>
          <t>ODC DEDICATO-COSTRUZIONE GRUPPI BYPASS IN CANTIERE PER SUCCESSIVO MONTAGGIO STRUMENTAZIONE IN CAMPO.</t>
        </is>
      </c>
      <c r="R96" s="110" t="n">
        <v>45820</v>
      </c>
      <c r="S96" s="110" t="inlineStr">
        <is>
          <t>SPINALI/DE LUCA</t>
        </is>
      </c>
      <c r="T96" s="114">
        <f>IF(AND('Inserimento dati'!$B$3=$H$2, Tabella1[[#This Row],[LUN]]="X"), "X",IF(AND('Inserimento dati'!$B$3=$I$2, Tabella1[[#This Row],[MAR]]="X"), "X", IF(AND('Inserimento dati'!$B$3=$J$2, Tabella1[[#This Row],[MER]]="X"), "X",IF(AND('Inserimento dati'!$B$3=$K$2, Tabella1[[#This Row],[GIO]]="X"), "X", IF(AND('Inserimento dati'!$B$3=$L$2, Tabella1[[#This Row],[VEN]]="X"), "X","")))))</f>
        <v/>
      </c>
      <c r="U96" s="131">
        <f>IFERROR(MID(G96,_xlfn.AGGREGATE(15,6,(ROW(INDIRECT("1:"&amp;LEN(G96)-7)))/(ISNUMBER(--MID(G96,ROW(INDIRECT("1:"&amp;LEN(G96)-7)),8))),1),8),"")</f>
        <v/>
      </c>
      <c r="V96" t="inlineStr">
        <is>
          <t>2025-09-30 20:00:00</t>
        </is>
      </c>
    </row>
    <row r="97" ht="30" customFormat="1" customHeight="1" s="45">
      <c r="A97" s="112" t="n"/>
      <c r="B97" s="112" t="n"/>
      <c r="C97" s="112">
        <f>IF(OR(Tabella1[[#This Row],[LUN]]="X",Tabella1[[#This Row],[MAR]]="X",Tabella1[[#This Row],[MER]]="X",Tabella1[[#This Row],[GIO]]="X",Tabella1[[#This Row],[VEN]]="X",),"X","")</f>
        <v/>
      </c>
      <c r="D97" s="113" t="inlineStr">
        <is>
          <t>AREA 2</t>
        </is>
      </c>
      <c r="E97" s="109" t="inlineStr">
        <is>
          <t>542331/C</t>
        </is>
      </c>
      <c r="F97" s="109" t="n">
        <v>600</v>
      </c>
      <c r="G97" s="109" t="inlineStr">
        <is>
          <t>IMP.600F030R(fondo vacuum a stoccaggio)CONTROLLO E RIPRISTINO MSURA DI PORTATA</t>
        </is>
      </c>
      <c r="H97" s="111" t="n"/>
      <c r="I97" s="111" t="n"/>
      <c r="J97" s="111" t="n"/>
      <c r="K97" s="111" t="n"/>
      <c r="L97" s="111" t="n"/>
      <c r="M97" s="92" t="inlineStr">
        <is>
          <t>DA CHIUDERE</t>
        </is>
      </c>
      <c r="N97" s="110" t="n"/>
      <c r="O97" s="168" t="n"/>
      <c r="P97" s="110" t="n"/>
      <c r="Q97" s="109" t="inlineStr">
        <is>
          <t>DA COIBENTARE PARTE DEI PRIMARI. ESEGUITA STASATURA PRIMARI E REGOLATI FLUSSAGGI.</t>
        </is>
      </c>
      <c r="R97" s="110" t="n">
        <v>45839</v>
      </c>
      <c r="S97" s="110" t="inlineStr">
        <is>
          <t>SPINALI</t>
        </is>
      </c>
      <c r="T97" s="114">
        <f>IF(AND('Inserimento dati'!$B$3=$H$2, Tabella1[[#This Row],[LUN]]="X"), "X",IF(AND('Inserimento dati'!$B$3=$I$2, Tabella1[[#This Row],[MAR]]="X"), "X", IF(AND('Inserimento dati'!$B$3=$J$2, Tabella1[[#This Row],[MER]]="X"), "X",IF(AND('Inserimento dati'!$B$3=$K$2, Tabella1[[#This Row],[GIO]]="X"), "X", IF(AND('Inserimento dati'!$B$3=$L$2, Tabella1[[#This Row],[VEN]]="X"), "X","")))))</f>
        <v/>
      </c>
      <c r="U97" s="131">
        <f>IFERROR(MID(G97,_xlfn.AGGREGATE(15,6,(ROW(INDIRECT("1:"&amp;LEN(G97)-7)))/(ISNUMBER(--MID(G97,ROW(INDIRECT("1:"&amp;LEN(G97)-7)),8))),1),8),"")</f>
        <v/>
      </c>
      <c r="V97" t="inlineStr">
        <is>
          <t>2025-09-30 20:00:00</t>
        </is>
      </c>
    </row>
    <row r="98" ht="30" customFormat="1" customHeight="1" s="45">
      <c r="A98" s="112" t="n"/>
      <c r="B98" s="112" t="n"/>
      <c r="C98" s="112">
        <f>IF(OR(Tabella1[[#This Row],[LUN]]="X",Tabella1[[#This Row],[MAR]]="X",Tabella1[[#This Row],[MER]]="X",Tabella1[[#This Row],[GIO]]="X",Tabella1[[#This Row],[VEN]]="X",),"X","")</f>
        <v/>
      </c>
      <c r="D98" s="113" t="inlineStr">
        <is>
          <t>AREA 2</t>
        </is>
      </c>
      <c r="E98" s="109" t="inlineStr">
        <is>
          <t>542329/C</t>
        </is>
      </c>
      <c r="F98" s="109" t="n">
        <v>600</v>
      </c>
      <c r="G98" s="109" t="inlineStr">
        <is>
          <t>IMP.600F051R(LVGO AD  U700)CONTROLLO E RIPRISTINO MSURA DI PORTATA</t>
        </is>
      </c>
      <c r="H98" s="111" t="n"/>
      <c r="I98" s="111" t="n"/>
      <c r="J98" s="111" t="n"/>
      <c r="K98" s="111" t="n"/>
      <c r="L98" s="111" t="n"/>
      <c r="M98" s="92" t="inlineStr">
        <is>
          <t>DA CHIUDERE</t>
        </is>
      </c>
      <c r="N98" s="110" t="n"/>
      <c r="O98" s="168" t="n"/>
      <c r="P98" s="110" t="n"/>
      <c r="Q98" s="109" t="inlineStr">
        <is>
          <t>ESEGUITA CORREZIONE DI ZERO CON RIPRISTINO DELLA FUNZIONALITA'</t>
        </is>
      </c>
      <c r="R98" s="110" t="n">
        <v>45839</v>
      </c>
      <c r="S98" s="110" t="inlineStr">
        <is>
          <t>SPINALI</t>
        </is>
      </c>
      <c r="T98" s="114">
        <f>IF(AND('Inserimento dati'!$B$3=$H$2, Tabella1[[#This Row],[LUN]]="X"), "X",IF(AND('Inserimento dati'!$B$3=$I$2, Tabella1[[#This Row],[MAR]]="X"), "X", IF(AND('Inserimento dati'!$B$3=$J$2, Tabella1[[#This Row],[MER]]="X"), "X",IF(AND('Inserimento dati'!$B$3=$K$2, Tabella1[[#This Row],[GIO]]="X"), "X", IF(AND('Inserimento dati'!$B$3=$L$2, Tabella1[[#This Row],[VEN]]="X"), "X","")))))</f>
        <v/>
      </c>
      <c r="U98" s="131">
        <f>IFERROR(MID(G98,_xlfn.AGGREGATE(15,6,(ROW(INDIRECT("1:"&amp;LEN(G98)-7)))/(ISNUMBER(--MID(G98,ROW(INDIRECT("1:"&amp;LEN(G98)-7)),8))),1),8),"")</f>
        <v/>
      </c>
      <c r="V98" t="inlineStr">
        <is>
          <t>2025-09-30 20:00:00</t>
        </is>
      </c>
    </row>
    <row r="99" ht="30" customFormat="1" customHeight="1" s="45">
      <c r="A99" s="112" t="n"/>
      <c r="B99" s="112" t="n"/>
      <c r="C99" s="112">
        <f>IF(OR(Tabella1[[#This Row],[LUN]]="X",Tabella1[[#This Row],[MAR]]="X",Tabella1[[#This Row],[MER]]="X",Tabella1[[#This Row],[GIO]]="X",Tabella1[[#This Row],[VEN]]="X",),"X","")</f>
        <v/>
      </c>
      <c r="D99" s="113" t="inlineStr">
        <is>
          <t>AREA 2</t>
        </is>
      </c>
      <c r="E99" s="109" t="inlineStr">
        <is>
          <t>543742/C</t>
        </is>
      </c>
      <c r="F99" s="109" t="n">
        <v>500</v>
      </c>
      <c r="G99" s="109" t="inlineStr">
        <is>
          <t>500F022CV(IDROGENO A RIGENERAZIONE)CONTROLLO E RIPRISTINO FUNZIONALITA VALVOLA</t>
        </is>
      </c>
      <c r="H99" s="111" t="n"/>
      <c r="I99" s="111" t="n"/>
      <c r="J99" s="111" t="n"/>
      <c r="K99" s="111" t="n"/>
      <c r="L99" s="111" t="n"/>
      <c r="M99" s="92" t="inlineStr">
        <is>
          <t>DA CHIUDERE</t>
        </is>
      </c>
      <c r="N99" s="110" t="n"/>
      <c r="O99" s="168" t="n"/>
      <c r="P99" s="110" t="n"/>
      <c r="Q99" s="109" t="inlineStr">
        <is>
          <t>TROVATA VALVOLA STARATA DEL 15% IN APERTURA, TARATA ED ALLINEATA CON SALA CONTROLLO.</t>
        </is>
      </c>
      <c r="R99" s="110" t="n">
        <v>45847</v>
      </c>
      <c r="S99" s="110" t="inlineStr">
        <is>
          <t>MILLO/ALLEGRETTI</t>
        </is>
      </c>
      <c r="T99" s="114">
        <f>IF(AND('Inserimento dati'!$B$3=$H$2, Tabella1[[#This Row],[LUN]]="X"), "X",IF(AND('Inserimento dati'!$B$3=$I$2, Tabella1[[#This Row],[MAR]]="X"), "X", IF(AND('Inserimento dati'!$B$3=$J$2, Tabella1[[#This Row],[MER]]="X"), "X",IF(AND('Inserimento dati'!$B$3=$K$2, Tabella1[[#This Row],[GIO]]="X"), "X", IF(AND('Inserimento dati'!$B$3=$L$2, Tabella1[[#This Row],[VEN]]="X"), "X","")))))</f>
        <v/>
      </c>
      <c r="U99" s="131" t="n"/>
      <c r="V99" t="inlineStr">
        <is>
          <t>2025-09-30 20:00:00</t>
        </is>
      </c>
    </row>
    <row r="100" ht="30" customFormat="1" customHeight="1" s="45">
      <c r="A100" s="112" t="n"/>
      <c r="B100" s="112" t="n"/>
      <c r="C100" s="112">
        <f>IF(OR(Tabella1[[#This Row],[LUN]]="X",Tabella1[[#This Row],[MAR]]="X",Tabella1[[#This Row],[MER]]="X",Tabella1[[#This Row],[GIO]]="X",Tabella1[[#This Row],[VEN]]="X",),"X","")</f>
        <v/>
      </c>
      <c r="D100" s="113" t="inlineStr">
        <is>
          <t>AREA 2</t>
        </is>
      </c>
      <c r="E100" s="109" t="inlineStr">
        <is>
          <t>544168/C</t>
        </is>
      </c>
      <c r="F100" s="109" t="n">
        <v>1000</v>
      </c>
      <c r="G100" s="109" t="inlineStr">
        <is>
          <t>1000R150BV RIPRISTINO E CONTROLLO FINE CORSA DI APERTURA E CHIUSURA</t>
        </is>
      </c>
      <c r="H100" s="111" t="n"/>
      <c r="I100" s="111" t="n"/>
      <c r="J100" s="111" t="n"/>
      <c r="K100" s="111" t="n"/>
      <c r="L100" s="111" t="n"/>
      <c r="M100" s="92" t="inlineStr">
        <is>
          <t>DA CHIUDERE</t>
        </is>
      </c>
      <c r="N100" s="110" t="n"/>
      <c r="O100" s="168" t="n"/>
      <c r="P100" s="110" t="n"/>
      <c r="Q100" s="109" t="inlineStr">
        <is>
          <t>NESSUNA ANOMALIA DA SEGNALARE.</t>
        </is>
      </c>
      <c r="R100" s="110" t="n">
        <v>45852</v>
      </c>
      <c r="S100" s="110" t="inlineStr">
        <is>
          <t>GARRO/PARTESANO</t>
        </is>
      </c>
      <c r="T100" s="114">
        <f>IF(AND('Inserimento dati'!$B$3=$H$2, Tabella1[[#This Row],[LUN]]="X"), "X",IF(AND('Inserimento dati'!$B$3=$I$2, Tabella1[[#This Row],[MAR]]="X"), "X", IF(AND('Inserimento dati'!$B$3=$J$2, Tabella1[[#This Row],[MER]]="X"), "X",IF(AND('Inserimento dati'!$B$3=$K$2, Tabella1[[#This Row],[GIO]]="X"), "X", IF(AND('Inserimento dati'!$B$3=$L$2, Tabella1[[#This Row],[VEN]]="X"), "X","")))))</f>
        <v/>
      </c>
      <c r="U100" s="93" t="n"/>
      <c r="V100" t="inlineStr">
        <is>
          <t>2025-09-30 20:00:00</t>
        </is>
      </c>
    </row>
    <row r="101" ht="30" customFormat="1" customHeight="1" s="45">
      <c r="A101" s="112" t="n"/>
      <c r="B101" s="112" t="n"/>
      <c r="C101" s="112">
        <f>IF(OR(Tabella1[[#This Row],[LUN]]="X",Tabella1[[#This Row],[MAR]]="X",Tabella1[[#This Row],[MER]]="X",Tabella1[[#This Row],[GIO]]="X",Tabella1[[#This Row],[VEN]]="X",),"X","")</f>
        <v/>
      </c>
      <c r="D101" s="113" t="inlineStr">
        <is>
          <t>AREA 2</t>
        </is>
      </c>
      <c r="E101" s="109" t="inlineStr">
        <is>
          <t>544209/C</t>
        </is>
      </c>
      <c r="F101" s="109" t="n">
        <v>500</v>
      </c>
      <c r="G101" s="109" t="inlineStr">
        <is>
          <t>500P082RC ( FUEL GAS A F301)CONTROLLO E RIPRISTINO FUNZIONALITA TRASMETTITORE DI PRESSIONE</t>
        </is>
      </c>
      <c r="H101" s="111" t="n"/>
      <c r="I101" s="111" t="n"/>
      <c r="J101" s="111" t="n"/>
      <c r="K101" s="111" t="n"/>
      <c r="L101" s="111" t="n"/>
      <c r="M101" s="92" t="inlineStr">
        <is>
          <t>DA CHIUDERE</t>
        </is>
      </c>
      <c r="N101" s="110" t="n"/>
      <c r="O101" s="168" t="n"/>
      <c r="P101" s="110" t="n"/>
      <c r="Q101" s="109" t="inlineStr">
        <is>
          <t>STRUMENTO SOSTITUITO. LOOP ALLINEATO</t>
        </is>
      </c>
      <c r="R101" s="110" t="n">
        <v>45852</v>
      </c>
      <c r="S101" s="110" t="inlineStr">
        <is>
          <t>MIILO/SERRA</t>
        </is>
      </c>
      <c r="T101" s="114">
        <f>IF(AND('Inserimento dati'!$B$3=$H$2, Tabella1[[#This Row],[LUN]]="X"), "X",IF(AND('Inserimento dati'!$B$3=$I$2, Tabella1[[#This Row],[MAR]]="X"), "X", IF(AND('Inserimento dati'!$B$3=$J$2, Tabella1[[#This Row],[MER]]="X"), "X",IF(AND('Inserimento dati'!$B$3=$K$2, Tabella1[[#This Row],[GIO]]="X"), "X", IF(AND('Inserimento dati'!$B$3=$L$2, Tabella1[[#This Row],[VEN]]="X"), "X","")))))</f>
        <v/>
      </c>
      <c r="U101" s="93" t="n"/>
      <c r="V101" t="inlineStr">
        <is>
          <t>2025-09-30 20:00:00</t>
        </is>
      </c>
    </row>
    <row r="102" ht="30" customFormat="1" customHeight="1" s="45">
      <c r="A102" s="112" t="n"/>
      <c r="B102" s="112" t="n"/>
      <c r="C102" s="112">
        <f>IF(OR(Tabella1[[#This Row],[LUN]]="X",Tabella1[[#This Row],[MAR]]="X",Tabella1[[#This Row],[MER]]="X",Tabella1[[#This Row],[GIO]]="X",Tabella1[[#This Row],[VEN]]="X",),"X","")</f>
        <v/>
      </c>
      <c r="D102" s="113" t="inlineStr">
        <is>
          <t>AREA 2</t>
        </is>
      </c>
      <c r="E102" s="109" t="inlineStr">
        <is>
          <t>544540/C</t>
        </is>
      </c>
      <c r="F102" s="109" t="n">
        <v>1000</v>
      </c>
      <c r="G102" s="109" t="inlineStr">
        <is>
          <t>1000R167BV RIPRISTINO E CONTROLLO FINE CORSA DI APERTURA E CHIUSURA</t>
        </is>
      </c>
      <c r="H102" s="111" t="n"/>
      <c r="I102" s="111" t="n"/>
      <c r="J102" s="111" t="n"/>
      <c r="K102" s="111" t="n"/>
      <c r="L102" s="111" t="n"/>
      <c r="M102" s="92" t="inlineStr">
        <is>
          <t>DA CHIUDERE</t>
        </is>
      </c>
      <c r="N102" s="110" t="n"/>
      <c r="O102" s="168" t="n"/>
      <c r="P102" s="110" t="n"/>
      <c r="Q102" s="109" t="inlineStr">
        <is>
          <t>SULL'ATTUATORE DELLA VALVOLA SI E' ROTTA LA GUIDA DEL FINECORSA, PER SISTEMARLO OCCORE SMONTARE L'ATTUATORE.</t>
        </is>
      </c>
      <c r="R102" s="110" t="n">
        <v>45853</v>
      </c>
      <c r="S102" s="110" t="inlineStr">
        <is>
          <t>GARRO</t>
        </is>
      </c>
      <c r="T102" s="114">
        <f>IF(AND('Inserimento dati'!$B$3=$H$2, Tabella1[[#This Row],[LUN]]="X"), "X",IF(AND('Inserimento dati'!$B$3=$I$2, Tabella1[[#This Row],[MAR]]="X"), "X", IF(AND('Inserimento dati'!$B$3=$J$2, Tabella1[[#This Row],[MER]]="X"), "X",IF(AND('Inserimento dati'!$B$3=$K$2, Tabella1[[#This Row],[GIO]]="X"), "X", IF(AND('Inserimento dati'!$B$3=$L$2, Tabella1[[#This Row],[VEN]]="X"), "X","")))))</f>
        <v/>
      </c>
      <c r="U102" s="93" t="n"/>
      <c r="V102" t="inlineStr">
        <is>
          <t>2025-09-30 20:00:00</t>
        </is>
      </c>
    </row>
    <row r="103" ht="30" customFormat="1" customHeight="1" s="45">
      <c r="A103" s="112" t="n"/>
      <c r="B103" s="112" t="n"/>
      <c r="C103" s="112">
        <f>IF(OR(Tabella1[[#This Row],[LUN]]="X",Tabella1[[#This Row],[MAR]]="X",Tabella1[[#This Row],[MER]]="X",Tabella1[[#This Row],[GIO]]="X",Tabella1[[#This Row],[VEN]]="X",),"X","")</f>
        <v/>
      </c>
      <c r="D103" s="113" t="inlineStr">
        <is>
          <t>AREA 2</t>
        </is>
      </c>
      <c r="E103" s="109" t="inlineStr">
        <is>
          <t>544634/C</t>
        </is>
      </c>
      <c r="F103" s="109" t="n">
        <v>500</v>
      </c>
      <c r="G103" s="109" t="inlineStr">
        <is>
          <t>500P082CV SMONTAGGIO/MONTAGGIO VALVOLA PER STASATURA DELLA STESSA  O EVENTUALE REVISIONE IN OFFICINA</t>
        </is>
      </c>
      <c r="H103" s="111" t="n"/>
      <c r="I103" s="111" t="n"/>
      <c r="J103" s="111" t="n"/>
      <c r="K103" s="111" t="n"/>
      <c r="L103" s="111" t="n"/>
      <c r="M103" s="92" t="inlineStr">
        <is>
          <t>DA CHIUDERE</t>
        </is>
      </c>
      <c r="N103" s="110" t="n"/>
      <c r="O103" s="168" t="n"/>
      <c r="P103" s="110" t="n"/>
      <c r="Q103" s="109" t="inlineStr">
        <is>
          <t>VALVOLA REVISIONATA IN CAMPO, TRONCHETTI TAPPATI</t>
        </is>
      </c>
      <c r="R103" s="110" t="n">
        <v>45854</v>
      </c>
      <c r="S103" s="110" t="inlineStr">
        <is>
          <t>GARRO</t>
        </is>
      </c>
      <c r="T103" s="114">
        <f>IF(AND('Inserimento dati'!$B$3=$H$2, Tabella1[[#This Row],[LUN]]="X"), "X",IF(AND('Inserimento dati'!$B$3=$I$2, Tabella1[[#This Row],[MAR]]="X"), "X", IF(AND('Inserimento dati'!$B$3=$J$2, Tabella1[[#This Row],[MER]]="X"), "X",IF(AND('Inserimento dati'!$B$3=$K$2, Tabella1[[#This Row],[GIO]]="X"), "X", IF(AND('Inserimento dati'!$B$3=$L$2, Tabella1[[#This Row],[VEN]]="X"), "X","")))))</f>
        <v/>
      </c>
      <c r="U103" s="93" t="n"/>
      <c r="V103" t="inlineStr">
        <is>
          <t>2025-09-30 20:00:00</t>
        </is>
      </c>
    </row>
    <row r="104" ht="30" customFormat="1" customHeight="1" s="45">
      <c r="A104" s="112" t="n"/>
      <c r="B104" s="112" t="n"/>
      <c r="C104" s="112">
        <f>IF(OR(Tabella1[[#This Row],[LUN]]="X",Tabella1[[#This Row],[MAR]]="X",Tabella1[[#This Row],[MER]]="X",Tabella1[[#This Row],[GIO]]="X",Tabella1[[#This Row],[VEN]]="X",),"X","")</f>
        <v/>
      </c>
      <c r="D104" s="113" t="inlineStr">
        <is>
          <t>AREA 2</t>
        </is>
      </c>
      <c r="E104" s="109" t="inlineStr">
        <is>
          <t>544848/C</t>
        </is>
      </c>
      <c r="F104" s="109" t="n">
        <v>1000</v>
      </c>
      <c r="G104" s="109" t="inlineStr">
        <is>
          <t>1000F170CV (TAGLIO T102 A D103)CONRTOLLO E RIPRISTINO VALVOLA O EVENTUALE LOOP DI REGOLAZIONE</t>
        </is>
      </c>
      <c r="H104" s="111" t="n"/>
      <c r="I104" s="111" t="n"/>
      <c r="J104" s="111" t="n"/>
      <c r="K104" s="111" t="n"/>
      <c r="L104" s="111" t="n"/>
      <c r="M104" s="92" t="inlineStr">
        <is>
          <t>DA CHIUDERE</t>
        </is>
      </c>
      <c r="N104" s="110" t="n"/>
      <c r="O104" s="168" t="n"/>
      <c r="P104" s="110" t="n"/>
      <c r="Q104" s="109" t="n"/>
      <c r="R104" s="110" t="n"/>
      <c r="S104" s="110" t="n"/>
      <c r="T104" s="114">
        <f>IF(AND('Inserimento dati'!$B$3=$H$2, Tabella1[[#This Row],[LUN]]="X"), "X",IF(AND('Inserimento dati'!$B$3=$I$2, Tabella1[[#This Row],[MAR]]="X"), "X", IF(AND('Inserimento dati'!$B$3=$J$2, Tabella1[[#This Row],[MER]]="X"), "X",IF(AND('Inserimento dati'!$B$3=$K$2, Tabella1[[#This Row],[GIO]]="X"), "X", IF(AND('Inserimento dati'!$B$3=$L$2, Tabella1[[#This Row],[VEN]]="X"), "X","")))))</f>
        <v/>
      </c>
      <c r="U104" s="93" t="n"/>
      <c r="V104" t="inlineStr">
        <is>
          <t>2025-09-30 20:00:00</t>
        </is>
      </c>
    </row>
    <row r="105" ht="30" customFormat="1" customHeight="1" s="45">
      <c r="A105" s="112" t="n"/>
      <c r="B105" s="112" t="n"/>
      <c r="C105" s="112">
        <f>IF(OR(Tabella1[[#This Row],[LUN]]="X",Tabella1[[#This Row],[MAR]]="X",Tabella1[[#This Row],[MER]]="X",Tabella1[[#This Row],[GIO]]="X",Tabella1[[#This Row],[VEN]]="X",),"X","")</f>
        <v/>
      </c>
      <c r="D105" s="113" t="inlineStr">
        <is>
          <t>AREA 2</t>
        </is>
      </c>
      <c r="E105" s="109" t="inlineStr">
        <is>
          <t>544654/C</t>
        </is>
      </c>
      <c r="F105" s="109" t="n">
        <v>600</v>
      </c>
      <c r="G105" s="109" t="inlineStr">
        <is>
          <t>600F014CV CONTROLLO E  RIPRISTINO FUNZIONALITA VALVOLA(EVENTUALMENTE CONTROLLARE LOOP DI REGOLAZIONE)</t>
        </is>
      </c>
      <c r="H105" s="111" t="n"/>
      <c r="I105" s="111" t="n"/>
      <c r="J105" s="111" t="n"/>
      <c r="K105" s="111" t="n"/>
      <c r="L105" s="111" t="n"/>
      <c r="M105" s="92" t="inlineStr">
        <is>
          <t>DA CHIUDERE</t>
        </is>
      </c>
      <c r="N105" s="110" t="n"/>
      <c r="O105" s="168" t="n"/>
      <c r="P105" s="110" t="n"/>
      <c r="Q105" s="109" t="inlineStr">
        <is>
          <t>TROVATO LINK DEL POSIZIONATORE SCOLLEGATO DALLE VIBRAZIONI, COLLEGATO E VALVOLA TARATA. CONSEGNATA AD ESE</t>
        </is>
      </c>
      <c r="R105" s="110" t="n">
        <v>45856</v>
      </c>
      <c r="S105" s="110" t="inlineStr">
        <is>
          <t>GARRO</t>
        </is>
      </c>
      <c r="T105" s="114">
        <f>IF(AND('Inserimento dati'!$B$3=$H$2, Tabella1[[#This Row],[LUN]]="X"), "X",IF(AND('Inserimento dati'!$B$3=$I$2, Tabella1[[#This Row],[MAR]]="X"), "X", IF(AND('Inserimento dati'!$B$3=$J$2, Tabella1[[#This Row],[MER]]="X"), "X",IF(AND('Inserimento dati'!$B$3=$K$2, Tabella1[[#This Row],[GIO]]="X"), "X", IF(AND('Inserimento dati'!$B$3=$L$2, Tabella1[[#This Row],[VEN]]="X"), "X","")))))</f>
        <v/>
      </c>
      <c r="U105" s="93" t="n"/>
      <c r="V105" t="inlineStr">
        <is>
          <t>2025-09-30 20:00:00</t>
        </is>
      </c>
    </row>
    <row r="106" ht="23.25" customFormat="1" customHeight="1" s="45">
      <c r="A106" s="112" t="n"/>
      <c r="B106" s="112" t="n"/>
      <c r="C106" s="112">
        <f>IF(OR(Tabella1[[#This Row],[LUN]]="X",Tabella1[[#This Row],[MAR]]="X",Tabella1[[#This Row],[MER]]="X",Tabella1[[#This Row],[GIO]]="X",Tabella1[[#This Row],[VEN]]="X",),"X","")</f>
        <v/>
      </c>
      <c r="D106" s="113" t="inlineStr">
        <is>
          <t>AREA 2</t>
        </is>
      </c>
      <c r="E106" s="109" t="inlineStr">
        <is>
          <t>545446/C</t>
        </is>
      </c>
      <c r="F106" s="109" t="n">
        <v>1000</v>
      </c>
      <c r="G106" s="109" t="inlineStr">
        <is>
          <t>U1000: MC101A - Montaggio struttura di raffreddamento da montare elettrico</t>
        </is>
      </c>
      <c r="H106" s="111" t="n"/>
      <c r="I106" s="111" t="n"/>
      <c r="J106" s="111" t="n"/>
      <c r="K106" s="111" t="n"/>
      <c r="L106" s="111" t="n"/>
      <c r="M106" s="92" t="inlineStr">
        <is>
          <t>DA CHIUDERE</t>
        </is>
      </c>
      <c r="N106" s="110" t="n"/>
      <c r="O106" s="168" t="n"/>
      <c r="P106" s="110" t="n"/>
      <c r="Q106" s="109" t="inlineStr">
        <is>
          <t>COSTRUITO ANELLO DI RAFFREDDAMENTO SUL COMPRESSORE</t>
        </is>
      </c>
      <c r="R106" s="110" t="n">
        <v>45862</v>
      </c>
      <c r="S106" s="110" t="inlineStr">
        <is>
          <t>DE LUCA</t>
        </is>
      </c>
      <c r="T106" s="114">
        <f>IF(AND('Inserimento dati'!$B$3=$H$2, Tabella1[[#This Row],[LUN]]="X"), "X",IF(AND('Inserimento dati'!$B$3=$I$2, Tabella1[[#This Row],[MAR]]="X"), "X", IF(AND('Inserimento dati'!$B$3=$J$2, Tabella1[[#This Row],[MER]]="X"), "X",IF(AND('Inserimento dati'!$B$3=$K$2, Tabella1[[#This Row],[GIO]]="X"), "X", IF(AND('Inserimento dati'!$B$3=$L$2, Tabella1[[#This Row],[VEN]]="X"), "X","")))))</f>
        <v/>
      </c>
      <c r="U106" s="93" t="n"/>
      <c r="V106" t="inlineStr">
        <is>
          <t>2025-09-30 20:00:00</t>
        </is>
      </c>
    </row>
    <row r="107" ht="30" customFormat="1" customHeight="1" s="45">
      <c r="A107" s="112" t="n"/>
      <c r="B107" s="112" t="n"/>
      <c r="C107" s="112">
        <f>IF(OR(Tabella1[[#This Row],[LUN]]="X",Tabella1[[#This Row],[MAR]]="X",Tabella1[[#This Row],[MER]]="X",Tabella1[[#This Row],[GIO]]="X",Tabella1[[#This Row],[VEN]]="X",),"X","")</f>
        <v/>
      </c>
      <c r="D107" s="113" t="inlineStr">
        <is>
          <t>AREA 2</t>
        </is>
      </c>
      <c r="E107" s="109" t="inlineStr">
        <is>
          <t>547686/C</t>
        </is>
      </c>
      <c r="F107" s="109" t="n">
        <v>1000</v>
      </c>
      <c r="G107" s="109" t="inlineStr">
        <is>
          <t>1000L113RC  ACCUMULATORE TESTA T101 CONTROLLO  E RIPRISTINO MISURA DI LIVELLO</t>
        </is>
      </c>
      <c r="H107" s="111" t="n"/>
      <c r="I107" s="111" t="n"/>
      <c r="J107" s="111" t="n"/>
      <c r="K107" s="111" t="n"/>
      <c r="L107" s="111" t="n"/>
      <c r="M107" s="92" t="inlineStr">
        <is>
          <t>DA CHIUDERE</t>
        </is>
      </c>
      <c r="N107" s="110" t="n"/>
      <c r="O107" s="168" t="n"/>
      <c r="P107" s="110" t="n"/>
      <c r="Q107" s="109" t="inlineStr">
        <is>
          <t>ALZATO ULTERIORMENTE DAMPING STRUMENTO ( 15 SEC) PER LE VARIAZIONI IN SALA C.</t>
        </is>
      </c>
      <c r="R107" s="110" t="n">
        <v>45882</v>
      </c>
      <c r="S107" s="110" t="inlineStr">
        <is>
          <t>SPINALI</t>
        </is>
      </c>
      <c r="T107" s="114">
        <f>IF(AND('Inserimento dati'!$B$3=$H$2, Tabella1[[#This Row],[LUN]]="X"), "X",IF(AND('Inserimento dati'!$B$3=$I$2, Tabella1[[#This Row],[MAR]]="X"), "X", IF(AND('Inserimento dati'!$B$3=$J$2, Tabella1[[#This Row],[MER]]="X"), "X",IF(AND('Inserimento dati'!$B$3=$K$2, Tabella1[[#This Row],[GIO]]="X"), "X", IF(AND('Inserimento dati'!$B$3=$L$2, Tabella1[[#This Row],[VEN]]="X"), "X","")))))</f>
        <v/>
      </c>
      <c r="U107" s="93" t="n"/>
      <c r="V107" t="inlineStr">
        <is>
          <t>2025-09-30 20:00:00</t>
        </is>
      </c>
    </row>
    <row r="108" ht="23.25" customFormat="1" customHeight="1" s="45">
      <c r="A108" s="112" t="n"/>
      <c r="B108" s="112" t="n"/>
      <c r="C108" s="112">
        <f>IF(OR(Tabella1[[#This Row],[LUN]]="X",Tabella1[[#This Row],[MAR]]="X",Tabella1[[#This Row],[MER]]="X",Tabella1[[#This Row],[GIO]]="X",Tabella1[[#This Row],[VEN]]="X",),"X","")</f>
        <v/>
      </c>
      <c r="D108" s="113" t="inlineStr">
        <is>
          <t>AREA 2</t>
        </is>
      </c>
      <c r="E108" s="109" t="inlineStr">
        <is>
          <t>547741/C</t>
        </is>
      </c>
      <c r="F108" s="109" t="n">
        <v>600</v>
      </c>
      <c r="G108" s="109" t="inlineStr">
        <is>
          <t>600F157R (MAKE UP ACQUA MARE )CONTROLLO E RIPRISTINO MISURA DI PORTATA</t>
        </is>
      </c>
      <c r="H108" s="111" t="n"/>
      <c r="I108" s="111" t="n"/>
      <c r="J108" s="111" t="n"/>
      <c r="K108" s="111" t="n"/>
      <c r="L108" s="111" t="n"/>
      <c r="M108" s="92" t="inlineStr">
        <is>
          <t>DA CHIUDERE</t>
        </is>
      </c>
      <c r="N108" s="110" t="n"/>
      <c r="O108" s="168" t="n"/>
      <c r="P108" s="110" t="n"/>
      <c r="Q108" s="109" t="inlineStr">
        <is>
          <t>RIPRISTINATA MISURA DOPO SPURGAGGIO TUBO DI PITOT.</t>
        </is>
      </c>
      <c r="R108" s="110" t="n">
        <v>45883</v>
      </c>
      <c r="S108" s="110" t="inlineStr">
        <is>
          <t>SPINALI</t>
        </is>
      </c>
      <c r="T108" s="114">
        <f>IF(AND('Inserimento dati'!$B$3=$H$2, Tabella1[[#This Row],[LUN]]="X"), "X",IF(AND('Inserimento dati'!$B$3=$I$2, Tabella1[[#This Row],[MAR]]="X"), "X", IF(AND('Inserimento dati'!$B$3=$J$2, Tabella1[[#This Row],[MER]]="X"), "X",IF(AND('Inserimento dati'!$B$3=$K$2, Tabella1[[#This Row],[GIO]]="X"), "X", IF(AND('Inserimento dati'!$B$3=$L$2, Tabella1[[#This Row],[VEN]]="X"), "X","")))))</f>
        <v/>
      </c>
      <c r="U108" s="93" t="n"/>
      <c r="V108" t="inlineStr">
        <is>
          <t>2025-09-30 20:00:00</t>
        </is>
      </c>
    </row>
    <row r="109" ht="23.25" customFormat="1" customHeight="1" s="45">
      <c r="A109" s="112" t="n"/>
      <c r="B109" s="112" t="n"/>
      <c r="C109" s="112">
        <f>IF(OR(Tabella1[[#This Row],[LUN]]="X",Tabella1[[#This Row],[MAR]]="X",Tabella1[[#This Row],[MER]]="X",Tabella1[[#This Row],[GIO]]="X",Tabella1[[#This Row],[VEN]]="X",),"X","")</f>
        <v/>
      </c>
      <c r="D109" s="113" t="inlineStr">
        <is>
          <t>AREA 2</t>
        </is>
      </c>
      <c r="E109" s="109" t="inlineStr">
        <is>
          <t>548724/C</t>
        </is>
      </c>
      <c r="F109" s="109" t="n">
        <v>1000</v>
      </c>
      <c r="G109" s="109" t="inlineStr">
        <is>
          <t>1000R115BV CONTROLLO E RIPRISTINO FUNZIONALITA DI ENTRAMBI I FINE CORSA</t>
        </is>
      </c>
      <c r="H109" s="111" t="n"/>
      <c r="I109" s="111" t="n"/>
      <c r="J109" s="111" t="n"/>
      <c r="K109" s="111" t="n"/>
      <c r="L109" s="111" t="n"/>
      <c r="M109" s="92" t="inlineStr">
        <is>
          <t>DA CHIUDERE</t>
        </is>
      </c>
      <c r="N109" s="110" t="n"/>
      <c r="O109" s="168" t="n"/>
      <c r="P109" s="110" t="n"/>
      <c r="Q109" s="109" t="inlineStr">
        <is>
          <t>SOSTITUITO FINE CORSA</t>
        </is>
      </c>
      <c r="R109" s="110" t="n">
        <v>45895</v>
      </c>
      <c r="S109" s="110" t="inlineStr">
        <is>
          <t>SPINALI</t>
        </is>
      </c>
      <c r="T109" s="114">
        <f>IF(AND('Inserimento dati'!$B$3=$H$2, Tabella1[[#This Row],[LUN]]="X"), "X",IF(AND('Inserimento dati'!$B$3=$I$2, Tabella1[[#This Row],[MAR]]="X"), "X", IF(AND('Inserimento dati'!$B$3=$J$2, Tabella1[[#This Row],[MER]]="X"), "X",IF(AND('Inserimento dati'!$B$3=$K$2, Tabella1[[#This Row],[GIO]]="X"), "X", IF(AND('Inserimento dati'!$B$3=$L$2, Tabella1[[#This Row],[VEN]]="X"), "X","")))))</f>
        <v/>
      </c>
      <c r="U109" s="93" t="n"/>
      <c r="V109" t="inlineStr">
        <is>
          <t>2025-09-30 20:00:00</t>
        </is>
      </c>
    </row>
    <row r="110" ht="30" customFormat="1" customHeight="1" s="45">
      <c r="A110" s="112" t="n"/>
      <c r="B110" s="112" t="n"/>
      <c r="C110" s="112">
        <f>IF(OR(Tabella1[[#This Row],[LUN]]="X",Tabella1[[#This Row],[MAR]]="X",Tabella1[[#This Row],[MER]]="X",Tabella1[[#This Row],[GIO]]="X",Tabella1[[#This Row],[VEN]]="X",),"X","")</f>
        <v/>
      </c>
      <c r="D110" s="113" t="inlineStr">
        <is>
          <t>AREA 2</t>
        </is>
      </c>
      <c r="E110" s="109" t="inlineStr">
        <is>
          <t>548725/C</t>
        </is>
      </c>
      <c r="F110" s="109" t="n">
        <v>1000</v>
      </c>
      <c r="G110" s="109" t="inlineStr">
        <is>
          <t>1000RF123RC (FONDO T102)CONTROLLO DI TARATURA PORTATA(A VALVOLA CHIUSA DA PORTATA)</t>
        </is>
      </c>
      <c r="H110" s="111" t="n"/>
      <c r="I110" s="111" t="n"/>
      <c r="J110" s="111" t="n"/>
      <c r="K110" s="111" t="n"/>
      <c r="L110" s="111" t="n"/>
      <c r="M110" s="92" t="inlineStr">
        <is>
          <t>DA CHIUDERE</t>
        </is>
      </c>
      <c r="N110" s="110" t="n"/>
      <c r="O110" s="168" t="n"/>
      <c r="P110" s="110" t="n"/>
      <c r="Q110" s="109" t="n"/>
      <c r="R110" s="110" t="n">
        <v>45895</v>
      </c>
      <c r="S110" s="110" t="inlineStr">
        <is>
          <t>SPINALI</t>
        </is>
      </c>
      <c r="T110" s="114">
        <f>IF(AND('Inserimento dati'!$B$3=$H$2, Tabella1[[#This Row],[LUN]]="X"), "X",IF(AND('Inserimento dati'!$B$3=$I$2, Tabella1[[#This Row],[MAR]]="X"), "X", IF(AND('Inserimento dati'!$B$3=$J$2, Tabella1[[#This Row],[MER]]="X"), "X",IF(AND('Inserimento dati'!$B$3=$K$2, Tabella1[[#This Row],[GIO]]="X"), "X", IF(AND('Inserimento dati'!$B$3=$L$2, Tabella1[[#This Row],[VEN]]="X"), "X","")))))</f>
        <v/>
      </c>
      <c r="U110" s="93" t="n"/>
      <c r="V110" t="inlineStr">
        <is>
          <t>2025-09-30 20:00:00</t>
        </is>
      </c>
    </row>
    <row r="111" ht="23.25" customFormat="1" customHeight="1" s="45">
      <c r="A111" s="112" t="n"/>
      <c r="B111" s="112" t="n"/>
      <c r="C111" s="112">
        <f>IF(OR(Tabella1[[#This Row],[LUN]]="X",Tabella1[[#This Row],[MAR]]="X",Tabella1[[#This Row],[MER]]="X",Tabella1[[#This Row],[GIO]]="X",Tabella1[[#This Row],[VEN]]="X",),"X","")</f>
        <v/>
      </c>
      <c r="D111" s="113" t="inlineStr">
        <is>
          <t>AREA 2</t>
        </is>
      </c>
      <c r="E111" s="109" t="inlineStr">
        <is>
          <t>548969/C</t>
        </is>
      </c>
      <c r="F111" s="109" t="n">
        <v>1000</v>
      </c>
      <c r="G111" s="109" t="inlineStr">
        <is>
          <t>1000L107RC(ACQUA D102)  1000L108RC (SODA D102) CONTROLLO E TARATURA LIVELLI</t>
        </is>
      </c>
      <c r="H111" s="111" t="n"/>
      <c r="I111" s="111" t="n"/>
      <c r="J111" s="111" t="n"/>
      <c r="K111" s="111" t="n"/>
      <c r="L111" s="111" t="n"/>
      <c r="M111" s="92" t="inlineStr">
        <is>
          <t>DA CHIUDERE</t>
        </is>
      </c>
      <c r="N111" s="110" t="n"/>
      <c r="O111" s="168" t="n"/>
      <c r="P111" s="110" t="n"/>
      <c r="Q111" s="109" t="inlineStr">
        <is>
          <t>CORRETTO L108RC. L107RC OTTIMO.</t>
        </is>
      </c>
      <c r="R111" s="110" t="n">
        <v>45897</v>
      </c>
      <c r="S111" s="110" t="inlineStr">
        <is>
          <t>SPINALI</t>
        </is>
      </c>
      <c r="T111" s="114">
        <f>IF(AND('Inserimento dati'!$B$3=$H$2, Tabella1[[#This Row],[LUN]]="X"), "X",IF(AND('Inserimento dati'!$B$3=$I$2, Tabella1[[#This Row],[MAR]]="X"), "X", IF(AND('Inserimento dati'!$B$3=$J$2, Tabella1[[#This Row],[MER]]="X"), "X",IF(AND('Inserimento dati'!$B$3=$K$2, Tabella1[[#This Row],[GIO]]="X"), "X", IF(AND('Inserimento dati'!$B$3=$L$2, Tabella1[[#This Row],[VEN]]="X"), "X","")))))</f>
        <v/>
      </c>
      <c r="U111" s="93" t="n"/>
      <c r="V111" t="inlineStr">
        <is>
          <t>2025-09-30 20:00:00</t>
        </is>
      </c>
    </row>
    <row r="112" ht="30" customFormat="1" customHeight="1" s="45">
      <c r="A112" s="112" t="n"/>
      <c r="B112" s="112" t="n"/>
      <c r="C112" s="112">
        <f>IF(OR(Tabella1[[#This Row],[LUN]]="X",Tabella1[[#This Row],[MAR]]="X",Tabella1[[#This Row],[MER]]="X",Tabella1[[#This Row],[GIO]]="X",Tabella1[[#This Row],[VEN]]="X",),"X","")</f>
        <v/>
      </c>
      <c r="D112" s="113" t="inlineStr">
        <is>
          <t>AREA 2</t>
        </is>
      </c>
      <c r="E112" s="109" t="inlineStr">
        <is>
          <t>549477/C</t>
        </is>
      </c>
      <c r="F112" s="109" t="n">
        <v>500</v>
      </c>
      <c r="G112" s="109" t="inlineStr">
        <is>
          <t>500F164R(VAPORE LS DA L.B.)RIPRISTINO FUNZIONALITA PORTATA</t>
        </is>
      </c>
      <c r="H112" s="111" t="n"/>
      <c r="I112" s="111" t="n"/>
      <c r="J112" s="111" t="n"/>
      <c r="K112" s="111" t="n"/>
      <c r="L112" s="111" t="n"/>
      <c r="M112" s="92" t="inlineStr">
        <is>
          <t>DA CHIUDERE</t>
        </is>
      </c>
      <c r="N112" s="110" t="n"/>
      <c r="O112" s="168" t="n"/>
      <c r="P112" s="110" t="n"/>
      <c r="Q112" s="109" t="inlineStr">
        <is>
          <t>ESEGUITA STASATURA BARILOTTO NEGATIVA, VALVOLA DI INTERCETTO NEGATIVA BLOCCATA APERTA</t>
        </is>
      </c>
      <c r="R112" s="110" t="n">
        <v>45903</v>
      </c>
      <c r="S112" s="110" t="inlineStr">
        <is>
          <t>SPINALI</t>
        </is>
      </c>
      <c r="T112" s="114">
        <f>IF(AND('Inserimento dati'!$B$3=$H$2, Tabella1[[#This Row],[LUN]]="X"), "X",IF(AND('Inserimento dati'!$B$3=$I$2, Tabella1[[#This Row],[MAR]]="X"), "X", IF(AND('Inserimento dati'!$B$3=$J$2, Tabella1[[#This Row],[MER]]="X"), "X",IF(AND('Inserimento dati'!$B$3=$K$2, Tabella1[[#This Row],[GIO]]="X"), "X", IF(AND('Inserimento dati'!$B$3=$L$2, Tabella1[[#This Row],[VEN]]="X"), "X","")))))</f>
        <v/>
      </c>
      <c r="U112" s="93" t="n"/>
      <c r="V112" t="inlineStr">
        <is>
          <t>2025-09-30 20:00:00</t>
        </is>
      </c>
    </row>
    <row r="113" ht="30" customFormat="1" customHeight="1" s="45">
      <c r="A113" s="112" t="n"/>
      <c r="B113" s="112" t="n"/>
      <c r="C113" s="112">
        <f>IF(OR(Tabella1[[#This Row],[LUN]]="X",Tabella1[[#This Row],[MAR]]="X",Tabella1[[#This Row],[MER]]="X",Tabella1[[#This Row],[GIO]]="X",Tabella1[[#This Row],[VEN]]="X",),"X","")</f>
        <v/>
      </c>
      <c r="D113" s="113" t="inlineStr">
        <is>
          <t>AREA 2</t>
        </is>
      </c>
      <c r="E113" s="109" t="inlineStr">
        <is>
          <t>549544/C</t>
        </is>
      </c>
      <c r="F113" s="109" t="n">
        <v>500</v>
      </c>
      <c r="G113" s="109" t="inlineStr">
        <is>
          <t>500P161R (VAPORE MS)CONTROLLO E TARATURA STRUMENTO DI PRESSIONE</t>
        </is>
      </c>
      <c r="H113" s="111" t="n"/>
      <c r="I113" s="111" t="n"/>
      <c r="J113" s="111" t="n"/>
      <c r="K113" s="111" t="n"/>
      <c r="L113" s="111" t="n"/>
      <c r="M113" s="92" t="inlineStr">
        <is>
          <t>DA CHIUDERE</t>
        </is>
      </c>
      <c r="N113" s="110" t="n"/>
      <c r="O113" s="168" t="n"/>
      <c r="P113" s="110" t="n"/>
      <c r="Q113" s="109" t="inlineStr">
        <is>
          <t>TX OK, PRIMARIO PARZ.TAPPATO VALVOLE D'INTERCETTO BLOCCATE APERTE</t>
        </is>
      </c>
      <c r="R113" s="110" t="n">
        <v>45903</v>
      </c>
      <c r="S113" s="110" t="inlineStr">
        <is>
          <t>SPINALI</t>
        </is>
      </c>
      <c r="T113" s="114">
        <f>IF(AND('Inserimento dati'!$B$3=$H$2, Tabella1[[#This Row],[LUN]]="X"), "X",IF(AND('Inserimento dati'!$B$3=$I$2, Tabella1[[#This Row],[MAR]]="X"), "X", IF(AND('Inserimento dati'!$B$3=$J$2, Tabella1[[#This Row],[MER]]="X"), "X",IF(AND('Inserimento dati'!$B$3=$K$2, Tabella1[[#This Row],[GIO]]="X"), "X", IF(AND('Inserimento dati'!$B$3=$L$2, Tabella1[[#This Row],[VEN]]="X"), "X","")))))</f>
        <v/>
      </c>
      <c r="U113" s="93" t="n"/>
      <c r="V113" t="inlineStr">
        <is>
          <t>2025-09-30 20:00:00</t>
        </is>
      </c>
    </row>
    <row r="114" ht="23.25" customFormat="1" customHeight="1" s="45">
      <c r="A114" s="112" t="n"/>
      <c r="B114" s="112" t="n"/>
      <c r="C114" s="112">
        <f>IF(OR(Tabella1[[#This Row],[LUN]]="X",Tabella1[[#This Row],[MAR]]="X",Tabella1[[#This Row],[MER]]="X",Tabella1[[#This Row],[GIO]]="X",Tabella1[[#This Row],[VEN]]="X",),"X","")</f>
        <v/>
      </c>
      <c r="D114" s="113" t="inlineStr">
        <is>
          <t>AREA 2</t>
        </is>
      </c>
      <c r="E114" s="109" t="inlineStr">
        <is>
          <t>549549/C</t>
        </is>
      </c>
      <c r="F114" s="109" t="n">
        <v>1000</v>
      </c>
      <c r="G114" s="109" t="inlineStr">
        <is>
          <t>1000P501LA (OLIO LUBRIFICANTE P102A)CONTROLLO E TARATURA PRESSOSTATO</t>
        </is>
      </c>
      <c r="H114" s="111" t="n"/>
      <c r="I114" s="111" t="n"/>
      <c r="J114" s="111" t="n"/>
      <c r="K114" s="111" t="n"/>
      <c r="L114" s="111" t="n"/>
      <c r="M114" s="92" t="inlineStr">
        <is>
          <t>DA CHIUDERE</t>
        </is>
      </c>
      <c r="N114" s="110" t="n"/>
      <c r="O114" s="168" t="n"/>
      <c r="P114" s="110" t="n"/>
      <c r="Q114" s="109" t="inlineStr">
        <is>
          <t>ALLARME RIENTRATO</t>
        </is>
      </c>
      <c r="R114" s="110" t="n">
        <v>45903</v>
      </c>
      <c r="S114" s="110" t="inlineStr">
        <is>
          <t>SPINALI</t>
        </is>
      </c>
      <c r="T114" s="114">
        <f>IF(AND('Inserimento dati'!$B$3=$H$2, Tabella1[[#This Row],[LUN]]="X"), "X",IF(AND('Inserimento dati'!$B$3=$I$2, Tabella1[[#This Row],[MAR]]="X"), "X", IF(AND('Inserimento dati'!$B$3=$J$2, Tabella1[[#This Row],[MER]]="X"), "X",IF(AND('Inserimento dati'!$B$3=$K$2, Tabella1[[#This Row],[GIO]]="X"), "X", IF(AND('Inserimento dati'!$B$3=$L$2, Tabella1[[#This Row],[VEN]]="X"), "X","")))))</f>
        <v/>
      </c>
      <c r="U114" s="93" t="n"/>
      <c r="V114" t="inlineStr">
        <is>
          <t>2025-09-30 20:00:00</t>
        </is>
      </c>
    </row>
    <row r="115" ht="30" customFormat="1" customHeight="1" s="45">
      <c r="A115" s="112" t="n"/>
      <c r="B115" s="112" t="n"/>
      <c r="C115" s="112">
        <f>IF(OR(Tabella1[[#This Row],[LUN]]="X",Tabella1[[#This Row],[MAR]]="X",Tabella1[[#This Row],[MER]]="X",Tabella1[[#This Row],[GIO]]="X",Tabella1[[#This Row],[VEN]]="X",),"X","")</f>
        <v/>
      </c>
      <c r="D115" s="113" t="inlineStr">
        <is>
          <t>AREA 2</t>
        </is>
      </c>
      <c r="E115" s="109" t="inlineStr">
        <is>
          <t>549872/C</t>
        </is>
      </c>
      <c r="F115" s="109" t="n">
        <v>1000</v>
      </c>
      <c r="G115" s="109" t="inlineStr">
        <is>
          <t>1000L116RC(D112)CONTROLLO E RIPRISTINO LIVELLO ED EVENTUALMENTE LOOP DI REGOLAZIONE</t>
        </is>
      </c>
      <c r="H115" s="111" t="n"/>
      <c r="I115" s="111" t="n"/>
      <c r="J115" s="111" t="n"/>
      <c r="K115" s="111" t="n"/>
      <c r="L115" s="111" t="n"/>
      <c r="M115" s="92" t="inlineStr">
        <is>
          <t>DA CHIUDERE</t>
        </is>
      </c>
      <c r="N115" s="110" t="n"/>
      <c r="O115" s="168" t="n"/>
      <c r="P115" s="110" t="n"/>
      <c r="Q115" s="109" t="n"/>
      <c r="R115" s="110" t="n"/>
      <c r="S115" s="110" t="n"/>
      <c r="T115" s="114">
        <f>IF(AND('Inserimento dati'!$B$3=$H$2, Tabella1[[#This Row],[LUN]]="X"), "X",IF(AND('Inserimento dati'!$B$3=$I$2, Tabella1[[#This Row],[MAR]]="X"), "X", IF(AND('Inserimento dati'!$B$3=$J$2, Tabella1[[#This Row],[MER]]="X"), "X",IF(AND('Inserimento dati'!$B$3=$K$2, Tabella1[[#This Row],[GIO]]="X"), "X", IF(AND('Inserimento dati'!$B$3=$L$2, Tabella1[[#This Row],[VEN]]="X"), "X","")))))</f>
        <v/>
      </c>
      <c r="U115" s="93" t="n"/>
      <c r="V115" t="inlineStr">
        <is>
          <t>2025-09-30 20:00:00</t>
        </is>
      </c>
    </row>
    <row r="116" ht="23.25" customFormat="1" customHeight="1" s="45">
      <c r="A116" s="112" t="n"/>
      <c r="B116" s="112" t="n"/>
      <c r="C116" s="112">
        <f>IF(OR(Tabella1[[#This Row],[LUN]]="X",Tabella1[[#This Row],[MAR]]="X",Tabella1[[#This Row],[MER]]="X",Tabella1[[#This Row],[GIO]]="X",Tabella1[[#This Row],[VEN]]="X",),"X","")</f>
        <v/>
      </c>
      <c r="D116" s="113" t="inlineStr">
        <is>
          <t>AREA 2</t>
        </is>
      </c>
      <c r="E116" s="109" t="inlineStr">
        <is>
          <t>549766/C</t>
        </is>
      </c>
      <c r="F116" s="109" t="n">
        <v>1000</v>
      </c>
      <c r="G116" s="109" t="inlineStr">
        <is>
          <t>1000R167BV MONTAGGIO ATTUATORE DOPO REVISIONE</t>
        </is>
      </c>
      <c r="H116" s="111" t="n"/>
      <c r="I116" s="111" t="n"/>
      <c r="J116" s="111" t="n"/>
      <c r="K116" s="111" t="n"/>
      <c r="L116" s="111" t="n"/>
      <c r="M116" s="92" t="inlineStr">
        <is>
          <t>DA CHIUDERE</t>
        </is>
      </c>
      <c r="N116" s="110" t="n"/>
      <c r="O116" s="168" t="n"/>
      <c r="P116" s="110" t="n"/>
      <c r="Q116" s="109" t="n"/>
      <c r="R116" s="110" t="n">
        <v>45905</v>
      </c>
      <c r="S116" s="110" t="inlineStr">
        <is>
          <t>GARRO</t>
        </is>
      </c>
      <c r="T116" s="114">
        <f>IF(AND('Inserimento dati'!$B$3=$H$2, Tabella1[[#This Row],[LUN]]="X"), "X",IF(AND('Inserimento dati'!$B$3=$I$2, Tabella1[[#This Row],[MAR]]="X"), "X", IF(AND('Inserimento dati'!$B$3=$J$2, Tabella1[[#This Row],[MER]]="X"), "X",IF(AND('Inserimento dati'!$B$3=$K$2, Tabella1[[#This Row],[GIO]]="X"), "X", IF(AND('Inserimento dati'!$B$3=$L$2, Tabella1[[#This Row],[VEN]]="X"), "X","")))))</f>
        <v/>
      </c>
      <c r="U116" s="93" t="n"/>
      <c r="V116" t="inlineStr">
        <is>
          <t>2025-09-30 20:00:00</t>
        </is>
      </c>
    </row>
    <row r="117" ht="23.25" customFormat="1" customHeight="1" s="45">
      <c r="A117" s="112" t="n"/>
      <c r="B117" s="112" t="n"/>
      <c r="C117" s="112">
        <f>IF(OR(Tabella1[[#This Row],[LUN]]="X",Tabella1[[#This Row],[MAR]]="X",Tabella1[[#This Row],[MER]]="X",Tabella1[[#This Row],[GIO]]="X",Tabella1[[#This Row],[VEN]]="X",),"X","")</f>
        <v/>
      </c>
      <c r="D117" s="113" t="inlineStr">
        <is>
          <t>AREA 2</t>
        </is>
      </c>
      <c r="E117" s="109" t="inlineStr">
        <is>
          <t>550283/C</t>
        </is>
      </c>
      <c r="F117" s="109" t="n">
        <v>500</v>
      </c>
      <c r="G117" s="109" t="inlineStr">
        <is>
          <t>500C103A RIPRISTINO PARZIALIZZAZIONE STRUMENTALE IN SALA TECNICA</t>
        </is>
      </c>
      <c r="H117" s="111" t="n"/>
      <c r="I117" s="111" t="n"/>
      <c r="J117" s="111" t="n"/>
      <c r="K117" s="111" t="n"/>
      <c r="L117" s="111" t="n"/>
      <c r="M117" s="92" t="inlineStr">
        <is>
          <t>DA CHIUDERE</t>
        </is>
      </c>
      <c r="N117" s="110" t="n"/>
      <c r="O117" s="168" t="n"/>
      <c r="P117" s="110" t="n"/>
      <c r="Q117" s="109" t="n"/>
      <c r="R117" s="110" t="n"/>
      <c r="S117" s="110" t="n"/>
      <c r="T117" s="114">
        <f>IF(AND('Inserimento dati'!$B$3=$H$2, Tabella1[[#This Row],[LUN]]="X"), "X",IF(AND('Inserimento dati'!$B$3=$I$2, Tabella1[[#This Row],[MAR]]="X"), "X", IF(AND('Inserimento dati'!$B$3=$J$2, Tabella1[[#This Row],[MER]]="X"), "X",IF(AND('Inserimento dati'!$B$3=$K$2, Tabella1[[#This Row],[GIO]]="X"), "X", IF(AND('Inserimento dati'!$B$3=$L$2, Tabella1[[#This Row],[VEN]]="X"), "X","")))))</f>
        <v/>
      </c>
      <c r="U117" s="93" t="n"/>
      <c r="V117" t="inlineStr">
        <is>
          <t>2025-09-30 20:00:00</t>
        </is>
      </c>
    </row>
    <row r="118" ht="30" customFormat="1" customHeight="1" s="45">
      <c r="A118" s="112" t="n"/>
      <c r="B118" s="112" t="n"/>
      <c r="C118" s="112">
        <f>IF(OR(Tabella1[[#This Row],[LUN]]="X",Tabella1[[#This Row],[MAR]]="X",Tabella1[[#This Row],[MER]]="X",Tabella1[[#This Row],[GIO]]="X",Tabella1[[#This Row],[VEN]]="X",),"X","")</f>
        <v/>
      </c>
      <c r="D118" s="113" t="inlineStr">
        <is>
          <t>AREA 2</t>
        </is>
      </c>
      <c r="E118" s="109" t="inlineStr">
        <is>
          <t>551284/C</t>
        </is>
      </c>
      <c r="F118" s="109" t="n">
        <v>600</v>
      </c>
      <c r="G118" s="109" t="inlineStr">
        <is>
          <t>600F023I (MANDATA P104 CONDENSATO)CONTROLLO E TARATURA STRUMENTO DI PORTATA</t>
        </is>
      </c>
      <c r="H118" s="111" t="n"/>
      <c r="I118" s="111" t="n"/>
      <c r="J118" s="111" t="n"/>
      <c r="K118" s="111" t="n"/>
      <c r="L118" s="111" t="n"/>
      <c r="M118" s="92" t="inlineStr">
        <is>
          <t>DA CHIUDERE</t>
        </is>
      </c>
      <c r="N118" s="110" t="n"/>
      <c r="O118" s="168" t="n"/>
      <c r="P118" s="110" t="n"/>
      <c r="Q118" s="109" t="inlineStr">
        <is>
          <t xml:space="preserve">EFFETTUATA TARATURA E STASATI PRIMARI PARZIALMENTE TAPPATI </t>
        </is>
      </c>
      <c r="R118" s="110" t="n">
        <v>45916</v>
      </c>
      <c r="S118" s="110" t="inlineStr">
        <is>
          <t>SPINALI</t>
        </is>
      </c>
      <c r="T118" s="114">
        <f>IF(AND('Inserimento dati'!$B$3=$H$2, Tabella1[[#This Row],[LUN]]="X"), "X",IF(AND('Inserimento dati'!$B$3=$I$2, Tabella1[[#This Row],[MAR]]="X"), "X", IF(AND('Inserimento dati'!$B$3=$J$2, Tabella1[[#This Row],[MER]]="X"), "X",IF(AND('Inserimento dati'!$B$3=$K$2, Tabella1[[#This Row],[GIO]]="X"), "X", IF(AND('Inserimento dati'!$B$3=$L$2, Tabella1[[#This Row],[VEN]]="X"), "X","")))))</f>
        <v/>
      </c>
      <c r="U118" s="93" t="n"/>
      <c r="V118" t="inlineStr">
        <is>
          <t>2025-09-30 20:00:00</t>
        </is>
      </c>
    </row>
    <row r="119" ht="23.25" customFormat="1" customHeight="1" s="45">
      <c r="A119" s="112" t="n"/>
      <c r="B119" s="112" t="n"/>
      <c r="C119" s="112">
        <f>IF(OR(Tabella1[[#This Row],[LUN]]="X",Tabella1[[#This Row],[MAR]]="X",Tabella1[[#This Row],[MER]]="X",Tabella1[[#This Row],[GIO]]="X",Tabella1[[#This Row],[VEN]]="X",),"X","")</f>
        <v/>
      </c>
      <c r="D119" s="113" t="inlineStr">
        <is>
          <t>AREA 2</t>
        </is>
      </c>
      <c r="E119" s="109" t="inlineStr">
        <is>
          <t>551219/C</t>
        </is>
      </c>
      <c r="F119" s="109" t="n">
        <v>600</v>
      </c>
      <c r="G119" s="109" t="inlineStr">
        <is>
          <t>600L005DIC(H2O D103)  600L006IC(HC D103) CONTROLLO E TARATURA LIVELLI</t>
        </is>
      </c>
      <c r="H119" s="111" t="n"/>
      <c r="I119" s="111" t="n"/>
      <c r="J119" s="111" t="n"/>
      <c r="K119" s="111" t="n"/>
      <c r="L119" s="111" t="n"/>
      <c r="M119" s="92" t="inlineStr">
        <is>
          <t>DA CHIUDERE</t>
        </is>
      </c>
      <c r="N119" s="110" t="n"/>
      <c r="O119" s="168" t="n"/>
      <c r="P119" s="110" t="n"/>
      <c r="Q119" s="109" t="inlineStr">
        <is>
          <t xml:space="preserve">EFFETTUATA TARATURA E PULITA GABBIA. </t>
        </is>
      </c>
      <c r="R119" s="110" t="n">
        <v>45918</v>
      </c>
      <c r="S119" s="110" t="inlineStr">
        <is>
          <t>SPINALI</t>
        </is>
      </c>
      <c r="T119" s="114">
        <f>IF(AND('Inserimento dati'!$B$3=$H$2, Tabella1[[#This Row],[LUN]]="X"), "X",IF(AND('Inserimento dati'!$B$3=$I$2, Tabella1[[#This Row],[MAR]]="X"), "X", IF(AND('Inserimento dati'!$B$3=$J$2, Tabella1[[#This Row],[MER]]="X"), "X",IF(AND('Inserimento dati'!$B$3=$K$2, Tabella1[[#This Row],[GIO]]="X"), "X", IF(AND('Inserimento dati'!$B$3=$L$2, Tabella1[[#This Row],[VEN]]="X"), "X","")))))</f>
        <v/>
      </c>
      <c r="U119" s="93" t="n"/>
      <c r="V119" t="inlineStr">
        <is>
          <t>2025-09-30 20:00:00</t>
        </is>
      </c>
    </row>
    <row r="120" ht="23.25" customFormat="1" customHeight="1" s="45">
      <c r="A120" s="112" t="n"/>
      <c r="B120" s="112" t="n"/>
      <c r="C120" s="112">
        <f>IF(OR(Tabella1[[#This Row],[LUN]]="X",Tabella1[[#This Row],[MAR]]="X",Tabella1[[#This Row],[MER]]="X",Tabella1[[#This Row],[GIO]]="X",Tabella1[[#This Row],[VEN]]="X",),"X","")</f>
        <v/>
      </c>
      <c r="D120" s="113" t="inlineStr">
        <is>
          <t>AREA 2</t>
        </is>
      </c>
      <c r="E120" s="109" t="inlineStr">
        <is>
          <t>551330/C</t>
        </is>
      </c>
      <c r="F120" s="109" t="n">
        <v>1000</v>
      </c>
      <c r="G120" s="109" t="inlineStr">
        <is>
          <t>1000F201I(CONDENSA D126)CONTROLLO TARATURA E RIPRISTINO MISURA DI PORTATA</t>
        </is>
      </c>
      <c r="H120" s="111" t="n"/>
      <c r="I120" s="111" t="n"/>
      <c r="J120" s="111" t="n"/>
      <c r="K120" s="111" t="n"/>
      <c r="L120" s="111" t="n"/>
      <c r="M120" s="92" t="inlineStr">
        <is>
          <t>DA CHIUDERE</t>
        </is>
      </c>
      <c r="N120" s="110" t="n"/>
      <c r="O120" s="168" t="n"/>
      <c r="P120" s="110" t="n"/>
      <c r="Q120" s="109" t="inlineStr">
        <is>
          <t xml:space="preserve">EFFETTUATA TARATURA CON ESITO POSITIVO. </t>
        </is>
      </c>
      <c r="R120" s="110" t="n">
        <v>45918</v>
      </c>
      <c r="S120" s="110" t="inlineStr">
        <is>
          <t>SPINALI</t>
        </is>
      </c>
      <c r="T120" s="114">
        <f>IF(AND('Inserimento dati'!$B$3=$H$2, Tabella1[[#This Row],[LUN]]="X"), "X",IF(AND('Inserimento dati'!$B$3=$I$2, Tabella1[[#This Row],[MAR]]="X"), "X", IF(AND('Inserimento dati'!$B$3=$J$2, Tabella1[[#This Row],[MER]]="X"), "X",IF(AND('Inserimento dati'!$B$3=$K$2, Tabella1[[#This Row],[GIO]]="X"), "X", IF(AND('Inserimento dati'!$B$3=$L$2, Tabella1[[#This Row],[VEN]]="X"), "X","")))))</f>
        <v/>
      </c>
      <c r="U120" s="93" t="n"/>
      <c r="V120" t="inlineStr">
        <is>
          <t>2025-09-30 20:00:00</t>
        </is>
      </c>
    </row>
    <row r="121" ht="60" customFormat="1" customHeight="1" s="45">
      <c r="A121" s="112" t="n"/>
      <c r="B121" s="112" t="n"/>
      <c r="C121" s="112">
        <f>IF(OR(Tabella1[[#This Row],[LUN]]="X",Tabella1[[#This Row],[MAR]]="X",Tabella1[[#This Row],[MER]]="X",Tabella1[[#This Row],[GIO]]="X",Tabella1[[#This Row],[VEN]]="X",),"X","")</f>
        <v/>
      </c>
      <c r="D121" s="113" t="inlineStr">
        <is>
          <t>AREA 2</t>
        </is>
      </c>
      <c r="E121" s="109" t="inlineStr">
        <is>
          <t>551655/C</t>
        </is>
      </c>
      <c r="F121" s="109" t="n">
        <v>1000</v>
      </c>
      <c r="G121" s="109" t="inlineStr">
        <is>
          <t>1000P179CV RIBADERNATURA IN CAMPO E RIPRISTINO LANTERNA PREMISTOPPA VALVOLA(METTERE VALVOLA IN BYPASS INTERCETTATA E DEPRESSATA)</t>
        </is>
      </c>
      <c r="H121" s="111" t="n"/>
      <c r="I121" s="111" t="n"/>
      <c r="J121" s="111" t="n"/>
      <c r="K121" s="111" t="n"/>
      <c r="L121" s="111" t="n"/>
      <c r="M121" s="92" t="inlineStr">
        <is>
          <t>DA CHIUDERE</t>
        </is>
      </c>
      <c r="N121" s="110" t="n"/>
      <c r="O121" s="168" t="n"/>
      <c r="P121" s="110" t="n"/>
      <c r="Q121" s="109" t="inlineStr">
        <is>
          <t>COSTRUZIONE PRESSATRECCIA CON 2 SEMISFERE IN ACCIAIO ( PROVVISORIE IN ATTESA CHE LA VALVOLA VADA A REVISIONE ), PROVATA E MESSA IN ESERCIZIO A 12 KG SENZA PERDITA DAL PREMITRECCIA.</t>
        </is>
      </c>
      <c r="R121" s="110" t="n">
        <v>45918</v>
      </c>
      <c r="S121" s="110" t="inlineStr">
        <is>
          <t>MILLO</t>
        </is>
      </c>
      <c r="T121" s="114">
        <f>IF(AND('Inserimento dati'!$B$3=$H$2, Tabella1[[#This Row],[LUN]]="X"), "X",IF(AND('Inserimento dati'!$B$3=$I$2, Tabella1[[#This Row],[MAR]]="X"), "X", IF(AND('Inserimento dati'!$B$3=$J$2, Tabella1[[#This Row],[MER]]="X"), "X",IF(AND('Inserimento dati'!$B$3=$K$2, Tabella1[[#This Row],[GIO]]="X"), "X", IF(AND('Inserimento dati'!$B$3=$L$2, Tabella1[[#This Row],[VEN]]="X"), "X","")))))</f>
        <v/>
      </c>
      <c r="U121" s="93" t="n"/>
      <c r="V121" t="inlineStr">
        <is>
          <t>2025-09-30 20:00:00</t>
        </is>
      </c>
    </row>
    <row r="122" ht="30" customFormat="1" customHeight="1" s="45">
      <c r="A122" s="112" t="n"/>
      <c r="B122" s="112" t="n"/>
      <c r="C122" s="112">
        <f>IF(OR(Tabella1[[#This Row],[LUN]]="X",Tabella1[[#This Row],[MAR]]="X",Tabella1[[#This Row],[MER]]="X",Tabella1[[#This Row],[GIO]]="X",Tabella1[[#This Row],[VEN]]="X",),"X","")</f>
        <v/>
      </c>
      <c r="D122" s="113" t="inlineStr">
        <is>
          <t>AREA 2</t>
        </is>
      </c>
      <c r="E122" s="109" t="inlineStr">
        <is>
          <t>551773/C</t>
        </is>
      </c>
      <c r="F122" s="109" t="n">
        <v>500</v>
      </c>
      <c r="G122" s="109" t="inlineStr">
        <is>
          <t>500F022CV RIPRISTINO TUBICINO VALVOLA  ARIA STRUMENTI E CONTROLLO FUNZIONALITA</t>
        </is>
      </c>
      <c r="H122" s="111" t="n"/>
      <c r="I122" s="111" t="n"/>
      <c r="J122" s="111" t="n"/>
      <c r="K122" s="111" t="n"/>
      <c r="L122" s="111" t="n"/>
      <c r="M122" s="92" t="inlineStr">
        <is>
          <t>DA CHIUDERE</t>
        </is>
      </c>
      <c r="N122" s="110" t="n"/>
      <c r="O122" s="168" t="n"/>
      <c r="P122" s="110" t="n"/>
      <c r="Q122" s="109" t="inlineStr">
        <is>
          <t xml:space="preserve">SOSTITUITO POSIZIONATORE ED EFFETTUATE PROVE FUNZIONALI CON ESITO POSITIVO. </t>
        </is>
      </c>
      <c r="R122" s="110" t="n">
        <v>45919</v>
      </c>
      <c r="S122" s="110" t="inlineStr">
        <is>
          <t>SPINALI</t>
        </is>
      </c>
      <c r="T122" s="114">
        <f>IF(AND('Inserimento dati'!$B$3=$H$2, Tabella1[[#This Row],[LUN]]="X"), "X",IF(AND('Inserimento dati'!$B$3=$I$2, Tabella1[[#This Row],[MAR]]="X"), "X", IF(AND('Inserimento dati'!$B$3=$J$2, Tabella1[[#This Row],[MER]]="X"), "X",IF(AND('Inserimento dati'!$B$3=$K$2, Tabella1[[#This Row],[GIO]]="X"), "X", IF(AND('Inserimento dati'!$B$3=$L$2, Tabella1[[#This Row],[VEN]]="X"), "X","")))))</f>
        <v/>
      </c>
      <c r="U122" s="93" t="n"/>
      <c r="V122" t="inlineStr">
        <is>
          <t>2025-09-30 20:00:00</t>
        </is>
      </c>
    </row>
    <row r="123" ht="45" customFormat="1" customHeight="1" s="45">
      <c r="A123" s="112" t="n"/>
      <c r="B123" s="112" t="n"/>
      <c r="C123" s="112">
        <f>IF(OR(Tabella1[[#This Row],[LUN]]="X",Tabella1[[#This Row],[MAR]]="X",Tabella1[[#This Row],[MER]]="X",Tabella1[[#This Row],[GIO]]="X",Tabella1[[#This Row],[VEN]]="X",),"X","")</f>
        <v/>
      </c>
      <c r="D123" s="113" t="inlineStr">
        <is>
          <t>AREA 2</t>
        </is>
      </c>
      <c r="E123" s="109" t="inlineStr">
        <is>
          <t>551725/C</t>
        </is>
      </c>
      <c r="F123" s="109" t="n">
        <v>1000</v>
      </c>
      <c r="G123" s="109" t="inlineStr">
        <is>
          <t>1000 TESTA T101 10P180SH SOSTITUZIONE PRESSOSTATO DI BLOCCO PER CAMBIO SET DI INTERVENTO ,10P180HA TARATURA PRESSOSTATO DI ALLARME PER CAMBIO SET DI INTERVENTO(INSERIRE MOS PRIMA DI INIZIARE L'ATTIVITA)</t>
        </is>
      </c>
      <c r="H123" s="111" t="n"/>
      <c r="I123" s="111" t="n"/>
      <c r="J123" s="111" t="n"/>
      <c r="K123" s="111" t="n"/>
      <c r="L123" s="111" t="n"/>
      <c r="M123" s="92" t="inlineStr">
        <is>
          <t>DA CHIUDERE</t>
        </is>
      </c>
      <c r="N123" s="110" t="n"/>
      <c r="O123" s="168" t="n"/>
      <c r="P123" s="110" t="n"/>
      <c r="Q123" s="109" t="inlineStr">
        <is>
          <t xml:space="preserve">10P189SH SOSTITUZIONE PRESSOSTATO DI BLOCCO PER CAMBIO SET DI INTERVENTO ,10P180HA TARATURA PRESSOSTATO DI ALLARME PER CAMBIO SET DI INTERVENTO. </t>
        </is>
      </c>
      <c r="R123" s="110" t="n">
        <v>45919</v>
      </c>
      <c r="S123" s="110" t="inlineStr">
        <is>
          <t>SPINALI</t>
        </is>
      </c>
      <c r="T123" s="114">
        <f>IF(AND('Inserimento dati'!$B$3=$H$2, Tabella1[[#This Row],[LUN]]="X"), "X",IF(AND('Inserimento dati'!$B$3=$I$2, Tabella1[[#This Row],[MAR]]="X"), "X", IF(AND('Inserimento dati'!$B$3=$J$2, Tabella1[[#This Row],[MER]]="X"), "X",IF(AND('Inserimento dati'!$B$3=$K$2, Tabella1[[#This Row],[GIO]]="X"), "X", IF(AND('Inserimento dati'!$B$3=$L$2, Tabella1[[#This Row],[VEN]]="X"), "X","")))))</f>
        <v/>
      </c>
      <c r="U123" s="93" t="n"/>
      <c r="V123" t="inlineStr">
        <is>
          <t>2025-09-30 20:00:00</t>
        </is>
      </c>
    </row>
    <row r="124" ht="90" customFormat="1" customHeight="1" s="45">
      <c r="A124" s="112" t="n"/>
      <c r="B124" s="112" t="n"/>
      <c r="C124" s="112">
        <f>IF(OR(Tabella1[[#This Row],[LUN]]="X",Tabella1[[#This Row],[MAR]]="X",Tabella1[[#This Row],[MER]]="X",Tabella1[[#This Row],[GIO]]="X",Tabella1[[#This Row],[VEN]]="X",),"X","")</f>
        <v/>
      </c>
      <c r="D124" s="113" t="inlineStr">
        <is>
          <t>AREA 2</t>
        </is>
      </c>
      <c r="E124" s="109" t="inlineStr">
        <is>
          <t>552003/C</t>
        </is>
      </c>
      <c r="F124" s="109" t="n">
        <v>500</v>
      </c>
      <c r="G124" s="109" t="inlineStr">
        <is>
          <t>500F161R (VAPORE MS DA L.B.)CONTROLLO DI TARATURA ED EVENTUALE RIPRISTINO FUNZIONALITA</t>
        </is>
      </c>
      <c r="H124" s="111" t="n"/>
      <c r="I124" s="111" t="n"/>
      <c r="J124" s="111" t="n"/>
      <c r="K124" s="111" t="n"/>
      <c r="L124" s="111" t="n"/>
      <c r="M124" s="92" t="inlineStr">
        <is>
          <t>DA CHIUDERE</t>
        </is>
      </c>
      <c r="N124" s="110" t="n"/>
      <c r="O124" s="168" t="n"/>
      <c r="P124" s="110" t="n"/>
      <c r="Q124" s="109" t="inlineStr">
        <is>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is>
      </c>
      <c r="R124" s="110" t="n">
        <v>45923</v>
      </c>
      <c r="S124" s="110" t="inlineStr">
        <is>
          <t>SPINALI</t>
        </is>
      </c>
      <c r="T124" s="114">
        <f>IF(AND('Inserimento dati'!$B$3=$H$2, Tabella1[[#This Row],[LUN]]="X"), "X",IF(AND('Inserimento dati'!$B$3=$I$2, Tabella1[[#This Row],[MAR]]="X"), "X", IF(AND('Inserimento dati'!$B$3=$J$2, Tabella1[[#This Row],[MER]]="X"), "X",IF(AND('Inserimento dati'!$B$3=$K$2, Tabella1[[#This Row],[GIO]]="X"), "X", IF(AND('Inserimento dati'!$B$3=$L$2, Tabella1[[#This Row],[VEN]]="X"), "X","")))))</f>
        <v/>
      </c>
      <c r="U124" s="93" t="n"/>
      <c r="V124" t="inlineStr">
        <is>
          <t>2025-09-30 20:00:00</t>
        </is>
      </c>
    </row>
    <row r="125" ht="30" customFormat="1" customHeight="1" s="45">
      <c r="A125" s="112" t="n"/>
      <c r="B125" s="112" t="n"/>
      <c r="C125" s="112">
        <f>IF(OR(Tabella1[[#This Row],[LUN]]="X",Tabella1[[#This Row],[MAR]]="X",Tabella1[[#This Row],[MER]]="X",Tabella1[[#This Row],[GIO]]="X",Tabella1[[#This Row],[VEN]]="X",),"X","")</f>
        <v/>
      </c>
      <c r="D125" s="113" t="inlineStr">
        <is>
          <t>AREA 2</t>
        </is>
      </c>
      <c r="E125" s="109" t="inlineStr">
        <is>
          <t>552005/C</t>
        </is>
      </c>
      <c r="F125" s="109" t="n">
        <v>1000</v>
      </c>
      <c r="G125" s="109" t="inlineStr">
        <is>
          <t>1000F131R (VAPORE MS  L.B.)CONTROLLO DI TARATURA ED EVENTUALE RIPRISTINO FUNZIONALITA</t>
        </is>
      </c>
      <c r="H125" s="111" t="n"/>
      <c r="I125" s="111" t="n"/>
      <c r="J125" s="111" t="n"/>
      <c r="K125" s="111" t="n"/>
      <c r="L125" s="111" t="n"/>
      <c r="M125" s="92" t="inlineStr">
        <is>
          <t>DA CHIUDERE</t>
        </is>
      </c>
      <c r="N125" s="110" t="n"/>
      <c r="O125" s="168" t="n"/>
      <c r="P125" s="110" t="n"/>
      <c r="Q125" s="109" t="inlineStr">
        <is>
          <t xml:space="preserve">TROVATA PRESA POSITIVA PARZIALMENTE TAPPATA.
EFFETTUATA STASATURA CON ESITO POSITIVO. </t>
        </is>
      </c>
      <c r="R125" s="110" t="n">
        <v>45923</v>
      </c>
      <c r="S125" s="110" t="inlineStr">
        <is>
          <t>TARASCIO</t>
        </is>
      </c>
      <c r="T125" s="114">
        <f>IF(AND('Inserimento dati'!$B$3=$H$2, Tabella1[[#This Row],[LUN]]="X"), "X",IF(AND('Inserimento dati'!$B$3=$I$2, Tabella1[[#This Row],[MAR]]="X"), "X", IF(AND('Inserimento dati'!$B$3=$J$2, Tabella1[[#This Row],[MER]]="X"), "X",IF(AND('Inserimento dati'!$B$3=$K$2, Tabella1[[#This Row],[GIO]]="X"), "X", IF(AND('Inserimento dati'!$B$3=$L$2, Tabella1[[#This Row],[VEN]]="X"), "X","")))))</f>
        <v/>
      </c>
      <c r="U125" s="93" t="n"/>
      <c r="V125" t="inlineStr">
        <is>
          <t>2025-09-30 20:00:00</t>
        </is>
      </c>
    </row>
    <row r="126" ht="23.25" customFormat="1" customHeight="1" s="45">
      <c r="A126" s="112" t="n"/>
      <c r="B126" s="112" t="n"/>
      <c r="C126" s="112">
        <f>IF(OR(Tabella1[[#This Row],[LUN]]="X",Tabella1[[#This Row],[MAR]]="X",Tabella1[[#This Row],[MER]]="X",Tabella1[[#This Row],[GIO]]="X",Tabella1[[#This Row],[VEN]]="X",),"X","")</f>
        <v/>
      </c>
      <c r="D126" s="113" t="inlineStr">
        <is>
          <t>AREA 2</t>
        </is>
      </c>
      <c r="E126" s="109" t="inlineStr">
        <is>
          <t>548570/C</t>
        </is>
      </c>
      <c r="F126" s="109" t="n">
        <v>1000</v>
      </c>
      <c r="G126" s="109" t="inlineStr">
        <is>
          <t>1000 assistenza strumentale impianto</t>
        </is>
      </c>
      <c r="H126" s="111" t="n"/>
      <c r="I126" s="111" t="n"/>
      <c r="J126" s="111" t="n"/>
      <c r="K126" s="111" t="n"/>
      <c r="L126" s="111" t="n"/>
      <c r="M126" s="92" t="inlineStr">
        <is>
          <t>EMESSO</t>
        </is>
      </c>
      <c r="N126" s="110" t="n"/>
      <c r="O126" s="168" t="n"/>
      <c r="P126" s="110" t="n"/>
      <c r="Q126" s="109" t="n"/>
      <c r="R126" s="110" t="n"/>
      <c r="S126" s="110" t="n"/>
      <c r="T126" s="114">
        <f>IF(AND('Inserimento dati'!$B$3=$H$2, Tabella1[[#This Row],[LUN]]="X"), "X",IF(AND('Inserimento dati'!$B$3=$I$2, Tabella1[[#This Row],[MAR]]="X"), "X", IF(AND('Inserimento dati'!$B$3=$J$2, Tabella1[[#This Row],[MER]]="X"), "X",IF(AND('Inserimento dati'!$B$3=$K$2, Tabella1[[#This Row],[GIO]]="X"), "X", IF(AND('Inserimento dati'!$B$3=$L$2, Tabella1[[#This Row],[VEN]]="X"), "X","")))))</f>
        <v/>
      </c>
      <c r="U126" s="93" t="n"/>
      <c r="V126" t="inlineStr">
        <is>
          <t>2025-09-30 20:00:00</t>
        </is>
      </c>
    </row>
    <row r="127" ht="23.25" customFormat="1" customHeight="1" s="45">
      <c r="A127" s="112" t="n"/>
      <c r="B127" s="112" t="n"/>
      <c r="C127" s="112">
        <f>IF(OR(Tabella1[[#This Row],[LUN]]="X",Tabella1[[#This Row],[MAR]]="X",Tabella1[[#This Row],[MER]]="X",Tabella1[[#This Row],[GIO]]="X",Tabella1[[#This Row],[VEN]]="X",),"X","")</f>
        <v/>
      </c>
      <c r="D127" s="113" t="inlineStr">
        <is>
          <t>AREA 2</t>
        </is>
      </c>
      <c r="E127" s="109" t="inlineStr">
        <is>
          <t>548415/C</t>
        </is>
      </c>
      <c r="F127" s="109" t="n">
        <v>1000</v>
      </c>
      <c r="G127" s="109" t="inlineStr">
        <is>
          <t>1000L114RC (D111) CONTROLLO E RIPRISTINO MISURA  DI LIVELLO</t>
        </is>
      </c>
      <c r="H127" s="111" t="n"/>
      <c r="I127" s="111" t="n"/>
      <c r="J127" s="111" t="n"/>
      <c r="K127" s="111" t="n"/>
      <c r="L127" s="111" t="n"/>
      <c r="M127" s="92" t="inlineStr">
        <is>
          <t>EMESSO</t>
        </is>
      </c>
      <c r="N127" s="110" t="n"/>
      <c r="O127" s="168" t="n"/>
      <c r="P127" s="110" t="n"/>
      <c r="Q127" s="109" t="n"/>
      <c r="R127" s="110" t="n">
        <v>45891</v>
      </c>
      <c r="S127" s="110" t="n"/>
      <c r="T127" s="114">
        <f>IF(AND('Inserimento dati'!$B$3=$H$2, Tabella1[[#This Row],[LUN]]="X"), "X",IF(AND('Inserimento dati'!$B$3=$I$2, Tabella1[[#This Row],[MAR]]="X"), "X", IF(AND('Inserimento dati'!$B$3=$J$2, Tabella1[[#This Row],[MER]]="X"), "X",IF(AND('Inserimento dati'!$B$3=$K$2, Tabella1[[#This Row],[GIO]]="X"), "X", IF(AND('Inserimento dati'!$B$3=$L$2, Tabella1[[#This Row],[VEN]]="X"), "X","")))))</f>
        <v/>
      </c>
      <c r="U127" s="93" t="n"/>
      <c r="V127" t="inlineStr">
        <is>
          <t>2025-09-30 20:00:00</t>
        </is>
      </c>
    </row>
    <row r="128" ht="30" customFormat="1" customHeight="1" s="45">
      <c r="A128" s="112" t="n"/>
      <c r="B128" s="112" t="n"/>
      <c r="C128" s="112">
        <f>IF(OR(Tabella1[[#This Row],[LUN]]="X",Tabella1[[#This Row],[MAR]]="X",Tabella1[[#This Row],[MER]]="X",Tabella1[[#This Row],[GIO]]="X",Tabella1[[#This Row],[VEN]]="X",),"X","")</f>
        <v/>
      </c>
      <c r="D128" s="113" t="inlineStr">
        <is>
          <t>AREA 2</t>
        </is>
      </c>
      <c r="E128" s="109" t="inlineStr">
        <is>
          <t>546213/C</t>
        </is>
      </c>
      <c r="F128" s="109" t="n">
        <v>600</v>
      </c>
      <c r="G128" s="109" t="inlineStr">
        <is>
          <t>10228111 - IMP. 600 Si richiede taratura strumenti di pressione per monitoraggio letto di lavaggio: taratura P510R/P521R/P119I/DP513I</t>
        </is>
      </c>
      <c r="H128" s="111" t="n"/>
      <c r="I128" s="111" t="n"/>
      <c r="J128" s="111" t="n"/>
      <c r="K128" s="111" t="n"/>
      <c r="L128" s="111" t="n"/>
      <c r="M128" s="92" t="inlineStr">
        <is>
          <t>EMESSO</t>
        </is>
      </c>
      <c r="N128" s="110" t="n"/>
      <c r="O128" s="168" t="n"/>
      <c r="P128" s="110" t="n"/>
      <c r="Q128" s="109" t="n"/>
      <c r="R128" s="110" t="n"/>
      <c r="S128" s="110" t="n"/>
      <c r="T128" s="114">
        <f>IF(AND('Inserimento dati'!$B$3=$H$2, Tabella1[[#This Row],[LUN]]="X"), "X",IF(AND('Inserimento dati'!$B$3=$I$2, Tabella1[[#This Row],[MAR]]="X"), "X", IF(AND('Inserimento dati'!$B$3=$J$2, Tabella1[[#This Row],[MER]]="X"), "X",IF(AND('Inserimento dati'!$B$3=$K$2, Tabella1[[#This Row],[GIO]]="X"), "X", IF(AND('Inserimento dati'!$B$3=$L$2, Tabella1[[#This Row],[VEN]]="X"), "X","")))))</f>
        <v/>
      </c>
      <c r="U128" s="93" t="n"/>
      <c r="V128" t="inlineStr">
        <is>
          <t>2025-09-30 20:00:00</t>
        </is>
      </c>
    </row>
    <row r="129" ht="30" customFormat="1" customHeight="1" s="45">
      <c r="A129" s="112" t="n"/>
      <c r="B129" s="112" t="n"/>
      <c r="C129" s="112">
        <f>IF(OR(Tabella1[[#This Row],[LUN]]="X",Tabella1[[#This Row],[MAR]]="X",Tabella1[[#This Row],[MER]]="X",Tabella1[[#This Row],[GIO]]="X",Tabella1[[#This Row],[VEN]]="X",),"X","")</f>
        <v/>
      </c>
      <c r="D129" s="113" t="inlineStr">
        <is>
          <t>AREA 2</t>
        </is>
      </c>
      <c r="E129" s="109" t="inlineStr">
        <is>
          <t>545957/C</t>
        </is>
      </c>
      <c r="F129" s="109" t="n">
        <v>600</v>
      </c>
      <c r="G129" s="109" t="inlineStr">
        <is>
          <t>600- P108A/B SMONTAGGIO FLUSSIMETRO DA P108B PER REVISIONE E SUCCESSIVO RIMONTAGGIO NELLA P108A</t>
        </is>
      </c>
      <c r="H129" s="111" t="n"/>
      <c r="I129" s="111" t="n"/>
      <c r="J129" s="111" t="n"/>
      <c r="K129" s="111" t="n"/>
      <c r="L129" s="111" t="n"/>
      <c r="M129" s="92" t="inlineStr">
        <is>
          <t>EMESSO</t>
        </is>
      </c>
      <c r="N129" s="110" t="n"/>
      <c r="O129" s="168" t="n"/>
      <c r="P129" s="110" t="n"/>
      <c r="Q129" s="109" t="inlineStr">
        <is>
          <t>ESEGUITO SMONTAGGIO E CONTROFLANGIATURA.</t>
        </is>
      </c>
      <c r="R129" s="110" t="n">
        <v>45866</v>
      </c>
      <c r="S129" s="110" t="inlineStr">
        <is>
          <t>MILLO/ALLEGRETTI</t>
        </is>
      </c>
      <c r="T129" s="114">
        <f>IF(AND('Inserimento dati'!$B$3=$H$2, Tabella1[[#This Row],[LUN]]="X"), "X",IF(AND('Inserimento dati'!$B$3=$I$2, Tabella1[[#This Row],[MAR]]="X"), "X", IF(AND('Inserimento dati'!$B$3=$J$2, Tabella1[[#This Row],[MER]]="X"), "X",IF(AND('Inserimento dati'!$B$3=$K$2, Tabella1[[#This Row],[GIO]]="X"), "X", IF(AND('Inserimento dati'!$B$3=$L$2, Tabella1[[#This Row],[VEN]]="X"), "X","")))))</f>
        <v/>
      </c>
      <c r="U129" s="93" t="n"/>
      <c r="V129" t="inlineStr">
        <is>
          <t>2025-09-30 20:00:00</t>
        </is>
      </c>
    </row>
    <row r="130" ht="30" customFormat="1" customHeight="1" s="45">
      <c r="A130" s="112" t="n"/>
      <c r="B130" s="112" t="n"/>
      <c r="C130" s="112">
        <f>IF(OR(Tabella1[[#This Row],[LUN]]="X",Tabella1[[#This Row],[MAR]]="X",Tabella1[[#This Row],[MER]]="X",Tabella1[[#This Row],[GIO]]="X",Tabella1[[#This Row],[VEN]]="X",),"X","")</f>
        <v/>
      </c>
      <c r="D130" s="113" t="inlineStr">
        <is>
          <t>AREA 2</t>
        </is>
      </c>
      <c r="E130" s="109" t="inlineStr">
        <is>
          <t>545646/C</t>
        </is>
      </c>
      <c r="F130" s="109" t="n">
        <v>1000</v>
      </c>
      <c r="G130" s="109" t="inlineStr">
        <is>
          <t>1000VBCB2I  VBCB3I (C101B ) SOSTITUZIONE SONDE DI VIBRAZIONE PRIMO E SECONDO STADIO(METTERE I MOS PRIMA DI INIZIARE ATTIVITA)</t>
        </is>
      </c>
      <c r="H130" s="111" t="n"/>
      <c r="I130" s="111" t="n"/>
      <c r="J130" s="111" t="n"/>
      <c r="K130" s="111" t="n"/>
      <c r="L130" s="111" t="n"/>
      <c r="M130" s="92" t="inlineStr">
        <is>
          <t>EMESSO</t>
        </is>
      </c>
      <c r="N130" s="110" t="n"/>
      <c r="O130" s="168" t="n"/>
      <c r="P130" s="110" t="n"/>
      <c r="Q130" s="109" t="n"/>
      <c r="R130" s="110" t="n"/>
      <c r="S130" s="110" t="n"/>
      <c r="T130" s="114">
        <f>IF(AND('Inserimento dati'!$B$3=$H$2, Tabella1[[#This Row],[LUN]]="X"), "X",IF(AND('Inserimento dati'!$B$3=$I$2, Tabella1[[#This Row],[MAR]]="X"), "X", IF(AND('Inserimento dati'!$B$3=$J$2, Tabella1[[#This Row],[MER]]="X"), "X",IF(AND('Inserimento dati'!$B$3=$K$2, Tabella1[[#This Row],[GIO]]="X"), "X", IF(AND('Inserimento dati'!$B$3=$L$2, Tabella1[[#This Row],[VEN]]="X"), "X","")))))</f>
        <v/>
      </c>
      <c r="U130" s="93" t="n"/>
      <c r="V130" t="inlineStr">
        <is>
          <t>2025-09-30 20:00:00</t>
        </is>
      </c>
    </row>
    <row r="131" ht="30" customFormat="1" customHeight="1" s="45">
      <c r="A131" s="112" t="n"/>
      <c r="B131" s="112" t="n"/>
      <c r="C131" s="112">
        <f>IF(OR(Tabella1[[#This Row],[LUN]]="X",Tabella1[[#This Row],[MAR]]="X",Tabella1[[#This Row],[MER]]="X",Tabella1[[#This Row],[GIO]]="X",Tabella1[[#This Row],[VEN]]="X",),"X","")</f>
        <v/>
      </c>
      <c r="D131" s="113" t="inlineStr">
        <is>
          <t>AREA 2</t>
        </is>
      </c>
      <c r="E131" s="109" t="inlineStr">
        <is>
          <t>544165/C</t>
        </is>
      </c>
      <c r="F131" s="109" t="n">
        <v>1000</v>
      </c>
      <c r="G131" s="109" t="inlineStr">
        <is>
          <t>1000C101B RIPRISTINO PERDITA TUBO ACCIAIO PRESA MANOMETRICA ASPIRAZIONE PRIMO STADIO</t>
        </is>
      </c>
      <c r="H131" s="111" t="n"/>
      <c r="I131" s="111" t="n"/>
      <c r="J131" s="111" t="n"/>
      <c r="K131" s="111" t="n"/>
      <c r="L131" s="111" t="n"/>
      <c r="M131" s="92" t="inlineStr">
        <is>
          <t>EMESSO</t>
        </is>
      </c>
      <c r="N131" s="110" t="n"/>
      <c r="O131" s="168" t="n"/>
      <c r="P131" s="110" t="n"/>
      <c r="Q131" s="109" t="n"/>
      <c r="R131" s="110" t="n"/>
      <c r="S131" s="110" t="n"/>
      <c r="T131" s="114">
        <f>IF(AND('Inserimento dati'!$B$3=$H$2, Tabella1[[#This Row],[LUN]]="X"), "X",IF(AND('Inserimento dati'!$B$3=$I$2, Tabella1[[#This Row],[MAR]]="X"), "X", IF(AND('Inserimento dati'!$B$3=$J$2, Tabella1[[#This Row],[MER]]="X"), "X",IF(AND('Inserimento dati'!$B$3=$K$2, Tabella1[[#This Row],[GIO]]="X"), "X", IF(AND('Inserimento dati'!$B$3=$L$2, Tabella1[[#This Row],[VEN]]="X"), "X","")))))</f>
        <v/>
      </c>
      <c r="U131" s="93" t="n"/>
      <c r="V131" t="inlineStr">
        <is>
          <t>2025-09-30 20:00:00</t>
        </is>
      </c>
    </row>
    <row r="132" ht="23.25" customFormat="1" customHeight="1" s="45">
      <c r="A132" s="112" t="n"/>
      <c r="B132" s="112" t="n"/>
      <c r="C132" s="112">
        <f>IF(OR(Tabella1[[#This Row],[LUN]]="X",Tabella1[[#This Row],[MAR]]="X",Tabella1[[#This Row],[MER]]="X",Tabella1[[#This Row],[GIO]]="X",Tabella1[[#This Row],[VEN]]="X",),"X","")</f>
        <v/>
      </c>
      <c r="D132" s="113" t="inlineStr">
        <is>
          <t>AREA 2</t>
        </is>
      </c>
      <c r="E132" s="109" t="inlineStr">
        <is>
          <t>543532/C</t>
        </is>
      </c>
      <c r="F132" s="109" t="n">
        <v>1000</v>
      </c>
      <c r="G132" s="109" t="inlineStr">
        <is>
          <t>10226915 controllo funzionale del livello L114RC imp.1000 D111</t>
        </is>
      </c>
      <c r="H132" s="111" t="n"/>
      <c r="I132" s="111" t="n"/>
      <c r="J132" s="111" t="n"/>
      <c r="K132" s="111" t="n"/>
      <c r="L132" s="111" t="n"/>
      <c r="M132" s="92" t="inlineStr">
        <is>
          <t>EMESSO</t>
        </is>
      </c>
      <c r="N132" s="110" t="n"/>
      <c r="O132" s="168" t="n"/>
      <c r="P132" s="110" t="n"/>
      <c r="Q132" s="109" t="inlineStr">
        <is>
          <t>NESSUNA ANOMALIA SUL LIVELLO.</t>
        </is>
      </c>
      <c r="R132" s="110" t="n">
        <v>45754</v>
      </c>
      <c r="S132" s="110" t="inlineStr">
        <is>
          <t>SPINALI</t>
        </is>
      </c>
      <c r="T132" s="114">
        <f>IF(AND('Inserimento dati'!$B$3=$H$2, Tabella1[[#This Row],[LUN]]="X"), "X",IF(AND('Inserimento dati'!$B$3=$I$2, Tabella1[[#This Row],[MAR]]="X"), "X", IF(AND('Inserimento dati'!$B$3=$J$2, Tabella1[[#This Row],[MER]]="X"), "X",IF(AND('Inserimento dati'!$B$3=$K$2, Tabella1[[#This Row],[GIO]]="X"), "X", IF(AND('Inserimento dati'!$B$3=$L$2, Tabella1[[#This Row],[VEN]]="X"), "X","")))))</f>
        <v/>
      </c>
      <c r="U132" s="131" t="n"/>
      <c r="V132" t="inlineStr">
        <is>
          <t>2025-09-30 20:00:00</t>
        </is>
      </c>
    </row>
    <row r="133" ht="23.25" customFormat="1" customHeight="1" s="45">
      <c r="A133" s="112" t="n"/>
      <c r="B133" s="112" t="n"/>
      <c r="C133" s="112">
        <f>IF(OR(Tabella1[[#This Row],[LUN]]="X",Tabella1[[#This Row],[MAR]]="X",Tabella1[[#This Row],[MER]]="X",Tabella1[[#This Row],[GIO]]="X",Tabella1[[#This Row],[VEN]]="X",),"X","")</f>
        <v/>
      </c>
      <c r="D133" s="113" t="inlineStr">
        <is>
          <t>AREA 2</t>
        </is>
      </c>
      <c r="E133" s="109" t="inlineStr">
        <is>
          <t>540512/C</t>
        </is>
      </c>
      <c r="F133" s="109" t="n">
        <v>500</v>
      </c>
      <c r="G133" s="109" t="inlineStr">
        <is>
          <t>500F012I SPURGO SODA T103 CONTROLLO E RIPRISTINO FUNZIONALITA PORTAT</t>
        </is>
      </c>
      <c r="H133" s="111" t="n"/>
      <c r="I133" s="111" t="n"/>
      <c r="J133" s="111" t="n"/>
      <c r="K133" s="111" t="n"/>
      <c r="L133" s="111" t="n"/>
      <c r="M133" s="92" t="inlineStr">
        <is>
          <t>EMESSO</t>
        </is>
      </c>
      <c r="N133" s="110" t="n"/>
      <c r="O133" s="168" t="n"/>
      <c r="P133" s="110" t="n"/>
      <c r="Q133" s="109" t="n"/>
      <c r="R133" s="110" t="n">
        <v>45820</v>
      </c>
      <c r="S133" s="110" t="inlineStr">
        <is>
          <t>MILLO/GARRO</t>
        </is>
      </c>
      <c r="T133" s="114">
        <f>IF(AND('Inserimento dati'!$B$3=$H$2, Tabella1[[#This Row],[LUN]]="X"), "X",IF(AND('Inserimento dati'!$B$3=$I$2, Tabella1[[#This Row],[MAR]]="X"), "X", IF(AND('Inserimento dati'!$B$3=$J$2, Tabella1[[#This Row],[MER]]="X"), "X",IF(AND('Inserimento dati'!$B$3=$K$2, Tabella1[[#This Row],[GIO]]="X"), "X", IF(AND('Inserimento dati'!$B$3=$L$2, Tabella1[[#This Row],[VEN]]="X"), "X","")))))</f>
        <v/>
      </c>
      <c r="U133" s="131">
        <f>IFERROR(MID(G133,_xlfn.AGGREGATE(15,6,(ROW(INDIRECT("1:"&amp;LEN(G133)-7)))/(ISNUMBER(--MID(G133,ROW(INDIRECT("1:"&amp;LEN(G133)-7)),8))),1),8),"")</f>
        <v/>
      </c>
      <c r="V133" t="inlineStr">
        <is>
          <t>2025-09-30 20:00:00</t>
        </is>
      </c>
    </row>
    <row r="134" ht="30" customFormat="1" customHeight="1" s="45">
      <c r="A134" s="112" t="n"/>
      <c r="B134" s="112">
        <f>IF(OR(A134="x",A134="X"),"",IF(ISBLANK(A134),"X",""))</f>
        <v/>
      </c>
      <c r="C134" s="112">
        <f>IF(OR(Tabella1[[#This Row],[LUN]]="X",Tabella1[[#This Row],[MAR]]="X",Tabella1[[#This Row],[MER]]="X",Tabella1[[#This Row],[GIO]]="X",Tabella1[[#This Row],[VEN]]="X",),"X","")</f>
        <v/>
      </c>
      <c r="D134" s="113" t="inlineStr">
        <is>
          <t>AREA 2</t>
        </is>
      </c>
      <c r="E134" s="109" t="inlineStr">
        <is>
          <t>536759/C</t>
        </is>
      </c>
      <c r="F134" s="109" t="n">
        <v>1000</v>
      </c>
      <c r="G134" s="109" t="inlineStr">
        <is>
          <t>1000 - Controllo strumentazione pro lavaggio colonna T101,10L121HA (alto livello interfase D121).interfacciarsi con sala controllo prima di iniziare  attivita'.</t>
        </is>
      </c>
      <c r="H134" s="111" t="n"/>
      <c r="I134" s="111" t="n"/>
      <c r="J134" s="111" t="n"/>
      <c r="K134" s="111" t="n"/>
      <c r="L134" s="111" t="n"/>
      <c r="M134" s="110" t="inlineStr">
        <is>
          <t>EMESSO</t>
        </is>
      </c>
      <c r="N134" s="110" t="n"/>
      <c r="O134" s="168" t="n"/>
      <c r="P134" s="110" t="n"/>
      <c r="Q134" s="109" t="n"/>
      <c r="R134" s="110" t="n"/>
      <c r="S134" s="110" t="n"/>
      <c r="T134" s="114">
        <f>IF(AND('Inserimento dati'!$B$3=$H$2, Tabella1[[#This Row],[LUN]]="X"), "X",IF(AND('Inserimento dati'!$B$3=$I$2, Tabella1[[#This Row],[MAR]]="X"), "X", IF(AND('Inserimento dati'!$B$3=$J$2, Tabella1[[#This Row],[MER]]="X"), "X",IF(AND('Inserimento dati'!$B$3=$K$2, Tabella1[[#This Row],[GIO]]="X"), "X", IF(AND('Inserimento dati'!$B$3=$L$2, Tabella1[[#This Row],[VEN]]="X"), "X","")))))</f>
        <v/>
      </c>
      <c r="U134" s="132">
        <f>IFERROR(MID(G134,_xlfn.AGGREGATE(15,6,(ROW(INDIRECT("1:"&amp;LEN(G134)-7)))/(ISNUMBER(--MID(G134,ROW(INDIRECT("1:"&amp;LEN(G134)-7)),8))),1),8),"")</f>
        <v/>
      </c>
      <c r="V134" t="inlineStr">
        <is>
          <t>2025-09-30 20:00:00</t>
        </is>
      </c>
    </row>
    <row r="135" ht="45" customFormat="1" customHeight="1" s="45">
      <c r="A135" s="112" t="n"/>
      <c r="B135" s="112">
        <f>IF(OR(A135="x",A135="X"),"",IF(ISBLANK(A135),"X",""))</f>
        <v/>
      </c>
      <c r="C135" s="112">
        <f>IF(OR(Tabella1[[#This Row],[LUN]]="X",Tabella1[[#This Row],[MAR]]="X",Tabella1[[#This Row],[MER]]="X",Tabella1[[#This Row],[GIO]]="X",Tabella1[[#This Row],[VEN]]="X",),"X","")</f>
        <v/>
      </c>
      <c r="D135" s="113" t="inlineStr">
        <is>
          <t>AREA 2</t>
        </is>
      </c>
      <c r="E135" s="109" t="inlineStr">
        <is>
          <t>534310/C</t>
        </is>
      </c>
      <c r="F135" s="109" t="n">
        <v>500</v>
      </c>
      <c r="G135" s="109" t="inlineStr">
        <is>
          <t>500 - P006IC REGOLAZIONE LOCALE CONTROLLO E TARAURA SIA DEL REGOLATORE DI PRESSIONE E SIA DELLA VALVOLA(CONDIZIONE NECESSARIA PER  EFFETTUARE L'ATTIVITA E METTERE IN BYPASS LA VALVOLA)</t>
        </is>
      </c>
      <c r="H135" s="111" t="n"/>
      <c r="I135" s="111" t="n"/>
      <c r="J135" s="111" t="n"/>
      <c r="K135" s="111" t="n"/>
      <c r="L135" s="111" t="n"/>
      <c r="M135" s="110" t="inlineStr">
        <is>
          <t>EMESSO</t>
        </is>
      </c>
      <c r="N135" s="110" t="n"/>
      <c r="O135" s="168" t="n"/>
      <c r="P135" s="110" t="n"/>
      <c r="Q135" s="109" t="n"/>
      <c r="R135" s="110" t="n"/>
      <c r="S135" s="110" t="n"/>
      <c r="T135" s="112">
        <f>IF(AND('Inserimento dati'!$B$3=$H$2, Tabella1[[#This Row],[LUN]]="X"), "X",IF(AND('Inserimento dati'!$B$3=$I$2, Tabella1[[#This Row],[MAR]]="X"), "X", IF(AND('Inserimento dati'!$B$3=$J$2, Tabella1[[#This Row],[MER]]="X"), "X",IF(AND('Inserimento dati'!$B$3=$K$2, Tabella1[[#This Row],[GIO]]="X"), "X", IF(AND('Inserimento dati'!$B$3=$L$2, Tabella1[[#This Row],[VEN]]="X"), "X","")))))</f>
        <v/>
      </c>
      <c r="U135" s="132">
        <f>IFERROR(MID(G135,_xlfn.AGGREGATE(15,6,(ROW(INDIRECT("1:"&amp;LEN(G135)-7)))/(ISNUMBER(--MID(G135,ROW(INDIRECT("1:"&amp;LEN(G135)-7)),8))),1),8),"")</f>
        <v/>
      </c>
      <c r="V135" t="inlineStr">
        <is>
          <t>2025-09-30 20:00:00</t>
        </is>
      </c>
    </row>
    <row r="136" ht="45" customFormat="1" customHeight="1" s="45">
      <c r="A136" s="112" t="n"/>
      <c r="B136" s="112">
        <f>IF(OR(A136="x",A136="X"),"",IF(ISBLANK(A136),"X",""))</f>
        <v/>
      </c>
      <c r="C136" s="112">
        <f>IF(OR(Tabella1[[#This Row],[LUN]]="X",Tabella1[[#This Row],[MAR]]="X",Tabella1[[#This Row],[MER]]="X",Tabella1[[#This Row],[GIO]]="X",Tabella1[[#This Row],[VEN]]="X",),"X","")</f>
        <v/>
      </c>
      <c r="D136" s="113" t="inlineStr">
        <is>
          <t>AREA 2</t>
        </is>
      </c>
      <c r="E136" s="109" t="inlineStr">
        <is>
          <t>534308/C</t>
        </is>
      </c>
      <c r="F136" s="109" t="n">
        <v>500</v>
      </c>
      <c r="G136" s="109" t="inlineStr">
        <is>
          <t>500 - P005IC REGOLAZIONE LOCALE CONTROLLO E TARAURA SIA DEL REGOLATORE DI PRESSIONE E SIA DELLA VALVOLA(CONDIZIONE NECESSARIA PER  EFFETTUARE L'ATTIVITA E METTERE IN BYPASS LA VALVOLA)</t>
        </is>
      </c>
      <c r="H136" s="111" t="n"/>
      <c r="I136" s="111" t="n"/>
      <c r="J136" s="111" t="n"/>
      <c r="K136" s="111" t="n"/>
      <c r="L136" s="111" t="n"/>
      <c r="M136" s="110" t="inlineStr">
        <is>
          <t>EMESSO</t>
        </is>
      </c>
      <c r="N136" s="110" t="n"/>
      <c r="O136" s="168" t="n"/>
      <c r="P136" s="110" t="n"/>
      <c r="Q136" s="109" t="n"/>
      <c r="R136" s="110" t="n"/>
      <c r="S136" s="110" t="n"/>
      <c r="T136" s="112">
        <f>IF(AND('Inserimento dati'!$B$3=$H$2, Tabella1[[#This Row],[LUN]]="X"), "X",IF(AND('Inserimento dati'!$B$3=$I$2, Tabella1[[#This Row],[MAR]]="X"), "X", IF(AND('Inserimento dati'!$B$3=$J$2, Tabella1[[#This Row],[MER]]="X"), "X",IF(AND('Inserimento dati'!$B$3=$K$2, Tabella1[[#This Row],[GIO]]="X"), "X", IF(AND('Inserimento dati'!$B$3=$L$2, Tabella1[[#This Row],[VEN]]="X"), "X","")))))</f>
        <v/>
      </c>
      <c r="U136" s="132">
        <f>IFERROR(MID(G136,_xlfn.AGGREGATE(15,6,(ROW(INDIRECT("1:"&amp;LEN(G136)-7)))/(ISNUMBER(--MID(G136,ROW(INDIRECT("1:"&amp;LEN(G136)-7)),8))),1),8),"")</f>
        <v/>
      </c>
      <c r="V136" t="inlineStr">
        <is>
          <t>2025-09-30 20:00:00</t>
        </is>
      </c>
    </row>
    <row r="137" ht="23.25" customFormat="1" customHeight="1" s="45">
      <c r="A137" s="112" t="n"/>
      <c r="B137" s="112">
        <f>IF(OR(A137="x",A137="X"),"",IF(ISBLANK(A137),"X",""))</f>
        <v/>
      </c>
      <c r="C137" s="112">
        <f>IF(OR(Tabella1[[#This Row],[LUN]]="X",Tabella1[[#This Row],[MAR]]="X",Tabella1[[#This Row],[MER]]="X",Tabella1[[#This Row],[GIO]]="X",Tabella1[[#This Row],[VEN]]="X",),"X","")</f>
        <v/>
      </c>
      <c r="D137" s="113" t="inlineStr">
        <is>
          <t>AREA 2</t>
        </is>
      </c>
      <c r="E137" s="109" t="inlineStr">
        <is>
          <t>533171/C</t>
        </is>
      </c>
      <c r="F137" s="109" t="n">
        <v>500</v>
      </c>
      <c r="G137" s="109" t="inlineStr">
        <is>
          <t>500 - F031RC (GPL PRODOTTO) CONTROLLO E TARATURA STRUMENTO DI PORTATA</t>
        </is>
      </c>
      <c r="H137" s="111" t="n"/>
      <c r="I137" s="111" t="n"/>
      <c r="J137" s="111" t="n"/>
      <c r="K137" s="111" t="n"/>
      <c r="L137" s="111" t="n"/>
      <c r="M137" s="110" t="inlineStr">
        <is>
          <t>EMESSO</t>
        </is>
      </c>
      <c r="N137" s="110" t="n"/>
      <c r="O137" s="168" t="n"/>
      <c r="P137" s="110" t="n"/>
      <c r="Q137" s="110" t="n"/>
      <c r="R137" s="110" t="n"/>
      <c r="S137" s="110" t="n"/>
      <c r="T137" s="112">
        <f>IF(AND('Inserimento dati'!$B$3=$H$2, Tabella1[[#This Row],[LUN]]="X"), "X",IF(AND('Inserimento dati'!$B$3=$I$2, Tabella1[[#This Row],[MAR]]="X"), "X", IF(AND('Inserimento dati'!$B$3=$J$2, Tabella1[[#This Row],[MER]]="X"), "X",IF(AND('Inserimento dati'!$B$3=$K$2, Tabella1[[#This Row],[GIO]]="X"), "X", IF(AND('Inserimento dati'!$B$3=$L$2, Tabella1[[#This Row],[VEN]]="X"), "X","")))))</f>
        <v/>
      </c>
      <c r="U137" s="132">
        <f>IFERROR(MID(G137,_xlfn.AGGREGATE(15,6,(ROW(INDIRECT("1:"&amp;LEN(G137)-7)))/(ISNUMBER(--MID(G137,ROW(INDIRECT("1:"&amp;LEN(G137)-7)),8))),1),8),"")</f>
        <v/>
      </c>
      <c r="V137" t="inlineStr">
        <is>
          <t>2025-09-30 20:00:00</t>
        </is>
      </c>
    </row>
    <row r="138" ht="23.25" customFormat="1" customHeight="1" s="45">
      <c r="A138" s="112" t="n"/>
      <c r="B138" s="112">
        <f>IF(OR(A138="x",A138="X"),"",IF(ISBLANK(A138),"X",""))</f>
        <v/>
      </c>
      <c r="C138" s="112">
        <f>IF(OR(Tabella1[[#This Row],[LUN]]="X",Tabella1[[#This Row],[MAR]]="X",Tabella1[[#This Row],[MER]]="X",Tabella1[[#This Row],[GIO]]="X",Tabella1[[#This Row],[VEN]]="X",),"X","")</f>
        <v/>
      </c>
      <c r="D138" s="113" t="inlineStr">
        <is>
          <t>AREA 2</t>
        </is>
      </c>
      <c r="E138" s="109" t="inlineStr">
        <is>
          <t>536116/C</t>
        </is>
      </c>
      <c r="F138" s="109" t="n">
        <v>1000</v>
      </c>
      <c r="G138" s="109" t="inlineStr">
        <is>
          <t>1000 - COLONNA T101 CONTROLLO L121HA</t>
        </is>
      </c>
      <c r="H138" s="111" t="n"/>
      <c r="I138" s="111" t="n"/>
      <c r="J138" s="111" t="n"/>
      <c r="K138" s="111" t="n"/>
      <c r="L138" s="111" t="n"/>
      <c r="M138" s="110" t="inlineStr">
        <is>
          <t>EMESSO</t>
        </is>
      </c>
      <c r="N138" s="110" t="n"/>
      <c r="O138" s="168" t="n"/>
      <c r="P138" s="110" t="n"/>
      <c r="Q138" s="109" t="inlineStr">
        <is>
          <t>PRIORITARIO</t>
        </is>
      </c>
      <c r="R138" s="110" t="n"/>
      <c r="S138" s="110" t="n"/>
      <c r="T138" s="114">
        <f>IF(AND('Inserimento dati'!$B$3=$H$2, Tabella1[[#This Row],[LUN]]="X"), "X",IF(AND('Inserimento dati'!$B$3=$I$2, Tabella1[[#This Row],[MAR]]="X"), "X", IF(AND('Inserimento dati'!$B$3=$J$2, Tabella1[[#This Row],[MER]]="X"), "X",IF(AND('Inserimento dati'!$B$3=$K$2, Tabella1[[#This Row],[GIO]]="X"), "X", IF(AND('Inserimento dati'!$B$3=$L$2, Tabella1[[#This Row],[VEN]]="X"), "X","")))))</f>
        <v/>
      </c>
      <c r="U138" s="133">
        <f>IFERROR(MID(G138,_xlfn.AGGREGATE(15,6,(ROW(INDIRECT("1:"&amp;LEN(G138)-7)))/(ISNUMBER(--MID(G138,ROW(INDIRECT("1:"&amp;LEN(G138)-7)),8))),1),8),"")</f>
        <v/>
      </c>
      <c r="V138" t="inlineStr">
        <is>
          <t>2025-09-30 20:00:00</t>
        </is>
      </c>
    </row>
    <row r="139" ht="45" customFormat="1" customHeight="1" s="45">
      <c r="A139" s="112" t="n"/>
      <c r="B139" s="112" t="n"/>
      <c r="C139" s="112">
        <f>IF(OR(Tabella1[[#This Row],[LUN]]="X",Tabella1[[#This Row],[MAR]]="X",Tabella1[[#This Row],[MER]]="X",Tabella1[[#This Row],[GIO]]="X",Tabella1[[#This Row],[VEN]]="X",),"X","")</f>
        <v/>
      </c>
      <c r="D139" s="113" t="inlineStr">
        <is>
          <t>AREA 2</t>
        </is>
      </c>
      <c r="E139" s="109" t="inlineStr">
        <is>
          <t>536335/C</t>
        </is>
      </c>
      <c r="F139" s="109" t="n">
        <v>500</v>
      </c>
      <c r="G139" s="109" t="inlineStr">
        <is>
          <t>500 - T103 sostituzione colonna- Scolleg/smtg strumentazione e revisione in cantiere e rimozione  cavi e passerelle/conduit strumentali per rimozione colonna e successivi rmtg/ricollegamenti dopo posa nuova colonna.</t>
        </is>
      </c>
      <c r="H139" s="111" t="n"/>
      <c r="I139" s="111" t="n"/>
      <c r="J139" s="111" t="n"/>
      <c r="K139" s="111" t="n"/>
      <c r="L139" s="111" t="n"/>
      <c r="M139" s="110" t="inlineStr">
        <is>
          <t>EMESSO</t>
        </is>
      </c>
      <c r="N139" s="110" t="n"/>
      <c r="O139" s="168" t="n"/>
      <c r="P139" s="110" t="n"/>
      <c r="Q139" s="109" t="n"/>
      <c r="R139" s="110" t="n"/>
      <c r="S139" s="110" t="n"/>
      <c r="T139" s="114">
        <f>IF(AND('Inserimento dati'!$B$3=$H$2, Tabella1[[#This Row],[LUN]]="X"), "X",IF(AND('Inserimento dati'!$B$3=$I$2, Tabella1[[#This Row],[MAR]]="X"), "X", IF(AND('Inserimento dati'!$B$3=$J$2, Tabella1[[#This Row],[MER]]="X"), "X",IF(AND('Inserimento dati'!$B$3=$K$2, Tabella1[[#This Row],[GIO]]="X"), "X", IF(AND('Inserimento dati'!$B$3=$L$2, Tabella1[[#This Row],[VEN]]="X"), "X","")))))</f>
        <v/>
      </c>
      <c r="U139" s="134">
        <f>IFERROR(MID(G139,_xlfn.AGGREGATE(15,6,(ROW(INDIRECT("1:"&amp;LEN(G139)-7)))/(ISNUMBER(--MID(G139,ROW(INDIRECT("1:"&amp;LEN(G139)-7)),8))),1),8),"")</f>
        <v/>
      </c>
      <c r="V139" t="inlineStr">
        <is>
          <t>2025-09-30 20:00:00</t>
        </is>
      </c>
    </row>
    <row r="140" ht="30" customFormat="1" customHeight="1" s="45">
      <c r="A140" s="112" t="n"/>
      <c r="B140" s="112" t="n"/>
      <c r="C140" s="112">
        <f>IF(OR(Tabella1[[#This Row],[LUN]]="X",Tabella1[[#This Row],[MAR]]="X",Tabella1[[#This Row],[MER]]="X",Tabella1[[#This Row],[GIO]]="X",Tabella1[[#This Row],[VEN]]="X",),"X","")</f>
        <v/>
      </c>
      <c r="D140" s="113" t="inlineStr">
        <is>
          <t>AREA 2</t>
        </is>
      </c>
      <c r="E140" s="109" t="inlineStr">
        <is>
          <t>539501/C</t>
        </is>
      </c>
      <c r="F140" s="109" t="n">
        <v>600</v>
      </c>
      <c r="G140" s="109" t="inlineStr">
        <is>
          <t>600 - F026RC (OLIO LAVAGGIO P. A. PASSO) CONTROLLO E RIPRISTINO FUNZIONALITA PORTATA EVENTUALMENTE CON RIFACIMENTO TRACCIA DI VAPORE  SU STRUMENTO</t>
        </is>
      </c>
      <c r="H140" s="111" t="n"/>
      <c r="I140" s="111" t="n"/>
      <c r="J140" s="111" t="n"/>
      <c r="K140" s="111" t="n"/>
      <c r="L140" s="111" t="n"/>
      <c r="M140" s="92" t="inlineStr">
        <is>
          <t>EMESSO</t>
        </is>
      </c>
      <c r="N140" s="110" t="n"/>
      <c r="O140" s="168" t="n"/>
      <c r="P140" s="110" t="n"/>
      <c r="Q140" s="109" t="n"/>
      <c r="R140" s="110" t="n"/>
      <c r="S140" s="110" t="n"/>
      <c r="T140" s="114">
        <f>IF(AND('Inserimento dati'!$B$3=$H$2, Tabella1[[#This Row],[LUN]]="X"), "X",IF(AND('Inserimento dati'!$B$3=$I$2, Tabella1[[#This Row],[MAR]]="X"), "X", IF(AND('Inserimento dati'!$B$3=$J$2, Tabella1[[#This Row],[MER]]="X"), "X",IF(AND('Inserimento dati'!$B$3=$K$2, Tabella1[[#This Row],[GIO]]="X"), "X", IF(AND('Inserimento dati'!$B$3=$L$2, Tabella1[[#This Row],[VEN]]="X"), "X","")))))</f>
        <v/>
      </c>
      <c r="U140" s="131">
        <f>IFERROR(MID(G140,_xlfn.AGGREGATE(15,6,(ROW(INDIRECT("1:"&amp;LEN(G140)-7)))/(ISNUMBER(--MID(G140,ROW(INDIRECT("1:"&amp;LEN(G140)-7)),8))),1),8),"")</f>
        <v/>
      </c>
      <c r="V140" t="inlineStr">
        <is>
          <t>2025-09-30 20:00:00</t>
        </is>
      </c>
    </row>
    <row r="141" ht="30" customFormat="1" customHeight="1" s="45">
      <c r="A141" s="112" t="n"/>
      <c r="B141" s="112" t="n"/>
      <c r="C141" s="112">
        <f>IF(OR(Tabella1[[#This Row],[LUN]]="X",Tabella1[[#This Row],[MAR]]="X",Tabella1[[#This Row],[MER]]="X",Tabella1[[#This Row],[GIO]]="X",Tabella1[[#This Row],[VEN]]="X",),"X","")</f>
        <v/>
      </c>
      <c r="D141" s="113" t="inlineStr">
        <is>
          <t>AREA 2</t>
        </is>
      </c>
      <c r="E141" s="109" t="inlineStr">
        <is>
          <t>539413/C</t>
        </is>
      </c>
      <c r="F141" s="109" t="n">
        <v>500</v>
      </c>
      <c r="G141" s="109" t="inlineStr">
        <is>
          <t>500 - P009B CV SMONTAGGIO/MONTAGGIO VALVOLA PER REVISIONE</t>
        </is>
      </c>
      <c r="H141" s="111" t="n"/>
      <c r="I141" s="111" t="n"/>
      <c r="J141" s="111" t="n"/>
      <c r="K141" s="111" t="n"/>
      <c r="L141" s="111" t="n"/>
      <c r="M141" s="110" t="inlineStr">
        <is>
          <t>EMESSO</t>
        </is>
      </c>
      <c r="N141" s="110" t="n"/>
      <c r="O141" s="168" t="n"/>
      <c r="P141" s="110" t="n"/>
      <c r="Q141" s="109" t="inlineStr">
        <is>
          <t>VALVOLA SMONTATA, IN REVISIONE</t>
        </is>
      </c>
      <c r="R141" s="110" t="n">
        <v>45813</v>
      </c>
      <c r="S141" s="110" t="inlineStr">
        <is>
          <t>CIANCHINO/BAUDO</t>
        </is>
      </c>
      <c r="T141" s="114">
        <f>IF(AND('Inserimento dati'!$B$3=$H$2, Tabella1[[#This Row],[LUN]]="X"), "X",IF(AND('Inserimento dati'!$B$3=$I$2, Tabella1[[#This Row],[MAR]]="X"), "X", IF(AND('Inserimento dati'!$B$3=$J$2, Tabella1[[#This Row],[MER]]="X"), "X",IF(AND('Inserimento dati'!$B$3=$K$2, Tabella1[[#This Row],[GIO]]="X"), "X", IF(AND('Inserimento dati'!$B$3=$L$2, Tabella1[[#This Row],[VEN]]="X"), "X","")))))</f>
        <v/>
      </c>
      <c r="U141" s="134">
        <f>IFERROR(MID(G141,_xlfn.AGGREGATE(15,6,(ROW(INDIRECT("1:"&amp;LEN(G141)-7)))/(ISNUMBER(--MID(G141,ROW(INDIRECT("1:"&amp;LEN(G141)-7)),8))),1),8),"")</f>
        <v/>
      </c>
      <c r="V141" t="inlineStr">
        <is>
          <t>2025-09-30 20:00:00</t>
        </is>
      </c>
    </row>
    <row r="142" ht="30" customFormat="1" customHeight="1" s="45">
      <c r="A142" s="112" t="n"/>
      <c r="B142" s="112">
        <f>IF(OR(A142="x",A142="X"),"",IF(ISBLANK(A142),"X",""))</f>
        <v/>
      </c>
      <c r="C142" s="112">
        <f>IF(OR(Tabella1[[#This Row],[LUN]]="X",Tabella1[[#This Row],[MAR]]="X",Tabella1[[#This Row],[MER]]="X",Tabella1[[#This Row],[GIO]]="X",Tabella1[[#This Row],[VEN]]="X",),"X","")</f>
        <v/>
      </c>
      <c r="D142" s="113" t="inlineStr">
        <is>
          <t>AREA 2</t>
        </is>
      </c>
      <c r="E142" s="109" t="inlineStr">
        <is>
          <t>540194/C</t>
        </is>
      </c>
      <c r="F142" s="109" t="n">
        <v>500</v>
      </c>
      <c r="G142" s="109" t="inlineStr">
        <is>
          <t>500F018CV (ANTIPOMPAGGIO C 102) CONTROLLO E RIPRISTINO VALVOLA</t>
        </is>
      </c>
      <c r="H142" s="111" t="n"/>
      <c r="I142" s="111" t="n"/>
      <c r="J142" s="111" t="n"/>
      <c r="K142" s="111" t="n"/>
      <c r="L142" s="111" t="n"/>
      <c r="M142" s="92" t="inlineStr">
        <is>
          <t>EMESSO</t>
        </is>
      </c>
      <c r="N142" s="110" t="n"/>
      <c r="O142" s="168" t="n"/>
      <c r="P142" s="110" t="n"/>
      <c r="Q142" s="109" t="inlineStr">
        <is>
          <t>SCOLLEGATA PNEUMATICAMENTE PER SMONTAGGIO (MECCANICI) E SUCCESSIVA REVISIONE IN OFF.VALVOLE</t>
        </is>
      </c>
      <c r="R142" s="110" t="n">
        <v>45818</v>
      </c>
      <c r="S142" s="110" t="inlineStr">
        <is>
          <t>GARRO</t>
        </is>
      </c>
      <c r="T142" s="114">
        <f>IF(AND('Inserimento dati'!$B$3=$H$2, Tabella1[[#This Row],[LUN]]="X"), "X",IF(AND('Inserimento dati'!$B$3=$I$2, Tabella1[[#This Row],[MAR]]="X"), "X", IF(AND('Inserimento dati'!$B$3=$J$2, Tabella1[[#This Row],[MER]]="X"), "X",IF(AND('Inserimento dati'!$B$3=$K$2, Tabella1[[#This Row],[GIO]]="X"), "X", IF(AND('Inserimento dati'!$B$3=$L$2, Tabella1[[#This Row],[VEN]]="X"), "X","")))))</f>
        <v/>
      </c>
      <c r="U142" s="131">
        <f>IFERROR(MID(G142,_xlfn.AGGREGATE(15,6,(ROW(INDIRECT("1:"&amp;LEN(G142)-7)))/(ISNUMBER(--MID(G142,ROW(INDIRECT("1:"&amp;LEN(G142)-7)),8))),1),8),"")</f>
        <v/>
      </c>
      <c r="V142" t="inlineStr">
        <is>
          <t>2025-09-30 20:00:00</t>
        </is>
      </c>
    </row>
    <row r="143" ht="23.25" customFormat="1" customHeight="1" s="45">
      <c r="A143" s="112" t="n"/>
      <c r="B143" s="112">
        <f>IF(OR(A143="x",A143="X"),"",IF(ISBLANK(A143),"X",""))</f>
        <v/>
      </c>
      <c r="C143" s="112">
        <f>IF(OR(Tabella1[[#This Row],[LUN]]="X",Tabella1[[#This Row],[MAR]]="X",Tabella1[[#This Row],[MER]]="X",Tabella1[[#This Row],[GIO]]="X",Tabella1[[#This Row],[VEN]]="X",),"X","")</f>
        <v/>
      </c>
      <c r="D143" s="113" t="inlineStr">
        <is>
          <t>AREA 2</t>
        </is>
      </c>
      <c r="E143" s="109" t="inlineStr">
        <is>
          <t>540242/C</t>
        </is>
      </c>
      <c r="F143" s="109" t="n">
        <v>500</v>
      </c>
      <c r="G143" s="109" t="inlineStr">
        <is>
          <t>CONTROLLO LIVELLI T103 IMPIANTO 500 ( L006RC, L301RC, L302RC )</t>
        </is>
      </c>
      <c r="H143" s="111" t="n"/>
      <c r="I143" s="111" t="n"/>
      <c r="J143" s="111" t="n"/>
      <c r="K143" s="111" t="n"/>
      <c r="L143" s="111" t="n"/>
      <c r="M143" s="92" t="inlineStr">
        <is>
          <t>EMESSO</t>
        </is>
      </c>
      <c r="N143" s="110" t="n"/>
      <c r="O143" s="168" t="n"/>
      <c r="P143" s="110" t="n"/>
      <c r="Q143" s="109" t="n"/>
      <c r="R143" s="110" t="n">
        <v>45818</v>
      </c>
      <c r="S143" s="110" t="inlineStr">
        <is>
          <t>MILLO</t>
        </is>
      </c>
      <c r="T143" s="114">
        <f>IF(AND('Inserimento dati'!$B$3=$H$2, Tabella1[[#This Row],[LUN]]="X"), "X",IF(AND('Inserimento dati'!$B$3=$I$2, Tabella1[[#This Row],[MAR]]="X"), "X", IF(AND('Inserimento dati'!$B$3=$J$2, Tabella1[[#This Row],[MER]]="X"), "X",IF(AND('Inserimento dati'!$B$3=$K$2, Tabella1[[#This Row],[GIO]]="X"), "X", IF(AND('Inserimento dati'!$B$3=$L$2, Tabella1[[#This Row],[VEN]]="X"), "X","")))))</f>
        <v/>
      </c>
      <c r="U143" s="131">
        <f>IFERROR(MID(G143,_xlfn.AGGREGATE(15,6,(ROW(INDIRECT("1:"&amp;LEN(G143)-7)))/(ISNUMBER(--MID(G143,ROW(INDIRECT("1:"&amp;LEN(G143)-7)),8))),1),8),"")</f>
        <v/>
      </c>
      <c r="V143" t="inlineStr">
        <is>
          <t>2025-09-30 20:00:00</t>
        </is>
      </c>
    </row>
    <row r="144" ht="30" customFormat="1" customHeight="1" s="45">
      <c r="A144" s="112" t="n"/>
      <c r="B144" s="112">
        <f>IF(OR(A144="x",A144="X"),"",IF(ISBLANK(A144),"X",""))</f>
        <v/>
      </c>
      <c r="C144" s="112">
        <f>IF(OR(Tabella1[[#This Row],[LUN]]="X",Tabella1[[#This Row],[MAR]]="X",Tabella1[[#This Row],[MER]]="X",Tabella1[[#This Row],[GIO]]="X",Tabella1[[#This Row],[VEN]]="X",),"X","")</f>
        <v/>
      </c>
      <c r="D144" s="113" t="inlineStr">
        <is>
          <t>AREA 1</t>
        </is>
      </c>
      <c r="E144" s="109" t="inlineStr">
        <is>
          <t>537255/C</t>
        </is>
      </c>
      <c r="F144" s="109" t="n">
        <v>1000</v>
      </c>
      <c r="G144" s="109" t="inlineStr">
        <is>
          <t>1000 - P137RC (PRESSIONE SEPARATORE ASP.2 STADIO)CONTROLLO LOOP DI REGOLAZIONE A CAUSA OSCILLAZIONE DELLA MISURA PARTENDO DALLA VALVOLA</t>
        </is>
      </c>
      <c r="H144" s="111" t="n"/>
      <c r="I144" s="111" t="n"/>
      <c r="J144" s="111" t="n"/>
      <c r="K144" s="111" t="n"/>
      <c r="L144" s="111" t="n"/>
      <c r="M144" s="109" t="inlineStr">
        <is>
          <t>EMESSO</t>
        </is>
      </c>
      <c r="N144" s="110" t="n"/>
      <c r="O144" s="168" t="n"/>
      <c r="P144" s="110" t="n"/>
      <c r="Q144" s="110" t="n"/>
      <c r="R144" s="110" t="n"/>
      <c r="S144" s="110" t="n"/>
      <c r="T144" s="114">
        <f>IF(AND('Inserimento dati'!$B$3=$H$2, Tabella1[[#This Row],[LUN]]="X"), "X",IF(AND('Inserimento dati'!$B$3=$I$2, Tabella1[[#This Row],[MAR]]="X"), "X", IF(AND('Inserimento dati'!$B$3=$J$2, Tabella1[[#This Row],[MER]]="X"), "X",IF(AND('Inserimento dati'!$B$3=$K$2, Tabella1[[#This Row],[GIO]]="X"), "X", IF(AND('Inserimento dati'!$B$3=$L$2, Tabella1[[#This Row],[VEN]]="X"), "X","")))))</f>
        <v/>
      </c>
      <c r="U144" s="138">
        <f>IFERROR(MID(G144,_xlfn.AGGREGATE(15,6,(ROW(INDIRECT("1:"&amp;LEN(G144)-7)))/(ISNUMBER(--MID(G144,ROW(INDIRECT("1:"&amp;LEN(G144)-7)),8))),1),8),"")</f>
        <v/>
      </c>
      <c r="V144" t="inlineStr">
        <is>
          <t>2025-09-30 20:00:00</t>
        </is>
      </c>
    </row>
    <row r="145" ht="30" customFormat="1" customHeight="1" s="45">
      <c r="A145" s="112" t="n"/>
      <c r="B145" s="112" t="n"/>
      <c r="C145" s="112">
        <f>IF(OR(Tabella1[[#This Row],[LUN]]="X",Tabella1[[#This Row],[MAR]]="X",Tabella1[[#This Row],[MER]]="X",Tabella1[[#This Row],[GIO]]="X",Tabella1[[#This Row],[VEN]]="X",),"X","")</f>
        <v/>
      </c>
      <c r="D145" s="113" t="inlineStr">
        <is>
          <t>AREA 2</t>
        </is>
      </c>
      <c r="E145" s="109" t="inlineStr">
        <is>
          <t>542332/C</t>
        </is>
      </c>
      <c r="F145" s="109" t="n">
        <v>600</v>
      </c>
      <c r="G145" s="109" t="inlineStr">
        <is>
          <t>IMP.600F141RC(RICICLO REDIDUO VACUUM)CONTROLLO E RIPRISTINO MSURA DI PORTATA</t>
        </is>
      </c>
      <c r="H145" s="111" t="n"/>
      <c r="I145" s="111" t="n"/>
      <c r="J145" s="111" t="n"/>
      <c r="K145" s="111" t="n"/>
      <c r="L145" s="111" t="n"/>
      <c r="M145" s="92" t="inlineStr">
        <is>
          <t>EMESSO</t>
        </is>
      </c>
      <c r="N145" s="110" t="n"/>
      <c r="O145" s="168" t="n"/>
      <c r="P145" s="110" t="n"/>
      <c r="Q145" s="109" t="n"/>
      <c r="R145" s="110" t="n">
        <v>45834</v>
      </c>
      <c r="S145" s="110" t="inlineStr">
        <is>
          <t>SPINALI/LEONE</t>
        </is>
      </c>
      <c r="T145" s="114">
        <f>IF(AND('Inserimento dati'!$B$3=$H$2, Tabella1[[#This Row],[LUN]]="X"), "X",IF(AND('Inserimento dati'!$B$3=$I$2, Tabella1[[#This Row],[MAR]]="X"), "X", IF(AND('Inserimento dati'!$B$3=$J$2, Tabella1[[#This Row],[MER]]="X"), "X",IF(AND('Inserimento dati'!$B$3=$K$2, Tabella1[[#This Row],[GIO]]="X"), "X", IF(AND('Inserimento dati'!$B$3=$L$2, Tabella1[[#This Row],[VEN]]="X"), "X","")))))</f>
        <v/>
      </c>
      <c r="U145" s="131">
        <f>IFERROR(MID(G145,_xlfn.AGGREGATE(15,6,(ROW(INDIRECT("1:"&amp;LEN(G145)-7)))/(ISNUMBER(--MID(G145,ROW(INDIRECT("1:"&amp;LEN(G145)-7)),8))),1),8),"")</f>
        <v/>
      </c>
      <c r="V145" t="inlineStr">
        <is>
          <t>2025-09-30 20:00:00</t>
        </is>
      </c>
    </row>
    <row r="146" ht="30" customFormat="1" customHeight="1" s="45">
      <c r="A146" s="112" t="n"/>
      <c r="B146" s="112" t="n"/>
      <c r="C146" s="112">
        <f>IF(OR(Tabella1[[#This Row],[LUN]]="X",Tabella1[[#This Row],[MAR]]="X",Tabella1[[#This Row],[MER]]="X",Tabella1[[#This Row],[GIO]]="X",Tabella1[[#This Row],[VEN]]="X",),"X","")</f>
        <v/>
      </c>
      <c r="D146" s="113" t="inlineStr">
        <is>
          <t>AREA 2</t>
        </is>
      </c>
      <c r="E146" s="109" t="inlineStr">
        <is>
          <t>542740/C</t>
        </is>
      </c>
      <c r="F146" s="109" t="n">
        <v>600</v>
      </c>
      <c r="G146" s="109" t="inlineStr">
        <is>
          <t>600P108A SOSTITUZIONE FLUSSIMETRO CON PRIMARI ANNESSI (GASOLIO DI FLUSSAGGIO ANELLI DI USURA P108A)</t>
        </is>
      </c>
      <c r="H146" s="111" t="n"/>
      <c r="I146" s="111" t="n"/>
      <c r="J146" s="111" t="n"/>
      <c r="K146" s="111" t="n"/>
      <c r="L146" s="111" t="n"/>
      <c r="M146" s="92" t="inlineStr">
        <is>
          <t>EMESSO</t>
        </is>
      </c>
      <c r="N146" s="110" t="n"/>
      <c r="O146" s="168" t="n"/>
      <c r="P146" s="110" t="n"/>
      <c r="Q146" s="109" t="n"/>
      <c r="R146" s="110" t="n"/>
      <c r="S146" s="110" t="n"/>
      <c r="T146" s="114">
        <f>IF(AND('Inserimento dati'!$B$3=$H$2, Tabella1[[#This Row],[LUN]]="X"), "X",IF(AND('Inserimento dati'!$B$3=$I$2, Tabella1[[#This Row],[MAR]]="X"), "X", IF(AND('Inserimento dati'!$B$3=$J$2, Tabella1[[#This Row],[MER]]="X"), "X",IF(AND('Inserimento dati'!$B$3=$K$2, Tabella1[[#This Row],[GIO]]="X"), "X", IF(AND('Inserimento dati'!$B$3=$L$2, Tabella1[[#This Row],[VEN]]="X"), "X","")))))</f>
        <v/>
      </c>
      <c r="U146" s="131">
        <f>IFERROR(MID(G146,_xlfn.AGGREGATE(15,6,(ROW(INDIRECT("1:"&amp;LEN(G146)-7)))/(ISNUMBER(--MID(G146,ROW(INDIRECT("1:"&amp;LEN(G146)-7)),8))),1),8),"")</f>
        <v/>
      </c>
      <c r="V146" t="inlineStr">
        <is>
          <t>2025-09-30 20:00:00</t>
        </is>
      </c>
    </row>
    <row r="147" ht="30" customFormat="1" customHeight="1" s="45">
      <c r="A147" s="112" t="n"/>
      <c r="B147" s="112" t="n"/>
      <c r="C147" s="112">
        <f>IF(OR(Tabella1[[#This Row],[LUN]]="X",Tabella1[[#This Row],[MAR]]="X",Tabella1[[#This Row],[MER]]="X",Tabella1[[#This Row],[GIO]]="X",Tabella1[[#This Row],[VEN]]="X",),"X","")</f>
        <v/>
      </c>
      <c r="D147" s="113" t="inlineStr">
        <is>
          <t>AREA 2</t>
        </is>
      </c>
      <c r="E147" s="109" t="inlineStr">
        <is>
          <t>543599/C</t>
        </is>
      </c>
      <c r="F147" s="109" t="n">
        <v>1000</v>
      </c>
      <c r="G147" s="109" t="inlineStr">
        <is>
          <t>10226912   1000: 10F119R controllo funzionale</t>
        </is>
      </c>
      <c r="H147" s="111" t="n"/>
      <c r="I147" s="111" t="n"/>
      <c r="J147" s="111" t="n"/>
      <c r="K147" s="111" t="n"/>
      <c r="L147" s="111" t="n"/>
      <c r="M147" s="92" t="inlineStr">
        <is>
          <t>EMESSO</t>
        </is>
      </c>
      <c r="N147" s="110" t="n"/>
      <c r="O147" s="168" t="n"/>
      <c r="P147" s="110" t="n"/>
      <c r="Q147" s="109" t="inlineStr">
        <is>
          <t>IL LAVORO VERRA' FATTO IN FERMATA PERCHE' LE RADICI SONO TAPPATE E SERVE PONTEROSSO</t>
        </is>
      </c>
      <c r="R147" s="110" t="n"/>
      <c r="S147" s="110" t="n">
        <v>45846</v>
      </c>
      <c r="T147" s="114">
        <f>IF(AND('Inserimento dati'!$B$3=$H$2, Tabella1[[#This Row],[LUN]]="X"), "X",IF(AND('Inserimento dati'!$B$3=$I$2, Tabella1[[#This Row],[MAR]]="X"), "X", IF(AND('Inserimento dati'!$B$3=$J$2, Tabella1[[#This Row],[MER]]="X"), "X",IF(AND('Inserimento dati'!$B$3=$K$2, Tabella1[[#This Row],[GIO]]="X"), "X", IF(AND('Inserimento dati'!$B$3=$L$2, Tabella1[[#This Row],[VEN]]="X"), "X","")))))</f>
        <v/>
      </c>
      <c r="U147" s="131" t="n"/>
      <c r="V147" t="inlineStr">
        <is>
          <t>2025-09-30 20:00:00</t>
        </is>
      </c>
    </row>
    <row r="148" ht="30" customFormat="1" customHeight="1" s="45">
      <c r="A148" s="112" t="n"/>
      <c r="B148" s="112" t="n"/>
      <c r="C148" s="112">
        <f>IF(OR(Tabella1[[#This Row],[LUN]]="X",Tabella1[[#This Row],[MAR]]="X",Tabella1[[#This Row],[MER]]="X",Tabella1[[#This Row],[GIO]]="X",Tabella1[[#This Row],[VEN]]="X",),"X","")</f>
        <v/>
      </c>
      <c r="D148" s="113" t="inlineStr">
        <is>
          <t>AREA 2</t>
        </is>
      </c>
      <c r="E148" s="109" t="inlineStr">
        <is>
          <t>543775/C</t>
        </is>
      </c>
      <c r="F148" s="109" t="n">
        <v>500</v>
      </c>
      <c r="G148" s="109" t="inlineStr">
        <is>
          <t>500P206SH(VALVOLA DEL.ATTIVATA C103B)05P504SH(VALVOLA DEL. ATTIVATA C101)CONTROLLO ED EVENTUALE RIPRISTINO PRESSOSTATI</t>
        </is>
      </c>
      <c r="H148" s="111" t="n"/>
      <c r="I148" s="111" t="n"/>
      <c r="J148" s="111" t="n"/>
      <c r="K148" s="111" t="n"/>
      <c r="L148" s="111" t="n"/>
      <c r="M148" s="92" t="inlineStr">
        <is>
          <t>EMESSO</t>
        </is>
      </c>
      <c r="N148" s="110" t="n"/>
      <c r="O148" s="168" t="n"/>
      <c r="P148" s="110" t="n"/>
      <c r="Q148" s="109" t="n"/>
      <c r="R148" s="110" t="n"/>
      <c r="S148" s="110" t="n"/>
      <c r="T148" s="114">
        <f>IF(AND('Inserimento dati'!$B$3=$H$2, Tabella1[[#This Row],[LUN]]="X"), "X",IF(AND('Inserimento dati'!$B$3=$I$2, Tabella1[[#This Row],[MAR]]="X"), "X", IF(AND('Inserimento dati'!$B$3=$J$2, Tabella1[[#This Row],[MER]]="X"), "X",IF(AND('Inserimento dati'!$B$3=$K$2, Tabella1[[#This Row],[GIO]]="X"), "X", IF(AND('Inserimento dati'!$B$3=$L$2, Tabella1[[#This Row],[VEN]]="X"), "X","")))))</f>
        <v/>
      </c>
      <c r="U148" s="131" t="n"/>
      <c r="V148" t="inlineStr">
        <is>
          <t>2025-09-30 20:00:00</t>
        </is>
      </c>
    </row>
    <row r="149" ht="30" customFormat="1" customHeight="1" s="45">
      <c r="A149" s="112" t="n"/>
      <c r="B149" s="112" t="n"/>
      <c r="C149" s="112">
        <f>IF(OR(Tabella1[[#This Row],[LUN]]="X",Tabella1[[#This Row],[MAR]]="X",Tabella1[[#This Row],[MER]]="X",Tabella1[[#This Row],[GIO]]="X",Tabella1[[#This Row],[VEN]]="X",),"X","")</f>
        <v/>
      </c>
      <c r="D149" s="113" t="inlineStr">
        <is>
          <t>AREA 2</t>
        </is>
      </c>
      <c r="E149" s="109" t="inlineStr">
        <is>
          <t>543712/C</t>
        </is>
      </c>
      <c r="F149" s="109" t="n">
        <v>600</v>
      </c>
      <c r="G149" s="109" t="inlineStr">
        <is>
          <t>10226764   600-ripristino regolatore di pressione nella linea di azoto della pompetta di additivazione antincrostante</t>
        </is>
      </c>
      <c r="H149" s="111" t="n"/>
      <c r="I149" s="111" t="n"/>
      <c r="J149" s="111" t="n"/>
      <c r="K149" s="111" t="n"/>
      <c r="L149" s="111" t="n"/>
      <c r="M149" s="92" t="inlineStr">
        <is>
          <t>EMESSO</t>
        </is>
      </c>
      <c r="N149" s="110" t="n"/>
      <c r="O149" s="168" t="n"/>
      <c r="P149" s="110" t="n"/>
      <c r="Q149" s="109" t="n"/>
      <c r="R149" s="110" t="n"/>
      <c r="S149" s="110" t="n"/>
      <c r="T149" s="114">
        <f>IF(AND('Inserimento dati'!$B$3=$H$2, Tabella1[[#This Row],[LUN]]="X"), "X",IF(AND('Inserimento dati'!$B$3=$I$2, Tabella1[[#This Row],[MAR]]="X"), "X", IF(AND('Inserimento dati'!$B$3=$J$2, Tabella1[[#This Row],[MER]]="X"), "X",IF(AND('Inserimento dati'!$B$3=$K$2, Tabella1[[#This Row],[GIO]]="X"), "X", IF(AND('Inserimento dati'!$B$3=$L$2, Tabella1[[#This Row],[VEN]]="X"), "X","")))))</f>
        <v/>
      </c>
      <c r="U149" s="131" t="n"/>
      <c r="V149" t="inlineStr">
        <is>
          <t>2025-09-30 20:00:00</t>
        </is>
      </c>
    </row>
    <row r="150" ht="23.25" customFormat="1" customHeight="1" s="45">
      <c r="A150" s="112" t="n"/>
      <c r="B150" s="112" t="n"/>
      <c r="C150" s="112">
        <f>IF(OR(Tabella1[[#This Row],[LUN]]="X",Tabella1[[#This Row],[MAR]]="X",Tabella1[[#This Row],[MER]]="X",Tabella1[[#This Row],[GIO]]="X",Tabella1[[#This Row],[VEN]]="X",),"X","")</f>
        <v/>
      </c>
      <c r="D150" s="113" t="inlineStr">
        <is>
          <t>AREA 2</t>
        </is>
      </c>
      <c r="E150" s="109" t="inlineStr">
        <is>
          <t>546017/C</t>
        </is>
      </c>
      <c r="F150" s="109" t="n">
        <v>600</v>
      </c>
      <c r="G150" s="109" t="inlineStr">
        <is>
          <t>600- F004CV SMONTAGGIO/RIMONTAGGIO VALVOLA PER REVISIONE</t>
        </is>
      </c>
      <c r="H150" s="111" t="n"/>
      <c r="I150" s="111" t="n"/>
      <c r="J150" s="111" t="n"/>
      <c r="K150" s="111" t="n"/>
      <c r="L150" s="111" t="n"/>
      <c r="M150" s="92" t="inlineStr">
        <is>
          <t>EMESSO</t>
        </is>
      </c>
      <c r="N150" s="110" t="n"/>
      <c r="O150" s="168" t="n"/>
      <c r="P150" s="110" t="n"/>
      <c r="Q150" s="109" t="n"/>
      <c r="R150" s="110" t="n"/>
      <c r="S150" s="110" t="n"/>
      <c r="T150" s="114">
        <f>IF(AND('Inserimento dati'!$B$3=$H$2, Tabella1[[#This Row],[LUN]]="X"), "X",IF(AND('Inserimento dati'!$B$3=$I$2, Tabella1[[#This Row],[MAR]]="X"), "X", IF(AND('Inserimento dati'!$B$3=$J$2, Tabella1[[#This Row],[MER]]="X"), "X",IF(AND('Inserimento dati'!$B$3=$K$2, Tabella1[[#This Row],[GIO]]="X"), "X", IF(AND('Inserimento dati'!$B$3=$L$2, Tabella1[[#This Row],[VEN]]="X"), "X","")))))</f>
        <v/>
      </c>
      <c r="U150" s="93" t="n"/>
      <c r="V150" t="inlineStr">
        <is>
          <t>2025-09-30 20:00:00</t>
        </is>
      </c>
    </row>
    <row r="151" ht="23.25" customFormat="1" customHeight="1" s="45">
      <c r="A151" s="112" t="n"/>
      <c r="B151" s="112" t="n"/>
      <c r="C151" s="112">
        <f>IF(OR(Tabella1[[#This Row],[LUN]]="X",Tabella1[[#This Row],[MAR]]="X",Tabella1[[#This Row],[MER]]="X",Tabella1[[#This Row],[GIO]]="X",Tabella1[[#This Row],[VEN]]="X",),"X","")</f>
        <v/>
      </c>
      <c r="D151" s="113" t="inlineStr">
        <is>
          <t>AREA 2</t>
        </is>
      </c>
      <c r="E151" s="109" t="inlineStr">
        <is>
          <t>546280/C</t>
        </is>
      </c>
      <c r="F151" s="109" t="n">
        <v>600</v>
      </c>
      <c r="G151" s="109" t="inlineStr">
        <is>
          <t>600- F006CV SMONTAGGIO/RIMONTAGGIO VALVOLA PER REVISIONE</t>
        </is>
      </c>
      <c r="H151" s="111" t="n"/>
      <c r="I151" s="111" t="n"/>
      <c r="J151" s="111" t="n"/>
      <c r="K151" s="111" t="n"/>
      <c r="L151" s="111" t="n"/>
      <c r="M151" s="92" t="inlineStr">
        <is>
          <t>EMESSO</t>
        </is>
      </c>
      <c r="N151" s="110" t="n"/>
      <c r="O151" s="168" t="n"/>
      <c r="P151" s="110" t="n"/>
      <c r="Q151" s="109" t="n"/>
      <c r="R151" s="110" t="n"/>
      <c r="S151" s="110" t="n"/>
      <c r="T151" s="114">
        <f>IF(AND('Inserimento dati'!$B$3=$H$2, Tabella1[[#This Row],[LUN]]="X"), "X",IF(AND('Inserimento dati'!$B$3=$I$2, Tabella1[[#This Row],[MAR]]="X"), "X", IF(AND('Inserimento dati'!$B$3=$J$2, Tabella1[[#This Row],[MER]]="X"), "X",IF(AND('Inserimento dati'!$B$3=$K$2, Tabella1[[#This Row],[GIO]]="X"), "X", IF(AND('Inserimento dati'!$B$3=$L$2, Tabella1[[#This Row],[VEN]]="X"), "X","")))))</f>
        <v/>
      </c>
      <c r="U151" s="93">
        <f>IFERROR(MID(G151,_xlfn.AGGREGATE(15,6,(ROW(INDIRECT("1:"&amp;LEN(G151)-7)))/(ISNUMBER(--MID(G151,ROW(INDIRECT("1:"&amp;LEN(G151)-7)),8))),1),8),"")</f>
        <v/>
      </c>
      <c r="V151" t="inlineStr">
        <is>
          <t>2025-09-30 20:00:00</t>
        </is>
      </c>
    </row>
    <row r="152" ht="23.25" customFormat="1" customHeight="1" s="45">
      <c r="A152" s="112" t="n"/>
      <c r="B152" s="112" t="n"/>
      <c r="C152" s="112">
        <f>IF(OR(Tabella1[[#This Row],[LUN]]="X",Tabella1[[#This Row],[MAR]]="X",Tabella1[[#This Row],[MER]]="X",Tabella1[[#This Row],[GIO]]="X",Tabella1[[#This Row],[VEN]]="X",),"X","")</f>
        <v/>
      </c>
      <c r="D152" s="113" t="inlineStr">
        <is>
          <t>AREA 2</t>
        </is>
      </c>
      <c r="E152" s="109" t="inlineStr">
        <is>
          <t>546584/C</t>
        </is>
      </c>
      <c r="F152" s="109" t="n">
        <v>600</v>
      </c>
      <c r="G152" s="109" t="inlineStr">
        <is>
          <t>600- F002CV SMONTAGGIO/RIMONTAGGIO VALVOLA PER REVISIONE</t>
        </is>
      </c>
      <c r="H152" s="111" t="n"/>
      <c r="I152" s="111" t="n"/>
      <c r="J152" s="111" t="n"/>
      <c r="K152" s="111" t="n"/>
      <c r="L152" s="111" t="n"/>
      <c r="M152" s="92" t="inlineStr">
        <is>
          <t>EMESSO</t>
        </is>
      </c>
      <c r="N152" s="110" t="n"/>
      <c r="O152" s="168" t="n"/>
      <c r="P152" s="110" t="n"/>
      <c r="Q152" s="109" t="n"/>
      <c r="R152" s="110" t="n"/>
      <c r="S152" s="110" t="n"/>
      <c r="T152" s="114">
        <f>IF(AND('Inserimento dati'!$B$3=$H$2, Tabella1[[#This Row],[LUN]]="X"), "X",IF(AND('Inserimento dati'!$B$3=$I$2, Tabella1[[#This Row],[MAR]]="X"), "X", IF(AND('Inserimento dati'!$B$3=$J$2, Tabella1[[#This Row],[MER]]="X"), "X",IF(AND('Inserimento dati'!$B$3=$K$2, Tabella1[[#This Row],[GIO]]="X"), "X", IF(AND('Inserimento dati'!$B$3=$L$2, Tabella1[[#This Row],[VEN]]="X"), "X","")))))</f>
        <v/>
      </c>
      <c r="U152" s="93" t="n"/>
      <c r="V152" t="inlineStr">
        <is>
          <t>2025-09-30 20:00:00</t>
        </is>
      </c>
    </row>
    <row r="153" ht="23.25" customFormat="1" customHeight="1" s="45">
      <c r="A153" s="112" t="n"/>
      <c r="B153" s="112" t="n"/>
      <c r="C153" s="112">
        <f>IF(OR(Tabella1[[#This Row],[LUN]]="X",Tabella1[[#This Row],[MAR]]="X",Tabella1[[#This Row],[MER]]="X",Tabella1[[#This Row],[GIO]]="X",Tabella1[[#This Row],[VEN]]="X",),"X","")</f>
        <v/>
      </c>
      <c r="D153" s="113" t="inlineStr">
        <is>
          <t>AREA 2</t>
        </is>
      </c>
      <c r="E153" s="109" t="inlineStr">
        <is>
          <t>547093/C</t>
        </is>
      </c>
      <c r="F153" s="109" t="n">
        <v>600</v>
      </c>
      <c r="G153" s="109" t="inlineStr">
        <is>
          <t>600- F001CV SMONTAGGIO/RIMONTAGGIO VALVOLA PER REVISIONE</t>
        </is>
      </c>
      <c r="H153" s="111" t="n"/>
      <c r="I153" s="111" t="n"/>
      <c r="J153" s="111" t="n"/>
      <c r="K153" s="111" t="n"/>
      <c r="L153" s="111" t="n"/>
      <c r="M153" s="92" t="inlineStr">
        <is>
          <t>EMESSO</t>
        </is>
      </c>
      <c r="N153" s="110" t="n"/>
      <c r="O153" s="168" t="n"/>
      <c r="P153" s="110" t="n"/>
      <c r="Q153" s="109" t="inlineStr">
        <is>
          <t>VALVOLA SMONTATA E PORTATA A REVISIONE IN OFFICINA.</t>
        </is>
      </c>
      <c r="R153" s="110" t="n">
        <v>45876</v>
      </c>
      <c r="S153" s="110" t="inlineStr">
        <is>
          <t>SAGGIO</t>
        </is>
      </c>
      <c r="T153" s="114">
        <f>IF(AND('Inserimento dati'!$B$3=$H$2, Tabella1[[#This Row],[LUN]]="X"), "X",IF(AND('Inserimento dati'!$B$3=$I$2, Tabella1[[#This Row],[MAR]]="X"), "X", IF(AND('Inserimento dati'!$B$3=$J$2, Tabella1[[#This Row],[MER]]="X"), "X",IF(AND('Inserimento dati'!$B$3=$K$2, Tabella1[[#This Row],[GIO]]="X"), "X", IF(AND('Inserimento dati'!$B$3=$L$2, Tabella1[[#This Row],[VEN]]="X"), "X","")))))</f>
        <v/>
      </c>
      <c r="U153" s="93" t="n"/>
      <c r="V153" t="inlineStr">
        <is>
          <t>2025-09-30 20:00:00</t>
        </is>
      </c>
    </row>
    <row r="154" ht="23.25" customFormat="1" customHeight="1" s="45">
      <c r="A154" s="112" t="n"/>
      <c r="B154" s="112" t="n"/>
      <c r="C154" s="112">
        <f>IF(OR(Tabella1[[#This Row],[LUN]]="X",Tabella1[[#This Row],[MAR]]="X",Tabella1[[#This Row],[MER]]="X",Tabella1[[#This Row],[GIO]]="X",Tabella1[[#This Row],[VEN]]="X",),"X","")</f>
        <v/>
      </c>
      <c r="D154" s="113" t="inlineStr">
        <is>
          <t>AREA 2</t>
        </is>
      </c>
      <c r="E154" s="109" t="inlineStr">
        <is>
          <t>548414/C</t>
        </is>
      </c>
      <c r="F154" s="109" t="n">
        <v>500</v>
      </c>
      <c r="G154" s="109" t="inlineStr">
        <is>
          <t>500F171R CONTROLLO E RIPRISTINO PORTATA</t>
        </is>
      </c>
      <c r="H154" s="111" t="n"/>
      <c r="I154" s="111" t="n"/>
      <c r="J154" s="111" t="n"/>
      <c r="K154" s="111" t="n"/>
      <c r="L154" s="111" t="n"/>
      <c r="M154" s="92" t="inlineStr">
        <is>
          <t>EMESSO</t>
        </is>
      </c>
      <c r="N154" s="110" t="n"/>
      <c r="O154" s="168" t="n"/>
      <c r="P154" s="110" t="n"/>
      <c r="Q154" s="109" t="n"/>
      <c r="R154" s="110" t="n">
        <v>45891</v>
      </c>
      <c r="S154" s="110" t="n"/>
      <c r="T154" s="114">
        <f>IF(AND('Inserimento dati'!$B$3=$H$2, Tabella1[[#This Row],[LUN]]="X"), "X",IF(AND('Inserimento dati'!$B$3=$I$2, Tabella1[[#This Row],[MAR]]="X"), "X", IF(AND('Inserimento dati'!$B$3=$J$2, Tabella1[[#This Row],[MER]]="X"), "X",IF(AND('Inserimento dati'!$B$3=$K$2, Tabella1[[#This Row],[GIO]]="X"), "X", IF(AND('Inserimento dati'!$B$3=$L$2, Tabella1[[#This Row],[VEN]]="X"), "X","")))))</f>
        <v/>
      </c>
      <c r="U154" s="93" t="n"/>
      <c r="V154" t="inlineStr">
        <is>
          <t>2025-09-30 20:00:00</t>
        </is>
      </c>
    </row>
    <row r="155" ht="30" customFormat="1" customHeight="1" s="45">
      <c r="A155" s="112" t="n"/>
      <c r="B155" s="112" t="n"/>
      <c r="C155" s="112">
        <f>IF(OR(Tabella1[[#This Row],[LUN]]="X",Tabella1[[#This Row],[MAR]]="X",Tabella1[[#This Row],[MER]]="X",Tabella1[[#This Row],[GIO]]="X",Tabella1[[#This Row],[VEN]]="X",),"X","")</f>
        <v/>
      </c>
      <c r="D155" s="113" t="inlineStr">
        <is>
          <t>AREA 2</t>
        </is>
      </c>
      <c r="E155" s="109" t="inlineStr">
        <is>
          <t>548544/C</t>
        </is>
      </c>
      <c r="F155" s="109" t="n">
        <v>500</v>
      </c>
      <c r="G155" s="109" t="inlineStr">
        <is>
          <t>500F301/302 RILIEVI E MISURAZIONI SU FORNO CON ANALIZZATORE PORTATILE DI OSSIGENO(SU TRE PUNTI INDICATI DA ESERCIZIO)</t>
        </is>
      </c>
      <c r="H155" s="111" t="n"/>
      <c r="I155" s="111" t="n"/>
      <c r="J155" s="111" t="n"/>
      <c r="K155" s="111" t="n"/>
      <c r="L155" s="111" t="n"/>
      <c r="M155" s="92" t="inlineStr">
        <is>
          <t>EMESSO</t>
        </is>
      </c>
      <c r="N155" s="110" t="n"/>
      <c r="O155" s="168" t="n"/>
      <c r="P155" s="110" t="n"/>
      <c r="Q155" s="109" t="n"/>
      <c r="R155" s="110" t="n"/>
      <c r="S155" s="110" t="n"/>
      <c r="T155" s="114">
        <f>IF(AND('Inserimento dati'!$B$3=$H$2, Tabella1[[#This Row],[LUN]]="X"), "X",IF(AND('Inserimento dati'!$B$3=$I$2, Tabella1[[#This Row],[MAR]]="X"), "X", IF(AND('Inserimento dati'!$B$3=$J$2, Tabella1[[#This Row],[MER]]="X"), "X",IF(AND('Inserimento dati'!$B$3=$K$2, Tabella1[[#This Row],[GIO]]="X"), "X", IF(AND('Inserimento dati'!$B$3=$L$2, Tabella1[[#This Row],[VEN]]="X"), "X","")))))</f>
        <v/>
      </c>
      <c r="U155" s="93" t="n"/>
      <c r="V155" t="inlineStr">
        <is>
          <t>2025-09-30 20:00:00</t>
        </is>
      </c>
    </row>
    <row r="156" ht="30" customFormat="1" customHeight="1" s="45">
      <c r="A156" s="112" t="n"/>
      <c r="B156" s="112" t="n"/>
      <c r="C156" s="112">
        <f>IF(OR(Tabella1[[#This Row],[LUN]]="X",Tabella1[[#This Row],[MAR]]="X",Tabella1[[#This Row],[MER]]="X",Tabella1[[#This Row],[GIO]]="X",Tabella1[[#This Row],[VEN]]="X",),"X","")</f>
        <v/>
      </c>
      <c r="D156" s="113" t="inlineStr">
        <is>
          <t>AREA 2</t>
        </is>
      </c>
      <c r="E156" s="109" t="inlineStr">
        <is>
          <t>549468/C</t>
        </is>
      </c>
      <c r="F156" s="109" t="n">
        <v>1000</v>
      </c>
      <c r="G156" s="109" t="inlineStr">
        <is>
          <t>1000R167BV SMONTAGGIO ATTUATORE PER REVISIONE E RIPRISTINO SALDATURA  SERVOMOTORE(LA VALVOLA RIMARRA CHIUSA)</t>
        </is>
      </c>
      <c r="H156" s="111" t="n"/>
      <c r="I156" s="111" t="n"/>
      <c r="J156" s="111" t="n"/>
      <c r="K156" s="111" t="n"/>
      <c r="L156" s="111" t="n"/>
      <c r="M156" s="92" t="inlineStr">
        <is>
          <t>EMESSO</t>
        </is>
      </c>
      <c r="N156" s="110" t="n"/>
      <c r="O156" s="168" t="n"/>
      <c r="P156" s="110" t="n"/>
      <c r="Q156" s="109" t="n"/>
      <c r="R156" s="110" t="n"/>
      <c r="S156" s="110" t="n"/>
      <c r="T156" s="114">
        <f>IF(AND('Inserimento dati'!$B$3=$H$2, Tabella1[[#This Row],[LUN]]="X"), "X",IF(AND('Inserimento dati'!$B$3=$I$2, Tabella1[[#This Row],[MAR]]="X"), "X", IF(AND('Inserimento dati'!$B$3=$J$2, Tabella1[[#This Row],[MER]]="X"), "X",IF(AND('Inserimento dati'!$B$3=$K$2, Tabella1[[#This Row],[GIO]]="X"), "X", IF(AND('Inserimento dati'!$B$3=$L$2, Tabella1[[#This Row],[VEN]]="X"), "X","")))))</f>
        <v/>
      </c>
      <c r="U156" s="93" t="n"/>
      <c r="V156" t="inlineStr">
        <is>
          <t>2025-09-30 20:00:00</t>
        </is>
      </c>
    </row>
    <row r="157" ht="23.25" customFormat="1" customHeight="1" s="45">
      <c r="A157" s="112" t="n"/>
      <c r="B157" s="112" t="n"/>
      <c r="C157" s="112">
        <f>IF(OR(Tabella1[[#This Row],[LUN]]="X",Tabella1[[#This Row],[MAR]]="X",Tabella1[[#This Row],[MER]]="X",Tabella1[[#This Row],[GIO]]="X",Tabella1[[#This Row],[VEN]]="X",),"X","")</f>
        <v/>
      </c>
      <c r="D157" s="113" t="inlineStr">
        <is>
          <t>AREA 2</t>
        </is>
      </c>
      <c r="E157" s="109" t="inlineStr">
        <is>
          <t>552966/C</t>
        </is>
      </c>
      <c r="F157" s="109" t="n">
        <v>1000</v>
      </c>
      <c r="G157" s="109" t="inlineStr">
        <is>
          <t>1000L115RC (FONDO T102)CONTOLLO E RIPRISTINO MISURA DI LIVELLO</t>
        </is>
      </c>
      <c r="H157" s="111" t="inlineStr">
        <is>
          <t>X</t>
        </is>
      </c>
      <c r="I157" s="111" t="inlineStr">
        <is>
          <t>X</t>
        </is>
      </c>
      <c r="J157" s="111" t="n"/>
      <c r="K157" s="111" t="n"/>
      <c r="L157" s="111" t="n"/>
      <c r="M157" s="92" t="inlineStr">
        <is>
          <t>EMESSO</t>
        </is>
      </c>
      <c r="N157" s="110" t="n"/>
      <c r="O157" s="168" t="n"/>
      <c r="P157" s="110" t="n"/>
      <c r="Q157" s="109" t="n"/>
      <c r="R157" s="110" t="n"/>
      <c r="S157" s="110" t="n"/>
      <c r="T157" s="114">
        <f>IF(AND('Inserimento dati'!$B$3=$H$2, Tabella1[[#This Row],[LUN]]="X"), "X",IF(AND('Inserimento dati'!$B$3=$I$2, Tabella1[[#This Row],[MAR]]="X"), "X", IF(AND('Inserimento dati'!$B$3=$J$2, Tabella1[[#This Row],[MER]]="X"), "X",IF(AND('Inserimento dati'!$B$3=$K$2, Tabella1[[#This Row],[GIO]]="X"), "X", IF(AND('Inserimento dati'!$B$3=$L$2, Tabella1[[#This Row],[VEN]]="X"), "X","")))))</f>
        <v/>
      </c>
      <c r="U157" s="93" t="n"/>
      <c r="V157" t="inlineStr">
        <is>
          <t>2025-09-30 20:00:00</t>
        </is>
      </c>
    </row>
    <row r="158" ht="30" customFormat="1" customHeight="1" s="45">
      <c r="A158" s="112" t="n"/>
      <c r="B158" s="112" t="n"/>
      <c r="C158" s="112">
        <f>IF(OR(Tabella1[[#This Row],[LUN]]="X",Tabella1[[#This Row],[MAR]]="X",Tabella1[[#This Row],[MER]]="X",Tabella1[[#This Row],[GIO]]="X",Tabella1[[#This Row],[VEN]]="X",),"X","")</f>
        <v/>
      </c>
      <c r="D158" s="113" t="inlineStr">
        <is>
          <t>AREA 2</t>
        </is>
      </c>
      <c r="E158" s="109" t="inlineStr">
        <is>
          <t>548967/C</t>
        </is>
      </c>
      <c r="F158" s="109" t="n">
        <v>500</v>
      </c>
      <c r="G158" s="109" t="inlineStr">
        <is>
          <t>500L151HA (D121)CONTROLLO E RIPRISTINO LIVELLOSTATO</t>
        </is>
      </c>
      <c r="H158" s="111" t="n"/>
      <c r="I158" s="111" t="n"/>
      <c r="J158" s="111" t="n"/>
      <c r="K158" s="111" t="n"/>
      <c r="L158" s="111" t="n"/>
      <c r="M158" s="92" t="inlineStr">
        <is>
          <t>INTERROTTO</t>
        </is>
      </c>
      <c r="N158" s="110" t="n"/>
      <c r="O158" s="168" t="n"/>
      <c r="P158" s="110" t="n"/>
      <c r="Q158" s="109" t="inlineStr">
        <is>
          <t>MANCANZA VALVOLA DI SPURGO IMPOSSIBILE DRENARE ED ESEGUIRE IL CONTROLLO REALE</t>
        </is>
      </c>
      <c r="R158" s="110" t="n">
        <v>45897</v>
      </c>
      <c r="S158" s="110" t="inlineStr">
        <is>
          <t>RICIPUTO</t>
        </is>
      </c>
      <c r="T158" s="114">
        <f>IF(AND('Inserimento dati'!$B$3=$H$2, Tabella1[[#This Row],[LUN]]="X"), "X",IF(AND('Inserimento dati'!$B$3=$I$2, Tabella1[[#This Row],[MAR]]="X"), "X", IF(AND('Inserimento dati'!$B$3=$J$2, Tabella1[[#This Row],[MER]]="X"), "X",IF(AND('Inserimento dati'!$B$3=$K$2, Tabella1[[#This Row],[GIO]]="X"), "X", IF(AND('Inserimento dati'!$B$3=$L$2, Tabella1[[#This Row],[VEN]]="X"), "X","")))))</f>
        <v/>
      </c>
      <c r="U158" s="93" t="n"/>
      <c r="V158" t="inlineStr">
        <is>
          <t>2025-09-30 20:00:00</t>
        </is>
      </c>
    </row>
    <row r="159" ht="23.25" customFormat="1" customHeight="1" s="45">
      <c r="A159" s="112" t="n"/>
      <c r="B159" s="112" t="n"/>
      <c r="C159" s="112">
        <f>IF(OR(Tabella1[[#This Row],[LUN]]="X",Tabella1[[#This Row],[MAR]]="X",Tabella1[[#This Row],[MER]]="X",Tabella1[[#This Row],[GIO]]="X",Tabella1[[#This Row],[VEN]]="X",),"X","")</f>
        <v/>
      </c>
      <c r="D159" s="113" t="inlineStr">
        <is>
          <t>AREA 2</t>
        </is>
      </c>
      <c r="E159" s="109" t="inlineStr">
        <is>
          <t>548410/C</t>
        </is>
      </c>
      <c r="F159" s="109" t="n">
        <v>500</v>
      </c>
      <c r="G159" s="109" t="inlineStr">
        <is>
          <t>500F164R (LS LIMITE BATTERIA)CONTROLLO E RIPRISTINO MISURA PORTATA</t>
        </is>
      </c>
      <c r="H159" s="111" t="n"/>
      <c r="I159" s="111" t="n"/>
      <c r="J159" s="111" t="n"/>
      <c r="K159" s="111" t="n"/>
      <c r="L159" s="111" t="n"/>
      <c r="M159" s="92" t="inlineStr">
        <is>
          <t>INTERROTTO</t>
        </is>
      </c>
      <c r="N159" s="110" t="n"/>
      <c r="O159" s="168" t="n"/>
      <c r="P159" s="110" t="n"/>
      <c r="Q159" s="109" t="inlineStr">
        <is>
          <t>NECESSITA PONTEGGIO PER CONTROLLO STRUMENTO</t>
        </is>
      </c>
      <c r="R159" s="110" t="n">
        <v>45891</v>
      </c>
      <c r="S159" s="110" t="inlineStr">
        <is>
          <t>SPINALI</t>
        </is>
      </c>
      <c r="T159" s="114">
        <f>IF(AND('Inserimento dati'!$B$3=$H$2, Tabella1[[#This Row],[LUN]]="X"), "X",IF(AND('Inserimento dati'!$B$3=$I$2, Tabella1[[#This Row],[MAR]]="X"), "X", IF(AND('Inserimento dati'!$B$3=$J$2, Tabella1[[#This Row],[MER]]="X"), "X",IF(AND('Inserimento dati'!$B$3=$K$2, Tabella1[[#This Row],[GIO]]="X"), "X", IF(AND('Inserimento dati'!$B$3=$L$2, Tabella1[[#This Row],[VEN]]="X"), "X","")))))</f>
        <v/>
      </c>
      <c r="U159" s="93" t="n"/>
      <c r="V159" t="inlineStr">
        <is>
          <t>2025-09-30 20:00:00</t>
        </is>
      </c>
    </row>
    <row r="160" ht="30" customFormat="1" customHeight="1" s="45">
      <c r="A160" s="112" t="n"/>
      <c r="B160" s="112" t="n"/>
      <c r="C160" s="112">
        <f>IF(OR(Tabella1[[#This Row],[LUN]]="X",Tabella1[[#This Row],[MAR]]="X",Tabella1[[#This Row],[MER]]="X",Tabella1[[#This Row],[GIO]]="X",Tabella1[[#This Row],[VEN]]="X",),"X","")</f>
        <v/>
      </c>
      <c r="D160" s="113" t="inlineStr">
        <is>
          <t>AREA 2</t>
        </is>
      </c>
      <c r="E160" s="109" t="inlineStr">
        <is>
          <t>547740/C</t>
        </is>
      </c>
      <c r="F160" s="109" t="n">
        <v>600</v>
      </c>
      <c r="G160" s="109" t="inlineStr">
        <is>
          <t>600T225I(INCONDENSABILI USCITA D103)CONTROLLO E RIPRISTINO TEMPERATURA CON ALLINEAMENTO CON SALA CONTROLLO</t>
        </is>
      </c>
      <c r="H160" s="111" t="n"/>
      <c r="I160" s="111" t="n"/>
      <c r="J160" s="111" t="n"/>
      <c r="K160" s="111" t="n"/>
      <c r="L160" s="111" t="n"/>
      <c r="M160" s="92" t="inlineStr">
        <is>
          <t>INTERROTTO</t>
        </is>
      </c>
      <c r="N160" s="110" t="n"/>
      <c r="O160" s="168" t="n"/>
      <c r="P160" s="110" t="n"/>
      <c r="Q160" s="109" t="inlineStr">
        <is>
          <t>controllata temperatura da jbox a sala controllo, ok.  PER IL TERMOELEMENTO NECESSITA PONTEGGIO</t>
        </is>
      </c>
      <c r="R160" s="110" t="n">
        <v>45883</v>
      </c>
      <c r="S160" s="110" t="inlineStr">
        <is>
          <t>SPINALI</t>
        </is>
      </c>
      <c r="T160" s="114">
        <f>IF(AND('Inserimento dati'!$B$3=$H$2, Tabella1[[#This Row],[LUN]]="X"), "X",IF(AND('Inserimento dati'!$B$3=$I$2, Tabella1[[#This Row],[MAR]]="X"), "X", IF(AND('Inserimento dati'!$B$3=$J$2, Tabella1[[#This Row],[MER]]="X"), "X",IF(AND('Inserimento dati'!$B$3=$K$2, Tabella1[[#This Row],[GIO]]="X"), "X", IF(AND('Inserimento dati'!$B$3=$L$2, Tabella1[[#This Row],[VEN]]="X"), "X","")))))</f>
        <v/>
      </c>
      <c r="U160" s="93" t="n"/>
      <c r="V160" s="45" t="inlineStr">
        <is>
          <t>2025-09-30 20:00:00</t>
        </is>
      </c>
      <c r="W160" s="45" t="n"/>
      <c r="X160" s="45" t="n"/>
      <c r="Y160" s="45" t="n"/>
      <c r="Z160" s="45" t="n"/>
      <c r="AA160" s="45" t="n"/>
      <c r="AB160" s="45" t="n"/>
      <c r="AC160" s="45" t="n"/>
    </row>
    <row r="161" ht="30" customFormat="1" customHeight="1" s="45">
      <c r="A161" s="112" t="n"/>
      <c r="B161" s="112" t="n"/>
      <c r="C161" s="112">
        <f>IF(OR(Tabella1[[#This Row],[LUN]]="X",Tabella1[[#This Row],[MAR]]="X",Tabella1[[#This Row],[MER]]="X",Tabella1[[#This Row],[GIO]]="X",Tabella1[[#This Row],[VEN]]="X",),"X","")</f>
        <v/>
      </c>
      <c r="D161" s="113" t="inlineStr">
        <is>
          <t>AREA 2</t>
        </is>
      </c>
      <c r="E161" s="109" t="inlineStr">
        <is>
          <t>547685/C</t>
        </is>
      </c>
      <c r="F161" s="109" t="n">
        <v>1000</v>
      </c>
      <c r="G161" s="109" t="inlineStr">
        <is>
          <t>1000F114BRC(PASSO 2 F102)CONTROLLO E RIPRISTINO MISURA DI PORTATA METTERE I MOS PRIMA DI INIZIARE L'ATTIVITA</t>
        </is>
      </c>
      <c r="H161" s="111" t="n"/>
      <c r="I161" s="111" t="n"/>
      <c r="J161" s="111" t="n"/>
      <c r="K161" s="111" t="n"/>
      <c r="L161" s="111" t="n"/>
      <c r="M161" s="92" t="inlineStr">
        <is>
          <t>INTERROTTO</t>
        </is>
      </c>
      <c r="N161" s="110" t="n"/>
      <c r="O161" s="168" t="inlineStr">
        <is>
          <t>X</t>
        </is>
      </c>
      <c r="P161" s="110" t="inlineStr">
        <is>
          <t>X</t>
        </is>
      </c>
      <c r="Q161" s="109" t="inlineStr">
        <is>
          <t>STRUMENTO OK, SERVE PONTEGGIO PER STASATURA PRESA NEGATIVA</t>
        </is>
      </c>
      <c r="R161" s="110" t="n">
        <v>45888</v>
      </c>
      <c r="S161" s="110" t="inlineStr">
        <is>
          <t>SPINALI</t>
        </is>
      </c>
      <c r="T161" s="114">
        <f>IF(AND('Inserimento dati'!$B$3=$H$2, Tabella1[[#This Row],[LUN]]="X"), "X",IF(AND('Inserimento dati'!$B$3=$I$2, Tabella1[[#This Row],[MAR]]="X"), "X", IF(AND('Inserimento dati'!$B$3=$J$2, Tabella1[[#This Row],[MER]]="X"), "X",IF(AND('Inserimento dati'!$B$3=$K$2, Tabella1[[#This Row],[GIO]]="X"), "X", IF(AND('Inserimento dati'!$B$3=$L$2, Tabella1[[#This Row],[VEN]]="X"), "X","")))))</f>
        <v/>
      </c>
      <c r="U161" s="93" t="n"/>
      <c r="V161" t="inlineStr">
        <is>
          <t>2025-09-30 20:00:00</t>
        </is>
      </c>
    </row>
    <row r="162" ht="45" customFormat="1" customHeight="1" s="45">
      <c r="A162" s="112" t="n"/>
      <c r="B162" s="112" t="n"/>
      <c r="C162" s="112">
        <f>IF(OR(Tabella1[[#This Row],[LUN]]="X",Tabella1[[#This Row],[MAR]]="X",Tabella1[[#This Row],[MER]]="X",Tabella1[[#This Row],[GIO]]="X",Tabella1[[#This Row],[VEN]]="X",),"X","")</f>
        <v/>
      </c>
      <c r="D162" s="113" t="inlineStr">
        <is>
          <t>AREA 2</t>
        </is>
      </c>
      <c r="E162" s="109" t="inlineStr">
        <is>
          <t>544812/C</t>
        </is>
      </c>
      <c r="F162" s="109" t="n">
        <v>500</v>
      </c>
      <c r="G162" s="109" t="inlineStr">
        <is>
          <t>500P020RC Mandata c104 a/b CONTROLLO E RIPRISTINO FUNZIONALITA VALVOLA</t>
        </is>
      </c>
      <c r="H162" s="111" t="n"/>
      <c r="I162" s="111" t="n"/>
      <c r="J162" s="111" t="n"/>
      <c r="K162" s="111" t="n"/>
      <c r="L162" s="111" t="n"/>
      <c r="M162" s="92" t="inlineStr">
        <is>
          <t>INTERROTTO</t>
        </is>
      </c>
      <c r="N162" s="110" t="n"/>
      <c r="O162" s="168" t="n"/>
      <c r="P162" s="110" t="n"/>
      <c r="Q162" s="109" t="inlineStr">
        <is>
          <t>LA VALVOLA E' UN DOPPIO SEGGIO, ESSENDO A.C. ANCHE AUMENTANDO IL SEGNALE DELL'ARIA NON VA IN TOTALE CHIUSURA E NON FA TENUTA. SI CONSIGLIA LA REVISIONE.</t>
        </is>
      </c>
      <c r="R162" s="110" t="n">
        <v>45856</v>
      </c>
      <c r="S162" s="110" t="inlineStr">
        <is>
          <t>GARRO</t>
        </is>
      </c>
      <c r="T162" s="114">
        <f>IF(AND('Inserimento dati'!$B$3=$H$2, Tabella1[[#This Row],[LUN]]="X"), "X",IF(AND('Inserimento dati'!$B$3=$I$2, Tabella1[[#This Row],[MAR]]="X"), "X", IF(AND('Inserimento dati'!$B$3=$J$2, Tabella1[[#This Row],[MER]]="X"), "X",IF(AND('Inserimento dati'!$B$3=$K$2, Tabella1[[#This Row],[GIO]]="X"), "X", IF(AND('Inserimento dati'!$B$3=$L$2, Tabella1[[#This Row],[VEN]]="X"), "X","")))))</f>
        <v/>
      </c>
      <c r="U162" s="93" t="n"/>
      <c r="V162" t="inlineStr">
        <is>
          <t>2025-09-30 20:00:00</t>
        </is>
      </c>
    </row>
    <row r="163" ht="45" customFormat="1" customHeight="1" s="45">
      <c r="A163" s="112" t="n"/>
      <c r="B163" s="112" t="n"/>
      <c r="C163" s="112">
        <f>IF(OR(Tabella1[[#This Row],[LUN]]="X",Tabella1[[#This Row],[MAR]]="X",Tabella1[[#This Row],[MER]]="X",Tabella1[[#This Row],[GIO]]="X",Tabella1[[#This Row],[VEN]]="X",),"X","")</f>
        <v/>
      </c>
      <c r="D163" s="113" t="inlineStr">
        <is>
          <t>AREA 2</t>
        </is>
      </c>
      <c r="E163" s="109" t="inlineStr">
        <is>
          <t>542327/C</t>
        </is>
      </c>
      <c r="F163" s="109" t="n">
        <v>600</v>
      </c>
      <c r="G163" s="109" t="inlineStr">
        <is>
          <t>IMP.600F033R(CARICA DA STOCCAGGIO)CONTROLLO E RIPRISTINO MSURA DI PORTATA</t>
        </is>
      </c>
      <c r="H163" s="111" t="n"/>
      <c r="I163" s="111" t="n"/>
      <c r="J163" s="111" t="n"/>
      <c r="K163" s="111" t="n"/>
      <c r="L163" s="111" t="n"/>
      <c r="M163" s="92" t="inlineStr">
        <is>
          <t>INTERROTTO</t>
        </is>
      </c>
      <c r="N163" s="110" t="n"/>
      <c r="O163" s="168" t="n"/>
      <c r="P163" s="110" t="n"/>
      <c r="Q163" s="109" t="inlineStr">
        <is>
          <t>SI RISCONTRA VALVOLE DI RADICE E INTERCETTO DP CHIUSI, PROBABILE PERDITA DI PROCESSO SU PRIMARI, NECESSITA PONTEGGIO PER ISPEZIONARE PRIMARI, DA SOSTITUIRE BARRIERA</t>
        </is>
      </c>
      <c r="R163" s="110" t="n">
        <v>45839</v>
      </c>
      <c r="S163" s="110" t="inlineStr">
        <is>
          <t>SPINALI</t>
        </is>
      </c>
      <c r="T163" s="114">
        <f>IF(AND('Inserimento dati'!$B$3=$H$2, Tabella1[[#This Row],[LUN]]="X"), "X",IF(AND('Inserimento dati'!$B$3=$I$2, Tabella1[[#This Row],[MAR]]="X"), "X", IF(AND('Inserimento dati'!$B$3=$J$2, Tabella1[[#This Row],[MER]]="X"), "X",IF(AND('Inserimento dati'!$B$3=$K$2, Tabella1[[#This Row],[GIO]]="X"), "X", IF(AND('Inserimento dati'!$B$3=$L$2, Tabella1[[#This Row],[VEN]]="X"), "X","")))))</f>
        <v/>
      </c>
      <c r="U163" s="131">
        <f>IFERROR(MID(G163,_xlfn.AGGREGATE(15,6,(ROW(INDIRECT("1:"&amp;LEN(G163)-7)))/(ISNUMBER(--MID(G163,ROW(INDIRECT("1:"&amp;LEN(G163)-7)),8))),1),8),"")</f>
        <v/>
      </c>
      <c r="V163" t="inlineStr">
        <is>
          <t>2025-09-30 20:00:00</t>
        </is>
      </c>
    </row>
    <row r="164" ht="30" customFormat="1" customHeight="1" s="45">
      <c r="A164" s="112" t="n"/>
      <c r="B164" s="112" t="n"/>
      <c r="C164" s="112">
        <f>IF(OR(Tabella1[[#This Row],[LUN]]="X",Tabella1[[#This Row],[MAR]]="X",Tabella1[[#This Row],[MER]]="X",Tabella1[[#This Row],[GIO]]="X",Tabella1[[#This Row],[VEN]]="X",),"X","")</f>
        <v/>
      </c>
      <c r="D164" s="113" t="inlineStr">
        <is>
          <t>AREA 2</t>
        </is>
      </c>
      <c r="E164" s="109" t="inlineStr">
        <is>
          <t>537248/C</t>
        </is>
      </c>
      <c r="F164" s="109" t="n">
        <v>500</v>
      </c>
      <c r="G164" s="109" t="inlineStr">
        <is>
          <t>500 - F161R(VAPORE MS da L.B.)CONTROLLO DI TARATURA  E RIPRISTINO FUNZIONALITA</t>
        </is>
      </c>
      <c r="H164" s="111" t="n"/>
      <c r="I164" s="111" t="n"/>
      <c r="J164" s="111" t="n"/>
      <c r="K164" s="111" t="n"/>
      <c r="L164" s="111" t="n"/>
      <c r="M164" s="110" t="inlineStr">
        <is>
          <t>INTERROTTO</t>
        </is>
      </c>
      <c r="N164" s="110" t="n"/>
      <c r="O164" s="168" t="n"/>
      <c r="P164" s="110" t="n"/>
      <c r="Q164" s="109" t="inlineStr">
        <is>
          <t>PERDITA SU FLANGIA TARATA, NECESSITA PONTEGGIO PER APPROFONDIMENTO</t>
        </is>
      </c>
      <c r="R164" s="110" t="n">
        <v>45797</v>
      </c>
      <c r="S164" s="110" t="inlineStr">
        <is>
          <t>SPINALI</t>
        </is>
      </c>
      <c r="T164" s="115">
        <f>IF(AND('Inserimento dati'!$B$3=$H$2, Tabella1[[#This Row],[LUN]]="X"), "X",IF(AND('Inserimento dati'!$B$3=$I$2, Tabella1[[#This Row],[MAR]]="X"), "X", IF(AND('Inserimento dati'!$B$3=$J$2, Tabella1[[#This Row],[MER]]="X"), "X",IF(AND('Inserimento dati'!$B$3=$K$2, Tabella1[[#This Row],[GIO]]="X"), "X", IF(AND('Inserimento dati'!$B$3=$L$2, Tabella1[[#This Row],[VEN]]="X"), "X","")))))</f>
        <v/>
      </c>
      <c r="U164" s="132">
        <f>IFERROR(MID(G164,_xlfn.AGGREGATE(15,6,(ROW(INDIRECT("1:"&amp;LEN(G164)-7)))/(ISNUMBER(--MID(G164,ROW(INDIRECT("1:"&amp;LEN(G164)-7)),8))),1),8),"")</f>
        <v/>
      </c>
      <c r="V164" t="inlineStr">
        <is>
          <t>2025-09-30 20:00:00</t>
        </is>
      </c>
    </row>
    <row r="165" ht="30" customFormat="1" customHeight="1" s="45">
      <c r="A165" s="112" t="n"/>
      <c r="B165" s="112">
        <f>IF(OR(A165="x",A165="X"),"",IF(ISBLANK(A165),"X",""))</f>
        <v/>
      </c>
      <c r="C165" s="112">
        <f>IF(OR(Tabella1[[#This Row],[LUN]]="X",Tabella1[[#This Row],[MAR]]="X",Tabella1[[#This Row],[MER]]="X",Tabella1[[#This Row],[GIO]]="X",Tabella1[[#This Row],[VEN]]="X",),"X","")</f>
        <v/>
      </c>
      <c r="D165" s="113" t="inlineStr">
        <is>
          <t>AREA 2</t>
        </is>
      </c>
      <c r="E165" s="109" t="inlineStr">
        <is>
          <t>536032/C</t>
        </is>
      </c>
      <c r="F165" s="109" t="n">
        <v>500</v>
      </c>
      <c r="G165" s="109" t="inlineStr">
        <is>
          <t>500 - 500F016RC (MANDATA GAS DI RIGENERAZIONE C102)CONTROLLO E RIPRISTINO FUNZIONALITA  PORTATA</t>
        </is>
      </c>
      <c r="H165" s="111" t="n"/>
      <c r="I165" s="111" t="n"/>
      <c r="J165" s="111" t="n"/>
      <c r="K165" s="111" t="n"/>
      <c r="L165" s="111" t="n"/>
      <c r="M165" s="110" t="inlineStr">
        <is>
          <t>INTERROTTO</t>
        </is>
      </c>
      <c r="N165" s="110" t="n"/>
      <c r="O165" s="168" t="n"/>
      <c r="P165" s="110" t="n"/>
      <c r="Q165" s="109" t="inlineStr">
        <is>
          <t>STRUMENTO CON RADICI TAPPATI, DA PROGRAMMARE IN FERMATA</t>
        </is>
      </c>
      <c r="R165" s="110" t="n">
        <v>45791</v>
      </c>
      <c r="S165" s="110" t="inlineStr">
        <is>
          <t>SPINALI</t>
        </is>
      </c>
      <c r="T165" s="114">
        <f>IF(AND('Inserimento dati'!$B$3=$H$2, Tabella1[[#This Row],[LUN]]="X"), "X",IF(AND('Inserimento dati'!$B$3=$I$2, Tabella1[[#This Row],[MAR]]="X"), "X", IF(AND('Inserimento dati'!$B$3=$J$2, Tabella1[[#This Row],[MER]]="X"), "X",IF(AND('Inserimento dati'!$B$3=$K$2, Tabella1[[#This Row],[GIO]]="X"), "X", IF(AND('Inserimento dati'!$B$3=$L$2, Tabella1[[#This Row],[VEN]]="X"), "X","")))))</f>
        <v/>
      </c>
      <c r="U165" s="132">
        <f>IFERROR(MID(G165,_xlfn.AGGREGATE(15,6,(ROW(INDIRECT("1:"&amp;LEN(G165)-7)))/(ISNUMBER(--MID(G165,ROW(INDIRECT("1:"&amp;LEN(G165)-7)),8))),1),8),"")</f>
        <v/>
      </c>
      <c r="V165" t="inlineStr">
        <is>
          <t>2025-09-30 20:00:00</t>
        </is>
      </c>
    </row>
    <row r="166" ht="30" customFormat="1" customHeight="1" s="45">
      <c r="A166" s="112" t="n"/>
      <c r="B166" s="112">
        <f>IF(OR(A166="x",A166="X"),"",IF(ISBLANK(A166),"X",""))</f>
        <v/>
      </c>
      <c r="C166" s="112">
        <f>IF(OR(Tabella1[[#This Row],[LUN]]="X",Tabella1[[#This Row],[MAR]]="X",Tabella1[[#This Row],[MER]]="X",Tabella1[[#This Row],[GIO]]="X",Tabella1[[#This Row],[VEN]]="X",),"X","")</f>
        <v/>
      </c>
      <c r="D166" s="113" t="inlineStr">
        <is>
          <t>AREA 2</t>
        </is>
      </c>
      <c r="E166" s="109" t="inlineStr">
        <is>
          <t>536114/C</t>
        </is>
      </c>
      <c r="F166" s="109" t="n">
        <v>500</v>
      </c>
      <c r="G166" s="109" t="inlineStr">
        <is>
          <t>500 - COLONNA T101 CONTROLLO F351CO</t>
        </is>
      </c>
      <c r="H166" s="111" t="n"/>
      <c r="I166" s="111" t="n"/>
      <c r="J166" s="111" t="n"/>
      <c r="K166" s="111" t="n"/>
      <c r="L166" s="111" t="n"/>
      <c r="M166" s="110" t="inlineStr">
        <is>
          <t>INTERROTTO</t>
        </is>
      </c>
      <c r="N166" s="110" t="n"/>
      <c r="O166" s="168" t="n"/>
      <c r="P166" s="110" t="n"/>
      <c r="Q166" s="109" t="inlineStr">
        <is>
          <t>VALVOLA DI SCARICO ROTTA, TROVATO E LASCIATO INTERCETTATO COME RICHIESTO DA ESE</t>
        </is>
      </c>
      <c r="R166" s="110" t="n">
        <v>45791</v>
      </c>
      <c r="S166" s="110" t="inlineStr">
        <is>
          <t>SPINALI</t>
        </is>
      </c>
      <c r="T166" s="114">
        <f>IF(AND('Inserimento dati'!$B$3=$H$2, Tabella1[[#This Row],[LUN]]="X"), "X",IF(AND('Inserimento dati'!$B$3=$I$2, Tabella1[[#This Row],[MAR]]="X"), "X", IF(AND('Inserimento dati'!$B$3=$J$2, Tabella1[[#This Row],[MER]]="X"), "X",IF(AND('Inserimento dati'!$B$3=$K$2, Tabella1[[#This Row],[GIO]]="X"), "X", IF(AND('Inserimento dati'!$B$3=$L$2, Tabella1[[#This Row],[VEN]]="X"), "X","")))))</f>
        <v/>
      </c>
      <c r="U166" s="132">
        <f>IFERROR(MID(G166,_xlfn.AGGREGATE(15,6,(ROW(INDIRECT("1:"&amp;LEN(G166)-7)))/(ISNUMBER(--MID(G166,ROW(INDIRECT("1:"&amp;LEN(G166)-7)),8))),1),8),"")</f>
        <v/>
      </c>
      <c r="V166" t="inlineStr">
        <is>
          <t>2025-09-30 20:00:00</t>
        </is>
      </c>
    </row>
    <row r="167" ht="45" customFormat="1" customHeight="1" s="45">
      <c r="A167" s="112" t="n"/>
      <c r="B167" s="112">
        <f>IF(OR(A167="x",A167="X"),"",IF(ISBLANK(A167),"X",""))</f>
        <v/>
      </c>
      <c r="C167" s="112">
        <f>IF(OR(Tabella1[[#This Row],[LUN]]="X",Tabella1[[#This Row],[MAR]]="X",Tabella1[[#This Row],[MER]]="X",Tabella1[[#This Row],[GIO]]="X",Tabella1[[#This Row],[VEN]]="X",),"X","")</f>
        <v/>
      </c>
      <c r="D167" s="113" t="inlineStr">
        <is>
          <t>AREA 2</t>
        </is>
      </c>
      <c r="E167" s="109" t="inlineStr">
        <is>
          <t>535536/C</t>
        </is>
      </c>
      <c r="F167" s="109" t="n">
        <v>1000</v>
      </c>
      <c r="G167" s="109" t="inlineStr">
        <is>
          <t>1000 - F114ARC F114BRC (CARICA PASSO 1 F102)CONTROLLO  E RIPRISTINO FUNZIONALITA (INSERIRE MOS PRIMA DI INIZIARE ATTIVITA</t>
        </is>
      </c>
      <c r="H167" s="111" t="n"/>
      <c r="I167" s="111" t="n"/>
      <c r="J167" s="111" t="n"/>
      <c r="K167" s="111" t="n"/>
      <c r="L167" s="111" t="n"/>
      <c r="M167" s="110" t="inlineStr">
        <is>
          <t>INTERROTTO</t>
        </is>
      </c>
      <c r="N167" s="110" t="n"/>
      <c r="O167" s="168" t="inlineStr">
        <is>
          <t>X</t>
        </is>
      </c>
      <c r="P167" s="110" t="n"/>
      <c r="Q167" s="109" t="inlineStr">
        <is>
          <t>STRUMENTI DI PORTATA TROVATI PARZIALMENTE TAPPATI, PROVA DI STASATURA CON POMPA ALTA PRESSIONE. SERVE PONTEGGIO PER ARRIVARE SULLE RADICI.( IN ATTESA DI COSTRUZIONE SAIT)</t>
        </is>
      </c>
      <c r="R167" s="110" t="n">
        <v>45784</v>
      </c>
      <c r="S167" s="110" t="inlineStr">
        <is>
          <t>TARASCIO/PARTESANO</t>
        </is>
      </c>
      <c r="T167" s="115">
        <f>IF(AND('Inserimento dati'!$B$3=$H$2, Tabella1[[#This Row],[LUN]]="X"), "X",IF(AND('Inserimento dati'!$B$3=$I$2, Tabella1[[#This Row],[MAR]]="X"), "X", IF(AND('Inserimento dati'!$B$3=$J$2, Tabella1[[#This Row],[MER]]="X"), "X",IF(AND('Inserimento dati'!$B$3=$K$2, Tabella1[[#This Row],[GIO]]="X"), "X", IF(AND('Inserimento dati'!$B$3=$L$2, Tabella1[[#This Row],[VEN]]="X"), "X","")))))</f>
        <v/>
      </c>
      <c r="U167" s="132">
        <f>IFERROR(MID(G167,_xlfn.AGGREGATE(15,6,(ROW(INDIRECT("1:"&amp;LEN(G167)-7)))/(ISNUMBER(--MID(G167,ROW(INDIRECT("1:"&amp;LEN(G167)-7)),8))),1),8),"")</f>
        <v/>
      </c>
      <c r="V167" t="inlineStr">
        <is>
          <t>2025-09-30 20:00:00</t>
        </is>
      </c>
    </row>
    <row r="168" ht="60" customFormat="1" customHeight="1" s="45">
      <c r="A168" s="112" t="n"/>
      <c r="B168" s="112">
        <f>IF(OR(A168="x",A168="X"),"",IF(ISBLANK(A168),"X",""))</f>
        <v/>
      </c>
      <c r="C168" s="112">
        <f>IF(OR(Tabella1[[#This Row],[LUN]]="X",Tabella1[[#This Row],[MAR]]="X",Tabella1[[#This Row],[MER]]="X",Tabella1[[#This Row],[GIO]]="X",Tabella1[[#This Row],[VEN]]="X",),"X","")</f>
        <v/>
      </c>
      <c r="D168" s="113" t="inlineStr">
        <is>
          <t>AREA 2</t>
        </is>
      </c>
      <c r="E168" s="109" t="inlineStr">
        <is>
          <t>534887/C</t>
        </is>
      </c>
      <c r="F168" s="109" t="n">
        <v>500</v>
      </c>
      <c r="G168" s="109" t="inlineStr">
        <is>
          <t>500 - F003RC(CARICA A E-101))CONTROLLO DI TARATURA STRUMENTO DI PORTATA</t>
        </is>
      </c>
      <c r="H168" s="111" t="n"/>
      <c r="I168" s="111" t="n"/>
      <c r="J168" s="111" t="n"/>
      <c r="K168" s="111" t="n"/>
      <c r="L168" s="111" t="n"/>
      <c r="M168" s="110" t="inlineStr">
        <is>
          <t>INTERROTTO</t>
        </is>
      </c>
      <c r="N168" s="110" t="n"/>
      <c r="O168" s="168" t="n"/>
      <c r="P168" s="110" t="n"/>
      <c r="Q168" s="109" t="inlineStr">
        <is>
          <t>VALVOLE DOPPIE D'INTERCETTO NON FANNO TENUTA. LEGGERA PERDITA DI PRODOTTO SU PREMITRECCIA VALVOLA NEGATIVA. NECESSITA PONTEGGIO PER SOSTITUZIONE GRUPPO BYPASS E PRIMARI.</t>
        </is>
      </c>
      <c r="R168" s="110" t="n">
        <v>45782</v>
      </c>
      <c r="S168" s="110" t="inlineStr">
        <is>
          <t>SPINALI</t>
        </is>
      </c>
      <c r="T168" s="112">
        <f>IF(AND('Inserimento dati'!$B$3=$H$2, Tabella1[[#This Row],[LUN]]="X"), "X",IF(AND('Inserimento dati'!$B$3=$I$2, Tabella1[[#This Row],[MAR]]="X"), "X", IF(AND('Inserimento dati'!$B$3=$J$2, Tabella1[[#This Row],[MER]]="X"), "X",IF(AND('Inserimento dati'!$B$3=$K$2, Tabella1[[#This Row],[GIO]]="X"), "X", IF(AND('Inserimento dati'!$B$3=$L$2, Tabella1[[#This Row],[VEN]]="X"), "X","")))))</f>
        <v/>
      </c>
      <c r="U168" s="132">
        <f>IFERROR(MID(G168,_xlfn.AGGREGATE(15,6,(ROW(INDIRECT("1:"&amp;LEN(G168)-7)))/(ISNUMBER(--MID(G168,ROW(INDIRECT("1:"&amp;LEN(G168)-7)),8))),1),8),"")</f>
        <v/>
      </c>
      <c r="V168" t="inlineStr">
        <is>
          <t>2025-09-30 20:00:00</t>
        </is>
      </c>
    </row>
    <row r="169" ht="23.25" customFormat="1" customHeight="1" s="45">
      <c r="A169" s="112" t="n"/>
      <c r="B169" s="112">
        <f>IF(OR(A169="x",A169="X"),"",IF(ISBLANK(A169),"X",""))</f>
        <v/>
      </c>
      <c r="C169" s="112">
        <f>IF(OR(Tabella1[[#This Row],[LUN]]="X",Tabella1[[#This Row],[MAR]]="X",Tabella1[[#This Row],[MER]]="X",Tabella1[[#This Row],[GIO]]="X",Tabella1[[#This Row],[VEN]]="X",),"X","")</f>
        <v/>
      </c>
      <c r="D169" s="113" t="inlineStr">
        <is>
          <t>AREA 2</t>
        </is>
      </c>
      <c r="E169" s="109" t="inlineStr">
        <is>
          <t>534885/C</t>
        </is>
      </c>
      <c r="F169" s="109" t="n">
        <v>500</v>
      </c>
      <c r="G169" s="109" t="inlineStr">
        <is>
          <t>500 - F002RC(CARICA TOTALE)CONTROLLO DI TARATURA STRUMENTO DI PORTATA</t>
        </is>
      </c>
      <c r="H169" s="111" t="n"/>
      <c r="I169" s="111" t="n"/>
      <c r="J169" s="111" t="n"/>
      <c r="K169" s="111" t="n"/>
      <c r="L169" s="111" t="n"/>
      <c r="M169" s="110" t="inlineStr">
        <is>
          <t>INTERROTTO</t>
        </is>
      </c>
      <c r="N169" s="110" t="n"/>
      <c r="O169" s="168" t="inlineStr">
        <is>
          <t>X</t>
        </is>
      </c>
      <c r="P169" s="110" t="n"/>
      <c r="Q169" s="109" t="inlineStr">
        <is>
          <t>NECESSITA PONTEGGIO PER CONTROLLO STRUMENTO</t>
        </is>
      </c>
      <c r="R169" s="110" t="n">
        <v>45782</v>
      </c>
      <c r="S169" s="110" t="inlineStr">
        <is>
          <t>SPINALI</t>
        </is>
      </c>
      <c r="T169" s="112">
        <f>IF(AND('Inserimento dati'!$B$3=$H$2, Tabella1[[#This Row],[LUN]]="X"), "X",IF(AND('Inserimento dati'!$B$3=$I$2, Tabella1[[#This Row],[MAR]]="X"), "X", IF(AND('Inserimento dati'!$B$3=$J$2, Tabella1[[#This Row],[MER]]="X"), "X",IF(AND('Inserimento dati'!$B$3=$K$2, Tabella1[[#This Row],[GIO]]="X"), "X", IF(AND('Inserimento dati'!$B$3=$L$2, Tabella1[[#This Row],[VEN]]="X"), "X","")))))</f>
        <v/>
      </c>
      <c r="U169" s="132">
        <f>IFERROR(MID(G169,_xlfn.AGGREGATE(15,6,(ROW(INDIRECT("1:"&amp;LEN(G169)-7)))/(ISNUMBER(--MID(G169,ROW(INDIRECT("1:"&amp;LEN(G169)-7)),8))),1),8),"")</f>
        <v/>
      </c>
      <c r="V169" t="inlineStr">
        <is>
          <t>2025-09-30 20:00:00</t>
        </is>
      </c>
    </row>
    <row r="170" ht="30" customFormat="1" customHeight="1" s="45">
      <c r="A170" s="112" t="n"/>
      <c r="B170" s="112">
        <f>IF(OR(A170="x",A170="X"),"",IF(ISBLANK(A170),"X",""))</f>
        <v/>
      </c>
      <c r="C170" s="112">
        <f>IF(OR(Tabella1[[#This Row],[LUN]]="X",Tabella1[[#This Row],[MAR]]="X",Tabella1[[#This Row],[MER]]="X",Tabella1[[#This Row],[GIO]]="X",Tabella1[[#This Row],[VEN]]="X",),"X","")</f>
        <v/>
      </c>
      <c r="D170" s="113" t="inlineStr">
        <is>
          <t>AREA 2</t>
        </is>
      </c>
      <c r="E170" s="109" t="inlineStr">
        <is>
          <t>534561/C</t>
        </is>
      </c>
      <c r="F170" s="109" t="n">
        <v>600</v>
      </c>
      <c r="G170" s="109" t="inlineStr">
        <is>
          <t>600 - 600F021RC (L.S. STRIPP.T101)CONTROLLO E RIPRISTINO FUNZIONALITA PORTATA</t>
        </is>
      </c>
      <c r="H170" s="111" t="n"/>
      <c r="I170" s="111" t="n"/>
      <c r="J170" s="111" t="n"/>
      <c r="K170" s="111" t="n"/>
      <c r="L170" s="111" t="n"/>
      <c r="M170" s="110" t="inlineStr">
        <is>
          <t>INTERROTTO</t>
        </is>
      </c>
      <c r="N170" s="110" t="n"/>
      <c r="O170" s="168" t="n"/>
      <c r="P170" s="110" t="n"/>
      <c r="Q170" s="109" t="inlineStr">
        <is>
          <t>PROVATA STASATURA CON ESITO NEGATIVO, VALVOLA DI RADICE BLOCCATA APERTA.</t>
        </is>
      </c>
      <c r="R170" s="110" t="n">
        <v>45779</v>
      </c>
      <c r="S170" s="110" t="inlineStr">
        <is>
          <t>SPINALI</t>
        </is>
      </c>
      <c r="T170" s="112">
        <f>IF(AND('Inserimento dati'!$B$3=$H$2, Tabella1[[#This Row],[LUN]]="X"), "X",IF(AND('Inserimento dati'!$B$3=$I$2, Tabella1[[#This Row],[MAR]]="X"), "X", IF(AND('Inserimento dati'!$B$3=$J$2, Tabella1[[#This Row],[MER]]="X"), "X",IF(AND('Inserimento dati'!$B$3=$K$2, Tabella1[[#This Row],[GIO]]="X"), "X", IF(AND('Inserimento dati'!$B$3=$L$2, Tabella1[[#This Row],[VEN]]="X"), "X","")))))</f>
        <v/>
      </c>
      <c r="U170" s="132">
        <f>IFERROR(MID(G170,_xlfn.AGGREGATE(15,6,(ROW(INDIRECT("1:"&amp;LEN(G170)-7)))/(ISNUMBER(--MID(G170,ROW(INDIRECT("1:"&amp;LEN(G170)-7)),8))),1),8),"")</f>
        <v/>
      </c>
      <c r="V170" t="inlineStr">
        <is>
          <t>2025-09-30 20:00:00</t>
        </is>
      </c>
    </row>
    <row r="171" ht="30" customFormat="1" customHeight="1" s="45">
      <c r="A171" s="112" t="n"/>
      <c r="B171" s="112">
        <f>IF(OR(A171="x",A171="X"),"",IF(ISBLANK(A171),"X",""))</f>
        <v/>
      </c>
      <c r="C171" s="112">
        <f>IF(OR(Tabella1[[#This Row],[LUN]]="X",Tabella1[[#This Row],[MAR]]="X",Tabella1[[#This Row],[MER]]="X",Tabella1[[#This Row],[GIO]]="X",Tabella1[[#This Row],[VEN]]="X",),"X","")</f>
        <v/>
      </c>
      <c r="D171" s="113" t="inlineStr">
        <is>
          <t>AREA 2</t>
        </is>
      </c>
      <c r="E171" s="109" t="inlineStr">
        <is>
          <t>535091/C</t>
        </is>
      </c>
      <c r="F171" s="109" t="n">
        <v>1000</v>
      </c>
      <c r="G171" s="109" t="inlineStr">
        <is>
          <t>1000 - C101A CONTROLLO E RIPRISTINO VIBROSTATO HVS70A  A PANNELLO LOCALE</t>
        </is>
      </c>
      <c r="H171" s="111" t="n"/>
      <c r="I171" s="111" t="n"/>
      <c r="J171" s="111" t="n"/>
      <c r="K171" s="111" t="n"/>
      <c r="L171" s="111" t="n"/>
      <c r="M171" s="110" t="inlineStr">
        <is>
          <t>INTERROTTO</t>
        </is>
      </c>
      <c r="N171" s="110" t="n"/>
      <c r="O171" s="168" t="n"/>
      <c r="P171" s="110" t="n"/>
      <c r="Q171" s="109" t="inlineStr">
        <is>
          <t>PROBLEMA SU PANNELLO LOCALE, DA VERIFICARE CON NASELLI E PREZZAVENTO</t>
        </is>
      </c>
      <c r="R171" s="110" t="n">
        <v>45782</v>
      </c>
      <c r="S171" s="110" t="inlineStr">
        <is>
          <t>PARTESANO</t>
        </is>
      </c>
      <c r="T171" s="112">
        <f>IF(AND('Inserimento dati'!$B$3=$H$2, Tabella1[[#This Row],[LUN]]="X"), "X",IF(AND('Inserimento dati'!$B$3=$I$2, Tabella1[[#This Row],[MAR]]="X"), "X", IF(AND('Inserimento dati'!$B$3=$J$2, Tabella1[[#This Row],[MER]]="X"), "X",IF(AND('Inserimento dati'!$B$3=$K$2, Tabella1[[#This Row],[GIO]]="X"), "X", IF(AND('Inserimento dati'!$B$3=$L$2, Tabella1[[#This Row],[VEN]]="X"), "X","")))))</f>
        <v/>
      </c>
      <c r="U171" s="132">
        <f>IFERROR(MID(G171,_xlfn.AGGREGATE(15,6,(ROW(INDIRECT("1:"&amp;LEN(G171)-7)))/(ISNUMBER(--MID(G171,ROW(INDIRECT("1:"&amp;LEN(G171)-7)),8))),1),8),"")</f>
        <v/>
      </c>
      <c r="V171" t="inlineStr">
        <is>
          <t>2025-09-30 20:00:00</t>
        </is>
      </c>
    </row>
    <row r="172" ht="30" customFormat="1" customHeight="1" s="45">
      <c r="A172" s="112" t="n"/>
      <c r="B172" s="112">
        <f>IF(OR(A172="x",A172="X"),"",IF(ISBLANK(A172),"X",""))</f>
        <v/>
      </c>
      <c r="C172" s="112">
        <f>IF(OR(Tabella1[[#This Row],[LUN]]="X",Tabella1[[#This Row],[MAR]]="X",Tabella1[[#This Row],[MER]]="X",Tabella1[[#This Row],[GIO]]="X",Tabella1[[#This Row],[VEN]]="X",),"X","")</f>
        <v/>
      </c>
      <c r="D172" s="113" t="inlineStr">
        <is>
          <t>AREA 2</t>
        </is>
      </c>
      <c r="E172" s="109" t="inlineStr">
        <is>
          <t>527373/C</t>
        </is>
      </c>
      <c r="F172" s="109" t="n">
        <v>600</v>
      </c>
      <c r="G172" s="109" t="inlineStr">
        <is>
          <t>600 - RIPRISTINO PERDITA TRACCIA DI RAME C/O 06F007RC</t>
        </is>
      </c>
      <c r="H172" s="111" t="n"/>
      <c r="I172" s="111" t="n"/>
      <c r="J172" s="111" t="n"/>
      <c r="K172" s="111" t="n"/>
      <c r="L172" s="111" t="n"/>
      <c r="M172" s="110" t="inlineStr">
        <is>
          <t>INTERROTTO</t>
        </is>
      </c>
      <c r="N172" s="110" t="n"/>
      <c r="O172" s="168" t="n"/>
      <c r="P172" s="110" t="n"/>
      <c r="Q172" s="109" t="inlineStr">
        <is>
          <t>LA PERDITA DI VAPORE E' SULLO SCARICO DEL FLUSSAGGIO DI RAME DEL TX DI PORTATA, DA MONTARE UN CONDENSINO.</t>
        </is>
      </c>
      <c r="R172" s="110" t="n">
        <v>45715</v>
      </c>
      <c r="S172" s="110" t="inlineStr">
        <is>
          <t>TARASCIO/PARTESANO</t>
        </is>
      </c>
      <c r="T172" s="112">
        <f>IF(AND('Inserimento dati'!$B$3=$H$2, Tabella1[[#This Row],[LUN]]="X"), "X",IF(AND('Inserimento dati'!$B$3=$I$2, Tabella1[[#This Row],[MAR]]="X"), "X", IF(AND('Inserimento dati'!$B$3=$J$2, Tabella1[[#This Row],[MER]]="X"), "X",IF(AND('Inserimento dati'!$B$3=$K$2, Tabella1[[#This Row],[GIO]]="X"), "X", IF(AND('Inserimento dati'!$B$3=$L$2, Tabella1[[#This Row],[VEN]]="X"), "X","")))))</f>
        <v/>
      </c>
      <c r="U172" s="132">
        <f>IFERROR(MID(G172,_xlfn.AGGREGATE(15,6,(ROW(INDIRECT("1:"&amp;LEN(G172)-7)))/(ISNUMBER(--MID(G172,ROW(INDIRECT("1:"&amp;LEN(G172)-7)),8))),1),8),"")</f>
        <v/>
      </c>
      <c r="V172" t="inlineStr">
        <is>
          <t>2025-09-30 20:00:00</t>
        </is>
      </c>
    </row>
    <row r="173" ht="23.25" customHeight="1" s="122">
      <c r="A173" s="112" t="n"/>
      <c r="B173" s="112">
        <f>IF(OR(A173="x",A173="X"),"",IF(ISBLANK(A173),"X",""))</f>
        <v/>
      </c>
      <c r="C173" s="112">
        <f>IF(OR(Tabella1[[#This Row],[LUN]]="X",Tabella1[[#This Row],[MAR]]="X",Tabella1[[#This Row],[MER]]="X",Tabella1[[#This Row],[GIO]]="X",Tabella1[[#This Row],[VEN]]="X",),"X","")</f>
        <v/>
      </c>
      <c r="D173" s="113" t="inlineStr">
        <is>
          <t>AREA 2</t>
        </is>
      </c>
      <c r="E173" s="109" t="inlineStr">
        <is>
          <t>527371/C</t>
        </is>
      </c>
      <c r="F173" s="109" t="n">
        <v>600</v>
      </c>
      <c r="G173" s="109" t="inlineStr">
        <is>
          <t>600 - RIPRISTINO PASSARELLA PASSACAVI C/O D102</t>
        </is>
      </c>
      <c r="H173" s="111" t="n"/>
      <c r="I173" s="111" t="n"/>
      <c r="J173" s="111" t="n"/>
      <c r="K173" s="111" t="n"/>
      <c r="L173" s="111" t="n"/>
      <c r="M173" s="110" t="inlineStr">
        <is>
          <t>INTERROTTO</t>
        </is>
      </c>
      <c r="N173" s="110" t="n"/>
      <c r="O173" s="168" t="n"/>
      <c r="P173" s="110" t="n"/>
      <c r="Q173" s="109" t="inlineStr">
        <is>
          <t>PER POTER LAVORARE OCCORRE PONTEGGIO, A CONOSCENZA TCL.</t>
        </is>
      </c>
      <c r="R173" s="110" t="n">
        <v>45715</v>
      </c>
      <c r="S173" s="110" t="inlineStr">
        <is>
          <t>MILLO/GARRO</t>
        </is>
      </c>
      <c r="T173" s="112">
        <f>IF(AND('Inserimento dati'!$B$3=$H$2, Tabella1[[#This Row],[LUN]]="X"), "X",IF(AND('Inserimento dati'!$B$3=$I$2, Tabella1[[#This Row],[MAR]]="X"), "X", IF(AND('Inserimento dati'!$B$3=$J$2, Tabella1[[#This Row],[MER]]="X"), "X",IF(AND('Inserimento dati'!$B$3=$K$2, Tabella1[[#This Row],[GIO]]="X"), "X", IF(AND('Inserimento dati'!$B$3=$L$2, Tabella1[[#This Row],[VEN]]="X"), "X","")))))</f>
        <v/>
      </c>
      <c r="U173" s="132">
        <f>IFERROR(MID(G173,_xlfn.AGGREGATE(15,6,(ROW(INDIRECT("1:"&amp;LEN(G173)-7)))/(ISNUMBER(--MID(G173,ROW(INDIRECT("1:"&amp;LEN(G173)-7)),8))),1),8),"")</f>
        <v/>
      </c>
      <c r="V173" t="inlineStr">
        <is>
          <t>2025-09-30 20:00:00</t>
        </is>
      </c>
    </row>
    <row r="174" ht="30" customHeight="1" s="122">
      <c r="A174" s="112" t="n"/>
      <c r="B174" s="112">
        <f>IF(OR(A174="x",A174="X"),"",IF(ISBLANK(A174),"X",""))</f>
        <v/>
      </c>
      <c r="C174" s="112">
        <f>IF(OR(Tabella1[[#This Row],[LUN]]="X",Tabella1[[#This Row],[MAR]]="X",Tabella1[[#This Row],[MER]]="X",Tabella1[[#This Row],[GIO]]="X",Tabella1[[#This Row],[VEN]]="X",),"X","")</f>
        <v/>
      </c>
      <c r="D174" s="113" t="inlineStr">
        <is>
          <t>AREA 2</t>
        </is>
      </c>
      <c r="E174" s="109" t="inlineStr">
        <is>
          <t>526397/C</t>
        </is>
      </c>
      <c r="F174" s="109" t="n">
        <v>1000</v>
      </c>
      <c r="G174" s="109" t="inlineStr">
        <is>
          <t>1000 - T197BR RIPRISTINO TEMPERATURA</t>
        </is>
      </c>
      <c r="H174" s="111" t="n"/>
      <c r="I174" s="111" t="n"/>
      <c r="J174" s="111" t="n"/>
      <c r="K174" s="111" t="n"/>
      <c r="L174" s="111" t="n"/>
      <c r="M174" s="110" t="inlineStr">
        <is>
          <t>INTERROTTO</t>
        </is>
      </c>
      <c r="N174" s="110" t="n"/>
      <c r="O174" s="168" t="n"/>
      <c r="P174" s="110" t="n"/>
      <c r="Q174" s="109" t="inlineStr">
        <is>
          <t>PT 100 DA CONTROLLARE IN TESTINA ( ARRIVA APERTA, IN TESTA ALLA T103), ESEGUITO ALLINEAMENTO DA JBOX A SALA CONTROLLO, OK</t>
        </is>
      </c>
      <c r="R174" s="110" t="n">
        <v>45707</v>
      </c>
      <c r="S174" s="110" t="inlineStr">
        <is>
          <t>TARASCIO/PARTESANO</t>
        </is>
      </c>
      <c r="T174" s="112">
        <f>IF(AND('Inserimento dati'!$B$3=$H$2, Tabella1[[#This Row],[LUN]]="X"), "X",IF(AND('Inserimento dati'!$B$3=$I$2, Tabella1[[#This Row],[MAR]]="X"), "X", IF(AND('Inserimento dati'!$B$3=$J$2, Tabella1[[#This Row],[MER]]="X"), "X",IF(AND('Inserimento dati'!$B$3=$K$2, Tabella1[[#This Row],[GIO]]="X"), "X", IF(AND('Inserimento dati'!$B$3=$L$2, Tabella1[[#This Row],[VEN]]="X"), "X","")))))</f>
        <v/>
      </c>
      <c r="U174" s="133">
        <f>IFERROR(MID(G174,_xlfn.AGGREGATE(15,6,(ROW(INDIRECT("1:"&amp;LEN(G174)-7)))/(ISNUMBER(--MID(G174,ROW(INDIRECT("1:"&amp;LEN(G174)-7)),8))),1),8),"")</f>
        <v/>
      </c>
      <c r="V174" t="inlineStr">
        <is>
          <t>2025-09-30 20:00:00</t>
        </is>
      </c>
    </row>
    <row r="175" ht="30" customHeight="1" s="122">
      <c r="A175" s="112" t="n"/>
      <c r="B175" s="112">
        <f>IF(OR(A175="x",A175="X"),"",IF(ISBLANK(A175),"X",""))</f>
        <v/>
      </c>
      <c r="C175" s="112">
        <f>IF(OR(Tabella1[[#This Row],[LUN]]="X",Tabella1[[#This Row],[MAR]]="X",Tabella1[[#This Row],[MER]]="X",Tabella1[[#This Row],[GIO]]="X",Tabella1[[#This Row],[VEN]]="X",),"X","")</f>
        <v/>
      </c>
      <c r="D175" s="113" t="inlineStr">
        <is>
          <t>AREA 2</t>
        </is>
      </c>
      <c r="E175" s="109" t="inlineStr">
        <is>
          <t>525903/C</t>
        </is>
      </c>
      <c r="F175" s="109" t="n">
        <v>500</v>
      </c>
      <c r="G175" s="109" t="inlineStr">
        <is>
          <t>500 - L014RC (E114) E CONTROLLO FUNZIONALITA E TARATURA LIVELLO CON ALLINEAMENTO  SALA CONTROLLO</t>
        </is>
      </c>
      <c r="H175" s="111" t="n"/>
      <c r="I175" s="111" t="n"/>
      <c r="J175" s="111" t="n"/>
      <c r="K175" s="111" t="n"/>
      <c r="L175" s="111" t="n"/>
      <c r="M175" s="110" t="inlineStr">
        <is>
          <t>INTERROTTO</t>
        </is>
      </c>
      <c r="N175" s="110" t="n"/>
      <c r="O175" s="168" t="inlineStr">
        <is>
          <t>X</t>
        </is>
      </c>
      <c r="P175" s="110" t="n"/>
      <c r="Q175" s="109" t="inlineStr">
        <is>
          <t>SERVE PONTEGGIO PER ACCEDERE ALLA TESTINA DI LIVELLO ( CIRCA 3MT)</t>
        </is>
      </c>
      <c r="R175" s="110" t="n">
        <v>45705</v>
      </c>
      <c r="S175" s="110" t="inlineStr">
        <is>
          <t>MILLO/TARASCIO</t>
        </is>
      </c>
      <c r="T175" s="112">
        <f>IF(AND('Inserimento dati'!$B$3=$H$2, Tabella1[[#This Row],[LUN]]="X"), "X",IF(AND('Inserimento dati'!$B$3=$I$2, Tabella1[[#This Row],[MAR]]="X"), "X", IF(AND('Inserimento dati'!$B$3=$J$2, Tabella1[[#This Row],[MER]]="X"), "X",IF(AND('Inserimento dati'!$B$3=$K$2, Tabella1[[#This Row],[GIO]]="X"), "X", IF(AND('Inserimento dati'!$B$3=$L$2, Tabella1[[#This Row],[VEN]]="X"), "X","")))))</f>
        <v/>
      </c>
      <c r="U175" s="133">
        <f>IFERROR(MID(G175,_xlfn.AGGREGATE(15,6,(ROW(INDIRECT("1:"&amp;LEN(G175)-7)))/(ISNUMBER(--MID(G175,ROW(INDIRECT("1:"&amp;LEN(G175)-7)),8))),1),8),"")</f>
        <v/>
      </c>
      <c r="V175" t="inlineStr">
        <is>
          <t>2025-09-30 20:00:00</t>
        </is>
      </c>
    </row>
    <row r="176" ht="30" customHeight="1" s="122">
      <c r="A176" s="112" t="n"/>
      <c r="B176" s="112">
        <f>IF(OR(A176="x",A176="X"),"",IF(ISBLANK(A176),"X",""))</f>
        <v/>
      </c>
      <c r="C176" s="112">
        <f>IF(OR(Tabella1[[#This Row],[LUN]]="X",Tabella1[[#This Row],[MAR]]="X",Tabella1[[#This Row],[MER]]="X",Tabella1[[#This Row],[GIO]]="X",Tabella1[[#This Row],[VEN]]="X",),"X","")</f>
        <v/>
      </c>
      <c r="D176" s="113" t="inlineStr">
        <is>
          <t>AREA 2</t>
        </is>
      </c>
      <c r="E176" s="109" t="inlineStr">
        <is>
          <t>523951/C</t>
        </is>
      </c>
      <c r="F176" s="109" t="n">
        <v>600</v>
      </c>
      <c r="G176" s="109" t="inlineStr">
        <is>
          <t>600 - T002R(ZONA FLASH T101)CONTROLLO E RIPRISTINO TEMPERATURA</t>
        </is>
      </c>
      <c r="H176" s="111" t="n"/>
      <c r="I176" s="111" t="n"/>
      <c r="J176" s="111" t="n"/>
      <c r="K176" s="111" t="n"/>
      <c r="L176" s="111" t="n"/>
      <c r="M176" s="110" t="inlineStr">
        <is>
          <t>INTERROTTO</t>
        </is>
      </c>
      <c r="N176" s="110" t="n"/>
      <c r="O176" s="168" t="inlineStr">
        <is>
          <t>X</t>
        </is>
      </c>
      <c r="P176" s="110" t="n"/>
      <c r="Q176" s="109" t="inlineStr">
        <is>
          <t>DOPPINO O TERMOELEMENTO IN CORSO. SI NECESSITA PONTEGGIO CIRCA 20 MT PER TERMOELEMENTO.</t>
        </is>
      </c>
      <c r="R176" s="110" t="n">
        <v>45687</v>
      </c>
      <c r="S176" s="110" t="inlineStr">
        <is>
          <t>TARASCIO</t>
        </is>
      </c>
      <c r="T176" s="112">
        <f>IF(AND('Inserimento dati'!$B$3=$H$2, Tabella1[[#This Row],[LUN]]="X"), "X",IF(AND('Inserimento dati'!$B$3=$I$2, Tabella1[[#This Row],[MAR]]="X"), "X", IF(AND('Inserimento dati'!$B$3=$J$2, Tabella1[[#This Row],[MER]]="X"), "X",IF(AND('Inserimento dati'!$B$3=$K$2, Tabella1[[#This Row],[GIO]]="X"), "X", IF(AND('Inserimento dati'!$B$3=$L$2, Tabella1[[#This Row],[VEN]]="X"), "X","")))))</f>
        <v/>
      </c>
      <c r="U176" s="133">
        <f>IFERROR(MID(G176,_xlfn.AGGREGATE(15,6,(ROW(INDIRECT("1:"&amp;LEN(G176)-7)))/(ISNUMBER(--MID(G176,ROW(INDIRECT("1:"&amp;LEN(G176)-7)),8))),1),8),"")</f>
        <v/>
      </c>
      <c r="V176" t="inlineStr">
        <is>
          <t>2025-09-30 20:00:00</t>
        </is>
      </c>
    </row>
    <row r="177" ht="23.25" customHeight="1" s="122">
      <c r="A177" s="112" t="n"/>
      <c r="B177" s="112" t="n"/>
      <c r="C177" s="112">
        <f>IF(OR(Tabella1[[#This Row],[LUN]]="X",Tabella1[[#This Row],[MAR]]="X",Tabella1[[#This Row],[MER]]="X",Tabella1[[#This Row],[GIO]]="X",Tabella1[[#This Row],[VEN]]="X",),"X","")</f>
        <v/>
      </c>
      <c r="D177" s="113" t="inlineStr">
        <is>
          <t>AREA 2</t>
        </is>
      </c>
      <c r="E177" s="109" t="inlineStr">
        <is>
          <t>549160/C</t>
        </is>
      </c>
      <c r="F177" s="109" t="n">
        <v>1000</v>
      </c>
      <c r="G177" s="109" t="inlineStr">
        <is>
          <t>1000R167BV CONTROLLO E RIPRISTINO FUNZIONALITA VALVOLA (NON VA OLTRE IL 30%)</t>
        </is>
      </c>
      <c r="H177" s="111" t="n"/>
      <c r="I177" s="111" t="n"/>
      <c r="J177" s="111" t="n"/>
      <c r="K177" s="111" t="n"/>
      <c r="L177" s="111" t="n"/>
      <c r="M177" s="92" t="inlineStr">
        <is>
          <t>INTERROTTO</t>
        </is>
      </c>
      <c r="N177" s="110" t="n"/>
      <c r="O177" s="168" t="n"/>
      <c r="P177" s="110" t="n"/>
      <c r="Q177" s="109" t="inlineStr">
        <is>
          <t>DA SMONTARE VALVOLA PER REVISIONE</t>
        </is>
      </c>
      <c r="R177" s="110" t="n">
        <v>45898</v>
      </c>
      <c r="S177" s="110" t="inlineStr">
        <is>
          <t>GARRO</t>
        </is>
      </c>
      <c r="T177" s="114">
        <f>IF(AND('Inserimento dati'!$B$3=$H$2, Tabella1[[#This Row],[LUN]]="X"), "X",IF(AND('Inserimento dati'!$B$3=$I$2, Tabella1[[#This Row],[MAR]]="X"), "X", IF(AND('Inserimento dati'!$B$3=$J$2, Tabella1[[#This Row],[MER]]="X"), "X",IF(AND('Inserimento dati'!$B$3=$K$2, Tabella1[[#This Row],[GIO]]="X"), "X", IF(AND('Inserimento dati'!$B$3=$L$2, Tabella1[[#This Row],[VEN]]="X"), "X","")))))</f>
        <v/>
      </c>
      <c r="U177" s="93" t="n"/>
      <c r="V177" t="inlineStr">
        <is>
          <t>2025-09-30 20:00:00</t>
        </is>
      </c>
    </row>
    <row r="178" ht="23.25" customHeight="1" s="122">
      <c r="A178" s="112" t="n"/>
      <c r="B178" s="112" t="n"/>
      <c r="C178" s="112">
        <f>IF(OR(Tabella1[[#This Row],[LUN]]="X",Tabella1[[#This Row],[MAR]]="X",Tabella1[[#This Row],[MER]]="X",Tabella1[[#This Row],[GIO]]="X",Tabella1[[#This Row],[VEN]]="X",),"X","")</f>
        <v/>
      </c>
      <c r="D178" s="113" t="inlineStr">
        <is>
          <t>AREA 2</t>
        </is>
      </c>
      <c r="E178" s="109" t="inlineStr">
        <is>
          <t>549546/C</t>
        </is>
      </c>
      <c r="F178" s="109" t="n">
        <v>1000</v>
      </c>
      <c r="G178" s="109" t="inlineStr">
        <is>
          <t>1000L252HA (D119) CONTROLLO E RIPRISTINO LIVELLOSTATO</t>
        </is>
      </c>
      <c r="H178" s="111" t="n"/>
      <c r="I178" s="111" t="n"/>
      <c r="J178" s="111" t="n"/>
      <c r="K178" s="111" t="n"/>
      <c r="L178" s="111" t="n"/>
      <c r="M178" s="92" t="inlineStr">
        <is>
          <t>INTERROTTO</t>
        </is>
      </c>
      <c r="N178" s="110" t="n"/>
      <c r="O178" s="168" t="n"/>
      <c r="P178" s="110" t="n"/>
      <c r="Q178" s="109" t="inlineStr">
        <is>
          <t>NECESSITA PONTEGGIO PER INTERCETTARE RADICI</t>
        </is>
      </c>
      <c r="R178" s="110" t="n">
        <v>45903</v>
      </c>
      <c r="S178" s="110" t="inlineStr">
        <is>
          <t>SPINALI</t>
        </is>
      </c>
      <c r="T178" s="114">
        <f>IF(AND('Inserimento dati'!$B$3=$H$2, Tabella1[[#This Row],[LUN]]="X"), "X",IF(AND('Inserimento dati'!$B$3=$I$2, Tabella1[[#This Row],[MAR]]="X"), "X", IF(AND('Inserimento dati'!$B$3=$J$2, Tabella1[[#This Row],[MER]]="X"), "X",IF(AND('Inserimento dati'!$B$3=$K$2, Tabella1[[#This Row],[GIO]]="X"), "X", IF(AND('Inserimento dati'!$B$3=$L$2, Tabella1[[#This Row],[VEN]]="X"), "X","")))))</f>
        <v/>
      </c>
      <c r="U178" s="93" t="n"/>
      <c r="V178" t="inlineStr">
        <is>
          <t>2025-09-30 20:00:00</t>
        </is>
      </c>
    </row>
  </sheetData>
  <mergeCells count="2">
    <mergeCell ref="A1:D1"/>
    <mergeCell ref="N2:P2"/>
  </mergeCells>
  <conditionalFormatting sqref="E95:G178 M95:S176 M177:Q177 N178:Q178">
    <cfRule type="expression" priority="589" dxfId="60">
      <formula>SEARCH("IN CORSO",$M95)&gt;0</formula>
    </cfRule>
    <cfRule type="expression" priority="590" dxfId="59">
      <formula>SEARCH("CHIUSO",$M95)&gt;0</formula>
    </cfRule>
    <cfRule type="expression" priority="591" dxfId="58">
      <formula>SEARCH("EMESSO",$M95)&gt;0</formula>
    </cfRule>
    <cfRule type="expression" priority="592" dxfId="57">
      <formula>SEARCH("RICHIESTO",$M95)&gt;0</formula>
    </cfRule>
    <cfRule type="expression" priority="593" dxfId="56">
      <formula>SEARCH("DA CHIUDERE",$M95)&gt;0</formula>
    </cfRule>
    <cfRule type="expression" priority="594" dxfId="55">
      <formula>SEARCH("INTERROTTO",$M95)&gt;0</formula>
    </cfRule>
  </conditionalFormatting>
  <conditionalFormatting sqref="E94:G94 M94:S94">
    <cfRule type="expression" priority="583" dxfId="60">
      <formula>SEARCH("IN CORSO",$M94)&gt;0</formula>
    </cfRule>
    <cfRule type="expression" priority="584" dxfId="59">
      <formula>SEARCH("CHIUSO",$M94)&gt;0</formula>
    </cfRule>
    <cfRule type="expression" priority="585" dxfId="58">
      <formula>SEARCH("EMESSO",$M94)&gt;0</formula>
    </cfRule>
    <cfRule type="expression" priority="586" dxfId="57">
      <formula>SEARCH("RICHIESTO",$M94)&gt;0</formula>
    </cfRule>
    <cfRule type="expression" priority="587" dxfId="56">
      <formula>SEARCH("DA CHIUDERE",$M94)&gt;0</formula>
    </cfRule>
    <cfRule type="expression" priority="588" dxfId="55">
      <formula>SEARCH("INTERROTTO",$M94)&gt;0</formula>
    </cfRule>
  </conditionalFormatting>
  <conditionalFormatting sqref="E93:G93 M93:S93">
    <cfRule type="expression" priority="577" dxfId="60">
      <formula>SEARCH("IN CORSO",$M93)&gt;0</formula>
    </cfRule>
    <cfRule type="expression" priority="578" dxfId="59">
      <formula>SEARCH("CHIUSO",$M93)&gt;0</formula>
    </cfRule>
    <cfRule type="expression" priority="579" dxfId="58">
      <formula>SEARCH("EMESSO",$M93)&gt;0</formula>
    </cfRule>
    <cfRule type="expression" priority="580" dxfId="57">
      <formula>SEARCH("RICHIESTO",$M93)&gt;0</formula>
    </cfRule>
    <cfRule type="expression" priority="581" dxfId="56">
      <formula>SEARCH("DA CHIUDERE",$M93)&gt;0</formula>
    </cfRule>
    <cfRule type="expression" priority="582" dxfId="55">
      <formula>SEARCH("INTERROTTO",$M93)&gt;0</formula>
    </cfRule>
  </conditionalFormatting>
  <conditionalFormatting sqref="E92:G92 M92:S92">
    <cfRule type="expression" priority="571" dxfId="60">
      <formula>SEARCH("IN CORSO",$M92)&gt;0</formula>
    </cfRule>
    <cfRule type="expression" priority="572" dxfId="59">
      <formula>SEARCH("CHIUSO",$M92)&gt;0</formula>
    </cfRule>
    <cfRule type="expression" priority="573" dxfId="58">
      <formula>SEARCH("EMESSO",$M92)&gt;0</formula>
    </cfRule>
    <cfRule type="expression" priority="574" dxfId="57">
      <formula>SEARCH("RICHIESTO",$M92)&gt;0</formula>
    </cfRule>
    <cfRule type="expression" priority="575" dxfId="56">
      <formula>SEARCH("DA CHIUDERE",$M92)&gt;0</formula>
    </cfRule>
    <cfRule type="expression" priority="576" dxfId="55">
      <formula>SEARCH("INTERROTTO",$M92)&gt;0</formula>
    </cfRule>
  </conditionalFormatting>
  <conditionalFormatting sqref="E91:G91 M91:S91">
    <cfRule type="expression" priority="565" dxfId="60">
      <formula>SEARCH("IN CORSO",$M91)&gt;0</formula>
    </cfRule>
    <cfRule type="expression" priority="566" dxfId="59">
      <formula>SEARCH("CHIUSO",$M91)&gt;0</formula>
    </cfRule>
    <cfRule type="expression" priority="567" dxfId="58">
      <formula>SEARCH("EMESSO",$M91)&gt;0</formula>
    </cfRule>
    <cfRule type="expression" priority="568" dxfId="57">
      <formula>SEARCH("RICHIESTO",$M91)&gt;0</formula>
    </cfRule>
    <cfRule type="expression" priority="569" dxfId="56">
      <formula>SEARCH("DA CHIUDERE",$M91)&gt;0</formula>
    </cfRule>
    <cfRule type="expression" priority="570" dxfId="55">
      <formula>SEARCH("INTERROTTO",$M91)&gt;0</formula>
    </cfRule>
  </conditionalFormatting>
  <conditionalFormatting sqref="E90:G90 M90:S90">
    <cfRule type="expression" priority="559" dxfId="60">
      <formula>SEARCH("IN CORSO",$M90)&gt;0</formula>
    </cfRule>
    <cfRule type="expression" priority="560" dxfId="59">
      <formula>SEARCH("CHIUSO",$M90)&gt;0</formula>
    </cfRule>
    <cfRule type="expression" priority="561" dxfId="58">
      <formula>SEARCH("EMESSO",$M90)&gt;0</formula>
    </cfRule>
    <cfRule type="expression" priority="562" dxfId="57">
      <formula>SEARCH("RICHIESTO",$M90)&gt;0</formula>
    </cfRule>
    <cfRule type="expression" priority="563" dxfId="56">
      <formula>SEARCH("DA CHIUDERE",$M90)&gt;0</formula>
    </cfRule>
    <cfRule type="expression" priority="564" dxfId="55">
      <formula>SEARCH("INTERROTTO",$M90)&gt;0</formula>
    </cfRule>
  </conditionalFormatting>
  <conditionalFormatting sqref="E89:G89 M89:S89">
    <cfRule type="expression" priority="553" dxfId="60">
      <formula>SEARCH("IN CORSO",$M89)&gt;0</formula>
    </cfRule>
    <cfRule type="expression" priority="554" dxfId="59">
      <formula>SEARCH("CHIUSO",$M89)&gt;0</formula>
    </cfRule>
    <cfRule type="expression" priority="555" dxfId="58">
      <formula>SEARCH("EMESSO",$M89)&gt;0</formula>
    </cfRule>
    <cfRule type="expression" priority="556" dxfId="57">
      <formula>SEARCH("RICHIESTO",$M89)&gt;0</formula>
    </cfRule>
    <cfRule type="expression" priority="557" dxfId="56">
      <formula>SEARCH("DA CHIUDERE",$M89)&gt;0</formula>
    </cfRule>
    <cfRule type="expression" priority="558" dxfId="55">
      <formula>SEARCH("INTERROTTO",$M89)&gt;0</formula>
    </cfRule>
  </conditionalFormatting>
  <conditionalFormatting sqref="E88:G88 M88:S88">
    <cfRule type="expression" priority="547" dxfId="60">
      <formula>SEARCH("IN CORSO",$M88)&gt;0</formula>
    </cfRule>
    <cfRule type="expression" priority="548" dxfId="59">
      <formula>SEARCH("CHIUSO",$M88)&gt;0</formula>
    </cfRule>
    <cfRule type="expression" priority="549" dxfId="58">
      <formula>SEARCH("EMESSO",$M88)&gt;0</formula>
    </cfRule>
    <cfRule type="expression" priority="550" dxfId="57">
      <formula>SEARCH("RICHIESTO",$M88)&gt;0</formula>
    </cfRule>
    <cfRule type="expression" priority="551" dxfId="56">
      <formula>SEARCH("DA CHIUDERE",$M88)&gt;0</formula>
    </cfRule>
    <cfRule type="expression" priority="552" dxfId="55">
      <formula>SEARCH("INTERROTTO",$M88)&gt;0</formula>
    </cfRule>
  </conditionalFormatting>
  <conditionalFormatting sqref="E87:G87 M87:S87">
    <cfRule type="expression" priority="535" dxfId="60">
      <formula>SEARCH("IN CORSO",$M87)&gt;0</formula>
    </cfRule>
    <cfRule type="expression" priority="536" dxfId="59">
      <formula>SEARCH("CHIUSO",$M87)&gt;0</formula>
    </cfRule>
    <cfRule type="expression" priority="537" dxfId="58">
      <formula>SEARCH("EMESSO",$M87)&gt;0</formula>
    </cfRule>
    <cfRule type="expression" priority="538" dxfId="57">
      <formula>SEARCH("RICHIESTO",$M87)&gt;0</formula>
    </cfRule>
    <cfRule type="expression" priority="539" dxfId="56">
      <formula>SEARCH("DA CHIUDERE",$M87)&gt;0</formula>
    </cfRule>
    <cfRule type="expression" priority="540" dxfId="55">
      <formula>SEARCH("INTERROTTO",$M87)&gt;0</formula>
    </cfRule>
  </conditionalFormatting>
  <conditionalFormatting sqref="E86:G86 M86:S86">
    <cfRule type="expression" priority="529" dxfId="60">
      <formula>SEARCH("IN CORSO",$M86)&gt;0</formula>
    </cfRule>
    <cfRule type="expression" priority="530" dxfId="59">
      <formula>SEARCH("CHIUSO",$M86)&gt;0</formula>
    </cfRule>
    <cfRule type="expression" priority="531" dxfId="58">
      <formula>SEARCH("EMESSO",$M86)&gt;0</formula>
    </cfRule>
    <cfRule type="expression" priority="532" dxfId="57">
      <formula>SEARCH("RICHIESTO",$M86)&gt;0</formula>
    </cfRule>
    <cfRule type="expression" priority="533" dxfId="56">
      <formula>SEARCH("DA CHIUDERE",$M86)&gt;0</formula>
    </cfRule>
    <cfRule type="expression" priority="534" dxfId="55">
      <formula>SEARCH("INTERROTTO",$M86)&gt;0</formula>
    </cfRule>
  </conditionalFormatting>
  <conditionalFormatting sqref="E85:G85 M85:S85">
    <cfRule type="expression" priority="523" dxfId="60">
      <formula>SEARCH("IN CORSO",$M85)&gt;0</formula>
    </cfRule>
    <cfRule type="expression" priority="524" dxfId="59">
      <formula>SEARCH("CHIUSO",$M85)&gt;0</formula>
    </cfRule>
    <cfRule type="expression" priority="525" dxfId="58">
      <formula>SEARCH("EMESSO",$M85)&gt;0</formula>
    </cfRule>
    <cfRule type="expression" priority="526" dxfId="57">
      <formula>SEARCH("RICHIESTO",$M85)&gt;0</formula>
    </cfRule>
    <cfRule type="expression" priority="527" dxfId="56">
      <formula>SEARCH("DA CHIUDERE",$M85)&gt;0</formula>
    </cfRule>
    <cfRule type="expression" priority="528" dxfId="55">
      <formula>SEARCH("INTERROTTO",$M85)&gt;0</formula>
    </cfRule>
  </conditionalFormatting>
  <conditionalFormatting sqref="E84:G84 M84:S84">
    <cfRule type="expression" priority="517" dxfId="60">
      <formula>SEARCH("IN CORSO",$M84)&gt;0</formula>
    </cfRule>
    <cfRule type="expression" priority="518" dxfId="59">
      <formula>SEARCH("CHIUSO",$M84)&gt;0</formula>
    </cfRule>
    <cfRule type="expression" priority="519" dxfId="58">
      <formula>SEARCH("EMESSO",$M84)&gt;0</formula>
    </cfRule>
    <cfRule type="expression" priority="520" dxfId="57">
      <formula>SEARCH("RICHIESTO",$M84)&gt;0</formula>
    </cfRule>
    <cfRule type="expression" priority="521" dxfId="56">
      <formula>SEARCH("DA CHIUDERE",$M84)&gt;0</formula>
    </cfRule>
    <cfRule type="expression" priority="522" dxfId="55">
      <formula>SEARCH("INTERROTTO",$M84)&gt;0</formula>
    </cfRule>
  </conditionalFormatting>
  <conditionalFormatting sqref="E83:G83 M83:S83">
    <cfRule type="expression" priority="511" dxfId="60">
      <formula>SEARCH("IN CORSO",$M83)&gt;0</formula>
    </cfRule>
    <cfRule type="expression" priority="512" dxfId="59">
      <formula>SEARCH("CHIUSO",$M83)&gt;0</formula>
    </cfRule>
    <cfRule type="expression" priority="513" dxfId="58">
      <formula>SEARCH("EMESSO",$M83)&gt;0</formula>
    </cfRule>
    <cfRule type="expression" priority="514" dxfId="57">
      <formula>SEARCH("RICHIESTO",$M83)&gt;0</formula>
    </cfRule>
    <cfRule type="expression" priority="515" dxfId="56">
      <formula>SEARCH("DA CHIUDERE",$M83)&gt;0</formula>
    </cfRule>
    <cfRule type="expression" priority="516" dxfId="55">
      <formula>SEARCH("INTERROTTO",$M83)&gt;0</formula>
    </cfRule>
  </conditionalFormatting>
  <conditionalFormatting sqref="E82:G82 M82:S82">
    <cfRule type="expression" priority="505" dxfId="60">
      <formula>SEARCH("IN CORSO",$M82)&gt;0</formula>
    </cfRule>
    <cfRule type="expression" priority="506" dxfId="59">
      <formula>SEARCH("CHIUSO",$M82)&gt;0</formula>
    </cfRule>
    <cfRule type="expression" priority="507" dxfId="58">
      <formula>SEARCH("EMESSO",$M82)&gt;0</formula>
    </cfRule>
    <cfRule type="expression" priority="508" dxfId="57">
      <formula>SEARCH("RICHIESTO",$M82)&gt;0</formula>
    </cfRule>
    <cfRule type="expression" priority="509" dxfId="56">
      <formula>SEARCH("DA CHIUDERE",$M82)&gt;0</formula>
    </cfRule>
    <cfRule type="expression" priority="510" dxfId="55">
      <formula>SEARCH("INTERROTTO",$M82)&gt;0</formula>
    </cfRule>
  </conditionalFormatting>
  <conditionalFormatting sqref="E81:G81 M81:S81">
    <cfRule type="expression" priority="499" dxfId="60">
      <formula>SEARCH("IN CORSO",$M81)&gt;0</formula>
    </cfRule>
    <cfRule type="expression" priority="500" dxfId="59">
      <formula>SEARCH("CHIUSO",$M81)&gt;0</formula>
    </cfRule>
    <cfRule type="expression" priority="501" dxfId="58">
      <formula>SEARCH("EMESSO",$M81)&gt;0</formula>
    </cfRule>
    <cfRule type="expression" priority="502" dxfId="57">
      <formula>SEARCH("RICHIESTO",$M81)&gt;0</formula>
    </cfRule>
    <cfRule type="expression" priority="503" dxfId="56">
      <formula>SEARCH("DA CHIUDERE",$M81)&gt;0</formula>
    </cfRule>
    <cfRule type="expression" priority="504" dxfId="55">
      <formula>SEARCH("INTERROTTO",$M81)&gt;0</formula>
    </cfRule>
  </conditionalFormatting>
  <conditionalFormatting sqref="E79:G79 M79:S79">
    <cfRule type="expression" priority="487" dxfId="60">
      <formula>SEARCH("IN CORSO",$M79)&gt;0</formula>
    </cfRule>
    <cfRule type="expression" priority="488" dxfId="59">
      <formula>SEARCH("CHIUSO",$M79)&gt;0</formula>
    </cfRule>
    <cfRule type="expression" priority="489" dxfId="58">
      <formula>SEARCH("EMESSO",$M79)&gt;0</formula>
    </cfRule>
    <cfRule type="expression" priority="490" dxfId="57">
      <formula>SEARCH("RICHIESTO",$M79)&gt;0</formula>
    </cfRule>
    <cfRule type="expression" priority="491" dxfId="56">
      <formula>SEARCH("DA CHIUDERE",$M79)&gt;0</formula>
    </cfRule>
    <cfRule type="expression" priority="492" dxfId="55">
      <formula>SEARCH("INTERROTTO",$M79)&gt;0</formula>
    </cfRule>
  </conditionalFormatting>
  <conditionalFormatting sqref="E78:G78 M78:S78">
    <cfRule type="expression" priority="481" dxfId="60">
      <formula>SEARCH("IN CORSO",$M78)&gt;0</formula>
    </cfRule>
    <cfRule type="expression" priority="482" dxfId="59">
      <formula>SEARCH("CHIUSO",$M78)&gt;0</formula>
    </cfRule>
    <cfRule type="expression" priority="483" dxfId="58">
      <formula>SEARCH("EMESSO",$M78)&gt;0</formula>
    </cfRule>
    <cfRule type="expression" priority="484" dxfId="57">
      <formula>SEARCH("RICHIESTO",$M78)&gt;0</formula>
    </cfRule>
    <cfRule type="expression" priority="485" dxfId="56">
      <formula>SEARCH("DA CHIUDERE",$M78)&gt;0</formula>
    </cfRule>
    <cfRule type="expression" priority="486" dxfId="55">
      <formula>SEARCH("INTERROTTO",$M78)&gt;0</formula>
    </cfRule>
  </conditionalFormatting>
  <conditionalFormatting sqref="E77:G77 M77:S77">
    <cfRule type="expression" priority="475" dxfId="60">
      <formula>SEARCH("IN CORSO",$M77)&gt;0</formula>
    </cfRule>
    <cfRule type="expression" priority="476" dxfId="59">
      <formula>SEARCH("CHIUSO",$M77)&gt;0</formula>
    </cfRule>
    <cfRule type="expression" priority="477" dxfId="58">
      <formula>SEARCH("EMESSO",$M77)&gt;0</formula>
    </cfRule>
    <cfRule type="expression" priority="478" dxfId="57">
      <formula>SEARCH("RICHIESTO",$M77)&gt;0</formula>
    </cfRule>
    <cfRule type="expression" priority="479" dxfId="56">
      <formula>SEARCH("DA CHIUDERE",$M77)&gt;0</formula>
    </cfRule>
    <cfRule type="expression" priority="480" dxfId="55">
      <formula>SEARCH("INTERROTTO",$M77)&gt;0</formula>
    </cfRule>
  </conditionalFormatting>
  <conditionalFormatting sqref="E76:G76 M76:S76">
    <cfRule type="expression" priority="469" dxfId="60">
      <formula>SEARCH("IN CORSO",$M76)&gt;0</formula>
    </cfRule>
    <cfRule type="expression" priority="470" dxfId="59">
      <formula>SEARCH("CHIUSO",$M76)&gt;0</formula>
    </cfRule>
    <cfRule type="expression" priority="471" dxfId="58">
      <formula>SEARCH("EMESSO",$M76)&gt;0</formula>
    </cfRule>
    <cfRule type="expression" priority="472" dxfId="57">
      <formula>SEARCH("RICHIESTO",$M76)&gt;0</formula>
    </cfRule>
    <cfRule type="expression" priority="473" dxfId="56">
      <formula>SEARCH("DA CHIUDERE",$M76)&gt;0</formula>
    </cfRule>
    <cfRule type="expression" priority="474" dxfId="55">
      <formula>SEARCH("INTERROTTO",$M76)&gt;0</formula>
    </cfRule>
  </conditionalFormatting>
  <conditionalFormatting sqref="E75:G75 M75:S75">
    <cfRule type="expression" priority="463" dxfId="60">
      <formula>SEARCH("IN CORSO",$M75)&gt;0</formula>
    </cfRule>
    <cfRule type="expression" priority="464" dxfId="59">
      <formula>SEARCH("CHIUSO",$M75)&gt;0</formula>
    </cfRule>
    <cfRule type="expression" priority="465" dxfId="58">
      <formula>SEARCH("EMESSO",$M75)&gt;0</formula>
    </cfRule>
    <cfRule type="expression" priority="466" dxfId="57">
      <formula>SEARCH("RICHIESTO",$M75)&gt;0</formula>
    </cfRule>
    <cfRule type="expression" priority="467" dxfId="56">
      <formula>SEARCH("DA CHIUDERE",$M75)&gt;0</formula>
    </cfRule>
    <cfRule type="expression" priority="468" dxfId="55">
      <formula>SEARCH("INTERROTTO",$M75)&gt;0</formula>
    </cfRule>
  </conditionalFormatting>
  <conditionalFormatting sqref="E74:G74 M74:S74">
    <cfRule type="expression" priority="457" dxfId="60">
      <formula>SEARCH("IN CORSO",$M74)&gt;0</formula>
    </cfRule>
    <cfRule type="expression" priority="458" dxfId="59">
      <formula>SEARCH("CHIUSO",$M74)&gt;0</formula>
    </cfRule>
    <cfRule type="expression" priority="459" dxfId="58">
      <formula>SEARCH("EMESSO",$M74)&gt;0</formula>
    </cfRule>
    <cfRule type="expression" priority="460" dxfId="57">
      <formula>SEARCH("RICHIESTO",$M74)&gt;0</formula>
    </cfRule>
    <cfRule type="expression" priority="461" dxfId="56">
      <formula>SEARCH("DA CHIUDERE",$M74)&gt;0</formula>
    </cfRule>
    <cfRule type="expression" priority="462" dxfId="55">
      <formula>SEARCH("INTERROTTO",$M74)&gt;0</formula>
    </cfRule>
  </conditionalFormatting>
  <conditionalFormatting sqref="E73:G73 M73:S73">
    <cfRule type="expression" priority="451" dxfId="60">
      <formula>SEARCH("IN CORSO",$M73)&gt;0</formula>
    </cfRule>
    <cfRule type="expression" priority="452" dxfId="59">
      <formula>SEARCH("CHIUSO",$M73)&gt;0</formula>
    </cfRule>
    <cfRule type="expression" priority="453" dxfId="58">
      <formula>SEARCH("EMESSO",$M73)&gt;0</formula>
    </cfRule>
    <cfRule type="expression" priority="454" dxfId="57">
      <formula>SEARCH("RICHIESTO",$M73)&gt;0</formula>
    </cfRule>
    <cfRule type="expression" priority="455" dxfId="56">
      <formula>SEARCH("DA CHIUDERE",$M73)&gt;0</formula>
    </cfRule>
    <cfRule type="expression" priority="456" dxfId="55">
      <formula>SEARCH("INTERROTTO",$M73)&gt;0</formula>
    </cfRule>
  </conditionalFormatting>
  <conditionalFormatting sqref="E72:G72 M72:S72">
    <cfRule type="expression" priority="445" dxfId="60">
      <formula>SEARCH("IN CORSO",$M72)&gt;0</formula>
    </cfRule>
    <cfRule type="expression" priority="446" dxfId="59">
      <formula>SEARCH("CHIUSO",$M72)&gt;0</formula>
    </cfRule>
    <cfRule type="expression" priority="447" dxfId="58">
      <formula>SEARCH("EMESSO",$M72)&gt;0</formula>
    </cfRule>
    <cfRule type="expression" priority="448" dxfId="57">
      <formula>SEARCH("RICHIESTO",$M72)&gt;0</formula>
    </cfRule>
    <cfRule type="expression" priority="449" dxfId="56">
      <formula>SEARCH("DA CHIUDERE",$M72)&gt;0</formula>
    </cfRule>
    <cfRule type="expression" priority="450" dxfId="55">
      <formula>SEARCH("INTERROTTO",$M72)&gt;0</formula>
    </cfRule>
  </conditionalFormatting>
  <conditionalFormatting sqref="E71:G71 M71:S71">
    <cfRule type="expression" priority="439" dxfId="60">
      <formula>SEARCH("IN CORSO",$M71)&gt;0</formula>
    </cfRule>
    <cfRule type="expression" priority="440" dxfId="59">
      <formula>SEARCH("CHIUSO",$M71)&gt;0</formula>
    </cfRule>
    <cfRule type="expression" priority="441" dxfId="58">
      <formula>SEARCH("EMESSO",$M71)&gt;0</formula>
    </cfRule>
    <cfRule type="expression" priority="442" dxfId="57">
      <formula>SEARCH("RICHIESTO",$M71)&gt;0</formula>
    </cfRule>
    <cfRule type="expression" priority="443" dxfId="56">
      <formula>SEARCH("DA CHIUDERE",$M71)&gt;0</formula>
    </cfRule>
    <cfRule type="expression" priority="444" dxfId="55">
      <formula>SEARCH("INTERROTTO",$M71)&gt;0</formula>
    </cfRule>
  </conditionalFormatting>
  <conditionalFormatting sqref="E70:G70 M70:S70">
    <cfRule type="expression" priority="427" dxfId="60">
      <formula>SEARCH("IN CORSO",$M70)&gt;0</formula>
    </cfRule>
    <cfRule type="expression" priority="428" dxfId="59">
      <formula>SEARCH("CHIUSO",$M70)&gt;0</formula>
    </cfRule>
    <cfRule type="expression" priority="429" dxfId="58">
      <formula>SEARCH("EMESSO",$M70)&gt;0</formula>
    </cfRule>
    <cfRule type="expression" priority="430" dxfId="57">
      <formula>SEARCH("RICHIESTO",$M70)&gt;0</formula>
    </cfRule>
    <cfRule type="expression" priority="431" dxfId="56">
      <formula>SEARCH("DA CHIUDERE",$M70)&gt;0</formula>
    </cfRule>
    <cfRule type="expression" priority="432" dxfId="55">
      <formula>SEARCH("INTERROTTO",$M70)&gt;0</formula>
    </cfRule>
  </conditionalFormatting>
  <conditionalFormatting sqref="E80:G80 M80:S80">
    <cfRule type="expression" priority="493" dxfId="60">
      <formula>SEARCH("IN CORSO",$M80)&gt;0</formula>
    </cfRule>
    <cfRule type="expression" priority="494" dxfId="59">
      <formula>SEARCH("CHIUSO",$M80)&gt;0</formula>
    </cfRule>
    <cfRule type="expression" priority="495" dxfId="58">
      <formula>SEARCH("EMESSO",$M80)&gt;0</formula>
    </cfRule>
    <cfRule type="expression" priority="496" dxfId="57">
      <formula>SEARCH("RICHIESTO",$M80)&gt;0</formula>
    </cfRule>
    <cfRule type="expression" priority="497" dxfId="56">
      <formula>SEARCH("DA CHIUDERE",$M80)&gt;0</formula>
    </cfRule>
    <cfRule type="expression" priority="498" dxfId="55">
      <formula>SEARCH("INTERROTTO",$M80)&gt;0</formula>
    </cfRule>
  </conditionalFormatting>
  <conditionalFormatting sqref="E69:G69 M69:S69">
    <cfRule type="expression" priority="421" dxfId="60">
      <formula>SEARCH("IN CORSO",$M69)&gt;0</formula>
    </cfRule>
    <cfRule type="expression" priority="422" dxfId="59">
      <formula>SEARCH("CHIUSO",$M69)&gt;0</formula>
    </cfRule>
    <cfRule type="expression" priority="423" dxfId="58">
      <formula>SEARCH("EMESSO",$M69)&gt;0</formula>
    </cfRule>
    <cfRule type="expression" priority="424" dxfId="57">
      <formula>SEARCH("RICHIESTO",$M69)&gt;0</formula>
    </cfRule>
    <cfRule type="expression" priority="425" dxfId="56">
      <formula>SEARCH("DA CHIUDERE",$M69)&gt;0</formula>
    </cfRule>
    <cfRule type="expression" priority="426" dxfId="55">
      <formula>SEARCH("INTERROTTO",$M69)&gt;0</formula>
    </cfRule>
  </conditionalFormatting>
  <conditionalFormatting sqref="E68:G68 M68:S68">
    <cfRule type="expression" priority="415" dxfId="60">
      <formula>SEARCH("IN CORSO",$M68)&gt;0</formula>
    </cfRule>
    <cfRule type="expression" priority="416" dxfId="59">
      <formula>SEARCH("CHIUSO",$M68)&gt;0</formula>
    </cfRule>
    <cfRule type="expression" priority="417" dxfId="58">
      <formula>SEARCH("EMESSO",$M68)&gt;0</formula>
    </cfRule>
    <cfRule type="expression" priority="418" dxfId="57">
      <formula>SEARCH("RICHIESTO",$M68)&gt;0</formula>
    </cfRule>
    <cfRule type="expression" priority="419" dxfId="56">
      <formula>SEARCH("DA CHIUDERE",$M68)&gt;0</formula>
    </cfRule>
    <cfRule type="expression" priority="420" dxfId="55">
      <formula>SEARCH("INTERROTTO",$M68)&gt;0</formula>
    </cfRule>
  </conditionalFormatting>
  <conditionalFormatting sqref="E67:G67 M67:S67">
    <cfRule type="expression" priority="403" dxfId="60">
      <formula>SEARCH("IN CORSO",$M67)&gt;0</formula>
    </cfRule>
    <cfRule type="expression" priority="404" dxfId="59">
      <formula>SEARCH("CHIUSO",$M67)&gt;0</formula>
    </cfRule>
    <cfRule type="expression" priority="405" dxfId="58">
      <formula>SEARCH("EMESSO",$M67)&gt;0</formula>
    </cfRule>
    <cfRule type="expression" priority="406" dxfId="57">
      <formula>SEARCH("RICHIESTO",$M67)&gt;0</formula>
    </cfRule>
    <cfRule type="expression" priority="407" dxfId="56">
      <formula>SEARCH("DA CHIUDERE",$M67)&gt;0</formula>
    </cfRule>
    <cfRule type="expression" priority="408" dxfId="55">
      <formula>SEARCH("INTERROTTO",$M67)&gt;0</formula>
    </cfRule>
  </conditionalFormatting>
  <conditionalFormatting sqref="E66:G66 M66:S66">
    <cfRule type="expression" priority="397" dxfId="60">
      <formula>SEARCH("IN CORSO",$M66)&gt;0</formula>
    </cfRule>
    <cfRule type="expression" priority="398" dxfId="59">
      <formula>SEARCH("CHIUSO",$M66)&gt;0</formula>
    </cfRule>
    <cfRule type="expression" priority="399" dxfId="58">
      <formula>SEARCH("EMESSO",$M66)&gt;0</formula>
    </cfRule>
    <cfRule type="expression" priority="400" dxfId="57">
      <formula>SEARCH("RICHIESTO",$M66)&gt;0</formula>
    </cfRule>
    <cfRule type="expression" priority="401" dxfId="56">
      <formula>SEARCH("DA CHIUDERE",$M66)&gt;0</formula>
    </cfRule>
    <cfRule type="expression" priority="402" dxfId="55">
      <formula>SEARCH("INTERROTTO",$M66)&gt;0</formula>
    </cfRule>
  </conditionalFormatting>
  <conditionalFormatting sqref="E65:G65 M65:S65">
    <cfRule type="expression" priority="391" dxfId="60">
      <formula>SEARCH("IN CORSO",$M65)&gt;0</formula>
    </cfRule>
    <cfRule type="expression" priority="392" dxfId="59">
      <formula>SEARCH("CHIUSO",$M65)&gt;0</formula>
    </cfRule>
    <cfRule type="expression" priority="393" dxfId="58">
      <formula>SEARCH("EMESSO",$M65)&gt;0</formula>
    </cfRule>
    <cfRule type="expression" priority="394" dxfId="57">
      <formula>SEARCH("RICHIESTO",$M65)&gt;0</formula>
    </cfRule>
    <cfRule type="expression" priority="395" dxfId="56">
      <formula>SEARCH("DA CHIUDERE",$M65)&gt;0</formula>
    </cfRule>
    <cfRule type="expression" priority="396" dxfId="55">
      <formula>SEARCH("INTERROTTO",$M65)&gt;0</formula>
    </cfRule>
  </conditionalFormatting>
  <conditionalFormatting sqref="E64:G64 M64:S64">
    <cfRule type="expression" priority="385" dxfId="60">
      <formula>SEARCH("IN CORSO",$M64)&gt;0</formula>
    </cfRule>
    <cfRule type="expression" priority="386" dxfId="59">
      <formula>SEARCH("CHIUSO",$M64)&gt;0</formula>
    </cfRule>
    <cfRule type="expression" priority="387" dxfId="58">
      <formula>SEARCH("EMESSO",$M64)&gt;0</formula>
    </cfRule>
    <cfRule type="expression" priority="388" dxfId="57">
      <formula>SEARCH("RICHIESTO",$M64)&gt;0</formula>
    </cfRule>
    <cfRule type="expression" priority="389" dxfId="56">
      <formula>SEARCH("DA CHIUDERE",$M64)&gt;0</formula>
    </cfRule>
    <cfRule type="expression" priority="390" dxfId="55">
      <formula>SEARCH("INTERROTTO",$M64)&gt;0</formula>
    </cfRule>
  </conditionalFormatting>
  <conditionalFormatting sqref="E63:G63 M63:S63">
    <cfRule type="expression" priority="379" dxfId="60">
      <formula>SEARCH("IN CORSO",$M63)&gt;0</formula>
    </cfRule>
    <cfRule type="expression" priority="380" dxfId="59">
      <formula>SEARCH("CHIUSO",$M63)&gt;0</formula>
    </cfRule>
    <cfRule type="expression" priority="381" dxfId="58">
      <formula>SEARCH("EMESSO",$M63)&gt;0</formula>
    </cfRule>
    <cfRule type="expression" priority="382" dxfId="57">
      <formula>SEARCH("RICHIESTO",$M63)&gt;0</formula>
    </cfRule>
    <cfRule type="expression" priority="383" dxfId="56">
      <formula>SEARCH("DA CHIUDERE",$M63)&gt;0</formula>
    </cfRule>
    <cfRule type="expression" priority="384" dxfId="55">
      <formula>SEARCH("INTERROTTO",$M63)&gt;0</formula>
    </cfRule>
  </conditionalFormatting>
  <conditionalFormatting sqref="E62:G62 M62:S62">
    <cfRule type="expression" priority="373" dxfId="60">
      <formula>SEARCH("IN CORSO",$M62)&gt;0</formula>
    </cfRule>
    <cfRule type="expression" priority="374" dxfId="59">
      <formula>SEARCH("CHIUSO",$M62)&gt;0</formula>
    </cfRule>
    <cfRule type="expression" priority="375" dxfId="58">
      <formula>SEARCH("EMESSO",$M62)&gt;0</formula>
    </cfRule>
    <cfRule type="expression" priority="376" dxfId="57">
      <formula>SEARCH("RICHIESTO",$M62)&gt;0</formula>
    </cfRule>
    <cfRule type="expression" priority="377" dxfId="56">
      <formula>SEARCH("DA CHIUDERE",$M62)&gt;0</formula>
    </cfRule>
    <cfRule type="expression" priority="378" dxfId="55">
      <formula>SEARCH("INTERROTTO",$M62)&gt;0</formula>
    </cfRule>
  </conditionalFormatting>
  <conditionalFormatting sqref="E61:G61 M61:S61">
    <cfRule type="expression" priority="367" dxfId="60">
      <formula>SEARCH("IN CORSO",$M61)&gt;0</formula>
    </cfRule>
    <cfRule type="expression" priority="368" dxfId="59">
      <formula>SEARCH("CHIUSO",$M61)&gt;0</formula>
    </cfRule>
    <cfRule type="expression" priority="369" dxfId="58">
      <formula>SEARCH("EMESSO",$M61)&gt;0</formula>
    </cfRule>
    <cfRule type="expression" priority="370" dxfId="57">
      <formula>SEARCH("RICHIESTO",$M61)&gt;0</formula>
    </cfRule>
    <cfRule type="expression" priority="371" dxfId="56">
      <formula>SEARCH("DA CHIUDERE",$M61)&gt;0</formula>
    </cfRule>
    <cfRule type="expression" priority="372" dxfId="55">
      <formula>SEARCH("INTERROTTO",$M61)&gt;0</formula>
    </cfRule>
  </conditionalFormatting>
  <conditionalFormatting sqref="E60:G60 M60:S60">
    <cfRule type="expression" priority="361" dxfId="60">
      <formula>SEARCH("IN CORSO",$M60)&gt;0</formula>
    </cfRule>
    <cfRule type="expression" priority="362" dxfId="59">
      <formula>SEARCH("CHIUSO",$M60)&gt;0</formula>
    </cfRule>
    <cfRule type="expression" priority="363" dxfId="58">
      <formula>SEARCH("EMESSO",$M60)&gt;0</formula>
    </cfRule>
    <cfRule type="expression" priority="364" dxfId="57">
      <formula>SEARCH("RICHIESTO",$M60)&gt;0</formula>
    </cfRule>
    <cfRule type="expression" priority="365" dxfId="56">
      <formula>SEARCH("DA CHIUDERE",$M60)&gt;0</formula>
    </cfRule>
    <cfRule type="expression" priority="366" dxfId="55">
      <formula>SEARCH("INTERROTTO",$M60)&gt;0</formula>
    </cfRule>
  </conditionalFormatting>
  <conditionalFormatting sqref="E59:G59 M59:S59">
    <cfRule type="expression" priority="355" dxfId="60">
      <formula>SEARCH("IN CORSO",$M59)&gt;0</formula>
    </cfRule>
    <cfRule type="expression" priority="356" dxfId="59">
      <formula>SEARCH("CHIUSO",$M59)&gt;0</formula>
    </cfRule>
    <cfRule type="expression" priority="357" dxfId="58">
      <formula>SEARCH("EMESSO",$M59)&gt;0</formula>
    </cfRule>
    <cfRule type="expression" priority="358" dxfId="57">
      <formula>SEARCH("RICHIESTO",$M59)&gt;0</formula>
    </cfRule>
    <cfRule type="expression" priority="359" dxfId="56">
      <formula>SEARCH("DA CHIUDERE",$M59)&gt;0</formula>
    </cfRule>
    <cfRule type="expression" priority="360" dxfId="55">
      <formula>SEARCH("INTERROTTO",$M59)&gt;0</formula>
    </cfRule>
  </conditionalFormatting>
  <conditionalFormatting sqref="E58:G58 M58:S58">
    <cfRule type="expression" priority="349" dxfId="60">
      <formula>SEARCH("IN CORSO",$M58)&gt;0</formula>
    </cfRule>
    <cfRule type="expression" priority="350" dxfId="59">
      <formula>SEARCH("CHIUSO",$M58)&gt;0</formula>
    </cfRule>
    <cfRule type="expression" priority="351" dxfId="58">
      <formula>SEARCH("EMESSO",$M58)&gt;0</formula>
    </cfRule>
    <cfRule type="expression" priority="352" dxfId="57">
      <formula>SEARCH("RICHIESTO",$M58)&gt;0</formula>
    </cfRule>
    <cfRule type="expression" priority="353" dxfId="56">
      <formula>SEARCH("DA CHIUDERE",$M58)&gt;0</formula>
    </cfRule>
    <cfRule type="expression" priority="354" dxfId="55">
      <formula>SEARCH("INTERROTTO",$M58)&gt;0</formula>
    </cfRule>
  </conditionalFormatting>
  <conditionalFormatting sqref="E57:G57 M57:S57">
    <cfRule type="expression" priority="343" dxfId="60">
      <formula>SEARCH("IN CORSO",$M57)&gt;0</formula>
    </cfRule>
    <cfRule type="expression" priority="344" dxfId="59">
      <formula>SEARCH("CHIUSO",$M57)&gt;0</formula>
    </cfRule>
    <cfRule type="expression" priority="345" dxfId="58">
      <formula>SEARCH("EMESSO",$M57)&gt;0</formula>
    </cfRule>
    <cfRule type="expression" priority="346" dxfId="57">
      <formula>SEARCH("RICHIESTO",$M57)&gt;0</formula>
    </cfRule>
    <cfRule type="expression" priority="347" dxfId="56">
      <formula>SEARCH("DA CHIUDERE",$M57)&gt;0</formula>
    </cfRule>
    <cfRule type="expression" priority="348" dxfId="55">
      <formula>SEARCH("INTERROTTO",$M57)&gt;0</formula>
    </cfRule>
  </conditionalFormatting>
  <conditionalFormatting sqref="E56:G56 M56:S56">
    <cfRule type="expression" priority="337" dxfId="60">
      <formula>SEARCH("IN CORSO",$M56)&gt;0</formula>
    </cfRule>
    <cfRule type="expression" priority="338" dxfId="59">
      <formula>SEARCH("CHIUSO",$M56)&gt;0</formula>
    </cfRule>
    <cfRule type="expression" priority="339" dxfId="58">
      <formula>SEARCH("EMESSO",$M56)&gt;0</formula>
    </cfRule>
    <cfRule type="expression" priority="340" dxfId="57">
      <formula>SEARCH("RICHIESTO",$M56)&gt;0</formula>
    </cfRule>
    <cfRule type="expression" priority="341" dxfId="56">
      <formula>SEARCH("DA CHIUDERE",$M56)&gt;0</formula>
    </cfRule>
    <cfRule type="expression" priority="342" dxfId="55">
      <formula>SEARCH("INTERROTTO",$M56)&gt;0</formula>
    </cfRule>
  </conditionalFormatting>
  <conditionalFormatting sqref="E55:G55 M55:S55">
    <cfRule type="expression" priority="331" dxfId="60">
      <formula>SEARCH("IN CORSO",$M55)&gt;0</formula>
    </cfRule>
    <cfRule type="expression" priority="332" dxfId="59">
      <formula>SEARCH("CHIUSO",$M55)&gt;0</formula>
    </cfRule>
    <cfRule type="expression" priority="333" dxfId="58">
      <formula>SEARCH("EMESSO",$M55)&gt;0</formula>
    </cfRule>
    <cfRule type="expression" priority="334" dxfId="57">
      <formula>SEARCH("RICHIESTO",$M55)&gt;0</formula>
    </cfRule>
    <cfRule type="expression" priority="335" dxfId="56">
      <formula>SEARCH("DA CHIUDERE",$M55)&gt;0</formula>
    </cfRule>
    <cfRule type="expression" priority="336" dxfId="55">
      <formula>SEARCH("INTERROTTO",$M55)&gt;0</formula>
    </cfRule>
  </conditionalFormatting>
  <conditionalFormatting sqref="E54:G54 M54:S54">
    <cfRule type="expression" priority="325" dxfId="60">
      <formula>SEARCH("IN CORSO",$M54)&gt;0</formula>
    </cfRule>
    <cfRule type="expression" priority="326" dxfId="59">
      <formula>SEARCH("CHIUSO",$M54)&gt;0</formula>
    </cfRule>
    <cfRule type="expression" priority="327" dxfId="58">
      <formula>SEARCH("EMESSO",$M54)&gt;0</formula>
    </cfRule>
    <cfRule type="expression" priority="328" dxfId="57">
      <formula>SEARCH("RICHIESTO",$M54)&gt;0</formula>
    </cfRule>
    <cfRule type="expression" priority="329" dxfId="56">
      <formula>SEARCH("DA CHIUDERE",$M54)&gt;0</formula>
    </cfRule>
    <cfRule type="expression" priority="330" dxfId="55">
      <formula>SEARCH("INTERROTTO",$M54)&gt;0</formula>
    </cfRule>
  </conditionalFormatting>
  <conditionalFormatting sqref="E53:G53 M53:S53">
    <cfRule type="expression" priority="319" dxfId="60">
      <formula>SEARCH("IN CORSO",$M53)&gt;0</formula>
    </cfRule>
    <cfRule type="expression" priority="320" dxfId="59">
      <formula>SEARCH("CHIUSO",$M53)&gt;0</formula>
    </cfRule>
    <cfRule type="expression" priority="321" dxfId="58">
      <formula>SEARCH("EMESSO",$M53)&gt;0</formula>
    </cfRule>
    <cfRule type="expression" priority="322" dxfId="57">
      <formula>SEARCH("RICHIESTO",$M53)&gt;0</formula>
    </cfRule>
    <cfRule type="expression" priority="323" dxfId="56">
      <formula>SEARCH("DA CHIUDERE",$M53)&gt;0</formula>
    </cfRule>
    <cfRule type="expression" priority="324" dxfId="55">
      <formula>SEARCH("INTERROTTO",$M53)&gt;0</formula>
    </cfRule>
  </conditionalFormatting>
  <conditionalFormatting sqref="E52:G52 M52:S52">
    <cfRule type="expression" priority="313" dxfId="60">
      <formula>SEARCH("IN CORSO",$M52)&gt;0</formula>
    </cfRule>
    <cfRule type="expression" priority="314" dxfId="59">
      <formula>SEARCH("CHIUSO",$M52)&gt;0</formula>
    </cfRule>
    <cfRule type="expression" priority="315" dxfId="58">
      <formula>SEARCH("EMESSO",$M52)&gt;0</formula>
    </cfRule>
    <cfRule type="expression" priority="316" dxfId="57">
      <formula>SEARCH("RICHIESTO",$M52)&gt;0</formula>
    </cfRule>
    <cfRule type="expression" priority="317" dxfId="56">
      <formula>SEARCH("DA CHIUDERE",$M52)&gt;0</formula>
    </cfRule>
    <cfRule type="expression" priority="318" dxfId="55">
      <formula>SEARCH("INTERROTTO",$M52)&gt;0</formula>
    </cfRule>
  </conditionalFormatting>
  <conditionalFormatting sqref="E51:G51 M51:S51">
    <cfRule type="expression" priority="307" dxfId="60">
      <formula>SEARCH("IN CORSO",$M51)&gt;0</formula>
    </cfRule>
    <cfRule type="expression" priority="308" dxfId="59">
      <formula>SEARCH("CHIUSO",$M51)&gt;0</formula>
    </cfRule>
    <cfRule type="expression" priority="309" dxfId="58">
      <formula>SEARCH("EMESSO",$M51)&gt;0</formula>
    </cfRule>
    <cfRule type="expression" priority="310" dxfId="57">
      <formula>SEARCH("RICHIESTO",$M51)&gt;0</formula>
    </cfRule>
    <cfRule type="expression" priority="311" dxfId="56">
      <formula>SEARCH("DA CHIUDERE",$M51)&gt;0</formula>
    </cfRule>
    <cfRule type="expression" priority="312" dxfId="55">
      <formula>SEARCH("INTERROTTO",$M51)&gt;0</formula>
    </cfRule>
  </conditionalFormatting>
  <conditionalFormatting sqref="E50:G50 M50:S50">
    <cfRule type="expression" priority="301" dxfId="60">
      <formula>SEARCH("IN CORSO",$M50)&gt;0</formula>
    </cfRule>
    <cfRule type="expression" priority="302" dxfId="59">
      <formula>SEARCH("CHIUSO",$M50)&gt;0</formula>
    </cfRule>
    <cfRule type="expression" priority="303" dxfId="58">
      <formula>SEARCH("EMESSO",$M50)&gt;0</formula>
    </cfRule>
    <cfRule type="expression" priority="304" dxfId="57">
      <formula>SEARCH("RICHIESTO",$M50)&gt;0</formula>
    </cfRule>
    <cfRule type="expression" priority="305" dxfId="56">
      <formula>SEARCH("DA CHIUDERE",$M50)&gt;0</formula>
    </cfRule>
    <cfRule type="expression" priority="306" dxfId="55">
      <formula>SEARCH("INTERROTTO",$M50)&gt;0</formula>
    </cfRule>
  </conditionalFormatting>
  <conditionalFormatting sqref="E49:G49 M49:S49">
    <cfRule type="expression" priority="295" dxfId="60">
      <formula>SEARCH("IN CORSO",$M49)&gt;0</formula>
    </cfRule>
    <cfRule type="expression" priority="296" dxfId="59">
      <formula>SEARCH("CHIUSO",$M49)&gt;0</formula>
    </cfRule>
    <cfRule type="expression" priority="297" dxfId="58">
      <formula>SEARCH("EMESSO",$M49)&gt;0</formula>
    </cfRule>
    <cfRule type="expression" priority="298" dxfId="57">
      <formula>SEARCH("RICHIESTO",$M49)&gt;0</formula>
    </cfRule>
    <cfRule type="expression" priority="299" dxfId="56">
      <formula>SEARCH("DA CHIUDERE",$M49)&gt;0</formula>
    </cfRule>
    <cfRule type="expression" priority="300" dxfId="55">
      <formula>SEARCH("INTERROTTO",$M49)&gt;0</formula>
    </cfRule>
  </conditionalFormatting>
  <conditionalFormatting sqref="E48:G48 M48:S48">
    <cfRule type="expression" priority="289" dxfId="60">
      <formula>SEARCH("IN CORSO",$M48)&gt;0</formula>
    </cfRule>
    <cfRule type="expression" priority="290" dxfId="59">
      <formula>SEARCH("CHIUSO",$M48)&gt;0</formula>
    </cfRule>
    <cfRule type="expression" priority="291" dxfId="58">
      <formula>SEARCH("EMESSO",$M48)&gt;0</formula>
    </cfRule>
    <cfRule type="expression" priority="292" dxfId="57">
      <formula>SEARCH("RICHIESTO",$M48)&gt;0</formula>
    </cfRule>
    <cfRule type="expression" priority="293" dxfId="56">
      <formula>SEARCH("DA CHIUDERE",$M48)&gt;0</formula>
    </cfRule>
    <cfRule type="expression" priority="294" dxfId="55">
      <formula>SEARCH("INTERROTTO",$M48)&gt;0</formula>
    </cfRule>
  </conditionalFormatting>
  <conditionalFormatting sqref="E47:G47 M47:S47">
    <cfRule type="expression" priority="283" dxfId="60">
      <formula>SEARCH("IN CORSO",$M47)&gt;0</formula>
    </cfRule>
    <cfRule type="expression" priority="284" dxfId="59">
      <formula>SEARCH("CHIUSO",$M47)&gt;0</formula>
    </cfRule>
    <cfRule type="expression" priority="285" dxfId="58">
      <formula>SEARCH("EMESSO",$M47)&gt;0</formula>
    </cfRule>
    <cfRule type="expression" priority="286" dxfId="57">
      <formula>SEARCH("RICHIESTO",$M47)&gt;0</formula>
    </cfRule>
    <cfRule type="expression" priority="287" dxfId="56">
      <formula>SEARCH("DA CHIUDERE",$M47)&gt;0</formula>
    </cfRule>
    <cfRule type="expression" priority="288" dxfId="55">
      <formula>SEARCH("INTERROTTO",$M47)&gt;0</formula>
    </cfRule>
  </conditionalFormatting>
  <conditionalFormatting sqref="E46:G46 M46:S46">
    <cfRule type="expression" priority="277" dxfId="60">
      <formula>SEARCH("IN CORSO",$M46)&gt;0</formula>
    </cfRule>
    <cfRule type="expression" priority="278" dxfId="59">
      <formula>SEARCH("CHIUSO",$M46)&gt;0</formula>
    </cfRule>
    <cfRule type="expression" priority="279" dxfId="58">
      <formula>SEARCH("EMESSO",$M46)&gt;0</formula>
    </cfRule>
    <cfRule type="expression" priority="280" dxfId="57">
      <formula>SEARCH("RICHIESTO",$M46)&gt;0</formula>
    </cfRule>
    <cfRule type="expression" priority="281" dxfId="56">
      <formula>SEARCH("DA CHIUDERE",$M46)&gt;0</formula>
    </cfRule>
    <cfRule type="expression" priority="282" dxfId="55">
      <formula>SEARCH("INTERROTTO",$M46)&gt;0</formula>
    </cfRule>
  </conditionalFormatting>
  <conditionalFormatting sqref="E45:G45 M45:S45">
    <cfRule type="expression" priority="271" dxfId="60">
      <formula>SEARCH("IN CORSO",$M45)&gt;0</formula>
    </cfRule>
    <cfRule type="expression" priority="272" dxfId="59">
      <formula>SEARCH("CHIUSO",$M45)&gt;0</formula>
    </cfRule>
    <cfRule type="expression" priority="273" dxfId="58">
      <formula>SEARCH("EMESSO",$M45)&gt;0</formula>
    </cfRule>
    <cfRule type="expression" priority="274" dxfId="57">
      <formula>SEARCH("RICHIESTO",$M45)&gt;0</formula>
    </cfRule>
    <cfRule type="expression" priority="275" dxfId="56">
      <formula>SEARCH("DA CHIUDERE",$M45)&gt;0</formula>
    </cfRule>
    <cfRule type="expression" priority="276" dxfId="55">
      <formula>SEARCH("INTERROTTO",$M45)&gt;0</formula>
    </cfRule>
  </conditionalFormatting>
  <conditionalFormatting sqref="E44:G44 M44:S44">
    <cfRule type="expression" priority="265" dxfId="60">
      <formula>SEARCH("IN CORSO",$M44)&gt;0</formula>
    </cfRule>
    <cfRule type="expression" priority="266" dxfId="59">
      <formula>SEARCH("CHIUSO",$M44)&gt;0</formula>
    </cfRule>
    <cfRule type="expression" priority="267" dxfId="58">
      <formula>SEARCH("EMESSO",$M44)&gt;0</formula>
    </cfRule>
    <cfRule type="expression" priority="268" dxfId="57">
      <formula>SEARCH("RICHIESTO",$M44)&gt;0</formula>
    </cfRule>
    <cfRule type="expression" priority="269" dxfId="56">
      <formula>SEARCH("DA CHIUDERE",$M44)&gt;0</formula>
    </cfRule>
    <cfRule type="expression" priority="270" dxfId="55">
      <formula>SEARCH("INTERROTTO",$M44)&gt;0</formula>
    </cfRule>
  </conditionalFormatting>
  <conditionalFormatting sqref="E43:G43 M43:S43">
    <cfRule type="expression" priority="259" dxfId="60">
      <formula>SEARCH("IN CORSO",$M43)&gt;0</formula>
    </cfRule>
    <cfRule type="expression" priority="260" dxfId="59">
      <formula>SEARCH("CHIUSO",$M43)&gt;0</formula>
    </cfRule>
    <cfRule type="expression" priority="261" dxfId="58">
      <formula>SEARCH("EMESSO",$M43)&gt;0</formula>
    </cfRule>
    <cfRule type="expression" priority="262" dxfId="57">
      <formula>SEARCH("RICHIESTO",$M43)&gt;0</formula>
    </cfRule>
    <cfRule type="expression" priority="263" dxfId="56">
      <formula>SEARCH("DA CHIUDERE",$M43)&gt;0</formula>
    </cfRule>
    <cfRule type="expression" priority="264" dxfId="55">
      <formula>SEARCH("INTERROTTO",$M43)&gt;0</formula>
    </cfRule>
  </conditionalFormatting>
  <conditionalFormatting sqref="E42:G42 M42:S42">
    <cfRule type="expression" priority="253" dxfId="60">
      <formula>SEARCH("IN CORSO",$M42)&gt;0</formula>
    </cfRule>
    <cfRule type="expression" priority="254" dxfId="59">
      <formula>SEARCH("CHIUSO",$M42)&gt;0</formula>
    </cfRule>
    <cfRule type="expression" priority="255" dxfId="58">
      <formula>SEARCH("EMESSO",$M42)&gt;0</formula>
    </cfRule>
    <cfRule type="expression" priority="256" dxfId="57">
      <formula>SEARCH("RICHIESTO",$M42)&gt;0</formula>
    </cfRule>
    <cfRule type="expression" priority="257" dxfId="56">
      <formula>SEARCH("DA CHIUDERE",$M42)&gt;0</formula>
    </cfRule>
    <cfRule type="expression" priority="258" dxfId="55">
      <formula>SEARCH("INTERROTTO",$M42)&gt;0</formula>
    </cfRule>
  </conditionalFormatting>
  <conditionalFormatting sqref="E41:G41 M41:S41">
    <cfRule type="expression" priority="247" dxfId="60">
      <formula>SEARCH("IN CORSO",$M41)&gt;0</formula>
    </cfRule>
    <cfRule type="expression" priority="248" dxfId="59">
      <formula>SEARCH("CHIUSO",$M41)&gt;0</formula>
    </cfRule>
    <cfRule type="expression" priority="249" dxfId="58">
      <formula>SEARCH("EMESSO",$M41)&gt;0</formula>
    </cfRule>
    <cfRule type="expression" priority="250" dxfId="57">
      <formula>SEARCH("RICHIESTO",$M41)&gt;0</formula>
    </cfRule>
    <cfRule type="expression" priority="251" dxfId="56">
      <formula>SEARCH("DA CHIUDERE",$M41)&gt;0</formula>
    </cfRule>
    <cfRule type="expression" priority="252" dxfId="55">
      <formula>SEARCH("INTERROTTO",$M41)&gt;0</formula>
    </cfRule>
  </conditionalFormatting>
  <conditionalFormatting sqref="E40:G40 M40:S40">
    <cfRule type="expression" priority="241" dxfId="60">
      <formula>SEARCH("IN CORSO",$M40)&gt;0</formula>
    </cfRule>
    <cfRule type="expression" priority="242" dxfId="59">
      <formula>SEARCH("CHIUSO",$M40)&gt;0</formula>
    </cfRule>
    <cfRule type="expression" priority="243" dxfId="58">
      <formula>SEARCH("EMESSO",$M40)&gt;0</formula>
    </cfRule>
    <cfRule type="expression" priority="244" dxfId="57">
      <formula>SEARCH("RICHIESTO",$M40)&gt;0</formula>
    </cfRule>
    <cfRule type="expression" priority="245" dxfId="56">
      <formula>SEARCH("DA CHIUDERE",$M40)&gt;0</formula>
    </cfRule>
    <cfRule type="expression" priority="246" dxfId="55">
      <formula>SEARCH("INTERROTTO",$M40)&gt;0</formula>
    </cfRule>
  </conditionalFormatting>
  <conditionalFormatting sqref="E39:G39 M39:S39">
    <cfRule type="expression" priority="235" dxfId="60">
      <formula>SEARCH("IN CORSO",$M39)&gt;0</formula>
    </cfRule>
    <cfRule type="expression" priority="236" dxfId="59">
      <formula>SEARCH("CHIUSO",$M39)&gt;0</formula>
    </cfRule>
    <cfRule type="expression" priority="237" dxfId="58">
      <formula>SEARCH("EMESSO",$M39)&gt;0</formula>
    </cfRule>
    <cfRule type="expression" priority="238" dxfId="57">
      <formula>SEARCH("RICHIESTO",$M39)&gt;0</formula>
    </cfRule>
    <cfRule type="expression" priority="239" dxfId="56">
      <formula>SEARCH("DA CHIUDERE",$M39)&gt;0</formula>
    </cfRule>
    <cfRule type="expression" priority="240" dxfId="55">
      <formula>SEARCH("INTERROTTO",$M39)&gt;0</formula>
    </cfRule>
  </conditionalFormatting>
  <conditionalFormatting sqref="E38:G38 M38:S38">
    <cfRule type="expression" priority="229" dxfId="60">
      <formula>SEARCH("IN CORSO",$M38)&gt;0</formula>
    </cfRule>
    <cfRule type="expression" priority="230" dxfId="59">
      <formula>SEARCH("CHIUSO",$M38)&gt;0</formula>
    </cfRule>
    <cfRule type="expression" priority="231" dxfId="58">
      <formula>SEARCH("EMESSO",$M38)&gt;0</formula>
    </cfRule>
    <cfRule type="expression" priority="232" dxfId="57">
      <formula>SEARCH("RICHIESTO",$M38)&gt;0</formula>
    </cfRule>
    <cfRule type="expression" priority="233" dxfId="56">
      <formula>SEARCH("DA CHIUDERE",$M38)&gt;0</formula>
    </cfRule>
    <cfRule type="expression" priority="234" dxfId="55">
      <formula>SEARCH("INTERROTTO",$M38)&gt;0</formula>
    </cfRule>
  </conditionalFormatting>
  <conditionalFormatting sqref="E37:G37 M37:S37">
    <cfRule type="expression" priority="223" dxfId="60">
      <formula>SEARCH("IN CORSO",$M37)&gt;0</formula>
    </cfRule>
    <cfRule type="expression" priority="224" dxfId="59">
      <formula>SEARCH("CHIUSO",$M37)&gt;0</formula>
    </cfRule>
    <cfRule type="expression" priority="225" dxfId="58">
      <formula>SEARCH("EMESSO",$M37)&gt;0</formula>
    </cfRule>
    <cfRule type="expression" priority="226" dxfId="57">
      <formula>SEARCH("RICHIESTO",$M37)&gt;0</formula>
    </cfRule>
    <cfRule type="expression" priority="227" dxfId="56">
      <formula>SEARCH("DA CHIUDERE",$M37)&gt;0</formula>
    </cfRule>
    <cfRule type="expression" priority="228" dxfId="55">
      <formula>SEARCH("INTERROTTO",$M37)&gt;0</formula>
    </cfRule>
  </conditionalFormatting>
  <conditionalFormatting sqref="E36:G36 M36:P36 R36">
    <cfRule type="expression" priority="217" dxfId="60">
      <formula>SEARCH("IN CORSO",$M36)&gt;0</formula>
    </cfRule>
    <cfRule type="expression" priority="218" dxfId="59">
      <formula>SEARCH("CHIUSO",$M36)&gt;0</formula>
    </cfRule>
    <cfRule type="expression" priority="219" dxfId="58">
      <formula>SEARCH("EMESSO",$M36)&gt;0</formula>
    </cfRule>
    <cfRule type="expression" priority="220" dxfId="57">
      <formula>SEARCH("RICHIESTO",$M36)&gt;0</formula>
    </cfRule>
    <cfRule type="expression" priority="221" dxfId="56">
      <formula>SEARCH("DA CHIUDERE",$M36)&gt;0</formula>
    </cfRule>
    <cfRule type="expression" priority="222" dxfId="55">
      <formula>SEARCH("INTERROTTO",$M36)&gt;0</formula>
    </cfRule>
  </conditionalFormatting>
  <conditionalFormatting sqref="E35:G35 M35:S35">
    <cfRule type="expression" priority="211" dxfId="60">
      <formula>SEARCH("IN CORSO",$M35)&gt;0</formula>
    </cfRule>
    <cfRule type="expression" priority="212" dxfId="59">
      <formula>SEARCH("CHIUSO",$M35)&gt;0</formula>
    </cfRule>
    <cfRule type="expression" priority="213" dxfId="58">
      <formula>SEARCH("EMESSO",$M35)&gt;0</formula>
    </cfRule>
    <cfRule type="expression" priority="214" dxfId="57">
      <formula>SEARCH("RICHIESTO",$M35)&gt;0</formula>
    </cfRule>
    <cfRule type="expression" priority="215" dxfId="56">
      <formula>SEARCH("DA CHIUDERE",$M35)&gt;0</formula>
    </cfRule>
    <cfRule type="expression" priority="216" dxfId="55">
      <formula>SEARCH("INTERROTTO",$M35)&gt;0</formula>
    </cfRule>
  </conditionalFormatting>
  <conditionalFormatting sqref="Q36">
    <cfRule type="expression" priority="205" dxfId="60">
      <formula>SEARCH("IN CORSO",$M36)&gt;0</formula>
    </cfRule>
    <cfRule type="expression" priority="206" dxfId="59">
      <formula>SEARCH("CHIUSO",$M36)&gt;0</formula>
    </cfRule>
    <cfRule type="expression" priority="207" dxfId="58">
      <formula>SEARCH("EMESSO",$M36)&gt;0</formula>
    </cfRule>
    <cfRule type="expression" priority="208" dxfId="57">
      <formula>SEARCH("RICHIESTO",$M36)&gt;0</formula>
    </cfRule>
    <cfRule type="expression" priority="209" dxfId="56">
      <formula>SEARCH("DA CHIUDERE",$M36)&gt;0</formula>
    </cfRule>
    <cfRule type="expression" priority="210" dxfId="55">
      <formula>SEARCH("INTERROTTO",$M36)&gt;0</formula>
    </cfRule>
  </conditionalFormatting>
  <conditionalFormatting sqref="S36">
    <cfRule type="expression" priority="199" dxfId="60">
      <formula>SEARCH("IN CORSO",$M36)&gt;0</formula>
    </cfRule>
    <cfRule type="expression" priority="200" dxfId="59">
      <formula>SEARCH("CHIUSO",$M36)&gt;0</formula>
    </cfRule>
    <cfRule type="expression" priority="201" dxfId="58">
      <formula>SEARCH("EMESSO",$M36)&gt;0</formula>
    </cfRule>
    <cfRule type="expression" priority="202" dxfId="57">
      <formula>SEARCH("RICHIESTO",$M36)&gt;0</formula>
    </cfRule>
    <cfRule type="expression" priority="203" dxfId="56">
      <formula>SEARCH("DA CHIUDERE",$M36)&gt;0</formula>
    </cfRule>
    <cfRule type="expression" priority="204" dxfId="55">
      <formula>SEARCH("INTERROTTO",$M36)&gt;0</formula>
    </cfRule>
  </conditionalFormatting>
  <conditionalFormatting sqref="E34:G34 M34:Q34">
    <cfRule type="expression" priority="193" dxfId="60">
      <formula>SEARCH("IN CORSO",$M34)&gt;0</formula>
    </cfRule>
    <cfRule type="expression" priority="194" dxfId="59">
      <formula>SEARCH("CHIUSO",$M34)&gt;0</formula>
    </cfRule>
    <cfRule type="expression" priority="195" dxfId="58">
      <formula>SEARCH("EMESSO",$M34)&gt;0</formula>
    </cfRule>
    <cfRule type="expression" priority="196" dxfId="57">
      <formula>SEARCH("RICHIESTO",$M34)&gt;0</formula>
    </cfRule>
    <cfRule type="expression" priority="197" dxfId="56">
      <formula>SEARCH("DA CHIUDERE",$M34)&gt;0</formula>
    </cfRule>
    <cfRule type="expression" priority="198" dxfId="55">
      <formula>SEARCH("INTERROTTO",$M34)&gt;0</formula>
    </cfRule>
  </conditionalFormatting>
  <conditionalFormatting sqref="E33:G33 M33:S33 R34:S34">
    <cfRule type="expression" priority="187" dxfId="60">
      <formula>SEARCH("IN CORSO",$M33)&gt;0</formula>
    </cfRule>
    <cfRule type="expression" priority="188" dxfId="59">
      <formula>SEARCH("CHIUSO",$M33)&gt;0</formula>
    </cfRule>
    <cfRule type="expression" priority="189" dxfId="58">
      <formula>SEARCH("EMESSO",$M33)&gt;0</formula>
    </cfRule>
    <cfRule type="expression" priority="190" dxfId="57">
      <formula>SEARCH("RICHIESTO",$M33)&gt;0</formula>
    </cfRule>
    <cfRule type="expression" priority="191" dxfId="56">
      <formula>SEARCH("DA CHIUDERE",$M33)&gt;0</formula>
    </cfRule>
    <cfRule type="expression" priority="192" dxfId="55">
      <formula>SEARCH("INTERROTTO",$M33)&gt;0</formula>
    </cfRule>
  </conditionalFormatting>
  <conditionalFormatting sqref="E32:G32 M32:S32">
    <cfRule type="expression" priority="181" dxfId="60">
      <formula>SEARCH("IN CORSO",$M32)&gt;0</formula>
    </cfRule>
    <cfRule type="expression" priority="182" dxfId="59">
      <formula>SEARCH("CHIUSO",$M32)&gt;0</formula>
    </cfRule>
    <cfRule type="expression" priority="183" dxfId="58">
      <formula>SEARCH("EMESSO",$M32)&gt;0</formula>
    </cfRule>
    <cfRule type="expression" priority="184" dxfId="57">
      <formula>SEARCH("RICHIESTO",$M32)&gt;0</formula>
    </cfRule>
    <cfRule type="expression" priority="185" dxfId="56">
      <formula>SEARCH("DA CHIUDERE",$M32)&gt;0</formula>
    </cfRule>
    <cfRule type="expression" priority="186" dxfId="55">
      <formula>SEARCH("INTERROTTO",$M32)&gt;0</formula>
    </cfRule>
  </conditionalFormatting>
  <conditionalFormatting sqref="E31:G31 M31:S31">
    <cfRule type="expression" priority="175" dxfId="60">
      <formula>SEARCH("IN CORSO",$M31)&gt;0</formula>
    </cfRule>
    <cfRule type="expression" priority="176" dxfId="59">
      <formula>SEARCH("CHIUSO",$M31)&gt;0</formula>
    </cfRule>
    <cfRule type="expression" priority="177" dxfId="58">
      <formula>SEARCH("EMESSO",$M31)&gt;0</formula>
    </cfRule>
    <cfRule type="expression" priority="178" dxfId="57">
      <formula>SEARCH("RICHIESTO",$M31)&gt;0</formula>
    </cfRule>
    <cfRule type="expression" priority="179" dxfId="56">
      <formula>SEARCH("DA CHIUDERE",$M31)&gt;0</formula>
    </cfRule>
    <cfRule type="expression" priority="180" dxfId="55">
      <formula>SEARCH("INTERROTTO",$M31)&gt;0</formula>
    </cfRule>
  </conditionalFormatting>
  <conditionalFormatting sqref="E30:G30 M30:S30">
    <cfRule type="expression" priority="169" dxfId="60">
      <formula>SEARCH("IN CORSO",$M30)&gt;0</formula>
    </cfRule>
    <cfRule type="expression" priority="170" dxfId="59">
      <formula>SEARCH("CHIUSO",$M30)&gt;0</formula>
    </cfRule>
    <cfRule type="expression" priority="171" dxfId="58">
      <formula>SEARCH("EMESSO",$M30)&gt;0</formula>
    </cfRule>
    <cfRule type="expression" priority="172" dxfId="57">
      <formula>SEARCH("RICHIESTO",$M30)&gt;0</formula>
    </cfRule>
    <cfRule type="expression" priority="173" dxfId="56">
      <formula>SEARCH("DA CHIUDERE",$M30)&gt;0</formula>
    </cfRule>
    <cfRule type="expression" priority="174" dxfId="55">
      <formula>SEARCH("INTERROTTO",$M30)&gt;0</formula>
    </cfRule>
  </conditionalFormatting>
  <conditionalFormatting sqref="E29:G29 M29:S29">
    <cfRule type="expression" priority="163" dxfId="60">
      <formula>SEARCH("IN CORSO",$M29)&gt;0</formula>
    </cfRule>
    <cfRule type="expression" priority="164" dxfId="59">
      <formula>SEARCH("CHIUSO",$M29)&gt;0</formula>
    </cfRule>
    <cfRule type="expression" priority="165" dxfId="58">
      <formula>SEARCH("EMESSO",$M29)&gt;0</formula>
    </cfRule>
    <cfRule type="expression" priority="166" dxfId="57">
      <formula>SEARCH("RICHIESTO",$M29)&gt;0</formula>
    </cfRule>
    <cfRule type="expression" priority="167" dxfId="56">
      <formula>SEARCH("DA CHIUDERE",$M29)&gt;0</formula>
    </cfRule>
    <cfRule type="expression" priority="168" dxfId="55">
      <formula>SEARCH("INTERROTTO",$M29)&gt;0</formula>
    </cfRule>
  </conditionalFormatting>
  <conditionalFormatting sqref="E28:G28 M28:S28">
    <cfRule type="expression" priority="157" dxfId="60">
      <formula>SEARCH("IN CORSO",$M28)&gt;0</formula>
    </cfRule>
    <cfRule type="expression" priority="158" dxfId="59">
      <formula>SEARCH("CHIUSO",$M28)&gt;0</formula>
    </cfRule>
    <cfRule type="expression" priority="159" dxfId="58">
      <formula>SEARCH("EMESSO",$M28)&gt;0</formula>
    </cfRule>
    <cfRule type="expression" priority="160" dxfId="57">
      <formula>SEARCH("RICHIESTO",$M28)&gt;0</formula>
    </cfRule>
    <cfRule type="expression" priority="161" dxfId="56">
      <formula>SEARCH("DA CHIUDERE",$M28)&gt;0</formula>
    </cfRule>
    <cfRule type="expression" priority="162" dxfId="55">
      <formula>SEARCH("INTERROTTO",$M28)&gt;0</formula>
    </cfRule>
  </conditionalFormatting>
  <conditionalFormatting sqref="E27:G27 M27:S27">
    <cfRule type="expression" priority="151" dxfId="60">
      <formula>SEARCH("IN CORSO",$M27)&gt;0</formula>
    </cfRule>
    <cfRule type="expression" priority="152" dxfId="59">
      <formula>SEARCH("CHIUSO",$M27)&gt;0</formula>
    </cfRule>
    <cfRule type="expression" priority="153" dxfId="58">
      <formula>SEARCH("EMESSO",$M27)&gt;0</formula>
    </cfRule>
    <cfRule type="expression" priority="154" dxfId="57">
      <formula>SEARCH("RICHIESTO",$M27)&gt;0</formula>
    </cfRule>
    <cfRule type="expression" priority="155" dxfId="56">
      <formula>SEARCH("DA CHIUDERE",$M27)&gt;0</formula>
    </cfRule>
    <cfRule type="expression" priority="156" dxfId="55">
      <formula>SEARCH("INTERROTTO",$M27)&gt;0</formula>
    </cfRule>
  </conditionalFormatting>
  <conditionalFormatting sqref="E26:G26 M26:S26">
    <cfRule type="expression" priority="145" dxfId="60">
      <formula>SEARCH("IN CORSO",$M26)&gt;0</formula>
    </cfRule>
    <cfRule type="expression" priority="146" dxfId="59">
      <formula>SEARCH("CHIUSO",$M26)&gt;0</formula>
    </cfRule>
    <cfRule type="expression" priority="147" dxfId="58">
      <formula>SEARCH("EMESSO",$M26)&gt;0</formula>
    </cfRule>
    <cfRule type="expression" priority="148" dxfId="57">
      <formula>SEARCH("RICHIESTO",$M26)&gt;0</formula>
    </cfRule>
    <cfRule type="expression" priority="149" dxfId="56">
      <formula>SEARCH("DA CHIUDERE",$M26)&gt;0</formula>
    </cfRule>
    <cfRule type="expression" priority="150" dxfId="55">
      <formula>SEARCH("INTERROTTO",$M26)&gt;0</formula>
    </cfRule>
  </conditionalFormatting>
  <conditionalFormatting sqref="E25:G25 M25:S25">
    <cfRule type="expression" priority="139" dxfId="60">
      <formula>SEARCH("IN CORSO",$M25)&gt;0</formula>
    </cfRule>
    <cfRule type="expression" priority="140" dxfId="59">
      <formula>SEARCH("CHIUSO",$M25)&gt;0</formula>
    </cfRule>
    <cfRule type="expression" priority="141" dxfId="58">
      <formula>SEARCH("EMESSO",$M25)&gt;0</formula>
    </cfRule>
    <cfRule type="expression" priority="142" dxfId="57">
      <formula>SEARCH("RICHIESTO",$M25)&gt;0</formula>
    </cfRule>
    <cfRule type="expression" priority="143" dxfId="56">
      <formula>SEARCH("DA CHIUDERE",$M25)&gt;0</formula>
    </cfRule>
    <cfRule type="expression" priority="144" dxfId="55">
      <formula>SEARCH("INTERROTTO",$M25)&gt;0</formula>
    </cfRule>
  </conditionalFormatting>
  <conditionalFormatting sqref="E24:G24 M24:S24">
    <cfRule type="expression" priority="133" dxfId="60">
      <formula>SEARCH("IN CORSO",$M24)&gt;0</formula>
    </cfRule>
    <cfRule type="expression" priority="134" dxfId="59">
      <formula>SEARCH("CHIUSO",$M24)&gt;0</formula>
    </cfRule>
    <cfRule type="expression" priority="135" dxfId="58">
      <formula>SEARCH("EMESSO",$M24)&gt;0</formula>
    </cfRule>
    <cfRule type="expression" priority="136" dxfId="57">
      <formula>SEARCH("RICHIESTO",$M24)&gt;0</formula>
    </cfRule>
    <cfRule type="expression" priority="137" dxfId="56">
      <formula>SEARCH("DA CHIUDERE",$M24)&gt;0</formula>
    </cfRule>
    <cfRule type="expression" priority="138" dxfId="55">
      <formula>SEARCH("INTERROTTO",$M24)&gt;0</formula>
    </cfRule>
  </conditionalFormatting>
  <conditionalFormatting sqref="E23:G23 M23:S23">
    <cfRule type="expression" priority="127" dxfId="60">
      <formula>SEARCH("IN CORSO",$M23)&gt;0</formula>
    </cfRule>
    <cfRule type="expression" priority="128" dxfId="59">
      <formula>SEARCH("CHIUSO",$M23)&gt;0</formula>
    </cfRule>
    <cfRule type="expression" priority="129" dxfId="58">
      <formula>SEARCH("EMESSO",$M23)&gt;0</formula>
    </cfRule>
    <cfRule type="expression" priority="130" dxfId="57">
      <formula>SEARCH("RICHIESTO",$M23)&gt;0</formula>
    </cfRule>
    <cfRule type="expression" priority="131" dxfId="56">
      <formula>SEARCH("DA CHIUDERE",$M23)&gt;0</formula>
    </cfRule>
    <cfRule type="expression" priority="132" dxfId="55">
      <formula>SEARCH("INTERROTTO",$M23)&gt;0</formula>
    </cfRule>
  </conditionalFormatting>
  <conditionalFormatting sqref="E22:G22 M22:S22">
    <cfRule type="expression" priority="121" dxfId="60">
      <formula>SEARCH("IN CORSO",$M22)&gt;0</formula>
    </cfRule>
    <cfRule type="expression" priority="122" dxfId="59">
      <formula>SEARCH("CHIUSO",$M22)&gt;0</formula>
    </cfRule>
    <cfRule type="expression" priority="123" dxfId="58">
      <formula>SEARCH("EMESSO",$M22)&gt;0</formula>
    </cfRule>
    <cfRule type="expression" priority="124" dxfId="57">
      <formula>SEARCH("RICHIESTO",$M22)&gt;0</formula>
    </cfRule>
    <cfRule type="expression" priority="125" dxfId="56">
      <formula>SEARCH("DA CHIUDERE",$M22)&gt;0</formula>
    </cfRule>
    <cfRule type="expression" priority="126" dxfId="55">
      <formula>SEARCH("INTERROTTO",$M22)&gt;0</formula>
    </cfRule>
  </conditionalFormatting>
  <conditionalFormatting sqref="E21:G21 M21:S21">
    <cfRule type="expression" priority="115" dxfId="60">
      <formula>SEARCH("IN CORSO",$M21)&gt;0</formula>
    </cfRule>
    <cfRule type="expression" priority="116" dxfId="59">
      <formula>SEARCH("CHIUSO",$M21)&gt;0</formula>
    </cfRule>
    <cfRule type="expression" priority="117" dxfId="58">
      <formula>SEARCH("EMESSO",$M21)&gt;0</formula>
    </cfRule>
    <cfRule type="expression" priority="118" dxfId="57">
      <formula>SEARCH("RICHIESTO",$M21)&gt;0</formula>
    </cfRule>
    <cfRule type="expression" priority="119" dxfId="56">
      <formula>SEARCH("DA CHIUDERE",$M21)&gt;0</formula>
    </cfRule>
    <cfRule type="expression" priority="120" dxfId="55">
      <formula>SEARCH("INTERROTTO",$M21)&gt;0</formula>
    </cfRule>
  </conditionalFormatting>
  <conditionalFormatting sqref="E20:G20 M20:S20">
    <cfRule type="expression" priority="109" dxfId="60">
      <formula>SEARCH("IN CORSO",$M20)&gt;0</formula>
    </cfRule>
    <cfRule type="expression" priority="110" dxfId="59">
      <formula>SEARCH("CHIUSO",$M20)&gt;0</formula>
    </cfRule>
    <cfRule type="expression" priority="111" dxfId="58">
      <formula>SEARCH("EMESSO",$M20)&gt;0</formula>
    </cfRule>
    <cfRule type="expression" priority="112" dxfId="57">
      <formula>SEARCH("RICHIESTO",$M20)&gt;0</formula>
    </cfRule>
    <cfRule type="expression" priority="113" dxfId="56">
      <formula>SEARCH("DA CHIUDERE",$M20)&gt;0</formula>
    </cfRule>
    <cfRule type="expression" priority="114" dxfId="55">
      <formula>SEARCH("INTERROTTO",$M20)&gt;0</formula>
    </cfRule>
  </conditionalFormatting>
  <conditionalFormatting sqref="E19:G19 M19:S19">
    <cfRule type="expression" priority="103" dxfId="60">
      <formula>SEARCH("IN CORSO",$M19)&gt;0</formula>
    </cfRule>
    <cfRule type="expression" priority="104" dxfId="59">
      <formula>SEARCH("CHIUSO",$M19)&gt;0</formula>
    </cfRule>
    <cfRule type="expression" priority="105" dxfId="58">
      <formula>SEARCH("EMESSO",$M19)&gt;0</formula>
    </cfRule>
    <cfRule type="expression" priority="106" dxfId="57">
      <formula>SEARCH("RICHIESTO",$M19)&gt;0</formula>
    </cfRule>
    <cfRule type="expression" priority="107" dxfId="56">
      <formula>SEARCH("DA CHIUDERE",$M19)&gt;0</formula>
    </cfRule>
    <cfRule type="expression" priority="108" dxfId="55">
      <formula>SEARCH("INTERROTTO",$M19)&gt;0</formula>
    </cfRule>
  </conditionalFormatting>
  <conditionalFormatting sqref="E18:G18 M18:S18">
    <cfRule type="expression" priority="97" dxfId="60">
      <formula>SEARCH("IN CORSO",$M18)&gt;0</formula>
    </cfRule>
    <cfRule type="expression" priority="98" dxfId="59">
      <formula>SEARCH("CHIUSO",$M18)&gt;0</formula>
    </cfRule>
    <cfRule type="expression" priority="99" dxfId="58">
      <formula>SEARCH("EMESSO",$M18)&gt;0</formula>
    </cfRule>
    <cfRule type="expression" priority="100" dxfId="57">
      <formula>SEARCH("RICHIESTO",$M18)&gt;0</formula>
    </cfRule>
    <cfRule type="expression" priority="101" dxfId="56">
      <formula>SEARCH("DA CHIUDERE",$M18)&gt;0</formula>
    </cfRule>
    <cfRule type="expression" priority="102" dxfId="55">
      <formula>SEARCH("INTERROTTO",$M18)&gt;0</formula>
    </cfRule>
  </conditionalFormatting>
  <conditionalFormatting sqref="E17:G17 M17:S17">
    <cfRule type="expression" priority="91" dxfId="60">
      <formula>SEARCH("IN CORSO",$M17)&gt;0</formula>
    </cfRule>
    <cfRule type="expression" priority="92" dxfId="59">
      <formula>SEARCH("CHIUSO",$M17)&gt;0</formula>
    </cfRule>
    <cfRule type="expression" priority="93" dxfId="58">
      <formula>SEARCH("EMESSO",$M17)&gt;0</formula>
    </cfRule>
    <cfRule type="expression" priority="94" dxfId="57">
      <formula>SEARCH("RICHIESTO",$M17)&gt;0</formula>
    </cfRule>
    <cfRule type="expression" priority="95" dxfId="56">
      <formula>SEARCH("DA CHIUDERE",$M17)&gt;0</formula>
    </cfRule>
    <cfRule type="expression" priority="96" dxfId="55">
      <formula>SEARCH("INTERROTTO",$M17)&gt;0</formula>
    </cfRule>
  </conditionalFormatting>
  <conditionalFormatting sqref="E16:G16 M16:S16">
    <cfRule type="expression" priority="85" dxfId="60">
      <formula>SEARCH("IN CORSO",$M16)&gt;0</formula>
    </cfRule>
    <cfRule type="expression" priority="86" dxfId="59">
      <formula>SEARCH("CHIUSO",$M16)&gt;0</formula>
    </cfRule>
    <cfRule type="expression" priority="87" dxfId="58">
      <formula>SEARCH("EMESSO",$M16)&gt;0</formula>
    </cfRule>
    <cfRule type="expression" priority="88" dxfId="57">
      <formula>SEARCH("RICHIESTO",$M16)&gt;0</formula>
    </cfRule>
    <cfRule type="expression" priority="89" dxfId="56">
      <formula>SEARCH("DA CHIUDERE",$M16)&gt;0</formula>
    </cfRule>
    <cfRule type="expression" priority="90" dxfId="55">
      <formula>SEARCH("INTERROTTO",$M16)&gt;0</formula>
    </cfRule>
  </conditionalFormatting>
  <conditionalFormatting sqref="R177:S178">
    <cfRule type="expression" priority="79" dxfId="60">
      <formula>SEARCH("IN CORSO",$M177)&gt;0</formula>
    </cfRule>
    <cfRule type="expression" priority="80" dxfId="59">
      <formula>SEARCH("CHIUSO",$M177)&gt;0</formula>
    </cfRule>
    <cfRule type="expression" priority="81" dxfId="58">
      <formula>SEARCH("EMESSO",$M177)&gt;0</formula>
    </cfRule>
    <cfRule type="expression" priority="82" dxfId="57">
      <formula>SEARCH("RICHIESTO",$M177)&gt;0</formula>
    </cfRule>
    <cfRule type="expression" priority="83" dxfId="56">
      <formula>SEARCH("DA CHIUDERE",$M177)&gt;0</formula>
    </cfRule>
    <cfRule type="expression" priority="84" dxfId="55">
      <formula>SEARCH("INTERROTTO",$M177)&gt;0</formula>
    </cfRule>
  </conditionalFormatting>
  <conditionalFormatting sqref="M178">
    <cfRule type="expression" priority="73" dxfId="60">
      <formula>SEARCH("IN CORSO",$M178)&gt;0</formula>
    </cfRule>
    <cfRule type="expression" priority="74" dxfId="59">
      <formula>SEARCH("CHIUSO",$M178)&gt;0</formula>
    </cfRule>
    <cfRule type="expression" priority="75" dxfId="58">
      <formula>SEARCH("EMESSO",$M178)&gt;0</formula>
    </cfRule>
    <cfRule type="expression" priority="76" dxfId="57">
      <formula>SEARCH("RICHIESTO",$M178)&gt;0</formula>
    </cfRule>
    <cfRule type="expression" priority="77" dxfId="56">
      <formula>SEARCH("DA CHIUDERE",$M178)&gt;0</formula>
    </cfRule>
    <cfRule type="expression" priority="78" dxfId="55">
      <formula>SEARCH("INTERROTTO",$M178)&gt;0</formula>
    </cfRule>
  </conditionalFormatting>
  <conditionalFormatting sqref="E15:G15 M15:S15">
    <cfRule type="expression" priority="67" dxfId="60">
      <formula>SEARCH("IN CORSO",$M15)&gt;0</formula>
    </cfRule>
    <cfRule type="expression" priority="68" dxfId="59">
      <formula>SEARCH("CHIUSO",$M15)&gt;0</formula>
    </cfRule>
    <cfRule type="expression" priority="69" dxfId="58">
      <formula>SEARCH("EMESSO",$M15)&gt;0</formula>
    </cfRule>
    <cfRule type="expression" priority="70" dxfId="57">
      <formula>SEARCH("RICHIESTO",$M15)&gt;0</formula>
    </cfRule>
    <cfRule type="expression" priority="71" dxfId="56">
      <formula>SEARCH("DA CHIUDERE",$M15)&gt;0</formula>
    </cfRule>
    <cfRule type="expression" priority="72" dxfId="55">
      <formula>SEARCH("INTERROTTO",$M15)&gt;0</formula>
    </cfRule>
  </conditionalFormatting>
  <conditionalFormatting sqref="E14:G14 M14:S14">
    <cfRule type="expression" priority="61" dxfId="60">
      <formula>SEARCH("IN CORSO",$M14)&gt;0</formula>
    </cfRule>
    <cfRule type="expression" priority="62" dxfId="59">
      <formula>SEARCH("CHIUSO",$M14)&gt;0</formula>
    </cfRule>
    <cfRule type="expression" priority="63" dxfId="58">
      <formula>SEARCH("EMESSO",$M14)&gt;0</formula>
    </cfRule>
    <cfRule type="expression" priority="64" dxfId="57">
      <formula>SEARCH("RICHIESTO",$M14)&gt;0</formula>
    </cfRule>
    <cfRule type="expression" priority="65" dxfId="56">
      <formula>SEARCH("DA CHIUDERE",$M14)&gt;0</formula>
    </cfRule>
    <cfRule type="expression" priority="66" dxfId="55">
      <formula>SEARCH("INTERROTTO",$M14)&gt;0</formula>
    </cfRule>
  </conditionalFormatting>
  <conditionalFormatting sqref="E13:G13 M13:S13">
    <cfRule type="expression" priority="55" dxfId="60">
      <formula>SEARCH("IN CORSO",$M13)&gt;0</formula>
    </cfRule>
    <cfRule type="expression" priority="56" dxfId="59">
      <formula>SEARCH("CHIUSO",$M13)&gt;0</formula>
    </cfRule>
    <cfRule type="expression" priority="57" dxfId="58">
      <formula>SEARCH("EMESSO",$M13)&gt;0</formula>
    </cfRule>
    <cfRule type="expression" priority="58" dxfId="57">
      <formula>SEARCH("RICHIESTO",$M13)&gt;0</formula>
    </cfRule>
    <cfRule type="expression" priority="59" dxfId="56">
      <formula>SEARCH("DA CHIUDERE",$M13)&gt;0</formula>
    </cfRule>
    <cfRule type="expression" priority="60" dxfId="55">
      <formula>SEARCH("INTERROTTO",$M13)&gt;0</formula>
    </cfRule>
  </conditionalFormatting>
  <conditionalFormatting sqref="E12:G12 M12:S12">
    <cfRule type="expression" priority="49" dxfId="60">
      <formula>SEARCH("IN CORSO",$M12)&gt;0</formula>
    </cfRule>
    <cfRule type="expression" priority="50" dxfId="59">
      <formula>SEARCH("CHIUSO",$M12)&gt;0</formula>
    </cfRule>
    <cfRule type="expression" priority="51" dxfId="58">
      <formula>SEARCH("EMESSO",$M12)&gt;0</formula>
    </cfRule>
    <cfRule type="expression" priority="52" dxfId="57">
      <formula>SEARCH("RICHIESTO",$M12)&gt;0</formula>
    </cfRule>
    <cfRule type="expression" priority="53" dxfId="56">
      <formula>SEARCH("DA CHIUDERE",$M12)&gt;0</formula>
    </cfRule>
    <cfRule type="expression" priority="54" dxfId="55">
      <formula>SEARCH("INTERROTTO",$M12)&gt;0</formula>
    </cfRule>
  </conditionalFormatting>
  <conditionalFormatting sqref="E11:G11 M11:S11">
    <cfRule type="expression" priority="43" dxfId="60">
      <formula>SEARCH("IN CORSO",$M11)&gt;0</formula>
    </cfRule>
    <cfRule type="expression" priority="44" dxfId="59">
      <formula>SEARCH("CHIUSO",$M11)&gt;0</formula>
    </cfRule>
    <cfRule type="expression" priority="45" dxfId="58">
      <formula>SEARCH("EMESSO",$M11)&gt;0</formula>
    </cfRule>
    <cfRule type="expression" priority="46" dxfId="57">
      <formula>SEARCH("RICHIESTO",$M11)&gt;0</formula>
    </cfRule>
    <cfRule type="expression" priority="47" dxfId="56">
      <formula>SEARCH("DA CHIUDERE",$M11)&gt;0</formula>
    </cfRule>
    <cfRule type="expression" priority="48" dxfId="55">
      <formula>SEARCH("INTERROTTO",$M11)&gt;0</formula>
    </cfRule>
  </conditionalFormatting>
  <conditionalFormatting sqref="E10:G10 M10:S10">
    <cfRule type="expression" priority="37" dxfId="60">
      <formula>SEARCH("IN CORSO",$M10)&gt;0</formula>
    </cfRule>
    <cfRule type="expression" priority="38" dxfId="59">
      <formula>SEARCH("CHIUSO",$M10)&gt;0</formula>
    </cfRule>
    <cfRule type="expression" priority="39" dxfId="58">
      <formula>SEARCH("EMESSO",$M10)&gt;0</formula>
    </cfRule>
    <cfRule type="expression" priority="40" dxfId="57">
      <formula>SEARCH("RICHIESTO",$M10)&gt;0</formula>
    </cfRule>
    <cfRule type="expression" priority="41" dxfId="56">
      <formula>SEARCH("DA CHIUDERE",$M10)&gt;0</formula>
    </cfRule>
    <cfRule type="expression" priority="42" dxfId="55">
      <formula>SEARCH("INTERROTTO",$M10)&gt;0</formula>
    </cfRule>
  </conditionalFormatting>
  <conditionalFormatting sqref="E9:G9 M9:S9">
    <cfRule type="expression" priority="31" dxfId="60">
      <formula>SEARCH("IN CORSO",$M9)&gt;0</formula>
    </cfRule>
    <cfRule type="expression" priority="32" dxfId="59">
      <formula>SEARCH("CHIUSO",$M9)&gt;0</formula>
    </cfRule>
    <cfRule type="expression" priority="33" dxfId="58">
      <formula>SEARCH("EMESSO",$M9)&gt;0</formula>
    </cfRule>
    <cfRule type="expression" priority="34" dxfId="57">
      <formula>SEARCH("RICHIESTO",$M9)&gt;0</formula>
    </cfRule>
    <cfRule type="expression" priority="35" dxfId="56">
      <formula>SEARCH("DA CHIUDERE",$M9)&gt;0</formula>
    </cfRule>
    <cfRule type="expression" priority="36" dxfId="55">
      <formula>SEARCH("INTERROTTO",$M9)&gt;0</formula>
    </cfRule>
  </conditionalFormatting>
  <conditionalFormatting sqref="E8:G8 M8:S8">
    <cfRule type="expression" priority="25" dxfId="60">
      <formula>SEARCH("IN CORSO",$M8)&gt;0</formula>
    </cfRule>
    <cfRule type="expression" priority="26" dxfId="59">
      <formula>SEARCH("CHIUSO",$M8)&gt;0</formula>
    </cfRule>
    <cfRule type="expression" priority="27" dxfId="58">
      <formula>SEARCH("EMESSO",$M8)&gt;0</formula>
    </cfRule>
    <cfRule type="expression" priority="28" dxfId="57">
      <formula>SEARCH("RICHIESTO",$M8)&gt;0</formula>
    </cfRule>
    <cfRule type="expression" priority="29" dxfId="56">
      <formula>SEARCH("DA CHIUDERE",$M8)&gt;0</formula>
    </cfRule>
    <cfRule type="expression" priority="30" dxfId="55">
      <formula>SEARCH("INTERROTTO",$M8)&gt;0</formula>
    </cfRule>
  </conditionalFormatting>
  <conditionalFormatting sqref="E7:G7 M7:S7">
    <cfRule type="expression" priority="19" dxfId="60">
      <formula>SEARCH("IN CORSO",$M7)&gt;0</formula>
    </cfRule>
    <cfRule type="expression" priority="20" dxfId="59">
      <formula>SEARCH("CHIUSO",$M7)&gt;0</formula>
    </cfRule>
    <cfRule type="expression" priority="21" dxfId="58">
      <formula>SEARCH("EMESSO",$M7)&gt;0</formula>
    </cfRule>
    <cfRule type="expression" priority="22" dxfId="57">
      <formula>SEARCH("RICHIESTO",$M7)&gt;0</formula>
    </cfRule>
    <cfRule type="expression" priority="23" dxfId="56">
      <formula>SEARCH("DA CHIUDERE",$M7)&gt;0</formula>
    </cfRule>
    <cfRule type="expression" priority="24" dxfId="55">
      <formula>SEARCH("INTERROTTO",$M7)&gt;0</formula>
    </cfRule>
  </conditionalFormatting>
  <conditionalFormatting sqref="E6:G6 M6:S6">
    <cfRule type="expression" priority="13" dxfId="60">
      <formula>SEARCH("IN CORSO",$M6)&gt;0</formula>
    </cfRule>
    <cfRule type="expression" priority="14" dxfId="59">
      <formula>SEARCH("CHIUSO",$M6)&gt;0</formula>
    </cfRule>
    <cfRule type="expression" priority="15" dxfId="58">
      <formula>SEARCH("EMESSO",$M6)&gt;0</formula>
    </cfRule>
    <cfRule type="expression" priority="16" dxfId="57">
      <formula>SEARCH("RICHIESTO",$M6)&gt;0</formula>
    </cfRule>
    <cfRule type="expression" priority="17" dxfId="56">
      <formula>SEARCH("DA CHIUDERE",$M6)&gt;0</formula>
    </cfRule>
    <cfRule type="expression" priority="18" dxfId="55">
      <formula>SEARCH("INTERROTTO",$M6)&gt;0</formula>
    </cfRule>
  </conditionalFormatting>
  <conditionalFormatting sqref="E5:G5 M5:S5">
    <cfRule type="expression" priority="7" dxfId="60">
      <formula>SEARCH("IN CORSO",$M5)&gt;0</formula>
    </cfRule>
    <cfRule type="expression" priority="8" dxfId="59">
      <formula>SEARCH("CHIUSO",$M5)&gt;0</formula>
    </cfRule>
    <cfRule type="expression" priority="9" dxfId="58">
      <formula>SEARCH("EMESSO",$M5)&gt;0</formula>
    </cfRule>
    <cfRule type="expression" priority="10" dxfId="57">
      <formula>SEARCH("RICHIESTO",$M5)&gt;0</formula>
    </cfRule>
    <cfRule type="expression" priority="11" dxfId="56">
      <formula>SEARCH("DA CHIUDERE",$M5)&gt;0</formula>
    </cfRule>
    <cfRule type="expression" priority="12" dxfId="55">
      <formula>SEARCH("INTERROTTO",$M5)&gt;0</formula>
    </cfRule>
  </conditionalFormatting>
  <conditionalFormatting sqref="E4:G4 M4:S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3">
    <dataValidation sqref="N166:P167 N169:P178" showDropDown="0" showInputMessage="1" showErrorMessage="1" allowBlank="1" type="list">
      <formula1>"DA PROCESSARE,DA APRIRE,APERTO,TERMINATA,SOSPESO,PERMESSO CHIUSO,"</formula1>
    </dataValidation>
    <dataValidation sqref="M4:M178" showDropDown="0" showInputMessage="1" showErrorMessage="1" allowBlank="1" type="list">
      <formula1>"RICHIESTO,EMESSO,IN CORSO,INTERROTTO,DA CHIUDERE,SCADUTO,CHIUSO,"</formula1>
    </dataValidation>
    <dataValidation sqref="N67:P67" showDropDown="0" showInputMessage="1" showErrorMessage="1" allowBlank="1" type="list">
      <formula1>"DA PROCESSARE,DA APRIRE,IN CORSO,TERMINATA,SOSPESO,PERMESSO CHIUSO,"</formula1>
    </dataValidation>
  </dataValidations>
  <pageMargins left="0.7" right="0.7" top="0.75" bottom="0.75" header="0.3" footer="0.3"/>
  <pageSetup orientation="landscape" paperSize="9"/>
  <drawing xmlns:r="http://schemas.openxmlformats.org/officeDocument/2006/relationships" r:id="rId1"/>
  <legacyDrawing xmlns:r="http://schemas.openxmlformats.org/officeDocument/2006/relationships" r:id="anysvml"/>
  <tableParts count="1">
    <tablePart xmlns:r="http://schemas.openxmlformats.org/officeDocument/2006/relationships" r:id="rId2"/>
  </tableParts>
</worksheet>
</file>

<file path=xl/worksheets/sheet3.xml><?xml version="1.0" encoding="utf-8"?>
<worksheet xmlns="http://schemas.openxmlformats.org/spreadsheetml/2006/main">
  <sheetPr codeName="Foglio12">
    <tabColor theme="3"/>
    <outlinePr summaryBelow="1" summaryRight="1"/>
    <pageSetUpPr fitToPage="1"/>
  </sheetPr>
  <dimension ref="A1:V443"/>
  <sheetViews>
    <sheetView tabSelected="1" zoomScale="90" zoomScaleNormal="90" workbookViewId="0">
      <selection activeCell="G1" sqref="G1"/>
    </sheetView>
  </sheetViews>
  <sheetFormatPr baseColWidth="8" defaultColWidth="8.75" defaultRowHeight="15"/>
  <cols>
    <col width="3.125" customWidth="1" style="179" min="1" max="1"/>
    <col width="3.125" customWidth="1" style="8" min="2" max="3"/>
    <col width="6.62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6"/>
    <col width="55.625" customWidth="1" style="10" min="17" max="17"/>
    <col width="11" bestFit="1" customWidth="1" style="10" min="18" max="18"/>
    <col width="13.125" customWidth="1" style="10" min="19" max="19"/>
    <col width="3.125" customWidth="1" style="10" min="20" max="20"/>
    <col width="8.75" customWidth="1" style="10" min="21" max="21"/>
    <col width="8.75" customWidth="1" style="10" min="22" max="16384"/>
  </cols>
  <sheetData>
    <row r="1" ht="128.1" customHeight="1" s="122">
      <c r="A1" s="188" t="n"/>
      <c r="G1" s="13" t="n"/>
      <c r="L1" s="38" t="n"/>
      <c r="M1" s="62" t="n"/>
      <c r="Q1" s="68" t="inlineStr">
        <is>
          <t>PROGRAMMAZIONE ATTIVITA' CORRENTE</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48" t="n"/>
      <c r="N2" s="189" t="inlineStr">
        <is>
          <t>CAUSA INTERRUZIONE</t>
        </is>
      </c>
      <c r="Q2" s="40" t="n"/>
    </row>
    <row r="3" ht="38.25" customFormat="1" customHeight="1" s="45">
      <c r="A3" s="26" t="inlineStr">
        <is>
          <t>FERM</t>
        </is>
      </c>
      <c r="B3" s="34" t="inlineStr">
        <is>
          <t>MANUT</t>
        </is>
      </c>
      <c r="C3" s="33" t="inlineStr">
        <is>
          <t>PS</t>
        </is>
      </c>
      <c r="D3" s="25" t="inlineStr">
        <is>
          <t xml:space="preserve">AREA </t>
        </is>
      </c>
      <c r="E3" s="25" t="inlineStr">
        <is>
          <t>PdL</t>
        </is>
      </c>
      <c r="F3" s="25"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26" t="inlineStr">
        <is>
          <t>STATO
ATTIVITA'</t>
        </is>
      </c>
      <c r="R3" s="27" t="inlineStr">
        <is>
          <t>DATA
CONTROLLO</t>
        </is>
      </c>
      <c r="S3" s="26" t="inlineStr">
        <is>
          <t>PERSONALE
IMPIEGATO</t>
        </is>
      </c>
      <c r="T3" s="28" t="inlineStr">
        <is>
          <t>PO</t>
        </is>
      </c>
      <c r="U3" s="90" t="inlineStr">
        <is>
          <t>AVVISO</t>
        </is>
      </c>
      <c r="V3" t="inlineStr">
        <is>
          <t>DataUltimaModifica</t>
        </is>
      </c>
    </row>
    <row r="4" ht="30" customFormat="1" customHeight="1" s="45">
      <c r="A4" s="112" t="n"/>
      <c r="B4" s="112" t="n"/>
      <c r="C4" s="112">
        <f>IF(OR(Tabella3[[#This Row],[LUN]]="X",Tabella3[[#This Row],[MAR]]="X",Tabella3[[#This Row],[MER]]="X",Tabella3[[#This Row],[GIO]]="X",Tabella3[[#This Row],[VEN]]="X",),"X","")</f>
        <v/>
      </c>
      <c r="D4" s="113" t="inlineStr">
        <is>
          <t>AREA 3</t>
        </is>
      </c>
      <c r="E4" s="109" t="inlineStr">
        <is>
          <t>551435/C</t>
        </is>
      </c>
      <c r="F4" s="109" t="n">
        <v>800</v>
      </c>
      <c r="G4" s="109" t="inlineStr">
        <is>
          <t xml:space="preserve">10230468   1200/3:  PER RIPRISTINO funzionale LCV401 </t>
        </is>
      </c>
      <c r="H4" s="111" t="n"/>
      <c r="I4" s="111" t="n"/>
      <c r="J4" s="111" t="n"/>
      <c r="K4" s="111" t="n"/>
      <c r="L4" s="111" t="n"/>
      <c r="M4" s="109" t="inlineStr">
        <is>
          <t>DA CHIUDERE</t>
        </is>
      </c>
      <c r="N4" s="109" t="n"/>
      <c r="O4" s="109" t="n"/>
      <c r="P4" s="109" t="n"/>
      <c r="Q4" s="109" t="inlineStr">
        <is>
          <t>SOSTITUITO FILTRO RIDUTTORE E IP-CONVERTER PERCHE' GUASTI. VALVOLA ALLINEATA ED INSERITA IN REGOLAZIONE CON ESE.</t>
        </is>
      </c>
      <c r="R4" s="110" t="n">
        <v>45917</v>
      </c>
      <c r="S4" s="109" t="inlineStr">
        <is>
          <t>MILLO</t>
        </is>
      </c>
      <c r="T4" s="114">
        <f>IF(AND('Inserimento dati'!$B$3=$H$2, Tabella3[[#This Row],[LUN]]="X"), "X",IF(AND('Inserimento dati'!$B$3=$I$2, Tabella3[[#This Row],[MAR]]="X"), "X", IF(AND('Inserimento dati'!$B$3=$J$2, Tabella3[[#This Row],[MER]]="X"), "X",IF(AND('Inserimento dati'!$B$3=$K$2, Tabella3[[#This Row],[GIO]]="X"), "X", IF(AND('Inserimento dati'!$B$3=$L$2, Tabella3[[#This Row],[VEN]]="X"), "X","")))))</f>
        <v/>
      </c>
      <c r="U4" s="90" t="n"/>
      <c r="V4" t="inlineStr">
        <is>
          <t>2025-09-30 20:00:00</t>
        </is>
      </c>
    </row>
    <row r="5" ht="23.25" customFormat="1" customHeight="1" s="45">
      <c r="A5" s="112" t="n"/>
      <c r="B5" s="112" t="n"/>
      <c r="C5" s="112">
        <f>IF(OR(Tabella3[[#This Row],[LUN]]="X",Tabella3[[#This Row],[MAR]]="X",Tabella3[[#This Row],[MER]]="X",Tabella3[[#This Row],[GIO]]="X",Tabella3[[#This Row],[VEN]]="X",),"X","")</f>
        <v/>
      </c>
      <c r="D5" s="113" t="inlineStr">
        <is>
          <t>AREA 3</t>
        </is>
      </c>
      <c r="E5" s="109" t="inlineStr">
        <is>
          <t>546730/C</t>
        </is>
      </c>
      <c r="F5" s="109" t="n">
        <v>1800</v>
      </c>
      <c r="G5" s="109" t="inlineStr">
        <is>
          <t>1800-P102C-ASSISTENZA STRUMENTALE A MACCHINE RIMONTAGGIO STRUMENTAZIONE</t>
        </is>
      </c>
      <c r="H5" s="111" t="n"/>
      <c r="I5" s="111" t="n"/>
      <c r="J5" s="111" t="n"/>
      <c r="K5" s="111" t="n"/>
      <c r="L5" s="111" t="n"/>
      <c r="M5" s="109" t="inlineStr">
        <is>
          <t>DA CHIUDERE</t>
        </is>
      </c>
      <c r="N5" s="109" t="n"/>
      <c r="O5" s="109" t="n"/>
      <c r="P5" s="109" t="n"/>
      <c r="Q5" s="109" t="inlineStr">
        <is>
          <t>RIMONTAGGIO SONDE</t>
        </is>
      </c>
      <c r="R5" s="110" t="n">
        <v>45873</v>
      </c>
      <c r="S5" s="109" t="n"/>
      <c r="T5" s="114">
        <f>IF(AND('Inserimento dati'!$B$3=$H$2, Tabella3[[#This Row],[LUN]]="X"), "X",IF(AND('Inserimento dati'!$B$3=$I$2, Tabella3[[#This Row],[MAR]]="X"), "X", IF(AND('Inserimento dati'!$B$3=$J$2, Tabella3[[#This Row],[MER]]="X"), "X",IF(AND('Inserimento dati'!$B$3=$K$2, Tabella3[[#This Row],[GIO]]="X"), "X", IF(AND('Inserimento dati'!$B$3=$L$2, Tabella3[[#This Row],[VEN]]="X"), "X","")))))</f>
        <v/>
      </c>
      <c r="U5" s="90">
        <f>IFERROR(MID(G5,_xlfn.AGGREGATE(15,6,(ROW(INDIRECT("1:"&amp;LEN(G5)-7)))/(ISNUMBER(--MID(G5,ROW(INDIRECT("1:"&amp;LEN(G5)-7)),8))),1),8),"")</f>
        <v/>
      </c>
      <c r="V5" t="inlineStr">
        <is>
          <t>2025-09-30 20:00:00</t>
        </is>
      </c>
    </row>
    <row r="6" ht="30" customFormat="1" customHeight="1" s="45">
      <c r="A6" s="112" t="n"/>
      <c r="B6" s="112" t="n"/>
      <c r="C6" s="112">
        <f>IF(OR(Tabella3[[#This Row],[LUN]]="X",Tabella3[[#This Row],[MAR]]="X",Tabella3[[#This Row],[MER]]="X",Tabella3[[#This Row],[GIO]]="X",Tabella3[[#This Row],[VEN]]="X",),"X","")</f>
        <v/>
      </c>
      <c r="D6" s="113" t="inlineStr">
        <is>
          <t>AREA 3</t>
        </is>
      </c>
      <c r="E6" s="109" t="inlineStr">
        <is>
          <t>547729/C</t>
        </is>
      </c>
      <c r="F6" s="109" t="n">
        <v>1800</v>
      </c>
      <c r="G6" s="109" t="inlineStr">
        <is>
          <t>10227289 P102A RIMONTAGGIO FR IN MANDATA POMPA</t>
        </is>
      </c>
      <c r="H6" s="111" t="n"/>
      <c r="I6" s="111" t="n"/>
      <c r="J6" s="111" t="n"/>
      <c r="K6" s="111" t="n"/>
      <c r="L6" s="111" t="n"/>
      <c r="M6" s="109" t="inlineStr">
        <is>
          <t>DA CHIUDERE</t>
        </is>
      </c>
      <c r="N6" s="109" t="n"/>
      <c r="O6" s="109" t="n"/>
      <c r="P6" s="109" t="n"/>
      <c r="Q6" s="109" t="inlineStr">
        <is>
          <t>RIMONTAGGIO STRUMENTI DOPO RIFACIMENTO PIPING A CURA MECCANICI</t>
        </is>
      </c>
      <c r="R6" s="110" t="n">
        <v>45883</v>
      </c>
      <c r="S6" s="109" t="inlineStr">
        <is>
          <t>LOMBARDO/SERRA</t>
        </is>
      </c>
      <c r="T6" s="114">
        <f>IF(AND('Inserimento dati'!$B$3=$H$2, Tabella3[[#This Row],[LUN]]="X"), "X",IF(AND('Inserimento dati'!$B$3=$I$2, Tabella3[[#This Row],[MAR]]="X"), "X", IF(AND('Inserimento dati'!$B$3=$J$2, Tabella3[[#This Row],[MER]]="X"), "X",IF(AND('Inserimento dati'!$B$3=$K$2, Tabella3[[#This Row],[GIO]]="X"), "X", IF(AND('Inserimento dati'!$B$3=$L$2, Tabella3[[#This Row],[VEN]]="X"), "X","")))))</f>
        <v/>
      </c>
      <c r="U6" s="90">
        <f>IFERROR(MID(G6,_xlfn.AGGREGATE(15,6,(ROW(INDIRECT("1:"&amp;LEN(G6)-7)))/(ISNUMBER(--MID(G6,ROW(INDIRECT("1:"&amp;LEN(G6)-7)),8))),1),8),"")</f>
        <v/>
      </c>
      <c r="V6" t="inlineStr">
        <is>
          <t>2025-09-30 20:00:00</t>
        </is>
      </c>
    </row>
    <row r="7" ht="30" customFormat="1" customHeight="1" s="45">
      <c r="A7" s="112" t="n"/>
      <c r="B7" s="112" t="n"/>
      <c r="C7" s="112">
        <f>IF(OR(Tabella3[[#This Row],[LUN]]="X",Tabella3[[#This Row],[MAR]]="X",Tabella3[[#This Row],[MER]]="X",Tabella3[[#This Row],[GIO]]="X",Tabella3[[#This Row],[VEN]]="X",),"X","")</f>
        <v/>
      </c>
      <c r="D7" s="113" t="inlineStr">
        <is>
          <t>AREA 3</t>
        </is>
      </c>
      <c r="E7" s="109" t="inlineStr">
        <is>
          <t>548050/C</t>
        </is>
      </c>
      <c r="F7" s="109" t="inlineStr">
        <is>
          <t>700A</t>
        </is>
      </c>
      <c r="G7" s="109" t="inlineStr">
        <is>
          <t>10229081  700: SERRAGGIO PRESSATRECCIA PCV323A</t>
        </is>
      </c>
      <c r="H7" s="111" t="n"/>
      <c r="I7" s="111" t="n"/>
      <c r="J7" s="111" t="n"/>
      <c r="K7" s="111" t="n"/>
      <c r="L7" s="111" t="n"/>
      <c r="M7" s="109" t="inlineStr">
        <is>
          <t>DA CHIUDERE</t>
        </is>
      </c>
      <c r="N7" s="109" t="n"/>
      <c r="O7" s="109" t="n"/>
      <c r="P7" s="109" t="n"/>
      <c r="Q7" s="109" t="inlineStr">
        <is>
          <t>SERRATO PRESSATRECCIA, PROVA MOVIMENTAZIONE VALVOLA, OK. LA PERDITA E' STATA ELIMINATA.</t>
        </is>
      </c>
      <c r="R7" s="110" t="n">
        <v>45888</v>
      </c>
      <c r="S7" s="109" t="inlineStr">
        <is>
          <t>MILLO</t>
        </is>
      </c>
      <c r="T7" s="114">
        <f>IF(AND('Inserimento dati'!$B$3=$H$2, Tabella3[[#This Row],[LUN]]="X"), "X",IF(AND('Inserimento dati'!$B$3=$I$2, Tabella3[[#This Row],[MAR]]="X"), "X", IF(AND('Inserimento dati'!$B$3=$J$2, Tabella3[[#This Row],[MER]]="X"), "X",IF(AND('Inserimento dati'!$B$3=$K$2, Tabella3[[#This Row],[GIO]]="X"), "X", IF(AND('Inserimento dati'!$B$3=$L$2, Tabella3[[#This Row],[VEN]]="X"), "X","")))))</f>
        <v/>
      </c>
      <c r="U7" s="90">
        <f>IFERROR(MID(G7,_xlfn.AGGREGATE(15,6,(ROW(INDIRECT("1:"&amp;LEN(G7)-7)))/(ISNUMBER(--MID(G7,ROW(INDIRECT("1:"&amp;LEN(G7)-7)),8))),1),8),"")</f>
        <v/>
      </c>
      <c r="V7" t="inlineStr">
        <is>
          <t>2025-09-30 20:00:00</t>
        </is>
      </c>
    </row>
    <row r="8" ht="30" customFormat="1" customHeight="1" s="45">
      <c r="A8" s="112" t="n"/>
      <c r="B8" s="112" t="n"/>
      <c r="C8" s="112">
        <f>IF(OR(Tabella3[[#This Row],[LUN]]="X",Tabella3[[#This Row],[MAR]]="X",Tabella3[[#This Row],[MER]]="X",Tabella3[[#This Row],[GIO]]="X",Tabella3[[#This Row],[VEN]]="X",),"X","")</f>
        <v/>
      </c>
      <c r="D8" s="113" t="inlineStr">
        <is>
          <t>AREA 3</t>
        </is>
      </c>
      <c r="E8" s="109" t="inlineStr">
        <is>
          <t>547592/C</t>
        </is>
      </c>
      <c r="F8" s="109" t="n">
        <v>1200</v>
      </c>
      <c r="G8" s="109" t="inlineStr">
        <is>
          <t>1200  Z3 F302 1200  Z3 F306 controllo e ripristino</t>
        </is>
      </c>
      <c r="H8" s="111" t="n"/>
      <c r="I8" s="111" t="n"/>
      <c r="J8" s="111" t="n"/>
      <c r="K8" s="111" t="n"/>
      <c r="L8" s="111" t="n"/>
      <c r="M8" s="109" t="inlineStr">
        <is>
          <t>DA CHIUDERE</t>
        </is>
      </c>
      <c r="N8" s="109" t="n"/>
      <c r="O8" s="109" t="n"/>
      <c r="P8" s="109" t="n"/>
      <c r="Q8" s="109" t="inlineStr">
        <is>
          <t>REGOLATI I FLUSSAGGI ED AZZERAMENTO STRUMENTI.</t>
        </is>
      </c>
      <c r="R8" s="110" t="n">
        <v>45881</v>
      </c>
      <c r="S8" s="109" t="inlineStr">
        <is>
          <t>SPINALI/LOMBARDO</t>
        </is>
      </c>
      <c r="T8" s="114">
        <f>IF(AND('Inserimento dati'!$B$3=$H$2, Tabella3[[#This Row],[LUN]]="X"), "X",IF(AND('Inserimento dati'!$B$3=$I$2, Tabella3[[#This Row],[MAR]]="X"), "X", IF(AND('Inserimento dati'!$B$3=$J$2, Tabella3[[#This Row],[MER]]="X"), "X",IF(AND('Inserimento dati'!$B$3=$K$2, Tabella3[[#This Row],[GIO]]="X"), "X", IF(AND('Inserimento dati'!$B$3=$L$2, Tabella3[[#This Row],[VEN]]="X"), "X","")))))</f>
        <v/>
      </c>
      <c r="U8" s="90">
        <f>IFERROR(MID(G8,_xlfn.AGGREGATE(15,6,(ROW(INDIRECT("1:"&amp;LEN(G8)-7)))/(ISNUMBER(--MID(G8,ROW(INDIRECT("1:"&amp;LEN(G8)-7)),8))),1),8),"")</f>
        <v/>
      </c>
      <c r="V8" t="inlineStr">
        <is>
          <t>2025-09-30 20:00:00</t>
        </is>
      </c>
    </row>
    <row r="9" ht="45" customFormat="1" customHeight="1" s="45">
      <c r="A9" s="112" t="n"/>
      <c r="B9" s="112" t="n"/>
      <c r="C9" s="112">
        <f>IF(OR(Tabella3[[#This Row],[LUN]]="X",Tabella3[[#This Row],[MAR]]="X",Tabella3[[#This Row],[MER]]="X",Tabella3[[#This Row],[GIO]]="X",Tabella3[[#This Row],[VEN]]="X",),"X","")</f>
        <v/>
      </c>
      <c r="D9" s="113" t="inlineStr">
        <is>
          <t>AREA 3</t>
        </is>
      </c>
      <c r="E9" s="109" t="inlineStr">
        <is>
          <t>547491/C</t>
        </is>
      </c>
      <c r="F9" s="109" t="n">
        <v>800</v>
      </c>
      <c r="G9" s="109" t="inlineStr">
        <is>
          <t>10228738   800: PCV122 ripristino PIC locale</t>
        </is>
      </c>
      <c r="H9" s="111" t="n"/>
      <c r="I9" s="111" t="n"/>
      <c r="J9" s="111" t="n"/>
      <c r="K9" s="111" t="n"/>
      <c r="L9" s="111" t="n"/>
      <c r="M9" s="109" t="inlineStr">
        <is>
          <t>DA CHIUDERE</t>
        </is>
      </c>
      <c r="N9" s="109" t="n"/>
      <c r="O9" s="109" t="n"/>
      <c r="P9" s="109" t="n"/>
      <c r="Q9" s="109" t="inlineStr">
        <is>
          <t>TROVATO TUBO ALIMENTAZIONE REGOLATORE SPEZZATO, SOSTITUITI MT 3 TUBO RAME 6mm, FILTRO RIDUTTORE E CONTROLLO DI TARATUTA VALVOLA/REGOLATORE. LOOP OK</t>
        </is>
      </c>
      <c r="R9" s="110" t="n">
        <v>45881</v>
      </c>
      <c r="S9" s="109" t="inlineStr">
        <is>
          <t>MILLO</t>
        </is>
      </c>
      <c r="T9" s="114">
        <f>IF(AND('Inserimento dati'!$B$3=$H$2, Tabella3[[#This Row],[LUN]]="X"), "X",IF(AND('Inserimento dati'!$B$3=$I$2, Tabella3[[#This Row],[MAR]]="X"), "X", IF(AND('Inserimento dati'!$B$3=$J$2, Tabella3[[#This Row],[MER]]="X"), "X",IF(AND('Inserimento dati'!$B$3=$K$2, Tabella3[[#This Row],[GIO]]="X"), "X", IF(AND('Inserimento dati'!$B$3=$L$2, Tabella3[[#This Row],[VEN]]="X"), "X","")))))</f>
        <v/>
      </c>
      <c r="U9" s="90">
        <f>IFERROR(MID(G9,_xlfn.AGGREGATE(15,6,(ROW(INDIRECT("1:"&amp;LEN(G9)-7)))/(ISNUMBER(--MID(G9,ROW(INDIRECT("1:"&amp;LEN(G9)-7)),8))),1),8),"")</f>
        <v/>
      </c>
      <c r="V9" t="inlineStr">
        <is>
          <t>2025-09-30 20:00:00</t>
        </is>
      </c>
    </row>
    <row r="10" ht="23.25" customFormat="1" customHeight="1" s="45">
      <c r="A10" s="112" t="n"/>
      <c r="B10" s="112" t="n"/>
      <c r="C10" s="112">
        <f>IF(OR(Tabella3[[#This Row],[LUN]]="X",Tabella3[[#This Row],[MAR]]="X",Tabella3[[#This Row],[MER]]="X",Tabella3[[#This Row],[GIO]]="X",Tabella3[[#This Row],[VEN]]="X",),"X","")</f>
        <v/>
      </c>
      <c r="D10" s="113" t="inlineStr">
        <is>
          <t>AREA 3</t>
        </is>
      </c>
      <c r="E10" s="109" t="inlineStr">
        <is>
          <t>546433/C</t>
        </is>
      </c>
      <c r="F10" s="109" t="n">
        <v>1100</v>
      </c>
      <c r="G10" s="109" t="inlineStr">
        <is>
          <t>10228192 1100 LCV016- controllo e ripristino funzionale valvola</t>
        </is>
      </c>
      <c r="H10" s="111" t="n"/>
      <c r="I10" s="111" t="n"/>
      <c r="J10" s="111" t="n"/>
      <c r="K10" s="111" t="n"/>
      <c r="L10" s="111" t="n"/>
      <c r="M10" s="109" t="inlineStr">
        <is>
          <t>DA CHIUDERE</t>
        </is>
      </c>
      <c r="N10" s="109" t="n"/>
      <c r="O10" s="109" t="n"/>
      <c r="P10" s="109" t="n"/>
      <c r="Q10" s="109" t="inlineStr">
        <is>
          <t>VALVOLA DA REVISIONARE PERCHE' IN PESSIME CONDIZIONI.</t>
        </is>
      </c>
      <c r="R10" s="110" t="n">
        <v>45869</v>
      </c>
      <c r="S10" s="109" t="inlineStr">
        <is>
          <t>GARRO</t>
        </is>
      </c>
      <c r="T10" s="114">
        <f>IF(AND('Inserimento dati'!$B$3=$H$2, Tabella3[[#This Row],[LUN]]="X"), "X",IF(AND('Inserimento dati'!$B$3=$I$2, Tabella3[[#This Row],[MAR]]="X"), "X", IF(AND('Inserimento dati'!$B$3=$J$2, Tabella3[[#This Row],[MER]]="X"), "X",IF(AND('Inserimento dati'!$B$3=$K$2, Tabella3[[#This Row],[GIO]]="X"), "X", IF(AND('Inserimento dati'!$B$3=$L$2, Tabella3[[#This Row],[VEN]]="X"), "X","")))))</f>
        <v/>
      </c>
      <c r="U10" s="90">
        <f>IFERROR(MID(G10,_xlfn.AGGREGATE(15,6,(ROW(INDIRECT("1:"&amp;LEN(G10)-7)))/(ISNUMBER(--MID(G10,ROW(INDIRECT("1:"&amp;LEN(G10)-7)),8))),1),8),"")</f>
        <v/>
      </c>
      <c r="V10" t="inlineStr">
        <is>
          <t>2025-09-30 20:00:00</t>
        </is>
      </c>
    </row>
    <row r="11" ht="23.25" customFormat="1" customHeight="1" s="45">
      <c r="A11" s="112" t="n"/>
      <c r="B11" s="112" t="n">
        <v>3</v>
      </c>
      <c r="C11" s="112">
        <f>IF(OR(Tabella3[[#This Row],[LUN]]="X",Tabella3[[#This Row],[MAR]]="X",Tabella3[[#This Row],[MER]]="X",Tabella3[[#This Row],[GIO]]="X",Tabella3[[#This Row],[VEN]]="X",),"X","")</f>
        <v/>
      </c>
      <c r="D11" s="113" t="inlineStr">
        <is>
          <t>AREA 3</t>
        </is>
      </c>
      <c r="E11" s="109" t="inlineStr">
        <is>
          <t>539521/C</t>
        </is>
      </c>
      <c r="F11" s="109" t="inlineStr">
        <is>
          <t>1200/3</t>
        </is>
      </c>
      <c r="G11" s="109" t="inlineStr">
        <is>
          <t xml:space="preserve"> 1200/3 - F302RC RIPRISTINO PRIMARIO</t>
        </is>
      </c>
      <c r="H11" s="111" t="n"/>
      <c r="I11" s="111" t="n"/>
      <c r="J11" s="111" t="n"/>
      <c r="K11" s="111" t="n"/>
      <c r="L11" s="111" t="n"/>
      <c r="M11" s="109" t="inlineStr">
        <is>
          <t>DA CHIUDERE</t>
        </is>
      </c>
      <c r="N11" s="109" t="n"/>
      <c r="O11" s="109" t="n"/>
      <c r="P11" s="109" t="n"/>
      <c r="Q11" s="109" t="inlineStr">
        <is>
          <t>RIPRISTINATO PRIMARIO SU F302R</t>
        </is>
      </c>
      <c r="R11" s="110" t="n">
        <v>45812</v>
      </c>
      <c r="S11" s="109" t="inlineStr">
        <is>
          <t>DE LUCA</t>
        </is>
      </c>
      <c r="T11" s="114">
        <f>IF(AND('Inserimento dati'!$B$3=$H$2, Tabella3[[#This Row],[LUN]]="X"), "X",IF(AND('Inserimento dati'!$B$3=$I$2, Tabella3[[#This Row],[MAR]]="X"), "X", IF(AND('Inserimento dati'!$B$3=$J$2, Tabella3[[#This Row],[MER]]="X"), "X",IF(AND('Inserimento dati'!$B$3=$K$2, Tabella3[[#This Row],[GIO]]="X"), "X", IF(AND('Inserimento dati'!$B$3=$L$2, Tabella3[[#This Row],[VEN]]="X"), "X","")))))</f>
        <v/>
      </c>
      <c r="U11" s="148">
        <f>IFERROR(MID(G11,_xlfn.AGGREGATE(15,6,(ROW(INDIRECT("1:"&amp;LEN(G11)-7)))/(ISNUMBER(--MID(G11,ROW(INDIRECT("1:"&amp;LEN(G11)-7)),8))),1),8),"")</f>
        <v/>
      </c>
      <c r="V11" t="inlineStr">
        <is>
          <t>2025-09-30 20:00:00</t>
        </is>
      </c>
    </row>
    <row r="12" ht="30" customFormat="1" customHeight="1" s="45">
      <c r="A12" s="112" t="n"/>
      <c r="B12" s="112" t="n">
        <v>3</v>
      </c>
      <c r="C12" s="112">
        <f>IF(OR(Tabella3[[#This Row],[LUN]]="X",Tabella3[[#This Row],[MAR]]="X",Tabella3[[#This Row],[MER]]="X",Tabella3[[#This Row],[GIO]]="X",Tabella3[[#This Row],[VEN]]="X",),"X","")</f>
        <v/>
      </c>
      <c r="D12" s="113" t="inlineStr">
        <is>
          <t>AREA 3</t>
        </is>
      </c>
      <c r="E12" s="109" t="inlineStr">
        <is>
          <t>538116/C</t>
        </is>
      </c>
      <c r="F12" s="109" t="n">
        <v>800</v>
      </c>
      <c r="G12" s="109" t="inlineStr">
        <is>
          <t xml:space="preserve"> 10222780 800 - L109CV CONTROLLO LOOP DI REGOLAZIONE ED EVENTUALE SMONTAGGIO PER REVISIONE VALVOLA</t>
        </is>
      </c>
      <c r="H12" s="111" t="n"/>
      <c r="I12" s="111" t="n"/>
      <c r="J12" s="111" t="n"/>
      <c r="K12" s="111" t="n"/>
      <c r="L12" s="111" t="n"/>
      <c r="M12" s="109" t="inlineStr">
        <is>
          <t>DA CHIUDERE</t>
        </is>
      </c>
      <c r="N12" s="109" t="n"/>
      <c r="O12" s="109" t="n"/>
      <c r="P12" s="109" t="n"/>
      <c r="Q12" s="109" t="inlineStr">
        <is>
          <t>VALVOLA RIMONTATA IN CAMPO</t>
        </is>
      </c>
      <c r="R12" s="110" t="n">
        <v>45825</v>
      </c>
      <c r="S12" s="109" t="inlineStr">
        <is>
          <t>SAGGIO</t>
        </is>
      </c>
      <c r="T12" s="69">
        <f>IF(AND('Inserimento dati'!$B$3=$H$2, Tabella3[[#This Row],[LUN]]="X"), "X",IF(AND('Inserimento dati'!$B$3=$I$2, Tabella3[[#This Row],[MAR]]="X"), "X", IF(AND('Inserimento dati'!$B$3=$J$2, Tabella3[[#This Row],[MER]]="X"), "X",IF(AND('Inserimento dati'!$B$3=$K$2, Tabella3[[#This Row],[GIO]]="X"), "X", IF(AND('Inserimento dati'!$B$3=$L$2, Tabella3[[#This Row],[VEN]]="X"), "X","")))))</f>
        <v/>
      </c>
      <c r="U12" s="148">
        <f>IFERROR(MID(G12,_xlfn.AGGREGATE(15,6,(ROW(INDIRECT("1:"&amp;LEN(G12)-7)))/(ISNUMBER(--MID(G12,ROW(INDIRECT("1:"&amp;LEN(G12)-7)),8))),1),8),"")</f>
        <v/>
      </c>
      <c r="V12" t="inlineStr">
        <is>
          <t>2025-09-30 20:00:00</t>
        </is>
      </c>
    </row>
    <row r="13" ht="30" customFormat="1" customHeight="1" s="45">
      <c r="A13" s="112" t="n"/>
      <c r="B13" s="112">
        <f>IF(OR(A13="x",A13="X"),"",IF(ISBLANK(A13),"X",""))</f>
        <v/>
      </c>
      <c r="C13" s="112">
        <f>IF(OR(Tabella3[[#This Row],[LUN]]="X",Tabella3[[#This Row],[MAR]]="X",Tabella3[[#This Row],[MER]]="X",Tabella3[[#This Row],[GIO]]="X",Tabella3[[#This Row],[VEN]]="X",),"X","")</f>
        <v/>
      </c>
      <c r="D13" s="113" t="inlineStr">
        <is>
          <t>AREA 3</t>
        </is>
      </c>
      <c r="E13" s="109" t="inlineStr">
        <is>
          <t>533445/C</t>
        </is>
      </c>
      <c r="F13" s="109" t="n">
        <v>1200</v>
      </c>
      <c r="G13" s="109" t="inlineStr">
        <is>
          <t xml:space="preserve"> 1200/0 F901/A RIPRISTINO FUNZIONALITA ACCENDITORE E PROVE  DI ACCENSIONE CON SALA CONTROLLO</t>
        </is>
      </c>
      <c r="H13" s="111" t="n"/>
      <c r="I13" s="111" t="n"/>
      <c r="J13" s="111" t="n"/>
      <c r="K13" s="111" t="n"/>
      <c r="L13" s="111" t="n"/>
      <c r="M13" s="109" t="inlineStr">
        <is>
          <t>DA CHIUDERE</t>
        </is>
      </c>
      <c r="N13" s="109" t="n"/>
      <c r="O13" s="109" t="n"/>
      <c r="P13" s="109" t="n"/>
      <c r="Q13" s="109" t="inlineStr">
        <is>
          <t>RIPRISTINATA FUNZIONALITA'</t>
        </is>
      </c>
      <c r="R13" s="110" t="n">
        <v>45763</v>
      </c>
      <c r="S13" s="109" t="inlineStr">
        <is>
          <t>TARASCIO</t>
        </is>
      </c>
      <c r="T13" s="114">
        <f>IF(AND('Inserimento dati'!$B$3=$H$2, Tabella3[[#This Row],[LUN]]="X"), "X",IF(AND('Inserimento dati'!$B$3=$I$2, Tabella3[[#This Row],[MAR]]="X"), "X", IF(AND('Inserimento dati'!$B$3=$J$2, Tabella3[[#This Row],[MER]]="X"), "X",IF(AND('Inserimento dati'!$B$3=$K$2, Tabella3[[#This Row],[GIO]]="X"), "X", IF(AND('Inserimento dati'!$B$3=$L$2, Tabella3[[#This Row],[VEN]]="X"), "X","")))))</f>
        <v/>
      </c>
      <c r="U13" s="148">
        <f>IFERROR(MID(G13,_xlfn.AGGREGATE(15,6,(ROW(INDIRECT("1:"&amp;LEN(G13)-7)))/(ISNUMBER(--MID(G13,ROW(INDIRECT("1:"&amp;LEN(G13)-7)),8))),1),8),"")</f>
        <v/>
      </c>
      <c r="V13" t="inlineStr">
        <is>
          <t>2025-09-30 20:00:00</t>
        </is>
      </c>
    </row>
    <row r="14" ht="23.25" customFormat="1" customHeight="1" s="45">
      <c r="A14" s="112" t="n"/>
      <c r="B14" s="112">
        <f>IF(OR(A14="x",A14="X"),"",IF(ISBLANK(A14),"X",""))</f>
        <v/>
      </c>
      <c r="C14" s="112">
        <f>IF(OR(Tabella3[[#This Row],[LUN]]="X",Tabella3[[#This Row],[MAR]]="X",Tabella3[[#This Row],[MER]]="X",Tabella3[[#This Row],[GIO]]="X",Tabella3[[#This Row],[VEN]]="X",),"X","")</f>
        <v/>
      </c>
      <c r="D14" s="113" t="inlineStr">
        <is>
          <t>AREA 3</t>
        </is>
      </c>
      <c r="E14" s="109" t="inlineStr">
        <is>
          <t>533488/C</t>
        </is>
      </c>
      <c r="F14" s="109" t="n">
        <v>1200</v>
      </c>
      <c r="G14" s="109" t="inlineStr">
        <is>
          <t xml:space="preserve"> ZO BM901B SOFFIANTE RIPRISTINO TEMPERATURA ZOT934I</t>
        </is>
      </c>
      <c r="H14" s="111" t="n"/>
      <c r="I14" s="111" t="n"/>
      <c r="J14" s="111" t="n"/>
      <c r="K14" s="111" t="n"/>
      <c r="L14" s="111" t="n"/>
      <c r="M14" s="109" t="inlineStr">
        <is>
          <t>DA CHIUDERE</t>
        </is>
      </c>
      <c r="N14" s="109" t="n"/>
      <c r="O14" s="109" t="n"/>
      <c r="P14" s="109" t="n"/>
      <c r="Q14" s="109" t="inlineStr">
        <is>
          <t>RIPRISTINATA FUNZIONALITA'</t>
        </is>
      </c>
      <c r="R14" s="110" t="n">
        <v>45763</v>
      </c>
      <c r="S14" s="109" t="inlineStr">
        <is>
          <t>TARASCIO</t>
        </is>
      </c>
      <c r="T14" s="114">
        <f>IF(AND('Inserimento dati'!$B$3=$H$2, Tabella3[[#This Row],[LUN]]="X"), "X",IF(AND('Inserimento dati'!$B$3=$I$2, Tabella3[[#This Row],[MAR]]="X"), "X", IF(AND('Inserimento dati'!$B$3=$J$2, Tabella3[[#This Row],[MER]]="X"), "X",IF(AND('Inserimento dati'!$B$3=$K$2, Tabella3[[#This Row],[GIO]]="X"), "X", IF(AND('Inserimento dati'!$B$3=$L$2, Tabella3[[#This Row],[VEN]]="X"), "X","")))))</f>
        <v/>
      </c>
      <c r="U14" s="148">
        <f>IFERROR(MID(G14,_xlfn.AGGREGATE(15,6,(ROW(INDIRECT("1:"&amp;LEN(G14)-7)))/(ISNUMBER(--MID(G14,ROW(INDIRECT("1:"&amp;LEN(G14)-7)),8))),1),8),"")</f>
        <v/>
      </c>
      <c r="V14" t="inlineStr">
        <is>
          <t>2025-09-30 20:00:00</t>
        </is>
      </c>
    </row>
    <row r="15" ht="23.25" customFormat="1" customHeight="1" s="45">
      <c r="A15" s="112" t="n"/>
      <c r="B15" s="112">
        <f>IF(OR(A15="x",A15="X"),"",IF(ISBLANK(A15),"X",""))</f>
        <v/>
      </c>
      <c r="C15" s="112">
        <f>IF(OR(Tabella3[[#This Row],[LUN]]="X",Tabella3[[#This Row],[MAR]]="X",Tabella3[[#This Row],[MER]]="X",Tabella3[[#This Row],[GIO]]="X",Tabella3[[#This Row],[VEN]]="X",),"X","")</f>
        <v/>
      </c>
      <c r="D15" s="113" t="inlineStr">
        <is>
          <t>AREA 3</t>
        </is>
      </c>
      <c r="E15" s="109" t="inlineStr">
        <is>
          <t>533804/C</t>
        </is>
      </c>
      <c r="F15" s="109" t="inlineStr">
        <is>
          <t>2200 BD</t>
        </is>
      </c>
      <c r="G15" s="109" t="inlineStr">
        <is>
          <t xml:space="preserve"> 18000153620    2200 C201S Scollegamento sonde per rimozione compressore</t>
        </is>
      </c>
      <c r="H15" s="111" t="n"/>
      <c r="I15" s="111" t="n"/>
      <c r="J15" s="111" t="n"/>
      <c r="K15" s="111" t="n"/>
      <c r="L15" s="111" t="n"/>
      <c r="M15" s="109" t="inlineStr">
        <is>
          <t>DA CHIUDERE</t>
        </is>
      </c>
      <c r="N15" s="109" t="n"/>
      <c r="O15" s="109" t="n"/>
      <c r="P15" s="109" t="n"/>
      <c r="Q15" s="109" t="inlineStr">
        <is>
          <t>RIPRISTINATA FUNZIONALITA'</t>
        </is>
      </c>
      <c r="R15" s="110" t="n">
        <v>45765</v>
      </c>
      <c r="S15" s="109" t="inlineStr">
        <is>
          <t>MILLO</t>
        </is>
      </c>
      <c r="T15" s="114">
        <f>IF(AND('Inserimento dati'!$B$3=$H$2, Tabella3[[#This Row],[LUN]]="X"), "X",IF(AND('Inserimento dati'!$B$3=$I$2, Tabella3[[#This Row],[MAR]]="X"), "X", IF(AND('Inserimento dati'!$B$3=$J$2, Tabella3[[#This Row],[MER]]="X"), "X",IF(AND('Inserimento dati'!$B$3=$K$2, Tabella3[[#This Row],[GIO]]="X"), "X", IF(AND('Inserimento dati'!$B$3=$L$2, Tabella3[[#This Row],[VEN]]="X"), "X","")))))</f>
        <v/>
      </c>
      <c r="U15" s="148">
        <f>IFERROR(MID(G15,_xlfn.AGGREGATE(15,6,(ROW(INDIRECT("1:"&amp;LEN(G15)-7)))/(ISNUMBER(--MID(G15,ROW(INDIRECT("1:"&amp;LEN(G15)-7)),8))),1),8),"")</f>
        <v/>
      </c>
      <c r="V15" t="inlineStr">
        <is>
          <t>2025-09-30 20:00:00</t>
        </is>
      </c>
    </row>
    <row r="16" ht="30" customFormat="1" customHeight="1" s="45">
      <c r="A16" s="112" t="n"/>
      <c r="B16" s="112">
        <f>IF(OR(A16="x",A16="X"),"",IF(ISBLANK(A16),"X",""))</f>
        <v/>
      </c>
      <c r="C16" s="112">
        <f>IF(OR(Tabella3[[#This Row],[LUN]]="X",Tabella3[[#This Row],[MAR]]="X",Tabella3[[#This Row],[MER]]="X",Tabella3[[#This Row],[GIO]]="X",Tabella3[[#This Row],[VEN]]="X",),"X","")</f>
        <v/>
      </c>
      <c r="D16" s="113" t="inlineStr">
        <is>
          <t>AREA 3</t>
        </is>
      </c>
      <c r="E16" s="109" t="inlineStr">
        <is>
          <t>537305/C</t>
        </is>
      </c>
      <c r="F16" s="109" t="n">
        <v>1200</v>
      </c>
      <c r="G16" s="109" t="inlineStr">
        <is>
          <t xml:space="preserve"> 1200/2  assistenza accensione ed eventuale scollegamento/ricollegamento pilota per revisione</t>
        </is>
      </c>
      <c r="H16" s="111" t="n"/>
      <c r="I16" s="111" t="n"/>
      <c r="J16" s="111" t="n"/>
      <c r="K16" s="111" t="n"/>
      <c r="L16" s="111" t="n"/>
      <c r="M16" s="109" t="inlineStr">
        <is>
          <t>DA CHIUDERE</t>
        </is>
      </c>
      <c r="N16" s="109" t="n"/>
      <c r="O16" s="109" t="n"/>
      <c r="P16" s="109" t="n"/>
      <c r="Q16" s="109" t="inlineStr">
        <is>
          <t>RIPRISTINATA FUNZIONALITA'</t>
        </is>
      </c>
      <c r="R16" s="110" t="n">
        <v>45796</v>
      </c>
      <c r="S16" s="109" t="inlineStr">
        <is>
          <t>RICIPUTO</t>
        </is>
      </c>
      <c r="T16" s="114">
        <f>IF(AND('Inserimento dati'!$B$3=$H$2, Tabella3[[#This Row],[LUN]]="X"), "X",IF(AND('Inserimento dati'!$B$3=$I$2, Tabella3[[#This Row],[MAR]]="X"), "X", IF(AND('Inserimento dati'!$B$3=$J$2, Tabella3[[#This Row],[MER]]="X"), "X",IF(AND('Inserimento dati'!$B$3=$K$2, Tabella3[[#This Row],[GIO]]="X"), "X", IF(AND('Inserimento dati'!$B$3=$L$2, Tabella3[[#This Row],[VEN]]="X"), "X","")))))</f>
        <v/>
      </c>
      <c r="U16" s="148">
        <f>IFERROR(MID(G16,_xlfn.AGGREGATE(15,6,(ROW(INDIRECT("1:"&amp;LEN(G16)-7)))/(ISNUMBER(--MID(G16,ROW(INDIRECT("1:"&amp;LEN(G16)-7)),8))),1),8),"")</f>
        <v/>
      </c>
      <c r="V16" t="inlineStr">
        <is>
          <t>2025-09-30 20:00:00</t>
        </is>
      </c>
    </row>
    <row r="17" ht="23.25" customFormat="1" customHeight="1" s="45">
      <c r="A17" s="112" t="n"/>
      <c r="B17" s="112">
        <f>IF(OR(A17="x",A17="X"),"",IF(ISBLANK(A17),"X",""))</f>
        <v/>
      </c>
      <c r="C17" s="112">
        <f>IF(OR(Tabella3[[#This Row],[LUN]]="X",Tabella3[[#This Row],[MAR]]="X",Tabella3[[#This Row],[MER]]="X",Tabella3[[#This Row],[GIO]]="X",Tabella3[[#This Row],[VEN]]="X",),"X","")</f>
        <v/>
      </c>
      <c r="D17" s="113" t="inlineStr">
        <is>
          <t>AREA 3</t>
        </is>
      </c>
      <c r="E17" s="109" t="inlineStr">
        <is>
          <t>537662/C</t>
        </is>
      </c>
      <c r="F17" s="109" t="n">
        <v>1200</v>
      </c>
      <c r="G17" s="109" t="inlineStr">
        <is>
          <t xml:space="preserve"> 1200/1 P10SL CONTROLLO E RIPRISTINO</t>
        </is>
      </c>
      <c r="H17" s="111" t="n"/>
      <c r="I17" s="111" t="n"/>
      <c r="J17" s="111" t="n"/>
      <c r="K17" s="111" t="n"/>
      <c r="L17" s="111" t="n"/>
      <c r="M17" s="109" t="inlineStr">
        <is>
          <t>DA CHIUDERE</t>
        </is>
      </c>
      <c r="N17" s="109" t="n"/>
      <c r="O17" s="109" t="n"/>
      <c r="P17" s="109" t="n"/>
      <c r="Q17" s="109" t="inlineStr">
        <is>
          <t>RIPRISTINATA FUNZIONALITA'</t>
        </is>
      </c>
      <c r="R17" s="110" t="n">
        <v>45798</v>
      </c>
      <c r="S17" s="109" t="inlineStr">
        <is>
          <t>MILLO</t>
        </is>
      </c>
      <c r="T17" s="114">
        <f>IF(AND('Inserimento dati'!$B$3=$H$2, Tabella3[[#This Row],[LUN]]="X"), "X",IF(AND('Inserimento dati'!$B$3=$I$2, Tabella3[[#This Row],[MAR]]="X"), "X", IF(AND('Inserimento dati'!$B$3=$J$2, Tabella3[[#This Row],[MER]]="X"), "X",IF(AND('Inserimento dati'!$B$3=$K$2, Tabella3[[#This Row],[GIO]]="X"), "X", IF(AND('Inserimento dati'!$B$3=$L$2, Tabella3[[#This Row],[VEN]]="X"), "X","")))))</f>
        <v/>
      </c>
      <c r="U17" s="148">
        <f>IFERROR(MID(G17,_xlfn.AGGREGATE(15,6,(ROW(INDIRECT("1:"&amp;LEN(G17)-7)))/(ISNUMBER(--MID(G17,ROW(INDIRECT("1:"&amp;LEN(G17)-7)),8))),1),8),"")</f>
        <v/>
      </c>
      <c r="V17" t="inlineStr">
        <is>
          <t>2025-09-30 20:00:00</t>
        </is>
      </c>
    </row>
    <row r="18" ht="23.25" customFormat="1" customHeight="1" s="45">
      <c r="A18" s="112" t="n"/>
      <c r="B18" s="112">
        <f>IF(OR(A18="x",A18="X"),"",IF(ISBLANK(A18),"X",""))</f>
        <v/>
      </c>
      <c r="C18" s="112">
        <f>IF(OR(Tabella3[[#This Row],[LUN]]="X",Tabella3[[#This Row],[MAR]]="X",Tabella3[[#This Row],[MER]]="X",Tabella3[[#This Row],[GIO]]="X",Tabella3[[#This Row],[VEN]]="X",),"X","")</f>
        <v/>
      </c>
      <c r="D18" s="113" t="inlineStr">
        <is>
          <t>AREA 3</t>
        </is>
      </c>
      <c r="E18" s="109" t="inlineStr">
        <is>
          <t>539114/C</t>
        </is>
      </c>
      <c r="F18" s="109" t="n">
        <v>1200</v>
      </c>
      <c r="G18" s="109" t="inlineStr">
        <is>
          <t xml:space="preserve"> 1200/1 F306 sostituzione trasmettitore di portata</t>
        </is>
      </c>
      <c r="H18" s="111" t="n"/>
      <c r="I18" s="111" t="n"/>
      <c r="J18" s="111" t="n"/>
      <c r="K18" s="111" t="n"/>
      <c r="L18" s="111" t="n"/>
      <c r="M18" s="109" t="inlineStr">
        <is>
          <t>DA CHIUDERE</t>
        </is>
      </c>
      <c r="N18" s="109" t="n"/>
      <c r="O18" s="109" t="n"/>
      <c r="P18" s="109" t="n"/>
      <c r="Q18" s="109" t="inlineStr">
        <is>
          <t>RIPRISTINATA FUNZIONALITA'</t>
        </is>
      </c>
      <c r="R18" s="110" t="n">
        <v>45807</v>
      </c>
      <c r="S18" s="109" t="inlineStr">
        <is>
          <t>MILLO</t>
        </is>
      </c>
      <c r="T18" s="114">
        <f>IF(AND('Inserimento dati'!$B$3=$H$2, Tabella3[[#This Row],[LUN]]="X"), "X",IF(AND('Inserimento dati'!$B$3=$I$2, Tabella3[[#This Row],[MAR]]="X"), "X", IF(AND('Inserimento dati'!$B$3=$J$2, Tabella3[[#This Row],[MER]]="X"), "X",IF(AND('Inserimento dati'!$B$3=$K$2, Tabella3[[#This Row],[GIO]]="X"), "X", IF(AND('Inserimento dati'!$B$3=$L$2, Tabella3[[#This Row],[VEN]]="X"), "X","")))))</f>
        <v/>
      </c>
      <c r="U18" s="148">
        <f>IFERROR(MID(G18,_xlfn.AGGREGATE(15,6,(ROW(INDIRECT("1:"&amp;LEN(G18)-7)))/(ISNUMBER(--MID(G18,ROW(INDIRECT("1:"&amp;LEN(G18)-7)),8))),1),8),"")</f>
        <v/>
      </c>
      <c r="V18" t="inlineStr">
        <is>
          <t>2025-09-30 20:00:00</t>
        </is>
      </c>
    </row>
    <row r="19" ht="30" customFormat="1" customHeight="1" s="45">
      <c r="A19" s="112" t="n"/>
      <c r="B19" s="112" t="n">
        <v>3</v>
      </c>
      <c r="C19" s="112">
        <f>IF(OR(Tabella3[[#This Row],[LUN]]="X",Tabella3[[#This Row],[MAR]]="X",Tabella3[[#This Row],[MER]]="X",Tabella3[[#This Row],[GIO]]="X",Tabella3[[#This Row],[VEN]]="X",),"X","")</f>
        <v/>
      </c>
      <c r="D19" s="113" t="inlineStr">
        <is>
          <t>AREA 3</t>
        </is>
      </c>
      <c r="E19" s="109" t="inlineStr">
        <is>
          <t>539322/C</t>
        </is>
      </c>
      <c r="F19" s="109" t="n">
        <v>700</v>
      </c>
      <c r="G19" s="109" t="inlineStr">
        <is>
          <t xml:space="preserve"> 700 - F101N: ASSISTENZA PER RIPRISTINO BRUCIATORE D</t>
        </is>
      </c>
      <c r="H19" s="111" t="n"/>
      <c r="I19" s="111" t="n"/>
      <c r="J19" s="111" t="n"/>
      <c r="K19" s="111" t="n"/>
      <c r="L19" s="111" t="n"/>
      <c r="M19" s="109" t="inlineStr">
        <is>
          <t>DA CHIUDERE</t>
        </is>
      </c>
      <c r="N19" s="109" t="n"/>
      <c r="O19" s="109" t="n"/>
      <c r="P19" s="109" t="n"/>
      <c r="Q19" s="109" t="inlineStr">
        <is>
          <t>RIPRISTINATA FUNZIONALITA'</t>
        </is>
      </c>
      <c r="R19" s="110" t="n">
        <v>45811</v>
      </c>
      <c r="S19" s="109" t="inlineStr">
        <is>
          <t>SPINALI/BAUDO</t>
        </is>
      </c>
      <c r="T19" s="114">
        <f>IF(AND('Inserimento dati'!$B$3=$H$2, Tabella3[[#This Row],[LUN]]="X"), "X",IF(AND('Inserimento dati'!$B$3=$I$2, Tabella3[[#This Row],[MAR]]="X"), "X", IF(AND('Inserimento dati'!$B$3=$J$2, Tabella3[[#This Row],[MER]]="X"), "X",IF(AND('Inserimento dati'!$B$3=$K$2, Tabella3[[#This Row],[GIO]]="X"), "X", IF(AND('Inserimento dati'!$B$3=$L$2, Tabella3[[#This Row],[VEN]]="X"), "X","")))))</f>
        <v/>
      </c>
      <c r="U19" s="148">
        <f>IFERROR(MID(G19,_xlfn.AGGREGATE(15,6,(ROW(INDIRECT("1:"&amp;LEN(G19)-7)))/(ISNUMBER(--MID(G19,ROW(INDIRECT("1:"&amp;LEN(G19)-7)),8))),1),8),"")</f>
        <v/>
      </c>
      <c r="V19" t="inlineStr">
        <is>
          <t>2025-09-30 20:00:00</t>
        </is>
      </c>
    </row>
    <row r="20" ht="30" customFormat="1" customHeight="1" s="45">
      <c r="A20" s="112" t="n"/>
      <c r="B20" s="112" t="inlineStr">
        <is>
          <t>X</t>
        </is>
      </c>
      <c r="C20" s="112">
        <f>IF(OR(Tabella3[[#This Row],[LUN]]="X",Tabella3[[#This Row],[MAR]]="X",Tabella3[[#This Row],[MER]]="X",Tabella3[[#This Row],[GIO]]="X",Tabella3[[#This Row],[VEN]]="X",),"X","")</f>
        <v/>
      </c>
      <c r="D20" s="113" t="inlineStr">
        <is>
          <t>AREA 3</t>
        </is>
      </c>
      <c r="E20" s="109" t="inlineStr">
        <is>
          <t>532170/C</t>
        </is>
      </c>
      <c r="F20" s="109" t="inlineStr">
        <is>
          <t>1200/M</t>
        </is>
      </c>
      <c r="G20" s="109" t="inlineStr">
        <is>
          <t xml:space="preserve"> 10215992 1200/M - ZMF716R.PV (Vapore bassa maxi)  controllo funzionale</t>
        </is>
      </c>
      <c r="H20" s="111" t="n"/>
      <c r="I20" s="111" t="n"/>
      <c r="J20" s="111" t="n"/>
      <c r="K20" s="111" t="n"/>
      <c r="L20" s="111" t="n"/>
      <c r="M20" s="109" t="inlineStr">
        <is>
          <t>DA CHIUDERE</t>
        </is>
      </c>
      <c r="N20" s="109" t="n"/>
      <c r="O20" s="109" t="n"/>
      <c r="P20" s="109" t="n"/>
      <c r="Q20" s="109" t="inlineStr">
        <is>
          <t>STASATA T DEL BARILOTTO. INSERITO, OK.</t>
        </is>
      </c>
      <c r="R20" s="110" t="n">
        <v>45803</v>
      </c>
      <c r="S20" s="109" t="inlineStr">
        <is>
          <t>TARASCIO/PARTESANO</t>
        </is>
      </c>
      <c r="T20" s="112">
        <f>IF(AND('Inserimento dati'!$B$3=$H$2, Tabella3[[#This Row],[LUN]]="X"), "X",IF(AND('Inserimento dati'!$B$3=$I$2, Tabella3[[#This Row],[MAR]]="X"), "X", IF(AND('Inserimento dati'!$B$3=$J$2, Tabella3[[#This Row],[MER]]="X"), "X",IF(AND('Inserimento dati'!$B$3=$K$2, Tabella3[[#This Row],[GIO]]="X"), "X", IF(AND('Inserimento dati'!$B$3=$L$2, Tabella3[[#This Row],[VEN]]="X"), "X","")))))</f>
        <v/>
      </c>
      <c r="U20" s="158">
        <f>IFERROR(MID(G20,_xlfn.AGGREGATE(15,6,(ROW(INDIRECT("1:"&amp;LEN(G20)-7)))/(ISNUMBER(--MID(G20,ROW(INDIRECT("1:"&amp;LEN(G20)-7)),8))),1),8),"")</f>
        <v/>
      </c>
      <c r="V20" t="inlineStr">
        <is>
          <t>2025-09-30 20:00:00</t>
        </is>
      </c>
    </row>
    <row r="21" ht="23.25" customFormat="1" customHeight="1" s="45">
      <c r="A21" s="112" t="n"/>
      <c r="B21" s="112" t="inlineStr">
        <is>
          <t>X</t>
        </is>
      </c>
      <c r="C21" s="112">
        <f>IF(OR(Tabella3[[#This Row],[LUN]]="X",Tabella3[[#This Row],[MAR]]="X",Tabella3[[#This Row],[MER]]="X",Tabella3[[#This Row],[GIO]]="X",Tabella3[[#This Row],[VEN]]="X",),"X","")</f>
        <v/>
      </c>
      <c r="D21" s="113" t="inlineStr">
        <is>
          <t>AREA 3</t>
        </is>
      </c>
      <c r="E21" s="109" t="inlineStr">
        <is>
          <t>537470/C</t>
        </is>
      </c>
      <c r="F21" s="109" t="n">
        <v>1400</v>
      </c>
      <c r="G21" s="109" t="inlineStr">
        <is>
          <t xml:space="preserve"> 1400 - F201R CONTROLLO FUNZIONALE</t>
        </is>
      </c>
      <c r="H21" s="111" t="n"/>
      <c r="I21" s="111" t="n"/>
      <c r="J21" s="111" t="n"/>
      <c r="K21" s="111" t="n"/>
      <c r="L21" s="111" t="n"/>
      <c r="M21" s="109" t="inlineStr">
        <is>
          <t>DA CHIUDERE</t>
        </is>
      </c>
      <c r="N21" s="109" t="n"/>
      <c r="O21" s="109" t="n"/>
      <c r="P21" s="109" t="n"/>
      <c r="Q21" s="109" t="inlineStr">
        <is>
          <t>CORETTO DI ZERO, RIPRISTINATA LA FUNZIONALITA'</t>
        </is>
      </c>
      <c r="R21" s="110" t="n">
        <v>45797</v>
      </c>
      <c r="S21" s="109" t="inlineStr">
        <is>
          <t>TARASCIO</t>
        </is>
      </c>
      <c r="T21" s="69">
        <f>IF(AND('Inserimento dati'!$B$3=$H$2, Tabella3[[#This Row],[LUN]]="X"), "X",IF(AND('Inserimento dati'!$B$3=$I$2, Tabella3[[#This Row],[MAR]]="X"), "X", IF(AND('Inserimento dati'!$B$3=$J$2, Tabella3[[#This Row],[MER]]="X"), "X",IF(AND('Inserimento dati'!$B$3=$K$2, Tabella3[[#This Row],[GIO]]="X"), "X", IF(AND('Inserimento dati'!$B$3=$L$2, Tabella3[[#This Row],[VEN]]="X"), "X","")))))</f>
        <v/>
      </c>
      <c r="U21" s="148">
        <f>IFERROR(MID(G21,_xlfn.AGGREGATE(15,6,(ROW(INDIRECT("1:"&amp;LEN(G21)-7)))/(ISNUMBER(--MID(G21,ROW(INDIRECT("1:"&amp;LEN(G21)-7)),8))),1),8),"")</f>
        <v/>
      </c>
      <c r="V21" t="inlineStr">
        <is>
          <t>2025-09-30 20:00:00</t>
        </is>
      </c>
    </row>
    <row r="22" ht="23.25" customFormat="1" customHeight="1" s="45">
      <c r="A22" s="112" t="n"/>
      <c r="B22" s="112" t="inlineStr">
        <is>
          <t>X</t>
        </is>
      </c>
      <c r="C22" s="112">
        <f>IF(OR(Tabella3[[#This Row],[LUN]]="X",Tabella3[[#This Row],[MAR]]="X",Tabella3[[#This Row],[MER]]="X",Tabella3[[#This Row],[GIO]]="X",Tabella3[[#This Row],[VEN]]="X",),"X","")</f>
        <v/>
      </c>
      <c r="D22" s="113" t="inlineStr">
        <is>
          <t>AREA 3</t>
        </is>
      </c>
      <c r="E22" s="109" t="inlineStr">
        <is>
          <t>536849/C</t>
        </is>
      </c>
      <c r="F22" s="109" t="n">
        <v>1400</v>
      </c>
      <c r="G22" s="109" t="inlineStr">
        <is>
          <t xml:space="preserve"> 1400 - D105 CONTROLLO LIVELLI ACCUMULATORE</t>
        </is>
      </c>
      <c r="H22" s="111" t="n"/>
      <c r="I22" s="111" t="n"/>
      <c r="J22" s="111" t="n"/>
      <c r="K22" s="111" t="n"/>
      <c r="L22" s="111" t="n"/>
      <c r="M22" s="109" t="inlineStr">
        <is>
          <t>DA CHIUDERE</t>
        </is>
      </c>
      <c r="N22" s="109" t="n"/>
      <c r="O22" s="109" t="n"/>
      <c r="P22" s="109" t="n"/>
      <c r="Q22" s="109" t="inlineStr">
        <is>
          <t>ESEGUITA SOSTITUZIONE STRUMENTO (L006R)</t>
        </is>
      </c>
      <c r="R22" s="110" t="n">
        <v>45797</v>
      </c>
      <c r="S22" s="109" t="inlineStr">
        <is>
          <t>SPINALI</t>
        </is>
      </c>
      <c r="T22" s="67">
        <f>IF(AND('Inserimento dati'!$B$3=$H$2, Tabella3[[#This Row],[LUN]]="X"), "X",IF(AND('Inserimento dati'!$B$3=$I$2, Tabella3[[#This Row],[MAR]]="X"), "X", IF(AND('Inserimento dati'!$B$3=$J$2, Tabella3[[#This Row],[MER]]="X"), "X",IF(AND('Inserimento dati'!$B$3=$K$2, Tabella3[[#This Row],[GIO]]="X"), "X", IF(AND('Inserimento dati'!$B$3=$L$2, Tabella3[[#This Row],[VEN]]="X"), "X","")))))</f>
        <v/>
      </c>
      <c r="U22" s="148">
        <f>IFERROR(MID(G22,_xlfn.AGGREGATE(15,6,(ROW(INDIRECT("1:"&amp;LEN(G22)-7)))/(ISNUMBER(--MID(G22,ROW(INDIRECT("1:"&amp;LEN(G22)-7)),8))),1),8),"")</f>
        <v/>
      </c>
      <c r="V22" t="inlineStr">
        <is>
          <t>2025-09-30 20:00:00</t>
        </is>
      </c>
    </row>
    <row r="23" ht="45" customFormat="1" customHeight="1" s="45">
      <c r="A23" s="112" t="n"/>
      <c r="B23" s="112" t="inlineStr">
        <is>
          <t>X</t>
        </is>
      </c>
      <c r="C23" s="112">
        <f>IF(OR(Tabella3[[#This Row],[LUN]]="X",Tabella3[[#This Row],[MAR]]="X",Tabella3[[#This Row],[MER]]="X",Tabella3[[#This Row],[GIO]]="X",Tabella3[[#This Row],[VEN]]="X",),"X","")</f>
        <v/>
      </c>
      <c r="D23" s="113" t="inlineStr">
        <is>
          <t>AREA 3</t>
        </is>
      </c>
      <c r="E23" s="109" t="inlineStr">
        <is>
          <t>536522/C</t>
        </is>
      </c>
      <c r="F23" s="109" t="inlineStr">
        <is>
          <t>1200/3</t>
        </is>
      </c>
      <c r="G23" s="109" t="inlineStr">
        <is>
          <t xml:space="preserve"> 10213685 1200/3 - B204V SMONTAGGIO/RIMONTAGGIO VALVOLA E RIDUTTORE PER REVISIONE  SMONTAGGIO E SOSTITUZIONE TUBI AMMOLORATIE SOSTITUZIONE VS DI INTERCETTO</t>
        </is>
      </c>
      <c r="H23" s="111" t="n"/>
      <c r="I23" s="111" t="n"/>
      <c r="J23" s="111" t="n"/>
      <c r="K23" s="111" t="n"/>
      <c r="L23" s="111" t="n"/>
      <c r="M23" s="109" t="inlineStr">
        <is>
          <t>DA CHIUDERE</t>
        </is>
      </c>
      <c r="N23" s="109" t="n"/>
      <c r="O23" s="109" t="n"/>
      <c r="P23" s="109" t="n"/>
      <c r="Q23" s="109" t="inlineStr">
        <is>
          <t>ESEGUITO RIMONTAGGIO IN CAMPO.</t>
        </is>
      </c>
      <c r="R23" s="110" t="n">
        <v>45791</v>
      </c>
      <c r="S23" s="109" t="inlineStr">
        <is>
          <t>GARRO</t>
        </is>
      </c>
      <c r="T23" s="67">
        <f>IF(AND('Inserimento dati'!$B$3=$H$2, Tabella3[[#This Row],[LUN]]="X"), "X",IF(AND('Inserimento dati'!$B$3=$I$2, Tabella3[[#This Row],[MAR]]="X"), "X", IF(AND('Inserimento dati'!$B$3=$J$2, Tabella3[[#This Row],[MER]]="X"), "X",IF(AND('Inserimento dati'!$B$3=$K$2, Tabella3[[#This Row],[GIO]]="X"), "X", IF(AND('Inserimento dati'!$B$3=$L$2, Tabella3[[#This Row],[VEN]]="X"), "X","")))))</f>
        <v/>
      </c>
      <c r="U23" s="158">
        <f>IFERROR(MID(G23,_xlfn.AGGREGATE(15,6,(ROW(INDIRECT("1:"&amp;LEN(G23)-7)))/(ISNUMBER(--MID(G23,ROW(INDIRECT("1:"&amp;LEN(G23)-7)),8))),1),8),"")</f>
        <v/>
      </c>
      <c r="V23" t="inlineStr">
        <is>
          <t>2025-09-30 20:00:00</t>
        </is>
      </c>
    </row>
    <row r="24" ht="30" customFormat="1" customHeight="1" s="45">
      <c r="A24" s="112" t="n"/>
      <c r="B24" s="112" t="n">
        <v>1</v>
      </c>
      <c r="C24" s="112">
        <f>IF(OR(Tabella3[[#This Row],[LUN]]="X",Tabella3[[#This Row],[MAR]]="X",Tabella3[[#This Row],[MER]]="X",Tabella3[[#This Row],[GIO]]="X",Tabella3[[#This Row],[VEN]]="X",),"X","")</f>
        <v/>
      </c>
      <c r="D24" s="113" t="inlineStr">
        <is>
          <t>AREA 3</t>
        </is>
      </c>
      <c r="E24" s="109" t="inlineStr">
        <is>
          <t>537401/C</t>
        </is>
      </c>
      <c r="F24" s="109" t="n">
        <v>1400</v>
      </c>
      <c r="G24" s="109" t="inlineStr">
        <is>
          <t xml:space="preserve"> 1400 - F009R D-106/7 GAS A RECUPERO CONTROLLO E RIPRISTINO FUNZIONALITA PORTATA</t>
        </is>
      </c>
      <c r="H24" s="111" t="n"/>
      <c r="I24" s="111" t="n"/>
      <c r="J24" s="111" t="n"/>
      <c r="K24" s="111" t="n"/>
      <c r="L24" s="111" t="n"/>
      <c r="M24" s="109" t="inlineStr">
        <is>
          <t>DA CHIUDERE</t>
        </is>
      </c>
      <c r="N24" s="109" t="n"/>
      <c r="O24" s="109" t="n"/>
      <c r="P24" s="109" t="n"/>
      <c r="Q24" s="109" t="inlineStr">
        <is>
          <t>RIPRISTINATA FUNZIONALITA'.</t>
        </is>
      </c>
      <c r="R24" s="110" t="n">
        <v>45797</v>
      </c>
      <c r="S24" s="109" t="inlineStr">
        <is>
          <t>TARASCIO</t>
        </is>
      </c>
      <c r="T24" s="67">
        <f>IF(AND('Inserimento dati'!$B$3=$H$2, Tabella3[[#This Row],[LUN]]="X"), "X",IF(AND('Inserimento dati'!$B$3=$I$2, Tabella3[[#This Row],[MAR]]="X"), "X", IF(AND('Inserimento dati'!$B$3=$J$2, Tabella3[[#This Row],[MER]]="X"), "X",IF(AND('Inserimento dati'!$B$3=$K$2, Tabella3[[#This Row],[GIO]]="X"), "X", IF(AND('Inserimento dati'!$B$3=$L$2, Tabella3[[#This Row],[VEN]]="X"), "X","")))))</f>
        <v/>
      </c>
      <c r="U24" s="148">
        <f>IFERROR(MID(G24,_xlfn.AGGREGATE(15,6,(ROW(INDIRECT("1:"&amp;LEN(G24)-7)))/(ISNUMBER(--MID(G24,ROW(INDIRECT("1:"&amp;LEN(G24)-7)),8))),1),8),"")</f>
        <v/>
      </c>
      <c r="V24" t="inlineStr">
        <is>
          <t>2025-09-30 20:00:00</t>
        </is>
      </c>
    </row>
    <row r="25" ht="23.25" customFormat="1" customHeight="1" s="45">
      <c r="A25" s="112" t="n"/>
      <c r="B25" s="112" t="inlineStr">
        <is>
          <t>X</t>
        </is>
      </c>
      <c r="C25" s="112">
        <f>IF(OR(Tabella3[[#This Row],[LUN]]="X",Tabella3[[#This Row],[MAR]]="X",Tabella3[[#This Row],[MER]]="X",Tabella3[[#This Row],[GIO]]="X",Tabella3[[#This Row],[VEN]]="X",),"X","")</f>
        <v/>
      </c>
      <c r="D25" s="113" t="inlineStr">
        <is>
          <t>AREA 3</t>
        </is>
      </c>
      <c r="E25" s="109" t="inlineStr">
        <is>
          <t>537396/C</t>
        </is>
      </c>
      <c r="F25" s="109" t="n">
        <v>1400</v>
      </c>
      <c r="G25" s="109" t="inlineStr">
        <is>
          <t xml:space="preserve"> 1400 - L008R SERRAGGIO RACCORDERIA IN ACCIAIO LINEA FLUSSAGGIO LIVELLO D106</t>
        </is>
      </c>
      <c r="H25" s="111" t="n"/>
      <c r="I25" s="111" t="n"/>
      <c r="J25" s="111" t="n"/>
      <c r="K25" s="111" t="n"/>
      <c r="L25" s="111" t="n"/>
      <c r="M25" s="109" t="inlineStr">
        <is>
          <t>DA CHIUDERE</t>
        </is>
      </c>
      <c r="N25" s="109" t="n"/>
      <c r="O25" s="109" t="n"/>
      <c r="P25" s="109" t="n"/>
      <c r="Q25" s="109" t="inlineStr">
        <is>
          <t>ESEGUITO SERRAGGIO</t>
        </is>
      </c>
      <c r="R25" s="110" t="n">
        <v>45797</v>
      </c>
      <c r="S25" s="109" t="inlineStr">
        <is>
          <t>TARASCIO</t>
        </is>
      </c>
      <c r="T25" s="67">
        <f>IF(AND('Inserimento dati'!$B$3=$H$2, Tabella3[[#This Row],[LUN]]="X"), "X",IF(AND('Inserimento dati'!$B$3=$I$2, Tabella3[[#This Row],[MAR]]="X"), "X", IF(AND('Inserimento dati'!$B$3=$J$2, Tabella3[[#This Row],[MER]]="X"), "X",IF(AND('Inserimento dati'!$B$3=$K$2, Tabella3[[#This Row],[GIO]]="X"), "X", IF(AND('Inserimento dati'!$B$3=$L$2, Tabella3[[#This Row],[VEN]]="X"), "X","")))))</f>
        <v/>
      </c>
      <c r="U25" s="158">
        <f>IFERROR(MID(G25,_xlfn.AGGREGATE(15,6,(ROW(INDIRECT("1:"&amp;LEN(G25)-7)))/(ISNUMBER(--MID(G25,ROW(INDIRECT("1:"&amp;LEN(G25)-7)),8))),1),8),"")</f>
        <v/>
      </c>
      <c r="V25" t="inlineStr">
        <is>
          <t>2025-09-30 20:00:00</t>
        </is>
      </c>
    </row>
    <row r="26" ht="30" customFormat="1" customHeight="1" s="45">
      <c r="A26" s="112" t="n"/>
      <c r="B26" s="112">
        <f>IF(OR(A26="x",A26="X"),"",IF(ISBLANK(A26),"X",""))</f>
        <v/>
      </c>
      <c r="C26" s="112">
        <f>IF(OR(Tabella3[[#This Row],[LUN]]="X",Tabella3[[#This Row],[MAR]]="X",Tabella3[[#This Row],[MER]]="X",Tabella3[[#This Row],[GIO]]="X",Tabella3[[#This Row],[VEN]]="X",),"X","")</f>
        <v/>
      </c>
      <c r="D26" s="113" t="inlineStr">
        <is>
          <t>AREA 3</t>
        </is>
      </c>
      <c r="E26" s="109" t="inlineStr">
        <is>
          <t>528162/C</t>
        </is>
      </c>
      <c r="F26" s="109" t="inlineStr">
        <is>
          <t>1200/3</t>
        </is>
      </c>
      <c r="G26" s="109" t="inlineStr">
        <is>
          <t xml:space="preserve"> 1200/3 - T405CV SCOLLEGAMENTO/RICOLLEGAMENTO ELETTROPNEUMATICO VALVOLA  PER REVISIONE E PROVE FUNZIONALI</t>
        </is>
      </c>
      <c r="H26" s="111" t="n"/>
      <c r="I26" s="111" t="n"/>
      <c r="J26" s="111" t="n"/>
      <c r="K26" s="111" t="n"/>
      <c r="L26" s="111" t="n"/>
      <c r="M26" s="109" t="inlineStr">
        <is>
          <t>DA CHIUDERE</t>
        </is>
      </c>
      <c r="N26" s="109" t="n"/>
      <c r="O26" s="109" t="n"/>
      <c r="P26" s="109" t="n"/>
      <c r="Q26" s="109" t="n"/>
      <c r="R26" s="110" t="n"/>
      <c r="S26" s="109" t="n"/>
      <c r="T26" s="116">
        <f>IF(AND('Inserimento dati'!$B$3=$H$2, Tabella3[[#This Row],[LUN]]="X"), "X",IF(AND('Inserimento dati'!$B$3=$I$2, Tabella3[[#This Row],[MAR]]="X"), "X", IF(AND('Inserimento dati'!$B$3=$J$2, Tabella3[[#This Row],[MER]]="X"), "X",IF(AND('Inserimento dati'!$B$3=$K$2, Tabella3[[#This Row],[GIO]]="X"), "X", IF(AND('Inserimento dati'!$B$3=$L$2, Tabella3[[#This Row],[VEN]]="X"), "X","")))))</f>
        <v/>
      </c>
      <c r="U26" s="158">
        <f>IFERROR(MID(G26,_xlfn.AGGREGATE(15,6,(ROW(INDIRECT("1:"&amp;LEN(G26)-7)))/(ISNUMBER(--MID(G26,ROW(INDIRECT("1:"&amp;LEN(G26)-7)),8))),1),8),"")</f>
        <v/>
      </c>
      <c r="V26" t="inlineStr">
        <is>
          <t>2025-09-30 20:00:00</t>
        </is>
      </c>
    </row>
    <row r="27" ht="30" customFormat="1" customHeight="1" s="45">
      <c r="A27" s="112" t="n"/>
      <c r="B27" s="112">
        <f>IF(OR(A27="x",A27="X"),"",IF(ISBLANK(A27),"X",""))</f>
        <v/>
      </c>
      <c r="C27" s="112">
        <f>IF(OR(Tabella3[[#This Row],[LUN]]="X",Tabella3[[#This Row],[MAR]]="X",Tabella3[[#This Row],[MER]]="X",Tabella3[[#This Row],[GIO]]="X",Tabella3[[#This Row],[VEN]]="X",),"X","")</f>
        <v/>
      </c>
      <c r="D27" s="113" t="inlineStr">
        <is>
          <t>AREA 3</t>
        </is>
      </c>
      <c r="E27" s="109" t="inlineStr">
        <is>
          <t>532022/C</t>
        </is>
      </c>
      <c r="F27" s="109" t="inlineStr">
        <is>
          <t>1200/3</t>
        </is>
      </c>
      <c r="G27" s="109" t="inlineStr">
        <is>
          <t xml:space="preserve"> 1200/3 - SMONTAGGIO N4 STAZIONCINE MANUALI f101/102 ed adattamento e modifiche di adattamento nuovi PIC locali</t>
        </is>
      </c>
      <c r="H27" s="111" t="n"/>
      <c r="I27" s="111" t="n"/>
      <c r="J27" s="111" t="n"/>
      <c r="K27" s="111" t="n"/>
      <c r="L27" s="111" t="n"/>
      <c r="M27" s="109" t="inlineStr">
        <is>
          <t>DA CHIUDERE</t>
        </is>
      </c>
      <c r="N27" s="109" t="n"/>
      <c r="O27" s="109" t="n"/>
      <c r="P27" s="109" t="n"/>
      <c r="Q27" s="109" t="inlineStr">
        <is>
          <t>RIMONTATI PIC TARATI</t>
        </is>
      </c>
      <c r="R27" s="110" t="n">
        <v>45754</v>
      </c>
      <c r="S27" s="109" t="inlineStr">
        <is>
          <t>MILLO/CAVAGNACCHI</t>
        </is>
      </c>
      <c r="T27" s="116">
        <f>IF(AND('Inserimento dati'!$B$3=$H$2, Tabella3[[#This Row],[LUN]]="X"), "X",IF(AND('Inserimento dati'!$B$3=$I$2, Tabella3[[#This Row],[MAR]]="X"), "X", IF(AND('Inserimento dati'!$B$3=$J$2, Tabella3[[#This Row],[MER]]="X"), "X",IF(AND('Inserimento dati'!$B$3=$K$2, Tabella3[[#This Row],[GIO]]="X"), "X", IF(AND('Inserimento dati'!$B$3=$L$2, Tabella3[[#This Row],[VEN]]="X"), "X","")))))</f>
        <v/>
      </c>
      <c r="U27" s="158">
        <f>IFERROR(MID(G27,_xlfn.AGGREGATE(15,6,(ROW(INDIRECT("1:"&amp;LEN(G27)-7)))/(ISNUMBER(--MID(G27,ROW(INDIRECT("1:"&amp;LEN(G27)-7)),8))),1),8),"")</f>
        <v/>
      </c>
      <c r="V27" t="inlineStr">
        <is>
          <t>2025-09-30 20:00:00</t>
        </is>
      </c>
    </row>
    <row r="28" ht="30" customFormat="1" customHeight="1" s="45">
      <c r="A28" s="112" t="n"/>
      <c r="B28" s="112">
        <f>IF(OR(A28="x",A28="X"),"",IF(ISBLANK(A28),"X",""))</f>
        <v/>
      </c>
      <c r="C28" s="112">
        <f>IF(OR(Tabella3[[#This Row],[LUN]]="X",Tabella3[[#This Row],[MAR]]="X",Tabella3[[#This Row],[MER]]="X",Tabella3[[#This Row],[GIO]]="X",Tabella3[[#This Row],[VEN]]="X",),"X","")</f>
        <v/>
      </c>
      <c r="D28" s="113" t="inlineStr">
        <is>
          <t>AREA 3</t>
        </is>
      </c>
      <c r="E28" s="109" t="inlineStr">
        <is>
          <t>528641/C</t>
        </is>
      </c>
      <c r="F28" s="109" t="n">
        <v>1400</v>
      </c>
      <c r="G28" s="109" t="inlineStr">
        <is>
          <t xml:space="preserve"> 1400 - RIPRISTINO TRACCIATURA DI VAPORE  SU TUTTI I TRAMETTITORI OVE LA TRACCIATURA  AMMALORATA</t>
        </is>
      </c>
      <c r="H28" s="111" t="n"/>
      <c r="I28" s="111" t="n"/>
      <c r="J28" s="111" t="n"/>
      <c r="K28" s="111" t="n"/>
      <c r="L28" s="111" t="n"/>
      <c r="M28" s="109" t="inlineStr">
        <is>
          <t>DA CHIUDERE</t>
        </is>
      </c>
      <c r="N28" s="109" t="n"/>
      <c r="O28" s="109" t="n"/>
      <c r="P28" s="109" t="n"/>
      <c r="Q28" s="109" t="n"/>
      <c r="R28" s="110" t="n"/>
      <c r="S28" s="109" t="n"/>
      <c r="T28" s="116">
        <f>IF(AND('Inserimento dati'!$B$3=$H$2, Tabella3[[#This Row],[LUN]]="X"), "X",IF(AND('Inserimento dati'!$B$3=$I$2, Tabella3[[#This Row],[MAR]]="X"), "X", IF(AND('Inserimento dati'!$B$3=$J$2, Tabella3[[#This Row],[MER]]="X"), "X",IF(AND('Inserimento dati'!$B$3=$K$2, Tabella3[[#This Row],[GIO]]="X"), "X", IF(AND('Inserimento dati'!$B$3=$L$2, Tabella3[[#This Row],[VEN]]="X"), "X","")))))</f>
        <v/>
      </c>
      <c r="U28" s="158">
        <f>IFERROR(MID(G28,_xlfn.AGGREGATE(15,6,(ROW(INDIRECT("1:"&amp;LEN(G28)-7)))/(ISNUMBER(--MID(G28,ROW(INDIRECT("1:"&amp;LEN(G28)-7)),8))),1),8),"")</f>
        <v/>
      </c>
      <c r="V28" t="inlineStr">
        <is>
          <t>2025-09-30 20:00:00</t>
        </is>
      </c>
    </row>
    <row r="29" ht="23.25" customFormat="1" customHeight="1" s="45">
      <c r="A29" s="112" t="n"/>
      <c r="B29" s="112">
        <f>IF(OR(A29="x",A29="X"),"",IF(ISBLANK(A29),"X",""))</f>
        <v/>
      </c>
      <c r="C29" s="112">
        <f>IF(OR(Tabella3[[#This Row],[LUN]]="X",Tabella3[[#This Row],[MAR]]="X",Tabella3[[#This Row],[MER]]="X",Tabella3[[#This Row],[GIO]]="X",Tabella3[[#This Row],[VEN]]="X",),"X","")</f>
        <v/>
      </c>
      <c r="D29" s="113" t="inlineStr">
        <is>
          <t>AREA 3</t>
        </is>
      </c>
      <c r="E29" s="109" t="inlineStr">
        <is>
          <t>524456/C</t>
        </is>
      </c>
      <c r="F29" s="109" t="n">
        <v>1400</v>
      </c>
      <c r="G29" s="109" t="inlineStr">
        <is>
          <t xml:space="preserve"> 1400 - 14F009RC  2)Ripristino traccia vapore dello strumento e  ripristino funzionalit</t>
        </is>
      </c>
      <c r="H29" s="111" t="n"/>
      <c r="I29" s="111" t="n"/>
      <c r="J29" s="111" t="n"/>
      <c r="K29" s="111" t="n"/>
      <c r="L29" s="111" t="n"/>
      <c r="M29" s="109" t="inlineStr">
        <is>
          <t>DA CHIUDERE</t>
        </is>
      </c>
      <c r="N29" s="109" t="n"/>
      <c r="O29" s="109" t="n"/>
      <c r="P29" s="109" t="n"/>
      <c r="Q29" s="109" t="inlineStr">
        <is>
          <t>RICOLLEGARE TRACCIATURA E FARE COIBENTAZIONE (CAVALLI)</t>
        </is>
      </c>
      <c r="R29" s="110" t="n">
        <v>45729</v>
      </c>
      <c r="S29" s="110" t="inlineStr">
        <is>
          <t>RICIPUTO</t>
        </is>
      </c>
      <c r="T29" s="116">
        <f>IF(AND('Inserimento dati'!$B$3=$H$2, Tabella3[[#This Row],[LUN]]="X"), "X",IF(AND('Inserimento dati'!$B$3=$I$2, Tabella3[[#This Row],[MAR]]="X"), "X", IF(AND('Inserimento dati'!$B$3=$J$2, Tabella3[[#This Row],[MER]]="X"), "X",IF(AND('Inserimento dati'!$B$3=$K$2, Tabella3[[#This Row],[GIO]]="X"), "X", IF(AND('Inserimento dati'!$B$3=$L$2, Tabella3[[#This Row],[VEN]]="X"), "X","")))))</f>
        <v/>
      </c>
      <c r="U29" s="158">
        <f>IFERROR(MID(G29,_xlfn.AGGREGATE(15,6,(ROW(INDIRECT("1:"&amp;LEN(G29)-7)))/(ISNUMBER(--MID(G29,ROW(INDIRECT("1:"&amp;LEN(G29)-7)),8))),1),8),"")</f>
        <v/>
      </c>
      <c r="V29" t="inlineStr">
        <is>
          <t>2025-09-30 20:00:00</t>
        </is>
      </c>
    </row>
    <row r="30" ht="23.25" customFormat="1" customHeight="1" s="45">
      <c r="A30" s="112" t="n"/>
      <c r="B30" s="112">
        <f>IF(OR(A30="x",A30="X"),"",IF(ISBLANK(A30),"X",""))</f>
        <v/>
      </c>
      <c r="C30" s="112">
        <f>IF(OR(Tabella3[[#This Row],[LUN]]="X",Tabella3[[#This Row],[MAR]]="X",Tabella3[[#This Row],[MER]]="X",Tabella3[[#This Row],[GIO]]="X",Tabella3[[#This Row],[VEN]]="X",),"X","")</f>
        <v/>
      </c>
      <c r="D30" s="113" t="inlineStr">
        <is>
          <t>AREA 3</t>
        </is>
      </c>
      <c r="E30" s="109" t="inlineStr">
        <is>
          <t>528547/C</t>
        </is>
      </c>
      <c r="F30" s="109" t="n">
        <v>1400</v>
      </c>
      <c r="G30" s="109" t="inlineStr">
        <is>
          <t xml:space="preserve"> 1400 - 14 F009RC  CONTROLLO E VERIFICA PRIMARI GAS AD U1200</t>
        </is>
      </c>
      <c r="H30" s="111" t="n"/>
      <c r="I30" s="111" t="n"/>
      <c r="J30" s="111" t="n"/>
      <c r="K30" s="111" t="n"/>
      <c r="L30" s="111" t="n"/>
      <c r="M30" s="109" t="inlineStr">
        <is>
          <t>DA CHIUDERE</t>
        </is>
      </c>
      <c r="N30" s="109" t="n"/>
      <c r="O30" s="109" t="n"/>
      <c r="P30" s="109" t="n"/>
      <c r="Q30" s="109" t="inlineStr">
        <is>
          <t>RICOLLEGARE TRACCIATURA E FARE COIBENTAZIONE (CAVALLI)</t>
        </is>
      </c>
      <c r="R30" s="110" t="n">
        <v>45729</v>
      </c>
      <c r="S30" s="110" t="inlineStr">
        <is>
          <t>RICIPUTO</t>
        </is>
      </c>
      <c r="T30" s="112">
        <f>IF(AND('Inserimento dati'!$B$3=$H$2, Tabella3[[#This Row],[LUN]]="X"), "X",IF(AND('Inserimento dati'!$B$3=$I$2, Tabella3[[#This Row],[MAR]]="X"), "X", IF(AND('Inserimento dati'!$B$3=$J$2, Tabella3[[#This Row],[MER]]="X"), "X",IF(AND('Inserimento dati'!$B$3=$K$2, Tabella3[[#This Row],[GIO]]="X"), "X", IF(AND('Inserimento dati'!$B$3=$L$2, Tabella3[[#This Row],[VEN]]="X"), "X","")))))</f>
        <v/>
      </c>
      <c r="U30" s="158">
        <f>IFERROR(MID(G30,_xlfn.AGGREGATE(15,6,(ROW(INDIRECT("1:"&amp;LEN(G30)-7)))/(ISNUMBER(--MID(G30,ROW(INDIRECT("1:"&amp;LEN(G30)-7)),8))),1),8),"")</f>
        <v/>
      </c>
      <c r="V30" t="inlineStr">
        <is>
          <t>2025-09-30 20:00:00</t>
        </is>
      </c>
    </row>
    <row r="31" ht="30" customFormat="1" customHeight="1" s="45">
      <c r="A31" s="112" t="n"/>
      <c r="B31" s="112">
        <f>IF(OR(A31="x",A31="X"),"",IF(ISBLANK(A31),"X",""))</f>
        <v/>
      </c>
      <c r="C31" s="112">
        <f>IF(OR(Tabella3[[#This Row],[LUN]]="X",Tabella3[[#This Row],[MAR]]="X",Tabella3[[#This Row],[MER]]="X",Tabella3[[#This Row],[GIO]]="X",Tabella3[[#This Row],[VEN]]="X",),"X","")</f>
        <v/>
      </c>
      <c r="D31" s="113" t="inlineStr">
        <is>
          <t>AREA 3</t>
        </is>
      </c>
      <c r="E31" s="109" t="inlineStr">
        <is>
          <t>529540/C</t>
        </is>
      </c>
      <c r="F31" s="109" t="n">
        <v>1400</v>
      </c>
      <c r="G31" s="109" t="inlineStr">
        <is>
          <t xml:space="preserve"> 1400 - 14F016  PDL A CALDO SMOTAGGIO/RIMONTAGGI PER REVISIONE TAGLIO TIRANTI SPILLAGGI DA D106A D105B</t>
        </is>
      </c>
      <c r="H31" s="111" t="n"/>
      <c r="I31" s="111" t="n"/>
      <c r="J31" s="111" t="n"/>
      <c r="K31" s="111" t="n"/>
      <c r="L31" s="111" t="n"/>
      <c r="M31" s="109" t="inlineStr">
        <is>
          <t>DA CHIUDERE</t>
        </is>
      </c>
      <c r="N31" s="109" t="n"/>
      <c r="O31" s="109" t="n"/>
      <c r="P31" s="109" t="n"/>
      <c r="Q31" s="109" t="inlineStr">
        <is>
          <t>NESSUNA ANOMALIA</t>
        </is>
      </c>
      <c r="R31" s="110" t="n">
        <v>45728</v>
      </c>
      <c r="S31" s="110" t="inlineStr">
        <is>
          <t>RICIPUTO</t>
        </is>
      </c>
      <c r="T31" s="116">
        <f>IF(AND('Inserimento dati'!$B$3=$H$2, Tabella3[[#This Row],[LUN]]="X"), "X",IF(AND('Inserimento dati'!$B$3=$I$2, Tabella3[[#This Row],[MAR]]="X"), "X", IF(AND('Inserimento dati'!$B$3=$J$2, Tabella3[[#This Row],[MER]]="X"), "X",IF(AND('Inserimento dati'!$B$3=$K$2, Tabella3[[#This Row],[GIO]]="X"), "X", IF(AND('Inserimento dati'!$B$3=$L$2, Tabella3[[#This Row],[VEN]]="X"), "X","")))))</f>
        <v/>
      </c>
      <c r="U31" s="158">
        <f>IFERROR(MID(G31,_xlfn.AGGREGATE(15,6,(ROW(INDIRECT("1:"&amp;LEN(G31)-7)))/(ISNUMBER(--MID(G31,ROW(INDIRECT("1:"&amp;LEN(G31)-7)),8))),1),8),"")</f>
        <v/>
      </c>
      <c r="V31" t="inlineStr">
        <is>
          <t>2025-09-30 20:00:00</t>
        </is>
      </c>
    </row>
    <row r="32" ht="23.25" customFormat="1" customHeight="1" s="45">
      <c r="A32" s="112" t="n"/>
      <c r="B32" s="112">
        <f>IF(OR(A32="x",A32="X"),"",IF(ISBLANK(A32),"X",""))</f>
        <v/>
      </c>
      <c r="C32" s="112">
        <f>IF(OR(Tabella3[[#This Row],[LUN]]="X",Tabella3[[#This Row],[MAR]]="X",Tabella3[[#This Row],[MER]]="X",Tabella3[[#This Row],[GIO]]="X",Tabella3[[#This Row],[VEN]]="X",),"X","")</f>
        <v/>
      </c>
      <c r="D32" s="113" t="inlineStr">
        <is>
          <t>AREA 3</t>
        </is>
      </c>
      <c r="E32" s="109" t="inlineStr">
        <is>
          <t>528553/C</t>
        </is>
      </c>
      <c r="F32" s="109" t="n">
        <v>1400</v>
      </c>
      <c r="G32" s="109" t="inlineStr">
        <is>
          <t xml:space="preserve"> 1400 - 14 L008RC  CONTROLLO E VERIFICA PRIMARI LIVELLO D106</t>
        </is>
      </c>
      <c r="H32" s="111" t="n"/>
      <c r="I32" s="111" t="n"/>
      <c r="J32" s="111" t="n"/>
      <c r="K32" s="111" t="n"/>
      <c r="L32" s="111" t="n"/>
      <c r="M32" s="109" t="inlineStr">
        <is>
          <t>DA CHIUDERE</t>
        </is>
      </c>
      <c r="N32" s="109" t="n"/>
      <c r="O32" s="109" t="n"/>
      <c r="P32" s="109" t="n"/>
      <c r="Q32" s="109" t="inlineStr">
        <is>
          <t>NESSUNA ANOMALIA</t>
        </is>
      </c>
      <c r="R32" s="110" t="n">
        <v>45728</v>
      </c>
      <c r="S32" s="110" t="inlineStr">
        <is>
          <t>RICIPUTO</t>
        </is>
      </c>
      <c r="T32" s="112">
        <f>IF(AND('Inserimento dati'!$B$3=$H$2, Tabella3[[#This Row],[LUN]]="X"), "X",IF(AND('Inserimento dati'!$B$3=$I$2, Tabella3[[#This Row],[MAR]]="X"), "X", IF(AND('Inserimento dati'!$B$3=$J$2, Tabella3[[#This Row],[MER]]="X"), "X",IF(AND('Inserimento dati'!$B$3=$K$2, Tabella3[[#This Row],[GIO]]="X"), "X", IF(AND('Inserimento dati'!$B$3=$L$2, Tabella3[[#This Row],[VEN]]="X"), "X","")))))</f>
        <v/>
      </c>
      <c r="U32" s="158">
        <f>IFERROR(MID(G32,_xlfn.AGGREGATE(15,6,(ROW(INDIRECT("1:"&amp;LEN(G32)-7)))/(ISNUMBER(--MID(G32,ROW(INDIRECT("1:"&amp;LEN(G32)-7)),8))),1),8),"")</f>
        <v/>
      </c>
      <c r="V32" t="inlineStr">
        <is>
          <t>2025-09-30 20:00:00</t>
        </is>
      </c>
    </row>
    <row r="33" ht="23.25" customFormat="1" customHeight="1" s="45">
      <c r="A33" s="112" t="n"/>
      <c r="B33" s="112">
        <f>IF(OR(A33="x",A33="X"),"",IF(ISBLANK(A33),"X",""))</f>
        <v/>
      </c>
      <c r="C33" s="112">
        <f>IF(OR(Tabella3[[#This Row],[LUN]]="X",Tabella3[[#This Row],[MAR]]="X",Tabella3[[#This Row],[MER]]="X",Tabella3[[#This Row],[GIO]]="X",Tabella3[[#This Row],[VEN]]="X",),"X","")</f>
        <v/>
      </c>
      <c r="D33" s="113" t="inlineStr">
        <is>
          <t>AREA 3</t>
        </is>
      </c>
      <c r="E33" s="109" t="inlineStr">
        <is>
          <t>528556/C</t>
        </is>
      </c>
      <c r="F33" s="109" t="n">
        <v>1400</v>
      </c>
      <c r="G33" s="109" t="inlineStr">
        <is>
          <t xml:space="preserve"> 1400 - 14 L007RC  CONTROLLO E VERIFICA PRIMARI LIVELLO T103</t>
        </is>
      </c>
      <c r="H33" s="111" t="n"/>
      <c r="I33" s="111" t="n"/>
      <c r="J33" s="111" t="n"/>
      <c r="K33" s="111" t="n"/>
      <c r="L33" s="111" t="n"/>
      <c r="M33" s="109" t="inlineStr">
        <is>
          <t>DA CHIUDERE</t>
        </is>
      </c>
      <c r="N33" s="109" t="n"/>
      <c r="O33" s="109" t="n"/>
      <c r="P33" s="109" t="n"/>
      <c r="Q33" s="109" t="inlineStr">
        <is>
          <t>NESSUNA ANOMALIA</t>
        </is>
      </c>
      <c r="R33" s="110" t="n">
        <v>45728</v>
      </c>
      <c r="S33" s="110" t="inlineStr">
        <is>
          <t>RICIPUTO</t>
        </is>
      </c>
      <c r="T33" s="112">
        <f>IF(AND('Inserimento dati'!$B$3=$H$2, Tabella3[[#This Row],[LUN]]="X"), "X",IF(AND('Inserimento dati'!$B$3=$I$2, Tabella3[[#This Row],[MAR]]="X"), "X", IF(AND('Inserimento dati'!$B$3=$J$2, Tabella3[[#This Row],[MER]]="X"), "X",IF(AND('Inserimento dati'!$B$3=$K$2, Tabella3[[#This Row],[GIO]]="X"), "X", IF(AND('Inserimento dati'!$B$3=$L$2, Tabella3[[#This Row],[VEN]]="X"), "X","")))))</f>
        <v/>
      </c>
      <c r="U33" s="158">
        <f>IFERROR(MID(G33,_xlfn.AGGREGATE(15,6,(ROW(INDIRECT("1:"&amp;LEN(G33)-7)))/(ISNUMBER(--MID(G33,ROW(INDIRECT("1:"&amp;LEN(G33)-7)),8))),1),8),"")</f>
        <v/>
      </c>
      <c r="V33" t="inlineStr">
        <is>
          <t>2025-09-30 20:00:00</t>
        </is>
      </c>
    </row>
    <row r="34" ht="23.25" customFormat="1" customHeight="1" s="45">
      <c r="A34" s="112" t="n"/>
      <c r="B34" s="112">
        <f>IF(OR(A34="x",A34="X"),"",IF(ISBLANK(A34),"X",""))</f>
        <v/>
      </c>
      <c r="C34" s="112">
        <f>IF(OR(Tabella3[[#This Row],[LUN]]="X",Tabella3[[#This Row],[MAR]]="X",Tabella3[[#This Row],[MER]]="X",Tabella3[[#This Row],[GIO]]="X",Tabella3[[#This Row],[VEN]]="X",),"X","")</f>
        <v/>
      </c>
      <c r="D34" s="113" t="inlineStr">
        <is>
          <t>AREA 3</t>
        </is>
      </c>
      <c r="E34" s="109" t="inlineStr">
        <is>
          <t>528545/C</t>
        </is>
      </c>
      <c r="F34" s="109" t="n">
        <v>1400</v>
      </c>
      <c r="G34" s="109" t="inlineStr">
        <is>
          <t xml:space="preserve"> 1400 - 14F016 CONTROLLO E VERIFICA PROMARI SPILLAGGI DAD106A D105B</t>
        </is>
      </c>
      <c r="H34" s="111" t="n"/>
      <c r="I34" s="111" t="n"/>
      <c r="J34" s="111" t="n"/>
      <c r="K34" s="111" t="n"/>
      <c r="L34" s="111" t="n"/>
      <c r="M34" s="109" t="inlineStr">
        <is>
          <t>DA CHIUDERE</t>
        </is>
      </c>
      <c r="N34" s="109" t="n"/>
      <c r="O34" s="109" t="n"/>
      <c r="P34" s="109" t="n"/>
      <c r="Q34" s="109" t="inlineStr">
        <is>
          <t>NON ESISTE IN CAMPO E AL DCS</t>
        </is>
      </c>
      <c r="R34" s="110" t="n">
        <v>45728</v>
      </c>
      <c r="S34" s="110" t="inlineStr">
        <is>
          <t>RICIPUTO</t>
        </is>
      </c>
      <c r="T34" s="112">
        <f>IF(AND('Inserimento dati'!$B$3=$H$2, Tabella3[[#This Row],[LUN]]="X"), "X",IF(AND('Inserimento dati'!$B$3=$I$2, Tabella3[[#This Row],[MAR]]="X"), "X", IF(AND('Inserimento dati'!$B$3=$J$2, Tabella3[[#This Row],[MER]]="X"), "X",IF(AND('Inserimento dati'!$B$3=$K$2, Tabella3[[#This Row],[GIO]]="X"), "X", IF(AND('Inserimento dati'!$B$3=$L$2, Tabella3[[#This Row],[VEN]]="X"), "X","")))))</f>
        <v/>
      </c>
      <c r="U34" s="158">
        <f>IFERROR(MID(G34,_xlfn.AGGREGATE(15,6,(ROW(INDIRECT("1:"&amp;LEN(G34)-7)))/(ISNUMBER(--MID(G34,ROW(INDIRECT("1:"&amp;LEN(G34)-7)),8))),1),8),"")</f>
        <v/>
      </c>
      <c r="V34" t="inlineStr">
        <is>
          <t>2025-09-30 20:00:00</t>
        </is>
      </c>
    </row>
    <row r="35" ht="23.25" customFormat="1" customHeight="1" s="45">
      <c r="A35" s="112" t="n"/>
      <c r="B35" s="112">
        <f>IF(OR(A35="x",A35="X"),"",IF(ISBLANK(A35),"X",""))</f>
        <v/>
      </c>
      <c r="C35" s="112">
        <f>IF(OR(Tabella3[[#This Row],[LUN]]="X",Tabella3[[#This Row],[MAR]]="X",Tabella3[[#This Row],[MER]]="X",Tabella3[[#This Row],[GIO]]="X",Tabella3[[#This Row],[VEN]]="X",),"X","")</f>
        <v/>
      </c>
      <c r="D35" s="113" t="inlineStr">
        <is>
          <t>AREA 3</t>
        </is>
      </c>
      <c r="E35" s="109" t="inlineStr">
        <is>
          <t>528552/C</t>
        </is>
      </c>
      <c r="F35" s="109" t="n">
        <v>1400</v>
      </c>
      <c r="G35" s="109" t="inlineStr">
        <is>
          <t xml:space="preserve"> 1400 - 14 F008RC  CONTROLLO E VERIFICA PRIMARI VAPORE</t>
        </is>
      </c>
      <c r="H35" s="111" t="n"/>
      <c r="I35" s="111" t="n"/>
      <c r="J35" s="111" t="n"/>
      <c r="K35" s="111" t="n"/>
      <c r="L35" s="111" t="n"/>
      <c r="M35" s="109" t="inlineStr">
        <is>
          <t>DA CHIUDERE</t>
        </is>
      </c>
      <c r="N35" s="109" t="n"/>
      <c r="O35" s="109" t="n"/>
      <c r="P35" s="109" t="n"/>
      <c r="Q35" s="109" t="inlineStr">
        <is>
          <t>NESSUNA ANOMALIA</t>
        </is>
      </c>
      <c r="R35" s="110" t="n">
        <v>45728</v>
      </c>
      <c r="S35" s="110" t="inlineStr">
        <is>
          <t>RICIPUTO</t>
        </is>
      </c>
      <c r="T35" s="112">
        <f>IF(AND('Inserimento dati'!$B$3=$H$2, Tabella3[[#This Row],[LUN]]="X"), "X",IF(AND('Inserimento dati'!$B$3=$I$2, Tabella3[[#This Row],[MAR]]="X"), "X", IF(AND('Inserimento dati'!$B$3=$J$2, Tabella3[[#This Row],[MER]]="X"), "X",IF(AND('Inserimento dati'!$B$3=$K$2, Tabella3[[#This Row],[GIO]]="X"), "X", IF(AND('Inserimento dati'!$B$3=$L$2, Tabella3[[#This Row],[VEN]]="X"), "X","")))))</f>
        <v/>
      </c>
      <c r="U35" s="158">
        <f>IFERROR(MID(G35,_xlfn.AGGREGATE(15,6,(ROW(INDIRECT("1:"&amp;LEN(G35)-7)))/(ISNUMBER(--MID(G35,ROW(INDIRECT("1:"&amp;LEN(G35)-7)),8))),1),8),"")</f>
        <v/>
      </c>
      <c r="V35" t="inlineStr">
        <is>
          <t>2025-09-30 20:00:00</t>
        </is>
      </c>
    </row>
    <row r="36" ht="23.25" customFormat="1" customHeight="1" s="45">
      <c r="A36" s="112" t="n"/>
      <c r="B36" s="112">
        <f>IF(OR(A36="x",A36="X"),"",IF(ISBLANK(A36),"X",""))</f>
        <v/>
      </c>
      <c r="C36" s="112">
        <f>IF(OR(Tabella3[[#This Row],[LUN]]="X",Tabella3[[#This Row],[MAR]]="X",Tabella3[[#This Row],[MER]]="X",Tabella3[[#This Row],[GIO]]="X",Tabella3[[#This Row],[VEN]]="X",),"X","")</f>
        <v/>
      </c>
      <c r="D36" s="113" t="inlineStr">
        <is>
          <t>AREA 3</t>
        </is>
      </c>
      <c r="E36" s="109" t="inlineStr">
        <is>
          <t>528558/C</t>
        </is>
      </c>
      <c r="F36" s="109" t="n">
        <v>1400</v>
      </c>
      <c r="G36" s="109" t="inlineStr">
        <is>
          <t xml:space="preserve"> 1400 - 14 F201RC-L201RC  CONTROLLO E VERIFICA PRIMARI STRUMENTAZIONE E203</t>
        </is>
      </c>
      <c r="H36" s="111" t="n"/>
      <c r="I36" s="111" t="n"/>
      <c r="J36" s="111" t="n"/>
      <c r="K36" s="111" t="n"/>
      <c r="L36" s="111" t="n"/>
      <c r="M36" s="109" t="inlineStr">
        <is>
          <t>DA CHIUDERE</t>
        </is>
      </c>
      <c r="N36" s="109" t="n"/>
      <c r="O36" s="109" t="n"/>
      <c r="P36" s="109" t="n"/>
      <c r="Q36" s="109" t="inlineStr">
        <is>
          <t>NESSUNA ANOMALIA</t>
        </is>
      </c>
      <c r="R36" s="110" t="n">
        <v>45729</v>
      </c>
      <c r="S36" s="110" t="inlineStr">
        <is>
          <t>RICIPUTO</t>
        </is>
      </c>
      <c r="T36" s="112">
        <f>IF(AND('Inserimento dati'!$B$3=$H$2, Tabella3[[#This Row],[LUN]]="X"), "X",IF(AND('Inserimento dati'!$B$3=$I$2, Tabella3[[#This Row],[MAR]]="X"), "X", IF(AND('Inserimento dati'!$B$3=$J$2, Tabella3[[#This Row],[MER]]="X"), "X",IF(AND('Inserimento dati'!$B$3=$K$2, Tabella3[[#This Row],[GIO]]="X"), "X", IF(AND('Inserimento dati'!$B$3=$L$2, Tabella3[[#This Row],[VEN]]="X"), "X","")))))</f>
        <v/>
      </c>
      <c r="U36" s="158">
        <f>IFERROR(MID(G36,_xlfn.AGGREGATE(15,6,(ROW(INDIRECT("1:"&amp;LEN(G36)-7)))/(ISNUMBER(--MID(G36,ROW(INDIRECT("1:"&amp;LEN(G36)-7)),8))),1),8),"")</f>
        <v/>
      </c>
      <c r="V36" t="inlineStr">
        <is>
          <t>2025-09-30 20:00:00</t>
        </is>
      </c>
    </row>
    <row r="37" ht="45" customFormat="1" customHeight="1" s="45">
      <c r="A37" s="112" t="n"/>
      <c r="B37" s="112">
        <f>IF(OR(A37="x",A37="X"),"",IF(ISBLANK(A37),"X",""))</f>
        <v/>
      </c>
      <c r="C37" s="112">
        <f>IF(OR(Tabella3[[#This Row],[LUN]]="X",Tabella3[[#This Row],[MAR]]="X",Tabella3[[#This Row],[MER]]="X",Tabella3[[#This Row],[GIO]]="X",Tabella3[[#This Row],[VEN]]="X",),"X","")</f>
        <v/>
      </c>
      <c r="D37" s="113" t="inlineStr">
        <is>
          <t>AREA 3</t>
        </is>
      </c>
      <c r="E37" s="109" t="inlineStr">
        <is>
          <t>535528/C</t>
        </is>
      </c>
      <c r="F37" s="109" t="inlineStr">
        <is>
          <t>1200/3</t>
        </is>
      </c>
      <c r="G37" s="109" t="inlineStr">
        <is>
          <t xml:space="preserve"> 1200/3 - SCOLLEGAMENTO/RICOLLEGAMENTO  TERMOCOPPIE E PIROMETRI OTTICI ED EVENTUALE SOSTITUZIONE DEI TERMOELEMENTI E PROVE DI ALLINEAMENTO CON SALA CONTROLLO</t>
        </is>
      </c>
      <c r="H37" s="111" t="n"/>
      <c r="I37" s="111" t="n"/>
      <c r="J37" s="111" t="n"/>
      <c r="K37" s="111" t="n"/>
      <c r="L37" s="111" t="n"/>
      <c r="M37" s="109" t="inlineStr">
        <is>
          <t>DA CHIUDERE</t>
        </is>
      </c>
      <c r="N37" s="109" t="n"/>
      <c r="O37" s="109" t="n"/>
      <c r="P37" s="109" t="n"/>
      <c r="Q37" s="109" t="inlineStr">
        <is>
          <t>DA SOSTITUIRE BARRIERA T401B</t>
        </is>
      </c>
      <c r="R37" s="110" t="n"/>
      <c r="S37" s="109" t="n"/>
      <c r="T37" s="116">
        <f>IF(AND('Inserimento dati'!$B$3=$H$2, Tabella3[[#This Row],[LUN]]="X"), "X",IF(AND('Inserimento dati'!$B$3=$I$2, Tabella3[[#This Row],[MAR]]="X"), "X", IF(AND('Inserimento dati'!$B$3=$J$2, Tabella3[[#This Row],[MER]]="X"), "X",IF(AND('Inserimento dati'!$B$3=$K$2, Tabella3[[#This Row],[GIO]]="X"), "X", IF(AND('Inserimento dati'!$B$3=$L$2, Tabella3[[#This Row],[VEN]]="X"), "X","")))))</f>
        <v/>
      </c>
      <c r="U37" s="158">
        <f>IFERROR(MID(G37,_xlfn.AGGREGATE(15,6,(ROW(INDIRECT("1:"&amp;LEN(G37)-7)))/(ISNUMBER(--MID(G37,ROW(INDIRECT("1:"&amp;LEN(G37)-7)),8))),1),8),"")</f>
        <v/>
      </c>
      <c r="V37" t="inlineStr">
        <is>
          <t>2025-09-30 20:00:00</t>
        </is>
      </c>
    </row>
    <row r="38" ht="45" customFormat="1" customHeight="1" s="45">
      <c r="A38" s="112" t="n"/>
      <c r="B38" s="112" t="inlineStr">
        <is>
          <t>X</t>
        </is>
      </c>
      <c r="C38" s="112">
        <f>IF(OR(Tabella3[[#This Row],[LUN]]="X",Tabella3[[#This Row],[MAR]]="X",Tabella3[[#This Row],[MER]]="X",Tabella3[[#This Row],[GIO]]="X",Tabella3[[#This Row],[VEN]]="X",),"X","")</f>
        <v/>
      </c>
      <c r="D38" s="113" t="inlineStr">
        <is>
          <t>AREA 3</t>
        </is>
      </c>
      <c r="E38" s="109" t="inlineStr">
        <is>
          <t>536170/C</t>
        </is>
      </c>
      <c r="F38" s="109" t="inlineStr">
        <is>
          <t>1200/1</t>
        </is>
      </c>
      <c r="G38" s="109" t="inlineStr">
        <is>
          <t xml:space="preserve"> 10223575 1200/1: RIPRISTINO FOTOCELLULA F101 Z1B401U2</t>
        </is>
      </c>
      <c r="H38" s="111" t="n"/>
      <c r="I38" s="111" t="n"/>
      <c r="J38" s="111" t="n"/>
      <c r="K38" s="111" t="n"/>
      <c r="L38" s="111" t="n"/>
      <c r="M38" s="109" t="inlineStr">
        <is>
          <t>DA CHIUDERE</t>
        </is>
      </c>
      <c r="N38" s="109" t="n"/>
      <c r="O38" s="109" t="n"/>
      <c r="P38" s="109" t="n"/>
      <c r="Q38" s="109" t="inlineStr">
        <is>
          <t>IL TCL CALDARELLA HA RITENUTO OPPORTUNO SCOLLEGARE IL FILO DI SCHERMO ED IL SEGNALE DELLA FOTOCELLULA E' ANDATO A FONDO SCALA</t>
        </is>
      </c>
      <c r="R38" s="110" t="n">
        <v>45790</v>
      </c>
      <c r="S38" s="109" t="inlineStr">
        <is>
          <t>TARASCIO</t>
        </is>
      </c>
      <c r="T38" s="69">
        <f>IF(AND('Inserimento dati'!$B$3=$H$2, Tabella3[[#This Row],[LUN]]="X"), "X",IF(AND('Inserimento dati'!$B$3=$I$2, Tabella3[[#This Row],[MAR]]="X"), "X", IF(AND('Inserimento dati'!$B$3=$J$2, Tabella3[[#This Row],[MER]]="X"), "X",IF(AND('Inserimento dati'!$B$3=$K$2, Tabella3[[#This Row],[GIO]]="X"), "X", IF(AND('Inserimento dati'!$B$3=$L$2, Tabella3[[#This Row],[VEN]]="X"), "X","")))))</f>
        <v/>
      </c>
      <c r="U38" s="158">
        <f>IFERROR(MID(G38,_xlfn.AGGREGATE(15,6,(ROW(INDIRECT("1:"&amp;LEN(G38)-7)))/(ISNUMBER(--MID(G38,ROW(INDIRECT("1:"&amp;LEN(G38)-7)),8))),1),8),"")</f>
        <v/>
      </c>
      <c r="V38" t="inlineStr">
        <is>
          <t>2025-09-30 20:00:00</t>
        </is>
      </c>
    </row>
    <row r="39" ht="23.25" customFormat="1" customHeight="1" s="45">
      <c r="A39" s="112" t="n"/>
      <c r="B39" s="112" t="inlineStr">
        <is>
          <t>X</t>
        </is>
      </c>
      <c r="C39" s="112">
        <f>IF(OR(Tabella3[[#This Row],[LUN]]="X",Tabella3[[#This Row],[MAR]]="X",Tabella3[[#This Row],[MER]]="X",Tabella3[[#This Row],[GIO]]="X",Tabella3[[#This Row],[VEN]]="X",),"X","")</f>
        <v/>
      </c>
      <c r="D39" s="113" t="inlineStr">
        <is>
          <t>AREA 3</t>
        </is>
      </c>
      <c r="E39" s="109" t="inlineStr">
        <is>
          <t>535768/C</t>
        </is>
      </c>
      <c r="F39" s="109" t="n">
        <v>2200</v>
      </c>
      <c r="G39" s="109" t="inlineStr">
        <is>
          <t xml:space="preserve"> 2200 - D302 CONTROLLO E RIPRISTINO STRUMENTAZIONE L310I - L310AL - P310AL</t>
        </is>
      </c>
      <c r="H39" s="111" t="n"/>
      <c r="I39" s="111" t="n"/>
      <c r="J39" s="111" t="n"/>
      <c r="K39" s="111" t="n"/>
      <c r="L39" s="111" t="n"/>
      <c r="M39" s="109" t="inlineStr">
        <is>
          <t>DA CHIUDERE</t>
        </is>
      </c>
      <c r="N39" s="109" t="n"/>
      <c r="O39" s="109" t="n"/>
      <c r="P39" s="109" t="n"/>
      <c r="Q39" s="109" t="inlineStr">
        <is>
          <t>PERDITA DI BATTENTE, RIPRISTINATA FUNZIONALITA'</t>
        </is>
      </c>
      <c r="R39" s="110" t="n">
        <v>45874</v>
      </c>
      <c r="S39" s="109" t="inlineStr">
        <is>
          <t>TARASCIO</t>
        </is>
      </c>
      <c r="T39" s="69">
        <f>IF(AND('Inserimento dati'!$B$3=$H$2, Tabella3[[#This Row],[LUN]]="X"), "X",IF(AND('Inserimento dati'!$B$3=$I$2, Tabella3[[#This Row],[MAR]]="X"), "X", IF(AND('Inserimento dati'!$B$3=$J$2, Tabella3[[#This Row],[MER]]="X"), "X",IF(AND('Inserimento dati'!$B$3=$K$2, Tabella3[[#This Row],[GIO]]="X"), "X", IF(AND('Inserimento dati'!$B$3=$L$2, Tabella3[[#This Row],[VEN]]="X"), "X","")))))</f>
        <v/>
      </c>
      <c r="U39" s="158">
        <f>IFERROR(MID(G39,_xlfn.AGGREGATE(15,6,(ROW(INDIRECT("1:"&amp;LEN(G39)-7)))/(ISNUMBER(--MID(G39,ROW(INDIRECT("1:"&amp;LEN(G39)-7)),8))),1),8),"")</f>
        <v/>
      </c>
      <c r="V39" t="inlineStr">
        <is>
          <t>2025-09-30 20:00:00</t>
        </is>
      </c>
    </row>
    <row r="40" ht="30" customFormat="1" customHeight="1" s="45">
      <c r="A40" s="112" t="n"/>
      <c r="B40" s="112" t="inlineStr">
        <is>
          <t>X</t>
        </is>
      </c>
      <c r="C40" s="112">
        <f>IF(OR(Tabella3[[#This Row],[LUN]]="X",Tabella3[[#This Row],[MAR]]="X",Tabella3[[#This Row],[MER]]="X",Tabella3[[#This Row],[GIO]]="X",Tabella3[[#This Row],[VEN]]="X",),"X","")</f>
        <v/>
      </c>
      <c r="D40" s="113" t="inlineStr">
        <is>
          <t>AREA 3</t>
        </is>
      </c>
      <c r="E40" s="109" t="inlineStr">
        <is>
          <t>535313/C</t>
        </is>
      </c>
      <c r="F40" s="109" t="n">
        <v>1100</v>
      </c>
      <c r="G40" s="109" t="inlineStr">
        <is>
          <t xml:space="preserve"> 10222781 1100 - L201R CONTROLLO</t>
        </is>
      </c>
      <c r="H40" s="111" t="n"/>
      <c r="I40" s="111" t="n"/>
      <c r="J40" s="111" t="n"/>
      <c r="K40" s="111" t="n"/>
      <c r="L40" s="111" t="n"/>
      <c r="M40" s="109" t="inlineStr">
        <is>
          <t>DA CHIUDERE</t>
        </is>
      </c>
      <c r="N40" s="109" t="n"/>
      <c r="O40" s="109" t="n"/>
      <c r="P40" s="109" t="n"/>
      <c r="Q40" s="109" t="inlineStr">
        <is>
          <t>ESEGUITA SOSTITUZIONE BARRIERA L201HCO CON RIPRISTINO DELLA FUNZIONALITA'</t>
        </is>
      </c>
      <c r="R40" s="110" t="n">
        <v>45813</v>
      </c>
      <c r="S40" s="109" t="inlineStr">
        <is>
          <t>SPINALI/ALLEGRETTI</t>
        </is>
      </c>
      <c r="T40" s="116">
        <f>IF(AND('Inserimento dati'!$B$3=$H$2, Tabella3[[#This Row],[LUN]]="X"), "X",IF(AND('Inserimento dati'!$B$3=$I$2, Tabella3[[#This Row],[MAR]]="X"), "X", IF(AND('Inserimento dati'!$B$3=$J$2, Tabella3[[#This Row],[MER]]="X"), "X",IF(AND('Inserimento dati'!$B$3=$K$2, Tabella3[[#This Row],[GIO]]="X"), "X", IF(AND('Inserimento dati'!$B$3=$L$2, Tabella3[[#This Row],[VEN]]="X"), "X","")))))</f>
        <v/>
      </c>
      <c r="U40" s="158">
        <f>IFERROR(MID(G40,_xlfn.AGGREGATE(15,6,(ROW(INDIRECT("1:"&amp;LEN(G40)-7)))/(ISNUMBER(--MID(G40,ROW(INDIRECT("1:"&amp;LEN(G40)-7)),8))),1),8),"")</f>
        <v/>
      </c>
      <c r="V40" t="inlineStr">
        <is>
          <t>2025-09-30 20:00:00</t>
        </is>
      </c>
    </row>
    <row r="41" ht="30" customFormat="1" customHeight="1" s="45">
      <c r="A41" s="112" t="n"/>
      <c r="B41" s="112" t="inlineStr">
        <is>
          <t>X</t>
        </is>
      </c>
      <c r="C41" s="112">
        <f>IF(OR(Tabella3[[#This Row],[LUN]]="X",Tabella3[[#This Row],[MAR]]="X",Tabella3[[#This Row],[MER]]="X",Tabella3[[#This Row],[GIO]]="X",Tabella3[[#This Row],[VEN]]="X",),"X","")</f>
        <v/>
      </c>
      <c r="D41" s="113" t="inlineStr">
        <is>
          <t>AREA 3</t>
        </is>
      </c>
      <c r="E41" s="109" t="inlineStr">
        <is>
          <t>534689/C</t>
        </is>
      </c>
      <c r="F41" s="109" t="inlineStr">
        <is>
          <t>1200/1</t>
        </is>
      </c>
      <c r="G41" s="109" t="inlineStr">
        <is>
          <t xml:space="preserve"> 1200/1 -  F101 SOSTITUZIONE E MODIFICHE PER ADATTAMENTO NUOVA FOTOCELLULA CON POSA CAVI E CONDUIT</t>
        </is>
      </c>
      <c r="H41" s="111" t="n"/>
      <c r="I41" s="111" t="n"/>
      <c r="J41" s="111" t="n"/>
      <c r="K41" s="111" t="n"/>
      <c r="L41" s="111" t="n"/>
      <c r="M41" s="109" t="inlineStr">
        <is>
          <t>DA CHIUDERE</t>
        </is>
      </c>
      <c r="N41" s="109" t="n"/>
      <c r="O41" s="109" t="n"/>
      <c r="P41" s="109" t="n"/>
      <c r="Q41" s="109" t="inlineStr">
        <is>
          <t>ADATTATA NUOVA FOTOCELLULA F101 1200/1</t>
        </is>
      </c>
      <c r="R41" s="110" t="n">
        <v>45779</v>
      </c>
      <c r="S41" s="109" t="inlineStr">
        <is>
          <t>CAVALIERE</t>
        </is>
      </c>
      <c r="T41" s="116">
        <f>IF(AND('Inserimento dati'!$B$3=$H$2, Tabella3[[#This Row],[LUN]]="X"), "X",IF(AND('Inserimento dati'!$B$3=$I$2, Tabella3[[#This Row],[MAR]]="X"), "X", IF(AND('Inserimento dati'!$B$3=$J$2, Tabella3[[#This Row],[MER]]="X"), "X",IF(AND('Inserimento dati'!$B$3=$K$2, Tabella3[[#This Row],[GIO]]="X"), "X", IF(AND('Inserimento dati'!$B$3=$L$2, Tabella3[[#This Row],[VEN]]="X"), "X","")))))</f>
        <v/>
      </c>
      <c r="U41" s="158">
        <f>IFERROR(MID(G41,_xlfn.AGGREGATE(15,6,(ROW(INDIRECT("1:"&amp;LEN(G41)-7)))/(ISNUMBER(--MID(G41,ROW(INDIRECT("1:"&amp;LEN(G41)-7)),8))),1),8),"")</f>
        <v/>
      </c>
      <c r="V41" t="inlineStr">
        <is>
          <t>2025-09-30 20:00:00</t>
        </is>
      </c>
    </row>
    <row r="42" ht="30" customFormat="1" customHeight="1" s="45">
      <c r="A42" s="112" t="n"/>
      <c r="B42" s="112">
        <f>IF(OR(A42="x",A42="X"),"",IF(ISBLANK(A42),"X",""))</f>
        <v/>
      </c>
      <c r="C42" s="112">
        <f>IF(OR(Tabella3[[#This Row],[LUN]]="X",Tabella3[[#This Row],[MAR]]="X",Tabella3[[#This Row],[MER]]="X",Tabella3[[#This Row],[GIO]]="X",Tabella3[[#This Row],[VEN]]="X",),"X","")</f>
        <v/>
      </c>
      <c r="D42" s="113" t="inlineStr">
        <is>
          <t>AREA 3</t>
        </is>
      </c>
      <c r="E42" s="109" t="inlineStr">
        <is>
          <t>528549/C</t>
        </is>
      </c>
      <c r="F42" s="109" t="n">
        <v>1400</v>
      </c>
      <c r="G42" s="109" t="inlineStr">
        <is>
          <t xml:space="preserve"> 1400 -  L006RC  CONTROLLO E VERIFICA PRIMARI LIVELLO ACCUMULATORE DI CARICA</t>
        </is>
      </c>
      <c r="H42" s="111" t="n"/>
      <c r="I42" s="111" t="n"/>
      <c r="J42" s="111" t="n"/>
      <c r="K42" s="111" t="n"/>
      <c r="L42" s="111" t="n"/>
      <c r="M42" s="109" t="inlineStr">
        <is>
          <t>DA CHIUDERE</t>
        </is>
      </c>
      <c r="N42" s="109" t="n"/>
      <c r="O42" s="109" t="n"/>
      <c r="P42" s="109" t="n"/>
      <c r="Q42" s="109" t="inlineStr">
        <is>
          <t>L006R - RIPRISTINATO
L006RC - REVISIONATO IN CANTIERE E RIMONTATO</t>
        </is>
      </c>
      <c r="R42" s="110" t="n">
        <v>45756</v>
      </c>
      <c r="S42" s="109" t="inlineStr">
        <is>
          <t>MILLO</t>
        </is>
      </c>
      <c r="T42" s="116">
        <f>IF(AND('Inserimento dati'!$B$3=$H$2, Tabella3[[#This Row],[LUN]]="X"), "X",IF(AND('Inserimento dati'!$B$3=$I$2, Tabella3[[#This Row],[MAR]]="X"), "X", IF(AND('Inserimento dati'!$B$3=$J$2, Tabella3[[#This Row],[MER]]="X"), "X",IF(AND('Inserimento dati'!$B$3=$K$2, Tabella3[[#This Row],[GIO]]="X"), "X", IF(AND('Inserimento dati'!$B$3=$L$2, Tabella3[[#This Row],[VEN]]="X"), "X","")))))</f>
        <v/>
      </c>
      <c r="U42" s="158">
        <f>IFERROR(MID(G42,_xlfn.AGGREGATE(15,6,(ROW(INDIRECT("1:"&amp;LEN(G42)-7)))/(ISNUMBER(--MID(G42,ROW(INDIRECT("1:"&amp;LEN(G42)-7)),8))),1),8),"")</f>
        <v/>
      </c>
      <c r="V42" t="inlineStr">
        <is>
          <t>2025-09-30 20:00:00</t>
        </is>
      </c>
    </row>
    <row r="43" ht="23.25" customFormat="1" customHeight="1" s="45">
      <c r="A43" s="112" t="n"/>
      <c r="B43" s="112">
        <f>IF(OR(A43="x",A43="X"),"",IF(ISBLANK(A43),"X",""))</f>
        <v/>
      </c>
      <c r="C43" s="112">
        <f>IF(OR(Tabella3[[#This Row],[LUN]]="X",Tabella3[[#This Row],[MAR]]="X",Tabella3[[#This Row],[MER]]="X",Tabella3[[#This Row],[GIO]]="X",Tabella3[[#This Row],[VEN]]="X",),"X","")</f>
        <v/>
      </c>
      <c r="D43" s="113" t="inlineStr">
        <is>
          <t>AREA 3</t>
        </is>
      </c>
      <c r="E43" s="109" t="inlineStr">
        <is>
          <t>535029/C</t>
        </is>
      </c>
      <c r="F43" s="109" t="inlineStr">
        <is>
          <t>1200/2</t>
        </is>
      </c>
      <c r="G43" s="109" t="inlineStr">
        <is>
          <t xml:space="preserve"> 10223031 1200/2 - CONTROLLO Z2F301RC controllo funzionale</t>
        </is>
      </c>
      <c r="H43" s="111" t="n"/>
      <c r="I43" s="111" t="n"/>
      <c r="J43" s="111" t="n"/>
      <c r="K43" s="111" t="n"/>
      <c r="L43" s="111" t="n"/>
      <c r="M43" s="109" t="inlineStr">
        <is>
          <t>DA CHIUDERE</t>
        </is>
      </c>
      <c r="N43" s="109" t="n"/>
      <c r="O43" s="109" t="n"/>
      <c r="P43" s="109" t="n"/>
      <c r="Q43" s="109" t="n"/>
      <c r="R43" s="110" t="n">
        <v>45779</v>
      </c>
      <c r="S43" s="109" t="n"/>
      <c r="T43" s="116">
        <f>IF(AND('Inserimento dati'!$B$3=$H$2, Tabella3[[#This Row],[LUN]]="X"), "X",IF(AND('Inserimento dati'!$B$3=$I$2, Tabella3[[#This Row],[MAR]]="X"), "X", IF(AND('Inserimento dati'!$B$3=$J$2, Tabella3[[#This Row],[MER]]="X"), "X",IF(AND('Inserimento dati'!$B$3=$K$2, Tabella3[[#This Row],[GIO]]="X"), "X", IF(AND('Inserimento dati'!$B$3=$L$2, Tabella3[[#This Row],[VEN]]="X"), "X","")))))</f>
        <v/>
      </c>
      <c r="U43" s="158">
        <f>IFERROR(MID(G43,_xlfn.AGGREGATE(15,6,(ROW(INDIRECT("1:"&amp;LEN(G43)-7)))/(ISNUMBER(--MID(G43,ROW(INDIRECT("1:"&amp;LEN(G43)-7)),8))),1),8),"")</f>
        <v/>
      </c>
      <c r="V43" t="inlineStr">
        <is>
          <t>2025-09-30 20:00:00</t>
        </is>
      </c>
    </row>
    <row r="44" ht="23.25" customFormat="1" customHeight="1" s="45">
      <c r="A44" s="112" t="n"/>
      <c r="B44" s="112">
        <f>IF(OR(A44="x",A44="X"),"",IF(ISBLANK(A44),"X",""))</f>
        <v/>
      </c>
      <c r="C44" s="112">
        <f>IF(OR(Tabella3[[#This Row],[LUN]]="X",Tabella3[[#This Row],[MAR]]="X",Tabella3[[#This Row],[MER]]="X",Tabella3[[#This Row],[GIO]]="X",Tabella3[[#This Row],[VEN]]="X",),"X","")</f>
        <v/>
      </c>
      <c r="D44" s="113" t="inlineStr">
        <is>
          <t>AREA 3</t>
        </is>
      </c>
      <c r="E44" s="109" t="inlineStr">
        <is>
          <t>535081/C</t>
        </is>
      </c>
      <c r="F44" s="109" t="n">
        <v>2200</v>
      </c>
      <c r="G44" s="109" t="inlineStr">
        <is>
          <t xml:space="preserve"> 2200 - L522R CONTROLLO FUNZIONALE</t>
        </is>
      </c>
      <c r="H44" s="111" t="n"/>
      <c r="I44" s="111" t="n"/>
      <c r="J44" s="111" t="n"/>
      <c r="K44" s="111" t="n"/>
      <c r="L44" s="111" t="n"/>
      <c r="M44" s="109" t="inlineStr">
        <is>
          <t>DA CHIUDERE</t>
        </is>
      </c>
      <c r="N44" s="109" t="n"/>
      <c r="O44" s="109" t="n"/>
      <c r="P44" s="109" t="n"/>
      <c r="Q44" s="109" t="inlineStr">
        <is>
          <t>ESEGUITO SPURGO CON RIPRISTINO DELLA FUNZIONALITA'</t>
        </is>
      </c>
      <c r="R44" s="110" t="n">
        <v>45779</v>
      </c>
      <c r="S44" s="109" t="inlineStr">
        <is>
          <t>SPINALI</t>
        </is>
      </c>
      <c r="T44" s="116">
        <f>IF(AND('Inserimento dati'!$B$3=$H$2, Tabella3[[#This Row],[LUN]]="X"), "X",IF(AND('Inserimento dati'!$B$3=$I$2, Tabella3[[#This Row],[MAR]]="X"), "X", IF(AND('Inserimento dati'!$B$3=$J$2, Tabella3[[#This Row],[MER]]="X"), "X",IF(AND('Inserimento dati'!$B$3=$K$2, Tabella3[[#This Row],[GIO]]="X"), "X", IF(AND('Inserimento dati'!$B$3=$L$2, Tabella3[[#This Row],[VEN]]="X"), "X","")))))</f>
        <v/>
      </c>
      <c r="U44" s="158">
        <f>IFERROR(MID(G44,_xlfn.AGGREGATE(15,6,(ROW(INDIRECT("1:"&amp;LEN(G44)-7)))/(ISNUMBER(--MID(G44,ROW(INDIRECT("1:"&amp;LEN(G44)-7)),8))),1),8),"")</f>
        <v/>
      </c>
      <c r="V44" t="inlineStr">
        <is>
          <t>2025-09-30 20:00:00</t>
        </is>
      </c>
    </row>
    <row r="45" ht="30" customFormat="1" customHeight="1" s="45">
      <c r="A45" s="112" t="n"/>
      <c r="B45" s="112">
        <f>IF(OR(A45="x",A45="X"),"",IF(ISBLANK(A45),"X",""))</f>
        <v/>
      </c>
      <c r="C45" s="112">
        <f>IF(OR(Tabella3[[#This Row],[LUN]]="X",Tabella3[[#This Row],[MAR]]="X",Tabella3[[#This Row],[MER]]="X",Tabella3[[#This Row],[GIO]]="X",Tabella3[[#This Row],[VEN]]="X",),"X","")</f>
        <v/>
      </c>
      <c r="D45" s="113" t="inlineStr">
        <is>
          <t>AREA 3</t>
        </is>
      </c>
      <c r="E45" s="109" t="inlineStr">
        <is>
          <t>534564/C</t>
        </is>
      </c>
      <c r="F45" s="109" t="inlineStr">
        <is>
          <t>1200/1</t>
        </is>
      </c>
      <c r="G45" s="109" t="inlineStr">
        <is>
          <t xml:space="preserve"> 10222781 1200/1 - CONTROLLO FOTOCELLULA F101</t>
        </is>
      </c>
      <c r="H45" s="111" t="n"/>
      <c r="I45" s="111" t="n"/>
      <c r="J45" s="111" t="n"/>
      <c r="K45" s="111" t="n"/>
      <c r="L45" s="111" t="n"/>
      <c r="M45" s="109" t="inlineStr">
        <is>
          <t>DA CHIUDERE</t>
        </is>
      </c>
      <c r="N45" s="109" t="n"/>
      <c r="O45" s="109" t="n"/>
      <c r="P45" s="109" t="n"/>
      <c r="Q45" s="109" t="inlineStr">
        <is>
          <t>SI PROSEGUE CON IL MONTAGGIO DI NUOVA FOTOCELLULA DURAG A CURA CAVALIERI</t>
        </is>
      </c>
      <c r="R45" s="110" t="n">
        <v>45775</v>
      </c>
      <c r="S45" s="109" t="inlineStr">
        <is>
          <t>MILLO/ALLEGRETTI</t>
        </is>
      </c>
      <c r="T45" s="116">
        <f>IF(AND('Inserimento dati'!$B$3=$H$2, Tabella3[[#This Row],[LUN]]="X"), "X",IF(AND('Inserimento dati'!$B$3=$I$2, Tabella3[[#This Row],[MAR]]="X"), "X", IF(AND('Inserimento dati'!$B$3=$J$2, Tabella3[[#This Row],[MER]]="X"), "X",IF(AND('Inserimento dati'!$B$3=$K$2, Tabella3[[#This Row],[GIO]]="X"), "X", IF(AND('Inserimento dati'!$B$3=$L$2, Tabella3[[#This Row],[VEN]]="X"), "X","")))))</f>
        <v/>
      </c>
      <c r="U45" s="158">
        <f>IFERROR(MID(G45,_xlfn.AGGREGATE(15,6,(ROW(INDIRECT("1:"&amp;LEN(G45)-7)))/(ISNUMBER(--MID(G45,ROW(INDIRECT("1:"&amp;LEN(G45)-7)),8))),1),8),"")</f>
        <v/>
      </c>
      <c r="V45" t="inlineStr">
        <is>
          <t>2025-09-30 20:00:00</t>
        </is>
      </c>
    </row>
    <row r="46" ht="30" customFormat="1" customHeight="1" s="45">
      <c r="A46" s="112" t="n"/>
      <c r="B46" s="112">
        <f>IF(OR(A46="x",A46="X"),"",IF(ISBLANK(A46),"X",""))</f>
        <v/>
      </c>
      <c r="C46" s="112">
        <f>IF(OR(Tabella3[[#This Row],[LUN]]="X",Tabella3[[#This Row],[MAR]]="X",Tabella3[[#This Row],[MER]]="X",Tabella3[[#This Row],[GIO]]="X",Tabella3[[#This Row],[VEN]]="X",),"X","")</f>
        <v/>
      </c>
      <c r="D46" s="113" t="inlineStr">
        <is>
          <t>AREA 3</t>
        </is>
      </c>
      <c r="E46" s="109" t="inlineStr">
        <is>
          <t>534534/C</t>
        </is>
      </c>
      <c r="F46" s="109" t="n">
        <v>800</v>
      </c>
      <c r="G46" s="109" t="inlineStr">
        <is>
          <t xml:space="preserve"> 10222780 800 - RIPRISTINO LCV109 loop di regolazione</t>
        </is>
      </c>
      <c r="H46" s="111" t="n"/>
      <c r="I46" s="111" t="n"/>
      <c r="J46" s="111" t="n"/>
      <c r="K46" s="111" t="n"/>
      <c r="L46" s="111" t="n"/>
      <c r="M46" s="109" t="inlineStr">
        <is>
          <t>DA CHIUDERE</t>
        </is>
      </c>
      <c r="N46" s="109" t="n"/>
      <c r="O46" s="109" t="n"/>
      <c r="P46" s="109" t="n"/>
      <c r="Q46" s="109" t="inlineStr">
        <is>
          <t>RIPRISTINATO LOOP, VALVOLA OK</t>
        </is>
      </c>
      <c r="R46" s="110" t="n">
        <v>45775</v>
      </c>
      <c r="S46" s="109" t="inlineStr">
        <is>
          <t>GIGLIUTO/OGNISANTI</t>
        </is>
      </c>
      <c r="T46" s="116">
        <f>IF(AND('Inserimento dati'!$B$3=$H$2, Tabella3[[#This Row],[LUN]]="X"), "X",IF(AND('Inserimento dati'!$B$3=$I$2, Tabella3[[#This Row],[MAR]]="X"), "X", IF(AND('Inserimento dati'!$B$3=$J$2, Tabella3[[#This Row],[MER]]="X"), "X",IF(AND('Inserimento dati'!$B$3=$K$2, Tabella3[[#This Row],[GIO]]="X"), "X", IF(AND('Inserimento dati'!$B$3=$L$2, Tabella3[[#This Row],[VEN]]="X"), "X","")))))</f>
        <v/>
      </c>
      <c r="U46" s="158">
        <f>IFERROR(MID(G46,_xlfn.AGGREGATE(15,6,(ROW(INDIRECT("1:"&amp;LEN(G46)-7)))/(ISNUMBER(--MID(G46,ROW(INDIRECT("1:"&amp;LEN(G46)-7)),8))),1),8),"")</f>
        <v/>
      </c>
      <c r="V46" t="inlineStr">
        <is>
          <t>2025-09-30 20:00:00</t>
        </is>
      </c>
    </row>
    <row r="47" ht="30" customFormat="1" customHeight="1" s="45">
      <c r="A47" s="112" t="n"/>
      <c r="B47" s="112">
        <f>IF(OR(A47="x",A47="X"),"",IF(ISBLANK(A47),"X",""))</f>
        <v/>
      </c>
      <c r="C47" s="112">
        <f>IF(OR(Tabella3[[#This Row],[LUN]]="X",Tabella3[[#This Row],[MAR]]="X",Tabella3[[#This Row],[MER]]="X",Tabella3[[#This Row],[GIO]]="X",Tabella3[[#This Row],[VEN]]="X",),"X","")</f>
        <v/>
      </c>
      <c r="D47" s="113" t="inlineStr">
        <is>
          <t>AREA 3</t>
        </is>
      </c>
      <c r="E47" s="109" t="inlineStr">
        <is>
          <t>528848/C</t>
        </is>
      </c>
      <c r="F47" s="109" t="n">
        <v>1800</v>
      </c>
      <c r="G47" s="109" t="inlineStr">
        <is>
          <t xml:space="preserve"> 10219418 1800 - VERIFICA FCV451</t>
        </is>
      </c>
      <c r="H47" s="111" t="n"/>
      <c r="I47" s="111" t="n"/>
      <c r="J47" s="111" t="n"/>
      <c r="K47" s="111" t="n"/>
      <c r="L47" s="111" t="n"/>
      <c r="M47" s="109" t="inlineStr">
        <is>
          <t>DA CHIUDERE</t>
        </is>
      </c>
      <c r="N47" s="109" t="n"/>
      <c r="O47" s="109" t="n"/>
      <c r="P47" s="109" t="n"/>
      <c r="Q47" s="109" t="inlineStr">
        <is>
          <t>INTERCETTI VALVOLA DA REVISIONARE, LA PNEUMATICA E' OK</t>
        </is>
      </c>
      <c r="R47" s="110" t="n">
        <v>45775</v>
      </c>
      <c r="S47" s="109" t="inlineStr">
        <is>
          <t>CIANCHINO/SAGGIO</t>
        </is>
      </c>
      <c r="T47" s="116">
        <f>IF(AND('Inserimento dati'!$B$3=$H$2, Tabella3[[#This Row],[LUN]]="X"), "X",IF(AND('Inserimento dati'!$B$3=$I$2, Tabella3[[#This Row],[MAR]]="X"), "X", IF(AND('Inserimento dati'!$B$3=$J$2, Tabella3[[#This Row],[MER]]="X"), "X",IF(AND('Inserimento dati'!$B$3=$K$2, Tabella3[[#This Row],[GIO]]="X"), "X", IF(AND('Inserimento dati'!$B$3=$L$2, Tabella3[[#This Row],[VEN]]="X"), "X","")))))</f>
        <v/>
      </c>
      <c r="U47" s="158">
        <f>IFERROR(MID(G47,_xlfn.AGGREGATE(15,6,(ROW(INDIRECT("1:"&amp;LEN(G47)-7)))/(ISNUMBER(--MID(G47,ROW(INDIRECT("1:"&amp;LEN(G47)-7)),8))),1),8),"")</f>
        <v/>
      </c>
      <c r="V47" t="inlineStr">
        <is>
          <t>2025-09-30 20:00:00</t>
        </is>
      </c>
    </row>
    <row r="48" ht="23.25" customFormat="1" customHeight="1" s="45">
      <c r="A48" s="112" t="n"/>
      <c r="B48" s="112">
        <f>IF(OR(A48="x",A48="X"),"",IF(ISBLANK(A48),"X",""))</f>
        <v/>
      </c>
      <c r="C48" s="112">
        <f>IF(OR(Tabella3[[#This Row],[LUN]]="X",Tabella3[[#This Row],[MAR]]="X",Tabella3[[#This Row],[MER]]="X",Tabella3[[#This Row],[GIO]]="X",Tabella3[[#This Row],[VEN]]="X",),"X","")</f>
        <v/>
      </c>
      <c r="D48" s="113" t="inlineStr">
        <is>
          <t>AREA 3</t>
        </is>
      </c>
      <c r="E48" s="109" t="inlineStr">
        <is>
          <t>534438/C</t>
        </is>
      </c>
      <c r="F48" s="109" t="n">
        <v>1800</v>
      </c>
      <c r="G48" s="109" t="inlineStr">
        <is>
          <t xml:space="preserve"> 1800 - TARATURA 18FR003RC (VAPORE AD E102) CONTROLLO LOOP DI REGOLAZIONE</t>
        </is>
      </c>
      <c r="H48" s="111" t="n"/>
      <c r="I48" s="111" t="n"/>
      <c r="J48" s="111" t="n"/>
      <c r="K48" s="111" t="n"/>
      <c r="L48" s="111" t="n"/>
      <c r="M48" s="109" t="inlineStr">
        <is>
          <t>DA CHIUDERE</t>
        </is>
      </c>
      <c r="N48" s="110" t="n"/>
      <c r="O48" s="110" t="n"/>
      <c r="P48" s="110" t="n"/>
      <c r="Q48" s="110" t="inlineStr">
        <is>
          <t>STARATO DI ZERO, CORRETTO E RIPRISTINATA LA FUNZIONALITA'</t>
        </is>
      </c>
      <c r="R48" s="110" t="n">
        <v>45771</v>
      </c>
      <c r="S48" s="110" t="inlineStr">
        <is>
          <t>SPINALI</t>
        </is>
      </c>
      <c r="T48" s="116">
        <f>IF(AND('Inserimento dati'!$B$3=$H$2, Tabella3[[#This Row],[LUN]]="X"), "X",IF(AND('Inserimento dati'!$B$3=$I$2, Tabella3[[#This Row],[MAR]]="X"), "X", IF(AND('Inserimento dati'!$B$3=$J$2, Tabella3[[#This Row],[MER]]="X"), "X",IF(AND('Inserimento dati'!$B$3=$K$2, Tabella3[[#This Row],[GIO]]="X"), "X", IF(AND('Inserimento dati'!$B$3=$L$2, Tabella3[[#This Row],[VEN]]="X"), "X","")))))</f>
        <v/>
      </c>
      <c r="U48" s="158">
        <f>IFERROR(MID(G48,_xlfn.AGGREGATE(15,6,(ROW(INDIRECT("1:"&amp;LEN(G48)-7)))/(ISNUMBER(--MID(G48,ROW(INDIRECT("1:"&amp;LEN(G48)-7)),8))),1),8),"")</f>
        <v/>
      </c>
      <c r="V48" t="inlineStr">
        <is>
          <t>2025-09-30 20:00:00</t>
        </is>
      </c>
    </row>
    <row r="49" ht="23.25" customFormat="1" customHeight="1" s="45">
      <c r="A49" s="112" t="n"/>
      <c r="B49" s="112">
        <f>IF(OR(A49="x",A49="X"),"",IF(ISBLANK(A49),"X",""))</f>
        <v/>
      </c>
      <c r="C49" s="112">
        <f>IF(OR(Tabella3[[#This Row],[LUN]]="X",Tabella3[[#This Row],[MAR]]="X",Tabella3[[#This Row],[MER]]="X",Tabella3[[#This Row],[GIO]]="X",Tabella3[[#This Row],[VEN]]="X",),"X","")</f>
        <v/>
      </c>
      <c r="D49" s="113" t="inlineStr">
        <is>
          <t>AREA 3</t>
        </is>
      </c>
      <c r="E49" s="109" t="inlineStr">
        <is>
          <t>529828/C</t>
        </is>
      </c>
      <c r="F49" s="109" t="n">
        <v>700</v>
      </c>
      <c r="G49" s="109" t="inlineStr">
        <is>
          <t xml:space="preserve"> 10218699 700 - FCV189 controllo funzionale valvola</t>
        </is>
      </c>
      <c r="H49" s="111" t="n"/>
      <c r="I49" s="111" t="n"/>
      <c r="J49" s="111" t="n"/>
      <c r="K49" s="111" t="n"/>
      <c r="L49" s="111" t="n"/>
      <c r="M49" s="109" t="inlineStr">
        <is>
          <t>DA CHIUDERE</t>
        </is>
      </c>
      <c r="N49" s="109" t="n"/>
      <c r="O49" s="109" t="n"/>
      <c r="P49" s="109" t="n"/>
      <c r="Q49" s="109" t="inlineStr">
        <is>
          <t xml:space="preserve">ESEGUITO CONTROLLO FUNZIONALE </t>
        </is>
      </c>
      <c r="R49" s="110" t="n">
        <v>45771</v>
      </c>
      <c r="S49" s="109" t="inlineStr">
        <is>
          <t>OGNISANTI</t>
        </is>
      </c>
      <c r="T49" s="116">
        <f>IF(AND('Inserimento dati'!$B$3=$H$2, Tabella3[[#This Row],[LUN]]="X"), "X",IF(AND('Inserimento dati'!$B$3=$I$2, Tabella3[[#This Row],[MAR]]="X"), "X", IF(AND('Inserimento dati'!$B$3=$J$2, Tabella3[[#This Row],[MER]]="X"), "X",IF(AND('Inserimento dati'!$B$3=$K$2, Tabella3[[#This Row],[GIO]]="X"), "X", IF(AND('Inserimento dati'!$B$3=$L$2, Tabella3[[#This Row],[VEN]]="X"), "X","")))))</f>
        <v/>
      </c>
      <c r="U49" s="158">
        <f>IFERROR(MID(G49,_xlfn.AGGREGATE(15,6,(ROW(INDIRECT("1:"&amp;LEN(G49)-7)))/(ISNUMBER(--MID(G49,ROW(INDIRECT("1:"&amp;LEN(G49)-7)),8))),1),8),"")</f>
        <v/>
      </c>
      <c r="V49" t="inlineStr">
        <is>
          <t>2025-09-30 20:00:00</t>
        </is>
      </c>
    </row>
    <row r="50" ht="30" customFormat="1" customHeight="1" s="45">
      <c r="A50" s="112" t="n"/>
      <c r="B50" s="112">
        <f>IF(OR(A50="x",A50="X"),"",IF(ISBLANK(A50),"X",""))</f>
        <v/>
      </c>
      <c r="C50" s="112">
        <f>IF(OR(Tabella3[[#This Row],[LUN]]="X",Tabella3[[#This Row],[MAR]]="X",Tabella3[[#This Row],[MER]]="X",Tabella3[[#This Row],[GIO]]="X",Tabella3[[#This Row],[VEN]]="X",),"X","")</f>
        <v/>
      </c>
      <c r="D50" s="113" t="inlineStr">
        <is>
          <t>AREA 3</t>
        </is>
      </c>
      <c r="E50" s="109" t="inlineStr">
        <is>
          <t>533929/C</t>
        </is>
      </c>
      <c r="F50" s="109" t="inlineStr">
        <is>
          <t>1200/1</t>
        </is>
      </c>
      <c r="G50" s="109" t="inlineStr">
        <is>
          <t xml:space="preserve"> 1200/1 - P402R  CONTROLLO FUNZIONALE</t>
        </is>
      </c>
      <c r="H50" s="111" t="n"/>
      <c r="I50" s="111" t="n"/>
      <c r="J50" s="111" t="n"/>
      <c r="K50" s="111" t="n"/>
      <c r="L50" s="111" t="n"/>
      <c r="M50" s="109" t="inlineStr">
        <is>
          <t>DA CHIUDERE</t>
        </is>
      </c>
      <c r="N50" s="109" t="n"/>
      <c r="O50" s="109" t="n"/>
      <c r="P50" s="109" t="n"/>
      <c r="Q50" s="109" t="inlineStr">
        <is>
          <t>CASSETTA JB PIENA D'ACQUA, ASCIUGATA CON RIPRISTINO DELLA FUNZINALITA'</t>
        </is>
      </c>
      <c r="R50" s="110" t="n">
        <v>45770</v>
      </c>
      <c r="S50" s="109" t="inlineStr">
        <is>
          <t>TARASCIO</t>
        </is>
      </c>
      <c r="T50" s="116">
        <f>IF(AND('Inserimento dati'!$B$3=$H$2, Tabella3[[#This Row],[LUN]]="X"), "X",IF(AND('Inserimento dati'!$B$3=$I$2, Tabella3[[#This Row],[MAR]]="X"), "X", IF(AND('Inserimento dati'!$B$3=$J$2, Tabella3[[#This Row],[MER]]="X"), "X",IF(AND('Inserimento dati'!$B$3=$K$2, Tabella3[[#This Row],[GIO]]="X"), "X", IF(AND('Inserimento dati'!$B$3=$L$2, Tabella3[[#This Row],[VEN]]="X"), "X","")))))</f>
        <v/>
      </c>
      <c r="U50" s="158">
        <f>IFERROR(MID(G50,_xlfn.AGGREGATE(15,6,(ROW(INDIRECT("1:"&amp;LEN(G50)-7)))/(ISNUMBER(--MID(G50,ROW(INDIRECT("1:"&amp;LEN(G50)-7)),8))),1),8),"")</f>
        <v/>
      </c>
      <c r="V50" t="inlineStr">
        <is>
          <t>2025-09-30 20:00:00</t>
        </is>
      </c>
    </row>
    <row r="51" ht="23.25" customFormat="1" customHeight="1" s="45">
      <c r="A51" s="112" t="n"/>
      <c r="B51" s="112">
        <f>IF(OR(A51="x",A51="X"),"",IF(ISBLANK(A51),"X",""))</f>
        <v/>
      </c>
      <c r="C51" s="112">
        <f>IF(OR(Tabella3[[#This Row],[LUN]]="X",Tabella3[[#This Row],[MAR]]="X",Tabella3[[#This Row],[MER]]="X",Tabella3[[#This Row],[GIO]]="X",Tabella3[[#This Row],[VEN]]="X",),"X","")</f>
        <v/>
      </c>
      <c r="D51" s="113" t="inlineStr">
        <is>
          <t>AREA 3</t>
        </is>
      </c>
      <c r="E51" s="109" t="inlineStr">
        <is>
          <t>522335/C</t>
        </is>
      </c>
      <c r="F51" s="109" t="inlineStr">
        <is>
          <t>1200/0</t>
        </is>
      </c>
      <c r="G51" s="109" t="inlineStr">
        <is>
          <t xml:space="preserve"> 1200/0 - H967BIC -sblocco  valvola carica F901/B </t>
        </is>
      </c>
      <c r="H51" s="111" t="n"/>
      <c r="I51" s="111" t="n"/>
      <c r="J51" s="111" t="n"/>
      <c r="K51" s="111" t="n"/>
      <c r="L51" s="111" t="n"/>
      <c r="M51" s="109" t="inlineStr">
        <is>
          <t>DA CHIUDERE</t>
        </is>
      </c>
      <c r="N51" s="109" t="n"/>
      <c r="O51" s="109" t="n"/>
      <c r="P51" s="109" t="n"/>
      <c r="Q51" s="109" t="n"/>
      <c r="R51" s="110" t="n"/>
      <c r="S51" s="110" t="n"/>
      <c r="T51" s="112">
        <f>IF(AND('Inserimento dati'!$B$3=$H$2, Tabella3[[#This Row],[LUN]]="X"), "X",IF(AND('Inserimento dati'!$B$3=$I$2, Tabella3[[#This Row],[MAR]]="X"), "X", IF(AND('Inserimento dati'!$B$3=$J$2, Tabella3[[#This Row],[MER]]="X"), "X",IF(AND('Inserimento dati'!$B$3=$K$2, Tabella3[[#This Row],[GIO]]="X"), "X", IF(AND('Inserimento dati'!$B$3=$L$2, Tabella3[[#This Row],[VEN]]="X"), "X","")))))</f>
        <v/>
      </c>
      <c r="U51" s="158">
        <f>IFERROR(MID(G51,_xlfn.AGGREGATE(15,6,(ROW(INDIRECT("1:"&amp;LEN(G51)-7)))/(ISNUMBER(--MID(G51,ROW(INDIRECT("1:"&amp;LEN(G51)-7)),8))),1),8),"")</f>
        <v/>
      </c>
      <c r="V51" t="inlineStr">
        <is>
          <t>2025-09-30 20:00:00</t>
        </is>
      </c>
    </row>
    <row r="52" ht="23.25" customFormat="1" customHeight="1" s="45">
      <c r="A52" s="112" t="n"/>
      <c r="B52" s="112">
        <f>IF(OR(A52="x",A52="X"),"",IF(ISBLANK(A52),"X",""))</f>
        <v/>
      </c>
      <c r="C52" s="112">
        <f>IF(OR(Tabella3[[#This Row],[LUN]]="X",Tabella3[[#This Row],[MAR]]="X",Tabella3[[#This Row],[MER]]="X",Tabella3[[#This Row],[GIO]]="X",Tabella3[[#This Row],[VEN]]="X",),"X","")</f>
        <v/>
      </c>
      <c r="D52" s="113" t="inlineStr">
        <is>
          <t>AREA 3</t>
        </is>
      </c>
      <c r="E52" s="109" t="inlineStr">
        <is>
          <t>532166/C</t>
        </is>
      </c>
      <c r="F52" s="109" t="inlineStr">
        <is>
          <t>700A</t>
        </is>
      </c>
      <c r="G52" s="109" t="inlineStr">
        <is>
          <t xml:space="preserve"> 10215242 700A - 07P210RC taratura</t>
        </is>
      </c>
      <c r="H52" s="111" t="n"/>
      <c r="I52" s="111" t="n"/>
      <c r="J52" s="111" t="n"/>
      <c r="K52" s="111" t="n"/>
      <c r="L52" s="111" t="n"/>
      <c r="M52" s="109" t="inlineStr">
        <is>
          <t>DA CHIUDERE</t>
        </is>
      </c>
      <c r="N52" s="109" t="n"/>
      <c r="O52" s="109" t="n"/>
      <c r="P52" s="109" t="n"/>
      <c r="Q52" s="109" t="inlineStr">
        <is>
          <t>STASATO CON RIPRISTINO DELLA FUNZIONALITA'</t>
        </is>
      </c>
      <c r="R52" s="110" t="n">
        <v>45761</v>
      </c>
      <c r="S52" s="110" t="inlineStr">
        <is>
          <t>TARASCIO</t>
        </is>
      </c>
      <c r="T52" s="112">
        <f>IF(AND('Inserimento dati'!$B$3=$H$2, Tabella3[[#This Row],[LUN]]="X"), "X",IF(AND('Inserimento dati'!$B$3=$I$2, Tabella3[[#This Row],[MAR]]="X"), "X", IF(AND('Inserimento dati'!$B$3=$J$2, Tabella3[[#This Row],[MER]]="X"), "X",IF(AND('Inserimento dati'!$B$3=$K$2, Tabella3[[#This Row],[GIO]]="X"), "X", IF(AND('Inserimento dati'!$B$3=$L$2, Tabella3[[#This Row],[VEN]]="X"), "X","")))))</f>
        <v/>
      </c>
      <c r="U52" s="158">
        <f>IFERROR(MID(G52,_xlfn.AGGREGATE(15,6,(ROW(INDIRECT("1:"&amp;LEN(G52)-7)))/(ISNUMBER(--MID(G52,ROW(INDIRECT("1:"&amp;LEN(G52)-7)),8))),1),8),"")</f>
        <v/>
      </c>
      <c r="V52" t="inlineStr">
        <is>
          <t>2025-09-30 20:00:00</t>
        </is>
      </c>
    </row>
    <row r="53" ht="30" customFormat="1" customHeight="1" s="45">
      <c r="A53" s="112" t="n"/>
      <c r="B53" s="112">
        <f>IF(OR(A53="x",A53="X"),"",IF(ISBLANK(A53),"X",""))</f>
        <v/>
      </c>
      <c r="C53" s="112">
        <f>IF(OR(Tabella3[[#This Row],[LUN]]="X",Tabella3[[#This Row],[MAR]]="X",Tabella3[[#This Row],[MER]]="X",Tabella3[[#This Row],[GIO]]="X",Tabella3[[#This Row],[VEN]]="X",),"X","")</f>
        <v/>
      </c>
      <c r="D53" s="113" t="inlineStr">
        <is>
          <t>AREA 3</t>
        </is>
      </c>
      <c r="E53" s="109" t="inlineStr">
        <is>
          <t>532249/C</t>
        </is>
      </c>
      <c r="F53" s="109" t="inlineStr">
        <is>
          <t>1200/M</t>
        </is>
      </c>
      <c r="G53" s="109" t="inlineStr">
        <is>
          <t xml:space="preserve"> 10215992 1200/M - Misuratori pressione In/OUT R201 ZMP781R/ZMP780R/ZMP708DI  controllo funzionale</t>
        </is>
      </c>
      <c r="H53" s="111" t="n"/>
      <c r="I53" s="111" t="n"/>
      <c r="J53" s="111" t="n"/>
      <c r="K53" s="111" t="n"/>
      <c r="L53" s="111" t="n"/>
      <c r="M53" s="109" t="inlineStr">
        <is>
          <t>DA CHIUDERE</t>
        </is>
      </c>
      <c r="N53" s="109" t="n"/>
      <c r="O53" s="109" t="n"/>
      <c r="P53" s="109" t="n"/>
      <c r="Q53" s="109" t="inlineStr">
        <is>
          <t>CAMBIARE RANGE A DCS</t>
        </is>
      </c>
      <c r="R53" s="110" t="n">
        <v>45758</v>
      </c>
      <c r="S53" s="110" t="inlineStr">
        <is>
          <t>SPINALI</t>
        </is>
      </c>
      <c r="T53" s="112">
        <f>IF(AND('Inserimento dati'!$B$3=$H$2, Tabella3[[#This Row],[LUN]]="X"), "X",IF(AND('Inserimento dati'!$B$3=$I$2, Tabella3[[#This Row],[MAR]]="X"), "X", IF(AND('Inserimento dati'!$B$3=$J$2, Tabella3[[#This Row],[MER]]="X"), "X",IF(AND('Inserimento dati'!$B$3=$K$2, Tabella3[[#This Row],[GIO]]="X"), "X", IF(AND('Inserimento dati'!$B$3=$L$2, Tabella3[[#This Row],[VEN]]="X"), "X","")))))</f>
        <v/>
      </c>
      <c r="U53" s="158">
        <f>IFERROR(MID(G53,_xlfn.AGGREGATE(15,6,(ROW(INDIRECT("1:"&amp;LEN(G53)-7)))/(ISNUMBER(--MID(G53,ROW(INDIRECT("1:"&amp;LEN(G53)-7)),8))),1),8),"")</f>
        <v/>
      </c>
      <c r="V53" t="inlineStr">
        <is>
          <t>2025-09-30 20:00:00</t>
        </is>
      </c>
    </row>
    <row r="54" ht="23.25" customFormat="1" customHeight="1" s="45">
      <c r="A54" s="112" t="n"/>
      <c r="B54" s="112">
        <f>IF(OR(A54="x",A54="X"),"",IF(ISBLANK(A54),"X",""))</f>
        <v/>
      </c>
      <c r="C54" s="112">
        <f>IF(OR(Tabella3[[#This Row],[LUN]]="X",Tabella3[[#This Row],[MAR]]="X",Tabella3[[#This Row],[MER]]="X",Tabella3[[#This Row],[GIO]]="X",Tabella3[[#This Row],[VEN]]="X",),"X","")</f>
        <v/>
      </c>
      <c r="D54" s="113" t="inlineStr">
        <is>
          <t>AREA 3</t>
        </is>
      </c>
      <c r="E54" s="109" t="inlineStr">
        <is>
          <t>532875/C</t>
        </is>
      </c>
      <c r="F54" s="109" t="n">
        <v>800</v>
      </c>
      <c r="G54" s="109" t="inlineStr">
        <is>
          <t xml:space="preserve"> 800 - PCV121 RIPRISTINO FUNZIONALE VALVOLA</t>
        </is>
      </c>
      <c r="H54" s="111" t="n"/>
      <c r="I54" s="111" t="n"/>
      <c r="J54" s="111" t="n"/>
      <c r="K54" s="111" t="n"/>
      <c r="L54" s="111" t="n"/>
      <c r="M54" s="109" t="inlineStr">
        <is>
          <t>DA CHIUDERE</t>
        </is>
      </c>
      <c r="N54" s="109" t="n"/>
      <c r="O54" s="109" t="n"/>
      <c r="P54" s="109" t="n"/>
      <c r="Q54" s="109" t="inlineStr">
        <is>
          <t>SOSTITUITO FILTRO RIDUTTORE E POSIZIONATORE</t>
        </is>
      </c>
      <c r="R54" s="110" t="n">
        <v>45757</v>
      </c>
      <c r="S54" s="109" t="inlineStr">
        <is>
          <t>GARRO</t>
        </is>
      </c>
      <c r="T54" s="116">
        <f>IF(AND('Inserimento dati'!$B$3=$H$2, Tabella3[[#This Row],[LUN]]="X"), "X",IF(AND('Inserimento dati'!$B$3=$I$2, Tabella3[[#This Row],[MAR]]="X"), "X", IF(AND('Inserimento dati'!$B$3=$J$2, Tabella3[[#This Row],[MER]]="X"), "X",IF(AND('Inserimento dati'!$B$3=$K$2, Tabella3[[#This Row],[GIO]]="X"), "X", IF(AND('Inserimento dati'!$B$3=$L$2, Tabella3[[#This Row],[VEN]]="X"), "X","")))))</f>
        <v/>
      </c>
      <c r="U54" s="158">
        <f>IFERROR(MID(G54,_xlfn.AGGREGATE(15,6,(ROW(INDIRECT("1:"&amp;LEN(G54)-7)))/(ISNUMBER(--MID(G54,ROW(INDIRECT("1:"&amp;LEN(G54)-7)),8))),1),8),"")</f>
        <v/>
      </c>
      <c r="V54" t="inlineStr">
        <is>
          <t>2025-09-30 20:00:00</t>
        </is>
      </c>
    </row>
    <row r="55" ht="23.25" customFormat="1" customHeight="1" s="45">
      <c r="A55" s="112" t="n"/>
      <c r="B55" s="112">
        <f>IF(OR(A55="x",A55="X"),"",IF(ISBLANK(A55),"X",""))</f>
        <v/>
      </c>
      <c r="C55" s="112">
        <f>IF(OR(Tabella3[[#This Row],[LUN]]="X",Tabella3[[#This Row],[MAR]]="X",Tabella3[[#This Row],[MER]]="X",Tabella3[[#This Row],[GIO]]="X",Tabella3[[#This Row],[VEN]]="X",),"X","")</f>
        <v/>
      </c>
      <c r="D55" s="113" t="inlineStr">
        <is>
          <t>AREA 3</t>
        </is>
      </c>
      <c r="E55" s="109" t="inlineStr">
        <is>
          <t>532368/C</t>
        </is>
      </c>
      <c r="F55" s="109" t="inlineStr">
        <is>
          <t>1200/M</t>
        </is>
      </c>
      <c r="G55" s="109" t="inlineStr">
        <is>
          <t xml:space="preserve"> 1200/M - F201 RIPRISTINO FOTOCELLULA ZM717SL</t>
        </is>
      </c>
      <c r="H55" s="111" t="n"/>
      <c r="I55" s="111" t="n"/>
      <c r="J55" s="111" t="n"/>
      <c r="K55" s="111" t="n"/>
      <c r="L55" s="111" t="n"/>
      <c r="M55" s="109" t="inlineStr">
        <is>
          <t>DA CHIUDERE</t>
        </is>
      </c>
      <c r="N55" s="109" t="n"/>
      <c r="O55" s="109" t="n"/>
      <c r="P55" s="109" t="n"/>
      <c r="Q55" s="109" t="n"/>
      <c r="R55" s="110" t="n">
        <v>45755</v>
      </c>
      <c r="S55" s="109" t="inlineStr">
        <is>
          <t>PARTESANO</t>
        </is>
      </c>
      <c r="T55" s="116">
        <f>IF(AND('Inserimento dati'!$B$3=$H$2, Tabella3[[#This Row],[LUN]]="X"), "X",IF(AND('Inserimento dati'!$B$3=$I$2, Tabella3[[#This Row],[MAR]]="X"), "X", IF(AND('Inserimento dati'!$B$3=$J$2, Tabella3[[#This Row],[MER]]="X"), "X",IF(AND('Inserimento dati'!$B$3=$K$2, Tabella3[[#This Row],[GIO]]="X"), "X", IF(AND('Inserimento dati'!$B$3=$L$2, Tabella3[[#This Row],[VEN]]="X"), "X","")))))</f>
        <v/>
      </c>
      <c r="U55" s="158">
        <f>IFERROR(MID(G55,_xlfn.AGGREGATE(15,6,(ROW(INDIRECT("1:"&amp;LEN(G55)-7)))/(ISNUMBER(--MID(G55,ROW(INDIRECT("1:"&amp;LEN(G55)-7)),8))),1),8),"")</f>
        <v/>
      </c>
      <c r="V55" t="inlineStr">
        <is>
          <t>2025-09-30 20:00:00</t>
        </is>
      </c>
    </row>
    <row r="56" ht="30" customFormat="1" customHeight="1" s="45">
      <c r="A56" s="112" t="n"/>
      <c r="B56" s="112">
        <f>IF(OR(A56="x",A56="X"),"",IF(ISBLANK(A56),"X",""))</f>
        <v/>
      </c>
      <c r="C56" s="112">
        <f>IF(OR(Tabella3[[#This Row],[LUN]]="X",Tabella3[[#This Row],[MAR]]="X",Tabella3[[#This Row],[MER]]="X",Tabella3[[#This Row],[GIO]]="X",Tabella3[[#This Row],[VEN]]="X",),"X","")</f>
        <v/>
      </c>
      <c r="D56" s="113" t="inlineStr">
        <is>
          <t>AREA 3</t>
        </is>
      </c>
      <c r="E56" s="109" t="inlineStr">
        <is>
          <t>532254/C</t>
        </is>
      </c>
      <c r="F56" s="109" t="n">
        <v>700</v>
      </c>
      <c r="G56" s="109" t="inlineStr">
        <is>
          <t xml:space="preserve"> 10221627 700 - L011I (Livello HC D104)   controllo e ripristino</t>
        </is>
      </c>
      <c r="H56" s="111" t="n"/>
      <c r="I56" s="111" t="n"/>
      <c r="J56" s="111" t="n"/>
      <c r="K56" s="111" t="n"/>
      <c r="L56" s="111" t="n"/>
      <c r="M56" s="109" t="inlineStr">
        <is>
          <t>DA CHIUDERE</t>
        </is>
      </c>
      <c r="N56" s="109" t="n"/>
      <c r="O56" s="109" t="n"/>
      <c r="P56" s="109" t="n"/>
      <c r="Q56" s="109" t="inlineStr">
        <is>
          <t>TARATO LIVELLO LOCALE</t>
        </is>
      </c>
      <c r="R56" s="110" t="n">
        <v>45755</v>
      </c>
      <c r="S56" s="109" t="inlineStr">
        <is>
          <t>MILLO/ALLEGRETTI</t>
        </is>
      </c>
      <c r="T56" s="116">
        <f>IF(AND('Inserimento dati'!$B$3=$H$2, Tabella3[[#This Row],[LUN]]="X"), "X",IF(AND('Inserimento dati'!$B$3=$I$2, Tabella3[[#This Row],[MAR]]="X"), "X", IF(AND('Inserimento dati'!$B$3=$J$2, Tabella3[[#This Row],[MER]]="X"), "X",IF(AND('Inserimento dati'!$B$3=$K$2, Tabella3[[#This Row],[GIO]]="X"), "X", IF(AND('Inserimento dati'!$B$3=$L$2, Tabella3[[#This Row],[VEN]]="X"), "X","")))))</f>
        <v/>
      </c>
      <c r="U56" s="158">
        <f>IFERROR(MID(G56,_xlfn.AGGREGATE(15,6,(ROW(INDIRECT("1:"&amp;LEN(G56)-7)))/(ISNUMBER(--MID(G56,ROW(INDIRECT("1:"&amp;LEN(G56)-7)),8))),1),8),"")</f>
        <v/>
      </c>
      <c r="V56" t="inlineStr">
        <is>
          <t>2025-09-30 20:00:00</t>
        </is>
      </c>
    </row>
    <row r="57" ht="30" customFormat="1" customHeight="1" s="45">
      <c r="A57" s="112" t="n"/>
      <c r="B57" s="112">
        <f>IF(OR(A57="x",A57="X"),"",IF(ISBLANK(A57),"X",""))</f>
        <v/>
      </c>
      <c r="C57" s="112">
        <f>IF(OR(Tabella3[[#This Row],[LUN]]="X",Tabella3[[#This Row],[MAR]]="X",Tabella3[[#This Row],[MER]]="X",Tabella3[[#This Row],[GIO]]="X",Tabella3[[#This Row],[VEN]]="X",),"X","")</f>
        <v/>
      </c>
      <c r="D57" s="113" t="inlineStr">
        <is>
          <t>AREA 3</t>
        </is>
      </c>
      <c r="E57" s="109" t="inlineStr">
        <is>
          <t>532194/C</t>
        </is>
      </c>
      <c r="F57" s="109" t="inlineStr">
        <is>
          <t>700A</t>
        </is>
      </c>
      <c r="G57" s="109" t="inlineStr">
        <is>
          <t xml:space="preserve"> 700A - 7T20018I.PV: temperatura del taglio laterale    7T20018I.PV: temperatura gofinato stabilizzato in mandata P201.</t>
        </is>
      </c>
      <c r="H57" s="111" t="n"/>
      <c r="I57" s="111" t="n"/>
      <c r="J57" s="111" t="n"/>
      <c r="K57" s="111" t="n"/>
      <c r="L57" s="111" t="n"/>
      <c r="M57" s="109" t="inlineStr">
        <is>
          <t>DA CHIUDERE</t>
        </is>
      </c>
      <c r="N57" s="109" t="n"/>
      <c r="O57" s="109" t="n"/>
      <c r="P57" s="109" t="n"/>
      <c r="Q57" s="109" t="inlineStr">
        <is>
          <t>SI CONTINUA CON 532857 PER ATTIVITA' ELETTRICA</t>
        </is>
      </c>
      <c r="R57" s="110" t="n">
        <v>45755</v>
      </c>
      <c r="S57" s="109" t="inlineStr">
        <is>
          <t>PARTESANO</t>
        </is>
      </c>
      <c r="T57" s="116">
        <f>IF(AND('Inserimento dati'!$B$3=$H$2, Tabella3[[#This Row],[LUN]]="X"), "X",IF(AND('Inserimento dati'!$B$3=$I$2, Tabella3[[#This Row],[MAR]]="X"), "X", IF(AND('Inserimento dati'!$B$3=$J$2, Tabella3[[#This Row],[MER]]="X"), "X",IF(AND('Inserimento dati'!$B$3=$K$2, Tabella3[[#This Row],[GIO]]="X"), "X", IF(AND('Inserimento dati'!$B$3=$L$2, Tabella3[[#This Row],[VEN]]="X"), "X","")))))</f>
        <v/>
      </c>
      <c r="U57" s="158">
        <f>IFERROR(MID(G57,_xlfn.AGGREGATE(15,6,(ROW(INDIRECT("1:"&amp;LEN(G57)-7)))/(ISNUMBER(--MID(G57,ROW(INDIRECT("1:"&amp;LEN(G57)-7)),8))),1),8),"")</f>
        <v/>
      </c>
      <c r="V57" t="inlineStr">
        <is>
          <t>2025-09-30 20:00:00</t>
        </is>
      </c>
    </row>
    <row r="58" ht="23.25" customFormat="1" customHeight="1" s="45">
      <c r="A58" s="112" t="n"/>
      <c r="B58" s="112">
        <f>IF(OR(A58="x",A58="X"),"",IF(ISBLANK(A58),"X",""))</f>
        <v/>
      </c>
      <c r="C58" s="112">
        <f>IF(OR(Tabella3[[#This Row],[LUN]]="X",Tabella3[[#This Row],[MAR]]="X",Tabella3[[#This Row],[MER]]="X",Tabella3[[#This Row],[GIO]]="X",Tabella3[[#This Row],[VEN]]="X",),"X","")</f>
        <v/>
      </c>
      <c r="D58" s="113" t="inlineStr">
        <is>
          <t>AREA 3</t>
        </is>
      </c>
      <c r="E58" s="109" t="inlineStr">
        <is>
          <t>526764/C</t>
        </is>
      </c>
      <c r="F58" s="109" t="inlineStr">
        <is>
          <t>1200/1</t>
        </is>
      </c>
      <c r="G58" s="109" t="inlineStr">
        <is>
          <t xml:space="preserve"> 10218174 1200/1 - TARATURA FIC204 controllo LOOP di regolazione</t>
        </is>
      </c>
      <c r="H58" s="111" t="n"/>
      <c r="I58" s="111" t="n"/>
      <c r="J58" s="111" t="n"/>
      <c r="K58" s="111" t="n"/>
      <c r="L58" s="111" t="n"/>
      <c r="M58" s="109" t="inlineStr">
        <is>
          <t>DA CHIUDERE</t>
        </is>
      </c>
      <c r="N58" s="109" t="n"/>
      <c r="O58" s="109" t="n"/>
      <c r="P58" s="109" t="n"/>
      <c r="Q58" s="109" t="n"/>
      <c r="R58" s="110" t="n">
        <v>45756</v>
      </c>
      <c r="S58" s="109" t="n"/>
      <c r="T58" s="116">
        <f>IF(AND('Inserimento dati'!$B$3=$H$2, Tabella3[[#This Row],[LUN]]="X"), "X",IF(AND('Inserimento dati'!$B$3=$I$2, Tabella3[[#This Row],[MAR]]="X"), "X", IF(AND('Inserimento dati'!$B$3=$J$2, Tabella3[[#This Row],[MER]]="X"), "X",IF(AND('Inserimento dati'!$B$3=$K$2, Tabella3[[#This Row],[GIO]]="X"), "X", IF(AND('Inserimento dati'!$B$3=$L$2, Tabella3[[#This Row],[VEN]]="X"), "X","")))))</f>
        <v/>
      </c>
      <c r="U58" s="158">
        <f>IFERROR(MID(G58,_xlfn.AGGREGATE(15,6,(ROW(INDIRECT("1:"&amp;LEN(G58)-7)))/(ISNUMBER(--MID(G58,ROW(INDIRECT("1:"&amp;LEN(G58)-7)),8))),1),8),"")</f>
        <v/>
      </c>
      <c r="V58" t="inlineStr">
        <is>
          <t>2025-09-30 20:00:00</t>
        </is>
      </c>
    </row>
    <row r="59" ht="30" customFormat="1" customHeight="1" s="45">
      <c r="A59" s="112" t="n"/>
      <c r="B59" s="112">
        <f>IF(OR(A59="x",A59="X"),"",IF(ISBLANK(A59),"X",""))</f>
        <v/>
      </c>
      <c r="C59" s="112">
        <f>IF(OR(Tabella3[[#This Row],[LUN]]="X",Tabella3[[#This Row],[MAR]]="X",Tabella3[[#This Row],[MER]]="X",Tabella3[[#This Row],[GIO]]="X",Tabella3[[#This Row],[VEN]]="X",),"X","")</f>
        <v/>
      </c>
      <c r="D59" s="113" t="inlineStr">
        <is>
          <t>AREA 3</t>
        </is>
      </c>
      <c r="E59" s="109" t="inlineStr">
        <is>
          <t>531044/C</t>
        </is>
      </c>
      <c r="F59" s="109" t="n">
        <v>700</v>
      </c>
      <c r="G59" s="109" t="inlineStr">
        <is>
          <t xml:space="preserve"> 700 - L204RC.PV: livello piatto di estrazione del taglio laterale</t>
        </is>
      </c>
      <c r="H59" s="111" t="n"/>
      <c r="I59" s="111" t="n"/>
      <c r="J59" s="111" t="n"/>
      <c r="K59" s="111" t="n"/>
      <c r="L59" s="111" t="n"/>
      <c r="M59" s="109" t="inlineStr">
        <is>
          <t>DA CHIUDERE</t>
        </is>
      </c>
      <c r="N59" s="109" t="n"/>
      <c r="O59" s="109" t="n"/>
      <c r="P59" s="109" t="n"/>
      <c r="Q59" s="109" t="inlineStr">
        <is>
          <t>REVISIONATO IN CANTIERE, SOSTITUITA TESTINA DA PNEUMATICA A ELETTRONICA</t>
        </is>
      </c>
      <c r="R59" s="151" t="n">
        <v>45718</v>
      </c>
      <c r="S59" s="151" t="inlineStr">
        <is>
          <t>MILLO</t>
        </is>
      </c>
      <c r="T59" s="116">
        <f>IF(AND('Inserimento dati'!$B$3=$H$2, Tabella3[[#This Row],[LUN]]="X"), "X",IF(AND('Inserimento dati'!$B$3=$I$2, Tabella3[[#This Row],[MAR]]="X"), "X", IF(AND('Inserimento dati'!$B$3=$J$2, Tabella3[[#This Row],[MER]]="X"), "X",IF(AND('Inserimento dati'!$B$3=$K$2, Tabella3[[#This Row],[GIO]]="X"), "X", IF(AND('Inserimento dati'!$B$3=$L$2, Tabella3[[#This Row],[VEN]]="X"), "X","")))))</f>
        <v/>
      </c>
      <c r="U59" s="158">
        <f>IFERROR(MID(G59,_xlfn.AGGREGATE(15,6,(ROW(INDIRECT("1:"&amp;LEN(G59)-7)))/(ISNUMBER(--MID(G59,ROW(INDIRECT("1:"&amp;LEN(G59)-7)),8))),1),8),"")</f>
        <v/>
      </c>
      <c r="V59" t="inlineStr">
        <is>
          <t>2025-09-30 20:00:00</t>
        </is>
      </c>
    </row>
    <row r="60" ht="23.25" customFormat="1" customHeight="1" s="45">
      <c r="A60" s="112" t="n"/>
      <c r="B60" s="112">
        <f>IF(OR(A60="x",A60="X"),"",IF(ISBLANK(A60),"X",""))</f>
        <v/>
      </c>
      <c r="C60" s="112">
        <f>IF(OR(Tabella3[[#This Row],[LUN]]="X",Tabella3[[#This Row],[MAR]]="X",Tabella3[[#This Row],[MER]]="X",Tabella3[[#This Row],[GIO]]="X",Tabella3[[#This Row],[VEN]]="X",),"X","")</f>
        <v/>
      </c>
      <c r="D60" s="113" t="inlineStr">
        <is>
          <t>AREA 3</t>
        </is>
      </c>
      <c r="E60" s="109" t="inlineStr">
        <is>
          <t>528622/C</t>
        </is>
      </c>
      <c r="F60" s="109" t="n">
        <v>2400</v>
      </c>
      <c r="G60" s="109" t="inlineStr">
        <is>
          <t xml:space="preserve"> 10219227 2400 - VERIFICA E TARATURA 24F603R</t>
        </is>
      </c>
      <c r="H60" s="111" t="n"/>
      <c r="I60" s="111" t="n"/>
      <c r="J60" s="111" t="n"/>
      <c r="K60" s="111" t="n"/>
      <c r="L60" s="111" t="n"/>
      <c r="M60" s="109" t="inlineStr">
        <is>
          <t>DA CHIUDERE</t>
        </is>
      </c>
      <c r="N60" s="109" t="n"/>
      <c r="O60" s="109" t="n"/>
      <c r="P60" s="109" t="n"/>
      <c r="Q60" s="109" t="inlineStr">
        <is>
          <t>ATTIVITA' SEGUITA DA SARIND</t>
        </is>
      </c>
      <c r="R60" s="110" t="n"/>
      <c r="S60" s="109" t="n"/>
      <c r="T60" s="116">
        <f>IF(AND('Inserimento dati'!$B$3=$H$2, Tabella3[[#This Row],[LUN]]="X"), "X",IF(AND('Inserimento dati'!$B$3=$I$2, Tabella3[[#This Row],[MAR]]="X"), "X", IF(AND('Inserimento dati'!$B$3=$J$2, Tabella3[[#This Row],[MER]]="X"), "X",IF(AND('Inserimento dati'!$B$3=$K$2, Tabella3[[#This Row],[GIO]]="X"), "X", IF(AND('Inserimento dati'!$B$3=$L$2, Tabella3[[#This Row],[VEN]]="X"), "X","")))))</f>
        <v/>
      </c>
      <c r="U60" s="158">
        <f>IFERROR(MID(G60,_xlfn.AGGREGATE(15,6,(ROW(INDIRECT("1:"&amp;LEN(G60)-7)))/(ISNUMBER(--MID(G60,ROW(INDIRECT("1:"&amp;LEN(G60)-7)),8))),1),8),"")</f>
        <v/>
      </c>
      <c r="V60" t="inlineStr">
        <is>
          <t>2025-09-30 20:00:00</t>
        </is>
      </c>
    </row>
    <row r="61" ht="23.25" customFormat="1" customHeight="1" s="45">
      <c r="A61" s="112" t="n"/>
      <c r="B61" s="112">
        <f>IF(OR(A61="x",A61="X"),"",IF(ISBLANK(A61),"X",""))</f>
        <v/>
      </c>
      <c r="C61" s="112">
        <f>IF(OR(Tabella3[[#This Row],[LUN]]="X",Tabella3[[#This Row],[MAR]]="X",Tabella3[[#This Row],[MER]]="X",Tabella3[[#This Row],[GIO]]="X",Tabella3[[#This Row],[VEN]]="X",),"X","")</f>
        <v/>
      </c>
      <c r="D61" s="113" t="inlineStr">
        <is>
          <t>AREA 3</t>
        </is>
      </c>
      <c r="E61" s="109" t="inlineStr">
        <is>
          <t>528949/C</t>
        </is>
      </c>
      <c r="F61" s="109" t="inlineStr">
        <is>
          <t>1200/1</t>
        </is>
      </c>
      <c r="G61" s="109" t="inlineStr">
        <is>
          <t xml:space="preserve"> 1200/1 - Z1L501IS   /  Z1L502IS     CONTROLLO FUNZIONALE</t>
        </is>
      </c>
      <c r="H61" s="111" t="n"/>
      <c r="I61" s="111" t="n"/>
      <c r="J61" s="111" t="n"/>
      <c r="K61" s="111" t="n"/>
      <c r="L61" s="111" t="n"/>
      <c r="M61" s="109" t="inlineStr">
        <is>
          <t>DA CHIUDERE</t>
        </is>
      </c>
      <c r="N61" s="109" t="n"/>
      <c r="O61" s="109" t="n"/>
      <c r="P61" s="109" t="n"/>
      <c r="Q61" s="109" t="inlineStr">
        <is>
          <t>LIVELLI ENTRAMBI TAPPATI. STASATI</t>
        </is>
      </c>
      <c r="R61" s="110" t="n">
        <v>45729</v>
      </c>
      <c r="S61" s="109" t="inlineStr">
        <is>
          <t>TARASCIO</t>
        </is>
      </c>
      <c r="T61" s="116">
        <f>IF(AND('Inserimento dati'!$B$3=$H$2, Tabella3[[#This Row],[LUN]]="X"), "X",IF(AND('Inserimento dati'!$B$3=$I$2, Tabella3[[#This Row],[MAR]]="X"), "X", IF(AND('Inserimento dati'!$B$3=$J$2, Tabella3[[#This Row],[MER]]="X"), "X",IF(AND('Inserimento dati'!$B$3=$K$2, Tabella3[[#This Row],[GIO]]="X"), "X", IF(AND('Inserimento dati'!$B$3=$L$2, Tabella3[[#This Row],[VEN]]="X"), "X","")))))</f>
        <v/>
      </c>
      <c r="U61" s="158">
        <f>IFERROR(MID(G61,_xlfn.AGGREGATE(15,6,(ROW(INDIRECT("1:"&amp;LEN(G61)-7)))/(ISNUMBER(--MID(G61,ROW(INDIRECT("1:"&amp;LEN(G61)-7)),8))),1),8),"")</f>
        <v/>
      </c>
      <c r="V61" t="inlineStr">
        <is>
          <t>2025-09-30 20:00:00</t>
        </is>
      </c>
    </row>
    <row r="62" ht="45" customFormat="1" customHeight="1" s="45">
      <c r="A62" s="112" t="n"/>
      <c r="B62" s="112">
        <f>IF(OR(A62="x",A62="X"),"",IF(ISBLANK(A62),"X",""))</f>
        <v/>
      </c>
      <c r="C62" s="112">
        <f>IF(OR(Tabella3[[#This Row],[LUN]]="X",Tabella3[[#This Row],[MAR]]="X",Tabella3[[#This Row],[MER]]="X",Tabella3[[#This Row],[GIO]]="X",Tabella3[[#This Row],[VEN]]="X",),"X","")</f>
        <v/>
      </c>
      <c r="D62" s="113" t="inlineStr">
        <is>
          <t>AREA 3</t>
        </is>
      </c>
      <c r="E62" s="109" t="inlineStr">
        <is>
          <t>529503/C</t>
        </is>
      </c>
      <c r="F62" s="109" t="inlineStr">
        <is>
          <t>1200/4</t>
        </is>
      </c>
      <c r="G62" s="109" t="inlineStr">
        <is>
          <t xml:space="preserve"> 1200/4 - (linee degasaggio)-Controllo funzionalita' F901T(Port vap eiet CLAUS L 4),F902T('Port SW gas da CLAUS L4),X901V(Valvola CLAUS L4); interfacciarsi con sala controllo prima della taratura</t>
        </is>
      </c>
      <c r="H62" s="111" t="n"/>
      <c r="I62" s="111" t="n"/>
      <c r="J62" s="111" t="n"/>
      <c r="K62" s="111" t="n"/>
      <c r="L62" s="111" t="n"/>
      <c r="M62" s="109" t="inlineStr">
        <is>
          <t>DA CHIUDERE</t>
        </is>
      </c>
      <c r="N62" s="109" t="n"/>
      <c r="O62" s="109" t="n"/>
      <c r="P62" s="109" t="n"/>
      <c r="Q62" s="109" t="n"/>
      <c r="R62" s="110" t="n"/>
      <c r="S62" s="109" t="n"/>
      <c r="T62" s="116">
        <f>IF(AND('Inserimento dati'!$B$3=$H$2, Tabella3[[#This Row],[LUN]]="X"), "X",IF(AND('Inserimento dati'!$B$3=$I$2, Tabella3[[#This Row],[MAR]]="X"), "X", IF(AND('Inserimento dati'!$B$3=$J$2, Tabella3[[#This Row],[MER]]="X"), "X",IF(AND('Inserimento dati'!$B$3=$K$2, Tabella3[[#This Row],[GIO]]="X"), "X", IF(AND('Inserimento dati'!$B$3=$L$2, Tabella3[[#This Row],[VEN]]="X"), "X","")))))</f>
        <v/>
      </c>
      <c r="U62" s="158">
        <f>IFERROR(MID(G62,_xlfn.AGGREGATE(15,6,(ROW(INDIRECT("1:"&amp;LEN(G62)-7)))/(ISNUMBER(--MID(G62,ROW(INDIRECT("1:"&amp;LEN(G62)-7)),8))),1),8),"")</f>
        <v/>
      </c>
      <c r="V62" t="inlineStr">
        <is>
          <t>2025-09-30 20:00:00</t>
        </is>
      </c>
    </row>
    <row r="63" ht="23.25" customFormat="1" customHeight="1" s="45">
      <c r="A63" s="112" t="n"/>
      <c r="B63" s="112">
        <f>IF(OR(A63="x",A63="X"),"",IF(ISBLANK(A63),"X",""))</f>
        <v/>
      </c>
      <c r="C63" s="112">
        <f>IF(OR(Tabella3[[#This Row],[LUN]]="X",Tabella3[[#This Row],[MAR]]="X",Tabella3[[#This Row],[MER]]="X",Tabella3[[#This Row],[GIO]]="X",Tabella3[[#This Row],[VEN]]="X",),"X","")</f>
        <v/>
      </c>
      <c r="D63" s="113" t="inlineStr">
        <is>
          <t>AREA 3</t>
        </is>
      </c>
      <c r="E63" s="109" t="inlineStr">
        <is>
          <t>531724/C</t>
        </is>
      </c>
      <c r="F63" s="109" t="inlineStr">
        <is>
          <t>1200/1</t>
        </is>
      </c>
      <c r="G63" s="109" t="inlineStr">
        <is>
          <t xml:space="preserve"> 10221383 1200/1 - AVVISO PR1- SOSTITUZIONE PRIMARIO FT301</t>
        </is>
      </c>
      <c r="H63" s="111" t="n"/>
      <c r="I63" s="111" t="n"/>
      <c r="J63" s="111" t="n"/>
      <c r="K63" s="111" t="n"/>
      <c r="L63" s="111" t="n"/>
      <c r="M63" s="109" t="inlineStr">
        <is>
          <t>DA CHIUDERE</t>
        </is>
      </c>
      <c r="N63" s="109" t="n"/>
      <c r="O63" s="109" t="n"/>
      <c r="P63" s="109" t="n"/>
      <c r="Q63" s="109" t="n"/>
      <c r="R63" s="110" t="n"/>
      <c r="S63" s="109" t="n"/>
      <c r="T63" s="116">
        <f>IF(AND('Inserimento dati'!$B$3=$H$2, Tabella3[[#This Row],[LUN]]="X"), "X",IF(AND('Inserimento dati'!$B$3=$I$2, Tabella3[[#This Row],[MAR]]="X"), "X", IF(AND('Inserimento dati'!$B$3=$J$2, Tabella3[[#This Row],[MER]]="X"), "X",IF(AND('Inserimento dati'!$B$3=$K$2, Tabella3[[#This Row],[GIO]]="X"), "X", IF(AND('Inserimento dati'!$B$3=$L$2, Tabella3[[#This Row],[VEN]]="X"), "X","")))))</f>
        <v/>
      </c>
      <c r="U63" s="158">
        <f>IFERROR(MID(G63,_xlfn.AGGREGATE(15,6,(ROW(INDIRECT("1:"&amp;LEN(G63)-7)))/(ISNUMBER(--MID(G63,ROW(INDIRECT("1:"&amp;LEN(G63)-7)),8))),1),8),"")</f>
        <v/>
      </c>
      <c r="V63" t="inlineStr">
        <is>
          <t>2025-09-30 20:00:00</t>
        </is>
      </c>
    </row>
    <row r="64" ht="23.25" customFormat="1" customHeight="1" s="45">
      <c r="A64" s="112" t="n"/>
      <c r="B64" s="112">
        <f>IF(OR(A64="x",A64="X"),"",IF(ISBLANK(A64),"X",""))</f>
        <v/>
      </c>
      <c r="C64" s="112">
        <f>IF(OR(Tabella3[[#This Row],[LUN]]="X",Tabella3[[#This Row],[MAR]]="X",Tabella3[[#This Row],[MER]]="X",Tabella3[[#This Row],[GIO]]="X",Tabella3[[#This Row],[VEN]]="X",),"X","")</f>
        <v/>
      </c>
      <c r="D64" s="113" t="inlineStr">
        <is>
          <t>AREA 3</t>
        </is>
      </c>
      <c r="E64" s="109" t="inlineStr">
        <is>
          <t>530585/C</t>
        </is>
      </c>
      <c r="F64" s="109" t="inlineStr">
        <is>
          <t>1200/1</t>
        </is>
      </c>
      <c r="G64" s="109" t="inlineStr">
        <is>
          <t xml:space="preserve"> 1200/1 - F302RC CONTROLLO FUNZIONALE</t>
        </is>
      </c>
      <c r="H64" s="111" t="n"/>
      <c r="I64" s="111" t="n"/>
      <c r="J64" s="111" t="n"/>
      <c r="K64" s="111" t="n"/>
      <c r="L64" s="111" t="n"/>
      <c r="M64" s="109" t="inlineStr">
        <is>
          <t>DA CHIUDERE</t>
        </is>
      </c>
      <c r="N64" s="109" t="n"/>
      <c r="O64" s="109" t="n"/>
      <c r="P64" s="109" t="n"/>
      <c r="Q64" s="109" t="inlineStr">
        <is>
          <t>INSERITO A PROCESSO IL DP FLUSSATO DI AZOTO.</t>
        </is>
      </c>
      <c r="R64" s="110" t="n"/>
      <c r="S64" s="151" t="n">
        <v>45720</v>
      </c>
      <c r="T64" s="116">
        <f>IF(AND('Inserimento dati'!$B$3=$H$2, Tabella3[[#This Row],[LUN]]="X"), "X",IF(AND('Inserimento dati'!$B$3=$I$2, Tabella3[[#This Row],[MAR]]="X"), "X", IF(AND('Inserimento dati'!$B$3=$J$2, Tabella3[[#This Row],[MER]]="X"), "X",IF(AND('Inserimento dati'!$B$3=$K$2, Tabella3[[#This Row],[GIO]]="X"), "X", IF(AND('Inserimento dati'!$B$3=$L$2, Tabella3[[#This Row],[VEN]]="X"), "X","")))))</f>
        <v/>
      </c>
      <c r="U64" s="158">
        <f>IFERROR(MID(G64,_xlfn.AGGREGATE(15,6,(ROW(INDIRECT("1:"&amp;LEN(G64)-7)))/(ISNUMBER(--MID(G64,ROW(INDIRECT("1:"&amp;LEN(G64)-7)),8))),1),8),"")</f>
        <v/>
      </c>
      <c r="V64" t="inlineStr">
        <is>
          <t>2025-09-30 20:00:00</t>
        </is>
      </c>
    </row>
    <row r="65" ht="23.25" customFormat="1" customHeight="1" s="45">
      <c r="A65" s="112" t="n"/>
      <c r="B65" s="112">
        <f>IF(OR(A65="x",A65="X"),"",IF(ISBLANK(A65),"X",""))</f>
        <v/>
      </c>
      <c r="C65" s="112">
        <f>IF(OR(Tabella3[[#This Row],[LUN]]="X",Tabella3[[#This Row],[MAR]]="X",Tabella3[[#This Row],[MER]]="X",Tabella3[[#This Row],[GIO]]="X",Tabella3[[#This Row],[VEN]]="X",),"X","")</f>
        <v/>
      </c>
      <c r="D65" s="113" t="inlineStr">
        <is>
          <t>AREA 3</t>
        </is>
      </c>
      <c r="E65" s="109" t="inlineStr">
        <is>
          <t>530884/C</t>
        </is>
      </c>
      <c r="F65" s="109" t="n">
        <v>800</v>
      </c>
      <c r="G65" s="109" t="inlineStr">
        <is>
          <t xml:space="preserve"> 800 C101B - verifica funzionalit parzializzazione</t>
        </is>
      </c>
      <c r="H65" s="111" t="n"/>
      <c r="I65" s="111" t="n"/>
      <c r="J65" s="111" t="n"/>
      <c r="K65" s="111" t="n"/>
      <c r="L65" s="111" t="n"/>
      <c r="M65" s="109" t="inlineStr">
        <is>
          <t>DA CHIUDERE</t>
        </is>
      </c>
      <c r="N65" s="109" t="n"/>
      <c r="O65" s="109" t="n"/>
      <c r="P65" s="109" t="n"/>
      <c r="Q65" s="109" t="n"/>
      <c r="R65" s="110" t="n"/>
      <c r="S65" s="109" t="n"/>
      <c r="T65" s="116">
        <f>IF(AND('Inserimento dati'!$B$3=$H$2, Tabella3[[#This Row],[LUN]]="X"), "X",IF(AND('Inserimento dati'!$B$3=$I$2, Tabella3[[#This Row],[MAR]]="X"), "X", IF(AND('Inserimento dati'!$B$3=$J$2, Tabella3[[#This Row],[MER]]="X"), "X",IF(AND('Inserimento dati'!$B$3=$K$2, Tabella3[[#This Row],[GIO]]="X"), "X", IF(AND('Inserimento dati'!$B$3=$L$2, Tabella3[[#This Row],[VEN]]="X"), "X","")))))</f>
        <v/>
      </c>
      <c r="U65" s="158">
        <f>IFERROR(MID(G65,_xlfn.AGGREGATE(15,6,(ROW(INDIRECT("1:"&amp;LEN(G65)-7)))/(ISNUMBER(--MID(G65,ROW(INDIRECT("1:"&amp;LEN(G65)-7)),8))),1),8),"")</f>
        <v/>
      </c>
      <c r="V65" t="inlineStr">
        <is>
          <t>2025-09-30 20:00:00</t>
        </is>
      </c>
    </row>
    <row r="66" ht="30" customFormat="1" customHeight="1" s="45">
      <c r="A66" s="112" t="n"/>
      <c r="B66" s="112">
        <f>IF(OR(A66="x",A66="X"),"",IF(ISBLANK(A66),"X",""))</f>
        <v/>
      </c>
      <c r="C66" s="112">
        <f>IF(OR(Tabella3[[#This Row],[LUN]]="X",Tabella3[[#This Row],[MAR]]="X",Tabella3[[#This Row],[MER]]="X",Tabella3[[#This Row],[GIO]]="X",Tabella3[[#This Row],[VEN]]="X",),"X","")</f>
        <v/>
      </c>
      <c r="D66" s="113" t="inlineStr">
        <is>
          <t>AREA 3</t>
        </is>
      </c>
      <c r="E66" s="109" t="inlineStr">
        <is>
          <t>530254/C</t>
        </is>
      </c>
      <c r="F66" s="109" t="n">
        <v>1800</v>
      </c>
      <c r="G66" s="109" t="inlineStr">
        <is>
          <t xml:space="preserve"> 10220524 1800 - FCV025 eliminazione perde dal premi treccia E VERIFICA FUNZIONALITA'</t>
        </is>
      </c>
      <c r="H66" s="111" t="n"/>
      <c r="I66" s="111" t="n"/>
      <c r="J66" s="111" t="n"/>
      <c r="K66" s="111" t="n"/>
      <c r="L66" s="111" t="n"/>
      <c r="M66" s="109" t="inlineStr">
        <is>
          <t>DA CHIUDERE</t>
        </is>
      </c>
      <c r="N66" s="109" t="n"/>
      <c r="O66" s="109" t="n"/>
      <c r="P66" s="109" t="n"/>
      <c r="Q66" s="109" t="n"/>
      <c r="R66" s="110" t="n"/>
      <c r="S66" s="109" t="n"/>
      <c r="T66" s="116">
        <f>IF(AND('Inserimento dati'!$B$3=$H$2, Tabella3[[#This Row],[LUN]]="X"), "X",IF(AND('Inserimento dati'!$B$3=$I$2, Tabella3[[#This Row],[MAR]]="X"), "X", IF(AND('Inserimento dati'!$B$3=$J$2, Tabella3[[#This Row],[MER]]="X"), "X",IF(AND('Inserimento dati'!$B$3=$K$2, Tabella3[[#This Row],[GIO]]="X"), "X", IF(AND('Inserimento dati'!$B$3=$L$2, Tabella3[[#This Row],[VEN]]="X"), "X","")))))</f>
        <v/>
      </c>
      <c r="U66" s="158">
        <f>IFERROR(MID(G66,_xlfn.AGGREGATE(15,6,(ROW(INDIRECT("1:"&amp;LEN(G66)-7)))/(ISNUMBER(--MID(G66,ROW(INDIRECT("1:"&amp;LEN(G66)-7)),8))),1),8),"")</f>
        <v/>
      </c>
      <c r="V66" t="inlineStr">
        <is>
          <t>2025-09-30 20:00:00</t>
        </is>
      </c>
    </row>
    <row r="67" ht="23.25" customFormat="1" customHeight="1" s="45">
      <c r="A67" s="112" t="n"/>
      <c r="B67" s="112">
        <f>IF(OR(A67="x",A67="X"),"",IF(ISBLANK(A67),"X",""))</f>
        <v/>
      </c>
      <c r="C67" s="112">
        <f>IF(OR(Tabella3[[#This Row],[LUN]]="X",Tabella3[[#This Row],[MAR]]="X",Tabella3[[#This Row],[MER]]="X",Tabella3[[#This Row],[GIO]]="X",Tabella3[[#This Row],[VEN]]="X",),"X","")</f>
        <v/>
      </c>
      <c r="D67" s="113" t="inlineStr">
        <is>
          <t>AREA 3</t>
        </is>
      </c>
      <c r="E67" s="109" t="inlineStr">
        <is>
          <t>530250/C</t>
        </is>
      </c>
      <c r="F67" s="109" t="inlineStr">
        <is>
          <t>1200/M</t>
        </is>
      </c>
      <c r="G67" s="109" t="inlineStr">
        <is>
          <t xml:space="preserve"> 10220499 1200/M - RIPR FOTOCELLULA F201 MAXI-</t>
        </is>
      </c>
      <c r="H67" s="111" t="n"/>
      <c r="I67" s="111" t="n"/>
      <c r="J67" s="111" t="n"/>
      <c r="K67" s="111" t="n"/>
      <c r="L67" s="111" t="n"/>
      <c r="M67" s="109" t="inlineStr">
        <is>
          <t>DA CHIUDERE</t>
        </is>
      </c>
      <c r="N67" s="109" t="n"/>
      <c r="O67" s="109" t="n"/>
      <c r="P67" s="109" t="n"/>
      <c r="Q67" s="109" t="inlineStr">
        <is>
          <t xml:space="preserve"> </t>
        </is>
      </c>
      <c r="R67" s="110" t="n"/>
      <c r="S67" s="109" t="n"/>
      <c r="T67" s="116">
        <f>IF(AND('Inserimento dati'!$B$3=$H$2, Tabella3[[#This Row],[LUN]]="X"), "X",IF(AND('Inserimento dati'!$B$3=$I$2, Tabella3[[#This Row],[MAR]]="X"), "X", IF(AND('Inserimento dati'!$B$3=$J$2, Tabella3[[#This Row],[MER]]="X"), "X",IF(AND('Inserimento dati'!$B$3=$K$2, Tabella3[[#This Row],[GIO]]="X"), "X", IF(AND('Inserimento dati'!$B$3=$L$2, Tabella3[[#This Row],[VEN]]="X"), "X","")))))</f>
        <v/>
      </c>
      <c r="U67" s="158">
        <f>IFERROR(MID(G67,_xlfn.AGGREGATE(15,6,(ROW(INDIRECT("1:"&amp;LEN(G67)-7)))/(ISNUMBER(--MID(G67,ROW(INDIRECT("1:"&amp;LEN(G67)-7)),8))),1),8),"")</f>
        <v/>
      </c>
      <c r="V67" t="inlineStr">
        <is>
          <t>2025-09-30 20:00:00</t>
        </is>
      </c>
    </row>
    <row r="68" ht="23.25" customFormat="1" customHeight="1" s="45">
      <c r="A68" s="112" t="n"/>
      <c r="B68" s="112">
        <f>IF(OR(A68="x",A68="X"),"",IF(ISBLANK(A68),"X",""))</f>
        <v/>
      </c>
      <c r="C68" s="112">
        <f>IF(OR(Tabella3[[#This Row],[LUN]]="X",Tabella3[[#This Row],[MAR]]="X",Tabella3[[#This Row],[MER]]="X",Tabella3[[#This Row],[GIO]]="X",Tabella3[[#This Row],[VEN]]="X",),"X","")</f>
        <v/>
      </c>
      <c r="D68" s="113" t="inlineStr">
        <is>
          <t>AREA 3</t>
        </is>
      </c>
      <c r="E68" s="109" t="inlineStr">
        <is>
          <t>525783/C</t>
        </is>
      </c>
      <c r="F68" s="109" t="inlineStr">
        <is>
          <t>1200/M</t>
        </is>
      </c>
      <c r="G68" s="109" t="inlineStr">
        <is>
          <t xml:space="preserve"> 1200/M - ZM-F718R verifica loop e controllo funzionale</t>
        </is>
      </c>
      <c r="H68" s="111" t="n"/>
      <c r="I68" s="111" t="n"/>
      <c r="J68" s="111" t="n"/>
      <c r="K68" s="111" t="n"/>
      <c r="L68" s="111" t="n"/>
      <c r="M68" s="109" t="inlineStr">
        <is>
          <t>DA CHIUDERE</t>
        </is>
      </c>
      <c r="N68" s="109" t="n"/>
      <c r="O68" s="109" t="n"/>
      <c r="P68" s="109" t="n"/>
      <c r="Q68" s="109" t="n"/>
      <c r="R68" s="110" t="n"/>
      <c r="S68" s="109" t="n"/>
      <c r="T68" s="116">
        <f>IF(AND('Inserimento dati'!$B$3=$H$2, Tabella3[[#This Row],[LUN]]="X"), "X",IF(AND('Inserimento dati'!$B$3=$I$2, Tabella3[[#This Row],[MAR]]="X"), "X", IF(AND('Inserimento dati'!$B$3=$J$2, Tabella3[[#This Row],[MER]]="X"), "X",IF(AND('Inserimento dati'!$B$3=$K$2, Tabella3[[#This Row],[GIO]]="X"), "X", IF(AND('Inserimento dati'!$B$3=$L$2, Tabella3[[#This Row],[VEN]]="X"), "X","")))))</f>
        <v/>
      </c>
      <c r="U68" s="158">
        <f>IFERROR(MID(G68,_xlfn.AGGREGATE(15,6,(ROW(INDIRECT("1:"&amp;LEN(G68)-7)))/(ISNUMBER(--MID(G68,ROW(INDIRECT("1:"&amp;LEN(G68)-7)),8))),1),8),"")</f>
        <v/>
      </c>
      <c r="V68" t="inlineStr">
        <is>
          <t>2025-09-30 20:00:00</t>
        </is>
      </c>
    </row>
    <row r="69" ht="23.25" customFormat="1" customHeight="1" s="45">
      <c r="A69" s="112" t="n"/>
      <c r="B69" s="112">
        <f>IF(OR(A69="x",A69="X"),"",IF(ISBLANK(A69),"X",""))</f>
        <v/>
      </c>
      <c r="C69" s="112">
        <f>IF(OR(Tabella3[[#This Row],[LUN]]="X",Tabella3[[#This Row],[MAR]]="X",Tabella3[[#This Row],[MER]]="X",Tabella3[[#This Row],[GIO]]="X",Tabella3[[#This Row],[VEN]]="X",),"X","")</f>
        <v/>
      </c>
      <c r="D69" s="113" t="inlineStr">
        <is>
          <t>AREA 3</t>
        </is>
      </c>
      <c r="E69" s="109" t="inlineStr">
        <is>
          <t>528997/C</t>
        </is>
      </c>
      <c r="F69" s="109" t="inlineStr">
        <is>
          <t>1200/1</t>
        </is>
      </c>
      <c r="G69" s="109" t="inlineStr">
        <is>
          <t xml:space="preserve"> 1200/1 - L401RC CONTROLLO E RIPRISTINO STRUMENTAZIONE</t>
        </is>
      </c>
      <c r="H69" s="111" t="n"/>
      <c r="I69" s="111" t="n"/>
      <c r="J69" s="111" t="n"/>
      <c r="K69" s="111" t="n"/>
      <c r="L69" s="111" t="n"/>
      <c r="M69" s="109" t="inlineStr">
        <is>
          <t>DA CHIUDERE</t>
        </is>
      </c>
      <c r="N69" s="109" t="n"/>
      <c r="O69" s="109" t="n"/>
      <c r="P69" s="109" t="n"/>
      <c r="Q69" s="109" t="inlineStr">
        <is>
          <t>IL PROBLEMA E' SULLA VALVOLA</t>
        </is>
      </c>
      <c r="R69" s="110" t="n">
        <v>45727</v>
      </c>
      <c r="S69" s="109" t="inlineStr">
        <is>
          <t>SPINALI</t>
        </is>
      </c>
      <c r="T69" s="116">
        <f>IF(AND('Inserimento dati'!$B$3=$H$2, Tabella3[[#This Row],[LUN]]="X"), "X",IF(AND('Inserimento dati'!$B$3=$I$2, Tabella3[[#This Row],[MAR]]="X"), "X", IF(AND('Inserimento dati'!$B$3=$J$2, Tabella3[[#This Row],[MER]]="X"), "X",IF(AND('Inserimento dati'!$B$3=$K$2, Tabella3[[#This Row],[GIO]]="X"), "X", IF(AND('Inserimento dati'!$B$3=$L$2, Tabella3[[#This Row],[VEN]]="X"), "X","")))))</f>
        <v/>
      </c>
      <c r="U69" s="158">
        <f>IFERROR(MID(G69,_xlfn.AGGREGATE(15,6,(ROW(INDIRECT("1:"&amp;LEN(G69)-7)))/(ISNUMBER(--MID(G69,ROW(INDIRECT("1:"&amp;LEN(G69)-7)),8))),1),8),"")</f>
        <v/>
      </c>
      <c r="V69" t="inlineStr">
        <is>
          <t>2025-09-30 20:00:00</t>
        </is>
      </c>
    </row>
    <row r="70" ht="23.25" customFormat="1" customHeight="1" s="45">
      <c r="A70" s="112" t="n"/>
      <c r="B70" s="112">
        <f>IF(OR(A70="x",A70="X"),"",IF(ISBLANK(A70),"X",""))</f>
        <v/>
      </c>
      <c r="C70" s="112">
        <f>IF(OR(Tabella3[[#This Row],[LUN]]="X",Tabella3[[#This Row],[MAR]]="X",Tabella3[[#This Row],[MER]]="X",Tabella3[[#This Row],[GIO]]="X",Tabella3[[#This Row],[VEN]]="X",),"X","")</f>
        <v/>
      </c>
      <c r="D70" s="113" t="inlineStr">
        <is>
          <t>AREA 3</t>
        </is>
      </c>
      <c r="E70" s="109" t="inlineStr">
        <is>
          <t>528945/C</t>
        </is>
      </c>
      <c r="F70" s="109" t="inlineStr">
        <is>
          <t>1200/1</t>
        </is>
      </c>
      <c r="G70" s="109" t="inlineStr">
        <is>
          <t xml:space="preserve"> 1200/1 - P405R CONTROLLO FUNZIONALE</t>
        </is>
      </c>
      <c r="H70" s="111" t="n"/>
      <c r="I70" s="111" t="n"/>
      <c r="J70" s="111" t="n"/>
      <c r="K70" s="111" t="n"/>
      <c r="L70" s="111" t="n"/>
      <c r="M70" s="109" t="inlineStr">
        <is>
          <t>DA CHIUDERE</t>
        </is>
      </c>
      <c r="N70" s="109" t="n"/>
      <c r="O70" s="109" t="n"/>
      <c r="P70" s="109" t="n"/>
      <c r="Q70" s="109" t="n"/>
      <c r="R70" s="110" t="n">
        <v>45728</v>
      </c>
      <c r="S70" s="109" t="inlineStr">
        <is>
          <t>RICIPUTO</t>
        </is>
      </c>
      <c r="T70" s="116">
        <f>IF(AND('Inserimento dati'!$B$3=$H$2, Tabella3[[#This Row],[LUN]]="X"), "X",IF(AND('Inserimento dati'!$B$3=$I$2, Tabella3[[#This Row],[MAR]]="X"), "X", IF(AND('Inserimento dati'!$B$3=$J$2, Tabella3[[#This Row],[MER]]="X"), "X",IF(AND('Inserimento dati'!$B$3=$K$2, Tabella3[[#This Row],[GIO]]="X"), "X", IF(AND('Inserimento dati'!$B$3=$L$2, Tabella3[[#This Row],[VEN]]="X"), "X","")))))</f>
        <v/>
      </c>
      <c r="U70" s="158">
        <f>IFERROR(MID(G70,_xlfn.AGGREGATE(15,6,(ROW(INDIRECT("1:"&amp;LEN(G70)-7)))/(ISNUMBER(--MID(G70,ROW(INDIRECT("1:"&amp;LEN(G70)-7)),8))),1),8),"")</f>
        <v/>
      </c>
      <c r="V70" t="inlineStr">
        <is>
          <t>2025-09-30 20:00:00</t>
        </is>
      </c>
    </row>
    <row r="71" ht="23.25" customFormat="1" customHeight="1" s="45">
      <c r="A71" s="112" t="n"/>
      <c r="B71" s="112">
        <f>IF(OR(A71="x",A71="X"),"",IF(ISBLANK(A71),"X",""))</f>
        <v/>
      </c>
      <c r="C71" s="112">
        <f>IF(OR(Tabella3[[#This Row],[LUN]]="X",Tabella3[[#This Row],[MAR]]="X",Tabella3[[#This Row],[MER]]="X",Tabella3[[#This Row],[GIO]]="X",Tabella3[[#This Row],[VEN]]="X",),"X","")</f>
        <v/>
      </c>
      <c r="D71" s="113" t="inlineStr">
        <is>
          <t>AREA 3</t>
        </is>
      </c>
      <c r="E71" s="109" t="inlineStr">
        <is>
          <t>528954/C</t>
        </is>
      </c>
      <c r="F71" s="109" t="inlineStr">
        <is>
          <t>1200/1</t>
        </is>
      </c>
      <c r="G71" s="109" t="inlineStr">
        <is>
          <t xml:space="preserve"> 1200/1 - Z1t406A(camera MEA)   Z1t406B( camera MEA)   Z1t407A (camera SWS)</t>
        </is>
      </c>
      <c r="H71" s="111" t="n"/>
      <c r="I71" s="111" t="n"/>
      <c r="J71" s="111" t="n"/>
      <c r="K71" s="111" t="n"/>
      <c r="L71" s="111" t="n"/>
      <c r="M71" s="109" t="inlineStr">
        <is>
          <t>DA CHIUDERE</t>
        </is>
      </c>
      <c r="N71" s="109" t="n"/>
      <c r="O71" s="109" t="n"/>
      <c r="P71" s="109" t="n"/>
      <c r="Q71" s="109" t="n"/>
      <c r="R71" s="110" t="n">
        <v>45727</v>
      </c>
      <c r="S71" s="109" t="inlineStr">
        <is>
          <t>TARASCIO</t>
        </is>
      </c>
      <c r="T71" s="116">
        <f>IF(AND('Inserimento dati'!$B$3=$H$2, Tabella3[[#This Row],[LUN]]="X"), "X",IF(AND('Inserimento dati'!$B$3=$I$2, Tabella3[[#This Row],[MAR]]="X"), "X", IF(AND('Inserimento dati'!$B$3=$J$2, Tabella3[[#This Row],[MER]]="X"), "X",IF(AND('Inserimento dati'!$B$3=$K$2, Tabella3[[#This Row],[GIO]]="X"), "X", IF(AND('Inserimento dati'!$B$3=$L$2, Tabella3[[#This Row],[VEN]]="X"), "X","")))))</f>
        <v/>
      </c>
      <c r="U71" s="158">
        <f>IFERROR(MID(G71,_xlfn.AGGREGATE(15,6,(ROW(INDIRECT("1:"&amp;LEN(G71)-7)))/(ISNUMBER(--MID(G71,ROW(INDIRECT("1:"&amp;LEN(G71)-7)),8))),1),8),"")</f>
        <v/>
      </c>
      <c r="V71" t="inlineStr">
        <is>
          <t>2025-09-30 20:00:00</t>
        </is>
      </c>
    </row>
    <row r="72" ht="23.25" customFormat="1" customHeight="1" s="45">
      <c r="A72" s="112" t="n"/>
      <c r="B72" s="112">
        <f>IF(OR(A72="x",A72="X"),"",IF(ISBLANK(A72),"X",""))</f>
        <v/>
      </c>
      <c r="C72" s="112">
        <f>IF(OR(Tabella3[[#This Row],[LUN]]="X",Tabella3[[#This Row],[MAR]]="X",Tabella3[[#This Row],[MER]]="X",Tabella3[[#This Row],[GIO]]="X",Tabella3[[#This Row],[VEN]]="X",),"X","")</f>
        <v/>
      </c>
      <c r="D72" s="113" t="inlineStr">
        <is>
          <t>AREA 3</t>
        </is>
      </c>
      <c r="E72" s="109" t="inlineStr">
        <is>
          <t>528801/C</t>
        </is>
      </c>
      <c r="F72" s="109" t="n">
        <v>1100</v>
      </c>
      <c r="G72" s="109" t="inlineStr">
        <is>
          <t xml:space="preserve"> 1100 - F160R  FUNZIONALE CON SALE CONTROLLO</t>
        </is>
      </c>
      <c r="H72" s="111" t="n"/>
      <c r="I72" s="111" t="n"/>
      <c r="J72" s="111" t="n"/>
      <c r="K72" s="111" t="n"/>
      <c r="L72" s="111" t="n"/>
      <c r="M72" s="109" t="inlineStr">
        <is>
          <t>DA CHIUDERE</t>
        </is>
      </c>
      <c r="N72" s="109" t="n"/>
      <c r="O72" s="109" t="n"/>
      <c r="P72" s="109" t="n"/>
      <c r="Q72" s="109" t="n"/>
      <c r="R72" s="110" t="n"/>
      <c r="S72" s="109" t="n"/>
      <c r="T72" s="116">
        <f>IF(AND('Inserimento dati'!$B$3=$H$2, Tabella3[[#This Row],[LUN]]="X"), "X",IF(AND('Inserimento dati'!$B$3=$I$2, Tabella3[[#This Row],[MAR]]="X"), "X", IF(AND('Inserimento dati'!$B$3=$J$2, Tabella3[[#This Row],[MER]]="X"), "X",IF(AND('Inserimento dati'!$B$3=$K$2, Tabella3[[#This Row],[GIO]]="X"), "X", IF(AND('Inserimento dati'!$B$3=$L$2, Tabella3[[#This Row],[VEN]]="X"), "X","")))))</f>
        <v/>
      </c>
      <c r="U72" s="158">
        <f>IFERROR(MID(G72,_xlfn.AGGREGATE(15,6,(ROW(INDIRECT("1:"&amp;LEN(G72)-7)))/(ISNUMBER(--MID(G72,ROW(INDIRECT("1:"&amp;LEN(G72)-7)),8))),1),8),"")</f>
        <v/>
      </c>
      <c r="V72" t="inlineStr">
        <is>
          <t>2025-09-30 20:00:00</t>
        </is>
      </c>
    </row>
    <row r="73" ht="23.25" customFormat="1" customHeight="1" s="45">
      <c r="A73" s="112" t="n"/>
      <c r="B73" s="112">
        <f>IF(OR(A73="x",A73="X"),"",IF(ISBLANK(A73),"X",""))</f>
        <v/>
      </c>
      <c r="C73" s="112">
        <f>IF(OR(Tabella3[[#This Row],[LUN]]="X",Tabella3[[#This Row],[MAR]]="X",Tabella3[[#This Row],[MER]]="X",Tabella3[[#This Row],[GIO]]="X",Tabella3[[#This Row],[VEN]]="X",),"X","")</f>
        <v/>
      </c>
      <c r="D73" s="113" t="inlineStr">
        <is>
          <t>AREA 3</t>
        </is>
      </c>
      <c r="E73" s="109" t="inlineStr">
        <is>
          <t>528799/C</t>
        </is>
      </c>
      <c r="F73" s="109" t="inlineStr">
        <is>
          <t>700A</t>
        </is>
      </c>
      <c r="G73" s="109" t="inlineStr">
        <is>
          <t xml:space="preserve"> 700A - FCV201 SERRAGGIO PREMITRECCIA E PROVE FUNZIONALE CON SALE CONTROLLO</t>
        </is>
      </c>
      <c r="H73" s="111" t="n"/>
      <c r="I73" s="111" t="n"/>
      <c r="J73" s="111" t="n"/>
      <c r="K73" s="111" t="n"/>
      <c r="L73" s="111" t="n"/>
      <c r="M73" s="109" t="inlineStr">
        <is>
          <t>DA CHIUDERE</t>
        </is>
      </c>
      <c r="N73" s="109" t="n"/>
      <c r="O73" s="109" t="n"/>
      <c r="P73" s="109" t="n"/>
      <c r="Q73" s="109" t="n"/>
      <c r="R73" s="110" t="n"/>
      <c r="S73" s="109" t="n"/>
      <c r="T73" s="116">
        <f>IF(AND('Inserimento dati'!$B$3=$H$2, Tabella3[[#This Row],[LUN]]="X"), "X",IF(AND('Inserimento dati'!$B$3=$I$2, Tabella3[[#This Row],[MAR]]="X"), "X", IF(AND('Inserimento dati'!$B$3=$J$2, Tabella3[[#This Row],[MER]]="X"), "X",IF(AND('Inserimento dati'!$B$3=$K$2, Tabella3[[#This Row],[GIO]]="X"), "X", IF(AND('Inserimento dati'!$B$3=$L$2, Tabella3[[#This Row],[VEN]]="X"), "X","")))))</f>
        <v/>
      </c>
      <c r="U73" s="158">
        <f>IFERROR(MID(G73,_xlfn.AGGREGATE(15,6,(ROW(INDIRECT("1:"&amp;LEN(G73)-7)))/(ISNUMBER(--MID(G73,ROW(INDIRECT("1:"&amp;LEN(G73)-7)),8))),1),8),"")</f>
        <v/>
      </c>
      <c r="V73" t="inlineStr">
        <is>
          <t>2025-09-30 20:00:00</t>
        </is>
      </c>
    </row>
    <row r="74" ht="30" customFormat="1" customHeight="1" s="45">
      <c r="A74" s="112" t="n"/>
      <c r="B74" s="112">
        <f>IF(OR(A74="x",A74="X"),"",IF(ISBLANK(A74),"X",""))</f>
        <v/>
      </c>
      <c r="C74" s="112">
        <f>IF(OR(Tabella3[[#This Row],[LUN]]="X",Tabella3[[#This Row],[MAR]]="X",Tabella3[[#This Row],[MER]]="X",Tabella3[[#This Row],[GIO]]="X",Tabella3[[#This Row],[VEN]]="X",),"X","")</f>
        <v/>
      </c>
      <c r="D74" s="113" t="inlineStr">
        <is>
          <t>AREA 3</t>
        </is>
      </c>
      <c r="E74" s="109" t="inlineStr">
        <is>
          <t>528867/C</t>
        </is>
      </c>
      <c r="F74" s="109" t="inlineStr">
        <is>
          <t>1200/1</t>
        </is>
      </c>
      <c r="G74" s="109" t="inlineStr">
        <is>
          <t xml:space="preserve"> 1200/1 F204IC CONTROLLO FUNZIONALE CONTROLLO LOOP DI REGOLAZIONE</t>
        </is>
      </c>
      <c r="H74" s="111" t="n"/>
      <c r="I74" s="111" t="n"/>
      <c r="J74" s="111" t="n"/>
      <c r="K74" s="111" t="n"/>
      <c r="L74" s="111" t="n"/>
      <c r="M74" s="109" t="inlineStr">
        <is>
          <t>DA CHIUDERE</t>
        </is>
      </c>
      <c r="N74" s="109" t="n"/>
      <c r="O74" s="109" t="n"/>
      <c r="P74" s="109" t="n"/>
      <c r="Q74" s="109" t="inlineStr">
        <is>
          <t>TROVATA ACQUA NEL PROCESSO, DRENATA, MISURA OK, RIPRISTINATA.</t>
        </is>
      </c>
      <c r="R74" s="110" t="n">
        <v>45726</v>
      </c>
      <c r="S74" s="109" t="inlineStr">
        <is>
          <t>TARASCIO/NOCERA</t>
        </is>
      </c>
      <c r="T74" s="116">
        <f>IF(AND('Inserimento dati'!$B$3=$H$2, Tabella3[[#This Row],[LUN]]="X"), "X",IF(AND('Inserimento dati'!$B$3=$I$2, Tabella3[[#This Row],[MAR]]="X"), "X", IF(AND('Inserimento dati'!$B$3=$J$2, Tabella3[[#This Row],[MER]]="X"), "X",IF(AND('Inserimento dati'!$B$3=$K$2, Tabella3[[#This Row],[GIO]]="X"), "X", IF(AND('Inserimento dati'!$B$3=$L$2, Tabella3[[#This Row],[VEN]]="X"), "X","")))))</f>
        <v/>
      </c>
      <c r="U74" s="158">
        <f>IFERROR(MID(G74,_xlfn.AGGREGATE(15,6,(ROW(INDIRECT("1:"&amp;LEN(G74)-7)))/(ISNUMBER(--MID(G74,ROW(INDIRECT("1:"&amp;LEN(G74)-7)),8))),1),8),"")</f>
        <v/>
      </c>
      <c r="V74" t="inlineStr">
        <is>
          <t>2025-09-30 20:00:00</t>
        </is>
      </c>
    </row>
    <row r="75" ht="30" customFormat="1" customHeight="1" s="45">
      <c r="A75" s="112" t="n"/>
      <c r="B75" s="112">
        <f>IF(OR(A75="x",A75="X"),"",IF(ISBLANK(A75),"X",""))</f>
        <v/>
      </c>
      <c r="C75" s="112">
        <f>IF(OR(Tabella3[[#This Row],[LUN]]="X",Tabella3[[#This Row],[MAR]]="X",Tabella3[[#This Row],[MER]]="X",Tabella3[[#This Row],[GIO]]="X",Tabella3[[#This Row],[VEN]]="X",),"X","")</f>
        <v/>
      </c>
      <c r="D75" s="113" t="inlineStr">
        <is>
          <t>AREA 3</t>
        </is>
      </c>
      <c r="E75" s="109" t="inlineStr">
        <is>
          <t>523487/C</t>
        </is>
      </c>
      <c r="F75" s="109" t="inlineStr">
        <is>
          <t>1200/3</t>
        </is>
      </c>
      <c r="G75" s="109" t="inlineStr">
        <is>
          <t xml:space="preserve">  Z3F401R.PV(LS linea 3 )  controllo funzionale</t>
        </is>
      </c>
      <c r="H75" s="111" t="n"/>
      <c r="I75" s="111" t="n"/>
      <c r="J75" s="111" t="n"/>
      <c r="K75" s="111" t="n"/>
      <c r="L75" s="111" t="n"/>
      <c r="M75" s="109" t="inlineStr">
        <is>
          <t>DA CHIUDERE</t>
        </is>
      </c>
      <c r="N75" s="109" t="n"/>
      <c r="O75" s="109" t="n"/>
      <c r="P75" s="109" t="n"/>
      <c r="Q75" s="109" t="inlineStr">
        <is>
          <t>IL TX VERRA' CONTROLLATO IN FERMATA ( INIZIA DOMANI )</t>
        </is>
      </c>
      <c r="R75" s="110" t="n">
        <v>45720</v>
      </c>
      <c r="S75" s="110" t="inlineStr">
        <is>
          <t>TARASCIO/GARRO S.</t>
        </is>
      </c>
      <c r="T75" s="112">
        <f>IF(AND('Inserimento dati'!$B$3=$H$2, Tabella3[[#This Row],[LUN]]="X"), "X",IF(AND('Inserimento dati'!$B$3=$I$2, Tabella3[[#This Row],[MAR]]="X"), "X", IF(AND('Inserimento dati'!$B$3=$J$2, Tabella3[[#This Row],[MER]]="X"), "X",IF(AND('Inserimento dati'!$B$3=$K$2, Tabella3[[#This Row],[GIO]]="X"), "X", IF(AND('Inserimento dati'!$B$3=$L$2, Tabella3[[#This Row],[VEN]]="X"), "X","")))))</f>
        <v/>
      </c>
      <c r="U75" s="158">
        <f>IFERROR(MID(G75,_xlfn.AGGREGATE(15,6,(ROW(INDIRECT("1:"&amp;LEN(G75)-7)))/(ISNUMBER(--MID(G75,ROW(INDIRECT("1:"&amp;LEN(G75)-7)),8))),1),8),"")</f>
        <v/>
      </c>
      <c r="V75" t="inlineStr">
        <is>
          <t>2025-09-30 20:00:00</t>
        </is>
      </c>
    </row>
    <row r="76" ht="30" customFormat="1" customHeight="1" s="45">
      <c r="A76" s="112" t="n"/>
      <c r="B76" s="112">
        <f>IF(OR(A76="x",A76="X"),"",IF(ISBLANK(A76),"X",""))</f>
        <v/>
      </c>
      <c r="C76" s="112">
        <f>IF(OR(Tabella3[[#This Row],[LUN]]="X",Tabella3[[#This Row],[MAR]]="X",Tabella3[[#This Row],[MER]]="X",Tabella3[[#This Row],[GIO]]="X",Tabella3[[#This Row],[VEN]]="X",),"X","")</f>
        <v/>
      </c>
      <c r="D76" s="113" t="inlineStr">
        <is>
          <t>AREA 3</t>
        </is>
      </c>
      <c r="E76" s="109" t="inlineStr">
        <is>
          <t>528080/C</t>
        </is>
      </c>
      <c r="F76" s="109" t="inlineStr">
        <is>
          <t>1200/M</t>
        </is>
      </c>
      <c r="G76" s="109" t="inlineStr">
        <is>
          <t xml:space="preserve"> Z1F301RC (carica MEA)  302 (Carica SWS)  303 (Aria MEA)  304 (Aria SWS)  305 (Aria secondaria)</t>
        </is>
      </c>
      <c r="H76" s="111" t="n"/>
      <c r="I76" s="111" t="n"/>
      <c r="J76" s="111" t="n"/>
      <c r="K76" s="111" t="n"/>
      <c r="L76" s="111" t="n"/>
      <c r="M76" s="109" t="inlineStr">
        <is>
          <t>DA CHIUDERE</t>
        </is>
      </c>
      <c r="N76" s="109" t="n"/>
      <c r="O76" s="109" t="n"/>
      <c r="P76" s="109" t="n"/>
      <c r="Q76" s="109" t="inlineStr">
        <is>
          <t>F303/304/305 NECESSITA PONTEGGIO PER IL CONTROLLO. F301,302 AZZERATI OK</t>
        </is>
      </c>
      <c r="R76" s="110" t="n">
        <v>45720</v>
      </c>
      <c r="S76" s="109" t="inlineStr">
        <is>
          <t>TARASCIO/NOCERA</t>
        </is>
      </c>
      <c r="T76" s="116">
        <f>IF(AND('Inserimento dati'!$B$3=$H$2, Tabella3[[#This Row],[LUN]]="X"), "X",IF(AND('Inserimento dati'!$B$3=$I$2, Tabella3[[#This Row],[MAR]]="X"), "X", IF(AND('Inserimento dati'!$B$3=$J$2, Tabella3[[#This Row],[MER]]="X"), "X",IF(AND('Inserimento dati'!$B$3=$K$2, Tabella3[[#This Row],[GIO]]="X"), "X", IF(AND('Inserimento dati'!$B$3=$L$2, Tabella3[[#This Row],[VEN]]="X"), "X","")))))</f>
        <v/>
      </c>
      <c r="U76" s="158">
        <f>IFERROR(MID(G76,_xlfn.AGGREGATE(15,6,(ROW(INDIRECT("1:"&amp;LEN(G76)-7)))/(ISNUMBER(--MID(G76,ROW(INDIRECT("1:"&amp;LEN(G76)-7)),8))),1),8),"")</f>
        <v/>
      </c>
      <c r="V76" t="inlineStr">
        <is>
          <t>2025-09-30 20:00:00</t>
        </is>
      </c>
    </row>
    <row r="77" ht="30" customFormat="1" customHeight="1" s="45">
      <c r="A77" s="112" t="n"/>
      <c r="B77" s="112">
        <f>IF(OR(A77="x",A77="X"),"",IF(ISBLANK(A77),"X",""))</f>
        <v/>
      </c>
      <c r="C77" s="112">
        <f>IF(OR(Tabella3[[#This Row],[LUN]]="X",Tabella3[[#This Row],[MAR]]="X",Tabella3[[#This Row],[MER]]="X",Tabella3[[#This Row],[GIO]]="X",Tabella3[[#This Row],[VEN]]="X",),"X","")</f>
        <v/>
      </c>
      <c r="D77" s="113" t="inlineStr">
        <is>
          <t>AREA 3</t>
        </is>
      </c>
      <c r="E77" s="109" t="inlineStr">
        <is>
          <t>527945/C</t>
        </is>
      </c>
      <c r="F77" s="109" t="inlineStr">
        <is>
          <t>1200/1</t>
        </is>
      </c>
      <c r="G77" s="109" t="inlineStr">
        <is>
          <t xml:space="preserve"> 1200/1: ELIMINAZIONE PERDITA VAPORE DA TRACCIA E SOSTITUZIONE CONDENSINO D101</t>
        </is>
      </c>
      <c r="H77" s="111" t="n"/>
      <c r="I77" s="111" t="n"/>
      <c r="J77" s="111" t="n"/>
      <c r="K77" s="111" t="n"/>
      <c r="L77" s="111" t="n"/>
      <c r="M77" s="109" t="inlineStr">
        <is>
          <t>DA CHIUDERE</t>
        </is>
      </c>
      <c r="N77" s="109" t="n"/>
      <c r="O77" s="109" t="n"/>
      <c r="P77" s="109" t="n"/>
      <c r="Q77" s="109" t="inlineStr">
        <is>
          <t>ELIMINATA PERDITA</t>
        </is>
      </c>
      <c r="R77" s="110" t="n">
        <v>45719</v>
      </c>
      <c r="S77" s="109" t="inlineStr">
        <is>
          <t>MILLO/TARASCIO</t>
        </is>
      </c>
      <c r="T77" s="116">
        <f>IF(AND('Inserimento dati'!$B$3=$H$2, Tabella3[[#This Row],[LUN]]="X"), "X",IF(AND('Inserimento dati'!$B$3=$I$2, Tabella3[[#This Row],[MAR]]="X"), "X", IF(AND('Inserimento dati'!$B$3=$J$2, Tabella3[[#This Row],[MER]]="X"), "X",IF(AND('Inserimento dati'!$B$3=$K$2, Tabella3[[#This Row],[GIO]]="X"), "X", IF(AND('Inserimento dati'!$B$3=$L$2, Tabella3[[#This Row],[VEN]]="X"), "X","")))))</f>
        <v/>
      </c>
      <c r="U77" s="158">
        <f>IFERROR(MID(G77,_xlfn.AGGREGATE(15,6,(ROW(INDIRECT("1:"&amp;LEN(G77)-7)))/(ISNUMBER(--MID(G77,ROW(INDIRECT("1:"&amp;LEN(G77)-7)),8))),1),8),"")</f>
        <v/>
      </c>
      <c r="V77" t="inlineStr">
        <is>
          <t>2025-09-30 20:00:00</t>
        </is>
      </c>
    </row>
    <row r="78" ht="30" customFormat="1" customHeight="1" s="45">
      <c r="A78" s="112" t="n"/>
      <c r="B78" s="112">
        <f>IF(OR(A78="x",A78="X"),"",IF(ISBLANK(A78),"X",""))</f>
        <v/>
      </c>
      <c r="C78" s="112">
        <f>IF(OR(Tabella3[[#This Row],[LUN]]="X",Tabella3[[#This Row],[MAR]]="X",Tabella3[[#This Row],[MER]]="X",Tabella3[[#This Row],[GIO]]="X",Tabella3[[#This Row],[VEN]]="X",),"X","")</f>
        <v/>
      </c>
      <c r="D78" s="113" t="inlineStr">
        <is>
          <t>AREA 3</t>
        </is>
      </c>
      <c r="E78" s="109" t="inlineStr">
        <is>
          <t>527701/C</t>
        </is>
      </c>
      <c r="F78" s="109" t="inlineStr">
        <is>
          <t>1200/1</t>
        </is>
      </c>
      <c r="G78" s="109" t="inlineStr">
        <is>
          <t xml:space="preserve"> 1200/1 L502 ripristino funzionale livello vasca</t>
        </is>
      </c>
      <c r="H78" s="111" t="n"/>
      <c r="I78" s="111" t="n"/>
      <c r="J78" s="111" t="n"/>
      <c r="K78" s="111" t="n"/>
      <c r="L78" s="111" t="n"/>
      <c r="M78" s="109" t="inlineStr">
        <is>
          <t>DA CHIUDERE</t>
        </is>
      </c>
      <c r="N78" s="109" t="n"/>
      <c r="O78" s="109" t="n"/>
      <c r="P78" s="109" t="n"/>
      <c r="Q78" s="109" t="inlineStr">
        <is>
          <t>SI E' PROVATO A STASARE CON POMPA ALTA PRESSIONE, ESITO NEGATIVO. LE PRESE RIMANGONO INTASATE. TX FUORI SERVIZIO.</t>
        </is>
      </c>
      <c r="R78" s="110" t="n">
        <v>45716</v>
      </c>
      <c r="S78" s="109" t="inlineStr">
        <is>
          <t>TARASCIO/PARTESANO</t>
        </is>
      </c>
      <c r="T78" s="116">
        <f>IF(AND('Inserimento dati'!$B$3=$H$2, Tabella3[[#This Row],[LUN]]="X"), "X",IF(AND('Inserimento dati'!$B$3=$I$2, Tabella3[[#This Row],[MAR]]="X"), "X", IF(AND('Inserimento dati'!$B$3=$J$2, Tabella3[[#This Row],[MER]]="X"), "X",IF(AND('Inserimento dati'!$B$3=$K$2, Tabella3[[#This Row],[GIO]]="X"), "X", IF(AND('Inserimento dati'!$B$3=$L$2, Tabella3[[#This Row],[VEN]]="X"), "X","")))))</f>
        <v/>
      </c>
      <c r="U78" s="158">
        <f>IFERROR(MID(G78,_xlfn.AGGREGATE(15,6,(ROW(INDIRECT("1:"&amp;LEN(G78)-7)))/(ISNUMBER(--MID(G78,ROW(INDIRECT("1:"&amp;LEN(G78)-7)),8))),1),8),"")</f>
        <v/>
      </c>
      <c r="V78" t="inlineStr">
        <is>
          <t>2025-09-30 20:00:00</t>
        </is>
      </c>
    </row>
    <row r="79" ht="60" customFormat="1" customHeight="1" s="45">
      <c r="A79" s="112" t="n"/>
      <c r="B79" s="112">
        <f>IF(OR(A79="x",A79="X"),"",IF(ISBLANK(A79),"X",""))</f>
        <v/>
      </c>
      <c r="C79" s="112">
        <f>IF(OR(Tabella3[[#This Row],[LUN]]="X",Tabella3[[#This Row],[MAR]]="X",Tabella3[[#This Row],[MER]]="X",Tabella3[[#This Row],[GIO]]="X",Tabella3[[#This Row],[VEN]]="X",),"X","")</f>
        <v/>
      </c>
      <c r="D79" s="113" t="inlineStr">
        <is>
          <t>AREA 3</t>
        </is>
      </c>
      <c r="E79" s="109" t="inlineStr">
        <is>
          <t>526911/C</t>
        </is>
      </c>
      <c r="F79" s="109" t="n">
        <v>700</v>
      </c>
      <c r="G79" s="109" t="inlineStr">
        <is>
          <t xml:space="preserve"> 10218262 700 - attivit di ripristino allarmi e controllo funzionale su F026RC - T3_5R - T036I - XS101 (ALLARME GUASTO ALIMENTATORE)</t>
        </is>
      </c>
      <c r="H79" s="111" t="n"/>
      <c r="I79" s="111" t="n"/>
      <c r="J79" s="111" t="n"/>
      <c r="K79" s="111" t="n"/>
      <c r="L79" s="111" t="n"/>
      <c r="M79" s="109" t="inlineStr">
        <is>
          <t>DA CHIUDERE</t>
        </is>
      </c>
      <c r="N79" s="109" t="n"/>
      <c r="O79" s="109" t="n"/>
      <c r="P79" s="109" t="n"/>
      <c r="Q79" s="109" t="inlineStr">
        <is>
          <t>FR 026 CORRETTO DI 0, IN ALL. DI BASSA PORTATA PERCHE' COMPRESSORE FERMO, T036I CAVO INTERROTTTO DA TC A JBOX T2, T3_5 RIPRISTINATO CAVO AMMALORATO. ALLARME ALIMENTATORE A CURA DI ELETTROSTRUM.</t>
        </is>
      </c>
      <c r="R79" s="110" t="n">
        <v>45719</v>
      </c>
      <c r="S79" s="109" t="inlineStr">
        <is>
          <t>SPINALI/SERRA</t>
        </is>
      </c>
      <c r="T79" s="116">
        <f>IF(AND('Inserimento dati'!$B$3=$H$2, Tabella3[[#This Row],[LUN]]="X"), "X",IF(AND('Inserimento dati'!$B$3=$I$2, Tabella3[[#This Row],[MAR]]="X"), "X", IF(AND('Inserimento dati'!$B$3=$J$2, Tabella3[[#This Row],[MER]]="X"), "X",IF(AND('Inserimento dati'!$B$3=$K$2, Tabella3[[#This Row],[GIO]]="X"), "X", IF(AND('Inserimento dati'!$B$3=$L$2, Tabella3[[#This Row],[VEN]]="X"), "X","")))))</f>
        <v/>
      </c>
      <c r="U79" s="158">
        <f>IFERROR(MID(G79,_xlfn.AGGREGATE(15,6,(ROW(INDIRECT("1:"&amp;LEN(G79)-7)))/(ISNUMBER(--MID(G79,ROW(INDIRECT("1:"&amp;LEN(G79)-7)),8))),1),8),"")</f>
        <v/>
      </c>
      <c r="V79" t="inlineStr">
        <is>
          <t>2025-09-30 20:00:00</t>
        </is>
      </c>
    </row>
    <row r="80" ht="30" customFormat="1" customHeight="1" s="45">
      <c r="A80" s="112" t="n"/>
      <c r="B80" s="112">
        <f>IF(OR(A80="x",A80="X"),"",IF(ISBLANK(A80),"X",""))</f>
        <v/>
      </c>
      <c r="C80" s="112">
        <f>IF(OR(Tabella3[[#This Row],[LUN]]="X",Tabella3[[#This Row],[MAR]]="X",Tabella3[[#This Row],[MER]]="X",Tabella3[[#This Row],[GIO]]="X",Tabella3[[#This Row],[VEN]]="X",),"X","")</f>
        <v/>
      </c>
      <c r="D80" s="113" t="inlineStr">
        <is>
          <t>AREA 3</t>
        </is>
      </c>
      <c r="E80" s="109" t="inlineStr">
        <is>
          <t>525748/C</t>
        </is>
      </c>
      <c r="F80" s="109" t="inlineStr">
        <is>
          <t>1200/1</t>
        </is>
      </c>
      <c r="G80" s="109" t="inlineStr">
        <is>
          <t xml:space="preserve"> 1200/1 - Z1F301RC Z2F302RC Z1F306RC CONTROLLO E TARATURA CON ALLINEAMENTO CON SALA CONTROLLO</t>
        </is>
      </c>
      <c r="H80" s="111" t="n"/>
      <c r="I80" s="111" t="n"/>
      <c r="J80" s="111" t="n"/>
      <c r="K80" s="111" t="n"/>
      <c r="L80" s="111" t="n"/>
      <c r="M80" s="109" t="inlineStr">
        <is>
          <t>DA CHIUDERE</t>
        </is>
      </c>
      <c r="N80" s="109" t="n"/>
      <c r="O80" s="109" t="n"/>
      <c r="P80" s="109" t="n"/>
      <c r="Q80" s="109" t="inlineStr">
        <is>
          <t>F301RC E' LA DIFFERENZA TRA F301T E F306T.</t>
        </is>
      </c>
      <c r="R80" s="110" t="n">
        <v>45701</v>
      </c>
      <c r="S80" s="109" t="inlineStr">
        <is>
          <t>TARASCIO</t>
        </is>
      </c>
      <c r="T80" s="116">
        <f>IF(AND('Inserimento dati'!$B$3=$H$2, Tabella3[[#This Row],[LUN]]="X"), "X",IF(AND('Inserimento dati'!$B$3=$I$2, Tabella3[[#This Row],[MAR]]="X"), "X", IF(AND('Inserimento dati'!$B$3=$J$2, Tabella3[[#This Row],[MER]]="X"), "X",IF(AND('Inserimento dati'!$B$3=$K$2, Tabella3[[#This Row],[GIO]]="X"), "X", IF(AND('Inserimento dati'!$B$3=$L$2, Tabella3[[#This Row],[VEN]]="X"), "X","")))))</f>
        <v/>
      </c>
      <c r="U80" s="158">
        <f>IFERROR(MID(G80,_xlfn.AGGREGATE(15,6,(ROW(INDIRECT("1:"&amp;LEN(G80)-7)))/(ISNUMBER(--MID(G80,ROW(INDIRECT("1:"&amp;LEN(G80)-7)),8))),1),8),"")</f>
        <v/>
      </c>
      <c r="V80" t="inlineStr">
        <is>
          <t>2025-09-30 20:00:00</t>
        </is>
      </c>
    </row>
    <row r="81" ht="30" customFormat="1" customHeight="1" s="45">
      <c r="A81" s="112" t="n"/>
      <c r="B81" s="112">
        <f>IF(OR(A81="x",A81="X"),"",IF(ISBLANK(A81),"X",""))</f>
        <v/>
      </c>
      <c r="C81" s="112">
        <f>IF(OR(Tabella3[[#This Row],[LUN]]="X",Tabella3[[#This Row],[MAR]]="X",Tabella3[[#This Row],[MER]]="X",Tabella3[[#This Row],[GIO]]="X",Tabella3[[#This Row],[VEN]]="X",),"X","")</f>
        <v/>
      </c>
      <c r="D81" s="113" t="inlineStr">
        <is>
          <t>AREA 3</t>
        </is>
      </c>
      <c r="E81" s="109" t="inlineStr">
        <is>
          <t>519473/C</t>
        </is>
      </c>
      <c r="F81" s="109" t="n">
        <v>2400</v>
      </c>
      <c r="G81" s="109" t="inlineStr">
        <is>
          <t xml:space="preserve"> 2400 - L606RCV smontaggio/rimontaggio per revisione valvola</t>
        </is>
      </c>
      <c r="H81" s="111" t="n"/>
      <c r="I81" s="111" t="n"/>
      <c r="J81" s="111" t="n"/>
      <c r="K81" s="111" t="n"/>
      <c r="L81" s="111" t="n"/>
      <c r="M81" s="109" t="inlineStr">
        <is>
          <t>DA CHIUDERE</t>
        </is>
      </c>
      <c r="N81" s="109" t="inlineStr">
        <is>
          <t>X</t>
        </is>
      </c>
      <c r="O81" s="109" t="n"/>
      <c r="P81" s="109" t="n"/>
      <c r="Q81" s="109" t="inlineStr">
        <is>
          <t>L'ATTIVITA' E' SOSPESA IN ATTESA CHE ESE POSSA CONSEGNARE A MAN LA VALVOLA.</t>
        </is>
      </c>
      <c r="R81" s="110" t="n">
        <v>45635</v>
      </c>
      <c r="S81" s="110" t="n"/>
      <c r="T81" s="116">
        <f>IF(AND('Inserimento dati'!$B$3=$H$2, Tabella3[[#This Row],[LUN]]="X"), "X",IF(AND('Inserimento dati'!$B$3=$I$2, Tabella3[[#This Row],[MAR]]="X"), "X", IF(AND('Inserimento dati'!$B$3=$J$2, Tabella3[[#This Row],[MER]]="X"), "X",IF(AND('Inserimento dati'!$B$3=$K$2, Tabella3[[#This Row],[GIO]]="X"), "X", IF(AND('Inserimento dati'!$B$3=$L$2, Tabella3[[#This Row],[VEN]]="X"), "X","")))))</f>
        <v/>
      </c>
      <c r="U81" s="158">
        <f>IFERROR(MID(G81,_xlfn.AGGREGATE(15,6,(ROW(INDIRECT("1:"&amp;LEN(G81)-7)))/(ISNUMBER(--MID(G81,ROW(INDIRECT("1:"&amp;LEN(G81)-7)),8))),1),8),"")</f>
        <v/>
      </c>
      <c r="V81" t="inlineStr">
        <is>
          <t>2025-09-30 20:00:00</t>
        </is>
      </c>
    </row>
    <row r="82" ht="30" customFormat="1" customHeight="1" s="45">
      <c r="A82" s="112" t="n"/>
      <c r="B82" s="112">
        <f>IF(OR(A82="x",A82="X"),"",IF(ISBLANK(A82),"X",""))</f>
        <v/>
      </c>
      <c r="C82" s="112">
        <f>IF(OR(Tabella3[[#This Row],[LUN]]="X",Tabella3[[#This Row],[MAR]]="X",Tabella3[[#This Row],[MER]]="X",Tabella3[[#This Row],[GIO]]="X",Tabella3[[#This Row],[VEN]]="X",),"X","")</f>
        <v/>
      </c>
      <c r="D82" s="113" t="inlineStr">
        <is>
          <t>AREA 3</t>
        </is>
      </c>
      <c r="E82" s="109" t="inlineStr">
        <is>
          <t>527149/C</t>
        </is>
      </c>
      <c r="F82" s="109" t="n">
        <v>1800</v>
      </c>
      <c r="G82" s="109" t="inlineStr">
        <is>
          <t xml:space="preserve"> 1800 - TCV016 controllo funzionale LOOP DI REGOLAZIONE</t>
        </is>
      </c>
      <c r="H82" s="111" t="n"/>
      <c r="I82" s="111" t="n"/>
      <c r="J82" s="111" t="n"/>
      <c r="K82" s="111" t="n"/>
      <c r="L82" s="111" t="n"/>
      <c r="M82" s="109" t="inlineStr">
        <is>
          <t>DA CHIUDERE</t>
        </is>
      </c>
      <c r="N82" s="109" t="n"/>
      <c r="O82" s="109" t="n"/>
      <c r="P82" s="109" t="n"/>
      <c r="Q82" s="109" t="inlineStr">
        <is>
          <t>SOSTITUZIONE POSIZIONATORE GUASTO PERCHE' PIENO DI H20. ALLINEATA VALVOLA CON SALA CONTROLLO.</t>
        </is>
      </c>
      <c r="R82" s="110" t="n">
        <v>45714</v>
      </c>
      <c r="S82" s="109" t="inlineStr">
        <is>
          <t>GARRO L/ GARRO S.</t>
        </is>
      </c>
      <c r="T82" s="116">
        <f>IF(AND('Inserimento dati'!$B$3=$H$2, Tabella3[[#This Row],[LUN]]="X"), "X",IF(AND('Inserimento dati'!$B$3=$I$2, Tabella3[[#This Row],[MAR]]="X"), "X", IF(AND('Inserimento dati'!$B$3=$J$2, Tabella3[[#This Row],[MER]]="X"), "X",IF(AND('Inserimento dati'!$B$3=$K$2, Tabella3[[#This Row],[GIO]]="X"), "X", IF(AND('Inserimento dati'!$B$3=$L$2, Tabella3[[#This Row],[VEN]]="X"), "X","")))))</f>
        <v/>
      </c>
      <c r="U82" s="158">
        <f>IFERROR(MID(G82,_xlfn.AGGREGATE(15,6,(ROW(INDIRECT("1:"&amp;LEN(G82)-7)))/(ISNUMBER(--MID(G82,ROW(INDIRECT("1:"&amp;LEN(G82)-7)),8))),1),8),"")</f>
        <v/>
      </c>
      <c r="V82" t="inlineStr">
        <is>
          <t>2025-09-30 20:00:00</t>
        </is>
      </c>
    </row>
    <row r="83" ht="45" customFormat="1" customHeight="1" s="45">
      <c r="A83" s="112" t="n"/>
      <c r="B83" s="112">
        <f>IF(OR(A83="x",A83="X"),"",IF(ISBLANK(A83),"X",""))</f>
        <v/>
      </c>
      <c r="C83" s="112">
        <f>IF(OR(Tabella3[[#This Row],[LUN]]="X",Tabella3[[#This Row],[MAR]]="X",Tabella3[[#This Row],[MER]]="X",Tabella3[[#This Row],[GIO]]="X",Tabella3[[#This Row],[VEN]]="X",),"X","")</f>
        <v/>
      </c>
      <c r="D83" s="113" t="inlineStr">
        <is>
          <t>AREA 3</t>
        </is>
      </c>
      <c r="E83" s="109" t="inlineStr">
        <is>
          <t>524001/C</t>
        </is>
      </c>
      <c r="F83" s="109" t="inlineStr">
        <is>
          <t>700A</t>
        </is>
      </c>
      <c r="G83" s="109" t="inlineStr">
        <is>
          <t xml:space="preserve"> 700 - F224R  RIFACIMENTO PRIMARI E CONTROLLO E RIPRISTINO MISURATORE DI PORTATA</t>
        </is>
      </c>
      <c r="H83" s="111" t="n"/>
      <c r="I83" s="111" t="n"/>
      <c r="J83" s="111" t="n"/>
      <c r="K83" s="111" t="n"/>
      <c r="L83" s="111" t="n"/>
      <c r="M83" s="109" t="inlineStr">
        <is>
          <t>DA CHIUDERE</t>
        </is>
      </c>
      <c r="N83" s="109" t="n"/>
      <c r="O83" s="109" t="n"/>
      <c r="P83" s="109" t="n"/>
      <c r="Q83" s="109" t="inlineStr">
        <is>
          <t>ESEGUITA RILOCAZIONE NUOVO STRUMENTO CON RIFACIMENTO PRIMARI (ESEGUIRE SMONTAGGIO PRIMARI VECCHI) SI PROSEGUE CON PDL 525806/C</t>
        </is>
      </c>
      <c r="R83" s="110" t="n">
        <v>45700</v>
      </c>
      <c r="S83" s="109" t="inlineStr">
        <is>
          <t>MILLO/CAVAGNACCHI</t>
        </is>
      </c>
      <c r="T83" s="116">
        <f>IF(AND('Inserimento dati'!$B$3=$H$2, Tabella3[[#This Row],[LUN]]="X"), "X",IF(AND('Inserimento dati'!$B$3=$I$2, Tabella3[[#This Row],[MAR]]="X"), "X", IF(AND('Inserimento dati'!$B$3=$J$2, Tabella3[[#This Row],[MER]]="X"), "X",IF(AND('Inserimento dati'!$B$3=$K$2, Tabella3[[#This Row],[GIO]]="X"), "X", IF(AND('Inserimento dati'!$B$3=$L$2, Tabella3[[#This Row],[VEN]]="X"), "X","")))))</f>
        <v/>
      </c>
      <c r="U83" s="158">
        <f>IFERROR(MID(G83,_xlfn.AGGREGATE(15,6,(ROW(INDIRECT("1:"&amp;LEN(G83)-7)))/(ISNUMBER(--MID(G83,ROW(INDIRECT("1:"&amp;LEN(G83)-7)),8))),1),8),"")</f>
        <v/>
      </c>
      <c r="V83" t="inlineStr">
        <is>
          <t>2025-09-30 20:00:00</t>
        </is>
      </c>
    </row>
    <row r="84" ht="23.25" customFormat="1" customHeight="1" s="45">
      <c r="A84" s="112" t="n"/>
      <c r="B84" s="112">
        <f>IF(OR(A84="x",A84="X"),"",IF(ISBLANK(A84),"X",""))</f>
        <v/>
      </c>
      <c r="C84" s="112">
        <f>IF(OR(Tabella3[[#This Row],[LUN]]="X",Tabella3[[#This Row],[MAR]]="X",Tabella3[[#This Row],[MER]]="X",Tabella3[[#This Row],[GIO]]="X",Tabella3[[#This Row],[VEN]]="X",),"X","")</f>
        <v/>
      </c>
      <c r="D84" s="113" t="inlineStr">
        <is>
          <t>AREA 3</t>
        </is>
      </c>
      <c r="E84" s="109" t="inlineStr">
        <is>
          <t>525806/C</t>
        </is>
      </c>
      <c r="F84" s="109" t="inlineStr">
        <is>
          <t>700A</t>
        </is>
      </c>
      <c r="G84" s="109" t="inlineStr">
        <is>
          <t xml:space="preserve"> 700A - F224R recupero primari ammalorati ed abbandonati</t>
        </is>
      </c>
      <c r="H84" s="111" t="n"/>
      <c r="I84" s="111" t="n"/>
      <c r="J84" s="111" t="n"/>
      <c r="K84" s="111" t="n"/>
      <c r="L84" s="111" t="n"/>
      <c r="M84" s="109" t="inlineStr">
        <is>
          <t>DA CHIUDERE</t>
        </is>
      </c>
      <c r="N84" s="109" t="n"/>
      <c r="O84" s="109" t="n"/>
      <c r="P84" s="109" t="n"/>
      <c r="Q84" s="109" t="inlineStr">
        <is>
          <t>CREATO PDL A CALDO PER SMONTAGGIO PRIMARI VECCHI</t>
        </is>
      </c>
      <c r="R84" s="110" t="n"/>
      <c r="S84" s="109" t="n"/>
      <c r="T84" s="112">
        <f>IF(AND('Inserimento dati'!$B$3=$H$2, Tabella3[[#This Row],[LUN]]="X"), "X",IF(AND('Inserimento dati'!$B$3=$I$2, Tabella3[[#This Row],[MAR]]="X"), "X", IF(AND('Inserimento dati'!$B$3=$J$2, Tabella3[[#This Row],[MER]]="X"), "X",IF(AND('Inserimento dati'!$B$3=$K$2, Tabella3[[#This Row],[GIO]]="X"), "X", IF(AND('Inserimento dati'!$B$3=$L$2, Tabella3[[#This Row],[VEN]]="X"), "X","")))))</f>
        <v/>
      </c>
      <c r="U84" s="158">
        <f>IFERROR(MID(G84,_xlfn.AGGREGATE(15,6,(ROW(INDIRECT("1:"&amp;LEN(G84)-7)))/(ISNUMBER(--MID(G84,ROW(INDIRECT("1:"&amp;LEN(G84)-7)),8))),1),8),"")</f>
        <v/>
      </c>
      <c r="V84" t="inlineStr">
        <is>
          <t>2025-09-30 20:00:00</t>
        </is>
      </c>
    </row>
    <row r="85" ht="23.25" customFormat="1" customHeight="1" s="45">
      <c r="A85" s="112" t="n"/>
      <c r="B85" s="112">
        <f>IF(OR(A85="x",A85="X"),"",IF(ISBLANK(A85),"X",""))</f>
        <v/>
      </c>
      <c r="C85" s="112">
        <f>IF(OR(Tabella3[[#This Row],[LUN]]="X",Tabella3[[#This Row],[MAR]]="X",Tabella3[[#This Row],[MER]]="X",Tabella3[[#This Row],[GIO]]="X",Tabella3[[#This Row],[VEN]]="X",),"X","")</f>
        <v/>
      </c>
      <c r="D85" s="113" t="inlineStr">
        <is>
          <t>AREA 3</t>
        </is>
      </c>
      <c r="E85" s="109" t="inlineStr">
        <is>
          <t>525509/C</t>
        </is>
      </c>
      <c r="F85" s="109" t="n">
        <v>1800</v>
      </c>
      <c r="G85" s="109" t="inlineStr">
        <is>
          <t xml:space="preserve"> 10217394 1800 - VERIFICA 18T403AHH</t>
        </is>
      </c>
      <c r="H85" s="111" t="n"/>
      <c r="I85" s="111" t="n"/>
      <c r="J85" s="111" t="n"/>
      <c r="K85" s="111" t="n"/>
      <c r="L85" s="111" t="n"/>
      <c r="M85" s="109" t="inlineStr">
        <is>
          <t>DA CHIUDERE</t>
        </is>
      </c>
      <c r="N85" s="109" t="n"/>
      <c r="O85" s="109" t="n"/>
      <c r="P85" s="109" t="n"/>
      <c r="Q85" s="109" t="n"/>
      <c r="R85" s="110" t="n"/>
      <c r="S85" s="109" t="n"/>
      <c r="T85" s="116">
        <f>IF(AND('Inserimento dati'!$B$3=$H$2, Tabella3[[#This Row],[LUN]]="X"), "X",IF(AND('Inserimento dati'!$B$3=$I$2, Tabella3[[#This Row],[MAR]]="X"), "X", IF(AND('Inserimento dati'!$B$3=$J$2, Tabella3[[#This Row],[MER]]="X"), "X",IF(AND('Inserimento dati'!$B$3=$K$2, Tabella3[[#This Row],[GIO]]="X"), "X", IF(AND('Inserimento dati'!$B$3=$L$2, Tabella3[[#This Row],[VEN]]="X"), "X","")))))</f>
        <v/>
      </c>
      <c r="U85" s="158">
        <f>IFERROR(MID(G85,_xlfn.AGGREGATE(15,6,(ROW(INDIRECT("1:"&amp;LEN(G85)-7)))/(ISNUMBER(--MID(G85,ROW(INDIRECT("1:"&amp;LEN(G85)-7)),8))),1),8),"")</f>
        <v/>
      </c>
      <c r="V85" t="inlineStr">
        <is>
          <t>2025-09-30 20:00:00</t>
        </is>
      </c>
    </row>
    <row r="86" ht="23.25" customFormat="1" customHeight="1" s="45">
      <c r="A86" s="112" t="n"/>
      <c r="B86" s="112">
        <f>IF(OR(A86="x",A86="X"),"",IF(ISBLANK(A86),"X",""))</f>
        <v/>
      </c>
      <c r="C86" s="112">
        <f>IF(OR(Tabella3[[#This Row],[LUN]]="X",Tabella3[[#This Row],[MAR]]="X",Tabella3[[#This Row],[MER]]="X",Tabella3[[#This Row],[GIO]]="X",Tabella3[[#This Row],[VEN]]="X",),"X","")</f>
        <v/>
      </c>
      <c r="D86" s="113" t="inlineStr">
        <is>
          <t>AREA 3</t>
        </is>
      </c>
      <c r="E86" s="109" t="inlineStr">
        <is>
          <t>525784/C</t>
        </is>
      </c>
      <c r="F86" s="109" t="inlineStr">
        <is>
          <t>1200/1</t>
        </is>
      </c>
      <c r="G86" s="109" t="inlineStr">
        <is>
          <t xml:space="preserve"> 1200/1 - T502R  controllo funzionale</t>
        </is>
      </c>
      <c r="H86" s="111" t="n"/>
      <c r="I86" s="111" t="n"/>
      <c r="J86" s="111" t="n"/>
      <c r="K86" s="111" t="n"/>
      <c r="L86" s="111" t="n"/>
      <c r="M86" s="109" t="inlineStr">
        <is>
          <t>DA CHIUDERE</t>
        </is>
      </c>
      <c r="N86" s="109" t="n"/>
      <c r="O86" s="109" t="n"/>
      <c r="P86" s="109" t="n"/>
      <c r="Q86" s="109" t="inlineStr">
        <is>
          <t>CONTROLLO ESEGUITO NON SI RISCONTRA NESSUNA NOAMLIA</t>
        </is>
      </c>
      <c r="R86" s="110" t="n">
        <v>45701</v>
      </c>
      <c r="S86" s="109" t="inlineStr">
        <is>
          <t>TARASCIO</t>
        </is>
      </c>
      <c r="T86" s="116">
        <f>IF(AND('Inserimento dati'!$B$3=$H$2, Tabella3[[#This Row],[LUN]]="X"), "X",IF(AND('Inserimento dati'!$B$3=$I$2, Tabella3[[#This Row],[MAR]]="X"), "X", IF(AND('Inserimento dati'!$B$3=$J$2, Tabella3[[#This Row],[MER]]="X"), "X",IF(AND('Inserimento dati'!$B$3=$K$2, Tabella3[[#This Row],[GIO]]="X"), "X", IF(AND('Inserimento dati'!$B$3=$L$2, Tabella3[[#This Row],[VEN]]="X"), "X","")))))</f>
        <v/>
      </c>
      <c r="U86" s="158">
        <f>IFERROR(MID(G86,_xlfn.AGGREGATE(15,6,(ROW(INDIRECT("1:"&amp;LEN(G86)-7)))/(ISNUMBER(--MID(G86,ROW(INDIRECT("1:"&amp;LEN(G86)-7)),8))),1),8),"")</f>
        <v/>
      </c>
      <c r="V86" t="inlineStr">
        <is>
          <t>2025-09-30 20:00:00</t>
        </is>
      </c>
    </row>
    <row r="87" ht="30" customFormat="1" customHeight="1" s="45">
      <c r="A87" s="112" t="n"/>
      <c r="B87" s="112">
        <f>IF(OR(A87="x",A87="X"),"",IF(ISBLANK(A87),"X",""))</f>
        <v/>
      </c>
      <c r="C87" s="112">
        <f>IF(OR(Tabella3[[#This Row],[LUN]]="X",Tabella3[[#This Row],[MAR]]="X",Tabella3[[#This Row],[MER]]="X",Tabella3[[#This Row],[GIO]]="X",Tabella3[[#This Row],[VEN]]="X",),"X","")</f>
        <v/>
      </c>
      <c r="D87" s="113" t="inlineStr">
        <is>
          <t>AREA 3</t>
        </is>
      </c>
      <c r="E87" s="109" t="inlineStr">
        <is>
          <t>518171/C</t>
        </is>
      </c>
      <c r="F87" s="109" t="n">
        <v>1100</v>
      </c>
      <c r="G87" s="109" t="inlineStr">
        <is>
          <t xml:space="preserve"> 10200944   11P211I.PV  controllo funzionale</t>
        </is>
      </c>
      <c r="H87" s="111" t="n"/>
      <c r="I87" s="111" t="n"/>
      <c r="J87" s="111" t="n"/>
      <c r="K87" s="111" t="n"/>
      <c r="L87" s="111" t="n"/>
      <c r="M87" s="109" t="inlineStr">
        <is>
          <t>DA CHIUDERE</t>
        </is>
      </c>
      <c r="N87" s="109" t="n"/>
      <c r="O87" s="109" t="n"/>
      <c r="P87" s="109" t="n"/>
      <c r="Q87" s="109" t="inlineStr">
        <is>
          <t>PRIMARIO SFLANGIATO A CIRCA 6 mt DI ALTEZZA PER TRONCHETTO (PRESA) DA FARE (RIF.CAVALLI)</t>
        </is>
      </c>
      <c r="R87" s="110" t="n">
        <v>45637</v>
      </c>
      <c r="S87" s="110" t="inlineStr">
        <is>
          <t>RICIPUTO/MARINO</t>
        </is>
      </c>
      <c r="T87" s="116">
        <f>IF(AND('Inserimento dati'!$B$3=$H$2, Tabella3[[#This Row],[LUN]]="X"), "X",IF(AND('Inserimento dati'!$B$3=$I$2, Tabella3[[#This Row],[MAR]]="X"), "X", IF(AND('Inserimento dati'!$B$3=$J$2, Tabella3[[#This Row],[MER]]="X"), "X",IF(AND('Inserimento dati'!$B$3=$K$2, Tabella3[[#This Row],[GIO]]="X"), "X", IF(AND('Inserimento dati'!$B$3=$L$2, Tabella3[[#This Row],[VEN]]="X"), "X","")))))</f>
        <v/>
      </c>
      <c r="U87" s="158">
        <f>IFERROR(MID(G87,_xlfn.AGGREGATE(15,6,(ROW(INDIRECT("1:"&amp;LEN(G87)-7)))/(ISNUMBER(--MID(G87,ROW(INDIRECT("1:"&amp;LEN(G87)-7)),8))),1),8),"")</f>
        <v/>
      </c>
      <c r="V87" t="inlineStr">
        <is>
          <t>2025-09-30 20:00:00</t>
        </is>
      </c>
    </row>
    <row r="88" ht="30" customFormat="1" customHeight="1" s="45">
      <c r="A88" s="112" t="n"/>
      <c r="B88" s="112">
        <f>IF(OR(A88="x",A88="X"),"",IF(ISBLANK(A88),"X",""))</f>
        <v/>
      </c>
      <c r="C88" s="112">
        <f>IF(OR(Tabella3[[#This Row],[LUN]]="X",Tabella3[[#This Row],[MAR]]="X",Tabella3[[#This Row],[MER]]="X",Tabella3[[#This Row],[GIO]]="X",Tabella3[[#This Row],[VEN]]="X",),"X","")</f>
        <v/>
      </c>
      <c r="D88" s="113" t="inlineStr">
        <is>
          <t>AREA 3</t>
        </is>
      </c>
      <c r="E88" s="109" t="inlineStr">
        <is>
          <t>518172/C</t>
        </is>
      </c>
      <c r="F88" s="109" t="n">
        <v>1100</v>
      </c>
      <c r="G88" s="109" t="inlineStr">
        <is>
          <t xml:space="preserve"> 10200945  11T253I.PV + 11T254I.PV   controllo funzionale</t>
        </is>
      </c>
      <c r="H88" s="111" t="n"/>
      <c r="I88" s="111" t="n"/>
      <c r="J88" s="111" t="n"/>
      <c r="K88" s="111" t="n"/>
      <c r="L88" s="111" t="n"/>
      <c r="M88" s="109" t="inlineStr">
        <is>
          <t>DA CHIUDERE</t>
        </is>
      </c>
      <c r="N88" s="109" t="n"/>
      <c r="O88" s="109" t="n"/>
      <c r="P88" s="109" t="n"/>
      <c r="Q88" s="109" t="inlineStr">
        <is>
          <t>TEMPERATURE FUORI DA GUAINA TERMOMETRICA (ASSENZA POZZETTO TERMOMETRICO RIF.CAVALLI)</t>
        </is>
      </c>
      <c r="R88" s="110" t="n">
        <v>45637</v>
      </c>
      <c r="S88" s="110" t="inlineStr">
        <is>
          <t>RICIPUTO/MARINO</t>
        </is>
      </c>
      <c r="T88" s="116">
        <f>IF(AND('Inserimento dati'!$B$3=$H$2, Tabella3[[#This Row],[LUN]]="X"), "X",IF(AND('Inserimento dati'!$B$3=$I$2, Tabella3[[#This Row],[MAR]]="X"), "X", IF(AND('Inserimento dati'!$B$3=$J$2, Tabella3[[#This Row],[MER]]="X"), "X",IF(AND('Inserimento dati'!$B$3=$K$2, Tabella3[[#This Row],[GIO]]="X"), "X", IF(AND('Inserimento dati'!$B$3=$L$2, Tabella3[[#This Row],[VEN]]="X"), "X","")))))</f>
        <v/>
      </c>
      <c r="U88" s="158">
        <f>IFERROR(MID(G88,_xlfn.AGGREGATE(15,6,(ROW(INDIRECT("1:"&amp;LEN(G88)-7)))/(ISNUMBER(--MID(G88,ROW(INDIRECT("1:"&amp;LEN(G88)-7)),8))),1),8),"")</f>
        <v/>
      </c>
      <c r="V88" t="inlineStr">
        <is>
          <t>2025-09-30 20:00:00</t>
        </is>
      </c>
    </row>
    <row r="89" ht="23.25" customFormat="1" customHeight="1" s="45">
      <c r="A89" s="112" t="n"/>
      <c r="B89" s="112">
        <f>IF(OR(A89="x",A89="X"),"",IF(ISBLANK(A89),"X",""))</f>
        <v/>
      </c>
      <c r="C89" s="112">
        <f>IF(OR(Tabella3[[#This Row],[LUN]]="X",Tabella3[[#This Row],[MAR]]="X",Tabella3[[#This Row],[MER]]="X",Tabella3[[#This Row],[GIO]]="X",Tabella3[[#This Row],[VEN]]="X",),"X","")</f>
        <v/>
      </c>
      <c r="D89" s="113" t="inlineStr">
        <is>
          <t>AREA 3</t>
        </is>
      </c>
      <c r="E89" s="109" t="inlineStr">
        <is>
          <t>522091/C</t>
        </is>
      </c>
      <c r="F89" s="109" t="inlineStr">
        <is>
          <t>1200/3</t>
        </is>
      </c>
      <c r="G89" s="109" t="inlineStr">
        <is>
          <t xml:space="preserve"> 1200/3 - controllo funzionale FR401</t>
        </is>
      </c>
      <c r="H89" s="111" t="n"/>
      <c r="I89" s="111" t="n"/>
      <c r="J89" s="111" t="n"/>
      <c r="K89" s="111" t="n"/>
      <c r="L89" s="111" t="n"/>
      <c r="M89" s="109" t="inlineStr">
        <is>
          <t>DA CHIUDERE</t>
        </is>
      </c>
      <c r="N89" s="109" t="n"/>
      <c r="O89" s="109" t="n"/>
      <c r="P89" s="109" t="n"/>
      <c r="Q89" s="109" t="inlineStr">
        <is>
          <t>ESEGUITO CONTROLLO</t>
        </is>
      </c>
      <c r="R89" s="110" t="n">
        <v>45681</v>
      </c>
      <c r="S89" s="110" t="inlineStr">
        <is>
          <t>TARASCIO</t>
        </is>
      </c>
      <c r="T89" s="112">
        <f>IF(AND('Inserimento dati'!$B$3=$H$2, Tabella3[[#This Row],[LUN]]="X"), "X",IF(AND('Inserimento dati'!$B$3=$I$2, Tabella3[[#This Row],[MAR]]="X"), "X", IF(AND('Inserimento dati'!$B$3=$J$2, Tabella3[[#This Row],[MER]]="X"), "X",IF(AND('Inserimento dati'!$B$3=$K$2, Tabella3[[#This Row],[GIO]]="X"), "X", IF(AND('Inserimento dati'!$B$3=$L$2, Tabella3[[#This Row],[VEN]]="X"), "X","")))))</f>
        <v/>
      </c>
      <c r="U89" s="158">
        <f>IFERROR(MID(G89,_xlfn.AGGREGATE(15,6,(ROW(INDIRECT("1:"&amp;LEN(G89)-7)))/(ISNUMBER(--MID(G89,ROW(INDIRECT("1:"&amp;LEN(G89)-7)),8))),1),8),"")</f>
        <v/>
      </c>
      <c r="V89" t="inlineStr">
        <is>
          <t>2025-09-30 20:00:00</t>
        </is>
      </c>
    </row>
    <row r="90" ht="30" customFormat="1" customHeight="1" s="45">
      <c r="A90" s="112" t="n"/>
      <c r="B90" s="112">
        <f>IF(OR(A90="x",A90="X"),"",IF(ISBLANK(A90),"X",""))</f>
        <v/>
      </c>
      <c r="C90" s="112">
        <f>IF(OR(Tabella3[[#This Row],[LUN]]="X",Tabella3[[#This Row],[MAR]]="X",Tabella3[[#This Row],[MER]]="X",Tabella3[[#This Row],[GIO]]="X",Tabella3[[#This Row],[VEN]]="X",),"X","")</f>
        <v/>
      </c>
      <c r="D90" s="113" t="inlineStr">
        <is>
          <t>AREA 3</t>
        </is>
      </c>
      <c r="E90" s="109" t="inlineStr">
        <is>
          <t>513705/C</t>
        </is>
      </c>
      <c r="F90" s="109" t="n">
        <v>1400</v>
      </c>
      <c r="G90" s="109" t="inlineStr">
        <is>
          <t xml:space="preserve"> POMPA P110 - RIPRSTINO SISTEMA FLUSSAGGIO TENUTE CON AZOTO </t>
        </is>
      </c>
      <c r="H90" s="111" t="n"/>
      <c r="I90" s="111" t="n"/>
      <c r="J90" s="111" t="n"/>
      <c r="K90" s="111" t="n"/>
      <c r="L90" s="111" t="n"/>
      <c r="M90" s="109" t="inlineStr">
        <is>
          <t>DA CHIUDERE</t>
        </is>
      </c>
      <c r="N90" s="109" t="n"/>
      <c r="O90" s="109" t="n"/>
      <c r="P90" s="109" t="n"/>
      <c r="Q90" s="109" t="inlineStr">
        <is>
          <t>SISTEMA DI TENUTA APPARTIENE AI NUOVI INVESTIMENTI, NON SI HANNO RISCONTRI DI RICAMBISTICA</t>
        </is>
      </c>
      <c r="R90" s="110" t="n">
        <v>45590</v>
      </c>
      <c r="S90" s="110" t="inlineStr">
        <is>
          <t>MILLO/ALLEGRETTI</t>
        </is>
      </c>
      <c r="T90" s="116">
        <f>IF(AND('Inserimento dati'!$B$3=$H$2, Tabella3[[#This Row],[LUN]]="X"), "X",IF(AND('Inserimento dati'!$B$3=$I$2, Tabella3[[#This Row],[MAR]]="X"), "X", IF(AND('Inserimento dati'!$B$3=$J$2, Tabella3[[#This Row],[MER]]="X"), "X",IF(AND('Inserimento dati'!$B$3=$K$2, Tabella3[[#This Row],[GIO]]="X"), "X", IF(AND('Inserimento dati'!$B$3=$L$2, Tabella3[[#This Row],[VEN]]="X"), "X","")))))</f>
        <v/>
      </c>
      <c r="U90" s="158">
        <f>IFERROR(MID(G90,_xlfn.AGGREGATE(15,6,(ROW(INDIRECT("1:"&amp;LEN(G90)-7)))/(ISNUMBER(--MID(G90,ROW(INDIRECT("1:"&amp;LEN(G90)-7)),8))),1),8),"")</f>
        <v/>
      </c>
      <c r="V90" t="inlineStr">
        <is>
          <t>2025-09-30 20:00:00</t>
        </is>
      </c>
    </row>
    <row r="91" ht="30" customFormat="1" customHeight="1" s="45">
      <c r="A91" s="112" t="n"/>
      <c r="B91" s="112">
        <f>IF(OR(A91="x",A91="X"),"",IF(ISBLANK(A91),"X",""))</f>
        <v/>
      </c>
      <c r="C91" s="112">
        <f>IF(OR(Tabella3[[#This Row],[LUN]]="X",Tabella3[[#This Row],[MAR]]="X",Tabella3[[#This Row],[MER]]="X",Tabella3[[#This Row],[GIO]]="X",Tabella3[[#This Row],[VEN]]="X",),"X","")</f>
        <v/>
      </c>
      <c r="D91" s="113" t="inlineStr">
        <is>
          <t>AREA 3</t>
        </is>
      </c>
      <c r="E91" s="109" t="inlineStr">
        <is>
          <t>513706/C</t>
        </is>
      </c>
      <c r="F91" s="109" t="n">
        <v>1400</v>
      </c>
      <c r="G91" s="109" t="inlineStr">
        <is>
          <t xml:space="preserve"> POMPA P111 - RIPRSTINO SISTEMA FLUSSAGGIO TENUTE CON AZOTO </t>
        </is>
      </c>
      <c r="H91" s="111" t="n"/>
      <c r="I91" s="111" t="n"/>
      <c r="J91" s="111" t="n"/>
      <c r="K91" s="111" t="n"/>
      <c r="L91" s="111" t="n"/>
      <c r="M91" s="109" t="inlineStr">
        <is>
          <t>DA CHIUDERE</t>
        </is>
      </c>
      <c r="N91" s="109" t="n"/>
      <c r="O91" s="109" t="n"/>
      <c r="P91" s="109" t="n"/>
      <c r="Q91" s="109" t="inlineStr">
        <is>
          <t>SISTEMA DI TENUTA APPARTIENE AI NUOVI INVESTIMENTI, NON SI HANNO RISCONTRI DI RICAMBISTICA</t>
        </is>
      </c>
      <c r="R91" s="110" t="n">
        <v>45590</v>
      </c>
      <c r="S91" s="110" t="inlineStr">
        <is>
          <t>MILLO/ALLEGRETTI</t>
        </is>
      </c>
      <c r="T91" s="116">
        <f>IF(AND('Inserimento dati'!$B$3=$H$2, Tabella3[[#This Row],[LUN]]="X"), "X",IF(AND('Inserimento dati'!$B$3=$I$2, Tabella3[[#This Row],[MAR]]="X"), "X", IF(AND('Inserimento dati'!$B$3=$J$2, Tabella3[[#This Row],[MER]]="X"), "X",IF(AND('Inserimento dati'!$B$3=$K$2, Tabella3[[#This Row],[GIO]]="X"), "X", IF(AND('Inserimento dati'!$B$3=$L$2, Tabella3[[#This Row],[VEN]]="X"), "X","")))))</f>
        <v/>
      </c>
      <c r="U91" s="158">
        <f>IFERROR(MID(G91,_xlfn.AGGREGATE(15,6,(ROW(INDIRECT("1:"&amp;LEN(G91)-7)))/(ISNUMBER(--MID(G91,ROW(INDIRECT("1:"&amp;LEN(G91)-7)),8))),1),8),"")</f>
        <v/>
      </c>
      <c r="V91" t="inlineStr">
        <is>
          <t>2025-09-30 20:00:00</t>
        </is>
      </c>
    </row>
    <row r="92" ht="45" customFormat="1" customHeight="1" s="45">
      <c r="A92" s="112" t="n"/>
      <c r="B92" s="112">
        <f>IF(OR(A92="x",A92="X"),"",IF(ISBLANK(A92),"X",""))</f>
        <v/>
      </c>
      <c r="C92" s="112">
        <f>IF(OR(Tabella3[[#This Row],[LUN]]="X",Tabella3[[#This Row],[MAR]]="X",Tabella3[[#This Row],[MER]]="X",Tabella3[[#This Row],[GIO]]="X",Tabella3[[#This Row],[VEN]]="X",),"X","")</f>
        <v/>
      </c>
      <c r="D92" s="113" t="inlineStr">
        <is>
          <t>AREA 3</t>
        </is>
      </c>
      <c r="E92" s="109" t="inlineStr">
        <is>
          <t>524476/C</t>
        </is>
      </c>
      <c r="F92" s="109" t="inlineStr">
        <is>
          <t>700A</t>
        </is>
      </c>
      <c r="G92" s="109" t="inlineStr">
        <is>
          <t xml:space="preserve"> 700A - F221RC Ripristino traccia vapore dello strumento e  ripristino funzionali </t>
        </is>
      </c>
      <c r="H92" s="111" t="n"/>
      <c r="I92" s="111" t="n"/>
      <c r="J92" s="111" t="n"/>
      <c r="K92" s="111" t="n"/>
      <c r="L92" s="111" t="n"/>
      <c r="M92" s="109" t="inlineStr">
        <is>
          <t>DA CHIUDERE</t>
        </is>
      </c>
      <c r="N92" s="109" t="n"/>
      <c r="O92" s="109" t="n"/>
      <c r="P92" s="109" t="n"/>
      <c r="Q92" s="109" t="inlineStr">
        <is>
          <t>SI RISCONTRA TRACCIATURA FREDDA POICHE' INTERCETTATA E MANCA PARTE PER RICOLLEGARLA. PONTEGGIO REALIZZATO. ATTIVITA' DA CHIUDERE RIPRISTINANDO PARTE MANCANTE.</t>
        </is>
      </c>
      <c r="R92" s="110" t="n">
        <v>45694</v>
      </c>
      <c r="S92" s="110" t="inlineStr">
        <is>
          <t>TARASCIO/PARTESANO</t>
        </is>
      </c>
      <c r="T92" s="116">
        <f>IF(AND('Inserimento dati'!$B$3=$H$2, Tabella3[[#This Row],[LUN]]="X"), "X",IF(AND('Inserimento dati'!$B$3=$I$2, Tabella3[[#This Row],[MAR]]="X"), "X", IF(AND('Inserimento dati'!$B$3=$J$2, Tabella3[[#This Row],[MER]]="X"), "X",IF(AND('Inserimento dati'!$B$3=$K$2, Tabella3[[#This Row],[GIO]]="X"), "X", IF(AND('Inserimento dati'!$B$3=$L$2, Tabella3[[#This Row],[VEN]]="X"), "X","")))))</f>
        <v/>
      </c>
      <c r="U92" s="158">
        <f>IFERROR(MID(G92,_xlfn.AGGREGATE(15,6,(ROW(INDIRECT("1:"&amp;LEN(G92)-7)))/(ISNUMBER(--MID(G92,ROW(INDIRECT("1:"&amp;LEN(G92)-7)),8))),1),8),"")</f>
        <v/>
      </c>
      <c r="V92" t="inlineStr">
        <is>
          <t>2025-09-30 20:00:00</t>
        </is>
      </c>
    </row>
    <row r="93" ht="30" customFormat="1" customHeight="1" s="45">
      <c r="A93" s="112" t="n"/>
      <c r="B93" s="112">
        <f>IF(OR(A93="x",A93="X"),"",IF(ISBLANK(A93),"X",""))</f>
        <v/>
      </c>
      <c r="C93" s="112">
        <f>IF(OR(Tabella3[[#This Row],[LUN]]="X",Tabella3[[#This Row],[MAR]]="X",Tabella3[[#This Row],[MER]]="X",Tabella3[[#This Row],[GIO]]="X",Tabella3[[#This Row],[VEN]]="X",),"X","")</f>
        <v/>
      </c>
      <c r="D93" s="113" t="inlineStr">
        <is>
          <t>AREA 3</t>
        </is>
      </c>
      <c r="E93" s="109" t="inlineStr">
        <is>
          <t>525451/C</t>
        </is>
      </c>
      <c r="F93" s="109" t="n">
        <v>1400</v>
      </c>
      <c r="G93" s="109" t="inlineStr">
        <is>
          <t xml:space="preserve"> 10217184 1400 - L004IC controllo LOOP DI REGOLAZIONE</t>
        </is>
      </c>
      <c r="H93" s="111" t="n"/>
      <c r="I93" s="111" t="n"/>
      <c r="J93" s="111" t="n"/>
      <c r="K93" s="111" t="n"/>
      <c r="L93" s="111" t="n"/>
      <c r="M93" s="109" t="inlineStr">
        <is>
          <t>DA CHIUDERE</t>
        </is>
      </c>
      <c r="N93" s="109" t="n"/>
      <c r="O93" s="109" t="n"/>
      <c r="P93" s="109" t="n"/>
      <c r="Q93" s="109" t="inlineStr">
        <is>
          <t>IL LIVELLO RISULTA FUNZIONANTE DA ESE, INTERROTTA RICHIESTA INTERVENTO COEMI</t>
        </is>
      </c>
      <c r="R93" s="110" t="n">
        <v>45700</v>
      </c>
      <c r="S93" s="109" t="n"/>
      <c r="T93" s="116">
        <f>IF(AND('Inserimento dati'!$B$3=$H$2, Tabella3[[#This Row],[LUN]]="X"), "X",IF(AND('Inserimento dati'!$B$3=$I$2, Tabella3[[#This Row],[MAR]]="X"), "X", IF(AND('Inserimento dati'!$B$3=$J$2, Tabella3[[#This Row],[MER]]="X"), "X",IF(AND('Inserimento dati'!$B$3=$K$2, Tabella3[[#This Row],[GIO]]="X"), "X", IF(AND('Inserimento dati'!$B$3=$L$2, Tabella3[[#This Row],[VEN]]="X"), "X","")))))</f>
        <v/>
      </c>
      <c r="U93" s="158">
        <f>IFERROR(MID(G93,_xlfn.AGGREGATE(15,6,(ROW(INDIRECT("1:"&amp;LEN(G93)-7)))/(ISNUMBER(--MID(G93,ROW(INDIRECT("1:"&amp;LEN(G93)-7)),8))),1),8),"")</f>
        <v/>
      </c>
      <c r="V93" t="inlineStr">
        <is>
          <t>2025-09-30 20:00:00</t>
        </is>
      </c>
    </row>
    <row r="94" ht="30" customFormat="1" customHeight="1" s="45">
      <c r="A94" s="112" t="n"/>
      <c r="B94" s="112">
        <f>IF(OR(A94="x",A94="X"),"",IF(ISBLANK(A94),"X",""))</f>
        <v/>
      </c>
      <c r="C94" s="112">
        <f>IF(OR(Tabella3[[#This Row],[LUN]]="X",Tabella3[[#This Row],[MAR]]="X",Tabella3[[#This Row],[MER]]="X",Tabella3[[#This Row],[GIO]]="X",Tabella3[[#This Row],[VEN]]="X",),"X","")</f>
        <v/>
      </c>
      <c r="D94" s="113" t="inlineStr">
        <is>
          <t>AREA 3</t>
        </is>
      </c>
      <c r="E94" s="109" t="inlineStr">
        <is>
          <t>525663/C</t>
        </is>
      </c>
      <c r="F94" s="109" t="n">
        <v>1800</v>
      </c>
      <c r="G94" s="109" t="inlineStr">
        <is>
          <t xml:space="preserve"> 1800 - L003RC (D102)CONTROLLO TARATURA E RIPRISTINO FUNZIONALITA</t>
        </is>
      </c>
      <c r="H94" s="111" t="n"/>
      <c r="I94" s="111" t="n"/>
      <c r="J94" s="111" t="n"/>
      <c r="K94" s="111" t="n"/>
      <c r="L94" s="111" t="n"/>
      <c r="M94" s="109" t="inlineStr">
        <is>
          <t>DA CHIUDERE</t>
        </is>
      </c>
      <c r="N94" s="109" t="n"/>
      <c r="O94" s="109" t="n"/>
      <c r="P94" s="109" t="n"/>
      <c r="Q94" s="109" t="inlineStr">
        <is>
          <t>PERDITA DI BATTENTE SU NEGATIVA. RIEMPITO CON GLICERINA RIPRISTINANDO LA FUNZIONALITA'</t>
        </is>
      </c>
      <c r="R94" s="110" t="n">
        <v>45628</v>
      </c>
      <c r="S94" s="109" t="inlineStr">
        <is>
          <t>MILLO/ALLEGRETTI</t>
        </is>
      </c>
      <c r="T94" s="116">
        <f>IF(AND('Inserimento dati'!$B$3=$H$2, Tabella3[[#This Row],[LUN]]="X"), "X",IF(AND('Inserimento dati'!$B$3=$I$2, Tabella3[[#This Row],[MAR]]="X"), "X", IF(AND('Inserimento dati'!$B$3=$J$2, Tabella3[[#This Row],[MER]]="X"), "X",IF(AND('Inserimento dati'!$B$3=$K$2, Tabella3[[#This Row],[GIO]]="X"), "X", IF(AND('Inserimento dati'!$B$3=$L$2, Tabella3[[#This Row],[VEN]]="X"), "X","")))))</f>
        <v/>
      </c>
      <c r="U94" s="158">
        <f>IFERROR(MID(G94,_xlfn.AGGREGATE(15,6,(ROW(INDIRECT("1:"&amp;LEN(G94)-7)))/(ISNUMBER(--MID(G94,ROW(INDIRECT("1:"&amp;LEN(G94)-7)),8))),1),8),"")</f>
        <v/>
      </c>
      <c r="V94" t="inlineStr">
        <is>
          <t>2025-09-30 20:00:00</t>
        </is>
      </c>
    </row>
    <row r="95" ht="30" customFormat="1" customHeight="1" s="45">
      <c r="A95" s="112" t="n"/>
      <c r="B95" s="112">
        <f>IF(OR(A95="x",A95="X"),"",IF(ISBLANK(A95),"X",""))</f>
        <v/>
      </c>
      <c r="C95" s="112">
        <f>IF(OR(Tabella3[[#This Row],[LUN]]="X",Tabella3[[#This Row],[MAR]]="X",Tabella3[[#This Row],[MER]]="X",Tabella3[[#This Row],[GIO]]="X",Tabella3[[#This Row],[VEN]]="X",),"X","")</f>
        <v/>
      </c>
      <c r="D95" s="113" t="inlineStr">
        <is>
          <t>AREA 3</t>
        </is>
      </c>
      <c r="E95" s="109" t="inlineStr">
        <is>
          <t>525282/C</t>
        </is>
      </c>
      <c r="F95" s="109" t="n">
        <v>700</v>
      </c>
      <c r="G95" s="109" t="inlineStr">
        <is>
          <t xml:space="preserve"> 700 - RIPRISTINO BV617</t>
        </is>
      </c>
      <c r="H95" s="111" t="n"/>
      <c r="I95" s="111" t="n"/>
      <c r="J95" s="111" t="n"/>
      <c r="K95" s="111" t="n"/>
      <c r="L95" s="111" t="n"/>
      <c r="M95" s="109" t="inlineStr">
        <is>
          <t>DA CHIUDERE</t>
        </is>
      </c>
      <c r="N95" s="109" t="n"/>
      <c r="O95" s="109" t="n"/>
      <c r="P95" s="109" t="n"/>
      <c r="Q95" s="109" t="inlineStr">
        <is>
          <t>LA VALVOLA NON PRESENTA ANOMALIE, SI RISCONTRANO SENSORI CO DA CONTROLLARE</t>
        </is>
      </c>
      <c r="R95" s="110" t="n">
        <v>45698</v>
      </c>
      <c r="S95" s="109" t="inlineStr">
        <is>
          <t>GARRO L./GARRO S.</t>
        </is>
      </c>
      <c r="T95" s="116">
        <f>IF(AND('Inserimento dati'!$B$3=$H$2, Tabella3[[#This Row],[LUN]]="X"), "X",IF(AND('Inserimento dati'!$B$3=$I$2, Tabella3[[#This Row],[MAR]]="X"), "X", IF(AND('Inserimento dati'!$B$3=$J$2, Tabella3[[#This Row],[MER]]="X"), "X",IF(AND('Inserimento dati'!$B$3=$K$2, Tabella3[[#This Row],[GIO]]="X"), "X", IF(AND('Inserimento dati'!$B$3=$L$2, Tabella3[[#This Row],[VEN]]="X"), "X","")))))</f>
        <v/>
      </c>
      <c r="U95" s="158">
        <f>IFERROR(MID(G95,_xlfn.AGGREGATE(15,6,(ROW(INDIRECT("1:"&amp;LEN(G95)-7)))/(ISNUMBER(--MID(G95,ROW(INDIRECT("1:"&amp;LEN(G95)-7)),8))),1),8),"")</f>
        <v/>
      </c>
      <c r="V95" t="inlineStr">
        <is>
          <t>2025-09-30 20:00:00</t>
        </is>
      </c>
    </row>
    <row r="96" ht="30" customFormat="1" customHeight="1" s="45">
      <c r="A96" s="112" t="n"/>
      <c r="B96" s="112">
        <f>IF(OR(A96="x",A96="X"),"",IF(ISBLANK(A96),"X",""))</f>
        <v/>
      </c>
      <c r="C96" s="112">
        <f>IF(OR(Tabella3[[#This Row],[LUN]]="X",Tabella3[[#This Row],[MAR]]="X",Tabella3[[#This Row],[MER]]="X",Tabella3[[#This Row],[GIO]]="X",Tabella3[[#This Row],[VEN]]="X",),"X","")</f>
        <v/>
      </c>
      <c r="D96" s="113" t="inlineStr">
        <is>
          <t>AREA 3</t>
        </is>
      </c>
      <c r="E96" s="109" t="inlineStr">
        <is>
          <t>524632/C</t>
        </is>
      </c>
      <c r="F96" s="109" t="n">
        <v>1800</v>
      </c>
      <c r="G96" s="109" t="inlineStr">
        <is>
          <t xml:space="preserve"> 10224040 1800 - T016RC CONTROLLO E RIPRISTINO LOOP DI REGOLAZIONE</t>
        </is>
      </c>
      <c r="H96" s="111" t="n"/>
      <c r="I96" s="111" t="n"/>
      <c r="J96" s="111" t="n"/>
      <c r="K96" s="111" t="n"/>
      <c r="L96" s="111" t="n"/>
      <c r="M96" s="109" t="inlineStr">
        <is>
          <t>DA CHIUDERE</t>
        </is>
      </c>
      <c r="N96" s="109" t="n"/>
      <c r="O96" s="109" t="n"/>
      <c r="P96" s="109" t="n"/>
      <c r="Q96" s="109" t="inlineStr">
        <is>
          <t>SOSTITUITO POSIZIONATORE CON RIPRISTINO DELLA FUNZIONALITA'.</t>
        </is>
      </c>
      <c r="R96" s="110" t="n">
        <v>45692</v>
      </c>
      <c r="S96" s="109" t="inlineStr">
        <is>
          <t>GARRO L./GARRO S.</t>
        </is>
      </c>
      <c r="T96" s="116">
        <f>IF(AND('Inserimento dati'!$B$3=$H$2, Tabella3[[#This Row],[LUN]]="X"), "X",IF(AND('Inserimento dati'!$B$3=$I$2, Tabella3[[#This Row],[MAR]]="X"), "X", IF(AND('Inserimento dati'!$B$3=$J$2, Tabella3[[#This Row],[MER]]="X"), "X",IF(AND('Inserimento dati'!$B$3=$K$2, Tabella3[[#This Row],[GIO]]="X"), "X", IF(AND('Inserimento dati'!$B$3=$L$2, Tabella3[[#This Row],[VEN]]="X"), "X","")))))</f>
        <v/>
      </c>
      <c r="U96" s="158">
        <f>IFERROR(MID(G96,_xlfn.AGGREGATE(15,6,(ROW(INDIRECT("1:"&amp;LEN(G96)-7)))/(ISNUMBER(--MID(G96,ROW(INDIRECT("1:"&amp;LEN(G96)-7)),8))),1),8),"")</f>
        <v/>
      </c>
      <c r="V96" t="inlineStr">
        <is>
          <t>2025-09-30 20:00:00</t>
        </is>
      </c>
    </row>
    <row r="97" ht="30" customFormat="1" customHeight="1" s="45">
      <c r="A97" s="112" t="n"/>
      <c r="B97" s="112">
        <f>IF(OR(A97="x",A97="X"),"",IF(ISBLANK(A97),"X",""))</f>
        <v/>
      </c>
      <c r="C97" s="112">
        <f>IF(OR(Tabella3[[#This Row],[LUN]]="X",Tabella3[[#This Row],[MAR]]="X",Tabella3[[#This Row],[MER]]="X",Tabella3[[#This Row],[GIO]]="X",Tabella3[[#This Row],[VEN]]="X",),"X","")</f>
        <v/>
      </c>
      <c r="D97" s="113" t="inlineStr">
        <is>
          <t>AREA 3</t>
        </is>
      </c>
      <c r="E97" s="109" t="inlineStr">
        <is>
          <t>522471/C</t>
        </is>
      </c>
      <c r="F97" s="109" t="n">
        <v>800</v>
      </c>
      <c r="G97" s="109" t="inlineStr">
        <is>
          <t xml:space="preserve"> 800 - verifica dei misuratore 08F160R (VAPORE BP DA L.B.)</t>
        </is>
      </c>
      <c r="H97" s="111" t="n"/>
      <c r="I97" s="111" t="n"/>
      <c r="J97" s="111" t="n"/>
      <c r="K97" s="111" t="n"/>
      <c r="L97" s="111" t="n"/>
      <c r="M97" s="109" t="inlineStr">
        <is>
          <t>DA CHIUDERE</t>
        </is>
      </c>
      <c r="N97" s="109" t="n"/>
      <c r="O97" s="109" t="n"/>
      <c r="P97" s="109" t="n"/>
      <c r="Q97" s="109" t="inlineStr">
        <is>
          <t>ESEGUITO CONTROLLO.</t>
        </is>
      </c>
      <c r="R97" s="110" t="n">
        <v>45692</v>
      </c>
      <c r="S97" s="109" t="inlineStr">
        <is>
          <t>TARASCIO/PARTESANO</t>
        </is>
      </c>
      <c r="T97" s="112">
        <f>IF(AND('Inserimento dati'!$B$3=$H$2, Tabella3[[#This Row],[LUN]]="X"), "X",IF(AND('Inserimento dati'!$B$3=$I$2, Tabella3[[#This Row],[MAR]]="X"), "X", IF(AND('Inserimento dati'!$B$3=$J$2, Tabella3[[#This Row],[MER]]="X"), "X",IF(AND('Inserimento dati'!$B$3=$K$2, Tabella3[[#This Row],[GIO]]="X"), "X", IF(AND('Inserimento dati'!$B$3=$L$2, Tabella3[[#This Row],[VEN]]="X"), "X","")))))</f>
        <v/>
      </c>
      <c r="U97" s="158">
        <f>IFERROR(MID(G97,_xlfn.AGGREGATE(15,6,(ROW(INDIRECT("1:"&amp;LEN(G97)-7)))/(ISNUMBER(--MID(G97,ROW(INDIRECT("1:"&amp;LEN(G97)-7)),8))),1),8),"")</f>
        <v/>
      </c>
      <c r="V97" t="inlineStr">
        <is>
          <t>2025-09-30 20:00:00</t>
        </is>
      </c>
    </row>
    <row r="98" ht="30" customFormat="1" customHeight="1" s="45">
      <c r="A98" s="112" t="n"/>
      <c r="B98" s="112">
        <f>IF(OR(A98="x",A98="X"),"",IF(ISBLANK(A98),"X",""))</f>
        <v/>
      </c>
      <c r="C98" s="112">
        <f>IF(OR(Tabella3[[#This Row],[LUN]]="X",Tabella3[[#This Row],[MAR]]="X",Tabella3[[#This Row],[MER]]="X",Tabella3[[#This Row],[GIO]]="X",Tabella3[[#This Row],[VEN]]="X",),"X","")</f>
        <v/>
      </c>
      <c r="D98" s="113" t="inlineStr">
        <is>
          <t>AREA 3</t>
        </is>
      </c>
      <c r="E98" s="109" t="inlineStr">
        <is>
          <t>522469/C</t>
        </is>
      </c>
      <c r="F98" s="109" t="n">
        <v>800</v>
      </c>
      <c r="G98" s="109" t="inlineStr">
        <is>
          <t xml:space="preserve"> 800 - verifica dei misuratore 08F162R (VAP.MED.PRESS. LIM.BATT.)</t>
        </is>
      </c>
      <c r="H98" s="111" t="n"/>
      <c r="I98" s="111" t="n"/>
      <c r="J98" s="111" t="n"/>
      <c r="K98" s="111" t="n"/>
      <c r="L98" s="111" t="n"/>
      <c r="M98" s="109" t="inlineStr">
        <is>
          <t>DA CHIUDERE</t>
        </is>
      </c>
      <c r="N98" s="109" t="n"/>
      <c r="O98" s="109" t="n"/>
      <c r="P98" s="109" t="n"/>
      <c r="Q98" s="109" t="inlineStr">
        <is>
          <t>ESEGUITO CONTROLLO.</t>
        </is>
      </c>
      <c r="R98" s="110" t="n">
        <v>45692</v>
      </c>
      <c r="S98" s="109" t="inlineStr">
        <is>
          <t>TARASCIO/PARTESANO</t>
        </is>
      </c>
      <c r="T98" s="112">
        <f>IF(AND('Inserimento dati'!$B$3=$H$2, Tabella3[[#This Row],[LUN]]="X"), "X",IF(AND('Inserimento dati'!$B$3=$I$2, Tabella3[[#This Row],[MAR]]="X"), "X", IF(AND('Inserimento dati'!$B$3=$J$2, Tabella3[[#This Row],[MER]]="X"), "X",IF(AND('Inserimento dati'!$B$3=$K$2, Tabella3[[#This Row],[GIO]]="X"), "X", IF(AND('Inserimento dati'!$B$3=$L$2, Tabella3[[#This Row],[VEN]]="X"), "X","")))))</f>
        <v/>
      </c>
      <c r="U98" s="158">
        <f>IFERROR(MID(G98,_xlfn.AGGREGATE(15,6,(ROW(INDIRECT("1:"&amp;LEN(G98)-7)))/(ISNUMBER(--MID(G98,ROW(INDIRECT("1:"&amp;LEN(G98)-7)),8))),1),8),"")</f>
        <v/>
      </c>
      <c r="V98" t="inlineStr">
        <is>
          <t>2025-09-30 20:00:00</t>
        </is>
      </c>
    </row>
    <row r="99" ht="30" customFormat="1" customHeight="1" s="45">
      <c r="A99" s="112" t="n"/>
      <c r="B99" s="112">
        <f>IF(OR(A99="x",A99="X"),"",IF(ISBLANK(A99),"X",""))</f>
        <v/>
      </c>
      <c r="C99" s="112">
        <f>IF(OR(Tabella3[[#This Row],[LUN]]="X",Tabella3[[#This Row],[MAR]]="X",Tabella3[[#This Row],[MER]]="X",Tabella3[[#This Row],[GIO]]="X",Tabella3[[#This Row],[VEN]]="X",),"X","")</f>
        <v/>
      </c>
      <c r="D99" s="113" t="inlineStr">
        <is>
          <t>AREA 3</t>
        </is>
      </c>
      <c r="E99" s="109" t="inlineStr">
        <is>
          <t>522466/C</t>
        </is>
      </c>
      <c r="F99" s="109" t="n">
        <v>800</v>
      </c>
      <c r="G99" s="109" t="inlineStr">
        <is>
          <t xml:space="preserve"> 800 - verifica dei misuratore 08F158BR (VAP.ALT.PRESS. DA L.B.)</t>
        </is>
      </c>
      <c r="H99" s="111" t="n"/>
      <c r="I99" s="111" t="n"/>
      <c r="J99" s="111" t="n"/>
      <c r="K99" s="111" t="n"/>
      <c r="L99" s="111" t="n"/>
      <c r="M99" s="109" t="inlineStr">
        <is>
          <t>DA CHIUDERE</t>
        </is>
      </c>
      <c r="N99" s="109" t="n"/>
      <c r="O99" s="109" t="n"/>
      <c r="P99" s="109" t="n"/>
      <c r="Q99" s="109" t="inlineStr">
        <is>
          <t>ESEGUITO CONTROLLO.</t>
        </is>
      </c>
      <c r="R99" s="110" t="n">
        <v>45692</v>
      </c>
      <c r="S99" s="109" t="inlineStr">
        <is>
          <t>TARASCIO/PARTESANO</t>
        </is>
      </c>
      <c r="T99" s="112">
        <f>IF(AND('Inserimento dati'!$B$3=$H$2, Tabella3[[#This Row],[LUN]]="X"), "X",IF(AND('Inserimento dati'!$B$3=$I$2, Tabella3[[#This Row],[MAR]]="X"), "X", IF(AND('Inserimento dati'!$B$3=$J$2, Tabella3[[#This Row],[MER]]="X"), "X",IF(AND('Inserimento dati'!$B$3=$K$2, Tabella3[[#This Row],[GIO]]="X"), "X", IF(AND('Inserimento dati'!$B$3=$L$2, Tabella3[[#This Row],[VEN]]="X"), "X","")))))</f>
        <v/>
      </c>
      <c r="U99" s="158">
        <f>IFERROR(MID(G99,_xlfn.AGGREGATE(15,6,(ROW(INDIRECT("1:"&amp;LEN(G99)-7)))/(ISNUMBER(--MID(G99,ROW(INDIRECT("1:"&amp;LEN(G99)-7)),8))),1),8),"")</f>
        <v/>
      </c>
      <c r="V99" t="inlineStr">
        <is>
          <t>2025-09-30 20:00:00</t>
        </is>
      </c>
    </row>
    <row r="100" ht="23.25" customFormat="1" customHeight="1" s="45">
      <c r="A100" s="112" t="n"/>
      <c r="B100" s="112">
        <f>IF(OR(A100="x",A100="X"),"",IF(ISBLANK(A100),"X",""))</f>
        <v/>
      </c>
      <c r="C100" s="112">
        <f>IF(OR(Tabella3[[#This Row],[LUN]]="X",Tabella3[[#This Row],[MAR]]="X",Tabella3[[#This Row],[MER]]="X",Tabella3[[#This Row],[GIO]]="X",Tabella3[[#This Row],[VEN]]="X",),"X","")</f>
        <v/>
      </c>
      <c r="D100" s="113" t="inlineStr">
        <is>
          <t>AREA 3</t>
        </is>
      </c>
      <c r="E100" s="109" t="inlineStr">
        <is>
          <t>521569/C</t>
        </is>
      </c>
      <c r="F100" s="109" t="n">
        <v>700</v>
      </c>
      <c r="G100" s="109" t="inlineStr">
        <is>
          <t xml:space="preserve"> 700: L006LA (livello locale T02) ripristino livello e loop di regolazione</t>
        </is>
      </c>
      <c r="H100" s="111" t="n"/>
      <c r="I100" s="111" t="n"/>
      <c r="J100" s="111" t="n"/>
      <c r="K100" s="111" t="n"/>
      <c r="L100" s="111" t="n"/>
      <c r="M100" s="109" t="inlineStr">
        <is>
          <t>DA CHIUDERE</t>
        </is>
      </c>
      <c r="N100" s="109" t="n"/>
      <c r="O100" s="109" t="n"/>
      <c r="P100" s="109" t="n"/>
      <c r="Q100" s="109" t="inlineStr">
        <is>
          <t>CONTROLLO ESEGUITO, SI RISCONTRAVA SPORCIZIA ALL'INTERNO.</t>
        </is>
      </c>
      <c r="R100" s="110" t="n">
        <v>45674</v>
      </c>
      <c r="S100" s="109" t="inlineStr">
        <is>
          <t>TARASCIO</t>
        </is>
      </c>
      <c r="T100" s="112">
        <f>IF(AND('Inserimento dati'!$B$3=$H$2, Tabella3[[#This Row],[LUN]]="X"), "X",IF(AND('Inserimento dati'!$B$3=$I$2, Tabella3[[#This Row],[MAR]]="X"), "X", IF(AND('Inserimento dati'!$B$3=$J$2, Tabella3[[#This Row],[MER]]="X"), "X",IF(AND('Inserimento dati'!$B$3=$K$2, Tabella3[[#This Row],[GIO]]="X"), "X", IF(AND('Inserimento dati'!$B$3=$L$2, Tabella3[[#This Row],[VEN]]="X"), "X","")))))</f>
        <v/>
      </c>
      <c r="U100" s="158">
        <f>IFERROR(MID(G100,_xlfn.AGGREGATE(15,6,(ROW(INDIRECT("1:"&amp;LEN(G100)-7)))/(ISNUMBER(--MID(G100,ROW(INDIRECT("1:"&amp;LEN(G100)-7)),8))),1),8),"")</f>
        <v/>
      </c>
      <c r="V100" t="inlineStr">
        <is>
          <t>2025-09-30 20:00:00</t>
        </is>
      </c>
    </row>
    <row r="101" ht="45" customFormat="1" customHeight="1" s="45">
      <c r="A101" s="112" t="n"/>
      <c r="B101" s="112">
        <f>IF(OR(A101="x",A101="X"),"",IF(ISBLANK(A101),"X",""))</f>
        <v/>
      </c>
      <c r="C101" s="112">
        <f>IF(OR(Tabella3[[#This Row],[LUN]]="X",Tabella3[[#This Row],[MAR]]="X",Tabella3[[#This Row],[MER]]="X",Tabella3[[#This Row],[GIO]]="X",Tabella3[[#This Row],[VEN]]="X",),"X","")</f>
        <v/>
      </c>
      <c r="D101" s="113" t="inlineStr">
        <is>
          <t>AREA 3</t>
        </is>
      </c>
      <c r="E101" s="109" t="inlineStr">
        <is>
          <t>520840/C</t>
        </is>
      </c>
      <c r="F101" s="109" t="n">
        <v>800</v>
      </c>
      <c r="G101" s="109" t="inlineStr">
        <is>
          <t xml:space="preserve"> 800 - F166I (SCARICO A BD) VERIFICA FUNZIONAMENTO</t>
        </is>
      </c>
      <c r="H101" s="111" t="n"/>
      <c r="I101" s="111" t="n"/>
      <c r="J101" s="111" t="n"/>
      <c r="K101" s="111" t="n"/>
      <c r="L101" s="111" t="n"/>
      <c r="M101" s="109" t="inlineStr">
        <is>
          <t>DA CHIUDERE</t>
        </is>
      </c>
      <c r="N101" s="109" t="n"/>
      <c r="O101" s="109" t="n"/>
      <c r="P101" s="109" t="n"/>
      <c r="Q101" s="109" t="inlineStr">
        <is>
          <t>PER ESEGUIRE IL CONTROLLO SI NECESSITA DEL PONTEGGIO. LO STRUMENTO E' UNA TURBINETTA, DA SMONTARE E PULIRE/CONTROLLARE IN OFFICINA</t>
        </is>
      </c>
      <c r="R101" s="110" t="n">
        <v>45693</v>
      </c>
      <c r="S101" s="110" t="inlineStr">
        <is>
          <t>TARASCIO/GARRO S.</t>
        </is>
      </c>
      <c r="T101" s="112">
        <f>IF(AND('Inserimento dati'!$B$3=$H$2, Tabella3[[#This Row],[LUN]]="X"), "X",IF(AND('Inserimento dati'!$B$3=$I$2, Tabella3[[#This Row],[MAR]]="X"), "X", IF(AND('Inserimento dati'!$B$3=$J$2, Tabella3[[#This Row],[MER]]="X"), "X",IF(AND('Inserimento dati'!$B$3=$K$2, Tabella3[[#This Row],[GIO]]="X"), "X", IF(AND('Inserimento dati'!$B$3=$L$2, Tabella3[[#This Row],[VEN]]="X"), "X","")))))</f>
        <v/>
      </c>
      <c r="U101" s="158">
        <f>IFERROR(MID(G101,_xlfn.AGGREGATE(15,6,(ROW(INDIRECT("1:"&amp;LEN(G101)-7)))/(ISNUMBER(--MID(G101,ROW(INDIRECT("1:"&amp;LEN(G101)-7)),8))),1),8),"")</f>
        <v/>
      </c>
      <c r="V101" t="inlineStr">
        <is>
          <t>2025-09-30 20:00:00</t>
        </is>
      </c>
    </row>
    <row r="102" ht="30" customFormat="1" customHeight="1" s="45">
      <c r="A102" s="112" t="n"/>
      <c r="B102" s="112">
        <f>IF(OR(A102="x",A102="X"),"",IF(ISBLANK(A102),"X",""))</f>
        <v/>
      </c>
      <c r="C102" s="112">
        <f>IF(OR(Tabella3[[#This Row],[LUN]]="X",Tabella3[[#This Row],[MAR]]="X",Tabella3[[#This Row],[MER]]="X",Tabella3[[#This Row],[GIO]]="X",Tabella3[[#This Row],[VEN]]="X",),"X","")</f>
        <v/>
      </c>
      <c r="D102" s="113" t="inlineStr">
        <is>
          <t>AREA 3</t>
        </is>
      </c>
      <c r="E102" s="109" t="inlineStr">
        <is>
          <t>523504/C</t>
        </is>
      </c>
      <c r="F102" s="109" t="inlineStr">
        <is>
          <t>1200/0</t>
        </is>
      </c>
      <c r="G102" s="109" t="inlineStr">
        <is>
          <t xml:space="preserve"> Z0F905BI (VAPORE PRODOTTO MAXI)  controllo funzionale</t>
        </is>
      </c>
      <c r="H102" s="111" t="n"/>
      <c r="I102" s="111" t="n"/>
      <c r="J102" s="111" t="n"/>
      <c r="K102" s="111" t="n"/>
      <c r="L102" s="111" t="n"/>
      <c r="M102" s="109" t="inlineStr">
        <is>
          <t>DA CHIUDERE</t>
        </is>
      </c>
      <c r="N102" s="109" t="n"/>
      <c r="O102" s="109" t="n"/>
      <c r="P102" s="109" t="n"/>
      <c r="Q102" s="109" t="inlineStr">
        <is>
          <t>CONTROLLATO TRASMETTITORE, AZZERAMENTO, CONTOLLO TARAT. LOOP_ NESSUNA ANOMALIA</t>
        </is>
      </c>
      <c r="R102" s="110" t="n">
        <v>45693</v>
      </c>
      <c r="S102" s="110" t="inlineStr">
        <is>
          <t>SPINALI/SERRA</t>
        </is>
      </c>
      <c r="T102" s="112">
        <f>IF(AND('Inserimento dati'!$B$3=$H$2, Tabella3[[#This Row],[LUN]]="X"), "X",IF(AND('Inserimento dati'!$B$3=$I$2, Tabella3[[#This Row],[MAR]]="X"), "X", IF(AND('Inserimento dati'!$B$3=$J$2, Tabella3[[#This Row],[MER]]="X"), "X",IF(AND('Inserimento dati'!$B$3=$K$2, Tabella3[[#This Row],[GIO]]="X"), "X", IF(AND('Inserimento dati'!$B$3=$L$2, Tabella3[[#This Row],[VEN]]="X"), "X","")))))</f>
        <v/>
      </c>
      <c r="U102" s="158">
        <f>IFERROR(MID(G102,_xlfn.AGGREGATE(15,6,(ROW(INDIRECT("1:"&amp;LEN(G102)-7)))/(ISNUMBER(--MID(G102,ROW(INDIRECT("1:"&amp;LEN(G102)-7)),8))),1),8),"")</f>
        <v/>
      </c>
      <c r="V102" t="inlineStr">
        <is>
          <t>2025-09-30 20:00:00</t>
        </is>
      </c>
    </row>
    <row r="103" ht="30" customFormat="1" customHeight="1" s="45">
      <c r="A103" s="112" t="n"/>
      <c r="B103" s="112">
        <f>IF(OR(A103="x",A103="X"),"",IF(ISBLANK(A103),"X",""))</f>
        <v/>
      </c>
      <c r="C103" s="112">
        <f>IF(OR(Tabella3[[#This Row],[LUN]]="X",Tabella3[[#This Row],[MAR]]="X",Tabella3[[#This Row],[MER]]="X",Tabella3[[#This Row],[GIO]]="X",Tabella3[[#This Row],[VEN]]="X",),"X","")</f>
        <v/>
      </c>
      <c r="D103" s="113" t="inlineStr">
        <is>
          <t>AREA 3</t>
        </is>
      </c>
      <c r="E103" s="109" t="inlineStr">
        <is>
          <t>523502/C</t>
        </is>
      </c>
      <c r="F103" s="109" t="inlineStr">
        <is>
          <t>1200/0</t>
        </is>
      </c>
      <c r="G103" s="109" t="inlineStr">
        <is>
          <t xml:space="preserve"> Z0F905AI(VAPORE PRODOTTO MAXI)  controllo funzionale</t>
        </is>
      </c>
      <c r="H103" s="111" t="n"/>
      <c r="I103" s="111" t="n"/>
      <c r="J103" s="111" t="n"/>
      <c r="K103" s="111" t="n"/>
      <c r="L103" s="111" t="n"/>
      <c r="M103" s="109" t="inlineStr">
        <is>
          <t>DA CHIUDERE</t>
        </is>
      </c>
      <c r="N103" s="109" t="n"/>
      <c r="O103" s="109" t="n"/>
      <c r="P103" s="109" t="n"/>
      <c r="Q103" s="109" t="inlineStr">
        <is>
          <t>TX CORRETTO DI ZERO, ALLINEATO CON SALA CONTROLLO.</t>
        </is>
      </c>
      <c r="R103" s="110" t="n">
        <v>45693</v>
      </c>
      <c r="S103" s="109" t="inlineStr">
        <is>
          <t>TARASCIO/PARTESANO</t>
        </is>
      </c>
      <c r="T103" s="112">
        <f>IF(AND('Inserimento dati'!$B$3=$H$2, Tabella3[[#This Row],[LUN]]="X"), "X",IF(AND('Inserimento dati'!$B$3=$I$2, Tabella3[[#This Row],[MAR]]="X"), "X", IF(AND('Inserimento dati'!$B$3=$J$2, Tabella3[[#This Row],[MER]]="X"), "X",IF(AND('Inserimento dati'!$B$3=$K$2, Tabella3[[#This Row],[GIO]]="X"), "X", IF(AND('Inserimento dati'!$B$3=$L$2, Tabella3[[#This Row],[VEN]]="X"), "X","")))))</f>
        <v/>
      </c>
      <c r="U103" s="158">
        <f>IFERROR(MID(G103,_xlfn.AGGREGATE(15,6,(ROW(INDIRECT("1:"&amp;LEN(G103)-7)))/(ISNUMBER(--MID(G103,ROW(INDIRECT("1:"&amp;LEN(G103)-7)),8))),1),8),"")</f>
        <v/>
      </c>
      <c r="V103" t="inlineStr">
        <is>
          <t>2025-09-30 20:00:00</t>
        </is>
      </c>
    </row>
    <row r="104" ht="30" customFormat="1" customHeight="1" s="45">
      <c r="A104" s="112" t="n"/>
      <c r="B104" s="112">
        <f>IF(OR(A104="x",A104="X"),"",IF(ISBLANK(A104),"X",""))</f>
        <v/>
      </c>
      <c r="C104" s="112">
        <f>IF(OR(Tabella3[[#This Row],[LUN]]="X",Tabella3[[#This Row],[MAR]]="X",Tabella3[[#This Row],[MER]]="X",Tabella3[[#This Row],[GIO]]="X",Tabella3[[#This Row],[VEN]]="X",),"X","")</f>
        <v/>
      </c>
      <c r="D104" s="113" t="inlineStr">
        <is>
          <t>AREA 3</t>
        </is>
      </c>
      <c r="E104" s="109" t="inlineStr">
        <is>
          <t>524347/C</t>
        </is>
      </c>
      <c r="F104" s="109" t="inlineStr">
        <is>
          <t>1200/1</t>
        </is>
      </c>
      <c r="G104" s="109" t="inlineStr">
        <is>
          <t xml:space="preserve"> 1200/1 - Z1-F301RC  Z1-F302RC  Z1-F306RC CONTROLLO FUNZIONALE</t>
        </is>
      </c>
      <c r="H104" s="111" t="n"/>
      <c r="I104" s="111" t="n"/>
      <c r="J104" s="111" t="n"/>
      <c r="K104" s="111" t="n"/>
      <c r="L104" s="111" t="n"/>
      <c r="M104" s="109" t="inlineStr">
        <is>
          <t>DA CHIUDERE</t>
        </is>
      </c>
      <c r="N104" s="109" t="n"/>
      <c r="O104" s="109" t="n"/>
      <c r="P104" s="109" t="n"/>
      <c r="Q104" s="109" t="n"/>
      <c r="R104" s="110" t="n">
        <v>45691</v>
      </c>
      <c r="S104" s="109" t="inlineStr">
        <is>
          <t>TARASCIO/PARTESANO</t>
        </is>
      </c>
      <c r="T104" s="116">
        <f>IF(AND('Inserimento dati'!$B$3=$H$2, Tabella3[[#This Row],[LUN]]="X"), "X",IF(AND('Inserimento dati'!$B$3=$I$2, Tabella3[[#This Row],[MAR]]="X"), "X", IF(AND('Inserimento dati'!$B$3=$J$2, Tabella3[[#This Row],[MER]]="X"), "X",IF(AND('Inserimento dati'!$B$3=$K$2, Tabella3[[#This Row],[GIO]]="X"), "X", IF(AND('Inserimento dati'!$B$3=$L$2, Tabella3[[#This Row],[VEN]]="X"), "X","")))))</f>
        <v/>
      </c>
      <c r="U104" s="158">
        <f>IFERROR(MID(G104,_xlfn.AGGREGATE(15,6,(ROW(INDIRECT("1:"&amp;LEN(G104)-7)))/(ISNUMBER(--MID(G104,ROW(INDIRECT("1:"&amp;LEN(G104)-7)),8))),1),8),"")</f>
        <v/>
      </c>
      <c r="V104" t="inlineStr">
        <is>
          <t>2025-09-30 20:00:00</t>
        </is>
      </c>
    </row>
    <row r="105" ht="23.25" customFormat="1" customHeight="1" s="45">
      <c r="A105" s="112" t="n"/>
      <c r="B105" s="112">
        <f>IF(OR(A105="x",A105="X"),"",IF(ISBLANK(A105),"X",""))</f>
        <v/>
      </c>
      <c r="C105" s="112">
        <f>IF(OR(Tabella3[[#This Row],[LUN]]="X",Tabella3[[#This Row],[MAR]]="X",Tabella3[[#This Row],[MER]]="X",Tabella3[[#This Row],[GIO]]="X",Tabella3[[#This Row],[VEN]]="X",),"X","")</f>
        <v/>
      </c>
      <c r="D105" s="113" t="inlineStr">
        <is>
          <t>AREA 3</t>
        </is>
      </c>
      <c r="E105" s="109" t="inlineStr">
        <is>
          <t>512354/C</t>
        </is>
      </c>
      <c r="F105" s="109" t="inlineStr">
        <is>
          <t>700A</t>
        </is>
      </c>
      <c r="G105" s="109" t="inlineStr">
        <is>
          <t xml:space="preserve"> F221RC -TARATURA </t>
        </is>
      </c>
      <c r="H105" s="111" t="n"/>
      <c r="I105" s="111" t="n"/>
      <c r="J105" s="111" t="n"/>
      <c r="K105" s="111" t="n"/>
      <c r="L105" s="111" t="n"/>
      <c r="M105" s="109" t="inlineStr">
        <is>
          <t>DA CHIUDERE</t>
        </is>
      </c>
      <c r="N105" s="109" t="n"/>
      <c r="O105" s="109" t="n"/>
      <c r="P105" s="109" t="n"/>
      <c r="Q105" s="109" t="inlineStr">
        <is>
          <t>Necessita piano lavoro per il controllo del trasmettitore.</t>
        </is>
      </c>
      <c r="R105" s="110" t="n">
        <v>45574</v>
      </c>
      <c r="S105" s="110" t="n"/>
      <c r="T105" s="116">
        <f>IF(AND('Inserimento dati'!$B$3=$H$2, Tabella3[[#This Row],[LUN]]="X"), "X",IF(AND('Inserimento dati'!$B$3=$I$2, Tabella3[[#This Row],[MAR]]="X"), "X", IF(AND('Inserimento dati'!$B$3=$J$2, Tabella3[[#This Row],[MER]]="X"), "X",IF(AND('Inserimento dati'!$B$3=$K$2, Tabella3[[#This Row],[GIO]]="X"), "X", IF(AND('Inserimento dati'!$B$3=$L$2, Tabella3[[#This Row],[VEN]]="X"), "X","")))))</f>
        <v/>
      </c>
      <c r="U105" s="158">
        <f>IFERROR(MID(G105,_xlfn.AGGREGATE(15,6,(ROW(INDIRECT("1:"&amp;LEN(G105)-7)))/(ISNUMBER(--MID(G105,ROW(INDIRECT("1:"&amp;LEN(G105)-7)),8))),1),8),"")</f>
        <v/>
      </c>
      <c r="V105" t="inlineStr">
        <is>
          <t>2025-09-30 20:00:00</t>
        </is>
      </c>
    </row>
    <row r="106" ht="23.25" customFormat="1" customHeight="1" s="45">
      <c r="A106" s="112" t="n"/>
      <c r="B106" s="112">
        <f>IF(OR(A106="x",A106="X"),"",IF(ISBLANK(A106),"X",""))</f>
        <v/>
      </c>
      <c r="C106" s="112">
        <f>IF(OR(Tabella3[[#This Row],[LUN]]="X",Tabella3[[#This Row],[MAR]]="X",Tabella3[[#This Row],[MER]]="X",Tabella3[[#This Row],[GIO]]="X",Tabella3[[#This Row],[VEN]]="X",),"X","")</f>
        <v/>
      </c>
      <c r="D106" s="113" t="inlineStr">
        <is>
          <t>AREA 3</t>
        </is>
      </c>
      <c r="E106" s="109" t="inlineStr">
        <is>
          <t>522702/C</t>
        </is>
      </c>
      <c r="F106" s="109" t="inlineStr">
        <is>
          <t>1200/M</t>
        </is>
      </c>
      <c r="G106" s="109" t="inlineStr">
        <is>
          <t xml:space="preserve"> 1200/M - OFF-SIDE RIPRISTINO PASSERELLE E FASCETTATURA CAVI ZONA KV HIC</t>
        </is>
      </c>
      <c r="H106" s="111" t="n"/>
      <c r="I106" s="111" t="n"/>
      <c r="J106" s="111" t="n"/>
      <c r="K106" s="111" t="n"/>
      <c r="L106" s="111" t="n"/>
      <c r="M106" s="109" t="inlineStr">
        <is>
          <t>DA CHIUDERE</t>
        </is>
      </c>
      <c r="N106" s="109" t="n"/>
      <c r="O106" s="109" t="n"/>
      <c r="P106" s="109" t="n"/>
      <c r="Q106" s="109" t="inlineStr">
        <is>
          <t>DA CHIUDERE (CAVALLI)</t>
        </is>
      </c>
      <c r="R106" s="110" t="n"/>
      <c r="S106" s="110" t="n"/>
      <c r="T106" s="112">
        <f>IF(AND('Inserimento dati'!$B$3=$H$2, Tabella3[[#This Row],[LUN]]="X"), "X",IF(AND('Inserimento dati'!$B$3=$I$2, Tabella3[[#This Row],[MAR]]="X"), "X", IF(AND('Inserimento dati'!$B$3=$J$2, Tabella3[[#This Row],[MER]]="X"), "X",IF(AND('Inserimento dati'!$B$3=$K$2, Tabella3[[#This Row],[GIO]]="X"), "X", IF(AND('Inserimento dati'!$B$3=$L$2, Tabella3[[#This Row],[VEN]]="X"), "X","")))))</f>
        <v/>
      </c>
      <c r="U106" s="158">
        <f>IFERROR(MID(G106,_xlfn.AGGREGATE(15,6,(ROW(INDIRECT("1:"&amp;LEN(G106)-7)))/(ISNUMBER(--MID(G106,ROW(INDIRECT("1:"&amp;LEN(G106)-7)),8))),1),8),"")</f>
        <v/>
      </c>
      <c r="V106" t="inlineStr">
        <is>
          <t>2025-09-30 20:00:00</t>
        </is>
      </c>
    </row>
    <row r="107" ht="30" customFormat="1" customHeight="1" s="45">
      <c r="A107" s="112" t="n"/>
      <c r="B107" s="112">
        <f>IF(OR(A107="x",A107="X"),"",IF(ISBLANK(A107),"X",""))</f>
        <v/>
      </c>
      <c r="C107" s="112">
        <f>IF(OR(Tabella3[[#This Row],[LUN]]="X",Tabella3[[#This Row],[MAR]]="X",Tabella3[[#This Row],[MER]]="X",Tabella3[[#This Row],[GIO]]="X",Tabella3[[#This Row],[VEN]]="X",),"X","")</f>
        <v/>
      </c>
      <c r="D107" s="113" t="inlineStr">
        <is>
          <t>AREA 3</t>
        </is>
      </c>
      <c r="E107" s="109" t="inlineStr">
        <is>
          <t>523805/C</t>
        </is>
      </c>
      <c r="F107" s="109" t="n">
        <v>1800</v>
      </c>
      <c r="G107" s="109" t="inlineStr">
        <is>
          <t xml:space="preserve"> 1800 - LCV029B controllo funzionale</t>
        </is>
      </c>
      <c r="H107" s="111" t="n"/>
      <c r="I107" s="111" t="n"/>
      <c r="J107" s="111" t="n"/>
      <c r="K107" s="111" t="n"/>
      <c r="L107" s="111" t="n"/>
      <c r="M107" s="109" t="inlineStr">
        <is>
          <t>DA CHIUDERE</t>
        </is>
      </c>
      <c r="N107" s="109" t="n"/>
      <c r="O107" s="109" t="n"/>
      <c r="P107" s="109" t="n"/>
      <c r="Q107" s="109" t="inlineStr">
        <is>
          <t>ACQUA NEL POSIZIONATORE, RIPRISTINATA LA FUNZIONALITA'</t>
        </is>
      </c>
      <c r="R107" s="110" t="n">
        <v>45688</v>
      </c>
      <c r="S107" s="109" t="inlineStr">
        <is>
          <t>GARRO L./GARRO S.</t>
        </is>
      </c>
      <c r="T107" s="116">
        <f>IF(AND('Inserimento dati'!$B$3=$H$2, Tabella3[[#This Row],[LUN]]="X"), "X",IF(AND('Inserimento dati'!$B$3=$I$2, Tabella3[[#This Row],[MAR]]="X"), "X", IF(AND('Inserimento dati'!$B$3=$J$2, Tabella3[[#This Row],[MER]]="X"), "X",IF(AND('Inserimento dati'!$B$3=$K$2, Tabella3[[#This Row],[GIO]]="X"), "X", IF(AND('Inserimento dati'!$B$3=$L$2, Tabella3[[#This Row],[VEN]]="X"), "X","")))))</f>
        <v/>
      </c>
      <c r="U107" s="158">
        <f>IFERROR(MID(G107,_xlfn.AGGREGATE(15,6,(ROW(INDIRECT("1:"&amp;LEN(G107)-7)))/(ISNUMBER(--MID(G107,ROW(INDIRECT("1:"&amp;LEN(G107)-7)),8))),1),8),"")</f>
        <v/>
      </c>
      <c r="V107" t="inlineStr">
        <is>
          <t>2025-09-30 20:00:00</t>
        </is>
      </c>
    </row>
    <row r="108" ht="30" customFormat="1" customHeight="1" s="45">
      <c r="A108" s="112" t="n"/>
      <c r="B108" s="112">
        <f>IF(OR(A108="x",A108="X"),"",IF(ISBLANK(A108),"X",""))</f>
        <v/>
      </c>
      <c r="C108" s="112">
        <f>IF(OR(Tabella3[[#This Row],[LUN]]="X",Tabella3[[#This Row],[MAR]]="X",Tabella3[[#This Row],[MER]]="X",Tabella3[[#This Row],[GIO]]="X",Tabella3[[#This Row],[VEN]]="X",),"X","")</f>
        <v/>
      </c>
      <c r="D108" s="113" t="inlineStr">
        <is>
          <t>AREA 3</t>
        </is>
      </c>
      <c r="E108" s="109" t="inlineStr">
        <is>
          <t>520841/C</t>
        </is>
      </c>
      <c r="F108" s="109" t="n">
        <v>700</v>
      </c>
      <c r="G108" s="109" t="inlineStr">
        <is>
          <t xml:space="preserve"> 700 - MONSANTO: MTZ TCV031 VERIFICA FUNZIONAMENTO </t>
        </is>
      </c>
      <c r="H108" s="111" t="n"/>
      <c r="I108" s="111" t="n"/>
      <c r="J108" s="111" t="n"/>
      <c r="K108" s="111" t="n"/>
      <c r="L108" s="111" t="n"/>
      <c r="M108" s="109" t="inlineStr">
        <is>
          <t>DA CHIUDERE</t>
        </is>
      </c>
      <c r="N108" s="109" t="n"/>
      <c r="O108" s="109" t="n"/>
      <c r="P108" s="109" t="n"/>
      <c r="Q108" s="109" t="n"/>
      <c r="R108" s="110" t="n">
        <v>45687</v>
      </c>
      <c r="S108" s="109" t="inlineStr">
        <is>
          <t>GARRO L./GARRO S.</t>
        </is>
      </c>
      <c r="T108" s="112">
        <f>IF(AND('Inserimento dati'!$B$3=$H$2, Tabella3[[#This Row],[LUN]]="X"), "X",IF(AND('Inserimento dati'!$B$3=$I$2, Tabella3[[#This Row],[MAR]]="X"), "X", IF(AND('Inserimento dati'!$B$3=$J$2, Tabella3[[#This Row],[MER]]="X"), "X",IF(AND('Inserimento dati'!$B$3=$K$2, Tabella3[[#This Row],[GIO]]="X"), "X", IF(AND('Inserimento dati'!$B$3=$L$2, Tabella3[[#This Row],[VEN]]="X"), "X","")))))</f>
        <v/>
      </c>
      <c r="U108" s="144">
        <f>IFERROR(MID(G108,_xlfn.AGGREGATE(15,6,(ROW(INDIRECT("1:"&amp;LEN(G108)-7)))/(ISNUMBER(--MID(G108,ROW(INDIRECT("1:"&amp;LEN(G108)-7)),8))),1),8),"")</f>
        <v/>
      </c>
      <c r="V108" t="inlineStr">
        <is>
          <t>2025-09-30 20:00:00</t>
        </is>
      </c>
    </row>
    <row r="109" ht="23.25" customFormat="1" customHeight="1" s="45">
      <c r="A109" s="112" t="n"/>
      <c r="B109" s="112">
        <f>IF(OR(A109="x",A109="X"),"",IF(ISBLANK(A109),"X",""))</f>
        <v/>
      </c>
      <c r="C109" s="112">
        <f>IF(OR(Tabella3[[#This Row],[LUN]]="X",Tabella3[[#This Row],[MAR]]="X",Tabella3[[#This Row],[MER]]="X",Tabella3[[#This Row],[GIO]]="X",Tabella3[[#This Row],[VEN]]="X",),"X","")</f>
        <v/>
      </c>
      <c r="D109" s="113" t="inlineStr">
        <is>
          <t>AREA 3</t>
        </is>
      </c>
      <c r="E109" s="109" t="inlineStr">
        <is>
          <t>523440/C</t>
        </is>
      </c>
      <c r="F109" s="109" t="n">
        <v>1800</v>
      </c>
      <c r="G109" s="109" t="inlineStr">
        <is>
          <t xml:space="preserve"> 1800 - P021CV SMONTAGGIO/RIMONTAGGIO PER REVISIONE</t>
        </is>
      </c>
      <c r="H109" s="111" t="n"/>
      <c r="I109" s="111" t="n"/>
      <c r="J109" s="111" t="n"/>
      <c r="K109" s="111" t="n"/>
      <c r="L109" s="111" t="n"/>
      <c r="M109" s="109" t="inlineStr">
        <is>
          <t>DA CHIUDERE</t>
        </is>
      </c>
      <c r="N109" s="109" t="n"/>
      <c r="O109" s="109" t="n"/>
      <c r="P109" s="109" t="n"/>
      <c r="Q109" s="109" t="inlineStr">
        <is>
          <t>ESEGUITO RIMONTAGGIO IN CAMPO.</t>
        </is>
      </c>
      <c r="R109" s="110" t="n">
        <v>45682</v>
      </c>
      <c r="S109" s="110" t="inlineStr">
        <is>
          <t>OFF.VALVOLE</t>
        </is>
      </c>
      <c r="T109" s="112">
        <f>IF(AND('Inserimento dati'!$B$3=$H$2, Tabella3[[#This Row],[LUN]]="X"), "X",IF(AND('Inserimento dati'!$B$3=$I$2, Tabella3[[#This Row],[MAR]]="X"), "X", IF(AND('Inserimento dati'!$B$3=$J$2, Tabella3[[#This Row],[MER]]="X"), "X",IF(AND('Inserimento dati'!$B$3=$K$2, Tabella3[[#This Row],[GIO]]="X"), "X", IF(AND('Inserimento dati'!$B$3=$L$2, Tabella3[[#This Row],[VEN]]="X"), "X","")))))</f>
        <v/>
      </c>
      <c r="U109" s="144">
        <f>IFERROR(MID(G109,_xlfn.AGGREGATE(15,6,(ROW(INDIRECT("1:"&amp;LEN(G109)-7)))/(ISNUMBER(--MID(G109,ROW(INDIRECT("1:"&amp;LEN(G109)-7)),8))),1),8),"")</f>
        <v/>
      </c>
      <c r="V109" t="inlineStr">
        <is>
          <t>2025-09-30 20:00:00</t>
        </is>
      </c>
    </row>
    <row r="110" ht="23.25" customFormat="1" customHeight="1" s="45">
      <c r="A110" s="112" t="n"/>
      <c r="B110" s="112">
        <f>IF(OR(A110="x",A110="X"),"",IF(ISBLANK(A110),"X",""))</f>
        <v/>
      </c>
      <c r="C110" s="112">
        <f>IF(OR(Tabella3[[#This Row],[LUN]]="X",Tabella3[[#This Row],[MAR]]="X",Tabella3[[#This Row],[MER]]="X",Tabella3[[#This Row],[GIO]]="X",Tabella3[[#This Row],[VEN]]="X",),"X","")</f>
        <v/>
      </c>
      <c r="D110" s="113" t="inlineStr">
        <is>
          <t>AREA 3</t>
        </is>
      </c>
      <c r="E110" s="109" t="inlineStr">
        <is>
          <t>522677/C</t>
        </is>
      </c>
      <c r="F110" s="109" t="n">
        <v>1800</v>
      </c>
      <c r="G110" s="109" t="inlineStr">
        <is>
          <t xml:space="preserve"> 10215413.   18-F003RC CONDENSA DA 1800_E102</t>
        </is>
      </c>
      <c r="H110" s="111" t="n"/>
      <c r="I110" s="111" t="n"/>
      <c r="J110" s="111" t="n"/>
      <c r="K110" s="111" t="n"/>
      <c r="L110" s="111" t="n"/>
      <c r="M110" s="109" t="inlineStr">
        <is>
          <t>DA CHIUDERE</t>
        </is>
      </c>
      <c r="N110" s="109" t="n"/>
      <c r="O110" s="109" t="n"/>
      <c r="P110" s="109" t="n"/>
      <c r="Q110" s="109" t="inlineStr">
        <is>
          <t>ESEGUITO ZERO.</t>
        </is>
      </c>
      <c r="R110" s="110" t="n">
        <v>45686</v>
      </c>
      <c r="S110" s="110" t="inlineStr">
        <is>
          <t>TARASCIO</t>
        </is>
      </c>
      <c r="T110" s="112">
        <f>IF(AND('Inserimento dati'!$B$3=$H$2, Tabella3[[#This Row],[LUN]]="X"), "X",IF(AND('Inserimento dati'!$B$3=$I$2, Tabella3[[#This Row],[MAR]]="X"), "X", IF(AND('Inserimento dati'!$B$3=$J$2, Tabella3[[#This Row],[MER]]="X"), "X",IF(AND('Inserimento dati'!$B$3=$K$2, Tabella3[[#This Row],[GIO]]="X"), "X", IF(AND('Inserimento dati'!$B$3=$L$2, Tabella3[[#This Row],[VEN]]="X"), "X","")))))</f>
        <v/>
      </c>
      <c r="U110" s="144">
        <f>IFERROR(MID(G110,_xlfn.AGGREGATE(15,6,(ROW(INDIRECT("1:"&amp;LEN(G110)-7)))/(ISNUMBER(--MID(G110,ROW(INDIRECT("1:"&amp;LEN(G110)-7)),8))),1),8),"")</f>
        <v/>
      </c>
      <c r="V110" t="inlineStr">
        <is>
          <t>2025-09-30 20:00:00</t>
        </is>
      </c>
    </row>
    <row r="111" ht="30" customFormat="1" customHeight="1" s="45">
      <c r="A111" s="112" t="n"/>
      <c r="B111" s="112">
        <f>IF(OR(A111="x",A111="X"),"",IF(ISBLANK(A111),"X",""))</f>
        <v/>
      </c>
      <c r="C111" s="112">
        <f>IF(OR(Tabella3[[#This Row],[LUN]]="X",Tabella3[[#This Row],[MAR]]="X",Tabella3[[#This Row],[MER]]="X",Tabella3[[#This Row],[GIO]]="X",Tabella3[[#This Row],[VEN]]="X",),"X","")</f>
        <v/>
      </c>
      <c r="D111" s="113" t="inlineStr">
        <is>
          <t>AREA 3</t>
        </is>
      </c>
      <c r="E111" s="109" t="inlineStr">
        <is>
          <t>522550/C</t>
        </is>
      </c>
      <c r="F111" s="109" t="inlineStr">
        <is>
          <t>700A</t>
        </is>
      </c>
      <c r="G111" s="109" t="inlineStr">
        <is>
          <t xml:space="preserve"> 700AF221RC MANDATA P201A-B-C</t>
        </is>
      </c>
      <c r="H111" s="111" t="n"/>
      <c r="I111" s="111" t="n"/>
      <c r="J111" s="111" t="n"/>
      <c r="K111" s="111" t="n"/>
      <c r="L111" s="111" t="n"/>
      <c r="M111" s="109" t="inlineStr">
        <is>
          <t>DA CHIUDERE</t>
        </is>
      </c>
      <c r="N111" s="109" t="n"/>
      <c r="O111" s="109" t="n"/>
      <c r="P111" s="109" t="n"/>
      <c r="Q111" s="109" t="inlineStr">
        <is>
          <t>SI RISCONTRA TRACCIATURA FREDDA POICHE' INTERCETTATA E MANCA PARTE PER RICOLLEGARLA.</t>
        </is>
      </c>
      <c r="R111" s="110" t="n">
        <v>45685</v>
      </c>
      <c r="S111" s="110" t="inlineStr">
        <is>
          <t>TARASCIO</t>
        </is>
      </c>
      <c r="T111" s="112">
        <f>IF(AND('Inserimento dati'!$B$3=$H$2, Tabella3[[#This Row],[LUN]]="X"), "X",IF(AND('Inserimento dati'!$B$3=$I$2, Tabella3[[#This Row],[MAR]]="X"), "X", IF(AND('Inserimento dati'!$B$3=$J$2, Tabella3[[#This Row],[MER]]="X"), "X",IF(AND('Inserimento dati'!$B$3=$K$2, Tabella3[[#This Row],[GIO]]="X"), "X", IF(AND('Inserimento dati'!$B$3=$L$2, Tabella3[[#This Row],[VEN]]="X"), "X","")))))</f>
        <v/>
      </c>
      <c r="U111" s="144">
        <f>IFERROR(MID(G111,_xlfn.AGGREGATE(15,6,(ROW(INDIRECT("1:"&amp;LEN(G111)-7)))/(ISNUMBER(--MID(G111,ROW(INDIRECT("1:"&amp;LEN(G111)-7)),8))),1),8),"")</f>
        <v/>
      </c>
      <c r="V111" t="inlineStr">
        <is>
          <t>2025-09-30 20:00:00</t>
        </is>
      </c>
    </row>
    <row r="112" ht="60" customFormat="1" customHeight="1" s="45">
      <c r="A112" s="112" t="n"/>
      <c r="B112" s="112">
        <f>IF(OR(A112="x",A112="X"),"",IF(ISBLANK(A112),"X",""))</f>
        <v/>
      </c>
      <c r="C112" s="112">
        <f>IF(OR(Tabella3[[#This Row],[LUN]]="X",Tabella3[[#This Row],[MAR]]="X",Tabella3[[#This Row],[MER]]="X",Tabella3[[#This Row],[GIO]]="X",Tabella3[[#This Row],[VEN]]="X",),"X","")</f>
        <v/>
      </c>
      <c r="D112" s="113" t="inlineStr">
        <is>
          <t>AREA 3</t>
        </is>
      </c>
      <c r="E112" s="109" t="inlineStr">
        <is>
          <t>521031/C</t>
        </is>
      </c>
      <c r="F112" s="109" t="n">
        <v>700</v>
      </c>
      <c r="G112" s="109" t="inlineStr">
        <is>
          <t xml:space="preserve"> 10213946   07F224R  CONTROLLO E RIPRISTINO</t>
        </is>
      </c>
      <c r="H112" s="111" t="n"/>
      <c r="I112" s="111" t="n"/>
      <c r="J112" s="111" t="n"/>
      <c r="K112" s="111" t="n"/>
      <c r="L112" s="111" t="n"/>
      <c r="M112" s="109" t="inlineStr">
        <is>
          <t>DA CHIUDERE</t>
        </is>
      </c>
      <c r="N112" s="109" t="n"/>
      <c r="O112" s="109" t="n"/>
      <c r="P112" s="109" t="n"/>
      <c r="Q112" s="109" t="inlineStr">
        <is>
          <t>PRIMARI INCEMENTATI E BUCATI, DA RIFARE EXNOVO (DA FARE SOPRALLUOGO CON CAVALLI PER RIPRISTINARE LA FUNZIONALITA') QUANDO SI COMPLETERANNO I PONTEGGI SI PROSEGUIRA' CON PDL 524001/C</t>
        </is>
      </c>
      <c r="R112" s="110" t="n">
        <v>45673</v>
      </c>
      <c r="S112" s="110" t="inlineStr">
        <is>
          <t>TARASCIO</t>
        </is>
      </c>
      <c r="T112" s="112">
        <f>IF(AND('Inserimento dati'!$B$3=$H$2, Tabella3[[#This Row],[LUN]]="X"), "X",IF(AND('Inserimento dati'!$B$3=$I$2, Tabella3[[#This Row],[MAR]]="X"), "X", IF(AND('Inserimento dati'!$B$3=$J$2, Tabella3[[#This Row],[MER]]="X"), "X",IF(AND('Inserimento dati'!$B$3=$K$2, Tabella3[[#This Row],[GIO]]="X"), "X", IF(AND('Inserimento dati'!$B$3=$L$2, Tabella3[[#This Row],[VEN]]="X"), "X","")))))</f>
        <v/>
      </c>
      <c r="U112" s="144">
        <f>IFERROR(MID(G112,_xlfn.AGGREGATE(15,6,(ROW(INDIRECT("1:"&amp;LEN(G112)-7)))/(ISNUMBER(--MID(G112,ROW(INDIRECT("1:"&amp;LEN(G112)-7)),8))),1),8),"")</f>
        <v/>
      </c>
      <c r="V112" t="inlineStr">
        <is>
          <t>2025-09-30 20:00:00</t>
        </is>
      </c>
    </row>
    <row r="113" ht="23.25" customFormat="1" customHeight="1" s="45">
      <c r="A113" s="112" t="n"/>
      <c r="B113" s="112">
        <f>IF(OR(A113="x",A113="X"),"",IF(ISBLANK(A113),"X",""))</f>
        <v/>
      </c>
      <c r="C113" s="112">
        <f>IF(OR(Tabella3[[#This Row],[LUN]]="X",Tabella3[[#This Row],[MAR]]="X",Tabella3[[#This Row],[MER]]="X",Tabella3[[#This Row],[GIO]]="X",Tabella3[[#This Row],[VEN]]="X",),"X","")</f>
        <v/>
      </c>
      <c r="D113" s="113" t="inlineStr">
        <is>
          <t>AREA 3</t>
        </is>
      </c>
      <c r="E113" s="109" t="inlineStr">
        <is>
          <t>523448/C</t>
        </is>
      </c>
      <c r="F113" s="109" t="n">
        <v>1400</v>
      </c>
      <c r="G113" s="109" t="inlineStr">
        <is>
          <t xml:space="preserve"> 1400 - F004R(SWS A U1200 da T105/T101/T102) controllo funzionale</t>
        </is>
      </c>
      <c r="H113" s="111" t="n"/>
      <c r="I113" s="111" t="n"/>
      <c r="J113" s="111" t="n"/>
      <c r="K113" s="111" t="n"/>
      <c r="L113" s="111" t="n"/>
      <c r="M113" s="109" t="inlineStr">
        <is>
          <t>DA CHIUDERE</t>
        </is>
      </c>
      <c r="N113" s="109" t="n"/>
      <c r="O113" s="109" t="n"/>
      <c r="P113" s="109" t="n"/>
      <c r="Q113" s="109" t="inlineStr">
        <is>
          <t>CONTROLLO ESEGUITO</t>
        </is>
      </c>
      <c r="R113" s="110" t="n">
        <v>45686</v>
      </c>
      <c r="S113" s="110" t="inlineStr">
        <is>
          <t>TARASCIO</t>
        </is>
      </c>
      <c r="T113" s="112">
        <f>IF(AND('Inserimento dati'!$B$3=$H$2, Tabella3[[#This Row],[LUN]]="X"), "X",IF(AND('Inserimento dati'!$B$3=$I$2, Tabella3[[#This Row],[MAR]]="X"), "X", IF(AND('Inserimento dati'!$B$3=$J$2, Tabella3[[#This Row],[MER]]="X"), "X",IF(AND('Inserimento dati'!$B$3=$K$2, Tabella3[[#This Row],[GIO]]="X"), "X", IF(AND('Inserimento dati'!$B$3=$L$2, Tabella3[[#This Row],[VEN]]="X"), "X","")))))</f>
        <v/>
      </c>
      <c r="U113" s="144">
        <f>IFERROR(MID(G113,_xlfn.AGGREGATE(15,6,(ROW(INDIRECT("1:"&amp;LEN(G113)-7)))/(ISNUMBER(--MID(G113,ROW(INDIRECT("1:"&amp;LEN(G113)-7)),8))),1),8),"")</f>
        <v/>
      </c>
      <c r="V113" t="inlineStr">
        <is>
          <t>2025-09-30 20:00:00</t>
        </is>
      </c>
    </row>
    <row r="114" ht="30" customFormat="1" customHeight="1" s="45">
      <c r="A114" s="112" t="n"/>
      <c r="B114" s="112">
        <f>IF(OR(A114="x",A114="X"),"",IF(ISBLANK(A114),"X",""))</f>
        <v/>
      </c>
      <c r="C114" s="112">
        <f>IF(OR(Tabella3[[#This Row],[LUN]]="X",Tabella3[[#This Row],[MAR]]="X",Tabella3[[#This Row],[MER]]="X",Tabella3[[#This Row],[GIO]]="X",Tabella3[[#This Row],[VEN]]="X",),"X","")</f>
        <v/>
      </c>
      <c r="D114" s="113" t="inlineStr">
        <is>
          <t>AREA 3</t>
        </is>
      </c>
      <c r="E114" s="109" t="inlineStr">
        <is>
          <t>523625/C</t>
        </is>
      </c>
      <c r="F114" s="109" t="n">
        <v>700</v>
      </c>
      <c r="G114" s="109" t="inlineStr">
        <is>
          <t xml:space="preserve"> 700 - T614I CONTROLLO FUNZIONALE</t>
        </is>
      </c>
      <c r="H114" s="111" t="n"/>
      <c r="I114" s="111" t="n"/>
      <c r="J114" s="111" t="n"/>
      <c r="K114" s="111" t="n"/>
      <c r="L114" s="111" t="n"/>
      <c r="M114" s="109" t="inlineStr">
        <is>
          <t>DA CHIUDERE</t>
        </is>
      </c>
      <c r="N114" s="109" t="n"/>
      <c r="O114" s="109" t="n"/>
      <c r="P114" s="109" t="n"/>
      <c r="Q114" s="109" t="inlineStr">
        <is>
          <t>SKIPOINT GUASTA ALL'INTERNO DEL FORNO, DA SOSTITUIRE IN FERMATA.</t>
        </is>
      </c>
      <c r="R114" s="110" t="n">
        <v>45684</v>
      </c>
      <c r="S114" s="109" t="inlineStr">
        <is>
          <t>TARASCIO</t>
        </is>
      </c>
      <c r="T114" s="116">
        <f>IF(AND('Inserimento dati'!$B$3=$H$2, Tabella3[[#This Row],[LUN]]="X"), "X",IF(AND('Inserimento dati'!$B$3=$I$2, Tabella3[[#This Row],[MAR]]="X"), "X", IF(AND('Inserimento dati'!$B$3=$J$2, Tabella3[[#This Row],[MER]]="X"), "X",IF(AND('Inserimento dati'!$B$3=$K$2, Tabella3[[#This Row],[GIO]]="X"), "X", IF(AND('Inserimento dati'!$B$3=$L$2, Tabella3[[#This Row],[VEN]]="X"), "X","")))))</f>
        <v/>
      </c>
      <c r="U114" s="144">
        <f>IFERROR(MID(G114,_xlfn.AGGREGATE(15,6,(ROW(INDIRECT("1:"&amp;LEN(G114)-7)))/(ISNUMBER(--MID(G114,ROW(INDIRECT("1:"&amp;LEN(G114)-7)),8))),1),8),"")</f>
        <v/>
      </c>
      <c r="V114" t="inlineStr">
        <is>
          <t>2025-09-30 20:00:00</t>
        </is>
      </c>
    </row>
    <row r="115" ht="23.25" customFormat="1" customHeight="1" s="45">
      <c r="A115" s="112" t="n"/>
      <c r="B115" s="112">
        <f>IF(OR(A115="x",A115="X"),"",IF(ISBLANK(A115),"X",""))</f>
        <v/>
      </c>
      <c r="C115" s="112">
        <f>IF(OR(Tabella3[[#This Row],[LUN]]="X",Tabella3[[#This Row],[MAR]]="X",Tabella3[[#This Row],[MER]]="X",Tabella3[[#This Row],[GIO]]="X",Tabella3[[#This Row],[VEN]]="X",),"X","")</f>
        <v/>
      </c>
      <c r="D115" s="113" t="inlineStr">
        <is>
          <t>AREA 3</t>
        </is>
      </c>
      <c r="E115" s="109" t="inlineStr">
        <is>
          <t>521249/C</t>
        </is>
      </c>
      <c r="F115" s="109" t="n">
        <v>1400</v>
      </c>
      <c r="G115" s="109" t="inlineStr">
        <is>
          <t xml:space="preserve"> 1400: 14F008RC controllo funzionale</t>
        </is>
      </c>
      <c r="H115" s="111" t="n"/>
      <c r="I115" s="111" t="n"/>
      <c r="J115" s="111" t="n"/>
      <c r="K115" s="111" t="n"/>
      <c r="L115" s="111" t="n"/>
      <c r="M115" s="109" t="inlineStr">
        <is>
          <t>DA CHIUDERE</t>
        </is>
      </c>
      <c r="N115" s="109" t="n"/>
      <c r="O115" s="109" t="n"/>
      <c r="P115" s="109" t="n"/>
      <c r="Q115" s="109" t="inlineStr">
        <is>
          <t>ESEGUITO CONTROLLO</t>
        </is>
      </c>
      <c r="R115" s="110" t="n">
        <v>45681</v>
      </c>
      <c r="S115" s="110" t="inlineStr">
        <is>
          <t>TARASCIO</t>
        </is>
      </c>
      <c r="T115" s="112">
        <f>IF(AND('Inserimento dati'!$B$3=$H$2, Tabella3[[#This Row],[LUN]]="X"), "X",IF(AND('Inserimento dati'!$B$3=$I$2, Tabella3[[#This Row],[MAR]]="X"), "X", IF(AND('Inserimento dati'!$B$3=$J$2, Tabella3[[#This Row],[MER]]="X"), "X",IF(AND('Inserimento dati'!$B$3=$K$2, Tabella3[[#This Row],[GIO]]="X"), "X", IF(AND('Inserimento dati'!$B$3=$L$2, Tabella3[[#This Row],[VEN]]="X"), "X","")))))</f>
        <v/>
      </c>
      <c r="U115" s="144">
        <f>IFERROR(MID(G115,_xlfn.AGGREGATE(15,6,(ROW(INDIRECT("1:"&amp;LEN(G115)-7)))/(ISNUMBER(--MID(G115,ROW(INDIRECT("1:"&amp;LEN(G115)-7)),8))),1),8),"")</f>
        <v/>
      </c>
      <c r="V115" t="inlineStr">
        <is>
          <t>2025-09-30 20:00:00</t>
        </is>
      </c>
    </row>
    <row r="116" ht="30" customFormat="1" customHeight="1" s="45">
      <c r="A116" s="112" t="n"/>
      <c r="B116" s="112">
        <f>IF(OR(A116="x",A116="X"),"",IF(ISBLANK(A116),"X",""))</f>
        <v/>
      </c>
      <c r="C116" s="112">
        <f>IF(OR(Tabella3[[#This Row],[LUN]]="X",Tabella3[[#This Row],[MAR]]="X",Tabella3[[#This Row],[MER]]="X",Tabella3[[#This Row],[GIO]]="X",Tabella3[[#This Row],[VEN]]="X",),"X","")</f>
        <v/>
      </c>
      <c r="D116" s="113" t="inlineStr">
        <is>
          <t>AREA 3</t>
        </is>
      </c>
      <c r="E116" s="109" t="inlineStr">
        <is>
          <t>521576/C</t>
        </is>
      </c>
      <c r="F116" s="109" t="n">
        <v>1800</v>
      </c>
      <c r="G116" s="109" t="inlineStr">
        <is>
          <t xml:space="preserve"> 1800 - C102A Smontaggio strumenti compressore scollegamento HYDROCOMM SOLO TUBICINI DI COLLEGAMENTO OLIODINAMICO</t>
        </is>
      </c>
      <c r="H116" s="111" t="n"/>
      <c r="I116" s="111" t="n"/>
      <c r="J116" s="111" t="n"/>
      <c r="K116" s="111" t="n"/>
      <c r="L116" s="111" t="n"/>
      <c r="M116" s="109" t="inlineStr">
        <is>
          <t>DA CHIUDERE</t>
        </is>
      </c>
      <c r="N116" s="109" t="n"/>
      <c r="O116" s="109" t="n"/>
      <c r="P116" s="109" t="n"/>
      <c r="Q116" s="109" t="n"/>
      <c r="R116" s="110" t="n">
        <v>45680</v>
      </c>
      <c r="S116" s="110" t="inlineStr">
        <is>
          <t>SPINALI</t>
        </is>
      </c>
      <c r="T116" s="112">
        <f>IF(AND('Inserimento dati'!$B$3=$H$2, Tabella3[[#This Row],[LUN]]="X"), "X",IF(AND('Inserimento dati'!$B$3=$I$2, Tabella3[[#This Row],[MAR]]="X"), "X", IF(AND('Inserimento dati'!$B$3=$J$2, Tabella3[[#This Row],[MER]]="X"), "X",IF(AND('Inserimento dati'!$B$3=$K$2, Tabella3[[#This Row],[GIO]]="X"), "X", IF(AND('Inserimento dati'!$B$3=$L$2, Tabella3[[#This Row],[VEN]]="X"), "X","")))))</f>
        <v/>
      </c>
      <c r="U116" s="144">
        <f>IFERROR(MID(G116,_xlfn.AGGREGATE(15,6,(ROW(INDIRECT("1:"&amp;LEN(G116)-7)))/(ISNUMBER(--MID(G116,ROW(INDIRECT("1:"&amp;LEN(G116)-7)),8))),1),8),"")</f>
        <v/>
      </c>
      <c r="V116" t="inlineStr">
        <is>
          <t>2025-09-30 20:00:00</t>
        </is>
      </c>
    </row>
    <row r="117" ht="23.25" customFormat="1" customHeight="1" s="45">
      <c r="A117" s="112" t="n"/>
      <c r="B117" s="112">
        <f>IF(OR(A117="x",A117="X"),"",IF(ISBLANK(A117),"X",""))</f>
        <v/>
      </c>
      <c r="C117" s="112">
        <f>IF(OR(Tabella3[[#This Row],[LUN]]="X",Tabella3[[#This Row],[MAR]]="X",Tabella3[[#This Row],[MER]]="X",Tabella3[[#This Row],[GIO]]="X",Tabella3[[#This Row],[VEN]]="X",),"X","")</f>
        <v/>
      </c>
      <c r="D117" s="113" t="inlineStr">
        <is>
          <t>AREA 3</t>
        </is>
      </c>
      <c r="E117" s="109" t="inlineStr">
        <is>
          <t>522395/C</t>
        </is>
      </c>
      <c r="F117" s="109" t="inlineStr">
        <is>
          <t>1200/4</t>
        </is>
      </c>
      <c r="G117" s="109" t="inlineStr">
        <is>
          <t xml:space="preserve"> 1200/4 - Controllo e ripristino funzionalita' F302RC(GAS SWS A B103)</t>
        </is>
      </c>
      <c r="H117" s="111" t="n"/>
      <c r="I117" s="111" t="n"/>
      <c r="J117" s="111" t="n"/>
      <c r="K117" s="111" t="n"/>
      <c r="L117" s="111" t="n"/>
      <c r="M117" s="109" t="inlineStr">
        <is>
          <t>DA CHIUDERE</t>
        </is>
      </c>
      <c r="N117" s="109" t="n"/>
      <c r="O117" s="109" t="n"/>
      <c r="P117" s="109" t="n"/>
      <c r="Q117" s="109" t="inlineStr">
        <is>
          <t>FLUSSATI CON AZOTO E PULITI, RIPRISTINATA FUNZIONALITA'</t>
        </is>
      </c>
      <c r="R117" s="110" t="n">
        <v>45680</v>
      </c>
      <c r="S117" s="109" t="inlineStr">
        <is>
          <t>TARASCIO</t>
        </is>
      </c>
      <c r="T117" s="112">
        <f>IF(AND('Inserimento dati'!$B$3=$H$2, Tabella3[[#This Row],[LUN]]="X"), "X",IF(AND('Inserimento dati'!$B$3=$I$2, Tabella3[[#This Row],[MAR]]="X"), "X", IF(AND('Inserimento dati'!$B$3=$J$2, Tabella3[[#This Row],[MER]]="X"), "X",IF(AND('Inserimento dati'!$B$3=$K$2, Tabella3[[#This Row],[GIO]]="X"), "X", IF(AND('Inserimento dati'!$B$3=$L$2, Tabella3[[#This Row],[VEN]]="X"), "X","")))))</f>
        <v/>
      </c>
      <c r="U117" s="144">
        <f>IFERROR(MID(G117,_xlfn.AGGREGATE(15,6,(ROW(INDIRECT("1:"&amp;LEN(G117)-7)))/(ISNUMBER(--MID(G117,ROW(INDIRECT("1:"&amp;LEN(G117)-7)),8))),1),8),"")</f>
        <v/>
      </c>
      <c r="V117" t="inlineStr">
        <is>
          <t>2025-09-30 20:00:00</t>
        </is>
      </c>
    </row>
    <row r="118" ht="30" customFormat="1" customHeight="1" s="45">
      <c r="A118" s="112" t="n"/>
      <c r="B118" s="112">
        <f>IF(OR(A118="x",A118="X"),"",IF(ISBLANK(A118),"X",""))</f>
        <v/>
      </c>
      <c r="C118" s="112">
        <f>IF(OR(Tabella3[[#This Row],[LUN]]="X",Tabella3[[#This Row],[MAR]]="X",Tabella3[[#This Row],[MER]]="X",Tabella3[[#This Row],[GIO]]="X",Tabella3[[#This Row],[VEN]]="X",),"X","")</f>
        <v/>
      </c>
      <c r="D118" s="113" t="inlineStr">
        <is>
          <t>AREA 3</t>
        </is>
      </c>
      <c r="E118" s="109" t="inlineStr">
        <is>
          <t>523257/C</t>
        </is>
      </c>
      <c r="F118" s="109" t="n">
        <v>2200</v>
      </c>
      <c r="G118" s="109" t="inlineStr">
        <is>
          <t xml:space="preserve"> 2200 - F203I CONTROLLO FUNZIONALE</t>
        </is>
      </c>
      <c r="H118" s="111" t="n"/>
      <c r="I118" s="111" t="n"/>
      <c r="J118" s="111" t="n"/>
      <c r="K118" s="111" t="n"/>
      <c r="L118" s="111" t="n"/>
      <c r="M118" s="109" t="inlineStr">
        <is>
          <t>DA CHIUDERE</t>
        </is>
      </c>
      <c r="N118" s="109" t="n"/>
      <c r="O118" s="109" t="n"/>
      <c r="P118" s="109" t="n"/>
      <c r="Q118" s="109" t="inlineStr">
        <is>
          <t>VALV.RADICE POSITIVA CHIUSA: APERTA E RIPRISTINATA FUNZIONALITA'.</t>
        </is>
      </c>
      <c r="R118" s="110" t="n">
        <v>45680</v>
      </c>
      <c r="S118" s="109" t="inlineStr">
        <is>
          <t>TARASCIO</t>
        </is>
      </c>
      <c r="T118" s="112">
        <f>IF(AND('Inserimento dati'!$B$3=$H$2, Tabella3[[#This Row],[LUN]]="X"), "X",IF(AND('Inserimento dati'!$B$3=$I$2, Tabella3[[#This Row],[MAR]]="X"), "X", IF(AND('Inserimento dati'!$B$3=$J$2, Tabella3[[#This Row],[MER]]="X"), "X",IF(AND('Inserimento dati'!$B$3=$K$2, Tabella3[[#This Row],[GIO]]="X"), "X", IF(AND('Inserimento dati'!$B$3=$L$2, Tabella3[[#This Row],[VEN]]="X"), "X","")))))</f>
        <v/>
      </c>
      <c r="U118" s="144">
        <f>IFERROR(MID(G118,_xlfn.AGGREGATE(15,6,(ROW(INDIRECT("1:"&amp;LEN(G118)-7)))/(ISNUMBER(--MID(G118,ROW(INDIRECT("1:"&amp;LEN(G118)-7)),8))),1),8),"")</f>
        <v/>
      </c>
      <c r="V118" t="inlineStr">
        <is>
          <t>2025-09-30 20:00:00</t>
        </is>
      </c>
    </row>
    <row r="119" ht="23.25" customFormat="1" customHeight="1" s="45">
      <c r="A119" s="112" t="n"/>
      <c r="B119" s="112">
        <f>IF(OR(A119="x",A119="X"),"",IF(ISBLANK(A119),"X",""))</f>
        <v/>
      </c>
      <c r="C119" s="112">
        <f>IF(OR(Tabella3[[#This Row],[LUN]]="X",Tabella3[[#This Row],[MAR]]="X",Tabella3[[#This Row],[MER]]="X",Tabella3[[#This Row],[GIO]]="X",Tabella3[[#This Row],[VEN]]="X",),"X","")</f>
        <v/>
      </c>
      <c r="D119" s="113" t="inlineStr">
        <is>
          <t>AREA 3</t>
        </is>
      </c>
      <c r="E119" s="109" t="inlineStr">
        <is>
          <t>522864/C</t>
        </is>
      </c>
      <c r="F119" s="109" t="n">
        <v>1400</v>
      </c>
      <c r="G119" s="109" t="inlineStr">
        <is>
          <t xml:space="preserve"> 1400 - PRC 003 della T105 CONTROLLO LOOP DI REGOLAZIONE</t>
        </is>
      </c>
      <c r="H119" s="111" t="n"/>
      <c r="I119" s="111" t="n"/>
      <c r="J119" s="111" t="n"/>
      <c r="K119" s="111" t="n"/>
      <c r="L119" s="111" t="n"/>
      <c r="M119" s="109" t="inlineStr">
        <is>
          <t>DA CHIUDERE</t>
        </is>
      </c>
      <c r="N119" s="109" t="n"/>
      <c r="O119" s="109" t="n"/>
      <c r="P119" s="109" t="n"/>
      <c r="Q119" s="109" t="inlineStr">
        <is>
          <t>PRESSACAVO PCV003 MALANDATO.</t>
        </is>
      </c>
      <c r="R119" s="110" t="n">
        <v>45678</v>
      </c>
      <c r="S119" s="109" t="inlineStr">
        <is>
          <t>SPINALI</t>
        </is>
      </c>
      <c r="T119" s="112">
        <f>IF(AND('Inserimento dati'!$B$3=$H$2, Tabella3[[#This Row],[LUN]]="X"), "X",IF(AND('Inserimento dati'!$B$3=$I$2, Tabella3[[#This Row],[MAR]]="X"), "X", IF(AND('Inserimento dati'!$B$3=$J$2, Tabella3[[#This Row],[MER]]="X"), "X",IF(AND('Inserimento dati'!$B$3=$K$2, Tabella3[[#This Row],[GIO]]="X"), "X", IF(AND('Inserimento dati'!$B$3=$L$2, Tabella3[[#This Row],[VEN]]="X"), "X","")))))</f>
        <v/>
      </c>
      <c r="U119" s="144">
        <f>IFERROR(MID(G119,_xlfn.AGGREGATE(15,6,(ROW(INDIRECT("1:"&amp;LEN(G119)-7)))/(ISNUMBER(--MID(G119,ROW(INDIRECT("1:"&amp;LEN(G119)-7)),8))),1),8),"")</f>
        <v/>
      </c>
      <c r="V119" t="inlineStr">
        <is>
          <t>2025-09-30 20:00:00</t>
        </is>
      </c>
    </row>
    <row r="120" ht="30" customFormat="1" customHeight="1" s="45">
      <c r="A120" s="112" t="n"/>
      <c r="B120" s="112">
        <f>IF(OR(A120="x",A120="X"),"",IF(ISBLANK(A120),"X",""))</f>
        <v/>
      </c>
      <c r="C120" s="112">
        <f>IF(OR(Tabella3[[#This Row],[LUN]]="X",Tabella3[[#This Row],[MAR]]="X",Tabella3[[#This Row],[MER]]="X",Tabella3[[#This Row],[GIO]]="X",Tabella3[[#This Row],[VEN]]="X",),"X","")</f>
        <v/>
      </c>
      <c r="D120" s="113" t="inlineStr">
        <is>
          <t>AREA 3</t>
        </is>
      </c>
      <c r="E120" s="109" t="inlineStr">
        <is>
          <t>522863/C</t>
        </is>
      </c>
      <c r="F120" s="109" t="n">
        <v>1400</v>
      </c>
      <c r="G120" s="109" t="inlineStr">
        <is>
          <t xml:space="preserve"> 1400 - PRC 001 della T103 CONTROLLO LOOP DI REGOLAZIONE</t>
        </is>
      </c>
      <c r="H120" s="111" t="n"/>
      <c r="I120" s="111" t="n"/>
      <c r="J120" s="111" t="n"/>
      <c r="K120" s="111" t="n"/>
      <c r="L120" s="111" t="n"/>
      <c r="M120" s="109" t="inlineStr">
        <is>
          <t>DA CHIUDERE</t>
        </is>
      </c>
      <c r="N120" s="109" t="n"/>
      <c r="O120" s="109" t="n"/>
      <c r="P120" s="109" t="n"/>
      <c r="Q120" s="109" t="inlineStr">
        <is>
          <t>PRIMARIO TAPPATO QUINDI STASATO E RIPRISTINATA LA FUNZIONALITA'</t>
        </is>
      </c>
      <c r="R120" s="110" t="n">
        <v>45678</v>
      </c>
      <c r="S120" s="109" t="inlineStr">
        <is>
          <t>SPINALI</t>
        </is>
      </c>
      <c r="T120" s="112">
        <f>IF(AND('Inserimento dati'!$B$3=$H$2, Tabella3[[#This Row],[LUN]]="X"), "X",IF(AND('Inserimento dati'!$B$3=$I$2, Tabella3[[#This Row],[MAR]]="X"), "X", IF(AND('Inserimento dati'!$B$3=$J$2, Tabella3[[#This Row],[MER]]="X"), "X",IF(AND('Inserimento dati'!$B$3=$K$2, Tabella3[[#This Row],[GIO]]="X"), "X", IF(AND('Inserimento dati'!$B$3=$L$2, Tabella3[[#This Row],[VEN]]="X"), "X","")))))</f>
        <v/>
      </c>
      <c r="U120" s="144">
        <f>IFERROR(MID(G120,_xlfn.AGGREGATE(15,6,(ROW(INDIRECT("1:"&amp;LEN(G120)-7)))/(ISNUMBER(--MID(G120,ROW(INDIRECT("1:"&amp;LEN(G120)-7)),8))),1),8),"")</f>
        <v/>
      </c>
      <c r="V120" t="inlineStr">
        <is>
          <t>2025-09-30 20:00:00</t>
        </is>
      </c>
    </row>
    <row r="121" ht="30" customFormat="1" customHeight="1" s="45">
      <c r="A121" s="112" t="n"/>
      <c r="B121" s="112">
        <f>IF(OR(A121="x",A121="X"),"",IF(ISBLANK(A121),"X",""))</f>
        <v/>
      </c>
      <c r="C121" s="112">
        <f>IF(OR(Tabella3[[#This Row],[LUN]]="X",Tabella3[[#This Row],[MAR]]="X",Tabella3[[#This Row],[MER]]="X",Tabella3[[#This Row],[GIO]]="X",Tabella3[[#This Row],[VEN]]="X",),"X","")</f>
        <v/>
      </c>
      <c r="D121" s="113" t="inlineStr">
        <is>
          <t>AREA 3</t>
        </is>
      </c>
      <c r="E121" s="109" t="inlineStr">
        <is>
          <t>522090/C</t>
        </is>
      </c>
      <c r="F121" s="109" t="inlineStr">
        <is>
          <t>1200/4</t>
        </is>
      </c>
      <c r="G121" s="109" t="inlineStr">
        <is>
          <t xml:space="preserve"> 1200/4 - controllo funzionale FRC 302/306</t>
        </is>
      </c>
      <c r="H121" s="111" t="n"/>
      <c r="I121" s="111" t="n"/>
      <c r="J121" s="111" t="n"/>
      <c r="K121" s="111" t="n"/>
      <c r="L121" s="111" t="n"/>
      <c r="M121" s="109" t="inlineStr">
        <is>
          <t>DA CHIUDERE</t>
        </is>
      </c>
      <c r="N121" s="109" t="n"/>
      <c r="O121" s="109" t="n"/>
      <c r="P121" s="109" t="n"/>
      <c r="Q121" s="109" t="inlineStr">
        <is>
          <t>ESEGUITA REGOLAZIONE FLUSSAGGI ED INSERITI A PROCESSO.</t>
        </is>
      </c>
      <c r="R121" s="110" t="n">
        <v>45311</v>
      </c>
      <c r="S121" s="110" t="inlineStr">
        <is>
          <t>PARTESANO/TARASCIO</t>
        </is>
      </c>
      <c r="T121" s="112">
        <f>IF(AND('Inserimento dati'!$B$3=$H$2, Tabella3[[#This Row],[LUN]]="X"), "X",IF(AND('Inserimento dati'!$B$3=$I$2, Tabella3[[#This Row],[MAR]]="X"), "X", IF(AND('Inserimento dati'!$B$3=$J$2, Tabella3[[#This Row],[MER]]="X"), "X",IF(AND('Inserimento dati'!$B$3=$K$2, Tabella3[[#This Row],[GIO]]="X"), "X", IF(AND('Inserimento dati'!$B$3=$L$2, Tabella3[[#This Row],[VEN]]="X"), "X","")))))</f>
        <v/>
      </c>
      <c r="U121" s="144">
        <f>IFERROR(MID(G121,_xlfn.AGGREGATE(15,6,(ROW(INDIRECT("1:"&amp;LEN(G121)-7)))/(ISNUMBER(--MID(G121,ROW(INDIRECT("1:"&amp;LEN(G121)-7)),8))),1),8),"")</f>
        <v/>
      </c>
      <c r="V121" t="inlineStr">
        <is>
          <t>2025-09-30 20:00:00</t>
        </is>
      </c>
    </row>
    <row r="122" ht="30" customFormat="1" customHeight="1" s="45">
      <c r="A122" s="112" t="n"/>
      <c r="B122" s="112">
        <f>IF(OR(A122="x",A122="X"),"",IF(ISBLANK(A122),"X",""))</f>
        <v/>
      </c>
      <c r="C122" s="112">
        <f>IF(OR(Tabella3[[#This Row],[LUN]]="X",Tabella3[[#This Row],[MAR]]="X",Tabella3[[#This Row],[MER]]="X",Tabella3[[#This Row],[GIO]]="X",Tabella3[[#This Row],[VEN]]="X",),"X","")</f>
        <v/>
      </c>
      <c r="D122" s="113" t="inlineStr">
        <is>
          <t>AREA 3</t>
        </is>
      </c>
      <c r="E122" s="109" t="inlineStr">
        <is>
          <t>522539/C</t>
        </is>
      </c>
      <c r="F122" s="109" t="inlineStr">
        <is>
          <t>1200/2</t>
        </is>
      </c>
      <c r="G122" s="109" t="inlineStr">
        <is>
          <t xml:space="preserve"> 1200/2 f102 assistenza accensione ed eventuale smontaggio/rimontaggio per revisione pilota</t>
        </is>
      </c>
      <c r="H122" s="111" t="n"/>
      <c r="I122" s="111" t="n"/>
      <c r="J122" s="111" t="n"/>
      <c r="K122" s="111" t="n"/>
      <c r="L122" s="111" t="n"/>
      <c r="M122" s="109" t="inlineStr">
        <is>
          <t>DA CHIUDERE</t>
        </is>
      </c>
      <c r="N122" s="109" t="n"/>
      <c r="O122" s="109" t="n"/>
      <c r="P122" s="109" t="n"/>
      <c r="Q122" s="109" t="n"/>
      <c r="R122" s="110" t="n"/>
      <c r="S122" s="110" t="n"/>
      <c r="T122" s="112">
        <f>IF(AND('Inserimento dati'!$B$3=$H$2, Tabella3[[#This Row],[LUN]]="X"), "X",IF(AND('Inserimento dati'!$B$3=$I$2, Tabella3[[#This Row],[MAR]]="X"), "X", IF(AND('Inserimento dati'!$B$3=$J$2, Tabella3[[#This Row],[MER]]="X"), "X",IF(AND('Inserimento dati'!$B$3=$K$2, Tabella3[[#This Row],[GIO]]="X"), "X", IF(AND('Inserimento dati'!$B$3=$L$2, Tabella3[[#This Row],[VEN]]="X"), "X","")))))</f>
        <v/>
      </c>
      <c r="U122" s="144">
        <f>IFERROR(MID(G122,_xlfn.AGGREGATE(15,6,(ROW(INDIRECT("1:"&amp;LEN(G122)-7)))/(ISNUMBER(--MID(G122,ROW(INDIRECT("1:"&amp;LEN(G122)-7)),8))),1),8),"")</f>
        <v/>
      </c>
      <c r="V122" t="inlineStr">
        <is>
          <t>2025-09-30 20:00:00</t>
        </is>
      </c>
    </row>
    <row r="123" ht="23.25" customFormat="1" customHeight="1" s="45">
      <c r="A123" s="112" t="n"/>
      <c r="B123" s="112">
        <f>IF(OR(A123="x",A123="X"),"",IF(ISBLANK(A123),"X",""))</f>
        <v/>
      </c>
      <c r="C123" s="112">
        <f>IF(OR(Tabella3[[#This Row],[LUN]]="X",Tabella3[[#This Row],[MAR]]="X",Tabella3[[#This Row],[MER]]="X",Tabella3[[#This Row],[GIO]]="X",Tabella3[[#This Row],[VEN]]="X",),"X","")</f>
        <v/>
      </c>
      <c r="D123" s="113" t="inlineStr">
        <is>
          <t>AREA 3</t>
        </is>
      </c>
      <c r="E123" s="109" t="inlineStr">
        <is>
          <t>519184/C</t>
        </is>
      </c>
      <c r="F123" s="109" t="inlineStr">
        <is>
          <t>1200/4</t>
        </is>
      </c>
      <c r="G123" s="109" t="inlineStr">
        <is>
          <t xml:space="preserve"> Z4F401R-(Vapore prodotto da linea 4), controllo funzionale</t>
        </is>
      </c>
      <c r="H123" s="111" t="n"/>
      <c r="I123" s="111" t="n"/>
      <c r="J123" s="111" t="n"/>
      <c r="K123" s="111" t="n"/>
      <c r="L123" s="111" t="n"/>
      <c r="M123" s="109" t="inlineStr">
        <is>
          <t>DA CHIUDERE</t>
        </is>
      </c>
      <c r="N123" s="109" t="n"/>
      <c r="O123" s="109" t="n"/>
      <c r="P123" s="109" t="n"/>
      <c r="Q123" s="109" t="inlineStr">
        <is>
          <t>NEGATIVA TAPPATA: STASATA</t>
        </is>
      </c>
      <c r="R123" s="110" t="n">
        <v>45308</v>
      </c>
      <c r="S123" s="110" t="inlineStr">
        <is>
          <t>TARASCIO</t>
        </is>
      </c>
      <c r="T123" s="116">
        <f>IF(AND('Inserimento dati'!$B$3=$H$2, Tabella3[[#This Row],[LUN]]="X"), "X",IF(AND('Inserimento dati'!$B$3=$I$2, Tabella3[[#This Row],[MAR]]="X"), "X", IF(AND('Inserimento dati'!$B$3=$J$2, Tabella3[[#This Row],[MER]]="X"), "X",IF(AND('Inserimento dati'!$B$3=$K$2, Tabella3[[#This Row],[GIO]]="X"), "X", IF(AND('Inserimento dati'!$B$3=$L$2, Tabella3[[#This Row],[VEN]]="X"), "X","")))))</f>
        <v/>
      </c>
      <c r="U123" s="144">
        <f>IFERROR(MID(G123,_xlfn.AGGREGATE(15,6,(ROW(INDIRECT("1:"&amp;LEN(G123)-7)))/(ISNUMBER(--MID(G123,ROW(INDIRECT("1:"&amp;LEN(G123)-7)),8))),1),8),"")</f>
        <v/>
      </c>
      <c r="V123" t="inlineStr">
        <is>
          <t>2025-09-30 20:00:00</t>
        </is>
      </c>
    </row>
    <row r="124" ht="23.25" customFormat="1" customHeight="1" s="45">
      <c r="A124" s="112" t="n"/>
      <c r="B124" s="112">
        <f>IF(OR(A124="x",A124="X"),"",IF(ISBLANK(A124),"X",""))</f>
        <v/>
      </c>
      <c r="C124" s="112">
        <f>IF(OR(Tabella3[[#This Row],[LUN]]="X",Tabella3[[#This Row],[MAR]]="X",Tabella3[[#This Row],[MER]]="X",Tabella3[[#This Row],[GIO]]="X",Tabella3[[#This Row],[VEN]]="X",),"X","")</f>
        <v/>
      </c>
      <c r="D124" s="113" t="inlineStr">
        <is>
          <t>AREA 3</t>
        </is>
      </c>
      <c r="E124" s="109" t="inlineStr">
        <is>
          <t>521118/C</t>
        </is>
      </c>
      <c r="F124" s="109" t="n">
        <v>1800</v>
      </c>
      <c r="G124" s="109" t="inlineStr">
        <is>
          <t xml:space="preserve"> 1800 - D111 - L042R CONTROLLO E RIPRISTINO LIVELLO</t>
        </is>
      </c>
      <c r="H124" s="111" t="n"/>
      <c r="I124" s="111" t="n"/>
      <c r="J124" s="111" t="n"/>
      <c r="K124" s="111" t="n"/>
      <c r="L124" s="111" t="n"/>
      <c r="M124" s="109" t="inlineStr">
        <is>
          <t>DA CHIUDERE</t>
        </is>
      </c>
      <c r="N124" s="109" t="n"/>
      <c r="O124" s="109" t="n"/>
      <c r="P124" s="109" t="n"/>
      <c r="Q124" s="109" t="inlineStr">
        <is>
          <t>VERIFICARE ANDAMENTO P&amp;I</t>
        </is>
      </c>
      <c r="R124" s="110" t="n">
        <v>45307</v>
      </c>
      <c r="S124" s="110" t="inlineStr">
        <is>
          <t>SPINALI /MILLO</t>
        </is>
      </c>
      <c r="T124" s="112">
        <f>IF(AND('Inserimento dati'!$B$3=$H$2, Tabella3[[#This Row],[LUN]]="X"), "X",IF(AND('Inserimento dati'!$B$3=$I$2, Tabella3[[#This Row],[MAR]]="X"), "X", IF(AND('Inserimento dati'!$B$3=$J$2, Tabella3[[#This Row],[MER]]="X"), "X",IF(AND('Inserimento dati'!$B$3=$K$2, Tabella3[[#This Row],[GIO]]="X"), "X", IF(AND('Inserimento dati'!$B$3=$L$2, Tabella3[[#This Row],[VEN]]="X"), "X","")))))</f>
        <v/>
      </c>
      <c r="U124" s="144">
        <f>IFERROR(MID(G124,_xlfn.AGGREGATE(15,6,(ROW(INDIRECT("1:"&amp;LEN(G124)-7)))/(ISNUMBER(--MID(G124,ROW(INDIRECT("1:"&amp;LEN(G124)-7)),8))),1),8),"")</f>
        <v/>
      </c>
      <c r="V124" t="inlineStr">
        <is>
          <t>2025-09-30 20:00:00</t>
        </is>
      </c>
    </row>
    <row r="125" ht="60" customFormat="1" customHeight="1" s="45">
      <c r="A125" s="112" t="n"/>
      <c r="B125" s="112">
        <f>IF(OR(A125="x",A125="X"),"",IF(ISBLANK(A125),"X",""))</f>
        <v/>
      </c>
      <c r="C125" s="112">
        <f>IF(OR(Tabella3[[#This Row],[LUN]]="X",Tabella3[[#This Row],[MAR]]="X",Tabella3[[#This Row],[MER]]="X",Tabella3[[#This Row],[GIO]]="X",Tabella3[[#This Row],[VEN]]="X",),"X","")</f>
        <v/>
      </c>
      <c r="D125" s="113" t="inlineStr">
        <is>
          <t>AREA 3</t>
        </is>
      </c>
      <c r="E125" s="109" t="inlineStr">
        <is>
          <t>519097/C</t>
        </is>
      </c>
      <c r="F125" s="109" t="n">
        <v>2200</v>
      </c>
      <c r="G125" s="109" t="inlineStr">
        <is>
          <t xml:space="preserve"> 2200-D301 CONTROLLO E RIPRITINO CON EVENTUALE SMONTAGGIO LIVELLI  L 301/302/303 /305</t>
        </is>
      </c>
      <c r="H125" s="111" t="n"/>
      <c r="I125" s="111" t="n"/>
      <c r="J125" s="111" t="n"/>
      <c r="K125" s="111" t="n"/>
      <c r="L125" s="111" t="n"/>
      <c r="M125" s="109" t="inlineStr">
        <is>
          <t>DA CHIUDERE</t>
        </is>
      </c>
      <c r="N125" s="109" t="n"/>
      <c r="O125" s="109" t="n"/>
      <c r="P125" s="109" t="n"/>
      <c r="Q125" s="109" t="inlineStr">
        <is>
          <t>SU L303T ( Lato idrocarburi ) E' STATO INSERITO DP: ANDAMENTO P&amp;I NELLA NORMA
SU L305T ( Lato H2O ) E' STATO INSERITO DP: ANDAMENTO P&amp;I NELLA NORMA</t>
        </is>
      </c>
      <c r="R125" s="110" t="n">
        <v>45659</v>
      </c>
      <c r="S125" s="110" t="inlineStr">
        <is>
          <t>MILLO/ALLEGRETTI</t>
        </is>
      </c>
      <c r="T125" s="116">
        <f>IF(AND('Inserimento dati'!$B$3=$H$2, Tabella3[[#This Row],[LUN]]="X"), "X",IF(AND('Inserimento dati'!$B$3=$I$2, Tabella3[[#This Row],[MAR]]="X"), "X", IF(AND('Inserimento dati'!$B$3=$J$2, Tabella3[[#This Row],[MER]]="X"), "X",IF(AND('Inserimento dati'!$B$3=$K$2, Tabella3[[#This Row],[GIO]]="X"), "X", IF(AND('Inserimento dati'!$B$3=$L$2, Tabella3[[#This Row],[VEN]]="X"), "X","")))))</f>
        <v/>
      </c>
      <c r="U125" s="144">
        <f>IFERROR(MID(G125,_xlfn.AGGREGATE(15,6,(ROW(INDIRECT("1:"&amp;LEN(G125)-7)))/(ISNUMBER(--MID(G125,ROW(INDIRECT("1:"&amp;LEN(G125)-7)),8))),1),8),"")</f>
        <v/>
      </c>
      <c r="V125" t="inlineStr">
        <is>
          <t>2025-09-30 20:00:00</t>
        </is>
      </c>
    </row>
    <row r="126" ht="23.25" customFormat="1" customHeight="1" s="45">
      <c r="A126" s="112" t="n"/>
      <c r="B126" s="112">
        <f>IF(OR(A126="x",A126="X"),"",IF(ISBLANK(A126),"X",""))</f>
        <v/>
      </c>
      <c r="C126" s="112">
        <f>IF(OR(Tabella3[[#This Row],[LUN]]="X",Tabella3[[#This Row],[MAR]]="X",Tabella3[[#This Row],[MER]]="X",Tabella3[[#This Row],[GIO]]="X",Tabella3[[#This Row],[VEN]]="X",),"X","")</f>
        <v/>
      </c>
      <c r="D126" s="113" t="inlineStr">
        <is>
          <t>AREA 3</t>
        </is>
      </c>
      <c r="E126" s="109" t="inlineStr">
        <is>
          <t>520837/C</t>
        </is>
      </c>
      <c r="F126" s="109" t="n">
        <v>800</v>
      </c>
      <c r="G126" s="109" t="inlineStr">
        <is>
          <t xml:space="preserve"> 800 - LR115 (LIVELLO T102)  VERIFICA FUNZIONAMENTO </t>
        </is>
      </c>
      <c r="H126" s="111" t="n"/>
      <c r="I126" s="111" t="n"/>
      <c r="J126" s="111" t="n"/>
      <c r="K126" s="111" t="n"/>
      <c r="L126" s="111" t="n"/>
      <c r="M126" s="109" t="inlineStr">
        <is>
          <t>DA CHIUDERE</t>
        </is>
      </c>
      <c r="N126" s="109" t="n"/>
      <c r="O126" s="109" t="n"/>
      <c r="P126" s="109" t="n"/>
      <c r="Q126" s="109" t="inlineStr">
        <is>
          <t>FATTO RIEMPIMENTO ED INSERITO A PROCESSO</t>
        </is>
      </c>
      <c r="R126" s="110" t="n">
        <v>45673</v>
      </c>
      <c r="S126" s="110" t="inlineStr">
        <is>
          <t>SPINALI D.</t>
        </is>
      </c>
      <c r="T126" s="112">
        <f>IF(AND('Inserimento dati'!$B$3=$H$2, Tabella3[[#This Row],[LUN]]="X"), "X",IF(AND('Inserimento dati'!$B$3=$I$2, Tabella3[[#This Row],[MAR]]="X"), "X", IF(AND('Inserimento dati'!$B$3=$J$2, Tabella3[[#This Row],[MER]]="X"), "X",IF(AND('Inserimento dati'!$B$3=$K$2, Tabella3[[#This Row],[GIO]]="X"), "X", IF(AND('Inserimento dati'!$B$3=$L$2, Tabella3[[#This Row],[VEN]]="X"), "X","")))))</f>
        <v/>
      </c>
      <c r="U126" s="144">
        <f>IFERROR(MID(G126,_xlfn.AGGREGATE(15,6,(ROW(INDIRECT("1:"&amp;LEN(G126)-7)))/(ISNUMBER(--MID(G126,ROW(INDIRECT("1:"&amp;LEN(G126)-7)),8))),1),8),"")</f>
        <v/>
      </c>
      <c r="V126" t="inlineStr">
        <is>
          <t>2025-09-30 20:00:00</t>
        </is>
      </c>
    </row>
    <row r="127" ht="30" customFormat="1" customHeight="1" s="45">
      <c r="A127" s="112" t="n"/>
      <c r="B127" s="112">
        <f>IF(OR(A127="x",A127="X"),"",IF(ISBLANK(A127),"X",""))</f>
        <v/>
      </c>
      <c r="C127" s="112">
        <f>IF(OR(Tabella3[[#This Row],[LUN]]="X",Tabella3[[#This Row],[MAR]]="X",Tabella3[[#This Row],[MER]]="X",Tabella3[[#This Row],[GIO]]="X",Tabella3[[#This Row],[VEN]]="X",),"X","")</f>
        <v/>
      </c>
      <c r="D127" s="113" t="inlineStr">
        <is>
          <t>AREA 3</t>
        </is>
      </c>
      <c r="E127" s="109" t="inlineStr">
        <is>
          <t>519187/C</t>
        </is>
      </c>
      <c r="F127" s="109" t="inlineStr">
        <is>
          <t>1200/M</t>
        </is>
      </c>
      <c r="G127" s="109" t="inlineStr">
        <is>
          <t xml:space="preserve"> Zmf728I(azoto off-site)controllo funzionale</t>
        </is>
      </c>
      <c r="H127" s="111" t="n"/>
      <c r="I127" s="111" t="n"/>
      <c r="J127" s="111" t="n"/>
      <c r="K127" s="111" t="n"/>
      <c r="L127" s="111" t="n"/>
      <c r="M127" s="109" t="inlineStr">
        <is>
          <t>DA CHIUDERE</t>
        </is>
      </c>
      <c r="N127" s="109" t="n"/>
      <c r="O127" s="109" t="n"/>
      <c r="P127" s="109" t="n"/>
      <c r="Q127" s="109" t="inlineStr">
        <is>
          <t>STRUMENTO IN PESSIME CONDIZIONI CON CAVO BRUCIATO E GRUPPO BYPASS DA RIFARE EXNOVO.  PONTEGGIO REALIZZATO</t>
        </is>
      </c>
      <c r="R127" s="110" t="n">
        <v>45644</v>
      </c>
      <c r="S127" s="110" t="inlineStr">
        <is>
          <t>SPINALI</t>
        </is>
      </c>
      <c r="T127" s="116">
        <f>IF(AND('Inserimento dati'!$B$3=$H$2, Tabella3[[#This Row],[LUN]]="X"), "X",IF(AND('Inserimento dati'!$B$3=$I$2, Tabella3[[#This Row],[MAR]]="X"), "X", IF(AND('Inserimento dati'!$B$3=$J$2, Tabella3[[#This Row],[MER]]="X"), "X",IF(AND('Inserimento dati'!$B$3=$K$2, Tabella3[[#This Row],[GIO]]="X"), "X", IF(AND('Inserimento dati'!$B$3=$L$2, Tabella3[[#This Row],[VEN]]="X"), "X","")))))</f>
        <v/>
      </c>
      <c r="U127" s="144">
        <f>IFERROR(MID(G127,_xlfn.AGGREGATE(15,6,(ROW(INDIRECT("1:"&amp;LEN(G127)-7)))/(ISNUMBER(--MID(G127,ROW(INDIRECT("1:"&amp;LEN(G127)-7)),8))),1),8),"")</f>
        <v/>
      </c>
      <c r="V127" t="inlineStr">
        <is>
          <t>2025-09-30 20:00:00</t>
        </is>
      </c>
    </row>
    <row r="128" ht="23.25" customFormat="1" customHeight="1" s="45">
      <c r="A128" s="112" t="n"/>
      <c r="B128" s="112">
        <f>IF(OR(A128="x",A128="X"),"",IF(ISBLANK(A128),"X",""))</f>
        <v/>
      </c>
      <c r="C128" s="112">
        <f>IF(OR(Tabella3[[#This Row],[LUN]]="X",Tabella3[[#This Row],[MAR]]="X",Tabella3[[#This Row],[MER]]="X",Tabella3[[#This Row],[GIO]]="X",Tabella3[[#This Row],[VEN]]="X",),"X","")</f>
        <v/>
      </c>
      <c r="D128" s="113" t="inlineStr">
        <is>
          <t>AREA 3</t>
        </is>
      </c>
      <c r="E128" s="109" t="inlineStr">
        <is>
          <t>522103/C</t>
        </is>
      </c>
      <c r="F128" s="109" t="n">
        <v>100</v>
      </c>
      <c r="G128" s="109" t="inlineStr">
        <is>
          <t xml:space="preserve"> 100 - L162CV  smontaggio /rimontaggio per revisione</t>
        </is>
      </c>
      <c r="H128" s="111" t="n"/>
      <c r="I128" s="111" t="n"/>
      <c r="J128" s="111" t="n"/>
      <c r="K128" s="111" t="n"/>
      <c r="L128" s="111" t="n"/>
      <c r="M128" s="109" t="inlineStr">
        <is>
          <t>DA CHIUDERE</t>
        </is>
      </c>
      <c r="N128" s="109" t="n"/>
      <c r="O128" s="109" t="n"/>
      <c r="P128" s="109" t="n"/>
      <c r="Q128" s="109" t="inlineStr">
        <is>
          <t>VALVOLA SBLOCCATA IN CAMPO.</t>
        </is>
      </c>
      <c r="R128" s="110" t="n">
        <v>45671</v>
      </c>
      <c r="S128" s="110" t="inlineStr">
        <is>
          <t>CIANCHINO</t>
        </is>
      </c>
      <c r="T128" s="112">
        <f>IF(AND('Inserimento dati'!$B$3=$H$2, Tabella3[[#This Row],[LUN]]="X"), "X",IF(AND('Inserimento dati'!$B$3=$I$2, Tabella3[[#This Row],[MAR]]="X"), "X", IF(AND('Inserimento dati'!$B$3=$J$2, Tabella3[[#This Row],[MER]]="X"), "X",IF(AND('Inserimento dati'!$B$3=$K$2, Tabella3[[#This Row],[GIO]]="X"), "X", IF(AND('Inserimento dati'!$B$3=$L$2, Tabella3[[#This Row],[VEN]]="X"), "X","")))))</f>
        <v/>
      </c>
      <c r="U128" s="144">
        <f>IFERROR(MID(G128,_xlfn.AGGREGATE(15,6,(ROW(INDIRECT("1:"&amp;LEN(G128)-7)))/(ISNUMBER(--MID(G128,ROW(INDIRECT("1:"&amp;LEN(G128)-7)),8))),1),8),"")</f>
        <v/>
      </c>
      <c r="V128" t="inlineStr">
        <is>
          <t>2025-09-30 20:00:00</t>
        </is>
      </c>
    </row>
    <row r="129" ht="23.25" customFormat="1" customHeight="1" s="45">
      <c r="A129" s="112" t="n"/>
      <c r="B129" s="112">
        <f>IF(OR(A129="x",A129="X"),"",IF(ISBLANK(A129),"X",""))</f>
        <v/>
      </c>
      <c r="C129" s="112">
        <f>IF(OR(Tabella3[[#This Row],[LUN]]="X",Tabella3[[#This Row],[MAR]]="X",Tabella3[[#This Row],[MER]]="X",Tabella3[[#This Row],[GIO]]="X",Tabella3[[#This Row],[VEN]]="X",),"X","")</f>
        <v/>
      </c>
      <c r="D129" s="113" t="inlineStr">
        <is>
          <t>AREA 3</t>
        </is>
      </c>
      <c r="E129" s="109" t="inlineStr">
        <is>
          <t>521609/C</t>
        </is>
      </c>
      <c r="F129" s="109" t="inlineStr">
        <is>
          <t>1200/1</t>
        </is>
      </c>
      <c r="G129" s="109" t="inlineStr">
        <is>
          <t xml:space="preserve"> 10214536    1200: Linea 1 F101 inserimento termocoppia sacrificio</t>
        </is>
      </c>
      <c r="H129" s="111" t="n"/>
      <c r="I129" s="111" t="n"/>
      <c r="J129" s="111" t="n"/>
      <c r="K129" s="111" t="n"/>
      <c r="L129" s="111" t="n"/>
      <c r="M129" s="109" t="inlineStr">
        <is>
          <t>DA CHIUDERE</t>
        </is>
      </c>
      <c r="N129" s="109" t="n"/>
      <c r="O129" s="109" t="n"/>
      <c r="P129" s="109" t="n"/>
      <c r="Q129" s="109" t="n"/>
      <c r="R129" s="110" t="n">
        <v>45667</v>
      </c>
      <c r="S129" s="110" t="inlineStr">
        <is>
          <t>SPINALI</t>
        </is>
      </c>
      <c r="T129" s="112">
        <f>IF(AND('Inserimento dati'!$B$3=$H$2, Tabella3[[#This Row],[LUN]]="X"), "X",IF(AND('Inserimento dati'!$B$3=$I$2, Tabella3[[#This Row],[MAR]]="X"), "X", IF(AND('Inserimento dati'!$B$3=$J$2, Tabella3[[#This Row],[MER]]="X"), "X",IF(AND('Inserimento dati'!$B$3=$K$2, Tabella3[[#This Row],[GIO]]="X"), "X", IF(AND('Inserimento dati'!$B$3=$L$2, Tabella3[[#This Row],[VEN]]="X"), "X","")))))</f>
        <v/>
      </c>
      <c r="U129" s="144">
        <f>IFERROR(MID(G129,_xlfn.AGGREGATE(15,6,(ROW(INDIRECT("1:"&amp;LEN(G129)-7)))/(ISNUMBER(--MID(G129,ROW(INDIRECT("1:"&amp;LEN(G129)-7)),8))),1),8),"")</f>
        <v/>
      </c>
      <c r="V129" t="inlineStr">
        <is>
          <t>2025-09-30 20:00:00</t>
        </is>
      </c>
    </row>
    <row r="130" ht="105" customFormat="1" customHeight="1" s="45">
      <c r="A130" s="112" t="n"/>
      <c r="B130" s="112">
        <f>IF(OR(A130="x",A130="X"),"",IF(ISBLANK(A130),"X",""))</f>
        <v/>
      </c>
      <c r="C130" s="112">
        <f>IF(OR(Tabella3[[#This Row],[LUN]]="X",Tabella3[[#This Row],[MAR]]="X",Tabella3[[#This Row],[MER]]="X",Tabella3[[#This Row],[GIO]]="X",Tabella3[[#This Row],[VEN]]="X",),"X","")</f>
        <v/>
      </c>
      <c r="D130" s="113" t="inlineStr">
        <is>
          <t>AREA 3</t>
        </is>
      </c>
      <c r="E130" s="109" t="inlineStr">
        <is>
          <t>519496/C</t>
        </is>
      </c>
      <c r="F130" s="109" t="inlineStr">
        <is>
          <t>700A</t>
        </is>
      </c>
      <c r="G130" s="109" t="inlineStr">
        <is>
          <t xml:space="preserve"> Vapore ai crossover: -Controllo funzionale 07F207RC- 07F208RC- 07F209RC- 07F210RC</t>
        </is>
      </c>
      <c r="H130" s="111" t="n"/>
      <c r="I130" s="111" t="n"/>
      <c r="J130" s="111" t="n"/>
      <c r="K130" s="111" t="n"/>
      <c r="L130" s="111" t="n"/>
      <c r="M130" s="109" t="inlineStr">
        <is>
          <t>DA CHIUDERE</t>
        </is>
      </c>
      <c r="N130" s="109" t="n"/>
      <c r="O130" s="109" t="n"/>
      <c r="P130" s="109" t="n"/>
      <c r="Q130" s="109" t="inlineStr">
        <is>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is>
      </c>
      <c r="R130" s="110" t="n">
        <v>45638</v>
      </c>
      <c r="S130" s="110" t="inlineStr">
        <is>
          <t>SPINALI</t>
        </is>
      </c>
      <c r="T130" s="116">
        <f>IF(AND('Inserimento dati'!$B$3=$H$2, Tabella3[[#This Row],[LUN]]="X"), "X",IF(AND('Inserimento dati'!$B$3=$I$2, Tabella3[[#This Row],[MAR]]="X"), "X", IF(AND('Inserimento dati'!$B$3=$J$2, Tabella3[[#This Row],[MER]]="X"), "X",IF(AND('Inserimento dati'!$B$3=$K$2, Tabella3[[#This Row],[GIO]]="X"), "X", IF(AND('Inserimento dati'!$B$3=$L$2, Tabella3[[#This Row],[VEN]]="X"), "X","")))))</f>
        <v/>
      </c>
      <c r="U130" s="144">
        <f>IFERROR(MID(G130,_xlfn.AGGREGATE(15,6,(ROW(INDIRECT("1:"&amp;LEN(G130)-7)))/(ISNUMBER(--MID(G130,ROW(INDIRECT("1:"&amp;LEN(G130)-7)),8))),1),8),"")</f>
        <v/>
      </c>
      <c r="V130" t="inlineStr">
        <is>
          <t>2025-09-30 20:00:00</t>
        </is>
      </c>
    </row>
    <row r="131" ht="23.25" customFormat="1" customHeight="1" s="45">
      <c r="A131" s="112" t="n"/>
      <c r="B131" s="112">
        <f>IF(OR(A131="x",A131="X"),"",IF(ISBLANK(A131),"X",""))</f>
        <v/>
      </c>
      <c r="C131" s="112">
        <f>IF(OR(Tabella3[[#This Row],[LUN]]="X",Tabella3[[#This Row],[MAR]]="X",Tabella3[[#This Row],[MER]]="X",Tabella3[[#This Row],[GIO]]="X",Tabella3[[#This Row],[VEN]]="X",),"X","")</f>
        <v/>
      </c>
      <c r="D131" s="113" t="inlineStr">
        <is>
          <t>AREA 3</t>
        </is>
      </c>
      <c r="E131" s="109" t="inlineStr">
        <is>
          <t>520694/C</t>
        </is>
      </c>
      <c r="F131" s="109" t="n">
        <v>1800</v>
      </c>
      <c r="G131" s="109" t="inlineStr">
        <is>
          <t xml:space="preserve"> 1800 E110B verifica funzionale vibrostato</t>
        </is>
      </c>
      <c r="H131" s="111" t="n"/>
      <c r="I131" s="111" t="n"/>
      <c r="J131" s="111" t="n"/>
      <c r="K131" s="111" t="n"/>
      <c r="L131" s="111" t="n"/>
      <c r="M131" s="109" t="inlineStr">
        <is>
          <t>DA CHIUDERE</t>
        </is>
      </c>
      <c r="N131" s="109" t="n"/>
      <c r="O131" s="109" t="n"/>
      <c r="P131" s="109" t="n"/>
      <c r="Q131" s="109" t="n"/>
      <c r="R131" s="110" t="n">
        <v>45656</v>
      </c>
      <c r="S131" s="110" t="inlineStr">
        <is>
          <t>MILLO F.</t>
        </is>
      </c>
      <c r="T131" s="116">
        <f>IF(AND('Inserimento dati'!$B$3=$H$2, Tabella3[[#This Row],[LUN]]="X"), "X",IF(AND('Inserimento dati'!$B$3=$I$2, Tabella3[[#This Row],[MAR]]="X"), "X", IF(AND('Inserimento dati'!$B$3=$J$2, Tabella3[[#This Row],[MER]]="X"), "X",IF(AND('Inserimento dati'!$B$3=$K$2, Tabella3[[#This Row],[GIO]]="X"), "X", IF(AND('Inserimento dati'!$B$3=$L$2, Tabella3[[#This Row],[VEN]]="X"), "X","")))))</f>
        <v/>
      </c>
      <c r="U131" s="144">
        <f>IFERROR(MID(G131,_xlfn.AGGREGATE(15,6,(ROW(INDIRECT("1:"&amp;LEN(G131)-7)))/(ISNUMBER(--MID(G131,ROW(INDIRECT("1:"&amp;LEN(G131)-7)),8))),1),8),"")</f>
        <v/>
      </c>
      <c r="V131" t="inlineStr">
        <is>
          <t>2025-09-30 20:00:00</t>
        </is>
      </c>
    </row>
    <row r="132" ht="60" customFormat="1" customHeight="1" s="45">
      <c r="A132" s="112" t="n"/>
      <c r="B132" s="112">
        <f>IF(OR(A132="x",A132="X"),"",IF(ISBLANK(A132),"X",""))</f>
        <v/>
      </c>
      <c r="C132" s="112">
        <f>IF(OR(Tabella3[[#This Row],[LUN]]="X",Tabella3[[#This Row],[MAR]]="X",Tabella3[[#This Row],[MER]]="X",Tabella3[[#This Row],[GIO]]="X",Tabella3[[#This Row],[VEN]]="X",),"X","")</f>
        <v/>
      </c>
      <c r="D132" s="113" t="inlineStr">
        <is>
          <t>AREA 3</t>
        </is>
      </c>
      <c r="E132" s="109" t="inlineStr">
        <is>
          <t>519489/C</t>
        </is>
      </c>
      <c r="F132" s="109" t="inlineStr">
        <is>
          <t>700A</t>
        </is>
      </c>
      <c r="G132" s="109" t="inlineStr">
        <is>
          <t xml:space="preserve"> 700A Controllo  Passi di carica: - 07F202RC- 07F203RC- 07F204RC- 07F205RC</t>
        </is>
      </c>
      <c r="H132" s="111" t="n"/>
      <c r="I132" s="111" t="n"/>
      <c r="J132" s="111" t="n"/>
      <c r="K132" s="111" t="n"/>
      <c r="L132" s="111" t="n"/>
      <c r="M132" s="109" t="inlineStr">
        <is>
          <t>DA CHIUDERE</t>
        </is>
      </c>
      <c r="N132" s="109" t="n"/>
      <c r="O132" s="109" t="n"/>
      <c r="P132" s="109" t="n"/>
      <c r="Q132" s="109" t="inlineStr">
        <is>
          <t>IN DATA 08/01/2025 CI E' STATO RIFERITO CHE PER LE ALTE TEMPERATURE E PRESSIONI, QUESTO LAVORO VERRA' SPOSTATO IN FERMATA. ( A CONOSCENZA SIG. TRINGALI ENZO C.T. E TCL CALDARELLA)</t>
        </is>
      </c>
      <c r="R132" s="110" t="n">
        <v>45665</v>
      </c>
      <c r="S132" s="110" t="inlineStr">
        <is>
          <t>TARASCIO/PARTESANO/SPINALI/MILLO</t>
        </is>
      </c>
      <c r="T132" s="116">
        <f>IF(AND('Inserimento dati'!$B$3=$H$2, Tabella3[[#This Row],[LUN]]="X"), "X",IF(AND('Inserimento dati'!$B$3=$I$2, Tabella3[[#This Row],[MAR]]="X"), "X", IF(AND('Inserimento dati'!$B$3=$J$2, Tabella3[[#This Row],[MER]]="X"), "X",IF(AND('Inserimento dati'!$B$3=$K$2, Tabella3[[#This Row],[GIO]]="X"), "X", IF(AND('Inserimento dati'!$B$3=$L$2, Tabella3[[#This Row],[VEN]]="X"), "X","")))))</f>
        <v/>
      </c>
      <c r="U132" s="144">
        <f>IFERROR(MID(G132,_xlfn.AGGREGATE(15,6,(ROW(INDIRECT("1:"&amp;LEN(G132)-7)))/(ISNUMBER(--MID(G132,ROW(INDIRECT("1:"&amp;LEN(G132)-7)),8))),1),8),"")</f>
        <v/>
      </c>
      <c r="V132" t="inlineStr">
        <is>
          <t>2025-09-30 20:00:00</t>
        </is>
      </c>
    </row>
    <row r="133" ht="30" customFormat="1" customHeight="1" s="45">
      <c r="A133" s="112" t="n"/>
      <c r="B133" s="112">
        <f>IF(OR(A133="x",A133="X"),"",IF(ISBLANK(A133),"X",""))</f>
        <v/>
      </c>
      <c r="C133" s="112">
        <f>IF(OR(Tabella3[[#This Row],[LUN]]="X",Tabella3[[#This Row],[MAR]]="X",Tabella3[[#This Row],[MER]]="X",Tabella3[[#This Row],[GIO]]="X",Tabella3[[#This Row],[VEN]]="X",),"X","")</f>
        <v/>
      </c>
      <c r="D133" s="113" t="inlineStr">
        <is>
          <t>AREA 3</t>
        </is>
      </c>
      <c r="E133" s="109" t="inlineStr">
        <is>
          <t>521427/C</t>
        </is>
      </c>
      <c r="F133" s="109" t="n">
        <v>700</v>
      </c>
      <c r="G133" s="109" t="inlineStr">
        <is>
          <t xml:space="preserve">  700 - MONSANTO: Smontaggio/rimontaggio MTZ TCV031 e prove funzionali dopo il rimontaggio</t>
        </is>
      </c>
      <c r="H133" s="111" t="n"/>
      <c r="I133" s="111" t="n"/>
      <c r="J133" s="111" t="n"/>
      <c r="K133" s="111" t="n"/>
      <c r="L133" s="111" t="n"/>
      <c r="M133" s="109" t="inlineStr">
        <is>
          <t>DA CHIUDERE</t>
        </is>
      </c>
      <c r="N133" s="109" t="n"/>
      <c r="O133" s="109" t="n"/>
      <c r="P133" s="109" t="n"/>
      <c r="Q133" s="109" t="inlineStr">
        <is>
          <t xml:space="preserve">PASSATA AD OFF.VALVOLE REVISIONE IN OFFICINA </t>
        </is>
      </c>
      <c r="R133" s="110" t="n"/>
      <c r="S133" s="110" t="n"/>
      <c r="T133" s="112">
        <f>IF(AND('Inserimento dati'!$B$3=$H$2, Tabella3[[#This Row],[LUN]]="X"), "X",IF(AND('Inserimento dati'!$B$3=$I$2, Tabella3[[#This Row],[MAR]]="X"), "X", IF(AND('Inserimento dati'!$B$3=$J$2, Tabella3[[#This Row],[MER]]="X"), "X",IF(AND('Inserimento dati'!$B$3=$K$2, Tabella3[[#This Row],[GIO]]="X"), "X", IF(AND('Inserimento dati'!$B$3=$L$2, Tabella3[[#This Row],[VEN]]="X"), "X","")))))</f>
        <v/>
      </c>
      <c r="U133" s="144">
        <f>IFERROR(MID(G133,_xlfn.AGGREGATE(15,6,(ROW(INDIRECT("1:"&amp;LEN(G133)-7)))/(ISNUMBER(--MID(G133,ROW(INDIRECT("1:"&amp;LEN(G133)-7)),8))),1),8),"")</f>
        <v/>
      </c>
      <c r="V133" t="inlineStr">
        <is>
          <t>2025-09-30 20:00:00</t>
        </is>
      </c>
    </row>
    <row r="134" ht="30" customFormat="1" customHeight="1" s="45">
      <c r="A134" s="112" t="n"/>
      <c r="B134" s="112">
        <f>IF(OR(A134="x",A134="X"),"",IF(ISBLANK(A134),"X",""))</f>
        <v/>
      </c>
      <c r="C134" s="112">
        <f>IF(OR(Tabella3[[#This Row],[LUN]]="X",Tabella3[[#This Row],[MAR]]="X",Tabella3[[#This Row],[MER]]="X",Tabella3[[#This Row],[GIO]]="X",Tabella3[[#This Row],[VEN]]="X",),"X","")</f>
        <v/>
      </c>
      <c r="D134" s="113" t="inlineStr">
        <is>
          <t>AREA 3</t>
        </is>
      </c>
      <c r="E134" s="109" t="inlineStr">
        <is>
          <t>520290/C</t>
        </is>
      </c>
      <c r="F134" s="109" t="n">
        <v>1100</v>
      </c>
      <c r="G134" s="109" t="inlineStr">
        <is>
          <t xml:space="preserve"> 1100-P150B: RIPRISTINO STRUMENTAZIONE MACCHINA   11V667I -11T653I-11T655I-11L617LA</t>
        </is>
      </c>
      <c r="H134" s="111" t="n"/>
      <c r="I134" s="111" t="n"/>
      <c r="J134" s="111" t="n"/>
      <c r="K134" s="111" t="n"/>
      <c r="L134" s="111" t="n"/>
      <c r="M134" s="109" t="inlineStr">
        <is>
          <t>DA CHIUDERE</t>
        </is>
      </c>
      <c r="N134" s="109" t="n"/>
      <c r="O134" s="109" t="n"/>
      <c r="P134" s="109" t="n"/>
      <c r="Q134" s="109" t="inlineStr">
        <is>
          <t>TUTTA LA STRUMENTAZIONE IN ELENCO E' STATA RIPRISTINATA.</t>
        </is>
      </c>
      <c r="R134" s="110" t="n">
        <v>45664</v>
      </c>
      <c r="S134" s="110" t="inlineStr">
        <is>
          <t>RICIPUTO/TARASCIO</t>
        </is>
      </c>
      <c r="T134" s="116">
        <f>IF(AND('Inserimento dati'!$B$3=$H$2, Tabella3[[#This Row],[LUN]]="X"), "X",IF(AND('Inserimento dati'!$B$3=$I$2, Tabella3[[#This Row],[MAR]]="X"), "X", IF(AND('Inserimento dati'!$B$3=$J$2, Tabella3[[#This Row],[MER]]="X"), "X",IF(AND('Inserimento dati'!$B$3=$K$2, Tabella3[[#This Row],[GIO]]="X"), "X", IF(AND('Inserimento dati'!$B$3=$L$2, Tabella3[[#This Row],[VEN]]="X"), "X","")))))</f>
        <v/>
      </c>
      <c r="U134" s="144">
        <f>IFERROR(MID(G134,_xlfn.AGGREGATE(15,6,(ROW(INDIRECT("1:"&amp;LEN(G134)-7)))/(ISNUMBER(--MID(G134,ROW(INDIRECT("1:"&amp;LEN(G134)-7)),8))),1),8),"")</f>
        <v/>
      </c>
      <c r="V134" t="inlineStr">
        <is>
          <t>2025-09-30 20:00:00</t>
        </is>
      </c>
    </row>
    <row r="135" ht="23.25" customFormat="1" customHeight="1" s="45">
      <c r="A135" s="112" t="n"/>
      <c r="B135" s="112">
        <f>IF(OR(A135="x",A135="X"),"",IF(ISBLANK(A135),"X",""))</f>
        <v/>
      </c>
      <c r="C135" s="112">
        <f>IF(OR(Tabella3[[#This Row],[LUN]]="X",Tabella3[[#This Row],[MAR]]="X",Tabella3[[#This Row],[MER]]="X",Tabella3[[#This Row],[GIO]]="X",Tabella3[[#This Row],[VEN]]="X",),"X","")</f>
        <v/>
      </c>
      <c r="D135" s="113" t="inlineStr">
        <is>
          <t>AREA 3</t>
        </is>
      </c>
      <c r="E135" s="109" t="inlineStr">
        <is>
          <t>521244/C</t>
        </is>
      </c>
      <c r="F135" s="109" t="inlineStr">
        <is>
          <t>1200/3</t>
        </is>
      </c>
      <c r="G135" s="109" t="inlineStr">
        <is>
          <t xml:space="preserve"> 1200/3 - TCV405</t>
        </is>
      </c>
      <c r="H135" s="111" t="n"/>
      <c r="I135" s="111" t="n"/>
      <c r="J135" s="111" t="n"/>
      <c r="K135" s="111" t="n"/>
      <c r="L135" s="111" t="n"/>
      <c r="M135" s="109" t="inlineStr">
        <is>
          <t>DA CHIUDERE</t>
        </is>
      </c>
      <c r="N135" s="109" t="n"/>
      <c r="O135" s="109" t="n"/>
      <c r="P135" s="109" t="n"/>
      <c r="Q135" s="109" t="n"/>
      <c r="R135" s="110" t="n">
        <v>45659</v>
      </c>
      <c r="S135" s="110" t="inlineStr">
        <is>
          <t>SPINALI</t>
        </is>
      </c>
      <c r="T135" s="112">
        <f>IF(AND('Inserimento dati'!$B$3=$H$2, Tabella3[[#This Row],[LUN]]="X"), "X",IF(AND('Inserimento dati'!$B$3=$I$2, Tabella3[[#This Row],[MAR]]="X"), "X", IF(AND('Inserimento dati'!$B$3=$J$2, Tabella3[[#This Row],[MER]]="X"), "X",IF(AND('Inserimento dati'!$B$3=$K$2, Tabella3[[#This Row],[GIO]]="X"), "X", IF(AND('Inserimento dati'!$B$3=$L$2, Tabella3[[#This Row],[VEN]]="X"), "X","")))))</f>
        <v/>
      </c>
      <c r="U135" s="144">
        <f>IFERROR(MID(G135,_xlfn.AGGREGATE(15,6,(ROW(INDIRECT("1:"&amp;LEN(G135)-7)))/(ISNUMBER(--MID(G135,ROW(INDIRECT("1:"&amp;LEN(G135)-7)),8))),1),8),"")</f>
        <v/>
      </c>
      <c r="V135" t="inlineStr">
        <is>
          <t>2025-09-30 20:00:00</t>
        </is>
      </c>
    </row>
    <row r="136" ht="45" customFormat="1" customHeight="1" s="45">
      <c r="A136" s="112" t="n"/>
      <c r="B136" s="112">
        <f>IF(OR(A136="x",A136="X"),"",IF(ISBLANK(A136),"X",""))</f>
        <v/>
      </c>
      <c r="C136" s="112">
        <f>IF(OR(Tabella3[[#This Row],[LUN]]="X",Tabella3[[#This Row],[MAR]]="X",Tabella3[[#This Row],[MER]]="X",Tabella3[[#This Row],[GIO]]="X",Tabella3[[#This Row],[VEN]]="X",),"X","")</f>
        <v/>
      </c>
      <c r="D136" s="113" t="inlineStr">
        <is>
          <t>AREA 3</t>
        </is>
      </c>
      <c r="E136" s="109" t="inlineStr">
        <is>
          <t>520287/C</t>
        </is>
      </c>
      <c r="F136" s="109" t="n">
        <v>1400</v>
      </c>
      <c r="G136" s="109" t="inlineStr">
        <is>
          <t xml:space="preserve"> 1400: VERIFICA E TARATURA- 14F202BRC </t>
        </is>
      </c>
      <c r="H136" s="111" t="n"/>
      <c r="I136" s="111" t="n"/>
      <c r="J136" s="111" t="n"/>
      <c r="K136" s="111" t="n"/>
      <c r="L136" s="111" t="n"/>
      <c r="M136" s="109" t="inlineStr">
        <is>
          <t>DA CHIUDERE</t>
        </is>
      </c>
      <c r="N136" s="109" t="n"/>
      <c r="O136" s="109" t="n"/>
      <c r="P136" s="109" t="n"/>
      <c r="Q136" s="109" t="inlineStr">
        <is>
          <t>CONTROLLO TARATURA, PROVATE PRESE (OK). SI NOTA CHE GENERANDO UN SEGNALE 3.99 mA il valore letto è -80, generando invece 4 mA il valore letto è 80 kg/h, su un F.S. di 13.000</t>
        </is>
      </c>
      <c r="R136" s="110" t="n">
        <v>45659</v>
      </c>
      <c r="S136" s="110" t="inlineStr">
        <is>
          <t>TARASCIO/PARTESANO</t>
        </is>
      </c>
      <c r="T136" s="116">
        <f>IF(AND('Inserimento dati'!$B$3=$H$2, Tabella3[[#This Row],[LUN]]="X"), "X",IF(AND('Inserimento dati'!$B$3=$I$2, Tabella3[[#This Row],[MAR]]="X"), "X", IF(AND('Inserimento dati'!$B$3=$J$2, Tabella3[[#This Row],[MER]]="X"), "X",IF(AND('Inserimento dati'!$B$3=$K$2, Tabella3[[#This Row],[GIO]]="X"), "X", IF(AND('Inserimento dati'!$B$3=$L$2, Tabella3[[#This Row],[VEN]]="X"), "X","")))))</f>
        <v/>
      </c>
      <c r="U136" s="144">
        <f>IFERROR(MID(G136,_xlfn.AGGREGATE(15,6,(ROW(INDIRECT("1:"&amp;LEN(G136)-7)))/(ISNUMBER(--MID(G136,ROW(INDIRECT("1:"&amp;LEN(G136)-7)),8))),1),8),"")</f>
        <v/>
      </c>
      <c r="V136" t="inlineStr">
        <is>
          <t>2025-09-30 20:00:00</t>
        </is>
      </c>
    </row>
    <row r="137" ht="30" customFormat="1" customHeight="1" s="45">
      <c r="A137" s="112" t="n"/>
      <c r="B137" s="112">
        <f>IF(OR(A137="x",A137="X"),"",IF(ISBLANK(A137),"X",""))</f>
        <v/>
      </c>
      <c r="C137" s="112">
        <f>IF(OR(Tabella3[[#This Row],[LUN]]="X",Tabella3[[#This Row],[MAR]]="X",Tabella3[[#This Row],[MER]]="X",Tabella3[[#This Row],[GIO]]="X",Tabella3[[#This Row],[VEN]]="X",),"X","")</f>
        <v/>
      </c>
      <c r="D137" s="113" t="inlineStr">
        <is>
          <t>AREA 3</t>
        </is>
      </c>
      <c r="E137" s="109" t="inlineStr">
        <is>
          <t>520286/C</t>
        </is>
      </c>
      <c r="F137" s="109" t="n">
        <v>1400</v>
      </c>
      <c r="G137" s="109" t="inlineStr">
        <is>
          <t xml:space="preserve"> 1400: VERIFICA E TARATURA- 14P202I </t>
        </is>
      </c>
      <c r="H137" s="111" t="n"/>
      <c r="I137" s="111" t="n"/>
      <c r="J137" s="111" t="n"/>
      <c r="K137" s="111" t="n"/>
      <c r="L137" s="111" t="n"/>
      <c r="M137" s="109" t="inlineStr">
        <is>
          <t>DA CHIUDERE</t>
        </is>
      </c>
      <c r="N137" s="109" t="n"/>
      <c r="O137" s="109" t="n"/>
      <c r="P137" s="109" t="n"/>
      <c r="Q137" s="109" t="inlineStr">
        <is>
          <t>CONTROLLO DI TARATURA, SI NOTA CHE IL F.S. AL DCS ERA INCONGRUENTE CON IL TX. SISTEMATA LA TARATURA</t>
        </is>
      </c>
      <c r="R137" s="110" t="n">
        <v>45659</v>
      </c>
      <c r="S137" s="110" t="inlineStr">
        <is>
          <t>SPINALI/AMARA</t>
        </is>
      </c>
      <c r="T137" s="116">
        <f>IF(AND('Inserimento dati'!$B$3=$H$2, Tabella3[[#This Row],[LUN]]="X"), "X",IF(AND('Inserimento dati'!$B$3=$I$2, Tabella3[[#This Row],[MAR]]="X"), "X", IF(AND('Inserimento dati'!$B$3=$J$2, Tabella3[[#This Row],[MER]]="X"), "X",IF(AND('Inserimento dati'!$B$3=$K$2, Tabella3[[#This Row],[GIO]]="X"), "X", IF(AND('Inserimento dati'!$B$3=$L$2, Tabella3[[#This Row],[VEN]]="X"), "X","")))))</f>
        <v/>
      </c>
      <c r="U137" s="144">
        <f>IFERROR(MID(G137,_xlfn.AGGREGATE(15,6,(ROW(INDIRECT("1:"&amp;LEN(G137)-7)))/(ISNUMBER(--MID(G137,ROW(INDIRECT("1:"&amp;LEN(G137)-7)),8))),1),8),"")</f>
        <v/>
      </c>
      <c r="V137" t="inlineStr">
        <is>
          <t>2025-09-30 20:00:00</t>
        </is>
      </c>
    </row>
    <row r="138" ht="30" customFormat="1" customHeight="1" s="45">
      <c r="A138" s="112" t="n"/>
      <c r="B138" s="112">
        <f>IF(OR(A138="x",A138="X"),"",IF(ISBLANK(A138),"X",""))</f>
        <v/>
      </c>
      <c r="C138" s="112">
        <f>IF(OR(Tabella3[[#This Row],[LUN]]="X",Tabella3[[#This Row],[MAR]]="X",Tabella3[[#This Row],[MER]]="X",Tabella3[[#This Row],[GIO]]="X",Tabella3[[#This Row],[VEN]]="X",),"X","")</f>
        <v/>
      </c>
      <c r="D138" s="113" t="inlineStr">
        <is>
          <t>AREA 3</t>
        </is>
      </c>
      <c r="E138" s="109" t="inlineStr">
        <is>
          <t>520285/C</t>
        </is>
      </c>
      <c r="F138" s="109" t="n">
        <v>1400</v>
      </c>
      <c r="G138" s="109" t="inlineStr">
        <is>
          <t xml:space="preserve"> 1400 - VERIFICA E TARATURA - 14P201I </t>
        </is>
      </c>
      <c r="H138" s="111" t="n"/>
      <c r="I138" s="111" t="n"/>
      <c r="J138" s="111" t="n"/>
      <c r="K138" s="111" t="n"/>
      <c r="L138" s="111" t="n"/>
      <c r="M138" s="109" t="inlineStr">
        <is>
          <t>DA CHIUDERE</t>
        </is>
      </c>
      <c r="N138" s="109" t="n"/>
      <c r="O138" s="109" t="n"/>
      <c r="P138" s="109" t="n"/>
      <c r="Q138" s="109" t="inlineStr">
        <is>
          <t>CONTROLLO DI TARATURA, SI NOTA CHE IL F.S. AL DCS ERA INCONGRUENTE CON IL TX. SISTEMATA LA TARATURA</t>
        </is>
      </c>
      <c r="R138" s="110" t="n">
        <v>45659</v>
      </c>
      <c r="S138" s="110" t="inlineStr">
        <is>
          <t>SPINALI/AMARA</t>
        </is>
      </c>
      <c r="T138" s="116">
        <f>IF(AND('Inserimento dati'!$B$3=$H$2, Tabella3[[#This Row],[LUN]]="X"), "X",IF(AND('Inserimento dati'!$B$3=$I$2, Tabella3[[#This Row],[MAR]]="X"), "X", IF(AND('Inserimento dati'!$B$3=$J$2, Tabella3[[#This Row],[MER]]="X"), "X",IF(AND('Inserimento dati'!$B$3=$K$2, Tabella3[[#This Row],[GIO]]="X"), "X", IF(AND('Inserimento dati'!$B$3=$L$2, Tabella3[[#This Row],[VEN]]="X"), "X","")))))</f>
        <v/>
      </c>
      <c r="U138" s="144">
        <f>IFERROR(MID(G138,_xlfn.AGGREGATE(15,6,(ROW(INDIRECT("1:"&amp;LEN(G138)-7)))/(ISNUMBER(--MID(G138,ROW(INDIRECT("1:"&amp;LEN(G138)-7)),8))),1),8),"")</f>
        <v/>
      </c>
      <c r="V138" t="inlineStr">
        <is>
          <t>2025-09-30 20:00:00</t>
        </is>
      </c>
    </row>
    <row r="139" ht="30" customFormat="1" customHeight="1" s="45">
      <c r="A139" s="112" t="n"/>
      <c r="B139" s="112">
        <f>IF(OR(A139="x",A139="X"),"",IF(ISBLANK(A139),"X",""))</f>
        <v/>
      </c>
      <c r="C139" s="112">
        <f>IF(OR(Tabella3[[#This Row],[LUN]]="X",Tabella3[[#This Row],[MAR]]="X",Tabella3[[#This Row],[MER]]="X",Tabella3[[#This Row],[GIO]]="X",Tabella3[[#This Row],[VEN]]="X",),"X","")</f>
        <v/>
      </c>
      <c r="D139" s="113" t="inlineStr">
        <is>
          <t>AREA 3</t>
        </is>
      </c>
      <c r="E139" s="109" t="inlineStr">
        <is>
          <t>520834/C</t>
        </is>
      </c>
      <c r="F139" s="109" t="n">
        <v>2200</v>
      </c>
      <c r="G139" s="109" t="inlineStr">
        <is>
          <t xml:space="preserve"> 2200 - VERIFICA FUNZIONAMENTO L541SH</t>
        </is>
      </c>
      <c r="H139" s="111" t="n"/>
      <c r="I139" s="111" t="n"/>
      <c r="J139" s="111" t="n"/>
      <c r="K139" s="111" t="n"/>
      <c r="L139" s="111" t="n"/>
      <c r="M139" s="109" t="inlineStr">
        <is>
          <t>DA CHIUDERE</t>
        </is>
      </c>
      <c r="N139" s="109" t="n"/>
      <c r="O139" s="109" t="n"/>
      <c r="P139" s="109" t="n"/>
      <c r="Q139" s="109" t="inlineStr">
        <is>
          <t>TROVATO INTERCETTATO DALLA RADICE, INSERITO E FUNZIONANTE.</t>
        </is>
      </c>
      <c r="R139" s="110" t="n">
        <v>45659</v>
      </c>
      <c r="S139" s="110" t="inlineStr">
        <is>
          <t>SPINALI/AMARA</t>
        </is>
      </c>
      <c r="T139" s="112">
        <f>IF(AND('Inserimento dati'!$B$3=$H$2, Tabella3[[#This Row],[LUN]]="X"), "X",IF(AND('Inserimento dati'!$B$3=$I$2, Tabella3[[#This Row],[MAR]]="X"), "X", IF(AND('Inserimento dati'!$B$3=$J$2, Tabella3[[#This Row],[MER]]="X"), "X",IF(AND('Inserimento dati'!$B$3=$K$2, Tabella3[[#This Row],[GIO]]="X"), "X", IF(AND('Inserimento dati'!$B$3=$L$2, Tabella3[[#This Row],[VEN]]="X"), "X","")))))</f>
        <v/>
      </c>
      <c r="U139" s="144">
        <f>IFERROR(MID(G139,_xlfn.AGGREGATE(15,6,(ROW(INDIRECT("1:"&amp;LEN(G139)-7)))/(ISNUMBER(--MID(G139,ROW(INDIRECT("1:"&amp;LEN(G139)-7)),8))),1),8),"")</f>
        <v/>
      </c>
      <c r="V139" t="inlineStr">
        <is>
          <t>2025-09-30 20:00:00</t>
        </is>
      </c>
    </row>
    <row r="140" ht="23.25" customFormat="1" customHeight="1" s="45">
      <c r="A140" s="112" t="n"/>
      <c r="B140" s="112">
        <f>IF(OR(A140="x",A140="X"),"",IF(ISBLANK(A140),"X",""))</f>
        <v/>
      </c>
      <c r="C140" s="112">
        <f>IF(OR(Tabella3[[#This Row],[LUN]]="X",Tabella3[[#This Row],[MAR]]="X",Tabella3[[#This Row],[MER]]="X",Tabella3[[#This Row],[GIO]]="X",Tabella3[[#This Row],[VEN]]="X",),"X","")</f>
        <v/>
      </c>
      <c r="D140" s="113" t="inlineStr">
        <is>
          <t>AREA 3</t>
        </is>
      </c>
      <c r="E140" s="109" t="inlineStr">
        <is>
          <t>520578/C</t>
        </is>
      </c>
      <c r="F140" s="109" t="n">
        <v>1800</v>
      </c>
      <c r="G140" s="109" t="inlineStr">
        <is>
          <t xml:space="preserve"> 1800: 18L034R controllo funzionale</t>
        </is>
      </c>
      <c r="H140" s="111" t="n"/>
      <c r="I140" s="111" t="n"/>
      <c r="J140" s="111" t="n"/>
      <c r="K140" s="111" t="n"/>
      <c r="L140" s="111" t="n"/>
      <c r="M140" s="109" t="inlineStr">
        <is>
          <t>DA CHIUDERE</t>
        </is>
      </c>
      <c r="N140" s="109" t="n"/>
      <c r="O140" s="109" t="n"/>
      <c r="P140" s="109" t="n"/>
      <c r="Q140" s="109" t="n"/>
      <c r="R140" s="110" t="n">
        <v>45656</v>
      </c>
      <c r="S140" s="110" t="inlineStr">
        <is>
          <t>TARASCIO</t>
        </is>
      </c>
      <c r="T140" s="112">
        <f>IF(AND('Inserimento dati'!$B$3=$H$2, Tabella3[[#This Row],[LUN]]="X"), "X",IF(AND('Inserimento dati'!$B$3=$I$2, Tabella3[[#This Row],[MAR]]="X"), "X", IF(AND('Inserimento dati'!$B$3=$J$2, Tabella3[[#This Row],[MER]]="X"), "X",IF(AND('Inserimento dati'!$B$3=$K$2, Tabella3[[#This Row],[GIO]]="X"), "X", IF(AND('Inserimento dati'!$B$3=$L$2, Tabella3[[#This Row],[VEN]]="X"), "X","")))))</f>
        <v/>
      </c>
      <c r="U140" s="144">
        <f>IFERROR(MID(G140,_xlfn.AGGREGATE(15,6,(ROW(INDIRECT("1:"&amp;LEN(G140)-7)))/(ISNUMBER(--MID(G140,ROW(INDIRECT("1:"&amp;LEN(G140)-7)),8))),1),8),"")</f>
        <v/>
      </c>
      <c r="V140" t="inlineStr">
        <is>
          <t>2025-09-30 20:00:00</t>
        </is>
      </c>
    </row>
    <row r="141" ht="23.25" customFormat="1" customHeight="1" s="45">
      <c r="A141" s="112" t="n"/>
      <c r="B141" s="112">
        <f>IF(OR(A141="x",A141="X"),"",IF(ISBLANK(A141),"X",""))</f>
        <v/>
      </c>
      <c r="C141" s="112">
        <f>IF(OR(Tabella3[[#This Row],[LUN]]="X",Tabella3[[#This Row],[MAR]]="X",Tabella3[[#This Row],[MER]]="X",Tabella3[[#This Row],[GIO]]="X",Tabella3[[#This Row],[VEN]]="X",),"X","")</f>
        <v/>
      </c>
      <c r="D141" s="113" t="inlineStr">
        <is>
          <t>AREA 3</t>
        </is>
      </c>
      <c r="E141" s="109" t="inlineStr">
        <is>
          <t>521030/C</t>
        </is>
      </c>
      <c r="F141" s="109" t="inlineStr">
        <is>
          <t>1200/3</t>
        </is>
      </c>
      <c r="G141" s="109" t="inlineStr">
        <is>
          <t xml:space="preserve"> 1200/3 F301/303/305RC CONTROLLO E RIPRISTINO</t>
        </is>
      </c>
      <c r="H141" s="111" t="n"/>
      <c r="I141" s="111" t="n"/>
      <c r="J141" s="111" t="n"/>
      <c r="K141" s="111" t="n"/>
      <c r="L141" s="111" t="n"/>
      <c r="M141" s="109" t="inlineStr">
        <is>
          <t>DA CHIUDERE</t>
        </is>
      </c>
      <c r="N141" s="109" t="n"/>
      <c r="O141" s="109" t="n"/>
      <c r="P141" s="109" t="n"/>
      <c r="Q141" s="109" t="inlineStr">
        <is>
          <t>CORRETTI DI ZERO</t>
        </is>
      </c>
      <c r="R141" s="110" t="n">
        <v>45656</v>
      </c>
      <c r="S141" s="110" t="inlineStr">
        <is>
          <t>TARASCIO</t>
        </is>
      </c>
      <c r="T141" s="112">
        <f>IF(AND('Inserimento dati'!$B$3=$H$2, Tabella3[[#This Row],[LUN]]="X"), "X",IF(AND('Inserimento dati'!$B$3=$I$2, Tabella3[[#This Row],[MAR]]="X"), "X", IF(AND('Inserimento dati'!$B$3=$J$2, Tabella3[[#This Row],[MER]]="X"), "X",IF(AND('Inserimento dati'!$B$3=$K$2, Tabella3[[#This Row],[GIO]]="X"), "X", IF(AND('Inserimento dati'!$B$3=$L$2, Tabella3[[#This Row],[VEN]]="X"), "X","")))))</f>
        <v/>
      </c>
      <c r="U141" s="144">
        <f>IFERROR(MID(G141,_xlfn.AGGREGATE(15,6,(ROW(INDIRECT("1:"&amp;LEN(G141)-7)))/(ISNUMBER(--MID(G141,ROW(INDIRECT("1:"&amp;LEN(G141)-7)),8))),1),8),"")</f>
        <v/>
      </c>
      <c r="V141" t="inlineStr">
        <is>
          <t>2025-09-30 20:00:00</t>
        </is>
      </c>
    </row>
    <row r="142" ht="23.25" customFormat="1" customHeight="1" s="45">
      <c r="A142" s="112" t="n"/>
      <c r="B142" s="112">
        <f>IF(OR(A142="x",A142="X"),"",IF(ISBLANK(A142),"X",""))</f>
        <v/>
      </c>
      <c r="C142" s="112">
        <f>IF(OR(Tabella3[[#This Row],[LUN]]="X",Tabella3[[#This Row],[MAR]]="X",Tabella3[[#This Row],[MER]]="X",Tabella3[[#This Row],[GIO]]="X",Tabella3[[#This Row],[VEN]]="X",),"X","")</f>
        <v/>
      </c>
      <c r="D142" s="113" t="inlineStr">
        <is>
          <t>AREA 3</t>
        </is>
      </c>
      <c r="E142" s="109" t="inlineStr">
        <is>
          <t>520563/C</t>
        </is>
      </c>
      <c r="F142" s="109" t="n">
        <v>1400</v>
      </c>
      <c r="G142" s="109" t="inlineStr">
        <is>
          <t xml:space="preserve"> 1400: TARATURA 14F150R</t>
        </is>
      </c>
      <c r="H142" s="111" t="n"/>
      <c r="I142" s="111" t="n"/>
      <c r="J142" s="111" t="n"/>
      <c r="K142" s="111" t="n"/>
      <c r="L142" s="111" t="n"/>
      <c r="M142" s="109" t="inlineStr">
        <is>
          <t>DA CHIUDERE</t>
        </is>
      </c>
      <c r="N142" s="109" t="n"/>
      <c r="O142" s="109" t="n"/>
      <c r="P142" s="109" t="n"/>
      <c r="Q142" s="109" t="n"/>
      <c r="R142" s="110" t="n"/>
      <c r="S142" s="110" t="inlineStr">
        <is>
          <t>RICIPUTO</t>
        </is>
      </c>
      <c r="T142" s="112">
        <f>IF(AND('Inserimento dati'!$B$3=$H$2, Tabella3[[#This Row],[LUN]]="X"), "X",IF(AND('Inserimento dati'!$B$3=$I$2, Tabella3[[#This Row],[MAR]]="X"), "X", IF(AND('Inserimento dati'!$B$3=$J$2, Tabella3[[#This Row],[MER]]="X"), "X",IF(AND('Inserimento dati'!$B$3=$K$2, Tabella3[[#This Row],[GIO]]="X"), "X", IF(AND('Inserimento dati'!$B$3=$L$2, Tabella3[[#This Row],[VEN]]="X"), "X","")))))</f>
        <v/>
      </c>
      <c r="U142" s="144">
        <f>IFERROR(MID(G142,_xlfn.AGGREGATE(15,6,(ROW(INDIRECT("1:"&amp;LEN(G142)-7)))/(ISNUMBER(--MID(G142,ROW(INDIRECT("1:"&amp;LEN(G142)-7)),8))),1),8),"")</f>
        <v/>
      </c>
      <c r="V142" t="inlineStr">
        <is>
          <t>2025-09-30 20:00:00</t>
        </is>
      </c>
    </row>
    <row r="143" ht="60" customFormat="1" customHeight="1" s="45">
      <c r="A143" s="112" t="n"/>
      <c r="B143" s="112">
        <f>IF(OR(A143="x",A143="X"),"",IF(ISBLANK(A143),"X",""))</f>
        <v/>
      </c>
      <c r="C143" s="112">
        <f>IF(OR(Tabella3[[#This Row],[LUN]]="X",Tabella3[[#This Row],[MAR]]="X",Tabella3[[#This Row],[MER]]="X",Tabella3[[#This Row],[GIO]]="X",Tabella3[[#This Row],[VEN]]="X",),"X","")</f>
        <v/>
      </c>
      <c r="D143" s="113" t="inlineStr">
        <is>
          <t>AREA 3</t>
        </is>
      </c>
      <c r="E143" s="109" t="inlineStr">
        <is>
          <t>517303/C</t>
        </is>
      </c>
      <c r="F143" s="109" t="inlineStr">
        <is>
          <t>1200/4</t>
        </is>
      </c>
      <c r="G143" s="109" t="inlineStr">
        <is>
          <t xml:space="preserve"> 1200/4 F305CV (MTZ 21/11) SMONTAGGIO/RIMONTAGGIO PER REVISIONE VALVOLA</t>
        </is>
      </c>
      <c r="H143" s="111" t="n"/>
      <c r="I143" s="111" t="n"/>
      <c r="J143" s="111" t="n"/>
      <c r="K143" s="111" t="n"/>
      <c r="L143" s="111" t="n"/>
      <c r="M143" s="109" t="inlineStr">
        <is>
          <t>DA CHIUDERE</t>
        </is>
      </c>
      <c r="N143" s="109" t="n"/>
      <c r="O143" s="109" t="n"/>
      <c r="P143" s="109" t="n"/>
      <c r="Q143" s="109" t="inlineStr">
        <is>
          <t>NON ARRIVA TENSIONE ALL'ELETTROVALVOLA.
VIENE BYPASSATA IN ATTESA DI RICERCA GUASTO STRUMENTALE. (NON APERTO DA CAPOTURNO L'11/12 PERCHE' PENSAVA CHE SI DOVESSE SMONTARE LA VALVOLA)</t>
        </is>
      </c>
      <c r="R143" s="110" t="n">
        <v>45623</v>
      </c>
      <c r="S143" s="110" t="inlineStr">
        <is>
          <t>GARRO L./GARRO S.</t>
        </is>
      </c>
      <c r="T143" s="116">
        <f>IF(AND('Inserimento dati'!$B$3=$H$2, Tabella3[[#This Row],[LUN]]="X"), "X",IF(AND('Inserimento dati'!$B$3=$I$2, Tabella3[[#This Row],[MAR]]="X"), "X", IF(AND('Inserimento dati'!$B$3=$J$2, Tabella3[[#This Row],[MER]]="X"), "X",IF(AND('Inserimento dati'!$B$3=$K$2, Tabella3[[#This Row],[GIO]]="X"), "X", IF(AND('Inserimento dati'!$B$3=$L$2, Tabella3[[#This Row],[VEN]]="X"), "X","")))))</f>
        <v/>
      </c>
      <c r="U143" s="144">
        <f>IFERROR(MID(G143,_xlfn.AGGREGATE(15,6,(ROW(INDIRECT("1:"&amp;LEN(G143)-7)))/(ISNUMBER(--MID(G143,ROW(INDIRECT("1:"&amp;LEN(G143)-7)),8))),1),8),"")</f>
        <v/>
      </c>
      <c r="V143" t="inlineStr">
        <is>
          <t>2025-09-30 20:00:00</t>
        </is>
      </c>
    </row>
    <row r="144" ht="23.25" customFormat="1" customHeight="1" s="45">
      <c r="A144" s="112" t="n"/>
      <c r="B144" s="112">
        <f>IF(OR(A144="x",A144="X"),"",IF(ISBLANK(A144),"X",""))</f>
        <v/>
      </c>
      <c r="C144" s="112">
        <f>IF(OR(Tabella3[[#This Row],[LUN]]="X",Tabella3[[#This Row],[MAR]]="X",Tabella3[[#This Row],[MER]]="X",Tabella3[[#This Row],[GIO]]="X",Tabella3[[#This Row],[VEN]]="X",),"X","")</f>
        <v/>
      </c>
      <c r="D144" s="113" t="inlineStr">
        <is>
          <t>AREA 3</t>
        </is>
      </c>
      <c r="E144" s="109" t="inlineStr">
        <is>
          <t>520508/C</t>
        </is>
      </c>
      <c r="F144" s="109" t="inlineStr">
        <is>
          <t>1200/1</t>
        </is>
      </c>
      <c r="G144" s="109" t="inlineStr">
        <is>
          <t xml:space="preserve"> 1200/1 L301SH RIPRISTINO FUNZIONALITA'</t>
        </is>
      </c>
      <c r="H144" s="111" t="n"/>
      <c r="I144" s="111" t="n"/>
      <c r="J144" s="111" t="n"/>
      <c r="K144" s="111" t="n"/>
      <c r="L144" s="111" t="n"/>
      <c r="M144" s="109" t="inlineStr">
        <is>
          <t>DA CHIUDERE</t>
        </is>
      </c>
      <c r="N144" s="109" t="n"/>
      <c r="O144" s="109" t="n"/>
      <c r="P144" s="109" t="n"/>
      <c r="Q144" s="109" t="inlineStr">
        <is>
          <t>NECESSITA PONTEGGIO (REALIZZATO PONTEGGIO)</t>
        </is>
      </c>
      <c r="R144" s="110" t="n">
        <v>45646</v>
      </c>
      <c r="S144" s="110" t="inlineStr">
        <is>
          <t>TARASCIO</t>
        </is>
      </c>
      <c r="T144" s="112">
        <f>IF(AND('Inserimento dati'!$B$3=$H$2, Tabella3[[#This Row],[LUN]]="X"), "X",IF(AND('Inserimento dati'!$B$3=$I$2, Tabella3[[#This Row],[MAR]]="X"), "X", IF(AND('Inserimento dati'!$B$3=$J$2, Tabella3[[#This Row],[MER]]="X"), "X",IF(AND('Inserimento dati'!$B$3=$K$2, Tabella3[[#This Row],[GIO]]="X"), "X", IF(AND('Inserimento dati'!$B$3=$L$2, Tabella3[[#This Row],[VEN]]="X"), "X","")))))</f>
        <v/>
      </c>
      <c r="U144" s="144">
        <f>IFERROR(MID(G144,_xlfn.AGGREGATE(15,6,(ROW(INDIRECT("1:"&amp;LEN(G144)-7)))/(ISNUMBER(--MID(G144,ROW(INDIRECT("1:"&amp;LEN(G144)-7)),8))),1),8),"")</f>
        <v/>
      </c>
      <c r="V144" t="inlineStr">
        <is>
          <t>2025-09-30 20:00:00</t>
        </is>
      </c>
    </row>
    <row r="145" ht="23.25" customFormat="1" customHeight="1" s="45">
      <c r="A145" s="112" t="n"/>
      <c r="B145" s="112">
        <f>IF(OR(A145="x",A145="X"),"",IF(ISBLANK(A145),"X",""))</f>
        <v/>
      </c>
      <c r="C145" s="112">
        <f>IF(OR(Tabella3[[#This Row],[LUN]]="X",Tabella3[[#This Row],[MAR]]="X",Tabella3[[#This Row],[MER]]="X",Tabella3[[#This Row],[GIO]]="X",Tabella3[[#This Row],[VEN]]="X",),"X","")</f>
        <v/>
      </c>
      <c r="D145" s="113" t="inlineStr">
        <is>
          <t>AREA 3</t>
        </is>
      </c>
      <c r="E145" s="109" t="inlineStr">
        <is>
          <t>519722/C</t>
        </is>
      </c>
      <c r="F145" s="109" t="n">
        <v>1800</v>
      </c>
      <c r="G145" s="109" t="inlineStr">
        <is>
          <t xml:space="preserve"> 1800 - VERIFICA E TARATURA 18F003RC (CONDENSA DA E102)</t>
        </is>
      </c>
      <c r="H145" s="111" t="n"/>
      <c r="I145" s="111" t="n"/>
      <c r="J145" s="111" t="n"/>
      <c r="K145" s="111" t="n"/>
      <c r="L145" s="111" t="n"/>
      <c r="M145" s="109" t="inlineStr">
        <is>
          <t>DA CHIUDERE</t>
        </is>
      </c>
      <c r="N145" s="109" t="n"/>
      <c r="O145" s="109" t="n"/>
      <c r="P145" s="109" t="n"/>
      <c r="Q145" s="109" t="inlineStr">
        <is>
          <t>EFFETTUATO ZERO, RIPRISTINATA FUNZIONALITA'</t>
        </is>
      </c>
      <c r="R145" s="110" t="n">
        <v>45649</v>
      </c>
      <c r="S145" s="110" t="inlineStr">
        <is>
          <t>RICIPUTO</t>
        </is>
      </c>
      <c r="T145" s="116">
        <f>IF(AND('Inserimento dati'!$B$3=$H$2, Tabella3[[#This Row],[LUN]]="X"), "X",IF(AND('Inserimento dati'!$B$3=$I$2, Tabella3[[#This Row],[MAR]]="X"), "X", IF(AND('Inserimento dati'!$B$3=$J$2, Tabella3[[#This Row],[MER]]="X"), "X",IF(AND('Inserimento dati'!$B$3=$K$2, Tabella3[[#This Row],[GIO]]="X"), "X", IF(AND('Inserimento dati'!$B$3=$L$2, Tabella3[[#This Row],[VEN]]="X"), "X","")))))</f>
        <v/>
      </c>
      <c r="U145" s="144">
        <f>IFERROR(MID(G145,_xlfn.AGGREGATE(15,6,(ROW(INDIRECT("1:"&amp;LEN(G145)-7)))/(ISNUMBER(--MID(G145,ROW(INDIRECT("1:"&amp;LEN(G145)-7)),8))),1),8),"")</f>
        <v/>
      </c>
      <c r="V145" t="inlineStr">
        <is>
          <t>2025-09-30 20:00:00</t>
        </is>
      </c>
    </row>
    <row r="146" ht="23.25" customFormat="1" customHeight="1" s="45">
      <c r="A146" s="112" t="n"/>
      <c r="B146" s="112">
        <f>IF(OR(A146="x",A146="X"),"",IF(ISBLANK(A146),"X",""))</f>
        <v/>
      </c>
      <c r="C146" s="112">
        <f>IF(OR(Tabella3[[#This Row],[LUN]]="X",Tabella3[[#This Row],[MAR]]="X",Tabella3[[#This Row],[MER]]="X",Tabella3[[#This Row],[GIO]]="X",Tabella3[[#This Row],[VEN]]="X",),"X","")</f>
        <v/>
      </c>
      <c r="D146" s="113" t="inlineStr">
        <is>
          <t>AREA 3</t>
        </is>
      </c>
      <c r="E146" s="109" t="inlineStr">
        <is>
          <t>520843/C</t>
        </is>
      </c>
      <c r="F146" s="109" t="n">
        <v>800</v>
      </c>
      <c r="G146" s="109" t="inlineStr">
        <is>
          <t xml:space="preserve"> 800-1-P112CV controllo LOOP di regolazione locale</t>
        </is>
      </c>
      <c r="H146" s="111" t="n"/>
      <c r="I146" s="111" t="n"/>
      <c r="J146" s="111" t="n"/>
      <c r="K146" s="111" t="n"/>
      <c r="L146" s="111" t="n"/>
      <c r="M146" s="109" t="inlineStr">
        <is>
          <t>DA CHIUDERE</t>
        </is>
      </c>
      <c r="N146" s="109" t="n"/>
      <c r="O146" s="109" t="n"/>
      <c r="P146" s="109" t="n"/>
      <c r="Q146" s="109" t="n"/>
      <c r="R146" s="110" t="n"/>
      <c r="S146" s="110" t="n"/>
      <c r="T146" s="112">
        <f>IF(AND('Inserimento dati'!$B$3=$H$2, Tabella3[[#This Row],[LUN]]="X"), "X",IF(AND('Inserimento dati'!$B$3=$I$2, Tabella3[[#This Row],[MAR]]="X"), "X", IF(AND('Inserimento dati'!$B$3=$J$2, Tabella3[[#This Row],[MER]]="X"), "X",IF(AND('Inserimento dati'!$B$3=$K$2, Tabella3[[#This Row],[GIO]]="X"), "X", IF(AND('Inserimento dati'!$B$3=$L$2, Tabella3[[#This Row],[VEN]]="X"), "X","")))))</f>
        <v/>
      </c>
      <c r="U146" s="144">
        <f>IFERROR(MID(G146,_xlfn.AGGREGATE(15,6,(ROW(INDIRECT("1:"&amp;LEN(G146)-7)))/(ISNUMBER(--MID(G146,ROW(INDIRECT("1:"&amp;LEN(G146)-7)),8))),1),8),"")</f>
        <v/>
      </c>
      <c r="V146" t="inlineStr">
        <is>
          <t>2025-09-30 20:00:00</t>
        </is>
      </c>
    </row>
    <row r="147" ht="30" customFormat="1" customHeight="1" s="45">
      <c r="A147" s="112" t="n"/>
      <c r="B147" s="112">
        <f>IF(OR(A147="x",A147="X"),"",IF(ISBLANK(A147),"X",""))</f>
        <v/>
      </c>
      <c r="C147" s="112">
        <f>IF(OR(Tabella3[[#This Row],[LUN]]="X",Tabella3[[#This Row],[MAR]]="X",Tabella3[[#This Row],[MER]]="X",Tabella3[[#This Row],[GIO]]="X",Tabella3[[#This Row],[VEN]]="X",),"X","")</f>
        <v/>
      </c>
      <c r="D147" s="113" t="inlineStr">
        <is>
          <t>AREA 3</t>
        </is>
      </c>
      <c r="E147" s="109" t="inlineStr">
        <is>
          <t>515580/C</t>
        </is>
      </c>
      <c r="F147" s="109" t="n">
        <v>1100</v>
      </c>
      <c r="G147" s="109" t="inlineStr">
        <is>
          <t xml:space="preserve"> F160R VERIFICA MISURATORE PORTATA VAPORE MS 11F160R</t>
        </is>
      </c>
      <c r="H147" s="111" t="n"/>
      <c r="I147" s="111" t="n"/>
      <c r="J147" s="111" t="n"/>
      <c r="K147" s="111" t="n"/>
      <c r="L147" s="111" t="n"/>
      <c r="M147" s="109" t="inlineStr">
        <is>
          <t>DA CHIUDERE</t>
        </is>
      </c>
      <c r="N147" s="109" t="n"/>
      <c r="O147" s="109" t="n"/>
      <c r="P147" s="109" t="n"/>
      <c r="Q147" s="109" t="inlineStr">
        <is>
          <t xml:space="preserve">NESSUNA ANOMALIA SUL TRASMETTITORE. NESSUNA PERDITA DI VAPORE VICINO AL DISCO CALIBRATO. </t>
        </is>
      </c>
      <c r="R147" s="110" t="n">
        <v>45646</v>
      </c>
      <c r="S147" s="110" t="inlineStr">
        <is>
          <t>RICIPUTO</t>
        </is>
      </c>
      <c r="T147" s="116">
        <f>IF(AND('Inserimento dati'!$B$3=$H$2, Tabella3[[#This Row],[LUN]]="X"), "X",IF(AND('Inserimento dati'!$B$3=$I$2, Tabella3[[#This Row],[MAR]]="X"), "X", IF(AND('Inserimento dati'!$B$3=$J$2, Tabella3[[#This Row],[MER]]="X"), "X",IF(AND('Inserimento dati'!$B$3=$K$2, Tabella3[[#This Row],[GIO]]="X"), "X", IF(AND('Inserimento dati'!$B$3=$L$2, Tabella3[[#This Row],[VEN]]="X"), "X","")))))</f>
        <v/>
      </c>
      <c r="U147" s="144">
        <f>IFERROR(MID(G147,_xlfn.AGGREGATE(15,6,(ROW(INDIRECT("1:"&amp;LEN(G147)-7)))/(ISNUMBER(--MID(G147,ROW(INDIRECT("1:"&amp;LEN(G147)-7)),8))),1),8),"")</f>
        <v/>
      </c>
      <c r="V147" t="inlineStr">
        <is>
          <t>2025-09-30 20:00:00</t>
        </is>
      </c>
    </row>
    <row r="148" ht="30" customFormat="1" customHeight="1" s="45">
      <c r="A148" s="112" t="n"/>
      <c r="B148" s="112">
        <f>IF(OR(A148="x",A148="X"),"",IF(ISBLANK(A148),"X",""))</f>
        <v/>
      </c>
      <c r="C148" s="112">
        <f>IF(OR(Tabella3[[#This Row],[LUN]]="X",Tabella3[[#This Row],[MAR]]="X",Tabella3[[#This Row],[MER]]="X",Tabella3[[#This Row],[GIO]]="X",Tabella3[[#This Row],[VEN]]="X",),"X","")</f>
        <v/>
      </c>
      <c r="D148" s="113" t="inlineStr">
        <is>
          <t>AREA 3</t>
        </is>
      </c>
      <c r="E148" s="109" t="inlineStr">
        <is>
          <t>520569/C</t>
        </is>
      </c>
      <c r="F148" s="109" t="n">
        <v>1800</v>
      </c>
      <c r="G148" s="109" t="inlineStr">
        <is>
          <t xml:space="preserve"> F046V SMONTAGGIO/RIMONTAGGIO PER REVISIONE</t>
        </is>
      </c>
      <c r="H148" s="111" t="n"/>
      <c r="I148" s="111" t="n"/>
      <c r="J148" s="111" t="n"/>
      <c r="K148" s="111" t="n"/>
      <c r="L148" s="111" t="n"/>
      <c r="M148" s="109" t="inlineStr">
        <is>
          <t>DA CHIUDERE</t>
        </is>
      </c>
      <c r="N148" s="109" t="n"/>
      <c r="O148" s="109" t="n"/>
      <c r="P148" s="109" t="n"/>
      <c r="Q148" s="109" t="inlineStr">
        <is>
          <t>VALVOLA SMONTATA E PORTATA IN OFFICINA ESTERNA COEMI IL 20/12/24</t>
        </is>
      </c>
      <c r="R148" s="110" t="n"/>
      <c r="S148" s="110" t="n"/>
      <c r="T148" s="112">
        <f>IF(AND('Inserimento dati'!$B$3=$H$2, Tabella3[[#This Row],[LUN]]="X"), "X",IF(AND('Inserimento dati'!$B$3=$I$2, Tabella3[[#This Row],[MAR]]="X"), "X", IF(AND('Inserimento dati'!$B$3=$J$2, Tabella3[[#This Row],[MER]]="X"), "X",IF(AND('Inserimento dati'!$B$3=$K$2, Tabella3[[#This Row],[GIO]]="X"), "X", IF(AND('Inserimento dati'!$B$3=$L$2, Tabella3[[#This Row],[VEN]]="X"), "X","")))))</f>
        <v/>
      </c>
      <c r="U148" s="144">
        <f>IFERROR(MID(G148,_xlfn.AGGREGATE(15,6,(ROW(INDIRECT("1:"&amp;LEN(G148)-7)))/(ISNUMBER(--MID(G148,ROW(INDIRECT("1:"&amp;LEN(G148)-7)),8))),1),8),"")</f>
        <v/>
      </c>
      <c r="V148" t="inlineStr">
        <is>
          <t>2025-09-30 20:00:00</t>
        </is>
      </c>
    </row>
    <row r="149" ht="30" customFormat="1" customHeight="1" s="45">
      <c r="A149" s="112" t="n"/>
      <c r="B149" s="112">
        <f>IF(OR(A149="x",A149="X"),"",IF(ISBLANK(A149),"X",""))</f>
        <v/>
      </c>
      <c r="C149" s="112">
        <f>IF(OR(Tabella3[[#This Row],[LUN]]="X",Tabella3[[#This Row],[MAR]]="X",Tabella3[[#This Row],[MER]]="X",Tabella3[[#This Row],[GIO]]="X",Tabella3[[#This Row],[VEN]]="X",),"X","")</f>
        <v/>
      </c>
      <c r="D149" s="113" t="inlineStr">
        <is>
          <t>AREA 3</t>
        </is>
      </c>
      <c r="E149" s="109" t="inlineStr">
        <is>
          <t>520496/C</t>
        </is>
      </c>
      <c r="F149" s="109" t="n">
        <v>700</v>
      </c>
      <c r="G149" s="109" t="inlineStr">
        <is>
          <t xml:space="preserve"> 700-1-APH100-F101N smontaggio/rimontaggio pilota D per revisione e prove di accensione</t>
        </is>
      </c>
      <c r="H149" s="111" t="n"/>
      <c r="I149" s="111" t="n"/>
      <c r="J149" s="111" t="n"/>
      <c r="K149" s="111" t="n"/>
      <c r="L149" s="111" t="n"/>
      <c r="M149" s="109" t="inlineStr">
        <is>
          <t>DA CHIUDERE</t>
        </is>
      </c>
      <c r="N149" s="109" t="n"/>
      <c r="O149" s="109" t="n"/>
      <c r="P149" s="109" t="n"/>
      <c r="Q149" s="109" t="n"/>
      <c r="R149" s="110" t="n"/>
      <c r="S149" s="110" t="n"/>
      <c r="T149" s="112">
        <f>IF(AND('Inserimento dati'!$B$3=$H$2, Tabella3[[#This Row],[LUN]]="X"), "X",IF(AND('Inserimento dati'!$B$3=$I$2, Tabella3[[#This Row],[MAR]]="X"), "X", IF(AND('Inserimento dati'!$B$3=$J$2, Tabella3[[#This Row],[MER]]="X"), "X",IF(AND('Inserimento dati'!$B$3=$K$2, Tabella3[[#This Row],[GIO]]="X"), "X", IF(AND('Inserimento dati'!$B$3=$L$2, Tabella3[[#This Row],[VEN]]="X"), "X","")))))</f>
        <v/>
      </c>
      <c r="U149" s="144">
        <f>IFERROR(MID(G149,_xlfn.AGGREGATE(15,6,(ROW(INDIRECT("1:"&amp;LEN(G149)-7)))/(ISNUMBER(--MID(G149,ROW(INDIRECT("1:"&amp;LEN(G149)-7)),8))),1),8),"")</f>
        <v/>
      </c>
      <c r="V149" t="inlineStr">
        <is>
          <t>2025-09-30 20:00:00</t>
        </is>
      </c>
    </row>
    <row r="150" ht="30" customFormat="1" customHeight="1" s="45">
      <c r="A150" s="112" t="n"/>
      <c r="B150" s="112">
        <f>IF(OR(A150="x",A150="X"),"",IF(ISBLANK(A150),"X",""))</f>
        <v/>
      </c>
      <c r="C150" s="112">
        <f>IF(OR(Tabella3[[#This Row],[LUN]]="X",Tabella3[[#This Row],[MAR]]="X",Tabella3[[#This Row],[MER]]="X",Tabella3[[#This Row],[GIO]]="X",Tabella3[[#This Row],[VEN]]="X",),"X","")</f>
        <v/>
      </c>
      <c r="D150" s="113" t="inlineStr">
        <is>
          <t>AREA 3</t>
        </is>
      </c>
      <c r="E150" s="109" t="inlineStr">
        <is>
          <t>519526/C</t>
        </is>
      </c>
      <c r="F150" s="109" t="inlineStr">
        <is>
          <t>700A</t>
        </is>
      </c>
      <c r="G150" s="109" t="inlineStr">
        <is>
          <t xml:space="preserve"> 700A  PCV212 che  rimasta bloccata aperta (da quadro risulta chiusa). controllo LOOP DI REGOLAZIONE</t>
        </is>
      </c>
      <c r="H150" s="111" t="n"/>
      <c r="I150" s="111" t="n"/>
      <c r="J150" s="111" t="n"/>
      <c r="K150" s="111" t="n"/>
      <c r="L150" s="111" t="n"/>
      <c r="M150" s="109" t="inlineStr">
        <is>
          <t>DA CHIUDERE</t>
        </is>
      </c>
      <c r="N150" s="109" t="n"/>
      <c r="O150" s="109" t="n"/>
      <c r="P150" s="109" t="n"/>
      <c r="Q150" s="109" t="inlineStr">
        <is>
          <t>POSIZIONATORE GUASTO. SOSTITUITO</t>
        </is>
      </c>
      <c r="R150" s="110" t="n">
        <v>45644</v>
      </c>
      <c r="S150" s="110" t="inlineStr">
        <is>
          <t>GARRO L./GARRO S.</t>
        </is>
      </c>
      <c r="T150" s="116">
        <f>IF(AND('Inserimento dati'!$B$3=$H$2, Tabella3[[#This Row],[LUN]]="X"), "X",IF(AND('Inserimento dati'!$B$3=$I$2, Tabella3[[#This Row],[MAR]]="X"), "X", IF(AND('Inserimento dati'!$B$3=$J$2, Tabella3[[#This Row],[MER]]="X"), "X",IF(AND('Inserimento dati'!$B$3=$K$2, Tabella3[[#This Row],[GIO]]="X"), "X", IF(AND('Inserimento dati'!$B$3=$L$2, Tabella3[[#This Row],[VEN]]="X"), "X","")))))</f>
        <v/>
      </c>
      <c r="U150" s="144">
        <f>IFERROR(MID(G150,_xlfn.AGGREGATE(15,6,(ROW(INDIRECT("1:"&amp;LEN(G150)-7)))/(ISNUMBER(--MID(G150,ROW(INDIRECT("1:"&amp;LEN(G150)-7)),8))),1),8),"")</f>
        <v/>
      </c>
      <c r="V150" t="inlineStr">
        <is>
          <t>2025-09-30 20:00:00</t>
        </is>
      </c>
    </row>
    <row r="151" ht="23.25" customFormat="1" customHeight="1" s="45">
      <c r="A151" s="112" t="n"/>
      <c r="B151" s="112">
        <f>IF(OR(A151="x",A151="X"),"",IF(ISBLANK(A151),"X",""))</f>
        <v/>
      </c>
      <c r="C151" s="112">
        <f>IF(OR(Tabella3[[#This Row],[LUN]]="X",Tabella3[[#This Row],[MAR]]="X",Tabella3[[#This Row],[MER]]="X",Tabella3[[#This Row],[GIO]]="X",Tabella3[[#This Row],[VEN]]="X",),"X","")</f>
        <v/>
      </c>
      <c r="D151" s="113" t="inlineStr">
        <is>
          <t>AREA 3</t>
        </is>
      </c>
      <c r="E151" s="109" t="inlineStr">
        <is>
          <t>519471/C</t>
        </is>
      </c>
      <c r="F151" s="109" t="n">
        <v>800</v>
      </c>
      <c r="G151" s="109" t="inlineStr">
        <is>
          <t xml:space="preserve"> 800 - VERIFICA FUNZIONAMENTO VALVOLE PARZIALIZZATRICI C101A</t>
        </is>
      </c>
      <c r="H151" s="111" t="n"/>
      <c r="I151" s="111" t="n"/>
      <c r="J151" s="111" t="n"/>
      <c r="K151" s="111" t="n"/>
      <c r="L151" s="111" t="n"/>
      <c r="M151" s="109" t="inlineStr">
        <is>
          <t>DA CHIUDERE</t>
        </is>
      </c>
      <c r="N151" s="109" t="n"/>
      <c r="O151" s="109" t="n"/>
      <c r="P151" s="109" t="n"/>
      <c r="Q151" s="109" t="n"/>
      <c r="R151" s="110" t="n">
        <v>45642</v>
      </c>
      <c r="S151" s="110" t="inlineStr">
        <is>
          <t>TARASCIO</t>
        </is>
      </c>
      <c r="T151" s="116">
        <f>IF(AND('Inserimento dati'!$B$3=$H$2, Tabella3[[#This Row],[LUN]]="X"), "X",IF(AND('Inserimento dati'!$B$3=$I$2, Tabella3[[#This Row],[MAR]]="X"), "X", IF(AND('Inserimento dati'!$B$3=$J$2, Tabella3[[#This Row],[MER]]="X"), "X",IF(AND('Inserimento dati'!$B$3=$K$2, Tabella3[[#This Row],[GIO]]="X"), "X", IF(AND('Inserimento dati'!$B$3=$L$2, Tabella3[[#This Row],[VEN]]="X"), "X","")))))</f>
        <v/>
      </c>
      <c r="U151" s="144">
        <f>IFERROR(MID(G151,_xlfn.AGGREGATE(15,6,(ROW(INDIRECT("1:"&amp;LEN(G151)-7)))/(ISNUMBER(--MID(G151,ROW(INDIRECT("1:"&amp;LEN(G151)-7)),8))),1),8),"")</f>
        <v/>
      </c>
      <c r="V151" t="inlineStr">
        <is>
          <t>2025-09-30 20:00:00</t>
        </is>
      </c>
    </row>
    <row r="152" ht="23.25" customFormat="1" customHeight="1" s="45">
      <c r="A152" s="112" t="n"/>
      <c r="B152" s="112">
        <f>IF(OR(A152="x",A152="X"),"",IF(ISBLANK(A152),"X",""))</f>
        <v/>
      </c>
      <c r="C152" s="112">
        <f>IF(OR(Tabella3[[#This Row],[LUN]]="X",Tabella3[[#This Row],[MAR]]="X",Tabella3[[#This Row],[MER]]="X",Tabella3[[#This Row],[GIO]]="X",Tabella3[[#This Row],[VEN]]="X",),"X","")</f>
        <v/>
      </c>
      <c r="D152" s="113" t="inlineStr">
        <is>
          <t>AREA 3</t>
        </is>
      </c>
      <c r="E152" s="109" t="inlineStr">
        <is>
          <t>519294/C</t>
        </is>
      </c>
      <c r="F152" s="109" t="n">
        <v>700</v>
      </c>
      <c r="G152" s="109" t="inlineStr">
        <is>
          <t xml:space="preserve"> 700- PCV323A SERRAGGIO PREMITRECCIA</t>
        </is>
      </c>
      <c r="H152" s="111" t="n"/>
      <c r="I152" s="111" t="n"/>
      <c r="J152" s="111" t="n"/>
      <c r="K152" s="111" t="n"/>
      <c r="L152" s="111" t="n"/>
      <c r="M152" s="109" t="inlineStr">
        <is>
          <t>DA CHIUDERE</t>
        </is>
      </c>
      <c r="N152" s="109" t="n"/>
      <c r="O152" s="109" t="n"/>
      <c r="P152" s="109" t="n"/>
      <c r="Q152" s="109" t="n"/>
      <c r="R152" s="110" t="n"/>
      <c r="S152" s="110" t="n"/>
      <c r="T152" s="116">
        <f>IF(AND('Inserimento dati'!$B$3=$H$2, Tabella3[[#This Row],[LUN]]="X"), "X",IF(AND('Inserimento dati'!$B$3=$I$2, Tabella3[[#This Row],[MAR]]="X"), "X", IF(AND('Inserimento dati'!$B$3=$J$2, Tabella3[[#This Row],[MER]]="X"), "X",IF(AND('Inserimento dati'!$B$3=$K$2, Tabella3[[#This Row],[GIO]]="X"), "X", IF(AND('Inserimento dati'!$B$3=$L$2, Tabella3[[#This Row],[VEN]]="X"), "X","")))))</f>
        <v/>
      </c>
      <c r="U152" s="144">
        <f>IFERROR(MID(G152,_xlfn.AGGREGATE(15,6,(ROW(INDIRECT("1:"&amp;LEN(G152)-7)))/(ISNUMBER(--MID(G152,ROW(INDIRECT("1:"&amp;LEN(G152)-7)),8))),1),8),"")</f>
        <v/>
      </c>
      <c r="V152" t="inlineStr">
        <is>
          <t>2025-09-30 20:00:00</t>
        </is>
      </c>
    </row>
    <row r="153" ht="23.25" customFormat="1" customHeight="1" s="45">
      <c r="A153" s="112" t="n"/>
      <c r="B153" s="112">
        <f>IF(OR(A153="x",A153="X"),"",IF(ISBLANK(A153),"X",""))</f>
        <v/>
      </c>
      <c r="C153" s="112">
        <f>IF(OR(Tabella3[[#This Row],[LUN]]="X",Tabella3[[#This Row],[MAR]]="X",Tabella3[[#This Row],[MER]]="X",Tabella3[[#This Row],[GIO]]="X",Tabella3[[#This Row],[VEN]]="X",),"X","")</f>
        <v/>
      </c>
      <c r="D153" s="113" t="inlineStr">
        <is>
          <t>AREA 3</t>
        </is>
      </c>
      <c r="E153" s="109" t="inlineStr">
        <is>
          <t>520358/C</t>
        </is>
      </c>
      <c r="F153" s="109" t="n">
        <v>800</v>
      </c>
      <c r="G153" s="109" t="inlineStr">
        <is>
          <t xml:space="preserve"> Ripristino funzionalita' 08T116I (Ingresso R-103) Imp. 800</t>
        </is>
      </c>
      <c r="H153" s="111" t="n"/>
      <c r="I153" s="111" t="n"/>
      <c r="J153" s="111" t="n"/>
      <c r="K153" s="111" t="n"/>
      <c r="L153" s="111" t="n"/>
      <c r="M153" s="109" t="inlineStr">
        <is>
          <t>DA CHIUDERE</t>
        </is>
      </c>
      <c r="N153" s="109" t="n"/>
      <c r="O153" s="109" t="n"/>
      <c r="P153" s="109" t="n"/>
      <c r="Q153" s="109" t="n"/>
      <c r="R153" s="110" t="n"/>
      <c r="S153" s="110" t="n"/>
      <c r="T153" s="116">
        <f>IF(AND('Inserimento dati'!$B$3=$H$2, Tabella3[[#This Row],[LUN]]="X"), "X",IF(AND('Inserimento dati'!$B$3=$I$2, Tabella3[[#This Row],[MAR]]="X"), "X", IF(AND('Inserimento dati'!$B$3=$J$2, Tabella3[[#This Row],[MER]]="X"), "X",IF(AND('Inserimento dati'!$B$3=$K$2, Tabella3[[#This Row],[GIO]]="X"), "X", IF(AND('Inserimento dati'!$B$3=$L$2, Tabella3[[#This Row],[VEN]]="X"), "X","")))))</f>
        <v/>
      </c>
      <c r="U153" s="144">
        <f>IFERROR(MID(G153,_xlfn.AGGREGATE(15,6,(ROW(INDIRECT("1:"&amp;LEN(G153)-7)))/(ISNUMBER(--MID(G153,ROW(INDIRECT("1:"&amp;LEN(G153)-7)),8))),1),8),"")</f>
        <v/>
      </c>
      <c r="V153" t="inlineStr">
        <is>
          <t>2025-09-30 20:00:00</t>
        </is>
      </c>
    </row>
    <row r="154" ht="23.25" customFormat="1" customHeight="1" s="45">
      <c r="A154" s="112" t="n"/>
      <c r="B154" s="112">
        <f>IF(OR(A154="x",A154="X"),"",IF(ISBLANK(A154),"X",""))</f>
        <v/>
      </c>
      <c r="C154" s="112">
        <f>IF(OR(Tabella3[[#This Row],[LUN]]="X",Tabella3[[#This Row],[MAR]]="X",Tabella3[[#This Row],[MER]]="X",Tabella3[[#This Row],[GIO]]="X",Tabella3[[#This Row],[VEN]]="X",),"X","")</f>
        <v/>
      </c>
      <c r="D154" s="113" t="inlineStr">
        <is>
          <t>AREA 3</t>
        </is>
      </c>
      <c r="E154" s="109" t="inlineStr">
        <is>
          <t>520495/C</t>
        </is>
      </c>
      <c r="F154" s="109" t="n">
        <v>1800</v>
      </c>
      <c r="G154" s="109" t="inlineStr">
        <is>
          <t xml:space="preserve"> 1800 - FCV046 VERIFUCA PERFETTA CHIUSURA E PROVE FUNZIONALI</t>
        </is>
      </c>
      <c r="H154" s="111" t="n"/>
      <c r="I154" s="111" t="n"/>
      <c r="J154" s="111" t="n"/>
      <c r="K154" s="111" t="n"/>
      <c r="L154" s="111" t="n"/>
      <c r="M154" s="109" t="inlineStr">
        <is>
          <t>DA CHIUDERE</t>
        </is>
      </c>
      <c r="N154" s="109" t="n"/>
      <c r="O154" s="109" t="n"/>
      <c r="P154" s="109" t="n"/>
      <c r="Q154" s="109" t="inlineStr">
        <is>
          <t>LA VALVOLA NON FA TENUTA E SE NE CONSIGLIA LA REVISIONE</t>
        </is>
      </c>
      <c r="R154" s="110" t="n"/>
      <c r="S154" s="110" t="n"/>
      <c r="T154" s="112">
        <f>IF(AND('Inserimento dati'!$B$3=$H$2, Tabella3[[#This Row],[LUN]]="X"), "X",IF(AND('Inserimento dati'!$B$3=$I$2, Tabella3[[#This Row],[MAR]]="X"), "X", IF(AND('Inserimento dati'!$B$3=$J$2, Tabella3[[#This Row],[MER]]="X"), "X",IF(AND('Inserimento dati'!$B$3=$K$2, Tabella3[[#This Row],[GIO]]="X"), "X", IF(AND('Inserimento dati'!$B$3=$L$2, Tabella3[[#This Row],[VEN]]="X"), "X","")))))</f>
        <v/>
      </c>
      <c r="U154" s="144">
        <f>IFERROR(MID(G154,_xlfn.AGGREGATE(15,6,(ROW(INDIRECT("1:"&amp;LEN(G154)-7)))/(ISNUMBER(--MID(G154,ROW(INDIRECT("1:"&amp;LEN(G154)-7)),8))),1),8),"")</f>
        <v/>
      </c>
      <c r="V154" t="inlineStr">
        <is>
          <t>2025-09-30 20:00:00</t>
        </is>
      </c>
    </row>
    <row r="155" ht="23.25" customFormat="1" customHeight="1" s="45">
      <c r="A155" s="112" t="n"/>
      <c r="B155" s="112">
        <f>IF(OR(A155="x",A155="X"),"",IF(ISBLANK(A155),"X",""))</f>
        <v/>
      </c>
      <c r="C155" s="112">
        <f>IF(OR(Tabella3[[#This Row],[LUN]]="X",Tabella3[[#This Row],[MAR]]="X",Tabella3[[#This Row],[MER]]="X",Tabella3[[#This Row],[GIO]]="X",Tabella3[[#This Row],[VEN]]="X",),"X","")</f>
        <v/>
      </c>
      <c r="D155" s="113" t="inlineStr">
        <is>
          <t>AREA 3</t>
        </is>
      </c>
      <c r="E155" s="109" t="inlineStr">
        <is>
          <t>518100/C</t>
        </is>
      </c>
      <c r="F155" s="109" t="inlineStr">
        <is>
          <t>1200/0</t>
        </is>
      </c>
      <c r="G155" s="109" t="inlineStr">
        <is>
          <t xml:space="preserve"> 10206926 - 1200: Z0T960 ripristino funzionalit</t>
        </is>
      </c>
      <c r="H155" s="111" t="n"/>
      <c r="I155" s="111" t="n"/>
      <c r="J155" s="111" t="n"/>
      <c r="K155" s="111" t="n"/>
      <c r="L155" s="111" t="n"/>
      <c r="M155" s="109" t="inlineStr">
        <is>
          <t>DA CHIUDERE</t>
        </is>
      </c>
      <c r="N155" s="109" t="n"/>
      <c r="O155" s="109" t="n"/>
      <c r="P155" s="109" t="n"/>
      <c r="Q155" s="109" t="inlineStr">
        <is>
          <t>STRUMENTO FUNZIONANTE.</t>
        </is>
      </c>
      <c r="R155" s="110" t="n">
        <v>45645</v>
      </c>
      <c r="S155" s="110" t="inlineStr">
        <is>
          <t>SPINALI</t>
        </is>
      </c>
      <c r="T155" s="116">
        <f>IF(AND('Inserimento dati'!$B$3=$H$2, Tabella3[[#This Row],[LUN]]="X"), "X",IF(AND('Inserimento dati'!$B$3=$I$2, Tabella3[[#This Row],[MAR]]="X"), "X", IF(AND('Inserimento dati'!$B$3=$J$2, Tabella3[[#This Row],[MER]]="X"), "X",IF(AND('Inserimento dati'!$B$3=$K$2, Tabella3[[#This Row],[GIO]]="X"), "X", IF(AND('Inserimento dati'!$B$3=$L$2, Tabella3[[#This Row],[VEN]]="X"), "X","")))))</f>
        <v/>
      </c>
      <c r="U155" s="144">
        <f>IFERROR(MID(G155,_xlfn.AGGREGATE(15,6,(ROW(INDIRECT("1:"&amp;LEN(G155)-7)))/(ISNUMBER(--MID(G155,ROW(INDIRECT("1:"&amp;LEN(G155)-7)),8))),1),8),"")</f>
        <v/>
      </c>
      <c r="V155" t="inlineStr">
        <is>
          <t>2025-09-30 20:00:00</t>
        </is>
      </c>
    </row>
    <row r="156" ht="23.25" customFormat="1" customHeight="1" s="45">
      <c r="A156" s="112" t="n"/>
      <c r="B156" s="112">
        <f>IF(OR(A156="x",A156="X"),"",IF(ISBLANK(A156),"X",""))</f>
        <v/>
      </c>
      <c r="C156" s="112">
        <f>IF(OR(Tabella3[[#This Row],[LUN]]="X",Tabella3[[#This Row],[MAR]]="X",Tabella3[[#This Row],[MER]]="X",Tabella3[[#This Row],[GIO]]="X",Tabella3[[#This Row],[VEN]]="X",),"X","")</f>
        <v/>
      </c>
      <c r="D156" s="113" t="inlineStr">
        <is>
          <t>AREA 3</t>
        </is>
      </c>
      <c r="E156" s="109" t="inlineStr">
        <is>
          <t>520054/C</t>
        </is>
      </c>
      <c r="F156" s="109" t="inlineStr">
        <is>
          <t>1200/4</t>
        </is>
      </c>
      <c r="G156" s="109" t="inlineStr">
        <is>
          <t xml:space="preserve"> 1200/4 Spilling MEA  F306RC CONTROLLO FUNZIONALE</t>
        </is>
      </c>
      <c r="H156" s="111" t="n"/>
      <c r="I156" s="111" t="n"/>
      <c r="J156" s="111" t="n"/>
      <c r="K156" s="111" t="n"/>
      <c r="L156" s="111" t="n"/>
      <c r="M156" s="109" t="inlineStr">
        <is>
          <t>DA CHIUDERE</t>
        </is>
      </c>
      <c r="N156" s="109" t="n"/>
      <c r="O156" s="109" t="n"/>
      <c r="P156" s="109" t="n"/>
      <c r="Q156" s="109" t="inlineStr">
        <is>
          <t>REGOLATI FLUSSAGGI.</t>
        </is>
      </c>
      <c r="R156" s="110" t="n">
        <v>45644</v>
      </c>
      <c r="S156" s="110" t="inlineStr">
        <is>
          <t>SPINALI</t>
        </is>
      </c>
      <c r="T156" s="116">
        <f>IF(AND('Inserimento dati'!$B$3=$H$2, Tabella3[[#This Row],[LUN]]="X"), "X",IF(AND('Inserimento dati'!$B$3=$I$2, Tabella3[[#This Row],[MAR]]="X"), "X", IF(AND('Inserimento dati'!$B$3=$J$2, Tabella3[[#This Row],[MER]]="X"), "X",IF(AND('Inserimento dati'!$B$3=$K$2, Tabella3[[#This Row],[GIO]]="X"), "X", IF(AND('Inserimento dati'!$B$3=$L$2, Tabella3[[#This Row],[VEN]]="X"), "X","")))))</f>
        <v/>
      </c>
      <c r="U156" s="144">
        <f>IFERROR(MID(G156,_xlfn.AGGREGATE(15,6,(ROW(INDIRECT("1:"&amp;LEN(G156)-7)))/(ISNUMBER(--MID(G156,ROW(INDIRECT("1:"&amp;LEN(G156)-7)),8))),1),8),"")</f>
        <v/>
      </c>
      <c r="V156" t="inlineStr">
        <is>
          <t>2025-09-30 20:00:00</t>
        </is>
      </c>
    </row>
    <row r="157" ht="23.25" customFormat="1" customHeight="1" s="45">
      <c r="A157" s="112" t="n"/>
      <c r="B157" s="112">
        <f>IF(OR(A157="x",A157="X"),"",IF(ISBLANK(A157),"X",""))</f>
        <v/>
      </c>
      <c r="C157" s="112">
        <f>IF(OR(Tabella3[[#This Row],[LUN]]="X",Tabella3[[#This Row],[MAR]]="X",Tabella3[[#This Row],[MER]]="X",Tabella3[[#This Row],[GIO]]="X",Tabella3[[#This Row],[VEN]]="X",),"X","")</f>
        <v/>
      </c>
      <c r="D157" s="113" t="inlineStr">
        <is>
          <t>AREA 3</t>
        </is>
      </c>
      <c r="E157" s="109" t="inlineStr">
        <is>
          <t>520329/C</t>
        </is>
      </c>
      <c r="F157" s="109" t="n">
        <v>800</v>
      </c>
      <c r="G157" s="109" t="inlineStr">
        <is>
          <t xml:space="preserve"> 08L106SL (blocco basso livello D103 attualmente attivo)., da ripristinare</t>
        </is>
      </c>
      <c r="H157" s="111" t="n"/>
      <c r="I157" s="111" t="n"/>
      <c r="J157" s="111" t="n"/>
      <c r="K157" s="111" t="n"/>
      <c r="L157" s="111" t="n"/>
      <c r="M157" s="109" t="inlineStr">
        <is>
          <t>DA CHIUDERE</t>
        </is>
      </c>
      <c r="N157" s="109" t="n"/>
      <c r="O157" s="109" t="n"/>
      <c r="P157" s="109" t="n"/>
      <c r="Q157" s="109" t="inlineStr">
        <is>
          <t>SOSTITUITO EQUIPAGGIO MOBILE E FLESSIBILE.</t>
        </is>
      </c>
      <c r="R157" s="110" t="n">
        <v>45644</v>
      </c>
      <c r="S157" s="110" t="inlineStr">
        <is>
          <t>SPINALI</t>
        </is>
      </c>
      <c r="T157" s="116">
        <f>IF(AND('Inserimento dati'!$B$3=$H$2, Tabella3[[#This Row],[LUN]]="X"), "X",IF(AND('Inserimento dati'!$B$3=$I$2, Tabella3[[#This Row],[MAR]]="X"), "X", IF(AND('Inserimento dati'!$B$3=$J$2, Tabella3[[#This Row],[MER]]="X"), "X",IF(AND('Inserimento dati'!$B$3=$K$2, Tabella3[[#This Row],[GIO]]="X"), "X", IF(AND('Inserimento dati'!$B$3=$L$2, Tabella3[[#This Row],[VEN]]="X"), "X","")))))</f>
        <v/>
      </c>
      <c r="U157" s="144">
        <f>IFERROR(MID(G157,_xlfn.AGGREGATE(15,6,(ROW(INDIRECT("1:"&amp;LEN(G157)-7)))/(ISNUMBER(--MID(G157,ROW(INDIRECT("1:"&amp;LEN(G157)-7)),8))),1),8),"")</f>
        <v/>
      </c>
      <c r="V157" t="inlineStr">
        <is>
          <t>2025-09-30 20:00:00</t>
        </is>
      </c>
    </row>
    <row r="158" ht="23.25" customFormat="1" customHeight="1" s="45">
      <c r="A158" s="112" t="n"/>
      <c r="B158" s="112">
        <f>IF(OR(A158="x",A158="X"),"",IF(ISBLANK(A158),"X",""))</f>
        <v/>
      </c>
      <c r="C158" s="112">
        <f>IF(OR(Tabella3[[#This Row],[LUN]]="X",Tabella3[[#This Row],[MAR]]="X",Tabella3[[#This Row],[MER]]="X",Tabella3[[#This Row],[GIO]]="X",Tabella3[[#This Row],[VEN]]="X",),"X","")</f>
        <v/>
      </c>
      <c r="D158" s="113" t="inlineStr">
        <is>
          <t>AREA 3</t>
        </is>
      </c>
      <c r="E158" s="109" t="inlineStr">
        <is>
          <t>520331/C</t>
        </is>
      </c>
      <c r="F158" s="109" t="n">
        <v>800</v>
      </c>
      <c r="G158" s="109" t="inlineStr">
        <is>
          <t xml:space="preserve"> 800: PCV102 (F.G. ai piloti) si muove a scatti. </t>
        </is>
      </c>
      <c r="H158" s="111" t="n"/>
      <c r="I158" s="111" t="n"/>
      <c r="J158" s="111" t="n"/>
      <c r="K158" s="111" t="n"/>
      <c r="L158" s="111" t="n"/>
      <c r="M158" s="109" t="inlineStr">
        <is>
          <t>DA CHIUDERE</t>
        </is>
      </c>
      <c r="N158" s="109" t="n"/>
      <c r="O158" s="109" t="n"/>
      <c r="P158" s="109" t="n"/>
      <c r="Q158" s="109" t="inlineStr">
        <is>
          <t>TARATO REGOLATORE E CONSEGNATO AD ESERCIZIO</t>
        </is>
      </c>
      <c r="R158" s="110" t="n">
        <v>45643</v>
      </c>
      <c r="S158" s="110" t="inlineStr">
        <is>
          <t>MILLO</t>
        </is>
      </c>
      <c r="T158" s="116">
        <f>IF(AND('Inserimento dati'!$B$3=$H$2, Tabella3[[#This Row],[LUN]]="X"), "X",IF(AND('Inserimento dati'!$B$3=$I$2, Tabella3[[#This Row],[MAR]]="X"), "X", IF(AND('Inserimento dati'!$B$3=$J$2, Tabella3[[#This Row],[MER]]="X"), "X",IF(AND('Inserimento dati'!$B$3=$K$2, Tabella3[[#This Row],[GIO]]="X"), "X", IF(AND('Inserimento dati'!$B$3=$L$2, Tabella3[[#This Row],[VEN]]="X"), "X","")))))</f>
        <v/>
      </c>
      <c r="U158" s="144">
        <f>IFERROR(MID(G158,_xlfn.AGGREGATE(15,6,(ROW(INDIRECT("1:"&amp;LEN(G158)-7)))/(ISNUMBER(--MID(G158,ROW(INDIRECT("1:"&amp;LEN(G158)-7)),8))),1),8),"")</f>
        <v/>
      </c>
      <c r="V158" t="inlineStr">
        <is>
          <t>2025-09-30 20:00:00</t>
        </is>
      </c>
    </row>
    <row r="159" ht="23.25" customFormat="1" customHeight="1" s="45">
      <c r="A159" s="112" t="n"/>
      <c r="B159" s="112">
        <f>IF(OR(A159="x",A159="X"),"",IF(ISBLANK(A159),"X",""))</f>
        <v/>
      </c>
      <c r="C159" s="112">
        <f>IF(OR(Tabella3[[#This Row],[LUN]]="X",Tabella3[[#This Row],[MAR]]="X",Tabella3[[#This Row],[MER]]="X",Tabella3[[#This Row],[GIO]]="X",Tabella3[[#This Row],[VEN]]="X",),"X","")</f>
        <v/>
      </c>
      <c r="D159" s="113" t="inlineStr">
        <is>
          <t>AREA 3</t>
        </is>
      </c>
      <c r="E159" s="109" t="inlineStr">
        <is>
          <t>520289/C</t>
        </is>
      </c>
      <c r="F159" s="109" t="n">
        <v>1800</v>
      </c>
      <c r="G159" s="109" t="inlineStr">
        <is>
          <t xml:space="preserve"> 1800: VERIFICA 18PD600I</t>
        </is>
      </c>
      <c r="H159" s="111" t="n"/>
      <c r="I159" s="111" t="n"/>
      <c r="J159" s="111" t="n"/>
      <c r="K159" s="111" t="n"/>
      <c r="L159" s="111" t="n"/>
      <c r="M159" s="109" t="inlineStr">
        <is>
          <t>DA CHIUDERE</t>
        </is>
      </c>
      <c r="N159" s="109" t="n"/>
      <c r="O159" s="109" t="n"/>
      <c r="P159" s="109" t="n"/>
      <c r="Q159" s="109" t="n"/>
      <c r="R159" s="110" t="n">
        <v>45643</v>
      </c>
      <c r="S159" s="110" t="inlineStr">
        <is>
          <t>TARASCIO</t>
        </is>
      </c>
      <c r="T159" s="116">
        <f>IF(AND('Inserimento dati'!$B$3=$H$2, Tabella3[[#This Row],[LUN]]="X"), "X",IF(AND('Inserimento dati'!$B$3=$I$2, Tabella3[[#This Row],[MAR]]="X"), "X", IF(AND('Inserimento dati'!$B$3=$J$2, Tabella3[[#This Row],[MER]]="X"), "X",IF(AND('Inserimento dati'!$B$3=$K$2, Tabella3[[#This Row],[GIO]]="X"), "X", IF(AND('Inserimento dati'!$B$3=$L$2, Tabella3[[#This Row],[VEN]]="X"), "X","")))))</f>
        <v/>
      </c>
      <c r="U159" s="144">
        <f>IFERROR(MID(G159,_xlfn.AGGREGATE(15,6,(ROW(INDIRECT("1:"&amp;LEN(G159)-7)))/(ISNUMBER(--MID(G159,ROW(INDIRECT("1:"&amp;LEN(G159)-7)),8))),1),8),"")</f>
        <v/>
      </c>
      <c r="V159" t="inlineStr">
        <is>
          <t>2025-09-30 20:00:00</t>
        </is>
      </c>
    </row>
    <row r="160" ht="30" customFormat="1" customHeight="1" s="45">
      <c r="A160" s="112" t="n"/>
      <c r="B160" s="112">
        <f>IF(OR(A160="x",A160="X"),"",IF(ISBLANK(A160),"X",""))</f>
        <v/>
      </c>
      <c r="C160" s="112">
        <f>IF(OR(Tabella3[[#This Row],[LUN]]="X",Tabella3[[#This Row],[MAR]]="X",Tabella3[[#This Row],[MER]]="X",Tabella3[[#This Row],[GIO]]="X",Tabella3[[#This Row],[VEN]]="X",),"X","")</f>
        <v/>
      </c>
      <c r="D160" s="113" t="inlineStr">
        <is>
          <t>AREA 3</t>
        </is>
      </c>
      <c r="E160" s="109" t="inlineStr">
        <is>
          <t>517463/C</t>
        </is>
      </c>
      <c r="F160" s="109" t="n">
        <v>800</v>
      </c>
      <c r="G160" s="109" t="inlineStr">
        <is>
          <t xml:space="preserve"> Ripristino funzionalita' 08T116I (Ingresso R-103) Imp. 800</t>
        </is>
      </c>
      <c r="H160" s="111" t="n"/>
      <c r="I160" s="111" t="n"/>
      <c r="J160" s="111" t="n"/>
      <c r="K160" s="111" t="n"/>
      <c r="L160" s="111" t="n"/>
      <c r="M160" s="109" t="inlineStr">
        <is>
          <t>DA CHIUDERE</t>
        </is>
      </c>
      <c r="N160" s="109" t="n"/>
      <c r="O160" s="109" t="n"/>
      <c r="P160" s="109" t="n"/>
      <c r="Q160" s="109" t="inlineStr">
        <is>
          <t>ATTIVITA' CHE SI PROSEGUE CON PDL 520358/C (ALLEGATO PONTEGGIO)</t>
        </is>
      </c>
      <c r="R160" s="110" t="n"/>
      <c r="S160" s="110" t="n"/>
      <c r="T160" s="116">
        <f>IF(AND('Inserimento dati'!$B$3=$H$2, Tabella3[[#This Row],[LUN]]="X"), "X",IF(AND('Inserimento dati'!$B$3=$I$2, Tabella3[[#This Row],[MAR]]="X"), "X", IF(AND('Inserimento dati'!$B$3=$J$2, Tabella3[[#This Row],[MER]]="X"), "X",IF(AND('Inserimento dati'!$B$3=$K$2, Tabella3[[#This Row],[GIO]]="X"), "X", IF(AND('Inserimento dati'!$B$3=$L$2, Tabella3[[#This Row],[VEN]]="X"), "X","")))))</f>
        <v/>
      </c>
      <c r="U160" s="144">
        <f>IFERROR(MID(G160,_xlfn.AGGREGATE(15,6,(ROW(INDIRECT("1:"&amp;LEN(G160)-7)))/(ISNUMBER(--MID(G160,ROW(INDIRECT("1:"&amp;LEN(G160)-7)),8))),1),8),"")</f>
        <v/>
      </c>
      <c r="V160" t="inlineStr">
        <is>
          <t>2025-09-30 20:00:00</t>
        </is>
      </c>
    </row>
    <row r="161" ht="23.25" customFormat="1" customHeight="1" s="45">
      <c r="A161" s="112" t="n"/>
      <c r="B161" s="112">
        <f>IF(OR(A161="x",A161="X"),"",IF(ISBLANK(A161),"X",""))</f>
        <v/>
      </c>
      <c r="C161" s="112">
        <f>IF(OR(Tabella3[[#This Row],[LUN]]="X",Tabella3[[#This Row],[MAR]]="X",Tabella3[[#This Row],[MER]]="X",Tabella3[[#This Row],[GIO]]="X",Tabella3[[#This Row],[VEN]]="X",),"X","")</f>
        <v/>
      </c>
      <c r="D161" s="113" t="inlineStr">
        <is>
          <t>AREA 3</t>
        </is>
      </c>
      <c r="E161" s="109" t="inlineStr">
        <is>
          <t>520155/C</t>
        </is>
      </c>
      <c r="F161" s="109" t="inlineStr">
        <is>
          <t>1200/2</t>
        </is>
      </c>
      <c r="G161" s="109" t="inlineStr">
        <is>
          <t xml:space="preserve"> 1200/2 - F101 CONTROLLO FUNZIONALE  FOTOCELLULA </t>
        </is>
      </c>
      <c r="H161" s="111" t="n"/>
      <c r="I161" s="111" t="n"/>
      <c r="J161" s="111" t="n"/>
      <c r="K161" s="111" t="n"/>
      <c r="L161" s="111" t="n"/>
      <c r="M161" s="109" t="inlineStr">
        <is>
          <t>DA CHIUDERE</t>
        </is>
      </c>
      <c r="N161" s="109" t="n"/>
      <c r="O161" s="109" t="n"/>
      <c r="P161" s="109" t="n"/>
      <c r="Q161" s="109" t="inlineStr">
        <is>
          <t>RIPRISTINATA FUNZIONALITA'.</t>
        </is>
      </c>
      <c r="R161" s="110" t="n">
        <v>45642</v>
      </c>
      <c r="S161" s="110" t="inlineStr">
        <is>
          <t>SPINALI D.</t>
        </is>
      </c>
      <c r="T161" s="116">
        <f>IF(AND('Inserimento dati'!$B$3=$H$2, Tabella3[[#This Row],[LUN]]="X"), "X",IF(AND('Inserimento dati'!$B$3=$I$2, Tabella3[[#This Row],[MAR]]="X"), "X", IF(AND('Inserimento dati'!$B$3=$J$2, Tabella3[[#This Row],[MER]]="X"), "X",IF(AND('Inserimento dati'!$B$3=$K$2, Tabella3[[#This Row],[GIO]]="X"), "X", IF(AND('Inserimento dati'!$B$3=$L$2, Tabella3[[#This Row],[VEN]]="X"), "X","")))))</f>
        <v/>
      </c>
      <c r="U161" s="144">
        <f>IFERROR(MID(G161,_xlfn.AGGREGATE(15,6,(ROW(INDIRECT("1:"&amp;LEN(G161)-7)))/(ISNUMBER(--MID(G161,ROW(INDIRECT("1:"&amp;LEN(G161)-7)),8))),1),8),"")</f>
        <v/>
      </c>
      <c r="V161" t="inlineStr">
        <is>
          <t>2025-09-30 20:00:00</t>
        </is>
      </c>
    </row>
    <row r="162" ht="23.25" customFormat="1" customHeight="1" s="45">
      <c r="A162" s="112" t="n"/>
      <c r="B162" s="112">
        <f>IF(OR(A162="x",A162="X"),"",IF(ISBLANK(A162),"X",""))</f>
        <v/>
      </c>
      <c r="C162" s="112">
        <f>IF(OR(Tabella3[[#This Row],[LUN]]="X",Tabella3[[#This Row],[MAR]]="X",Tabella3[[#This Row],[MER]]="X",Tabella3[[#This Row],[GIO]]="X",Tabella3[[#This Row],[VEN]]="X",),"X","")</f>
        <v/>
      </c>
      <c r="D162" s="113" t="inlineStr">
        <is>
          <t>AREA 3</t>
        </is>
      </c>
      <c r="E162" s="109" t="inlineStr">
        <is>
          <t>519589/C</t>
        </is>
      </c>
      <c r="F162" s="109" t="n">
        <v>1800</v>
      </c>
      <c r="G162" s="109" t="inlineStr">
        <is>
          <t xml:space="preserve"> 1800: controllo termocoppie flussaggio compressore (18T436A e 18T436B). C101</t>
        </is>
      </c>
      <c r="H162" s="111" t="n"/>
      <c r="I162" s="111" t="n"/>
      <c r="J162" s="111" t="n"/>
      <c r="K162" s="111" t="n"/>
      <c r="L162" s="111" t="n"/>
      <c r="M162" s="109" t="inlineStr">
        <is>
          <t>DA CHIUDERE</t>
        </is>
      </c>
      <c r="N162" s="109" t="n"/>
      <c r="O162" s="109" t="n"/>
      <c r="P162" s="109" t="n"/>
      <c r="Q162" s="109" t="inlineStr">
        <is>
          <t>NESSUNA ANOMALIA</t>
        </is>
      </c>
      <c r="R162" s="110" t="n">
        <v>45642</v>
      </c>
      <c r="S162" s="110" t="inlineStr">
        <is>
          <t>TARASCIO</t>
        </is>
      </c>
      <c r="T162" s="116">
        <f>IF(AND('Inserimento dati'!$B$3=$H$2, Tabella3[[#This Row],[LUN]]="X"), "X",IF(AND('Inserimento dati'!$B$3=$I$2, Tabella3[[#This Row],[MAR]]="X"), "X", IF(AND('Inserimento dati'!$B$3=$J$2, Tabella3[[#This Row],[MER]]="X"), "X",IF(AND('Inserimento dati'!$B$3=$K$2, Tabella3[[#This Row],[GIO]]="X"), "X", IF(AND('Inserimento dati'!$B$3=$L$2, Tabella3[[#This Row],[VEN]]="X"), "X","")))))</f>
        <v/>
      </c>
      <c r="U162" s="144">
        <f>IFERROR(MID(G162,_xlfn.AGGREGATE(15,6,(ROW(INDIRECT("1:"&amp;LEN(G162)-7)))/(ISNUMBER(--MID(G162,ROW(INDIRECT("1:"&amp;LEN(G162)-7)),8))),1),8),"")</f>
        <v/>
      </c>
      <c r="V162" t="inlineStr">
        <is>
          <t>2025-09-30 20:00:00</t>
        </is>
      </c>
    </row>
    <row r="163" ht="30" customFormat="1" customHeight="1" s="45">
      <c r="A163" s="112" t="n"/>
      <c r="B163" s="112">
        <f>IF(OR(A163="x",A163="X"),"",IF(ISBLANK(A163),"X",""))</f>
        <v/>
      </c>
      <c r="C163" s="112">
        <f>IF(OR(Tabella3[[#This Row],[LUN]]="X",Tabella3[[#This Row],[MAR]]="X",Tabella3[[#This Row],[MER]]="X",Tabella3[[#This Row],[GIO]]="X",Tabella3[[#This Row],[VEN]]="X",),"X","")</f>
        <v/>
      </c>
      <c r="D163" s="113" t="inlineStr">
        <is>
          <t>AREA 3</t>
        </is>
      </c>
      <c r="E163" s="109" t="inlineStr">
        <is>
          <t>520058/C</t>
        </is>
      </c>
      <c r="F163" s="109" t="inlineStr">
        <is>
          <t>1200/1</t>
        </is>
      </c>
      <c r="G163" s="109" t="inlineStr">
        <is>
          <t xml:space="preserve"> 1200-1-F101 CONTROLLO FUNZIONALE  FOTOCELLULA e Z1L301SH risulta essere in allarme.</t>
        </is>
      </c>
      <c r="H163" s="111" t="n"/>
      <c r="I163" s="111" t="n"/>
      <c r="J163" s="111" t="n"/>
      <c r="K163" s="111" t="n"/>
      <c r="L163" s="111" t="n"/>
      <c r="M163" s="109" t="inlineStr">
        <is>
          <t>DA CHIUDERE</t>
        </is>
      </c>
      <c r="N163" s="109" t="n"/>
      <c r="O163" s="109" t="n"/>
      <c r="P163" s="109" t="n"/>
      <c r="Q163" s="109" t="inlineStr">
        <is>
          <t>SI PROSEGUE ATTIVITA' CON PDL SPECIFICI: 520152/C E 520153/C</t>
        </is>
      </c>
      <c r="R163" s="110" t="n">
        <v>45642</v>
      </c>
      <c r="S163" s="110" t="inlineStr">
        <is>
          <t>PARTESANO</t>
        </is>
      </c>
      <c r="T163" s="116">
        <f>IF(AND('Inserimento dati'!$B$3=$H$2, Tabella3[[#This Row],[LUN]]="X"), "X",IF(AND('Inserimento dati'!$B$3=$I$2, Tabella3[[#This Row],[MAR]]="X"), "X", IF(AND('Inserimento dati'!$B$3=$J$2, Tabella3[[#This Row],[MER]]="X"), "X",IF(AND('Inserimento dati'!$B$3=$K$2, Tabella3[[#This Row],[GIO]]="X"), "X", IF(AND('Inserimento dati'!$B$3=$L$2, Tabella3[[#This Row],[VEN]]="X"), "X","")))))</f>
        <v/>
      </c>
      <c r="U163" s="144">
        <f>IFERROR(MID(G163,_xlfn.AGGREGATE(15,6,(ROW(INDIRECT("1:"&amp;LEN(G163)-7)))/(ISNUMBER(--MID(G163,ROW(INDIRECT("1:"&amp;LEN(G163)-7)),8))),1),8),"")</f>
        <v/>
      </c>
      <c r="V163" t="inlineStr">
        <is>
          <t>2025-09-30 20:00:00</t>
        </is>
      </c>
    </row>
    <row r="164" ht="30" customFormat="1" customHeight="1" s="45">
      <c r="A164" s="112" t="n"/>
      <c r="B164" s="112">
        <f>IF(OR(A164="x",A164="X"),"",IF(ISBLANK(A164),"X",""))</f>
        <v/>
      </c>
      <c r="C164" s="112">
        <f>IF(OR(Tabella3[[#This Row],[LUN]]="X",Tabella3[[#This Row],[MAR]]="X",Tabella3[[#This Row],[MER]]="X",Tabella3[[#This Row],[GIO]]="X",Tabella3[[#This Row],[VEN]]="X",),"X","")</f>
        <v/>
      </c>
      <c r="D164" s="113" t="inlineStr">
        <is>
          <t>AREA 3</t>
        </is>
      </c>
      <c r="E164" s="109" t="inlineStr">
        <is>
          <t>518096/C</t>
        </is>
      </c>
      <c r="F164" s="109" t="inlineStr">
        <is>
          <t>1200/4</t>
        </is>
      </c>
      <c r="G164" s="109" t="inlineStr">
        <is>
          <t xml:space="preserve"> 10210892  - 1200: Z4B301SV ripr. Finecorsa.</t>
        </is>
      </c>
      <c r="H164" s="111" t="n"/>
      <c r="I164" s="111" t="n"/>
      <c r="J164" s="111" t="n"/>
      <c r="K164" s="111" t="n"/>
      <c r="L164" s="111" t="n"/>
      <c r="M164" s="109" t="inlineStr">
        <is>
          <t>DA CHIUDERE</t>
        </is>
      </c>
      <c r="N164" s="109" t="n"/>
      <c r="O164" s="109" t="n"/>
      <c r="P164" s="109" t="n"/>
      <c r="Q164" s="109" t="n"/>
      <c r="R164" s="110" t="n">
        <v>45638</v>
      </c>
      <c r="S164" s="110" t="inlineStr">
        <is>
          <t>TARASCIO/PARTESANO</t>
        </is>
      </c>
      <c r="T164" s="116">
        <f>IF(AND('Inserimento dati'!$B$3=$H$2, Tabella3[[#This Row],[LUN]]="X"), "X",IF(AND('Inserimento dati'!$B$3=$I$2, Tabella3[[#This Row],[MAR]]="X"), "X", IF(AND('Inserimento dati'!$B$3=$J$2, Tabella3[[#This Row],[MER]]="X"), "X",IF(AND('Inserimento dati'!$B$3=$K$2, Tabella3[[#This Row],[GIO]]="X"), "X", IF(AND('Inserimento dati'!$B$3=$L$2, Tabella3[[#This Row],[VEN]]="X"), "X","")))))</f>
        <v/>
      </c>
      <c r="U164" s="144">
        <f>IFERROR(MID(G164,_xlfn.AGGREGATE(15,6,(ROW(INDIRECT("1:"&amp;LEN(G164)-7)))/(ISNUMBER(--MID(G164,ROW(INDIRECT("1:"&amp;LEN(G164)-7)),8))),1),8),"")</f>
        <v/>
      </c>
      <c r="V164" t="inlineStr">
        <is>
          <t>2025-09-30 20:00:00</t>
        </is>
      </c>
    </row>
    <row r="165" ht="23.25" customFormat="1" customHeight="1" s="45">
      <c r="A165" s="112" t="n"/>
      <c r="B165" s="112">
        <f>IF(OR(A165="x",A165="X"),"",IF(ISBLANK(A165),"X",""))</f>
        <v/>
      </c>
      <c r="C165" s="112">
        <f>IF(OR(Tabella3[[#This Row],[LUN]]="X",Tabella3[[#This Row],[MAR]]="X",Tabella3[[#This Row],[MER]]="X",Tabella3[[#This Row],[GIO]]="X",Tabella3[[#This Row],[VEN]]="X",),"X","")</f>
        <v/>
      </c>
      <c r="D165" s="113" t="inlineStr">
        <is>
          <t>AREA 3</t>
        </is>
      </c>
      <c r="E165" s="109" t="inlineStr">
        <is>
          <t>518166/C</t>
        </is>
      </c>
      <c r="F165" s="109" t="inlineStr">
        <is>
          <t>1200/3</t>
        </is>
      </c>
      <c r="G165" s="109" t="inlineStr">
        <is>
          <t xml:space="preserve"> 10212202    Ripristino FR carica SWS L3 Z3F302RC</t>
        </is>
      </c>
      <c r="H165" s="111" t="n"/>
      <c r="I165" s="111" t="n"/>
      <c r="J165" s="111" t="n"/>
      <c r="K165" s="111" t="n"/>
      <c r="L165" s="111" t="n"/>
      <c r="M165" s="109" t="inlineStr">
        <is>
          <t>DA CHIUDERE</t>
        </is>
      </c>
      <c r="N165" s="109" t="n"/>
      <c r="O165" s="109" t="n"/>
      <c r="P165" s="109" t="n"/>
      <c r="Q165" s="109" t="inlineStr">
        <is>
          <t>POSITIVA SPORCA, SPURGATA E RIPRISTINATA LA FUNZIONALITA'</t>
        </is>
      </c>
      <c r="R165" s="110" t="n">
        <v>45636</v>
      </c>
      <c r="S165" s="110" t="inlineStr">
        <is>
          <t>TARASCIO</t>
        </is>
      </c>
      <c r="T165" s="116">
        <f>IF(AND('Inserimento dati'!$B$3=$H$2, Tabella3[[#This Row],[LUN]]="X"), "X",IF(AND('Inserimento dati'!$B$3=$I$2, Tabella3[[#This Row],[MAR]]="X"), "X", IF(AND('Inserimento dati'!$B$3=$J$2, Tabella3[[#This Row],[MER]]="X"), "X",IF(AND('Inserimento dati'!$B$3=$K$2, Tabella3[[#This Row],[GIO]]="X"), "X", IF(AND('Inserimento dati'!$B$3=$L$2, Tabella3[[#This Row],[VEN]]="X"), "X","")))))</f>
        <v/>
      </c>
      <c r="U165" s="144">
        <f>IFERROR(MID(G165,_xlfn.AGGREGATE(15,6,(ROW(INDIRECT("1:"&amp;LEN(G165)-7)))/(ISNUMBER(--MID(G165,ROW(INDIRECT("1:"&amp;LEN(G165)-7)),8))),1),8),"")</f>
        <v/>
      </c>
      <c r="V165" t="inlineStr">
        <is>
          <t>2025-09-30 20:00:00</t>
        </is>
      </c>
    </row>
    <row r="166" ht="23.25" customFormat="1" customHeight="1" s="45">
      <c r="A166" s="112" t="n"/>
      <c r="B166" s="112">
        <f>IF(OR(A166="x",A166="X"),"",IF(ISBLANK(A166),"X",""))</f>
        <v/>
      </c>
      <c r="C166" s="112">
        <f>IF(OR(Tabella3[[#This Row],[LUN]]="X",Tabella3[[#This Row],[MAR]]="X",Tabella3[[#This Row],[MER]]="X",Tabella3[[#This Row],[GIO]]="X",Tabella3[[#This Row],[VEN]]="X",),"X","")</f>
        <v/>
      </c>
      <c r="D166" s="113" t="inlineStr">
        <is>
          <t>AREA 3</t>
        </is>
      </c>
      <c r="E166" s="109" t="inlineStr">
        <is>
          <t>517954/C</t>
        </is>
      </c>
      <c r="F166" s="109" t="inlineStr">
        <is>
          <t>1200/4</t>
        </is>
      </c>
      <c r="G166" s="109" t="inlineStr">
        <is>
          <t xml:space="preserve"> 1200/4  Ripristino strumentazione Linea 4  FR 306 spilling</t>
        </is>
      </c>
      <c r="H166" s="111" t="n"/>
      <c r="I166" s="111" t="n"/>
      <c r="J166" s="111" t="n"/>
      <c r="K166" s="111" t="n"/>
      <c r="L166" s="111" t="n"/>
      <c r="M166" s="109" t="inlineStr">
        <is>
          <t>DA CHIUDERE</t>
        </is>
      </c>
      <c r="N166" s="109" t="n"/>
      <c r="O166" s="109" t="n"/>
      <c r="P166" s="109" t="n"/>
      <c r="Q166" s="109" t="n"/>
      <c r="R166" s="110" t="n">
        <v>45632</v>
      </c>
      <c r="S166" s="110" t="n"/>
      <c r="T166" s="116">
        <f>IF(AND('Inserimento dati'!$B$3=$H$2, Tabella3[[#This Row],[LUN]]="X"), "X",IF(AND('Inserimento dati'!$B$3=$I$2, Tabella3[[#This Row],[MAR]]="X"), "X", IF(AND('Inserimento dati'!$B$3=$J$2, Tabella3[[#This Row],[MER]]="X"), "X",IF(AND('Inserimento dati'!$B$3=$K$2, Tabella3[[#This Row],[GIO]]="X"), "X", IF(AND('Inserimento dati'!$B$3=$L$2, Tabella3[[#This Row],[VEN]]="X"), "X","")))))</f>
        <v/>
      </c>
      <c r="U166" s="144">
        <f>IFERROR(MID(G166,_xlfn.AGGREGATE(15,6,(ROW(INDIRECT("1:"&amp;LEN(G166)-7)))/(ISNUMBER(--MID(G166,ROW(INDIRECT("1:"&amp;LEN(G166)-7)),8))),1),8),"")</f>
        <v/>
      </c>
      <c r="V166" t="inlineStr">
        <is>
          <t>2025-09-30 20:00:00</t>
        </is>
      </c>
    </row>
    <row r="167" ht="23.25" customFormat="1" customHeight="1" s="45">
      <c r="A167" s="112" t="n"/>
      <c r="B167" s="112">
        <f>IF(OR(A167="x",A167="X"),"",IF(ISBLANK(A167),"X",""))</f>
        <v/>
      </c>
      <c r="C167" s="112">
        <f>IF(OR(Tabella3[[#This Row],[LUN]]="X",Tabella3[[#This Row],[MAR]]="X",Tabella3[[#This Row],[MER]]="X",Tabella3[[#This Row],[GIO]]="X",Tabella3[[#This Row],[VEN]]="X",),"X","")</f>
        <v/>
      </c>
      <c r="D167" s="113" t="inlineStr">
        <is>
          <t>AREA 3</t>
        </is>
      </c>
      <c r="E167" s="109" t="inlineStr">
        <is>
          <t>517957/C</t>
        </is>
      </c>
      <c r="F167" s="109" t="inlineStr">
        <is>
          <t>1200/2</t>
        </is>
      </c>
      <c r="G167" s="109" t="inlineStr">
        <is>
          <t xml:space="preserve"> 1200/2  Ripristino strumentazione Linea 2  FR 306 spilling</t>
        </is>
      </c>
      <c r="H167" s="111" t="n"/>
      <c r="I167" s="111" t="n"/>
      <c r="J167" s="111" t="n"/>
      <c r="K167" s="111" t="n"/>
      <c r="L167" s="111" t="n"/>
      <c r="M167" s="109" t="inlineStr">
        <is>
          <t>DA CHIUDERE</t>
        </is>
      </c>
      <c r="N167" s="109" t="n"/>
      <c r="O167" s="109" t="n"/>
      <c r="P167" s="109" t="n"/>
      <c r="Q167" s="109" t="n"/>
      <c r="R167" s="110" t="n">
        <v>45632</v>
      </c>
      <c r="S167" s="110" t="n"/>
      <c r="T167" s="116">
        <f>IF(AND('Inserimento dati'!$B$3=$H$2, Tabella3[[#This Row],[LUN]]="X"), "X",IF(AND('Inserimento dati'!$B$3=$I$2, Tabella3[[#This Row],[MAR]]="X"), "X", IF(AND('Inserimento dati'!$B$3=$J$2, Tabella3[[#This Row],[MER]]="X"), "X",IF(AND('Inserimento dati'!$B$3=$K$2, Tabella3[[#This Row],[GIO]]="X"), "X", IF(AND('Inserimento dati'!$B$3=$L$2, Tabella3[[#This Row],[VEN]]="X"), "X","")))))</f>
        <v/>
      </c>
      <c r="U167" s="144">
        <f>IFERROR(MID(G167,_xlfn.AGGREGATE(15,6,(ROW(INDIRECT("1:"&amp;LEN(G167)-7)))/(ISNUMBER(--MID(G167,ROW(INDIRECT("1:"&amp;LEN(G167)-7)),8))),1),8),"")</f>
        <v/>
      </c>
      <c r="V167" t="inlineStr">
        <is>
          <t>2025-09-30 20:00:00</t>
        </is>
      </c>
    </row>
    <row r="168" ht="23.25" customFormat="1" customHeight="1" s="45">
      <c r="A168" s="112" t="n"/>
      <c r="B168" s="112">
        <f>IF(OR(A168="x",A168="X"),"",IF(ISBLANK(A168),"X",""))</f>
        <v/>
      </c>
      <c r="C168" s="112">
        <f>IF(OR(Tabella3[[#This Row],[LUN]]="X",Tabella3[[#This Row],[MAR]]="X",Tabella3[[#This Row],[MER]]="X",Tabella3[[#This Row],[GIO]]="X",Tabella3[[#This Row],[VEN]]="X",),"X","")</f>
        <v/>
      </c>
      <c r="D168" s="113" t="inlineStr">
        <is>
          <t>AREA 3</t>
        </is>
      </c>
      <c r="E168" s="109" t="inlineStr">
        <is>
          <t>517011/C</t>
        </is>
      </c>
      <c r="F168" s="109" t="n">
        <v>2200</v>
      </c>
      <c r="G168" s="109" t="inlineStr">
        <is>
          <t xml:space="preserve"> 2200 MTZ FERMO POMPA P105 controllo start stop</t>
        </is>
      </c>
      <c r="H168" s="111" t="n"/>
      <c r="I168" s="111" t="n"/>
      <c r="J168" s="111" t="n"/>
      <c r="K168" s="111" t="n"/>
      <c r="L168" s="111" t="n"/>
      <c r="M168" s="109" t="inlineStr">
        <is>
          <t>DA CHIUDERE</t>
        </is>
      </c>
      <c r="N168" s="109" t="n"/>
      <c r="O168" s="109" t="n"/>
      <c r="P168" s="109" t="n"/>
      <c r="Q168" s="109" t="n"/>
      <c r="R168" s="110" t="n">
        <v>45623</v>
      </c>
      <c r="S168" s="110" t="inlineStr">
        <is>
          <t>TARASCIO</t>
        </is>
      </c>
      <c r="T168" s="116">
        <f>IF(AND('Inserimento dati'!$B$3=$H$2, Tabella3[[#This Row],[LUN]]="X"), "X",IF(AND('Inserimento dati'!$B$3=$I$2, Tabella3[[#This Row],[MAR]]="X"), "X", IF(AND('Inserimento dati'!$B$3=$J$2, Tabella3[[#This Row],[MER]]="X"), "X",IF(AND('Inserimento dati'!$B$3=$K$2, Tabella3[[#This Row],[GIO]]="X"), "X", IF(AND('Inserimento dati'!$B$3=$L$2, Tabella3[[#This Row],[VEN]]="X"), "X","")))))</f>
        <v/>
      </c>
      <c r="U168" s="144">
        <f>IFERROR(MID(G168,_xlfn.AGGREGATE(15,6,(ROW(INDIRECT("1:"&amp;LEN(G168)-7)))/(ISNUMBER(--MID(G168,ROW(INDIRECT("1:"&amp;LEN(G168)-7)),8))),1),8),"")</f>
        <v/>
      </c>
      <c r="V168" t="inlineStr">
        <is>
          <t>2025-09-30 20:00:00</t>
        </is>
      </c>
    </row>
    <row r="169" ht="30" customFormat="1" customHeight="1" s="45">
      <c r="A169" s="112" t="n"/>
      <c r="B169" s="112">
        <f>IF(OR(A169="x",A169="X"),"",IF(ISBLANK(A169),"X",""))</f>
        <v/>
      </c>
      <c r="C169" s="112">
        <f>IF(OR(Tabella3[[#This Row],[LUN]]="X",Tabella3[[#This Row],[MAR]]="X",Tabella3[[#This Row],[MER]]="X",Tabella3[[#This Row],[GIO]]="X",Tabella3[[#This Row],[VEN]]="X",),"X","")</f>
        <v/>
      </c>
      <c r="D169" s="113" t="inlineStr">
        <is>
          <t>AREA 3</t>
        </is>
      </c>
      <c r="E169" s="109" t="inlineStr">
        <is>
          <t>518734/C</t>
        </is>
      </c>
      <c r="F169" s="109" t="n">
        <v>2400</v>
      </c>
      <c r="G169" s="109" t="inlineStr">
        <is>
          <t xml:space="preserve"> 2400 - L606CV ELIMINAZIONE PERDITA CIRCUITO PNEUMATICO E PROVE FUNZIONALI CON SALA CONTROLLO</t>
        </is>
      </c>
      <c r="H169" s="111" t="n"/>
      <c r="I169" s="111" t="n"/>
      <c r="J169" s="111" t="n"/>
      <c r="K169" s="111" t="n"/>
      <c r="L169" s="111" t="n"/>
      <c r="M169" s="109" t="inlineStr">
        <is>
          <t>DA CHIUDERE</t>
        </is>
      </c>
      <c r="N169" s="109" t="n"/>
      <c r="O169" s="109" t="n"/>
      <c r="P169" s="109" t="n"/>
      <c r="Q169" s="109" t="inlineStr">
        <is>
          <t>SI CONTINUA L'ATTIVITA' CON NUOVO PERMESSO: 519473/C PER LA REVISIONE IN OFFICINA.</t>
        </is>
      </c>
      <c r="R169" s="110" t="n">
        <v>45635</v>
      </c>
      <c r="S169" s="110" t="inlineStr">
        <is>
          <t>SPINALI</t>
        </is>
      </c>
      <c r="T169" s="116">
        <f>IF(AND('Inserimento dati'!$B$3=$H$2, Tabella3[[#This Row],[LUN]]="X"), "X",IF(AND('Inserimento dati'!$B$3=$I$2, Tabella3[[#This Row],[MAR]]="X"), "X", IF(AND('Inserimento dati'!$B$3=$J$2, Tabella3[[#This Row],[MER]]="X"), "X",IF(AND('Inserimento dati'!$B$3=$K$2, Tabella3[[#This Row],[GIO]]="X"), "X", IF(AND('Inserimento dati'!$B$3=$L$2, Tabella3[[#This Row],[VEN]]="X"), "X","")))))</f>
        <v/>
      </c>
      <c r="U169" s="144">
        <f>IFERROR(MID(G169,_xlfn.AGGREGATE(15,6,(ROW(INDIRECT("1:"&amp;LEN(G169)-7)))/(ISNUMBER(--MID(G169,ROW(INDIRECT("1:"&amp;LEN(G169)-7)),8))),1),8),"")</f>
        <v/>
      </c>
      <c r="V169" t="inlineStr">
        <is>
          <t>2025-09-30 20:00:00</t>
        </is>
      </c>
    </row>
    <row r="170" ht="30" customFormat="1" customHeight="1" s="45">
      <c r="A170" s="112" t="n"/>
      <c r="B170" s="112">
        <f>IF(OR(A170="x",A170="X"),"",IF(ISBLANK(A170),"X",""))</f>
        <v/>
      </c>
      <c r="C170" s="112">
        <f>IF(OR(Tabella3[[#This Row],[LUN]]="X",Tabella3[[#This Row],[MAR]]="X",Tabella3[[#This Row],[MER]]="X",Tabella3[[#This Row],[GIO]]="X",Tabella3[[#This Row],[VEN]]="X",),"X","")</f>
        <v/>
      </c>
      <c r="D170" s="113" t="inlineStr">
        <is>
          <t>AREA 3</t>
        </is>
      </c>
      <c r="E170" s="109" t="inlineStr">
        <is>
          <t>517744/C</t>
        </is>
      </c>
      <c r="F170" s="109" t="n">
        <v>700</v>
      </c>
      <c r="G170" s="109" t="inlineStr">
        <is>
          <t xml:space="preserve"> 700: ripristino PCV211 la pneumatica on off rimane aperta/chiusa</t>
        </is>
      </c>
      <c r="H170" s="111" t="n"/>
      <c r="I170" s="111" t="n"/>
      <c r="J170" s="111" t="n"/>
      <c r="K170" s="111" t="n"/>
      <c r="L170" s="111" t="n"/>
      <c r="M170" s="109" t="inlineStr">
        <is>
          <t>DA CHIUDERE</t>
        </is>
      </c>
      <c r="N170" s="109" t="n"/>
      <c r="O170" s="109" t="n"/>
      <c r="P170" s="109" t="n"/>
      <c r="Q170" s="109" t="inlineStr">
        <is>
          <t>NON ARRIVA TENSIONE ALL'ELETTROVALVOLA. SOSTITUITA ELETTROVALVOLA E STAFFATA.</t>
        </is>
      </c>
      <c r="R170" s="110" t="n">
        <v>45635</v>
      </c>
      <c r="S170" s="110" t="inlineStr">
        <is>
          <t>RICIPUTO</t>
        </is>
      </c>
      <c r="T170" s="116">
        <f>IF(AND('Inserimento dati'!$B$3=$H$2, Tabella3[[#This Row],[LUN]]="X"), "X",IF(AND('Inserimento dati'!$B$3=$I$2, Tabella3[[#This Row],[MAR]]="X"), "X", IF(AND('Inserimento dati'!$B$3=$J$2, Tabella3[[#This Row],[MER]]="X"), "X",IF(AND('Inserimento dati'!$B$3=$K$2, Tabella3[[#This Row],[GIO]]="X"), "X", IF(AND('Inserimento dati'!$B$3=$L$2, Tabella3[[#This Row],[VEN]]="X"), "X","")))))</f>
        <v/>
      </c>
      <c r="U170" s="144">
        <f>IFERROR(MID(G170,_xlfn.AGGREGATE(15,6,(ROW(INDIRECT("1:"&amp;LEN(G170)-7)))/(ISNUMBER(--MID(G170,ROW(INDIRECT("1:"&amp;LEN(G170)-7)),8))),1),8),"")</f>
        <v/>
      </c>
      <c r="V170" t="inlineStr">
        <is>
          <t>2025-09-30 20:00:00</t>
        </is>
      </c>
    </row>
    <row r="171" ht="30" customFormat="1" customHeight="1" s="45">
      <c r="A171" s="112" t="n"/>
      <c r="B171" s="112">
        <f>IF(OR(A171="x",A171="X"),"",IF(ISBLANK(A171),"X",""))</f>
        <v/>
      </c>
      <c r="C171" s="112">
        <f>IF(OR(Tabella3[[#This Row],[LUN]]="X",Tabella3[[#This Row],[MAR]]="X",Tabella3[[#This Row],[MER]]="X",Tabella3[[#This Row],[GIO]]="X",Tabella3[[#This Row],[VEN]]="X",),"X","")</f>
        <v/>
      </c>
      <c r="D171" s="113" t="inlineStr">
        <is>
          <t>AREA 3</t>
        </is>
      </c>
      <c r="E171" s="109" t="inlineStr">
        <is>
          <t>517951/C</t>
        </is>
      </c>
      <c r="F171" s="109" t="n">
        <v>1100</v>
      </c>
      <c r="G171" s="109" t="inlineStr">
        <is>
          <t xml:space="preserve"> 1100 P008DI CONTROLLO FUNZIONALE</t>
        </is>
      </c>
      <c r="H171" s="111" t="n"/>
      <c r="I171" s="111" t="n"/>
      <c r="J171" s="111" t="n"/>
      <c r="K171" s="111" t="n"/>
      <c r="L171" s="111" t="n"/>
      <c r="M171" s="109" t="inlineStr">
        <is>
          <t>DA CHIUDERE</t>
        </is>
      </c>
      <c r="N171" s="109" t="n"/>
      <c r="O171" s="109" t="n"/>
      <c r="P171" s="109" t="n"/>
      <c r="Q171" s="109" t="inlineStr">
        <is>
          <t>POSITIVA TAPPATA, QUINDI STASATA CON ESITO POSITIVO.</t>
        </is>
      </c>
      <c r="R171" s="110" t="n">
        <v>45635</v>
      </c>
      <c r="S171" s="110" t="inlineStr">
        <is>
          <t>TARASCIO/PARTESANO</t>
        </is>
      </c>
      <c r="T171" s="116">
        <f>IF(AND('Inserimento dati'!$B$3=$H$2, Tabella3[[#This Row],[LUN]]="X"), "X",IF(AND('Inserimento dati'!$B$3=$I$2, Tabella3[[#This Row],[MAR]]="X"), "X", IF(AND('Inserimento dati'!$B$3=$J$2, Tabella3[[#This Row],[MER]]="X"), "X",IF(AND('Inserimento dati'!$B$3=$K$2, Tabella3[[#This Row],[GIO]]="X"), "X", IF(AND('Inserimento dati'!$B$3=$L$2, Tabella3[[#This Row],[VEN]]="X"), "X","")))))</f>
        <v/>
      </c>
      <c r="U171" s="144">
        <f>IFERROR(MID(G171,_xlfn.AGGREGATE(15,6,(ROW(INDIRECT("1:"&amp;LEN(G171)-7)))/(ISNUMBER(--MID(G171,ROW(INDIRECT("1:"&amp;LEN(G171)-7)),8))),1),8),"")</f>
        <v/>
      </c>
      <c r="V171" t="inlineStr">
        <is>
          <t>2025-09-30 20:00:00</t>
        </is>
      </c>
    </row>
    <row r="172" ht="23.25" customFormat="1" customHeight="1" s="45">
      <c r="A172" s="112" t="n"/>
      <c r="B172" s="112">
        <f>IF(OR(A172="x",A172="X"),"",IF(ISBLANK(A172),"X",""))</f>
        <v/>
      </c>
      <c r="C172" s="112">
        <f>IF(OR(Tabella3[[#This Row],[LUN]]="X",Tabella3[[#This Row],[MAR]]="X",Tabella3[[#This Row],[MER]]="X",Tabella3[[#This Row],[GIO]]="X",Tabella3[[#This Row],[VEN]]="X",),"X","")</f>
        <v/>
      </c>
      <c r="D172" s="113" t="inlineStr">
        <is>
          <t>AREA 3</t>
        </is>
      </c>
      <c r="E172" s="109" t="inlineStr">
        <is>
          <t>519128/C</t>
        </is>
      </c>
      <c r="F172" s="109" t="n">
        <v>2200</v>
      </c>
      <c r="G172" s="109" t="inlineStr">
        <is>
          <t xml:space="preserve"> 2200 D101A - L522R CONTROLLO LIVELLO RIMANE A FONDO SCALA</t>
        </is>
      </c>
      <c r="H172" s="111" t="n"/>
      <c r="I172" s="111" t="n"/>
      <c r="J172" s="111" t="n"/>
      <c r="K172" s="111" t="n"/>
      <c r="L172" s="111" t="n"/>
      <c r="M172" s="109" t="inlineStr">
        <is>
          <t>DA CHIUDERE</t>
        </is>
      </c>
      <c r="N172" s="109" t="n"/>
      <c r="O172" s="109" t="n"/>
      <c r="P172" s="109" t="n"/>
      <c r="Q172" s="109" t="n"/>
      <c r="R172" s="110" t="n">
        <v>45631</v>
      </c>
      <c r="S172" s="110" t="n"/>
      <c r="T172" s="116">
        <f>IF(AND('Inserimento dati'!$B$3=$H$2, Tabella3[[#This Row],[LUN]]="X"), "X",IF(AND('Inserimento dati'!$B$3=$I$2, Tabella3[[#This Row],[MAR]]="X"), "X", IF(AND('Inserimento dati'!$B$3=$J$2, Tabella3[[#This Row],[MER]]="X"), "X",IF(AND('Inserimento dati'!$B$3=$K$2, Tabella3[[#This Row],[GIO]]="X"), "X", IF(AND('Inserimento dati'!$B$3=$L$2, Tabella3[[#This Row],[VEN]]="X"), "X","")))))</f>
        <v/>
      </c>
      <c r="U172" s="144">
        <f>IFERROR(MID(G172,_xlfn.AGGREGATE(15,6,(ROW(INDIRECT("1:"&amp;LEN(G172)-7)))/(ISNUMBER(--MID(G172,ROW(INDIRECT("1:"&amp;LEN(G172)-7)),8))),1),8),"")</f>
        <v/>
      </c>
      <c r="V172" t="inlineStr">
        <is>
          <t>2025-09-30 20:00:00</t>
        </is>
      </c>
    </row>
    <row r="173" ht="23.25" customFormat="1" customHeight="1" s="45">
      <c r="A173" s="112" t="n"/>
      <c r="B173" s="112">
        <f>IF(OR(A173="x",A173="X"),"",IF(ISBLANK(A173),"X",""))</f>
        <v/>
      </c>
      <c r="C173" s="112">
        <f>IF(OR(Tabella3[[#This Row],[LUN]]="X",Tabella3[[#This Row],[MAR]]="X",Tabella3[[#This Row],[MER]]="X",Tabella3[[#This Row],[GIO]]="X",Tabella3[[#This Row],[VEN]]="X",),"X","")</f>
        <v/>
      </c>
      <c r="D173" s="113" t="inlineStr">
        <is>
          <t>AREA 3</t>
        </is>
      </c>
      <c r="E173" s="109" t="inlineStr">
        <is>
          <t>519123/C</t>
        </is>
      </c>
      <c r="F173" s="109" t="n">
        <v>2200</v>
      </c>
      <c r="G173" s="109" t="inlineStr">
        <is>
          <t xml:space="preserve"> 2200 D101A - L518R CONTROLLO INTERVENTO CUT-OFF</t>
        </is>
      </c>
      <c r="H173" s="111" t="n"/>
      <c r="I173" s="111" t="n"/>
      <c r="J173" s="111" t="n"/>
      <c r="K173" s="111" t="n"/>
      <c r="L173" s="111" t="n"/>
      <c r="M173" s="109" t="inlineStr">
        <is>
          <t>DA CHIUDERE</t>
        </is>
      </c>
      <c r="N173" s="109" t="n"/>
      <c r="O173" s="109" t="n"/>
      <c r="P173" s="109" t="n"/>
      <c r="Q173" s="109" t="n"/>
      <c r="R173" s="110" t="n">
        <v>45631</v>
      </c>
      <c r="S173" s="110" t="n"/>
      <c r="T173" s="116">
        <f>IF(AND('Inserimento dati'!$B$3=$H$2, Tabella3[[#This Row],[LUN]]="X"), "X",IF(AND('Inserimento dati'!$B$3=$I$2, Tabella3[[#This Row],[MAR]]="X"), "X", IF(AND('Inserimento dati'!$B$3=$J$2, Tabella3[[#This Row],[MER]]="X"), "X",IF(AND('Inserimento dati'!$B$3=$K$2, Tabella3[[#This Row],[GIO]]="X"), "X", IF(AND('Inserimento dati'!$B$3=$L$2, Tabella3[[#This Row],[VEN]]="X"), "X","")))))</f>
        <v/>
      </c>
      <c r="U173" s="144">
        <f>IFERROR(MID(G173,_xlfn.AGGREGATE(15,6,(ROW(INDIRECT("1:"&amp;LEN(G173)-7)))/(ISNUMBER(--MID(G173,ROW(INDIRECT("1:"&amp;LEN(G173)-7)),8))),1),8),"")</f>
        <v/>
      </c>
      <c r="V173" t="inlineStr">
        <is>
          <t>2025-09-30 20:00:00</t>
        </is>
      </c>
    </row>
    <row r="174" ht="30" customFormat="1" customHeight="1" s="45">
      <c r="A174" s="112" t="n"/>
      <c r="B174" s="112">
        <f>IF(OR(A174="x",A174="X"),"",IF(ISBLANK(A174),"X",""))</f>
        <v/>
      </c>
      <c r="C174" s="112">
        <f>IF(OR(Tabella3[[#This Row],[LUN]]="X",Tabella3[[#This Row],[MAR]]="X",Tabella3[[#This Row],[MER]]="X",Tabella3[[#This Row],[GIO]]="X",Tabella3[[#This Row],[VEN]]="X",),"X","")</f>
        <v/>
      </c>
      <c r="D174" s="113" t="inlineStr">
        <is>
          <t>AREA 3</t>
        </is>
      </c>
      <c r="E174" s="109" t="inlineStr">
        <is>
          <t>516584/C</t>
        </is>
      </c>
      <c r="F174" s="109" t="inlineStr">
        <is>
          <t>1200/1</t>
        </is>
      </c>
      <c r="G174" s="109" t="inlineStr">
        <is>
          <t xml:space="preserve"> CONTROLLI STRUMENTALI PER AVVIAMENTO LINEA -F301RC-F303RC-F305RC-F307RC-F304RC-F306RC-F302RC</t>
        </is>
      </c>
      <c r="H174" s="111" t="n"/>
      <c r="I174" s="111" t="n"/>
      <c r="J174" s="111" t="n"/>
      <c r="K174" s="111" t="n"/>
      <c r="L174" s="111" t="n"/>
      <c r="M174" s="109" t="inlineStr">
        <is>
          <t>DA CHIUDERE</t>
        </is>
      </c>
      <c r="N174" s="109" t="n"/>
      <c r="O174" s="109" t="n"/>
      <c r="P174" s="109" t="n"/>
      <c r="Q174" s="109" t="inlineStr">
        <is>
          <t>FATTO CONDENSINO CAVALLI SU F306RC</t>
        </is>
      </c>
      <c r="R174" s="110" t="n">
        <v>45628</v>
      </c>
      <c r="S174" s="110" t="inlineStr">
        <is>
          <t>CAVAGNACCHI</t>
        </is>
      </c>
      <c r="T174" s="116">
        <f>IF(AND('Inserimento dati'!$B$3=$H$2, Tabella3[[#This Row],[LUN]]="X"), "X",IF(AND('Inserimento dati'!$B$3=$I$2, Tabella3[[#This Row],[MAR]]="X"), "X", IF(AND('Inserimento dati'!$B$3=$J$2, Tabella3[[#This Row],[MER]]="X"), "X",IF(AND('Inserimento dati'!$B$3=$K$2, Tabella3[[#This Row],[GIO]]="X"), "X", IF(AND('Inserimento dati'!$B$3=$L$2, Tabella3[[#This Row],[VEN]]="X"), "X","")))))</f>
        <v/>
      </c>
      <c r="U174" s="144">
        <f>IFERROR(MID(G174,_xlfn.AGGREGATE(15,6,(ROW(INDIRECT("1:"&amp;LEN(G174)-7)))/(ISNUMBER(--MID(G174,ROW(INDIRECT("1:"&amp;LEN(G174)-7)),8))),1),8),"")</f>
        <v/>
      </c>
      <c r="V174" t="inlineStr">
        <is>
          <t>2025-09-30 20:00:00</t>
        </is>
      </c>
    </row>
    <row r="175" ht="30" customFormat="1" customHeight="1" s="45">
      <c r="A175" s="112" t="n"/>
      <c r="B175" s="112">
        <f>IF(OR(A175="x",A175="X"),"",IF(ISBLANK(A175),"X",""))</f>
        <v/>
      </c>
      <c r="C175" s="112">
        <f>IF(OR(Tabella3[[#This Row],[LUN]]="X",Tabella3[[#This Row],[MAR]]="X",Tabella3[[#This Row],[MER]]="X",Tabella3[[#This Row],[GIO]]="X",Tabella3[[#This Row],[VEN]]="X",),"X","")</f>
        <v/>
      </c>
      <c r="D175" s="113" t="inlineStr">
        <is>
          <t>AREA 3</t>
        </is>
      </c>
      <c r="E175" s="109" t="inlineStr">
        <is>
          <t>517895/C</t>
        </is>
      </c>
      <c r="F175" s="109" t="n">
        <v>1800</v>
      </c>
      <c r="G175" s="109" t="inlineStr">
        <is>
          <t xml:space="preserve"> 1800-D111 L042R CONTROLLO E RIPRISTINO FUNZIONALITA (TRIPLICE MISURA)</t>
        </is>
      </c>
      <c r="H175" s="111" t="n"/>
      <c r="I175" s="111" t="n"/>
      <c r="J175" s="111" t="n"/>
      <c r="K175" s="111" t="n"/>
      <c r="L175" s="111" t="n"/>
      <c r="M175" s="109" t="inlineStr">
        <is>
          <t>DA CHIUDERE</t>
        </is>
      </c>
      <c r="N175" s="109" t="n"/>
      <c r="O175" s="109" t="n"/>
      <c r="P175" s="109" t="n"/>
      <c r="Q175" s="109" t="inlineStr">
        <is>
          <t>SOSTITUITO LIVELLO, OK</t>
        </is>
      </c>
      <c r="R175" s="110" t="n">
        <v>45624</v>
      </c>
      <c r="S175" s="110" t="inlineStr">
        <is>
          <t>TARASCIO/PARTESANO</t>
        </is>
      </c>
      <c r="T175" s="116">
        <f>IF(AND('Inserimento dati'!$B$3=$H$2, Tabella3[[#This Row],[LUN]]="X"), "X",IF(AND('Inserimento dati'!$B$3=$I$2, Tabella3[[#This Row],[MAR]]="X"), "X", IF(AND('Inserimento dati'!$B$3=$J$2, Tabella3[[#This Row],[MER]]="X"), "X",IF(AND('Inserimento dati'!$B$3=$K$2, Tabella3[[#This Row],[GIO]]="X"), "X", IF(AND('Inserimento dati'!$B$3=$L$2, Tabella3[[#This Row],[VEN]]="X"), "X","")))))</f>
        <v/>
      </c>
      <c r="U175" s="144">
        <f>IFERROR(MID(G175,_xlfn.AGGREGATE(15,6,(ROW(INDIRECT("1:"&amp;LEN(G175)-7)))/(ISNUMBER(--MID(G175,ROW(INDIRECT("1:"&amp;LEN(G175)-7)),8))),1),8),"")</f>
        <v/>
      </c>
      <c r="V175" t="inlineStr">
        <is>
          <t>2025-09-30 20:00:00</t>
        </is>
      </c>
    </row>
    <row r="176" ht="60" customFormat="1" customHeight="1" s="45">
      <c r="A176" s="112" t="n"/>
      <c r="B176" s="112">
        <f>IF(OR(A176="x",A176="X"),"",IF(ISBLANK(A176),"X",""))</f>
        <v/>
      </c>
      <c r="C176" s="112">
        <f>IF(OR(Tabella3[[#This Row],[LUN]]="X",Tabella3[[#This Row],[MAR]]="X",Tabella3[[#This Row],[MER]]="X",Tabella3[[#This Row],[GIO]]="X",Tabella3[[#This Row],[VEN]]="X",),"X","")</f>
        <v/>
      </c>
      <c r="D176" s="113" t="inlineStr">
        <is>
          <t>AREA 3</t>
        </is>
      </c>
      <c r="E176" s="109" t="inlineStr">
        <is>
          <t>516587/C</t>
        </is>
      </c>
      <c r="F176" s="109" t="inlineStr">
        <is>
          <t>1200/1</t>
        </is>
      </c>
      <c r="G176" s="109" t="inlineStr">
        <is>
          <t xml:space="preserve"> CONTROLLI STRUMENTALI PER AVVIAMENTO LINEA -T401B-T402A-T402B</t>
        </is>
      </c>
      <c r="H176" s="111" t="n"/>
      <c r="I176" s="111" t="n"/>
      <c r="J176" s="111" t="n"/>
      <c r="K176" s="111" t="n"/>
      <c r="L176" s="111" t="n"/>
      <c r="M176" s="109" t="inlineStr">
        <is>
          <t>DA CHIUDERE</t>
        </is>
      </c>
      <c r="N176" s="109" t="n"/>
      <c r="O176" s="109" t="n"/>
      <c r="P176" s="109" t="n"/>
      <c r="Q176" s="109" t="inlineStr">
        <is>
          <t>ESEGUITO CONTROLLO STRUMENTAZIONE.</t>
        </is>
      </c>
      <c r="R176" s="110" t="n">
        <v>45614</v>
      </c>
      <c r="S176" s="110" t="inlineStr">
        <is>
          <t>TARASCIO/PARTESANO
MILLO/ALLEGRETTI</t>
        </is>
      </c>
      <c r="T176" s="116">
        <f>IF(AND('Inserimento dati'!$B$3=$H$2, Tabella3[[#This Row],[LUN]]="X"), "X",IF(AND('Inserimento dati'!$B$3=$I$2, Tabella3[[#This Row],[MAR]]="X"), "X", IF(AND('Inserimento dati'!$B$3=$J$2, Tabella3[[#This Row],[MER]]="X"), "X",IF(AND('Inserimento dati'!$B$3=$K$2, Tabella3[[#This Row],[GIO]]="X"), "X", IF(AND('Inserimento dati'!$B$3=$L$2, Tabella3[[#This Row],[VEN]]="X"), "X","")))))</f>
        <v/>
      </c>
      <c r="U176" s="144">
        <f>IFERROR(MID(G176,_xlfn.AGGREGATE(15,6,(ROW(INDIRECT("1:"&amp;LEN(G176)-7)))/(ISNUMBER(--MID(G176,ROW(INDIRECT("1:"&amp;LEN(G176)-7)),8))),1),8),"")</f>
        <v/>
      </c>
      <c r="V176" t="inlineStr">
        <is>
          <t>2025-09-30 20:00:00</t>
        </is>
      </c>
    </row>
    <row r="177" ht="23.25" customFormat="1" customHeight="1" s="45">
      <c r="A177" s="112" t="n"/>
      <c r="B177" s="112">
        <f>IF(OR(A177="x",A177="X"),"",IF(ISBLANK(A177),"X",""))</f>
        <v/>
      </c>
      <c r="C177" s="112">
        <f>IF(OR(Tabella3[[#This Row],[LUN]]="X",Tabella3[[#This Row],[MAR]]="X",Tabella3[[#This Row],[MER]]="X",Tabella3[[#This Row],[GIO]]="X",Tabella3[[#This Row],[VEN]]="X",),"X","")</f>
        <v/>
      </c>
      <c r="D177" s="113" t="inlineStr">
        <is>
          <t>AREA 3</t>
        </is>
      </c>
      <c r="E177" s="109" t="inlineStr">
        <is>
          <t>518163/C</t>
        </is>
      </c>
      <c r="F177" s="109" t="inlineStr">
        <is>
          <t>1200M</t>
        </is>
      </c>
      <c r="G177" s="109" t="inlineStr">
        <is>
          <t xml:space="preserve"> 1200M-Necessita il solo ripristino del sistema di flussaggio off-site PSVcon azoto</t>
        </is>
      </c>
      <c r="H177" s="111" t="n"/>
      <c r="I177" s="111" t="n"/>
      <c r="J177" s="111" t="n"/>
      <c r="K177" s="111" t="n"/>
      <c r="L177" s="111" t="n"/>
      <c r="M177" s="109" t="inlineStr">
        <is>
          <t>DA CHIUDERE</t>
        </is>
      </c>
      <c r="N177" s="109" t="n"/>
      <c r="O177" s="109" t="n"/>
      <c r="P177" s="109" t="n"/>
      <c r="Q177" s="109" t="n"/>
      <c r="R177" s="110" t="n">
        <v>45623</v>
      </c>
      <c r="S177" s="110" t="n"/>
      <c r="T177" s="116">
        <f>IF(AND('Inserimento dati'!$B$3=$H$2, Tabella3[[#This Row],[LUN]]="X"), "X",IF(AND('Inserimento dati'!$B$3=$I$2, Tabella3[[#This Row],[MAR]]="X"), "X", IF(AND('Inserimento dati'!$B$3=$J$2, Tabella3[[#This Row],[MER]]="X"), "X",IF(AND('Inserimento dati'!$B$3=$K$2, Tabella3[[#This Row],[GIO]]="X"), "X", IF(AND('Inserimento dati'!$B$3=$L$2, Tabella3[[#This Row],[VEN]]="X"), "X","")))))</f>
        <v/>
      </c>
      <c r="U177" s="144">
        <f>IFERROR(MID(G177,_xlfn.AGGREGATE(15,6,(ROW(INDIRECT("1:"&amp;LEN(G177)-7)))/(ISNUMBER(--MID(G177,ROW(INDIRECT("1:"&amp;LEN(G177)-7)),8))),1),8),"")</f>
        <v/>
      </c>
      <c r="V177" t="inlineStr">
        <is>
          <t>2025-09-30 20:00:00</t>
        </is>
      </c>
    </row>
    <row r="178" ht="23.25" customFormat="1" customHeight="1" s="45">
      <c r="A178" s="112" t="n"/>
      <c r="B178" s="112">
        <f>IF(OR(A178="x",A178="X"),"",IF(ISBLANK(A178),"X",""))</f>
        <v/>
      </c>
      <c r="C178" s="112">
        <f>IF(OR(Tabella3[[#This Row],[LUN]]="X",Tabella3[[#This Row],[MAR]]="X",Tabella3[[#This Row],[MER]]="X",Tabella3[[#This Row],[GIO]]="X",Tabella3[[#This Row],[VEN]]="X",),"X","")</f>
        <v/>
      </c>
      <c r="D178" s="113" t="inlineStr">
        <is>
          <t>AREA 3</t>
        </is>
      </c>
      <c r="E178" s="109" t="inlineStr">
        <is>
          <t>517640/C</t>
        </is>
      </c>
      <c r="F178" s="109" t="inlineStr">
        <is>
          <t>1200/0</t>
        </is>
      </c>
      <c r="G178" s="109" t="inlineStr">
        <is>
          <t xml:space="preserve"> 10211741 1200/0: VERIFICA FUNZIONAM Z0A960BIC           </t>
        </is>
      </c>
      <c r="H178" s="111" t="n"/>
      <c r="I178" s="111" t="n"/>
      <c r="J178" s="111" t="n"/>
      <c r="K178" s="111" t="n"/>
      <c r="L178" s="111" t="n"/>
      <c r="M178" s="109" t="inlineStr">
        <is>
          <t>DA CHIUDERE</t>
        </is>
      </c>
      <c r="N178" s="109" t="n"/>
      <c r="O178" s="109" t="n"/>
      <c r="P178" s="109" t="n"/>
      <c r="Q178" s="109" t="inlineStr">
        <is>
          <t>CONTROLLATI DA STEA, ANNULLATA RICHIESTA INTERVENTO COEMI</t>
        </is>
      </c>
      <c r="R178" s="110" t="n">
        <v>45617</v>
      </c>
      <c r="S178" s="110" t="n"/>
      <c r="T178" s="116">
        <f>IF(AND('Inserimento dati'!$B$3=$H$2, Tabella3[[#This Row],[LUN]]="X"), "X",IF(AND('Inserimento dati'!$B$3=$I$2, Tabella3[[#This Row],[MAR]]="X"), "X", IF(AND('Inserimento dati'!$B$3=$J$2, Tabella3[[#This Row],[MER]]="X"), "X",IF(AND('Inserimento dati'!$B$3=$K$2, Tabella3[[#This Row],[GIO]]="X"), "X", IF(AND('Inserimento dati'!$B$3=$L$2, Tabella3[[#This Row],[VEN]]="X"), "X","")))))</f>
        <v/>
      </c>
      <c r="U178" s="144">
        <f>IFERROR(MID(G178,_xlfn.AGGREGATE(15,6,(ROW(INDIRECT("1:"&amp;LEN(G178)-7)))/(ISNUMBER(--MID(G178,ROW(INDIRECT("1:"&amp;LEN(G178)-7)),8))),1),8),"")</f>
        <v/>
      </c>
      <c r="V178" t="inlineStr">
        <is>
          <t>2025-09-30 20:00:00</t>
        </is>
      </c>
    </row>
    <row r="179" ht="23.25" customFormat="1" customHeight="1" s="45">
      <c r="A179" s="112" t="n"/>
      <c r="B179" s="112">
        <f>IF(OR(A179="x",A179="X"),"",IF(ISBLANK(A179),"X",""))</f>
        <v/>
      </c>
      <c r="C179" s="112">
        <f>IF(OR(Tabella3[[#This Row],[LUN]]="X",Tabella3[[#This Row],[MAR]]="X",Tabella3[[#This Row],[MER]]="X",Tabella3[[#This Row],[GIO]]="X",Tabella3[[#This Row],[VEN]]="X",),"X","")</f>
        <v/>
      </c>
      <c r="D179" s="113" t="inlineStr">
        <is>
          <t>AREA 3</t>
        </is>
      </c>
      <c r="E179" s="109" t="inlineStr">
        <is>
          <t>517641/C</t>
        </is>
      </c>
      <c r="F179" s="109" t="inlineStr">
        <is>
          <t>1200/0</t>
        </is>
      </c>
      <c r="G179" s="109" t="inlineStr">
        <is>
          <t xml:space="preserve"> 1200/0: VERIFICA FUNZIONAM Z0A960AIC      </t>
        </is>
      </c>
      <c r="H179" s="111" t="n"/>
      <c r="I179" s="111" t="n"/>
      <c r="J179" s="111" t="n"/>
      <c r="K179" s="111" t="n"/>
      <c r="L179" s="111" t="n"/>
      <c r="M179" s="109" t="inlineStr">
        <is>
          <t>DA CHIUDERE</t>
        </is>
      </c>
      <c r="N179" s="109" t="n"/>
      <c r="O179" s="109" t="n"/>
      <c r="P179" s="109" t="n"/>
      <c r="Q179" s="109" t="inlineStr">
        <is>
          <t>CONTROLLATI DA STEA, ANNULLATA RICHIESTA INTERVENTO COEMI</t>
        </is>
      </c>
      <c r="R179" s="110" t="n">
        <v>45617</v>
      </c>
      <c r="S179" s="110" t="n"/>
      <c r="T179" s="116">
        <f>IF(AND('Inserimento dati'!$B$3=$H$2, Tabella3[[#This Row],[LUN]]="X"), "X",IF(AND('Inserimento dati'!$B$3=$I$2, Tabella3[[#This Row],[MAR]]="X"), "X", IF(AND('Inserimento dati'!$B$3=$J$2, Tabella3[[#This Row],[MER]]="X"), "X",IF(AND('Inserimento dati'!$B$3=$K$2, Tabella3[[#This Row],[GIO]]="X"), "X", IF(AND('Inserimento dati'!$B$3=$L$2, Tabella3[[#This Row],[VEN]]="X"), "X","")))))</f>
        <v/>
      </c>
      <c r="U179" s="144">
        <f>IFERROR(MID(G179,_xlfn.AGGREGATE(15,6,(ROW(INDIRECT("1:"&amp;LEN(G179)-7)))/(ISNUMBER(--MID(G179,ROW(INDIRECT("1:"&amp;LEN(G179)-7)),8))),1),8),"")</f>
        <v/>
      </c>
      <c r="V179" t="inlineStr">
        <is>
          <t>2025-09-30 20:00:00</t>
        </is>
      </c>
    </row>
    <row r="180" ht="30" customFormat="1" customHeight="1" s="45">
      <c r="A180" s="112" t="n"/>
      <c r="B180" s="112">
        <f>IF(OR(A180="x",A180="X"),"",IF(ISBLANK(A180),"X",""))</f>
        <v/>
      </c>
      <c r="C180" s="112">
        <f>IF(OR(Tabella3[[#This Row],[LUN]]="X",Tabella3[[#This Row],[MAR]]="X",Tabella3[[#This Row],[MER]]="X",Tabella3[[#This Row],[GIO]]="X",Tabella3[[#This Row],[VEN]]="X",),"X","")</f>
        <v/>
      </c>
      <c r="D180" s="113" t="inlineStr">
        <is>
          <t>AREA 3</t>
        </is>
      </c>
      <c r="E180" s="109" t="inlineStr">
        <is>
          <t>516583/C</t>
        </is>
      </c>
      <c r="F180" s="109" t="inlineStr">
        <is>
          <t>1200/1</t>
        </is>
      </c>
      <c r="G180" s="109" t="inlineStr">
        <is>
          <t xml:space="preserve"> CONTROLLI STRUMENTALI PER AVVIAMENTO LINEA Z1L301HA -Z1L301SH -Z1301LA -Z1L303HA -Z1L303SH -Z1L303LA</t>
        </is>
      </c>
      <c r="H180" s="111" t="n"/>
      <c r="I180" s="111" t="n"/>
      <c r="J180" s="111" t="n"/>
      <c r="K180" s="111" t="n"/>
      <c r="L180" s="111" t="n"/>
      <c r="M180" s="109" t="inlineStr">
        <is>
          <t>DA CHIUDERE</t>
        </is>
      </c>
      <c r="N180" s="109" t="n"/>
      <c r="O180" s="109" t="n"/>
      <c r="P180" s="109" t="n"/>
      <c r="Q180" s="109" t="inlineStr">
        <is>
          <t>ALLINEAMENTO SEGNALI CON SALA CONTROLLO</t>
        </is>
      </c>
      <c r="R180" s="110" t="n">
        <v>45610</v>
      </c>
      <c r="S180" s="110" t="inlineStr">
        <is>
          <t>TARASCIO/PARTESANO</t>
        </is>
      </c>
      <c r="T180" s="116">
        <f>IF(AND('Inserimento dati'!$B$3=$H$2, Tabella3[[#This Row],[LUN]]="X"), "X",IF(AND('Inserimento dati'!$B$3=$I$2, Tabella3[[#This Row],[MAR]]="X"), "X", IF(AND('Inserimento dati'!$B$3=$J$2, Tabella3[[#This Row],[MER]]="X"), "X",IF(AND('Inserimento dati'!$B$3=$K$2, Tabella3[[#This Row],[GIO]]="X"), "X", IF(AND('Inserimento dati'!$B$3=$L$2, Tabella3[[#This Row],[VEN]]="X"), "X","")))))</f>
        <v/>
      </c>
      <c r="U180" s="144">
        <f>IFERROR(MID(G180,_xlfn.AGGREGATE(15,6,(ROW(INDIRECT("1:"&amp;LEN(G180)-7)))/(ISNUMBER(--MID(G180,ROW(INDIRECT("1:"&amp;LEN(G180)-7)),8))),1),8),"")</f>
        <v/>
      </c>
      <c r="V180" t="inlineStr">
        <is>
          <t>2025-09-30 20:00:00</t>
        </is>
      </c>
    </row>
    <row r="181" ht="60" customFormat="1" customHeight="1" s="45">
      <c r="A181" s="112" t="n"/>
      <c r="B181" s="112">
        <f>IF(OR(A181="x",A181="X"),"",IF(ISBLANK(A181),"X",""))</f>
        <v/>
      </c>
      <c r="C181" s="112">
        <f>IF(OR(Tabella3[[#This Row],[LUN]]="X",Tabella3[[#This Row],[MAR]]="X",Tabella3[[#This Row],[MER]]="X",Tabella3[[#This Row],[GIO]]="X",Tabella3[[#This Row],[VEN]]="X",),"X","")</f>
        <v/>
      </c>
      <c r="D181" s="113" t="inlineStr">
        <is>
          <t>AREA 3</t>
        </is>
      </c>
      <c r="E181" s="109" t="inlineStr">
        <is>
          <t>516391/C</t>
        </is>
      </c>
      <c r="F181" s="109" t="inlineStr">
        <is>
          <t>1200/M</t>
        </is>
      </c>
      <c r="G181" s="109" t="inlineStr">
        <is>
          <t xml:space="preserve"> VERIFICA ZMP801DI  </t>
        </is>
      </c>
      <c r="H181" s="111" t="n"/>
      <c r="I181" s="111" t="n"/>
      <c r="J181" s="111" t="n"/>
      <c r="K181" s="111" t="n"/>
      <c r="L181" s="111" t="n"/>
      <c r="M181" s="109" t="inlineStr">
        <is>
          <t>DA CHIUDERE</t>
        </is>
      </c>
      <c r="N181" s="109" t="n"/>
      <c r="O181" s="109" t="n"/>
      <c r="P181" s="109" t="n"/>
      <c r="Q181" s="109" t="inlineStr">
        <is>
          <t>CAPILLARE SPROVVISTO DI DP_RING.
PRESA POSITIVA TAPPATA.
PROVATA STASATURA CON ESITO NEGATIVO. SI NECESSITA INTERVENTO DA PARTE DI PONTEROSSO.</t>
        </is>
      </c>
      <c r="R181" s="110" t="n">
        <v>45615</v>
      </c>
      <c r="S181" s="110" t="inlineStr">
        <is>
          <t>TARASCIO/PARTESANO</t>
        </is>
      </c>
      <c r="T181" s="116">
        <f>IF(AND('Inserimento dati'!$B$3=$H$2, Tabella3[[#This Row],[LUN]]="X"), "X",IF(AND('Inserimento dati'!$B$3=$I$2, Tabella3[[#This Row],[MAR]]="X"), "X", IF(AND('Inserimento dati'!$B$3=$J$2, Tabella3[[#This Row],[MER]]="X"), "X",IF(AND('Inserimento dati'!$B$3=$K$2, Tabella3[[#This Row],[GIO]]="X"), "X", IF(AND('Inserimento dati'!$B$3=$L$2, Tabella3[[#This Row],[VEN]]="X"), "X","")))))</f>
        <v/>
      </c>
      <c r="U181" s="144">
        <f>IFERROR(MID(G181,_xlfn.AGGREGATE(15,6,(ROW(INDIRECT("1:"&amp;LEN(G181)-7)))/(ISNUMBER(--MID(G181,ROW(INDIRECT("1:"&amp;LEN(G181)-7)),8))),1),8),"")</f>
        <v/>
      </c>
      <c r="V181" t="inlineStr">
        <is>
          <t>2025-09-30 20:00:00</t>
        </is>
      </c>
    </row>
    <row r="182" ht="30" customFormat="1" customHeight="1" s="45">
      <c r="A182" s="112" t="n"/>
      <c r="B182" s="112">
        <f>IF(OR(A182="x",A182="X"),"",IF(ISBLANK(A182),"X",""))</f>
        <v/>
      </c>
      <c r="C182" s="112">
        <f>IF(OR(Tabella3[[#This Row],[LUN]]="X",Tabella3[[#This Row],[MAR]]="X",Tabella3[[#This Row],[MER]]="X",Tabella3[[#This Row],[GIO]]="X",Tabella3[[#This Row],[VEN]]="X",),"X","")</f>
        <v/>
      </c>
      <c r="D182" s="113" t="inlineStr">
        <is>
          <t>AREA 3</t>
        </is>
      </c>
      <c r="E182" s="109" t="inlineStr">
        <is>
          <t>517466/C</t>
        </is>
      </c>
      <c r="F182" s="109" t="n">
        <v>700</v>
      </c>
      <c r="G182" s="109" t="inlineStr">
        <is>
          <t xml:space="preserve"> 07T1_2AI   CASSA COMPRESSORE controllo e ripristino</t>
        </is>
      </c>
      <c r="H182" s="111" t="n"/>
      <c r="I182" s="111" t="n"/>
      <c r="J182" s="111" t="n"/>
      <c r="K182" s="111" t="n"/>
      <c r="L182" s="111" t="n"/>
      <c r="M182" s="109" t="inlineStr">
        <is>
          <t>DA CHIUDERE</t>
        </is>
      </c>
      <c r="N182" s="109" t="n"/>
      <c r="O182" s="109" t="n"/>
      <c r="P182" s="109" t="n"/>
      <c r="Q182" s="109" t="inlineStr">
        <is>
          <t>MULTICAVO DA JB A BARRIERA APERTO.</t>
        </is>
      </c>
      <c r="R182" s="110" t="n">
        <v>45617</v>
      </c>
      <c r="S182" s="110" t="inlineStr">
        <is>
          <t>TARASCIO/PARTESANO</t>
        </is>
      </c>
      <c r="T182" s="116">
        <f>IF(AND('Inserimento dati'!$B$3=$H$2, Tabella3[[#This Row],[LUN]]="X"), "X",IF(AND('Inserimento dati'!$B$3=$I$2, Tabella3[[#This Row],[MAR]]="X"), "X", IF(AND('Inserimento dati'!$B$3=$J$2, Tabella3[[#This Row],[MER]]="X"), "X",IF(AND('Inserimento dati'!$B$3=$K$2, Tabella3[[#This Row],[GIO]]="X"), "X", IF(AND('Inserimento dati'!$B$3=$L$2, Tabella3[[#This Row],[VEN]]="X"), "X","")))))</f>
        <v/>
      </c>
      <c r="U182" s="144">
        <f>IFERROR(MID(G182,_xlfn.AGGREGATE(15,6,(ROW(INDIRECT("1:"&amp;LEN(G182)-7)))/(ISNUMBER(--MID(G182,ROW(INDIRECT("1:"&amp;LEN(G182)-7)),8))),1),8),"")</f>
        <v/>
      </c>
      <c r="V182" t="inlineStr">
        <is>
          <t>2025-09-30 20:00:00</t>
        </is>
      </c>
    </row>
    <row r="183" ht="30" customFormat="1" customHeight="1" s="45">
      <c r="A183" s="112" t="n"/>
      <c r="B183" s="112">
        <f>IF(OR(A183="x",A183="X"),"",IF(ISBLANK(A183),"X",""))</f>
        <v/>
      </c>
      <c r="C183" s="112">
        <f>IF(OR(Tabella3[[#This Row],[LUN]]="X",Tabella3[[#This Row],[MAR]]="X",Tabella3[[#This Row],[MER]]="X",Tabella3[[#This Row],[GIO]]="X",Tabella3[[#This Row],[VEN]]="X",),"X","")</f>
        <v/>
      </c>
      <c r="D183" s="113" t="inlineStr">
        <is>
          <t>AREA 3</t>
        </is>
      </c>
      <c r="E183" s="109" t="inlineStr">
        <is>
          <t>511628/C</t>
        </is>
      </c>
      <c r="F183" s="109" t="n">
        <v>700</v>
      </c>
      <c r="G183" s="109" t="inlineStr">
        <is>
          <t xml:space="preserve">  10208986  07T119I.PV Ripristino funzionalit misuratore di temperatura</t>
        </is>
      </c>
      <c r="H183" s="111" t="n"/>
      <c r="I183" s="111" t="n"/>
      <c r="J183" s="111" t="n"/>
      <c r="K183" s="111" t="n"/>
      <c r="L183" s="111" t="n"/>
      <c r="M183" s="109" t="inlineStr">
        <is>
          <t>DA CHIUDERE</t>
        </is>
      </c>
      <c r="N183" s="109" t="n"/>
      <c r="O183" s="109" t="n"/>
      <c r="P183" s="109" t="n"/>
      <c r="Q183" s="109" t="inlineStr">
        <is>
          <t>SOSTITUITO TERMOELEMENTO, OK</t>
        </is>
      </c>
      <c r="R183" s="110" t="n">
        <v>45617</v>
      </c>
      <c r="S183" s="110" t="inlineStr">
        <is>
          <t>TARASCIO/PARTESANO</t>
        </is>
      </c>
      <c r="T183" s="116">
        <f>IF(AND('Inserimento dati'!$B$3=$H$2, Tabella3[[#This Row],[LUN]]="X"), "X",IF(AND('Inserimento dati'!$B$3=$I$2, Tabella3[[#This Row],[MAR]]="X"), "X", IF(AND('Inserimento dati'!$B$3=$J$2, Tabella3[[#This Row],[MER]]="X"), "X",IF(AND('Inserimento dati'!$B$3=$K$2, Tabella3[[#This Row],[GIO]]="X"), "X", IF(AND('Inserimento dati'!$B$3=$L$2, Tabella3[[#This Row],[VEN]]="X"), "X","")))))</f>
        <v/>
      </c>
      <c r="U183" s="144">
        <f>IFERROR(MID(G183,_xlfn.AGGREGATE(15,6,(ROW(INDIRECT("1:"&amp;LEN(G183)-7)))/(ISNUMBER(--MID(G183,ROW(INDIRECT("1:"&amp;LEN(G183)-7)),8))),1),8),"")</f>
        <v/>
      </c>
      <c r="V183" t="inlineStr">
        <is>
          <t>2025-09-30 20:00:00</t>
        </is>
      </c>
    </row>
    <row r="184" ht="30" customFormat="1" customHeight="1" s="45">
      <c r="A184" s="112" t="n"/>
      <c r="B184" s="112">
        <f>IF(OR(A184="x",A184="X"),"",IF(ISBLANK(A184),"X",""))</f>
        <v/>
      </c>
      <c r="C184" s="112">
        <f>IF(OR(Tabella3[[#This Row],[LUN]]="X",Tabella3[[#This Row],[MAR]]="X",Tabella3[[#This Row],[MER]]="X",Tabella3[[#This Row],[GIO]]="X",Tabella3[[#This Row],[VEN]]="X",),"X","")</f>
        <v/>
      </c>
      <c r="D184" s="113" t="inlineStr">
        <is>
          <t>AREA 3</t>
        </is>
      </c>
      <c r="E184" s="109" t="inlineStr">
        <is>
          <t>514368/C</t>
        </is>
      </c>
      <c r="F184" s="109" t="n">
        <v>700</v>
      </c>
      <c r="G184" s="109" t="inlineStr">
        <is>
          <t xml:space="preserve"> 700 Ripristino termocoppia 07T040I uscita fondo D102 </t>
        </is>
      </c>
      <c r="H184" s="111" t="n"/>
      <c r="I184" s="111" t="n"/>
      <c r="J184" s="111" t="n"/>
      <c r="K184" s="111" t="n"/>
      <c r="L184" s="111" t="n"/>
      <c r="M184" s="109" t="inlineStr">
        <is>
          <t>DA CHIUDERE</t>
        </is>
      </c>
      <c r="N184" s="109" t="n"/>
      <c r="O184" s="109" t="n"/>
      <c r="P184" s="109" t="n"/>
      <c r="Q184" s="109" t="inlineStr">
        <is>
          <t>ESEGUITO SERRAGGIO FILI IN CAMPO.</t>
        </is>
      </c>
      <c r="R184" s="110" t="n">
        <v>45617</v>
      </c>
      <c r="S184" s="110" t="inlineStr">
        <is>
          <t>TARASCIO/PARTESANO</t>
        </is>
      </c>
      <c r="T184" s="116">
        <f>IF(AND('Inserimento dati'!$B$3=$H$2, Tabella3[[#This Row],[LUN]]="X"), "X",IF(AND('Inserimento dati'!$B$3=$I$2, Tabella3[[#This Row],[MAR]]="X"), "X", IF(AND('Inserimento dati'!$B$3=$J$2, Tabella3[[#This Row],[MER]]="X"), "X",IF(AND('Inserimento dati'!$B$3=$K$2, Tabella3[[#This Row],[GIO]]="X"), "X", IF(AND('Inserimento dati'!$B$3=$L$2, Tabella3[[#This Row],[VEN]]="X"), "X","")))))</f>
        <v/>
      </c>
      <c r="U184" s="144">
        <f>IFERROR(MID(G184,_xlfn.AGGREGATE(15,6,(ROW(INDIRECT("1:"&amp;LEN(G184)-7)))/(ISNUMBER(--MID(G184,ROW(INDIRECT("1:"&amp;LEN(G184)-7)),8))),1),8),"")</f>
        <v/>
      </c>
      <c r="V184" t="inlineStr">
        <is>
          <t>2025-09-30 20:00:00</t>
        </is>
      </c>
    </row>
    <row r="185" ht="45" customFormat="1" customHeight="1" s="45">
      <c r="A185" s="112" t="n"/>
      <c r="B185" s="112">
        <f>IF(OR(A185="x",A185="X"),"",IF(ISBLANK(A185),"X",""))</f>
        <v/>
      </c>
      <c r="C185" s="112">
        <f>IF(OR(Tabella3[[#This Row],[LUN]]="X",Tabella3[[#This Row],[MAR]]="X",Tabella3[[#This Row],[MER]]="X",Tabella3[[#This Row],[GIO]]="X",Tabella3[[#This Row],[VEN]]="X",),"X","")</f>
        <v/>
      </c>
      <c r="D185" s="113" t="inlineStr">
        <is>
          <t>AREA 3</t>
        </is>
      </c>
      <c r="E185" s="109" t="inlineStr">
        <is>
          <t>516697/C</t>
        </is>
      </c>
      <c r="F185" s="109" t="n">
        <v>1100</v>
      </c>
      <c r="G185" s="109" t="inlineStr">
        <is>
          <t xml:space="preserve"> 1100/D105 (11L013R), controllo e ripristino</t>
        </is>
      </c>
      <c r="H185" s="111" t="n"/>
      <c r="I185" s="111" t="n"/>
      <c r="J185" s="111" t="n"/>
      <c r="K185" s="111" t="n"/>
      <c r="L185" s="111" t="n"/>
      <c r="M185" s="109" t="inlineStr">
        <is>
          <t>DA CHIUDERE</t>
        </is>
      </c>
      <c r="N185" s="109" t="n"/>
      <c r="O185" s="109" t="n"/>
      <c r="P185" s="109" t="n"/>
      <c r="Q185" s="109" t="inlineStr">
        <is>
          <t>CONTROLLO FUNZIONE LIVELLO, NESSUNA ANOMALIA. CONTROLLATA VALVOLA (NON SI MUOVE). SOSTITUITO IPCONVERTER E FILTRO RIDUTTORE. ALLINEATA CON S.C.</t>
        </is>
      </c>
      <c r="R185" s="110" t="n">
        <v>45617</v>
      </c>
      <c r="S185" s="110" t="inlineStr">
        <is>
          <t>MILLO/ALLEGRETTI</t>
        </is>
      </c>
      <c r="T185" s="116">
        <f>IF(AND('Inserimento dati'!$B$3=$H$2, Tabella3[[#This Row],[LUN]]="X"), "X",IF(AND('Inserimento dati'!$B$3=$I$2, Tabella3[[#This Row],[MAR]]="X"), "X", IF(AND('Inserimento dati'!$B$3=$J$2, Tabella3[[#This Row],[MER]]="X"), "X",IF(AND('Inserimento dati'!$B$3=$K$2, Tabella3[[#This Row],[GIO]]="X"), "X", IF(AND('Inserimento dati'!$B$3=$L$2, Tabella3[[#This Row],[VEN]]="X"), "X","")))))</f>
        <v/>
      </c>
      <c r="U185" s="144">
        <f>IFERROR(MID(G185,_xlfn.AGGREGATE(15,6,(ROW(INDIRECT("1:"&amp;LEN(G185)-7)))/(ISNUMBER(--MID(G185,ROW(INDIRECT("1:"&amp;LEN(G185)-7)),8))),1),8),"")</f>
        <v/>
      </c>
      <c r="V185" t="inlineStr">
        <is>
          <t>2025-09-30 20:00:00</t>
        </is>
      </c>
    </row>
    <row r="186" ht="30" customFormat="1" customHeight="1" s="45">
      <c r="A186" s="112" t="n"/>
      <c r="B186" s="112">
        <f>IF(OR(A186="x",A186="X"),"",IF(ISBLANK(A186),"X",""))</f>
        <v/>
      </c>
      <c r="C186" s="112">
        <f>IF(OR(Tabella3[[#This Row],[LUN]]="X",Tabella3[[#This Row],[MAR]]="X",Tabella3[[#This Row],[MER]]="X",Tabella3[[#This Row],[GIO]]="X",Tabella3[[#This Row],[VEN]]="X",),"X","")</f>
        <v/>
      </c>
      <c r="D186" s="113" t="inlineStr">
        <is>
          <t>AREA 3</t>
        </is>
      </c>
      <c r="E186" s="109" t="inlineStr">
        <is>
          <t>515411/C</t>
        </is>
      </c>
      <c r="F186" s="109" t="n">
        <v>800</v>
      </c>
      <c r="G186" s="109" t="inlineStr">
        <is>
          <t xml:space="preserve"> 800 FR158   TARATURA MISURATORE VAPORE HS</t>
        </is>
      </c>
      <c r="H186" s="111" t="n"/>
      <c r="I186" s="111" t="n"/>
      <c r="J186" s="111" t="n"/>
      <c r="K186" s="111" t="n"/>
      <c r="L186" s="111" t="n"/>
      <c r="M186" s="109" t="inlineStr">
        <is>
          <t>DA CHIUDERE</t>
        </is>
      </c>
      <c r="N186" s="109" t="n"/>
      <c r="O186" s="109" t="n"/>
      <c r="P186" s="109" t="n"/>
      <c r="Q186" s="109" t="inlineStr">
        <is>
          <t>CONTROLLATI F158RA E F158BR, NESSUNA ANOMALIA</t>
        </is>
      </c>
      <c r="R186" s="110" t="n">
        <v>45614</v>
      </c>
      <c r="S186" s="110" t="inlineStr">
        <is>
          <t>SPINALI/ALLEGRETTI</t>
        </is>
      </c>
      <c r="T186" s="116">
        <f>IF(AND('Inserimento dati'!$B$3=$H$2, Tabella3[[#This Row],[LUN]]="X"), "X",IF(AND('Inserimento dati'!$B$3=$I$2, Tabella3[[#This Row],[MAR]]="X"), "X", IF(AND('Inserimento dati'!$B$3=$J$2, Tabella3[[#This Row],[MER]]="X"), "X",IF(AND('Inserimento dati'!$B$3=$K$2, Tabella3[[#This Row],[GIO]]="X"), "X", IF(AND('Inserimento dati'!$B$3=$L$2, Tabella3[[#This Row],[VEN]]="X"), "X","")))))</f>
        <v/>
      </c>
      <c r="U186" s="144">
        <f>IFERROR(MID(G186,_xlfn.AGGREGATE(15,6,(ROW(INDIRECT("1:"&amp;LEN(G186)-7)))/(ISNUMBER(--MID(G186,ROW(INDIRECT("1:"&amp;LEN(G186)-7)),8))),1),8),"")</f>
        <v/>
      </c>
      <c r="V186" t="inlineStr">
        <is>
          <t>2025-09-30 20:00:00</t>
        </is>
      </c>
    </row>
    <row r="187" ht="30" customFormat="1" customHeight="1" s="45">
      <c r="A187" s="112" t="n"/>
      <c r="B187" s="112">
        <f>IF(OR(A187="x",A187="X"),"",IF(ISBLANK(A187),"X",""))</f>
        <v/>
      </c>
      <c r="C187" s="112">
        <f>IF(OR(Tabella3[[#This Row],[LUN]]="X",Tabella3[[#This Row],[MAR]]="X",Tabella3[[#This Row],[MER]]="X",Tabella3[[#This Row],[GIO]]="X",Tabella3[[#This Row],[VEN]]="X",),"X","")</f>
        <v/>
      </c>
      <c r="D187" s="113" t="inlineStr">
        <is>
          <t>AREA 3</t>
        </is>
      </c>
      <c r="E187" s="109" t="inlineStr">
        <is>
          <t>516589/C</t>
        </is>
      </c>
      <c r="F187" s="109" t="inlineStr">
        <is>
          <t>1200/1</t>
        </is>
      </c>
      <c r="G187" s="109" t="inlineStr">
        <is>
          <t xml:space="preserve"> CONTROLLI STRUMENTALI PER AVVIAMENTO LINEA -T405CV CONTROLLO FUNZIONALITA ED ALLINEAMENTO CON SALA CONTROLLO</t>
        </is>
      </c>
      <c r="H187" s="111" t="n"/>
      <c r="I187" s="111" t="n"/>
      <c r="J187" s="111" t="n"/>
      <c r="K187" s="111" t="n"/>
      <c r="L187" s="111" t="n"/>
      <c r="M187" s="109" t="inlineStr">
        <is>
          <t>DA CHIUDERE</t>
        </is>
      </c>
      <c r="N187" s="109" t="n"/>
      <c r="O187" s="109" t="n"/>
      <c r="P187" s="109" t="n"/>
      <c r="Q187" s="109" t="inlineStr">
        <is>
          <t>NON VIENE RISCONTRATA ALCUNA ANOMALIA</t>
        </is>
      </c>
      <c r="R187" s="110" t="n">
        <v>45610</v>
      </c>
      <c r="S187" s="110" t="inlineStr">
        <is>
          <t>SAGGIO / GIGLIUTO</t>
        </is>
      </c>
      <c r="T187" s="116">
        <f>IF(AND('Inserimento dati'!$B$3=$H$2, Tabella3[[#This Row],[LUN]]="X"), "X",IF(AND('Inserimento dati'!$B$3=$I$2, Tabella3[[#This Row],[MAR]]="X"), "X", IF(AND('Inserimento dati'!$B$3=$J$2, Tabella3[[#This Row],[MER]]="X"), "X",IF(AND('Inserimento dati'!$B$3=$K$2, Tabella3[[#This Row],[GIO]]="X"), "X", IF(AND('Inserimento dati'!$B$3=$L$2, Tabella3[[#This Row],[VEN]]="X"), "X","")))))</f>
        <v/>
      </c>
      <c r="U187" s="144">
        <f>IFERROR(MID(G187,_xlfn.AGGREGATE(15,6,(ROW(INDIRECT("1:"&amp;LEN(G187)-7)))/(ISNUMBER(--MID(G187,ROW(INDIRECT("1:"&amp;LEN(G187)-7)),8))),1),8),"")</f>
        <v/>
      </c>
      <c r="V187" t="inlineStr">
        <is>
          <t>2025-09-30 20:00:00</t>
        </is>
      </c>
    </row>
    <row r="188" ht="30" customFormat="1" customHeight="1" s="45">
      <c r="A188" s="112" t="n"/>
      <c r="B188" s="112">
        <f>IF(OR(A188="x",A188="X"),"",IF(ISBLANK(A188),"X",""))</f>
        <v/>
      </c>
      <c r="C188" s="112">
        <f>IF(OR(Tabella3[[#This Row],[LUN]]="X",Tabella3[[#This Row],[MAR]]="X",Tabella3[[#This Row],[MER]]="X",Tabella3[[#This Row],[GIO]]="X",Tabella3[[#This Row],[VEN]]="X",),"X","")</f>
        <v/>
      </c>
      <c r="D188" s="113" t="inlineStr">
        <is>
          <t>AREA 3</t>
        </is>
      </c>
      <c r="E188" s="109" t="inlineStr">
        <is>
          <t>515365/C</t>
        </is>
      </c>
      <c r="F188" s="109" t="n">
        <v>700</v>
      </c>
      <c r="G188" s="109" t="inlineStr">
        <is>
          <t xml:space="preserve"> Controllo strumenti su compressore C102A dell'impianto monsanto</t>
        </is>
      </c>
      <c r="H188" s="111" t="n"/>
      <c r="I188" s="111" t="n"/>
      <c r="J188" s="111" t="n"/>
      <c r="K188" s="111" t="n"/>
      <c r="L188" s="111" t="n"/>
      <c r="M188" s="109" t="inlineStr">
        <is>
          <t>DA CHIUDERE</t>
        </is>
      </c>
      <c r="N188" s="109" t="n"/>
      <c r="O188" s="109" t="n"/>
      <c r="P188" s="109" t="n"/>
      <c r="Q188" s="109" t="inlineStr">
        <is>
          <t>ATTIVITA' DA CHIUDERE</t>
        </is>
      </c>
      <c r="R188" s="110" t="n">
        <v>45603</v>
      </c>
      <c r="S188" s="110" t="inlineStr">
        <is>
          <t>SPINALI/PUGLIARES</t>
        </is>
      </c>
      <c r="T188" s="116">
        <f>IF(AND('Inserimento dati'!$B$3=$H$2, Tabella3[[#This Row],[LUN]]="X"), "X",IF(AND('Inserimento dati'!$B$3=$I$2, Tabella3[[#This Row],[MAR]]="X"), "X", IF(AND('Inserimento dati'!$B$3=$J$2, Tabella3[[#This Row],[MER]]="X"), "X",IF(AND('Inserimento dati'!$B$3=$K$2, Tabella3[[#This Row],[GIO]]="X"), "X", IF(AND('Inserimento dati'!$B$3=$L$2, Tabella3[[#This Row],[VEN]]="X"), "X","")))))</f>
        <v/>
      </c>
      <c r="U188" s="144">
        <f>IFERROR(MID(G188,_xlfn.AGGREGATE(15,6,(ROW(INDIRECT("1:"&amp;LEN(G188)-7)))/(ISNUMBER(--MID(G188,ROW(INDIRECT("1:"&amp;LEN(G188)-7)),8))),1),8),"")</f>
        <v/>
      </c>
      <c r="V188" t="inlineStr">
        <is>
          <t>2025-09-30 20:00:00</t>
        </is>
      </c>
    </row>
    <row r="189" ht="30" customFormat="1" customHeight="1" s="45">
      <c r="A189" s="112" t="n"/>
      <c r="B189" s="112">
        <f>IF(OR(A189="x",A189="X"),"",IF(ISBLANK(A189),"X",""))</f>
        <v/>
      </c>
      <c r="C189" s="112">
        <f>IF(OR(Tabella3[[#This Row],[LUN]]="X",Tabella3[[#This Row],[MAR]]="X",Tabella3[[#This Row],[MER]]="X",Tabella3[[#This Row],[GIO]]="X",Tabella3[[#This Row],[VEN]]="X",),"X","")</f>
        <v/>
      </c>
      <c r="D189" s="113" t="inlineStr">
        <is>
          <t>AREA 3</t>
        </is>
      </c>
      <c r="E189" s="109" t="inlineStr">
        <is>
          <t>515054/C</t>
        </is>
      </c>
      <c r="F189" s="109" t="n">
        <v>1800</v>
      </c>
      <c r="G189" s="109" t="inlineStr">
        <is>
          <t xml:space="preserve"> P102B scoll/ricoll strum. supporto cuscinetti</t>
        </is>
      </c>
      <c r="H189" s="111" t="n"/>
      <c r="I189" s="111" t="n"/>
      <c r="J189" s="111" t="n"/>
      <c r="K189" s="111" t="n"/>
      <c r="L189" s="111" t="n"/>
      <c r="M189" s="109" t="inlineStr">
        <is>
          <t>DA CHIUDERE</t>
        </is>
      </c>
      <c r="N189" s="109" t="n"/>
      <c r="O189" s="109" t="n"/>
      <c r="P189" s="109" t="n"/>
      <c r="Q189" s="109" t="inlineStr">
        <is>
          <t>ATTIVITA' DA CHIUDERE</t>
        </is>
      </c>
      <c r="R189" s="110" t="n">
        <v>45600</v>
      </c>
      <c r="S189" s="110" t="inlineStr">
        <is>
          <t>MILLO/ALLEGRETTI</t>
        </is>
      </c>
      <c r="T189" s="116">
        <f>IF(AND('Inserimento dati'!$B$3=$H$2, Tabella3[[#This Row],[LUN]]="X"), "X",IF(AND('Inserimento dati'!$B$3=$I$2, Tabella3[[#This Row],[MAR]]="X"), "X", IF(AND('Inserimento dati'!$B$3=$J$2, Tabella3[[#This Row],[MER]]="X"), "X",IF(AND('Inserimento dati'!$B$3=$K$2, Tabella3[[#This Row],[GIO]]="X"), "X", IF(AND('Inserimento dati'!$B$3=$L$2, Tabella3[[#This Row],[VEN]]="X"), "X","")))))</f>
        <v/>
      </c>
      <c r="U189" s="144">
        <f>IFERROR(MID(G189,_xlfn.AGGREGATE(15,6,(ROW(INDIRECT("1:"&amp;LEN(G189)-7)))/(ISNUMBER(--MID(G189,ROW(INDIRECT("1:"&amp;LEN(G189)-7)),8))),1),8),"")</f>
        <v/>
      </c>
      <c r="V189" t="inlineStr">
        <is>
          <t>2025-09-30 20:00:00</t>
        </is>
      </c>
    </row>
    <row r="190" ht="30" customFormat="1" customHeight="1" s="45">
      <c r="A190" s="112" t="n"/>
      <c r="B190" s="112">
        <f>IF(OR(A190="x",A190="X"),"",IF(ISBLANK(A190),"X",""))</f>
        <v/>
      </c>
      <c r="C190" s="112">
        <f>IF(OR(Tabella3[[#This Row],[LUN]]="X",Tabella3[[#This Row],[MAR]]="X",Tabella3[[#This Row],[MER]]="X",Tabella3[[#This Row],[GIO]]="X",Tabella3[[#This Row],[VEN]]="X",),"X","")</f>
        <v/>
      </c>
      <c r="D190" s="113" t="inlineStr">
        <is>
          <t>AREA 3</t>
        </is>
      </c>
      <c r="E190" s="109" t="inlineStr">
        <is>
          <t>515577/C</t>
        </is>
      </c>
      <c r="F190" s="109" t="n">
        <v>700</v>
      </c>
      <c r="G190" s="109" t="inlineStr">
        <is>
          <t xml:space="preserve"> 07F186R Verifica funzionalità</t>
        </is>
      </c>
      <c r="H190" s="111" t="n"/>
      <c r="I190" s="111" t="n"/>
      <c r="J190" s="111" t="n"/>
      <c r="K190" s="111" t="n"/>
      <c r="L190" s="111" t="n"/>
      <c r="M190" s="109" t="inlineStr">
        <is>
          <t>DA CHIUDERE</t>
        </is>
      </c>
      <c r="N190" s="109" t="n"/>
      <c r="O190" s="109" t="n"/>
      <c r="P190" s="109" t="n"/>
      <c r="Q190" s="109" t="inlineStr">
        <is>
          <t>TARATO, ED ALLINEATO, OK.</t>
        </is>
      </c>
      <c r="R190" s="110" t="n">
        <v>45600</v>
      </c>
      <c r="S190" s="110" t="inlineStr">
        <is>
          <t>MILLO/ALLEGRETTI</t>
        </is>
      </c>
      <c r="T190" s="116">
        <f>IF(AND('Inserimento dati'!$B$3=$H$2, Tabella3[[#This Row],[LUN]]="X"), "X",IF(AND('Inserimento dati'!$B$3=$I$2, Tabella3[[#This Row],[MAR]]="X"), "X", IF(AND('Inserimento dati'!$B$3=$J$2, Tabella3[[#This Row],[MER]]="X"), "X",IF(AND('Inserimento dati'!$B$3=$K$2, Tabella3[[#This Row],[GIO]]="X"), "X", IF(AND('Inserimento dati'!$B$3=$L$2, Tabella3[[#This Row],[VEN]]="X"), "X","")))))</f>
        <v/>
      </c>
      <c r="U190" s="144">
        <f>IFERROR(MID(G190,_xlfn.AGGREGATE(15,6,(ROW(INDIRECT("1:"&amp;LEN(G190)-7)))/(ISNUMBER(--MID(G190,ROW(INDIRECT("1:"&amp;LEN(G190)-7)),8))),1),8),"")</f>
        <v/>
      </c>
      <c r="V190" t="inlineStr">
        <is>
          <t>2025-09-30 20:00:00</t>
        </is>
      </c>
    </row>
    <row r="191" ht="23.25" customFormat="1" customHeight="1" s="45">
      <c r="A191" s="112" t="n"/>
      <c r="B191" s="112">
        <f>IF(OR(A191="x",A191="X"),"",IF(ISBLANK(A191),"X",""))</f>
        <v/>
      </c>
      <c r="C191" s="112">
        <f>IF(OR(Tabella3[[#This Row],[LUN]]="X",Tabella3[[#This Row],[MAR]]="X",Tabella3[[#This Row],[MER]]="X",Tabella3[[#This Row],[GIO]]="X",Tabella3[[#This Row],[VEN]]="X",),"X","")</f>
        <v/>
      </c>
      <c r="D191" s="113" t="inlineStr">
        <is>
          <t>AREA 3</t>
        </is>
      </c>
      <c r="E191" s="109" t="inlineStr">
        <is>
          <t>515563/C</t>
        </is>
      </c>
      <c r="F191" s="109" t="n">
        <v>700</v>
      </c>
      <c r="G191" s="109" t="inlineStr">
        <is>
          <t xml:space="preserve"> RIPR.GRUPPO MANOM. P102A</t>
        </is>
      </c>
      <c r="H191" s="111" t="n"/>
      <c r="I191" s="111" t="n"/>
      <c r="J191" s="111" t="n"/>
      <c r="K191" s="111" t="n"/>
      <c r="L191" s="111" t="n"/>
      <c r="M191" s="109" t="inlineStr">
        <is>
          <t>DA CHIUDERE</t>
        </is>
      </c>
      <c r="N191" s="109" t="n"/>
      <c r="O191" s="109" t="n"/>
      <c r="P191" s="109" t="n"/>
      <c r="Q191" s="109" t="inlineStr">
        <is>
          <t>RIFACIMENTO GRUPPO MANIFOLD, MONTATO MANOMETRO 25 BAR.</t>
        </is>
      </c>
      <c r="R191" s="110" t="n">
        <v>45598</v>
      </c>
      <c r="S191" s="110" t="inlineStr">
        <is>
          <t>TARASCIO B.</t>
        </is>
      </c>
      <c r="T191" s="116">
        <f>IF(AND('Inserimento dati'!$B$3=$H$2, Tabella3[[#This Row],[LUN]]="X"), "X",IF(AND('Inserimento dati'!$B$3=$I$2, Tabella3[[#This Row],[MAR]]="X"), "X", IF(AND('Inserimento dati'!$B$3=$J$2, Tabella3[[#This Row],[MER]]="X"), "X",IF(AND('Inserimento dati'!$B$3=$K$2, Tabella3[[#This Row],[GIO]]="X"), "X", IF(AND('Inserimento dati'!$B$3=$L$2, Tabella3[[#This Row],[VEN]]="X"), "X","")))))</f>
        <v/>
      </c>
      <c r="U191" s="144">
        <f>IFERROR(MID(G191,_xlfn.AGGREGATE(15,6,(ROW(INDIRECT("1:"&amp;LEN(G191)-7)))/(ISNUMBER(--MID(G191,ROW(INDIRECT("1:"&amp;LEN(G191)-7)),8))),1),8),"")</f>
        <v/>
      </c>
      <c r="V191" t="inlineStr">
        <is>
          <t>2025-09-30 20:00:00</t>
        </is>
      </c>
    </row>
    <row r="192" ht="30" customFormat="1" customHeight="1" s="45">
      <c r="A192" s="112" t="n"/>
      <c r="B192" s="112">
        <f>IF(OR(A192="x",A192="X"),"",IF(ISBLANK(A192),"X",""))</f>
        <v/>
      </c>
      <c r="C192" s="112">
        <f>IF(OR(Tabella3[[#This Row],[LUN]]="X",Tabella3[[#This Row],[MAR]]="X",Tabella3[[#This Row],[MER]]="X",Tabella3[[#This Row],[GIO]]="X",Tabella3[[#This Row],[VEN]]="X",),"X","")</f>
        <v/>
      </c>
      <c r="D192" s="113" t="inlineStr">
        <is>
          <t>AREA 3</t>
        </is>
      </c>
      <c r="E192" s="109" t="inlineStr">
        <is>
          <t>514367/C</t>
        </is>
      </c>
      <c r="F192" s="109" t="n">
        <v>700</v>
      </c>
      <c r="G192" s="109" t="inlineStr">
        <is>
          <t xml:space="preserve"> PCV202 la pneumatica on off rimane aperta/chiusa</t>
        </is>
      </c>
      <c r="H192" s="111" t="n"/>
      <c r="I192" s="111" t="n"/>
      <c r="J192" s="111" t="n"/>
      <c r="K192" s="111" t="n"/>
      <c r="L192" s="111" t="n"/>
      <c r="M192" s="109" t="inlineStr">
        <is>
          <t>DA CHIUDERE</t>
        </is>
      </c>
      <c r="N192" s="109" t="n"/>
      <c r="O192" s="109" t="n"/>
      <c r="P192" s="109" t="n"/>
      <c r="Q192" s="109" t="inlineStr">
        <is>
          <t>NESSUNA ANOMALIA</t>
        </is>
      </c>
      <c r="R192" s="110" t="n">
        <v>45593</v>
      </c>
      <c r="S192" s="110" t="inlineStr">
        <is>
          <t>GARRO L./GARRO S.</t>
        </is>
      </c>
      <c r="T192" s="116">
        <f>IF(AND('Inserimento dati'!$B$3=$H$2, Tabella3[[#This Row],[LUN]]="X"), "X",IF(AND('Inserimento dati'!$B$3=$I$2, Tabella3[[#This Row],[MAR]]="X"), "X", IF(AND('Inserimento dati'!$B$3=$J$2, Tabella3[[#This Row],[MER]]="X"), "X",IF(AND('Inserimento dati'!$B$3=$K$2, Tabella3[[#This Row],[GIO]]="X"), "X", IF(AND('Inserimento dati'!$B$3=$L$2, Tabella3[[#This Row],[VEN]]="X"), "X","")))))</f>
        <v/>
      </c>
      <c r="U192" s="144">
        <f>IFERROR(MID(G192,_xlfn.AGGREGATE(15,6,(ROW(INDIRECT("1:"&amp;LEN(G192)-7)))/(ISNUMBER(--MID(G192,ROW(INDIRECT("1:"&amp;LEN(G192)-7)),8))),1),8),"")</f>
        <v/>
      </c>
      <c r="V192" t="inlineStr">
        <is>
          <t>2025-09-30 20:00:00</t>
        </is>
      </c>
    </row>
    <row r="193" ht="30" customFormat="1" customHeight="1" s="45">
      <c r="A193" s="112" t="n"/>
      <c r="B193" s="112">
        <f>IF(OR(A193="x",A193="X"),"",IF(ISBLANK(A193),"X",""))</f>
        <v/>
      </c>
      <c r="C193" s="112">
        <f>IF(OR(Tabella3[[#This Row],[LUN]]="X",Tabella3[[#This Row],[MAR]]="X",Tabella3[[#This Row],[MER]]="X",Tabella3[[#This Row],[GIO]]="X",Tabella3[[#This Row],[VEN]]="X",),"X","")</f>
        <v/>
      </c>
      <c r="D193" s="113" t="inlineStr">
        <is>
          <t>AREA 3</t>
        </is>
      </c>
      <c r="E193" s="109" t="inlineStr">
        <is>
          <t>514731/C</t>
        </is>
      </c>
      <c r="F193" s="109" t="n">
        <v>1400</v>
      </c>
      <c r="G193" s="109" t="inlineStr">
        <is>
          <t xml:space="preserve"> 1400 T016I CONTROLLO E RIPRISTINO</t>
        </is>
      </c>
      <c r="H193" s="111" t="n"/>
      <c r="I193" s="111" t="n"/>
      <c r="J193" s="111" t="n"/>
      <c r="K193" s="111" t="n"/>
      <c r="L193" s="111" t="n"/>
      <c r="M193" s="109" t="inlineStr">
        <is>
          <t>DA CHIUDERE</t>
        </is>
      </c>
      <c r="N193" s="109" t="n"/>
      <c r="O193" s="109" t="n"/>
      <c r="P193" s="109" t="n"/>
      <c r="Q193" s="109" t="inlineStr">
        <is>
          <t>RIFACIMENTO TESTINA E RIPRISTINATA TEMPERATURA</t>
        </is>
      </c>
      <c r="R193" s="110" t="n">
        <v>45600</v>
      </c>
      <c r="S193" s="110" t="inlineStr">
        <is>
          <t>TARASCIO/PARTESANO</t>
        </is>
      </c>
      <c r="T193" s="116">
        <f>IF(AND('Inserimento dati'!$B$3=$H$2, Tabella3[[#This Row],[LUN]]="X"), "X",IF(AND('Inserimento dati'!$B$3=$I$2, Tabella3[[#This Row],[MAR]]="X"), "X", IF(AND('Inserimento dati'!$B$3=$J$2, Tabella3[[#This Row],[MER]]="X"), "X",IF(AND('Inserimento dati'!$B$3=$K$2, Tabella3[[#This Row],[GIO]]="X"), "X", IF(AND('Inserimento dati'!$B$3=$L$2, Tabella3[[#This Row],[VEN]]="X"), "X","")))))</f>
        <v/>
      </c>
      <c r="U193" s="144">
        <f>IFERROR(MID(G193,_xlfn.AGGREGATE(15,6,(ROW(INDIRECT("1:"&amp;LEN(G193)-7)))/(ISNUMBER(--MID(G193,ROW(INDIRECT("1:"&amp;LEN(G193)-7)),8))),1),8),"")</f>
        <v/>
      </c>
      <c r="V193" t="inlineStr">
        <is>
          <t>2025-09-30 20:00:00</t>
        </is>
      </c>
    </row>
    <row r="194" ht="30" customFormat="1" customHeight="1" s="45">
      <c r="A194" s="112" t="n"/>
      <c r="B194" s="112">
        <f>IF(OR(A194="x",A194="X"),"",IF(ISBLANK(A194),"X",""))</f>
        <v/>
      </c>
      <c r="C194" s="112">
        <f>IF(OR(Tabella3[[#This Row],[LUN]]="X",Tabella3[[#This Row],[MAR]]="X",Tabella3[[#This Row],[MER]]="X",Tabella3[[#This Row],[GIO]]="X",Tabella3[[#This Row],[VEN]]="X",),"X","")</f>
        <v/>
      </c>
      <c r="D194" s="113" t="inlineStr">
        <is>
          <t>AREA 3</t>
        </is>
      </c>
      <c r="E194" s="109" t="inlineStr">
        <is>
          <t>514372/C</t>
        </is>
      </c>
      <c r="F194" s="109" t="n">
        <v>1800</v>
      </c>
      <c r="G194" s="109" t="inlineStr">
        <is>
          <t xml:space="preserve"> 18T005I ripristino vapore MS in ingresso 1800/E102</t>
        </is>
      </c>
      <c r="H194" s="111" t="n"/>
      <c r="I194" s="111" t="n"/>
      <c r="J194" s="111" t="n"/>
      <c r="K194" s="111" t="n"/>
      <c r="L194" s="111" t="n"/>
      <c r="M194" s="109" t="inlineStr">
        <is>
          <t>DA CHIUDERE</t>
        </is>
      </c>
      <c r="N194" s="109" t="n"/>
      <c r="O194" s="109" t="n"/>
      <c r="P194" s="109" t="n"/>
      <c r="Q194" s="109" t="inlineStr">
        <is>
          <t>CAVO SPEZZATO, RIFATTA TESTINA, OK</t>
        </is>
      </c>
      <c r="R194" s="110" t="n">
        <v>45600</v>
      </c>
      <c r="S194" s="110" t="inlineStr">
        <is>
          <t>TARASCIO/PARTESANO</t>
        </is>
      </c>
      <c r="T194" s="116">
        <f>IF(AND('Inserimento dati'!$B$3=$H$2, Tabella3[[#This Row],[LUN]]="X"), "X",IF(AND('Inserimento dati'!$B$3=$I$2, Tabella3[[#This Row],[MAR]]="X"), "X", IF(AND('Inserimento dati'!$B$3=$J$2, Tabella3[[#This Row],[MER]]="X"), "X",IF(AND('Inserimento dati'!$B$3=$K$2, Tabella3[[#This Row],[GIO]]="X"), "X", IF(AND('Inserimento dati'!$B$3=$L$2, Tabella3[[#This Row],[VEN]]="X"), "X","")))))</f>
        <v/>
      </c>
      <c r="U194" s="144">
        <f>IFERROR(MID(G194,_xlfn.AGGREGATE(15,6,(ROW(INDIRECT("1:"&amp;LEN(G194)-7)))/(ISNUMBER(--MID(G194,ROW(INDIRECT("1:"&amp;LEN(G194)-7)),8))),1),8),"")</f>
        <v/>
      </c>
      <c r="V194" t="inlineStr">
        <is>
          <t>2025-09-30 20:00:00</t>
        </is>
      </c>
    </row>
    <row r="195" ht="30" customFormat="1" customHeight="1" s="45">
      <c r="A195" s="112" t="n"/>
      <c r="B195" s="112">
        <f>IF(OR(A195="x",A195="X"),"",IF(ISBLANK(A195),"X",""))</f>
        <v/>
      </c>
      <c r="C195" s="112">
        <f>IF(OR(Tabella3[[#This Row],[LUN]]="X",Tabella3[[#This Row],[MAR]]="X",Tabella3[[#This Row],[MER]]="X",Tabella3[[#This Row],[GIO]]="X",Tabella3[[#This Row],[VEN]]="X",),"X","")</f>
        <v/>
      </c>
      <c r="D195" s="113" t="inlineStr">
        <is>
          <t>AREA 3</t>
        </is>
      </c>
      <c r="E195" s="109" t="inlineStr">
        <is>
          <t>515582/C</t>
        </is>
      </c>
      <c r="F195" s="109" t="n">
        <v>1100</v>
      </c>
      <c r="G195" s="109" t="inlineStr">
        <is>
          <t xml:space="preserve"> MTZ 11FCV001 (MDEA A T101B)</t>
        </is>
      </c>
      <c r="H195" s="111" t="n"/>
      <c r="I195" s="111" t="n"/>
      <c r="J195" s="111" t="n"/>
      <c r="K195" s="111" t="n"/>
      <c r="L195" s="111" t="n"/>
      <c r="M195" s="109" t="inlineStr">
        <is>
          <t>DA CHIUDERE</t>
        </is>
      </c>
      <c r="N195" s="109" t="n"/>
      <c r="O195" s="109" t="n"/>
      <c r="P195" s="109" t="n"/>
      <c r="Q195" s="109" t="inlineStr">
        <is>
          <t>VALVOLA STRUMENTALMENTE OK, TUTTA CHIUSA NON FA TENUTA. SI CONSIGLIA LA REVISIONE.</t>
        </is>
      </c>
      <c r="R195" s="110" t="n">
        <v>45601</v>
      </c>
      <c r="S195" s="110" t="inlineStr">
        <is>
          <t>MILLO/ALLEGRETTI</t>
        </is>
      </c>
      <c r="T195" s="116">
        <f>IF(AND('Inserimento dati'!$B$3=$H$2, Tabella3[[#This Row],[LUN]]="X"), "X",IF(AND('Inserimento dati'!$B$3=$I$2, Tabella3[[#This Row],[MAR]]="X"), "X", IF(AND('Inserimento dati'!$B$3=$J$2, Tabella3[[#This Row],[MER]]="X"), "X",IF(AND('Inserimento dati'!$B$3=$K$2, Tabella3[[#This Row],[GIO]]="X"), "X", IF(AND('Inserimento dati'!$B$3=$L$2, Tabella3[[#This Row],[VEN]]="X"), "X","")))))</f>
        <v/>
      </c>
      <c r="U195" s="144">
        <f>IFERROR(MID(G195,_xlfn.AGGREGATE(15,6,(ROW(INDIRECT("1:"&amp;LEN(G195)-7)))/(ISNUMBER(--MID(G195,ROW(INDIRECT("1:"&amp;LEN(G195)-7)),8))),1),8),"")</f>
        <v/>
      </c>
      <c r="V195" t="inlineStr">
        <is>
          <t>2025-09-30 20:00:00</t>
        </is>
      </c>
    </row>
    <row r="196" ht="30" customFormat="1" customHeight="1" s="45">
      <c r="A196" s="112" t="n"/>
      <c r="B196" s="112">
        <f>IF(OR(A196="x",A196="X"),"",IF(ISBLANK(A196),"X",""))</f>
        <v/>
      </c>
      <c r="C196" s="112">
        <f>IF(OR(Tabella3[[#This Row],[LUN]]="X",Tabella3[[#This Row],[MAR]]="X",Tabella3[[#This Row],[MER]]="X",Tabella3[[#This Row],[GIO]]="X",Tabella3[[#This Row],[VEN]]="X",),"X","")</f>
        <v/>
      </c>
      <c r="D196" s="113" t="inlineStr">
        <is>
          <t>AREA 3</t>
        </is>
      </c>
      <c r="E196" s="109" t="inlineStr">
        <is>
          <t>515564/C</t>
        </is>
      </c>
      <c r="F196" s="109" t="inlineStr">
        <is>
          <t>1200/M</t>
        </is>
      </c>
      <c r="G196" s="109" t="inlineStr">
        <is>
          <t xml:space="preserve"> KV805 SMONTAGGIO - RIMONTAGGIO SERVOMOTORE</t>
        </is>
      </c>
      <c r="H196" s="111" t="n"/>
      <c r="I196" s="111" t="n"/>
      <c r="J196" s="111" t="n"/>
      <c r="K196" s="111" t="n"/>
      <c r="L196" s="111" t="n"/>
      <c r="M196" s="109" t="inlineStr">
        <is>
          <t>DA CHIUDERE</t>
        </is>
      </c>
      <c r="N196" s="109" t="n"/>
      <c r="O196" s="109" t="n"/>
      <c r="P196" s="109" t="n"/>
      <c r="Q196" s="109" t="inlineStr">
        <is>
          <t>ATTIVITA' DA CHIUDERE</t>
        </is>
      </c>
      <c r="R196" s="110" t="n">
        <v>45598</v>
      </c>
      <c r="S196" s="110" t="inlineStr">
        <is>
          <t>GARRO L./GARRO S.</t>
        </is>
      </c>
      <c r="T196" s="116">
        <f>IF(AND('Inserimento dati'!$B$3=$H$2, Tabella3[[#This Row],[LUN]]="X"), "X",IF(AND('Inserimento dati'!$B$3=$I$2, Tabella3[[#This Row],[MAR]]="X"), "X", IF(AND('Inserimento dati'!$B$3=$J$2, Tabella3[[#This Row],[MER]]="X"), "X",IF(AND('Inserimento dati'!$B$3=$K$2, Tabella3[[#This Row],[GIO]]="X"), "X", IF(AND('Inserimento dati'!$B$3=$L$2, Tabella3[[#This Row],[VEN]]="X"), "X","")))))</f>
        <v/>
      </c>
      <c r="U196" s="144">
        <f>IFERROR(MID(G196,_xlfn.AGGREGATE(15,6,(ROW(INDIRECT("1:"&amp;LEN(G196)-7)))/(ISNUMBER(--MID(G196,ROW(INDIRECT("1:"&amp;LEN(G196)-7)),8))),1),8),"")</f>
        <v/>
      </c>
      <c r="V196" t="inlineStr">
        <is>
          <t>2025-09-30 20:00:00</t>
        </is>
      </c>
    </row>
    <row r="197" ht="23.25" customFormat="1" customHeight="1" s="45">
      <c r="A197" s="112" t="n"/>
      <c r="B197" s="112">
        <f>IF(OR(A197="x",A197="X"),"",IF(ISBLANK(A197),"X",""))</f>
        <v/>
      </c>
      <c r="C197" s="112">
        <f>IF(OR(Tabella3[[#This Row],[LUN]]="X",Tabella3[[#This Row],[MAR]]="X",Tabella3[[#This Row],[MER]]="X",Tabella3[[#This Row],[GIO]]="X",Tabella3[[#This Row],[VEN]]="X",),"X","")</f>
        <v/>
      </c>
      <c r="D197" s="113" t="inlineStr">
        <is>
          <t>AREA 3</t>
        </is>
      </c>
      <c r="E197" s="109" t="inlineStr">
        <is>
          <t>531045/C</t>
        </is>
      </c>
      <c r="F197" s="109" t="inlineStr">
        <is>
          <t>700A</t>
        </is>
      </c>
      <c r="G197" s="109" t="inlineStr">
        <is>
          <t xml:space="preserve"> 700A - 07F216R.PV: portata riflusso del piatto 19 della T201</t>
        </is>
      </c>
      <c r="H197" s="111" t="n"/>
      <c r="I197" s="111" t="n"/>
      <c r="J197" s="111" t="n"/>
      <c r="K197" s="111" t="n"/>
      <c r="L197" s="111" t="n"/>
      <c r="M197" s="109" t="inlineStr">
        <is>
          <t>DA CHIUDERE</t>
        </is>
      </c>
      <c r="N197" s="109" t="n"/>
      <c r="O197" s="109" t="n"/>
      <c r="P197" s="109" t="n"/>
      <c r="Q197" s="109" t="inlineStr">
        <is>
          <t>SOSTITUITO STRUMENTO CON RIPRISTINO DELLA FUNZIONALITA'</t>
        </is>
      </c>
      <c r="R197" s="110" t="n">
        <v>45743</v>
      </c>
      <c r="S197" s="109" t="inlineStr">
        <is>
          <t>SPINALI</t>
        </is>
      </c>
      <c r="T197" s="116">
        <f>IF(AND('Inserimento dati'!$B$3=$H$2, Tabella3[[#This Row],[LUN]]="X"), "X",IF(AND('Inserimento dati'!$B$3=$I$2, Tabella3[[#This Row],[MAR]]="X"), "X", IF(AND('Inserimento dati'!$B$3=$J$2, Tabella3[[#This Row],[MER]]="X"), "X",IF(AND('Inserimento dati'!$B$3=$K$2, Tabella3[[#This Row],[GIO]]="X"), "X", IF(AND('Inserimento dati'!$B$3=$L$2, Tabella3[[#This Row],[VEN]]="X"), "X","")))))</f>
        <v/>
      </c>
      <c r="U197" s="144">
        <f>IFERROR(MID(G197,_xlfn.AGGREGATE(15,6,(ROW(INDIRECT("1:"&amp;LEN(G197)-7)))/(ISNUMBER(--MID(G197,ROW(INDIRECT("1:"&amp;LEN(G197)-7)),8))),1),8),"")</f>
        <v/>
      </c>
      <c r="V197" t="inlineStr">
        <is>
          <t>2025-09-30 20:00:00</t>
        </is>
      </c>
    </row>
    <row r="198" ht="60" customFormat="1" customHeight="1" s="45">
      <c r="A198" s="112" t="n"/>
      <c r="B198" s="112">
        <f>IF(OR(A198="x",A198="X"),"",IF(ISBLANK(A198),"X",""))</f>
        <v/>
      </c>
      <c r="C198" s="112">
        <f>IF(OR(Tabella3[[#This Row],[LUN]]="X",Tabella3[[#This Row],[MAR]]="X",Tabella3[[#This Row],[MER]]="X",Tabella3[[#This Row],[GIO]]="X",Tabella3[[#This Row],[VEN]]="X",),"X","")</f>
        <v/>
      </c>
      <c r="D198" s="113" t="inlineStr">
        <is>
          <t>AREA 3</t>
        </is>
      </c>
      <c r="E198" s="109" t="inlineStr">
        <is>
          <t>533551/C</t>
        </is>
      </c>
      <c r="F198" s="109" t="inlineStr">
        <is>
          <t>1200/M</t>
        </is>
      </c>
      <c r="G198" s="109" t="inlineStr">
        <is>
          <t xml:space="preserve"> 10222217 1200/M - ZMF705R  ripristino funzionale</t>
        </is>
      </c>
      <c r="H198" s="111" t="n"/>
      <c r="I198" s="111" t="n"/>
      <c r="J198" s="111" t="n"/>
      <c r="K198" s="111" t="n"/>
      <c r="L198" s="111" t="n"/>
      <c r="M198" s="109" t="inlineStr">
        <is>
          <t>DA CHIUDERE</t>
        </is>
      </c>
      <c r="N198" s="109" t="n"/>
      <c r="O198" s="109" t="n"/>
      <c r="P198" s="109" t="n"/>
      <c r="Q198" s="109" t="inlineStr">
        <is>
          <t>EFFETTUATO ALLINEAMENTO CAMPO/SALA CONTROLLO, CAUSA VALVOLE DI  INTERCETTO STRUMENTO INUTILIZZABILI. NECESSITA PONTEGGIO PER CHIUSURA VALVOLE DI RADICE. D'ACCORDO CON TCL CALDARELLA VERRA' FATTO TUTTO NUOVO.</t>
        </is>
      </c>
      <c r="R198" s="110" t="n">
        <v>45784</v>
      </c>
      <c r="S198" s="109" t="inlineStr">
        <is>
          <t>TARASCIO/PARTESANO</t>
        </is>
      </c>
      <c r="T198" s="116">
        <f>IF(AND('Inserimento dati'!$B$3=$H$2, Tabella3[[#This Row],[LUN]]="X"), "X",IF(AND('Inserimento dati'!$B$3=$I$2, Tabella3[[#This Row],[MAR]]="X"), "X", IF(AND('Inserimento dati'!$B$3=$J$2, Tabella3[[#This Row],[MER]]="X"), "X",IF(AND('Inserimento dati'!$B$3=$K$2, Tabella3[[#This Row],[GIO]]="X"), "X", IF(AND('Inserimento dati'!$B$3=$L$2, Tabella3[[#This Row],[VEN]]="X"), "X","")))))</f>
        <v/>
      </c>
      <c r="U198" s="144">
        <f>IFERROR(MID(G198,_xlfn.AGGREGATE(15,6,(ROW(INDIRECT("1:"&amp;LEN(G198)-7)))/(ISNUMBER(--MID(G198,ROW(INDIRECT("1:"&amp;LEN(G198)-7)),8))),1),8),"")</f>
        <v/>
      </c>
      <c r="V198" t="inlineStr">
        <is>
          <t>2025-09-30 20:00:00</t>
        </is>
      </c>
    </row>
    <row r="199" ht="23.25" customFormat="1" customHeight="1" s="45">
      <c r="A199" s="112" t="n"/>
      <c r="B199" s="112">
        <f>IF(OR(A199="x",A199="X"),"",IF(ISBLANK(A199),"X",""))</f>
        <v/>
      </c>
      <c r="C199" s="112">
        <f>IF(OR(Tabella3[[#This Row],[LUN]]="X",Tabella3[[#This Row],[MAR]]="X",Tabella3[[#This Row],[MER]]="X",Tabella3[[#This Row],[GIO]]="X",Tabella3[[#This Row],[VEN]]="X",),"X","")</f>
        <v/>
      </c>
      <c r="D199" s="113" t="inlineStr">
        <is>
          <t>AREA 3</t>
        </is>
      </c>
      <c r="E199" s="109" t="inlineStr">
        <is>
          <t>536118/C</t>
        </is>
      </c>
      <c r="F199" s="109" t="inlineStr">
        <is>
          <t>700A</t>
        </is>
      </c>
      <c r="G199" s="109" t="inlineStr">
        <is>
          <t xml:space="preserve"> 700A REVISIONE JB TH-6 SOLO SEGNALI DI TEMPERATURA GIA VERIFICATI</t>
        </is>
      </c>
      <c r="H199" s="111" t="n"/>
      <c r="I199" s="111" t="n"/>
      <c r="J199" s="111" t="n"/>
      <c r="K199" s="111" t="n"/>
      <c r="L199" s="111" t="n"/>
      <c r="M199" s="109" t="inlineStr">
        <is>
          <t>DA CHIUDERE</t>
        </is>
      </c>
      <c r="N199" s="109" t="n"/>
      <c r="O199" s="109" t="n"/>
      <c r="P199" s="109" t="n"/>
      <c r="Q199" s="109" t="n"/>
      <c r="R199" s="110" t="n"/>
      <c r="S199" s="109" t="n"/>
      <c r="T199" s="69">
        <f>IF(AND('Inserimento dati'!$B$3=$H$2, Tabella3[[#This Row],[LUN]]="X"), "X",IF(AND('Inserimento dati'!$B$3=$I$2, Tabella3[[#This Row],[MAR]]="X"), "X", IF(AND('Inserimento dati'!$B$3=$J$2, Tabella3[[#This Row],[MER]]="X"), "X",IF(AND('Inserimento dati'!$B$3=$K$2, Tabella3[[#This Row],[GIO]]="X"), "X", IF(AND('Inserimento dati'!$B$3=$L$2, Tabella3[[#This Row],[VEN]]="X"), "X","")))))</f>
        <v/>
      </c>
      <c r="U199" s="144">
        <f>IFERROR(MID(G199,_xlfn.AGGREGATE(15,6,(ROW(INDIRECT("1:"&amp;LEN(G199)-7)))/(ISNUMBER(--MID(G199,ROW(INDIRECT("1:"&amp;LEN(G199)-7)),8))),1),8),"")</f>
        <v/>
      </c>
      <c r="V199" t="inlineStr">
        <is>
          <t>2025-09-30 20:00:00</t>
        </is>
      </c>
    </row>
    <row r="200" ht="30" customFormat="1" customHeight="1" s="45">
      <c r="A200" s="112" t="n"/>
      <c r="B200" s="112">
        <f>IF(OR(A200="x",A200="X"),"",IF(ISBLANK(A200),"X",""))</f>
        <v/>
      </c>
      <c r="C200" s="112">
        <f>IF(OR(Tabella3[[#This Row],[LUN]]="X",Tabella3[[#This Row],[MAR]]="X",Tabella3[[#This Row],[MER]]="X",Tabella3[[#This Row],[GIO]]="X",Tabella3[[#This Row],[VEN]]="X",),"X","")</f>
        <v/>
      </c>
      <c r="D200" s="113" t="inlineStr">
        <is>
          <t>AREA 3</t>
        </is>
      </c>
      <c r="E200" s="109" t="inlineStr">
        <is>
          <t>529829/C</t>
        </is>
      </c>
      <c r="F200" s="109" t="n">
        <v>1100</v>
      </c>
      <c r="G200" s="109" t="inlineStr">
        <is>
          <t xml:space="preserve"> 10218011 1100 - controllo funzionale ed eventuale smontaggio/rimontaggio per revisione LCV020. valvola</t>
        </is>
      </c>
      <c r="H200" s="111" t="n"/>
      <c r="I200" s="111" t="n"/>
      <c r="J200" s="111" t="n"/>
      <c r="K200" s="111" t="n"/>
      <c r="L200" s="111" t="n"/>
      <c r="M200" s="109" t="inlineStr">
        <is>
          <t>DA CHIUDERE</t>
        </is>
      </c>
      <c r="N200" s="109" t="n"/>
      <c r="O200" s="109" t="n"/>
      <c r="P200" s="109" t="n"/>
      <c r="Q200" s="109" t="inlineStr">
        <is>
          <t>RIMONTATA VALVOLA IN CAMPO</t>
        </is>
      </c>
      <c r="R200" s="110" t="n">
        <v>45775</v>
      </c>
      <c r="S200" s="109" t="inlineStr">
        <is>
          <t>GIGLIUTO/OGNISANTI</t>
        </is>
      </c>
      <c r="T200" s="116">
        <f>IF(AND('Inserimento dati'!$B$3=$H$2, Tabella3[[#This Row],[LUN]]="X"), "X",IF(AND('Inserimento dati'!$B$3=$I$2, Tabella3[[#This Row],[MAR]]="X"), "X", IF(AND('Inserimento dati'!$B$3=$J$2, Tabella3[[#This Row],[MER]]="X"), "X",IF(AND('Inserimento dati'!$B$3=$K$2, Tabella3[[#This Row],[GIO]]="X"), "X", IF(AND('Inserimento dati'!$B$3=$L$2, Tabella3[[#This Row],[VEN]]="X"), "X","")))))</f>
        <v/>
      </c>
      <c r="U200" s="144">
        <f>IFERROR(MID(G200,_xlfn.AGGREGATE(15,6,(ROW(INDIRECT("1:"&amp;LEN(G200)-7)))/(ISNUMBER(--MID(G200,ROW(INDIRECT("1:"&amp;LEN(G200)-7)),8))),1),8),"")</f>
        <v/>
      </c>
      <c r="V200" t="inlineStr">
        <is>
          <t>2025-09-30 20:00:00</t>
        </is>
      </c>
    </row>
    <row r="201" ht="45" customFormat="1" customHeight="1" s="45">
      <c r="A201" s="112" t="n"/>
      <c r="B201" s="112">
        <f>IF(OR(A201="x",A201="X"),"",IF(ISBLANK(A201),"X",""))</f>
        <v/>
      </c>
      <c r="C201" s="112">
        <f>IF(OR(Tabella3[[#This Row],[LUN]]="X",Tabella3[[#This Row],[MAR]]="X",Tabella3[[#This Row],[MER]]="X",Tabella3[[#This Row],[GIO]]="X",Tabella3[[#This Row],[VEN]]="X",),"X","")</f>
        <v/>
      </c>
      <c r="D201" s="113" t="inlineStr">
        <is>
          <t>AREA 3</t>
        </is>
      </c>
      <c r="E201" s="113" t="inlineStr">
        <is>
          <t>535898/C</t>
        </is>
      </c>
      <c r="F201" s="109" t="n">
        <v>1800</v>
      </c>
      <c r="G201" s="109" t="inlineStr">
        <is>
          <t>10218265 1800 - Misuratore di portata di vapore allE102 dellU1800, 18F003BI (il misuratore in questione riporta un valore di portata diverso rispetto al misuratore 18F003RC).  Quindi verifichiamo entrambi i trasmettitori</t>
        </is>
      </c>
      <c r="H201" s="111" t="n"/>
      <c r="I201" s="111" t="n"/>
      <c r="J201" s="111" t="n"/>
      <c r="K201" s="111" t="n"/>
      <c r="L201" s="111" t="n"/>
      <c r="M201" s="109" t="inlineStr">
        <is>
          <t>DA CHIUDERE</t>
        </is>
      </c>
      <c r="N201" s="109" t="n"/>
      <c r="O201" s="109" t="n"/>
      <c r="P201" s="109" t="n"/>
      <c r="Q201" s="109" t="inlineStr">
        <is>
          <t>ESEGUITA CORREZIONE DI ZERO</t>
        </is>
      </c>
      <c r="R201" s="110" t="n">
        <v>45791</v>
      </c>
      <c r="S201" s="109" t="inlineStr">
        <is>
          <t>MILLO</t>
        </is>
      </c>
      <c r="T201" s="116">
        <f>IF(AND('Inserimento dati'!$B$3=$H$2, Tabella3[[#This Row],[LUN]]="X"), "X",IF(AND('Inserimento dati'!$B$3=$I$2, Tabella3[[#This Row],[MAR]]="X"), "X", IF(AND('Inserimento dati'!$B$3=$J$2, Tabella3[[#This Row],[MER]]="X"), "X",IF(AND('Inserimento dati'!$B$3=$K$2, Tabella3[[#This Row],[GIO]]="X"), "X", IF(AND('Inserimento dati'!$B$3=$L$2, Tabella3[[#This Row],[VEN]]="X"), "X","")))))</f>
        <v/>
      </c>
      <c r="U201" s="144">
        <f>IFERROR(MID(G201,_xlfn.AGGREGATE(15,6,(ROW(INDIRECT("1:"&amp;LEN(G201)-7)))/(ISNUMBER(--MID(G201,ROW(INDIRECT("1:"&amp;LEN(G201)-7)),8))),1),8),"")</f>
        <v/>
      </c>
      <c r="V201" t="inlineStr">
        <is>
          <t>2025-09-30 20:00:00</t>
        </is>
      </c>
    </row>
    <row r="202" ht="23.25" customFormat="1" customHeight="1" s="45">
      <c r="A202" s="112" t="n"/>
      <c r="B202" s="112">
        <f>IF(OR(A202="x",A202="X"),"",IF(ISBLANK(A202),"X",""))</f>
        <v/>
      </c>
      <c r="C202" s="112">
        <f>IF(OR(Tabella3[[#This Row],[LUN]]="X",Tabella3[[#This Row],[MAR]]="X",Tabella3[[#This Row],[MER]]="X",Tabella3[[#This Row],[GIO]]="X",Tabella3[[#This Row],[VEN]]="X",),"X","")</f>
        <v/>
      </c>
      <c r="D202" s="113" t="inlineStr">
        <is>
          <t>AREA 3</t>
        </is>
      </c>
      <c r="E202" s="109" t="inlineStr">
        <is>
          <t>536150/C</t>
        </is>
      </c>
      <c r="F202" s="109" t="n">
        <v>800</v>
      </c>
      <c r="G202" s="109" t="inlineStr">
        <is>
          <t xml:space="preserve"> 800 - MC101B CONTROLLO RTD 08-T207/208/209/210/211</t>
        </is>
      </c>
      <c r="H202" s="111" t="n"/>
      <c r="I202" s="111" t="n"/>
      <c r="J202" s="111" t="n"/>
      <c r="K202" s="111" t="n"/>
      <c r="L202" s="111" t="n"/>
      <c r="M202" s="109" t="inlineStr">
        <is>
          <t>DA CHIUDERE</t>
        </is>
      </c>
      <c r="N202" s="109" t="n"/>
      <c r="O202" s="109" t="n"/>
      <c r="P202" s="109" t="n"/>
      <c r="Q202" s="109" t="inlineStr">
        <is>
          <t>TEMPERATURE RIPRISTINATE</t>
        </is>
      </c>
      <c r="R202" s="110" t="n">
        <v>45790</v>
      </c>
      <c r="S202" s="109" t="inlineStr">
        <is>
          <t>TARASCIO</t>
        </is>
      </c>
      <c r="T202" s="69">
        <f>IF(AND('Inserimento dati'!$B$3=$H$2, Tabella3[[#This Row],[LUN]]="X"), "X",IF(AND('Inserimento dati'!$B$3=$I$2, Tabella3[[#This Row],[MAR]]="X"), "X", IF(AND('Inserimento dati'!$B$3=$J$2, Tabella3[[#This Row],[MER]]="X"), "X",IF(AND('Inserimento dati'!$B$3=$K$2, Tabella3[[#This Row],[GIO]]="X"), "X", IF(AND('Inserimento dati'!$B$3=$L$2, Tabella3[[#This Row],[VEN]]="X"), "X","")))))</f>
        <v/>
      </c>
      <c r="U202" s="144">
        <f>IFERROR(MID(G202,_xlfn.AGGREGATE(15,6,(ROW(INDIRECT("1:"&amp;LEN(G202)-7)))/(ISNUMBER(--MID(G202,ROW(INDIRECT("1:"&amp;LEN(G202)-7)),8))),1),8),"")</f>
        <v/>
      </c>
      <c r="V202" t="inlineStr">
        <is>
          <t>2025-09-30 20:00:00</t>
        </is>
      </c>
    </row>
    <row r="203" ht="23.25" customFormat="1" customHeight="1" s="45">
      <c r="A203" s="112" t="n"/>
      <c r="B203" s="112">
        <f>IF(OR(A203="x",A203="X"),"",IF(ISBLANK(A203),"X",""))</f>
        <v/>
      </c>
      <c r="C203" s="112">
        <f>IF(OR(Tabella3[[#This Row],[LUN]]="X",Tabella3[[#This Row],[MAR]]="X",Tabella3[[#This Row],[MER]]="X",Tabella3[[#This Row],[GIO]]="X",Tabella3[[#This Row],[VEN]]="X",),"X","")</f>
        <v/>
      </c>
      <c r="D203" s="113" t="inlineStr">
        <is>
          <t>AREA 3</t>
        </is>
      </c>
      <c r="E203" s="109" t="inlineStr">
        <is>
          <t>536648/C</t>
        </is>
      </c>
      <c r="F203" s="109" t="inlineStr">
        <is>
          <t>700A</t>
        </is>
      </c>
      <c r="G203" s="109" t="inlineStr">
        <is>
          <t>10223752 700A - 07F219RC controllo e ripristino funzionalit</t>
        </is>
      </c>
      <c r="H203" s="111" t="n"/>
      <c r="I203" s="111" t="n"/>
      <c r="J203" s="111" t="n"/>
      <c r="K203" s="111" t="n"/>
      <c r="L203" s="111" t="n"/>
      <c r="M203" s="109" t="inlineStr">
        <is>
          <t>DA CHIUDERE</t>
        </is>
      </c>
      <c r="N203" s="110" t="n"/>
      <c r="O203" s="109" t="n"/>
      <c r="P203" s="109" t="n"/>
      <c r="Q203" s="109" t="inlineStr">
        <is>
          <t>ESEGUITA CORREZIONE DI ZERO</t>
        </is>
      </c>
      <c r="R203" s="110" t="n">
        <v>45791</v>
      </c>
      <c r="S203" s="109" t="inlineStr">
        <is>
          <t>MILLO</t>
        </is>
      </c>
      <c r="T203" s="114">
        <f>IF(AND('Inserimento dati'!$B$3=$H$2, Tabella3[[#This Row],[LUN]]="X"), "X",IF(AND('Inserimento dati'!$B$3=$I$2, Tabella3[[#This Row],[MAR]]="X"), "X", IF(AND('Inserimento dati'!$B$3=$J$2, Tabella3[[#This Row],[MER]]="X"), "X",IF(AND('Inserimento dati'!$B$3=$K$2, Tabella3[[#This Row],[GIO]]="X"), "X", IF(AND('Inserimento dati'!$B$3=$L$2, Tabella3[[#This Row],[VEN]]="X"), "X","")))))</f>
        <v/>
      </c>
      <c r="U203" s="144">
        <f>IFERROR(MID(G203,_xlfn.AGGREGATE(15,6,(ROW(INDIRECT("1:"&amp;LEN(G203)-7)))/(ISNUMBER(--MID(G203,ROW(INDIRECT("1:"&amp;LEN(G203)-7)),8))),1),8),"")</f>
        <v/>
      </c>
      <c r="V203" t="inlineStr">
        <is>
          <t>2025-09-30 20:00:00</t>
        </is>
      </c>
    </row>
    <row r="204" ht="23.25" customFormat="1" customHeight="1" s="45">
      <c r="A204" s="112" t="n"/>
      <c r="B204" s="112">
        <f>IF(OR(A204="x",A204="X"),"",IF(ISBLANK(A204),"X",""))</f>
        <v/>
      </c>
      <c r="C204" s="112">
        <f>IF(OR(Tabella3[[#This Row],[LUN]]="X",Tabella3[[#This Row],[MAR]]="X",Tabella3[[#This Row],[MER]]="X",Tabella3[[#This Row],[GIO]]="X",Tabella3[[#This Row],[VEN]]="X",),"X","")</f>
        <v/>
      </c>
      <c r="D204" s="113" t="inlineStr">
        <is>
          <t>AREA 3</t>
        </is>
      </c>
      <c r="E204" s="109" t="inlineStr">
        <is>
          <t>536646/C</t>
        </is>
      </c>
      <c r="F204" s="109" t="inlineStr">
        <is>
          <t>700A</t>
        </is>
      </c>
      <c r="G204" s="109" t="inlineStr">
        <is>
          <t>10223751 700A - 07F220AR controllo e ripristino funzionalit</t>
        </is>
      </c>
      <c r="H204" s="111" t="n"/>
      <c r="I204" s="111" t="n"/>
      <c r="J204" s="111" t="n"/>
      <c r="K204" s="111" t="n"/>
      <c r="L204" s="111" t="n"/>
      <c r="M204" s="109" t="inlineStr">
        <is>
          <t>DA CHIUDERE</t>
        </is>
      </c>
      <c r="N204" s="110" t="n"/>
      <c r="O204" s="109" t="n"/>
      <c r="P204" s="109" t="n"/>
      <c r="Q204" s="109" t="inlineStr">
        <is>
          <t>ESEGUITA CORREZIONE DI ZERO</t>
        </is>
      </c>
      <c r="R204" s="110" t="n">
        <v>45791</v>
      </c>
      <c r="S204" s="109" t="inlineStr">
        <is>
          <t>MILLO</t>
        </is>
      </c>
      <c r="T204" s="114">
        <f>IF(AND('Inserimento dati'!$B$3=$H$2, Tabella3[[#This Row],[LUN]]="X"), "X",IF(AND('Inserimento dati'!$B$3=$I$2, Tabella3[[#This Row],[MAR]]="X"), "X", IF(AND('Inserimento dati'!$B$3=$J$2, Tabella3[[#This Row],[MER]]="X"), "X",IF(AND('Inserimento dati'!$B$3=$K$2, Tabella3[[#This Row],[GIO]]="X"), "X", IF(AND('Inserimento dati'!$B$3=$L$2, Tabella3[[#This Row],[VEN]]="X"), "X","")))))</f>
        <v/>
      </c>
      <c r="U204" s="144">
        <f>IFERROR(MID(G204,_xlfn.AGGREGATE(15,6,(ROW(INDIRECT("1:"&amp;LEN(G204)-7)))/(ISNUMBER(--MID(G204,ROW(INDIRECT("1:"&amp;LEN(G204)-7)),8))),1),8),"")</f>
        <v/>
      </c>
      <c r="V204" t="inlineStr">
        <is>
          <t>2025-09-30 20:00:00</t>
        </is>
      </c>
    </row>
    <row r="205" ht="23.25" customFormat="1" customHeight="1" s="45">
      <c r="A205" s="112" t="n"/>
      <c r="B205" s="112">
        <f>IF(OR(A205="x",A205="X"),"",IF(ISBLANK(A205),"X",""))</f>
        <v/>
      </c>
      <c r="C205" s="112">
        <f>IF(OR(Tabella3[[#This Row],[LUN]]="X",Tabella3[[#This Row],[MAR]]="X",Tabella3[[#This Row],[MER]]="X",Tabella3[[#This Row],[GIO]]="X",Tabella3[[#This Row],[VEN]]="X",),"X","")</f>
        <v/>
      </c>
      <c r="D205" s="113" t="inlineStr">
        <is>
          <t>AREA 3</t>
        </is>
      </c>
      <c r="E205" s="109" t="inlineStr">
        <is>
          <t>536643/C</t>
        </is>
      </c>
      <c r="F205" s="109" t="inlineStr">
        <is>
          <t>700A</t>
        </is>
      </c>
      <c r="G205" s="109" t="inlineStr">
        <is>
          <t>10223749 700A - MTZ CONTROLLO LIVELLOSTATO BLOCCO T201-07L211SH</t>
        </is>
      </c>
      <c r="H205" s="111" t="n"/>
      <c r="I205" s="111" t="n"/>
      <c r="J205" s="111" t="n"/>
      <c r="K205" s="111" t="n"/>
      <c r="L205" s="111" t="n"/>
      <c r="M205" s="109" t="inlineStr">
        <is>
          <t>DA CHIUDERE</t>
        </is>
      </c>
      <c r="N205" s="109" t="n"/>
      <c r="O205" s="109" t="n"/>
      <c r="P205" s="109" t="n"/>
      <c r="Q205" s="109" t="inlineStr">
        <is>
          <t>ESEGUITA CORREZIONE DI ZERO</t>
        </is>
      </c>
      <c r="R205" s="110" t="n">
        <v>45791</v>
      </c>
      <c r="S205" s="109" t="inlineStr">
        <is>
          <t>MILLO</t>
        </is>
      </c>
      <c r="T205" s="69">
        <f>IF(AND('Inserimento dati'!$B$3=$H$2, Tabella3[[#This Row],[LUN]]="X"), "X",IF(AND('Inserimento dati'!$B$3=$I$2, Tabella3[[#This Row],[MAR]]="X"), "X", IF(AND('Inserimento dati'!$B$3=$J$2, Tabella3[[#This Row],[MER]]="X"), "X",IF(AND('Inserimento dati'!$B$3=$K$2, Tabella3[[#This Row],[GIO]]="X"), "X", IF(AND('Inserimento dati'!$B$3=$L$2, Tabella3[[#This Row],[VEN]]="X"), "X","")))))</f>
        <v/>
      </c>
      <c r="U205" s="144">
        <f>IFERROR(MID(G205,_xlfn.AGGREGATE(15,6,(ROW(INDIRECT("1:"&amp;LEN(G205)-7)))/(ISNUMBER(--MID(G205,ROW(INDIRECT("1:"&amp;LEN(G205)-7)),8))),1),8),"")</f>
        <v/>
      </c>
      <c r="V205" t="inlineStr">
        <is>
          <t>2025-09-30 20:00:00</t>
        </is>
      </c>
    </row>
    <row r="206" ht="30" customFormat="1" customHeight="1" s="45">
      <c r="A206" s="112" t="n"/>
      <c r="B206" s="112">
        <f>IF(OR(A206="x",A206="X"),"",IF(ISBLANK(A206),"X",""))</f>
        <v/>
      </c>
      <c r="C206" s="112">
        <f>IF(OR(Tabella3[[#This Row],[LUN]]="X",Tabella3[[#This Row],[MAR]]="X",Tabella3[[#This Row],[MER]]="X",Tabella3[[#This Row],[GIO]]="X",Tabella3[[#This Row],[VEN]]="X",),"X","")</f>
        <v/>
      </c>
      <c r="D206" s="113" t="inlineStr">
        <is>
          <t>AREA 3</t>
        </is>
      </c>
      <c r="E206" s="109" t="inlineStr">
        <is>
          <t>535524/C</t>
        </is>
      </c>
      <c r="F206" s="109" t="inlineStr">
        <is>
          <t>1200/3</t>
        </is>
      </c>
      <c r="G206" s="109" t="inlineStr">
        <is>
          <t xml:space="preserve"> 1200/3 - SCOLLEGAMENTO/RICOLLEGAMENTO  ELETTRICO LIVELLOSTATI PER REVISIONE E PROVE DI ALLINEAMENTO CON SALA CONTROLLO</t>
        </is>
      </c>
      <c r="H206" s="111" t="n"/>
      <c r="I206" s="111" t="n"/>
      <c r="J206" s="111" t="n"/>
      <c r="K206" s="111" t="n"/>
      <c r="L206" s="111" t="n"/>
      <c r="M206" s="109" t="inlineStr">
        <is>
          <t>DA CHIUDERE</t>
        </is>
      </c>
      <c r="N206" s="109" t="n"/>
      <c r="O206" s="109" t="n"/>
      <c r="P206" s="109" t="n"/>
      <c r="Q206" s="109" t="n"/>
      <c r="R206" s="110" t="n">
        <v>45785</v>
      </c>
      <c r="S206" s="109" t="inlineStr">
        <is>
          <t>MILLO</t>
        </is>
      </c>
      <c r="T206" s="116">
        <f>IF(AND('Inserimento dati'!$B$3=$H$2, Tabella3[[#This Row],[LUN]]="X"), "X",IF(AND('Inserimento dati'!$B$3=$I$2, Tabella3[[#This Row],[MAR]]="X"), "X", IF(AND('Inserimento dati'!$B$3=$J$2, Tabella3[[#This Row],[MER]]="X"), "X",IF(AND('Inserimento dati'!$B$3=$K$2, Tabella3[[#This Row],[GIO]]="X"), "X", IF(AND('Inserimento dati'!$B$3=$L$2, Tabella3[[#This Row],[VEN]]="X"), "X","")))))</f>
        <v/>
      </c>
      <c r="U206" s="144">
        <f>IFERROR(MID(G206,_xlfn.AGGREGATE(15,6,(ROW(INDIRECT("1:"&amp;LEN(G206)-7)))/(ISNUMBER(--MID(G206,ROW(INDIRECT("1:"&amp;LEN(G206)-7)),8))),1),8),"")</f>
        <v/>
      </c>
      <c r="V206" t="inlineStr">
        <is>
          <t>2025-09-30 20:00:00</t>
        </is>
      </c>
    </row>
    <row r="207" ht="30" customFormat="1" customHeight="1" s="45">
      <c r="A207" s="112" t="n"/>
      <c r="B207" s="112">
        <f>IF(OR(A207="x",A207="X"),"",IF(ISBLANK(A207),"X",""))</f>
        <v/>
      </c>
      <c r="C207" s="112">
        <f>IF(OR(Tabella3[[#This Row],[LUN]]="X",Tabella3[[#This Row],[MAR]]="X",Tabella3[[#This Row],[MER]]="X",Tabella3[[#This Row],[GIO]]="X",Tabella3[[#This Row],[VEN]]="X",),"X","")</f>
        <v/>
      </c>
      <c r="D207" s="113" t="inlineStr">
        <is>
          <t>AREA 3</t>
        </is>
      </c>
      <c r="E207" s="109" t="inlineStr">
        <is>
          <t>535517/C</t>
        </is>
      </c>
      <c r="F207" s="109" t="inlineStr">
        <is>
          <t>1200/3</t>
        </is>
      </c>
      <c r="G207" s="109" t="inlineStr">
        <is>
          <t xml:space="preserve"> 1200/3 - NUOVA ISTALLAZIONE TRASMETTITORI DI LIVELLO SU D101/102 E PROVE FUNZIONALI CON ALLINEAMENTO IN SALA CONTROLLO</t>
        </is>
      </c>
      <c r="H207" s="111" t="n"/>
      <c r="I207" s="111" t="n"/>
      <c r="J207" s="111" t="n"/>
      <c r="K207" s="111" t="n"/>
      <c r="L207" s="111" t="n"/>
      <c r="M207" s="109" t="inlineStr">
        <is>
          <t>DA CHIUDERE</t>
        </is>
      </c>
      <c r="N207" s="109" t="n"/>
      <c r="O207" s="109" t="n"/>
      <c r="P207" s="109" t="n"/>
      <c r="Q207" s="109" t="n"/>
      <c r="R207" s="110" t="n">
        <v>45785</v>
      </c>
      <c r="S207" s="109" t="inlineStr">
        <is>
          <t>MILLO</t>
        </is>
      </c>
      <c r="T207" s="116">
        <f>IF(AND('Inserimento dati'!$B$3=$H$2, Tabella3[[#This Row],[LUN]]="X"), "X",IF(AND('Inserimento dati'!$B$3=$I$2, Tabella3[[#This Row],[MAR]]="X"), "X", IF(AND('Inserimento dati'!$B$3=$J$2, Tabella3[[#This Row],[MER]]="X"), "X",IF(AND('Inserimento dati'!$B$3=$K$2, Tabella3[[#This Row],[GIO]]="X"), "X", IF(AND('Inserimento dati'!$B$3=$L$2, Tabella3[[#This Row],[VEN]]="X"), "X","")))))</f>
        <v/>
      </c>
      <c r="U207" s="144">
        <f>IFERROR(MID(G207,_xlfn.AGGREGATE(15,6,(ROW(INDIRECT("1:"&amp;LEN(G207)-7)))/(ISNUMBER(--MID(G207,ROW(INDIRECT("1:"&amp;LEN(G207)-7)),8))),1),8),"")</f>
        <v/>
      </c>
      <c r="V207" t="inlineStr">
        <is>
          <t>2025-09-30 20:00:00</t>
        </is>
      </c>
    </row>
    <row r="208" ht="45" customFormat="1" customHeight="1" s="45">
      <c r="A208" s="112" t="n"/>
      <c r="B208" s="112">
        <f>IF(OR(A208="x",A208="X"),"",IF(ISBLANK(A208),"X",""))</f>
        <v/>
      </c>
      <c r="C208" s="112">
        <f>IF(OR(Tabella3[[#This Row],[LUN]]="X",Tabella3[[#This Row],[MAR]]="X",Tabella3[[#This Row],[MER]]="X",Tabella3[[#This Row],[GIO]]="X",Tabella3[[#This Row],[VEN]]="X",),"X","")</f>
        <v/>
      </c>
      <c r="D208" s="113" t="inlineStr">
        <is>
          <t>AREA 3</t>
        </is>
      </c>
      <c r="E208" s="109" t="inlineStr">
        <is>
          <t>529962/C</t>
        </is>
      </c>
      <c r="F208" s="109" t="inlineStr">
        <is>
          <t>1200/3</t>
        </is>
      </c>
      <c r="G208" s="109" t="inlineStr">
        <is>
          <t xml:space="preserve"> 1200/3 - ripristino  batteria quadro locale, compresa sostituzione  pulsante di emergenza, apertura cassette per sostituzione lampade e pulizia, ripristino passerelle e fascettatura cavi con Piastre metalliche, e rifacimento tettoia della stessa.  </t>
        </is>
      </c>
      <c r="H208" s="111" t="n"/>
      <c r="I208" s="111" t="n"/>
      <c r="J208" s="111" t="n"/>
      <c r="K208" s="111" t="n"/>
      <c r="L208" s="111" t="n"/>
      <c r="M208" s="109" t="inlineStr">
        <is>
          <t>DA CHIUDERE</t>
        </is>
      </c>
      <c r="N208" s="109" t="n"/>
      <c r="O208" s="109" t="n"/>
      <c r="P208" s="109" t="n"/>
      <c r="Q208" s="109" t="inlineStr">
        <is>
          <t>PITTURATA INTERA STRUTTURA, APERTE CASSETTE PER SOSTITUZIONE LAMPADE E PORTALAMPADE GUASTE</t>
        </is>
      </c>
      <c r="R208" s="110" t="n">
        <v>45762</v>
      </c>
      <c r="S208" s="109" t="inlineStr">
        <is>
          <t>GUARINO/CAVAGNACCHI</t>
        </is>
      </c>
      <c r="T208" s="116">
        <f>IF(AND('Inserimento dati'!$B$3=$H$2, Tabella3[[#This Row],[LUN]]="X"), "X",IF(AND('Inserimento dati'!$B$3=$I$2, Tabella3[[#This Row],[MAR]]="X"), "X", IF(AND('Inserimento dati'!$B$3=$J$2, Tabella3[[#This Row],[MER]]="X"), "X",IF(AND('Inserimento dati'!$B$3=$K$2, Tabella3[[#This Row],[GIO]]="X"), "X", IF(AND('Inserimento dati'!$B$3=$L$2, Tabella3[[#This Row],[VEN]]="X"), "X","")))))</f>
        <v/>
      </c>
      <c r="U208" s="144">
        <f>IFERROR(MID(G208,_xlfn.AGGREGATE(15,6,(ROW(INDIRECT("1:"&amp;LEN(G208)-7)))/(ISNUMBER(--MID(G208,ROW(INDIRECT("1:"&amp;LEN(G208)-7)),8))),1),8),"")</f>
        <v/>
      </c>
      <c r="V208" t="inlineStr">
        <is>
          <t>2025-09-30 20:00:00</t>
        </is>
      </c>
    </row>
    <row r="209" ht="23.25" customFormat="1" customHeight="1" s="45">
      <c r="A209" s="112" t="n"/>
      <c r="B209" s="112" t="inlineStr">
        <is>
          <t>X</t>
        </is>
      </c>
      <c r="C209" s="112">
        <f>IF(OR(Tabella3[[#This Row],[LUN]]="X",Tabella3[[#This Row],[MAR]]="X",Tabella3[[#This Row],[MER]]="X",Tabella3[[#This Row],[GIO]]="X",Tabella3[[#This Row],[VEN]]="X",),"X","")</f>
        <v/>
      </c>
      <c r="D209" s="113" t="inlineStr">
        <is>
          <t>AREA 3</t>
        </is>
      </c>
      <c r="E209" s="109" t="inlineStr">
        <is>
          <t>536846/C</t>
        </is>
      </c>
      <c r="F209" s="109" t="inlineStr">
        <is>
          <t>1200/1</t>
        </is>
      </c>
      <c r="G209" s="109" t="inlineStr">
        <is>
          <t xml:space="preserve"> 1200/1 - costruzione e montaggio tettoie per riparo JB A1-E5-B2</t>
        </is>
      </c>
      <c r="H209" s="111" t="n"/>
      <c r="I209" s="111" t="n"/>
      <c r="J209" s="111" t="n"/>
      <c r="K209" s="111" t="n"/>
      <c r="L209" s="111" t="n"/>
      <c r="M209" s="109" t="inlineStr">
        <is>
          <t>DA CHIUDERE</t>
        </is>
      </c>
      <c r="N209" s="109" t="n"/>
      <c r="O209" s="109" t="n"/>
      <c r="P209" s="109" t="n"/>
      <c r="Q209" s="109" t="inlineStr">
        <is>
          <t>ESEGUITO RIMONTAGGIO IN CAMPO.</t>
        </is>
      </c>
      <c r="R209" s="110" t="n">
        <v>45798</v>
      </c>
      <c r="S209" s="109" t="inlineStr">
        <is>
          <t>CAVAGNACCHI</t>
        </is>
      </c>
      <c r="T209" s="67">
        <f>IF(AND('Inserimento dati'!$B$3=$H$2, Tabella3[[#This Row],[LUN]]="X"), "X",IF(AND('Inserimento dati'!$B$3=$I$2, Tabella3[[#This Row],[MAR]]="X"), "X", IF(AND('Inserimento dati'!$B$3=$J$2, Tabella3[[#This Row],[MER]]="X"), "X",IF(AND('Inserimento dati'!$B$3=$K$2, Tabella3[[#This Row],[GIO]]="X"), "X", IF(AND('Inserimento dati'!$B$3=$L$2, Tabella3[[#This Row],[VEN]]="X"), "X","")))))</f>
        <v/>
      </c>
      <c r="U209" s="145">
        <f>IFERROR(MID(G209,_xlfn.AGGREGATE(15,6,(ROW(INDIRECT("1:"&amp;LEN(G209)-7)))/(ISNUMBER(--MID(G209,ROW(INDIRECT("1:"&amp;LEN(G209)-7)),8))),1),8),"")</f>
        <v/>
      </c>
      <c r="V209" t="inlineStr">
        <is>
          <t>2025-09-30 20:00:00</t>
        </is>
      </c>
    </row>
    <row r="210" ht="30" customFormat="1" customHeight="1" s="45">
      <c r="A210" s="112" t="n"/>
      <c r="B210" s="112" t="n">
        <v>1</v>
      </c>
      <c r="C210" s="112">
        <f>IF(OR(Tabella3[[#This Row],[LUN]]="X",Tabella3[[#This Row],[MAR]]="X",Tabella3[[#This Row],[MER]]="X",Tabella3[[#This Row],[GIO]]="X",Tabella3[[#This Row],[VEN]]="X",),"X","")</f>
        <v/>
      </c>
      <c r="D210" s="113" t="inlineStr">
        <is>
          <t>AREA 3</t>
        </is>
      </c>
      <c r="E210" s="109" t="inlineStr">
        <is>
          <t>533090/C</t>
        </is>
      </c>
      <c r="F210" s="109" t="inlineStr">
        <is>
          <t>700A</t>
        </is>
      </c>
      <c r="G210" s="109" t="inlineStr">
        <is>
          <t>10221653 700A - MTZ P202RC controllo funzionale</t>
        </is>
      </c>
      <c r="H210" s="111" t="n"/>
      <c r="I210" s="111" t="n"/>
      <c r="J210" s="111" t="n"/>
      <c r="K210" s="111" t="n"/>
      <c r="L210" s="111" t="n"/>
      <c r="M210" s="109" t="inlineStr">
        <is>
          <t>DA CHIUDERE</t>
        </is>
      </c>
      <c r="N210" s="109" t="n"/>
      <c r="O210" s="109" t="n"/>
      <c r="P210" s="109" t="n"/>
      <c r="Q210" s="109" t="inlineStr">
        <is>
          <t xml:space="preserve">NESSUNA ANOMALIA. SI RISCONTRAVA LINEA INTERCETTATA DURANTE IL CONTROLLO </t>
        </is>
      </c>
      <c r="R210" s="110" t="n">
        <v>45800</v>
      </c>
      <c r="S210" s="109" t="inlineStr">
        <is>
          <t>RICIPUTO A. / SERRA G.</t>
        </is>
      </c>
      <c r="T210" s="116">
        <f>IF(AND('Inserimento dati'!$B$3=$H$2, Tabella3[[#This Row],[LUN]]="X"), "X",IF(AND('Inserimento dati'!$B$3=$I$2, Tabella3[[#This Row],[MAR]]="X"), "X", IF(AND('Inserimento dati'!$B$3=$J$2, Tabella3[[#This Row],[MER]]="X"), "X",IF(AND('Inserimento dati'!$B$3=$K$2, Tabella3[[#This Row],[GIO]]="X"), "X", IF(AND('Inserimento dati'!$B$3=$L$2, Tabella3[[#This Row],[VEN]]="X"), "X","")))))</f>
        <v/>
      </c>
      <c r="U210" s="144">
        <f>IFERROR(MID(G210,_xlfn.AGGREGATE(15,6,(ROW(INDIRECT("1:"&amp;LEN(G210)-7)))/(ISNUMBER(--MID(G210,ROW(INDIRECT("1:"&amp;LEN(G210)-7)),8))),1),8),"")</f>
        <v/>
      </c>
      <c r="V210" t="inlineStr">
        <is>
          <t>2025-09-30 20:00:00</t>
        </is>
      </c>
    </row>
    <row r="211" ht="30" customFormat="1" customHeight="1" s="45">
      <c r="A211" s="112" t="n"/>
      <c r="B211" s="112" t="n">
        <v>4</v>
      </c>
      <c r="C211" s="112">
        <f>IF(OR(Tabella3[[#This Row],[LUN]]="X",Tabella3[[#This Row],[MAR]]="X",Tabella3[[#This Row],[MER]]="X",Tabella3[[#This Row],[GIO]]="X",Tabella3[[#This Row],[VEN]]="X",),"X","")</f>
        <v/>
      </c>
      <c r="D211" s="113" t="inlineStr">
        <is>
          <t>AREA 3</t>
        </is>
      </c>
      <c r="E211" s="109" t="inlineStr">
        <is>
          <t>536796/C</t>
        </is>
      </c>
      <c r="F211" s="109" t="inlineStr">
        <is>
          <t>1200/1</t>
        </is>
      </c>
      <c r="G211" s="109" t="inlineStr">
        <is>
          <t xml:space="preserve"> 1200/1-F101 assistenza strumentale</t>
        </is>
      </c>
      <c r="H211" s="111" t="n"/>
      <c r="I211" s="111" t="n"/>
      <c r="J211" s="111" t="n"/>
      <c r="K211" s="111" t="n"/>
      <c r="L211" s="111" t="n"/>
      <c r="M211" s="109" t="inlineStr">
        <is>
          <t>DA CHIUDERE</t>
        </is>
      </c>
      <c r="N211" s="109" t="n"/>
      <c r="O211" s="109" t="n"/>
      <c r="P211" s="109" t="n"/>
      <c r="Q211" s="109" t="inlineStr">
        <is>
          <t>ASSISTENZA STRUMENTALE A F101</t>
        </is>
      </c>
      <c r="R211" s="110" t="n">
        <v>45792</v>
      </c>
      <c r="S211" s="109" t="inlineStr">
        <is>
          <t>MILLO/TARASCIO</t>
        </is>
      </c>
      <c r="T211" s="69">
        <f>IF(AND('Inserimento dati'!$B$3=$H$2, Tabella3[[#This Row],[LUN]]="X"), "X",IF(AND('Inserimento dati'!$B$3=$I$2, Tabella3[[#This Row],[MAR]]="X"), "X", IF(AND('Inserimento dati'!$B$3=$J$2, Tabella3[[#This Row],[MER]]="X"), "X",IF(AND('Inserimento dati'!$B$3=$K$2, Tabella3[[#This Row],[GIO]]="X"), "X", IF(AND('Inserimento dati'!$B$3=$L$2, Tabella3[[#This Row],[VEN]]="X"), "X","")))))</f>
        <v/>
      </c>
      <c r="U211" s="144">
        <f>IFERROR(MID(G211,_xlfn.AGGREGATE(15,6,(ROW(INDIRECT("1:"&amp;LEN(G211)-7)))/(ISNUMBER(--MID(G211,ROW(INDIRECT("1:"&amp;LEN(G211)-7)),8))),1),8),"")</f>
        <v/>
      </c>
      <c r="V211" t="inlineStr">
        <is>
          <t>2025-09-30 20:00:00</t>
        </is>
      </c>
    </row>
    <row r="212" ht="23.25" customFormat="1" customHeight="1" s="45">
      <c r="A212" s="112" t="n"/>
      <c r="B212" s="112" t="n">
        <v>1</v>
      </c>
      <c r="C212" s="112">
        <f>IF(OR(Tabella3[[#This Row],[LUN]]="X",Tabella3[[#This Row],[MAR]]="X",Tabella3[[#This Row],[MER]]="X",Tabella3[[#This Row],[GIO]]="X",Tabella3[[#This Row],[VEN]]="X",),"X","")</f>
        <v/>
      </c>
      <c r="D212" s="113" t="inlineStr">
        <is>
          <t>AREA 3</t>
        </is>
      </c>
      <c r="E212" s="109" t="inlineStr">
        <is>
          <t>535903/C</t>
        </is>
      </c>
      <c r="F212" s="109" t="inlineStr">
        <is>
          <t>1200/3</t>
        </is>
      </c>
      <c r="G212" s="109" t="inlineStr">
        <is>
          <t xml:space="preserve"> 1200/3 - controllo funzionale in campo delle valvole pneumatiche della linea 3</t>
        </is>
      </c>
      <c r="H212" s="111" t="n"/>
      <c r="I212" s="111" t="n"/>
      <c r="J212" s="111" t="n"/>
      <c r="K212" s="111" t="n"/>
      <c r="L212" s="111" t="n"/>
      <c r="M212" s="109" t="inlineStr">
        <is>
          <t>DA CHIUDERE</t>
        </is>
      </c>
      <c r="N212" s="109" t="n"/>
      <c r="O212" s="109" t="n"/>
      <c r="P212" s="109" t="n"/>
      <c r="Q212" s="109" t="n"/>
      <c r="R212" s="110" t="n"/>
      <c r="S212" s="109" t="n"/>
      <c r="T212" s="116">
        <f>IF(AND('Inserimento dati'!$B$3=$H$2, Tabella3[[#This Row],[LUN]]="X"), "X",IF(AND('Inserimento dati'!$B$3=$I$2, Tabella3[[#This Row],[MAR]]="X"), "X", IF(AND('Inserimento dati'!$B$3=$J$2, Tabella3[[#This Row],[MER]]="X"), "X",IF(AND('Inserimento dati'!$B$3=$K$2, Tabella3[[#This Row],[GIO]]="X"), "X", IF(AND('Inserimento dati'!$B$3=$L$2, Tabella3[[#This Row],[VEN]]="X"), "X","")))))</f>
        <v/>
      </c>
      <c r="U212" s="144">
        <f>IFERROR(MID(G212,_xlfn.AGGREGATE(15,6,(ROW(INDIRECT("1:"&amp;LEN(G212)-7)))/(ISNUMBER(--MID(G212,ROW(INDIRECT("1:"&amp;LEN(G212)-7)),8))),1),8),"")</f>
        <v/>
      </c>
      <c r="V212" t="inlineStr">
        <is>
          <t>2025-09-30 20:00:00</t>
        </is>
      </c>
    </row>
    <row r="213" ht="30" customFormat="1" customHeight="1" s="45">
      <c r="A213" s="112" t="n"/>
      <c r="B213" s="112" t="n">
        <v>1</v>
      </c>
      <c r="C213" s="112">
        <f>IF(OR(Tabella3[[#This Row],[LUN]]="X",Tabella3[[#This Row],[MAR]]="X",Tabella3[[#This Row],[MER]]="X",Tabella3[[#This Row],[GIO]]="X",Tabella3[[#This Row],[VEN]]="X",),"X","")</f>
        <v/>
      </c>
      <c r="D213" s="113" t="inlineStr">
        <is>
          <t>AREA 3</t>
        </is>
      </c>
      <c r="E213" s="109" t="inlineStr">
        <is>
          <t>537268/C</t>
        </is>
      </c>
      <c r="F213" s="109" t="inlineStr">
        <is>
          <t>1200/3</t>
        </is>
      </c>
      <c r="G213" s="109" t="inlineStr">
        <is>
          <t xml:space="preserve"> 1200/3 - SMONTAGGIO/RIMONTAGGIO PILOTI F101/102 PER REVISIONE E VERIFICA FOTOCELLULE</t>
        </is>
      </c>
      <c r="H213" s="111" t="n"/>
      <c r="I213" s="111" t="n"/>
      <c r="J213" s="111" t="n"/>
      <c r="K213" s="111" t="n"/>
      <c r="L213" s="111" t="n"/>
      <c r="M213" s="109" t="inlineStr">
        <is>
          <t>DA CHIUDERE</t>
        </is>
      </c>
      <c r="N213" s="109" t="n"/>
      <c r="O213" s="109" t="n"/>
      <c r="P213" s="109" t="n"/>
      <c r="Q213" s="109" t="inlineStr">
        <is>
          <t>RIMONTATE TUTTE LE FOTOCELLULE E PILOTA F101. RIMANE PILOTA F102 E PIROMETRO SU F101</t>
        </is>
      </c>
      <c r="R213" s="110" t="n">
        <v>45797</v>
      </c>
      <c r="S213" s="109" t="inlineStr">
        <is>
          <t>TARASCIO</t>
        </is>
      </c>
      <c r="T213" s="116">
        <f>IF(AND('Inserimento dati'!$B$3=$H$2, Tabella3[[#This Row],[LUN]]="X"), "X",IF(AND('Inserimento dati'!$B$3=$I$2, Tabella3[[#This Row],[MAR]]="X"), "X", IF(AND('Inserimento dati'!$B$3=$J$2, Tabella3[[#This Row],[MER]]="X"), "X",IF(AND('Inserimento dati'!$B$3=$K$2, Tabella3[[#This Row],[GIO]]="X"), "X", IF(AND('Inserimento dati'!$B$3=$L$2, Tabella3[[#This Row],[VEN]]="X"), "X","")))))</f>
        <v/>
      </c>
      <c r="U213" s="145">
        <f>IFERROR(MID(G213,_xlfn.AGGREGATE(15,6,(ROW(INDIRECT("1:"&amp;LEN(G213)-7)))/(ISNUMBER(--MID(G213,ROW(INDIRECT("1:"&amp;LEN(G213)-7)),8))),1),8),"")</f>
        <v/>
      </c>
      <c r="V213" t="inlineStr">
        <is>
          <t>2025-09-30 20:00:00</t>
        </is>
      </c>
    </row>
    <row r="214" ht="60" customFormat="1" customHeight="1" s="45">
      <c r="A214" s="112" t="n"/>
      <c r="B214" s="112">
        <f>IF(OR(A214="x",A214="X"),"",IF(ISBLANK(A214),"X",""))</f>
        <v/>
      </c>
      <c r="C214" s="112">
        <f>IF(OR(Tabella3[[#This Row],[LUN]]="X",Tabella3[[#This Row],[MAR]]="X",Tabella3[[#This Row],[MER]]="X",Tabella3[[#This Row],[GIO]]="X",Tabella3[[#This Row],[VEN]]="X",),"X","")</f>
        <v/>
      </c>
      <c r="D214" s="113" t="inlineStr">
        <is>
          <t>AREA 3</t>
        </is>
      </c>
      <c r="E214" s="109" t="inlineStr">
        <is>
          <t>538357/C</t>
        </is>
      </c>
      <c r="F214" s="109" t="inlineStr">
        <is>
          <t>1200/2</t>
        </is>
      </c>
      <c r="G214" s="109" t="inlineStr">
        <is>
          <t xml:space="preserve"> 1200/2 - Z2F303RC controllo funzionale</t>
        </is>
      </c>
      <c r="H214" s="111" t="n"/>
      <c r="I214" s="111" t="n"/>
      <c r="J214" s="111" t="n"/>
      <c r="K214" s="111" t="n"/>
      <c r="L214" s="111" t="n"/>
      <c r="M214" s="109" t="inlineStr">
        <is>
          <t>DA CHIUDERE</t>
        </is>
      </c>
      <c r="N214" s="109" t="n"/>
      <c r="O214" s="109" t="n"/>
      <c r="P214" s="109" t="n"/>
      <c r="Q214" s="109" t="inlineStr">
        <is>
          <t>AZZERAMENTO TRASMETTITORE ED ALLINEAMENTO MISURA CON SALA CONTROLLO. N.B.: LA VALVOA , FCV 303 E' ARIA A., SENZA ARIA RIMANE BLOCCATA AL 25% DI APERTURA, NON VA' IN CHIUSURA. SI CONSIGLIA LA REVISIONE.</t>
        </is>
      </c>
      <c r="R214" s="110" t="n">
        <v>45804</v>
      </c>
      <c r="S214" s="109" t="inlineStr">
        <is>
          <t>TARASCIO/PARTESANO/OGNISANTI</t>
        </is>
      </c>
      <c r="T214" s="69">
        <f>IF(AND('Inserimento dati'!$B$3=$H$2, Tabella3[[#This Row],[LUN]]="X"), "X",IF(AND('Inserimento dati'!$B$3=$I$2, Tabella3[[#This Row],[MAR]]="X"), "X", IF(AND('Inserimento dati'!$B$3=$J$2, Tabella3[[#This Row],[MER]]="X"), "X",IF(AND('Inserimento dati'!$B$3=$K$2, Tabella3[[#This Row],[GIO]]="X"), "X", IF(AND('Inserimento dati'!$B$3=$L$2, Tabella3[[#This Row],[VEN]]="X"), "X","")))))</f>
        <v/>
      </c>
      <c r="U214" s="131">
        <f>IFERROR(MID(G214,_xlfn.AGGREGATE(15,6,(ROW(INDIRECT("1:"&amp;LEN(G214)-7)))/(ISNUMBER(--MID(G214,ROW(INDIRECT("1:"&amp;LEN(G214)-7)),8))),1),8),"")</f>
        <v/>
      </c>
      <c r="V214" t="inlineStr">
        <is>
          <t>2025-09-30 20:00:00</t>
        </is>
      </c>
    </row>
    <row r="215" ht="30" customFormat="1" customHeight="1" s="45">
      <c r="A215" s="112" t="n"/>
      <c r="B215" s="112">
        <f>IF(OR(A215="x",A215="X"),"",IF(ISBLANK(A215),"X",""))</f>
        <v/>
      </c>
      <c r="C215" s="112">
        <f>IF(OR(Tabella3[[#This Row],[LUN]]="X",Tabella3[[#This Row],[MAR]]="X",Tabella3[[#This Row],[MER]]="X",Tabella3[[#This Row],[GIO]]="X",Tabella3[[#This Row],[VEN]]="X",),"X","")</f>
        <v/>
      </c>
      <c r="D215" s="113" t="inlineStr">
        <is>
          <t>AREA 3</t>
        </is>
      </c>
      <c r="E215" s="109" t="inlineStr">
        <is>
          <t>538358/C</t>
        </is>
      </c>
      <c r="F215" s="109" t="inlineStr">
        <is>
          <t>1200/2</t>
        </is>
      </c>
      <c r="G215" s="109" t="inlineStr">
        <is>
          <t xml:space="preserve"> 1200/2 - Z2F304RC controllo funzionale</t>
        </is>
      </c>
      <c r="H215" s="111" t="n"/>
      <c r="I215" s="111" t="n"/>
      <c r="J215" s="111" t="n"/>
      <c r="K215" s="111" t="n"/>
      <c r="L215" s="111" t="n"/>
      <c r="M215" s="109" t="inlineStr">
        <is>
          <t>DA CHIUDERE</t>
        </is>
      </c>
      <c r="N215" s="109" t="n"/>
      <c r="O215" s="109" t="n"/>
      <c r="P215" s="109" t="n"/>
      <c r="Q215" s="109" t="inlineStr">
        <is>
          <t>AZZERAMENTO TRASMETTITORE ED ALLINEAMENTO MISURA CON SALA CONTROLLO</t>
        </is>
      </c>
      <c r="R215" s="110" t="n">
        <v>45804</v>
      </c>
      <c r="S215" s="109" t="inlineStr">
        <is>
          <t>TARASCIO/PARTESANO</t>
        </is>
      </c>
      <c r="T215" s="69">
        <f>IF(AND('Inserimento dati'!$B$3=$H$2, Tabella3[[#This Row],[LUN]]="X"), "X",IF(AND('Inserimento dati'!$B$3=$I$2, Tabella3[[#This Row],[MAR]]="X"), "X", IF(AND('Inserimento dati'!$B$3=$J$2, Tabella3[[#This Row],[MER]]="X"), "X",IF(AND('Inserimento dati'!$B$3=$K$2, Tabella3[[#This Row],[GIO]]="X"), "X", IF(AND('Inserimento dati'!$B$3=$L$2, Tabella3[[#This Row],[VEN]]="X"), "X","")))))</f>
        <v/>
      </c>
      <c r="U215" s="131">
        <f>IFERROR(MID(G215,_xlfn.AGGREGATE(15,6,(ROW(INDIRECT("1:"&amp;LEN(G215)-7)))/(ISNUMBER(--MID(G215,ROW(INDIRECT("1:"&amp;LEN(G215)-7)),8))),1),8),"")</f>
        <v/>
      </c>
      <c r="V215" t="inlineStr">
        <is>
          <t>2025-09-30 20:00:00</t>
        </is>
      </c>
    </row>
    <row r="216" ht="30" customFormat="1" customHeight="1" s="45">
      <c r="A216" s="112" t="n"/>
      <c r="B216" s="112" t="inlineStr">
        <is>
          <t>X</t>
        </is>
      </c>
      <c r="C216" s="112">
        <f>IF(OR(Tabella3[[#This Row],[LUN]]="X",Tabella3[[#This Row],[MAR]]="X",Tabella3[[#This Row],[MER]]="X",Tabella3[[#This Row],[GIO]]="X",Tabella3[[#This Row],[VEN]]="X",),"X","")</f>
        <v/>
      </c>
      <c r="D216" s="113" t="inlineStr">
        <is>
          <t>AREA 3</t>
        </is>
      </c>
      <c r="E216" s="109" t="inlineStr">
        <is>
          <t>537766/C</t>
        </is>
      </c>
      <c r="F216" s="109" t="inlineStr">
        <is>
          <t>700A</t>
        </is>
      </c>
      <c r="G216" s="109" t="inlineStr">
        <is>
          <t>10224188 700A - D202   controllo funzionale LIVELLI ACCUMULATORE</t>
        </is>
      </c>
      <c r="H216" s="111" t="n"/>
      <c r="I216" s="111" t="n"/>
      <c r="J216" s="111" t="n"/>
      <c r="K216" s="111" t="n"/>
      <c r="L216" s="111" t="n"/>
      <c r="M216" s="109" t="inlineStr">
        <is>
          <t>DA CHIUDERE</t>
        </is>
      </c>
      <c r="N216" s="109" t="n"/>
      <c r="O216" s="109" t="n"/>
      <c r="P216" s="109" t="n"/>
      <c r="Q216" s="109" t="inlineStr">
        <is>
          <t>LIVELLI CONTROLLATI, NULLA DA SEGNALARE.</t>
        </is>
      </c>
      <c r="R216" s="110" t="n">
        <v>45805</v>
      </c>
      <c r="S216" s="109" t="inlineStr">
        <is>
          <t>SPINALI/BAUDO</t>
        </is>
      </c>
      <c r="T216" s="69">
        <f>IF(AND('Inserimento dati'!$B$3=$H$2, Tabella3[[#This Row],[LUN]]="X"), "X",IF(AND('Inserimento dati'!$B$3=$I$2, Tabella3[[#This Row],[MAR]]="X"), "X", IF(AND('Inserimento dati'!$B$3=$J$2, Tabella3[[#This Row],[MER]]="X"), "X",IF(AND('Inserimento dati'!$B$3=$K$2, Tabella3[[#This Row],[GIO]]="X"), "X", IF(AND('Inserimento dati'!$B$3=$L$2, Tabella3[[#This Row],[VEN]]="X"), "X","")))))</f>
        <v/>
      </c>
      <c r="U216" s="131">
        <f>IFERROR(MID(G216,_xlfn.AGGREGATE(15,6,(ROW(INDIRECT("1:"&amp;LEN(G216)-7)))/(ISNUMBER(--MID(G216,ROW(INDIRECT("1:"&amp;LEN(G216)-7)),8))),1),8),"")</f>
        <v/>
      </c>
      <c r="V216" t="inlineStr">
        <is>
          <t>2025-09-30 20:00:00</t>
        </is>
      </c>
    </row>
    <row r="217" ht="30" customFormat="1" customHeight="1" s="45">
      <c r="A217" s="112" t="n"/>
      <c r="B217" s="112" t="n">
        <v>1</v>
      </c>
      <c r="C217" s="112">
        <f>IF(OR(Tabella3[[#This Row],[LUN]]="X",Tabella3[[#This Row],[MAR]]="X",Tabella3[[#This Row],[MER]]="X",Tabella3[[#This Row],[GIO]]="X",Tabella3[[#This Row],[VEN]]="X",),"X","")</f>
        <v/>
      </c>
      <c r="D217" s="113" t="inlineStr">
        <is>
          <t>AREA 3</t>
        </is>
      </c>
      <c r="E217" s="109" t="inlineStr">
        <is>
          <t>535881/C</t>
        </is>
      </c>
      <c r="F217" s="109" t="inlineStr">
        <is>
          <t>1200/M</t>
        </is>
      </c>
      <c r="G217" s="109" t="inlineStr">
        <is>
          <t xml:space="preserve"> 1200 - ZMF705R  - ZMF728I  RIFACIMENTO PRIMARI GRUPPO BY_PASS E SOSTITUZIONE STRUMENTI</t>
        </is>
      </c>
      <c r="H217" s="111" t="n"/>
      <c r="I217" s="111" t="n"/>
      <c r="J217" s="111" t="n"/>
      <c r="K217" s="111" t="n"/>
      <c r="L217" s="111" t="n"/>
      <c r="M217" s="109" t="inlineStr">
        <is>
          <t>DA CHIUDERE</t>
        </is>
      </c>
      <c r="N217" s="109" t="n"/>
      <c r="O217" s="109" t="n"/>
      <c r="P217" s="109" t="n"/>
      <c r="Q217" s="109" t="inlineStr">
        <is>
          <t xml:space="preserve">ODC DEDICATO: 5400253364 TERMINATE LAVORAZIONI </t>
        </is>
      </c>
      <c r="R217" s="110" t="n">
        <v>45805</v>
      </c>
      <c r="S217" s="109" t="inlineStr">
        <is>
          <t>MILLO/DE LUCA</t>
        </is>
      </c>
      <c r="T217" s="67">
        <f>IF(AND('Inserimento dati'!$B$3=$H$2, Tabella3[[#This Row],[LUN]]="X"), "X",IF(AND('Inserimento dati'!$B$3=$I$2, Tabella3[[#This Row],[MAR]]="X"), "X", IF(AND('Inserimento dati'!$B$3=$J$2, Tabella3[[#This Row],[MER]]="X"), "X",IF(AND('Inserimento dati'!$B$3=$K$2, Tabella3[[#This Row],[GIO]]="X"), "X", IF(AND('Inserimento dati'!$B$3=$L$2, Tabella3[[#This Row],[VEN]]="X"), "X","")))))</f>
        <v/>
      </c>
      <c r="U217" s="144">
        <f>IFERROR(MID(G217,_xlfn.AGGREGATE(15,6,(ROW(INDIRECT("1:"&amp;LEN(G217)-7)))/(ISNUMBER(--MID(G217,ROW(INDIRECT("1:"&amp;LEN(G217)-7)),8))),1),8),"")</f>
        <v/>
      </c>
      <c r="V217" t="inlineStr">
        <is>
          <t>2025-09-30 20:00:00</t>
        </is>
      </c>
    </row>
    <row r="218" ht="23.25" customFormat="1" customHeight="1" s="45">
      <c r="A218" s="112" t="n"/>
      <c r="B218" s="112" t="inlineStr">
        <is>
          <t>X</t>
        </is>
      </c>
      <c r="C218" s="112">
        <f>IF(OR(Tabella3[[#This Row],[LUN]]="X",Tabella3[[#This Row],[MAR]]="X",Tabella3[[#This Row],[MER]]="X",Tabella3[[#This Row],[GIO]]="X",Tabella3[[#This Row],[VEN]]="X",),"X","")</f>
        <v/>
      </c>
      <c r="D218" s="113" t="inlineStr">
        <is>
          <t>AREA 3</t>
        </is>
      </c>
      <c r="E218" s="109" t="inlineStr">
        <is>
          <t>538500/C</t>
        </is>
      </c>
      <c r="F218" s="109" t="n">
        <v>2200</v>
      </c>
      <c r="G218" s="109" t="inlineStr">
        <is>
          <t xml:space="preserve"> 2200 adeguamento nuova linea di AZOTO PER ANALIZZATORI</t>
        </is>
      </c>
      <c r="H218" s="111" t="n"/>
      <c r="I218" s="111" t="n"/>
      <c r="J218" s="111" t="n"/>
      <c r="K218" s="111" t="n"/>
      <c r="L218" s="111" t="n"/>
      <c r="M218" s="109" t="inlineStr">
        <is>
          <t>DA CHIUDERE</t>
        </is>
      </c>
      <c r="N218" s="109" t="n"/>
      <c r="O218" s="109" t="n"/>
      <c r="P218" s="109" t="n"/>
      <c r="Q218" s="109" t="inlineStr">
        <is>
          <t>COSTRUZIONE E POSA MT 20 ACCIAIO DA 12mm</t>
        </is>
      </c>
      <c r="R218" s="110" t="n">
        <v>45805</v>
      </c>
      <c r="S218" s="109" t="inlineStr">
        <is>
          <t>DE LUCA/MILLO</t>
        </is>
      </c>
      <c r="T218" s="69">
        <f>IF(AND('Inserimento dati'!$B$3=$H$2, Tabella3[[#This Row],[LUN]]="X"), "X",IF(AND('Inserimento dati'!$B$3=$I$2, Tabella3[[#This Row],[MAR]]="X"), "X", IF(AND('Inserimento dati'!$B$3=$J$2, Tabella3[[#This Row],[MER]]="X"), "X",IF(AND('Inserimento dati'!$B$3=$K$2, Tabella3[[#This Row],[GIO]]="X"), "X", IF(AND('Inserimento dati'!$B$3=$L$2, Tabella3[[#This Row],[VEN]]="X"), "X","")))))</f>
        <v/>
      </c>
      <c r="U218" s="131">
        <f>IFERROR(MID(G218,_xlfn.AGGREGATE(15,6,(ROW(INDIRECT("1:"&amp;LEN(G218)-7)))/(ISNUMBER(--MID(G218,ROW(INDIRECT("1:"&amp;LEN(G218)-7)),8))),1),8),"")</f>
        <v/>
      </c>
      <c r="V218" t="inlineStr">
        <is>
          <t>2025-09-30 20:00:00</t>
        </is>
      </c>
    </row>
    <row r="219" ht="45" customFormat="1" customHeight="1" s="45">
      <c r="A219" s="112" t="n"/>
      <c r="B219" s="112" t="inlineStr">
        <is>
          <t>X</t>
        </is>
      </c>
      <c r="C219" s="112">
        <f>IF(OR(Tabella3[[#This Row],[LUN]]="X",Tabella3[[#This Row],[MAR]]="X",Tabella3[[#This Row],[MER]]="X",Tabella3[[#This Row],[GIO]]="X",Tabella3[[#This Row],[VEN]]="X",),"X","")</f>
        <v/>
      </c>
      <c r="D219" s="113" t="inlineStr">
        <is>
          <t>AREA 3</t>
        </is>
      </c>
      <c r="E219" s="109" t="inlineStr">
        <is>
          <t>535902/C</t>
        </is>
      </c>
      <c r="F219" s="109" t="inlineStr">
        <is>
          <t>1200/3</t>
        </is>
      </c>
      <c r="G219" s="109" t="inlineStr">
        <is>
          <t xml:space="preserve"> 1200/3 - CONTROLLO TRASMETTITORI DI PORTATA E PRESSIONE CON VERIFICA PRIMARI CHE SIANO STASATI Taratura FR di carica (FR 301 - FR 302 - FR 306 - FR 303 - FR 305 - FR 307 - FR304) </t>
        </is>
      </c>
      <c r="H219" s="111" t="n"/>
      <c r="I219" s="111" t="n"/>
      <c r="J219" s="111" t="n"/>
      <c r="K219" s="111" t="n"/>
      <c r="L219" s="111" t="n"/>
      <c r="M219" s="109" t="inlineStr">
        <is>
          <t>DA CHIUDERE</t>
        </is>
      </c>
      <c r="N219" s="109" t="n"/>
      <c r="O219" s="109" t="n"/>
      <c r="P219" s="109" t="n"/>
      <c r="Q219" s="109" t="inlineStr">
        <is>
          <t>F301RC stasata da Ponterosso
F302RC - F306RC  provato con tondino da 6mm e martello, positiva non si stasa, è murata ( Riferimento De Luca )</t>
        </is>
      </c>
      <c r="R219" s="110" t="n">
        <v>45785</v>
      </c>
      <c r="S219" s="109" t="inlineStr">
        <is>
          <t>MILLO</t>
        </is>
      </c>
      <c r="T219" s="116">
        <f>IF(AND('Inserimento dati'!$B$3=$H$2, Tabella3[[#This Row],[LUN]]="X"), "X",IF(AND('Inserimento dati'!$B$3=$I$2, Tabella3[[#This Row],[MAR]]="X"), "X", IF(AND('Inserimento dati'!$B$3=$J$2, Tabella3[[#This Row],[MER]]="X"), "X",IF(AND('Inserimento dati'!$B$3=$K$2, Tabella3[[#This Row],[GIO]]="X"), "X", IF(AND('Inserimento dati'!$B$3=$L$2, Tabella3[[#This Row],[VEN]]="X"), "X","")))))</f>
        <v/>
      </c>
      <c r="U219" s="144">
        <f>IFERROR(MID(G219,_xlfn.AGGREGATE(15,6,(ROW(INDIRECT("1:"&amp;LEN(G219)-7)))/(ISNUMBER(--MID(G219,ROW(INDIRECT("1:"&amp;LEN(G219)-7)),8))),1),8),"")</f>
        <v/>
      </c>
      <c r="V219" t="inlineStr">
        <is>
          <t>2025-09-30 20:00:00</t>
        </is>
      </c>
    </row>
    <row r="220" ht="23.25" customFormat="1" customHeight="1" s="45">
      <c r="A220" s="112" t="n"/>
      <c r="B220" s="112" t="inlineStr">
        <is>
          <t>X</t>
        </is>
      </c>
      <c r="C220" s="112">
        <f>IF(OR(Tabella3[[#This Row],[LUN]]="X",Tabella3[[#This Row],[MAR]]="X",Tabella3[[#This Row],[MER]]="X",Tabella3[[#This Row],[GIO]]="X",Tabella3[[#This Row],[VEN]]="X",),"X","")</f>
        <v/>
      </c>
      <c r="D220" s="113" t="inlineStr">
        <is>
          <t>AREA 3</t>
        </is>
      </c>
      <c r="E220" s="109" t="inlineStr">
        <is>
          <t>538692/C</t>
        </is>
      </c>
      <c r="F220" s="109" t="inlineStr">
        <is>
          <t>1200/2</t>
        </is>
      </c>
      <c r="G220" s="109" t="inlineStr">
        <is>
          <t xml:space="preserve"> 1200/2 - SCOLLEGAMENTO/RICOLLEGAMENTO ELETTROPNEUMATICO  FCV 302/303</t>
        </is>
      </c>
      <c r="H220" s="111" t="n"/>
      <c r="I220" s="111" t="n"/>
      <c r="J220" s="111" t="n"/>
      <c r="K220" s="111" t="n"/>
      <c r="L220" s="111" t="n"/>
      <c r="M220" s="109" t="inlineStr">
        <is>
          <t>DA CHIUDERE</t>
        </is>
      </c>
      <c r="N220" s="109" t="n"/>
      <c r="O220" s="109" t="n"/>
      <c r="P220" s="109" t="n"/>
      <c r="Q220" s="109" t="n"/>
      <c r="R220" s="110" t="n"/>
      <c r="S220" s="109" t="n"/>
      <c r="T220" s="69">
        <f>IF(AND('Inserimento dati'!$B$3=$H$2, Tabella3[[#This Row],[LUN]]="X"), "X",IF(AND('Inserimento dati'!$B$3=$I$2, Tabella3[[#This Row],[MAR]]="X"), "X", IF(AND('Inserimento dati'!$B$3=$J$2, Tabella3[[#This Row],[MER]]="X"), "X",IF(AND('Inserimento dati'!$B$3=$K$2, Tabella3[[#This Row],[GIO]]="X"), "X", IF(AND('Inserimento dati'!$B$3=$L$2, Tabella3[[#This Row],[VEN]]="X"), "X","")))))</f>
        <v/>
      </c>
      <c r="U220" s="131">
        <f>IFERROR(MID(G220,_xlfn.AGGREGATE(15,6,(ROW(INDIRECT("1:"&amp;LEN(G220)-7)))/(ISNUMBER(--MID(G220,ROW(INDIRECT("1:"&amp;LEN(G220)-7)),8))),1),8),"")</f>
        <v/>
      </c>
      <c r="V220" t="inlineStr">
        <is>
          <t>2025-09-30 20:00:00</t>
        </is>
      </c>
    </row>
    <row r="221" ht="23.25" customFormat="1" customHeight="1" s="45">
      <c r="A221" s="112" t="n"/>
      <c r="B221" s="112" t="n">
        <v>1</v>
      </c>
      <c r="C221" s="112">
        <f>IF(OR(Tabella3[[#This Row],[LUN]]="X",Tabella3[[#This Row],[MAR]]="X",Tabella3[[#This Row],[MER]]="X",Tabella3[[#This Row],[GIO]]="X",Tabella3[[#This Row],[VEN]]="X",),"X","")</f>
        <v/>
      </c>
      <c r="D221" s="113" t="inlineStr">
        <is>
          <t>AREA 3</t>
        </is>
      </c>
      <c r="E221" s="109" t="inlineStr">
        <is>
          <t>535626/C</t>
        </is>
      </c>
      <c r="F221" s="109" t="n">
        <v>700</v>
      </c>
      <c r="G221" s="109" t="inlineStr">
        <is>
          <t>10220464 700 - VERIFICA 07F029R</t>
        </is>
      </c>
      <c r="H221" s="111" t="n"/>
      <c r="I221" s="111" t="n"/>
      <c r="J221" s="111" t="n"/>
      <c r="K221" s="111" t="n"/>
      <c r="L221" s="111" t="n"/>
      <c r="M221" s="109" t="inlineStr">
        <is>
          <t>DA CHIUDERE</t>
        </is>
      </c>
      <c r="N221" s="109" t="n"/>
      <c r="O221" s="109" t="n"/>
      <c r="P221" s="109" t="n"/>
      <c r="Q221" s="109" t="n"/>
      <c r="R221" s="110" t="n"/>
      <c r="S221" s="109" t="n"/>
      <c r="T221" s="67">
        <f>IF(AND('Inserimento dati'!$B$3=$H$2, Tabella3[[#This Row],[LUN]]="X"), "X",IF(AND('Inserimento dati'!$B$3=$I$2, Tabella3[[#This Row],[MAR]]="X"), "X", IF(AND('Inserimento dati'!$B$3=$J$2, Tabella3[[#This Row],[MER]]="X"), "X",IF(AND('Inserimento dati'!$B$3=$K$2, Tabella3[[#This Row],[GIO]]="X"), "X", IF(AND('Inserimento dati'!$B$3=$L$2, Tabella3[[#This Row],[VEN]]="X"), "X","")))))</f>
        <v/>
      </c>
      <c r="U221" s="144">
        <f>IFERROR(MID(G221,_xlfn.AGGREGATE(15,6,(ROW(INDIRECT("1:"&amp;LEN(G221)-7)))/(ISNUMBER(--MID(G221,ROW(INDIRECT("1:"&amp;LEN(G221)-7)),8))),1),8),"")</f>
        <v/>
      </c>
      <c r="V221" t="inlineStr">
        <is>
          <t>2025-09-30 20:00:00</t>
        </is>
      </c>
    </row>
    <row r="222" ht="45" customFormat="1" customHeight="1" s="45">
      <c r="A222" s="112" t="n"/>
      <c r="B222" s="112" t="n">
        <v>2</v>
      </c>
      <c r="C222" s="112">
        <f>IF(OR(Tabella3[[#This Row],[LUN]]="X",Tabella3[[#This Row],[MAR]]="X",Tabella3[[#This Row],[MER]]="X",Tabella3[[#This Row],[GIO]]="X",Tabella3[[#This Row],[VEN]]="X",),"X","")</f>
        <v/>
      </c>
      <c r="D222" s="113" t="inlineStr">
        <is>
          <t>AREA 3</t>
        </is>
      </c>
      <c r="E222" s="109" t="inlineStr">
        <is>
          <t>539111/C</t>
        </is>
      </c>
      <c r="F222" s="109" t="n">
        <v>800</v>
      </c>
      <c r="G222" s="109" t="inlineStr">
        <is>
          <t>10218060 800 - ripr. Funzionalit LCV150 VALVOLA SPURGHI CONTINUI CALDAIA</t>
        </is>
      </c>
      <c r="H222" s="111" t="n"/>
      <c r="I222" s="111" t="n"/>
      <c r="J222" s="111" t="n"/>
      <c r="K222" s="111" t="n"/>
      <c r="L222" s="111" t="n"/>
      <c r="M222" s="109" t="inlineStr">
        <is>
          <t>DA CHIUDERE</t>
        </is>
      </c>
      <c r="N222" s="109" t="n"/>
      <c r="O222" s="109" t="n"/>
      <c r="P222" s="109" t="n"/>
      <c r="Q222" s="109" t="inlineStr">
        <is>
          <t>SOSTITUITI RELE' PNEUMATICI SU REGOLAZIONE LIVELLO/VALVOLA, SOSTITUITO RICEVITORE 3-15 PSI, SOSTITUITI MANOMETRINI FILTRI RIDUTTORI VALVOLA/LIVELLO. LA REGOLAZIONE E' IN AUTOMATICO.</t>
        </is>
      </c>
      <c r="R222" s="110" t="n">
        <v>45770</v>
      </c>
      <c r="S222" s="109" t="inlineStr">
        <is>
          <t>OGNISANTI</t>
        </is>
      </c>
      <c r="T222" s="116">
        <f>IF(AND('Inserimento dati'!$B$3=$H$2, Tabella3[[#This Row],[LUN]]="X"), "X",IF(AND('Inserimento dati'!$B$3=$I$2, Tabella3[[#This Row],[MAR]]="X"), "X", IF(AND('Inserimento dati'!$B$3=$J$2, Tabella3[[#This Row],[MER]]="X"), "X",IF(AND('Inserimento dati'!$B$3=$K$2, Tabella3[[#This Row],[GIO]]="X"), "X", IF(AND('Inserimento dati'!$B$3=$L$2, Tabella3[[#This Row],[VEN]]="X"), "X","")))))</f>
        <v/>
      </c>
      <c r="U222" s="144">
        <f>IFERROR(MID(G222,_xlfn.AGGREGATE(15,6,(ROW(INDIRECT("1:"&amp;LEN(G222)-7)))/(ISNUMBER(--MID(G222,ROW(INDIRECT("1:"&amp;LEN(G222)-7)),8))),1),8),"")</f>
        <v/>
      </c>
      <c r="V222" t="inlineStr">
        <is>
          <t>2025-09-30 20:00:00</t>
        </is>
      </c>
    </row>
    <row r="223" ht="30" customFormat="1" customHeight="1" s="45">
      <c r="A223" s="112" t="n"/>
      <c r="B223" s="112" t="n">
        <v>3</v>
      </c>
      <c r="C223" s="112">
        <f>IF(OR(Tabella3[[#This Row],[LUN]]="X",Tabella3[[#This Row],[MAR]]="X",Tabella3[[#This Row],[MER]]="X",Tabella3[[#This Row],[GIO]]="X",Tabella3[[#This Row],[VEN]]="X",),"X","")</f>
        <v/>
      </c>
      <c r="D223" s="113" t="inlineStr">
        <is>
          <t>AREA 3</t>
        </is>
      </c>
      <c r="E223" s="109" t="inlineStr">
        <is>
          <t>539543/C</t>
        </is>
      </c>
      <c r="F223" s="109" t="n">
        <v>1400</v>
      </c>
      <c r="G223" s="109" t="inlineStr">
        <is>
          <t>10225267 1400 - F010RC- controllo funzionale LOOP DI REGOLAZIONE</t>
        </is>
      </c>
      <c r="H223" s="111" t="n"/>
      <c r="I223" s="111" t="n"/>
      <c r="J223" s="111" t="n"/>
      <c r="K223" s="111" t="n"/>
      <c r="L223" s="111" t="n"/>
      <c r="M223" s="109" t="inlineStr">
        <is>
          <t>DA CHIUDERE</t>
        </is>
      </c>
      <c r="N223" s="109" t="n"/>
      <c r="O223" s="109" t="n"/>
      <c r="P223" s="109" t="n"/>
      <c r="Q223" s="109" t="inlineStr">
        <is>
          <t xml:space="preserve">SOSTITUITO STRUMENTO VECCHIO HB CON NUOVO ROSEMOUNT, ALLINEATO CON SALA CONTROLLO. </t>
        </is>
      </c>
      <c r="R223" s="110" t="n">
        <v>45812</v>
      </c>
      <c r="S223" s="109" t="inlineStr">
        <is>
          <t>SPINALI/GNOCCO</t>
        </is>
      </c>
      <c r="T223" s="114">
        <f>IF(AND('Inserimento dati'!$B$3=$H$2, Tabella3[[#This Row],[LUN]]="X"), "X",IF(AND('Inserimento dati'!$B$3=$I$2, Tabella3[[#This Row],[MAR]]="X"), "X", IF(AND('Inserimento dati'!$B$3=$J$2, Tabella3[[#This Row],[MER]]="X"), "X",IF(AND('Inserimento dati'!$B$3=$K$2, Tabella3[[#This Row],[GIO]]="X"), "X", IF(AND('Inserimento dati'!$B$3=$L$2, Tabella3[[#This Row],[VEN]]="X"), "X","")))))</f>
        <v/>
      </c>
      <c r="U223" s="131">
        <f>IFERROR(MID(G223,_xlfn.AGGREGATE(15,6,(ROW(INDIRECT("1:"&amp;LEN(G223)-7)))/(ISNUMBER(--MID(G223,ROW(INDIRECT("1:"&amp;LEN(G223)-7)),8))),1),8),"")</f>
        <v/>
      </c>
      <c r="V223" t="inlineStr">
        <is>
          <t>2025-09-30 20:00:00</t>
        </is>
      </c>
    </row>
    <row r="224" ht="23.25" customFormat="1" customHeight="1" s="45">
      <c r="A224" s="112" t="n"/>
      <c r="B224" s="112" t="n">
        <v>4</v>
      </c>
      <c r="C224" s="112">
        <f>IF(OR(Tabella3[[#This Row],[LUN]]="X",Tabella3[[#This Row],[MAR]]="X",Tabella3[[#This Row],[MER]]="X",Tabella3[[#This Row],[GIO]]="X",Tabella3[[#This Row],[VEN]]="X",),"X","")</f>
        <v/>
      </c>
      <c r="D224" s="113" t="inlineStr">
        <is>
          <t>AREA 3</t>
        </is>
      </c>
      <c r="E224" s="109" t="inlineStr">
        <is>
          <t>537191/C</t>
        </is>
      </c>
      <c r="F224" s="109" t="inlineStr">
        <is>
          <t>1200/2</t>
        </is>
      </c>
      <c r="G224" s="109" t="inlineStr">
        <is>
          <t>10224035 1200/2 - Z2F302RC controllo</t>
        </is>
      </c>
      <c r="H224" s="111" t="n"/>
      <c r="I224" s="111" t="n"/>
      <c r="J224" s="111" t="n"/>
      <c r="K224" s="111" t="n"/>
      <c r="L224" s="111" t="n"/>
      <c r="M224" s="109" t="inlineStr">
        <is>
          <t>DA CHIUDERE</t>
        </is>
      </c>
      <c r="N224" s="109" t="n"/>
      <c r="O224" s="109" t="n"/>
      <c r="P224" s="109" t="n"/>
      <c r="Q224" s="109" t="n"/>
      <c r="R224" s="110" t="n"/>
      <c r="S224" s="109" t="n"/>
      <c r="T224" s="67">
        <f>IF(AND('Inserimento dati'!$B$3=$H$2, Tabella3[[#This Row],[LUN]]="X"), "X",IF(AND('Inserimento dati'!$B$3=$I$2, Tabella3[[#This Row],[MAR]]="X"), "X", IF(AND('Inserimento dati'!$B$3=$J$2, Tabella3[[#This Row],[MER]]="X"), "X",IF(AND('Inserimento dati'!$B$3=$K$2, Tabella3[[#This Row],[GIO]]="X"), "X", IF(AND('Inserimento dati'!$B$3=$L$2, Tabella3[[#This Row],[VEN]]="X"), "X","")))))</f>
        <v/>
      </c>
      <c r="U224" s="144">
        <f>IFERROR(MID(G224,_xlfn.AGGREGATE(15,6,(ROW(INDIRECT("1:"&amp;LEN(G224)-7)))/(ISNUMBER(--MID(G224,ROW(INDIRECT("1:"&amp;LEN(G224)-7)),8))),1),8),"")</f>
        <v/>
      </c>
      <c r="V224" t="inlineStr">
        <is>
          <t>2025-09-30 20:00:00</t>
        </is>
      </c>
    </row>
    <row r="225" ht="23.25" customFormat="1" customHeight="1" s="45">
      <c r="A225" s="112" t="n"/>
      <c r="B225" s="112" t="n">
        <v>4</v>
      </c>
      <c r="C225" s="112">
        <f>IF(OR(Tabella3[[#This Row],[LUN]]="X",Tabella3[[#This Row],[MAR]]="X",Tabella3[[#This Row],[MER]]="X",Tabella3[[#This Row],[GIO]]="X",Tabella3[[#This Row],[VEN]]="X",),"X","")</f>
        <v/>
      </c>
      <c r="D225" s="113" t="inlineStr">
        <is>
          <t>AREA 3</t>
        </is>
      </c>
      <c r="E225" s="109" t="inlineStr">
        <is>
          <t>535628/C</t>
        </is>
      </c>
      <c r="F225" s="109" t="n">
        <v>700</v>
      </c>
      <c r="G225" s="109" t="inlineStr">
        <is>
          <t xml:space="preserve">10220465 700 - VERIFICA 07F051R </t>
        </is>
      </c>
      <c r="H225" s="111" t="n"/>
      <c r="I225" s="111" t="n"/>
      <c r="J225" s="111" t="n"/>
      <c r="K225" s="111" t="n"/>
      <c r="L225" s="111" t="n"/>
      <c r="M225" s="109" t="inlineStr">
        <is>
          <t>DA CHIUDERE</t>
        </is>
      </c>
      <c r="N225" s="109" t="n"/>
      <c r="O225" s="109" t="n"/>
      <c r="P225" s="109" t="n"/>
      <c r="Q225" s="109" t="n"/>
      <c r="R225" s="110" t="n"/>
      <c r="S225" s="109" t="n"/>
      <c r="T225" s="67">
        <f>IF(AND('Inserimento dati'!$B$3=$H$2, Tabella3[[#This Row],[LUN]]="X"), "X",IF(AND('Inserimento dati'!$B$3=$I$2, Tabella3[[#This Row],[MAR]]="X"), "X", IF(AND('Inserimento dati'!$B$3=$J$2, Tabella3[[#This Row],[MER]]="X"), "X",IF(AND('Inserimento dati'!$B$3=$K$2, Tabella3[[#This Row],[GIO]]="X"), "X", IF(AND('Inserimento dati'!$B$3=$L$2, Tabella3[[#This Row],[VEN]]="X"), "X","")))))</f>
        <v/>
      </c>
      <c r="U225" s="144">
        <f>IFERROR(MID(G225,_xlfn.AGGREGATE(15,6,(ROW(INDIRECT("1:"&amp;LEN(G225)-7)))/(ISNUMBER(--MID(G225,ROW(INDIRECT("1:"&amp;LEN(G225)-7)),8))),1),8),"")</f>
        <v/>
      </c>
      <c r="V225" t="inlineStr">
        <is>
          <t>2025-09-30 20:00:00</t>
        </is>
      </c>
    </row>
    <row r="226" ht="23.25" customFormat="1" customHeight="1" s="45">
      <c r="A226" s="112" t="n"/>
      <c r="B226" s="112" t="n">
        <v>4</v>
      </c>
      <c r="C226" s="112">
        <f>IF(OR(Tabella3[[#This Row],[LUN]]="X",Tabella3[[#This Row],[MAR]]="X",Tabella3[[#This Row],[MER]]="X",Tabella3[[#This Row],[GIO]]="X",Tabella3[[#This Row],[VEN]]="X",),"X","")</f>
        <v/>
      </c>
      <c r="D226" s="113" t="inlineStr">
        <is>
          <t>AREA 3</t>
        </is>
      </c>
      <c r="E226" s="109" t="inlineStr">
        <is>
          <t>530462/C</t>
        </is>
      </c>
      <c r="F226" s="109" t="n">
        <v>1800</v>
      </c>
      <c r="G226" s="109" t="inlineStr">
        <is>
          <t>10220619 1800 - VERIFICA FR VAPORE MS LIMITE BATTERIA 18F203R</t>
        </is>
      </c>
      <c r="H226" s="111" t="n"/>
      <c r="I226" s="111" t="n"/>
      <c r="J226" s="111" t="n"/>
      <c r="K226" s="111" t="n"/>
      <c r="L226" s="111" t="n"/>
      <c r="M226" s="109" t="inlineStr">
        <is>
          <t>DA CHIUDERE</t>
        </is>
      </c>
      <c r="N226" s="109" t="n"/>
      <c r="O226" s="109" t="n"/>
      <c r="P226" s="109" t="n"/>
      <c r="Q226" s="109" t="n"/>
      <c r="R226" s="110" t="n"/>
      <c r="S226" s="109" t="n"/>
      <c r="T226" s="116">
        <f>IF(AND('Inserimento dati'!$B$3=$H$2, Tabella3[[#This Row],[LUN]]="X"), "X",IF(AND('Inserimento dati'!$B$3=$I$2, Tabella3[[#This Row],[MAR]]="X"), "X", IF(AND('Inserimento dati'!$B$3=$J$2, Tabella3[[#This Row],[MER]]="X"), "X",IF(AND('Inserimento dati'!$B$3=$K$2, Tabella3[[#This Row],[GIO]]="X"), "X", IF(AND('Inserimento dati'!$B$3=$L$2, Tabella3[[#This Row],[VEN]]="X"), "X","")))))</f>
        <v/>
      </c>
      <c r="U226" s="144">
        <f>IFERROR(MID(G226,_xlfn.AGGREGATE(15,6,(ROW(INDIRECT("1:"&amp;LEN(G226)-7)))/(ISNUMBER(--MID(G226,ROW(INDIRECT("1:"&amp;LEN(G226)-7)),8))),1),8),"")</f>
        <v/>
      </c>
      <c r="V226" t="inlineStr">
        <is>
          <t>2025-09-30 20:00:00</t>
        </is>
      </c>
    </row>
    <row r="227" ht="23.25" customFormat="1" customHeight="1" s="45">
      <c r="A227" s="112" t="n"/>
      <c r="B227" s="112" t="n">
        <v>4</v>
      </c>
      <c r="C227" s="112">
        <f>IF(OR(Tabella3[[#This Row],[LUN]]="X",Tabella3[[#This Row],[MAR]]="X",Tabella3[[#This Row],[MER]]="X",Tabella3[[#This Row],[GIO]]="X",Tabella3[[#This Row],[VEN]]="X",),"X","")</f>
        <v/>
      </c>
      <c r="D227" s="113" t="inlineStr">
        <is>
          <t>AREA 3</t>
        </is>
      </c>
      <c r="E227" s="109" t="inlineStr">
        <is>
          <t>534045/C</t>
        </is>
      </c>
      <c r="F227" s="109" t="n">
        <v>2200</v>
      </c>
      <c r="G227" s="109" t="inlineStr">
        <is>
          <t>10222453 2200 - MTZ MISURATORE DI PORTATA F502IC</t>
        </is>
      </c>
      <c r="H227" s="111" t="n"/>
      <c r="I227" s="111" t="n"/>
      <c r="J227" s="111" t="n"/>
      <c r="K227" s="111" t="n"/>
      <c r="L227" s="111" t="n"/>
      <c r="M227" s="109" t="inlineStr">
        <is>
          <t>DA CHIUDERE</t>
        </is>
      </c>
      <c r="N227" s="109" t="n"/>
      <c r="O227" s="109" t="n"/>
      <c r="P227" s="109" t="n"/>
      <c r="Q227" s="109" t="n"/>
      <c r="R227" s="110" t="n"/>
      <c r="S227" s="109" t="n"/>
      <c r="T227" s="116">
        <f>IF(AND('Inserimento dati'!$B$3=$H$2, Tabella3[[#This Row],[LUN]]="X"), "X",IF(AND('Inserimento dati'!$B$3=$I$2, Tabella3[[#This Row],[MAR]]="X"), "X", IF(AND('Inserimento dati'!$B$3=$J$2, Tabella3[[#This Row],[MER]]="X"), "X",IF(AND('Inserimento dati'!$B$3=$K$2, Tabella3[[#This Row],[GIO]]="X"), "X", IF(AND('Inserimento dati'!$B$3=$L$2, Tabella3[[#This Row],[VEN]]="X"), "X","")))))</f>
        <v/>
      </c>
      <c r="U227" s="144">
        <f>IFERROR(MID(G227,_xlfn.AGGREGATE(15,6,(ROW(INDIRECT("1:"&amp;LEN(G227)-7)))/(ISNUMBER(--MID(G227,ROW(INDIRECT("1:"&amp;LEN(G227)-7)),8))),1),8),"")</f>
        <v/>
      </c>
      <c r="V227" t="inlineStr">
        <is>
          <t>2025-09-30 20:00:00</t>
        </is>
      </c>
    </row>
    <row r="228" ht="23.25" customFormat="1" customHeight="1" s="45">
      <c r="A228" s="112" t="n"/>
      <c r="B228" s="112" t="n">
        <v>4</v>
      </c>
      <c r="C228" s="112">
        <f>IF(OR(Tabella3[[#This Row],[LUN]]="X",Tabella3[[#This Row],[MAR]]="X",Tabella3[[#This Row],[MER]]="X",Tabella3[[#This Row],[GIO]]="X",Tabella3[[#This Row],[VEN]]="X",),"X","")</f>
        <v/>
      </c>
      <c r="D228" s="113" t="inlineStr">
        <is>
          <t>AREA 3</t>
        </is>
      </c>
      <c r="E228" s="109" t="inlineStr">
        <is>
          <t>533552/C</t>
        </is>
      </c>
      <c r="F228" s="109" t="inlineStr">
        <is>
          <t>700A</t>
        </is>
      </c>
      <c r="G228" s="109" t="inlineStr">
        <is>
          <t>10222225 700A - VERIFICA LIVELLI D202</t>
        </is>
      </c>
      <c r="H228" s="111" t="n"/>
      <c r="I228" s="111" t="n"/>
      <c r="J228" s="111" t="n"/>
      <c r="K228" s="111" t="n"/>
      <c r="L228" s="111" t="n"/>
      <c r="M228" s="109" t="inlineStr">
        <is>
          <t>DA CHIUDERE</t>
        </is>
      </c>
      <c r="N228" s="109" t="n"/>
      <c r="O228" s="109" t="n"/>
      <c r="P228" s="109" t="n"/>
      <c r="Q228" s="109" t="n"/>
      <c r="R228" s="110" t="n"/>
      <c r="S228" s="109" t="n"/>
      <c r="T228" s="116">
        <f>IF(AND('Inserimento dati'!$B$3=$H$2, Tabella3[[#This Row],[LUN]]="X"), "X",IF(AND('Inserimento dati'!$B$3=$I$2, Tabella3[[#This Row],[MAR]]="X"), "X", IF(AND('Inserimento dati'!$B$3=$J$2, Tabella3[[#This Row],[MER]]="X"), "X",IF(AND('Inserimento dati'!$B$3=$K$2, Tabella3[[#This Row],[GIO]]="X"), "X", IF(AND('Inserimento dati'!$B$3=$L$2, Tabella3[[#This Row],[VEN]]="X"), "X","")))))</f>
        <v/>
      </c>
      <c r="U228" s="144">
        <f>IFERROR(MID(G228,_xlfn.AGGREGATE(15,6,(ROW(INDIRECT("1:"&amp;LEN(G228)-7)))/(ISNUMBER(--MID(G228,ROW(INDIRECT("1:"&amp;LEN(G228)-7)),8))),1),8),"")</f>
        <v/>
      </c>
      <c r="V228" t="inlineStr">
        <is>
          <t>2025-09-30 20:00:00</t>
        </is>
      </c>
    </row>
    <row r="229" ht="23.25" customFormat="1" customHeight="1" s="45">
      <c r="A229" s="112" t="n"/>
      <c r="B229" s="112" t="n">
        <v>4</v>
      </c>
      <c r="C229" s="112">
        <f>IF(OR(Tabella3[[#This Row],[LUN]]="X",Tabella3[[#This Row],[MAR]]="X",Tabella3[[#This Row],[MER]]="X",Tabella3[[#This Row],[GIO]]="X",Tabella3[[#This Row],[VEN]]="X",),"X","")</f>
        <v/>
      </c>
      <c r="D229" s="113" t="inlineStr">
        <is>
          <t>AREA 3</t>
        </is>
      </c>
      <c r="E229" s="109" t="inlineStr">
        <is>
          <t>523468/C</t>
        </is>
      </c>
      <c r="F229" s="109" t="n">
        <v>1100</v>
      </c>
      <c r="G229" s="109" t="inlineStr">
        <is>
          <t>10215991 1100 - P251DI.PV(DP scambiatore carica-fondo E201) controllo funzionale</t>
        </is>
      </c>
      <c r="H229" s="111" t="n"/>
      <c r="I229" s="111" t="n"/>
      <c r="J229" s="111" t="n"/>
      <c r="K229" s="111" t="n"/>
      <c r="L229" s="111" t="n"/>
      <c r="M229" s="109" t="inlineStr">
        <is>
          <t>DA CHIUDERE</t>
        </is>
      </c>
      <c r="N229" s="109" t="n"/>
      <c r="O229" s="109" t="n"/>
      <c r="P229" s="109" t="n"/>
      <c r="Q229" s="109" t="n"/>
      <c r="R229" s="110" t="n"/>
      <c r="S229" s="110" t="n"/>
      <c r="T229" s="112">
        <f>IF(AND('Inserimento dati'!$B$3=$H$2, Tabella3[[#This Row],[LUN]]="X"), "X",IF(AND('Inserimento dati'!$B$3=$I$2, Tabella3[[#This Row],[MAR]]="X"), "X", IF(AND('Inserimento dati'!$B$3=$J$2, Tabella3[[#This Row],[MER]]="X"), "X",IF(AND('Inserimento dati'!$B$3=$K$2, Tabella3[[#This Row],[GIO]]="X"), "X", IF(AND('Inserimento dati'!$B$3=$L$2, Tabella3[[#This Row],[VEN]]="X"), "X","")))))</f>
        <v/>
      </c>
      <c r="U229" s="144">
        <f>IFERROR(MID(G229,_xlfn.AGGREGATE(15,6,(ROW(INDIRECT("1:"&amp;LEN(G229)-7)))/(ISNUMBER(--MID(G229,ROW(INDIRECT("1:"&amp;LEN(G229)-7)),8))),1),8),"")</f>
        <v/>
      </c>
      <c r="V229" t="inlineStr">
        <is>
          <t>2025-09-30 20:00:00</t>
        </is>
      </c>
    </row>
    <row r="230" ht="23.25" customFormat="1" customHeight="1" s="45">
      <c r="A230" s="112" t="n"/>
      <c r="B230" s="112" t="n">
        <v>4</v>
      </c>
      <c r="C230" s="112">
        <f>IF(OR(Tabella3[[#This Row],[LUN]]="X",Tabella3[[#This Row],[MAR]]="X",Tabella3[[#This Row],[MER]]="X",Tabella3[[#This Row],[GIO]]="X",Tabella3[[#This Row],[VEN]]="X",),"X","")</f>
        <v/>
      </c>
      <c r="D230" s="113" t="inlineStr">
        <is>
          <t>AREA 3</t>
        </is>
      </c>
      <c r="E230" s="109" t="inlineStr">
        <is>
          <t>532258/C</t>
        </is>
      </c>
      <c r="F230" s="109" t="n">
        <v>700</v>
      </c>
      <c r="G230" s="109" t="inlineStr">
        <is>
          <t xml:space="preserve">10221625 700 - 07F031 ripristino funzionalit </t>
        </is>
      </c>
      <c r="H230" s="111" t="n"/>
      <c r="I230" s="111" t="n"/>
      <c r="J230" s="111" t="n"/>
      <c r="K230" s="111" t="n"/>
      <c r="L230" s="111" t="n"/>
      <c r="M230" s="109" t="inlineStr">
        <is>
          <t>DA CHIUDERE</t>
        </is>
      </c>
      <c r="N230" s="109" t="n"/>
      <c r="O230" s="109" t="n"/>
      <c r="P230" s="109" t="n"/>
      <c r="Q230" s="109" t="n"/>
      <c r="R230" s="110" t="n"/>
      <c r="S230" s="109" t="n"/>
      <c r="T230" s="116">
        <f>IF(AND('Inserimento dati'!$B$3=$H$2, Tabella3[[#This Row],[LUN]]="X"), "X",IF(AND('Inserimento dati'!$B$3=$I$2, Tabella3[[#This Row],[MAR]]="X"), "X", IF(AND('Inserimento dati'!$B$3=$J$2, Tabella3[[#This Row],[MER]]="X"), "X",IF(AND('Inserimento dati'!$B$3=$K$2, Tabella3[[#This Row],[GIO]]="X"), "X", IF(AND('Inserimento dati'!$B$3=$L$2, Tabella3[[#This Row],[VEN]]="X"), "X","")))))</f>
        <v/>
      </c>
      <c r="U230" s="144">
        <f>IFERROR(MID(G230,_xlfn.AGGREGATE(15,6,(ROW(INDIRECT("1:"&amp;LEN(G230)-7)))/(ISNUMBER(--MID(G230,ROW(INDIRECT("1:"&amp;LEN(G230)-7)),8))),1),8),"")</f>
        <v/>
      </c>
      <c r="V230" t="inlineStr">
        <is>
          <t>2025-09-30 20:00:00</t>
        </is>
      </c>
    </row>
    <row r="231" ht="23.25" customFormat="1" customHeight="1" s="45">
      <c r="A231" s="112" t="n"/>
      <c r="B231" s="112" t="n">
        <v>4</v>
      </c>
      <c r="C231" s="112">
        <f>IF(OR(Tabella3[[#This Row],[LUN]]="X",Tabella3[[#This Row],[MAR]]="X",Tabella3[[#This Row],[MER]]="X",Tabella3[[#This Row],[GIO]]="X",Tabella3[[#This Row],[VEN]]="X",),"X","")</f>
        <v/>
      </c>
      <c r="D231" s="113" t="inlineStr">
        <is>
          <t>AREA 3</t>
        </is>
      </c>
      <c r="E231" s="109" t="inlineStr">
        <is>
          <t>532176/C</t>
        </is>
      </c>
      <c r="F231" s="109" t="n">
        <v>1400</v>
      </c>
      <c r="G231" s="109" t="inlineStr">
        <is>
          <t>10215990 1400 - T207I(temperatura ingresso E109 termocoppia non collegata)</t>
        </is>
      </c>
      <c r="H231" s="111" t="n"/>
      <c r="I231" s="111" t="n"/>
      <c r="J231" s="111" t="n"/>
      <c r="K231" s="111" t="n"/>
      <c r="L231" s="111" t="n"/>
      <c r="M231" s="109" t="inlineStr">
        <is>
          <t>DA CHIUDERE</t>
        </is>
      </c>
      <c r="N231" s="109" t="n"/>
      <c r="O231" s="109" t="n"/>
      <c r="P231" s="109" t="n"/>
      <c r="Q231" s="109" t="n"/>
      <c r="R231" s="110" t="n"/>
      <c r="S231" s="110" t="n"/>
      <c r="T231" s="112">
        <f>IF(AND('Inserimento dati'!$B$3=$H$2, Tabella3[[#This Row],[LUN]]="X"), "X",IF(AND('Inserimento dati'!$B$3=$I$2, Tabella3[[#This Row],[MAR]]="X"), "X", IF(AND('Inserimento dati'!$B$3=$J$2, Tabella3[[#This Row],[MER]]="X"), "X",IF(AND('Inserimento dati'!$B$3=$K$2, Tabella3[[#This Row],[GIO]]="X"), "X", IF(AND('Inserimento dati'!$B$3=$L$2, Tabella3[[#This Row],[VEN]]="X"), "X","")))))</f>
        <v/>
      </c>
      <c r="U231" s="144">
        <f>IFERROR(MID(G231,_xlfn.AGGREGATE(15,6,(ROW(INDIRECT("1:"&amp;LEN(G231)-7)))/(ISNUMBER(--MID(G231,ROW(INDIRECT("1:"&amp;LEN(G231)-7)),8))),1),8),"")</f>
        <v/>
      </c>
      <c r="V231" t="inlineStr">
        <is>
          <t>2025-09-30 20:00:00</t>
        </is>
      </c>
    </row>
    <row r="232" ht="23.25" customFormat="1" customHeight="1" s="45">
      <c r="A232" s="112" t="n"/>
      <c r="B232" s="112" t="n">
        <v>4</v>
      </c>
      <c r="C232" s="112">
        <f>IF(OR(Tabella3[[#This Row],[LUN]]="X",Tabella3[[#This Row],[MAR]]="X",Tabella3[[#This Row],[MER]]="X",Tabella3[[#This Row],[GIO]]="X",Tabella3[[#This Row],[VEN]]="X",),"X","")</f>
        <v/>
      </c>
      <c r="D232" s="113" t="inlineStr">
        <is>
          <t>AREA 3</t>
        </is>
      </c>
      <c r="E232" s="109" t="inlineStr">
        <is>
          <t>524769/C</t>
        </is>
      </c>
      <c r="F232" s="109" t="inlineStr">
        <is>
          <t>1200/2</t>
        </is>
      </c>
      <c r="G232" s="109" t="inlineStr">
        <is>
          <t>10216874 1200/2 - controllo Livellostati D101 e D102 Linea 2</t>
        </is>
      </c>
      <c r="H232" s="111" t="n"/>
      <c r="I232" s="111" t="n"/>
      <c r="J232" s="111" t="n"/>
      <c r="K232" s="111" t="n"/>
      <c r="L232" s="111" t="n"/>
      <c r="M232" s="109" t="inlineStr">
        <is>
          <t>DA CHIUDERE</t>
        </is>
      </c>
      <c r="N232" s="109" t="n"/>
      <c r="O232" s="109" t="n"/>
      <c r="P232" s="109" t="n"/>
      <c r="Q232" s="109" t="n"/>
      <c r="R232" s="110" t="n"/>
      <c r="S232" s="109" t="n"/>
      <c r="T232" s="116">
        <f>IF(AND('Inserimento dati'!$B$3=$H$2, Tabella3[[#This Row],[LUN]]="X"), "X",IF(AND('Inserimento dati'!$B$3=$I$2, Tabella3[[#This Row],[MAR]]="X"), "X", IF(AND('Inserimento dati'!$B$3=$J$2, Tabella3[[#This Row],[MER]]="X"), "X",IF(AND('Inserimento dati'!$B$3=$K$2, Tabella3[[#This Row],[GIO]]="X"), "X", IF(AND('Inserimento dati'!$B$3=$L$2, Tabella3[[#This Row],[VEN]]="X"), "X","")))))</f>
        <v/>
      </c>
      <c r="U232" s="144">
        <f>IFERROR(MID(G232,_xlfn.AGGREGATE(15,6,(ROW(INDIRECT("1:"&amp;LEN(G232)-7)))/(ISNUMBER(--MID(G232,ROW(INDIRECT("1:"&amp;LEN(G232)-7)),8))),1),8),"")</f>
        <v/>
      </c>
      <c r="V232" t="inlineStr">
        <is>
          <t>2025-09-30 20:00:00</t>
        </is>
      </c>
    </row>
    <row r="233" ht="23.25" customFormat="1" customHeight="1" s="45">
      <c r="A233" s="112" t="n"/>
      <c r="B233" s="112" t="n">
        <v>4</v>
      </c>
      <c r="C233" s="112">
        <f>IF(OR(Tabella3[[#This Row],[LUN]]="X",Tabella3[[#This Row],[MAR]]="X",Tabella3[[#This Row],[MER]]="X",Tabella3[[#This Row],[GIO]]="X",Tabella3[[#This Row],[VEN]]="X",),"X","")</f>
        <v/>
      </c>
      <c r="D233" s="113" t="inlineStr">
        <is>
          <t>AREA 3</t>
        </is>
      </c>
      <c r="E233" s="109" t="inlineStr">
        <is>
          <t>522556/C</t>
        </is>
      </c>
      <c r="F233" s="109" t="inlineStr">
        <is>
          <t>700A</t>
        </is>
      </c>
      <c r="G233" s="109" t="inlineStr">
        <is>
          <t>10215297 07P620V controllo funzionale</t>
        </is>
      </c>
      <c r="H233" s="111" t="n"/>
      <c r="I233" s="111" t="n"/>
      <c r="J233" s="111" t="n"/>
      <c r="K233" s="111" t="n"/>
      <c r="L233" s="111" t="n"/>
      <c r="M233" s="109" t="inlineStr">
        <is>
          <t>DA CHIUDERE</t>
        </is>
      </c>
      <c r="N233" s="109" t="n"/>
      <c r="O233" s="109" t="n"/>
      <c r="P233" s="109" t="n"/>
      <c r="Q233" s="109" t="n"/>
      <c r="R233" s="110" t="n"/>
      <c r="S233" s="110" t="n"/>
      <c r="T233" s="112">
        <f>IF(AND('Inserimento dati'!$B$3=$H$2, Tabella3[[#This Row],[LUN]]="X"), "X",IF(AND('Inserimento dati'!$B$3=$I$2, Tabella3[[#This Row],[MAR]]="X"), "X", IF(AND('Inserimento dati'!$B$3=$J$2, Tabella3[[#This Row],[MER]]="X"), "X",IF(AND('Inserimento dati'!$B$3=$K$2, Tabella3[[#This Row],[GIO]]="X"), "X", IF(AND('Inserimento dati'!$B$3=$L$2, Tabella3[[#This Row],[VEN]]="X"), "X","")))))</f>
        <v/>
      </c>
      <c r="U233" s="144">
        <f>IFERROR(MID(G233,_xlfn.AGGREGATE(15,6,(ROW(INDIRECT("1:"&amp;LEN(G233)-7)))/(ISNUMBER(--MID(G233,ROW(INDIRECT("1:"&amp;LEN(G233)-7)),8))),1),8),"")</f>
        <v/>
      </c>
      <c r="V233" t="inlineStr">
        <is>
          <t>2025-09-30 20:00:00</t>
        </is>
      </c>
    </row>
    <row r="234" ht="23.25" customFormat="1" customHeight="1" s="45">
      <c r="A234" s="112" t="n"/>
      <c r="B234" s="112" t="n">
        <v>4</v>
      </c>
      <c r="C234" s="112">
        <f>IF(OR(Tabella3[[#This Row],[LUN]]="X",Tabella3[[#This Row],[MAR]]="X",Tabella3[[#This Row],[MER]]="X",Tabella3[[#This Row],[GIO]]="X",Tabella3[[#This Row],[VEN]]="X",),"X","")</f>
        <v/>
      </c>
      <c r="D234" s="113" t="inlineStr">
        <is>
          <t>AREA 3</t>
        </is>
      </c>
      <c r="E234" s="109" t="inlineStr">
        <is>
          <t>522545/C</t>
        </is>
      </c>
      <c r="F234" s="109" t="inlineStr">
        <is>
          <t>700A</t>
        </is>
      </c>
      <c r="G234" s="109" t="inlineStr">
        <is>
          <t xml:space="preserve"> 700A F201AT/BT CONTROLLO E RIPRISTINO FUNZIONALE</t>
        </is>
      </c>
      <c r="H234" s="111" t="n"/>
      <c r="I234" s="111" t="n"/>
      <c r="J234" s="111" t="n"/>
      <c r="K234" s="111" t="n"/>
      <c r="L234" s="111" t="n"/>
      <c r="M234" s="109" t="inlineStr">
        <is>
          <t>DA CHIUDERE</t>
        </is>
      </c>
      <c r="N234" s="109" t="n"/>
      <c r="O234" s="109" t="n"/>
      <c r="P234" s="109" t="n"/>
      <c r="Q234" s="109" t="n"/>
      <c r="R234" s="110" t="n"/>
      <c r="S234" s="110" t="n"/>
      <c r="T234" s="112">
        <f>IF(AND('Inserimento dati'!$B$3=$H$2, Tabella3[[#This Row],[LUN]]="X"), "X",IF(AND('Inserimento dati'!$B$3=$I$2, Tabella3[[#This Row],[MAR]]="X"), "X", IF(AND('Inserimento dati'!$B$3=$J$2, Tabella3[[#This Row],[MER]]="X"), "X",IF(AND('Inserimento dati'!$B$3=$K$2, Tabella3[[#This Row],[GIO]]="X"), "X", IF(AND('Inserimento dati'!$B$3=$L$2, Tabella3[[#This Row],[VEN]]="X"), "X","")))))</f>
        <v/>
      </c>
      <c r="U234" s="144">
        <f>IFERROR(MID(G234,_xlfn.AGGREGATE(15,6,(ROW(INDIRECT("1:"&amp;LEN(G234)-7)))/(ISNUMBER(--MID(G234,ROW(INDIRECT("1:"&amp;LEN(G234)-7)),8))),1),8),"")</f>
        <v/>
      </c>
      <c r="V234" t="inlineStr">
        <is>
          <t>2025-09-30 20:00:00</t>
        </is>
      </c>
    </row>
    <row r="235" ht="23.25" customFormat="1" customHeight="1" s="45">
      <c r="A235" s="112" t="n"/>
      <c r="B235" s="112" t="n">
        <v>4</v>
      </c>
      <c r="C235" s="112">
        <f>IF(OR(Tabella3[[#This Row],[LUN]]="X",Tabella3[[#This Row],[MAR]]="X",Tabella3[[#This Row],[MER]]="X",Tabella3[[#This Row],[GIO]]="X",Tabella3[[#This Row],[VEN]]="X",),"X","")</f>
        <v/>
      </c>
      <c r="D235" s="113" t="inlineStr">
        <is>
          <t>AREA 3</t>
        </is>
      </c>
      <c r="E235" s="109" t="inlineStr">
        <is>
          <t>521572/C</t>
        </is>
      </c>
      <c r="F235" s="109" t="inlineStr">
        <is>
          <t>700A</t>
        </is>
      </c>
      <c r="G235" s="109" t="inlineStr">
        <is>
          <t xml:space="preserve">10214483 700A - 07F216R riflusso T201 ripristino funzionale. </t>
        </is>
      </c>
      <c r="H235" s="111" t="n"/>
      <c r="I235" s="111" t="n"/>
      <c r="J235" s="111" t="n"/>
      <c r="K235" s="111" t="n"/>
      <c r="L235" s="111" t="n"/>
      <c r="M235" s="109" t="inlineStr">
        <is>
          <t>DA CHIUDERE</t>
        </is>
      </c>
      <c r="N235" s="109" t="n"/>
      <c r="O235" s="109" t="n"/>
      <c r="P235" s="109" t="n"/>
      <c r="Q235" s="109" t="n"/>
      <c r="R235" s="110" t="n"/>
      <c r="S235" s="110" t="n"/>
      <c r="T235" s="112">
        <f>IF(AND('Inserimento dati'!$B$3=$H$2, Tabella3[[#This Row],[LUN]]="X"), "X",IF(AND('Inserimento dati'!$B$3=$I$2, Tabella3[[#This Row],[MAR]]="X"), "X", IF(AND('Inserimento dati'!$B$3=$J$2, Tabella3[[#This Row],[MER]]="X"), "X",IF(AND('Inserimento dati'!$B$3=$K$2, Tabella3[[#This Row],[GIO]]="X"), "X", IF(AND('Inserimento dati'!$B$3=$L$2, Tabella3[[#This Row],[VEN]]="X"), "X","")))))</f>
        <v/>
      </c>
      <c r="U235" s="144">
        <f>IFERROR(MID(G235,_xlfn.AGGREGATE(15,6,(ROW(INDIRECT("1:"&amp;LEN(G235)-7)))/(ISNUMBER(--MID(G235,ROW(INDIRECT("1:"&amp;LEN(G235)-7)),8))),1),8),"")</f>
        <v/>
      </c>
      <c r="V235" t="inlineStr">
        <is>
          <t>2025-09-30 20:00:00</t>
        </is>
      </c>
    </row>
    <row r="236" ht="23.25" customFormat="1" customHeight="1" s="45">
      <c r="A236" s="112" t="n"/>
      <c r="B236" s="112" t="n">
        <v>4</v>
      </c>
      <c r="C236" s="112">
        <f>IF(OR(Tabella3[[#This Row],[LUN]]="X",Tabella3[[#This Row],[MAR]]="X",Tabella3[[#This Row],[MER]]="X",Tabella3[[#This Row],[GIO]]="X",Tabella3[[#This Row],[VEN]]="X",),"X","")</f>
        <v/>
      </c>
      <c r="D236" s="113" t="inlineStr">
        <is>
          <t>AREA 3</t>
        </is>
      </c>
      <c r="E236" s="109" t="inlineStr">
        <is>
          <t>521630/C</t>
        </is>
      </c>
      <c r="F236" s="109" t="n">
        <v>700</v>
      </c>
      <c r="G236" s="109" t="inlineStr">
        <is>
          <t>10214556 700 - P101ASL CONTROLLO PRESSOSTATO</t>
        </is>
      </c>
      <c r="H236" s="111" t="n"/>
      <c r="I236" s="111" t="n"/>
      <c r="J236" s="111" t="n"/>
      <c r="K236" s="111" t="n"/>
      <c r="L236" s="111" t="n"/>
      <c r="M236" s="109" t="inlineStr">
        <is>
          <t>DA CHIUDERE</t>
        </is>
      </c>
      <c r="N236" s="109" t="n"/>
      <c r="O236" s="109" t="n"/>
      <c r="P236" s="109" t="n"/>
      <c r="Q236" s="109" t="n"/>
      <c r="R236" s="110" t="n"/>
      <c r="S236" s="110" t="n"/>
      <c r="T236" s="112">
        <f>IF(AND('Inserimento dati'!$B$3=$H$2, Tabella3[[#This Row],[LUN]]="X"), "X",IF(AND('Inserimento dati'!$B$3=$I$2, Tabella3[[#This Row],[MAR]]="X"), "X", IF(AND('Inserimento dati'!$B$3=$J$2, Tabella3[[#This Row],[MER]]="X"), "X",IF(AND('Inserimento dati'!$B$3=$K$2, Tabella3[[#This Row],[GIO]]="X"), "X", IF(AND('Inserimento dati'!$B$3=$L$2, Tabella3[[#This Row],[VEN]]="X"), "X","")))))</f>
        <v/>
      </c>
      <c r="U236" s="144">
        <f>IFERROR(MID(G236,_xlfn.AGGREGATE(15,6,(ROW(INDIRECT("1:"&amp;LEN(G236)-7)))/(ISNUMBER(--MID(G236,ROW(INDIRECT("1:"&amp;LEN(G236)-7)),8))),1),8),"")</f>
        <v/>
      </c>
      <c r="V236" t="inlineStr">
        <is>
          <t>2025-09-30 20:00:00</t>
        </is>
      </c>
    </row>
    <row r="237" ht="23.25" customFormat="1" customHeight="1" s="45">
      <c r="A237" s="112" t="n"/>
      <c r="B237" s="112" t="n">
        <v>4</v>
      </c>
      <c r="C237" s="112">
        <f>IF(OR(Tabella3[[#This Row],[LUN]]="X",Tabella3[[#This Row],[MAR]]="X",Tabella3[[#This Row],[MER]]="X",Tabella3[[#This Row],[GIO]]="X",Tabella3[[#This Row],[VEN]]="X",),"X","")</f>
        <v/>
      </c>
      <c r="D237" s="113" t="inlineStr">
        <is>
          <t>AREA 3</t>
        </is>
      </c>
      <c r="E237" s="109" t="inlineStr">
        <is>
          <t>522680/C</t>
        </is>
      </c>
      <c r="F237" s="109" t="n">
        <v>700</v>
      </c>
      <c r="G237" s="109" t="inlineStr">
        <is>
          <t xml:space="preserve">10215414 700 - 07-F034AR ripristino misura </t>
        </is>
      </c>
      <c r="H237" s="111" t="n"/>
      <c r="I237" s="111" t="n"/>
      <c r="J237" s="111" t="n"/>
      <c r="K237" s="111" t="n"/>
      <c r="L237" s="111" t="n"/>
      <c r="M237" s="109" t="inlineStr">
        <is>
          <t>DA CHIUDERE</t>
        </is>
      </c>
      <c r="N237" s="109" t="n"/>
      <c r="O237" s="109" t="n"/>
      <c r="P237" s="109" t="n"/>
      <c r="Q237" s="109" t="n"/>
      <c r="R237" s="110" t="n"/>
      <c r="S237" s="110" t="n"/>
      <c r="T237" s="112">
        <f>IF(AND('Inserimento dati'!$B$3=$H$2, Tabella3[[#This Row],[LUN]]="X"), "X",IF(AND('Inserimento dati'!$B$3=$I$2, Tabella3[[#This Row],[MAR]]="X"), "X", IF(AND('Inserimento dati'!$B$3=$J$2, Tabella3[[#This Row],[MER]]="X"), "X",IF(AND('Inserimento dati'!$B$3=$K$2, Tabella3[[#This Row],[GIO]]="X"), "X", IF(AND('Inserimento dati'!$B$3=$L$2, Tabella3[[#This Row],[VEN]]="X"), "X","")))))</f>
        <v/>
      </c>
      <c r="U237" s="144">
        <f>IFERROR(MID(G237,_xlfn.AGGREGATE(15,6,(ROW(INDIRECT("1:"&amp;LEN(G237)-7)))/(ISNUMBER(--MID(G237,ROW(INDIRECT("1:"&amp;LEN(G237)-7)),8))),1),8),"")</f>
        <v/>
      </c>
      <c r="V237" t="inlineStr">
        <is>
          <t>2025-09-30 20:00:00</t>
        </is>
      </c>
    </row>
    <row r="238" ht="23.25" customFormat="1" customHeight="1" s="45">
      <c r="A238" s="112" t="n"/>
      <c r="B238" s="112" t="n">
        <v>4</v>
      </c>
      <c r="C238" s="112">
        <f>IF(OR(Tabella3[[#This Row],[LUN]]="X",Tabella3[[#This Row],[MAR]]="X",Tabella3[[#This Row],[MER]]="X",Tabella3[[#This Row],[GIO]]="X",Tabella3[[#This Row],[VEN]]="X",),"X","")</f>
        <v/>
      </c>
      <c r="D238" s="113" t="inlineStr">
        <is>
          <t>AREA 3</t>
        </is>
      </c>
      <c r="E238" s="109" t="inlineStr">
        <is>
          <t>523491/C</t>
        </is>
      </c>
      <c r="F238" s="109" t="inlineStr">
        <is>
          <t>1200/M</t>
        </is>
      </c>
      <c r="G238" s="109" t="inlineStr">
        <is>
          <t>10215992 ZMF704RC carica Tail in assorbimento  controllo funzionale</t>
        </is>
      </c>
      <c r="H238" s="111" t="n"/>
      <c r="I238" s="111" t="n"/>
      <c r="J238" s="111" t="n"/>
      <c r="K238" s="111" t="n"/>
      <c r="L238" s="111" t="n"/>
      <c r="M238" s="109" t="inlineStr">
        <is>
          <t>DA CHIUDERE</t>
        </is>
      </c>
      <c r="N238" s="109" t="n"/>
      <c r="O238" s="109" t="n"/>
      <c r="P238" s="109" t="n"/>
      <c r="Q238" s="109" t="n"/>
      <c r="R238" s="110" t="n"/>
      <c r="S238" s="110" t="n"/>
      <c r="T238" s="112">
        <f>IF(AND('Inserimento dati'!$B$3=$H$2, Tabella3[[#This Row],[LUN]]="X"), "X",IF(AND('Inserimento dati'!$B$3=$I$2, Tabella3[[#This Row],[MAR]]="X"), "X", IF(AND('Inserimento dati'!$B$3=$J$2, Tabella3[[#This Row],[MER]]="X"), "X",IF(AND('Inserimento dati'!$B$3=$K$2, Tabella3[[#This Row],[GIO]]="X"), "X", IF(AND('Inserimento dati'!$B$3=$L$2, Tabella3[[#This Row],[VEN]]="X"), "X","")))))</f>
        <v/>
      </c>
      <c r="U238" s="144">
        <f>IFERROR(MID(G238,_xlfn.AGGREGATE(15,6,(ROW(INDIRECT("1:"&amp;LEN(G238)-7)))/(ISNUMBER(--MID(G238,ROW(INDIRECT("1:"&amp;LEN(G238)-7)),8))),1),8),"")</f>
        <v/>
      </c>
      <c r="V238" t="inlineStr">
        <is>
          <t>2025-09-30 20:00:00</t>
        </is>
      </c>
    </row>
    <row r="239" ht="23.25" customFormat="1" customHeight="1" s="45">
      <c r="A239" s="112" t="n"/>
      <c r="B239" s="112" t="n">
        <v>4</v>
      </c>
      <c r="C239" s="112">
        <f>IF(OR(Tabella3[[#This Row],[LUN]]="X",Tabella3[[#This Row],[MAR]]="X",Tabella3[[#This Row],[MER]]="X",Tabella3[[#This Row],[GIO]]="X",Tabella3[[#This Row],[VEN]]="X",),"X","")</f>
        <v/>
      </c>
      <c r="D239" s="113" t="inlineStr">
        <is>
          <t>AREA 3</t>
        </is>
      </c>
      <c r="E239" s="109" t="inlineStr">
        <is>
          <t>523483/C</t>
        </is>
      </c>
      <c r="F239" s="109" t="inlineStr">
        <is>
          <t>1200/0</t>
        </is>
      </c>
      <c r="G239" s="109" t="inlineStr">
        <is>
          <t>10215992 1200/0 - Z0F150R(VAPORE BASSA PRESSIONE L1-L2-L3)   controllo funzionale</t>
        </is>
      </c>
      <c r="H239" s="111" t="n"/>
      <c r="I239" s="111" t="n"/>
      <c r="J239" s="111" t="n"/>
      <c r="K239" s="111" t="n"/>
      <c r="L239" s="111" t="n"/>
      <c r="M239" s="109" t="inlineStr">
        <is>
          <t>DA CHIUDERE</t>
        </is>
      </c>
      <c r="N239" s="109" t="n"/>
      <c r="O239" s="109" t="n"/>
      <c r="P239" s="109" t="n"/>
      <c r="Q239" s="109" t="n"/>
      <c r="R239" s="110" t="n"/>
      <c r="S239" s="110" t="n"/>
      <c r="T239" s="112">
        <f>IF(AND('Inserimento dati'!$B$3=$H$2, Tabella3[[#This Row],[LUN]]="X"), "X",IF(AND('Inserimento dati'!$B$3=$I$2, Tabella3[[#This Row],[MAR]]="X"), "X", IF(AND('Inserimento dati'!$B$3=$J$2, Tabella3[[#This Row],[MER]]="X"), "X",IF(AND('Inserimento dati'!$B$3=$K$2, Tabella3[[#This Row],[GIO]]="X"), "X", IF(AND('Inserimento dati'!$B$3=$L$2, Tabella3[[#This Row],[VEN]]="X"), "X","")))))</f>
        <v/>
      </c>
      <c r="U239" s="144">
        <f>IFERROR(MID(G239,_xlfn.AGGREGATE(15,6,(ROW(INDIRECT("1:"&amp;LEN(G239)-7)))/(ISNUMBER(--MID(G239,ROW(INDIRECT("1:"&amp;LEN(G239)-7)),8))),1),8),"")</f>
        <v/>
      </c>
      <c r="V239" t="inlineStr">
        <is>
          <t>2025-09-30 20:00:00</t>
        </is>
      </c>
    </row>
    <row r="240" ht="23.25" customFormat="1" customHeight="1" s="45">
      <c r="A240" s="112" t="n"/>
      <c r="B240" s="112" t="n">
        <v>4</v>
      </c>
      <c r="C240" s="112">
        <f>IF(OR(Tabella3[[#This Row],[LUN]]="X",Tabella3[[#This Row],[MAR]]="X",Tabella3[[#This Row],[MER]]="X",Tabella3[[#This Row],[GIO]]="X",Tabella3[[#This Row],[VEN]]="X",),"X","")</f>
        <v/>
      </c>
      <c r="D240" s="113" t="inlineStr">
        <is>
          <t>AREA 3</t>
        </is>
      </c>
      <c r="E240" s="109" t="inlineStr">
        <is>
          <t>523481/C</t>
        </is>
      </c>
      <c r="F240" s="109" t="inlineStr">
        <is>
          <t>1200/0</t>
        </is>
      </c>
      <c r="G240" s="109" t="inlineStr">
        <is>
          <t>10215992 1200/0 - Z0F157R(FG A L.B U1200) controllo funzionale</t>
        </is>
      </c>
      <c r="H240" s="111" t="n"/>
      <c r="I240" s="111" t="n"/>
      <c r="J240" s="111" t="n"/>
      <c r="K240" s="111" t="n"/>
      <c r="L240" s="111" t="n"/>
      <c r="M240" s="109" t="inlineStr">
        <is>
          <t>DA CHIUDERE</t>
        </is>
      </c>
      <c r="N240" s="109" t="n"/>
      <c r="O240" s="109" t="n"/>
      <c r="P240" s="109" t="n"/>
      <c r="Q240" s="109" t="n"/>
      <c r="R240" s="110" t="n"/>
      <c r="S240" s="110" t="n"/>
      <c r="T240" s="112">
        <f>IF(AND('Inserimento dati'!$B$3=$H$2, Tabella3[[#This Row],[LUN]]="X"), "X",IF(AND('Inserimento dati'!$B$3=$I$2, Tabella3[[#This Row],[MAR]]="X"), "X", IF(AND('Inserimento dati'!$B$3=$J$2, Tabella3[[#This Row],[MER]]="X"), "X",IF(AND('Inserimento dati'!$B$3=$K$2, Tabella3[[#This Row],[GIO]]="X"), "X", IF(AND('Inserimento dati'!$B$3=$L$2, Tabella3[[#This Row],[VEN]]="X"), "X","")))))</f>
        <v/>
      </c>
      <c r="U240" s="144">
        <f>IFERROR(MID(G240,_xlfn.AGGREGATE(15,6,(ROW(INDIRECT("1:"&amp;LEN(G240)-7)))/(ISNUMBER(--MID(G240,ROW(INDIRECT("1:"&amp;LEN(G240)-7)),8))),1),8),"")</f>
        <v/>
      </c>
      <c r="V240" t="inlineStr">
        <is>
          <t>2025-09-30 20:00:00</t>
        </is>
      </c>
    </row>
    <row r="241" ht="23.25" customFormat="1" customHeight="1" s="45">
      <c r="A241" s="112" t="n"/>
      <c r="B241" s="112" t="n">
        <v>4</v>
      </c>
      <c r="C241" s="112">
        <f>IF(OR(Tabella3[[#This Row],[LUN]]="X",Tabella3[[#This Row],[MAR]]="X",Tabella3[[#This Row],[MER]]="X",Tabella3[[#This Row],[GIO]]="X",Tabella3[[#This Row],[VEN]]="X",),"X","")</f>
        <v/>
      </c>
      <c r="D241" s="113" t="inlineStr">
        <is>
          <t>AREA 3</t>
        </is>
      </c>
      <c r="E241" s="109" t="inlineStr">
        <is>
          <t>523480/C</t>
        </is>
      </c>
      <c r="F241" s="109" t="inlineStr">
        <is>
          <t>1200/3</t>
        </is>
      </c>
      <c r="G241" s="109" t="inlineStr">
        <is>
          <t>10215992 1200/3 - Z3T502R.PV(1 letto catalitico R101 L3)  controllo funzionale</t>
        </is>
      </c>
      <c r="H241" s="111" t="n"/>
      <c r="I241" s="111" t="n"/>
      <c r="J241" s="111" t="n"/>
      <c r="K241" s="111" t="n"/>
      <c r="L241" s="111" t="n"/>
      <c r="M241" s="109" t="inlineStr">
        <is>
          <t>DA CHIUDERE</t>
        </is>
      </c>
      <c r="N241" s="109" t="n"/>
      <c r="O241" s="109" t="n"/>
      <c r="P241" s="109" t="n"/>
      <c r="Q241" s="109" t="n"/>
      <c r="R241" s="110" t="n"/>
      <c r="S241" s="110" t="n"/>
      <c r="T241" s="112">
        <f>IF(AND('Inserimento dati'!$B$3=$H$2, Tabella3[[#This Row],[LUN]]="X"), "X",IF(AND('Inserimento dati'!$B$3=$I$2, Tabella3[[#This Row],[MAR]]="X"), "X", IF(AND('Inserimento dati'!$B$3=$J$2, Tabella3[[#This Row],[MER]]="X"), "X",IF(AND('Inserimento dati'!$B$3=$K$2, Tabella3[[#This Row],[GIO]]="X"), "X", IF(AND('Inserimento dati'!$B$3=$L$2, Tabella3[[#This Row],[VEN]]="X"), "X","")))))</f>
        <v/>
      </c>
      <c r="U241" s="144">
        <f>IFERROR(MID(G241,_xlfn.AGGREGATE(15,6,(ROW(INDIRECT("1:"&amp;LEN(G241)-7)))/(ISNUMBER(--MID(G241,ROW(INDIRECT("1:"&amp;LEN(G241)-7)),8))),1),8),"")</f>
        <v/>
      </c>
      <c r="V241" t="inlineStr">
        <is>
          <t>2025-09-30 20:00:00</t>
        </is>
      </c>
    </row>
    <row r="242" ht="23.25" customFormat="1" customHeight="1" s="45">
      <c r="A242" s="112" t="n"/>
      <c r="B242" s="112" t="n">
        <v>4</v>
      </c>
      <c r="C242" s="112">
        <f>IF(OR(Tabella3[[#This Row],[LUN]]="X",Tabella3[[#This Row],[MAR]]="X",Tabella3[[#This Row],[MER]]="X",Tabella3[[#This Row],[GIO]]="X",Tabella3[[#This Row],[VEN]]="X",),"X","")</f>
        <v/>
      </c>
      <c r="D242" s="113" t="inlineStr">
        <is>
          <t>AREA 3</t>
        </is>
      </c>
      <c r="E242" s="109" t="inlineStr">
        <is>
          <t>523479/C</t>
        </is>
      </c>
      <c r="F242" s="109" t="inlineStr">
        <is>
          <t>1200/2</t>
        </is>
      </c>
      <c r="G242" s="109" t="inlineStr">
        <is>
          <t>10215992 1200/2 - Z2F201RC.PV(metano a F101 L2)    controllo funzionale</t>
        </is>
      </c>
      <c r="H242" s="111" t="n"/>
      <c r="I242" s="111" t="n"/>
      <c r="J242" s="111" t="n"/>
      <c r="K242" s="111" t="n"/>
      <c r="L242" s="111" t="n"/>
      <c r="M242" s="109" t="inlineStr">
        <is>
          <t>DA CHIUDERE</t>
        </is>
      </c>
      <c r="N242" s="109" t="n"/>
      <c r="O242" s="109" t="n"/>
      <c r="P242" s="109" t="n"/>
      <c r="Q242" s="109" t="n"/>
      <c r="R242" s="110" t="n"/>
      <c r="S242" s="110" t="n"/>
      <c r="T242" s="112">
        <f>IF(AND('Inserimento dati'!$B$3=$H$2, Tabella3[[#This Row],[LUN]]="X"), "X",IF(AND('Inserimento dati'!$B$3=$I$2, Tabella3[[#This Row],[MAR]]="X"), "X", IF(AND('Inserimento dati'!$B$3=$J$2, Tabella3[[#This Row],[MER]]="X"), "X",IF(AND('Inserimento dati'!$B$3=$K$2, Tabella3[[#This Row],[GIO]]="X"), "X", IF(AND('Inserimento dati'!$B$3=$L$2, Tabella3[[#This Row],[VEN]]="X"), "X","")))))</f>
        <v/>
      </c>
      <c r="U242" s="144">
        <f>IFERROR(MID(G242,_xlfn.AGGREGATE(15,6,(ROW(INDIRECT("1:"&amp;LEN(G242)-7)))/(ISNUMBER(--MID(G242,ROW(INDIRECT("1:"&amp;LEN(G242)-7)),8))),1),8),"")</f>
        <v/>
      </c>
      <c r="V242" t="inlineStr">
        <is>
          <t>2025-09-30 20:00:00</t>
        </is>
      </c>
    </row>
    <row r="243" ht="23.25" customFormat="1" customHeight="1" s="45">
      <c r="A243" s="112" t="n"/>
      <c r="B243" s="112" t="n">
        <v>4</v>
      </c>
      <c r="C243" s="112">
        <f>IF(OR(Tabella3[[#This Row],[LUN]]="X",Tabella3[[#This Row],[MAR]]="X",Tabella3[[#This Row],[MER]]="X",Tabella3[[#This Row],[GIO]]="X",Tabella3[[#This Row],[VEN]]="X",),"X","")</f>
        <v/>
      </c>
      <c r="D243" s="113" t="inlineStr">
        <is>
          <t>AREA 3</t>
        </is>
      </c>
      <c r="E243" s="109" t="inlineStr">
        <is>
          <t>523471/C</t>
        </is>
      </c>
      <c r="F243" s="109" t="n">
        <v>1100</v>
      </c>
      <c r="G243" s="109" t="inlineStr">
        <is>
          <t>10215991 1100 - P101DR.PV(DP FIL104) controllo funzionale</t>
        </is>
      </c>
      <c r="H243" s="111" t="n"/>
      <c r="I243" s="111" t="n"/>
      <c r="J243" s="111" t="n"/>
      <c r="K243" s="111" t="n"/>
      <c r="L243" s="111" t="n"/>
      <c r="M243" s="109" t="inlineStr">
        <is>
          <t>DA CHIUDERE</t>
        </is>
      </c>
      <c r="N243" s="109" t="n"/>
      <c r="O243" s="109" t="n"/>
      <c r="P243" s="109" t="n"/>
      <c r="Q243" s="109" t="n"/>
      <c r="R243" s="110" t="n"/>
      <c r="S243" s="110" t="n"/>
      <c r="T243" s="112">
        <f>IF(AND('Inserimento dati'!$B$3=$H$2, Tabella3[[#This Row],[LUN]]="X"), "X",IF(AND('Inserimento dati'!$B$3=$I$2, Tabella3[[#This Row],[MAR]]="X"), "X", IF(AND('Inserimento dati'!$B$3=$J$2, Tabella3[[#This Row],[MER]]="X"), "X",IF(AND('Inserimento dati'!$B$3=$K$2, Tabella3[[#This Row],[GIO]]="X"), "X", IF(AND('Inserimento dati'!$B$3=$L$2, Tabella3[[#This Row],[VEN]]="X"), "X","")))))</f>
        <v/>
      </c>
      <c r="U243" s="144">
        <f>IFERROR(MID(G243,_xlfn.AGGREGATE(15,6,(ROW(INDIRECT("1:"&amp;LEN(G243)-7)))/(ISNUMBER(--MID(G243,ROW(INDIRECT("1:"&amp;LEN(G243)-7)),8))),1),8),"")</f>
        <v/>
      </c>
      <c r="V243" t="inlineStr">
        <is>
          <t>2025-09-30 20:00:00</t>
        </is>
      </c>
    </row>
    <row r="244" ht="23.25" customFormat="1" customHeight="1" s="45">
      <c r="A244" s="112" t="n"/>
      <c r="B244" s="112" t="n">
        <v>4</v>
      </c>
      <c r="C244" s="112">
        <f>IF(OR(Tabella3[[#This Row],[LUN]]="X",Tabella3[[#This Row],[MAR]]="X",Tabella3[[#This Row],[MER]]="X",Tabella3[[#This Row],[GIO]]="X",Tabella3[[#This Row],[VEN]]="X",),"X","")</f>
        <v/>
      </c>
      <c r="D244" s="113" t="inlineStr">
        <is>
          <t>AREA 3</t>
        </is>
      </c>
      <c r="E244" s="109" t="inlineStr">
        <is>
          <t>523467/C</t>
        </is>
      </c>
      <c r="F244" s="109" t="n">
        <v>1100</v>
      </c>
      <c r="G244" s="109" t="inlineStr">
        <is>
          <t>10215991 1100 - F003R(MDEA DA U700 A D104) controllo funzionale</t>
        </is>
      </c>
      <c r="H244" s="111" t="n"/>
      <c r="I244" s="111" t="n"/>
      <c r="J244" s="111" t="n"/>
      <c r="K244" s="111" t="n"/>
      <c r="L244" s="111" t="n"/>
      <c r="M244" s="109" t="inlineStr">
        <is>
          <t>DA CHIUDERE</t>
        </is>
      </c>
      <c r="N244" s="109" t="n"/>
      <c r="O244" s="109" t="n"/>
      <c r="P244" s="109" t="n"/>
      <c r="Q244" s="109" t="n"/>
      <c r="R244" s="110" t="n"/>
      <c r="S244" s="110" t="n"/>
      <c r="T244" s="112">
        <f>IF(AND('Inserimento dati'!$B$3=$H$2, Tabella3[[#This Row],[LUN]]="X"), "X",IF(AND('Inserimento dati'!$B$3=$I$2, Tabella3[[#This Row],[MAR]]="X"), "X", IF(AND('Inserimento dati'!$B$3=$J$2, Tabella3[[#This Row],[MER]]="X"), "X",IF(AND('Inserimento dati'!$B$3=$K$2, Tabella3[[#This Row],[GIO]]="X"), "X", IF(AND('Inserimento dati'!$B$3=$L$2, Tabella3[[#This Row],[VEN]]="X"), "X","")))))</f>
        <v/>
      </c>
      <c r="U244" s="144">
        <f>IFERROR(MID(G244,_xlfn.AGGREGATE(15,6,(ROW(INDIRECT("1:"&amp;LEN(G244)-7)))/(ISNUMBER(--MID(G244,ROW(INDIRECT("1:"&amp;LEN(G244)-7)),8))),1),8),"")</f>
        <v/>
      </c>
      <c r="V244" t="inlineStr">
        <is>
          <t>2025-09-30 20:00:00</t>
        </is>
      </c>
    </row>
    <row r="245" ht="23.25" customFormat="1" customHeight="1" s="45">
      <c r="A245" s="112" t="n"/>
      <c r="B245" s="112" t="n">
        <v>4</v>
      </c>
      <c r="C245" s="112">
        <f>IF(OR(Tabella3[[#This Row],[LUN]]="X",Tabella3[[#This Row],[MAR]]="X",Tabella3[[#This Row],[MER]]="X",Tabella3[[#This Row],[GIO]]="X",Tabella3[[#This Row],[VEN]]="X",),"X","")</f>
        <v/>
      </c>
      <c r="D245" s="113" t="inlineStr">
        <is>
          <t>AREA 3</t>
        </is>
      </c>
      <c r="E245" s="109" t="inlineStr">
        <is>
          <t>523113/C</t>
        </is>
      </c>
      <c r="F245" s="109" t="inlineStr">
        <is>
          <t>700A</t>
        </is>
      </c>
      <c r="G245" s="109" t="inlineStr">
        <is>
          <t>10215761 700 - 07F320RC - U700A  Verifica funzionalit misuratore di portata riciclo</t>
        </is>
      </c>
      <c r="H245" s="111" t="n"/>
      <c r="I245" s="111" t="n"/>
      <c r="J245" s="111" t="n"/>
      <c r="K245" s="111" t="n"/>
      <c r="L245" s="111" t="n"/>
      <c r="M245" s="109" t="inlineStr">
        <is>
          <t>DA CHIUDERE</t>
        </is>
      </c>
      <c r="N245" s="109" t="n"/>
      <c r="O245" s="109" t="n"/>
      <c r="P245" s="109" t="n"/>
      <c r="Q245" s="109" t="n"/>
      <c r="R245" s="110" t="n"/>
      <c r="S245" s="109" t="n"/>
      <c r="T245" s="112">
        <f>IF(AND('Inserimento dati'!$B$3=$H$2, Tabella3[[#This Row],[LUN]]="X"), "X",IF(AND('Inserimento dati'!$B$3=$I$2, Tabella3[[#This Row],[MAR]]="X"), "X", IF(AND('Inserimento dati'!$B$3=$J$2, Tabella3[[#This Row],[MER]]="X"), "X",IF(AND('Inserimento dati'!$B$3=$K$2, Tabella3[[#This Row],[GIO]]="X"), "X", IF(AND('Inserimento dati'!$B$3=$L$2, Tabella3[[#This Row],[VEN]]="X"), "X","")))))</f>
        <v/>
      </c>
      <c r="U245" s="144">
        <f>IFERROR(MID(G245,_xlfn.AGGREGATE(15,6,(ROW(INDIRECT("1:"&amp;LEN(G245)-7)))/(ISNUMBER(--MID(G245,ROW(INDIRECT("1:"&amp;LEN(G245)-7)),8))),1),8),"")</f>
        <v/>
      </c>
      <c r="V245" t="inlineStr">
        <is>
          <t>2025-09-30 20:00:00</t>
        </is>
      </c>
    </row>
    <row r="246" ht="23.25" customFormat="1" customHeight="1" s="45">
      <c r="A246" s="112" t="n"/>
      <c r="B246" s="112" t="n">
        <v>4</v>
      </c>
      <c r="C246" s="112">
        <f>IF(OR(Tabella3[[#This Row],[LUN]]="X",Tabella3[[#This Row],[MAR]]="X",Tabella3[[#This Row],[MER]]="X",Tabella3[[#This Row],[GIO]]="X",Tabella3[[#This Row],[VEN]]="X",),"X","")</f>
        <v/>
      </c>
      <c r="D246" s="113" t="inlineStr">
        <is>
          <t>AREA 3</t>
        </is>
      </c>
      <c r="E246" s="109" t="inlineStr">
        <is>
          <t>525258/C</t>
        </is>
      </c>
      <c r="F246" s="109" t="n">
        <v>700</v>
      </c>
      <c r="G246" s="109" t="inlineStr">
        <is>
          <t xml:space="preserve">10209347 700 - F300RC -TARATURA </t>
        </is>
      </c>
      <c r="H246" s="111" t="n"/>
      <c r="I246" s="111" t="n"/>
      <c r="J246" s="111" t="n"/>
      <c r="K246" s="111" t="n"/>
      <c r="L246" s="111" t="n"/>
      <c r="M246" s="109" t="inlineStr">
        <is>
          <t>DA CHIUDERE</t>
        </is>
      </c>
      <c r="N246" s="109" t="n"/>
      <c r="O246" s="109" t="n"/>
      <c r="P246" s="109" t="n"/>
      <c r="Q246" s="109" t="n"/>
      <c r="R246" s="110" t="n"/>
      <c r="S246" s="109" t="n"/>
      <c r="T246" s="116">
        <f>IF(AND('Inserimento dati'!$B$3=$H$2, Tabella3[[#This Row],[LUN]]="X"), "X",IF(AND('Inserimento dati'!$B$3=$I$2, Tabella3[[#This Row],[MAR]]="X"), "X", IF(AND('Inserimento dati'!$B$3=$J$2, Tabella3[[#This Row],[MER]]="X"), "X",IF(AND('Inserimento dati'!$B$3=$K$2, Tabella3[[#This Row],[GIO]]="X"), "X", IF(AND('Inserimento dati'!$B$3=$L$2, Tabella3[[#This Row],[VEN]]="X"), "X","")))))</f>
        <v/>
      </c>
      <c r="U246" s="144">
        <f>IFERROR(MID(G246,_xlfn.AGGREGATE(15,6,(ROW(INDIRECT("1:"&amp;LEN(G246)-7)))/(ISNUMBER(--MID(G246,ROW(INDIRECT("1:"&amp;LEN(G246)-7)),8))),1),8),"")</f>
        <v/>
      </c>
      <c r="V246" t="inlineStr">
        <is>
          <t>2025-09-30 20:00:00</t>
        </is>
      </c>
    </row>
    <row r="247" ht="23.25" customFormat="1" customHeight="1" s="45">
      <c r="A247" s="112" t="n"/>
      <c r="B247" s="112" t="n">
        <v>4</v>
      </c>
      <c r="C247" s="112">
        <f>IF(OR(Tabella3[[#This Row],[LUN]]="X",Tabella3[[#This Row],[MAR]]="X",Tabella3[[#This Row],[MER]]="X",Tabella3[[#This Row],[GIO]]="X",Tabella3[[#This Row],[VEN]]="X",),"X","")</f>
        <v/>
      </c>
      <c r="D247" s="113" t="inlineStr">
        <is>
          <t>AREA 3</t>
        </is>
      </c>
      <c r="E247" s="109" t="inlineStr">
        <is>
          <t>525380/C</t>
        </is>
      </c>
      <c r="F247" s="109" t="n">
        <v>1100</v>
      </c>
      <c r="G247" s="109" t="inlineStr">
        <is>
          <t xml:space="preserve"> 1100 - D102 controllo allarmi alto e altissimo livello   (11L004SH  11L005HA)</t>
        </is>
      </c>
      <c r="H247" s="111" t="n"/>
      <c r="I247" s="111" t="n"/>
      <c r="J247" s="111" t="n"/>
      <c r="K247" s="111" t="n"/>
      <c r="L247" s="111" t="n"/>
      <c r="M247" s="109" t="inlineStr">
        <is>
          <t>DA CHIUDERE</t>
        </is>
      </c>
      <c r="N247" s="109" t="n"/>
      <c r="O247" s="109" t="n"/>
      <c r="P247" s="109" t="n"/>
      <c r="Q247" s="109" t="n"/>
      <c r="R247" s="110" t="n"/>
      <c r="S247" s="109" t="n"/>
      <c r="T247" s="116">
        <f>IF(AND('Inserimento dati'!$B$3=$H$2, Tabella3[[#This Row],[LUN]]="X"), "X",IF(AND('Inserimento dati'!$B$3=$I$2, Tabella3[[#This Row],[MAR]]="X"), "X", IF(AND('Inserimento dati'!$B$3=$J$2, Tabella3[[#This Row],[MER]]="X"), "X",IF(AND('Inserimento dati'!$B$3=$K$2, Tabella3[[#This Row],[GIO]]="X"), "X", IF(AND('Inserimento dati'!$B$3=$L$2, Tabella3[[#This Row],[VEN]]="X"), "X","")))))</f>
        <v/>
      </c>
      <c r="U247" s="144">
        <f>IFERROR(MID(G247,_xlfn.AGGREGATE(15,6,(ROW(INDIRECT("1:"&amp;LEN(G247)-7)))/(ISNUMBER(--MID(G247,ROW(INDIRECT("1:"&amp;LEN(G247)-7)),8))),1),8),"")</f>
        <v/>
      </c>
      <c r="V247" t="inlineStr">
        <is>
          <t>2025-09-30 20:00:00</t>
        </is>
      </c>
    </row>
    <row r="248" ht="23.25" customFormat="1" customHeight="1" s="45">
      <c r="A248" s="112" t="n"/>
      <c r="B248" s="112" t="n">
        <v>4</v>
      </c>
      <c r="C248" s="112">
        <f>IF(OR(Tabella3[[#This Row],[LUN]]="X",Tabella3[[#This Row],[MAR]]="X",Tabella3[[#This Row],[MER]]="X",Tabella3[[#This Row],[GIO]]="X",Tabella3[[#This Row],[VEN]]="X",),"X","")</f>
        <v/>
      </c>
      <c r="D248" s="113" t="inlineStr">
        <is>
          <t>AREA 3</t>
        </is>
      </c>
      <c r="E248" s="109" t="inlineStr">
        <is>
          <t>528881/C</t>
        </is>
      </c>
      <c r="F248" s="109" t="n">
        <v>1800</v>
      </c>
      <c r="G248" s="109" t="inlineStr">
        <is>
          <t xml:space="preserve">10219447 700A - VERIFICA PRC210 </t>
        </is>
      </c>
      <c r="H248" s="111" t="n"/>
      <c r="I248" s="111" t="n"/>
      <c r="J248" s="111" t="n"/>
      <c r="K248" s="111" t="n"/>
      <c r="L248" s="111" t="n"/>
      <c r="M248" s="109" t="inlineStr">
        <is>
          <t>DA CHIUDERE</t>
        </is>
      </c>
      <c r="N248" s="109" t="n"/>
      <c r="O248" s="109" t="n"/>
      <c r="P248" s="109" t="n"/>
      <c r="Q248" s="109" t="n"/>
      <c r="R248" s="110" t="n"/>
      <c r="S248" s="109" t="n"/>
      <c r="T248" s="116">
        <f>IF(AND('Inserimento dati'!$B$3=$H$2, Tabella3[[#This Row],[LUN]]="X"), "X",IF(AND('Inserimento dati'!$B$3=$I$2, Tabella3[[#This Row],[MAR]]="X"), "X", IF(AND('Inserimento dati'!$B$3=$J$2, Tabella3[[#This Row],[MER]]="X"), "X",IF(AND('Inserimento dati'!$B$3=$K$2, Tabella3[[#This Row],[GIO]]="X"), "X", IF(AND('Inserimento dati'!$B$3=$L$2, Tabella3[[#This Row],[VEN]]="X"), "X","")))))</f>
        <v/>
      </c>
      <c r="U248" s="144">
        <f>IFERROR(MID(G248,_xlfn.AGGREGATE(15,6,(ROW(INDIRECT("1:"&amp;LEN(G248)-7)))/(ISNUMBER(--MID(G248,ROW(INDIRECT("1:"&amp;LEN(G248)-7)),8))),1),8),"")</f>
        <v/>
      </c>
      <c r="V248" t="inlineStr">
        <is>
          <t>2025-09-30 20:00:00</t>
        </is>
      </c>
    </row>
    <row r="249" ht="30" customFormat="1" customHeight="1" s="45">
      <c r="A249" s="112" t="n"/>
      <c r="B249" s="112" t="n">
        <v>4</v>
      </c>
      <c r="C249" s="112">
        <f>IF(OR(Tabella3[[#This Row],[LUN]]="X",Tabella3[[#This Row],[MAR]]="X",Tabella3[[#This Row],[MER]]="X",Tabella3[[#This Row],[GIO]]="X",Tabella3[[#This Row],[VEN]]="X",),"X","")</f>
        <v/>
      </c>
      <c r="D249" s="113" t="inlineStr">
        <is>
          <t>AREA 3</t>
        </is>
      </c>
      <c r="E249" s="109" t="inlineStr">
        <is>
          <t>528903/C</t>
        </is>
      </c>
      <c r="F249" s="109" t="n">
        <v>700</v>
      </c>
      <c r="G249" s="109" t="inlineStr">
        <is>
          <t>10219474 700 - controllo termocoppie 07T196I -07T195I -07T171R -07T052AI -07T170I -07T301I -07T045I</t>
        </is>
      </c>
      <c r="H249" s="111" t="n"/>
      <c r="I249" s="111" t="n"/>
      <c r="J249" s="111" t="n"/>
      <c r="K249" s="111" t="n"/>
      <c r="L249" s="111" t="n"/>
      <c r="M249" s="109" t="inlineStr">
        <is>
          <t>DA CHIUDERE</t>
        </is>
      </c>
      <c r="N249" s="109" t="n"/>
      <c r="O249" s="109" t="n"/>
      <c r="P249" s="109" t="n"/>
      <c r="Q249" s="109" t="n"/>
      <c r="R249" s="110" t="n"/>
      <c r="S249" s="109" t="n"/>
      <c r="T249" s="116">
        <f>IF(AND('Inserimento dati'!$B$3=$H$2, Tabella3[[#This Row],[LUN]]="X"), "X",IF(AND('Inserimento dati'!$B$3=$I$2, Tabella3[[#This Row],[MAR]]="X"), "X", IF(AND('Inserimento dati'!$B$3=$J$2, Tabella3[[#This Row],[MER]]="X"), "X",IF(AND('Inserimento dati'!$B$3=$K$2, Tabella3[[#This Row],[GIO]]="X"), "X", IF(AND('Inserimento dati'!$B$3=$L$2, Tabella3[[#This Row],[VEN]]="X"), "X","")))))</f>
        <v/>
      </c>
      <c r="U249" s="144">
        <f>IFERROR(MID(G249,_xlfn.AGGREGATE(15,6,(ROW(INDIRECT("1:"&amp;LEN(G249)-7)))/(ISNUMBER(--MID(G249,ROW(INDIRECT("1:"&amp;LEN(G249)-7)),8))),1),8),"")</f>
        <v/>
      </c>
      <c r="V249" t="inlineStr">
        <is>
          <t>2025-09-30 20:00:00</t>
        </is>
      </c>
    </row>
    <row r="250" ht="23.25" customFormat="1" customHeight="1" s="45">
      <c r="A250" s="112" t="n"/>
      <c r="B250" s="112" t="n">
        <v>4</v>
      </c>
      <c r="C250" s="112">
        <f>IF(OR(Tabella3[[#This Row],[LUN]]="X",Tabella3[[#This Row],[MAR]]="X",Tabella3[[#This Row],[MER]]="X",Tabella3[[#This Row],[GIO]]="X",Tabella3[[#This Row],[VEN]]="X",),"X","")</f>
        <v/>
      </c>
      <c r="D250" s="113" t="inlineStr">
        <is>
          <t>AREA 3</t>
        </is>
      </c>
      <c r="E250" s="109" t="inlineStr">
        <is>
          <t>531035/C</t>
        </is>
      </c>
      <c r="F250" s="109" t="n">
        <v>700</v>
      </c>
      <c r="G250" s="109" t="inlineStr">
        <is>
          <t xml:space="preserve"> 700 - 07P101CLA ripristino funzionamento del pressostato</t>
        </is>
      </c>
      <c r="H250" s="111" t="n"/>
      <c r="I250" s="111" t="n"/>
      <c r="J250" s="111" t="n"/>
      <c r="K250" s="111" t="n"/>
      <c r="L250" s="111" t="n"/>
      <c r="M250" s="109" t="inlineStr">
        <is>
          <t>DA CHIUDERE</t>
        </is>
      </c>
      <c r="N250" s="109" t="n"/>
      <c r="O250" s="109" t="n"/>
      <c r="P250" s="109" t="n"/>
      <c r="Q250" s="109" t="n"/>
      <c r="R250" s="110" t="n"/>
      <c r="S250" s="109" t="n"/>
      <c r="T250" s="116">
        <f>IF(AND('Inserimento dati'!$B$3=$H$2, Tabella3[[#This Row],[LUN]]="X"), "X",IF(AND('Inserimento dati'!$B$3=$I$2, Tabella3[[#This Row],[MAR]]="X"), "X", IF(AND('Inserimento dati'!$B$3=$J$2, Tabella3[[#This Row],[MER]]="X"), "X",IF(AND('Inserimento dati'!$B$3=$K$2, Tabella3[[#This Row],[GIO]]="X"), "X", IF(AND('Inserimento dati'!$B$3=$L$2, Tabella3[[#This Row],[VEN]]="X"), "X","")))))</f>
        <v/>
      </c>
      <c r="U250" s="144">
        <f>IFERROR(MID(G250,_xlfn.AGGREGATE(15,6,(ROW(INDIRECT("1:"&amp;LEN(G250)-7)))/(ISNUMBER(--MID(G250,ROW(INDIRECT("1:"&amp;LEN(G250)-7)),8))),1),8),"")</f>
        <v/>
      </c>
      <c r="V250" t="inlineStr">
        <is>
          <t>2025-09-30 20:00:00</t>
        </is>
      </c>
    </row>
    <row r="251" ht="23.25" customFormat="1" customHeight="1" s="45">
      <c r="A251" s="112" t="n"/>
      <c r="B251" s="112" t="n">
        <v>4</v>
      </c>
      <c r="C251" s="112">
        <f>IF(OR(Tabella3[[#This Row],[LUN]]="X",Tabella3[[#This Row],[MAR]]="X",Tabella3[[#This Row],[MER]]="X",Tabella3[[#This Row],[GIO]]="X",Tabella3[[#This Row],[VEN]]="X",),"X","")</f>
        <v/>
      </c>
      <c r="D251" s="113" t="inlineStr">
        <is>
          <t>AREA 3</t>
        </is>
      </c>
      <c r="E251" s="109" t="inlineStr">
        <is>
          <t>531790/C</t>
        </is>
      </c>
      <c r="F251" s="109" t="n">
        <v>2200</v>
      </c>
      <c r="G251" s="109" t="inlineStr">
        <is>
          <t>10221416 2200 - RIPRISTINO LIVELLI (SE POSSIBILE PER DOMANI)-22L303I / 22L301I</t>
        </is>
      </c>
      <c r="H251" s="111" t="n"/>
      <c r="I251" s="111" t="n"/>
      <c r="J251" s="111" t="n"/>
      <c r="K251" s="111" t="n"/>
      <c r="L251" s="111" t="n"/>
      <c r="M251" s="109" t="inlineStr">
        <is>
          <t>DA CHIUDERE</t>
        </is>
      </c>
      <c r="N251" s="109" t="n"/>
      <c r="O251" s="109" t="n"/>
      <c r="P251" s="109" t="n"/>
      <c r="Q251" s="109" t="n"/>
      <c r="R251" s="110" t="n"/>
      <c r="S251" s="109" t="n"/>
      <c r="T251" s="116">
        <f>IF(AND('Inserimento dati'!$B$3=$H$2, Tabella3[[#This Row],[LUN]]="X"), "X",IF(AND('Inserimento dati'!$B$3=$I$2, Tabella3[[#This Row],[MAR]]="X"), "X", IF(AND('Inserimento dati'!$B$3=$J$2, Tabella3[[#This Row],[MER]]="X"), "X",IF(AND('Inserimento dati'!$B$3=$K$2, Tabella3[[#This Row],[GIO]]="X"), "X", IF(AND('Inserimento dati'!$B$3=$L$2, Tabella3[[#This Row],[VEN]]="X"), "X","")))))</f>
        <v/>
      </c>
      <c r="U251" s="144">
        <f>IFERROR(MID(G251,_xlfn.AGGREGATE(15,6,(ROW(INDIRECT("1:"&amp;LEN(G251)-7)))/(ISNUMBER(--MID(G251,ROW(INDIRECT("1:"&amp;LEN(G251)-7)),8))),1),8),"")</f>
        <v/>
      </c>
      <c r="V251" t="inlineStr">
        <is>
          <t>2025-09-30 20:00:00</t>
        </is>
      </c>
    </row>
    <row r="252" ht="23.25" customFormat="1" customHeight="1" s="45">
      <c r="A252" s="112" t="n"/>
      <c r="B252" s="112" t="n">
        <v>4</v>
      </c>
      <c r="C252" s="112">
        <f>IF(OR(Tabella3[[#This Row],[LUN]]="X",Tabella3[[#This Row],[MAR]]="X",Tabella3[[#This Row],[MER]]="X",Tabella3[[#This Row],[GIO]]="X",Tabella3[[#This Row],[VEN]]="X",),"X","")</f>
        <v/>
      </c>
      <c r="D252" s="113" t="inlineStr">
        <is>
          <t>AREA 3</t>
        </is>
      </c>
      <c r="E252" s="109" t="inlineStr">
        <is>
          <t>533105/C</t>
        </is>
      </c>
      <c r="F252" s="109" t="n">
        <v>1800</v>
      </c>
      <c r="G252" s="109" t="inlineStr">
        <is>
          <t>10222033 1800 - VERIFICA LIVELLO 18L109R</t>
        </is>
      </c>
      <c r="H252" s="111" t="n"/>
      <c r="I252" s="111" t="n"/>
      <c r="J252" s="111" t="n"/>
      <c r="K252" s="111" t="n"/>
      <c r="L252" s="111" t="n"/>
      <c r="M252" s="109" t="inlineStr">
        <is>
          <t>DA CHIUDERE</t>
        </is>
      </c>
      <c r="N252" s="109" t="n"/>
      <c r="O252" s="109" t="n"/>
      <c r="P252" s="109" t="n"/>
      <c r="Q252" s="109" t="n"/>
      <c r="R252" s="110" t="n"/>
      <c r="S252" s="109" t="n"/>
      <c r="T252" s="116">
        <f>IF(AND('Inserimento dati'!$B$3=$H$2, Tabella3[[#This Row],[LUN]]="X"), "X",IF(AND('Inserimento dati'!$B$3=$I$2, Tabella3[[#This Row],[MAR]]="X"), "X", IF(AND('Inserimento dati'!$B$3=$J$2, Tabella3[[#This Row],[MER]]="X"), "X",IF(AND('Inserimento dati'!$B$3=$K$2, Tabella3[[#This Row],[GIO]]="X"), "X", IF(AND('Inserimento dati'!$B$3=$L$2, Tabella3[[#This Row],[VEN]]="X"), "X","")))))</f>
        <v/>
      </c>
      <c r="U252" s="144">
        <f>IFERROR(MID(G252,_xlfn.AGGREGATE(15,6,(ROW(INDIRECT("1:"&amp;LEN(G252)-7)))/(ISNUMBER(--MID(G252,ROW(INDIRECT("1:"&amp;LEN(G252)-7)),8))),1),8),"")</f>
        <v/>
      </c>
      <c r="V252" t="inlineStr">
        <is>
          <t>2025-09-30 20:00:00</t>
        </is>
      </c>
    </row>
    <row r="253" ht="30" customFormat="1" customHeight="1" s="45">
      <c r="A253" s="112" t="n"/>
      <c r="B253" s="112" t="n">
        <v>4</v>
      </c>
      <c r="C253" s="112">
        <f>IF(OR(Tabella3[[#This Row],[LUN]]="X",Tabella3[[#This Row],[MAR]]="X",Tabella3[[#This Row],[MER]]="X",Tabella3[[#This Row],[GIO]]="X",Tabella3[[#This Row],[VEN]]="X",),"X","")</f>
        <v/>
      </c>
      <c r="D253" s="113" t="inlineStr">
        <is>
          <t>AREA 3</t>
        </is>
      </c>
      <c r="E253" s="109" t="inlineStr">
        <is>
          <t>533216/C</t>
        </is>
      </c>
      <c r="F253" s="109" t="inlineStr">
        <is>
          <t>700A</t>
        </is>
      </c>
      <c r="G253" s="109" t="inlineStr">
        <is>
          <t xml:space="preserve"> 700A - VERIFICA SEGNALI DI TEMPERATURA DALLA JB TH6 IN SALA CONTROLLO  07TRIS20 T305I T303I T304I</t>
        </is>
      </c>
      <c r="H253" s="111" t="n"/>
      <c r="I253" s="111" t="n"/>
      <c r="J253" s="111" t="n"/>
      <c r="K253" s="111" t="n"/>
      <c r="L253" s="111" t="n"/>
      <c r="M253" s="109" t="inlineStr">
        <is>
          <t>DA CHIUDERE</t>
        </is>
      </c>
      <c r="N253" s="109" t="n"/>
      <c r="O253" s="109" t="n"/>
      <c r="P253" s="109" t="n"/>
      <c r="Q253" s="109" t="n"/>
      <c r="R253" s="110" t="n"/>
      <c r="S253" s="109" t="n"/>
      <c r="T253" s="116">
        <f>IF(AND('Inserimento dati'!$B$3=$H$2, Tabella3[[#This Row],[LUN]]="X"), "X",IF(AND('Inserimento dati'!$B$3=$I$2, Tabella3[[#This Row],[MAR]]="X"), "X", IF(AND('Inserimento dati'!$B$3=$J$2, Tabella3[[#This Row],[MER]]="X"), "X",IF(AND('Inserimento dati'!$B$3=$K$2, Tabella3[[#This Row],[GIO]]="X"), "X", IF(AND('Inserimento dati'!$B$3=$L$2, Tabella3[[#This Row],[VEN]]="X"), "X","")))))</f>
        <v/>
      </c>
      <c r="U253" s="144">
        <f>IFERROR(MID(G253,_xlfn.AGGREGATE(15,6,(ROW(INDIRECT("1:"&amp;LEN(G253)-7)))/(ISNUMBER(--MID(G253,ROW(INDIRECT("1:"&amp;LEN(G253)-7)),8))),1),8),"")</f>
        <v/>
      </c>
      <c r="V253" t="inlineStr">
        <is>
          <t>2025-09-30 20:00:00</t>
        </is>
      </c>
    </row>
    <row r="254" ht="23.25" customFormat="1" customHeight="1" s="45">
      <c r="A254" s="112" t="n"/>
      <c r="B254" s="112" t="n">
        <v>4</v>
      </c>
      <c r="C254" s="112">
        <f>IF(OR(Tabella3[[#This Row],[LUN]]="X",Tabella3[[#This Row],[MAR]]="X",Tabella3[[#This Row],[MER]]="X",Tabella3[[#This Row],[GIO]]="X",Tabella3[[#This Row],[VEN]]="X",),"X","")</f>
        <v/>
      </c>
      <c r="D254" s="113" t="inlineStr">
        <is>
          <t>AREA 3</t>
        </is>
      </c>
      <c r="E254" s="109" t="inlineStr">
        <is>
          <t>534058/C</t>
        </is>
      </c>
      <c r="F254" s="109" t="inlineStr">
        <is>
          <t>700A</t>
        </is>
      </c>
      <c r="G254" s="109" t="inlineStr">
        <is>
          <t>10215887 700A - PCV212 non apre oltre il 20%  ripristino funzionalit LOOP di regolazione</t>
        </is>
      </c>
      <c r="H254" s="111" t="n"/>
      <c r="I254" s="111" t="n"/>
      <c r="J254" s="111" t="n"/>
      <c r="K254" s="111" t="n"/>
      <c r="L254" s="111" t="n"/>
      <c r="M254" s="109" t="inlineStr">
        <is>
          <t>DA CHIUDERE</t>
        </is>
      </c>
      <c r="N254" s="110" t="inlineStr">
        <is>
          <t>X</t>
        </is>
      </c>
      <c r="O254" s="110" t="n"/>
      <c r="P254" s="110" t="n"/>
      <c r="Q254" s="110" t="inlineStr">
        <is>
          <t>ELIMINATA DALLA PROGRAMMAZIONE</t>
        </is>
      </c>
      <c r="R254" s="110" t="n"/>
      <c r="S254" s="110" t="n"/>
      <c r="T254" s="116">
        <f>IF(AND('Inserimento dati'!$B$3=$H$2, Tabella3[[#This Row],[LUN]]="X"), "X",IF(AND('Inserimento dati'!$B$3=$I$2, Tabella3[[#This Row],[MAR]]="X"), "X", IF(AND('Inserimento dati'!$B$3=$J$2, Tabella3[[#This Row],[MER]]="X"), "X",IF(AND('Inserimento dati'!$B$3=$K$2, Tabella3[[#This Row],[GIO]]="X"), "X", IF(AND('Inserimento dati'!$B$3=$L$2, Tabella3[[#This Row],[VEN]]="X"), "X","")))))</f>
        <v/>
      </c>
      <c r="U254" s="144">
        <f>IFERROR(MID(G254,_xlfn.AGGREGATE(15,6,(ROW(INDIRECT("1:"&amp;LEN(G254)-7)))/(ISNUMBER(--MID(G254,ROW(INDIRECT("1:"&amp;LEN(G254)-7)),8))),1),8),"")</f>
        <v/>
      </c>
      <c r="V254" t="inlineStr">
        <is>
          <t>2025-09-30 20:00:00</t>
        </is>
      </c>
    </row>
    <row r="255" ht="23.25" customFormat="1" customHeight="1" s="45">
      <c r="A255" s="112" t="n"/>
      <c r="B255" s="112" t="n">
        <v>4</v>
      </c>
      <c r="C255" s="112">
        <f>IF(OR(Tabella3[[#This Row],[LUN]]="X",Tabella3[[#This Row],[MAR]]="X",Tabella3[[#This Row],[MER]]="X",Tabella3[[#This Row],[GIO]]="X",Tabella3[[#This Row],[VEN]]="X",),"X","")</f>
        <v/>
      </c>
      <c r="D255" s="113" t="inlineStr">
        <is>
          <t>AREA 3</t>
        </is>
      </c>
      <c r="E255" s="109" t="inlineStr">
        <is>
          <t>532174/C</t>
        </is>
      </c>
      <c r="F255" s="109" t="n">
        <v>1100</v>
      </c>
      <c r="G255" s="109" t="inlineStr">
        <is>
          <t>10215991 1100 - T007R(TEMPERATURA ME108) controllo funzionale</t>
        </is>
      </c>
      <c r="H255" s="111" t="n"/>
      <c r="I255" s="111" t="n"/>
      <c r="J255" s="111" t="n"/>
      <c r="K255" s="111" t="n"/>
      <c r="L255" s="111" t="n"/>
      <c r="M255" s="109" t="inlineStr">
        <is>
          <t>DA CHIUDERE</t>
        </is>
      </c>
      <c r="N255" s="109" t="n"/>
      <c r="O255" s="109" t="n"/>
      <c r="P255" s="109" t="n"/>
      <c r="Q255" s="109" t="n"/>
      <c r="R255" s="110" t="n"/>
      <c r="S255" s="110" t="n"/>
      <c r="T255" s="112">
        <f>IF(AND('Inserimento dati'!$B$3=$H$2, Tabella3[[#This Row],[LUN]]="X"), "X",IF(AND('Inserimento dati'!$B$3=$I$2, Tabella3[[#This Row],[MAR]]="X"), "X", IF(AND('Inserimento dati'!$B$3=$J$2, Tabella3[[#This Row],[MER]]="X"), "X",IF(AND('Inserimento dati'!$B$3=$K$2, Tabella3[[#This Row],[GIO]]="X"), "X", IF(AND('Inserimento dati'!$B$3=$L$2, Tabella3[[#This Row],[VEN]]="X"), "X","")))))</f>
        <v/>
      </c>
      <c r="U255" s="144">
        <f>IFERROR(MID(G255,_xlfn.AGGREGATE(15,6,(ROW(INDIRECT("1:"&amp;LEN(G255)-7)))/(ISNUMBER(--MID(G255,ROW(INDIRECT("1:"&amp;LEN(G255)-7)),8))),1),8),"")</f>
        <v/>
      </c>
      <c r="V255" t="inlineStr">
        <is>
          <t>2025-09-30 20:00:00</t>
        </is>
      </c>
    </row>
    <row r="256" ht="45" customFormat="1" customHeight="1" s="45">
      <c r="A256" s="112" t="n"/>
      <c r="B256" s="112" t="n">
        <v>4</v>
      </c>
      <c r="C256" s="112">
        <f>IF(OR(Tabella3[[#This Row],[LUN]]="X",Tabella3[[#This Row],[MAR]]="X",Tabella3[[#This Row],[MER]]="X",Tabella3[[#This Row],[GIO]]="X",Tabella3[[#This Row],[VEN]]="X",),"X","")</f>
        <v/>
      </c>
      <c r="D256" s="113" t="inlineStr">
        <is>
          <t>AREA 3</t>
        </is>
      </c>
      <c r="E256" s="109" t="inlineStr">
        <is>
          <t>535531/C</t>
        </is>
      </c>
      <c r="F256" s="109" t="inlineStr">
        <is>
          <t>1200/M</t>
        </is>
      </c>
      <c r="G256" s="109" t="inlineStr">
        <is>
          <t>10215992 1200/M - ZMF728(azoto di flussaggio off-site)controllo funzionale</t>
        </is>
      </c>
      <c r="H256" s="111" t="n"/>
      <c r="I256" s="111" t="n"/>
      <c r="J256" s="111" t="n"/>
      <c r="K256" s="111" t="n"/>
      <c r="L256" s="111" t="n"/>
      <c r="M256" s="109" t="inlineStr">
        <is>
          <t>DA CHIUDERE</t>
        </is>
      </c>
      <c r="N256" s="109" t="n"/>
      <c r="O256" s="109" t="n"/>
      <c r="P256" s="109" t="n"/>
      <c r="Q256" s="109" t="inlineStr">
        <is>
          <t>STRUMENTO IN PESSIME CONDIZIONI CON CAVO BRUCIATO E GRUPPO BYPASS DA RIFARE EXNOVO.
PER VALVOLE DI RADICE SI NECESSITA DEL PONTEGGIO.</t>
        </is>
      </c>
      <c r="R256" s="110" t="n">
        <v>45641</v>
      </c>
      <c r="S256" s="110" t="inlineStr">
        <is>
          <t>SPINALI/PARTESANO</t>
        </is>
      </c>
      <c r="T256" s="112">
        <f>IF(AND('Inserimento dati'!$B$3=$H$2, Tabella3[[#This Row],[LUN]]="X"), "X",IF(AND('Inserimento dati'!$B$3=$I$2, Tabella3[[#This Row],[MAR]]="X"), "X", IF(AND('Inserimento dati'!$B$3=$J$2, Tabella3[[#This Row],[MER]]="X"), "X",IF(AND('Inserimento dati'!$B$3=$K$2, Tabella3[[#This Row],[GIO]]="X"), "X", IF(AND('Inserimento dati'!$B$3=$L$2, Tabella3[[#This Row],[VEN]]="X"), "X","")))))</f>
        <v/>
      </c>
      <c r="U256" s="144">
        <f>IFERROR(MID(G256,_xlfn.AGGREGATE(15,6,(ROW(INDIRECT("1:"&amp;LEN(G256)-7)))/(ISNUMBER(--MID(G256,ROW(INDIRECT("1:"&amp;LEN(G256)-7)),8))),1),8),"")</f>
        <v/>
      </c>
      <c r="V256" t="inlineStr">
        <is>
          <t>2025-09-30 20:00:00</t>
        </is>
      </c>
    </row>
    <row r="257" ht="23.25" customFormat="1" customHeight="1" s="45">
      <c r="A257" s="112" t="n"/>
      <c r="B257" s="112" t="n">
        <v>4</v>
      </c>
      <c r="C257" s="112">
        <f>IF(OR(Tabella3[[#This Row],[LUN]]="X",Tabella3[[#This Row],[MAR]]="X",Tabella3[[#This Row],[MER]]="X",Tabella3[[#This Row],[GIO]]="X",Tabella3[[#This Row],[VEN]]="X",),"X","")</f>
        <v/>
      </c>
      <c r="D257" s="113" t="inlineStr">
        <is>
          <t>AREA 3</t>
        </is>
      </c>
      <c r="E257" s="109" t="inlineStr">
        <is>
          <t>536941/C</t>
        </is>
      </c>
      <c r="F257" s="109" t="inlineStr">
        <is>
          <t>700A</t>
        </is>
      </c>
      <c r="G257" s="109" t="inlineStr">
        <is>
          <t xml:space="preserve"> 700A - F223R CONTROLLO FUNZIONALE</t>
        </is>
      </c>
      <c r="H257" s="111" t="n"/>
      <c r="I257" s="111" t="n"/>
      <c r="J257" s="111" t="n"/>
      <c r="K257" s="111" t="n"/>
      <c r="L257" s="111" t="n"/>
      <c r="M257" s="109" t="inlineStr">
        <is>
          <t>DA CHIUDERE</t>
        </is>
      </c>
      <c r="N257" s="109" t="n"/>
      <c r="O257" s="109" t="n"/>
      <c r="P257" s="109" t="n"/>
      <c r="Q257" s="109" t="n"/>
      <c r="R257" s="110" t="n"/>
      <c r="S257" s="109" t="n"/>
      <c r="T257" s="69">
        <f>IF(AND('Inserimento dati'!$B$3=$H$2, Tabella3[[#This Row],[LUN]]="X"), "X",IF(AND('Inserimento dati'!$B$3=$I$2, Tabella3[[#This Row],[MAR]]="X"), "X", IF(AND('Inserimento dati'!$B$3=$J$2, Tabella3[[#This Row],[MER]]="X"), "X",IF(AND('Inserimento dati'!$B$3=$K$2, Tabella3[[#This Row],[GIO]]="X"), "X", IF(AND('Inserimento dati'!$B$3=$L$2, Tabella3[[#This Row],[VEN]]="X"), "X","")))))</f>
        <v/>
      </c>
      <c r="U257" s="145">
        <f>IFERROR(MID(G257,_xlfn.AGGREGATE(15,6,(ROW(INDIRECT("1:"&amp;LEN(G257)-7)))/(ISNUMBER(--MID(G257,ROW(INDIRECT("1:"&amp;LEN(G257)-7)),8))),1),8),"")</f>
        <v/>
      </c>
      <c r="V257" t="inlineStr">
        <is>
          <t>2025-09-30 20:00:00</t>
        </is>
      </c>
    </row>
    <row r="258" ht="30" customFormat="1" customHeight="1" s="45">
      <c r="A258" s="112" t="n"/>
      <c r="B258" s="112" t="n">
        <v>1</v>
      </c>
      <c r="C258" s="112">
        <f>IF(OR(Tabella3[[#This Row],[LUN]]="X",Tabella3[[#This Row],[MAR]]="X",Tabella3[[#This Row],[MER]]="X",Tabella3[[#This Row],[GIO]]="X",Tabella3[[#This Row],[VEN]]="X",),"X","")</f>
        <v/>
      </c>
      <c r="D258" s="113" t="inlineStr">
        <is>
          <t>AREA 3</t>
        </is>
      </c>
      <c r="E258" s="109" t="inlineStr">
        <is>
          <t>538075/C</t>
        </is>
      </c>
      <c r="F258" s="109" t="inlineStr">
        <is>
          <t>1200/3</t>
        </is>
      </c>
      <c r="G258" s="109" t="inlineStr">
        <is>
          <t>10225931 1200/3 - assistenza strumentale avviamento. controllo liv II vasca e pressostato Z3L501I e Z3P405R</t>
        </is>
      </c>
      <c r="H258" s="111" t="n"/>
      <c r="I258" s="111" t="n"/>
      <c r="J258" s="111" t="n"/>
      <c r="K258" s="111" t="n"/>
      <c r="L258" s="111" t="n"/>
      <c r="M258" s="109" t="inlineStr">
        <is>
          <t>DA CHIUDERE</t>
        </is>
      </c>
      <c r="N258" s="109" t="n"/>
      <c r="O258" s="109" t="n"/>
      <c r="P258" s="109" t="n"/>
      <c r="Q258" s="109" t="inlineStr">
        <is>
          <t xml:space="preserve">ESEGUITI CONTROLLI RIPRISTINANDO FUNZIONALITA' SU LIVELLO </t>
        </is>
      </c>
      <c r="R258" s="110" t="n">
        <v>45826</v>
      </c>
      <c r="S258" s="109" t="inlineStr">
        <is>
          <t>TARASCIO</t>
        </is>
      </c>
      <c r="T258" s="116">
        <f>IF(AND('Inserimento dati'!$B$3=$H$2, Tabella3[[#This Row],[LUN]]="X"), "X",IF(AND('Inserimento dati'!$B$3=$I$2, Tabella3[[#This Row],[MAR]]="X"), "X", IF(AND('Inserimento dati'!$B$3=$J$2, Tabella3[[#This Row],[MER]]="X"), "X",IF(AND('Inserimento dati'!$B$3=$K$2, Tabella3[[#This Row],[GIO]]="X"), "X", IF(AND('Inserimento dati'!$B$3=$L$2, Tabella3[[#This Row],[VEN]]="X"), "X","")))))</f>
        <v/>
      </c>
      <c r="U258" s="144">
        <f>IFERROR(MID(G258,_xlfn.AGGREGATE(15,6,(ROW(INDIRECT("1:"&amp;LEN(G258)-7)))/(ISNUMBER(--MID(G258,ROW(INDIRECT("1:"&amp;LEN(G258)-7)),8))),1),8),"")</f>
        <v/>
      </c>
      <c r="V258" t="inlineStr">
        <is>
          <t>2025-09-30 20:00:00</t>
        </is>
      </c>
    </row>
    <row r="259" ht="23.25" customFormat="1" customHeight="1" s="45">
      <c r="A259" s="112" t="n"/>
      <c r="B259" s="112" t="n">
        <v>3</v>
      </c>
      <c r="C259" s="112">
        <f>IF(OR(Tabella3[[#This Row],[LUN]]="X",Tabella3[[#This Row],[MAR]]="X",Tabella3[[#This Row],[MER]]="X",Tabella3[[#This Row],[GIO]]="X",Tabella3[[#This Row],[VEN]]="X",),"X","")</f>
        <v/>
      </c>
      <c r="D259" s="113" t="inlineStr">
        <is>
          <t>AREA 3</t>
        </is>
      </c>
      <c r="E259" s="109" t="inlineStr">
        <is>
          <t>541557/C</t>
        </is>
      </c>
      <c r="F259" s="109" t="n">
        <v>1200</v>
      </c>
      <c r="G259" s="109" t="inlineStr">
        <is>
          <t xml:space="preserve"> Z1B401U1  RIPRISTINO FUNZIONALITA FOTOCELLULA</t>
        </is>
      </c>
      <c r="H259" s="111" t="n"/>
      <c r="I259" s="111" t="n"/>
      <c r="J259" s="111" t="n"/>
      <c r="K259" s="111" t="n"/>
      <c r="L259" s="111" t="n"/>
      <c r="M259" s="109" t="inlineStr">
        <is>
          <t>DA CHIUDERE</t>
        </is>
      </c>
      <c r="N259" s="109" t="n"/>
      <c r="O259" s="109" t="n"/>
      <c r="P259" s="109" t="n"/>
      <c r="Q259" s="109" t="n"/>
      <c r="R259" s="110" t="n"/>
      <c r="S259" s="109" t="n"/>
      <c r="T259" s="114">
        <f>IF(AND('Inserimento dati'!$B$3=$H$2, Tabella3[[#This Row],[LUN]]="X"), "X",IF(AND('Inserimento dati'!$B$3=$I$2, Tabella3[[#This Row],[MAR]]="X"), "X", IF(AND('Inserimento dati'!$B$3=$J$2, Tabella3[[#This Row],[MER]]="X"), "X",IF(AND('Inserimento dati'!$B$3=$K$2, Tabella3[[#This Row],[GIO]]="X"), "X", IF(AND('Inserimento dati'!$B$3=$L$2, Tabella3[[#This Row],[VEN]]="X"), "X","")))))</f>
        <v/>
      </c>
      <c r="U259" s="131">
        <f>IFERROR(MID(G259,_xlfn.AGGREGATE(15,6,(ROW(INDIRECT("1:"&amp;LEN(G259)-7)))/(ISNUMBER(--MID(G259,ROW(INDIRECT("1:"&amp;LEN(G259)-7)),8))),1),8),"")</f>
        <v/>
      </c>
      <c r="V259" t="inlineStr">
        <is>
          <t>2025-09-30 20:00:00</t>
        </is>
      </c>
    </row>
    <row r="260" ht="23.25" customFormat="1" customHeight="1" s="45">
      <c r="A260" s="112" t="n"/>
      <c r="B260" s="112" t="n">
        <v>3</v>
      </c>
      <c r="C260" s="112">
        <f>IF(OR(Tabella3[[#This Row],[LUN]]="X",Tabella3[[#This Row],[MAR]]="X",Tabella3[[#This Row],[MER]]="X",Tabella3[[#This Row],[GIO]]="X",Tabella3[[#This Row],[VEN]]="X",),"X","")</f>
        <v/>
      </c>
      <c r="D260" s="113" t="inlineStr">
        <is>
          <t>AREA 3</t>
        </is>
      </c>
      <c r="E260" s="109" t="inlineStr">
        <is>
          <t>541559/C</t>
        </is>
      </c>
      <c r="F260" s="109" t="n">
        <v>1200</v>
      </c>
      <c r="G260" s="109" t="inlineStr">
        <is>
          <t xml:space="preserve"> Z3B401U1  RIPRISTINO FUNZIONALITA FOTOCELLULA</t>
        </is>
      </c>
      <c r="H260" s="111" t="n"/>
      <c r="I260" s="111" t="n"/>
      <c r="J260" s="111" t="n"/>
      <c r="K260" s="111" t="n"/>
      <c r="L260" s="111" t="n"/>
      <c r="M260" s="109" t="inlineStr">
        <is>
          <t>DA CHIUDERE</t>
        </is>
      </c>
      <c r="N260" s="109" t="n"/>
      <c r="O260" s="109" t="n"/>
      <c r="P260" s="109" t="n"/>
      <c r="Q260" s="109" t="n"/>
      <c r="R260" s="110" t="n"/>
      <c r="S260" s="109" t="n"/>
      <c r="T260" s="114">
        <f>IF(AND('Inserimento dati'!$B$3=$H$2, Tabella3[[#This Row],[LUN]]="X"), "X",IF(AND('Inserimento dati'!$B$3=$I$2, Tabella3[[#This Row],[MAR]]="X"), "X", IF(AND('Inserimento dati'!$B$3=$J$2, Tabella3[[#This Row],[MER]]="X"), "X",IF(AND('Inserimento dati'!$B$3=$K$2, Tabella3[[#This Row],[GIO]]="X"), "X", IF(AND('Inserimento dati'!$B$3=$L$2, Tabella3[[#This Row],[VEN]]="X"), "X","")))))</f>
        <v/>
      </c>
      <c r="U260" s="131">
        <f>IFERROR(MID(G260,_xlfn.AGGREGATE(15,6,(ROW(INDIRECT("1:"&amp;LEN(G260)-7)))/(ISNUMBER(--MID(G260,ROW(INDIRECT("1:"&amp;LEN(G260)-7)),8))),1),8),"")</f>
        <v/>
      </c>
      <c r="V260" t="inlineStr">
        <is>
          <t>2025-09-30 20:00:00</t>
        </is>
      </c>
    </row>
    <row r="261" ht="23.25" customFormat="1" customHeight="1" s="45">
      <c r="A261" s="112" t="n"/>
      <c r="B261" s="112" t="n"/>
      <c r="C261" s="112">
        <f>IF(OR(Tabella3[[#This Row],[LUN]]="X",Tabella3[[#This Row],[MAR]]="X",Tabella3[[#This Row],[MER]]="X",Tabella3[[#This Row],[GIO]]="X",Tabella3[[#This Row],[VEN]]="X",),"X","")</f>
        <v/>
      </c>
      <c r="D261" s="113" t="inlineStr">
        <is>
          <t>AREA 3</t>
        </is>
      </c>
      <c r="E261" s="109" t="inlineStr">
        <is>
          <t>542498/C</t>
        </is>
      </c>
      <c r="F261" s="109" t="n">
        <v>1200</v>
      </c>
      <c r="G261" s="109" t="inlineStr">
        <is>
          <t>10226491 1200M F705R CONTROLLO FUNZIONALE</t>
        </is>
      </c>
      <c r="H261" s="111" t="n"/>
      <c r="I261" s="111" t="n"/>
      <c r="J261" s="111" t="n"/>
      <c r="K261" s="111" t="n"/>
      <c r="L261" s="111" t="n"/>
      <c r="M261" s="109" t="inlineStr">
        <is>
          <t>DA CHIUDERE</t>
        </is>
      </c>
      <c r="N261" s="109" t="n"/>
      <c r="O261" s="109" t="n"/>
      <c r="P261" s="109" t="n"/>
      <c r="Q261" s="109" t="n"/>
      <c r="R261" s="110" t="n"/>
      <c r="S261" s="109" t="n"/>
      <c r="T261" s="114">
        <f>IF(AND('Inserimento dati'!$B$3=$H$2, Tabella3[[#This Row],[LUN]]="X"), "X",IF(AND('Inserimento dati'!$B$3=$I$2, Tabella3[[#This Row],[MAR]]="X"), "X", IF(AND('Inserimento dati'!$B$3=$J$2, Tabella3[[#This Row],[MER]]="X"), "X",IF(AND('Inserimento dati'!$B$3=$K$2, Tabella3[[#This Row],[GIO]]="X"), "X", IF(AND('Inserimento dati'!$B$3=$L$2, Tabella3[[#This Row],[VEN]]="X"), "X","")))))</f>
        <v/>
      </c>
      <c r="U261" s="131">
        <f>IFERROR(MID(G261,_xlfn.AGGREGATE(15,6,(ROW(INDIRECT("1:"&amp;LEN(G261)-7)))/(ISNUMBER(--MID(G261,ROW(INDIRECT("1:"&amp;LEN(G261)-7)),8))),1),8),"")</f>
        <v/>
      </c>
      <c r="V261" t="inlineStr">
        <is>
          <t>2025-09-30 20:00:00</t>
        </is>
      </c>
    </row>
    <row r="262" ht="23.25" customFormat="1" customHeight="1" s="45">
      <c r="A262" s="112" t="n"/>
      <c r="B262" s="112">
        <f>IF(OR(A262="x",A262="X"),"",IF(ISBLANK(A262),"X",""))</f>
        <v/>
      </c>
      <c r="C262" s="112">
        <f>IF(OR(Tabella3[[#This Row],[LUN]]="X",Tabella3[[#This Row],[MAR]]="X",Tabella3[[#This Row],[MER]]="X",Tabella3[[#This Row],[GIO]]="X",Tabella3[[#This Row],[VEN]]="X",),"X","")</f>
        <v/>
      </c>
      <c r="D262" s="113" t="inlineStr">
        <is>
          <t>AREA 3</t>
        </is>
      </c>
      <c r="E262" s="109" t="inlineStr">
        <is>
          <t>540025/C</t>
        </is>
      </c>
      <c r="F262" s="109" t="n">
        <v>1400</v>
      </c>
      <c r="G262" s="109" t="inlineStr">
        <is>
          <t>10225475 1400: RIPRISTINO LOOP DI REGOLAZIONE LRC-201</t>
        </is>
      </c>
      <c r="H262" s="111" t="n"/>
      <c r="I262" s="111" t="n"/>
      <c r="J262" s="111" t="n"/>
      <c r="K262" s="111" t="n"/>
      <c r="L262" s="111" t="n"/>
      <c r="M262" s="109" t="inlineStr">
        <is>
          <t>DA CHIUDERE</t>
        </is>
      </c>
      <c r="N262" s="109" t="n"/>
      <c r="O262" s="109" t="n"/>
      <c r="P262" s="109" t="n"/>
      <c r="Q262" s="109" t="inlineStr">
        <is>
          <t>RIPRISTINATA FUNZIONALITA'.</t>
        </is>
      </c>
      <c r="R262" s="110" t="n">
        <v>45835</v>
      </c>
      <c r="S262" s="109" t="inlineStr">
        <is>
          <t>TARASCIO</t>
        </is>
      </c>
      <c r="T262" s="114">
        <f>IF(AND('Inserimento dati'!$B$3=$H$2, Tabella3[[#This Row],[LUN]]="X"), "X",IF(AND('Inserimento dati'!$B$3=$I$2, Tabella3[[#This Row],[MAR]]="X"), "X", IF(AND('Inserimento dati'!$B$3=$J$2, Tabella3[[#This Row],[MER]]="X"), "X",IF(AND('Inserimento dati'!$B$3=$K$2, Tabella3[[#This Row],[GIO]]="X"), "X", IF(AND('Inserimento dati'!$B$3=$L$2, Tabella3[[#This Row],[VEN]]="X"), "X","")))))</f>
        <v/>
      </c>
      <c r="U262" s="131">
        <f>IFERROR(MID(G262,_xlfn.AGGREGATE(15,6,(ROW(INDIRECT("1:"&amp;LEN(G262)-7)))/(ISNUMBER(--MID(G262,ROW(INDIRECT("1:"&amp;LEN(G262)-7)),8))),1),8),"")</f>
        <v/>
      </c>
      <c r="V262" t="inlineStr">
        <is>
          <t>2025-09-30 20:00:00</t>
        </is>
      </c>
    </row>
    <row r="263" ht="30" customFormat="1" customHeight="1" s="45">
      <c r="A263" s="112" t="n"/>
      <c r="B263" s="112">
        <f>IF(OR(A263="x",A263="X"),"",IF(ISBLANK(A263),"X",""))</f>
        <v/>
      </c>
      <c r="C263" s="112">
        <f>IF(OR(Tabella3[[#This Row],[LUN]]="X",Tabella3[[#This Row],[MAR]]="X",Tabella3[[#This Row],[MER]]="X",Tabella3[[#This Row],[GIO]]="X",Tabella3[[#This Row],[VEN]]="X",),"X","")</f>
        <v/>
      </c>
      <c r="D263" s="113" t="inlineStr">
        <is>
          <t>AREA 3</t>
        </is>
      </c>
      <c r="E263" s="109" t="inlineStr">
        <is>
          <t>536404/C</t>
        </is>
      </c>
      <c r="F263" s="109" t="n">
        <v>1200</v>
      </c>
      <c r="G263" s="109" t="inlineStr">
        <is>
          <t>10222966 10222966 1200: Z0P902I controllo funzionale</t>
        </is>
      </c>
      <c r="H263" s="111" t="n"/>
      <c r="I263" s="111" t="n"/>
      <c r="J263" s="111" t="n"/>
      <c r="K263" s="111" t="n"/>
      <c r="L263" s="111" t="n"/>
      <c r="M263" s="109" t="inlineStr">
        <is>
          <t>DA CHIUDERE</t>
        </is>
      </c>
      <c r="N263" s="109" t="n"/>
      <c r="O263" s="109" t="n"/>
      <c r="P263" s="109" t="n"/>
      <c r="Q263" s="109" t="inlineStr">
        <is>
          <t>PULITO E SCARICATO STRUMENTO DI PRESSIONE, INSERITO E CONSEGNATO A ESE.</t>
        </is>
      </c>
      <c r="R263" s="110" t="n">
        <v>45838</v>
      </c>
      <c r="S263" s="109" t="inlineStr">
        <is>
          <t>TARASCIO/PARTESANO</t>
        </is>
      </c>
      <c r="T263" s="114">
        <f>IF(AND('Inserimento dati'!$B$3=$H$2, Tabella3[[#This Row],[LUN]]="X"), "X",IF(AND('Inserimento dati'!$B$3=$I$2, Tabella3[[#This Row],[MAR]]="X"), "X", IF(AND('Inserimento dati'!$B$3=$J$2, Tabella3[[#This Row],[MER]]="X"), "X",IF(AND('Inserimento dati'!$B$3=$K$2, Tabella3[[#This Row],[GIO]]="X"), "X", IF(AND('Inserimento dati'!$B$3=$L$2, Tabella3[[#This Row],[VEN]]="X"), "X","")))))</f>
        <v/>
      </c>
      <c r="U263" s="131">
        <f>IFERROR(MID(G263,_xlfn.AGGREGATE(15,6,(ROW(INDIRECT("1:"&amp;LEN(G263)-7)))/(ISNUMBER(--MID(G263,ROW(INDIRECT("1:"&amp;LEN(G263)-7)),8))),1),8),"")</f>
        <v/>
      </c>
      <c r="V263" t="inlineStr">
        <is>
          <t>2025-09-30 20:00:00</t>
        </is>
      </c>
    </row>
    <row r="264" ht="30" customFormat="1" customHeight="1" s="45">
      <c r="A264" s="112" t="n"/>
      <c r="B264" s="112" t="n">
        <v>3</v>
      </c>
      <c r="C264" s="112">
        <f>IF(OR(Tabella3[[#This Row],[LUN]]="X",Tabella3[[#This Row],[MAR]]="X",Tabella3[[#This Row],[MER]]="X",Tabella3[[#This Row],[GIO]]="X",Tabella3[[#This Row],[VEN]]="X",),"X","")</f>
        <v/>
      </c>
      <c r="D264" s="113" t="inlineStr">
        <is>
          <t>AREA 3</t>
        </is>
      </c>
      <c r="E264" s="109" t="inlineStr">
        <is>
          <t>539634/C</t>
        </is>
      </c>
      <c r="F264" s="109" t="n">
        <v>1100</v>
      </c>
      <c r="G264" s="109" t="inlineStr">
        <is>
          <t>10224034 1100 - verifica DP FIL102-F103 (testo esteso).</t>
        </is>
      </c>
      <c r="H264" s="111" t="n"/>
      <c r="I264" s="111" t="n"/>
      <c r="J264" s="111" t="n"/>
      <c r="K264" s="111" t="n"/>
      <c r="L264" s="111" t="n"/>
      <c r="M264" s="109" t="inlineStr">
        <is>
          <t>DA CHIUDERE</t>
        </is>
      </c>
      <c r="N264" s="109" t="n"/>
      <c r="O264" s="109" t="n"/>
      <c r="P264" s="109" t="n"/>
      <c r="Q264" s="109" t="inlineStr">
        <is>
          <t>SPURGATI NUOVAMENTE LE PRESE SUL FIL-102.MISURA ATTENDIBILE, CONSEGNATO A ESE.</t>
        </is>
      </c>
      <c r="R264" s="110" t="n">
        <v>45838</v>
      </c>
      <c r="S264" s="109" t="inlineStr">
        <is>
          <t>PARTESANO/TARASCIO</t>
        </is>
      </c>
      <c r="T264" s="114">
        <f>IF(AND('Inserimento dati'!$B$3=$H$2, Tabella3[[#This Row],[LUN]]="X"), "X",IF(AND('Inserimento dati'!$B$3=$I$2, Tabella3[[#This Row],[MAR]]="X"), "X", IF(AND('Inserimento dati'!$B$3=$J$2, Tabella3[[#This Row],[MER]]="X"), "X",IF(AND('Inserimento dati'!$B$3=$K$2, Tabella3[[#This Row],[GIO]]="X"), "X", IF(AND('Inserimento dati'!$B$3=$L$2, Tabella3[[#This Row],[VEN]]="X"), "X","")))))</f>
        <v/>
      </c>
      <c r="U264" s="131">
        <f>IFERROR(MID(G264,_xlfn.AGGREGATE(15,6,(ROW(INDIRECT("1:"&amp;LEN(G264)-7)))/(ISNUMBER(--MID(G264,ROW(INDIRECT("1:"&amp;LEN(G264)-7)),8))),1),8),"")</f>
        <v/>
      </c>
      <c r="V264" t="inlineStr">
        <is>
          <t>2025-09-30 20:00:00</t>
        </is>
      </c>
    </row>
    <row r="265" ht="30" customFormat="1" customHeight="1" s="45">
      <c r="A265" s="112" t="n"/>
      <c r="B265" s="112" t="n">
        <v>3</v>
      </c>
      <c r="C265" s="112">
        <f>IF(OR(Tabella3[[#This Row],[LUN]]="X",Tabella3[[#This Row],[MAR]]="X",Tabella3[[#This Row],[MER]]="X",Tabella3[[#This Row],[GIO]]="X",Tabella3[[#This Row],[VEN]]="X",),"X","")</f>
        <v/>
      </c>
      <c r="D265" s="113" t="inlineStr">
        <is>
          <t>AREA 3</t>
        </is>
      </c>
      <c r="E265" s="109" t="inlineStr">
        <is>
          <t>541150/C</t>
        </is>
      </c>
      <c r="F265" s="109" t="inlineStr">
        <is>
          <t>1200/4</t>
        </is>
      </c>
      <c r="G265" s="109" t="inlineStr">
        <is>
          <t>10225850 1200/4 - Z4F175R (AZOTO DA LIMITE BATTERIA)CONTROLLO E RIPRISTINO FUNZIONALITA PORTATA</t>
        </is>
      </c>
      <c r="H265" s="111" t="n"/>
      <c r="I265" s="111" t="n"/>
      <c r="J265" s="111" t="n"/>
      <c r="K265" s="111" t="n"/>
      <c r="L265" s="111" t="n"/>
      <c r="M265" s="109" t="inlineStr">
        <is>
          <t>DA CHIUDERE</t>
        </is>
      </c>
      <c r="N265" s="109" t="n"/>
      <c r="O265" s="109" t="n"/>
      <c r="P265" s="109" t="n"/>
      <c r="Q265" s="109" t="inlineStr">
        <is>
          <t>SOSTITUITO STRUMENTO, TARATO ED ALLINEATO CON SALA CONTROLLO</t>
        </is>
      </c>
      <c r="R265" s="110" t="n">
        <v>45840</v>
      </c>
      <c r="S265" s="109" t="inlineStr">
        <is>
          <t>SPINALI/ DE LUCA</t>
        </is>
      </c>
      <c r="T265" s="114">
        <f>IF(AND('Inserimento dati'!$B$3=$H$2, Tabella3[[#This Row],[LUN]]="X"), "X",IF(AND('Inserimento dati'!$B$3=$I$2, Tabella3[[#This Row],[MAR]]="X"), "X", IF(AND('Inserimento dati'!$B$3=$J$2, Tabella3[[#This Row],[MER]]="X"), "X",IF(AND('Inserimento dati'!$B$3=$K$2, Tabella3[[#This Row],[GIO]]="X"), "X", IF(AND('Inserimento dati'!$B$3=$L$2, Tabella3[[#This Row],[VEN]]="X"), "X","")))))</f>
        <v/>
      </c>
      <c r="U265" s="131">
        <f>IFERROR(MID(G265,_xlfn.AGGREGATE(15,6,(ROW(INDIRECT("1:"&amp;LEN(G265)-7)))/(ISNUMBER(--MID(G265,ROW(INDIRECT("1:"&amp;LEN(G265)-7)),8))),1),8),"")</f>
        <v/>
      </c>
      <c r="V265" t="inlineStr">
        <is>
          <t>2025-09-30 20:00:00</t>
        </is>
      </c>
    </row>
    <row r="266" ht="30" customFormat="1" customHeight="1" s="45">
      <c r="A266" s="112" t="n"/>
      <c r="B266" s="112" t="n">
        <v>3</v>
      </c>
      <c r="C266" s="112">
        <f>IF(OR(Tabella3[[#This Row],[LUN]]="X",Tabella3[[#This Row],[MAR]]="X",Tabella3[[#This Row],[MER]]="X",Tabella3[[#This Row],[GIO]]="X",Tabella3[[#This Row],[VEN]]="X",),"X","")</f>
        <v/>
      </c>
      <c r="D266" s="113" t="inlineStr">
        <is>
          <t>AREA 3</t>
        </is>
      </c>
      <c r="E266" s="109" t="inlineStr">
        <is>
          <t>540947/C</t>
        </is>
      </c>
      <c r="F266" s="109" t="inlineStr">
        <is>
          <t>1200/1</t>
        </is>
      </c>
      <c r="G266" s="109" t="inlineStr">
        <is>
          <t>10225816 IMP.1200/1 RIPRISTINO PALINA RIPETITORE INDICATO F306RC CON COSTRUZIONE STAFFA MECCANICA</t>
        </is>
      </c>
      <c r="H266" s="111" t="n"/>
      <c r="I266" s="111" t="n"/>
      <c r="J266" s="111" t="n"/>
      <c r="K266" s="111" t="n"/>
      <c r="L266" s="111" t="n"/>
      <c r="M266" s="109" t="inlineStr">
        <is>
          <t>DA CHIUDERE</t>
        </is>
      </c>
      <c r="N266" s="109" t="n"/>
      <c r="O266" s="109" t="n"/>
      <c r="P266" s="109" t="n"/>
      <c r="Q266" s="109" t="inlineStr">
        <is>
          <t>SOSTITUITA PALINA E RIPRISTINATO RIPETITORE LOCALE.</t>
        </is>
      </c>
      <c r="R266" s="110" t="n">
        <v>45840</v>
      </c>
      <c r="S266" s="109" t="inlineStr">
        <is>
          <t>SPINALI/ DE LUCA</t>
        </is>
      </c>
      <c r="T266" s="114">
        <f>IF(AND('Inserimento dati'!$B$3=$H$2, Tabella3[[#This Row],[LUN]]="X"), "X",IF(AND('Inserimento dati'!$B$3=$I$2, Tabella3[[#This Row],[MAR]]="X"), "X", IF(AND('Inserimento dati'!$B$3=$J$2, Tabella3[[#This Row],[MER]]="X"), "X",IF(AND('Inserimento dati'!$B$3=$K$2, Tabella3[[#This Row],[GIO]]="X"), "X", IF(AND('Inserimento dati'!$B$3=$L$2, Tabella3[[#This Row],[VEN]]="X"), "X","")))))</f>
        <v/>
      </c>
      <c r="U266" s="131">
        <f>IFERROR(MID(G266,_xlfn.AGGREGATE(15,6,(ROW(INDIRECT("1:"&amp;LEN(G266)-7)))/(ISNUMBER(--MID(G266,ROW(INDIRECT("1:"&amp;LEN(G266)-7)),8))),1),8),"")</f>
        <v/>
      </c>
      <c r="V266" t="inlineStr">
        <is>
          <t>2025-09-30 20:00:00</t>
        </is>
      </c>
    </row>
    <row r="267" ht="30" customFormat="1" customHeight="1" s="45">
      <c r="A267" s="112" t="n"/>
      <c r="B267" s="112" t="n"/>
      <c r="C267" s="112">
        <f>IF(OR(Tabella3[[#This Row],[LUN]]="X",Tabella3[[#This Row],[MAR]]="X",Tabella3[[#This Row],[MER]]="X",Tabella3[[#This Row],[GIO]]="X",Tabella3[[#This Row],[VEN]]="X",),"X","")</f>
        <v/>
      </c>
      <c r="D267" s="113" t="inlineStr">
        <is>
          <t>AREA 3</t>
        </is>
      </c>
      <c r="E267" s="109" t="inlineStr">
        <is>
          <t>542718/C</t>
        </is>
      </c>
      <c r="F267" s="109" t="inlineStr">
        <is>
          <t>1200/0</t>
        </is>
      </c>
      <c r="G267" s="109" t="inlineStr">
        <is>
          <t>10226540  1200/0: mtz Z0T976BBI</t>
        </is>
      </c>
      <c r="H267" s="111" t="n"/>
      <c r="I267" s="111" t="n"/>
      <c r="J267" s="111" t="n"/>
      <c r="K267" s="111" t="n"/>
      <c r="L267" s="111" t="n"/>
      <c r="M267" s="109" t="inlineStr">
        <is>
          <t>DA CHIUDERE</t>
        </is>
      </c>
      <c r="N267" s="109" t="n"/>
      <c r="O267" s="109" t="n"/>
      <c r="P267" s="109" t="n"/>
      <c r="Q267" s="109" t="inlineStr">
        <is>
          <t>NUSSUNA ANOMALIA DA SEGNALARE</t>
        </is>
      </c>
      <c r="R267" s="110" t="n">
        <v>45840</v>
      </c>
      <c r="S267" s="109" t="inlineStr">
        <is>
          <t>SPINALI/BAUDO</t>
        </is>
      </c>
      <c r="T267" s="114">
        <f>IF(AND('Inserimento dati'!$B$3=$H$2, Tabella3[[#This Row],[LUN]]="X"), "X",IF(AND('Inserimento dati'!$B$3=$I$2, Tabella3[[#This Row],[MAR]]="X"), "X", IF(AND('Inserimento dati'!$B$3=$J$2, Tabella3[[#This Row],[MER]]="X"), "X",IF(AND('Inserimento dati'!$B$3=$K$2, Tabella3[[#This Row],[GIO]]="X"), "X", IF(AND('Inserimento dati'!$B$3=$L$2, Tabella3[[#This Row],[VEN]]="X"), "X","")))))</f>
        <v/>
      </c>
      <c r="U267" s="131">
        <f>IFERROR(MID(G267,_xlfn.AGGREGATE(15,6,(ROW(INDIRECT("1:"&amp;LEN(G267)-7)))/(ISNUMBER(--MID(G267,ROW(INDIRECT("1:"&amp;LEN(G267)-7)),8))),1),8),"")</f>
        <v/>
      </c>
      <c r="V267" t="inlineStr">
        <is>
          <t>2025-09-30 20:00:00</t>
        </is>
      </c>
    </row>
    <row r="268" ht="30" customFormat="1" customHeight="1" s="45">
      <c r="A268" s="112" t="n"/>
      <c r="B268" s="112" t="n"/>
      <c r="C268" s="112">
        <f>IF(OR(Tabella3[[#This Row],[LUN]]="X",Tabella3[[#This Row],[MAR]]="X",Tabella3[[#This Row],[MER]]="X",Tabella3[[#This Row],[GIO]]="X",Tabella3[[#This Row],[VEN]]="X",),"X","")</f>
        <v/>
      </c>
      <c r="D268" s="113" t="inlineStr">
        <is>
          <t>AREA 3</t>
        </is>
      </c>
      <c r="E268" s="109" t="inlineStr">
        <is>
          <t>542717/C</t>
        </is>
      </c>
      <c r="F268" s="109" t="inlineStr">
        <is>
          <t>1200/0</t>
        </is>
      </c>
      <c r="G268" s="109" t="inlineStr">
        <is>
          <t>10226539  1200/0: mtz Z0T976BAI</t>
        </is>
      </c>
      <c r="H268" s="111" t="n"/>
      <c r="I268" s="111" t="n"/>
      <c r="J268" s="111" t="n"/>
      <c r="K268" s="111" t="n"/>
      <c r="L268" s="111" t="n"/>
      <c r="M268" s="109" t="inlineStr">
        <is>
          <t>DA CHIUDERE</t>
        </is>
      </c>
      <c r="N268" s="109" t="n"/>
      <c r="O268" s="109" t="n"/>
      <c r="P268" s="109" t="n"/>
      <c r="Q268" s="109" t="inlineStr">
        <is>
          <t>NUSSUNA ANOMALIA DA SEGNALARE</t>
        </is>
      </c>
      <c r="R268" s="110" t="n">
        <v>45840</v>
      </c>
      <c r="S268" s="109" t="inlineStr">
        <is>
          <t>SPINALI/BAUDO</t>
        </is>
      </c>
      <c r="T268" s="114">
        <f>IF(AND('Inserimento dati'!$B$3=$H$2, Tabella3[[#This Row],[LUN]]="X"), "X",IF(AND('Inserimento dati'!$B$3=$I$2, Tabella3[[#This Row],[MAR]]="X"), "X", IF(AND('Inserimento dati'!$B$3=$J$2, Tabella3[[#This Row],[MER]]="X"), "X",IF(AND('Inserimento dati'!$B$3=$K$2, Tabella3[[#This Row],[GIO]]="X"), "X", IF(AND('Inserimento dati'!$B$3=$L$2, Tabella3[[#This Row],[VEN]]="X"), "X","")))))</f>
        <v/>
      </c>
      <c r="U268" s="131">
        <f>IFERROR(MID(G268,_xlfn.AGGREGATE(15,6,(ROW(INDIRECT("1:"&amp;LEN(G268)-7)))/(ISNUMBER(--MID(G268,ROW(INDIRECT("1:"&amp;LEN(G268)-7)),8))),1),8),"")</f>
        <v/>
      </c>
      <c r="V268" t="inlineStr">
        <is>
          <t>2025-09-30 20:00:00</t>
        </is>
      </c>
    </row>
    <row r="269" ht="30" customFormat="1" customHeight="1" s="45">
      <c r="A269" s="112" t="n"/>
      <c r="B269" s="112" t="n"/>
      <c r="C269" s="112">
        <f>IF(OR(Tabella3[[#This Row],[LUN]]="X",Tabella3[[#This Row],[MAR]]="X",Tabella3[[#This Row],[MER]]="X",Tabella3[[#This Row],[GIO]]="X",Tabella3[[#This Row],[VEN]]="X",),"X","")</f>
        <v/>
      </c>
      <c r="D269" s="113" t="inlineStr">
        <is>
          <t>AREA 3</t>
        </is>
      </c>
      <c r="E269" s="109" t="inlineStr">
        <is>
          <t>542052/C</t>
        </is>
      </c>
      <c r="F269" s="109" t="n">
        <v>1200</v>
      </c>
      <c r="G269" s="109" t="inlineStr">
        <is>
          <t>10226371 1200/2: RIPRISTINO PALINA DI SUPPORTO RIPETITORI DI PORTATA NEI PRESSI DELLA PCV 305 LOCALI</t>
        </is>
      </c>
      <c r="H269" s="111" t="n"/>
      <c r="I269" s="111" t="n"/>
      <c r="J269" s="111" t="n"/>
      <c r="K269" s="111" t="n"/>
      <c r="L269" s="111" t="n"/>
      <c r="M269" s="109" t="inlineStr">
        <is>
          <t>DA CHIUDERE</t>
        </is>
      </c>
      <c r="N269" s="109" t="n"/>
      <c r="O269" s="109" t="n"/>
      <c r="P269" s="109" t="n"/>
      <c r="Q269" s="109" t="inlineStr">
        <is>
          <t>RIPRISTINATA PALINA</t>
        </is>
      </c>
      <c r="R269" s="110" t="n">
        <v>45841</v>
      </c>
      <c r="S269" s="109" t="inlineStr">
        <is>
          <t>DE LUCA</t>
        </is>
      </c>
      <c r="T269" s="114">
        <f>IF(AND('Inserimento dati'!$B$3=$H$2, Tabella3[[#This Row],[LUN]]="X"), "X",IF(AND('Inserimento dati'!$B$3=$I$2, Tabella3[[#This Row],[MAR]]="X"), "X", IF(AND('Inserimento dati'!$B$3=$J$2, Tabella3[[#This Row],[MER]]="X"), "X",IF(AND('Inserimento dati'!$B$3=$K$2, Tabella3[[#This Row],[GIO]]="X"), "X", IF(AND('Inserimento dati'!$B$3=$L$2, Tabella3[[#This Row],[VEN]]="X"), "X","")))))</f>
        <v/>
      </c>
      <c r="U269" s="131">
        <f>IFERROR(MID(G269,_xlfn.AGGREGATE(15,6,(ROW(INDIRECT("1:"&amp;LEN(G269)-7)))/(ISNUMBER(--MID(G269,ROW(INDIRECT("1:"&amp;LEN(G269)-7)),8))),1),8),"")</f>
        <v/>
      </c>
      <c r="V269" t="inlineStr">
        <is>
          <t>2025-09-30 20:00:00</t>
        </is>
      </c>
    </row>
    <row r="270" ht="23.25" customFormat="1" customHeight="1" s="45">
      <c r="A270" s="112" t="n"/>
      <c r="B270" s="112" t="n"/>
      <c r="C270" s="112">
        <f>IF(OR(Tabella3[[#This Row],[LUN]]="X",Tabella3[[#This Row],[MAR]]="X",Tabella3[[#This Row],[MER]]="X",Tabella3[[#This Row],[GIO]]="X",Tabella3[[#This Row],[VEN]]="X",),"X","")</f>
        <v/>
      </c>
      <c r="D270" s="113" t="inlineStr">
        <is>
          <t>AREA 3</t>
        </is>
      </c>
      <c r="E270" s="109" t="inlineStr">
        <is>
          <t>543275/C</t>
        </is>
      </c>
      <c r="F270" s="109" t="n">
        <v>1200</v>
      </c>
      <c r="G270" s="109" t="inlineStr">
        <is>
          <t>10226804 Z1f303RC linea 1 (aria primaria a Mea gas).CONTROLLO FUNZIONALE</t>
        </is>
      </c>
      <c r="H270" s="111" t="n"/>
      <c r="I270" s="111" t="n"/>
      <c r="J270" s="111" t="n"/>
      <c r="K270" s="111" t="n"/>
      <c r="L270" s="111" t="n"/>
      <c r="M270" s="109" t="inlineStr">
        <is>
          <t>DA CHIUDERE</t>
        </is>
      </c>
      <c r="N270" s="109" t="n"/>
      <c r="O270" s="109" t="n"/>
      <c r="P270" s="109" t="n"/>
      <c r="Q270" s="109" t="inlineStr">
        <is>
          <t>ESEGUITA STASATURA CON ESITO POSITIVO.</t>
        </is>
      </c>
      <c r="R270" s="110" t="n">
        <v>45845</v>
      </c>
      <c r="S270" s="109" t="inlineStr">
        <is>
          <t>TARASCIO</t>
        </is>
      </c>
      <c r="T270" s="114">
        <f>IF(AND('Inserimento dati'!$B$3=$H$2, Tabella3[[#This Row],[LUN]]="X"), "X",IF(AND('Inserimento dati'!$B$3=$I$2, Tabella3[[#This Row],[MAR]]="X"), "X", IF(AND('Inserimento dati'!$B$3=$J$2, Tabella3[[#This Row],[MER]]="X"), "X",IF(AND('Inserimento dati'!$B$3=$K$2, Tabella3[[#This Row],[GIO]]="X"), "X", IF(AND('Inserimento dati'!$B$3=$L$2, Tabella3[[#This Row],[VEN]]="X"), "X","")))))</f>
        <v/>
      </c>
      <c r="U270" s="131">
        <f>IFERROR(MID(G270,_xlfn.AGGREGATE(15,6,(ROW(INDIRECT("1:"&amp;LEN(G270)-7)))/(ISNUMBER(--MID(G270,ROW(INDIRECT("1:"&amp;LEN(G270)-7)),8))),1),8),"")</f>
        <v/>
      </c>
      <c r="V270" t="inlineStr">
        <is>
          <t>2025-09-30 20:00:00</t>
        </is>
      </c>
    </row>
    <row r="271" ht="23.25" customFormat="1" customHeight="1" s="45">
      <c r="A271" s="112" t="n"/>
      <c r="B271" s="112" t="n"/>
      <c r="C271" s="112">
        <f>IF(OR(Tabella3[[#This Row],[LUN]]="X",Tabella3[[#This Row],[MAR]]="X",Tabella3[[#This Row],[MER]]="X",Tabella3[[#This Row],[GIO]]="X",Tabella3[[#This Row],[VEN]]="X",),"X","")</f>
        <v/>
      </c>
      <c r="D271" s="113" t="inlineStr">
        <is>
          <t>AREA 3</t>
        </is>
      </c>
      <c r="E271" s="109" t="inlineStr">
        <is>
          <t>543808/C</t>
        </is>
      </c>
      <c r="F271" s="109" t="inlineStr">
        <is>
          <t>2200 BD</t>
        </is>
      </c>
      <c r="G271" s="109" t="inlineStr">
        <is>
          <t>10227021  2200: 22L518R ripristino</t>
        </is>
      </c>
      <c r="H271" s="111" t="n"/>
      <c r="I271" s="111" t="n"/>
      <c r="J271" s="111" t="n"/>
      <c r="K271" s="111" t="n"/>
      <c r="L271" s="111" t="n"/>
      <c r="M271" s="109" t="inlineStr">
        <is>
          <t>DA CHIUDERE</t>
        </is>
      </c>
      <c r="N271" s="109" t="n"/>
      <c r="O271" s="109" t="n"/>
      <c r="P271" s="109" t="n"/>
      <c r="Q271" s="109" t="inlineStr">
        <is>
          <t>NESSUN INTERVENTO, ANNULLATA RICHIESTA INTERVENTO</t>
        </is>
      </c>
      <c r="R271" s="110" t="n"/>
      <c r="S271" s="109" t="n"/>
      <c r="T271" s="114">
        <f>IF(AND('Inserimento dati'!$B$3=$H$2, Tabella3[[#This Row],[LUN]]="X"), "X",IF(AND('Inserimento dati'!$B$3=$I$2, Tabella3[[#This Row],[MAR]]="X"), "X", IF(AND('Inserimento dati'!$B$3=$J$2, Tabella3[[#This Row],[MER]]="X"), "X",IF(AND('Inserimento dati'!$B$3=$K$2, Tabella3[[#This Row],[GIO]]="X"), "X", IF(AND('Inserimento dati'!$B$3=$L$2, Tabella3[[#This Row],[VEN]]="X"), "X","")))))</f>
        <v/>
      </c>
      <c r="U271" s="131">
        <f>IFERROR(MID(G271,_xlfn.AGGREGATE(15,6,(ROW(INDIRECT("1:"&amp;LEN(G271)-7)))/(ISNUMBER(--MID(G271,ROW(INDIRECT("1:"&amp;LEN(G271)-7)),8))),1),8),"")</f>
        <v/>
      </c>
      <c r="V271" t="inlineStr">
        <is>
          <t>2025-09-30 20:00:00</t>
        </is>
      </c>
    </row>
    <row r="272" ht="45" customFormat="1" customHeight="1" s="45">
      <c r="A272" s="112" t="n"/>
      <c r="B272" s="112" t="n"/>
      <c r="C272" s="112">
        <f>IF(OR(Tabella3[[#This Row],[LUN]]="X",Tabella3[[#This Row],[MAR]]="X",Tabella3[[#This Row],[MER]]="X",Tabella3[[#This Row],[GIO]]="X",Tabella3[[#This Row],[VEN]]="X",),"X","")</f>
        <v/>
      </c>
      <c r="D272" s="113" t="inlineStr">
        <is>
          <t>AREA 3</t>
        </is>
      </c>
      <c r="E272" s="109" t="inlineStr">
        <is>
          <t>543685/C</t>
        </is>
      </c>
      <c r="F272" s="109" t="inlineStr">
        <is>
          <t>2200 BD</t>
        </is>
      </c>
      <c r="G272" s="109" t="inlineStr">
        <is>
          <t>10226981  22L301RC controllo funzionale</t>
        </is>
      </c>
      <c r="H272" s="111" t="n"/>
      <c r="I272" s="111" t="n"/>
      <c r="J272" s="111" t="n"/>
      <c r="K272" s="111" t="n"/>
      <c r="L272" s="111" t="n"/>
      <c r="M272" s="109" t="inlineStr">
        <is>
          <t>DA CHIUDERE</t>
        </is>
      </c>
      <c r="N272" s="109" t="n"/>
      <c r="O272" s="109" t="n"/>
      <c r="P272" s="109" t="n"/>
      <c r="Q272" s="109" t="inlineStr">
        <is>
          <t>ESEGUITA PULIZIA CANDELIERE CON RIPRISTINO DELLA FUNZIONALITA'. SI CONSIGLIA NUOVA INSTALLAZIONE DP (IN SOSTITUZIONE ONDA GUIDATA).</t>
        </is>
      </c>
      <c r="R272" s="110" t="n">
        <v>45847</v>
      </c>
      <c r="S272" s="109" t="inlineStr">
        <is>
          <t>TARASCIO/ALLEGRETTI</t>
        </is>
      </c>
      <c r="T272" s="114">
        <f>IF(AND('Inserimento dati'!$B$3=$H$2, Tabella3[[#This Row],[LUN]]="X"), "X",IF(AND('Inserimento dati'!$B$3=$I$2, Tabella3[[#This Row],[MAR]]="X"), "X", IF(AND('Inserimento dati'!$B$3=$J$2, Tabella3[[#This Row],[MER]]="X"), "X",IF(AND('Inserimento dati'!$B$3=$K$2, Tabella3[[#This Row],[GIO]]="X"), "X", IF(AND('Inserimento dati'!$B$3=$L$2, Tabella3[[#This Row],[VEN]]="X"), "X","")))))</f>
        <v/>
      </c>
      <c r="U272" s="131">
        <f>IFERROR(MID(G272,_xlfn.AGGREGATE(15,6,(ROW(INDIRECT("1:"&amp;LEN(G272)-7)))/(ISNUMBER(--MID(G272,ROW(INDIRECT("1:"&amp;LEN(G272)-7)),8))),1),8),"")</f>
        <v/>
      </c>
      <c r="V272" t="inlineStr">
        <is>
          <t>2025-09-30 20:00:00</t>
        </is>
      </c>
    </row>
    <row r="273" ht="30" customFormat="1" customHeight="1" s="45">
      <c r="A273" s="112" t="n"/>
      <c r="B273" s="112" t="n"/>
      <c r="C273" s="112">
        <f>IF(OR(Tabella3[[#This Row],[LUN]]="X",Tabella3[[#This Row],[MAR]]="X",Tabella3[[#This Row],[MER]]="X",Tabella3[[#This Row],[GIO]]="X",Tabella3[[#This Row],[VEN]]="X",),"X","")</f>
        <v/>
      </c>
      <c r="D273" s="113" t="inlineStr">
        <is>
          <t>AREA 3</t>
        </is>
      </c>
      <c r="E273" s="109" t="inlineStr">
        <is>
          <t>543287/C</t>
        </is>
      </c>
      <c r="F273" s="109" t="n">
        <v>700</v>
      </c>
      <c r="G273" s="109" t="inlineStr">
        <is>
          <t>10226805- 07T113I.PV: uscita E101 A/B lato gas D154 (strumento in bad)</t>
        </is>
      </c>
      <c r="H273" s="111" t="n"/>
      <c r="I273" s="111" t="n"/>
      <c r="J273" s="111" t="n"/>
      <c r="K273" s="111" t="n"/>
      <c r="L273" s="111" t="n"/>
      <c r="M273" s="109" t="inlineStr">
        <is>
          <t>DA CHIUDERE</t>
        </is>
      </c>
      <c r="N273" s="109" t="n"/>
      <c r="O273" s="109" t="n"/>
      <c r="P273" s="109" t="n"/>
      <c r="Q273" s="109" t="inlineStr">
        <is>
          <t>SERRAGGIO MORSETTI, LA MISURA SI E' RIPRISTINATA A DCS.</t>
        </is>
      </c>
      <c r="R273" s="110" t="n">
        <v>45847</v>
      </c>
      <c r="S273" s="109" t="inlineStr">
        <is>
          <t>TARASCIO/PARTESANO</t>
        </is>
      </c>
      <c r="T273" s="114">
        <f>IF(AND('Inserimento dati'!$B$3=$H$2, Tabella3[[#This Row],[LUN]]="X"), "X",IF(AND('Inserimento dati'!$B$3=$I$2, Tabella3[[#This Row],[MAR]]="X"), "X", IF(AND('Inserimento dati'!$B$3=$J$2, Tabella3[[#This Row],[MER]]="X"), "X",IF(AND('Inserimento dati'!$B$3=$K$2, Tabella3[[#This Row],[GIO]]="X"), "X", IF(AND('Inserimento dati'!$B$3=$L$2, Tabella3[[#This Row],[VEN]]="X"), "X","")))))</f>
        <v/>
      </c>
      <c r="U273" s="131">
        <f>IFERROR(MID(G273,_xlfn.AGGREGATE(15,6,(ROW(INDIRECT("1:"&amp;LEN(G273)-7)))/(ISNUMBER(--MID(G273,ROW(INDIRECT("1:"&amp;LEN(G273)-7)),8))),1),8),"")</f>
        <v/>
      </c>
      <c r="V273" t="inlineStr">
        <is>
          <t>2025-09-30 20:00:00</t>
        </is>
      </c>
    </row>
    <row r="274" ht="30" customFormat="1" customHeight="1" s="45">
      <c r="A274" s="112" t="n"/>
      <c r="B274" s="112" t="n"/>
      <c r="C274" s="112">
        <f>IF(OR(Tabella3[[#This Row],[LUN]]="X",Tabella3[[#This Row],[MAR]]="X",Tabella3[[#This Row],[MER]]="X",Tabella3[[#This Row],[GIO]]="X",Tabella3[[#This Row],[VEN]]="X",),"X","")</f>
        <v/>
      </c>
      <c r="D274" s="113" t="inlineStr">
        <is>
          <t>AREA 3</t>
        </is>
      </c>
      <c r="E274" s="109" t="inlineStr">
        <is>
          <t>543291/C</t>
        </is>
      </c>
      <c r="F274" s="109" t="n">
        <v>700</v>
      </c>
      <c r="G274" s="109" t="inlineStr">
        <is>
          <t>10226806- 07T114I.PV: uscita E101 C/D lato gas D154 (strumento in bad)</t>
        </is>
      </c>
      <c r="H274" s="111" t="n"/>
      <c r="I274" s="111" t="n"/>
      <c r="J274" s="111" t="n"/>
      <c r="K274" s="111" t="n"/>
      <c r="L274" s="111" t="n"/>
      <c r="M274" s="109" t="inlineStr">
        <is>
          <t>DA CHIUDERE</t>
        </is>
      </c>
      <c r="N274" s="109" t="n"/>
      <c r="O274" s="109" t="n"/>
      <c r="P274" s="109" t="n"/>
      <c r="Q274" s="109" t="inlineStr">
        <is>
          <t>SERRAGGIO MORSETTI, LA MISURA SI E' RIPRISTINATA A DCS.</t>
        </is>
      </c>
      <c r="R274" s="110" t="n">
        <v>45847</v>
      </c>
      <c r="S274" s="109" t="inlineStr">
        <is>
          <t>TARASCIO/PARTESANO</t>
        </is>
      </c>
      <c r="T274" s="114">
        <f>IF(AND('Inserimento dati'!$B$3=$H$2, Tabella3[[#This Row],[LUN]]="X"), "X",IF(AND('Inserimento dati'!$B$3=$I$2, Tabella3[[#This Row],[MAR]]="X"), "X", IF(AND('Inserimento dati'!$B$3=$J$2, Tabella3[[#This Row],[MER]]="X"), "X",IF(AND('Inserimento dati'!$B$3=$K$2, Tabella3[[#This Row],[GIO]]="X"), "X", IF(AND('Inserimento dati'!$B$3=$L$2, Tabella3[[#This Row],[VEN]]="X"), "X","")))))</f>
        <v/>
      </c>
      <c r="U274" s="131">
        <f>IFERROR(MID(G274,_xlfn.AGGREGATE(15,6,(ROW(INDIRECT("1:"&amp;LEN(G274)-7)))/(ISNUMBER(--MID(G274,ROW(INDIRECT("1:"&amp;LEN(G274)-7)),8))),1),8),"")</f>
        <v/>
      </c>
      <c r="V274" t="inlineStr">
        <is>
          <t>2025-09-30 20:00:00</t>
        </is>
      </c>
    </row>
    <row r="275" ht="30" customFormat="1" customHeight="1" s="45">
      <c r="A275" s="112" t="n"/>
      <c r="B275" s="112" t="n">
        <v>2</v>
      </c>
      <c r="C275" s="112">
        <f>IF(OR(Tabella3[[#This Row],[LUN]]="X",Tabella3[[#This Row],[MAR]]="X",Tabella3[[#This Row],[MER]]="X",Tabella3[[#This Row],[GIO]]="X",Tabella3[[#This Row],[VEN]]="X",),"X","")</f>
        <v/>
      </c>
      <c r="D275" s="113" t="inlineStr">
        <is>
          <t>AREA 3</t>
        </is>
      </c>
      <c r="E275" s="109" t="inlineStr">
        <is>
          <t>544286/C</t>
        </is>
      </c>
      <c r="F275" s="109" t="inlineStr">
        <is>
          <t>700A</t>
        </is>
      </c>
      <c r="G275" s="109" t="inlineStr">
        <is>
          <t>10222849 700A - MTZ 07L212RC controllo funzionale E210</t>
        </is>
      </c>
      <c r="H275" s="111" t="n"/>
      <c r="I275" s="111" t="n"/>
      <c r="J275" s="111" t="n"/>
      <c r="K275" s="111" t="n"/>
      <c r="L275" s="111" t="n"/>
      <c r="M275" s="109" t="inlineStr">
        <is>
          <t>DA CHIUDERE</t>
        </is>
      </c>
      <c r="N275" s="109" t="n"/>
      <c r="O275" s="109" t="n"/>
      <c r="P275" s="109" t="n"/>
      <c r="Q275" s="109" t="inlineStr">
        <is>
          <t>LIVELLO FUNZIONANTE, VALVOLA STARATA DEL 30% E RIPRISTINATA LA FUNZIONALITA'</t>
        </is>
      </c>
      <c r="R275" s="110" t="n">
        <v>45852</v>
      </c>
      <c r="S275" s="109" t="inlineStr">
        <is>
          <t>GARRO L.</t>
        </is>
      </c>
      <c r="T275" s="69">
        <f>IF(AND('Inserimento dati'!$B$3=$H$2, Tabella3[[#This Row],[LUN]]="X"), "X",IF(AND('Inserimento dati'!$B$3=$I$2, Tabella3[[#This Row],[MAR]]="X"), "X", IF(AND('Inserimento dati'!$B$3=$J$2, Tabella3[[#This Row],[MER]]="X"), "X",IF(AND('Inserimento dati'!$B$3=$K$2, Tabella3[[#This Row],[GIO]]="X"), "X", IF(AND('Inserimento dati'!$B$3=$L$2, Tabella3[[#This Row],[VEN]]="X"), "X","")))))</f>
        <v/>
      </c>
      <c r="U275" s="144">
        <f>IFERROR(MID(G275,_xlfn.AGGREGATE(15,6,(ROW(INDIRECT("1:"&amp;LEN(G275)-7)))/(ISNUMBER(--MID(G275,ROW(INDIRECT("1:"&amp;LEN(G275)-7)),8))),1),8),"")</f>
        <v/>
      </c>
      <c r="V275" t="inlineStr">
        <is>
          <t>2025-09-30 20:00:00</t>
        </is>
      </c>
    </row>
    <row r="276" ht="30" customFormat="1" customHeight="1" s="45">
      <c r="A276" s="112" t="n"/>
      <c r="B276" s="112" t="n">
        <v>2</v>
      </c>
      <c r="C276" s="112">
        <f>IF(OR(Tabella3[[#This Row],[LUN]]="X",Tabella3[[#This Row],[MAR]]="X",Tabella3[[#This Row],[MER]]="X",Tabella3[[#This Row],[GIO]]="X",Tabella3[[#This Row],[VEN]]="X",),"X","")</f>
        <v/>
      </c>
      <c r="D276" s="113" t="inlineStr">
        <is>
          <t>AREA 3</t>
        </is>
      </c>
      <c r="E276" s="109" t="inlineStr">
        <is>
          <t>544285/C</t>
        </is>
      </c>
      <c r="F276" s="109" t="n">
        <v>2200</v>
      </c>
      <c r="G276" s="109" t="inlineStr">
        <is>
          <t xml:space="preserve">10211871 2200 - 22F301RC controllo funzionale </t>
        </is>
      </c>
      <c r="H276" s="111" t="n"/>
      <c r="I276" s="111" t="n"/>
      <c r="J276" s="111" t="n"/>
      <c r="K276" s="111" t="n"/>
      <c r="L276" s="111" t="n"/>
      <c r="M276" s="109" t="inlineStr">
        <is>
          <t>DA CHIUDERE</t>
        </is>
      </c>
      <c r="N276" s="109" t="n"/>
      <c r="O276" s="109" t="n"/>
      <c r="P276" s="109" t="n"/>
      <c r="Q276" s="109" t="inlineStr">
        <is>
          <t>NESSUNA ANOMALIA DA SEGNALARE. STRUMENTO DOPPIO CON F302I, TRASMETTONO LA STESSA IDENTICA MISURA.</t>
        </is>
      </c>
      <c r="R276" s="110" t="n">
        <v>45853</v>
      </c>
      <c r="S276" s="109" t="inlineStr">
        <is>
          <t>MILLO/ALLEGRETTI</t>
        </is>
      </c>
      <c r="T276" s="69">
        <f>IF(AND('Inserimento dati'!$B$3=$H$2, Tabella3[[#This Row],[LUN]]="X"), "X",IF(AND('Inserimento dati'!$B$3=$I$2, Tabella3[[#This Row],[MAR]]="X"), "X", IF(AND('Inserimento dati'!$B$3=$J$2, Tabella3[[#This Row],[MER]]="X"), "X",IF(AND('Inserimento dati'!$B$3=$K$2, Tabella3[[#This Row],[GIO]]="X"), "X", IF(AND('Inserimento dati'!$B$3=$L$2, Tabella3[[#This Row],[VEN]]="X"), "X","")))))</f>
        <v/>
      </c>
      <c r="U276" s="144">
        <f>IFERROR(MID(G276,_xlfn.AGGREGATE(15,6,(ROW(INDIRECT("1:"&amp;LEN(G276)-7)))/(ISNUMBER(--MID(G276,ROW(INDIRECT("1:"&amp;LEN(G276)-7)),8))),1),8),"")</f>
        <v/>
      </c>
      <c r="V276" t="inlineStr">
        <is>
          <t>2025-09-30 20:00:00</t>
        </is>
      </c>
    </row>
    <row r="277" ht="30" customFormat="1" customHeight="1" s="45">
      <c r="A277" s="112" t="n"/>
      <c r="B277" s="112" t="n"/>
      <c r="C277" s="112">
        <f>IF(OR(Tabella3[[#This Row],[LUN]]="X",Tabella3[[#This Row],[MAR]]="X",Tabella3[[#This Row],[MER]]="X",Tabella3[[#This Row],[GIO]]="X",Tabella3[[#This Row],[VEN]]="X",),"X","")</f>
        <v/>
      </c>
      <c r="D277" s="113" t="inlineStr">
        <is>
          <t>AREA 3</t>
        </is>
      </c>
      <c r="E277" s="109" t="inlineStr">
        <is>
          <t>542283/C</t>
        </is>
      </c>
      <c r="F277" s="109" t="n">
        <v>1400</v>
      </c>
      <c r="G277" s="109" t="inlineStr">
        <is>
          <t>00000001 1400- D102N L102AT/BT CONTROLLO LIVELLI ACCUMULATORE ED EVENTUALI SMONTAGGI/RIMONTAGGI</t>
        </is>
      </c>
      <c r="H277" s="111" t="n"/>
      <c r="I277" s="111" t="n"/>
      <c r="J277" s="111" t="n"/>
      <c r="K277" s="111" t="n"/>
      <c r="L277" s="111" t="n"/>
      <c r="M277" s="109" t="inlineStr">
        <is>
          <t>DA CHIUDERE</t>
        </is>
      </c>
      <c r="N277" s="109" t="n"/>
      <c r="O277" s="109" t="inlineStr">
        <is>
          <t>X</t>
        </is>
      </c>
      <c r="P277" s="109" t="n"/>
      <c r="Q277" s="109" t="inlineStr">
        <is>
          <t>INSTALLATA NUOVA DP</t>
        </is>
      </c>
      <c r="R277" s="110" t="n">
        <v>45840</v>
      </c>
      <c r="S277" s="109" t="inlineStr">
        <is>
          <t>MILLO/ALLEGRETTI</t>
        </is>
      </c>
      <c r="T277" s="114">
        <f>IF(AND('Inserimento dati'!$B$3=$H$2, Tabella3[[#This Row],[LUN]]="X"), "X",IF(AND('Inserimento dati'!$B$3=$I$2, Tabella3[[#This Row],[MAR]]="X"), "X", IF(AND('Inserimento dati'!$B$3=$J$2, Tabella3[[#This Row],[MER]]="X"), "X",IF(AND('Inserimento dati'!$B$3=$K$2, Tabella3[[#This Row],[GIO]]="X"), "X", IF(AND('Inserimento dati'!$B$3=$L$2, Tabella3[[#This Row],[VEN]]="X"), "X","")))))</f>
        <v/>
      </c>
      <c r="U277" s="131">
        <f>IFERROR(MID(G277,_xlfn.AGGREGATE(15,6,(ROW(INDIRECT("1:"&amp;LEN(G277)-7)))/(ISNUMBER(--MID(G277,ROW(INDIRECT("1:"&amp;LEN(G277)-7)),8))),1),8),"")</f>
        <v/>
      </c>
      <c r="V277" t="inlineStr">
        <is>
          <t>2025-09-30 20:00:00</t>
        </is>
      </c>
    </row>
    <row r="278" ht="30" customFormat="1" customHeight="1" s="45">
      <c r="A278" s="112" t="n"/>
      <c r="B278" s="112" t="n"/>
      <c r="C278" s="112">
        <f>IF(OR(Tabella3[[#This Row],[LUN]]="X",Tabella3[[#This Row],[MAR]]="X",Tabella3[[#This Row],[MER]]="X",Tabella3[[#This Row],[GIO]]="X",Tabella3[[#This Row],[VEN]]="X",),"X","")</f>
        <v/>
      </c>
      <c r="D278" s="113" t="inlineStr">
        <is>
          <t>AREA 3</t>
        </is>
      </c>
      <c r="E278" s="109" t="inlineStr">
        <is>
          <t>544772/C</t>
        </is>
      </c>
      <c r="F278" s="109" t="n">
        <v>1400</v>
      </c>
      <c r="G278" s="109" t="inlineStr">
        <is>
          <t>1400L201RC (LIV.CONDENSATO A E203)CONTROLLO E RIPRISTINO FUNZIONALITA LIVELLO</t>
        </is>
      </c>
      <c r="H278" s="111" t="n"/>
      <c r="I278" s="111" t="n"/>
      <c r="J278" s="111" t="n"/>
      <c r="K278" s="111" t="n"/>
      <c r="L278" s="111" t="n"/>
      <c r="M278" s="109" t="inlineStr">
        <is>
          <t>DA CHIUDERE</t>
        </is>
      </c>
      <c r="N278" s="109" t="n"/>
      <c r="O278" s="109" t="n"/>
      <c r="P278" s="109" t="n"/>
      <c r="Q278" s="109" t="inlineStr">
        <is>
          <t>SOSTITUITO STRUMENTO</t>
        </is>
      </c>
      <c r="R278" s="110" t="n">
        <v>45855</v>
      </c>
      <c r="S278" s="109" t="inlineStr">
        <is>
          <t>MILLO/ALLEGRETTI</t>
        </is>
      </c>
      <c r="T278" s="114">
        <f>IF(AND('Inserimento dati'!$B$3=$H$2, Tabella3[[#This Row],[LUN]]="X"), "X",IF(AND('Inserimento dati'!$B$3=$I$2, Tabella3[[#This Row],[MAR]]="X"), "X", IF(AND('Inserimento dati'!$B$3=$J$2, Tabella3[[#This Row],[MER]]="X"), "X",IF(AND('Inserimento dati'!$B$3=$K$2, Tabella3[[#This Row],[GIO]]="X"), "X", IF(AND('Inserimento dati'!$B$3=$L$2, Tabella3[[#This Row],[VEN]]="X"), "X","")))))</f>
        <v/>
      </c>
      <c r="U278" s="93">
        <f>IFERROR(MID(G278,_xlfn.AGGREGATE(15,6,(ROW(INDIRECT("1:"&amp;LEN(G278)-7)))/(ISNUMBER(--MID(G278,ROW(INDIRECT("1:"&amp;LEN(G278)-7)),8))),1),8),"")</f>
        <v/>
      </c>
      <c r="V278" t="inlineStr">
        <is>
          <t>2025-09-30 20:00:00</t>
        </is>
      </c>
    </row>
    <row r="279" ht="30" customFormat="1" customHeight="1" s="45">
      <c r="A279" s="112" t="n"/>
      <c r="B279" s="112" t="n"/>
      <c r="C279" s="112">
        <f>IF(OR(Tabella3[[#This Row],[LUN]]="X",Tabella3[[#This Row],[MAR]]="X",Tabella3[[#This Row],[MER]]="X",Tabella3[[#This Row],[GIO]]="X",Tabella3[[#This Row],[VEN]]="X",),"X","")</f>
        <v/>
      </c>
      <c r="D279" s="113" t="inlineStr">
        <is>
          <t>AREA 3</t>
        </is>
      </c>
      <c r="E279" s="109" t="inlineStr">
        <is>
          <t>544806/C</t>
        </is>
      </c>
      <c r="F279" s="109" t="n">
        <v>700</v>
      </c>
      <c r="G279" s="109" t="inlineStr">
        <is>
          <t>700P101CSL (BASSA PRESSIONE OLIO LUBE P101C)CONTROLLO E RIPRISTINO FUNZIONALITA PRESSOSTATO</t>
        </is>
      </c>
      <c r="H279" s="111" t="n"/>
      <c r="I279" s="111" t="n"/>
      <c r="J279" s="111" t="n"/>
      <c r="K279" s="111" t="n"/>
      <c r="L279" s="111" t="n"/>
      <c r="M279" s="109" t="inlineStr">
        <is>
          <t>DA CHIUDERE</t>
        </is>
      </c>
      <c r="N279" s="109" t="n"/>
      <c r="O279" s="109" t="n"/>
      <c r="P279" s="109" t="n"/>
      <c r="Q279" s="109" t="inlineStr">
        <is>
          <t>STARATO DI ZERO, CORRETTO E RIPRISTINATA LA FUNZIONALITA'</t>
        </is>
      </c>
      <c r="R279" s="110" t="n">
        <v>45855</v>
      </c>
      <c r="S279" s="109" t="inlineStr">
        <is>
          <t>SPINALI</t>
        </is>
      </c>
      <c r="T279" s="114">
        <f>IF(AND('Inserimento dati'!$B$3=$H$2, Tabella3[[#This Row],[LUN]]="X"), "X",IF(AND('Inserimento dati'!$B$3=$I$2, Tabella3[[#This Row],[MAR]]="X"), "X", IF(AND('Inserimento dati'!$B$3=$J$2, Tabella3[[#This Row],[MER]]="X"), "X",IF(AND('Inserimento dati'!$B$3=$K$2, Tabella3[[#This Row],[GIO]]="X"), "X", IF(AND('Inserimento dati'!$B$3=$L$2, Tabella3[[#This Row],[VEN]]="X"), "X","")))))</f>
        <v/>
      </c>
      <c r="U279" s="93">
        <f>IFERROR(MID(G279,_xlfn.AGGREGATE(15,6,(ROW(INDIRECT("1:"&amp;LEN(G279)-7)))/(ISNUMBER(--MID(G279,ROW(INDIRECT("1:"&amp;LEN(G279)-7)),8))),1),8),"")</f>
        <v/>
      </c>
      <c r="V279" t="inlineStr">
        <is>
          <t>2025-09-30 20:00:00</t>
        </is>
      </c>
    </row>
    <row r="280" ht="45" customFormat="1" customHeight="1" s="45">
      <c r="A280" s="112" t="n"/>
      <c r="B280" s="112" t="n"/>
      <c r="C280" s="112">
        <f>IF(OR(Tabella3[[#This Row],[LUN]]="X",Tabella3[[#This Row],[MAR]]="X",Tabella3[[#This Row],[MER]]="X",Tabella3[[#This Row],[GIO]]="X",Tabella3[[#This Row],[VEN]]="X",),"X","")</f>
        <v/>
      </c>
      <c r="D280" s="113" t="inlineStr">
        <is>
          <t>AREA 3</t>
        </is>
      </c>
      <c r="E280" s="109" t="inlineStr">
        <is>
          <t>545204/C</t>
        </is>
      </c>
      <c r="F280" s="109" t="n">
        <v>2400</v>
      </c>
      <c r="G280" s="109" t="inlineStr">
        <is>
          <t>10227611  2400:  VERIFICA E TARATURA 24L606RC</t>
        </is>
      </c>
      <c r="H280" s="111" t="n"/>
      <c r="I280" s="111" t="n"/>
      <c r="J280" s="111" t="n"/>
      <c r="K280" s="111" t="n"/>
      <c r="L280" s="111" t="n"/>
      <c r="M280" s="109" t="inlineStr">
        <is>
          <t>DA CHIUDERE</t>
        </is>
      </c>
      <c r="N280" s="109" t="n"/>
      <c r="O280" s="109" t="n"/>
      <c r="P280" s="109" t="n"/>
      <c r="Q280" s="109" t="inlineStr">
        <is>
          <t>NULLA DA SEGNALARE SUL LIVELLO TRASMESSO, FUNZIONANTE ED ALLINEATO AL VISIVO. IL LIVELLOSTATO DI ALTO L-607HA ERA IN ALLARME NON VERITIERO, CONTROLLATO E SISTEMATO.</t>
        </is>
      </c>
      <c r="R280" s="110" t="n">
        <v>45859</v>
      </c>
      <c r="S280" s="109" t="inlineStr">
        <is>
          <t>MILLO</t>
        </is>
      </c>
      <c r="T280" s="114">
        <f>IF(AND('Inserimento dati'!$B$3=$H$2, Tabella3[[#This Row],[LUN]]="X"), "X",IF(AND('Inserimento dati'!$B$3=$I$2, Tabella3[[#This Row],[MAR]]="X"), "X", IF(AND('Inserimento dati'!$B$3=$J$2, Tabella3[[#This Row],[MER]]="X"), "X",IF(AND('Inserimento dati'!$B$3=$K$2, Tabella3[[#This Row],[GIO]]="X"), "X", IF(AND('Inserimento dati'!$B$3=$L$2, Tabella3[[#This Row],[VEN]]="X"), "X","")))))</f>
        <v/>
      </c>
      <c r="U280" s="93">
        <f>IFERROR(MID(G280,_xlfn.AGGREGATE(15,6,(ROW(INDIRECT("1:"&amp;LEN(G280)-7)))/(ISNUMBER(--MID(G280,ROW(INDIRECT("1:"&amp;LEN(G280)-7)),8))),1),8),"")</f>
        <v/>
      </c>
      <c r="V280" t="inlineStr">
        <is>
          <t>2025-09-30 20:00:00</t>
        </is>
      </c>
    </row>
    <row r="281" ht="45" customFormat="1" customHeight="1" s="45">
      <c r="A281" s="112" t="inlineStr">
        <is>
          <t>X</t>
        </is>
      </c>
      <c r="B281" s="112" t="n"/>
      <c r="C281" s="112">
        <f>IF(OR(Tabella3[[#This Row],[LUN]]="X",Tabella3[[#This Row],[MAR]]="X",Tabella3[[#This Row],[MER]]="X",Tabella3[[#This Row],[GIO]]="X",Tabella3[[#This Row],[VEN]]="X",),"X","")</f>
        <v/>
      </c>
      <c r="D281" s="113" t="inlineStr">
        <is>
          <t>AREA 3</t>
        </is>
      </c>
      <c r="E281" s="109" t="inlineStr">
        <is>
          <t>544100/C</t>
        </is>
      </c>
      <c r="F281" s="109" t="n">
        <v>1200</v>
      </c>
      <c r="G281" s="109" t="inlineStr">
        <is>
          <t>SD 1200/4 - SOSTITUZIONE TERMOMETRI (0-200c) E MANOMETRI (0-6 BAR) D101-102 E CIRCUITI UTILITIES PRESSO LIMITE BATTERIA. (N3 TERMOMETRI 0-250C)-(N3 MANOMETRI 0-10,n3 0-25, N3 0-60 BAR)</t>
        </is>
      </c>
      <c r="H281" s="111" t="n"/>
      <c r="I281" s="111" t="n"/>
      <c r="J281" s="111" t="n"/>
      <c r="K281" s="111" t="n"/>
      <c r="L281" s="111" t="n"/>
      <c r="M281" s="109" t="inlineStr">
        <is>
          <t>DA CHIUDERE</t>
        </is>
      </c>
      <c r="N281" s="109" t="n"/>
      <c r="O281" s="109" t="n"/>
      <c r="P281" s="109" t="n"/>
      <c r="Q281" s="109" t="n"/>
      <c r="R281" s="110" t="n"/>
      <c r="S281" s="109" t="n"/>
      <c r="T281" s="114">
        <f>IF(AND('Inserimento dati'!$B$3=$H$2, Tabella3[[#This Row],[LUN]]="X"), "X",IF(AND('Inserimento dati'!$B$3=$I$2, Tabella3[[#This Row],[MAR]]="X"), "X", IF(AND('Inserimento dati'!$B$3=$J$2, Tabella3[[#This Row],[MER]]="X"), "X",IF(AND('Inserimento dati'!$B$3=$K$2, Tabella3[[#This Row],[GIO]]="X"), "X", IF(AND('Inserimento dati'!$B$3=$L$2, Tabella3[[#This Row],[VEN]]="X"), "X","")))))</f>
        <v/>
      </c>
      <c r="U281" s="93">
        <f>IFERROR(MID(G281,_xlfn.AGGREGATE(15,6,(ROW(INDIRECT("1:"&amp;LEN(G281)-7)))/(ISNUMBER(--MID(G281,ROW(INDIRECT("1:"&amp;LEN(G281)-7)),8))),1),8),"")</f>
        <v/>
      </c>
      <c r="V281" t="inlineStr">
        <is>
          <t>2025-09-30 20:00:00</t>
        </is>
      </c>
    </row>
    <row r="282" ht="45" customFormat="1" customHeight="1" s="45">
      <c r="A282" s="112" t="n"/>
      <c r="B282" s="112" t="n"/>
      <c r="C282" s="112">
        <f>IF(OR(Tabella3[[#This Row],[LUN]]="X",Tabella3[[#This Row],[MAR]]="X",Tabella3[[#This Row],[MER]]="X",Tabella3[[#This Row],[GIO]]="X",Tabella3[[#This Row],[VEN]]="X",),"X","")</f>
        <v/>
      </c>
      <c r="D282" s="113" t="inlineStr">
        <is>
          <t>AREA 3</t>
        </is>
      </c>
      <c r="E282" s="109" t="inlineStr">
        <is>
          <t>544667/C</t>
        </is>
      </c>
      <c r="F282" s="109" t="n">
        <v>1800</v>
      </c>
      <c r="G282" s="109" t="inlineStr">
        <is>
          <t>10227342 1800/P102C  18T330I necessita controllo ed eventuale ripristino</t>
        </is>
      </c>
      <c r="H282" s="111" t="n"/>
      <c r="I282" s="111" t="n"/>
      <c r="J282" s="111" t="n"/>
      <c r="K282" s="111" t="n"/>
      <c r="L282" s="111" t="n"/>
      <c r="M282" s="109" t="inlineStr">
        <is>
          <t>DA CHIUDERE</t>
        </is>
      </c>
      <c r="N282" s="109" t="n"/>
      <c r="O282" s="109" t="n"/>
      <c r="P282" s="109" t="n"/>
      <c r="Q282" s="109" t="inlineStr">
        <is>
          <t>TROVATO FILO LENTO SULLA TESTINA, RIPRISTINATO E STAFFATA TERMORESISTENZA. ALLINEATA MISURA CON SALA CONTROLLO. IN CAMPO IL TAG E' TI339E.</t>
        </is>
      </c>
      <c r="R282" s="110" t="n">
        <v>45861</v>
      </c>
      <c r="S282" s="109" t="inlineStr">
        <is>
          <t>MILLO</t>
        </is>
      </c>
      <c r="T282" s="114">
        <f>IF(AND('Inserimento dati'!$B$3=$H$2, Tabella3[[#This Row],[LUN]]="X"), "X",IF(AND('Inserimento dati'!$B$3=$I$2, Tabella3[[#This Row],[MAR]]="X"), "X", IF(AND('Inserimento dati'!$B$3=$J$2, Tabella3[[#This Row],[MER]]="X"), "X",IF(AND('Inserimento dati'!$B$3=$K$2, Tabella3[[#This Row],[GIO]]="X"), "X", IF(AND('Inserimento dati'!$B$3=$L$2, Tabella3[[#This Row],[VEN]]="X"), "X","")))))</f>
        <v/>
      </c>
      <c r="U282" s="93">
        <f>IFERROR(MID(G282,_xlfn.AGGREGATE(15,6,(ROW(INDIRECT("1:"&amp;LEN(G282)-7)))/(ISNUMBER(--MID(G282,ROW(INDIRECT("1:"&amp;LEN(G282)-7)),8))),1),8),"")</f>
        <v/>
      </c>
      <c r="V282" t="inlineStr">
        <is>
          <t>2025-09-30 20:00:00</t>
        </is>
      </c>
    </row>
    <row r="283" ht="23.25" customFormat="1" customHeight="1" s="45">
      <c r="A283" s="112" t="n"/>
      <c r="B283" s="112" t="n"/>
      <c r="C283" s="112">
        <f>IF(OR(Tabella3[[#This Row],[LUN]]="X",Tabella3[[#This Row],[MAR]]="X",Tabella3[[#This Row],[MER]]="X",Tabella3[[#This Row],[GIO]]="X",Tabella3[[#This Row],[VEN]]="X",),"X","")</f>
        <v/>
      </c>
      <c r="D283" s="113" t="inlineStr">
        <is>
          <t>AREA 3</t>
        </is>
      </c>
      <c r="E283" s="109" t="inlineStr">
        <is>
          <t>543688/C</t>
        </is>
      </c>
      <c r="F283" s="109" t="n">
        <v>2400</v>
      </c>
      <c r="G283" s="109" t="inlineStr">
        <is>
          <t>10226982   2400-1-F606R controllo funzionale</t>
        </is>
      </c>
      <c r="H283" s="111" t="n"/>
      <c r="I283" s="111" t="n"/>
      <c r="J283" s="111" t="n"/>
      <c r="K283" s="111" t="n"/>
      <c r="L283" s="111" t="n"/>
      <c r="M283" s="109" t="inlineStr">
        <is>
          <t>DA CHIUDERE</t>
        </is>
      </c>
      <c r="N283" s="109" t="n"/>
      <c r="O283" s="109" t="n"/>
      <c r="P283" s="109" t="n"/>
      <c r="Q283" s="109" t="inlineStr">
        <is>
          <t xml:space="preserve">ESEGUITO CONTROLLO FUNZIONALE </t>
        </is>
      </c>
      <c r="R283" s="110" t="n">
        <v>45855</v>
      </c>
      <c r="S283" s="109" t="inlineStr">
        <is>
          <t>MILLO</t>
        </is>
      </c>
      <c r="T283" s="114">
        <f>IF(AND('Inserimento dati'!$B$3=$H$2, Tabella3[[#This Row],[LUN]]="X"), "X",IF(AND('Inserimento dati'!$B$3=$I$2, Tabella3[[#This Row],[MAR]]="X"), "X", IF(AND('Inserimento dati'!$B$3=$J$2, Tabella3[[#This Row],[MER]]="X"), "X",IF(AND('Inserimento dati'!$B$3=$K$2, Tabella3[[#This Row],[GIO]]="X"), "X", IF(AND('Inserimento dati'!$B$3=$L$2, Tabella3[[#This Row],[VEN]]="X"), "X","")))))</f>
        <v/>
      </c>
      <c r="U283" s="131">
        <f>IFERROR(MID(G283,_xlfn.AGGREGATE(15,6,(ROW(INDIRECT("1:"&amp;LEN(G283)-7)))/(ISNUMBER(--MID(G283,ROW(INDIRECT("1:"&amp;LEN(G283)-7)),8))),1),8),"")</f>
        <v/>
      </c>
      <c r="V283" t="inlineStr">
        <is>
          <t>2025-09-30 20:00:00</t>
        </is>
      </c>
    </row>
    <row r="284" ht="30" customFormat="1" customHeight="1" s="45">
      <c r="A284" s="112" t="n"/>
      <c r="B284" s="112" t="n"/>
      <c r="C284" s="112">
        <f>IF(OR(Tabella3[[#This Row],[LUN]]="X",Tabella3[[#This Row],[MAR]]="X",Tabella3[[#This Row],[MER]]="X",Tabella3[[#This Row],[GIO]]="X",Tabella3[[#This Row],[VEN]]="X",),"X","")</f>
        <v/>
      </c>
      <c r="D284" s="113" t="inlineStr">
        <is>
          <t>AREA 3</t>
        </is>
      </c>
      <c r="E284" s="109" t="inlineStr">
        <is>
          <t>545796/C</t>
        </is>
      </c>
      <c r="F284" s="109" t="n">
        <v>1800</v>
      </c>
      <c r="G284" s="109" t="inlineStr">
        <is>
          <t>10227903  1800: MTZ FCV045 controllo e ripristino funzionalit</t>
        </is>
      </c>
      <c r="H284" s="111" t="n"/>
      <c r="I284" s="111" t="n"/>
      <c r="J284" s="111" t="n"/>
      <c r="K284" s="111" t="n"/>
      <c r="L284" s="111" t="n"/>
      <c r="M284" s="109" t="inlineStr">
        <is>
          <t>DA CHIUDERE</t>
        </is>
      </c>
      <c r="N284" s="109" t="n"/>
      <c r="O284" s="109" t="n"/>
      <c r="P284" s="109" t="n"/>
      <c r="Q284" s="109" t="inlineStr">
        <is>
          <t>TIRATO PRESSATRECCIA VALVOLA PER PERDITA PRODOTTO. CONTROLLO FUNZIONALE, OK. VALVOLA CONSEGNATA</t>
        </is>
      </c>
      <c r="R284" s="110" t="n">
        <v>45867</v>
      </c>
      <c r="S284" s="109" t="inlineStr">
        <is>
          <t>GARRO/MILLO</t>
        </is>
      </c>
      <c r="T284" s="114">
        <f>IF(AND('Inserimento dati'!$B$3=$H$2, Tabella3[[#This Row],[LUN]]="X"), "X",IF(AND('Inserimento dati'!$B$3=$I$2, Tabella3[[#This Row],[MAR]]="X"), "X", IF(AND('Inserimento dati'!$B$3=$J$2, Tabella3[[#This Row],[MER]]="X"), "X",IF(AND('Inserimento dati'!$B$3=$K$2, Tabella3[[#This Row],[GIO]]="X"), "X", IF(AND('Inserimento dati'!$B$3=$L$2, Tabella3[[#This Row],[VEN]]="X"), "X","")))))</f>
        <v/>
      </c>
      <c r="U284" s="93">
        <f>IFERROR(MID(G284,_xlfn.AGGREGATE(15,6,(ROW(INDIRECT("1:"&amp;LEN(G284)-7)))/(ISNUMBER(--MID(G284,ROW(INDIRECT("1:"&amp;LEN(G284)-7)),8))),1),8),"")</f>
        <v/>
      </c>
      <c r="V284" t="inlineStr">
        <is>
          <t>2025-09-30 20:00:00</t>
        </is>
      </c>
    </row>
    <row r="285" ht="30" customFormat="1" customHeight="1" s="45">
      <c r="A285" s="112" t="n"/>
      <c r="B285" s="112" t="n"/>
      <c r="C285" s="112">
        <f>IF(OR(Tabella3[[#This Row],[LUN]]="X",Tabella3[[#This Row],[MAR]]="X",Tabella3[[#This Row],[MER]]="X",Tabella3[[#This Row],[GIO]]="X",Tabella3[[#This Row],[VEN]]="X",),"X","")</f>
        <v/>
      </c>
      <c r="D285" s="113" t="inlineStr">
        <is>
          <t>AREA 3</t>
        </is>
      </c>
      <c r="E285" s="109" t="inlineStr">
        <is>
          <t>545703/C</t>
        </is>
      </c>
      <c r="F285" s="109" t="n">
        <v>1800</v>
      </c>
      <c r="G285" s="109" t="inlineStr">
        <is>
          <t>18000155950  1800 - P102A Smontaggio/Rimontaggio sonda supporto cuscinetto LOG</t>
        </is>
      </c>
      <c r="H285" s="111" t="n"/>
      <c r="I285" s="111" t="n"/>
      <c r="J285" s="111" t="n"/>
      <c r="K285" s="111" t="n"/>
      <c r="L285" s="111" t="n"/>
      <c r="M285" s="109" t="inlineStr">
        <is>
          <t>DA CHIUDERE</t>
        </is>
      </c>
      <c r="N285" s="109" t="n"/>
      <c r="O285" s="109" t="n"/>
      <c r="P285" s="109" t="n"/>
      <c r="Q285" s="109" t="inlineStr">
        <is>
          <t xml:space="preserve">SMONTATE E RIMONTATE SONDE.
</t>
        </is>
      </c>
      <c r="R285" s="110" t="n">
        <v>45868</v>
      </c>
      <c r="S285" s="109" t="inlineStr">
        <is>
          <t>MILLO</t>
        </is>
      </c>
      <c r="T285" s="114">
        <f>IF(AND('Inserimento dati'!$B$3=$H$2, Tabella3[[#This Row],[LUN]]="X"), "X",IF(AND('Inserimento dati'!$B$3=$I$2, Tabella3[[#This Row],[MAR]]="X"), "X", IF(AND('Inserimento dati'!$B$3=$J$2, Tabella3[[#This Row],[MER]]="X"), "X",IF(AND('Inserimento dati'!$B$3=$K$2, Tabella3[[#This Row],[GIO]]="X"), "X", IF(AND('Inserimento dati'!$B$3=$L$2, Tabella3[[#This Row],[VEN]]="X"), "X","")))))</f>
        <v/>
      </c>
      <c r="U285" s="93">
        <f>IFERROR(MID(G285,_xlfn.AGGREGATE(15,6,(ROW(INDIRECT("1:"&amp;LEN(G285)-7)))/(ISNUMBER(--MID(G285,ROW(INDIRECT("1:"&amp;LEN(G285)-7)),8))),1),8),"")</f>
        <v/>
      </c>
      <c r="V285" t="inlineStr">
        <is>
          <t>2025-09-30 20:00:00</t>
        </is>
      </c>
    </row>
    <row r="286" ht="45" customFormat="1" customHeight="1" s="45">
      <c r="A286" s="112" t="n"/>
      <c r="B286" s="112" t="n"/>
      <c r="C286" s="112">
        <f>IF(OR(Tabella3[[#This Row],[LUN]]="X",Tabella3[[#This Row],[MAR]]="X",Tabella3[[#This Row],[MER]]="X",Tabella3[[#This Row],[GIO]]="X",Tabella3[[#This Row],[VEN]]="X",),"X","")</f>
        <v/>
      </c>
      <c r="D286" s="113" t="inlineStr">
        <is>
          <t>AREA 3</t>
        </is>
      </c>
      <c r="E286" s="109" t="inlineStr">
        <is>
          <t>545915/C</t>
        </is>
      </c>
      <c r="F286" s="109" t="inlineStr">
        <is>
          <t>2200 BD</t>
        </is>
      </c>
      <c r="G286" s="109" t="inlineStr">
        <is>
          <t>10227999  2200: MTZ 22L534R controllo e ripristino</t>
        </is>
      </c>
      <c r="H286" s="111" t="n"/>
      <c r="I286" s="111" t="n"/>
      <c r="J286" s="111" t="n"/>
      <c r="K286" s="111" t="n"/>
      <c r="L286" s="111" t="n"/>
      <c r="M286" s="109" t="inlineStr">
        <is>
          <t>DA CHIUDERE</t>
        </is>
      </c>
      <c r="N286" s="109" t="n"/>
      <c r="O286" s="109" t="n"/>
      <c r="P286" s="109" t="n"/>
      <c r="Q286" s="109" t="inlineStr">
        <is>
          <t>GRUPPO BYPASS STRUMENTO CON MANIFOLD SPEZZATO. DA SOSTITUIRE INSIEME A STRUMENTO OBSOLETO.
SOSTITUITO LIVELLO, ESEHUITA TARATURA E CONSEGNATO AD ESE.</t>
        </is>
      </c>
      <c r="R286" s="110" t="n">
        <v>45868</v>
      </c>
      <c r="S286" s="109" t="inlineStr">
        <is>
          <t>MILLO</t>
        </is>
      </c>
      <c r="T286" s="114">
        <f>IF(AND('Inserimento dati'!$B$3=$H$2, Tabella3[[#This Row],[LUN]]="X"), "X",IF(AND('Inserimento dati'!$B$3=$I$2, Tabella3[[#This Row],[MAR]]="X"), "X", IF(AND('Inserimento dati'!$B$3=$J$2, Tabella3[[#This Row],[MER]]="X"), "X",IF(AND('Inserimento dati'!$B$3=$K$2, Tabella3[[#This Row],[GIO]]="X"), "X", IF(AND('Inserimento dati'!$B$3=$L$2, Tabella3[[#This Row],[VEN]]="X"), "X","")))))</f>
        <v/>
      </c>
      <c r="U286" s="93">
        <f>IFERROR(MID(G286,_xlfn.AGGREGATE(15,6,(ROW(INDIRECT("1:"&amp;LEN(G286)-7)))/(ISNUMBER(--MID(G286,ROW(INDIRECT("1:"&amp;LEN(G286)-7)),8))),1),8),"")</f>
        <v/>
      </c>
      <c r="V286" t="inlineStr">
        <is>
          <t>2025-09-30 20:00:00</t>
        </is>
      </c>
    </row>
    <row r="287" ht="30" customFormat="1" customHeight="1" s="45">
      <c r="A287" s="112" t="n"/>
      <c r="B287" s="112" t="n"/>
      <c r="C287" s="112">
        <f>IF(OR(Tabella3[[#This Row],[LUN]]="X",Tabella3[[#This Row],[MAR]]="X",Tabella3[[#This Row],[MER]]="X",Tabella3[[#This Row],[GIO]]="X",Tabella3[[#This Row],[VEN]]="X",),"X","")</f>
        <v/>
      </c>
      <c r="D287" s="113" t="inlineStr">
        <is>
          <t>AREA 3</t>
        </is>
      </c>
      <c r="E287" s="109" t="inlineStr">
        <is>
          <t>544577/C</t>
        </is>
      </c>
      <c r="F287" s="109" t="n">
        <v>1100</v>
      </c>
      <c r="G287" s="109" t="inlineStr">
        <is>
          <t>10227311  imp. 1100 TRC007 IN BAD controllo e ripristino funzionale</t>
        </is>
      </c>
      <c r="H287" s="111" t="n"/>
      <c r="I287" s="111" t="n"/>
      <c r="J287" s="111" t="n"/>
      <c r="K287" s="111" t="n"/>
      <c r="L287" s="111" t="n"/>
      <c r="M287" s="109" t="inlineStr">
        <is>
          <t>DA CHIUDERE</t>
        </is>
      </c>
      <c r="N287" s="109" t="n"/>
      <c r="O287" s="109" t="n"/>
      <c r="P287" s="109" t="n"/>
      <c r="Q287" s="109" t="inlineStr">
        <is>
          <t>TROVATA POLARITA' INVERTITA SU SEGNALE ANALOGICO. SISTEMATA ED ALLINEATA MISURA A DCS</t>
        </is>
      </c>
      <c r="R287" s="110" t="n"/>
      <c r="S287" s="109" t="n"/>
      <c r="T287" s="114">
        <f>IF(AND('Inserimento dati'!$B$3=$H$2, Tabella3[[#This Row],[LUN]]="X"), "X",IF(AND('Inserimento dati'!$B$3=$I$2, Tabella3[[#This Row],[MAR]]="X"), "X", IF(AND('Inserimento dati'!$B$3=$J$2, Tabella3[[#This Row],[MER]]="X"), "X",IF(AND('Inserimento dati'!$B$3=$K$2, Tabella3[[#This Row],[GIO]]="X"), "X", IF(AND('Inserimento dati'!$B$3=$L$2, Tabella3[[#This Row],[VEN]]="X"), "X","")))))</f>
        <v/>
      </c>
      <c r="U287" s="131">
        <f>IFERROR(MID(G287,_xlfn.AGGREGATE(15,6,(ROW(INDIRECT("1:"&amp;LEN(G287)-7)))/(ISNUMBER(--MID(G287,ROW(INDIRECT("1:"&amp;LEN(G287)-7)),8))),1),8),"")</f>
        <v/>
      </c>
      <c r="V287" t="inlineStr">
        <is>
          <t>2025-09-30 20:00:00</t>
        </is>
      </c>
    </row>
    <row r="288" ht="23.25" customFormat="1" customHeight="1" s="45">
      <c r="A288" s="112" t="n"/>
      <c r="B288" s="112" t="n"/>
      <c r="C288" s="112">
        <f>IF(OR(Tabella3[[#This Row],[LUN]]="X",Tabella3[[#This Row],[MAR]]="X",Tabella3[[#This Row],[MER]]="X",Tabella3[[#This Row],[GIO]]="X",Tabella3[[#This Row],[VEN]]="X",),"X","")</f>
        <v/>
      </c>
      <c r="D288" s="113" t="inlineStr">
        <is>
          <t>AREA 3</t>
        </is>
      </c>
      <c r="E288" s="109" t="inlineStr">
        <is>
          <t>545575/C</t>
        </is>
      </c>
      <c r="F288" s="109" t="n">
        <v>700</v>
      </c>
      <c r="G288" s="109" t="inlineStr">
        <is>
          <t>10227790 - 700: VERIFICA 07T165I</t>
        </is>
      </c>
      <c r="H288" s="111" t="n"/>
      <c r="I288" s="111" t="n"/>
      <c r="J288" s="111" t="n"/>
      <c r="K288" s="111" t="n"/>
      <c r="L288" s="111" t="n"/>
      <c r="M288" s="109" t="inlineStr">
        <is>
          <t>DA CHIUDERE</t>
        </is>
      </c>
      <c r="N288" s="109" t="n"/>
      <c r="O288" s="109" t="n"/>
      <c r="P288" s="109" t="n"/>
      <c r="Q288" s="109" t="inlineStr">
        <is>
          <t>NULLA DA SEGNALARE .</t>
        </is>
      </c>
      <c r="R288" s="110" t="n"/>
      <c r="S288" s="109" t="n"/>
      <c r="T288" s="114">
        <f>IF(AND('Inserimento dati'!$B$3=$H$2, Tabella3[[#This Row],[LUN]]="X"), "X",IF(AND('Inserimento dati'!$B$3=$I$2, Tabella3[[#This Row],[MAR]]="X"), "X", IF(AND('Inserimento dati'!$B$3=$J$2, Tabella3[[#This Row],[MER]]="X"), "X",IF(AND('Inserimento dati'!$B$3=$K$2, Tabella3[[#This Row],[GIO]]="X"), "X", IF(AND('Inserimento dati'!$B$3=$L$2, Tabella3[[#This Row],[VEN]]="X"), "X","")))))</f>
        <v/>
      </c>
      <c r="U288" s="93">
        <f>IFERROR(MID(G288,_xlfn.AGGREGATE(15,6,(ROW(INDIRECT("1:"&amp;LEN(G288)-7)))/(ISNUMBER(--MID(G288,ROW(INDIRECT("1:"&amp;LEN(G288)-7)),8))),1),8),"")</f>
        <v/>
      </c>
      <c r="V288" t="inlineStr">
        <is>
          <t>2025-09-30 20:00:00</t>
        </is>
      </c>
    </row>
    <row r="289" ht="30" customFormat="1" customHeight="1" s="45">
      <c r="A289" s="112" t="n"/>
      <c r="B289" s="112" t="n"/>
      <c r="C289" s="112">
        <f>IF(OR(Tabella3[[#This Row],[LUN]]="X",Tabella3[[#This Row],[MAR]]="X",Tabella3[[#This Row],[MER]]="X",Tabella3[[#This Row],[GIO]]="X",Tabella3[[#This Row],[VEN]]="X",),"X","")</f>
        <v/>
      </c>
      <c r="D289" s="113" t="inlineStr">
        <is>
          <t>AREA 3</t>
        </is>
      </c>
      <c r="E289" s="109" t="inlineStr">
        <is>
          <t>543499/C</t>
        </is>
      </c>
      <c r="F289" s="109" t="n">
        <v>700</v>
      </c>
      <c r="G289" s="109" t="inlineStr">
        <is>
          <t>10226908 700: Controllo pressostato LUBE P101C   pressostato7P101cSL</t>
        </is>
      </c>
      <c r="H289" s="111" t="n"/>
      <c r="I289" s="111" t="n"/>
      <c r="J289" s="111" t="n"/>
      <c r="K289" s="111" t="n"/>
      <c r="L289" s="111" t="n"/>
      <c r="M289" s="109" t="inlineStr">
        <is>
          <t>DA CHIUDERE</t>
        </is>
      </c>
      <c r="N289" s="109" t="n"/>
      <c r="O289" s="109" t="n"/>
      <c r="P289" s="109" t="n"/>
      <c r="Q289" s="109" t="inlineStr">
        <is>
          <t>LINEA TAPPATA. NESSUNA ANOMALIA SU PRESSOSTATO. RIPRISTINATA FUNZIONALITA'</t>
        </is>
      </c>
      <c r="R289" s="110" t="n">
        <v>45754</v>
      </c>
      <c r="S289" s="109" t="inlineStr">
        <is>
          <t>TARASCIO</t>
        </is>
      </c>
      <c r="T289" s="114">
        <f>IF(AND('Inserimento dati'!$B$3=$H$2, Tabella3[[#This Row],[LUN]]="X"), "X",IF(AND('Inserimento dati'!$B$3=$I$2, Tabella3[[#This Row],[MAR]]="X"), "X", IF(AND('Inserimento dati'!$B$3=$J$2, Tabella3[[#This Row],[MER]]="X"), "X",IF(AND('Inserimento dati'!$B$3=$K$2, Tabella3[[#This Row],[GIO]]="X"), "X", IF(AND('Inserimento dati'!$B$3=$L$2, Tabella3[[#This Row],[VEN]]="X"), "X","")))))</f>
        <v/>
      </c>
      <c r="U289" s="131">
        <f>IFERROR(MID(G289,_xlfn.AGGREGATE(15,6,(ROW(INDIRECT("1:"&amp;LEN(G289)-7)))/(ISNUMBER(--MID(G289,ROW(INDIRECT("1:"&amp;LEN(G289)-7)),8))),1),8),"")</f>
        <v/>
      </c>
      <c r="V289" t="inlineStr">
        <is>
          <t>2025-09-30 20:00:00</t>
        </is>
      </c>
    </row>
    <row r="290" ht="23.25" customFormat="1" customHeight="1" s="45">
      <c r="A290" s="112" t="n"/>
      <c r="B290" s="112" t="n"/>
      <c r="C290" s="112">
        <f>IF(OR(Tabella3[[#This Row],[LUN]]="X",Tabella3[[#This Row],[MAR]]="X",Tabella3[[#This Row],[MER]]="X",Tabella3[[#This Row],[GIO]]="X",Tabella3[[#This Row],[VEN]]="X",),"X","")</f>
        <v/>
      </c>
      <c r="D290" s="113" t="inlineStr">
        <is>
          <t>AREA 3</t>
        </is>
      </c>
      <c r="E290" s="109" t="inlineStr">
        <is>
          <t>542163/C</t>
        </is>
      </c>
      <c r="F290" s="109" t="n">
        <v>800</v>
      </c>
      <c r="G290" s="109" t="inlineStr">
        <is>
          <t xml:space="preserve"> 08-F159R 08-F162R 08 F158BR  CONTROLLO FUNZIONALE</t>
        </is>
      </c>
      <c r="H290" s="111" t="n"/>
      <c r="I290" s="111" t="n"/>
      <c r="J290" s="111" t="n"/>
      <c r="K290" s="111" t="n"/>
      <c r="L290" s="111" t="n"/>
      <c r="M290" s="109" t="inlineStr">
        <is>
          <t>DA CHIUDERE</t>
        </is>
      </c>
      <c r="N290" s="109" t="n"/>
      <c r="O290" s="109" t="n"/>
      <c r="P290" s="109" t="n"/>
      <c r="Q290" s="109" t="inlineStr">
        <is>
          <t>NESSUNA ANOMALIA</t>
        </is>
      </c>
      <c r="R290" s="110" t="n">
        <v>45833</v>
      </c>
      <c r="S290" s="109" t="inlineStr">
        <is>
          <t>TARASCIO</t>
        </is>
      </c>
      <c r="T290" s="114">
        <f>IF(AND('Inserimento dati'!$B$3=$H$2, Tabella3[[#This Row],[LUN]]="X"), "X",IF(AND('Inserimento dati'!$B$3=$I$2, Tabella3[[#This Row],[MAR]]="X"), "X", IF(AND('Inserimento dati'!$B$3=$J$2, Tabella3[[#This Row],[MER]]="X"), "X",IF(AND('Inserimento dati'!$B$3=$K$2, Tabella3[[#This Row],[GIO]]="X"), "X", IF(AND('Inserimento dati'!$B$3=$L$2, Tabella3[[#This Row],[VEN]]="X"), "X","")))))</f>
        <v/>
      </c>
      <c r="U290" s="131">
        <f>IFERROR(MID(G290,_xlfn.AGGREGATE(15,6,(ROW(INDIRECT("1:"&amp;LEN(G290)-7)))/(ISNUMBER(--MID(G290,ROW(INDIRECT("1:"&amp;LEN(G290)-7)),8))),1),8),"")</f>
        <v/>
      </c>
      <c r="V290" t="inlineStr">
        <is>
          <t>2025-09-30 20:00:00</t>
        </is>
      </c>
    </row>
    <row r="291" ht="30" customFormat="1" customHeight="1" s="45">
      <c r="A291" s="112" t="n"/>
      <c r="B291" s="112" t="n"/>
      <c r="C291" s="112">
        <f>IF(OR(Tabella3[[#This Row],[LUN]]="X",Tabella3[[#This Row],[MAR]]="X",Tabella3[[#This Row],[MER]]="X",Tabella3[[#This Row],[GIO]]="X",Tabella3[[#This Row],[VEN]]="X",),"X","")</f>
        <v/>
      </c>
      <c r="D291" s="113" t="inlineStr">
        <is>
          <t>AREA 3</t>
        </is>
      </c>
      <c r="E291" s="109" t="inlineStr">
        <is>
          <t>547324/C</t>
        </is>
      </c>
      <c r="F291" s="109" t="inlineStr">
        <is>
          <t>2200 BD</t>
        </is>
      </c>
      <c r="G291" s="109" t="inlineStr">
        <is>
          <t>10228612    22L518R   RIPRISTINO   funzionale</t>
        </is>
      </c>
      <c r="H291" s="111" t="n"/>
      <c r="I291" s="111" t="n"/>
      <c r="J291" s="111" t="n"/>
      <c r="K291" s="111" t="n"/>
      <c r="L291" s="111" t="n"/>
      <c r="M291" s="109" t="inlineStr">
        <is>
          <t>DA CHIUDERE</t>
        </is>
      </c>
      <c r="N291" s="109" t="n"/>
      <c r="O291" s="109" t="n"/>
      <c r="P291" s="109" t="n"/>
      <c r="Q291" s="109" t="inlineStr">
        <is>
          <t>CONTROLLO FUNZIONE LIVELLO, LAVAGGIO TESTINA CON ACQUA, LAVAGGIO TUBO DI CALMA. INSERITO OK.</t>
        </is>
      </c>
      <c r="R291" s="110" t="n">
        <v>45881</v>
      </c>
      <c r="S291" s="109" t="inlineStr">
        <is>
          <t>SPINALI</t>
        </is>
      </c>
      <c r="T291" s="114">
        <f>IF(AND('Inserimento dati'!$B$3=$H$2, Tabella3[[#This Row],[LUN]]="X"), "X",IF(AND('Inserimento dati'!$B$3=$I$2, Tabella3[[#This Row],[MAR]]="X"), "X", IF(AND('Inserimento dati'!$B$3=$J$2, Tabella3[[#This Row],[MER]]="X"), "X",IF(AND('Inserimento dati'!$B$3=$K$2, Tabella3[[#This Row],[GIO]]="X"), "X", IF(AND('Inserimento dati'!$B$3=$L$2, Tabella3[[#This Row],[VEN]]="X"), "X","")))))</f>
        <v/>
      </c>
      <c r="U291" s="93">
        <f>IFERROR(MID(G291,_xlfn.AGGREGATE(15,6,(ROW(INDIRECT("1:"&amp;LEN(G291)-7)))/(ISNUMBER(--MID(G291,ROW(INDIRECT("1:"&amp;LEN(G291)-7)),8))),1),8),"")</f>
        <v/>
      </c>
      <c r="V291" t="inlineStr">
        <is>
          <t>2025-09-30 20:00:00</t>
        </is>
      </c>
    </row>
    <row r="292" ht="30" customFormat="1" customHeight="1" s="45">
      <c r="A292" s="112" t="n"/>
      <c r="B292" s="112" t="n"/>
      <c r="C292" s="112">
        <f>IF(OR(Tabella3[[#This Row],[LUN]]="X",Tabella3[[#This Row],[MAR]]="X",Tabella3[[#This Row],[MER]]="X",Tabella3[[#This Row],[GIO]]="X",Tabella3[[#This Row],[VEN]]="X",),"X","")</f>
        <v/>
      </c>
      <c r="D292" s="113" t="inlineStr">
        <is>
          <t>AREA 3</t>
        </is>
      </c>
      <c r="E292" s="109" t="inlineStr">
        <is>
          <t>547325/C</t>
        </is>
      </c>
      <c r="F292" s="109" t="n">
        <v>1400</v>
      </c>
      <c r="G292" s="109" t="inlineStr">
        <is>
          <t>10228613    1400: MTZ PRC106   RIPRISTINO   funzionale</t>
        </is>
      </c>
      <c r="H292" s="111" t="n"/>
      <c r="I292" s="111" t="n"/>
      <c r="J292" s="111" t="n"/>
      <c r="K292" s="111" t="n"/>
      <c r="L292" s="111" t="n"/>
      <c r="M292" s="109" t="inlineStr">
        <is>
          <t>DA CHIUDERE</t>
        </is>
      </c>
      <c r="N292" s="109" t="n"/>
      <c r="O292" s="109" t="n"/>
      <c r="P292" s="109" t="n"/>
      <c r="Q292" s="109" t="inlineStr">
        <is>
          <t>CONTROLLO FUNZIONALE SULLO STRUMENTO, NULLA DA SEGNALARE.</t>
        </is>
      </c>
      <c r="R292" s="110" t="n">
        <v>45882</v>
      </c>
      <c r="S292" s="109" t="inlineStr">
        <is>
          <t>MILLO</t>
        </is>
      </c>
      <c r="T292" s="114">
        <f>IF(AND('Inserimento dati'!$B$3=$H$2, Tabella3[[#This Row],[LUN]]="X"), "X",IF(AND('Inserimento dati'!$B$3=$I$2, Tabella3[[#This Row],[MAR]]="X"), "X", IF(AND('Inserimento dati'!$B$3=$J$2, Tabella3[[#This Row],[MER]]="X"), "X",IF(AND('Inserimento dati'!$B$3=$K$2, Tabella3[[#This Row],[GIO]]="X"), "X", IF(AND('Inserimento dati'!$B$3=$L$2, Tabella3[[#This Row],[VEN]]="X"), "X","")))))</f>
        <v/>
      </c>
      <c r="U292" s="93">
        <f>IFERROR(MID(G292,_xlfn.AGGREGATE(15,6,(ROW(INDIRECT("1:"&amp;LEN(G292)-7)))/(ISNUMBER(--MID(G292,ROW(INDIRECT("1:"&amp;LEN(G292)-7)),8))),1),8),"")</f>
        <v/>
      </c>
      <c r="V292" t="inlineStr">
        <is>
          <t>2025-09-30 20:00:00</t>
        </is>
      </c>
    </row>
    <row r="293" ht="23.25" customFormat="1" customHeight="1" s="45">
      <c r="A293" s="112" t="n"/>
      <c r="B293" s="112" t="n"/>
      <c r="C293" s="112">
        <f>IF(OR(Tabella3[[#This Row],[LUN]]="X",Tabella3[[#This Row],[MAR]]="X",Tabella3[[#This Row],[MER]]="X",Tabella3[[#This Row],[GIO]]="X",Tabella3[[#This Row],[VEN]]="X",),"X","")</f>
        <v/>
      </c>
      <c r="D293" s="113" t="inlineStr">
        <is>
          <t>AREA 3</t>
        </is>
      </c>
      <c r="E293" s="109" t="inlineStr">
        <is>
          <t>547377/C</t>
        </is>
      </c>
      <c r="F293" s="109" t="n">
        <v>1200</v>
      </c>
      <c r="G293" s="109" t="inlineStr">
        <is>
          <t>1200/4 ripristino JB A5 DOPPINI AMMALIRATI</t>
        </is>
      </c>
      <c r="H293" s="111" t="n"/>
      <c r="I293" s="111" t="n"/>
      <c r="J293" s="111" t="n"/>
      <c r="K293" s="111" t="n"/>
      <c r="L293" s="111" t="n"/>
      <c r="M293" s="109" t="inlineStr">
        <is>
          <t>DA CHIUDERE</t>
        </is>
      </c>
      <c r="N293" s="109" t="n"/>
      <c r="O293" s="109" t="n"/>
      <c r="P293" s="109" t="n"/>
      <c r="Q293" s="109" t="inlineStr">
        <is>
          <t>LAVORO COMPLETATO. A CURA CAVALIERE E CAVALLO</t>
        </is>
      </c>
      <c r="R293" s="110" t="n">
        <v>45882</v>
      </c>
      <c r="S293" s="109" t="inlineStr">
        <is>
          <t>CAVALIERE</t>
        </is>
      </c>
      <c r="T293" s="114">
        <f>IF(AND('Inserimento dati'!$B$3=$H$2, Tabella3[[#This Row],[LUN]]="X"), "X",IF(AND('Inserimento dati'!$B$3=$I$2, Tabella3[[#This Row],[MAR]]="X"), "X", IF(AND('Inserimento dati'!$B$3=$J$2, Tabella3[[#This Row],[MER]]="X"), "X",IF(AND('Inserimento dati'!$B$3=$K$2, Tabella3[[#This Row],[GIO]]="X"), "X", IF(AND('Inserimento dati'!$B$3=$L$2, Tabella3[[#This Row],[VEN]]="X"), "X","")))))</f>
        <v/>
      </c>
      <c r="U293" s="93">
        <f>IFERROR(MID(G293,_xlfn.AGGREGATE(15,6,(ROW(INDIRECT("1:"&amp;LEN(G293)-7)))/(ISNUMBER(--MID(G293,ROW(INDIRECT("1:"&amp;LEN(G293)-7)),8))),1),8),"")</f>
        <v/>
      </c>
      <c r="V293" t="inlineStr">
        <is>
          <t>2025-09-30 20:00:00</t>
        </is>
      </c>
    </row>
    <row r="294" ht="23.25" customFormat="1" customHeight="1" s="45">
      <c r="A294" s="112" t="n"/>
      <c r="B294" s="112" t="n"/>
      <c r="C294" s="112">
        <f>IF(OR(Tabella3[[#This Row],[LUN]]="X",Tabella3[[#This Row],[MAR]]="X",Tabella3[[#This Row],[MER]]="X",Tabella3[[#This Row],[GIO]]="X",Tabella3[[#This Row],[VEN]]="X",),"X","")</f>
        <v/>
      </c>
      <c r="D294" s="113" t="inlineStr">
        <is>
          <t>AREA 3</t>
        </is>
      </c>
      <c r="E294" s="109" t="inlineStr">
        <is>
          <t>548439/C</t>
        </is>
      </c>
      <c r="F294" s="109" t="n">
        <v>700</v>
      </c>
      <c r="G294" s="109" t="inlineStr">
        <is>
          <t>700- F101N  RIPRISTINO FUNZIONALE FOTOCELLULA BRUCIATORE A</t>
        </is>
      </c>
      <c r="H294" s="111" t="n"/>
      <c r="I294" s="111" t="n"/>
      <c r="J294" s="111" t="n"/>
      <c r="K294" s="111" t="n"/>
      <c r="L294" s="111" t="n"/>
      <c r="M294" s="109" t="inlineStr">
        <is>
          <t>DA CHIUDERE</t>
        </is>
      </c>
      <c r="N294" s="109" t="n"/>
      <c r="O294" s="109" t="n"/>
      <c r="P294" s="109" t="n"/>
      <c r="Q294" s="109" t="n"/>
      <c r="R294" s="110" t="n">
        <v>45891</v>
      </c>
      <c r="S294" s="109" t="inlineStr">
        <is>
          <t>RICIPUTO</t>
        </is>
      </c>
      <c r="T294" s="114">
        <f>IF(AND('Inserimento dati'!$B$3=$H$2, Tabella3[[#This Row],[LUN]]="X"), "X",IF(AND('Inserimento dati'!$B$3=$I$2, Tabella3[[#This Row],[MAR]]="X"), "X", IF(AND('Inserimento dati'!$B$3=$J$2, Tabella3[[#This Row],[MER]]="X"), "X",IF(AND('Inserimento dati'!$B$3=$K$2, Tabella3[[#This Row],[GIO]]="X"), "X", IF(AND('Inserimento dati'!$B$3=$L$2, Tabella3[[#This Row],[VEN]]="X"), "X","")))))</f>
        <v/>
      </c>
      <c r="U294" s="93">
        <f>IFERROR(MID(G294,_xlfn.AGGREGATE(15,6,(ROW(INDIRECT("1:"&amp;LEN(G294)-7)))/(ISNUMBER(--MID(G294,ROW(INDIRECT("1:"&amp;LEN(G294)-7)),8))),1),8),"")</f>
        <v/>
      </c>
      <c r="V294" t="inlineStr">
        <is>
          <t>2025-09-30 20:00:00</t>
        </is>
      </c>
    </row>
    <row r="295" ht="23.25" customFormat="1" customHeight="1" s="45">
      <c r="A295" s="112" t="n"/>
      <c r="B295" s="112" t="n"/>
      <c r="C295" s="112">
        <f>IF(OR(Tabella3[[#This Row],[LUN]]="X",Tabella3[[#This Row],[MAR]]="X",Tabella3[[#This Row],[MER]]="X",Tabella3[[#This Row],[GIO]]="X",Tabella3[[#This Row],[VEN]]="X",),"X","")</f>
        <v/>
      </c>
      <c r="D295" s="113" t="inlineStr">
        <is>
          <t>AREA 3</t>
        </is>
      </c>
      <c r="E295" s="109" t="inlineStr">
        <is>
          <t>547813/C</t>
        </is>
      </c>
      <c r="F295" s="109" t="n">
        <v>1800</v>
      </c>
      <c r="G295" s="109" t="inlineStr">
        <is>
          <t>1800 102A RIFACIMENTO TRACCIA DI VAPORE SU STRUMENTAZIONE F058R F059R F060R</t>
        </is>
      </c>
      <c r="H295" s="111" t="n"/>
      <c r="I295" s="111" t="n"/>
      <c r="J295" s="111" t="n"/>
      <c r="K295" s="111" t="n"/>
      <c r="L295" s="111" t="n"/>
      <c r="M295" s="109" t="inlineStr">
        <is>
          <t>DA CHIUDERE</t>
        </is>
      </c>
      <c r="N295" s="109" t="n"/>
      <c r="O295" s="109" t="n"/>
      <c r="P295" s="109" t="n"/>
      <c r="Q295" s="109" t="n"/>
      <c r="R295" s="110" t="n">
        <v>45891</v>
      </c>
      <c r="S295" s="109" t="inlineStr">
        <is>
          <t>DE LUCA</t>
        </is>
      </c>
      <c r="T295" s="114">
        <f>IF(AND('Inserimento dati'!$B$3=$H$2, Tabella3[[#This Row],[LUN]]="X"), "X",IF(AND('Inserimento dati'!$B$3=$I$2, Tabella3[[#This Row],[MAR]]="X"), "X", IF(AND('Inserimento dati'!$B$3=$J$2, Tabella3[[#This Row],[MER]]="X"), "X",IF(AND('Inserimento dati'!$B$3=$K$2, Tabella3[[#This Row],[GIO]]="X"), "X", IF(AND('Inserimento dati'!$B$3=$L$2, Tabella3[[#This Row],[VEN]]="X"), "X","")))))</f>
        <v/>
      </c>
      <c r="U295" s="93">
        <f>IFERROR(MID(G295,_xlfn.AGGREGATE(15,6,(ROW(INDIRECT("1:"&amp;LEN(G295)-7)))/(ISNUMBER(--MID(G295,ROW(INDIRECT("1:"&amp;LEN(G295)-7)),8))),1),8),"")</f>
        <v/>
      </c>
      <c r="V295" t="inlineStr">
        <is>
          <t>2025-09-30 20:00:00</t>
        </is>
      </c>
    </row>
    <row r="296" ht="23.25" customFormat="1" customHeight="1" s="45">
      <c r="A296" s="112" t="n"/>
      <c r="B296" s="112" t="n"/>
      <c r="C296" s="112">
        <f>IF(OR(Tabella3[[#This Row],[LUN]]="X",Tabella3[[#This Row],[MAR]]="X",Tabella3[[#This Row],[MER]]="X",Tabella3[[#This Row],[GIO]]="X",Tabella3[[#This Row],[VEN]]="X",),"X","")</f>
        <v/>
      </c>
      <c r="D296" s="113" t="inlineStr">
        <is>
          <t>AREA 3</t>
        </is>
      </c>
      <c r="E296" s="171" t="inlineStr">
        <is>
          <t>547316/C</t>
        </is>
      </c>
      <c r="F296" s="109" t="n">
        <v>1400</v>
      </c>
      <c r="G296" s="109" t="inlineStr">
        <is>
          <t>1400 L001RB CONTROLLO FUNZIONALE</t>
        </is>
      </c>
      <c r="H296" s="111" t="n"/>
      <c r="I296" s="111" t="n"/>
      <c r="J296" s="111" t="n"/>
      <c r="K296" s="111" t="n"/>
      <c r="L296" s="111" t="n"/>
      <c r="M296" s="109" t="inlineStr">
        <is>
          <t>DA CHIUDERE</t>
        </is>
      </c>
      <c r="N296" s="109" t="n"/>
      <c r="O296" s="109" t="n"/>
      <c r="P296" s="109" t="n"/>
      <c r="Q296" s="109" t="n"/>
      <c r="R296" s="110" t="n"/>
      <c r="S296" s="109" t="n"/>
      <c r="T296" s="114">
        <f>IF(AND('Inserimento dati'!$B$3=$H$2, Tabella3[[#This Row],[LUN]]="X"), "X",IF(AND('Inserimento dati'!$B$3=$I$2, Tabella3[[#This Row],[MAR]]="X"), "X", IF(AND('Inserimento dati'!$B$3=$J$2, Tabella3[[#This Row],[MER]]="X"), "X",IF(AND('Inserimento dati'!$B$3=$K$2, Tabella3[[#This Row],[GIO]]="X"), "X", IF(AND('Inserimento dati'!$B$3=$L$2, Tabella3[[#This Row],[VEN]]="X"), "X","")))))</f>
        <v/>
      </c>
      <c r="U296" s="93">
        <f>IFERROR(MID(G296,_xlfn.AGGREGATE(15,6,(ROW(INDIRECT("1:"&amp;LEN(G296)-7)))/(ISNUMBER(--MID(G296,ROW(INDIRECT("1:"&amp;LEN(G296)-7)),8))),1),8),"")</f>
        <v/>
      </c>
      <c r="V296" t="inlineStr">
        <is>
          <t>2025-09-30 20:00:00</t>
        </is>
      </c>
    </row>
    <row r="297" ht="23.25" customFormat="1" customHeight="1" s="45">
      <c r="A297" s="112" t="n"/>
      <c r="B297" s="112" t="n"/>
      <c r="C297" s="112">
        <f>IF(OR(Tabella3[[#This Row],[LUN]]="X",Tabella3[[#This Row],[MAR]]="X",Tabella3[[#This Row],[MER]]="X",Tabella3[[#This Row],[GIO]]="X",Tabella3[[#This Row],[VEN]]="X",),"X","")</f>
        <v/>
      </c>
      <c r="D297" s="113" t="inlineStr">
        <is>
          <t>AREA 3</t>
        </is>
      </c>
      <c r="E297" s="109" t="inlineStr">
        <is>
          <t>548598/C</t>
        </is>
      </c>
      <c r="F297" s="109" t="n">
        <v>800</v>
      </c>
      <c r="G297" s="109" t="inlineStr">
        <is>
          <t>800-F139R RIFACIMENTO PRIMARI E SUCCESSIVO CONTROLLO FUNZIONALE</t>
        </is>
      </c>
      <c r="H297" s="111" t="n"/>
      <c r="I297" s="111" t="n"/>
      <c r="J297" s="111" t="n"/>
      <c r="K297" s="111" t="n"/>
      <c r="L297" s="111" t="n"/>
      <c r="M297" s="109" t="inlineStr">
        <is>
          <t>DA CHIUDERE</t>
        </is>
      </c>
      <c r="N297" s="109" t="n"/>
      <c r="O297" s="109" t="n"/>
      <c r="P297" s="109" t="n"/>
      <c r="Q297" s="109" t="n"/>
      <c r="R297" s="110" t="n">
        <v>45896</v>
      </c>
      <c r="S297" s="109" t="inlineStr">
        <is>
          <t>DE LUCA</t>
        </is>
      </c>
      <c r="T297" s="114">
        <f>IF(AND('Inserimento dati'!$B$3=$H$2, Tabella3[[#This Row],[LUN]]="X"), "X",IF(AND('Inserimento dati'!$B$3=$I$2, Tabella3[[#This Row],[MAR]]="X"), "X", IF(AND('Inserimento dati'!$B$3=$J$2, Tabella3[[#This Row],[MER]]="X"), "X",IF(AND('Inserimento dati'!$B$3=$K$2, Tabella3[[#This Row],[GIO]]="X"), "X", IF(AND('Inserimento dati'!$B$3=$L$2, Tabella3[[#This Row],[VEN]]="X"), "X","")))))</f>
        <v/>
      </c>
      <c r="U297" s="93">
        <f>IFERROR(MID(G297,_xlfn.AGGREGATE(15,6,(ROW(INDIRECT("1:"&amp;LEN(G297)-7)))/(ISNUMBER(--MID(G297,ROW(INDIRECT("1:"&amp;LEN(G297)-7)),8))),1),8),"")</f>
        <v/>
      </c>
      <c r="V297" t="inlineStr">
        <is>
          <t>2025-09-30 20:00:00</t>
        </is>
      </c>
    </row>
    <row r="298" ht="23.25" customFormat="1" customHeight="1" s="45">
      <c r="A298" s="112" t="n"/>
      <c r="B298" s="112" t="n"/>
      <c r="C298" s="112">
        <f>IF(OR(Tabella3[[#This Row],[LUN]]="X",Tabella3[[#This Row],[MAR]]="X",Tabella3[[#This Row],[MER]]="X",Tabella3[[#This Row],[GIO]]="X",Tabella3[[#This Row],[VEN]]="X",),"X","")</f>
        <v/>
      </c>
      <c r="D298" s="113" t="inlineStr">
        <is>
          <t>AREA 3</t>
        </is>
      </c>
      <c r="E298" s="109" t="inlineStr">
        <is>
          <t>549321/C</t>
        </is>
      </c>
      <c r="F298" s="109" t="n">
        <v>700</v>
      </c>
      <c r="G298" s="109" t="inlineStr">
        <is>
          <t>10229700   700: AVVISO PR1 RIPR FOTOCELLULA F101N bruciatore C</t>
        </is>
      </c>
      <c r="H298" s="111" t="n"/>
      <c r="I298" s="111" t="n"/>
      <c r="J298" s="111" t="n"/>
      <c r="K298" s="111" t="n"/>
      <c r="L298" s="111" t="n"/>
      <c r="M298" s="109" t="inlineStr">
        <is>
          <t>DA CHIUDERE</t>
        </is>
      </c>
      <c r="N298" s="109" t="n"/>
      <c r="O298" s="109" t="n"/>
      <c r="P298" s="109" t="n"/>
      <c r="Q298" s="109" t="n"/>
      <c r="R298" s="110" t="n"/>
      <c r="S298" s="109" t="n"/>
      <c r="T298" s="114">
        <f>IF(AND('Inserimento dati'!$B$3=$H$2, Tabella3[[#This Row],[LUN]]="X"), "X",IF(AND('Inserimento dati'!$B$3=$I$2, Tabella3[[#This Row],[MAR]]="X"), "X", IF(AND('Inserimento dati'!$B$3=$J$2, Tabella3[[#This Row],[MER]]="X"), "X",IF(AND('Inserimento dati'!$B$3=$K$2, Tabella3[[#This Row],[GIO]]="X"), "X", IF(AND('Inserimento dati'!$B$3=$L$2, Tabella3[[#This Row],[VEN]]="X"), "X","")))))</f>
        <v/>
      </c>
      <c r="U298" s="93">
        <f>IFERROR(MID(G298,_xlfn.AGGREGATE(15,6,(ROW(INDIRECT("1:"&amp;LEN(G298)-7)))/(ISNUMBER(--MID(G298,ROW(INDIRECT("1:"&amp;LEN(G298)-7)),8))),1),8),"")</f>
        <v/>
      </c>
      <c r="V298" t="inlineStr">
        <is>
          <t>2025-09-30 20:00:00</t>
        </is>
      </c>
    </row>
    <row r="299" ht="23.25" customFormat="1" customHeight="1" s="45">
      <c r="A299" s="112" t="n"/>
      <c r="B299" s="112" t="n"/>
      <c r="C299" s="112">
        <f>IF(OR(Tabella3[[#This Row],[LUN]]="X",Tabella3[[#This Row],[MAR]]="X",Tabella3[[#This Row],[MER]]="X",Tabella3[[#This Row],[GIO]]="X",Tabella3[[#This Row],[VEN]]="X",),"X","")</f>
        <v/>
      </c>
      <c r="D299" s="113" t="inlineStr">
        <is>
          <t>AREA 3</t>
        </is>
      </c>
      <c r="E299" s="109" t="inlineStr">
        <is>
          <t>548508/C</t>
        </is>
      </c>
      <c r="F299" s="109" t="n">
        <v>1200</v>
      </c>
      <c r="G299" s="109" t="inlineStr">
        <is>
          <t>10229300   1200/1: TARATURA  Z1F201RC</t>
        </is>
      </c>
      <c r="H299" s="111" t="n"/>
      <c r="I299" s="111" t="n"/>
      <c r="J299" s="111" t="n"/>
      <c r="K299" s="111" t="n"/>
      <c r="L299" s="111" t="n"/>
      <c r="M299" s="109" t="inlineStr">
        <is>
          <t>DA CHIUDERE</t>
        </is>
      </c>
      <c r="N299" s="109" t="n"/>
      <c r="O299" s="109" t="n"/>
      <c r="P299" s="109" t="n"/>
      <c r="Q299" s="109" t="n"/>
      <c r="R299" s="110" t="n">
        <v>45903</v>
      </c>
      <c r="S299" s="109" t="inlineStr">
        <is>
          <t>TARASCIO</t>
        </is>
      </c>
      <c r="T299" s="114">
        <f>IF(AND('Inserimento dati'!$B$3=$H$2, Tabella3[[#This Row],[LUN]]="X"), "X",IF(AND('Inserimento dati'!$B$3=$I$2, Tabella3[[#This Row],[MAR]]="X"), "X", IF(AND('Inserimento dati'!$B$3=$J$2, Tabella3[[#This Row],[MER]]="X"), "X",IF(AND('Inserimento dati'!$B$3=$K$2, Tabella3[[#This Row],[GIO]]="X"), "X", IF(AND('Inserimento dati'!$B$3=$L$2, Tabella3[[#This Row],[VEN]]="X"), "X","")))))</f>
        <v/>
      </c>
      <c r="U299" s="93">
        <f>IFERROR(MID(G299,_xlfn.AGGREGATE(15,6,(ROW(INDIRECT("1:"&amp;LEN(G299)-7)))/(ISNUMBER(--MID(G299,ROW(INDIRECT("1:"&amp;LEN(G299)-7)),8))),1),8),"")</f>
        <v/>
      </c>
      <c r="V299" t="inlineStr">
        <is>
          <t>2025-09-30 20:00:00</t>
        </is>
      </c>
    </row>
    <row r="300" ht="23.25" customFormat="1" customHeight="1" s="45">
      <c r="A300" s="112" t="n"/>
      <c r="B300" s="112" t="n"/>
      <c r="C300" s="112">
        <f>IF(OR(Tabella3[[#This Row],[LUN]]="X",Tabella3[[#This Row],[MAR]]="X",Tabella3[[#This Row],[MER]]="X",Tabella3[[#This Row],[GIO]]="X",Tabella3[[#This Row],[VEN]]="X",),"X","")</f>
        <v/>
      </c>
      <c r="D300" s="113" t="inlineStr">
        <is>
          <t>AREA 3</t>
        </is>
      </c>
      <c r="E300" s="109" t="inlineStr">
        <is>
          <t>548512/C</t>
        </is>
      </c>
      <c r="F300" s="109" t="n">
        <v>1200</v>
      </c>
      <c r="G300" s="109" t="inlineStr">
        <is>
          <t>10229301   1200/1: taratura  Z1F204IC</t>
        </is>
      </c>
      <c r="H300" s="111" t="n"/>
      <c r="I300" s="111" t="n"/>
      <c r="J300" s="111" t="n"/>
      <c r="K300" s="111" t="n"/>
      <c r="L300" s="111" t="n"/>
      <c r="M300" s="109" t="inlineStr">
        <is>
          <t>DA CHIUDERE</t>
        </is>
      </c>
      <c r="N300" s="109" t="n"/>
      <c r="O300" s="109" t="n"/>
      <c r="P300" s="109" t="n"/>
      <c r="Q300" s="109" t="n"/>
      <c r="R300" s="110" t="n">
        <v>45903</v>
      </c>
      <c r="S300" s="109" t="inlineStr">
        <is>
          <t>TARASCIO</t>
        </is>
      </c>
      <c r="T300" s="114">
        <f>IF(AND('Inserimento dati'!$B$3=$H$2, Tabella3[[#This Row],[LUN]]="X"), "X",IF(AND('Inserimento dati'!$B$3=$I$2, Tabella3[[#This Row],[MAR]]="X"), "X", IF(AND('Inserimento dati'!$B$3=$J$2, Tabella3[[#This Row],[MER]]="X"), "X",IF(AND('Inserimento dati'!$B$3=$K$2, Tabella3[[#This Row],[GIO]]="X"), "X", IF(AND('Inserimento dati'!$B$3=$L$2, Tabella3[[#This Row],[VEN]]="X"), "X","")))))</f>
        <v/>
      </c>
      <c r="U300" s="93">
        <f>IFERROR(MID(G300,_xlfn.AGGREGATE(15,6,(ROW(INDIRECT("1:"&amp;LEN(G300)-7)))/(ISNUMBER(--MID(G300,ROW(INDIRECT("1:"&amp;LEN(G300)-7)),8))),1),8),"")</f>
        <v/>
      </c>
      <c r="V300" t="inlineStr">
        <is>
          <t>2025-09-30 20:00:00</t>
        </is>
      </c>
    </row>
    <row r="301" ht="23.25" customFormat="1" customHeight="1" s="45">
      <c r="A301" s="112" t="n"/>
      <c r="B301" s="112" t="n"/>
      <c r="C301" s="112">
        <f>IF(OR(Tabella3[[#This Row],[LUN]]="X",Tabella3[[#This Row],[MAR]]="X",Tabella3[[#This Row],[MER]]="X",Tabella3[[#This Row],[GIO]]="X",Tabella3[[#This Row],[VEN]]="X",),"X","")</f>
        <v/>
      </c>
      <c r="D301" s="113" t="inlineStr">
        <is>
          <t>AREA 3</t>
        </is>
      </c>
      <c r="E301" s="109" t="inlineStr">
        <is>
          <t>549333/C</t>
        </is>
      </c>
      <c r="F301" s="109" t="n">
        <v>1100</v>
      </c>
      <c r="G301" s="109" t="inlineStr">
        <is>
          <t>10229710  1100: RIPRISTINO FR012</t>
        </is>
      </c>
      <c r="H301" s="111" t="n"/>
      <c r="I301" s="111" t="n"/>
      <c r="J301" s="111" t="n"/>
      <c r="K301" s="111" t="n"/>
      <c r="L301" s="111" t="n"/>
      <c r="M301" s="109" t="inlineStr">
        <is>
          <t>DA CHIUDERE</t>
        </is>
      </c>
      <c r="N301" s="109" t="n"/>
      <c r="O301" s="109" t="n"/>
      <c r="P301" s="109" t="n"/>
      <c r="Q301" s="109" t="n"/>
      <c r="R301" s="110" t="n"/>
      <c r="S301" s="109" t="n"/>
      <c r="T301" s="114">
        <f>IF(AND('Inserimento dati'!$B$3=$H$2, Tabella3[[#This Row],[LUN]]="X"), "X",IF(AND('Inserimento dati'!$B$3=$I$2, Tabella3[[#This Row],[MAR]]="X"), "X", IF(AND('Inserimento dati'!$B$3=$J$2, Tabella3[[#This Row],[MER]]="X"), "X",IF(AND('Inserimento dati'!$B$3=$K$2, Tabella3[[#This Row],[GIO]]="X"), "X", IF(AND('Inserimento dati'!$B$3=$L$2, Tabella3[[#This Row],[VEN]]="X"), "X","")))))</f>
        <v/>
      </c>
      <c r="U301" s="93">
        <f>IFERROR(MID(G301,_xlfn.AGGREGATE(15,6,(ROW(INDIRECT("1:"&amp;LEN(G301)-7)))/(ISNUMBER(--MID(G301,ROW(INDIRECT("1:"&amp;LEN(G301)-7)),8))),1),8),"")</f>
        <v/>
      </c>
      <c r="V301" t="inlineStr">
        <is>
          <t>2025-09-30 20:00:00</t>
        </is>
      </c>
    </row>
    <row r="302" ht="23.25" customFormat="1" customHeight="1" s="45">
      <c r="A302" s="112" t="n"/>
      <c r="B302" s="112" t="n"/>
      <c r="C302" s="112">
        <f>IF(OR(Tabella3[[#This Row],[LUN]]="X",Tabella3[[#This Row],[MAR]]="X",Tabella3[[#This Row],[MER]]="X",Tabella3[[#This Row],[GIO]]="X",Tabella3[[#This Row],[VEN]]="X",),"X","")</f>
        <v/>
      </c>
      <c r="D302" s="113" t="inlineStr">
        <is>
          <t>AREA 3</t>
        </is>
      </c>
      <c r="E302" s="109" t="inlineStr">
        <is>
          <t>549771/C</t>
        </is>
      </c>
      <c r="F302" s="109" t="n">
        <v>700</v>
      </c>
      <c r="G302" s="109" t="inlineStr">
        <is>
          <t>10229802 - 700: RIPR 07T160I controllo funzionale</t>
        </is>
      </c>
      <c r="H302" s="111" t="n"/>
      <c r="I302" s="111" t="n"/>
      <c r="J302" s="111" t="n"/>
      <c r="K302" s="111" t="n"/>
      <c r="L302" s="111" t="n"/>
      <c r="M302" s="109" t="inlineStr">
        <is>
          <t>DA CHIUDERE</t>
        </is>
      </c>
      <c r="N302" s="109" t="n"/>
      <c r="O302" s="109" t="n"/>
      <c r="P302" s="109" t="n"/>
      <c r="Q302" s="109" t="n"/>
      <c r="R302" s="110" t="n"/>
      <c r="S302" s="109" t="n"/>
      <c r="T302" s="114">
        <f>IF(AND('Inserimento dati'!$B$3=$H$2, Tabella3[[#This Row],[LUN]]="X"), "X",IF(AND('Inserimento dati'!$B$3=$I$2, Tabella3[[#This Row],[MAR]]="X"), "X", IF(AND('Inserimento dati'!$B$3=$J$2, Tabella3[[#This Row],[MER]]="X"), "X",IF(AND('Inserimento dati'!$B$3=$K$2, Tabella3[[#This Row],[GIO]]="X"), "X", IF(AND('Inserimento dati'!$B$3=$L$2, Tabella3[[#This Row],[VEN]]="X"), "X","")))))</f>
        <v/>
      </c>
      <c r="U302" s="93">
        <f>IFERROR(MID(G302,_xlfn.AGGREGATE(15,6,(ROW(INDIRECT("1:"&amp;LEN(G302)-7)))/(ISNUMBER(--MID(G302,ROW(INDIRECT("1:"&amp;LEN(G302)-7)),8))),1),8),"")</f>
        <v/>
      </c>
      <c r="V302" t="inlineStr">
        <is>
          <t>2025-09-30 20:00:00</t>
        </is>
      </c>
    </row>
    <row r="303" ht="30" customFormat="1" customHeight="1" s="45">
      <c r="A303" s="112" t="n"/>
      <c r="B303" s="112" t="n"/>
      <c r="C303" s="112">
        <f>IF(OR(Tabella3[[#This Row],[LUN]]="X",Tabella3[[#This Row],[MAR]]="X",Tabella3[[#This Row],[MER]]="X",Tabella3[[#This Row],[GIO]]="X",Tabella3[[#This Row],[VEN]]="X",),"X","")</f>
        <v/>
      </c>
      <c r="D303" s="113" t="inlineStr">
        <is>
          <t>AREA 3</t>
        </is>
      </c>
      <c r="E303" s="109" t="inlineStr">
        <is>
          <t>549773/C</t>
        </is>
      </c>
      <c r="F303" s="109" t="n">
        <v>800</v>
      </c>
      <c r="G303" s="109" t="inlineStr">
        <is>
          <t>800-1-F166I  STRUMENTO DI NUOVA GENERAZIONE VERIFICARE INSIEME AL TCL DI REPARTO</t>
        </is>
      </c>
      <c r="H303" s="111" t="n"/>
      <c r="I303" s="111" t="n"/>
      <c r="J303" s="111" t="n"/>
      <c r="K303" s="111" t="n"/>
      <c r="L303" s="111" t="n"/>
      <c r="M303" s="109" t="inlineStr">
        <is>
          <t>DA CHIUDERE</t>
        </is>
      </c>
      <c r="N303" s="109" t="n"/>
      <c r="O303" s="109" t="n"/>
      <c r="P303" s="109" t="n"/>
      <c r="Q303" s="109" t="n"/>
      <c r="R303" s="110" t="n"/>
      <c r="S303" s="109" t="n"/>
      <c r="T303" s="114">
        <f>IF(AND('Inserimento dati'!$B$3=$H$2, Tabella3[[#This Row],[LUN]]="X"), "X",IF(AND('Inserimento dati'!$B$3=$I$2, Tabella3[[#This Row],[MAR]]="X"), "X", IF(AND('Inserimento dati'!$B$3=$J$2, Tabella3[[#This Row],[MER]]="X"), "X",IF(AND('Inserimento dati'!$B$3=$K$2, Tabella3[[#This Row],[GIO]]="X"), "X", IF(AND('Inserimento dati'!$B$3=$L$2, Tabella3[[#This Row],[VEN]]="X"), "X","")))))</f>
        <v/>
      </c>
      <c r="U303" s="93">
        <f>IFERROR(MID(G303,_xlfn.AGGREGATE(15,6,(ROW(INDIRECT("1:"&amp;LEN(G303)-7)))/(ISNUMBER(--MID(G303,ROW(INDIRECT("1:"&amp;LEN(G303)-7)),8))),1),8),"")</f>
        <v/>
      </c>
      <c r="V303" t="inlineStr">
        <is>
          <t>2025-09-30 20:00:00</t>
        </is>
      </c>
    </row>
    <row r="304" ht="23.25" customFormat="1" customHeight="1" s="45">
      <c r="A304" s="112" t="n"/>
      <c r="B304" s="112" t="n"/>
      <c r="C304" s="112">
        <f>IF(OR(Tabella3[[#This Row],[LUN]]="X",Tabella3[[#This Row],[MAR]]="X",Tabella3[[#This Row],[MER]]="X",Tabella3[[#This Row],[GIO]]="X",Tabella3[[#This Row],[VEN]]="X",),"X","")</f>
        <v/>
      </c>
      <c r="D304" s="113" t="inlineStr">
        <is>
          <t>AREA 3</t>
        </is>
      </c>
      <c r="E304" s="109" t="inlineStr">
        <is>
          <t>550105/C</t>
        </is>
      </c>
      <c r="F304" s="109" t="n">
        <v>1200</v>
      </c>
      <c r="G304" s="109" t="inlineStr">
        <is>
          <t>1200/2-3 CONTROLLO FOTOCELLULE F102 B501R2-B501R1</t>
        </is>
      </c>
      <c r="H304" s="111" t="n"/>
      <c r="I304" s="111" t="n"/>
      <c r="J304" s="111" t="n"/>
      <c r="K304" s="111" t="n"/>
      <c r="L304" s="111" t="n"/>
      <c r="M304" s="109" t="inlineStr">
        <is>
          <t>DA CHIUDERE</t>
        </is>
      </c>
      <c r="N304" s="109" t="n"/>
      <c r="O304" s="109" t="n"/>
      <c r="P304" s="109" t="n"/>
      <c r="Q304" s="109" t="n"/>
      <c r="R304" s="110" t="n">
        <v>45908</v>
      </c>
      <c r="S304" s="109" t="inlineStr">
        <is>
          <t>TARASCIO</t>
        </is>
      </c>
      <c r="T304" s="114">
        <f>IF(AND('Inserimento dati'!$B$3=$H$2, Tabella3[[#This Row],[LUN]]="X"), "X",IF(AND('Inserimento dati'!$B$3=$I$2, Tabella3[[#This Row],[MAR]]="X"), "X", IF(AND('Inserimento dati'!$B$3=$J$2, Tabella3[[#This Row],[MER]]="X"), "X",IF(AND('Inserimento dati'!$B$3=$K$2, Tabella3[[#This Row],[GIO]]="X"), "X", IF(AND('Inserimento dati'!$B$3=$L$2, Tabella3[[#This Row],[VEN]]="X"), "X","")))))</f>
        <v/>
      </c>
      <c r="U304" s="93">
        <f>IFERROR(MID(G304,_xlfn.AGGREGATE(15,6,(ROW(INDIRECT("1:"&amp;LEN(G304)-7)))/(ISNUMBER(--MID(G304,ROW(INDIRECT("1:"&amp;LEN(G304)-7)),8))),1),8),"")</f>
        <v/>
      </c>
      <c r="V304" t="inlineStr">
        <is>
          <t>2025-09-30 20:00:00</t>
        </is>
      </c>
    </row>
    <row r="305" ht="23.25" customFormat="1" customHeight="1" s="45">
      <c r="A305" s="112" t="n"/>
      <c r="B305" s="112" t="n"/>
      <c r="C305" s="112">
        <f>IF(OR(Tabella3[[#This Row],[LUN]]="X",Tabella3[[#This Row],[MAR]]="X",Tabella3[[#This Row],[MER]]="X",Tabella3[[#This Row],[GIO]]="X",Tabella3[[#This Row],[VEN]]="X",),"X","")</f>
        <v/>
      </c>
      <c r="D305" s="113" t="inlineStr">
        <is>
          <t>AREA 3</t>
        </is>
      </c>
      <c r="E305" s="109" t="inlineStr">
        <is>
          <t>550546/C</t>
        </is>
      </c>
      <c r="F305" s="109" t="n">
        <v>1200</v>
      </c>
      <c r="G305" s="109" t="inlineStr">
        <is>
          <t>1200-2-F102 controllo ed eventuale scrovolatura bocchello fotocellula</t>
        </is>
      </c>
      <c r="H305" s="111" t="n"/>
      <c r="I305" s="111" t="n"/>
      <c r="J305" s="111" t="n"/>
      <c r="K305" s="111" t="n"/>
      <c r="L305" s="111" t="n"/>
      <c r="M305" s="109" t="inlineStr">
        <is>
          <t>DA CHIUDERE</t>
        </is>
      </c>
      <c r="N305" s="109" t="n"/>
      <c r="O305" s="109" t="n"/>
      <c r="P305" s="109" t="n"/>
      <c r="Q305" s="109" t="n"/>
      <c r="R305" s="110" t="n"/>
      <c r="S305" s="109" t="n"/>
      <c r="T305" s="114">
        <f>IF(AND('Inserimento dati'!$B$3=$H$2, Tabella3[[#This Row],[LUN]]="X"), "X",IF(AND('Inserimento dati'!$B$3=$I$2, Tabella3[[#This Row],[MAR]]="X"), "X", IF(AND('Inserimento dati'!$B$3=$J$2, Tabella3[[#This Row],[MER]]="X"), "X",IF(AND('Inserimento dati'!$B$3=$K$2, Tabella3[[#This Row],[GIO]]="X"), "X", IF(AND('Inserimento dati'!$B$3=$L$2, Tabella3[[#This Row],[VEN]]="X"), "X","")))))</f>
        <v/>
      </c>
      <c r="U305" s="93">
        <f>IFERROR(MID(G305,_xlfn.AGGREGATE(15,6,(ROW(INDIRECT("1:"&amp;LEN(G305)-7)))/(ISNUMBER(--MID(G305,ROW(INDIRECT("1:"&amp;LEN(G305)-7)),8))),1),8),"")</f>
        <v/>
      </c>
      <c r="V305" t="inlineStr">
        <is>
          <t>2025-09-30 20:00:00</t>
        </is>
      </c>
    </row>
    <row r="306" ht="30" customFormat="1" customHeight="1" s="45">
      <c r="A306" s="112" t="n"/>
      <c r="B306" s="112" t="n"/>
      <c r="C306" s="112">
        <f>IF(OR(Tabella3[[#This Row],[LUN]]="X",Tabella3[[#This Row],[MAR]]="X",Tabella3[[#This Row],[MER]]="X",Tabella3[[#This Row],[GIO]]="X",Tabella3[[#This Row],[VEN]]="X",),"X","")</f>
        <v/>
      </c>
      <c r="D306" s="113" t="inlineStr">
        <is>
          <t>AREA 3</t>
        </is>
      </c>
      <c r="E306" s="109" t="inlineStr">
        <is>
          <t>550538/C</t>
        </is>
      </c>
      <c r="F306" s="109" t="n">
        <v>1800</v>
      </c>
      <c r="G306" s="109" t="inlineStr">
        <is>
          <t>10230147  1800: P106A sost manometri  di n 2 manometri (0-40),  sulla mandata pompa (p=16 bar)  sul pannellino (p=24 bar).</t>
        </is>
      </c>
      <c r="H306" s="111" t="n"/>
      <c r="I306" s="111" t="n"/>
      <c r="J306" s="111" t="n"/>
      <c r="K306" s="111" t="n"/>
      <c r="L306" s="111" t="n"/>
      <c r="M306" s="109" t="inlineStr">
        <is>
          <t>DA CHIUDERE</t>
        </is>
      </c>
      <c r="N306" s="109" t="n"/>
      <c r="O306" s="109" t="n"/>
      <c r="P306" s="109" t="n"/>
      <c r="Q306" s="109" t="n"/>
      <c r="R306" s="110" t="n">
        <v>45911</v>
      </c>
      <c r="S306" s="109" t="inlineStr">
        <is>
          <t>MILLO/ALLEGRETTI</t>
        </is>
      </c>
      <c r="T306" s="114">
        <f>IF(AND('Inserimento dati'!$B$3=$H$2, Tabella3[[#This Row],[LUN]]="X"), "X",IF(AND('Inserimento dati'!$B$3=$I$2, Tabella3[[#This Row],[MAR]]="X"), "X", IF(AND('Inserimento dati'!$B$3=$J$2, Tabella3[[#This Row],[MER]]="X"), "X",IF(AND('Inserimento dati'!$B$3=$K$2, Tabella3[[#This Row],[GIO]]="X"), "X", IF(AND('Inserimento dati'!$B$3=$L$2, Tabella3[[#This Row],[VEN]]="X"), "X","")))))</f>
        <v/>
      </c>
      <c r="U306" s="93">
        <f>IFERROR(MID(G306,_xlfn.AGGREGATE(15,6,(ROW(INDIRECT("1:"&amp;LEN(G306)-7)))/(ISNUMBER(--MID(G306,ROW(INDIRECT("1:"&amp;LEN(G306)-7)),8))),1),8),"")</f>
        <v/>
      </c>
      <c r="V306" t="inlineStr">
        <is>
          <t>2025-09-30 20:00:00</t>
        </is>
      </c>
    </row>
    <row r="307" ht="30" customFormat="1" customHeight="1" s="45">
      <c r="A307" s="112" t="n"/>
      <c r="B307" s="112" t="n"/>
      <c r="C307" s="112">
        <f>IF(OR(Tabella3[[#This Row],[LUN]]="X",Tabella3[[#This Row],[MAR]]="X",Tabella3[[#This Row],[MER]]="X",Tabella3[[#This Row],[GIO]]="X",Tabella3[[#This Row],[VEN]]="X",),"X","")</f>
        <v/>
      </c>
      <c r="D307" s="113" t="inlineStr">
        <is>
          <t>AREA 3</t>
        </is>
      </c>
      <c r="E307" s="109" t="inlineStr">
        <is>
          <t>550671/C</t>
        </is>
      </c>
      <c r="F307" s="109" t="n">
        <v>700</v>
      </c>
      <c r="G307" s="109" t="inlineStr">
        <is>
          <t>700 101N RIPRISTINO FUNZIONALE PILOTA C</t>
        </is>
      </c>
      <c r="H307" s="111" t="n"/>
      <c r="I307" s="111" t="n"/>
      <c r="J307" s="111" t="n"/>
      <c r="K307" s="111" t="n"/>
      <c r="L307" s="111" t="n"/>
      <c r="M307" s="109" t="inlineStr">
        <is>
          <t>DA CHIUDERE</t>
        </is>
      </c>
      <c r="N307" s="109" t="n"/>
      <c r="O307" s="109" t="n"/>
      <c r="P307" s="109" t="n"/>
      <c r="Q307" s="109" t="inlineStr">
        <is>
          <t>REVISIONATO IN CANTIERE PILOTA C FORNO F101N. PROVA DI ACCENSIONE, OK</t>
        </is>
      </c>
      <c r="R307" s="110" t="n">
        <v>45912</v>
      </c>
      <c r="S307" s="109" t="inlineStr">
        <is>
          <t>TARASCIO</t>
        </is>
      </c>
      <c r="T307" s="114">
        <f>IF(AND('Inserimento dati'!$B$3=$H$2, Tabella3[[#This Row],[LUN]]="X"), "X",IF(AND('Inserimento dati'!$B$3=$I$2, Tabella3[[#This Row],[MAR]]="X"), "X", IF(AND('Inserimento dati'!$B$3=$J$2, Tabella3[[#This Row],[MER]]="X"), "X",IF(AND('Inserimento dati'!$B$3=$K$2, Tabella3[[#This Row],[GIO]]="X"), "X", IF(AND('Inserimento dati'!$B$3=$L$2, Tabella3[[#This Row],[VEN]]="X"), "X","")))))</f>
        <v/>
      </c>
      <c r="U307" s="93" t="n"/>
      <c r="V307" t="inlineStr">
        <is>
          <t>2025-09-30 20:00:00</t>
        </is>
      </c>
    </row>
    <row r="308" ht="105" customFormat="1" customHeight="1" s="45">
      <c r="A308" s="112" t="n"/>
      <c r="B308" s="112" t="n"/>
      <c r="C308" s="112">
        <f>IF(OR(Tabella3[[#This Row],[LUN]]="X",Tabella3[[#This Row],[MAR]]="X",Tabella3[[#This Row],[MER]]="X",Tabella3[[#This Row],[GIO]]="X",Tabella3[[#This Row],[VEN]]="X",),"X","")</f>
        <v/>
      </c>
      <c r="D308" s="113" t="inlineStr">
        <is>
          <t>AREA 3</t>
        </is>
      </c>
      <c r="E308" s="109" t="inlineStr">
        <is>
          <t>550426/C</t>
        </is>
      </c>
      <c r="F308" s="109" t="n">
        <v>700</v>
      </c>
      <c r="G308" s="109" t="inlineStr">
        <is>
          <t>10230089 -10230090 700: mtz 07T640A/B - 700: verifica 07T634A/B  controllo funzionale</t>
        </is>
      </c>
      <c r="H308" s="111" t="n"/>
      <c r="I308" s="111" t="n"/>
      <c r="J308" s="111" t="n"/>
      <c r="K308" s="111" t="n"/>
      <c r="L308" s="111" t="n"/>
      <c r="M308" s="109" t="inlineStr">
        <is>
          <t>DA CHIUDERE</t>
        </is>
      </c>
      <c r="N308" s="109" t="n"/>
      <c r="O308" s="109" t="n"/>
      <c r="P308" s="109" t="n"/>
      <c r="Q308" s="109" t="inlineStr">
        <is>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is>
      </c>
      <c r="R308" s="110" t="n">
        <v>45912</v>
      </c>
      <c r="S308" s="109" t="inlineStr">
        <is>
          <t>MILLO/GARRO</t>
        </is>
      </c>
      <c r="T308" s="114">
        <f>IF(AND('Inserimento dati'!$B$3=$H$2, Tabella3[[#This Row],[LUN]]="X"), "X",IF(AND('Inserimento dati'!$B$3=$I$2, Tabella3[[#This Row],[MAR]]="X"), "X", IF(AND('Inserimento dati'!$B$3=$J$2, Tabella3[[#This Row],[MER]]="X"), "X",IF(AND('Inserimento dati'!$B$3=$K$2, Tabella3[[#This Row],[GIO]]="X"), "X", IF(AND('Inserimento dati'!$B$3=$L$2, Tabella3[[#This Row],[VEN]]="X"), "X","")))))</f>
        <v/>
      </c>
      <c r="U308" s="93">
        <f>IFERROR(MID(G308,_xlfn.AGGREGATE(15,6,(ROW(INDIRECT("1:"&amp;LEN(G308)-7)))/(ISNUMBER(--MID(G308,ROW(INDIRECT("1:"&amp;LEN(G308)-7)),8))),1),8),"")</f>
        <v/>
      </c>
      <c r="V308" t="inlineStr">
        <is>
          <t>2025-09-30 20:00:00</t>
        </is>
      </c>
    </row>
    <row r="309" ht="45" customFormat="1" customHeight="1" s="45">
      <c r="A309" s="112" t="n"/>
      <c r="B309" s="112" t="n"/>
      <c r="C309" s="112">
        <f>IF(OR(Tabella3[[#This Row],[LUN]]="X",Tabella3[[#This Row],[MAR]]="X",Tabella3[[#This Row],[MER]]="X",Tabella3[[#This Row],[GIO]]="X",Tabella3[[#This Row],[VEN]]="X",),"X","")</f>
        <v/>
      </c>
      <c r="D309" s="113" t="inlineStr">
        <is>
          <t>AREA 3</t>
        </is>
      </c>
      <c r="E309" s="109" t="inlineStr">
        <is>
          <t>550785/C</t>
        </is>
      </c>
      <c r="F309" s="109" t="n">
        <v>2400</v>
      </c>
      <c r="G309" s="109" t="inlineStr">
        <is>
          <t xml:space="preserve"> 10230224   2400-L606CV SMONTAGIO/RIMONTAGGIO VALVOLA PER REVISIONE</t>
        </is>
      </c>
      <c r="H309" s="111" t="n"/>
      <c r="I309" s="111" t="n"/>
      <c r="J309" s="111" t="n"/>
      <c r="K309" s="111" t="n"/>
      <c r="L309" s="111" t="n"/>
      <c r="M309" s="109" t="inlineStr">
        <is>
          <t>DA CHIUDERE</t>
        </is>
      </c>
      <c r="N309" s="109" t="n"/>
      <c r="O309" s="109" t="n"/>
      <c r="P309" s="109" t="n"/>
      <c r="Q309" s="109" t="inlineStr">
        <is>
          <t>RIMONTAGGIO VALVOLA COLLEGAMENTI PNEUMATICI RIPRISTINATI ALLINEAMENTO CON SALA CONTROLLO E INSERIMENTO DELLA VALVOLA A PROCESSO</t>
        </is>
      </c>
      <c r="R309" s="110" t="n">
        <v>45917</v>
      </c>
      <c r="S309" s="109" t="inlineStr">
        <is>
          <t>GARRO</t>
        </is>
      </c>
      <c r="T309" s="114">
        <f>IF(AND('Inserimento dati'!$B$3=$H$2, Tabella3[[#This Row],[LUN]]="X"), "X",IF(AND('Inserimento dati'!$B$3=$I$2, Tabella3[[#This Row],[MAR]]="X"), "X", IF(AND('Inserimento dati'!$B$3=$J$2, Tabella3[[#This Row],[MER]]="X"), "X",IF(AND('Inserimento dati'!$B$3=$K$2, Tabella3[[#This Row],[GIO]]="X"), "X", IF(AND('Inserimento dati'!$B$3=$L$2, Tabella3[[#This Row],[VEN]]="X"), "X","")))))</f>
        <v/>
      </c>
      <c r="U309" s="93" t="n"/>
      <c r="V309" t="inlineStr">
        <is>
          <t>2025-09-30 20:00:00</t>
        </is>
      </c>
    </row>
    <row r="310" ht="45" customFormat="1" customHeight="1" s="45">
      <c r="A310" s="112" t="n"/>
      <c r="B310" s="112" t="n"/>
      <c r="C310" s="112">
        <f>IF(OR(Tabella3[[#This Row],[LUN]]="X",Tabella3[[#This Row],[MAR]]="X",Tabella3[[#This Row],[MER]]="X",Tabella3[[#This Row],[GIO]]="X",Tabella3[[#This Row],[VEN]]="X",),"X","")</f>
        <v/>
      </c>
      <c r="D310" s="113" t="inlineStr">
        <is>
          <t>AREA 3</t>
        </is>
      </c>
      <c r="E310" s="109" t="inlineStr">
        <is>
          <t>551430/C</t>
        </is>
      </c>
      <c r="F310" s="109" t="n">
        <v>800</v>
      </c>
      <c r="G310" s="109" t="inlineStr">
        <is>
          <t>10230467  800: RIPRISTINO TUBO ARIA SPAZIO NOCIVO C101A</t>
        </is>
      </c>
      <c r="H310" s="111" t="n"/>
      <c r="I310" s="111" t="n"/>
      <c r="J310" s="111" t="n"/>
      <c r="K310" s="111" t="n"/>
      <c r="L310" s="111" t="n"/>
      <c r="M310" s="109" t="inlineStr">
        <is>
          <t>DA CHIUDERE</t>
        </is>
      </c>
      <c r="N310" s="109" t="n"/>
      <c r="O310" s="109" t="n"/>
      <c r="P310" s="109" t="n"/>
      <c r="Q310" s="109" t="inlineStr">
        <is>
          <t xml:space="preserve">TROVATO TUBICINO VALVOLA PARZIALIZZAZIONE SPEZZATO. ESEGUITA SOSTITUZIONE OLIVETTA E RICOLLEGATO CON ESITO POSITIVO. </t>
        </is>
      </c>
      <c r="R310" s="110" t="n">
        <v>45918</v>
      </c>
      <c r="S310" s="109" t="inlineStr">
        <is>
          <t>TARASCIO</t>
        </is>
      </c>
      <c r="T310" s="114">
        <f>IF(AND('Inserimento dati'!$B$3=$H$2, Tabella3[[#This Row],[LUN]]="X"), "X",IF(AND('Inserimento dati'!$B$3=$I$2, Tabella3[[#This Row],[MAR]]="X"), "X", IF(AND('Inserimento dati'!$B$3=$J$2, Tabella3[[#This Row],[MER]]="X"), "X",IF(AND('Inserimento dati'!$B$3=$K$2, Tabella3[[#This Row],[GIO]]="X"), "X", IF(AND('Inserimento dati'!$B$3=$L$2, Tabella3[[#This Row],[VEN]]="X"), "X","")))))</f>
        <v/>
      </c>
      <c r="U310" s="93" t="n"/>
      <c r="V310" t="inlineStr">
        <is>
          <t>2025-09-30 20:00:00</t>
        </is>
      </c>
    </row>
    <row r="311" ht="30" customFormat="1" customHeight="1" s="45">
      <c r="A311" s="112" t="n"/>
      <c r="B311" s="112" t="n"/>
      <c r="C311" s="112">
        <f>IF(OR(Tabella3[[#This Row],[LUN]]="X",Tabella3[[#This Row],[MAR]]="X",Tabella3[[#This Row],[MER]]="X",Tabella3[[#This Row],[GIO]]="X",Tabella3[[#This Row],[VEN]]="X",),"X","")</f>
        <v/>
      </c>
      <c r="D311" s="113" t="inlineStr">
        <is>
          <t>AREA 3</t>
        </is>
      </c>
      <c r="E311" s="109" t="inlineStr">
        <is>
          <t>547452/C</t>
        </is>
      </c>
      <c r="F311" s="109" t="n">
        <v>4200</v>
      </c>
      <c r="G311" s="109" t="inlineStr">
        <is>
          <t>4200-0-LT017 Controllo funzionale TX di livello ed allineamento con sala controllo (D107)</t>
        </is>
      </c>
      <c r="H311" s="111" t="n"/>
      <c r="I311" s="111" t="n"/>
      <c r="J311" s="111" t="n"/>
      <c r="K311" s="111" t="n"/>
      <c r="L311" s="111" t="n"/>
      <c r="M311" s="109" t="inlineStr">
        <is>
          <t>DA CHIUDERE</t>
        </is>
      </c>
      <c r="N311" s="109" t="n"/>
      <c r="O311" s="109" t="n"/>
      <c r="P311" s="109" t="n"/>
      <c r="Q311" s="109" t="inlineStr">
        <is>
          <t>ESEGUITO RIEMPIMENTO DEI PRIMARI CON ACQUA RIPRISTINANDO LA FUNZIONALITÀ.</t>
        </is>
      </c>
      <c r="R311" s="110" t="inlineStr">
        <is>
          <t>25/09/2025</t>
        </is>
      </c>
      <c r="S311" s="109" t="inlineStr">
        <is>
          <t>ALLEGRETTI</t>
        </is>
      </c>
      <c r="T311" s="114">
        <f>IF(AND('Inserimento dati'!$B$3=$H$2, Tabella3[[#This Row],[LUN]]="X"), "X",IF(AND('Inserimento dati'!$B$3=$I$2, Tabella3[[#This Row],[MAR]]="X"), "X", IF(AND('Inserimento dati'!$B$3=$J$2, Tabella3[[#This Row],[MER]]="X"), "X",IF(AND('Inserimento dati'!$B$3=$K$2, Tabella3[[#This Row],[GIO]]="X"), "X", IF(AND('Inserimento dati'!$B$3=$L$2, Tabella3[[#This Row],[VEN]]="X"), "X","")))))</f>
        <v/>
      </c>
      <c r="U311" s="93">
        <f>IFERROR(MID(G311,_xlfn.AGGREGATE(15,6,(ROW(INDIRECT("1:"&amp;LEN(G311)-7)))/(ISNUMBER(--MID(G311,ROW(INDIRECT("1:"&amp;LEN(G311)-7)),8))),1),8),"")</f>
        <v/>
      </c>
      <c r="V311" t="inlineStr">
        <is>
          <t>2025-09-30 20:00:00</t>
        </is>
      </c>
    </row>
    <row r="312" ht="30" customFormat="1" customHeight="1" s="45">
      <c r="A312" s="112" t="n"/>
      <c r="B312" s="112" t="n"/>
      <c r="C312" s="112">
        <f>IF(OR(Tabella3[[#This Row],[LUN]]="X",Tabella3[[#This Row],[MAR]]="X",Tabella3[[#This Row],[MER]]="X",Tabella3[[#This Row],[GIO]]="X",Tabella3[[#This Row],[VEN]]="X",),"X","")</f>
        <v/>
      </c>
      <c r="D312" s="113" t="inlineStr">
        <is>
          <t>AREA 3</t>
        </is>
      </c>
      <c r="E312" s="109" t="inlineStr">
        <is>
          <t>549706/C</t>
        </is>
      </c>
      <c r="F312" s="109" t="n">
        <v>1200</v>
      </c>
      <c r="G312" s="109" t="inlineStr">
        <is>
          <t xml:space="preserve"> 1200-MAX  E OFF SITE CONTROLLO  RIPRISTINO E MOVIMENTAZIONE  KV e HIC.  (autocestello)</t>
        </is>
      </c>
      <c r="H312" s="111" t="n"/>
      <c r="I312" s="111" t="n"/>
      <c r="J312" s="111" t="n"/>
      <c r="K312" s="111" t="n"/>
      <c r="L312" s="111" t="n"/>
      <c r="M312" s="109" t="inlineStr">
        <is>
          <t>EMESSO</t>
        </is>
      </c>
      <c r="N312" s="109" t="n"/>
      <c r="O312" s="109" t="n"/>
      <c r="P312" s="109" t="n"/>
      <c r="Q312" s="109" t="n"/>
      <c r="R312" s="110" t="n"/>
      <c r="S312" s="109" t="n"/>
      <c r="T312" s="114">
        <f>IF(AND('Inserimento dati'!$B$3=$H$2, Tabella3[[#This Row],[LUN]]="X"), "X",IF(AND('Inserimento dati'!$B$3=$I$2, Tabella3[[#This Row],[MAR]]="X"), "X", IF(AND('Inserimento dati'!$B$3=$J$2, Tabella3[[#This Row],[MER]]="X"), "X",IF(AND('Inserimento dati'!$B$3=$K$2, Tabella3[[#This Row],[GIO]]="X"), "X", IF(AND('Inserimento dati'!$B$3=$L$2, Tabella3[[#This Row],[VEN]]="X"), "X","")))))</f>
        <v/>
      </c>
      <c r="U312" s="93">
        <f>IFERROR(MID(G312,_xlfn.AGGREGATE(15,6,(ROW(INDIRECT("1:"&amp;LEN(G312)-7)))/(ISNUMBER(--MID(G312,ROW(INDIRECT("1:"&amp;LEN(G312)-7)),8))),1),8),"")</f>
        <v/>
      </c>
      <c r="V312" t="inlineStr">
        <is>
          <t>2025-09-30 20:00:00</t>
        </is>
      </c>
    </row>
    <row r="313" ht="23.25" customFormat="1" customHeight="1" s="45">
      <c r="A313" s="112" t="n"/>
      <c r="B313" s="112" t="n"/>
      <c r="C313" s="112">
        <f>IF(OR(Tabella3[[#This Row],[LUN]]="X",Tabella3[[#This Row],[MAR]]="X",Tabella3[[#This Row],[MER]]="X",Tabella3[[#This Row],[GIO]]="X",Tabella3[[#This Row],[VEN]]="X",),"X","")</f>
        <v/>
      </c>
      <c r="D313" s="113" t="inlineStr">
        <is>
          <t>AREA 3</t>
        </is>
      </c>
      <c r="E313" s="109" t="inlineStr">
        <is>
          <t>549305/C</t>
        </is>
      </c>
      <c r="F313" s="109" t="n">
        <v>700</v>
      </c>
      <c r="G313" s="109" t="inlineStr">
        <is>
          <t>700 - P602RC COTROLLO FUNZIONALE</t>
        </is>
      </c>
      <c r="H313" s="111" t="n"/>
      <c r="I313" s="111" t="n"/>
      <c r="J313" s="111" t="n"/>
      <c r="K313" s="111" t="n"/>
      <c r="L313" s="111" t="n"/>
      <c r="M313" s="109" t="inlineStr">
        <is>
          <t>EMESSO</t>
        </is>
      </c>
      <c r="N313" s="109" t="n"/>
      <c r="O313" s="109" t="n"/>
      <c r="P313" s="109" t="n"/>
      <c r="Q313" s="109" t="n"/>
      <c r="R313" s="110" t="n"/>
      <c r="S313" s="109" t="n"/>
      <c r="T313" s="114">
        <f>IF(AND('Inserimento dati'!$B$3=$H$2, Tabella3[[#This Row],[LUN]]="X"), "X",IF(AND('Inserimento dati'!$B$3=$I$2, Tabella3[[#This Row],[MAR]]="X"), "X", IF(AND('Inserimento dati'!$B$3=$J$2, Tabella3[[#This Row],[MER]]="X"), "X",IF(AND('Inserimento dati'!$B$3=$K$2, Tabella3[[#This Row],[GIO]]="X"), "X", IF(AND('Inserimento dati'!$B$3=$L$2, Tabella3[[#This Row],[VEN]]="X"), "X","")))))</f>
        <v/>
      </c>
      <c r="U313" s="93">
        <f>IFERROR(MID(G313,_xlfn.AGGREGATE(15,6,(ROW(INDIRECT("1:"&amp;LEN(G313)-7)))/(ISNUMBER(--MID(G313,ROW(INDIRECT("1:"&amp;LEN(G313)-7)),8))),1),8),"")</f>
        <v/>
      </c>
      <c r="V313" t="inlineStr">
        <is>
          <t>2025-09-30 20:00:00</t>
        </is>
      </c>
    </row>
    <row r="314" ht="23.25" customFormat="1" customHeight="1" s="45">
      <c r="A314" s="112" t="n"/>
      <c r="B314" s="112" t="n"/>
      <c r="C314" s="112">
        <f>IF(OR(Tabella3[[#This Row],[LUN]]="X",Tabella3[[#This Row],[MAR]]="X",Tabella3[[#This Row],[MER]]="X",Tabella3[[#This Row],[GIO]]="X",Tabella3[[#This Row],[VEN]]="X",),"X","")</f>
        <v/>
      </c>
      <c r="D314" s="113" t="inlineStr">
        <is>
          <t>AREA 3</t>
        </is>
      </c>
      <c r="E314" s="109" t="inlineStr">
        <is>
          <t>546734/C</t>
        </is>
      </c>
      <c r="F314" s="109" t="n">
        <v>700</v>
      </c>
      <c r="G314" s="109" t="inlineStr">
        <is>
          <t>10228362   700: MTZ PRC001-controllo e ripristino funzionale</t>
        </is>
      </c>
      <c r="H314" s="111" t="n"/>
      <c r="I314" s="111" t="n"/>
      <c r="J314" s="111" t="n"/>
      <c r="K314" s="111" t="n"/>
      <c r="L314" s="111" t="n"/>
      <c r="M314" s="109" t="inlineStr">
        <is>
          <t>EMESSO</t>
        </is>
      </c>
      <c r="N314" s="109" t="n"/>
      <c r="O314" s="109" t="n"/>
      <c r="P314" s="109" t="n"/>
      <c r="Q314" s="109" t="n"/>
      <c r="R314" s="110" t="n"/>
      <c r="S314" s="109" t="n"/>
      <c r="T314" s="114">
        <f>IF(AND('Inserimento dati'!$B$3=$H$2, Tabella3[[#This Row],[LUN]]="X"), "X",IF(AND('Inserimento dati'!$B$3=$I$2, Tabella3[[#This Row],[MAR]]="X"), "X", IF(AND('Inserimento dati'!$B$3=$J$2, Tabella3[[#This Row],[MER]]="X"), "X",IF(AND('Inserimento dati'!$B$3=$K$2, Tabella3[[#This Row],[GIO]]="X"), "X", IF(AND('Inserimento dati'!$B$3=$L$2, Tabella3[[#This Row],[VEN]]="X"), "X","")))))</f>
        <v/>
      </c>
      <c r="U314" s="93">
        <f>IFERROR(MID(G314,_xlfn.AGGREGATE(15,6,(ROW(INDIRECT("1:"&amp;LEN(G314)-7)))/(ISNUMBER(--MID(G314,ROW(INDIRECT("1:"&amp;LEN(G314)-7)),8))),1),8),"")</f>
        <v/>
      </c>
      <c r="V314" t="inlineStr">
        <is>
          <t>2025-09-30 20:00:00</t>
        </is>
      </c>
    </row>
    <row r="315" ht="23.25" customFormat="1" customHeight="1" s="45">
      <c r="A315" s="112" t="n"/>
      <c r="B315" s="112" t="n"/>
      <c r="C315" s="112">
        <f>IF(OR(Tabella3[[#This Row],[LUN]]="X",Tabella3[[#This Row],[MAR]]="X",Tabella3[[#This Row],[MER]]="X",Tabella3[[#This Row],[GIO]]="X",Tabella3[[#This Row],[VEN]]="X",),"X","")</f>
        <v/>
      </c>
      <c r="D315" s="113" t="inlineStr">
        <is>
          <t>AREA 3</t>
        </is>
      </c>
      <c r="E315" s="109" t="inlineStr">
        <is>
          <t>546738/C</t>
        </is>
      </c>
      <c r="F315" s="109" t="inlineStr">
        <is>
          <t>700A</t>
        </is>
      </c>
      <c r="G315" s="109" t="inlineStr">
        <is>
          <t>10228364  700A-1-F225R-controllo e ripristino funzionale</t>
        </is>
      </c>
      <c r="H315" s="111" t="n"/>
      <c r="I315" s="111" t="n"/>
      <c r="J315" s="111" t="n"/>
      <c r="K315" s="111" t="n"/>
      <c r="L315" s="111" t="n"/>
      <c r="M315" s="109" t="inlineStr">
        <is>
          <t>EMESSO</t>
        </is>
      </c>
      <c r="N315" s="109" t="n"/>
      <c r="O315" s="109" t="n"/>
      <c r="P315" s="109" t="n"/>
      <c r="Q315" s="109" t="n"/>
      <c r="R315" s="110" t="n"/>
      <c r="S315" s="109" t="n"/>
      <c r="T315" s="114">
        <f>IF(AND('Inserimento dati'!$B$3=$H$2, Tabella3[[#This Row],[LUN]]="X"), "X",IF(AND('Inserimento dati'!$B$3=$I$2, Tabella3[[#This Row],[MAR]]="X"), "X", IF(AND('Inserimento dati'!$B$3=$J$2, Tabella3[[#This Row],[MER]]="X"), "X",IF(AND('Inserimento dati'!$B$3=$K$2, Tabella3[[#This Row],[GIO]]="X"), "X", IF(AND('Inserimento dati'!$B$3=$L$2, Tabella3[[#This Row],[VEN]]="X"), "X","")))))</f>
        <v/>
      </c>
      <c r="U315" s="93">
        <f>IFERROR(MID(G315,_xlfn.AGGREGATE(15,6,(ROW(INDIRECT("1:"&amp;LEN(G315)-7)))/(ISNUMBER(--MID(G315,ROW(INDIRECT("1:"&amp;LEN(G315)-7)),8))),1),8),"")</f>
        <v/>
      </c>
      <c r="V315" t="inlineStr">
        <is>
          <t>2025-09-30 20:00:00</t>
        </is>
      </c>
    </row>
    <row r="316" ht="30" customFormat="1" customHeight="1" s="45">
      <c r="A316" s="112" t="n"/>
      <c r="B316" s="112" t="n"/>
      <c r="C316" s="112">
        <f>IF(OR(Tabella3[[#This Row],[LUN]]="X",Tabella3[[#This Row],[MAR]]="X",Tabella3[[#This Row],[MER]]="X",Tabella3[[#This Row],[GIO]]="X",Tabella3[[#This Row],[VEN]]="X",),"X","")</f>
        <v/>
      </c>
      <c r="D316" s="113" t="inlineStr">
        <is>
          <t>AREA 3</t>
        </is>
      </c>
      <c r="E316" s="109" t="inlineStr">
        <is>
          <t>541705/C</t>
        </is>
      </c>
      <c r="F316" s="109" t="n">
        <v>1200</v>
      </c>
      <c r="G316" s="109" t="inlineStr">
        <is>
          <t xml:space="preserve"> IMP.1200MAXI F201 RIPRISTINO FUNZIONALITA FOTOCELLULA  DOPO  STASATURA DEL CANOTTO OTTICO</t>
        </is>
      </c>
      <c r="H316" s="111" t="n"/>
      <c r="I316" s="111" t="n"/>
      <c r="J316" s="111" t="n"/>
      <c r="K316" s="111" t="n"/>
      <c r="L316" s="111" t="n"/>
      <c r="M316" s="109" t="inlineStr">
        <is>
          <t>EMESSO</t>
        </is>
      </c>
      <c r="N316" s="109" t="n"/>
      <c r="O316" s="109" t="n"/>
      <c r="P316" s="109" t="n"/>
      <c r="Q316" s="109" t="n"/>
      <c r="R316" s="110" t="n"/>
      <c r="S316" s="109" t="n"/>
      <c r="T316" s="114">
        <f>IF(AND('Inserimento dati'!$B$3=$H$2, Tabella3[[#This Row],[LUN]]="X"), "X",IF(AND('Inserimento dati'!$B$3=$I$2, Tabella3[[#This Row],[MAR]]="X"), "X", IF(AND('Inserimento dati'!$B$3=$J$2, Tabella3[[#This Row],[MER]]="X"), "X",IF(AND('Inserimento dati'!$B$3=$K$2, Tabella3[[#This Row],[GIO]]="X"), "X", IF(AND('Inserimento dati'!$B$3=$L$2, Tabella3[[#This Row],[VEN]]="X"), "X","")))))</f>
        <v/>
      </c>
      <c r="U316" s="131">
        <f>IFERROR(MID(G316,_xlfn.AGGREGATE(15,6,(ROW(INDIRECT("1:"&amp;LEN(G316)-7)))/(ISNUMBER(--MID(G316,ROW(INDIRECT("1:"&amp;LEN(G316)-7)),8))),1),8),"")</f>
        <v/>
      </c>
      <c r="V316" t="inlineStr">
        <is>
          <t>2025-09-30 20:00:00</t>
        </is>
      </c>
    </row>
    <row r="317" ht="30" customFormat="1" customHeight="1" s="45">
      <c r="A317" s="112" t="n"/>
      <c r="B317" s="112" t="n">
        <v>3</v>
      </c>
      <c r="C317" s="112">
        <f>IF(OR(Tabella3[[#This Row],[LUN]]="X",Tabella3[[#This Row],[MAR]]="X",Tabella3[[#This Row],[MER]]="X",Tabella3[[#This Row],[GIO]]="X",Tabella3[[#This Row],[VEN]]="X",),"X","")</f>
        <v/>
      </c>
      <c r="D317" s="113" t="inlineStr">
        <is>
          <t>AREA 3</t>
        </is>
      </c>
      <c r="E317" s="109" t="inlineStr">
        <is>
          <t>539160/C</t>
        </is>
      </c>
      <c r="F317" s="109" t="inlineStr">
        <is>
          <t>1200/M</t>
        </is>
      </c>
      <c r="G317" s="109" t="inlineStr">
        <is>
          <t>10217843 Ripristino sistema degasaggio linee zolfo-Imp.1200/M-Controllo e ripristino funzionalita' misuratore di portata F902T ('Port Sweep gas da MXSULF)</t>
        </is>
      </c>
      <c r="H317" s="111" t="n"/>
      <c r="I317" s="111" t="n"/>
      <c r="J317" s="111" t="n"/>
      <c r="K317" s="111" t="n"/>
      <c r="L317" s="111" t="n"/>
      <c r="M317" s="109" t="inlineStr">
        <is>
          <t>EMESSO</t>
        </is>
      </c>
      <c r="N317" s="109" t="n"/>
      <c r="O317" s="109" t="n"/>
      <c r="P317" s="109" t="n"/>
      <c r="Q317" s="109" t="n"/>
      <c r="R317" s="110" t="n"/>
      <c r="S317" s="109" t="n"/>
      <c r="T317" s="114">
        <f>IF(AND('Inserimento dati'!$B$3=$H$2, Tabella3[[#This Row],[LUN]]="X"), "X",IF(AND('Inserimento dati'!$B$3=$I$2, Tabella3[[#This Row],[MAR]]="X"), "X", IF(AND('Inserimento dati'!$B$3=$J$2, Tabella3[[#This Row],[MER]]="X"), "X",IF(AND('Inserimento dati'!$B$3=$K$2, Tabella3[[#This Row],[GIO]]="X"), "X", IF(AND('Inserimento dati'!$B$3=$L$2, Tabella3[[#This Row],[VEN]]="X"), "X","")))))</f>
        <v/>
      </c>
      <c r="U317" s="131">
        <f>IFERROR(MID(G317,_xlfn.AGGREGATE(15,6,(ROW(INDIRECT("1:"&amp;LEN(G317)-7)))/(ISNUMBER(--MID(G317,ROW(INDIRECT("1:"&amp;LEN(G317)-7)),8))),1),8),"")</f>
        <v/>
      </c>
      <c r="V317" t="inlineStr">
        <is>
          <t>2025-09-30 20:00:00</t>
        </is>
      </c>
    </row>
    <row r="318" ht="23.25" customFormat="1" customHeight="1" s="45">
      <c r="A318" s="112" t="n"/>
      <c r="B318" s="112" t="n">
        <v>1</v>
      </c>
      <c r="C318" s="112">
        <f>IF(OR(Tabella3[[#This Row],[LUN]]="X",Tabella3[[#This Row],[MAR]]="X",Tabella3[[#This Row],[MER]]="X",Tabella3[[#This Row],[GIO]]="X",Tabella3[[#This Row],[VEN]]="X",),"X","")</f>
        <v/>
      </c>
      <c r="D318" s="113" t="inlineStr">
        <is>
          <t>AREA 3</t>
        </is>
      </c>
      <c r="E318" s="109" t="inlineStr">
        <is>
          <t>539034/C</t>
        </is>
      </c>
      <c r="F318" s="109" t="inlineStr">
        <is>
          <t>1200/1</t>
        </is>
      </c>
      <c r="G318" s="109" t="inlineStr">
        <is>
          <t xml:space="preserve"> 1200/1 - L501SLcontrollo e ripristino livello vasca 2</t>
        </is>
      </c>
      <c r="H318" s="111" t="n"/>
      <c r="I318" s="111" t="n"/>
      <c r="J318" s="111" t="n"/>
      <c r="K318" s="111" t="n"/>
      <c r="L318" s="111" t="n"/>
      <c r="M318" s="109" t="inlineStr">
        <is>
          <t>EMESSO</t>
        </is>
      </c>
      <c r="N318" s="109" t="n"/>
      <c r="O318" s="109" t="n"/>
      <c r="P318" s="109" t="n"/>
      <c r="Q318" s="109" t="n"/>
      <c r="R318" s="110" t="n"/>
      <c r="S318" s="109" t="n"/>
      <c r="T318" s="67">
        <f>IF(AND('Inserimento dati'!$B$3=$H$2, Tabella3[[#This Row],[LUN]]="X"), "X",IF(AND('Inserimento dati'!$B$3=$I$2, Tabella3[[#This Row],[MAR]]="X"), "X", IF(AND('Inserimento dati'!$B$3=$J$2, Tabella3[[#This Row],[MER]]="X"), "X",IF(AND('Inserimento dati'!$B$3=$K$2, Tabella3[[#This Row],[GIO]]="X"), "X", IF(AND('Inserimento dati'!$B$3=$L$2, Tabella3[[#This Row],[VEN]]="X"), "X","")))))</f>
        <v/>
      </c>
      <c r="U318" s="144">
        <f>IFERROR(MID(G318,_xlfn.AGGREGATE(15,6,(ROW(INDIRECT("1:"&amp;LEN(G318)-7)))/(ISNUMBER(--MID(G318,ROW(INDIRECT("1:"&amp;LEN(G318)-7)),8))),1),8),"")</f>
        <v/>
      </c>
      <c r="V318" t="inlineStr">
        <is>
          <t>2025-09-30 20:00:00</t>
        </is>
      </c>
    </row>
    <row r="319" ht="30" customFormat="1" customHeight="1" s="45">
      <c r="A319" s="112" t="n"/>
      <c r="B319" s="112" t="n">
        <v>1</v>
      </c>
      <c r="C319" s="112">
        <f>IF(OR(Tabella3[[#This Row],[LUN]]="X",Tabella3[[#This Row],[MAR]]="X",Tabella3[[#This Row],[MER]]="X",Tabella3[[#This Row],[GIO]]="X",Tabella3[[#This Row],[VEN]]="X",),"X","")</f>
        <v/>
      </c>
      <c r="D319" s="113" t="inlineStr">
        <is>
          <t>AREA 3</t>
        </is>
      </c>
      <c r="E319" s="109" t="inlineStr">
        <is>
          <t>537399/C</t>
        </is>
      </c>
      <c r="F319" s="109" t="n">
        <v>1400</v>
      </c>
      <c r="G319" s="109" t="inlineStr">
        <is>
          <t xml:space="preserve"> 1400 - T016I FONDO T103 DA E115 CONTROLLO  E  RIPRISTINO FUNZIONALITA TEMPERATURA</t>
        </is>
      </c>
      <c r="H319" s="111" t="n"/>
      <c r="I319" s="111" t="n"/>
      <c r="J319" s="111" t="n"/>
      <c r="K319" s="111" t="n"/>
      <c r="L319" s="111" t="n"/>
      <c r="M319" s="109" t="inlineStr">
        <is>
          <t>EMESSO</t>
        </is>
      </c>
      <c r="N319" s="109" t="n"/>
      <c r="O319" s="109" t="n"/>
      <c r="P319" s="109" t="n"/>
      <c r="Q319" s="109" t="n"/>
      <c r="R319" s="110" t="n"/>
      <c r="S319" s="109" t="n"/>
      <c r="T319" s="67">
        <f>IF(AND('Inserimento dati'!$B$3=$H$2, Tabella3[[#This Row],[LUN]]="X"), "X",IF(AND('Inserimento dati'!$B$3=$I$2, Tabella3[[#This Row],[MAR]]="X"), "X", IF(AND('Inserimento dati'!$B$3=$J$2, Tabella3[[#This Row],[MER]]="X"), "X",IF(AND('Inserimento dati'!$B$3=$K$2, Tabella3[[#This Row],[GIO]]="X"), "X", IF(AND('Inserimento dati'!$B$3=$L$2, Tabella3[[#This Row],[VEN]]="X"), "X","")))))</f>
        <v/>
      </c>
      <c r="U319" s="144">
        <f>IFERROR(MID(G319,_xlfn.AGGREGATE(15,6,(ROW(INDIRECT("1:"&amp;LEN(G319)-7)))/(ISNUMBER(--MID(G319,ROW(INDIRECT("1:"&amp;LEN(G319)-7)),8))),1),8),"")</f>
        <v/>
      </c>
      <c r="V319" t="inlineStr">
        <is>
          <t>2025-09-30 20:00:00</t>
        </is>
      </c>
    </row>
    <row r="320" ht="23.25" customFormat="1" customHeight="1" s="45">
      <c r="A320" s="112" t="n"/>
      <c r="B320" s="112" t="n">
        <v>2</v>
      </c>
      <c r="C320" s="112">
        <f>IF(OR(Tabella3[[#This Row],[LUN]]="X",Tabella3[[#This Row],[MAR]]="X",Tabella3[[#This Row],[MER]]="X",Tabella3[[#This Row],[GIO]]="X",Tabella3[[#This Row],[VEN]]="X",),"X","")</f>
        <v/>
      </c>
      <c r="D320" s="113" t="inlineStr">
        <is>
          <t>AREA 3</t>
        </is>
      </c>
      <c r="E320" s="109" t="inlineStr">
        <is>
          <t>529824/C</t>
        </is>
      </c>
      <c r="F320" s="109" t="n">
        <v>1800</v>
      </c>
      <c r="G320" s="109" t="inlineStr">
        <is>
          <t>10218020 1800 - P101B ripristino cavi. e faccettatura (CAVALLI)</t>
        </is>
      </c>
      <c r="H320" s="111" t="n"/>
      <c r="I320" s="111" t="n"/>
      <c r="J320" s="111" t="n"/>
      <c r="K320" s="111" t="n"/>
      <c r="L320" s="111" t="n"/>
      <c r="M320" s="109" t="inlineStr">
        <is>
          <t>EMESSO</t>
        </is>
      </c>
      <c r="N320" s="109" t="n"/>
      <c r="O320" s="109" t="n"/>
      <c r="P320" s="109" t="n"/>
      <c r="Q320" s="109" t="n"/>
      <c r="R320" s="110" t="n"/>
      <c r="S320" s="109" t="n"/>
      <c r="T320" s="116">
        <f>IF(AND('Inserimento dati'!$B$3=$H$2, Tabella3[[#This Row],[LUN]]="X"), "X",IF(AND('Inserimento dati'!$B$3=$I$2, Tabella3[[#This Row],[MAR]]="X"), "X", IF(AND('Inserimento dati'!$B$3=$J$2, Tabella3[[#This Row],[MER]]="X"), "X",IF(AND('Inserimento dati'!$B$3=$K$2, Tabella3[[#This Row],[GIO]]="X"), "X", IF(AND('Inserimento dati'!$B$3=$L$2, Tabella3[[#This Row],[VEN]]="X"), "X","")))))</f>
        <v/>
      </c>
      <c r="U320" s="144">
        <f>IFERROR(MID(G320,_xlfn.AGGREGATE(15,6,(ROW(INDIRECT("1:"&amp;LEN(G320)-7)))/(ISNUMBER(--MID(G320,ROW(INDIRECT("1:"&amp;LEN(G320)-7)),8))),1),8),"")</f>
        <v/>
      </c>
      <c r="V320" t="inlineStr">
        <is>
          <t>2025-09-30 20:00:00</t>
        </is>
      </c>
    </row>
    <row r="321" ht="23.25" customFormat="1" customHeight="1" s="45">
      <c r="A321" s="112" t="n"/>
      <c r="B321" s="112" t="n">
        <v>2</v>
      </c>
      <c r="C321" s="112">
        <f>IF(OR(Tabella3[[#This Row],[LUN]]="X",Tabella3[[#This Row],[MAR]]="X",Tabella3[[#This Row],[MER]]="X",Tabella3[[#This Row],[GIO]]="X",Tabella3[[#This Row],[VEN]]="X",),"X","")</f>
        <v/>
      </c>
      <c r="D321" s="113" t="inlineStr">
        <is>
          <t>AREA 3</t>
        </is>
      </c>
      <c r="E321" s="109" t="inlineStr">
        <is>
          <t>529831/C</t>
        </is>
      </c>
      <c r="F321" s="109" t="n">
        <v>1100</v>
      </c>
      <c r="G321" s="109" t="inlineStr">
        <is>
          <t>10218012 1100 - ripristino passerella porta cavi fascettatura (CAVALLI)</t>
        </is>
      </c>
      <c r="H321" s="111" t="n"/>
      <c r="I321" s="111" t="n"/>
      <c r="J321" s="111" t="n"/>
      <c r="K321" s="111" t="n"/>
      <c r="L321" s="111" t="n"/>
      <c r="M321" s="109" t="inlineStr">
        <is>
          <t>EMESSO</t>
        </is>
      </c>
      <c r="N321" s="109" t="n"/>
      <c r="O321" s="109" t="n"/>
      <c r="P321" s="109" t="n"/>
      <c r="Q321" s="109" t="n"/>
      <c r="R321" s="110" t="n"/>
      <c r="S321" s="109" t="n"/>
      <c r="T321" s="116">
        <f>IF(AND('Inserimento dati'!$B$3=$H$2, Tabella3[[#This Row],[LUN]]="X"), "X",IF(AND('Inserimento dati'!$B$3=$I$2, Tabella3[[#This Row],[MAR]]="X"), "X", IF(AND('Inserimento dati'!$B$3=$J$2, Tabella3[[#This Row],[MER]]="X"), "X",IF(AND('Inserimento dati'!$B$3=$K$2, Tabella3[[#This Row],[GIO]]="X"), "X", IF(AND('Inserimento dati'!$B$3=$L$2, Tabella3[[#This Row],[VEN]]="X"), "X","")))))</f>
        <v/>
      </c>
      <c r="U321" s="144">
        <f>IFERROR(MID(G321,_xlfn.AGGREGATE(15,6,(ROW(INDIRECT("1:"&amp;LEN(G321)-7)))/(ISNUMBER(--MID(G321,ROW(INDIRECT("1:"&amp;LEN(G321)-7)),8))),1),8),"")</f>
        <v/>
      </c>
      <c r="V321" t="inlineStr">
        <is>
          <t>2025-09-30 20:00:00</t>
        </is>
      </c>
    </row>
    <row r="322" ht="23.25" customFormat="1" customHeight="1" s="45">
      <c r="A322" s="112" t="n"/>
      <c r="B322" s="112" t="n">
        <v>2</v>
      </c>
      <c r="C322" s="112">
        <f>IF(OR(Tabella3[[#This Row],[LUN]]="X",Tabella3[[#This Row],[MAR]]="X",Tabella3[[#This Row],[MER]]="X",Tabella3[[#This Row],[GIO]]="X",Tabella3[[#This Row],[VEN]]="X",),"X","")</f>
        <v/>
      </c>
      <c r="D322" s="113" t="inlineStr">
        <is>
          <t>AREA 3</t>
        </is>
      </c>
      <c r="E322" s="109" t="inlineStr">
        <is>
          <t>537193/C</t>
        </is>
      </c>
      <c r="F322" s="109" t="inlineStr">
        <is>
          <t>1200/2</t>
        </is>
      </c>
      <c r="G322" s="109" t="inlineStr">
        <is>
          <t>10224036 1200/2 - Z2F304RC controllo</t>
        </is>
      </c>
      <c r="H322" s="111" t="n"/>
      <c r="I322" s="111" t="n"/>
      <c r="J322" s="111" t="n"/>
      <c r="K322" s="111" t="n"/>
      <c r="L322" s="111" t="n"/>
      <c r="M322" s="109" t="inlineStr">
        <is>
          <t>EMESSO</t>
        </is>
      </c>
      <c r="N322" s="109" t="n"/>
      <c r="O322" s="109" t="n"/>
      <c r="P322" s="109" t="n"/>
      <c r="Q322" s="109" t="n"/>
      <c r="R322" s="110" t="n"/>
      <c r="S322" s="109" t="n"/>
      <c r="T322" s="67">
        <f>IF(AND('Inserimento dati'!$B$3=$H$2, Tabella3[[#This Row],[LUN]]="X"), "X",IF(AND('Inserimento dati'!$B$3=$I$2, Tabella3[[#This Row],[MAR]]="X"), "X", IF(AND('Inserimento dati'!$B$3=$J$2, Tabella3[[#This Row],[MER]]="X"), "X",IF(AND('Inserimento dati'!$B$3=$K$2, Tabella3[[#This Row],[GIO]]="X"), "X", IF(AND('Inserimento dati'!$B$3=$L$2, Tabella3[[#This Row],[VEN]]="X"), "X","")))))</f>
        <v/>
      </c>
      <c r="U322" s="144">
        <f>IFERROR(MID(G322,_xlfn.AGGREGATE(15,6,(ROW(INDIRECT("1:"&amp;LEN(G322)-7)))/(ISNUMBER(--MID(G322,ROW(INDIRECT("1:"&amp;LEN(G322)-7)),8))),1),8),"")</f>
        <v/>
      </c>
      <c r="V322" t="inlineStr">
        <is>
          <t>2025-09-30 20:00:00</t>
        </is>
      </c>
    </row>
    <row r="323" ht="30" customFormat="1" customHeight="1" s="45">
      <c r="A323" s="112" t="n"/>
      <c r="B323" s="112">
        <f>IF(OR(A323="x",A323="X"),"",IF(ISBLANK(A323),"X",""))</f>
        <v/>
      </c>
      <c r="C323" s="112">
        <f>IF(OR(Tabella3[[#This Row],[LUN]]="X",Tabella3[[#This Row],[MAR]]="X",Tabella3[[#This Row],[MER]]="X",Tabella3[[#This Row],[GIO]]="X",Tabella3[[#This Row],[VEN]]="X",),"X","")</f>
        <v/>
      </c>
      <c r="D323" s="113" t="inlineStr">
        <is>
          <t>AREA 3</t>
        </is>
      </c>
      <c r="E323" s="109" t="inlineStr">
        <is>
          <t>528146/C</t>
        </is>
      </c>
      <c r="F323" s="109" t="inlineStr">
        <is>
          <t>1200/3</t>
        </is>
      </c>
      <c r="G323" s="109" t="inlineStr">
        <is>
          <t xml:space="preserve"> 1200/3 - SCOLLEGAMENTO/RICOLLEGAMENTO  ELETTROPNEUMATICO PER SOSTITUZIONE HIC 746 CON LA HIC 742 E PROVE FUNZIONALI CON SALA CONTROLLO</t>
        </is>
      </c>
      <c r="H323" s="111" t="n"/>
      <c r="I323" s="111" t="n"/>
      <c r="J323" s="111" t="n"/>
      <c r="K323" s="111" t="n"/>
      <c r="L323" s="111" t="n"/>
      <c r="M323" s="109" t="inlineStr">
        <is>
          <t>EMESSO</t>
        </is>
      </c>
      <c r="N323" s="109" t="n"/>
      <c r="O323" s="109" t="n"/>
      <c r="P323" s="109" t="n"/>
      <c r="Q323" s="109" t="inlineStr">
        <is>
          <t>HIC741 - CONTROLLO FINECORSA DI APERTURA IN CORSO</t>
        </is>
      </c>
      <c r="R323" s="110" t="n">
        <v>45783</v>
      </c>
      <c r="S323" s="109" t="inlineStr">
        <is>
          <t>GARRO</t>
        </is>
      </c>
      <c r="T323" s="116">
        <f>IF(AND('Inserimento dati'!$B$3=$H$2, Tabella3[[#This Row],[LUN]]="X"), "X",IF(AND('Inserimento dati'!$B$3=$I$2, Tabella3[[#This Row],[MAR]]="X"), "X", IF(AND('Inserimento dati'!$B$3=$J$2, Tabella3[[#This Row],[MER]]="X"), "X",IF(AND('Inserimento dati'!$B$3=$K$2, Tabella3[[#This Row],[GIO]]="X"), "X", IF(AND('Inserimento dati'!$B$3=$L$2, Tabella3[[#This Row],[VEN]]="X"), "X","")))))</f>
        <v/>
      </c>
      <c r="U323" s="144">
        <f>IFERROR(MID(G323,_xlfn.AGGREGATE(15,6,(ROW(INDIRECT("1:"&amp;LEN(G323)-7)))/(ISNUMBER(--MID(G323,ROW(INDIRECT("1:"&amp;LEN(G323)-7)),8))),1),8),"")</f>
        <v/>
      </c>
      <c r="V323" t="inlineStr">
        <is>
          <t>2025-09-30 20:00:00</t>
        </is>
      </c>
    </row>
    <row r="324" ht="30" customFormat="1" customHeight="1" s="45">
      <c r="A324" s="112" t="n"/>
      <c r="B324" s="112" t="n">
        <v>3</v>
      </c>
      <c r="C324" s="112">
        <f>IF(OR(Tabella3[[#This Row],[LUN]]="X",Tabella3[[#This Row],[MAR]]="X",Tabella3[[#This Row],[MER]]="X",Tabella3[[#This Row],[GIO]]="X",Tabella3[[#This Row],[VEN]]="X",),"X","")</f>
        <v/>
      </c>
      <c r="D324" s="113" t="inlineStr">
        <is>
          <t>AREA 3</t>
        </is>
      </c>
      <c r="E324" s="109" t="inlineStr">
        <is>
          <t>538117/C</t>
        </is>
      </c>
      <c r="F324" s="109" t="n">
        <v>700</v>
      </c>
      <c r="G324" s="109" t="inlineStr">
        <is>
          <t>102224348 700 - SMONTAGGIO/RIMONTAGGIO PER SOSTITUZIONE O REVISIONE VALVOLA SISTEMA AI F101 B-617B</t>
        </is>
      </c>
      <c r="H324" s="111" t="n"/>
      <c r="I324" s="111" t="n"/>
      <c r="J324" s="111" t="n"/>
      <c r="K324" s="111" t="n"/>
      <c r="L324" s="111" t="n"/>
      <c r="M324" s="109" t="inlineStr">
        <is>
          <t>EMESSO</t>
        </is>
      </c>
      <c r="N324" s="109" t="n"/>
      <c r="O324" s="109" t="n"/>
      <c r="P324" s="109" t="n"/>
      <c r="Q324" s="109" t="n"/>
      <c r="R324" s="110" t="n"/>
      <c r="S324" s="109" t="n"/>
      <c r="T324" s="69">
        <f>IF(AND('Inserimento dati'!$B$3=$H$2, Tabella3[[#This Row],[LUN]]="X"), "X",IF(AND('Inserimento dati'!$B$3=$I$2, Tabella3[[#This Row],[MAR]]="X"), "X", IF(AND('Inserimento dati'!$B$3=$J$2, Tabella3[[#This Row],[MER]]="X"), "X",IF(AND('Inserimento dati'!$B$3=$K$2, Tabella3[[#This Row],[GIO]]="X"), "X", IF(AND('Inserimento dati'!$B$3=$L$2, Tabella3[[#This Row],[VEN]]="X"), "X","")))))</f>
        <v/>
      </c>
      <c r="U324" s="131">
        <f>IFERROR(MID(G324,_xlfn.AGGREGATE(15,6,(ROW(INDIRECT("1:"&amp;LEN(G324)-7)))/(ISNUMBER(--MID(G324,ROW(INDIRECT("1:"&amp;LEN(G324)-7)),8))),1),8),"")</f>
        <v/>
      </c>
      <c r="V324" t="inlineStr">
        <is>
          <t>2025-09-30 20:00:00</t>
        </is>
      </c>
    </row>
    <row r="325" ht="23.25" customFormat="1" customHeight="1" s="45">
      <c r="A325" s="112" t="n"/>
      <c r="B325" s="112" t="n">
        <v>1</v>
      </c>
      <c r="C325" s="112">
        <f>IF(OR(Tabella3[[#This Row],[LUN]]="X",Tabella3[[#This Row],[MAR]]="X",Tabella3[[#This Row],[MER]]="X",Tabella3[[#This Row],[GIO]]="X",Tabella3[[#This Row],[VEN]]="X",),"X","")</f>
        <v/>
      </c>
      <c r="D325" s="113" t="inlineStr">
        <is>
          <t>AREA 3</t>
        </is>
      </c>
      <c r="E325" s="109" t="inlineStr">
        <is>
          <t>535904/C</t>
        </is>
      </c>
      <c r="F325" s="109" t="inlineStr">
        <is>
          <t>1200/M</t>
        </is>
      </c>
      <c r="G325" s="109" t="inlineStr">
        <is>
          <t xml:space="preserve"> 1200/M - E OFF SITE CONTROLLO  RIPRISTINO E MOVIMENTAZIONE  KV e HIC. </t>
        </is>
      </c>
      <c r="H325" s="111" t="n"/>
      <c r="I325" s="111" t="n"/>
      <c r="J325" s="111" t="n"/>
      <c r="K325" s="111" t="n"/>
      <c r="L325" s="111" t="n"/>
      <c r="M325" s="109" t="inlineStr">
        <is>
          <t>EMESSO</t>
        </is>
      </c>
      <c r="N325" s="109" t="n"/>
      <c r="O325" s="109" t="n"/>
      <c r="P325" s="109" t="n"/>
      <c r="Q325" s="109" t="inlineStr">
        <is>
          <t>CONTROLLO GIORNALIERO</t>
        </is>
      </c>
      <c r="R325" s="110" t="n"/>
      <c r="S325" s="109" t="n"/>
      <c r="T325" s="67">
        <f>IF(AND('Inserimento dati'!$B$3=$H$2, Tabella3[[#This Row],[LUN]]="X"), "X",IF(AND('Inserimento dati'!$B$3=$I$2, Tabella3[[#This Row],[MAR]]="X"), "X", IF(AND('Inserimento dati'!$B$3=$J$2, Tabella3[[#This Row],[MER]]="X"), "X",IF(AND('Inserimento dati'!$B$3=$K$2, Tabella3[[#This Row],[GIO]]="X"), "X", IF(AND('Inserimento dati'!$B$3=$L$2, Tabella3[[#This Row],[VEN]]="X"), "X","")))))</f>
        <v/>
      </c>
      <c r="U325" s="144">
        <f>IFERROR(MID(G325,_xlfn.AGGREGATE(15,6,(ROW(INDIRECT("1:"&amp;LEN(G325)-7)))/(ISNUMBER(--MID(G325,ROW(INDIRECT("1:"&amp;LEN(G325)-7)),8))),1),8),"")</f>
        <v/>
      </c>
      <c r="V325" t="inlineStr">
        <is>
          <t>2025-09-30 20:00:00</t>
        </is>
      </c>
    </row>
    <row r="326" ht="23.25" customFormat="1" customHeight="1" s="45">
      <c r="A326" s="112" t="n"/>
      <c r="B326" s="112" t="n">
        <v>3</v>
      </c>
      <c r="C326" s="112">
        <f>IF(OR(Tabella3[[#This Row],[LUN]]="X",Tabella3[[#This Row],[MAR]]="X",Tabella3[[#This Row],[MER]]="X",Tabella3[[#This Row],[GIO]]="X",Tabella3[[#This Row],[VEN]]="X",),"X","")</f>
        <v/>
      </c>
      <c r="D326" s="113" t="inlineStr">
        <is>
          <t>AREA 3</t>
        </is>
      </c>
      <c r="E326" s="109" t="inlineStr">
        <is>
          <t>541221/C</t>
        </is>
      </c>
      <c r="F326" s="109" t="inlineStr">
        <is>
          <t>1200/1</t>
        </is>
      </c>
      <c r="G326" s="109" t="inlineStr">
        <is>
          <t xml:space="preserve"> 1200L1 F302SV RIPRISTINO FINE CORSA DI CHIUSURA SU VALVOLA</t>
        </is>
      </c>
      <c r="H326" s="111" t="n"/>
      <c r="I326" s="111" t="n"/>
      <c r="J326" s="111" t="n"/>
      <c r="K326" s="111" t="n"/>
      <c r="L326" s="111" t="n"/>
      <c r="M326" s="109" t="inlineStr">
        <is>
          <t>EMESSO</t>
        </is>
      </c>
      <c r="N326" s="109" t="n"/>
      <c r="O326" s="109" t="n"/>
      <c r="P326" s="109" t="n"/>
      <c r="Q326" s="109" t="inlineStr">
        <is>
          <t>RIPRISTINATO FINECORSA DI PROSSIMITA'</t>
        </is>
      </c>
      <c r="R326" s="110" t="n">
        <v>45825</v>
      </c>
      <c r="S326" s="109" t="inlineStr">
        <is>
          <t>TARASCIO</t>
        </is>
      </c>
      <c r="T326" s="114">
        <f>IF(AND('Inserimento dati'!$B$3=$H$2, Tabella3[[#This Row],[LUN]]="X"), "X",IF(AND('Inserimento dati'!$B$3=$I$2, Tabella3[[#This Row],[MAR]]="X"), "X", IF(AND('Inserimento dati'!$B$3=$J$2, Tabella3[[#This Row],[MER]]="X"), "X",IF(AND('Inserimento dati'!$B$3=$K$2, Tabella3[[#This Row],[GIO]]="X"), "X", IF(AND('Inserimento dati'!$B$3=$L$2, Tabella3[[#This Row],[VEN]]="X"), "X","")))))</f>
        <v/>
      </c>
      <c r="U326" s="131">
        <f>IFERROR(MID(G326,_xlfn.AGGREGATE(15,6,(ROW(INDIRECT("1:"&amp;LEN(G326)-7)))/(ISNUMBER(--MID(G326,ROW(INDIRECT("1:"&amp;LEN(G326)-7)),8))),1),8),"")</f>
        <v/>
      </c>
      <c r="V326" t="inlineStr">
        <is>
          <t>2025-09-30 20:00:00</t>
        </is>
      </c>
    </row>
    <row r="327" ht="30" customFormat="1" customHeight="1" s="45">
      <c r="A327" s="112" t="n"/>
      <c r="B327" s="112" t="n"/>
      <c r="C327" s="112">
        <f>IF(OR(Tabella3[[#This Row],[LUN]]="X",Tabella3[[#This Row],[MAR]]="X",Tabella3[[#This Row],[MER]]="X",Tabella3[[#This Row],[GIO]]="X",Tabella3[[#This Row],[VEN]]="X",),"X","")</f>
        <v/>
      </c>
      <c r="D327" s="113" t="inlineStr">
        <is>
          <t>AREA 3</t>
        </is>
      </c>
      <c r="E327" s="109" t="inlineStr">
        <is>
          <t>541779/C</t>
        </is>
      </c>
      <c r="F327" s="109" t="n">
        <v>1800</v>
      </c>
      <c r="G327" s="109" t="inlineStr">
        <is>
          <t xml:space="preserve"> 1800C102B SMONTAGGIO/RIMONTAGGIO STRUMENTAZIONE PER REVISIONE PARTE POMPANTE</t>
        </is>
      </c>
      <c r="H327" s="111" t="n"/>
      <c r="I327" s="111" t="n"/>
      <c r="J327" s="111" t="n"/>
      <c r="K327" s="111" t="n"/>
      <c r="L327" s="111" t="n"/>
      <c r="M327" s="109" t="inlineStr">
        <is>
          <t>EMESSO</t>
        </is>
      </c>
      <c r="N327" s="109" t="n"/>
      <c r="O327" s="109" t="n"/>
      <c r="P327" s="109" t="n"/>
      <c r="Q327" s="109" t="n"/>
      <c r="R327" s="110" t="n"/>
      <c r="S327" s="109" t="n"/>
      <c r="T327" s="114">
        <f>IF(AND('Inserimento dati'!$B$3=$H$2, Tabella3[[#This Row],[LUN]]="X"), "X",IF(AND('Inserimento dati'!$B$3=$I$2, Tabella3[[#This Row],[MAR]]="X"), "X", IF(AND('Inserimento dati'!$B$3=$J$2, Tabella3[[#This Row],[MER]]="X"), "X",IF(AND('Inserimento dati'!$B$3=$K$2, Tabella3[[#This Row],[GIO]]="X"), "X", IF(AND('Inserimento dati'!$B$3=$L$2, Tabella3[[#This Row],[VEN]]="X"), "X","")))))</f>
        <v/>
      </c>
      <c r="U327" s="131">
        <f>IFERROR(MID(G327,_xlfn.AGGREGATE(15,6,(ROW(INDIRECT("1:"&amp;LEN(G327)-7)))/(ISNUMBER(--MID(G327,ROW(INDIRECT("1:"&amp;LEN(G327)-7)),8))),1),8),"")</f>
        <v/>
      </c>
      <c r="V327" t="inlineStr">
        <is>
          <t>2025-09-30 20:00:00</t>
        </is>
      </c>
    </row>
    <row r="328" ht="30" customFormat="1" customHeight="1" s="45">
      <c r="A328" s="112" t="inlineStr">
        <is>
          <t>X</t>
        </is>
      </c>
      <c r="B328" s="112" t="n"/>
      <c r="C328" s="112">
        <f>IF(OR(Tabella3[[#This Row],[LUN]]="X",Tabella3[[#This Row],[MAR]]="X",Tabella3[[#This Row],[MER]]="X",Tabella3[[#This Row],[GIO]]="X",Tabella3[[#This Row],[VEN]]="X",),"X","")</f>
        <v/>
      </c>
      <c r="D328" s="113" t="inlineStr">
        <is>
          <t>AREA 3</t>
        </is>
      </c>
      <c r="E328" s="109" t="inlineStr">
        <is>
          <t>544236/C</t>
        </is>
      </c>
      <c r="F328" s="109" t="n">
        <v>1200</v>
      </c>
      <c r="G328" s="109" t="inlineStr">
        <is>
          <t>SD 1200/4 - controllo ed eventuale stasatura di FT303 (ARIA A B106) - FT304 (ARIA SWS) - FT305 (ARIA FINE A B106)</t>
        </is>
      </c>
      <c r="H328" s="111" t="n"/>
      <c r="I328" s="111" t="n"/>
      <c r="J328" s="111" t="n"/>
      <c r="K328" s="111" t="n"/>
      <c r="L328" s="111" t="n"/>
      <c r="M328" s="109" t="inlineStr">
        <is>
          <t>EMESSO</t>
        </is>
      </c>
      <c r="N328" s="109" t="n"/>
      <c r="O328" s="109" t="n"/>
      <c r="P328" s="109" t="n"/>
      <c r="Q328" s="109" t="inlineStr">
        <is>
          <t>FERMATA 1200/4</t>
        </is>
      </c>
      <c r="R328" s="110" t="n"/>
      <c r="S328" s="109" t="n"/>
      <c r="T328" s="114">
        <f>IF(AND('Inserimento dati'!$B$3=$H$2, Tabella3[[#This Row],[LUN]]="X"), "X",IF(AND('Inserimento dati'!$B$3=$I$2, Tabella3[[#This Row],[MAR]]="X"), "X", IF(AND('Inserimento dati'!$B$3=$J$2, Tabella3[[#This Row],[MER]]="X"), "X",IF(AND('Inserimento dati'!$B$3=$K$2, Tabella3[[#This Row],[GIO]]="X"), "X", IF(AND('Inserimento dati'!$B$3=$L$2, Tabella3[[#This Row],[VEN]]="X"), "X","")))))</f>
        <v/>
      </c>
      <c r="U328" s="93">
        <f>IFERROR(MID(G328,_xlfn.AGGREGATE(15,6,(ROW(INDIRECT("1:"&amp;LEN(G328)-7)))/(ISNUMBER(--MID(G328,ROW(INDIRECT("1:"&amp;LEN(G328)-7)),8))),1),8),"")</f>
        <v/>
      </c>
      <c r="V328" t="inlineStr">
        <is>
          <t>2025-09-30 20:00:00</t>
        </is>
      </c>
    </row>
    <row r="329" ht="23.25" customFormat="1" customHeight="1" s="45">
      <c r="A329" s="112" t="inlineStr">
        <is>
          <t>X</t>
        </is>
      </c>
      <c r="B329" s="112" t="n"/>
      <c r="C329" s="112">
        <f>IF(OR(Tabella3[[#This Row],[LUN]]="X",Tabella3[[#This Row],[MAR]]="X",Tabella3[[#This Row],[MER]]="X",Tabella3[[#This Row],[GIO]]="X",Tabella3[[#This Row],[VEN]]="X",),"X","")</f>
        <v/>
      </c>
      <c r="D329" s="113" t="inlineStr">
        <is>
          <t>AREA 3</t>
        </is>
      </c>
      <c r="E329" s="109" t="inlineStr">
        <is>
          <t>544103/C</t>
        </is>
      </c>
      <c r="F329" s="109" t="n">
        <v>1200</v>
      </c>
      <c r="G329" s="109" t="inlineStr">
        <is>
          <t>SD 1200/4 - Assistenza Strumentale per avviamento impianto</t>
        </is>
      </c>
      <c r="H329" s="111" t="n"/>
      <c r="I329" s="111" t="n"/>
      <c r="J329" s="111" t="n"/>
      <c r="K329" s="111" t="n"/>
      <c r="L329" s="111" t="n"/>
      <c r="M329" s="109" t="inlineStr">
        <is>
          <t>EMESSO</t>
        </is>
      </c>
      <c r="N329" s="109" t="n"/>
      <c r="O329" s="109" t="n"/>
      <c r="P329" s="109" t="n"/>
      <c r="Q329" s="109" t="inlineStr">
        <is>
          <t>FERMATA 1200/4</t>
        </is>
      </c>
      <c r="R329" s="110" t="n"/>
      <c r="S329" s="109" t="n"/>
      <c r="T329" s="114">
        <f>IF(AND('Inserimento dati'!$B$3=$H$2, Tabella3[[#This Row],[LUN]]="X"), "X",IF(AND('Inserimento dati'!$B$3=$I$2, Tabella3[[#This Row],[MAR]]="X"), "X", IF(AND('Inserimento dati'!$B$3=$J$2, Tabella3[[#This Row],[MER]]="X"), "X",IF(AND('Inserimento dati'!$B$3=$K$2, Tabella3[[#This Row],[GIO]]="X"), "X", IF(AND('Inserimento dati'!$B$3=$L$2, Tabella3[[#This Row],[VEN]]="X"), "X","")))))</f>
        <v/>
      </c>
      <c r="U329" s="93">
        <f>IFERROR(MID(G329,_xlfn.AGGREGATE(15,6,(ROW(INDIRECT("1:"&amp;LEN(G329)-7)))/(ISNUMBER(--MID(G329,ROW(INDIRECT("1:"&amp;LEN(G329)-7)),8))),1),8),"")</f>
        <v/>
      </c>
      <c r="V329" t="inlineStr">
        <is>
          <t>2025-09-30 20:00:00</t>
        </is>
      </c>
    </row>
    <row r="330" ht="45" customFormat="1" customHeight="1" s="45">
      <c r="A330" s="112" t="inlineStr">
        <is>
          <t>X</t>
        </is>
      </c>
      <c r="B330" s="112" t="n"/>
      <c r="C330" s="112">
        <f>IF(OR(Tabella3[[#This Row],[LUN]]="X",Tabella3[[#This Row],[MAR]]="X",Tabella3[[#This Row],[MER]]="X",Tabella3[[#This Row],[GIO]]="X",Tabella3[[#This Row],[VEN]]="X",),"X","")</f>
        <v/>
      </c>
      <c r="D330" s="113" t="inlineStr">
        <is>
          <t>AREA 3</t>
        </is>
      </c>
      <c r="E330" s="109" t="inlineStr">
        <is>
          <t>544409/C</t>
        </is>
      </c>
      <c r="F330" s="109" t="n">
        <v>1200</v>
      </c>
      <c r="G330" s="109" t="inlineStr">
        <is>
          <t>SD imp.1200/4-Controllo strumentazione e successive verifiche matrice C&amp;E blocchi impianto, come da schemi allegati. Interfacciarsi con sala controllo per verificare la fattibilit dei singoli controlli.</t>
        </is>
      </c>
      <c r="H330" s="111" t="n"/>
      <c r="I330" s="111" t="n"/>
      <c r="J330" s="111" t="n"/>
      <c r="K330" s="111" t="n"/>
      <c r="L330" s="111" t="n"/>
      <c r="M330" s="109" t="inlineStr">
        <is>
          <t>EMESSO</t>
        </is>
      </c>
      <c r="N330" s="109" t="n"/>
      <c r="O330" s="109" t="n"/>
      <c r="P330" s="109" t="n"/>
      <c r="Q330" s="109" t="inlineStr">
        <is>
          <t>FERMATA 1200/4</t>
        </is>
      </c>
      <c r="R330" s="110" t="n"/>
      <c r="S330" s="109" t="n"/>
      <c r="T330" s="114">
        <f>IF(AND('Inserimento dati'!$B$3=$H$2, Tabella3[[#This Row],[LUN]]="X"), "X",IF(AND('Inserimento dati'!$B$3=$I$2, Tabella3[[#This Row],[MAR]]="X"), "X", IF(AND('Inserimento dati'!$B$3=$J$2, Tabella3[[#This Row],[MER]]="X"), "X",IF(AND('Inserimento dati'!$B$3=$K$2, Tabella3[[#This Row],[GIO]]="X"), "X", IF(AND('Inserimento dati'!$B$3=$L$2, Tabella3[[#This Row],[VEN]]="X"), "X","")))))</f>
        <v/>
      </c>
      <c r="U330" s="93">
        <f>IFERROR(MID(G330,_xlfn.AGGREGATE(15,6,(ROW(INDIRECT("1:"&amp;LEN(G330)-7)))/(ISNUMBER(--MID(G330,ROW(INDIRECT("1:"&amp;LEN(G330)-7)),8))),1),8),"")</f>
        <v/>
      </c>
      <c r="V330" t="inlineStr">
        <is>
          <t>2025-09-30 20:00:00</t>
        </is>
      </c>
    </row>
    <row r="331" ht="23.25" customFormat="1" customHeight="1" s="45">
      <c r="A331" s="112" t="n"/>
      <c r="B331" s="112" t="n"/>
      <c r="C331" s="112">
        <f>IF(OR(Tabella3[[#This Row],[LUN]]="X",Tabella3[[#This Row],[MAR]]="X",Tabella3[[#This Row],[MER]]="X",Tabella3[[#This Row],[GIO]]="X",Tabella3[[#This Row],[VEN]]="X",),"X","")</f>
        <v/>
      </c>
      <c r="D331" s="113" t="inlineStr">
        <is>
          <t>AREA 3</t>
        </is>
      </c>
      <c r="E331" s="109" t="inlineStr">
        <is>
          <t>544010/C</t>
        </is>
      </c>
      <c r="F331" s="109" t="n">
        <v>1800</v>
      </c>
      <c r="G331" s="109" t="inlineStr">
        <is>
          <t>1800-C102B SOSTITUZIONE SENZORE VOLANO</t>
        </is>
      </c>
      <c r="H331" s="111" t="n"/>
      <c r="I331" s="111" t="n"/>
      <c r="J331" s="111" t="n"/>
      <c r="K331" s="111" t="n"/>
      <c r="L331" s="111" t="n"/>
      <c r="M331" s="109" t="inlineStr">
        <is>
          <t>EMESSO</t>
        </is>
      </c>
      <c r="N331" s="109" t="n"/>
      <c r="O331" s="109" t="n"/>
      <c r="P331" s="109" t="n"/>
      <c r="Q331" s="109" t="inlineStr">
        <is>
          <t>IN ATTESA RICAMBIO</t>
        </is>
      </c>
      <c r="R331" s="110" t="n">
        <v>45847</v>
      </c>
      <c r="S331" s="109" t="inlineStr">
        <is>
          <t>TARASCIO</t>
        </is>
      </c>
      <c r="T331" s="114">
        <f>IF(AND('Inserimento dati'!$B$3=$H$2, Tabella3[[#This Row],[LUN]]="X"), "X",IF(AND('Inserimento dati'!$B$3=$I$2, Tabella3[[#This Row],[MAR]]="X"), "X", IF(AND('Inserimento dati'!$B$3=$J$2, Tabella3[[#This Row],[MER]]="X"), "X",IF(AND('Inserimento dati'!$B$3=$K$2, Tabella3[[#This Row],[GIO]]="X"), "X", IF(AND('Inserimento dati'!$B$3=$L$2, Tabella3[[#This Row],[VEN]]="X"), "X","")))))</f>
        <v/>
      </c>
      <c r="U331" s="93">
        <f>IFERROR(MID(G331,_xlfn.AGGREGATE(15,6,(ROW(INDIRECT("1:"&amp;LEN(G331)-7)))/(ISNUMBER(--MID(G331,ROW(INDIRECT("1:"&amp;LEN(G331)-7)),8))),1),8),"")</f>
        <v/>
      </c>
      <c r="V331" t="inlineStr">
        <is>
          <t>2025-09-30 20:00:00</t>
        </is>
      </c>
    </row>
    <row r="332" ht="135" customFormat="1" customHeight="1" s="45">
      <c r="A332" s="112" t="n"/>
      <c r="B332" s="112">
        <f>IF(OR(A332="x",A332="X"),"",IF(ISBLANK(A332),"X",""))</f>
        <v/>
      </c>
      <c r="C332" s="112">
        <f>IF(OR(Tabella3[[#This Row],[LUN]]="X",Tabella3[[#This Row],[MAR]]="X",Tabella3[[#This Row],[MER]]="X",Tabella3[[#This Row],[GIO]]="X",Tabella3[[#This Row],[VEN]]="X",),"X","")</f>
        <v/>
      </c>
      <c r="D332" s="113" t="inlineStr">
        <is>
          <t>AREA 3</t>
        </is>
      </c>
      <c r="E332" s="109" t="inlineStr">
        <is>
          <t>539875/C</t>
        </is>
      </c>
      <c r="F332" s="109" t="inlineStr">
        <is>
          <t>700A</t>
        </is>
      </c>
      <c r="G332" s="109" t="inlineStr">
        <is>
          <t>00000002 700A - RIPRISTINO JB TH6 CON SCOLLEGAMENTO MULTICAVO E DOPPINI PER RICERCA GUASTO CAVO AMMALORATO,E REVISIONE CASSETTA E MORSETTI CABUR</t>
        </is>
      </c>
      <c r="H332" s="111" t="n"/>
      <c r="I332" s="111" t="n"/>
      <c r="J332" s="111" t="n"/>
      <c r="K332" s="111" t="n"/>
      <c r="L332" s="111" t="n"/>
      <c r="M332" s="109" t="inlineStr">
        <is>
          <t>EMESSO</t>
        </is>
      </c>
      <c r="N332" s="109" t="inlineStr">
        <is>
          <t>X</t>
        </is>
      </c>
      <c r="O332" s="109" t="n"/>
      <c r="P332" s="109" t="n"/>
      <c r="Q332" s="109"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332" s="110" t="n">
        <v>45817</v>
      </c>
      <c r="S332" s="109" t="inlineStr">
        <is>
          <t>GUARINO</t>
        </is>
      </c>
      <c r="T332" s="114">
        <f>IF(AND('Inserimento dati'!$B$3=$H$2, Tabella3[[#This Row],[LUN]]="X"), "X",IF(AND('Inserimento dati'!$B$3=$I$2, Tabella3[[#This Row],[MAR]]="X"), "X", IF(AND('Inserimento dati'!$B$3=$J$2, Tabella3[[#This Row],[MER]]="X"), "X",IF(AND('Inserimento dati'!$B$3=$K$2, Tabella3[[#This Row],[GIO]]="X"), "X", IF(AND('Inserimento dati'!$B$3=$L$2, Tabella3[[#This Row],[VEN]]="X"), "X","")))))</f>
        <v/>
      </c>
      <c r="U332" s="131">
        <f>IFERROR(MID(G332,_xlfn.AGGREGATE(15,6,(ROW(INDIRECT("1:"&amp;LEN(G332)-7)))/(ISNUMBER(--MID(G332,ROW(INDIRECT("1:"&amp;LEN(G332)-7)),8))),1),8),"")</f>
        <v/>
      </c>
      <c r="V332" t="inlineStr">
        <is>
          <t>2025-09-30 20:00:00</t>
        </is>
      </c>
    </row>
    <row r="333" ht="30" customFormat="1" customHeight="1" s="45">
      <c r="A333" s="112" t="inlineStr">
        <is>
          <t>X</t>
        </is>
      </c>
      <c r="B333" s="112" t="n"/>
      <c r="C333" s="112">
        <f>IF(OR(Tabella3[[#This Row],[LUN]]="X",Tabella3[[#This Row],[MAR]]="X",Tabella3[[#This Row],[MER]]="X",Tabella3[[#This Row],[GIO]]="X",Tabella3[[#This Row],[VEN]]="X",),"X","")</f>
        <v/>
      </c>
      <c r="D333" s="113" t="inlineStr">
        <is>
          <t>AREA 3</t>
        </is>
      </c>
      <c r="E333" s="109" t="inlineStr">
        <is>
          <t>544278/C</t>
        </is>
      </c>
      <c r="F333" s="109" t="n">
        <v>1200</v>
      </c>
      <c r="G333" s="109" t="inlineStr">
        <is>
          <t>1200/4 - SMONTAGGIO/RIMONTAGGIO PILOTA F101 PER REVISIONE E VERIFICA FOTOCELLULE</t>
        </is>
      </c>
      <c r="H333" s="111" t="n"/>
      <c r="I333" s="111" t="n"/>
      <c r="J333" s="111" t="n"/>
      <c r="K333" s="111" t="n"/>
      <c r="L333" s="111" t="n"/>
      <c r="M333" s="109" t="inlineStr">
        <is>
          <t>EMESSO</t>
        </is>
      </c>
      <c r="N333" s="109" t="n"/>
      <c r="O333" s="109" t="n"/>
      <c r="P333" s="109" t="n"/>
      <c r="Q333" s="109" t="inlineStr">
        <is>
          <t>ESEGUITO SMONTAGGIO</t>
        </is>
      </c>
      <c r="R333" s="110" t="n">
        <v>45856</v>
      </c>
      <c r="S333" s="109" t="inlineStr">
        <is>
          <t>MILLO/SPINALI</t>
        </is>
      </c>
      <c r="T333" s="114">
        <f>IF(AND('Inserimento dati'!$B$3=$H$2, Tabella3[[#This Row],[LUN]]="X"), "X",IF(AND('Inserimento dati'!$B$3=$I$2, Tabella3[[#This Row],[MAR]]="X"), "X", IF(AND('Inserimento dati'!$B$3=$J$2, Tabella3[[#This Row],[MER]]="X"), "X",IF(AND('Inserimento dati'!$B$3=$K$2, Tabella3[[#This Row],[GIO]]="X"), "X", IF(AND('Inserimento dati'!$B$3=$L$2, Tabella3[[#This Row],[VEN]]="X"), "X","")))))</f>
        <v/>
      </c>
      <c r="U333" s="93">
        <f>IFERROR(MID(G333,_xlfn.AGGREGATE(15,6,(ROW(INDIRECT("1:"&amp;LEN(G333)-7)))/(ISNUMBER(--MID(G333,ROW(INDIRECT("1:"&amp;LEN(G333)-7)),8))),1),8),"")</f>
        <v/>
      </c>
      <c r="V333" t="inlineStr">
        <is>
          <t>2025-09-30 20:00:00</t>
        </is>
      </c>
    </row>
    <row r="334" ht="30" customFormat="1" customHeight="1" s="45">
      <c r="A334" s="112" t="n"/>
      <c r="B334" s="112" t="n"/>
      <c r="C334" s="112">
        <f>IF(OR(Tabella3[[#This Row],[LUN]]="X",Tabella3[[#This Row],[MAR]]="X",Tabella3[[#This Row],[MER]]="X",Tabella3[[#This Row],[GIO]]="X",Tabella3[[#This Row],[VEN]]="X",),"X","")</f>
        <v/>
      </c>
      <c r="D334" s="113" t="inlineStr">
        <is>
          <t>AREA 3</t>
        </is>
      </c>
      <c r="E334" s="109" t="inlineStr">
        <is>
          <t>545715/C</t>
        </is>
      </c>
      <c r="F334" s="109" t="n">
        <v>1200</v>
      </c>
      <c r="G334" s="109" t="inlineStr">
        <is>
          <t>10227873  1200/0: VERIFICA FUNZIONAMENTO AUTOMATICO VALVOLE ARIA  Z0F966BDIC e Z0F967BIC</t>
        </is>
      </c>
      <c r="H334" s="111" t="n"/>
      <c r="I334" s="111" t="n"/>
      <c r="J334" s="111" t="n"/>
      <c r="K334" s="111" t="n"/>
      <c r="L334" s="111" t="n"/>
      <c r="M334" s="109" t="inlineStr">
        <is>
          <t>EMESSO</t>
        </is>
      </c>
      <c r="N334" s="109" t="n"/>
      <c r="O334" s="109" t="n"/>
      <c r="P334" s="109" t="n"/>
      <c r="Q334" s="109" t="n"/>
      <c r="R334" s="110" t="n"/>
      <c r="S334" s="109" t="n"/>
      <c r="T334" s="114">
        <f>IF(AND('Inserimento dati'!$B$3=$H$2, Tabella3[[#This Row],[LUN]]="X"), "X",IF(AND('Inserimento dati'!$B$3=$I$2, Tabella3[[#This Row],[MAR]]="X"), "X", IF(AND('Inserimento dati'!$B$3=$J$2, Tabella3[[#This Row],[MER]]="X"), "X",IF(AND('Inserimento dati'!$B$3=$K$2, Tabella3[[#This Row],[GIO]]="X"), "X", IF(AND('Inserimento dati'!$B$3=$L$2, Tabella3[[#This Row],[VEN]]="X"), "X","")))))</f>
        <v/>
      </c>
      <c r="U334" s="93">
        <f>IFERROR(MID(G334,_xlfn.AGGREGATE(15,6,(ROW(INDIRECT("1:"&amp;LEN(G334)-7)))/(ISNUMBER(--MID(G334,ROW(INDIRECT("1:"&amp;LEN(G334)-7)),8))),1),8),"")</f>
        <v/>
      </c>
      <c r="V334" t="inlineStr">
        <is>
          <t>2025-09-30 20:00:00</t>
        </is>
      </c>
    </row>
    <row r="335" ht="30" customFormat="1" customHeight="1" s="45">
      <c r="A335" s="112" t="n"/>
      <c r="B335" s="112" t="n"/>
      <c r="C335" s="112">
        <f>IF(OR(Tabella3[[#This Row],[LUN]]="X",Tabella3[[#This Row],[MAR]]="X",Tabella3[[#This Row],[MER]]="X",Tabella3[[#This Row],[GIO]]="X",Tabella3[[#This Row],[VEN]]="X",),"X","")</f>
        <v/>
      </c>
      <c r="D335" s="113" t="inlineStr">
        <is>
          <t>AREA 3</t>
        </is>
      </c>
      <c r="E335" s="109" t="inlineStr">
        <is>
          <t>546897/C</t>
        </is>
      </c>
      <c r="F335" s="109" t="n">
        <v>1200</v>
      </c>
      <c r="G335" s="109" t="inlineStr">
        <is>
          <t>1200/4 - B203SV / BV205V1 / P202CV SMONTAGGIO/RIMONTAGGIO VALVOLE PER REVISIONE</t>
        </is>
      </c>
      <c r="H335" s="111" t="n"/>
      <c r="I335" s="111" t="n"/>
      <c r="J335" s="111" t="n"/>
      <c r="K335" s="111" t="n"/>
      <c r="L335" s="111" t="n"/>
      <c r="M335" s="109" t="inlineStr">
        <is>
          <t>EMESSO</t>
        </is>
      </c>
      <c r="N335" s="109" t="n"/>
      <c r="O335" s="109" t="n"/>
      <c r="P335" s="109" t="n"/>
      <c r="Q335" s="109" t="n"/>
      <c r="R335" s="110" t="n"/>
      <c r="S335" s="109" t="n"/>
      <c r="T335" s="114">
        <f>IF(AND('Inserimento dati'!$B$3=$H$2, Tabella3[[#This Row],[LUN]]="X"), "X",IF(AND('Inserimento dati'!$B$3=$I$2, Tabella3[[#This Row],[MAR]]="X"), "X", IF(AND('Inserimento dati'!$B$3=$J$2, Tabella3[[#This Row],[MER]]="X"), "X",IF(AND('Inserimento dati'!$B$3=$K$2, Tabella3[[#This Row],[GIO]]="X"), "X", IF(AND('Inserimento dati'!$B$3=$L$2, Tabella3[[#This Row],[VEN]]="X"), "X","")))))</f>
        <v/>
      </c>
      <c r="U335" s="93">
        <f>IFERROR(MID(G335,_xlfn.AGGREGATE(15,6,(ROW(INDIRECT("1:"&amp;LEN(G335)-7)))/(ISNUMBER(--MID(G335,ROW(INDIRECT("1:"&amp;LEN(G335)-7)),8))),1),8),"")</f>
        <v/>
      </c>
      <c r="V335" t="inlineStr">
        <is>
          <t>2025-09-30 20:00:00</t>
        </is>
      </c>
    </row>
    <row r="336" ht="45" customFormat="1" customHeight="1" s="45">
      <c r="A336" s="112" t="n"/>
      <c r="B336" s="112" t="n"/>
      <c r="C336" s="112">
        <f>IF(OR(Tabella3[[#This Row],[LUN]]="X",Tabella3[[#This Row],[MAR]]="X",Tabella3[[#This Row],[MER]]="X",Tabella3[[#This Row],[GIO]]="X",Tabella3[[#This Row],[VEN]]="X",),"X","")</f>
        <v/>
      </c>
      <c r="D336" s="113" t="inlineStr">
        <is>
          <t>AREA 3</t>
        </is>
      </c>
      <c r="E336" s="109" t="inlineStr">
        <is>
          <t>544672/C</t>
        </is>
      </c>
      <c r="F336" s="109" t="n">
        <v>1200</v>
      </c>
      <c r="G336" s="109" t="inlineStr">
        <is>
          <t>10227344  1200 controllo strumentale FR di vapore LS   ZF1401R.pv - Z3F401R.pv - Z0F152 (acqua BW alle caldaie)</t>
        </is>
      </c>
      <c r="H336" s="111" t="n"/>
      <c r="I336" s="111" t="n"/>
      <c r="J336" s="111" t="n"/>
      <c r="K336" s="111" t="n"/>
      <c r="L336" s="111" t="n"/>
      <c r="M336" s="109" t="inlineStr">
        <is>
          <t>EMESSO</t>
        </is>
      </c>
      <c r="N336" s="109" t="n"/>
      <c r="O336" s="109" t="n"/>
      <c r="P336" s="109" t="n"/>
      <c r="Q336" s="109" t="inlineStr">
        <is>
          <t>NON SI TROVA LO STRUMENTO Z0F152, CERCATO INSIEME AD OPERATORE, GLI ALTRI SONO STATI AZZERATI EDA ALLINEATI CON SALA CONTROLLO.</t>
        </is>
      </c>
      <c r="R336" s="110" t="n"/>
      <c r="S336" s="109" t="n"/>
      <c r="T336" s="114">
        <f>IF(AND('Inserimento dati'!$B$3=$H$2, Tabella3[[#This Row],[LUN]]="X"), "X",IF(AND('Inserimento dati'!$B$3=$I$2, Tabella3[[#This Row],[MAR]]="X"), "X", IF(AND('Inserimento dati'!$B$3=$J$2, Tabella3[[#This Row],[MER]]="X"), "X",IF(AND('Inserimento dati'!$B$3=$K$2, Tabella3[[#This Row],[GIO]]="X"), "X", IF(AND('Inserimento dati'!$B$3=$L$2, Tabella3[[#This Row],[VEN]]="X"), "X","")))))</f>
        <v/>
      </c>
      <c r="U336" s="93">
        <f>IFERROR(MID(G336,_xlfn.AGGREGATE(15,6,(ROW(INDIRECT("1:"&amp;LEN(G336)-7)))/(ISNUMBER(--MID(G336,ROW(INDIRECT("1:"&amp;LEN(G336)-7)),8))),1),8),"")</f>
        <v/>
      </c>
      <c r="V336" t="inlineStr">
        <is>
          <t>2025-09-30 20:00:00</t>
        </is>
      </c>
    </row>
    <row r="337" ht="23.25" customFormat="1" customHeight="1" s="45">
      <c r="A337" s="112" t="n"/>
      <c r="B337" s="112" t="n"/>
      <c r="C337" s="112">
        <f>IF(OR(Tabella3[[#This Row],[LUN]]="X",Tabella3[[#This Row],[MAR]]="X",Tabella3[[#This Row],[MER]]="X",Tabella3[[#This Row],[GIO]]="X",Tabella3[[#This Row],[VEN]]="X",),"X","")</f>
        <v/>
      </c>
      <c r="D337" s="113" t="inlineStr">
        <is>
          <t>AREA 3</t>
        </is>
      </c>
      <c r="E337" s="109" t="inlineStr">
        <is>
          <t>547396/C</t>
        </is>
      </c>
      <c r="F337" s="109" t="n">
        <v>800</v>
      </c>
      <c r="G337" s="109" t="inlineStr">
        <is>
          <t>10228704  800: PCV112 controllo e ripristino valvola</t>
        </is>
      </c>
      <c r="H337" s="111" t="n"/>
      <c r="I337" s="111" t="n"/>
      <c r="J337" s="111" t="n"/>
      <c r="K337" s="111" t="n"/>
      <c r="L337" s="111" t="n"/>
      <c r="M337" s="109" t="inlineStr">
        <is>
          <t>EMESSO</t>
        </is>
      </c>
      <c r="N337" s="109" t="n"/>
      <c r="O337" s="109" t="n"/>
      <c r="P337" s="109" t="n"/>
      <c r="Q337" s="109" t="inlineStr">
        <is>
          <t>SOSTITUITO IPCONVERTER</t>
        </is>
      </c>
      <c r="R337" s="110" t="n">
        <v>45880</v>
      </c>
      <c r="S337" s="109" t="inlineStr">
        <is>
          <t>SAGGIO</t>
        </is>
      </c>
      <c r="T337" s="114">
        <f>IF(AND('Inserimento dati'!$B$3=$H$2, Tabella3[[#This Row],[LUN]]="X"), "X",IF(AND('Inserimento dati'!$B$3=$I$2, Tabella3[[#This Row],[MAR]]="X"), "X", IF(AND('Inserimento dati'!$B$3=$J$2, Tabella3[[#This Row],[MER]]="X"), "X",IF(AND('Inserimento dati'!$B$3=$K$2, Tabella3[[#This Row],[GIO]]="X"), "X", IF(AND('Inserimento dati'!$B$3=$L$2, Tabella3[[#This Row],[VEN]]="X"), "X","")))))</f>
        <v/>
      </c>
      <c r="U337" s="93">
        <f>IFERROR(MID(G337,_xlfn.AGGREGATE(15,6,(ROW(INDIRECT("1:"&amp;LEN(G337)-7)))/(ISNUMBER(--MID(G337,ROW(INDIRECT("1:"&amp;LEN(G337)-7)),8))),1),8),"")</f>
        <v/>
      </c>
      <c r="V337" t="inlineStr">
        <is>
          <t>2025-09-30 20:00:00</t>
        </is>
      </c>
    </row>
    <row r="338" ht="23.25" customFormat="1" customHeight="1" s="45">
      <c r="A338" s="112" t="n"/>
      <c r="B338" s="112" t="n"/>
      <c r="C338" s="112">
        <f>IF(OR(Tabella3[[#This Row],[LUN]]="X",Tabella3[[#This Row],[MAR]]="X",Tabella3[[#This Row],[MER]]="X",Tabella3[[#This Row],[GIO]]="X",Tabella3[[#This Row],[VEN]]="X",),"X","")</f>
        <v/>
      </c>
      <c r="D338" s="113" t="inlineStr">
        <is>
          <t>AREA 3</t>
        </is>
      </c>
      <c r="E338" s="109" t="inlineStr">
        <is>
          <t>547948/C</t>
        </is>
      </c>
      <c r="F338" s="109" t="n">
        <v>700</v>
      </c>
      <c r="G338" s="109" t="inlineStr">
        <is>
          <t>700-1-APH100-F101N ripristino fotocellula bruciatore B</t>
        </is>
      </c>
      <c r="H338" s="111" t="n"/>
      <c r="I338" s="111" t="n"/>
      <c r="J338" s="111" t="n"/>
      <c r="K338" s="111" t="n"/>
      <c r="L338" s="111" t="n"/>
      <c r="M338" s="109" t="inlineStr">
        <is>
          <t>EMESSO</t>
        </is>
      </c>
      <c r="N338" s="109" t="n"/>
      <c r="O338" s="109" t="n"/>
      <c r="P338" s="109" t="n"/>
      <c r="Q338" s="109" t="n"/>
      <c r="R338" s="110" t="n"/>
      <c r="S338" s="109" t="n"/>
      <c r="T338" s="114">
        <f>IF(AND('Inserimento dati'!$B$3=$H$2, Tabella3[[#This Row],[LUN]]="X"), "X",IF(AND('Inserimento dati'!$B$3=$I$2, Tabella3[[#This Row],[MAR]]="X"), "X", IF(AND('Inserimento dati'!$B$3=$J$2, Tabella3[[#This Row],[MER]]="X"), "X",IF(AND('Inserimento dati'!$B$3=$K$2, Tabella3[[#This Row],[GIO]]="X"), "X", IF(AND('Inserimento dati'!$B$3=$L$2, Tabella3[[#This Row],[VEN]]="X"), "X","")))))</f>
        <v/>
      </c>
      <c r="U338" s="93">
        <f>IFERROR(MID(G338,_xlfn.AGGREGATE(15,6,(ROW(INDIRECT("1:"&amp;LEN(G338)-7)))/(ISNUMBER(--MID(G338,ROW(INDIRECT("1:"&amp;LEN(G338)-7)),8))),1),8),"")</f>
        <v/>
      </c>
      <c r="V338" t="inlineStr">
        <is>
          <t>2025-09-30 20:00:00</t>
        </is>
      </c>
    </row>
    <row r="339" ht="23.25" customFormat="1" customHeight="1" s="45">
      <c r="A339" s="112" t="n"/>
      <c r="B339" s="112" t="n"/>
      <c r="C339" s="112">
        <f>IF(OR(Tabella3[[#This Row],[LUN]]="X",Tabella3[[#This Row],[MAR]]="X",Tabella3[[#This Row],[MER]]="X",Tabella3[[#This Row],[GIO]]="X",Tabella3[[#This Row],[VEN]]="X",),"X","")</f>
        <v/>
      </c>
      <c r="D339" s="113" t="inlineStr">
        <is>
          <t>AREA 3</t>
        </is>
      </c>
      <c r="E339" s="109" t="inlineStr">
        <is>
          <t>547945/C</t>
        </is>
      </c>
      <c r="F339" s="109" t="n">
        <v>1200</v>
      </c>
      <c r="G339" s="109" t="inlineStr">
        <is>
          <t>1200M F201 RIPRISTINO FUNZIIONALE FOTOCELLULA</t>
        </is>
      </c>
      <c r="H339" s="111" t="n"/>
      <c r="I339" s="111" t="n"/>
      <c r="J339" s="111" t="n"/>
      <c r="K339" s="111" t="n"/>
      <c r="L339" s="111" t="n"/>
      <c r="M339" s="109" t="inlineStr">
        <is>
          <t>EMESSO</t>
        </is>
      </c>
      <c r="N339" s="109" t="n"/>
      <c r="O339" s="109" t="n"/>
      <c r="P339" s="109" t="n"/>
      <c r="Q339" s="109" t="n"/>
      <c r="R339" s="110" t="n"/>
      <c r="S339" s="109" t="n"/>
      <c r="T339" s="114">
        <f>IF(AND('Inserimento dati'!$B$3=$H$2, Tabella3[[#This Row],[LUN]]="X"), "X",IF(AND('Inserimento dati'!$B$3=$I$2, Tabella3[[#This Row],[MAR]]="X"), "X", IF(AND('Inserimento dati'!$B$3=$J$2, Tabella3[[#This Row],[MER]]="X"), "X",IF(AND('Inserimento dati'!$B$3=$K$2, Tabella3[[#This Row],[GIO]]="X"), "X", IF(AND('Inserimento dati'!$B$3=$L$2, Tabella3[[#This Row],[VEN]]="X"), "X","")))))</f>
        <v/>
      </c>
      <c r="U339" s="93">
        <f>IFERROR(MID(G339,_xlfn.AGGREGATE(15,6,(ROW(INDIRECT("1:"&amp;LEN(G339)-7)))/(ISNUMBER(--MID(G339,ROW(INDIRECT("1:"&amp;LEN(G339)-7)),8))),1),8),"")</f>
        <v/>
      </c>
      <c r="V339" t="inlineStr">
        <is>
          <t>2025-09-30 20:00:00</t>
        </is>
      </c>
    </row>
    <row r="340" ht="30" customFormat="1" customHeight="1" s="45">
      <c r="A340" s="112" t="n"/>
      <c r="B340" s="112" t="n"/>
      <c r="C340" s="112">
        <f>IF(OR(Tabella3[[#This Row],[LUN]]="X",Tabella3[[#This Row],[MAR]]="X",Tabella3[[#This Row],[MER]]="X",Tabella3[[#This Row],[GIO]]="X",Tabella3[[#This Row],[VEN]]="X",),"X","")</f>
        <v/>
      </c>
      <c r="D340" s="113" t="inlineStr">
        <is>
          <t>AREA 3</t>
        </is>
      </c>
      <c r="E340" s="109" t="inlineStr">
        <is>
          <t>547949/C</t>
        </is>
      </c>
      <c r="F340" s="109" t="n">
        <v>1200</v>
      </c>
      <c r="G340" s="109" t="inlineStr">
        <is>
          <t>1200-0-B901C  ripristino sonde di temperatura e vibrazione e strumentazione varia a bordo macchina</t>
        </is>
      </c>
      <c r="H340" s="111" t="n"/>
      <c r="I340" s="111" t="n"/>
      <c r="J340" s="111" t="n"/>
      <c r="K340" s="111" t="n"/>
      <c r="L340" s="111" t="n"/>
      <c r="M340" s="109" t="inlineStr">
        <is>
          <t>EMESSO</t>
        </is>
      </c>
      <c r="N340" s="109" t="n"/>
      <c r="O340" s="109" t="n"/>
      <c r="P340" s="109" t="n"/>
      <c r="Q340" s="109" t="n"/>
      <c r="R340" s="110" t="n"/>
      <c r="S340" s="109" t="n"/>
      <c r="T340" s="114">
        <f>IF(AND('Inserimento dati'!$B$3=$H$2, Tabella3[[#This Row],[LUN]]="X"), "X",IF(AND('Inserimento dati'!$B$3=$I$2, Tabella3[[#This Row],[MAR]]="X"), "X", IF(AND('Inserimento dati'!$B$3=$J$2, Tabella3[[#This Row],[MER]]="X"), "X",IF(AND('Inserimento dati'!$B$3=$K$2, Tabella3[[#This Row],[GIO]]="X"), "X", IF(AND('Inserimento dati'!$B$3=$L$2, Tabella3[[#This Row],[VEN]]="X"), "X","")))))</f>
        <v/>
      </c>
      <c r="U340" s="93">
        <f>IFERROR(MID(G340,_xlfn.AGGREGATE(15,6,(ROW(INDIRECT("1:"&amp;LEN(G340)-7)))/(ISNUMBER(--MID(G340,ROW(INDIRECT("1:"&amp;LEN(G340)-7)),8))),1),8),"")</f>
        <v/>
      </c>
      <c r="V340" t="inlineStr">
        <is>
          <t>2025-09-30 20:00:00</t>
        </is>
      </c>
    </row>
    <row r="341" ht="30" customFormat="1" customHeight="1" s="45">
      <c r="A341" s="112" t="n"/>
      <c r="B341" s="112" t="n"/>
      <c r="C341" s="112">
        <f>IF(OR(Tabella3[[#This Row],[LUN]]="X",Tabella3[[#This Row],[MAR]]="X",Tabella3[[#This Row],[MER]]="X",Tabella3[[#This Row],[GIO]]="X",Tabella3[[#This Row],[VEN]]="X",),"X","")</f>
        <v/>
      </c>
      <c r="D341" s="113" t="inlineStr">
        <is>
          <t>AREA 3</t>
        </is>
      </c>
      <c r="E341" s="109" t="inlineStr">
        <is>
          <t>547508/C</t>
        </is>
      </c>
      <c r="F341" s="109" t="n">
        <v>1400</v>
      </c>
      <c r="G341" s="109" t="inlineStr">
        <is>
          <t xml:space="preserve">10228743  - 1400-T105- 14F202ARC-14F202BRC - CONTROLLO FUNZIONALE - rilievo bandierina disco e modifica dei FS dei misuratori </t>
        </is>
      </c>
      <c r="H341" s="111" t="n"/>
      <c r="I341" s="111" t="n"/>
      <c r="J341" s="111" t="n"/>
      <c r="K341" s="111" t="n"/>
      <c r="L341" s="111" t="n"/>
      <c r="M341" s="109" t="inlineStr">
        <is>
          <t>EMESSO</t>
        </is>
      </c>
      <c r="N341" s="109" t="n"/>
      <c r="O341" s="109" t="n"/>
      <c r="P341" s="109" t="n"/>
      <c r="Q341" s="109" t="n"/>
      <c r="R341" s="110" t="n">
        <v>45889</v>
      </c>
      <c r="S341" s="109" t="inlineStr">
        <is>
          <t>TARASCIO</t>
        </is>
      </c>
      <c r="T341" s="114">
        <f>IF(AND('Inserimento dati'!$B$3=$H$2, Tabella3[[#This Row],[LUN]]="X"), "X",IF(AND('Inserimento dati'!$B$3=$I$2, Tabella3[[#This Row],[MAR]]="X"), "X", IF(AND('Inserimento dati'!$B$3=$J$2, Tabella3[[#This Row],[MER]]="X"), "X",IF(AND('Inserimento dati'!$B$3=$K$2, Tabella3[[#This Row],[GIO]]="X"), "X", IF(AND('Inserimento dati'!$B$3=$L$2, Tabella3[[#This Row],[VEN]]="X"), "X","")))))</f>
        <v/>
      </c>
      <c r="U341" s="93">
        <f>IFERROR(MID(G341,_xlfn.AGGREGATE(15,6,(ROW(INDIRECT("1:"&amp;LEN(G341)-7)))/(ISNUMBER(--MID(G341,ROW(INDIRECT("1:"&amp;LEN(G341)-7)),8))),1),8),"")</f>
        <v/>
      </c>
      <c r="V341" t="inlineStr">
        <is>
          <t>2025-09-30 20:00:00</t>
        </is>
      </c>
    </row>
    <row r="342" ht="23.25" customFormat="1" customHeight="1" s="45">
      <c r="A342" s="112" t="n"/>
      <c r="B342" s="112" t="n"/>
      <c r="C342" s="112">
        <f>IF(OR(Tabella3[[#This Row],[LUN]]="X",Tabella3[[#This Row],[MAR]]="X",Tabella3[[#This Row],[MER]]="X",Tabella3[[#This Row],[GIO]]="X",Tabella3[[#This Row],[VEN]]="X",),"X","")</f>
        <v/>
      </c>
      <c r="D342" s="113" t="inlineStr">
        <is>
          <t>AREA 3</t>
        </is>
      </c>
      <c r="E342" s="109" t="inlineStr">
        <is>
          <t>548156/C</t>
        </is>
      </c>
      <c r="F342" s="109" t="n">
        <v>1400</v>
      </c>
      <c r="G342" s="109" t="inlineStr">
        <is>
          <t>1400 F005I RIFACIMENTO PRIMARI + FLUSSAGGI</t>
        </is>
      </c>
      <c r="H342" s="111" t="n"/>
      <c r="I342" s="111" t="n"/>
      <c r="J342" s="111" t="n"/>
      <c r="K342" s="111" t="n"/>
      <c r="L342" s="111" t="n"/>
      <c r="M342" s="109" t="inlineStr">
        <is>
          <t>EMESSO</t>
        </is>
      </c>
      <c r="N342" s="109" t="n"/>
      <c r="O342" s="109" t="n"/>
      <c r="P342" s="109" t="n"/>
      <c r="Q342" s="109" t="n"/>
      <c r="R342" s="110" t="n">
        <v>45889</v>
      </c>
      <c r="S342" s="109" t="inlineStr">
        <is>
          <t>DE LUCA</t>
        </is>
      </c>
      <c r="T342" s="114">
        <f>IF(AND('Inserimento dati'!$B$3=$H$2, Tabella3[[#This Row],[LUN]]="X"), "X",IF(AND('Inserimento dati'!$B$3=$I$2, Tabella3[[#This Row],[MAR]]="X"), "X", IF(AND('Inserimento dati'!$B$3=$J$2, Tabella3[[#This Row],[MER]]="X"), "X",IF(AND('Inserimento dati'!$B$3=$K$2, Tabella3[[#This Row],[GIO]]="X"), "X", IF(AND('Inserimento dati'!$B$3=$L$2, Tabella3[[#This Row],[VEN]]="X"), "X","")))))</f>
        <v/>
      </c>
      <c r="U342" s="93">
        <f>IFERROR(MID(G342,_xlfn.AGGREGATE(15,6,(ROW(INDIRECT("1:"&amp;LEN(G342)-7)))/(ISNUMBER(--MID(G342,ROW(INDIRECT("1:"&amp;LEN(G342)-7)),8))),1),8),"")</f>
        <v/>
      </c>
      <c r="V342" t="inlineStr">
        <is>
          <t>2025-09-30 20:00:00</t>
        </is>
      </c>
    </row>
    <row r="343" ht="30" customFormat="1" customHeight="1" s="45">
      <c r="A343" s="112" t="n"/>
      <c r="B343" s="112" t="n"/>
      <c r="C343" s="112">
        <f>IF(OR(Tabella3[[#This Row],[LUN]]="X",Tabella3[[#This Row],[MAR]]="X",Tabella3[[#This Row],[MER]]="X",Tabella3[[#This Row],[GIO]]="X",Tabella3[[#This Row],[VEN]]="X",),"X","")</f>
        <v/>
      </c>
      <c r="D343" s="113" t="inlineStr">
        <is>
          <t>AREA 3</t>
        </is>
      </c>
      <c r="E343" s="109" t="inlineStr">
        <is>
          <t>547808/C</t>
        </is>
      </c>
      <c r="F343" s="109" t="n">
        <v>1200</v>
      </c>
      <c r="G343" s="109" t="inlineStr">
        <is>
          <t>1200MAXI (F201)RIPRISTINO FUNZIONALITA FOTOCELLULA</t>
        </is>
      </c>
      <c r="H343" s="111" t="n"/>
      <c r="I343" s="111" t="n"/>
      <c r="J343" s="111" t="n"/>
      <c r="K343" s="111" t="n"/>
      <c r="L343" s="111" t="n"/>
      <c r="M343" s="109" t="inlineStr">
        <is>
          <t>EMESSO</t>
        </is>
      </c>
      <c r="N343" s="109" t="n"/>
      <c r="O343" s="109" t="n"/>
      <c r="P343" s="109" t="n"/>
      <c r="Q343" s="109" t="inlineStr">
        <is>
          <t>Controllo effettuato, stasatura canale con azoto.</t>
        </is>
      </c>
      <c r="R343" s="110" t="n">
        <v>45887</v>
      </c>
      <c r="S343" s="109" t="inlineStr">
        <is>
          <t>TARASCIO/PARTESANO</t>
        </is>
      </c>
      <c r="T343" s="114">
        <f>IF(AND('Inserimento dati'!$B$3=$H$2, Tabella3[[#This Row],[LUN]]="X"), "X",IF(AND('Inserimento dati'!$B$3=$I$2, Tabella3[[#This Row],[MAR]]="X"), "X", IF(AND('Inserimento dati'!$B$3=$J$2, Tabella3[[#This Row],[MER]]="X"), "X",IF(AND('Inserimento dati'!$B$3=$K$2, Tabella3[[#This Row],[GIO]]="X"), "X", IF(AND('Inserimento dati'!$B$3=$L$2, Tabella3[[#This Row],[VEN]]="X"), "X","")))))</f>
        <v/>
      </c>
      <c r="U343" s="93">
        <f>IFERROR(MID(G343,_xlfn.AGGREGATE(15,6,(ROW(INDIRECT("1:"&amp;LEN(G343)-7)))/(ISNUMBER(--MID(G343,ROW(INDIRECT("1:"&amp;LEN(G343)-7)),8))),1),8),"")</f>
        <v/>
      </c>
      <c r="V343" t="inlineStr">
        <is>
          <t>2025-09-30 20:00:00</t>
        </is>
      </c>
    </row>
    <row r="344" ht="23.25" customFormat="1" customHeight="1" s="45">
      <c r="A344" s="112" t="n"/>
      <c r="B344" s="112" t="n"/>
      <c r="C344" s="112">
        <f>IF(OR(Tabella3[[#This Row],[LUN]]="X",Tabella3[[#This Row],[MAR]]="X",Tabella3[[#This Row],[MER]]="X",Tabella3[[#This Row],[GIO]]="X",Tabella3[[#This Row],[VEN]]="X",),"X","")</f>
        <v/>
      </c>
      <c r="D344" s="113" t="inlineStr">
        <is>
          <t>AREA 3</t>
        </is>
      </c>
      <c r="E344" s="109" t="inlineStr">
        <is>
          <t>549123/C</t>
        </is>
      </c>
      <c r="F344" s="109" t="n">
        <v>700</v>
      </c>
      <c r="G344" s="109" t="inlineStr">
        <is>
          <t>10229568  700: RIPR TUBO ARIA STRUMENTI A PNEUMATICA DILUVIO F101N  B617V</t>
        </is>
      </c>
      <c r="H344" s="111" t="n"/>
      <c r="I344" s="111" t="n"/>
      <c r="J344" s="111" t="n"/>
      <c r="K344" s="111" t="n"/>
      <c r="L344" s="111" t="n"/>
      <c r="M344" s="109" t="inlineStr">
        <is>
          <t>EMESSO</t>
        </is>
      </c>
      <c r="N344" s="109" t="n"/>
      <c r="O344" s="109" t="n"/>
      <c r="P344" s="109" t="n"/>
      <c r="Q344" s="109" t="n"/>
      <c r="R344" s="110" t="n"/>
      <c r="S344" s="109" t="n"/>
      <c r="T344" s="114">
        <f>IF(AND('Inserimento dati'!$B$3=$H$2, Tabella3[[#This Row],[LUN]]="X"), "X",IF(AND('Inserimento dati'!$B$3=$I$2, Tabella3[[#This Row],[MAR]]="X"), "X", IF(AND('Inserimento dati'!$B$3=$J$2, Tabella3[[#This Row],[MER]]="X"), "X",IF(AND('Inserimento dati'!$B$3=$K$2, Tabella3[[#This Row],[GIO]]="X"), "X", IF(AND('Inserimento dati'!$B$3=$L$2, Tabella3[[#This Row],[VEN]]="X"), "X","")))))</f>
        <v/>
      </c>
      <c r="U344" s="93">
        <f>IFERROR(MID(G344,_xlfn.AGGREGATE(15,6,(ROW(INDIRECT("1:"&amp;LEN(G344)-7)))/(ISNUMBER(--MID(G344,ROW(INDIRECT("1:"&amp;LEN(G344)-7)),8))),1),8),"")</f>
        <v/>
      </c>
      <c r="V344" t="inlineStr">
        <is>
          <t>2025-09-30 20:00:00</t>
        </is>
      </c>
    </row>
    <row r="345" ht="23.25" customFormat="1" customHeight="1" s="45">
      <c r="A345" s="112" t="n"/>
      <c r="B345" s="112" t="n"/>
      <c r="C345" s="112">
        <f>IF(OR(Tabella3[[#This Row],[LUN]]="X",Tabella3[[#This Row],[MAR]]="X",Tabella3[[#This Row],[MER]]="X",Tabella3[[#This Row],[GIO]]="X",Tabella3[[#This Row],[VEN]]="X",),"X","")</f>
        <v/>
      </c>
      <c r="D345" s="113" t="inlineStr">
        <is>
          <t>AREA 3</t>
        </is>
      </c>
      <c r="E345" s="109" t="inlineStr">
        <is>
          <t>549324/C</t>
        </is>
      </c>
      <c r="F345" s="109" t="n">
        <v>800</v>
      </c>
      <c r="G345" s="109" t="inlineStr">
        <is>
          <t>10229705   800: RIPRISTINO SONDA VIBRAZIONI COMPRESSORE C101B</t>
        </is>
      </c>
      <c r="H345" s="111" t="n"/>
      <c r="I345" s="111" t="n"/>
      <c r="J345" s="111" t="n"/>
      <c r="K345" s="111" t="n"/>
      <c r="L345" s="111" t="n"/>
      <c r="M345" s="109" t="inlineStr">
        <is>
          <t>EMESSO</t>
        </is>
      </c>
      <c r="N345" s="109" t="n"/>
      <c r="O345" s="109" t="n"/>
      <c r="P345" s="109" t="n"/>
      <c r="Q345" s="109" t="n"/>
      <c r="R345" s="110" t="n"/>
      <c r="S345" s="109" t="n"/>
      <c r="T345" s="114">
        <f>IF(AND('Inserimento dati'!$B$3=$H$2, Tabella3[[#This Row],[LUN]]="X"), "X",IF(AND('Inserimento dati'!$B$3=$I$2, Tabella3[[#This Row],[MAR]]="X"), "X", IF(AND('Inserimento dati'!$B$3=$J$2, Tabella3[[#This Row],[MER]]="X"), "X",IF(AND('Inserimento dati'!$B$3=$K$2, Tabella3[[#This Row],[GIO]]="X"), "X", IF(AND('Inserimento dati'!$B$3=$L$2, Tabella3[[#This Row],[VEN]]="X"), "X","")))))</f>
        <v/>
      </c>
      <c r="U345" s="93">
        <f>IFERROR(MID(G345,_xlfn.AGGREGATE(15,6,(ROW(INDIRECT("1:"&amp;LEN(G345)-7)))/(ISNUMBER(--MID(G345,ROW(INDIRECT("1:"&amp;LEN(G345)-7)),8))),1),8),"")</f>
        <v/>
      </c>
      <c r="V345" t="inlineStr">
        <is>
          <t>2025-09-30 20:00:00</t>
        </is>
      </c>
    </row>
    <row r="346" ht="23.25" customFormat="1" customHeight="1" s="45">
      <c r="A346" s="112" t="n"/>
      <c r="B346" s="112" t="n"/>
      <c r="C346" s="112">
        <f>IF(OR(Tabella3[[#This Row],[LUN]]="X",Tabella3[[#This Row],[MAR]]="X",Tabella3[[#This Row],[MER]]="X",Tabella3[[#This Row],[GIO]]="X",Tabella3[[#This Row],[VEN]]="X",),"X","")</f>
        <v/>
      </c>
      <c r="D346" s="113" t="inlineStr">
        <is>
          <t>AREA 3</t>
        </is>
      </c>
      <c r="E346" s="109" t="inlineStr">
        <is>
          <t>549121/C</t>
        </is>
      </c>
      <c r="F346" s="109" t="inlineStr">
        <is>
          <t>2200 BD</t>
        </is>
      </c>
      <c r="G346" s="109" t="inlineStr">
        <is>
          <t>10229589  22L201RC controllo funzionale</t>
        </is>
      </c>
      <c r="H346" s="111" t="n"/>
      <c r="I346" s="111" t="n"/>
      <c r="J346" s="111" t="n"/>
      <c r="K346" s="111" t="n"/>
      <c r="L346" s="111" t="n"/>
      <c r="M346" s="109" t="inlineStr">
        <is>
          <t>EMESSO</t>
        </is>
      </c>
      <c r="N346" s="109" t="n"/>
      <c r="O346" s="109" t="n"/>
      <c r="P346" s="109" t="n"/>
      <c r="Q346" s="109" t="n"/>
      <c r="R346" s="110" t="n"/>
      <c r="S346" s="109" t="n"/>
      <c r="T346" s="114">
        <f>IF(AND('Inserimento dati'!$B$3=$H$2, Tabella3[[#This Row],[LUN]]="X"), "X",IF(AND('Inserimento dati'!$B$3=$I$2, Tabella3[[#This Row],[MAR]]="X"), "X", IF(AND('Inserimento dati'!$B$3=$J$2, Tabella3[[#This Row],[MER]]="X"), "X",IF(AND('Inserimento dati'!$B$3=$K$2, Tabella3[[#This Row],[GIO]]="X"), "X", IF(AND('Inserimento dati'!$B$3=$L$2, Tabella3[[#This Row],[VEN]]="X"), "X","")))))</f>
        <v/>
      </c>
      <c r="U346" s="93">
        <f>IFERROR(MID(G346,_xlfn.AGGREGATE(15,6,(ROW(INDIRECT("1:"&amp;LEN(G346)-7)))/(ISNUMBER(--MID(G346,ROW(INDIRECT("1:"&amp;LEN(G346)-7)),8))),1),8),"")</f>
        <v/>
      </c>
      <c r="V346" t="inlineStr">
        <is>
          <t>2025-09-30 20:00:00</t>
        </is>
      </c>
    </row>
    <row r="347" ht="30" customFormat="1" customHeight="1" s="45">
      <c r="A347" s="112" t="n"/>
      <c r="B347" s="112" t="n"/>
      <c r="C347" s="112">
        <f>IF(OR(Tabella3[[#This Row],[LUN]]="X",Tabella3[[#This Row],[MAR]]="X",Tabella3[[#This Row],[MER]]="X",Tabella3[[#This Row],[GIO]]="X",Tabella3[[#This Row],[VEN]]="X",),"X","")</f>
        <v/>
      </c>
      <c r="D347" s="113" t="inlineStr">
        <is>
          <t>AREA 3</t>
        </is>
      </c>
      <c r="E347" s="109" t="inlineStr">
        <is>
          <t>549480/C</t>
        </is>
      </c>
      <c r="F347" s="109" t="n">
        <v>1200</v>
      </c>
      <c r="G347" s="109" t="inlineStr">
        <is>
          <t>Controllo combustione F101 L1 e termocoppie Z1T402  "zona SWS della L1 Z1T402 A e Z1 T402B "</t>
        </is>
      </c>
      <c r="H347" s="111" t="n"/>
      <c r="I347" s="111" t="n"/>
      <c r="J347" s="111" t="n"/>
      <c r="K347" s="111" t="n"/>
      <c r="L347" s="111" t="n"/>
      <c r="M347" s="109" t="inlineStr">
        <is>
          <t>EMESSO</t>
        </is>
      </c>
      <c r="N347" s="109" t="n"/>
      <c r="O347" s="109" t="n"/>
      <c r="P347" s="109" t="n"/>
      <c r="Q347" s="109" t="n"/>
      <c r="R347" s="110" t="n"/>
      <c r="S347" s="109" t="n"/>
      <c r="T347" s="114">
        <f>IF(AND('Inserimento dati'!$B$3=$H$2, Tabella3[[#This Row],[LUN]]="X"), "X",IF(AND('Inserimento dati'!$B$3=$I$2, Tabella3[[#This Row],[MAR]]="X"), "X", IF(AND('Inserimento dati'!$B$3=$J$2, Tabella3[[#This Row],[MER]]="X"), "X",IF(AND('Inserimento dati'!$B$3=$K$2, Tabella3[[#This Row],[GIO]]="X"), "X", IF(AND('Inserimento dati'!$B$3=$L$2, Tabella3[[#This Row],[VEN]]="X"), "X","")))))</f>
        <v/>
      </c>
      <c r="U347" s="93">
        <f>IFERROR(MID(G347,_xlfn.AGGREGATE(15,6,(ROW(INDIRECT("1:"&amp;LEN(G347)-7)))/(ISNUMBER(--MID(G347,ROW(INDIRECT("1:"&amp;LEN(G347)-7)),8))),1),8),"")</f>
        <v/>
      </c>
      <c r="V347" t="inlineStr">
        <is>
          <t>2025-09-30 20:00:00</t>
        </is>
      </c>
    </row>
    <row r="348" ht="30" customFormat="1" customHeight="1" s="45">
      <c r="A348" s="112" t="inlineStr">
        <is>
          <t>X</t>
        </is>
      </c>
      <c r="B348" s="112" t="n"/>
      <c r="C348" s="112">
        <f>IF(OR(Tabella3[[#This Row],[LUN]]="X",Tabella3[[#This Row],[MAR]]="X",Tabella3[[#This Row],[MER]]="X",Tabella3[[#This Row],[GIO]]="X",Tabella3[[#This Row],[VEN]]="X",),"X","")</f>
        <v/>
      </c>
      <c r="D348" s="113" t="inlineStr">
        <is>
          <t>AREA 3</t>
        </is>
      </c>
      <c r="E348" s="109" t="inlineStr">
        <is>
          <t>544235/C</t>
        </is>
      </c>
      <c r="F348" s="109" t="n">
        <v>1200</v>
      </c>
      <c r="G348" s="109" t="inlineStr">
        <is>
          <t>SD 1200/4 - controllo ed eventuale stasatura di FT301 (CARICA MEA) - FT302 (CARICA SWS A F101) - FT306 (SPILL. MEA A F101) - FT307 (SPILL MEA GAS B103)</t>
        </is>
      </c>
      <c r="H348" s="111" t="n"/>
      <c r="I348" s="111" t="n"/>
      <c r="J348" s="111" t="n"/>
      <c r="K348" s="111" t="n"/>
      <c r="L348" s="111" t="n"/>
      <c r="M348" s="109" t="inlineStr">
        <is>
          <t>EMESSO</t>
        </is>
      </c>
      <c r="N348" s="109" t="n"/>
      <c r="O348" s="109" t="n"/>
      <c r="P348" s="109" t="n"/>
      <c r="Q348" s="109" t="inlineStr">
        <is>
          <t>FERMATA 1200/4</t>
        </is>
      </c>
      <c r="R348" s="110" t="n"/>
      <c r="S348" s="109" t="n"/>
      <c r="T348" s="114">
        <f>IF(AND('Inserimento dati'!$B$3=$H$2, Tabella3[[#This Row],[LUN]]="X"), "X",IF(AND('Inserimento dati'!$B$3=$I$2, Tabella3[[#This Row],[MAR]]="X"), "X", IF(AND('Inserimento dati'!$B$3=$J$2, Tabella3[[#This Row],[MER]]="X"), "X",IF(AND('Inserimento dati'!$B$3=$K$2, Tabella3[[#This Row],[GIO]]="X"), "X", IF(AND('Inserimento dati'!$B$3=$L$2, Tabella3[[#This Row],[VEN]]="X"), "X","")))))</f>
        <v/>
      </c>
      <c r="U348" s="93">
        <f>IFERROR(MID(G348,_xlfn.AGGREGATE(15,6,(ROW(INDIRECT("1:"&amp;LEN(G348)-7)))/(ISNUMBER(--MID(G348,ROW(INDIRECT("1:"&amp;LEN(G348)-7)),8))),1),8),"")</f>
        <v/>
      </c>
      <c r="V348" t="inlineStr">
        <is>
          <t>2025-09-30 20:00:00</t>
        </is>
      </c>
    </row>
    <row r="349" ht="23.25" customFormat="1" customHeight="1" s="45">
      <c r="A349" s="112" t="n"/>
      <c r="B349" s="112" t="n"/>
      <c r="C349" s="112">
        <f>IF(OR(Tabella3[[#This Row],[LUN]]="X",Tabella3[[#This Row],[MAR]]="X",Tabella3[[#This Row],[MER]]="X",Tabella3[[#This Row],[GIO]]="X",Tabella3[[#This Row],[VEN]]="X",),"X","")</f>
        <v/>
      </c>
      <c r="D349" s="113" t="inlineStr">
        <is>
          <t>AREA 3</t>
        </is>
      </c>
      <c r="E349" s="109" t="inlineStr">
        <is>
          <t>549322/C</t>
        </is>
      </c>
      <c r="F349" s="109" t="inlineStr">
        <is>
          <t>2200 BD</t>
        </is>
      </c>
      <c r="G349" s="109" t="inlineStr">
        <is>
          <t>10229698  2200BD L514LA - L514HA CONTROLLO E RIPRISTINO</t>
        </is>
      </c>
      <c r="H349" s="111" t="n"/>
      <c r="I349" s="111" t="n"/>
      <c r="J349" s="111" t="n"/>
      <c r="K349" s="111" t="n"/>
      <c r="L349" s="111" t="n"/>
      <c r="M349" s="109" t="inlineStr">
        <is>
          <t>EMESSO</t>
        </is>
      </c>
      <c r="N349" s="109" t="n"/>
      <c r="O349" s="109" t="n"/>
      <c r="P349" s="109" t="n"/>
      <c r="Q349" s="109" t="n"/>
      <c r="R349" s="110" t="n"/>
      <c r="S349" s="109" t="n"/>
      <c r="T349" s="114">
        <f>IF(AND('Inserimento dati'!$B$3=$H$2, Tabella3[[#This Row],[LUN]]="X"), "X",IF(AND('Inserimento dati'!$B$3=$I$2, Tabella3[[#This Row],[MAR]]="X"), "X", IF(AND('Inserimento dati'!$B$3=$J$2, Tabella3[[#This Row],[MER]]="X"), "X",IF(AND('Inserimento dati'!$B$3=$K$2, Tabella3[[#This Row],[GIO]]="X"), "X", IF(AND('Inserimento dati'!$B$3=$L$2, Tabella3[[#This Row],[VEN]]="X"), "X","")))))</f>
        <v/>
      </c>
      <c r="U349" s="93">
        <f>IFERROR(MID(G349,_xlfn.AGGREGATE(15,6,(ROW(INDIRECT("1:"&amp;LEN(G349)-7)))/(ISNUMBER(--MID(G349,ROW(INDIRECT("1:"&amp;LEN(G349)-7)),8))),1),8),"")</f>
        <v/>
      </c>
      <c r="V349" t="inlineStr">
        <is>
          <t>2025-09-30 20:00:00</t>
        </is>
      </c>
    </row>
    <row r="350" ht="30" customFormat="1" customHeight="1" s="45">
      <c r="A350" s="112" t="n"/>
      <c r="B350" s="112" t="n"/>
      <c r="C350" s="112">
        <f>IF(OR(Tabella3[[#This Row],[LUN]]="X",Tabella3[[#This Row],[MAR]]="X",Tabella3[[#This Row],[MER]]="X",Tabella3[[#This Row],[GIO]]="X",Tabella3[[#This Row],[VEN]]="X",),"X","")</f>
        <v/>
      </c>
      <c r="D350" s="113" t="inlineStr">
        <is>
          <t>AREA 3</t>
        </is>
      </c>
      <c r="E350" s="109" t="inlineStr">
        <is>
          <t>548695/C</t>
        </is>
      </c>
      <c r="F350" s="109" t="n">
        <v>1400</v>
      </c>
      <c r="G350" s="109" t="inlineStr">
        <is>
          <t>1400 F005I costruzione flussaggi e prove funzionali</t>
        </is>
      </c>
      <c r="H350" s="111" t="n"/>
      <c r="I350" s="111" t="n"/>
      <c r="J350" s="111" t="n"/>
      <c r="K350" s="111" t="n"/>
      <c r="L350" s="111" t="n"/>
      <c r="M350" s="109" t="inlineStr">
        <is>
          <t>EMESSO</t>
        </is>
      </c>
      <c r="N350" s="109" t="n"/>
      <c r="O350" s="109" t="n"/>
      <c r="P350" s="109" t="n"/>
      <c r="Q350" s="109" t="inlineStr">
        <is>
          <t>NECESSITA INTERVENTO PONTEROSSO PER RADICI TAPPATE, PONTEGGIO ESISTENTE</t>
        </is>
      </c>
      <c r="R350" s="110" t="n">
        <v>45903</v>
      </c>
      <c r="S350" s="109" t="inlineStr">
        <is>
          <t>TARASCIO</t>
        </is>
      </c>
      <c r="T350" s="114">
        <f>IF(AND('Inserimento dati'!$B$3=$H$2, Tabella3[[#This Row],[LUN]]="X"), "X",IF(AND('Inserimento dati'!$B$3=$I$2, Tabella3[[#This Row],[MAR]]="X"), "X", IF(AND('Inserimento dati'!$B$3=$J$2, Tabella3[[#This Row],[MER]]="X"), "X",IF(AND('Inserimento dati'!$B$3=$K$2, Tabella3[[#This Row],[GIO]]="X"), "X", IF(AND('Inserimento dati'!$B$3=$L$2, Tabella3[[#This Row],[VEN]]="X"), "X","")))))</f>
        <v/>
      </c>
      <c r="U350" s="93">
        <f>IFERROR(MID(G350,_xlfn.AGGREGATE(15,6,(ROW(INDIRECT("1:"&amp;LEN(G350)-7)))/(ISNUMBER(--MID(G350,ROW(INDIRECT("1:"&amp;LEN(G350)-7)),8))),1),8),"")</f>
        <v/>
      </c>
      <c r="V350" t="inlineStr">
        <is>
          <t>2025-09-30 20:00:00</t>
        </is>
      </c>
    </row>
    <row r="351" ht="23.25" customFormat="1" customHeight="1" s="45">
      <c r="A351" s="112" t="n"/>
      <c r="B351" s="112" t="n"/>
      <c r="C351" s="112">
        <f>IF(OR(Tabella3[[#This Row],[LUN]]="X",Tabella3[[#This Row],[MAR]]="X",Tabella3[[#This Row],[MER]]="X",Tabella3[[#This Row],[GIO]]="X",Tabella3[[#This Row],[VEN]]="X",),"X","")</f>
        <v/>
      </c>
      <c r="D351" s="113" t="inlineStr">
        <is>
          <t>AREA 3</t>
        </is>
      </c>
      <c r="E351" s="109" t="inlineStr">
        <is>
          <t>548304/C</t>
        </is>
      </c>
      <c r="F351" s="109" t="n">
        <v>1200</v>
      </c>
      <c r="G351" s="109" t="inlineStr">
        <is>
          <t xml:space="preserve"> 1200/3:  RILIEVI DI PRESSIONE come indicati da ESE</t>
        </is>
      </c>
      <c r="H351" s="111" t="n"/>
      <c r="I351" s="111" t="n"/>
      <c r="J351" s="111" t="n"/>
      <c r="K351" s="111" t="n"/>
      <c r="L351" s="111" t="n"/>
      <c r="M351" s="109" t="inlineStr">
        <is>
          <t>EMESSO</t>
        </is>
      </c>
      <c r="N351" s="109" t="n"/>
      <c r="O351" s="109" t="n"/>
      <c r="P351" s="109" t="n"/>
      <c r="Q351" s="109" t="n"/>
      <c r="R351" s="110" t="n"/>
      <c r="S351" s="109" t="n"/>
      <c r="T351" s="114">
        <f>IF(AND('Inserimento dati'!$B$3=$H$2, Tabella3[[#This Row],[LUN]]="X"), "X",IF(AND('Inserimento dati'!$B$3=$I$2, Tabella3[[#This Row],[MAR]]="X"), "X", IF(AND('Inserimento dati'!$B$3=$J$2, Tabella3[[#This Row],[MER]]="X"), "X",IF(AND('Inserimento dati'!$B$3=$K$2, Tabella3[[#This Row],[GIO]]="X"), "X", IF(AND('Inserimento dati'!$B$3=$L$2, Tabella3[[#This Row],[VEN]]="X"), "X","")))))</f>
        <v/>
      </c>
      <c r="U351" s="93">
        <f>IFERROR(MID(G351,_xlfn.AGGREGATE(15,6,(ROW(INDIRECT("1:"&amp;LEN(G351)-7)))/(ISNUMBER(--MID(G351,ROW(INDIRECT("1:"&amp;LEN(G351)-7)),8))),1),8),"")</f>
        <v/>
      </c>
      <c r="V351" t="inlineStr">
        <is>
          <t>2025-09-30 20:00:00</t>
        </is>
      </c>
    </row>
    <row r="352" ht="60" customFormat="1" customHeight="1" s="45">
      <c r="A352" s="112" t="n"/>
      <c r="B352" s="112" t="n"/>
      <c r="C352" s="112">
        <f>IF(OR(Tabella3[[#This Row],[LUN]]="X",Tabella3[[#This Row],[MAR]]="X",Tabella3[[#This Row],[MER]]="X",Tabella3[[#This Row],[GIO]]="X",Tabella3[[#This Row],[VEN]]="X",),"X","")</f>
        <v/>
      </c>
      <c r="D352" s="113" t="inlineStr">
        <is>
          <t>AREA 3</t>
        </is>
      </c>
      <c r="E352" s="109" t="inlineStr">
        <is>
          <t>543964/C</t>
        </is>
      </c>
      <c r="F352" s="109" t="n">
        <v>1200</v>
      </c>
      <c r="G352" s="109" t="inlineStr">
        <is>
          <t xml:space="preserve"> 1200-MAX  E OFF SITE CONTROLLO  RIPRISTINO E MOVIMENTAZIONE  KV e HIC. </t>
        </is>
      </c>
      <c r="H352" s="111" t="n"/>
      <c r="I352" s="111" t="n"/>
      <c r="J352" s="111" t="n"/>
      <c r="K352" s="111" t="n"/>
      <c r="L352" s="111" t="n"/>
      <c r="M352" s="109" t="inlineStr">
        <is>
          <t>EMESSO</t>
        </is>
      </c>
      <c r="N352" s="109" t="n"/>
      <c r="O352" s="109" t="n"/>
      <c r="P352" s="109" t="n"/>
      <c r="Q352" s="109" t="inlineStr">
        <is>
          <t>KV 757 A.C. LA VALVOLA NONOSTANTE LA STRUMENTAZIONE FUNZIONI PERFETTAMENTE NON VA IN CHIUSURA. BLOCCATA.
K.V. 756 A.A. VALVOLA BLOCCATA CHIUSA IN VOLANTINO, NON E' POSSIBILE PROVARLA.</t>
        </is>
      </c>
      <c r="R352" s="110" t="n">
        <v>45867</v>
      </c>
      <c r="S352" s="109" t="inlineStr">
        <is>
          <t>GARRO</t>
        </is>
      </c>
      <c r="T352" s="114">
        <f>IF(AND('Inserimento dati'!$B$3=$H$2, Tabella3[[#This Row],[LUN]]="X"), "X",IF(AND('Inserimento dati'!$B$3=$I$2, Tabella3[[#This Row],[MAR]]="X"), "X", IF(AND('Inserimento dati'!$B$3=$J$2, Tabella3[[#This Row],[MER]]="X"), "X",IF(AND('Inserimento dati'!$B$3=$K$2, Tabella3[[#This Row],[GIO]]="X"), "X", IF(AND('Inserimento dati'!$B$3=$L$2, Tabella3[[#This Row],[VEN]]="X"), "X","")))))</f>
        <v/>
      </c>
      <c r="U352" s="93">
        <f>IFERROR(MID(G352,_xlfn.AGGREGATE(15,6,(ROW(INDIRECT("1:"&amp;LEN(G352)-7)))/(ISNUMBER(--MID(G352,ROW(INDIRECT("1:"&amp;LEN(G352)-7)),8))),1),8),"")</f>
        <v/>
      </c>
      <c r="V352" t="inlineStr">
        <is>
          <t>2025-09-30 20:00:00</t>
        </is>
      </c>
    </row>
    <row r="353" ht="23.25" customFormat="1" customHeight="1" s="45">
      <c r="A353" s="112" t="n"/>
      <c r="B353" s="112" t="n"/>
      <c r="C353" s="112">
        <f>IF(OR(Tabella3[[#This Row],[LUN]]="X",Tabella3[[#This Row],[MAR]]="X",Tabella3[[#This Row],[MER]]="X",Tabella3[[#This Row],[GIO]]="X",Tabella3[[#This Row],[VEN]]="X",),"X","")</f>
        <v/>
      </c>
      <c r="D353" s="113" t="inlineStr">
        <is>
          <t>AREA 3</t>
        </is>
      </c>
      <c r="E353" s="109" t="inlineStr">
        <is>
          <t>550417/C</t>
        </is>
      </c>
      <c r="F353" s="109" t="n">
        <v>700</v>
      </c>
      <c r="G353" s="109" t="inlineStr">
        <is>
          <t>700-1-F101 N  CONTROLLO FUNZIONALE PILOTA BRUC A F101N</t>
        </is>
      </c>
      <c r="H353" s="111" t="n"/>
      <c r="I353" s="111" t="n"/>
      <c r="J353" s="111" t="n"/>
      <c r="K353" s="111" t="n"/>
      <c r="L353" s="111" t="n"/>
      <c r="M353" s="109" t="inlineStr">
        <is>
          <t>EMESSO</t>
        </is>
      </c>
      <c r="N353" s="109" t="n"/>
      <c r="O353" s="109" t="n"/>
      <c r="P353" s="109" t="n"/>
      <c r="Q353" s="109" t="n"/>
      <c r="R353" s="110" t="n"/>
      <c r="S353" s="109" t="n"/>
      <c r="T353" s="114">
        <f>IF(AND('Inserimento dati'!$B$3=$H$2, Tabella3[[#This Row],[LUN]]="X"), "X",IF(AND('Inserimento dati'!$B$3=$I$2, Tabella3[[#This Row],[MAR]]="X"), "X", IF(AND('Inserimento dati'!$B$3=$J$2, Tabella3[[#This Row],[MER]]="X"), "X",IF(AND('Inserimento dati'!$B$3=$K$2, Tabella3[[#This Row],[GIO]]="X"), "X", IF(AND('Inserimento dati'!$B$3=$L$2, Tabella3[[#This Row],[VEN]]="X"), "X","")))))</f>
        <v/>
      </c>
      <c r="U353" s="93">
        <f>IFERROR(MID(G353,_xlfn.AGGREGATE(15,6,(ROW(INDIRECT("1:"&amp;LEN(G353)-7)))/(ISNUMBER(--MID(G353,ROW(INDIRECT("1:"&amp;LEN(G353)-7)),8))),1),8),"")</f>
        <v/>
      </c>
      <c r="V353" t="inlineStr">
        <is>
          <t>2025-09-30 20:00:00</t>
        </is>
      </c>
    </row>
    <row r="354" ht="23.25" customFormat="1" customHeight="1" s="45">
      <c r="A354" s="112" t="n"/>
      <c r="B354" s="112" t="n"/>
      <c r="C354" s="112">
        <f>IF(OR(Tabella3[[#This Row],[LUN]]="X",Tabella3[[#This Row],[MAR]]="X",Tabella3[[#This Row],[MER]]="X",Tabella3[[#This Row],[GIO]]="X",Tabella3[[#This Row],[VEN]]="X",),"X","")</f>
        <v/>
      </c>
      <c r="D354" s="113" t="inlineStr">
        <is>
          <t>AREA 3</t>
        </is>
      </c>
      <c r="E354" s="109" t="inlineStr">
        <is>
          <t>549850/C</t>
        </is>
      </c>
      <c r="F354" s="109" t="n">
        <v>700</v>
      </c>
      <c r="G354" s="109" t="inlineStr">
        <is>
          <t>700 F101N TCV639COTROLLO ZT DI RITORNO POSIZIONE VALVOLA</t>
        </is>
      </c>
      <c r="H354" s="111" t="n"/>
      <c r="I354" s="111" t="n"/>
      <c r="J354" s="111" t="n"/>
      <c r="K354" s="111" t="n"/>
      <c r="L354" s="111" t="n"/>
      <c r="M354" s="109" t="inlineStr">
        <is>
          <t>EMESSO</t>
        </is>
      </c>
      <c r="N354" s="109" t="n"/>
      <c r="O354" s="109" t="n"/>
      <c r="P354" s="109" t="n"/>
      <c r="Q354" s="109" t="inlineStr">
        <is>
          <t>IN ATTESA DI INTERVENTO PREZZAVENTO</t>
        </is>
      </c>
      <c r="R354" s="110" t="n">
        <v>45905</v>
      </c>
      <c r="S354" s="109" t="inlineStr">
        <is>
          <t>TARASCIO</t>
        </is>
      </c>
      <c r="T354" s="114">
        <f>IF(AND('Inserimento dati'!$B$3=$H$2, Tabella3[[#This Row],[LUN]]="X"), "X",IF(AND('Inserimento dati'!$B$3=$I$2, Tabella3[[#This Row],[MAR]]="X"), "X", IF(AND('Inserimento dati'!$B$3=$J$2, Tabella3[[#This Row],[MER]]="X"), "X",IF(AND('Inserimento dati'!$B$3=$K$2, Tabella3[[#This Row],[GIO]]="X"), "X", IF(AND('Inserimento dati'!$B$3=$L$2, Tabella3[[#This Row],[VEN]]="X"), "X","")))))</f>
        <v/>
      </c>
      <c r="U354" s="93">
        <f>IFERROR(MID(G354,_xlfn.AGGREGATE(15,6,(ROW(INDIRECT("1:"&amp;LEN(G354)-7)))/(ISNUMBER(--MID(G354,ROW(INDIRECT("1:"&amp;LEN(G354)-7)),8))),1),8),"")</f>
        <v/>
      </c>
      <c r="V354" t="inlineStr">
        <is>
          <t>2025-09-30 20:00:00</t>
        </is>
      </c>
    </row>
    <row r="355" ht="23.25" customFormat="1" customHeight="1" s="45">
      <c r="A355" s="112" t="n"/>
      <c r="B355" s="112" t="n"/>
      <c r="C355" s="112">
        <f>IF(OR(Tabella3[[#This Row],[LUN]]="X",Tabella3[[#This Row],[MAR]]="X",Tabella3[[#This Row],[MER]]="X",Tabella3[[#This Row],[GIO]]="X",Tabella3[[#This Row],[VEN]]="X",),"X","")</f>
        <v/>
      </c>
      <c r="D355" s="113" t="inlineStr">
        <is>
          <t>AREA 3</t>
        </is>
      </c>
      <c r="E355" s="109" t="inlineStr">
        <is>
          <t>550411/C</t>
        </is>
      </c>
      <c r="F355" s="109" t="n">
        <v>1200</v>
      </c>
      <c r="G355" s="109" t="inlineStr">
        <is>
          <t>10230078   PRIORITA' 1- 1200/1: RIPR Z1B401U1</t>
        </is>
      </c>
      <c r="H355" s="111" t="n"/>
      <c r="I355" s="111" t="n"/>
      <c r="J355" s="111" t="n"/>
      <c r="K355" s="111" t="n"/>
      <c r="L355" s="111" t="n"/>
      <c r="M355" s="109" t="inlineStr">
        <is>
          <t>EMESSO</t>
        </is>
      </c>
      <c r="N355" s="109" t="n"/>
      <c r="O355" s="109" t="n"/>
      <c r="P355" s="109" t="n"/>
      <c r="Q355" s="109" t="n"/>
      <c r="R355" s="110" t="n"/>
      <c r="S355" s="109" t="n"/>
      <c r="T355" s="114">
        <f>IF(AND('Inserimento dati'!$B$3=$H$2, Tabella3[[#This Row],[LUN]]="X"), "X",IF(AND('Inserimento dati'!$B$3=$I$2, Tabella3[[#This Row],[MAR]]="X"), "X", IF(AND('Inserimento dati'!$B$3=$J$2, Tabella3[[#This Row],[MER]]="X"), "X",IF(AND('Inserimento dati'!$B$3=$K$2, Tabella3[[#This Row],[GIO]]="X"), "X", IF(AND('Inserimento dati'!$B$3=$L$2, Tabella3[[#This Row],[VEN]]="X"), "X","")))))</f>
        <v/>
      </c>
      <c r="U355" s="93">
        <f>IFERROR(MID(G355,_xlfn.AGGREGATE(15,6,(ROW(INDIRECT("1:"&amp;LEN(G355)-7)))/(ISNUMBER(--MID(G355,ROW(INDIRECT("1:"&amp;LEN(G355)-7)),8))),1),8),"")</f>
        <v/>
      </c>
      <c r="V355" t="inlineStr">
        <is>
          <t>2025-09-30 20:00:00</t>
        </is>
      </c>
    </row>
    <row r="356" ht="30" customFormat="1" customHeight="1" s="45">
      <c r="A356" s="112" t="n"/>
      <c r="B356" s="112" t="n"/>
      <c r="C356" s="112">
        <f>IF(OR(Tabella3[[#This Row],[LUN]]="X",Tabella3[[#This Row],[MAR]]="X",Tabella3[[#This Row],[MER]]="X",Tabella3[[#This Row],[GIO]]="X",Tabella3[[#This Row],[VEN]]="X",),"X","")</f>
        <v/>
      </c>
      <c r="D356" s="113" t="inlineStr">
        <is>
          <t>AREA 3</t>
        </is>
      </c>
      <c r="E356" s="109" t="inlineStr">
        <is>
          <t>550679/C</t>
        </is>
      </c>
      <c r="F356" s="109" t="n">
        <v>2400</v>
      </c>
      <c r="G356" s="109" t="inlineStr">
        <is>
          <t>2400-1-L606RCV serraggio premi treccia</t>
        </is>
      </c>
      <c r="H356" s="111" t="n"/>
      <c r="I356" s="111" t="n"/>
      <c r="J356" s="111" t="n"/>
      <c r="K356" s="111" t="n"/>
      <c r="L356" s="111" t="n"/>
      <c r="M356" s="109" t="inlineStr">
        <is>
          <t>EMESSO</t>
        </is>
      </c>
      <c r="N356" s="109" t="n"/>
      <c r="O356" s="109" t="n"/>
      <c r="P356" s="109" t="n"/>
      <c r="Q356" s="109" t="inlineStr">
        <is>
          <t>IL PREMI TRECCIA NON E' STATO POSSIBILE SERRARLO, PERCHE' I TIRANTI SONO CORROSI. SI CONSIGLIA LA REVISIONE DELLA VALVOLA</t>
        </is>
      </c>
      <c r="R356" s="110" t="n">
        <v>45911</v>
      </c>
      <c r="S356" s="109" t="inlineStr">
        <is>
          <t>GARRO</t>
        </is>
      </c>
      <c r="T356" s="114">
        <f>IF(AND('Inserimento dati'!$B$3=$H$2, Tabella3[[#This Row],[LUN]]="X"), "X",IF(AND('Inserimento dati'!$B$3=$I$2, Tabella3[[#This Row],[MAR]]="X"), "X", IF(AND('Inserimento dati'!$B$3=$J$2, Tabella3[[#This Row],[MER]]="X"), "X",IF(AND('Inserimento dati'!$B$3=$K$2, Tabella3[[#This Row],[GIO]]="X"), "X", IF(AND('Inserimento dati'!$B$3=$L$2, Tabella3[[#This Row],[VEN]]="X"), "X","")))))</f>
        <v/>
      </c>
      <c r="U356" s="93">
        <f>IFERROR(MID(G356,_xlfn.AGGREGATE(15,6,(ROW(INDIRECT("1:"&amp;LEN(G356)-7)))/(ISNUMBER(--MID(G356,ROW(INDIRECT("1:"&amp;LEN(G356)-7)),8))),1),8),"")</f>
        <v/>
      </c>
      <c r="V356" t="inlineStr">
        <is>
          <t>2025-09-30 20:00:00</t>
        </is>
      </c>
    </row>
    <row r="357" ht="23.25" customFormat="1" customHeight="1" s="45">
      <c r="A357" s="112" t="n"/>
      <c r="B357" s="112" t="n"/>
      <c r="C357" s="112">
        <f>IF(OR(Tabella3[[#This Row],[LUN]]="X",Tabella3[[#This Row],[MAR]]="X",Tabella3[[#This Row],[MER]]="X",Tabella3[[#This Row],[GIO]]="X",Tabella3[[#This Row],[VEN]]="X",),"X","")</f>
        <v/>
      </c>
      <c r="D357" s="113" t="inlineStr">
        <is>
          <t>AREA 3</t>
        </is>
      </c>
      <c r="E357" s="109" t="inlineStr">
        <is>
          <t>551074/C</t>
        </is>
      </c>
      <c r="F357" s="109" t="n">
        <v>1200</v>
      </c>
      <c r="G357" s="109" t="inlineStr">
        <is>
          <t>1400 F004/005I CONTROLLO E RIPRISTINO FUNZIONALE</t>
        </is>
      </c>
      <c r="H357" s="111" t="n"/>
      <c r="I357" s="111" t="n"/>
      <c r="J357" s="111" t="n"/>
      <c r="K357" s="111" t="n"/>
      <c r="L357" s="111" t="n"/>
      <c r="M357" s="109" t="inlineStr">
        <is>
          <t>EMESSO</t>
        </is>
      </c>
      <c r="N357" s="109" t="n"/>
      <c r="O357" s="109" t="n"/>
      <c r="P357" s="109" t="n"/>
      <c r="Q357" s="109" t="n"/>
      <c r="R357" s="110" t="n"/>
      <c r="S357" s="109" t="n"/>
      <c r="T357" s="114">
        <f>IF(AND('Inserimento dati'!$B$3=$H$2, Tabella3[[#This Row],[LUN]]="X"), "X",IF(AND('Inserimento dati'!$B$3=$I$2, Tabella3[[#This Row],[MAR]]="X"), "X", IF(AND('Inserimento dati'!$B$3=$J$2, Tabella3[[#This Row],[MER]]="X"), "X",IF(AND('Inserimento dati'!$B$3=$K$2, Tabella3[[#This Row],[GIO]]="X"), "X", IF(AND('Inserimento dati'!$B$3=$L$2, Tabella3[[#This Row],[VEN]]="X"), "X","")))))</f>
        <v/>
      </c>
      <c r="U357" s="93" t="n"/>
      <c r="V357" t="inlineStr">
        <is>
          <t>2025-09-30 20:00:00</t>
        </is>
      </c>
    </row>
    <row r="358" ht="23.25" customFormat="1" customHeight="1" s="45">
      <c r="A358" s="112" t="n"/>
      <c r="B358" s="112" t="n"/>
      <c r="C358" s="112">
        <f>IF(OR(Tabella3[[#This Row],[LUN]]="X",Tabella3[[#This Row],[MAR]]="X",Tabella3[[#This Row],[MER]]="X",Tabella3[[#This Row],[GIO]]="X",Tabella3[[#This Row],[VEN]]="X",),"X","")</f>
        <v/>
      </c>
      <c r="D358" s="113" t="inlineStr">
        <is>
          <t>AREA 3</t>
        </is>
      </c>
      <c r="E358" s="109" t="inlineStr">
        <is>
          <t>551042/C</t>
        </is>
      </c>
      <c r="F358" s="109" t="n">
        <v>1200</v>
      </c>
      <c r="G358" s="109" t="inlineStr">
        <is>
          <t>URGENTE!: ORDINE PULIZIA IMPIANTI AREA 3</t>
        </is>
      </c>
      <c r="H358" s="111" t="n"/>
      <c r="I358" s="111" t="n"/>
      <c r="J358" s="111" t="n"/>
      <c r="K358" s="111" t="n"/>
      <c r="L358" s="111" t="n"/>
      <c r="M358" s="109" t="inlineStr">
        <is>
          <t>EMESSO</t>
        </is>
      </c>
      <c r="N358" s="109" t="n"/>
      <c r="O358" s="109" t="n"/>
      <c r="P358" s="109" t="n"/>
      <c r="Q358" s="109" t="n"/>
      <c r="R358" s="110" t="n"/>
      <c r="S358" s="109" t="n"/>
      <c r="T358" s="114">
        <f>IF(AND('Inserimento dati'!$B$3=$H$2, Tabella3[[#This Row],[LUN]]="X"), "X",IF(AND('Inserimento dati'!$B$3=$I$2, Tabella3[[#This Row],[MAR]]="X"), "X", IF(AND('Inserimento dati'!$B$3=$J$2, Tabella3[[#This Row],[MER]]="X"), "X",IF(AND('Inserimento dati'!$B$3=$K$2, Tabella3[[#This Row],[GIO]]="X"), "X", IF(AND('Inserimento dati'!$B$3=$L$2, Tabella3[[#This Row],[VEN]]="X"), "X","")))))</f>
        <v/>
      </c>
      <c r="U358" s="93" t="n"/>
      <c r="V358" t="inlineStr">
        <is>
          <t>2025-09-30 20:00:00</t>
        </is>
      </c>
    </row>
    <row r="359" ht="30" customFormat="1" customHeight="1" s="45">
      <c r="A359" s="112" t="n"/>
      <c r="B359" s="112" t="n"/>
      <c r="C359" s="112">
        <f>IF(OR(Tabella3[[#This Row],[LUN]]="X",Tabella3[[#This Row],[MAR]]="X",Tabella3[[#This Row],[MER]]="X",Tabella3[[#This Row],[GIO]]="X",Tabella3[[#This Row],[VEN]]="X",),"X","")</f>
        <v/>
      </c>
      <c r="D359" s="113" t="inlineStr">
        <is>
          <t>AREA 3</t>
        </is>
      </c>
      <c r="E359" s="109" t="inlineStr">
        <is>
          <t>550255/C</t>
        </is>
      </c>
      <c r="F359" s="109" t="n">
        <v>800</v>
      </c>
      <c r="G359" s="109" t="inlineStr">
        <is>
          <t>800 FCV120 CONTROLLO FUNZIONALE ED EVENTUALE SMONTAGGIO/RIMONTAGGIO PER REVISIONE</t>
        </is>
      </c>
      <c r="H359" s="111" t="n"/>
      <c r="I359" s="111" t="n"/>
      <c r="J359" s="111" t="n"/>
      <c r="K359" s="111" t="n"/>
      <c r="L359" s="111" t="n"/>
      <c r="M359" s="109" t="inlineStr">
        <is>
          <t>EMESSO</t>
        </is>
      </c>
      <c r="N359" s="109" t="n"/>
      <c r="O359" s="109" t="n"/>
      <c r="P359" s="109" t="n"/>
      <c r="Q359" s="109" t="inlineStr">
        <is>
          <t>VALVOLA IN REVISIONE IN OFFICINA VALVOLE</t>
        </is>
      </c>
      <c r="R359" s="110" t="n">
        <v>45910</v>
      </c>
      <c r="S359" s="109" t="inlineStr">
        <is>
          <t>GARRO</t>
        </is>
      </c>
      <c r="T359" s="114">
        <f>IF(AND('Inserimento dati'!$B$3=$H$2, Tabella3[[#This Row],[LUN]]="X"), "X",IF(AND('Inserimento dati'!$B$3=$I$2, Tabella3[[#This Row],[MAR]]="X"), "X", IF(AND('Inserimento dati'!$B$3=$J$2, Tabella3[[#This Row],[MER]]="X"), "X",IF(AND('Inserimento dati'!$B$3=$K$2, Tabella3[[#This Row],[GIO]]="X"), "X", IF(AND('Inserimento dati'!$B$3=$L$2, Tabella3[[#This Row],[VEN]]="X"), "X","")))))</f>
        <v/>
      </c>
      <c r="U359" s="93">
        <f>IFERROR(MID(G359,_xlfn.AGGREGATE(15,6,(ROW(INDIRECT("1:"&amp;LEN(G359)-7)))/(ISNUMBER(--MID(G359,ROW(INDIRECT("1:"&amp;LEN(G359)-7)),8))),1),8),"")</f>
        <v/>
      </c>
      <c r="V359" t="inlineStr">
        <is>
          <t>2025-09-30 20:00:00</t>
        </is>
      </c>
    </row>
    <row r="360" ht="23.25" customFormat="1" customHeight="1" s="45">
      <c r="A360" s="112" t="n"/>
      <c r="B360" s="112" t="n"/>
      <c r="C360" s="112">
        <f>IF(OR(Tabella3[[#This Row],[LUN]]="X",Tabella3[[#This Row],[MAR]]="X",Tabella3[[#This Row],[MER]]="X",Tabella3[[#This Row],[GIO]]="X",Tabella3[[#This Row],[VEN]]="X",),"X","")</f>
        <v/>
      </c>
      <c r="D360" s="113" t="inlineStr">
        <is>
          <t>AREA 3</t>
        </is>
      </c>
      <c r="E360" s="109" t="inlineStr">
        <is>
          <t>551104/C</t>
        </is>
      </c>
      <c r="F360" s="109" t="n">
        <v>1200</v>
      </c>
      <c r="G360" s="109" t="inlineStr">
        <is>
          <t xml:space="preserve">10230332 SMONTAGGIO/RIMONTAGGIO PER  Revisione FCV303- </t>
        </is>
      </c>
      <c r="H360" s="111" t="n"/>
      <c r="I360" s="111" t="n"/>
      <c r="J360" s="111" t="n"/>
      <c r="K360" s="111" t="n"/>
      <c r="L360" s="111" t="n"/>
      <c r="M360" s="109" t="inlineStr">
        <is>
          <t>EMESSO</t>
        </is>
      </c>
      <c r="N360" s="109" t="n"/>
      <c r="O360" s="109" t="n"/>
      <c r="P360" s="109" t="n"/>
      <c r="Q360" s="109" t="n"/>
      <c r="R360" s="110" t="n"/>
      <c r="S360" s="109" t="n"/>
      <c r="T360" s="114">
        <f>IF(AND('Inserimento dati'!$B$3=$H$2, Tabella3[[#This Row],[LUN]]="X"), "X",IF(AND('Inserimento dati'!$B$3=$I$2, Tabella3[[#This Row],[MAR]]="X"), "X", IF(AND('Inserimento dati'!$B$3=$J$2, Tabella3[[#This Row],[MER]]="X"), "X",IF(AND('Inserimento dati'!$B$3=$K$2, Tabella3[[#This Row],[GIO]]="X"), "X", IF(AND('Inserimento dati'!$B$3=$L$2, Tabella3[[#This Row],[VEN]]="X"), "X","")))))</f>
        <v/>
      </c>
      <c r="U360" s="93" t="n"/>
      <c r="V360" t="inlineStr">
        <is>
          <t>2025-09-30 20:00:00</t>
        </is>
      </c>
    </row>
    <row r="361" ht="30" customFormat="1" customHeight="1" s="45">
      <c r="A361" s="112" t="n"/>
      <c r="B361" s="112" t="n"/>
      <c r="C361" s="112">
        <f>IF(OR(Tabella3[[#This Row],[LUN]]="X",Tabella3[[#This Row],[MAR]]="X",Tabella3[[#This Row],[MER]]="X",Tabella3[[#This Row],[GIO]]="X",Tabella3[[#This Row],[VEN]]="X",),"X","")</f>
        <v/>
      </c>
      <c r="D361" s="113" t="inlineStr">
        <is>
          <t>AREA 3</t>
        </is>
      </c>
      <c r="E361" s="109" t="inlineStr">
        <is>
          <t>551109/C</t>
        </is>
      </c>
      <c r="F361" s="109" t="n">
        <v>1200</v>
      </c>
      <c r="G361" s="109" t="inlineStr">
        <is>
          <t>10230340 1200/2 HIC740 controllo funzionale ed eventuale smontaggio servomotore per revisione  valvola completa</t>
        </is>
      </c>
      <c r="H361" s="111" t="n"/>
      <c r="I361" s="111" t="n"/>
      <c r="J361" s="111" t="n"/>
      <c r="K361" s="111" t="n"/>
      <c r="L361" s="111" t="n"/>
      <c r="M361" s="109" t="inlineStr">
        <is>
          <t>EMESSO</t>
        </is>
      </c>
      <c r="N361" s="109" t="n"/>
      <c r="O361" s="109" t="n"/>
      <c r="P361" s="109" t="n"/>
      <c r="Q361" s="109" t="n"/>
      <c r="R361" s="110" t="n"/>
      <c r="S361" s="109" t="n"/>
      <c r="T361" s="114">
        <f>IF(AND('Inserimento dati'!$B$3=$H$2, Tabella3[[#This Row],[LUN]]="X"), "X",IF(AND('Inserimento dati'!$B$3=$I$2, Tabella3[[#This Row],[MAR]]="X"), "X", IF(AND('Inserimento dati'!$B$3=$J$2, Tabella3[[#This Row],[MER]]="X"), "X",IF(AND('Inserimento dati'!$B$3=$K$2, Tabella3[[#This Row],[GIO]]="X"), "X", IF(AND('Inserimento dati'!$B$3=$L$2, Tabella3[[#This Row],[VEN]]="X"), "X","")))))</f>
        <v/>
      </c>
      <c r="U361" s="93" t="n"/>
      <c r="V361" t="inlineStr">
        <is>
          <t>2025-09-30 20:00:00</t>
        </is>
      </c>
    </row>
    <row r="362" ht="30" customFormat="1" customHeight="1" s="45">
      <c r="A362" s="112" t="n"/>
      <c r="B362" s="112" t="n"/>
      <c r="C362" s="112">
        <f>IF(OR(Tabella3[[#This Row],[LUN]]="X",Tabella3[[#This Row],[MAR]]="X",Tabella3[[#This Row],[MER]]="X",Tabella3[[#This Row],[GIO]]="X",Tabella3[[#This Row],[VEN]]="X",),"X","")</f>
        <v/>
      </c>
      <c r="D362" s="113" t="inlineStr">
        <is>
          <t>AREA 3</t>
        </is>
      </c>
      <c r="E362" s="109" t="inlineStr">
        <is>
          <t>551114/C</t>
        </is>
      </c>
      <c r="F362" s="109" t="n">
        <v>1200</v>
      </c>
      <c r="G362" s="109" t="inlineStr">
        <is>
          <t>10230341 1200/2 HIC744 controllo funzionale ed eventuale smontaggio servomotore per revisione  valvola completa</t>
        </is>
      </c>
      <c r="H362" s="111" t="n"/>
      <c r="I362" s="111" t="n"/>
      <c r="J362" s="111" t="n"/>
      <c r="K362" s="111" t="n"/>
      <c r="L362" s="111" t="n"/>
      <c r="M362" s="109" t="inlineStr">
        <is>
          <t>EMESSO</t>
        </is>
      </c>
      <c r="N362" s="109" t="n"/>
      <c r="O362" s="109" t="n"/>
      <c r="P362" s="109" t="n"/>
      <c r="Q362" s="109" t="n"/>
      <c r="R362" s="110" t="n"/>
      <c r="S362" s="109" t="n"/>
      <c r="T362" s="114">
        <f>IF(AND('Inserimento dati'!$B$3=$H$2, Tabella3[[#This Row],[LUN]]="X"), "X",IF(AND('Inserimento dati'!$B$3=$I$2, Tabella3[[#This Row],[MAR]]="X"), "X", IF(AND('Inserimento dati'!$B$3=$J$2, Tabella3[[#This Row],[MER]]="X"), "X",IF(AND('Inserimento dati'!$B$3=$K$2, Tabella3[[#This Row],[GIO]]="X"), "X", IF(AND('Inserimento dati'!$B$3=$L$2, Tabella3[[#This Row],[VEN]]="X"), "X","")))))</f>
        <v/>
      </c>
      <c r="U362" s="93" t="n"/>
      <c r="V362" t="inlineStr">
        <is>
          <t>2025-09-30 20:00:00</t>
        </is>
      </c>
    </row>
    <row r="363" ht="23.25" customFormat="1" customHeight="1" s="45">
      <c r="A363" s="112" t="n"/>
      <c r="B363" s="112" t="n"/>
      <c r="C363" s="112">
        <f>IF(OR(Tabella3[[#This Row],[LUN]]="X",Tabella3[[#This Row],[MAR]]="X",Tabella3[[#This Row],[MER]]="X",Tabella3[[#This Row],[GIO]]="X",Tabella3[[#This Row],[VEN]]="X",),"X","")</f>
        <v/>
      </c>
      <c r="D363" s="113" t="inlineStr">
        <is>
          <t>AREA 3</t>
        </is>
      </c>
      <c r="E363" s="109" t="inlineStr">
        <is>
          <t>551108/C</t>
        </is>
      </c>
      <c r="F363" s="109" t="n">
        <v>1200</v>
      </c>
      <c r="G363" s="109" t="inlineStr">
        <is>
          <t>10230333 5.Verifica misuratori di portata aria-gas-MEA GAS-SWS GAS F301/302/306RC</t>
        </is>
      </c>
      <c r="H363" s="111" t="n"/>
      <c r="I363" s="111" t="n"/>
      <c r="J363" s="111" t="n"/>
      <c r="K363" s="111" t="n"/>
      <c r="L363" s="111" t="n"/>
      <c r="M363" s="109" t="inlineStr">
        <is>
          <t>EMESSO</t>
        </is>
      </c>
      <c r="N363" s="109" t="n"/>
      <c r="O363" s="109" t="n"/>
      <c r="P363" s="109" t="n"/>
      <c r="Q363" s="109" t="n"/>
      <c r="R363" s="110" t="n"/>
      <c r="S363" s="109" t="n"/>
      <c r="T363" s="114">
        <f>IF(AND('Inserimento dati'!$B$3=$H$2, Tabella3[[#This Row],[LUN]]="X"), "X",IF(AND('Inserimento dati'!$B$3=$I$2, Tabella3[[#This Row],[MAR]]="X"), "X", IF(AND('Inserimento dati'!$B$3=$J$2, Tabella3[[#This Row],[MER]]="X"), "X",IF(AND('Inserimento dati'!$B$3=$K$2, Tabella3[[#This Row],[GIO]]="X"), "X", IF(AND('Inserimento dati'!$B$3=$L$2, Tabella3[[#This Row],[VEN]]="X"), "X","")))))</f>
        <v/>
      </c>
      <c r="U363" s="93" t="n"/>
      <c r="V363" t="inlineStr">
        <is>
          <t>2025-09-30 20:00:00</t>
        </is>
      </c>
    </row>
    <row r="364" ht="165" customFormat="1" customHeight="1" s="45">
      <c r="A364" s="112" t="n"/>
      <c r="B364" s="112" t="n"/>
      <c r="C364" s="112">
        <f>IF(OR(Tabella3[[#This Row],[LUN]]="X",Tabella3[[#This Row],[MAR]]="X",Tabella3[[#This Row],[MER]]="X",Tabella3[[#This Row],[GIO]]="X",Tabella3[[#This Row],[VEN]]="X",),"X","")</f>
        <v/>
      </c>
      <c r="D364" s="113" t="inlineStr">
        <is>
          <t>AREA 3</t>
        </is>
      </c>
      <c r="E364" s="109" t="inlineStr">
        <is>
          <t>550854/C</t>
        </is>
      </c>
      <c r="F364" s="109" t="inlineStr">
        <is>
          <t>700A</t>
        </is>
      </c>
      <c r="G364" s="109" t="inlineStr">
        <is>
          <t>10230257   700A: VERIFICA 07L208SC+ AUTOMATISMO POMPA P205-P204B</t>
        </is>
      </c>
      <c r="H364" s="111" t="n"/>
      <c r="I364" s="111" t="n"/>
      <c r="J364" s="111" t="n"/>
      <c r="K364" s="111" t="n"/>
      <c r="L364" s="111" t="n"/>
      <c r="M364" s="109" t="inlineStr">
        <is>
          <t>EMESSO</t>
        </is>
      </c>
      <c r="N364" s="109" t="n"/>
      <c r="O364" s="109" t="n"/>
      <c r="P364" s="109" t="n"/>
      <c r="Q364" s="109" t="inlineStr">
        <is>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is>
      </c>
      <c r="R364" s="110" t="n">
        <v>45916</v>
      </c>
      <c r="S364" s="109" t="inlineStr">
        <is>
          <t>MILLO</t>
        </is>
      </c>
      <c r="T364" s="114">
        <f>IF(AND('Inserimento dati'!$B$3=$H$2, Tabella3[[#This Row],[LUN]]="X"), "X",IF(AND('Inserimento dati'!$B$3=$I$2, Tabella3[[#This Row],[MAR]]="X"), "X", IF(AND('Inserimento dati'!$B$3=$J$2, Tabella3[[#This Row],[MER]]="X"), "X",IF(AND('Inserimento dati'!$B$3=$K$2, Tabella3[[#This Row],[GIO]]="X"), "X", IF(AND('Inserimento dati'!$B$3=$L$2, Tabella3[[#This Row],[VEN]]="X"), "X","")))))</f>
        <v/>
      </c>
      <c r="U364" s="93" t="n"/>
      <c r="V364" t="inlineStr">
        <is>
          <t>2025-09-30 20:00:00</t>
        </is>
      </c>
    </row>
    <row r="365" ht="30" customFormat="1" customHeight="1" s="45">
      <c r="A365" s="112" t="n"/>
      <c r="B365" s="112" t="n"/>
      <c r="C365" s="112">
        <f>IF(OR(Tabella3[[#This Row],[LUN]]="X",Tabella3[[#This Row],[MAR]]="X",Tabella3[[#This Row],[MER]]="X",Tabella3[[#This Row],[GIO]]="X",Tabella3[[#This Row],[VEN]]="X",),"X","")</f>
        <v/>
      </c>
      <c r="D365" s="113" t="inlineStr">
        <is>
          <t>AREA 3</t>
        </is>
      </c>
      <c r="E365" s="109" t="inlineStr">
        <is>
          <t>551711/C</t>
        </is>
      </c>
      <c r="F365" s="109" t="n">
        <v>700</v>
      </c>
      <c r="G365" s="109" t="inlineStr">
        <is>
          <t>area cantieri sud ripristino funzionale autoclave acqua cantieri MESSA IN SICUREZZA A CURA ESECUTORE</t>
        </is>
      </c>
      <c r="H365" s="111" t="n"/>
      <c r="I365" s="111" t="n"/>
      <c r="J365" s="111" t="n"/>
      <c r="K365" s="111" t="n"/>
      <c r="L365" s="111" t="n"/>
      <c r="M365" s="109" t="inlineStr">
        <is>
          <t>EMESSO</t>
        </is>
      </c>
      <c r="N365" s="109" t="n"/>
      <c r="O365" s="109" t="n"/>
      <c r="P365" s="109" t="n"/>
      <c r="Q365" s="109" t="inlineStr">
        <is>
          <t>SOSTITUITO GALLEGGIANTE SUL SERBATOIO. COLLEGAMENTO ELETTRICO A CURA DEL SIG. ROSSITTO.</t>
        </is>
      </c>
      <c r="R365" s="110" t="n">
        <v>45918</v>
      </c>
      <c r="S365" s="109" t="inlineStr">
        <is>
          <t>MILLO</t>
        </is>
      </c>
      <c r="T365" s="114">
        <f>IF(AND('Inserimento dati'!$B$3=$H$2, Tabella3[[#This Row],[LUN]]="X"), "X",IF(AND('Inserimento dati'!$B$3=$I$2, Tabella3[[#This Row],[MAR]]="X"), "X", IF(AND('Inserimento dati'!$B$3=$J$2, Tabella3[[#This Row],[MER]]="X"), "X",IF(AND('Inserimento dati'!$B$3=$K$2, Tabella3[[#This Row],[GIO]]="X"), "X", IF(AND('Inserimento dati'!$B$3=$L$2, Tabella3[[#This Row],[VEN]]="X"), "X","")))))</f>
        <v/>
      </c>
      <c r="U365" s="93" t="n"/>
      <c r="V365" t="inlineStr">
        <is>
          <t>2025-09-30 20:00:00</t>
        </is>
      </c>
    </row>
    <row r="366" ht="23.25" customFormat="1" customHeight="1" s="45">
      <c r="A366" s="112" t="n"/>
      <c r="B366" s="112" t="n"/>
      <c r="C366" s="112">
        <f>IF(OR(Tabella3[[#This Row],[LUN]]="X",Tabella3[[#This Row],[MAR]]="X",Tabella3[[#This Row],[MER]]="X",Tabella3[[#This Row],[GIO]]="X",Tabella3[[#This Row],[VEN]]="X",),"X","")</f>
        <v/>
      </c>
      <c r="D366" s="113" t="inlineStr">
        <is>
          <t>AREA 3</t>
        </is>
      </c>
      <c r="E366" s="109" t="inlineStr">
        <is>
          <t>551101/C</t>
        </is>
      </c>
      <c r="F366" s="109" t="n">
        <v>1200</v>
      </c>
      <c r="G366" s="109" t="inlineStr">
        <is>
          <t xml:space="preserve">(AVVISO 10230331) REVISIONE VALVOLA FCV302 IMP. 1200/2 ( SWS GAS A B-103 ) </t>
        </is>
      </c>
      <c r="H366" s="111" t="n"/>
      <c r="I366" s="111" t="n"/>
      <c r="J366" s="111" t="n"/>
      <c r="K366" s="111" t="n"/>
      <c r="L366" s="111" t="n"/>
      <c r="M366" s="109" t="inlineStr">
        <is>
          <t>EMESSO</t>
        </is>
      </c>
      <c r="N366" s="109" t="n"/>
      <c r="O366" s="109" t="n"/>
      <c r="P366" s="109" t="n"/>
      <c r="Q366" s="109" t="n"/>
      <c r="R366" s="110" t="n"/>
      <c r="S366" s="109" t="n"/>
      <c r="T366" s="114">
        <f>IF(AND('Inserimento dati'!$B$3=$H$2, Tabella3[[#This Row],[LUN]]="X"), "X",IF(AND('Inserimento dati'!$B$3=$I$2, Tabella3[[#This Row],[MAR]]="X"), "X", IF(AND('Inserimento dati'!$B$3=$J$2, Tabella3[[#This Row],[MER]]="X"), "X",IF(AND('Inserimento dati'!$B$3=$K$2, Tabella3[[#This Row],[GIO]]="X"), "X", IF(AND('Inserimento dati'!$B$3=$L$2, Tabella3[[#This Row],[VEN]]="X"), "X","")))))</f>
        <v/>
      </c>
      <c r="U366" s="93" t="n"/>
      <c r="V366" t="inlineStr">
        <is>
          <t>2025-09-30 20:00:00</t>
        </is>
      </c>
    </row>
    <row r="367" ht="30" customFormat="1" customHeight="1" s="45">
      <c r="A367" s="112" t="n"/>
      <c r="B367" s="112" t="n"/>
      <c r="C367" s="112">
        <f>IF(OR(Tabella3[[#This Row],[LUN]]="X",Tabella3[[#This Row],[MAR]]="X",Tabella3[[#This Row],[MER]]="X",Tabella3[[#This Row],[GIO]]="X",Tabella3[[#This Row],[VEN]]="X",),"X","")</f>
        <v/>
      </c>
      <c r="D367" s="113" t="inlineStr">
        <is>
          <t>AREA 3</t>
        </is>
      </c>
      <c r="E367" s="109" t="inlineStr">
        <is>
          <t>551981/C</t>
        </is>
      </c>
      <c r="F367" s="109" t="inlineStr">
        <is>
          <t>2200 BD</t>
        </is>
      </c>
      <c r="G367" s="109" t="inlineStr">
        <is>
          <t>10230720   2200: MTZ 22L534R (D101B) ripristino funzionale</t>
        </is>
      </c>
      <c r="H367" s="111" t="n"/>
      <c r="I367" s="111" t="n"/>
      <c r="J367" s="111" t="n"/>
      <c r="K367" s="111" t="n"/>
      <c r="L367" s="111" t="n"/>
      <c r="M367" s="109" t="inlineStr">
        <is>
          <t>EMESSO</t>
        </is>
      </c>
      <c r="N367" s="109" t="n"/>
      <c r="O367" s="109" t="n"/>
      <c r="P367" s="109" t="n"/>
      <c r="Q367" s="109" t="inlineStr">
        <is>
          <t>PULITI PRIMARI,RIEMPITO BARILOTTO CON H2O E REGOLATI FLUSSAGGI.</t>
        </is>
      </c>
      <c r="R367" s="110" t="n">
        <v>45924</v>
      </c>
      <c r="S367" s="109" t="inlineStr">
        <is>
          <t>TARASCIO</t>
        </is>
      </c>
      <c r="T367" s="114">
        <f>IF(AND('Inserimento dati'!$B$3=$H$2, Tabella3[[#This Row],[LUN]]="X"), "X",IF(AND('Inserimento dati'!$B$3=$I$2, Tabella3[[#This Row],[MAR]]="X"), "X", IF(AND('Inserimento dati'!$B$3=$J$2, Tabella3[[#This Row],[MER]]="X"), "X",IF(AND('Inserimento dati'!$B$3=$K$2, Tabella3[[#This Row],[GIO]]="X"), "X", IF(AND('Inserimento dati'!$B$3=$L$2, Tabella3[[#This Row],[VEN]]="X"), "X","")))))</f>
        <v/>
      </c>
      <c r="U367" s="93" t="n"/>
      <c r="V367" t="inlineStr">
        <is>
          <t>2025-09-30 20:00:00</t>
        </is>
      </c>
    </row>
    <row r="368" ht="45" customFormat="1" customHeight="1" s="45">
      <c r="A368" s="112" t="n"/>
      <c r="B368" s="112" t="n"/>
      <c r="C368" s="112">
        <f>IF(OR(Tabella3[[#This Row],[LUN]]="X",Tabella3[[#This Row],[MAR]]="X",Tabella3[[#This Row],[MER]]="X",Tabella3[[#This Row],[GIO]]="X",Tabella3[[#This Row],[VEN]]="X",),"X","")</f>
        <v/>
      </c>
      <c r="D368" s="113" t="inlineStr">
        <is>
          <t>AREA 3</t>
        </is>
      </c>
      <c r="E368" s="109" t="inlineStr">
        <is>
          <t>552839/C</t>
        </is>
      </c>
      <c r="F368" s="109" t="n">
        <v>1200</v>
      </c>
      <c r="G368" s="109" t="inlineStr">
        <is>
          <t>Avviso 10217843-Imp.1200/3 (linee degasaggio)-Controllo funzionalita' F901T(Port vap eiet CLAUS L 3),F902T('Port SW gas da CLAUS L3),X901V(Valvola CLAUS L3) T901I(Temp vap eiet CLAUS L 3); interfacciarsi con sala controllo prima della taratura</t>
        </is>
      </c>
      <c r="H368" s="111" t="n"/>
      <c r="I368" s="111" t="n"/>
      <c r="J368" s="111" t="n"/>
      <c r="K368" s="111" t="n"/>
      <c r="L368" s="111" t="n"/>
      <c r="M368" s="109" t="inlineStr">
        <is>
          <t>EMESSO</t>
        </is>
      </c>
      <c r="N368" s="109" t="n"/>
      <c r="O368" s="109" t="n"/>
      <c r="P368" s="109" t="n"/>
      <c r="Q368" s="109" t="n"/>
      <c r="R368" s="110" t="n"/>
      <c r="S368" s="109" t="n"/>
      <c r="T368" s="114">
        <f>IF(AND('Inserimento dati'!$B$3=$H$2, Tabella3[[#This Row],[LUN]]="X"), "X",IF(AND('Inserimento dati'!$B$3=$I$2, Tabella3[[#This Row],[MAR]]="X"), "X", IF(AND('Inserimento dati'!$B$3=$J$2, Tabella3[[#This Row],[MER]]="X"), "X",IF(AND('Inserimento dati'!$B$3=$K$2, Tabella3[[#This Row],[GIO]]="X"), "X", IF(AND('Inserimento dati'!$B$3=$L$2, Tabella3[[#This Row],[VEN]]="X"), "X","")))))</f>
        <v/>
      </c>
      <c r="U368" s="93" t="n"/>
      <c r="V368" t="inlineStr">
        <is>
          <t>2025-09-30 20:00:00</t>
        </is>
      </c>
    </row>
    <row r="369" ht="23.25" customFormat="1" customHeight="1" s="45">
      <c r="A369" s="112" t="n"/>
      <c r="B369" s="112" t="n"/>
      <c r="C369" s="112">
        <f>IF(OR(Tabella3[[#This Row],[LUN]]="X",Tabella3[[#This Row],[MAR]]="X",Tabella3[[#This Row],[MER]]="X",Tabella3[[#This Row],[GIO]]="X",Tabella3[[#This Row],[VEN]]="X",),"X","")</f>
        <v/>
      </c>
      <c r="D369" s="113" t="inlineStr">
        <is>
          <t>AREA 3</t>
        </is>
      </c>
      <c r="E369" s="109" t="inlineStr">
        <is>
          <t>552855/C</t>
        </is>
      </c>
      <c r="F369" s="109" t="n">
        <v>700</v>
      </c>
      <c r="G369" s="109" t="inlineStr">
        <is>
          <t>10231088  700: RIPRISTINO CHIUSURA STAGNA CASSETTA STRUMENTALE</t>
        </is>
      </c>
      <c r="H369" s="111" t="n"/>
      <c r="I369" s="111" t="inlineStr">
        <is>
          <t>X</t>
        </is>
      </c>
      <c r="J369" s="111" t="inlineStr">
        <is>
          <t>X</t>
        </is>
      </c>
      <c r="K369" s="111" t="inlineStr">
        <is>
          <t>X</t>
        </is>
      </c>
      <c r="L369" s="111" t="inlineStr">
        <is>
          <t>X</t>
        </is>
      </c>
      <c r="M369" s="109" t="inlineStr">
        <is>
          <t>EMESSO</t>
        </is>
      </c>
      <c r="N369" s="109" t="n"/>
      <c r="O369" s="109" t="n"/>
      <c r="P369" s="109" t="n"/>
      <c r="Q369" s="109" t="n"/>
      <c r="R369" s="110" t="n"/>
      <c r="S369" s="109" t="n"/>
      <c r="T369" s="114">
        <f>IF(AND('Inserimento dati'!$B$3=$H$2, Tabella3[[#This Row],[LUN]]="X"), "X",IF(AND('Inserimento dati'!$B$3=$I$2, Tabella3[[#This Row],[MAR]]="X"), "X", IF(AND('Inserimento dati'!$B$3=$J$2, Tabella3[[#This Row],[MER]]="X"), "X",IF(AND('Inserimento dati'!$B$3=$K$2, Tabella3[[#This Row],[GIO]]="X"), "X", IF(AND('Inserimento dati'!$B$3=$L$2, Tabella3[[#This Row],[VEN]]="X"), "X","")))))</f>
        <v/>
      </c>
      <c r="U369" s="93" t="n"/>
      <c r="V369" t="inlineStr">
        <is>
          <t>2025-09-30 20:00:00</t>
        </is>
      </c>
    </row>
    <row r="370" ht="23.25" customFormat="1" customHeight="1" s="45">
      <c r="A370" s="112" t="n"/>
      <c r="B370" s="112" t="n"/>
      <c r="C370" s="112">
        <f>IF(OR(Tabella3[[#This Row],[LUN]]="X",Tabella3[[#This Row],[MAR]]="X",Tabella3[[#This Row],[MER]]="X",Tabella3[[#This Row],[GIO]]="X",Tabella3[[#This Row],[VEN]]="X",),"X","")</f>
        <v/>
      </c>
      <c r="D370" s="113" t="inlineStr">
        <is>
          <t>AREA 3</t>
        </is>
      </c>
      <c r="E370" s="109" t="inlineStr">
        <is>
          <t>552461/C</t>
        </is>
      </c>
      <c r="F370" s="109" t="n">
        <v>700</v>
      </c>
      <c r="G370" s="109" t="inlineStr">
        <is>
          <t>10230879 700 F035RC CONTROLLO FUNZIONALE</t>
        </is>
      </c>
      <c r="H370" s="111" t="inlineStr">
        <is>
          <t>X</t>
        </is>
      </c>
      <c r="I370" s="111" t="inlineStr">
        <is>
          <t>X</t>
        </is>
      </c>
      <c r="J370" s="111" t="n"/>
      <c r="K370" s="111" t="n"/>
      <c r="L370" s="111" t="n"/>
      <c r="M370" s="109" t="inlineStr">
        <is>
          <t>EMESSO</t>
        </is>
      </c>
      <c r="N370" s="109" t="n"/>
      <c r="O370" s="109" t="n"/>
      <c r="P370" s="109" t="n"/>
      <c r="Q370" s="109" t="n"/>
      <c r="R370" s="110" t="n"/>
      <c r="S370" s="109" t="n"/>
      <c r="T370" s="114">
        <f>IF(AND('Inserimento dati'!$B$3=$H$2, Tabella3[[#This Row],[LUN]]="X"), "X",IF(AND('Inserimento dati'!$B$3=$I$2, Tabella3[[#This Row],[MAR]]="X"), "X", IF(AND('Inserimento dati'!$B$3=$J$2, Tabella3[[#This Row],[MER]]="X"), "X",IF(AND('Inserimento dati'!$B$3=$K$2, Tabella3[[#This Row],[GIO]]="X"), "X", IF(AND('Inserimento dati'!$B$3=$L$2, Tabella3[[#This Row],[VEN]]="X"), "X","")))))</f>
        <v/>
      </c>
      <c r="U370" s="93" t="n"/>
      <c r="V370" t="inlineStr">
        <is>
          <t>2025-09-30 20:00:00</t>
        </is>
      </c>
    </row>
    <row r="371" ht="23.25" customFormat="1" customHeight="1" s="45">
      <c r="A371" s="112" t="n"/>
      <c r="B371" s="112" t="n"/>
      <c r="C371" s="112">
        <f>IF(OR(Tabella3[[#This Row],[LUN]]="X",Tabella3[[#This Row],[MAR]]="X",Tabella3[[#This Row],[MER]]="X",Tabella3[[#This Row],[GIO]]="X",Tabella3[[#This Row],[VEN]]="X",),"X","")</f>
        <v/>
      </c>
      <c r="D371" s="113" t="inlineStr">
        <is>
          <t>AREA 3</t>
        </is>
      </c>
      <c r="E371" s="109" t="inlineStr">
        <is>
          <t>552926/C</t>
        </is>
      </c>
      <c r="F371" s="109" t="inlineStr">
        <is>
          <t>2200 BD</t>
        </is>
      </c>
      <c r="G371" s="109" t="inlineStr">
        <is>
          <t>10231166  RIPR 22L515HA E 22L515HH</t>
        </is>
      </c>
      <c r="H371" s="111" t="inlineStr">
        <is>
          <t>X</t>
        </is>
      </c>
      <c r="I371" s="111" t="inlineStr">
        <is>
          <t>X</t>
        </is>
      </c>
      <c r="J371" s="111" t="n"/>
      <c r="K371" s="111" t="n"/>
      <c r="L371" s="111" t="n"/>
      <c r="M371" s="109" t="inlineStr">
        <is>
          <t>EMESSO</t>
        </is>
      </c>
      <c r="N371" s="109" t="n"/>
      <c r="O371" s="109" t="n"/>
      <c r="P371" s="109" t="n"/>
      <c r="Q371" s="109" t="n"/>
      <c r="R371" s="110" t="n"/>
      <c r="S371" s="109" t="n"/>
      <c r="T371" s="114">
        <f>IF(AND('Inserimento dati'!$B$3=$H$2, Tabella3[[#This Row],[LUN]]="X"), "X",IF(AND('Inserimento dati'!$B$3=$I$2, Tabella3[[#This Row],[MAR]]="X"), "X", IF(AND('Inserimento dati'!$B$3=$J$2, Tabella3[[#This Row],[MER]]="X"), "X",IF(AND('Inserimento dati'!$B$3=$K$2, Tabella3[[#This Row],[GIO]]="X"), "X", IF(AND('Inserimento dati'!$B$3=$L$2, Tabella3[[#This Row],[VEN]]="X"), "X","")))))</f>
        <v/>
      </c>
      <c r="U371" s="93" t="n"/>
      <c r="V371" t="inlineStr">
        <is>
          <t>2025-09-30 20:00:00</t>
        </is>
      </c>
    </row>
    <row r="372" ht="23.25" customFormat="1" customHeight="1" s="45">
      <c r="A372" s="112" t="n"/>
      <c r="B372" s="112" t="n"/>
      <c r="C372" s="112">
        <f>IF(OR(Tabella3[[#This Row],[LUN]]="X",Tabella3[[#This Row],[MAR]]="X",Tabella3[[#This Row],[MER]]="X",Tabella3[[#This Row],[GIO]]="X",Tabella3[[#This Row],[VEN]]="X",),"X","")</f>
        <v/>
      </c>
      <c r="D372" s="113" t="inlineStr">
        <is>
          <t>AREA 3</t>
        </is>
      </c>
      <c r="E372" s="109" t="inlineStr">
        <is>
          <t>546791/C</t>
        </is>
      </c>
      <c r="F372" s="109" t="n">
        <v>1800</v>
      </c>
      <c r="G372" s="109" t="inlineStr">
        <is>
          <t>10228396  1800: 18F007RC ripristino funzionalit</t>
        </is>
      </c>
      <c r="H372" s="111" t="inlineStr">
        <is>
          <t>X</t>
        </is>
      </c>
      <c r="I372" s="111" t="n"/>
      <c r="J372" s="111" t="n"/>
      <c r="K372" s="111" t="n"/>
      <c r="L372" s="111" t="n"/>
      <c r="M372" s="109" t="inlineStr">
        <is>
          <t>EMESSO</t>
        </is>
      </c>
      <c r="N372" s="109" t="n"/>
      <c r="O372" s="109" t="n"/>
      <c r="P372" s="109" t="n"/>
      <c r="Q372" s="109" t="n"/>
      <c r="R372" s="110" t="n"/>
      <c r="S372" s="109" t="n"/>
      <c r="T372" s="114">
        <f>IF(AND('Inserimento dati'!$B$3=$H$2, Tabella3[[#This Row],[LUN]]="X"), "X",IF(AND('Inserimento dati'!$B$3=$I$2, Tabella3[[#This Row],[MAR]]="X"), "X", IF(AND('Inserimento dati'!$B$3=$J$2, Tabella3[[#This Row],[MER]]="X"), "X",IF(AND('Inserimento dati'!$B$3=$K$2, Tabella3[[#This Row],[GIO]]="X"), "X", IF(AND('Inserimento dati'!$B$3=$L$2, Tabella3[[#This Row],[VEN]]="X"), "X","")))))</f>
        <v/>
      </c>
      <c r="U372" s="93">
        <f>IFERROR(MID(G372,_xlfn.AGGREGATE(15,6,(ROW(INDIRECT("1:"&amp;LEN(G372)-7)))/(ISNUMBER(--MID(G372,ROW(INDIRECT("1:"&amp;LEN(G372)-7)),8))),1),8),"")</f>
        <v/>
      </c>
      <c r="V372" t="inlineStr">
        <is>
          <t>2025-09-30 20:00:00</t>
        </is>
      </c>
    </row>
    <row r="373" ht="23.25" customFormat="1" customHeight="1" s="45">
      <c r="A373" s="112" t="n"/>
      <c r="B373" s="112" t="n"/>
      <c r="C373" s="112">
        <f>IF(OR(Tabella3[[#This Row],[LUN]]="X",Tabella3[[#This Row],[MAR]]="X",Tabella3[[#This Row],[MER]]="X",Tabella3[[#This Row],[GIO]]="X",Tabella3[[#This Row],[VEN]]="X",),"X","")</f>
        <v/>
      </c>
      <c r="D373" s="113" t="inlineStr">
        <is>
          <t>AREA 3</t>
        </is>
      </c>
      <c r="E373" s="109" t="inlineStr">
        <is>
          <t>552275/C</t>
        </is>
      </c>
      <c r="F373" s="109" t="inlineStr">
        <is>
          <t>700A</t>
        </is>
      </c>
      <c r="G373" s="109" t="inlineStr">
        <is>
          <t>700A ripristino segnali JBTH6 CON SOSTITUZIONE CAVI E PASSERELLE</t>
        </is>
      </c>
      <c r="H373" s="111" t="inlineStr">
        <is>
          <t>X</t>
        </is>
      </c>
      <c r="I373" s="111" t="inlineStr">
        <is>
          <t>X</t>
        </is>
      </c>
      <c r="J373" s="111" t="inlineStr">
        <is>
          <t>X</t>
        </is>
      </c>
      <c r="K373" s="111" t="inlineStr">
        <is>
          <t>X</t>
        </is>
      </c>
      <c r="L373" s="111" t="inlineStr">
        <is>
          <t>X</t>
        </is>
      </c>
      <c r="M373" s="109" t="inlineStr">
        <is>
          <t>EMESSO</t>
        </is>
      </c>
      <c r="N373" s="109" t="n"/>
      <c r="O373" s="109" t="n"/>
      <c r="P373" s="109" t="n"/>
      <c r="Q373" s="109" t="n"/>
      <c r="R373" s="110" t="n"/>
      <c r="S373" s="109" t="n"/>
      <c r="T373" s="114">
        <f>IF(AND('Inserimento dati'!$B$3=$H$2, Tabella3[[#This Row],[LUN]]="X"), "X",IF(AND('Inserimento dati'!$B$3=$I$2, Tabella3[[#This Row],[MAR]]="X"), "X", IF(AND('Inserimento dati'!$B$3=$J$2, Tabella3[[#This Row],[MER]]="X"), "X",IF(AND('Inserimento dati'!$B$3=$K$2, Tabella3[[#This Row],[GIO]]="X"), "X", IF(AND('Inserimento dati'!$B$3=$L$2, Tabella3[[#This Row],[VEN]]="X"), "X","")))))</f>
        <v/>
      </c>
      <c r="U373" s="93" t="n"/>
      <c r="V373" t="inlineStr">
        <is>
          <t>2025-09-30 20:00:00</t>
        </is>
      </c>
    </row>
    <row r="374" ht="23.25" customFormat="1" customHeight="1" s="45">
      <c r="A374" s="112" t="n"/>
      <c r="B374" s="112" t="n"/>
      <c r="C374" s="112">
        <f>IF(OR(Tabella3[[#This Row],[LUN]]="X",Tabella3[[#This Row],[MAR]]="X",Tabella3[[#This Row],[MER]]="X",Tabella3[[#This Row],[GIO]]="X",Tabella3[[#This Row],[VEN]]="X",),"X","")</f>
        <v/>
      </c>
      <c r="D374" s="113" t="inlineStr">
        <is>
          <t>AREA 3</t>
        </is>
      </c>
      <c r="E374" s="109" t="inlineStr">
        <is>
          <t>550408/C</t>
        </is>
      </c>
      <c r="F374" s="109" t="n">
        <v>1200</v>
      </c>
      <c r="G374" s="109" t="inlineStr">
        <is>
          <t xml:space="preserve"> 1200-MAX  E OFF SITE CONTROLLO  RIPRISTINO E MOVIMENTAZIONE  KV e HIC. </t>
        </is>
      </c>
      <c r="H374" s="111" t="inlineStr">
        <is>
          <t>X</t>
        </is>
      </c>
      <c r="I374" s="111" t="inlineStr">
        <is>
          <t>X</t>
        </is>
      </c>
      <c r="J374" s="111" t="n"/>
      <c r="K374" s="111" t="n"/>
      <c r="L374" s="111" t="n"/>
      <c r="M374" s="109" t="inlineStr">
        <is>
          <t>EMESSO</t>
        </is>
      </c>
      <c r="N374" s="109" t="n"/>
      <c r="O374" s="109" t="n"/>
      <c r="P374" s="109" t="n"/>
      <c r="Q374" s="109" t="inlineStr">
        <is>
          <t>FORZATA IN APERTURA KV805</t>
        </is>
      </c>
      <c r="R374" s="110" t="n">
        <v>45915</v>
      </c>
      <c r="S374" s="109" t="inlineStr">
        <is>
          <t>MILLO</t>
        </is>
      </c>
      <c r="T374" s="114">
        <f>IF(AND('Inserimento dati'!$B$3=$H$2, Tabella3[[#This Row],[LUN]]="X"), "X",IF(AND('Inserimento dati'!$B$3=$I$2, Tabella3[[#This Row],[MAR]]="X"), "X", IF(AND('Inserimento dati'!$B$3=$J$2, Tabella3[[#This Row],[MER]]="X"), "X",IF(AND('Inserimento dati'!$B$3=$K$2, Tabella3[[#This Row],[GIO]]="X"), "X", IF(AND('Inserimento dati'!$B$3=$L$2, Tabella3[[#This Row],[VEN]]="X"), "X","")))))</f>
        <v/>
      </c>
      <c r="U374" s="93">
        <f>IFERROR(MID(G374,_xlfn.AGGREGATE(15,6,(ROW(INDIRECT("1:"&amp;LEN(G374)-7)))/(ISNUMBER(--MID(G374,ROW(INDIRECT("1:"&amp;LEN(G374)-7)),8))),1),8),"")</f>
        <v/>
      </c>
      <c r="V374" t="inlineStr">
        <is>
          <t>2025-09-30 20:00:00</t>
        </is>
      </c>
    </row>
    <row r="375" ht="23.25" customFormat="1" customHeight="1" s="45">
      <c r="A375" s="112" t="n"/>
      <c r="B375" s="112" t="n"/>
      <c r="C375" s="112">
        <f>IF(OR(Tabella3[[#This Row],[LUN]]="X",Tabella3[[#This Row],[MAR]]="X",Tabella3[[#This Row],[MER]]="X",Tabella3[[#This Row],[GIO]]="X",Tabella3[[#This Row],[VEN]]="X",),"X","")</f>
        <v/>
      </c>
      <c r="D375" s="113" t="inlineStr">
        <is>
          <t>AREA 3</t>
        </is>
      </c>
      <c r="E375" s="109" t="inlineStr">
        <is>
          <t>549852/C</t>
        </is>
      </c>
      <c r="F375" s="109" t="n">
        <v>1200</v>
      </c>
      <c r="G375" s="109" t="inlineStr">
        <is>
          <t>10229855  1200: Z0H967BIC controllo e ripristino</t>
        </is>
      </c>
      <c r="H375" s="111" t="inlineStr">
        <is>
          <t>X</t>
        </is>
      </c>
      <c r="I375" s="111" t="inlineStr">
        <is>
          <t>X</t>
        </is>
      </c>
      <c r="J375" s="111" t="n"/>
      <c r="K375" s="111" t="n"/>
      <c r="L375" s="111" t="n"/>
      <c r="M375" s="109" t="inlineStr">
        <is>
          <t>EMESSO</t>
        </is>
      </c>
      <c r="N375" s="109" t="n"/>
      <c r="O375" s="109" t="n"/>
      <c r="P375" s="109" t="n"/>
      <c r="Q375" s="109" t="n"/>
      <c r="R375" s="110" t="n"/>
      <c r="S375" s="109" t="n"/>
      <c r="T375" s="114">
        <f>IF(AND('Inserimento dati'!$B$3=$H$2, Tabella3[[#This Row],[LUN]]="X"), "X",IF(AND('Inserimento dati'!$B$3=$I$2, Tabella3[[#This Row],[MAR]]="X"), "X", IF(AND('Inserimento dati'!$B$3=$J$2, Tabella3[[#This Row],[MER]]="X"), "X",IF(AND('Inserimento dati'!$B$3=$K$2, Tabella3[[#This Row],[GIO]]="X"), "X", IF(AND('Inserimento dati'!$B$3=$L$2, Tabella3[[#This Row],[VEN]]="X"), "X","")))))</f>
        <v/>
      </c>
      <c r="U375" s="93">
        <f>IFERROR(MID(G375,_xlfn.AGGREGATE(15,6,(ROW(INDIRECT("1:"&amp;LEN(G375)-7)))/(ISNUMBER(--MID(G375,ROW(INDIRECT("1:"&amp;LEN(G375)-7)),8))),1),8),"")</f>
        <v/>
      </c>
      <c r="V375" t="inlineStr">
        <is>
          <t>2025-09-30 20:00:00</t>
        </is>
      </c>
    </row>
    <row r="376" ht="23.25" customFormat="1" customHeight="1" s="45">
      <c r="A376" s="112" t="n"/>
      <c r="B376" s="112" t="n"/>
      <c r="C376" s="112">
        <f>IF(OR(Tabella3[[#This Row],[LUN]]="X",Tabella3[[#This Row],[MAR]]="X",Tabella3[[#This Row],[MER]]="X",Tabella3[[#This Row],[GIO]]="X",Tabella3[[#This Row],[VEN]]="X",),"X","")</f>
        <v/>
      </c>
      <c r="D376" s="113" t="inlineStr">
        <is>
          <t>AREA 3</t>
        </is>
      </c>
      <c r="E376" s="109" t="inlineStr">
        <is>
          <t>552932/C</t>
        </is>
      </c>
      <c r="F376" s="109" t="inlineStr">
        <is>
          <t>2200 BD</t>
        </is>
      </c>
      <c r="G376" s="109" t="inlineStr">
        <is>
          <t xml:space="preserve">10231165. 07F220BR  ripristino del misuratore di portata Testa Splitter + Taglio laterale  </t>
        </is>
      </c>
      <c r="H376" s="111" t="n"/>
      <c r="I376" s="111" t="n"/>
      <c r="J376" s="111" t="n"/>
      <c r="K376" s="111" t="n"/>
      <c r="L376" s="111" t="n"/>
      <c r="M376" s="109" t="inlineStr">
        <is>
          <t>EMESSO</t>
        </is>
      </c>
      <c r="N376" s="109" t="n"/>
      <c r="O376" s="109" t="n"/>
      <c r="P376" s="109" t="n"/>
      <c r="Q376" s="109" t="n"/>
      <c r="R376" s="110" t="n"/>
      <c r="S376" s="109" t="n"/>
      <c r="T376" s="114">
        <f>IF(AND('Inserimento dati'!$B$3=$H$2, Tabella3[[#This Row],[LUN]]="X"), "X",IF(AND('Inserimento dati'!$B$3=$I$2, Tabella3[[#This Row],[MAR]]="X"), "X", IF(AND('Inserimento dati'!$B$3=$J$2, Tabella3[[#This Row],[MER]]="X"), "X",IF(AND('Inserimento dati'!$B$3=$K$2, Tabella3[[#This Row],[GIO]]="X"), "X", IF(AND('Inserimento dati'!$B$3=$L$2, Tabella3[[#This Row],[VEN]]="X"), "X","")))))</f>
        <v/>
      </c>
      <c r="U376" s="93" t="n"/>
      <c r="V376" t="inlineStr">
        <is>
          <t>2025-09-30 20:00:00</t>
        </is>
      </c>
    </row>
    <row r="377" ht="23.25" customFormat="1" customHeight="1" s="45">
      <c r="A377" s="112" t="n"/>
      <c r="B377" s="112" t="n"/>
      <c r="C377" s="112">
        <f>IF(OR(Tabella3[[#This Row],[LUN]]="X",Tabella3[[#This Row],[MAR]]="X",Tabella3[[#This Row],[MER]]="X",Tabella3[[#This Row],[GIO]]="X",Tabella3[[#This Row],[VEN]]="X",),"X","")</f>
        <v/>
      </c>
      <c r="D377" s="113" t="inlineStr">
        <is>
          <t>AREA 3</t>
        </is>
      </c>
      <c r="E377" s="109" t="inlineStr">
        <is>
          <t>552464/C</t>
        </is>
      </c>
      <c r="F377" s="109" t="n">
        <v>700</v>
      </c>
      <c r="G377" s="109" t="inlineStr">
        <is>
          <t>10230880 700 P018RC CONTROLLO FUNZIONALE</t>
        </is>
      </c>
      <c r="H377" s="111" t="n"/>
      <c r="I377" s="111" t="n"/>
      <c r="J377" s="111" t="n"/>
      <c r="K377" s="111" t="n"/>
      <c r="L377" s="111" t="n"/>
      <c r="M377" s="109" t="inlineStr">
        <is>
          <t>EMESSO</t>
        </is>
      </c>
      <c r="N377" s="109" t="n"/>
      <c r="O377" s="109" t="n"/>
      <c r="P377" s="109" t="n"/>
      <c r="Q377" s="109" t="n"/>
      <c r="R377" s="110" t="n"/>
      <c r="S377" s="109" t="n"/>
      <c r="T377" s="114">
        <f>IF(AND('Inserimento dati'!$B$3=$H$2, Tabella3[[#This Row],[LUN]]="X"), "X",IF(AND('Inserimento dati'!$B$3=$I$2, Tabella3[[#This Row],[MAR]]="X"), "X", IF(AND('Inserimento dati'!$B$3=$J$2, Tabella3[[#This Row],[MER]]="X"), "X",IF(AND('Inserimento dati'!$B$3=$K$2, Tabella3[[#This Row],[GIO]]="X"), "X", IF(AND('Inserimento dati'!$B$3=$L$2, Tabella3[[#This Row],[VEN]]="X"), "X","")))))</f>
        <v/>
      </c>
      <c r="U377" s="93" t="n"/>
      <c r="V377" t="inlineStr">
        <is>
          <t>2025-09-30 20:00:00</t>
        </is>
      </c>
    </row>
    <row r="378" ht="30" customFormat="1" customHeight="1" s="45">
      <c r="A378" s="112" t="n"/>
      <c r="B378" s="112" t="n"/>
      <c r="C378" s="112">
        <f>IF(OR(Tabella3[[#This Row],[LUN]]="X",Tabella3[[#This Row],[MAR]]="X",Tabella3[[#This Row],[MER]]="X",Tabella3[[#This Row],[GIO]]="X",Tabella3[[#This Row],[VEN]]="X",),"X","")</f>
        <v/>
      </c>
      <c r="D378" s="113" t="inlineStr">
        <is>
          <t>AREA 3</t>
        </is>
      </c>
      <c r="E378" s="109" t="inlineStr">
        <is>
          <t>550722/C</t>
        </is>
      </c>
      <c r="F378" s="109" t="n">
        <v>700</v>
      </c>
      <c r="G378" s="109" t="inlineStr">
        <is>
          <t>10230202   700: MTZ 07L018HA controllo funzionale</t>
        </is>
      </c>
      <c r="H378" s="111" t="n"/>
      <c r="I378" s="111" t="n"/>
      <c r="J378" s="111" t="n"/>
      <c r="K378" s="111" t="n"/>
      <c r="L378" s="111" t="n"/>
      <c r="M378" s="109" t="inlineStr">
        <is>
          <t>INTERROTTO</t>
        </is>
      </c>
      <c r="N378" s="109" t="n"/>
      <c r="O378" s="109" t="n"/>
      <c r="P378" s="109" t="n"/>
      <c r="Q378" s="109" t="inlineStr">
        <is>
          <t>IMPOSSIBILE DA INTERCETTARE E SCARICARE IN QUANTO LE VALVOLE RISULTANO BLOCCATE. PROVATO SOLO ELETTRICAMENTE</t>
        </is>
      </c>
      <c r="R378" s="110" t="n">
        <v>45915</v>
      </c>
      <c r="S378" s="109" t="inlineStr">
        <is>
          <t>TARASCIO</t>
        </is>
      </c>
      <c r="T378" s="114">
        <f>IF(AND('Inserimento dati'!$B$3=$H$2, Tabella3[[#This Row],[LUN]]="X"), "X",IF(AND('Inserimento dati'!$B$3=$I$2, Tabella3[[#This Row],[MAR]]="X"), "X", IF(AND('Inserimento dati'!$B$3=$J$2, Tabella3[[#This Row],[MER]]="X"), "X",IF(AND('Inserimento dati'!$B$3=$K$2, Tabella3[[#This Row],[GIO]]="X"), "X", IF(AND('Inserimento dati'!$B$3=$L$2, Tabella3[[#This Row],[VEN]]="X"), "X","")))))</f>
        <v/>
      </c>
      <c r="U378" s="93" t="n"/>
      <c r="V378" t="inlineStr">
        <is>
          <t>2025-09-30 20:00:00</t>
        </is>
      </c>
    </row>
    <row r="379" ht="30" customFormat="1" customHeight="1" s="45">
      <c r="A379" s="112" t="n"/>
      <c r="B379" s="112" t="n"/>
      <c r="C379" s="112">
        <f>IF(OR(Tabella3[[#This Row],[LUN]]="X",Tabella3[[#This Row],[MAR]]="X",Tabella3[[#This Row],[MER]]="X",Tabella3[[#This Row],[GIO]]="X",Tabella3[[#This Row],[VEN]]="X",),"X","")</f>
        <v/>
      </c>
      <c r="D379" s="113" t="inlineStr">
        <is>
          <t>AREA 3</t>
        </is>
      </c>
      <c r="E379" s="109" t="inlineStr">
        <is>
          <t>550723/C</t>
        </is>
      </c>
      <c r="F379" s="109" t="n">
        <v>700</v>
      </c>
      <c r="G379" s="109" t="inlineStr">
        <is>
          <t>10230203   700: MTZ 07L002HA controllo funzionale</t>
        </is>
      </c>
      <c r="H379" s="111" t="n"/>
      <c r="I379" s="111" t="n"/>
      <c r="J379" s="111" t="n"/>
      <c r="K379" s="111" t="n"/>
      <c r="L379" s="111" t="n"/>
      <c r="M379" s="109" t="inlineStr">
        <is>
          <t>INTERROTTO</t>
        </is>
      </c>
      <c r="N379" s="109" t="n"/>
      <c r="O379" s="109" t="n"/>
      <c r="P379" s="109" t="n"/>
      <c r="Q379" s="109" t="inlineStr">
        <is>
          <t>IMPOSSIBILE DA INTERCETTARE E SCARICARE IN QUANTO LE VALVOLE RISULTANO BLOCCATE. PROVATO SOLO ELETTRICAMENTE</t>
        </is>
      </c>
      <c r="R379" s="110" t="n">
        <v>45915</v>
      </c>
      <c r="S379" s="109" t="inlineStr">
        <is>
          <t>TARASCIO</t>
        </is>
      </c>
      <c r="T379" s="114">
        <f>IF(AND('Inserimento dati'!$B$3=$H$2, Tabella3[[#This Row],[LUN]]="X"), "X",IF(AND('Inserimento dati'!$B$3=$I$2, Tabella3[[#This Row],[MAR]]="X"), "X", IF(AND('Inserimento dati'!$B$3=$J$2, Tabella3[[#This Row],[MER]]="X"), "X",IF(AND('Inserimento dati'!$B$3=$K$2, Tabella3[[#This Row],[GIO]]="X"), "X", IF(AND('Inserimento dati'!$B$3=$L$2, Tabella3[[#This Row],[VEN]]="X"), "X","")))))</f>
        <v/>
      </c>
      <c r="U379" s="93" t="n"/>
      <c r="V379" t="inlineStr">
        <is>
          <t>2025-09-30 20:00:00</t>
        </is>
      </c>
    </row>
    <row r="380" ht="30" customFormat="1" customHeight="1" s="45">
      <c r="A380" s="112" t="n"/>
      <c r="B380" s="112" t="n"/>
      <c r="C380" s="112">
        <f>IF(OR(Tabella3[[#This Row],[LUN]]="X",Tabella3[[#This Row],[MAR]]="X",Tabella3[[#This Row],[MER]]="X",Tabella3[[#This Row],[GIO]]="X",Tabella3[[#This Row],[VEN]]="X",),"X","")</f>
        <v/>
      </c>
      <c r="D380" s="113" t="inlineStr">
        <is>
          <t>AREA 3</t>
        </is>
      </c>
      <c r="E380" s="109" t="inlineStr">
        <is>
          <t>548303/C</t>
        </is>
      </c>
      <c r="F380" s="109" t="n">
        <v>1100</v>
      </c>
      <c r="G380" s="109" t="inlineStr">
        <is>
          <t>10229177-10229176 -  1100- misuratori di portata 11F011-11F012</t>
        </is>
      </c>
      <c r="H380" s="111" t="n"/>
      <c r="I380" s="111" t="n"/>
      <c r="J380" s="111" t="n"/>
      <c r="K380" s="111" t="n"/>
      <c r="L380" s="111" t="n"/>
      <c r="M380" s="109" t="inlineStr">
        <is>
          <t>INTERROTTO</t>
        </is>
      </c>
      <c r="N380" s="109" t="n"/>
      <c r="O380" s="109" t="n"/>
      <c r="P380" s="109" t="n"/>
      <c r="Q380" s="109" t="inlineStr">
        <is>
          <t>EFFETTUATA ASSISTENZA PONTEROSSO PER SCOVOLATURA PRESE DI RADICI F012 EFFETTUATA PRESA VISIONE PONTEGGIO F011.</t>
        </is>
      </c>
      <c r="R380" s="110" t="n">
        <v>45917</v>
      </c>
      <c r="S380" s="109" t="inlineStr">
        <is>
          <t>TARASCIO</t>
        </is>
      </c>
      <c r="T380" s="114">
        <f>IF(AND('Inserimento dati'!$B$3=$H$2, Tabella3[[#This Row],[LUN]]="X"), "X",IF(AND('Inserimento dati'!$B$3=$I$2, Tabella3[[#This Row],[MAR]]="X"), "X", IF(AND('Inserimento dati'!$B$3=$J$2, Tabella3[[#This Row],[MER]]="X"), "X",IF(AND('Inserimento dati'!$B$3=$K$2, Tabella3[[#This Row],[GIO]]="X"), "X", IF(AND('Inserimento dati'!$B$3=$L$2, Tabella3[[#This Row],[VEN]]="X"), "X","")))))</f>
        <v/>
      </c>
      <c r="U380" s="93">
        <f>IFERROR(MID(G380,_xlfn.AGGREGATE(15,6,(ROW(INDIRECT("1:"&amp;LEN(G380)-7)))/(ISNUMBER(--MID(G380,ROW(INDIRECT("1:"&amp;LEN(G380)-7)),8))),1),8),"")</f>
        <v/>
      </c>
      <c r="V380" t="inlineStr">
        <is>
          <t>2025-09-30 20:00:00</t>
        </is>
      </c>
    </row>
    <row r="381" ht="60" customFormat="1" customHeight="1" s="45">
      <c r="A381" s="112" t="n"/>
      <c r="B381" s="112" t="n"/>
      <c r="C381" s="112">
        <f>IF(OR(Tabella3[[#This Row],[LUN]]="X",Tabella3[[#This Row],[MAR]]="X",Tabella3[[#This Row],[MER]]="X",Tabella3[[#This Row],[GIO]]="X",Tabella3[[#This Row],[VEN]]="X",),"X","")</f>
        <v/>
      </c>
      <c r="D381" s="113" t="inlineStr">
        <is>
          <t>AREA 3</t>
        </is>
      </c>
      <c r="E381" s="109" t="inlineStr">
        <is>
          <t>551179/C</t>
        </is>
      </c>
      <c r="F381" s="109" t="n">
        <v>1200</v>
      </c>
      <c r="G381" s="109" t="inlineStr">
        <is>
          <t>1200/3 controllo livelli caldaia F101 L401RC - L402SL</t>
        </is>
      </c>
      <c r="H381" s="111" t="n"/>
      <c r="I381" s="111" t="n"/>
      <c r="J381" s="111" t="n"/>
      <c r="K381" s="111" t="n"/>
      <c r="L381" s="111" t="n"/>
      <c r="M381" s="109" t="inlineStr">
        <is>
          <t>INTERROTTO</t>
        </is>
      </c>
      <c r="N381" s="109" t="n"/>
      <c r="O381" s="109" t="n"/>
      <c r="P381" s="109" t="n"/>
      <c r="Q381" s="109" t="inlineStr">
        <is>
          <t xml:space="preserve">L402SL NESSUNA ANOMALIA RISCONTRATA. L401RC ABBIAMO RISCONTRATO UNA PERDITA SUL NIPLES DEL BARILOTTO NECESSITA INTERVENTO CARPENTIERE CANTIERE SUD,PER ELIMINAZIONE PERDITA. </t>
        </is>
      </c>
      <c r="R381" s="110" t="n">
        <v>45916</v>
      </c>
      <c r="S381" s="109" t="inlineStr">
        <is>
          <t>TARASCIO</t>
        </is>
      </c>
      <c r="T381" s="114">
        <f>IF(AND('Inserimento dati'!$B$3=$H$2, Tabella3[[#This Row],[LUN]]="X"), "X",IF(AND('Inserimento dati'!$B$3=$I$2, Tabella3[[#This Row],[MAR]]="X"), "X", IF(AND('Inserimento dati'!$B$3=$J$2, Tabella3[[#This Row],[MER]]="X"), "X",IF(AND('Inserimento dati'!$B$3=$K$2, Tabella3[[#This Row],[GIO]]="X"), "X", IF(AND('Inserimento dati'!$B$3=$L$2, Tabella3[[#This Row],[VEN]]="X"), "X","")))))</f>
        <v/>
      </c>
      <c r="U381" s="93" t="n"/>
      <c r="V381" t="inlineStr">
        <is>
          <t>2025-09-30 20:00:00</t>
        </is>
      </c>
    </row>
    <row r="382" ht="45" customFormat="1" customHeight="1" s="1">
      <c r="A382" s="112" t="n"/>
      <c r="B382" s="112" t="n"/>
      <c r="C382" s="112">
        <f>IF(OR(Tabella3[[#This Row],[LUN]]="X",Tabella3[[#This Row],[MAR]]="X",Tabella3[[#This Row],[MER]]="X",Tabella3[[#This Row],[GIO]]="X",Tabella3[[#This Row],[VEN]]="X",),"X","")</f>
        <v/>
      </c>
      <c r="D382" s="113" t="inlineStr">
        <is>
          <t>AREA 3</t>
        </is>
      </c>
      <c r="E382" s="109" t="inlineStr">
        <is>
          <t>550531/C</t>
        </is>
      </c>
      <c r="F382" s="109" t="n">
        <v>1200</v>
      </c>
      <c r="G382" s="109" t="inlineStr">
        <is>
          <t>10230145  1200: Z3L301 controllo funzionale</t>
        </is>
      </c>
      <c r="H382" s="111" t="n"/>
      <c r="I382" s="111" t="n"/>
      <c r="J382" s="111" t="n"/>
      <c r="K382" s="111" t="n"/>
      <c r="L382" s="111" t="n"/>
      <c r="M382" s="109" t="inlineStr">
        <is>
          <t>INTERROTTO</t>
        </is>
      </c>
      <c r="N382" s="109" t="n"/>
      <c r="O382" s="109" t="n"/>
      <c r="P382" s="109" t="n"/>
      <c r="Q382" s="109" t="inlineStr">
        <is>
          <t>SERVE PONTEGGIO PER POTER ACCEDERE ALLA TESTINA DI LIVELLO, DA SOSTITUIRE PERMESSO PER ALLEGARE PONTEGGIO ANCORA DA FARE.</t>
        </is>
      </c>
      <c r="R382" s="110" t="n">
        <v>45912</v>
      </c>
      <c r="S382" s="109" t="inlineStr">
        <is>
          <t>TARASCIO</t>
        </is>
      </c>
      <c r="T382" s="114">
        <f>IF(AND('Inserimento dati'!$B$3=$H$2, Tabella3[[#This Row],[LUN]]="X"), "X",IF(AND('Inserimento dati'!$B$3=$I$2, Tabella3[[#This Row],[MAR]]="X"), "X", IF(AND('Inserimento dati'!$B$3=$J$2, Tabella3[[#This Row],[MER]]="X"), "X",IF(AND('Inserimento dati'!$B$3=$K$2, Tabella3[[#This Row],[GIO]]="X"), "X", IF(AND('Inserimento dati'!$B$3=$L$2, Tabella3[[#This Row],[VEN]]="X"), "X","")))))</f>
        <v/>
      </c>
      <c r="U382" s="93">
        <f>IFERROR(MID(G382,_xlfn.AGGREGATE(15,6,(ROW(INDIRECT("1:"&amp;LEN(G382)-7)))/(ISNUMBER(--MID(G382,ROW(INDIRECT("1:"&amp;LEN(G382)-7)),8))),1),8),"")</f>
        <v/>
      </c>
      <c r="V382" t="inlineStr">
        <is>
          <t>2025-09-30 20:00:00</t>
        </is>
      </c>
    </row>
    <row r="383" ht="23.25" customFormat="1" customHeight="1" s="1">
      <c r="A383" s="112" t="n"/>
      <c r="B383" s="112" t="n"/>
      <c r="C383" s="112">
        <f>IF(OR(Tabella3[[#This Row],[LUN]]="X",Tabella3[[#This Row],[MAR]]="X",Tabella3[[#This Row],[MER]]="X",Tabella3[[#This Row],[GIO]]="X",Tabella3[[#This Row],[VEN]]="X",),"X","")</f>
        <v/>
      </c>
      <c r="D383" s="113" t="inlineStr">
        <is>
          <t>AREA 3</t>
        </is>
      </c>
      <c r="E383" s="109" t="inlineStr">
        <is>
          <t>549582/C</t>
        </is>
      </c>
      <c r="F383" s="109" t="n">
        <v>1200</v>
      </c>
      <c r="G383" s="109" t="inlineStr">
        <is>
          <t>1200M-R202   scollegamento termo coppie</t>
        </is>
      </c>
      <c r="H383" s="111" t="n"/>
      <c r="I383" s="111" t="n"/>
      <c r="J383" s="111" t="n"/>
      <c r="K383" s="111" t="n"/>
      <c r="L383" s="111" t="n"/>
      <c r="M383" s="109" t="inlineStr">
        <is>
          <t>INTERROTTO</t>
        </is>
      </c>
      <c r="N383" s="109" t="n"/>
      <c r="O383" s="109" t="n"/>
      <c r="P383" s="109" t="n"/>
      <c r="Q383" s="109" t="inlineStr">
        <is>
          <t>ESEGUITO SCOLLEGAMENTO</t>
        </is>
      </c>
      <c r="R383" s="110" t="n">
        <v>45905</v>
      </c>
      <c r="S383" s="109" t="inlineStr">
        <is>
          <t>TARASCIO</t>
        </is>
      </c>
      <c r="T383" s="114">
        <f>IF(AND('Inserimento dati'!$B$3=$H$2, Tabella3[[#This Row],[LUN]]="X"), "X",IF(AND('Inserimento dati'!$B$3=$I$2, Tabella3[[#This Row],[MAR]]="X"), "X", IF(AND('Inserimento dati'!$B$3=$J$2, Tabella3[[#This Row],[MER]]="X"), "X",IF(AND('Inserimento dati'!$B$3=$K$2, Tabella3[[#This Row],[GIO]]="X"), "X", IF(AND('Inserimento dati'!$B$3=$L$2, Tabella3[[#This Row],[VEN]]="X"), "X","")))))</f>
        <v/>
      </c>
      <c r="U383" s="93">
        <f>IFERROR(MID(G383,_xlfn.AGGREGATE(15,6,(ROW(INDIRECT("1:"&amp;LEN(G383)-7)))/(ISNUMBER(--MID(G383,ROW(INDIRECT("1:"&amp;LEN(G383)-7)),8))),1),8),"")</f>
        <v/>
      </c>
      <c r="V383" t="inlineStr">
        <is>
          <t>2025-09-30 20:00:00</t>
        </is>
      </c>
    </row>
    <row r="384" ht="23.25" customFormat="1" customHeight="1" s="1">
      <c r="A384" s="112" t="n"/>
      <c r="B384" s="112" t="n"/>
      <c r="C384" s="112">
        <f>IF(OR(Tabella3[[#This Row],[LUN]]="X",Tabella3[[#This Row],[MAR]]="X",Tabella3[[#This Row],[MER]]="X",Tabella3[[#This Row],[GIO]]="X",Tabella3[[#This Row],[VEN]]="X",),"X","")</f>
        <v/>
      </c>
      <c r="D384" s="113" t="inlineStr">
        <is>
          <t>AREA 3</t>
        </is>
      </c>
      <c r="E384" s="109" t="inlineStr">
        <is>
          <t>549947/C</t>
        </is>
      </c>
      <c r="F384" s="109" t="n">
        <v>700</v>
      </c>
      <c r="G384" s="109" t="inlineStr">
        <is>
          <t>10229879   10229880   700 F101N  F006RC-F003RC CONTROLLO E RIPRISTINO FUNZIONALE</t>
        </is>
      </c>
      <c r="H384" s="111" t="n"/>
      <c r="I384" s="111" t="n"/>
      <c r="J384" s="111" t="n"/>
      <c r="K384" s="111" t="n"/>
      <c r="L384" s="111" t="n"/>
      <c r="M384" s="109" t="inlineStr">
        <is>
          <t>INTERROTTO</t>
        </is>
      </c>
      <c r="N384" s="109" t="n"/>
      <c r="O384" s="109" t="n"/>
      <c r="P384" s="109" t="n"/>
      <c r="Q384" s="109" t="n"/>
      <c r="R384" s="110" t="n">
        <v>45905</v>
      </c>
      <c r="S384" s="109" t="inlineStr">
        <is>
          <t>TARASCIO</t>
        </is>
      </c>
      <c r="T384" s="114">
        <f>IF(AND('Inserimento dati'!$B$3=$H$2, Tabella3[[#This Row],[LUN]]="X"), "X",IF(AND('Inserimento dati'!$B$3=$I$2, Tabella3[[#This Row],[MAR]]="X"), "X", IF(AND('Inserimento dati'!$B$3=$J$2, Tabella3[[#This Row],[MER]]="X"), "X",IF(AND('Inserimento dati'!$B$3=$K$2, Tabella3[[#This Row],[GIO]]="X"), "X", IF(AND('Inserimento dati'!$B$3=$L$2, Tabella3[[#This Row],[VEN]]="X"), "X","")))))</f>
        <v/>
      </c>
      <c r="U384" s="93">
        <f>IFERROR(MID(G384,_xlfn.AGGREGATE(15,6,(ROW(INDIRECT("1:"&amp;LEN(G384)-7)))/(ISNUMBER(--MID(G384,ROW(INDIRECT("1:"&amp;LEN(G384)-7)),8))),1),8),"")</f>
        <v/>
      </c>
      <c r="V384" t="inlineStr">
        <is>
          <t>2025-09-30 20:00:00</t>
        </is>
      </c>
    </row>
    <row r="385" ht="30" customFormat="1" customHeight="1" s="1">
      <c r="A385" s="112" t="n"/>
      <c r="B385" s="112" t="n"/>
      <c r="C385" s="112">
        <f>IF(OR(Tabella3[[#This Row],[LUN]]="X",Tabella3[[#This Row],[MAR]]="X",Tabella3[[#This Row],[MER]]="X",Tabella3[[#This Row],[GIO]]="X",Tabella3[[#This Row],[VEN]]="X",),"X","")</f>
        <v/>
      </c>
      <c r="D385" s="113" t="inlineStr">
        <is>
          <t>AREA 3</t>
        </is>
      </c>
      <c r="E385" s="109" t="inlineStr">
        <is>
          <t>547952/C</t>
        </is>
      </c>
      <c r="F385" s="109" t="n">
        <v>1200</v>
      </c>
      <c r="G385" s="109" t="inlineStr">
        <is>
          <t>1200-0- F922IC F910IC COTROLLO FUNZIONALE</t>
        </is>
      </c>
      <c r="H385" s="111" t="n"/>
      <c r="I385" s="111" t="n"/>
      <c r="J385" s="111" t="n"/>
      <c r="K385" s="111" t="n"/>
      <c r="L385" s="111" t="n"/>
      <c r="M385" s="109" t="inlineStr">
        <is>
          <t>INTERROTTO</t>
        </is>
      </c>
      <c r="N385" s="109" t="n"/>
      <c r="O385" s="109" t="n"/>
      <c r="P385" s="109" t="n"/>
      <c r="Q385" s="109" t="inlineStr">
        <is>
          <t>F910IC NESSUNA ANOMALIA - F922IC NON ESISTE (ESISTE LA PRESSIONE)</t>
        </is>
      </c>
      <c r="R385" s="110" t="n">
        <v>45896</v>
      </c>
      <c r="S385" s="109" t="inlineStr">
        <is>
          <t>TARASCIO</t>
        </is>
      </c>
      <c r="T385" s="114">
        <f>IF(AND('Inserimento dati'!$B$3=$H$2, Tabella3[[#This Row],[LUN]]="X"), "X",IF(AND('Inserimento dati'!$B$3=$I$2, Tabella3[[#This Row],[MAR]]="X"), "X", IF(AND('Inserimento dati'!$B$3=$J$2, Tabella3[[#This Row],[MER]]="X"), "X",IF(AND('Inserimento dati'!$B$3=$K$2, Tabella3[[#This Row],[GIO]]="X"), "X", IF(AND('Inserimento dati'!$B$3=$L$2, Tabella3[[#This Row],[VEN]]="X"), "X","")))))</f>
        <v/>
      </c>
      <c r="U385" s="93">
        <f>IFERROR(MID(G385,_xlfn.AGGREGATE(15,6,(ROW(INDIRECT("1:"&amp;LEN(G385)-7)))/(ISNUMBER(--MID(G385,ROW(INDIRECT("1:"&amp;LEN(G385)-7)),8))),1),8),"")</f>
        <v/>
      </c>
      <c r="V385" t="inlineStr">
        <is>
          <t>2025-09-30 20:00:00</t>
        </is>
      </c>
    </row>
    <row r="386" ht="45" customFormat="1" customHeight="1" s="1">
      <c r="A386" s="112" t="n"/>
      <c r="B386" s="112" t="n"/>
      <c r="C386" s="112">
        <f>IF(OR(Tabella3[[#This Row],[LUN]]="X",Tabella3[[#This Row],[MAR]]="X",Tabella3[[#This Row],[MER]]="X",Tabella3[[#This Row],[GIO]]="X",Tabella3[[#This Row],[VEN]]="X",),"X","")</f>
        <v/>
      </c>
      <c r="D386" s="113" t="inlineStr">
        <is>
          <t>AREA 3</t>
        </is>
      </c>
      <c r="E386" s="109" t="inlineStr">
        <is>
          <t>540300/C</t>
        </is>
      </c>
      <c r="F386" s="109" t="n">
        <v>1400</v>
      </c>
      <c r="G386" s="109" t="inlineStr">
        <is>
          <t>10224411 1400 - RIPRISTINO FR OO4 SWS GAS DA TESTA 1400-D104 A LINEE ZOLFO</t>
        </is>
      </c>
      <c r="H386" s="111" t="n"/>
      <c r="I386" s="111" t="n"/>
      <c r="J386" s="111" t="n"/>
      <c r="K386" s="111" t="n"/>
      <c r="L386" s="111" t="n"/>
      <c r="M386" s="109" t="inlineStr">
        <is>
          <t>INTERROTTO</t>
        </is>
      </c>
      <c r="N386" s="109" t="n"/>
      <c r="O386" s="109" t="inlineStr">
        <is>
          <t>X</t>
        </is>
      </c>
      <c r="P386" s="109" t="inlineStr">
        <is>
          <t>X</t>
        </is>
      </c>
      <c r="Q386" s="109" t="inlineStr">
        <is>
          <t>VALVOLE TAPPATE, PROVATE CON POMPA ALTA PRESSIONE CON ESITO NEGATIVO. SERVE PONTEGGIO PER STASARE A CURA PONTEROSSO</t>
        </is>
      </c>
      <c r="R386" s="110" t="n">
        <v>45824</v>
      </c>
      <c r="S386" s="109" t="inlineStr">
        <is>
          <t>TARASCIO/PARTESANO</t>
        </is>
      </c>
      <c r="T386" s="114">
        <f>IF(AND('Inserimento dati'!$B$3=$H$2, Tabella3[[#This Row],[LUN]]="X"), "X",IF(AND('Inserimento dati'!$B$3=$I$2, Tabella3[[#This Row],[MAR]]="X"), "X", IF(AND('Inserimento dati'!$B$3=$J$2, Tabella3[[#This Row],[MER]]="X"), "X",IF(AND('Inserimento dati'!$B$3=$K$2, Tabella3[[#This Row],[GIO]]="X"), "X", IF(AND('Inserimento dati'!$B$3=$L$2, Tabella3[[#This Row],[VEN]]="X"), "X","")))))</f>
        <v/>
      </c>
      <c r="U386" s="93">
        <f>IFERROR(MID(G386,_xlfn.AGGREGATE(15,6,(ROW(INDIRECT("1:"&amp;LEN(G386)-7)))/(ISNUMBER(--MID(G386,ROW(INDIRECT("1:"&amp;LEN(G386)-7)),8))),1),8),"")</f>
        <v/>
      </c>
      <c r="V386" t="inlineStr">
        <is>
          <t>2025-09-30 20:00:00</t>
        </is>
      </c>
    </row>
    <row r="387" ht="60" customFormat="1" customHeight="1" s="1">
      <c r="A387" s="112" t="n"/>
      <c r="B387" s="112" t="n"/>
      <c r="C387" s="112">
        <f>IF(OR(Tabella3[[#This Row],[LUN]]="X",Tabella3[[#This Row],[MAR]]="X",Tabella3[[#This Row],[MER]]="X",Tabella3[[#This Row],[GIO]]="X",Tabella3[[#This Row],[VEN]]="X",),"X","")</f>
        <v/>
      </c>
      <c r="D387" s="113" t="inlineStr">
        <is>
          <t>AREA 3</t>
        </is>
      </c>
      <c r="E387" s="109" t="inlineStr">
        <is>
          <t>545985/C</t>
        </is>
      </c>
      <c r="F387" s="109" t="inlineStr">
        <is>
          <t>700A</t>
        </is>
      </c>
      <c r="G387" s="109" t="inlineStr">
        <is>
          <t>700A TP202B PCV211 CONTROLLO FUNZIONALE VALVOLA ED EVENTUALE SMONTAGGIO/RIMONTAGGIO PER REVISIONE</t>
        </is>
      </c>
      <c r="H387" s="111" t="n"/>
      <c r="I387" s="111" t="n"/>
      <c r="J387" s="111" t="n"/>
      <c r="K387" s="111" t="n"/>
      <c r="L387" s="111" t="n"/>
      <c r="M387" s="109" t="inlineStr">
        <is>
          <t>INTERROTTO</t>
        </is>
      </c>
      <c r="N387" s="109" t="n"/>
      <c r="O387" s="109" t="inlineStr">
        <is>
          <t>X</t>
        </is>
      </c>
      <c r="P387" s="109" t="n"/>
      <c r="Q387" s="109" t="inlineStr">
        <is>
          <t>TROVATO IN CORTO CAVO E.V. ( DALLA J.B. ALLA E.V.) SI TENTA UN GIUNTO VICINO ALLA SOLENOIDE PER VEDERE SE FUNZIONA. LAVORO IN CORSO. SERVE PONTEGGIO PER POTER PASSARE DOPPINO NUOVO.</t>
        </is>
      </c>
      <c r="R387" s="110" t="n">
        <v>45866</v>
      </c>
      <c r="S387" s="109" t="inlineStr">
        <is>
          <t>TARASCIO/PARTESANO</t>
        </is>
      </c>
      <c r="T387" s="114">
        <f>IF(AND('Inserimento dati'!$B$3=$H$2, Tabella3[[#This Row],[LUN]]="X"), "X",IF(AND('Inserimento dati'!$B$3=$I$2, Tabella3[[#This Row],[MAR]]="X"), "X", IF(AND('Inserimento dati'!$B$3=$J$2, Tabella3[[#This Row],[MER]]="X"), "X",IF(AND('Inserimento dati'!$B$3=$K$2, Tabella3[[#This Row],[GIO]]="X"), "X", IF(AND('Inserimento dati'!$B$3=$L$2, Tabella3[[#This Row],[VEN]]="X"), "X","")))))</f>
        <v/>
      </c>
      <c r="U387" s="93">
        <f>IFERROR(MID(G387,_xlfn.AGGREGATE(15,6,(ROW(INDIRECT("1:"&amp;LEN(G387)-7)))/(ISNUMBER(--MID(G387,ROW(INDIRECT("1:"&amp;LEN(G387)-7)),8))),1),8),"")</f>
        <v/>
      </c>
      <c r="V387" t="inlineStr">
        <is>
          <t>2025-09-30 20:00:00</t>
        </is>
      </c>
    </row>
    <row r="388" ht="30" customFormat="1" customHeight="1" s="1">
      <c r="A388" s="112" t="n"/>
      <c r="B388" s="112" t="n">
        <v>3</v>
      </c>
      <c r="C388" s="112">
        <f>IF(OR(Tabella3[[#This Row],[LUN]]="X",Tabella3[[#This Row],[MAR]]="X",Tabella3[[#This Row],[MER]]="X",Tabella3[[#This Row],[GIO]]="X",Tabella3[[#This Row],[VEN]]="X",),"X","")</f>
        <v/>
      </c>
      <c r="D388" s="113" t="inlineStr">
        <is>
          <t>AREA 3</t>
        </is>
      </c>
      <c r="E388" s="109" t="inlineStr">
        <is>
          <t>539159/C</t>
        </is>
      </c>
      <c r="F388" s="109" t="inlineStr">
        <is>
          <t>1200/M</t>
        </is>
      </c>
      <c r="G388" s="109" t="inlineStr">
        <is>
          <t>10217843 Ripristino sistema degasaggio linee zolfo-Imp.1200/M-controllo e ripristino funzionalita' misuratore di portata F901T (Port vap eiet MXSULF)</t>
        </is>
      </c>
      <c r="H388" s="111" t="n"/>
      <c r="I388" s="111" t="n"/>
      <c r="J388" s="111" t="n"/>
      <c r="K388" s="111" t="n"/>
      <c r="L388" s="111" t="n"/>
      <c r="M388" s="109" t="inlineStr">
        <is>
          <t>INTERROTTO</t>
        </is>
      </c>
      <c r="N388" s="109" t="inlineStr">
        <is>
          <t>X</t>
        </is>
      </c>
      <c r="O388" s="109" t="n"/>
      <c r="P388" s="109" t="n"/>
      <c r="Q388" s="109" t="inlineStr">
        <is>
          <t>CAPOTURNO NON APRE PDL</t>
        </is>
      </c>
      <c r="R388" s="110" t="n">
        <v>45856</v>
      </c>
      <c r="S388" s="109" t="inlineStr">
        <is>
          <t>MILLO</t>
        </is>
      </c>
      <c r="T388" s="114">
        <f>IF(AND('Inserimento dati'!$B$3=$H$2, Tabella3[[#This Row],[LUN]]="X"), "X",IF(AND('Inserimento dati'!$B$3=$I$2, Tabella3[[#This Row],[MAR]]="X"), "X", IF(AND('Inserimento dati'!$B$3=$J$2, Tabella3[[#This Row],[MER]]="X"), "X",IF(AND('Inserimento dati'!$B$3=$K$2, Tabella3[[#This Row],[GIO]]="X"), "X", IF(AND('Inserimento dati'!$B$3=$L$2, Tabella3[[#This Row],[VEN]]="X"), "X","")))))</f>
        <v/>
      </c>
      <c r="U388" s="131">
        <f>IFERROR(MID(G388,_xlfn.AGGREGATE(15,6,(ROW(INDIRECT("1:"&amp;LEN(G388)-7)))/(ISNUMBER(--MID(G388,ROW(INDIRECT("1:"&amp;LEN(G388)-7)),8))),1),8),"")</f>
        <v/>
      </c>
      <c r="V388" t="inlineStr">
        <is>
          <t>2025-09-30 20:00:00</t>
        </is>
      </c>
    </row>
    <row r="389" ht="30" customFormat="1" customHeight="1" s="1">
      <c r="A389" s="112" t="n"/>
      <c r="B389" s="112" t="n"/>
      <c r="C389" s="112">
        <f>IF(OR(Tabella3[[#This Row],[LUN]]="X",Tabella3[[#This Row],[MAR]]="X",Tabella3[[#This Row],[MER]]="X",Tabella3[[#This Row],[GIO]]="X",Tabella3[[#This Row],[VEN]]="X",),"X","")</f>
        <v/>
      </c>
      <c r="D389" s="113" t="inlineStr">
        <is>
          <t>AREA 3</t>
        </is>
      </c>
      <c r="E389" s="109" t="inlineStr">
        <is>
          <t>543711/C</t>
        </is>
      </c>
      <c r="F389" s="109" t="inlineStr">
        <is>
          <t>700A</t>
        </is>
      </c>
      <c r="G389" s="109" t="inlineStr">
        <is>
          <t>10226988  700A: PCV212 bloccata al 50% controllo funzionale ed eventuale in accordo con ESE smontaggio/rimontaggio per revisione</t>
        </is>
      </c>
      <c r="H389" s="111" t="n"/>
      <c r="I389" s="111" t="n"/>
      <c r="J389" s="111" t="n"/>
      <c r="K389" s="111" t="n"/>
      <c r="L389" s="111" t="n"/>
      <c r="M389" s="109" t="inlineStr">
        <is>
          <t>INTERROTTO</t>
        </is>
      </c>
      <c r="N389" s="109" t="n"/>
      <c r="O389" s="109" t="inlineStr">
        <is>
          <t>X</t>
        </is>
      </c>
      <c r="P389" s="109" t="n"/>
      <c r="Q389" s="109" t="inlineStr">
        <is>
          <t>NECESSITA PONTEGGIO PER LO SMONTAGGIO.</t>
        </is>
      </c>
      <c r="R389" s="110" t="n">
        <v>45846</v>
      </c>
      <c r="S389" s="109" t="inlineStr">
        <is>
          <t>GARRO</t>
        </is>
      </c>
      <c r="T389" s="114">
        <f>IF(AND('Inserimento dati'!$B$3=$H$2, Tabella3[[#This Row],[LUN]]="X"), "X",IF(AND('Inserimento dati'!$B$3=$I$2, Tabella3[[#This Row],[MAR]]="X"), "X", IF(AND('Inserimento dati'!$B$3=$J$2, Tabella3[[#This Row],[MER]]="X"), "X",IF(AND('Inserimento dati'!$B$3=$K$2, Tabella3[[#This Row],[GIO]]="X"), "X", IF(AND('Inserimento dati'!$B$3=$L$2, Tabella3[[#This Row],[VEN]]="X"), "X","")))))</f>
        <v/>
      </c>
      <c r="U389" s="131">
        <f>IFERROR(MID(G389,_xlfn.AGGREGATE(15,6,(ROW(INDIRECT("1:"&amp;LEN(G389)-7)))/(ISNUMBER(--MID(G389,ROW(INDIRECT("1:"&amp;LEN(G389)-7)),8))),1),8),"")</f>
        <v/>
      </c>
      <c r="V389" t="inlineStr">
        <is>
          <t>2025-09-30 20:00:00</t>
        </is>
      </c>
    </row>
    <row r="390" ht="30" customFormat="1" customHeight="1" s="1">
      <c r="A390" s="112" t="n"/>
      <c r="B390" s="112" t="n">
        <v>2</v>
      </c>
      <c r="C390" s="112">
        <f>IF(OR(Tabella3[[#This Row],[LUN]]="X",Tabella3[[#This Row],[MAR]]="X",Tabella3[[#This Row],[MER]]="X",Tabella3[[#This Row],[GIO]]="X",Tabella3[[#This Row],[VEN]]="X",),"X","")</f>
        <v/>
      </c>
      <c r="D390" s="113" t="inlineStr">
        <is>
          <t>AREA 3</t>
        </is>
      </c>
      <c r="E390" s="109" t="inlineStr">
        <is>
          <t>536407/C</t>
        </is>
      </c>
      <c r="F390" s="109" t="n">
        <v>1800</v>
      </c>
      <c r="G390" s="109" t="inlineStr">
        <is>
          <t>10223642 1800 - P437SH  -  controllo funzionale</t>
        </is>
      </c>
      <c r="H390" s="111" t="n"/>
      <c r="I390" s="111" t="n"/>
      <c r="J390" s="111" t="n"/>
      <c r="K390" s="111" t="n"/>
      <c r="L390" s="111" t="n"/>
      <c r="M390" s="109" t="inlineStr">
        <is>
          <t>INTERROTTO</t>
        </is>
      </c>
      <c r="N390" s="109" t="n"/>
      <c r="O390" s="109" t="n"/>
      <c r="P390" s="109" t="n"/>
      <c r="Q390" s="109" t="inlineStr">
        <is>
          <t>STRUMENTO DI PRESSIONE NON TROVATO INSIEME AD OPERATORE.  IL PUNTO A DCS RISULTA ALLARMATO.</t>
        </is>
      </c>
      <c r="R390" s="110" t="n">
        <v>45855</v>
      </c>
      <c r="S390" s="109" t="inlineStr">
        <is>
          <t>SPINALI</t>
        </is>
      </c>
      <c r="T390" s="69">
        <f>IF(AND('Inserimento dati'!$B$3=$H$2, Tabella3[[#This Row],[LUN]]="X"), "X",IF(AND('Inserimento dati'!$B$3=$I$2, Tabella3[[#This Row],[MAR]]="X"), "X", IF(AND('Inserimento dati'!$B$3=$J$2, Tabella3[[#This Row],[MER]]="X"), "X",IF(AND('Inserimento dati'!$B$3=$K$2, Tabella3[[#This Row],[GIO]]="X"), "X", IF(AND('Inserimento dati'!$B$3=$L$2, Tabella3[[#This Row],[VEN]]="X"), "X","")))))</f>
        <v/>
      </c>
      <c r="U390" s="144">
        <f>IFERROR(MID(G390,_xlfn.AGGREGATE(15,6,(ROW(INDIRECT("1:"&amp;LEN(G390)-7)))/(ISNUMBER(--MID(G390,ROW(INDIRECT("1:"&amp;LEN(G390)-7)),8))),1),8),"")</f>
        <v/>
      </c>
      <c r="V390" t="inlineStr">
        <is>
          <t>2025-09-30 20:00:00</t>
        </is>
      </c>
    </row>
    <row r="391" ht="75" customFormat="1" customHeight="1" s="1">
      <c r="A391" s="112" t="n"/>
      <c r="B391" s="112" t="n"/>
      <c r="C391" s="112">
        <f>IF(OR(Tabella3[[#This Row],[LUN]]="X",Tabella3[[#This Row],[MAR]]="X",Tabella3[[#This Row],[MER]]="X",Tabella3[[#This Row],[GIO]]="X",Tabella3[[#This Row],[VEN]]="X",),"X","")</f>
        <v/>
      </c>
      <c r="D391" s="113" t="inlineStr">
        <is>
          <t>AREA 3</t>
        </is>
      </c>
      <c r="E391" s="109" t="inlineStr">
        <is>
          <t>543285/C</t>
        </is>
      </c>
      <c r="F391" s="109" t="n">
        <v>700</v>
      </c>
      <c r="G391" s="109" t="inlineStr">
        <is>
          <t>10226807- 07T118I.PV: carica a E151 A/B (lo strumento misura 20C, temperatura errata)</t>
        </is>
      </c>
      <c r="H391" s="111" t="n"/>
      <c r="I391" s="111" t="n"/>
      <c r="J391" s="111" t="n"/>
      <c r="K391" s="111" t="n"/>
      <c r="L391" s="111" t="n"/>
      <c r="M391" s="109" t="inlineStr">
        <is>
          <t>INTERROTTO</t>
        </is>
      </c>
      <c r="N391" s="109" t="n"/>
      <c r="O391" s="109" t="n"/>
      <c r="P391" s="109" t="n"/>
      <c r="Q391" s="109" t="inlineStr">
        <is>
          <t>COPPIA N°23 APERTA. NON SI RIESCE AD IDENTIFICARE TAG MULTICAVO (NE' IN CASSETTA NE' IN SALA TECNICA). 08/10/2024 PONTICELLATO IN BARRIERA PER ELIMINARE "BAD" A DCS. IMPOSSIBILE DETERMINARE TAG MULTICAVO PER POTER UTILIZZARE EVENTUALE SPARE.</t>
        </is>
      </c>
      <c r="R391" s="110" t="n">
        <v>45846</v>
      </c>
      <c r="S391" s="109" t="inlineStr">
        <is>
          <t>MILLO</t>
        </is>
      </c>
      <c r="T391" s="114">
        <f>IF(AND('Inserimento dati'!$B$3=$H$2, Tabella3[[#This Row],[LUN]]="X"), "X",IF(AND('Inserimento dati'!$B$3=$I$2, Tabella3[[#This Row],[MAR]]="X"), "X", IF(AND('Inserimento dati'!$B$3=$J$2, Tabella3[[#This Row],[MER]]="X"), "X",IF(AND('Inserimento dati'!$B$3=$K$2, Tabella3[[#This Row],[GIO]]="X"), "X", IF(AND('Inserimento dati'!$B$3=$L$2, Tabella3[[#This Row],[VEN]]="X"), "X","")))))</f>
        <v/>
      </c>
      <c r="U391" s="131">
        <f>IFERROR(MID(G391,_xlfn.AGGREGATE(15,6,(ROW(INDIRECT("1:"&amp;LEN(G391)-7)))/(ISNUMBER(--MID(G391,ROW(INDIRECT("1:"&amp;LEN(G391)-7)),8))),1),8),"")</f>
        <v/>
      </c>
      <c r="V391" t="inlineStr">
        <is>
          <t>2025-09-30 20:00:00</t>
        </is>
      </c>
    </row>
    <row r="392" ht="120" customFormat="1" customHeight="1" s="1">
      <c r="A392" s="112" t="n"/>
      <c r="B392" s="112" t="n"/>
      <c r="C392" s="112">
        <f>IF(OR(Tabella3[[#This Row],[LUN]]="X",Tabella3[[#This Row],[MAR]]="X",Tabella3[[#This Row],[MER]]="X",Tabella3[[#This Row],[GIO]]="X",Tabella3[[#This Row],[VEN]]="X",),"X","")</f>
        <v/>
      </c>
      <c r="D392" s="113" t="inlineStr">
        <is>
          <t>AREA 3</t>
        </is>
      </c>
      <c r="E392" s="109" t="inlineStr">
        <is>
          <t>542711/C</t>
        </is>
      </c>
      <c r="F392" s="109" t="n">
        <v>800</v>
      </c>
      <c r="G392" s="109" t="inlineStr">
        <is>
          <t>10226576   800: RIPR E CONFIG FLUSSIMETRI MC101B SMONTAGGIO/RIMONTAGGIO PER REVISIONE</t>
        </is>
      </c>
      <c r="H392" s="111" t="n"/>
      <c r="I392" s="111" t="n"/>
      <c r="J392" s="111" t="n"/>
      <c r="K392" s="111" t="n"/>
      <c r="L392" s="111" t="n"/>
      <c r="M392" s="109" t="inlineStr">
        <is>
          <t>INTERROTTO</t>
        </is>
      </c>
      <c r="N392" s="109" t="n"/>
      <c r="O392" s="109" t="n"/>
      <c r="P392" s="109" t="n"/>
      <c r="Q392" s="109" t="inlineStr">
        <is>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is>
      </c>
      <c r="R392" s="110" t="n">
        <v>45838</v>
      </c>
      <c r="S392" s="109" t="inlineStr">
        <is>
          <t>MILLO/GARRO/RICIPUTO</t>
        </is>
      </c>
      <c r="T392" s="114">
        <f>IF(AND('Inserimento dati'!$B$3=$H$2, Tabella3[[#This Row],[LUN]]="X"), "X",IF(AND('Inserimento dati'!$B$3=$I$2, Tabella3[[#This Row],[MAR]]="X"), "X", IF(AND('Inserimento dati'!$B$3=$J$2, Tabella3[[#This Row],[MER]]="X"), "X",IF(AND('Inserimento dati'!$B$3=$K$2, Tabella3[[#This Row],[GIO]]="X"), "X", IF(AND('Inserimento dati'!$B$3=$L$2, Tabella3[[#This Row],[VEN]]="X"), "X","")))))</f>
        <v/>
      </c>
      <c r="U392" s="131">
        <f>IFERROR(MID(G392,_xlfn.AGGREGATE(15,6,(ROW(INDIRECT("1:"&amp;LEN(G392)-7)))/(ISNUMBER(--MID(G392,ROW(INDIRECT("1:"&amp;LEN(G392)-7)),8))),1),8),"")</f>
        <v/>
      </c>
      <c r="V392" t="inlineStr">
        <is>
          <t>2025-09-30 20:00:00</t>
        </is>
      </c>
    </row>
    <row r="393" ht="30" customFormat="1" customHeight="1" s="1">
      <c r="A393" s="112" t="n"/>
      <c r="B393" s="112" t="n">
        <v>2</v>
      </c>
      <c r="C393" s="112">
        <f>IF(OR(Tabella3[[#This Row],[LUN]]="X",Tabella3[[#This Row],[MAR]]="X",Tabella3[[#This Row],[MER]]="X",Tabella3[[#This Row],[GIO]]="X",Tabella3[[#This Row],[VEN]]="X",),"X","")</f>
        <v/>
      </c>
      <c r="D393" s="113" t="inlineStr">
        <is>
          <t>AREA 3</t>
        </is>
      </c>
      <c r="E393" s="109" t="inlineStr">
        <is>
          <t>538131/C</t>
        </is>
      </c>
      <c r="F393" s="109" t="n">
        <v>1800</v>
      </c>
      <c r="G393" s="109" t="inlineStr">
        <is>
          <t>10223641 1800 - RIPR 18Z027LH.</t>
        </is>
      </c>
      <c r="H393" s="111" t="n"/>
      <c r="I393" s="111" t="n"/>
      <c r="J393" s="111" t="n"/>
      <c r="K393" s="111" t="n"/>
      <c r="L393" s="111" t="n"/>
      <c r="M393" s="109" t="inlineStr">
        <is>
          <t>INTERROTTO</t>
        </is>
      </c>
      <c r="N393" s="109" t="n"/>
      <c r="O393" s="109" t="n"/>
      <c r="P393" s="109" t="n"/>
      <c r="Q393" s="109" t="inlineStr">
        <is>
          <t>LA VALVOLA IN OGGETTO TRATTASI DI RBV, DI COMPETENZA ATTUATORISTI; TCL SCOLLO.</t>
        </is>
      </c>
      <c r="R393" s="110" t="n">
        <v>45824</v>
      </c>
      <c r="S393" s="109" t="inlineStr">
        <is>
          <t>GARRO</t>
        </is>
      </c>
      <c r="T393" s="69">
        <f>IF(AND('Inserimento dati'!$B$3=$H$2, Tabella3[[#This Row],[LUN]]="X"), "X",IF(AND('Inserimento dati'!$B$3=$I$2, Tabella3[[#This Row],[MAR]]="X"), "X", IF(AND('Inserimento dati'!$B$3=$J$2, Tabella3[[#This Row],[MER]]="X"), "X",IF(AND('Inserimento dati'!$B$3=$K$2, Tabella3[[#This Row],[GIO]]="X"), "X", IF(AND('Inserimento dati'!$B$3=$L$2, Tabella3[[#This Row],[VEN]]="X"), "X","")))))</f>
        <v/>
      </c>
      <c r="U393" s="131">
        <f>IFERROR(MID(G393,_xlfn.AGGREGATE(15,6,(ROW(INDIRECT("1:"&amp;LEN(G393)-7)))/(ISNUMBER(--MID(G393,ROW(INDIRECT("1:"&amp;LEN(G393)-7)),8))),1),8),"")</f>
        <v/>
      </c>
      <c r="V393" t="inlineStr">
        <is>
          <t>2025-09-30 20:00:00</t>
        </is>
      </c>
    </row>
    <row r="394" ht="45" customFormat="1" customHeight="1" s="1">
      <c r="A394" s="112" t="n"/>
      <c r="B394" s="112" t="n">
        <v>3</v>
      </c>
      <c r="C394" s="112">
        <f>IF(OR(Tabella3[[#This Row],[LUN]]="X",Tabella3[[#This Row],[MAR]]="X",Tabella3[[#This Row],[MER]]="X",Tabella3[[#This Row],[GIO]]="X",Tabella3[[#This Row],[VEN]]="X",),"X","")</f>
        <v/>
      </c>
      <c r="D394" s="113" t="inlineStr">
        <is>
          <t>AREA 3</t>
        </is>
      </c>
      <c r="E394" s="109" t="inlineStr">
        <is>
          <t>538251/C</t>
        </is>
      </c>
      <c r="F394" s="109" t="n">
        <v>1400</v>
      </c>
      <c r="G394" s="109" t="inlineStr">
        <is>
          <t>10224410 1400 - RIPRISTINO FROO5 SWS GAS DA TESTA 1400-D104 A LINEE ZOLFO</t>
        </is>
      </c>
      <c r="H394" s="111" t="n"/>
      <c r="I394" s="111" t="n"/>
      <c r="J394" s="111" t="n"/>
      <c r="K394" s="111" t="n"/>
      <c r="L394" s="111" t="n"/>
      <c r="M394" s="109" t="inlineStr">
        <is>
          <t>INTERROTTO</t>
        </is>
      </c>
      <c r="N394" s="109" t="n"/>
      <c r="O394" s="109" t="inlineStr">
        <is>
          <t>X</t>
        </is>
      </c>
      <c r="P394" s="113" t="inlineStr">
        <is>
          <t>X</t>
        </is>
      </c>
      <c r="Q394" s="109" t="inlineStr">
        <is>
          <t>VALVOLE TAPPATE, PROVATE CON POMPA ALTA PRESSIONE CON ESITO NEGATIVO. SERVE PONTEGGIO PER STASARE A CURA PONTEROSSO</t>
        </is>
      </c>
      <c r="R394" s="110" t="n">
        <v>45824</v>
      </c>
      <c r="S394" s="109" t="inlineStr">
        <is>
          <t>TARASCIO/PARTESANO</t>
        </is>
      </c>
      <c r="T394" s="69">
        <f>IF(AND('Inserimento dati'!$B$3=$H$2, Tabella3[[#This Row],[LUN]]="X"), "X",IF(AND('Inserimento dati'!$B$3=$I$2, Tabella3[[#This Row],[MAR]]="X"), "X", IF(AND('Inserimento dati'!$B$3=$J$2, Tabella3[[#This Row],[MER]]="X"), "X",IF(AND('Inserimento dati'!$B$3=$K$2, Tabella3[[#This Row],[GIO]]="X"), "X", IF(AND('Inserimento dati'!$B$3=$L$2, Tabella3[[#This Row],[VEN]]="X"), "X","")))))</f>
        <v/>
      </c>
      <c r="U394" s="131">
        <f>IFERROR(MID(G394,_xlfn.AGGREGATE(15,6,(ROW(INDIRECT("1:"&amp;LEN(G394)-7)))/(ISNUMBER(--MID(G394,ROW(INDIRECT("1:"&amp;LEN(G394)-7)),8))),1),8),"")</f>
        <v/>
      </c>
      <c r="V394" t="inlineStr">
        <is>
          <t>2025-09-30 20:00:00</t>
        </is>
      </c>
    </row>
    <row r="395" ht="30" customFormat="1" customHeight="1" s="1">
      <c r="A395" s="112" t="n"/>
      <c r="B395" s="112" t="n">
        <v>2</v>
      </c>
      <c r="C395" s="112">
        <f>IF(OR(Tabella3[[#This Row],[LUN]]="X",Tabella3[[#This Row],[MAR]]="X",Tabella3[[#This Row],[MER]]="X",Tabella3[[#This Row],[GIO]]="X",Tabella3[[#This Row],[VEN]]="X",),"X","")</f>
        <v/>
      </c>
      <c r="D395" s="113" t="inlineStr">
        <is>
          <t>AREA 3</t>
        </is>
      </c>
      <c r="E395" s="109" t="inlineStr">
        <is>
          <t>533089/C</t>
        </is>
      </c>
      <c r="F395" s="109" t="inlineStr">
        <is>
          <t>700A</t>
        </is>
      </c>
      <c r="G395" s="109" t="inlineStr">
        <is>
          <t xml:space="preserve">10221652 700A - MTZ FR212  </t>
        </is>
      </c>
      <c r="H395" s="111" t="n"/>
      <c r="I395" s="111" t="n"/>
      <c r="J395" s="111" t="n"/>
      <c r="K395" s="111" t="n"/>
      <c r="L395" s="111" t="n"/>
      <c r="M395" s="109" t="inlineStr">
        <is>
          <t>INTERROTTO</t>
        </is>
      </c>
      <c r="N395" s="109" t="inlineStr">
        <is>
          <t>X</t>
        </is>
      </c>
      <c r="O395" s="109" t="n"/>
      <c r="P395" s="109" t="n"/>
      <c r="Q395" s="109" t="inlineStr">
        <is>
          <t>DA SOSTITUIRE STRUMENTO: PER INTERFERENZA CAPOTURNO ( LAVORI DI RIPRISTINO CIMINIERA )NON APRE PDL</t>
        </is>
      </c>
      <c r="R395" s="110" t="n">
        <v>45782</v>
      </c>
      <c r="S395" s="109" t="inlineStr">
        <is>
          <t>SPINALI/MANSERVIGI</t>
        </is>
      </c>
      <c r="T395" s="116">
        <f>IF(AND('Inserimento dati'!$B$3=$H$2, Tabella3[[#This Row],[LUN]]="X"), "X",IF(AND('Inserimento dati'!$B$3=$I$2, Tabella3[[#This Row],[MAR]]="X"), "X", IF(AND('Inserimento dati'!$B$3=$J$2, Tabella3[[#This Row],[MER]]="X"), "X",IF(AND('Inserimento dati'!$B$3=$K$2, Tabella3[[#This Row],[GIO]]="X"), "X", IF(AND('Inserimento dati'!$B$3=$L$2, Tabella3[[#This Row],[VEN]]="X"), "X","")))))</f>
        <v/>
      </c>
      <c r="U395" s="144">
        <f>IFERROR(MID(G395,_xlfn.AGGREGATE(15,6,(ROW(INDIRECT("1:"&amp;LEN(G395)-7)))/(ISNUMBER(--MID(G395,ROW(INDIRECT("1:"&amp;LEN(G395)-7)),8))),1),8),"")</f>
        <v/>
      </c>
      <c r="V395" t="inlineStr">
        <is>
          <t>2025-09-30 20:00:00</t>
        </is>
      </c>
    </row>
    <row r="396" ht="30" customFormat="1" customHeight="1" s="1">
      <c r="A396" s="112" t="n"/>
      <c r="B396" s="112" t="n">
        <v>2</v>
      </c>
      <c r="C396" s="112">
        <f>IF(OR(Tabella3[[#This Row],[LUN]]="X",Tabella3[[#This Row],[MAR]]="X",Tabella3[[#This Row],[MER]]="X",Tabella3[[#This Row],[GIO]]="X",Tabella3[[#This Row],[VEN]]="X",),"X","")</f>
        <v/>
      </c>
      <c r="D396" s="113" t="inlineStr">
        <is>
          <t>AREA 3</t>
        </is>
      </c>
      <c r="E396" s="109" t="inlineStr">
        <is>
          <t>533088/C</t>
        </is>
      </c>
      <c r="F396" s="109" t="inlineStr">
        <is>
          <t>700A</t>
        </is>
      </c>
      <c r="G396" s="109" t="inlineStr">
        <is>
          <t xml:space="preserve">10221651 700A - MTZ FR213  </t>
        </is>
      </c>
      <c r="H396" s="111" t="n"/>
      <c r="I396" s="111" t="n"/>
      <c r="J396" s="111" t="n"/>
      <c r="K396" s="111" t="n"/>
      <c r="L396" s="111" t="n"/>
      <c r="M396" s="109" t="inlineStr">
        <is>
          <t>INTERROTTO</t>
        </is>
      </c>
      <c r="N396" s="109" t="inlineStr">
        <is>
          <t>X</t>
        </is>
      </c>
      <c r="O396" s="109" t="n"/>
      <c r="P396" s="109" t="n"/>
      <c r="Q396" s="109" t="inlineStr">
        <is>
          <t>DA SOSTITUIRE STRUMENTO: PER INTERFERENZA CAPOTURNO ( LAVORI DI RIPRISTINO CIMINIERA )NON APRE PDL</t>
        </is>
      </c>
      <c r="R396" s="110" t="n">
        <v>45782</v>
      </c>
      <c r="S396" s="109" t="inlineStr">
        <is>
          <t>SPINALI/MANSERVIGI</t>
        </is>
      </c>
      <c r="T396" s="116">
        <f>IF(AND('Inserimento dati'!$B$3=$H$2, Tabella3[[#This Row],[LUN]]="X"), "X",IF(AND('Inserimento dati'!$B$3=$I$2, Tabella3[[#This Row],[MAR]]="X"), "X", IF(AND('Inserimento dati'!$B$3=$J$2, Tabella3[[#This Row],[MER]]="X"), "X",IF(AND('Inserimento dati'!$B$3=$K$2, Tabella3[[#This Row],[GIO]]="X"), "X", IF(AND('Inserimento dati'!$B$3=$L$2, Tabella3[[#This Row],[VEN]]="X"), "X","")))))</f>
        <v/>
      </c>
      <c r="U396" s="144">
        <f>IFERROR(MID(G396,_xlfn.AGGREGATE(15,6,(ROW(INDIRECT("1:"&amp;LEN(G396)-7)))/(ISNUMBER(--MID(G396,ROW(INDIRECT("1:"&amp;LEN(G396)-7)),8))),1),8),"")</f>
        <v/>
      </c>
      <c r="V396" t="inlineStr">
        <is>
          <t>2025-09-30 20:00:00</t>
        </is>
      </c>
    </row>
    <row r="397" ht="135" customFormat="1" customHeight="1" s="1">
      <c r="A397" s="112" t="n"/>
      <c r="B397" s="112" t="n">
        <v>1</v>
      </c>
      <c r="C397" s="112">
        <f>IF(OR(Tabella3[[#This Row],[LUN]]="X",Tabella3[[#This Row],[MAR]]="X",Tabella3[[#This Row],[MER]]="X",Tabella3[[#This Row],[GIO]]="X",Tabella3[[#This Row],[VEN]]="X",),"X","")</f>
        <v/>
      </c>
      <c r="D397" s="113" t="inlineStr">
        <is>
          <t>AREA 3</t>
        </is>
      </c>
      <c r="E397" s="109" t="inlineStr">
        <is>
          <t>532857/C</t>
        </is>
      </c>
      <c r="F397" s="109" t="inlineStr">
        <is>
          <t>700A</t>
        </is>
      </c>
      <c r="G397" s="109" t="inlineStr">
        <is>
          <t xml:space="preserve"> 700A - RIPRISTINO JB TH6 CON SCOLLEGAMENTO MULTICAVO E DOPPINI PER RICERCA GUASTO CAVO AMMALORATO,E REVISIONE CASSETTA E MORSETTI CABUR</t>
        </is>
      </c>
      <c r="H397" s="111" t="n"/>
      <c r="I397" s="111" t="n"/>
      <c r="J397" s="111" t="n"/>
      <c r="K397" s="111" t="n"/>
      <c r="L397" s="111" t="n"/>
      <c r="M397" s="109" t="inlineStr">
        <is>
          <t>INTERROTTO</t>
        </is>
      </c>
      <c r="N397" s="109" t="inlineStr">
        <is>
          <t>X</t>
        </is>
      </c>
      <c r="O397" s="109" t="n"/>
      <c r="P397" s="109" t="n"/>
      <c r="Q397" s="109"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397" s="110" t="n">
        <v>45817</v>
      </c>
      <c r="S397" s="109" t="inlineStr">
        <is>
          <t>GUARINO</t>
        </is>
      </c>
      <c r="T397" s="116">
        <f>IF(AND('Inserimento dati'!$B$3=$H$2, Tabella3[[#This Row],[LUN]]="X"), "X",IF(AND('Inserimento dati'!$B$3=$I$2, Tabella3[[#This Row],[MAR]]="X"), "X", IF(AND('Inserimento dati'!$B$3=$J$2, Tabella3[[#This Row],[MER]]="X"), "X",IF(AND('Inserimento dati'!$B$3=$K$2, Tabella3[[#This Row],[GIO]]="X"), "X", IF(AND('Inserimento dati'!$B$3=$L$2, Tabella3[[#This Row],[VEN]]="X"), "X","")))))</f>
        <v/>
      </c>
      <c r="U397" s="144">
        <f>IFERROR(MID(G397,_xlfn.AGGREGATE(15,6,(ROW(INDIRECT("1:"&amp;LEN(G397)-7)))/(ISNUMBER(--MID(G397,ROW(INDIRECT("1:"&amp;LEN(G397)-7)),8))),1),8),"")</f>
        <v/>
      </c>
      <c r="V397" t="inlineStr">
        <is>
          <t>2025-09-30 20:00:00</t>
        </is>
      </c>
    </row>
    <row r="398" ht="30" customFormat="1" customHeight="1" s="1">
      <c r="A398" s="112" t="n"/>
      <c r="B398" s="112" t="n">
        <v>2</v>
      </c>
      <c r="C398" s="112">
        <f>IF(OR(Tabella3[[#This Row],[LUN]]="X",Tabella3[[#This Row],[MAR]]="X",Tabella3[[#This Row],[MER]]="X",Tabella3[[#This Row],[GIO]]="X",Tabella3[[#This Row],[VEN]]="X",),"X","")</f>
        <v/>
      </c>
      <c r="D398" s="113" t="inlineStr">
        <is>
          <t>AREA 3</t>
        </is>
      </c>
      <c r="E398" s="109" t="inlineStr">
        <is>
          <t>536364/C</t>
        </is>
      </c>
      <c r="F398" s="109" t="n">
        <v>1100</v>
      </c>
      <c r="G398" s="109" t="inlineStr">
        <is>
          <t>10223633 1100 - MDEA DA 700 a U1100 ripristino 11F003RC.pv CONTROLLO LOOP DI REGOLAZIONE</t>
        </is>
      </c>
      <c r="H398" s="111" t="n"/>
      <c r="I398" s="111" t="n"/>
      <c r="J398" s="111" t="n"/>
      <c r="K398" s="111" t="n"/>
      <c r="L398" s="111" t="n"/>
      <c r="M398" s="109" t="inlineStr">
        <is>
          <t>INTERROTTO</t>
        </is>
      </c>
      <c r="N398" s="109" t="n"/>
      <c r="O398" s="109" t="inlineStr">
        <is>
          <t>X</t>
        </is>
      </c>
      <c r="P398" s="109" t="inlineStr">
        <is>
          <t>X</t>
        </is>
      </c>
      <c r="Q398" s="109" t="inlineStr">
        <is>
          <t xml:space="preserve"> STRUMENTO SOSTITUITO, COSTRUITA PALINA, NECESSITA INTERVENTO PONTEROSSO PER STASATURA RADICE NEGATIVA</t>
        </is>
      </c>
      <c r="R398" s="110" t="n">
        <v>45814</v>
      </c>
      <c r="S398" s="109" t="inlineStr">
        <is>
          <t>TARASCIO/PARTESANO</t>
        </is>
      </c>
      <c r="T398" s="67">
        <f>IF(AND('Inserimento dati'!$B$3=$H$2, Tabella3[[#This Row],[LUN]]="X"), "X",IF(AND('Inserimento dati'!$B$3=$I$2, Tabella3[[#This Row],[MAR]]="X"), "X", IF(AND('Inserimento dati'!$B$3=$J$2, Tabella3[[#This Row],[MER]]="X"), "X",IF(AND('Inserimento dati'!$B$3=$K$2, Tabella3[[#This Row],[GIO]]="X"), "X", IF(AND('Inserimento dati'!$B$3=$L$2, Tabella3[[#This Row],[VEN]]="X"), "X","")))))</f>
        <v/>
      </c>
      <c r="U398" s="144">
        <f>IFERROR(MID(G398,_xlfn.AGGREGATE(15,6,(ROW(INDIRECT("1:"&amp;LEN(G398)-7)))/(ISNUMBER(--MID(G398,ROW(INDIRECT("1:"&amp;LEN(G398)-7)),8))),1),8),"")</f>
        <v/>
      </c>
      <c r="V398" t="inlineStr">
        <is>
          <t>2025-09-30 20:00:00</t>
        </is>
      </c>
    </row>
    <row r="399" ht="45" customFormat="1" customHeight="1" s="1">
      <c r="A399" s="112" t="n"/>
      <c r="B399" s="112" t="n">
        <v>3</v>
      </c>
      <c r="C399" s="112">
        <f>IF(OR(Tabella3[[#This Row],[LUN]]="X",Tabella3[[#This Row],[MAR]]="X",Tabella3[[#This Row],[MER]]="X",Tabella3[[#This Row],[GIO]]="X",Tabella3[[#This Row],[VEN]]="X",),"X","")</f>
        <v/>
      </c>
      <c r="D399" s="113" t="inlineStr">
        <is>
          <t>AREA 3</t>
        </is>
      </c>
      <c r="E399" s="109" t="inlineStr">
        <is>
          <t>537759/C</t>
        </is>
      </c>
      <c r="F399" s="109" t="inlineStr">
        <is>
          <t>1200/0</t>
        </is>
      </c>
      <c r="G399" s="109" t="inlineStr">
        <is>
          <t>10224189 1200/0 - Z0F150R controllo funzionale</t>
        </is>
      </c>
      <c r="H399" s="111" t="n"/>
      <c r="I399" s="111" t="n"/>
      <c r="J399" s="111" t="n"/>
      <c r="K399" s="111" t="n"/>
      <c r="L399" s="111" t="n"/>
      <c r="M399" s="109" t="inlineStr">
        <is>
          <t>INTERROTTO</t>
        </is>
      </c>
      <c r="N399" s="109" t="n"/>
      <c r="O399" s="109" t="n"/>
      <c r="P399" s="109" t="n"/>
      <c r="Q399" s="109" t="inlineStr">
        <is>
          <t>ESEGUITA STASATURA SU PRESA - CON ESITO NEGATIVO; NECESSITA INTERVENTO PONTEROSSO. PER ARRIVARE ALLA RADICE SERVE PONTEGGIO.</t>
        </is>
      </c>
      <c r="R399" s="110" t="n"/>
      <c r="S399" s="109" t="n"/>
      <c r="T399" s="69">
        <f>IF(AND('Inserimento dati'!$B$3=$H$2, Tabella3[[#This Row],[LUN]]="X"), "X",IF(AND('Inserimento dati'!$B$3=$I$2, Tabella3[[#This Row],[MAR]]="X"), "X", IF(AND('Inserimento dati'!$B$3=$J$2, Tabella3[[#This Row],[MER]]="X"), "X",IF(AND('Inserimento dati'!$B$3=$K$2, Tabella3[[#This Row],[GIO]]="X"), "X", IF(AND('Inserimento dati'!$B$3=$L$2, Tabella3[[#This Row],[VEN]]="X"), "X","")))))</f>
        <v/>
      </c>
      <c r="U399" s="131">
        <f>IFERROR(MID(G399,_xlfn.AGGREGATE(15,6,(ROW(INDIRECT("1:"&amp;LEN(G399)-7)))/(ISNUMBER(--MID(G399,ROW(INDIRECT("1:"&amp;LEN(G399)-7)),8))),1),8),"")</f>
        <v/>
      </c>
      <c r="V399" t="inlineStr">
        <is>
          <t>2025-09-30 20:00:00</t>
        </is>
      </c>
    </row>
    <row r="400" ht="30" customFormat="1" customHeight="1" s="1">
      <c r="A400" s="112" t="n"/>
      <c r="B400" s="112" t="n">
        <v>4</v>
      </c>
      <c r="C400" s="112">
        <f>IF(OR(Tabella3[[#This Row],[LUN]]="X",Tabella3[[#This Row],[MAR]]="X",Tabella3[[#This Row],[MER]]="X",Tabella3[[#This Row],[GIO]]="X",Tabella3[[#This Row],[VEN]]="X",),"X","")</f>
        <v/>
      </c>
      <c r="D400" s="113" t="inlineStr">
        <is>
          <t>AREA 3</t>
        </is>
      </c>
      <c r="E400" s="109" t="inlineStr">
        <is>
          <t>536723/C</t>
        </is>
      </c>
      <c r="F400" s="109" t="inlineStr">
        <is>
          <t>1200/1</t>
        </is>
      </c>
      <c r="G400" s="109" t="inlineStr">
        <is>
          <t>10223786 1200/1 - F304CV</t>
        </is>
      </c>
      <c r="H400" s="111" t="n"/>
      <c r="I400" s="111" t="n"/>
      <c r="J400" s="111" t="n"/>
      <c r="K400" s="111" t="n"/>
      <c r="L400" s="111" t="n"/>
      <c r="M400" s="109" t="inlineStr">
        <is>
          <t>INTERROTTO</t>
        </is>
      </c>
      <c r="N400" s="109" t="n"/>
      <c r="O400" s="109" t="n"/>
      <c r="P400" s="109" t="n"/>
      <c r="Q400" s="109" t="inlineStr">
        <is>
          <t>SI CONSIGLIA LA REVISIONE, ARIA APRE IN ASSENZA DI ARIA BLOCCATA AL 25%</t>
        </is>
      </c>
      <c r="R400" s="110" t="n">
        <v>45791</v>
      </c>
      <c r="S400" s="109" t="inlineStr">
        <is>
          <t>MILLO</t>
        </is>
      </c>
      <c r="T400" s="69">
        <f>IF(AND('Inserimento dati'!$B$3=$H$2, Tabella3[[#This Row],[LUN]]="X"), "X",IF(AND('Inserimento dati'!$B$3=$I$2, Tabella3[[#This Row],[MAR]]="X"), "X", IF(AND('Inserimento dati'!$B$3=$J$2, Tabella3[[#This Row],[MER]]="X"), "X",IF(AND('Inserimento dati'!$B$3=$K$2, Tabella3[[#This Row],[GIO]]="X"), "X", IF(AND('Inserimento dati'!$B$3=$L$2, Tabella3[[#This Row],[VEN]]="X"), "X","")))))</f>
        <v/>
      </c>
      <c r="U400" s="144">
        <f>IFERROR(MID(G400,_xlfn.AGGREGATE(15,6,(ROW(INDIRECT("1:"&amp;LEN(G400)-7)))/(ISNUMBER(--MID(G400,ROW(INDIRECT("1:"&amp;LEN(G400)-7)),8))),1),8),"")</f>
        <v/>
      </c>
      <c r="V400" t="inlineStr">
        <is>
          <t>2025-09-30 20:00:00</t>
        </is>
      </c>
    </row>
    <row r="401" ht="30" customFormat="1" customHeight="1" s="1">
      <c r="A401" s="112" t="n"/>
      <c r="B401" s="112" t="n">
        <v>4</v>
      </c>
      <c r="C401" s="112">
        <f>IF(OR(Tabella3[[#This Row],[LUN]]="X",Tabella3[[#This Row],[MAR]]="X",Tabella3[[#This Row],[MER]]="X",Tabella3[[#This Row],[GIO]]="X",Tabella3[[#This Row],[VEN]]="X",),"X","")</f>
        <v/>
      </c>
      <c r="D401" s="113" t="inlineStr">
        <is>
          <t>AREA 3</t>
        </is>
      </c>
      <c r="E401" s="109" t="inlineStr">
        <is>
          <t>529835/C</t>
        </is>
      </c>
      <c r="F401" s="109" t="n">
        <v>1400</v>
      </c>
      <c r="G401" s="109" t="inlineStr">
        <is>
          <t>10217184 1400 - LCV004 controllo funzionale  ed eventuale smontaggio/rimontaggio per revisione  valvola</t>
        </is>
      </c>
      <c r="H401" s="111" t="n"/>
      <c r="I401" s="111" t="n"/>
      <c r="J401" s="111" t="n"/>
      <c r="K401" s="111" t="n"/>
      <c r="L401" s="111" t="n"/>
      <c r="M401" s="109" t="inlineStr">
        <is>
          <t>INTERROTTO</t>
        </is>
      </c>
      <c r="N401" s="109" t="inlineStr">
        <is>
          <t>X</t>
        </is>
      </c>
      <c r="O401" s="109" t="n"/>
      <c r="P401" s="109" t="n"/>
      <c r="Q401" s="109" t="inlineStr">
        <is>
          <t>ATTESA ESE PER SMONTAGGIO</t>
        </is>
      </c>
      <c r="R401" s="110" t="n"/>
      <c r="S401" s="109" t="n"/>
      <c r="T401" s="116">
        <f>IF(AND('Inserimento dati'!$B$3=$H$2, Tabella3[[#This Row],[LUN]]="X"), "X",IF(AND('Inserimento dati'!$B$3=$I$2, Tabella3[[#This Row],[MAR]]="X"), "X", IF(AND('Inserimento dati'!$B$3=$J$2, Tabella3[[#This Row],[MER]]="X"), "X",IF(AND('Inserimento dati'!$B$3=$K$2, Tabella3[[#This Row],[GIO]]="X"), "X", IF(AND('Inserimento dati'!$B$3=$L$2, Tabella3[[#This Row],[VEN]]="X"), "X","")))))</f>
        <v/>
      </c>
      <c r="U401" s="144">
        <f>IFERROR(MID(G401,_xlfn.AGGREGATE(15,6,(ROW(INDIRECT("1:"&amp;LEN(G401)-7)))/(ISNUMBER(--MID(G401,ROW(INDIRECT("1:"&amp;LEN(G401)-7)),8))),1),8),"")</f>
        <v/>
      </c>
      <c r="V401" t="inlineStr">
        <is>
          <t>2025-09-30 20:00:00</t>
        </is>
      </c>
    </row>
    <row r="402" ht="30" customFormat="1" customHeight="1" s="1">
      <c r="A402" s="112" t="n"/>
      <c r="B402" s="112" t="n">
        <v>4</v>
      </c>
      <c r="C402" s="112">
        <f>IF(OR(Tabella3[[#This Row],[LUN]]="X",Tabella3[[#This Row],[MAR]]="X",Tabella3[[#This Row],[MER]]="X",Tabella3[[#This Row],[GIO]]="X",Tabella3[[#This Row],[VEN]]="X",),"X","")</f>
        <v/>
      </c>
      <c r="D402" s="113" t="inlineStr">
        <is>
          <t>AREA 3</t>
        </is>
      </c>
      <c r="E402" s="109" t="inlineStr">
        <is>
          <t>530192/C</t>
        </is>
      </c>
      <c r="F402" s="109" t="n">
        <v>800</v>
      </c>
      <c r="G402" s="109" t="inlineStr">
        <is>
          <t>10220466 800 - F158AR /BR CONTROLLO ENTRAMBI I MISURATORI DI PORTATA CON VERIFICA PRIMARI</t>
        </is>
      </c>
      <c r="H402" s="111" t="n"/>
      <c r="I402" s="111" t="n"/>
      <c r="J402" s="111" t="n"/>
      <c r="K402" s="111" t="n"/>
      <c r="L402" s="111" t="n"/>
      <c r="M402" s="109" t="inlineStr">
        <is>
          <t>INTERROTTO</t>
        </is>
      </c>
      <c r="N402" s="109" t="n"/>
      <c r="O402" s="109" t="n"/>
      <c r="P402" s="109" t="n"/>
      <c r="Q402" s="109" t="n"/>
      <c r="R402" s="110" t="n"/>
      <c r="S402" s="109" t="n"/>
      <c r="T402" s="116">
        <f>IF(AND('Inserimento dati'!$B$3=$H$2, Tabella3[[#This Row],[LUN]]="X"), "X",IF(AND('Inserimento dati'!$B$3=$I$2, Tabella3[[#This Row],[MAR]]="X"), "X", IF(AND('Inserimento dati'!$B$3=$J$2, Tabella3[[#This Row],[MER]]="X"), "X",IF(AND('Inserimento dati'!$B$3=$K$2, Tabella3[[#This Row],[GIO]]="X"), "X", IF(AND('Inserimento dati'!$B$3=$L$2, Tabella3[[#This Row],[VEN]]="X"), "X","")))))</f>
        <v/>
      </c>
      <c r="U402" s="144">
        <f>IFERROR(MID(G402,_xlfn.AGGREGATE(15,6,(ROW(INDIRECT("1:"&amp;LEN(G402)-7)))/(ISNUMBER(--MID(G402,ROW(INDIRECT("1:"&amp;LEN(G402)-7)),8))),1),8),"")</f>
        <v/>
      </c>
      <c r="V402" t="inlineStr">
        <is>
          <t>2025-09-30 20:00:00</t>
        </is>
      </c>
    </row>
    <row r="403" ht="30" customFormat="1" customHeight="1" s="1">
      <c r="A403" s="112" t="n"/>
      <c r="B403" s="112" t="n">
        <v>4</v>
      </c>
      <c r="C403" s="112">
        <f>IF(OR(Tabella3[[#This Row],[LUN]]="X",Tabella3[[#This Row],[MAR]]="X",Tabella3[[#This Row],[MER]]="X",Tabella3[[#This Row],[GIO]]="X",Tabella3[[#This Row],[VEN]]="X",),"X","")</f>
        <v/>
      </c>
      <c r="D403" s="113" t="inlineStr">
        <is>
          <t>AREA 3</t>
        </is>
      </c>
      <c r="E403" s="109" t="inlineStr">
        <is>
          <t>527952/C</t>
        </is>
      </c>
      <c r="F403" s="109" t="inlineStr">
        <is>
          <t>1200/2</t>
        </is>
      </c>
      <c r="G403" s="109" t="inlineStr">
        <is>
          <t xml:space="preserve">10218827 1200/2 - controllo funzionale FCV302  SWS gas </t>
        </is>
      </c>
      <c r="H403" s="111" t="n"/>
      <c r="I403" s="111" t="n"/>
      <c r="J403" s="111" t="n"/>
      <c r="K403" s="111" t="n"/>
      <c r="L403" s="111" t="n"/>
      <c r="M403" s="109" t="inlineStr">
        <is>
          <t>INTERROTTO</t>
        </is>
      </c>
      <c r="N403" s="109" t="inlineStr">
        <is>
          <t>X</t>
        </is>
      </c>
      <c r="O403" s="109" t="n"/>
      <c r="P403" s="109" t="n"/>
      <c r="Q403" s="109" t="inlineStr">
        <is>
          <t>LA VALVOLA NON SENTE LE PICCOLE PERCENTUALI, NON MOVIMENTABILE PER ESIGENZE DI IMPIANTO.</t>
        </is>
      </c>
      <c r="R403" s="110" t="n">
        <v>45775</v>
      </c>
      <c r="S403" s="109" t="inlineStr">
        <is>
          <t>CIANCHINO/SAGGIO</t>
        </is>
      </c>
      <c r="T403" s="116">
        <f>IF(AND('Inserimento dati'!$B$3=$H$2, Tabella3[[#This Row],[LUN]]="X"), "X",IF(AND('Inserimento dati'!$B$3=$I$2, Tabella3[[#This Row],[MAR]]="X"), "X", IF(AND('Inserimento dati'!$B$3=$J$2, Tabella3[[#This Row],[MER]]="X"), "X",IF(AND('Inserimento dati'!$B$3=$K$2, Tabella3[[#This Row],[GIO]]="X"), "X", IF(AND('Inserimento dati'!$B$3=$L$2, Tabella3[[#This Row],[VEN]]="X"), "X","")))))</f>
        <v/>
      </c>
      <c r="U403" s="144">
        <f>IFERROR(MID(G403,_xlfn.AGGREGATE(15,6,(ROW(INDIRECT("1:"&amp;LEN(G403)-7)))/(ISNUMBER(--MID(G403,ROW(INDIRECT("1:"&amp;LEN(G403)-7)),8))),1),8),"")</f>
        <v/>
      </c>
      <c r="V403" t="inlineStr">
        <is>
          <t>2025-09-30 20:00:00</t>
        </is>
      </c>
    </row>
    <row r="404" ht="23.25" customFormat="1" customHeight="1" s="1">
      <c r="A404" s="112" t="n"/>
      <c r="B404" s="112" t="n">
        <v>4</v>
      </c>
      <c r="C404" s="112">
        <f>IF(OR(Tabella3[[#This Row],[LUN]]="X",Tabella3[[#This Row],[MAR]]="X",Tabella3[[#This Row],[MER]]="X",Tabella3[[#This Row],[GIO]]="X",Tabella3[[#This Row],[VEN]]="X",),"X","")</f>
        <v/>
      </c>
      <c r="D404" s="113" t="inlineStr">
        <is>
          <t>AREA 3</t>
        </is>
      </c>
      <c r="E404" s="109" t="inlineStr">
        <is>
          <t>532172/C</t>
        </is>
      </c>
      <c r="F404" s="109" t="inlineStr">
        <is>
          <t>1200/M</t>
        </is>
      </c>
      <c r="G404" s="109" t="inlineStr">
        <is>
          <t>10215992 1200/M - ZMF718R(tail gas a MAXI sulf)  controllo funzional</t>
        </is>
      </c>
      <c r="H404" s="111" t="n"/>
      <c r="I404" s="111" t="n"/>
      <c r="J404" s="111" t="n"/>
      <c r="K404" s="111" t="n"/>
      <c r="L404" s="111" t="n"/>
      <c r="M404" s="109" t="inlineStr">
        <is>
          <t>INTERROTTO</t>
        </is>
      </c>
      <c r="N404" s="109" t="n"/>
      <c r="O404" s="109" t="n"/>
      <c r="P404" s="109" t="n"/>
      <c r="Q404" s="109" t="inlineStr">
        <is>
          <t>TURBINETTA</t>
        </is>
      </c>
      <c r="R404" s="110" t="n"/>
      <c r="S404" s="110" t="n"/>
      <c r="T404" s="112">
        <f>IF(AND('Inserimento dati'!$B$3=$H$2, Tabella3[[#This Row],[LUN]]="X"), "X",IF(AND('Inserimento dati'!$B$3=$I$2, Tabella3[[#This Row],[MAR]]="X"), "X", IF(AND('Inserimento dati'!$B$3=$J$2, Tabella3[[#This Row],[MER]]="X"), "X",IF(AND('Inserimento dati'!$B$3=$K$2, Tabella3[[#This Row],[GIO]]="X"), "X", IF(AND('Inserimento dati'!$B$3=$L$2, Tabella3[[#This Row],[VEN]]="X"), "X","")))))</f>
        <v/>
      </c>
      <c r="U404" s="144">
        <f>IFERROR(MID(G404,_xlfn.AGGREGATE(15,6,(ROW(INDIRECT("1:"&amp;LEN(G404)-7)))/(ISNUMBER(--MID(G404,ROW(INDIRECT("1:"&amp;LEN(G404)-7)),8))),1),8),"")</f>
        <v/>
      </c>
      <c r="V404" t="inlineStr">
        <is>
          <t>2025-09-30 20:00:00</t>
        </is>
      </c>
    </row>
    <row r="405" ht="30" customFormat="1" customHeight="1" s="1">
      <c r="A405" s="112" t="n"/>
      <c r="B405" s="112" t="n">
        <v>4</v>
      </c>
      <c r="C405" s="112">
        <f>IF(OR(Tabella3[[#This Row],[LUN]]="X",Tabella3[[#This Row],[MAR]]="X",Tabella3[[#This Row],[MER]]="X",Tabella3[[#This Row],[GIO]]="X",Tabella3[[#This Row],[VEN]]="X",),"X","")</f>
        <v/>
      </c>
      <c r="D405" s="113" t="inlineStr">
        <is>
          <t>AREA 3</t>
        </is>
      </c>
      <c r="E405" s="109" t="inlineStr">
        <is>
          <t>527516/C</t>
        </is>
      </c>
      <c r="F405" s="109" t="n">
        <v>1800</v>
      </c>
      <c r="G405" s="109" t="inlineStr">
        <is>
          <t xml:space="preserve"> 1800 - D111 L042R CONTROLLO RIPRISTINO ED EVENTUALE SOSTITUZIONE TESTINA</t>
        </is>
      </c>
      <c r="H405" s="111" t="n"/>
      <c r="I405" s="111" t="n"/>
      <c r="J405" s="111" t="n"/>
      <c r="K405" s="111" t="n"/>
      <c r="L405" s="111" t="n"/>
      <c r="M405" s="109" t="inlineStr">
        <is>
          <t>INTERROTTO</t>
        </is>
      </c>
      <c r="N405" s="109" t="n"/>
      <c r="O405" s="109" t="n"/>
      <c r="P405" s="109" t="n"/>
      <c r="Q405" s="109" t="inlineStr">
        <is>
          <t>DA SOSTITUIRE TORSIONALE</t>
        </is>
      </c>
      <c r="R405" s="110" t="n">
        <v>45715</v>
      </c>
      <c r="S405" s="109" t="inlineStr">
        <is>
          <t>MILLO/ALLEGRETTI</t>
        </is>
      </c>
      <c r="T405" s="116">
        <f>IF(AND('Inserimento dati'!$B$3=$H$2, Tabella3[[#This Row],[LUN]]="X"), "X",IF(AND('Inserimento dati'!$B$3=$I$2, Tabella3[[#This Row],[MAR]]="X"), "X", IF(AND('Inserimento dati'!$B$3=$J$2, Tabella3[[#This Row],[MER]]="X"), "X",IF(AND('Inserimento dati'!$B$3=$K$2, Tabella3[[#This Row],[GIO]]="X"), "X", IF(AND('Inserimento dati'!$B$3=$L$2, Tabella3[[#This Row],[VEN]]="X"), "X","")))))</f>
        <v/>
      </c>
      <c r="U405" s="144">
        <f>IFERROR(MID(G405,_xlfn.AGGREGATE(15,6,(ROW(INDIRECT("1:"&amp;LEN(G405)-7)))/(ISNUMBER(--MID(G405,ROW(INDIRECT("1:"&amp;LEN(G405)-7)),8))),1),8),"")</f>
        <v/>
      </c>
      <c r="V405" t="inlineStr">
        <is>
          <t>2025-09-30 20:00:00</t>
        </is>
      </c>
    </row>
    <row r="406" ht="45" customFormat="1" customHeight="1" s="1">
      <c r="A406" s="112" t="n"/>
      <c r="B406" s="112" t="n">
        <v>4</v>
      </c>
      <c r="C406" s="112">
        <f>IF(OR(Tabella3[[#This Row],[LUN]]="X",Tabella3[[#This Row],[MAR]]="X",Tabella3[[#This Row],[MER]]="X",Tabella3[[#This Row],[GIO]]="X",Tabella3[[#This Row],[VEN]]="X",),"X","")</f>
        <v/>
      </c>
      <c r="D406" s="113" t="inlineStr">
        <is>
          <t>AREA 3</t>
        </is>
      </c>
      <c r="E406" s="109" t="inlineStr">
        <is>
          <t>532614/C</t>
        </is>
      </c>
      <c r="F406" s="109" t="n">
        <v>1800</v>
      </c>
      <c r="G406" s="109" t="inlineStr">
        <is>
          <t xml:space="preserve"> 1800 - F063AT/BT SMONTAGGIO/E RIMONTAGGIO PRIMARIO STRUMENTI PER COSTRUZIONE TUBING AMMALORATO</t>
        </is>
      </c>
      <c r="H406" s="111" t="n"/>
      <c r="I406" s="111" t="n"/>
      <c r="J406" s="111" t="n"/>
      <c r="K406" s="111" t="n"/>
      <c r="L406" s="111" t="n"/>
      <c r="M406" s="109" t="inlineStr">
        <is>
          <t>INTERROTTO</t>
        </is>
      </c>
      <c r="N406" s="109" t="n"/>
      <c r="O406" s="109" t="n"/>
      <c r="P406" s="109" t="n"/>
      <c r="Q406" s="109" t="inlineStr">
        <is>
          <t>MECCANICI HANNO RIPRISTINATO PIPING E SUCCESSIVAMENTE COEMI RICOLLEGHERA' TRACCIATURA STRUMENTO. NON FATTO CAUSA EMERGENZA</t>
        </is>
      </c>
      <c r="R406" s="110" t="n">
        <v>45756</v>
      </c>
      <c r="S406" s="109" t="inlineStr">
        <is>
          <t>DE LUCA</t>
        </is>
      </c>
      <c r="T406" s="116">
        <f>IF(AND('Inserimento dati'!$B$3=$H$2, Tabella3[[#This Row],[LUN]]="X"), "X",IF(AND('Inserimento dati'!$B$3=$I$2, Tabella3[[#This Row],[MAR]]="X"), "X", IF(AND('Inserimento dati'!$B$3=$J$2, Tabella3[[#This Row],[MER]]="X"), "X",IF(AND('Inserimento dati'!$B$3=$K$2, Tabella3[[#This Row],[GIO]]="X"), "X", IF(AND('Inserimento dati'!$B$3=$L$2, Tabella3[[#This Row],[VEN]]="X"), "X","")))))</f>
        <v/>
      </c>
      <c r="U406" s="144">
        <f>IFERROR(MID(G406,_xlfn.AGGREGATE(15,6,(ROW(INDIRECT("1:"&amp;LEN(G406)-7)))/(ISNUMBER(--MID(G406,ROW(INDIRECT("1:"&amp;LEN(G406)-7)),8))),1),8),"")</f>
        <v/>
      </c>
      <c r="V406" t="inlineStr">
        <is>
          <t>2025-09-30 20:00:00</t>
        </is>
      </c>
    </row>
    <row r="407" ht="30" customFormat="1" customHeight="1" s="1">
      <c r="A407" s="112" t="n"/>
      <c r="B407" s="112" t="n">
        <v>4</v>
      </c>
      <c r="C407" s="112">
        <f>IF(OR(Tabella3[[#This Row],[LUN]]="X",Tabella3[[#This Row],[MAR]]="X",Tabella3[[#This Row],[MER]]="X",Tabella3[[#This Row],[GIO]]="X",Tabella3[[#This Row],[VEN]]="X",),"X","")</f>
        <v/>
      </c>
      <c r="D407" s="113" t="inlineStr">
        <is>
          <t>AREA 3</t>
        </is>
      </c>
      <c r="E407" s="109" t="inlineStr">
        <is>
          <t>525746/C</t>
        </is>
      </c>
      <c r="F407" s="109" t="inlineStr">
        <is>
          <t>1200/1</t>
        </is>
      </c>
      <c r="G407" s="109" t="inlineStr">
        <is>
          <t xml:space="preserve"> 1200/1 - L502 CONTROLLO E TARATURA CON ALLINEAMENTO CON SALA CONTROLLO</t>
        </is>
      </c>
      <c r="H407" s="111" t="n"/>
      <c r="I407" s="111" t="n"/>
      <c r="J407" s="111" t="n"/>
      <c r="K407" s="111" t="n"/>
      <c r="L407" s="111" t="n"/>
      <c r="M407" s="109" t="inlineStr">
        <is>
          <t>INTERROTTO</t>
        </is>
      </c>
      <c r="N407" s="109" t="n"/>
      <c r="O407" s="109" t="n"/>
      <c r="P407" s="109" t="n"/>
      <c r="Q407" s="109" t="inlineStr">
        <is>
          <t>SUL LIVELLO SI E' FATTA LA PROVA DI STASATURA CON POMPA ALTA PRESSIONE  ESITO NEGATIVO, IL LIVELLO RIMANE TAPPATO.</t>
        </is>
      </c>
      <c r="R407" s="110" t="n">
        <v>45726</v>
      </c>
      <c r="S407" s="109" t="inlineStr">
        <is>
          <t>TARASCIO</t>
        </is>
      </c>
      <c r="T407" s="116">
        <f>IF(AND('Inserimento dati'!$B$3=$H$2, Tabella3[[#This Row],[LUN]]="X"), "X",IF(AND('Inserimento dati'!$B$3=$I$2, Tabella3[[#This Row],[MAR]]="X"), "X", IF(AND('Inserimento dati'!$B$3=$J$2, Tabella3[[#This Row],[MER]]="X"), "X",IF(AND('Inserimento dati'!$B$3=$K$2, Tabella3[[#This Row],[GIO]]="X"), "X", IF(AND('Inserimento dati'!$B$3=$L$2, Tabella3[[#This Row],[VEN]]="X"), "X","")))))</f>
        <v/>
      </c>
      <c r="U407" s="144">
        <f>IFERROR(MID(G407,_xlfn.AGGREGATE(15,6,(ROW(INDIRECT("1:"&amp;LEN(G407)-7)))/(ISNUMBER(--MID(G407,ROW(INDIRECT("1:"&amp;LEN(G407)-7)),8))),1),8),"")</f>
        <v/>
      </c>
      <c r="V407" t="inlineStr">
        <is>
          <t>2025-09-30 20:00:00</t>
        </is>
      </c>
    </row>
    <row r="408" ht="30" customFormat="1" customHeight="1" s="1">
      <c r="A408" s="112" t="n"/>
      <c r="B408" s="112" t="n">
        <v>4</v>
      </c>
      <c r="C408" s="112">
        <f>IF(OR(Tabella3[[#This Row],[LUN]]="X",Tabella3[[#This Row],[MAR]]="X",Tabella3[[#This Row],[MER]]="X",Tabella3[[#This Row],[GIO]]="X",Tabella3[[#This Row],[VEN]]="X",),"X","")</f>
        <v/>
      </c>
      <c r="D408" s="113" t="inlineStr">
        <is>
          <t>AREA 3</t>
        </is>
      </c>
      <c r="E408" s="109" t="inlineStr">
        <is>
          <t>527523/C</t>
        </is>
      </c>
      <c r="F408" s="109" t="n">
        <v>1100</v>
      </c>
      <c r="G408" s="109" t="inlineStr">
        <is>
          <t xml:space="preserve"> 1100 - F161R CONTROLLO FUNZIONALE</t>
        </is>
      </c>
      <c r="H408" s="111" t="n"/>
      <c r="I408" s="111" t="n"/>
      <c r="J408" s="111" t="n"/>
      <c r="K408" s="111" t="n"/>
      <c r="L408" s="111" t="n"/>
      <c r="M408" s="109" t="inlineStr">
        <is>
          <t>INTERROTTO</t>
        </is>
      </c>
      <c r="N408" s="109" t="n"/>
      <c r="O408" s="109" t="n"/>
      <c r="P408" s="109" t="n"/>
      <c r="Q408" s="109" t="inlineStr">
        <is>
          <t>CONTROLLATO TX, PRESE LIBERE. LA MISURA CON TX INSERITO E' MOLTO INSTABILE, SI CONSIGLIA LA SOSTITUZIONE DEL TX.</t>
        </is>
      </c>
      <c r="R408" s="110" t="n">
        <v>45720</v>
      </c>
      <c r="S408" s="109" t="inlineStr">
        <is>
          <t>TARASCIO/GARRO S.</t>
        </is>
      </c>
      <c r="T408" s="116">
        <f>IF(AND('Inserimento dati'!$B$3=$H$2, Tabella3[[#This Row],[LUN]]="X"), "X",IF(AND('Inserimento dati'!$B$3=$I$2, Tabella3[[#This Row],[MAR]]="X"), "X", IF(AND('Inserimento dati'!$B$3=$J$2, Tabella3[[#This Row],[MER]]="X"), "X",IF(AND('Inserimento dati'!$B$3=$K$2, Tabella3[[#This Row],[GIO]]="X"), "X", IF(AND('Inserimento dati'!$B$3=$L$2, Tabella3[[#This Row],[VEN]]="X"), "X","")))))</f>
        <v/>
      </c>
      <c r="U408" s="144">
        <f>IFERROR(MID(G408,_xlfn.AGGREGATE(15,6,(ROW(INDIRECT("1:"&amp;LEN(G408)-7)))/(ISNUMBER(--MID(G408,ROW(INDIRECT("1:"&amp;LEN(G408)-7)),8))),1),8),"")</f>
        <v/>
      </c>
      <c r="V408" t="inlineStr">
        <is>
          <t>2025-09-30 20:00:00</t>
        </is>
      </c>
    </row>
    <row r="409" ht="30" customFormat="1" customHeight="1" s="1">
      <c r="A409" s="112" t="n"/>
      <c r="B409" s="112" t="n">
        <v>4</v>
      </c>
      <c r="C409" s="112">
        <f>IF(OR(Tabella3[[#This Row],[LUN]]="X",Tabella3[[#This Row],[MAR]]="X",Tabella3[[#This Row],[MER]]="X",Tabella3[[#This Row],[GIO]]="X",Tabella3[[#This Row],[VEN]]="X",),"X","")</f>
        <v/>
      </c>
      <c r="D409" s="113" t="inlineStr">
        <is>
          <t>AREA 3</t>
        </is>
      </c>
      <c r="E409" s="109" t="inlineStr">
        <is>
          <t>527529/C</t>
        </is>
      </c>
      <c r="F409" s="109" t="n">
        <v>800</v>
      </c>
      <c r="G409" s="109" t="inlineStr">
        <is>
          <t xml:space="preserve"> 800 - F166I STRUMENTO TERMO MASSICO, SFILARLO DAL PROCESSO CHIUDERE LA VALVOLA DI INTERCETTO SMONTARLO E PULIRE L'ELEMENTO SENSIBILE</t>
        </is>
      </c>
      <c r="H409" s="111" t="n"/>
      <c r="I409" s="111" t="n"/>
      <c r="J409" s="111" t="n"/>
      <c r="K409" s="111" t="n"/>
      <c r="L409" s="111" t="n"/>
      <c r="M409" s="109" t="inlineStr">
        <is>
          <t>INTERROTTO</t>
        </is>
      </c>
      <c r="N409" s="109" t="n"/>
      <c r="O409" s="109" t="n"/>
      <c r="P409" s="109" t="n"/>
      <c r="Q409" s="109" t="inlineStr">
        <is>
          <t>SERVE PONTEGGIO PER ACCEDERE ALLA TESTINA DEL MASSICO</t>
        </is>
      </c>
      <c r="R409" s="110" t="n">
        <v>45719</v>
      </c>
      <c r="S409" s="109" t="inlineStr">
        <is>
          <t>TARASCIO/GARRO S.</t>
        </is>
      </c>
      <c r="T409" s="116">
        <f>IF(AND('Inserimento dati'!$B$3=$H$2, Tabella3[[#This Row],[LUN]]="X"), "X",IF(AND('Inserimento dati'!$B$3=$I$2, Tabella3[[#This Row],[MAR]]="X"), "X", IF(AND('Inserimento dati'!$B$3=$J$2, Tabella3[[#This Row],[MER]]="X"), "X",IF(AND('Inserimento dati'!$B$3=$K$2, Tabella3[[#This Row],[GIO]]="X"), "X", IF(AND('Inserimento dati'!$B$3=$L$2, Tabella3[[#This Row],[VEN]]="X"), "X","")))))</f>
        <v/>
      </c>
      <c r="U409" s="144">
        <f>IFERROR(MID(G409,_xlfn.AGGREGATE(15,6,(ROW(INDIRECT("1:"&amp;LEN(G409)-7)))/(ISNUMBER(--MID(G409,ROW(INDIRECT("1:"&amp;LEN(G409)-7)),8))),1),8),"")</f>
        <v/>
      </c>
      <c r="V409" t="inlineStr">
        <is>
          <t>2025-09-30 20:00:00</t>
        </is>
      </c>
    </row>
    <row r="410" ht="30" customFormat="1" customHeight="1" s="1">
      <c r="A410" s="112" t="n"/>
      <c r="B410" s="112" t="n">
        <v>4</v>
      </c>
      <c r="C410" s="112">
        <f>IF(OR(Tabella3[[#This Row],[LUN]]="X",Tabella3[[#This Row],[MAR]]="X",Tabella3[[#This Row],[MER]]="X",Tabella3[[#This Row],[GIO]]="X",Tabella3[[#This Row],[VEN]]="X",),"X","")</f>
        <v/>
      </c>
      <c r="D410" s="113" t="inlineStr">
        <is>
          <t>AREA 3</t>
        </is>
      </c>
      <c r="E410" s="109" t="inlineStr">
        <is>
          <t>526467/C</t>
        </is>
      </c>
      <c r="F410" s="109" t="n">
        <v>800</v>
      </c>
      <c r="G410" s="109" t="inlineStr">
        <is>
          <t xml:space="preserve"> 800 - ELIM PERDITA DA FCV120</t>
        </is>
      </c>
      <c r="H410" s="111" t="n"/>
      <c r="I410" s="111" t="n"/>
      <c r="J410" s="111" t="n"/>
      <c r="K410" s="111" t="n"/>
      <c r="L410" s="111" t="n"/>
      <c r="M410" s="109" t="inlineStr">
        <is>
          <t>INTERROTTO</t>
        </is>
      </c>
      <c r="N410" s="109" t="inlineStr">
        <is>
          <t>X</t>
        </is>
      </c>
      <c r="O410" s="109" t="n"/>
      <c r="P410" s="109" t="n"/>
      <c r="Q410" s="109" t="inlineStr">
        <is>
          <t>LA VALVOLA E' DA SMONTARE E REVISIONARE</t>
        </is>
      </c>
      <c r="R410" s="110" t="n">
        <v>45707</v>
      </c>
      <c r="S410" s="109" t="inlineStr">
        <is>
          <t>GARRO L./GARRO S.</t>
        </is>
      </c>
      <c r="T410" s="116">
        <f>IF(AND('Inserimento dati'!$B$3=$H$2, Tabella3[[#This Row],[LUN]]="X"), "X",IF(AND('Inserimento dati'!$B$3=$I$2, Tabella3[[#This Row],[MAR]]="X"), "X", IF(AND('Inserimento dati'!$B$3=$J$2, Tabella3[[#This Row],[MER]]="X"), "X",IF(AND('Inserimento dati'!$B$3=$K$2, Tabella3[[#This Row],[GIO]]="X"), "X", IF(AND('Inserimento dati'!$B$3=$L$2, Tabella3[[#This Row],[VEN]]="X"), "X","")))))</f>
        <v/>
      </c>
      <c r="U410" s="144">
        <f>IFERROR(MID(G410,_xlfn.AGGREGATE(15,6,(ROW(INDIRECT("1:"&amp;LEN(G410)-7)))/(ISNUMBER(--MID(G410,ROW(INDIRECT("1:"&amp;LEN(G410)-7)),8))),1),8),"")</f>
        <v/>
      </c>
      <c r="V410" t="inlineStr">
        <is>
          <t>2025-09-30 20:00:00</t>
        </is>
      </c>
    </row>
    <row r="411" ht="30" customFormat="1" customHeight="1" s="1">
      <c r="A411" s="112" t="n"/>
      <c r="B411" s="112" t="n">
        <v>4</v>
      </c>
      <c r="C411" s="112">
        <f>IF(OR(Tabella3[[#This Row],[LUN]]="X",Tabella3[[#This Row],[MAR]]="X",Tabella3[[#This Row],[MER]]="X",Tabella3[[#This Row],[GIO]]="X",Tabella3[[#This Row],[VEN]]="X",),"X","")</f>
        <v/>
      </c>
      <c r="D411" s="113" t="inlineStr">
        <is>
          <t>AREA 3</t>
        </is>
      </c>
      <c r="E411" s="109" t="inlineStr">
        <is>
          <t>524753/C</t>
        </is>
      </c>
      <c r="F411" s="109" t="inlineStr">
        <is>
          <t>1200/4</t>
        </is>
      </c>
      <c r="G411" s="109" t="inlineStr">
        <is>
          <t xml:space="preserve"> 1200/4 - controllo Livellostati D101 e D102 Linea 4</t>
        </is>
      </c>
      <c r="H411" s="111" t="n"/>
      <c r="I411" s="111" t="n"/>
      <c r="J411" s="111" t="n"/>
      <c r="K411" s="111" t="n"/>
      <c r="L411" s="111" t="n"/>
      <c r="M411" s="109" t="inlineStr">
        <is>
          <t>INTERROTTO</t>
        </is>
      </c>
      <c r="N411" s="109" t="inlineStr">
        <is>
          <t>X</t>
        </is>
      </c>
      <c r="O411" s="109" t="inlineStr">
        <is>
          <t>X</t>
        </is>
      </c>
      <c r="P411" s="109" t="n"/>
      <c r="Q411" s="109" t="inlineStr">
        <is>
          <t>PONTEGGIO REALIZZATO, IN ATTESA ESE PER BONIFICA STRUMENTI.</t>
        </is>
      </c>
      <c r="R411" s="110" t="n">
        <v>45694</v>
      </c>
      <c r="S411" s="110" t="inlineStr">
        <is>
          <t>TARASCIO/PARTESANO</t>
        </is>
      </c>
      <c r="T411" s="116">
        <f>IF(AND('Inserimento dati'!$B$3=$H$2, Tabella3[[#This Row],[LUN]]="X"), "X",IF(AND('Inserimento dati'!$B$3=$I$2, Tabella3[[#This Row],[MAR]]="X"), "X", IF(AND('Inserimento dati'!$B$3=$J$2, Tabella3[[#This Row],[MER]]="X"), "X",IF(AND('Inserimento dati'!$B$3=$K$2, Tabella3[[#This Row],[GIO]]="X"), "X", IF(AND('Inserimento dati'!$B$3=$L$2, Tabella3[[#This Row],[VEN]]="X"), "X","")))))</f>
        <v/>
      </c>
      <c r="U411" s="144">
        <f>IFERROR(MID(G411,_xlfn.AGGREGATE(15,6,(ROW(INDIRECT("1:"&amp;LEN(G411)-7)))/(ISNUMBER(--MID(G411,ROW(INDIRECT("1:"&amp;LEN(G411)-7)),8))),1),8),"")</f>
        <v/>
      </c>
      <c r="V411" t="inlineStr">
        <is>
          <t>2025-09-30 20:00:00</t>
        </is>
      </c>
    </row>
    <row r="412" ht="30" customFormat="1" customHeight="1" s="1">
      <c r="A412" s="112" t="n"/>
      <c r="B412" s="112" t="n">
        <v>4</v>
      </c>
      <c r="C412" s="112">
        <f>IF(OR(Tabella3[[#This Row],[LUN]]="X",Tabella3[[#This Row],[MAR]]="X",Tabella3[[#This Row],[MER]]="X",Tabella3[[#This Row],[GIO]]="X",Tabella3[[#This Row],[VEN]]="X",),"X","")</f>
        <v/>
      </c>
      <c r="D412" s="113" t="inlineStr">
        <is>
          <t>AREA 3</t>
        </is>
      </c>
      <c r="E412" s="109" t="inlineStr">
        <is>
          <t>523500/C</t>
        </is>
      </c>
      <c r="F412" s="109" t="inlineStr">
        <is>
          <t>1200/0</t>
        </is>
      </c>
      <c r="G412" s="109" t="inlineStr">
        <is>
          <t xml:space="preserve"> Z0T970ABI.pv ((Temp. Met. Caldai tubi a)  controllo funzionale</t>
        </is>
      </c>
      <c r="H412" s="111" t="n"/>
      <c r="I412" s="111" t="n"/>
      <c r="J412" s="111" t="n"/>
      <c r="K412" s="111" t="n"/>
      <c r="L412" s="111" t="n"/>
      <c r="M412" s="109" t="inlineStr">
        <is>
          <t>INTERROTTO</t>
        </is>
      </c>
      <c r="N412" s="109" t="n"/>
      <c r="O412" s="109" t="inlineStr">
        <is>
          <t>X</t>
        </is>
      </c>
      <c r="P412" s="109" t="n"/>
      <c r="Q412" s="109" t="inlineStr">
        <is>
          <t>NECESSITA PONTEGGIO. TEMPERATURA IN BAD. SKIN POINT GUASTA. POSSIBILE SOSTITUZIONE IN FERMATA</t>
        </is>
      </c>
      <c r="R412" s="110" t="n">
        <v>45694</v>
      </c>
      <c r="S412" s="110" t="inlineStr">
        <is>
          <t>TARASCIO/PARTESANO</t>
        </is>
      </c>
      <c r="T412" s="112">
        <f>IF(AND('Inserimento dati'!$B$3=$H$2, Tabella3[[#This Row],[LUN]]="X"), "X",IF(AND('Inserimento dati'!$B$3=$I$2, Tabella3[[#This Row],[MAR]]="X"), "X", IF(AND('Inserimento dati'!$B$3=$J$2, Tabella3[[#This Row],[MER]]="X"), "X",IF(AND('Inserimento dati'!$B$3=$K$2, Tabella3[[#This Row],[GIO]]="X"), "X", IF(AND('Inserimento dati'!$B$3=$L$2, Tabella3[[#This Row],[VEN]]="X"), "X","")))))</f>
        <v/>
      </c>
      <c r="U412" s="144">
        <f>IFERROR(MID(G412,_xlfn.AGGREGATE(15,6,(ROW(INDIRECT("1:"&amp;LEN(G412)-7)))/(ISNUMBER(--MID(G412,ROW(INDIRECT("1:"&amp;LEN(G412)-7)),8))),1),8),"")</f>
        <v/>
      </c>
      <c r="V412" t="inlineStr">
        <is>
          <t>2025-09-30 20:00:00</t>
        </is>
      </c>
    </row>
    <row r="413" ht="30" customFormat="1" customHeight="1" s="1">
      <c r="A413" s="112" t="n"/>
      <c r="B413" s="112" t="n">
        <v>4</v>
      </c>
      <c r="C413" s="112">
        <f>IF(OR(Tabella3[[#This Row],[LUN]]="X",Tabella3[[#This Row],[MAR]]="X",Tabella3[[#This Row],[MER]]="X",Tabella3[[#This Row],[GIO]]="X",Tabella3[[#This Row],[VEN]]="X",),"X","")</f>
        <v/>
      </c>
      <c r="D413" s="113" t="inlineStr">
        <is>
          <t>AREA 3</t>
        </is>
      </c>
      <c r="E413" s="109" t="inlineStr">
        <is>
          <t>523499/C</t>
        </is>
      </c>
      <c r="F413" s="109" t="inlineStr">
        <is>
          <t>1200/0</t>
        </is>
      </c>
      <c r="G413" s="109" t="inlineStr">
        <is>
          <t xml:space="preserve"> Z0T970AAI.pv (Temp. Met. Caldai tubi a)  controllo funzionale</t>
        </is>
      </c>
      <c r="H413" s="111" t="n"/>
      <c r="I413" s="111" t="n"/>
      <c r="J413" s="111" t="n"/>
      <c r="K413" s="111" t="n"/>
      <c r="L413" s="111" t="n"/>
      <c r="M413" s="109" t="inlineStr">
        <is>
          <t>INTERROTTO</t>
        </is>
      </c>
      <c r="N413" s="109" t="inlineStr">
        <is>
          <t>X</t>
        </is>
      </c>
      <c r="O413" s="109" t="inlineStr">
        <is>
          <t>X</t>
        </is>
      </c>
      <c r="P413" s="109" t="n"/>
      <c r="Q413" s="109" t="inlineStr">
        <is>
          <t>NECESSITA PONTEGGIO. TEMPERATURA SKINPOINT IN BAD. POSSIBILE SOSTITUZIONE IN FERMATA</t>
        </is>
      </c>
      <c r="R413" s="110" t="n">
        <v>45694</v>
      </c>
      <c r="S413" s="110" t="inlineStr">
        <is>
          <t>TARASCIO/PARTESANO</t>
        </is>
      </c>
      <c r="T413" s="112">
        <f>IF(AND('Inserimento dati'!$B$3=$H$2, Tabella3[[#This Row],[LUN]]="X"), "X",IF(AND('Inserimento dati'!$B$3=$I$2, Tabella3[[#This Row],[MAR]]="X"), "X", IF(AND('Inserimento dati'!$B$3=$J$2, Tabella3[[#This Row],[MER]]="X"), "X",IF(AND('Inserimento dati'!$B$3=$K$2, Tabella3[[#This Row],[GIO]]="X"), "X", IF(AND('Inserimento dati'!$B$3=$L$2, Tabella3[[#This Row],[VEN]]="X"), "X","")))))</f>
        <v/>
      </c>
      <c r="U413" s="144">
        <f>IFERROR(MID(G413,_xlfn.AGGREGATE(15,6,(ROW(INDIRECT("1:"&amp;LEN(G413)-7)))/(ISNUMBER(--MID(G413,ROW(INDIRECT("1:"&amp;LEN(G413)-7)),8))),1),8),"")</f>
        <v/>
      </c>
      <c r="V413" t="inlineStr">
        <is>
          <t>2025-09-30 20:00:00</t>
        </is>
      </c>
    </row>
    <row r="414" ht="30" customFormat="1" customHeight="1" s="1">
      <c r="A414" s="112" t="n"/>
      <c r="B414" s="112" t="n">
        <v>4</v>
      </c>
      <c r="C414" s="112">
        <f>IF(OR(Tabella3[[#This Row],[LUN]]="X",Tabella3[[#This Row],[MAR]]="X",Tabella3[[#This Row],[MER]]="X",Tabella3[[#This Row],[GIO]]="X",Tabella3[[#This Row],[VEN]]="X",),"X","")</f>
        <v/>
      </c>
      <c r="D414" s="113" t="inlineStr">
        <is>
          <t>AREA 3</t>
        </is>
      </c>
      <c r="E414" s="109" t="inlineStr">
        <is>
          <t>523494/C</t>
        </is>
      </c>
      <c r="F414" s="109" t="inlineStr">
        <is>
          <t>1200/M</t>
        </is>
      </c>
      <c r="G414" s="109" t="inlineStr">
        <is>
          <t xml:space="preserve"> Misuratori pressione In/OUT R203 ZMP801DI  controllo funzionale</t>
        </is>
      </c>
      <c r="H414" s="111" t="n"/>
      <c r="I414" s="111" t="n"/>
      <c r="J414" s="111" t="n"/>
      <c r="K414" s="111" t="n"/>
      <c r="L414" s="111" t="n"/>
      <c r="M414" s="109" t="inlineStr">
        <is>
          <t>INTERROTTO</t>
        </is>
      </c>
      <c r="N414" s="109" t="n"/>
      <c r="O414" s="109" t="n"/>
      <c r="P414" s="109" t="inlineStr">
        <is>
          <t>X</t>
        </is>
      </c>
      <c r="Q414" s="109" t="inlineStr">
        <is>
          <t>PRIMARI TAPPATI, NECESSITA INTERVENTO PONTEROSSO. TX A CAPILLARE.</t>
        </is>
      </c>
      <c r="R414" s="110" t="n">
        <v>45694</v>
      </c>
      <c r="S414" s="110" t="inlineStr">
        <is>
          <t>TARASCIO/PARTESANO</t>
        </is>
      </c>
      <c r="T414" s="112">
        <f>IF(AND('Inserimento dati'!$B$3=$H$2, Tabella3[[#This Row],[LUN]]="X"), "X",IF(AND('Inserimento dati'!$B$3=$I$2, Tabella3[[#This Row],[MAR]]="X"), "X", IF(AND('Inserimento dati'!$B$3=$J$2, Tabella3[[#This Row],[MER]]="X"), "X",IF(AND('Inserimento dati'!$B$3=$K$2, Tabella3[[#This Row],[GIO]]="X"), "X", IF(AND('Inserimento dati'!$B$3=$L$2, Tabella3[[#This Row],[VEN]]="X"), "X","")))))</f>
        <v/>
      </c>
      <c r="U414" s="144">
        <f>IFERROR(MID(G414,_xlfn.AGGREGATE(15,6,(ROW(INDIRECT("1:"&amp;LEN(G414)-7)))/(ISNUMBER(--MID(G414,ROW(INDIRECT("1:"&amp;LEN(G414)-7)),8))),1),8),"")</f>
        <v/>
      </c>
      <c r="V414" t="inlineStr">
        <is>
          <t>2025-09-30 20:00:00</t>
        </is>
      </c>
    </row>
    <row r="415" ht="45" customFormat="1" customHeight="1" s="1">
      <c r="A415" s="112" t="n"/>
      <c r="B415" s="112" t="n">
        <v>4</v>
      </c>
      <c r="C415" s="112">
        <f>IF(OR(Tabella3[[#This Row],[LUN]]="X",Tabella3[[#This Row],[MAR]]="X",Tabella3[[#This Row],[MER]]="X",Tabella3[[#This Row],[GIO]]="X",Tabella3[[#This Row],[VEN]]="X",),"X","")</f>
        <v/>
      </c>
      <c r="D415" s="113" t="inlineStr">
        <is>
          <t>AREA 3</t>
        </is>
      </c>
      <c r="E415" s="109" t="inlineStr">
        <is>
          <t>521627/C</t>
        </is>
      </c>
      <c r="F415" s="109" t="inlineStr">
        <is>
          <t>1200/0</t>
        </is>
      </c>
      <c r="G415" s="109" t="inlineStr">
        <is>
          <t xml:space="preserve"> 1200/0 - REVISIONE POSIZIONATORE F966B  F967B  su F901B</t>
        </is>
      </c>
      <c r="H415" s="111" t="n"/>
      <c r="I415" s="111" t="n"/>
      <c r="J415" s="111" t="n"/>
      <c r="K415" s="111" t="n"/>
      <c r="L415" s="111" t="n"/>
      <c r="M415" s="109" t="inlineStr">
        <is>
          <t>INTERROTTO</t>
        </is>
      </c>
      <c r="N415" s="109" t="inlineStr">
        <is>
          <t>X</t>
        </is>
      </c>
      <c r="O415" s="109" t="n"/>
      <c r="P415" s="109" t="n"/>
      <c r="Q415" s="109" t="inlineStr">
        <is>
          <t>POSIZIONATORI SOSTITUITI E PRONTI PER LA TARATURA QUANDO ESERCIZIO E' DISPONIBILE (LA MOVIMENTAZIONE DELLE VALVOLE PORTA IN BLOCCO IL FORNO).</t>
        </is>
      </c>
      <c r="R415" s="110" t="n">
        <v>45673</v>
      </c>
      <c r="S415" s="110" t="inlineStr">
        <is>
          <t>GARRO L./GARRO S.</t>
        </is>
      </c>
      <c r="T415" s="112">
        <f>IF(AND('Inserimento dati'!$B$3=$H$2, Tabella3[[#This Row],[LUN]]="X"), "X",IF(AND('Inserimento dati'!$B$3=$I$2, Tabella3[[#This Row],[MAR]]="X"), "X", IF(AND('Inserimento dati'!$B$3=$J$2, Tabella3[[#This Row],[MER]]="X"), "X",IF(AND('Inserimento dati'!$B$3=$K$2, Tabella3[[#This Row],[GIO]]="X"), "X", IF(AND('Inserimento dati'!$B$3=$L$2, Tabella3[[#This Row],[VEN]]="X"), "X","")))))</f>
        <v/>
      </c>
      <c r="U415" s="144">
        <f>IFERROR(MID(G415,_xlfn.AGGREGATE(15,6,(ROW(INDIRECT("1:"&amp;LEN(G415)-7)))/(ISNUMBER(--MID(G415,ROW(INDIRECT("1:"&amp;LEN(G415)-7)),8))),1),8),"")</f>
        <v/>
      </c>
      <c r="V415" t="inlineStr">
        <is>
          <t>2025-09-30 20:00:00</t>
        </is>
      </c>
    </row>
    <row r="416" ht="45" customFormat="1" customHeight="1" s="1">
      <c r="A416" s="112" t="n"/>
      <c r="B416" s="112" t="n">
        <v>4</v>
      </c>
      <c r="C416" s="112">
        <f>IF(OR(Tabella3[[#This Row],[LUN]]="X",Tabella3[[#This Row],[MAR]]="X",Tabella3[[#This Row],[MER]]="X",Tabella3[[#This Row],[GIO]]="X",Tabella3[[#This Row],[VEN]]="X",),"X","")</f>
        <v/>
      </c>
      <c r="D416" s="113" t="inlineStr">
        <is>
          <t>AREA 3</t>
        </is>
      </c>
      <c r="E416" s="109" t="inlineStr">
        <is>
          <t>517772/C</t>
        </is>
      </c>
      <c r="F416" s="109" t="inlineStr">
        <is>
          <t>1200/2</t>
        </is>
      </c>
      <c r="G416" s="109" t="inlineStr">
        <is>
          <t xml:space="preserve"> 1200/2 - Z2F301-302-303-304-305-201-204   VERIFICA DEI SEGUENTI MISURATORI DI PORTATA</t>
        </is>
      </c>
      <c r="H416" s="111" t="n"/>
      <c r="I416" s="111" t="n"/>
      <c r="J416" s="111" t="n"/>
      <c r="K416" s="111" t="n"/>
      <c r="L416" s="111" t="n"/>
      <c r="M416" s="109" t="inlineStr">
        <is>
          <t>INTERROTTO</t>
        </is>
      </c>
      <c r="N416" s="109" t="n"/>
      <c r="O416" s="109" t="n"/>
      <c r="P416" s="109" t="inlineStr">
        <is>
          <t>X</t>
        </is>
      </c>
      <c r="Q416" s="109" t="inlineStr">
        <is>
          <t>Z2F204RC - Z2F305RC - Z2F302RC – Z2F301RC – Z2F306RC – Z2F303RC (OK)
DA FARE F201RC (in attesa ponterosso, negativa tappata)</t>
        </is>
      </c>
      <c r="R416" s="110" t="n">
        <v>45621</v>
      </c>
      <c r="S416" s="110" t="inlineStr">
        <is>
          <t>SPINALI/PUGLIARES</t>
        </is>
      </c>
      <c r="T416" s="116">
        <f>IF(AND('Inserimento dati'!$B$3=$H$2, Tabella3[[#This Row],[LUN]]="X"), "X",IF(AND('Inserimento dati'!$B$3=$I$2, Tabella3[[#This Row],[MAR]]="X"), "X", IF(AND('Inserimento dati'!$B$3=$J$2, Tabella3[[#This Row],[MER]]="X"), "X",IF(AND('Inserimento dati'!$B$3=$K$2, Tabella3[[#This Row],[GIO]]="X"), "X", IF(AND('Inserimento dati'!$B$3=$L$2, Tabella3[[#This Row],[VEN]]="X"), "X","")))))</f>
        <v/>
      </c>
      <c r="U416" s="144">
        <f>IFERROR(MID(G416,_xlfn.AGGREGATE(15,6,(ROW(INDIRECT("1:"&amp;LEN(G416)-7)))/(ISNUMBER(--MID(G416,ROW(INDIRECT("1:"&amp;LEN(G416)-7)),8))),1),8),"")</f>
        <v/>
      </c>
      <c r="V416" t="inlineStr">
        <is>
          <t>2025-09-30 20:00:00</t>
        </is>
      </c>
    </row>
    <row r="417" ht="30" customFormat="1" customHeight="1" s="1">
      <c r="A417" s="112" t="n"/>
      <c r="B417" s="112" t="n">
        <v>4</v>
      </c>
      <c r="C417" s="112">
        <f>IF(OR(Tabella3[[#This Row],[LUN]]="X",Tabella3[[#This Row],[MAR]]="X",Tabella3[[#This Row],[MER]]="X",Tabella3[[#This Row],[GIO]]="X",Tabella3[[#This Row],[VEN]]="X",),"X","")</f>
        <v/>
      </c>
      <c r="D417" s="113" t="inlineStr">
        <is>
          <t>AREA 3</t>
        </is>
      </c>
      <c r="E417" s="109" t="inlineStr">
        <is>
          <t>523466/C</t>
        </is>
      </c>
      <c r="F417" s="109" t="n">
        <v>1100</v>
      </c>
      <c r="G417" s="109" t="inlineStr">
        <is>
          <t xml:space="preserve"> 1100 - F012R (MDEA GAS a U1200 ,verificare eventuale tappamento)  controllo funzionale</t>
        </is>
      </c>
      <c r="H417" s="111" t="n"/>
      <c r="I417" s="111" t="n"/>
      <c r="J417" s="111" t="n"/>
      <c r="K417" s="111" t="n"/>
      <c r="L417" s="111" t="n"/>
      <c r="M417" s="109" t="inlineStr">
        <is>
          <t>INTERROTTO</t>
        </is>
      </c>
      <c r="N417" s="109" t="n"/>
      <c r="O417" s="109" t="inlineStr">
        <is>
          <t>X</t>
        </is>
      </c>
      <c r="P417" s="109" t="inlineStr">
        <is>
          <t>X</t>
        </is>
      </c>
      <c r="Q417" s="109" t="inlineStr">
        <is>
          <t>NEGATIVA TAPPATA, NECESSITA INTERVENTO PONTEROSSO. SERVE PONTEGGIO PER ARRIVARE NELLE RADICI</t>
        </is>
      </c>
      <c r="R417" s="110" t="n">
        <v>45693</v>
      </c>
      <c r="S417" s="110" t="inlineStr">
        <is>
          <t>TARASCIO/PARTESANO</t>
        </is>
      </c>
      <c r="T417" s="112">
        <f>IF(AND('Inserimento dati'!$B$3=$H$2, Tabella3[[#This Row],[LUN]]="X"), "X",IF(AND('Inserimento dati'!$B$3=$I$2, Tabella3[[#This Row],[MAR]]="X"), "X", IF(AND('Inserimento dati'!$B$3=$J$2, Tabella3[[#This Row],[MER]]="X"), "X",IF(AND('Inserimento dati'!$B$3=$K$2, Tabella3[[#This Row],[GIO]]="X"), "X", IF(AND('Inserimento dati'!$B$3=$L$2, Tabella3[[#This Row],[VEN]]="X"), "X","")))))</f>
        <v/>
      </c>
      <c r="U417" s="144">
        <f>IFERROR(MID(G417,_xlfn.AGGREGATE(15,6,(ROW(INDIRECT("1:"&amp;LEN(G417)-7)))/(ISNUMBER(--MID(G417,ROW(INDIRECT("1:"&amp;LEN(G417)-7)),8))),1),8),"")</f>
        <v/>
      </c>
      <c r="V417" t="inlineStr">
        <is>
          <t>2025-09-30 20:00:00</t>
        </is>
      </c>
    </row>
    <row r="418" ht="30" customFormat="1" customHeight="1" s="1">
      <c r="A418" s="112" t="n"/>
      <c r="B418" s="112" t="n">
        <v>4</v>
      </c>
      <c r="C418" s="112">
        <f>IF(OR(Tabella3[[#This Row],[LUN]]="X",Tabella3[[#This Row],[MAR]]="X",Tabella3[[#This Row],[MER]]="X",Tabella3[[#This Row],[GIO]]="X",Tabella3[[#This Row],[VEN]]="X",),"X","")</f>
        <v/>
      </c>
      <c r="D418" s="113" t="inlineStr">
        <is>
          <t>AREA 3</t>
        </is>
      </c>
      <c r="E418" s="109" t="inlineStr">
        <is>
          <t>523463/C</t>
        </is>
      </c>
      <c r="F418" s="109" t="n">
        <v>1100</v>
      </c>
      <c r="G418" s="109" t="inlineStr">
        <is>
          <t xml:space="preserve"> 1100 - F011R (MDEA GAS a U1200 ,verificare eventuale tappamento) controllo funzionale</t>
        </is>
      </c>
      <c r="H418" s="111" t="n"/>
      <c r="I418" s="111" t="n"/>
      <c r="J418" s="111" t="n"/>
      <c r="K418" s="111" t="n"/>
      <c r="L418" s="111" t="n"/>
      <c r="M418" s="109" t="inlineStr">
        <is>
          <t>INTERROTTO</t>
        </is>
      </c>
      <c r="N418" s="109" t="n"/>
      <c r="O418" s="109" t="inlineStr">
        <is>
          <t>X</t>
        </is>
      </c>
      <c r="P418" s="109" t="inlineStr">
        <is>
          <t>X</t>
        </is>
      </c>
      <c r="Q418" s="109" t="inlineStr">
        <is>
          <t>NEGATIVA TAPPATA, NECESSITA INTERVENTO PONTEROSSO. SERVE PONTEGGIO PER ARRIVARE NELLE RADICI</t>
        </is>
      </c>
      <c r="R418" s="110" t="n">
        <v>45693</v>
      </c>
      <c r="S418" s="110" t="inlineStr">
        <is>
          <t>TARASCIO/PARTESANO</t>
        </is>
      </c>
      <c r="T418" s="112">
        <f>IF(AND('Inserimento dati'!$B$3=$H$2, Tabella3[[#This Row],[LUN]]="X"), "X",IF(AND('Inserimento dati'!$B$3=$I$2, Tabella3[[#This Row],[MAR]]="X"), "X", IF(AND('Inserimento dati'!$B$3=$J$2, Tabella3[[#This Row],[MER]]="X"), "X",IF(AND('Inserimento dati'!$B$3=$K$2, Tabella3[[#This Row],[GIO]]="X"), "X", IF(AND('Inserimento dati'!$B$3=$L$2, Tabella3[[#This Row],[VEN]]="X"), "X","")))))</f>
        <v/>
      </c>
      <c r="U418" s="144">
        <f>IFERROR(MID(G418,_xlfn.AGGREGATE(15,6,(ROW(INDIRECT("1:"&amp;LEN(G418)-7)))/(ISNUMBER(--MID(G418,ROW(INDIRECT("1:"&amp;LEN(G418)-7)),8))),1),8),"")</f>
        <v/>
      </c>
      <c r="V418" t="inlineStr">
        <is>
          <t>2025-09-30 20:00:00</t>
        </is>
      </c>
    </row>
    <row r="419" ht="45" customFormat="1" customHeight="1" s="1">
      <c r="A419" s="112" t="n"/>
      <c r="B419" s="112" t="n">
        <v>4</v>
      </c>
      <c r="C419" s="112">
        <f>IF(OR(Tabella3[[#This Row],[LUN]]="X",Tabella3[[#This Row],[MAR]]="X",Tabella3[[#This Row],[MER]]="X",Tabella3[[#This Row],[GIO]]="X",Tabella3[[#This Row],[VEN]]="X",),"X","")</f>
        <v/>
      </c>
      <c r="D419" s="113" t="inlineStr">
        <is>
          <t>AREA 3</t>
        </is>
      </c>
      <c r="E419" s="109" t="inlineStr">
        <is>
          <t>523461/C</t>
        </is>
      </c>
      <c r="F419" s="109" t="n">
        <v>1400</v>
      </c>
      <c r="G419" s="109" t="inlineStr">
        <is>
          <t xml:space="preserve"> 1400 - F005R(SWS A U1200 da T105/T101/T102) controllo funzionale</t>
        </is>
      </c>
      <c r="H419" s="111" t="n"/>
      <c r="I419" s="111" t="n"/>
      <c r="J419" s="111" t="n"/>
      <c r="K419" s="111" t="n"/>
      <c r="L419" s="111" t="n"/>
      <c r="M419" s="109" t="inlineStr">
        <is>
          <t>INTERROTTO</t>
        </is>
      </c>
      <c r="N419" s="109" t="n"/>
      <c r="O419" s="109" t="n"/>
      <c r="P419" s="109" t="inlineStr">
        <is>
          <t>X</t>
        </is>
      </c>
      <c r="Q419" s="109" t="inlineStr">
        <is>
          <t>prese di radice (sia positiva che negativa) risultano tappate e si necessita intervento da parte di PONTEROSSO. Le radici sono accessibili tramite un ponteggio già realizzato.</t>
        </is>
      </c>
      <c r="R419" s="110" t="n">
        <v>45688</v>
      </c>
      <c r="S419" s="109" t="inlineStr">
        <is>
          <t>TARASCIO/PARTESANO</t>
        </is>
      </c>
      <c r="T419" s="112">
        <f>IF(AND('Inserimento dati'!$B$3=$H$2, Tabella3[[#This Row],[LUN]]="X"), "X",IF(AND('Inserimento dati'!$B$3=$I$2, Tabella3[[#This Row],[MAR]]="X"), "X", IF(AND('Inserimento dati'!$B$3=$J$2, Tabella3[[#This Row],[MER]]="X"), "X",IF(AND('Inserimento dati'!$B$3=$K$2, Tabella3[[#This Row],[GIO]]="X"), "X", IF(AND('Inserimento dati'!$B$3=$L$2, Tabella3[[#This Row],[VEN]]="X"), "X","")))))</f>
        <v/>
      </c>
      <c r="U419" s="144">
        <f>IFERROR(MID(G419,_xlfn.AGGREGATE(15,6,(ROW(INDIRECT("1:"&amp;LEN(G419)-7)))/(ISNUMBER(--MID(G419,ROW(INDIRECT("1:"&amp;LEN(G419)-7)),8))),1),8),"")</f>
        <v/>
      </c>
      <c r="V419" t="inlineStr">
        <is>
          <t>2025-09-30 20:00:00</t>
        </is>
      </c>
    </row>
    <row r="420" ht="30" customFormat="1" customHeight="1" s="1">
      <c r="A420" s="112" t="n"/>
      <c r="B420" s="112" t="n">
        <v>4</v>
      </c>
      <c r="C420" s="112">
        <f>IF(OR(Tabella3[[#This Row],[LUN]]="X",Tabella3[[#This Row],[MAR]]="X",Tabella3[[#This Row],[MER]]="X",Tabella3[[#This Row],[GIO]]="X",Tabella3[[#This Row],[VEN]]="X",),"X","")</f>
        <v/>
      </c>
      <c r="D420" s="113" t="inlineStr">
        <is>
          <t>AREA 3</t>
        </is>
      </c>
      <c r="E420" s="109" t="inlineStr">
        <is>
          <t>523808/C</t>
        </is>
      </c>
      <c r="F420" s="109" t="n">
        <v>1800</v>
      </c>
      <c r="G420" s="109" t="inlineStr">
        <is>
          <t xml:space="preserve"> 1800 - LCV098R-  controllo funzionale</t>
        </is>
      </c>
      <c r="H420" s="111" t="n"/>
      <c r="I420" s="111" t="n"/>
      <c r="J420" s="111" t="n"/>
      <c r="K420" s="111" t="n"/>
      <c r="L420" s="111" t="n"/>
      <c r="M420" s="109" t="inlineStr">
        <is>
          <t>INTERROTTO</t>
        </is>
      </c>
      <c r="N420" s="109" t="n"/>
      <c r="O420" s="109" t="inlineStr">
        <is>
          <t>X</t>
        </is>
      </c>
      <c r="P420" s="109" t="n"/>
      <c r="Q420" s="109" t="inlineStr">
        <is>
          <t xml:space="preserve">PER ESEGUIRE IL CONTROLLO SI NECESSITA DEL PONTEGGIO. IN ATTESA DI PONTEGGIO </t>
        </is>
      </c>
      <c r="R420" s="110" t="n">
        <v>45687</v>
      </c>
      <c r="S420" s="109" t="inlineStr">
        <is>
          <t>SPINALI</t>
        </is>
      </c>
      <c r="T420" s="116">
        <f>IF(AND('Inserimento dati'!$B$3=$H$2, Tabella3[[#This Row],[LUN]]="X"), "X",IF(AND('Inserimento dati'!$B$3=$I$2, Tabella3[[#This Row],[MAR]]="X"), "X", IF(AND('Inserimento dati'!$B$3=$J$2, Tabella3[[#This Row],[MER]]="X"), "X",IF(AND('Inserimento dati'!$B$3=$K$2, Tabella3[[#This Row],[GIO]]="X"), "X", IF(AND('Inserimento dati'!$B$3=$L$2, Tabella3[[#This Row],[VEN]]="X"), "X","")))))</f>
        <v/>
      </c>
      <c r="U420" s="144">
        <f>IFERROR(MID(G420,_xlfn.AGGREGATE(15,6,(ROW(INDIRECT("1:"&amp;LEN(G420)-7)))/(ISNUMBER(--MID(G420,ROW(INDIRECT("1:"&amp;LEN(G420)-7)),8))),1),8),"")</f>
        <v/>
      </c>
      <c r="V420" t="inlineStr">
        <is>
          <t>2025-09-30 20:00:00</t>
        </is>
      </c>
    </row>
    <row r="421" ht="30" customFormat="1" customHeight="1" s="1">
      <c r="A421" s="112" t="n"/>
      <c r="B421" s="112" t="n">
        <v>4</v>
      </c>
      <c r="C421" s="112">
        <f>IF(OR(Tabella3[[#This Row],[LUN]]="X",Tabella3[[#This Row],[MAR]]="X",Tabella3[[#This Row],[MER]]="X",Tabella3[[#This Row],[GIO]]="X",Tabella3[[#This Row],[VEN]]="X",),"X","")</f>
        <v/>
      </c>
      <c r="D421" s="113" t="inlineStr">
        <is>
          <t>AREA 3</t>
        </is>
      </c>
      <c r="E421" s="109" t="inlineStr">
        <is>
          <t>523807/C</t>
        </is>
      </c>
      <c r="F421" s="109" t="n">
        <v>1800</v>
      </c>
      <c r="G421" s="109" t="inlineStr">
        <is>
          <t xml:space="preserve"> 1800 - LCV053R-  controllo funzionale</t>
        </is>
      </c>
      <c r="H421" s="111" t="n"/>
      <c r="I421" s="111" t="n"/>
      <c r="J421" s="111" t="n"/>
      <c r="K421" s="111" t="n"/>
      <c r="L421" s="111" t="n"/>
      <c r="M421" s="109" t="inlineStr">
        <is>
          <t>INTERROTTO</t>
        </is>
      </c>
      <c r="N421" s="109" t="n"/>
      <c r="O421" s="109" t="inlineStr">
        <is>
          <t>X</t>
        </is>
      </c>
      <c r="P421" s="109" t="n"/>
      <c r="Q421" s="109" t="inlineStr">
        <is>
          <t xml:space="preserve">PER ESEGUIRE IL CONTROLLO SI NECESSITA DEL PONTEGGIO. IN ATTESA DI PONTEGGIO </t>
        </is>
      </c>
      <c r="R421" s="110" t="n">
        <v>45687</v>
      </c>
      <c r="S421" s="109" t="inlineStr">
        <is>
          <t>SPINALI</t>
        </is>
      </c>
      <c r="T421" s="116">
        <f>IF(AND('Inserimento dati'!$B$3=$H$2, Tabella3[[#This Row],[LUN]]="X"), "X",IF(AND('Inserimento dati'!$B$3=$I$2, Tabella3[[#This Row],[MAR]]="X"), "X", IF(AND('Inserimento dati'!$B$3=$J$2, Tabella3[[#This Row],[MER]]="X"), "X",IF(AND('Inserimento dati'!$B$3=$K$2, Tabella3[[#This Row],[GIO]]="X"), "X", IF(AND('Inserimento dati'!$B$3=$L$2, Tabella3[[#This Row],[VEN]]="X"), "X","")))))</f>
        <v/>
      </c>
      <c r="U421" s="145">
        <f>IFERROR(MID(G421,_xlfn.AGGREGATE(15,6,(ROW(INDIRECT("1:"&amp;LEN(G421)-7)))/(ISNUMBER(--MID(G421,ROW(INDIRECT("1:"&amp;LEN(G421)-7)),8))),1),8),"")</f>
        <v/>
      </c>
      <c r="V421" t="inlineStr">
        <is>
          <t>2025-09-30 20:00:00</t>
        </is>
      </c>
    </row>
    <row r="422" ht="30" customFormat="1" customHeight="1" s="1">
      <c r="A422" s="112" t="n"/>
      <c r="B422" s="112" t="n">
        <v>4</v>
      </c>
      <c r="C422" s="112">
        <f>IF(OR(Tabella3[[#This Row],[LUN]]="X",Tabella3[[#This Row],[MAR]]="X",Tabella3[[#This Row],[MER]]="X",Tabella3[[#This Row],[GIO]]="X",Tabella3[[#This Row],[VEN]]="X",),"X","")</f>
        <v/>
      </c>
      <c r="D422" s="113" t="inlineStr">
        <is>
          <t>AREA 3</t>
        </is>
      </c>
      <c r="E422" s="109" t="inlineStr">
        <is>
          <t>523806/C</t>
        </is>
      </c>
      <c r="F422" s="109" t="n">
        <v>1800</v>
      </c>
      <c r="G422" s="109" t="inlineStr">
        <is>
          <t xml:space="preserve"> 1800 - LCV029R controllo funzionale</t>
        </is>
      </c>
      <c r="H422" s="111" t="n"/>
      <c r="I422" s="111" t="n"/>
      <c r="J422" s="111" t="n"/>
      <c r="K422" s="111" t="n"/>
      <c r="L422" s="111" t="n"/>
      <c r="M422" s="109" t="inlineStr">
        <is>
          <t>INTERROTTO</t>
        </is>
      </c>
      <c r="N422" s="109" t="n"/>
      <c r="O422" s="109" t="inlineStr">
        <is>
          <t>X</t>
        </is>
      </c>
      <c r="P422" s="109" t="n"/>
      <c r="Q422" s="109" t="inlineStr">
        <is>
          <t xml:space="preserve">PER ESEGUIRE IL CONTROLLO SI NECESSITA DEL PONTEGGIO. IN ATTESA DI PONTEGGIO </t>
        </is>
      </c>
      <c r="R422" s="110" t="n">
        <v>45687</v>
      </c>
      <c r="S422" s="109" t="inlineStr">
        <is>
          <t>SPINALI</t>
        </is>
      </c>
      <c r="T422" s="116">
        <f>IF(AND('Inserimento dati'!$B$3=$H$2, Tabella3[[#This Row],[LUN]]="X"), "X",IF(AND('Inserimento dati'!$B$3=$I$2, Tabella3[[#This Row],[MAR]]="X"), "X", IF(AND('Inserimento dati'!$B$3=$J$2, Tabella3[[#This Row],[MER]]="X"), "X",IF(AND('Inserimento dati'!$B$3=$K$2, Tabella3[[#This Row],[GIO]]="X"), "X", IF(AND('Inserimento dati'!$B$3=$L$2, Tabella3[[#This Row],[VEN]]="X"), "X","")))))</f>
        <v/>
      </c>
      <c r="U422" s="145">
        <f>IFERROR(MID(G422,_xlfn.AGGREGATE(15,6,(ROW(INDIRECT("1:"&amp;LEN(G422)-7)))/(ISNUMBER(--MID(G422,ROW(INDIRECT("1:"&amp;LEN(G422)-7)),8))),1),8),"")</f>
        <v/>
      </c>
      <c r="V422" t="inlineStr">
        <is>
          <t>2025-09-30 20:00:00</t>
        </is>
      </c>
    </row>
    <row r="423" ht="45" customFormat="1" customHeight="1" s="1">
      <c r="A423" s="112" t="n"/>
      <c r="B423" s="112" t="n">
        <v>4</v>
      </c>
      <c r="C423" s="112">
        <f>IF(OR(Tabella3[[#This Row],[LUN]]="X",Tabella3[[#This Row],[MAR]]="X",Tabella3[[#This Row],[MER]]="X",Tabella3[[#This Row],[GIO]]="X",Tabella3[[#This Row],[VEN]]="X",),"X","")</f>
        <v/>
      </c>
      <c r="D423" s="113" t="inlineStr">
        <is>
          <t>AREA 3</t>
        </is>
      </c>
      <c r="E423" s="109" t="inlineStr">
        <is>
          <t>523442/C</t>
        </is>
      </c>
      <c r="F423" s="109" t="n">
        <v>1400</v>
      </c>
      <c r="G423" s="109" t="inlineStr">
        <is>
          <t xml:space="preserve"> 1400 - F009R ( SWS a U 1200) controllo funzionale</t>
        </is>
      </c>
      <c r="H423" s="111" t="n"/>
      <c r="I423" s="111" t="n"/>
      <c r="J423" s="111" t="n"/>
      <c r="K423" s="111" t="n"/>
      <c r="L423" s="111" t="n"/>
      <c r="M423" s="109" t="inlineStr">
        <is>
          <t>INTERROTTO</t>
        </is>
      </c>
      <c r="N423" s="109" t="n"/>
      <c r="O423" s="109" t="n"/>
      <c r="P423" s="109" t="inlineStr">
        <is>
          <t>X</t>
        </is>
      </c>
      <c r="Q423" s="109" t="inlineStr">
        <is>
          <t>RADICE NEGATIVA INTERCETTATA POICHE' TAPPATA. DA STASARE CON PONTEROSSO.
TRACCIA VAPORE DA RICOLLEGARE E TUTTO DA COIBENTARE.</t>
        </is>
      </c>
      <c r="R423" s="110" t="n">
        <v>45686</v>
      </c>
      <c r="S423" s="110" t="inlineStr">
        <is>
          <t>TARASCIO</t>
        </is>
      </c>
      <c r="T423" s="112">
        <f>IF(AND('Inserimento dati'!$B$3=$H$2, Tabella3[[#This Row],[LUN]]="X"), "X",IF(AND('Inserimento dati'!$B$3=$I$2, Tabella3[[#This Row],[MAR]]="X"), "X", IF(AND('Inserimento dati'!$B$3=$J$2, Tabella3[[#This Row],[MER]]="X"), "X",IF(AND('Inserimento dati'!$B$3=$K$2, Tabella3[[#This Row],[GIO]]="X"), "X", IF(AND('Inserimento dati'!$B$3=$L$2, Tabella3[[#This Row],[VEN]]="X"), "X","")))))</f>
        <v/>
      </c>
      <c r="U423" s="145">
        <f>IFERROR(MID(G423,_xlfn.AGGREGATE(15,6,(ROW(INDIRECT("1:"&amp;LEN(G423)-7)))/(ISNUMBER(--MID(G423,ROW(INDIRECT("1:"&amp;LEN(G423)-7)),8))),1),8),"")</f>
        <v/>
      </c>
      <c r="V423" t="inlineStr">
        <is>
          <t>2025-09-30 20:00:00</t>
        </is>
      </c>
    </row>
    <row r="424" ht="45" customHeight="1" s="122">
      <c r="A424" s="112" t="n"/>
      <c r="B424" s="112" t="n">
        <v>4</v>
      </c>
      <c r="C424" s="112">
        <f>IF(OR(Tabella3[[#This Row],[LUN]]="X",Tabella3[[#This Row],[MAR]]="X",Tabella3[[#This Row],[MER]]="X",Tabella3[[#This Row],[GIO]]="X",Tabella3[[#This Row],[VEN]]="X",),"X","")</f>
        <v/>
      </c>
      <c r="D424" s="113" t="inlineStr">
        <is>
          <t>AREA 3</t>
        </is>
      </c>
      <c r="E424" s="109" t="inlineStr">
        <is>
          <t>521580/C</t>
        </is>
      </c>
      <c r="F424" s="109" t="inlineStr">
        <is>
          <t>700A</t>
        </is>
      </c>
      <c r="G424" s="109" t="inlineStr">
        <is>
          <t xml:space="preserve"> 700A: 07T206R ripristino funzionale</t>
        </is>
      </c>
      <c r="H424" s="111" t="n"/>
      <c r="I424" s="111" t="n"/>
      <c r="J424" s="111" t="n"/>
      <c r="K424" s="111" t="n"/>
      <c r="L424" s="111" t="n"/>
      <c r="M424" s="109" t="inlineStr">
        <is>
          <t>INTERROTTO</t>
        </is>
      </c>
      <c r="N424" s="109" t="inlineStr">
        <is>
          <t>X</t>
        </is>
      </c>
      <c r="O424" s="109" t="n"/>
      <c r="P424" s="109" t="n"/>
      <c r="Q424" s="109" t="inlineStr">
        <is>
          <t>TERMOELEMENTO E BARRIERA OK. DOPPINO DEL MULTICAVO APERTO. PROVATI SPARE ESITO NEGATIVO. DA RIPRISTINARE MULTICAVO IN FERMATA.</t>
        </is>
      </c>
      <c r="R424" s="110" t="n">
        <v>45674</v>
      </c>
      <c r="S424" s="110" t="inlineStr">
        <is>
          <t>SPINALI</t>
        </is>
      </c>
      <c r="T424" s="112">
        <f>IF(AND('Inserimento dati'!$B$3=$H$2, Tabella3[[#This Row],[LUN]]="X"), "X",IF(AND('Inserimento dati'!$B$3=$I$2, Tabella3[[#This Row],[MAR]]="X"), "X", IF(AND('Inserimento dati'!$B$3=$J$2, Tabella3[[#This Row],[MER]]="X"), "X",IF(AND('Inserimento dati'!$B$3=$K$2, Tabella3[[#This Row],[GIO]]="X"), "X", IF(AND('Inserimento dati'!$B$3=$L$2, Tabella3[[#This Row],[VEN]]="X"), "X","")))))</f>
        <v/>
      </c>
      <c r="U424" s="145">
        <f>IFERROR(MID(G424,_xlfn.AGGREGATE(15,6,(ROW(INDIRECT("1:"&amp;LEN(G424)-7)))/(ISNUMBER(--MID(G424,ROW(INDIRECT("1:"&amp;LEN(G424)-7)),8))),1),8),"")</f>
        <v/>
      </c>
      <c r="V424" t="inlineStr">
        <is>
          <t>2025-09-30 20:00:00</t>
        </is>
      </c>
    </row>
    <row r="425" ht="60" customHeight="1" s="122">
      <c r="A425" s="112" t="n"/>
      <c r="B425" s="112" t="n">
        <v>4</v>
      </c>
      <c r="C425" s="112">
        <f>IF(OR(Tabella3[[#This Row],[LUN]]="X",Tabella3[[#This Row],[MAR]]="X",Tabella3[[#This Row],[MER]]="X",Tabella3[[#This Row],[GIO]]="X",Tabella3[[#This Row],[VEN]]="X",),"X","")</f>
        <v/>
      </c>
      <c r="D425" s="113" t="inlineStr">
        <is>
          <t>AREA 3</t>
        </is>
      </c>
      <c r="E425" s="109" t="inlineStr">
        <is>
          <t>521574/C</t>
        </is>
      </c>
      <c r="F425" s="109" t="inlineStr">
        <is>
          <t>700/A</t>
        </is>
      </c>
      <c r="G425" s="109" t="inlineStr">
        <is>
          <t xml:space="preserve"> 10214486   - 700A: 07T2019Iriflusso T201 ripristino funzionale. </t>
        </is>
      </c>
      <c r="H425" s="111" t="n"/>
      <c r="I425" s="111" t="n"/>
      <c r="J425" s="111" t="n"/>
      <c r="K425" s="111" t="n"/>
      <c r="L425" s="111" t="n"/>
      <c r="M425" s="109" t="inlineStr">
        <is>
          <t>INTERROTTO</t>
        </is>
      </c>
      <c r="N425" s="109" t="inlineStr">
        <is>
          <t>X</t>
        </is>
      </c>
      <c r="O425" s="109" t="n"/>
      <c r="P425" s="109" t="n"/>
      <c r="Q425" s="109" t="inlineStr">
        <is>
          <t>CASSETTA TH6 IN PESSIMO STATO E MULTICAVO CON TARGHETTA 'KO'. DA RIFARE INTERA CASSETTA INOLTRE, NON RISULTANO SPARE DISPONIBILI. TERMOELEMENTO E' FUNZIONANTE.
DA RIPRISTINARE IL TUTTO IN FERMATA.</t>
        </is>
      </c>
      <c r="R425" s="110" t="n">
        <v>45679</v>
      </c>
      <c r="S425" s="110" t="inlineStr">
        <is>
          <t>SPINALI</t>
        </is>
      </c>
      <c r="T425" s="112">
        <f>IF(AND('Inserimento dati'!$B$3=$H$2, Tabella3[[#This Row],[LUN]]="X"), "X",IF(AND('Inserimento dati'!$B$3=$I$2, Tabella3[[#This Row],[MAR]]="X"), "X", IF(AND('Inserimento dati'!$B$3=$J$2, Tabella3[[#This Row],[MER]]="X"), "X",IF(AND('Inserimento dati'!$B$3=$K$2, Tabella3[[#This Row],[GIO]]="X"), "X", IF(AND('Inserimento dati'!$B$3=$L$2, Tabella3[[#This Row],[VEN]]="X"), "X","")))))</f>
        <v/>
      </c>
      <c r="U425" s="145">
        <f>IFERROR(MID(G425,_xlfn.AGGREGATE(15,6,(ROW(INDIRECT("1:"&amp;LEN(G425)-7)))/(ISNUMBER(--MID(G425,ROW(INDIRECT("1:"&amp;LEN(G425)-7)),8))),1),8),"")</f>
        <v/>
      </c>
      <c r="V425" t="inlineStr">
        <is>
          <t>2025-09-30 20:00:00</t>
        </is>
      </c>
    </row>
    <row r="426" ht="90" customHeight="1" s="122">
      <c r="A426" s="112" t="n"/>
      <c r="B426" s="112" t="n">
        <v>4</v>
      </c>
      <c r="C426" s="112">
        <f>IF(OR(Tabella3[[#This Row],[LUN]]="X",Tabella3[[#This Row],[MAR]]="X",Tabella3[[#This Row],[MER]]="X",Tabella3[[#This Row],[GIO]]="X",Tabella3[[#This Row],[VEN]]="X",),"X","")</f>
        <v/>
      </c>
      <c r="D426" s="113" t="inlineStr">
        <is>
          <t>AREA 3</t>
        </is>
      </c>
      <c r="E426" s="109" t="inlineStr">
        <is>
          <t>522095/C</t>
        </is>
      </c>
      <c r="F426" s="109" t="n">
        <v>800</v>
      </c>
      <c r="G426" s="109" t="inlineStr">
        <is>
          <t xml:space="preserve"> 800 - VERIFICA FUNZIONAMENTO E TARATURA 08F120RC</t>
        </is>
      </c>
      <c r="H426" s="111" t="n"/>
      <c r="I426" s="111" t="n"/>
      <c r="J426" s="111" t="n"/>
      <c r="K426" s="111" t="n"/>
      <c r="L426" s="111" t="n"/>
      <c r="M426" s="109" t="inlineStr">
        <is>
          <t>INTERROTTO</t>
        </is>
      </c>
      <c r="N426" s="109" t="n"/>
      <c r="O426" s="109" t="inlineStr">
        <is>
          <t>X</t>
        </is>
      </c>
      <c r="P426" s="109" t="n"/>
      <c r="Q426" s="109" t="inlineStr">
        <is>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is>
      </c>
      <c r="R426" s="110" t="n">
        <v>45679</v>
      </c>
      <c r="S426" s="109" t="inlineStr">
        <is>
          <t>SPINALI</t>
        </is>
      </c>
      <c r="T426" s="112">
        <f>IF(AND('Inserimento dati'!$B$3=$H$2, Tabella3[[#This Row],[LUN]]="X"), "X",IF(AND('Inserimento dati'!$B$3=$I$2, Tabella3[[#This Row],[MAR]]="X"), "X", IF(AND('Inserimento dati'!$B$3=$J$2, Tabella3[[#This Row],[MER]]="X"), "X",IF(AND('Inserimento dati'!$B$3=$K$2, Tabella3[[#This Row],[GIO]]="X"), "X", IF(AND('Inserimento dati'!$B$3=$L$2, Tabella3[[#This Row],[VEN]]="X"), "X","")))))</f>
        <v/>
      </c>
      <c r="U426" s="145">
        <f>IFERROR(MID(G426,_xlfn.AGGREGATE(15,6,(ROW(INDIRECT("1:"&amp;LEN(G426)-7)))/(ISNUMBER(--MID(G426,ROW(INDIRECT("1:"&amp;LEN(G426)-7)),8))),1),8),"")</f>
        <v/>
      </c>
      <c r="V426" t="inlineStr">
        <is>
          <t>2025-09-30 20:00:00</t>
        </is>
      </c>
    </row>
    <row r="427" ht="30" customHeight="1" s="122">
      <c r="A427" s="112" t="n"/>
      <c r="B427" s="112" t="n">
        <v>4</v>
      </c>
      <c r="C427" s="112">
        <f>IF(OR(Tabella3[[#This Row],[LUN]]="X",Tabella3[[#This Row],[MAR]]="X",Tabella3[[#This Row],[MER]]="X",Tabella3[[#This Row],[GIO]]="X",Tabella3[[#This Row],[VEN]]="X",),"X","")</f>
        <v/>
      </c>
      <c r="D427" s="113" t="inlineStr">
        <is>
          <t>AREA 3</t>
        </is>
      </c>
      <c r="E427" s="109" t="inlineStr">
        <is>
          <t>521570/C</t>
        </is>
      </c>
      <c r="F427" s="109" t="n">
        <v>2400</v>
      </c>
      <c r="G427" s="109" t="inlineStr">
        <is>
          <t>10212837 10212837   2400: revisione LCV606</t>
        </is>
      </c>
      <c r="H427" s="111" t="n"/>
      <c r="I427" s="111" t="n"/>
      <c r="J427" s="111" t="n"/>
      <c r="K427" s="111" t="n"/>
      <c r="L427" s="111" t="n"/>
      <c r="M427" s="109" t="inlineStr">
        <is>
          <t>INTERROTTO</t>
        </is>
      </c>
      <c r="N427" s="109" t="inlineStr">
        <is>
          <t>X</t>
        </is>
      </c>
      <c r="O427" s="109" t="n"/>
      <c r="P427" s="109" t="n"/>
      <c r="Q427" s="109" t="inlineStr">
        <is>
          <t>IN ATTESA CHE ESE POSSA CONSEGNARE A MAN LA VALVOLA: DA SMONTARE E REVISIONARE.</t>
        </is>
      </c>
      <c r="R427" s="110" t="n"/>
      <c r="S427" s="110" t="n"/>
      <c r="T427" s="112">
        <f>IF(AND('Inserimento dati'!$B$3=$H$2, Tabella3[[#This Row],[LUN]]="X"), "X",IF(AND('Inserimento dati'!$B$3=$I$2, Tabella3[[#This Row],[MAR]]="X"), "X", IF(AND('Inserimento dati'!$B$3=$J$2, Tabella3[[#This Row],[MER]]="X"), "X",IF(AND('Inserimento dati'!$B$3=$K$2, Tabella3[[#This Row],[GIO]]="X"), "X", IF(AND('Inserimento dati'!$B$3=$L$2, Tabella3[[#This Row],[VEN]]="X"), "X","")))))</f>
        <v/>
      </c>
      <c r="U427" s="145">
        <f>IFERROR(MID(G427,_xlfn.AGGREGATE(15,6,(ROW(INDIRECT("1:"&amp;LEN(G427)-7)))/(ISNUMBER(--MID(G427,ROW(INDIRECT("1:"&amp;LEN(G427)-7)),8))),1),8),"")</f>
        <v/>
      </c>
      <c r="V427" t="inlineStr">
        <is>
          <t>2025-09-30 20:00:00</t>
        </is>
      </c>
    </row>
    <row r="428" ht="45" customHeight="1" s="122">
      <c r="A428" s="112" t="n"/>
      <c r="B428" s="112" t="n">
        <v>4</v>
      </c>
      <c r="C428" s="112">
        <f>IF(OR(Tabella3[[#This Row],[LUN]]="X",Tabella3[[#This Row],[MAR]]="X",Tabella3[[#This Row],[MER]]="X",Tabella3[[#This Row],[GIO]]="X",Tabella3[[#This Row],[VEN]]="X",),"X","")</f>
        <v/>
      </c>
      <c r="D428" s="113" t="inlineStr">
        <is>
          <t>AREA 3</t>
        </is>
      </c>
      <c r="E428" s="109" t="inlineStr">
        <is>
          <t>519186/C</t>
        </is>
      </c>
      <c r="F428" s="109" t="inlineStr">
        <is>
          <t>1200/M</t>
        </is>
      </c>
      <c r="G428" s="109" t="inlineStr">
        <is>
          <t xml:space="preserve"> ZMF716R ( vapore b.pressione maxi) , strumento a fondo scala controllo funzionale</t>
        </is>
      </c>
      <c r="H428" s="111" t="n"/>
      <c r="I428" s="111" t="n"/>
      <c r="J428" s="111" t="n"/>
      <c r="K428" s="111" t="n"/>
      <c r="L428" s="111" t="n"/>
      <c r="M428" s="109" t="inlineStr">
        <is>
          <t>INTERROTTO</t>
        </is>
      </c>
      <c r="N428" s="109" t="n"/>
      <c r="O428" s="109" t="inlineStr">
        <is>
          <t>X</t>
        </is>
      </c>
      <c r="P428" s="109" t="inlineStr">
        <is>
          <t>X</t>
        </is>
      </c>
      <c r="Q428" s="109" t="inlineStr">
        <is>
          <t>TENTATIVO DI STASATURA CON POMPA AD ALTA PRESSIONE NON RIUSCITO. NECESSITA PONTEGGIO PER INTERCETTO VALVOLE DI RADICE.</t>
        </is>
      </c>
      <c r="R428" s="110" t="n">
        <v>45645</v>
      </c>
      <c r="S428" s="110" t="inlineStr">
        <is>
          <t>SPINALI</t>
        </is>
      </c>
      <c r="T428" s="116">
        <f>IF(AND('Inserimento dati'!$B$3=$H$2, Tabella3[[#This Row],[LUN]]="X"), "X",IF(AND('Inserimento dati'!$B$3=$I$2, Tabella3[[#This Row],[MAR]]="X"), "X", IF(AND('Inserimento dati'!$B$3=$J$2, Tabella3[[#This Row],[MER]]="X"), "X",IF(AND('Inserimento dati'!$B$3=$K$2, Tabella3[[#This Row],[GIO]]="X"), "X", IF(AND('Inserimento dati'!$B$3=$L$2, Tabella3[[#This Row],[VEN]]="X"), "X","")))))</f>
        <v/>
      </c>
      <c r="U428" s="145">
        <f>IFERROR(MID(G428,_xlfn.AGGREGATE(15,6,(ROW(INDIRECT("1:"&amp;LEN(G428)-7)))/(ISNUMBER(--MID(G428,ROW(INDIRECT("1:"&amp;LEN(G428)-7)),8))),1),8),"")</f>
        <v/>
      </c>
      <c r="V428" t="inlineStr">
        <is>
          <t>2025-09-30 20:00:00</t>
        </is>
      </c>
    </row>
    <row r="429" ht="23.25" customHeight="1" s="122">
      <c r="A429" s="112" t="n"/>
      <c r="B429" s="112" t="n">
        <v>4</v>
      </c>
      <c r="C429" s="112">
        <f>IF(OR(Tabella3[[#This Row],[LUN]]="X",Tabella3[[#This Row],[MAR]]="X",Tabella3[[#This Row],[MER]]="X",Tabella3[[#This Row],[GIO]]="X",Tabella3[[#This Row],[VEN]]="X",),"X","")</f>
        <v/>
      </c>
      <c r="D429" s="113" t="inlineStr">
        <is>
          <t>AREA 3</t>
        </is>
      </c>
      <c r="E429" s="109" t="inlineStr">
        <is>
          <t>520152/C</t>
        </is>
      </c>
      <c r="F429" s="109" t="inlineStr">
        <is>
          <t>1200/1</t>
        </is>
      </c>
      <c r="G429" s="109" t="inlineStr">
        <is>
          <t xml:space="preserve"> 1200/1 - F101 CONTROLLO FUNZIONALE  FOTOCELLULA </t>
        </is>
      </c>
      <c r="H429" s="111" t="n"/>
      <c r="I429" s="111" t="n"/>
      <c r="J429" s="111" t="n"/>
      <c r="K429" s="111" t="n"/>
      <c r="L429" s="111" t="n"/>
      <c r="M429" s="109" t="inlineStr">
        <is>
          <t>INTERROTTO</t>
        </is>
      </c>
      <c r="N429" s="109" t="inlineStr">
        <is>
          <t>X</t>
        </is>
      </c>
      <c r="O429" s="109" t="n"/>
      <c r="P429" s="109" t="n"/>
      <c r="Q429" s="109" t="inlineStr">
        <is>
          <t>FOTOCELLULA GUASTA, IN ATTESA DI RICAMBIO</t>
        </is>
      </c>
      <c r="R429" s="110" t="n">
        <v>45642</v>
      </c>
      <c r="S429" s="110" t="inlineStr">
        <is>
          <t>SPINALI D.</t>
        </is>
      </c>
      <c r="T429" s="116">
        <f>IF(AND('Inserimento dati'!$B$3=$H$2, Tabella3[[#This Row],[LUN]]="X"), "X",IF(AND('Inserimento dati'!$B$3=$I$2, Tabella3[[#This Row],[MAR]]="X"), "X", IF(AND('Inserimento dati'!$B$3=$J$2, Tabella3[[#This Row],[MER]]="X"), "X",IF(AND('Inserimento dati'!$B$3=$K$2, Tabella3[[#This Row],[GIO]]="X"), "X", IF(AND('Inserimento dati'!$B$3=$L$2, Tabella3[[#This Row],[VEN]]="X"), "X","")))))</f>
        <v/>
      </c>
      <c r="U429" s="145">
        <f>IFERROR(MID(G429,_xlfn.AGGREGATE(15,6,(ROW(INDIRECT("1:"&amp;LEN(G429)-7)))/(ISNUMBER(--MID(G429,ROW(INDIRECT("1:"&amp;LEN(G429)-7)),8))),1),8),"")</f>
        <v/>
      </c>
      <c r="V429" t="inlineStr">
        <is>
          <t>2025-09-30 20:00:00</t>
        </is>
      </c>
    </row>
    <row r="430" ht="45" customHeight="1" s="122">
      <c r="A430" s="112" t="n"/>
      <c r="B430" s="112" t="n">
        <v>4</v>
      </c>
      <c r="C430" s="112">
        <f>IF(OR(Tabella3[[#This Row],[LUN]]="X",Tabella3[[#This Row],[MAR]]="X",Tabella3[[#This Row],[MER]]="X",Tabella3[[#This Row],[GIO]]="X",Tabella3[[#This Row],[VEN]]="X",),"X","")</f>
        <v/>
      </c>
      <c r="D430" s="113" t="inlineStr">
        <is>
          <t>AREA 3</t>
        </is>
      </c>
      <c r="E430" s="109" t="inlineStr">
        <is>
          <t>517624/C</t>
        </is>
      </c>
      <c r="F430" s="109" t="inlineStr">
        <is>
          <t>1200/0</t>
        </is>
      </c>
      <c r="G430" s="109" t="inlineStr">
        <is>
          <t xml:space="preserve"> 1200/0: VERIFICA FUNZIONAM 966A</t>
        </is>
      </c>
      <c r="H430" s="111" t="n"/>
      <c r="I430" s="111" t="n"/>
      <c r="J430" s="111" t="n"/>
      <c r="K430" s="111" t="n"/>
      <c r="L430" s="111" t="n"/>
      <c r="M430" s="109" t="inlineStr">
        <is>
          <t>INTERROTTO</t>
        </is>
      </c>
      <c r="N430" s="109" t="inlineStr">
        <is>
          <t>X</t>
        </is>
      </c>
      <c r="O430" s="109" t="n"/>
      <c r="P430" s="109" t="n"/>
      <c r="Q430" s="109" t="inlineStr">
        <is>
          <t>POSIZIONATORE GUASTO. IN ATTESA CHE ESERCIZIO CI DIA LA VALVOLA POTENDO FARE AUTOTUNING SU NUOVO POSIZIONATORE (ESCURSIONI DI APERTURA E CHIUSURA)</t>
        </is>
      </c>
      <c r="R430" s="110" t="n">
        <v>45629</v>
      </c>
      <c r="S430" s="110" t="inlineStr">
        <is>
          <t>GARRO L./GARRO S.</t>
        </is>
      </c>
      <c r="T430" s="116">
        <f>IF(AND('Inserimento dati'!$B$3=$H$2, Tabella3[[#This Row],[LUN]]="X"), "X",IF(AND('Inserimento dati'!$B$3=$I$2, Tabella3[[#This Row],[MAR]]="X"), "X", IF(AND('Inserimento dati'!$B$3=$J$2, Tabella3[[#This Row],[MER]]="X"), "X",IF(AND('Inserimento dati'!$B$3=$K$2, Tabella3[[#This Row],[GIO]]="X"), "X", IF(AND('Inserimento dati'!$B$3=$L$2, Tabella3[[#This Row],[VEN]]="X"), "X","")))))</f>
        <v/>
      </c>
      <c r="U430" s="145">
        <f>IFERROR(MID(G430,_xlfn.AGGREGATE(15,6,(ROW(INDIRECT("1:"&amp;LEN(G430)-7)))/(ISNUMBER(--MID(G430,ROW(INDIRECT("1:"&amp;LEN(G430)-7)),8))),1),8),"")</f>
        <v/>
      </c>
      <c r="V430" t="inlineStr">
        <is>
          <t>2025-09-30 20:00:00</t>
        </is>
      </c>
    </row>
    <row r="431" ht="45" customHeight="1" s="122">
      <c r="A431" s="112" t="n"/>
      <c r="B431" s="112" t="n">
        <v>4</v>
      </c>
      <c r="C431" s="112">
        <f>IF(OR(Tabella3[[#This Row],[LUN]]="X",Tabella3[[#This Row],[MAR]]="X",Tabella3[[#This Row],[MER]]="X",Tabella3[[#This Row],[GIO]]="X",Tabella3[[#This Row],[VEN]]="X",),"X","")</f>
        <v/>
      </c>
      <c r="D431" s="113" t="inlineStr">
        <is>
          <t>AREA 3</t>
        </is>
      </c>
      <c r="E431" s="109" t="inlineStr">
        <is>
          <t>517626/C</t>
        </is>
      </c>
      <c r="F431" s="109" t="inlineStr">
        <is>
          <t>1200/0</t>
        </is>
      </c>
      <c r="G431" s="109" t="inlineStr">
        <is>
          <t xml:space="preserve"> 1200/0 - VERIFICA FUNZIONAM 966B      </t>
        </is>
      </c>
      <c r="H431" s="111" t="n"/>
      <c r="I431" s="111" t="n"/>
      <c r="J431" s="111" t="n"/>
      <c r="K431" s="111" t="n"/>
      <c r="L431" s="111" t="n"/>
      <c r="M431" s="109" t="inlineStr">
        <is>
          <t>INTERROTTO</t>
        </is>
      </c>
      <c r="N431" s="109" t="inlineStr">
        <is>
          <t>X</t>
        </is>
      </c>
      <c r="O431" s="109" t="n"/>
      <c r="P431" s="109" t="n"/>
      <c r="Q431" s="109" t="inlineStr">
        <is>
          <t>POSIZIONATORE GUASTO. IN ATTESA CHE ESERCIZIO CI DIA LA VALVOLA POTENDO FARE AUTOTUNING SU NUOVO POSIZIONATORE (ESCURSIONI DI APERTURA E CHIUSURA)</t>
        </is>
      </c>
      <c r="R431" s="110" t="n">
        <v>45636</v>
      </c>
      <c r="S431" s="110" t="inlineStr">
        <is>
          <t>GARRO L./GARRO S.</t>
        </is>
      </c>
      <c r="T431" s="116">
        <f>IF(AND('Inserimento dati'!$B$3=$H$2, Tabella3[[#This Row],[LUN]]="X"), "X",IF(AND('Inserimento dati'!$B$3=$I$2, Tabella3[[#This Row],[MAR]]="X"), "X", IF(AND('Inserimento dati'!$B$3=$J$2, Tabella3[[#This Row],[MER]]="X"), "X",IF(AND('Inserimento dati'!$B$3=$K$2, Tabella3[[#This Row],[GIO]]="X"), "X", IF(AND('Inserimento dati'!$B$3=$L$2, Tabella3[[#This Row],[VEN]]="X"), "X","")))))</f>
        <v/>
      </c>
      <c r="U431" s="145">
        <f>IFERROR(MID(G431,_xlfn.AGGREGATE(15,6,(ROW(INDIRECT("1:"&amp;LEN(G431)-7)))/(ISNUMBER(--MID(G431,ROW(INDIRECT("1:"&amp;LEN(G431)-7)),8))),1),8),"")</f>
        <v/>
      </c>
      <c r="V431" t="inlineStr">
        <is>
          <t>2025-09-30 20:00:00</t>
        </is>
      </c>
    </row>
    <row r="432" ht="45" customHeight="1" s="122">
      <c r="A432" s="112" t="n"/>
      <c r="B432" s="112" t="n">
        <v>4</v>
      </c>
      <c r="C432" s="112">
        <f>IF(OR(Tabella3[[#This Row],[LUN]]="X",Tabella3[[#This Row],[MAR]]="X",Tabella3[[#This Row],[MER]]="X",Tabella3[[#This Row],[GIO]]="X",Tabella3[[#This Row],[VEN]]="X",),"X","")</f>
        <v/>
      </c>
      <c r="D432" s="113" t="inlineStr">
        <is>
          <t>AREA 3</t>
        </is>
      </c>
      <c r="E432" s="109" t="inlineStr">
        <is>
          <t>517627/C</t>
        </is>
      </c>
      <c r="F432" s="109" t="inlineStr">
        <is>
          <t>1200/0</t>
        </is>
      </c>
      <c r="G432" s="109" t="inlineStr">
        <is>
          <t xml:space="preserve"> 1200/0: VERIFICA FUNZIONAM 967A      </t>
        </is>
      </c>
      <c r="H432" s="111" t="n"/>
      <c r="I432" s="111" t="n"/>
      <c r="J432" s="111" t="n"/>
      <c r="K432" s="111" t="n"/>
      <c r="L432" s="111" t="n"/>
      <c r="M432" s="109" t="inlineStr">
        <is>
          <t>INTERROTTO</t>
        </is>
      </c>
      <c r="N432" s="109" t="inlineStr">
        <is>
          <t>X</t>
        </is>
      </c>
      <c r="O432" s="109" t="n"/>
      <c r="P432" s="109" t="n"/>
      <c r="Q432" s="109" t="inlineStr">
        <is>
          <t>POSIZIONATORE GUASTO. IN ATTESA CHE ESERCIZIO CI DIA LA VALVOLA POTENDO FARE AUTOTUNING SU NUOVO POSIZIONATORE (ESCURSIONI DI APERTURA E CHIUSURA)</t>
        </is>
      </c>
      <c r="R432" s="110" t="n">
        <v>45629</v>
      </c>
      <c r="S432" s="110" t="inlineStr">
        <is>
          <t>GARRO L./GARRO S.</t>
        </is>
      </c>
      <c r="T432" s="116">
        <f>IF(AND('Inserimento dati'!$B$3=$H$2, Tabella3[[#This Row],[LUN]]="X"), "X",IF(AND('Inserimento dati'!$B$3=$I$2, Tabella3[[#This Row],[MAR]]="X"), "X", IF(AND('Inserimento dati'!$B$3=$J$2, Tabella3[[#This Row],[MER]]="X"), "X",IF(AND('Inserimento dati'!$B$3=$K$2, Tabella3[[#This Row],[GIO]]="X"), "X", IF(AND('Inserimento dati'!$B$3=$L$2, Tabella3[[#This Row],[VEN]]="X"), "X","")))))</f>
        <v/>
      </c>
      <c r="U432" s="145">
        <f>IFERROR(MID(G432,_xlfn.AGGREGATE(15,6,(ROW(INDIRECT("1:"&amp;LEN(G432)-7)))/(ISNUMBER(--MID(G432,ROW(INDIRECT("1:"&amp;LEN(G432)-7)),8))),1),8),"")</f>
        <v/>
      </c>
      <c r="V432" t="inlineStr">
        <is>
          <t>2025-09-30 20:00:00</t>
        </is>
      </c>
    </row>
    <row r="433" ht="45" customHeight="1" s="122">
      <c r="A433" s="112" t="n"/>
      <c r="B433" s="112" t="n">
        <v>4</v>
      </c>
      <c r="C433" s="112">
        <f>IF(OR(Tabella3[[#This Row],[LUN]]="X",Tabella3[[#This Row],[MAR]]="X",Tabella3[[#This Row],[MER]]="X",Tabella3[[#This Row],[GIO]]="X",Tabella3[[#This Row],[VEN]]="X",),"X","")</f>
        <v/>
      </c>
      <c r="D433" s="113" t="inlineStr">
        <is>
          <t>AREA 3</t>
        </is>
      </c>
      <c r="E433" s="109" t="inlineStr">
        <is>
          <t>517628/C</t>
        </is>
      </c>
      <c r="F433" s="109" t="inlineStr">
        <is>
          <t>1200/0</t>
        </is>
      </c>
      <c r="G433" s="109" t="inlineStr">
        <is>
          <t xml:space="preserve"> 1200/0 - VERIFICA FUNZIONAM 967B     </t>
        </is>
      </c>
      <c r="H433" s="111" t="n"/>
      <c r="I433" s="111" t="n"/>
      <c r="J433" s="111" t="n"/>
      <c r="K433" s="111" t="n"/>
      <c r="L433" s="111" t="n"/>
      <c r="M433" s="109" t="inlineStr">
        <is>
          <t>INTERROTTO</t>
        </is>
      </c>
      <c r="N433" s="109" t="inlineStr">
        <is>
          <t>X</t>
        </is>
      </c>
      <c r="O433" s="109" t="n"/>
      <c r="P433" s="109" t="n"/>
      <c r="Q433" s="109" t="inlineStr">
        <is>
          <t>POSIZIONATORE GUASTO. IN ATTESA CHE ESERCIZIO CI DIA LA VALVOLA POTENDO FARE AUTOTUNING SU NUOVO POSIZIONATORE (ESCURSIONI DI APERTURA E CHIUSURA)</t>
        </is>
      </c>
      <c r="R433" s="110" t="n">
        <v>45636</v>
      </c>
      <c r="S433" s="110" t="inlineStr">
        <is>
          <t>GARRO L./GARRO S.</t>
        </is>
      </c>
      <c r="T433" s="116">
        <f>IF(AND('Inserimento dati'!$B$3=$H$2, Tabella3[[#This Row],[LUN]]="X"), "X",IF(AND('Inserimento dati'!$B$3=$I$2, Tabella3[[#This Row],[MAR]]="X"), "X", IF(AND('Inserimento dati'!$B$3=$J$2, Tabella3[[#This Row],[MER]]="X"), "X",IF(AND('Inserimento dati'!$B$3=$K$2, Tabella3[[#This Row],[GIO]]="X"), "X", IF(AND('Inserimento dati'!$B$3=$L$2, Tabella3[[#This Row],[VEN]]="X"), "X","")))))</f>
        <v/>
      </c>
      <c r="U433" s="145">
        <f>IFERROR(MID(G433,_xlfn.AGGREGATE(15,6,(ROW(INDIRECT("1:"&amp;LEN(G433)-7)))/(ISNUMBER(--MID(G433,ROW(INDIRECT("1:"&amp;LEN(G433)-7)),8))),1),8),"")</f>
        <v/>
      </c>
      <c r="V433" t="inlineStr">
        <is>
          <t>2025-09-30 20:00:00</t>
        </is>
      </c>
    </row>
    <row r="434" ht="23.25" customHeight="1" s="122">
      <c r="A434" s="112" t="n"/>
      <c r="B434" s="112" t="n">
        <v>4</v>
      </c>
      <c r="C434" s="112">
        <f>IF(OR(Tabella3[[#This Row],[LUN]]="X",Tabella3[[#This Row],[MAR]]="X",Tabella3[[#This Row],[MER]]="X",Tabella3[[#This Row],[GIO]]="X",Tabella3[[#This Row],[VEN]]="X",),"X","")</f>
        <v/>
      </c>
      <c r="D434" s="113" t="inlineStr">
        <is>
          <t>AREA 3</t>
        </is>
      </c>
      <c r="E434" s="109" t="inlineStr">
        <is>
          <t>512355/C</t>
        </is>
      </c>
      <c r="F434" s="109" t="n">
        <v>700</v>
      </c>
      <c r="G434" s="109" t="inlineStr">
        <is>
          <t xml:space="preserve"> F300RC -TARATURA </t>
        </is>
      </c>
      <c r="H434" s="111" t="n"/>
      <c r="I434" s="111" t="n"/>
      <c r="J434" s="111" t="n"/>
      <c r="K434" s="111" t="n"/>
      <c r="L434" s="111" t="n"/>
      <c r="M434" s="109" t="inlineStr">
        <is>
          <t>INTERROTTO</t>
        </is>
      </c>
      <c r="N434" s="109" t="n"/>
      <c r="O434" s="109" t="inlineStr">
        <is>
          <t>X</t>
        </is>
      </c>
      <c r="P434" s="109" t="n"/>
      <c r="Q434" s="109" t="inlineStr">
        <is>
          <t>Necessita ponteggio per il controllo del trasmettitore.</t>
        </is>
      </c>
      <c r="R434" s="110" t="n">
        <v>45579</v>
      </c>
      <c r="S434" s="110" t="n"/>
      <c r="T434" s="116">
        <f>IF(AND('Inserimento dati'!$B$3=$H$2, Tabella3[[#This Row],[LUN]]="X"), "X",IF(AND('Inserimento dati'!$B$3=$I$2, Tabella3[[#This Row],[MAR]]="X"), "X", IF(AND('Inserimento dati'!$B$3=$J$2, Tabella3[[#This Row],[MER]]="X"), "X",IF(AND('Inserimento dati'!$B$3=$K$2, Tabella3[[#This Row],[GIO]]="X"), "X", IF(AND('Inserimento dati'!$B$3=$L$2, Tabella3[[#This Row],[VEN]]="X"), "X","")))))</f>
        <v/>
      </c>
      <c r="U434" s="145">
        <f>IFERROR(MID(G434,_xlfn.AGGREGATE(15,6,(ROW(INDIRECT("1:"&amp;LEN(G434)-7)))/(ISNUMBER(--MID(G434,ROW(INDIRECT("1:"&amp;LEN(G434)-7)),8))),1),8),"")</f>
        <v/>
      </c>
      <c r="V434" t="inlineStr">
        <is>
          <t>2025-09-30 20:00:00</t>
        </is>
      </c>
    </row>
    <row r="435" ht="60" customHeight="1" s="122">
      <c r="A435" s="112" t="n"/>
      <c r="B435" s="112" t="n">
        <v>4</v>
      </c>
      <c r="C435" s="112">
        <f>IF(OR(Tabella3[[#This Row],[LUN]]="X",Tabella3[[#This Row],[MAR]]="X",Tabella3[[#This Row],[MER]]="X",Tabella3[[#This Row],[GIO]]="X",Tabella3[[#This Row],[VEN]]="X",),"X","")</f>
        <v/>
      </c>
      <c r="D435" s="113" t="inlineStr">
        <is>
          <t>AREA 3</t>
        </is>
      </c>
      <c r="E435" s="109" t="inlineStr">
        <is>
          <t>512975/C</t>
        </is>
      </c>
      <c r="F435" s="109" t="n">
        <v>700</v>
      </c>
      <c r="G435" s="109" t="inlineStr">
        <is>
          <t xml:space="preserve"> F220RC - SIGLA A DCS 07F220B</t>
        </is>
      </c>
      <c r="H435" s="111" t="n"/>
      <c r="I435" s="111" t="n"/>
      <c r="J435" s="111" t="n"/>
      <c r="K435" s="111" t="n"/>
      <c r="L435" s="111" t="n"/>
      <c r="M435" s="109" t="inlineStr">
        <is>
          <t>INTERROTTO</t>
        </is>
      </c>
      <c r="N435" s="109" t="inlineStr">
        <is>
          <t>X</t>
        </is>
      </c>
      <c r="O435" s="109" t="n"/>
      <c r="P435" s="109" t="n"/>
      <c r="Q435" s="109" t="inlineStr">
        <is>
          <t xml:space="preserve">F220BR: PROBLEMI NELLA MISURA AL DCS PER DOPPINO DA TX A JB IN DISPERSIONE.
DA PROGRAMMARE LA SOSTITUZIONE IN FERMATA.
F220AR: VALVOLA INTERCETTO POSITIVA NON FA' TENUTA.                    </t>
        </is>
      </c>
      <c r="R435" s="110" t="n">
        <v>45582</v>
      </c>
      <c r="S435" s="110" t="inlineStr">
        <is>
          <t>SPINALI/PARTESANO</t>
        </is>
      </c>
      <c r="T435" s="116">
        <f>IF(AND('Inserimento dati'!$B$3=$H$2, Tabella3[[#This Row],[LUN]]="X"), "X",IF(AND('Inserimento dati'!$B$3=$I$2, Tabella3[[#This Row],[MAR]]="X"), "X", IF(AND('Inserimento dati'!$B$3=$J$2, Tabella3[[#This Row],[MER]]="X"), "X",IF(AND('Inserimento dati'!$B$3=$K$2, Tabella3[[#This Row],[GIO]]="X"), "X", IF(AND('Inserimento dati'!$B$3=$L$2, Tabella3[[#This Row],[VEN]]="X"), "X","")))))</f>
        <v/>
      </c>
      <c r="U435" s="145">
        <f>IFERROR(MID(G435,_xlfn.AGGREGATE(15,6,(ROW(INDIRECT("1:"&amp;LEN(G435)-7)))/(ISNUMBER(--MID(G435,ROW(INDIRECT("1:"&amp;LEN(G435)-7)),8))),1),8),"")</f>
        <v/>
      </c>
      <c r="V435" t="inlineStr">
        <is>
          <t>2025-09-30 20:00:00</t>
        </is>
      </c>
    </row>
    <row r="436" ht="23.25" customHeight="1" s="122">
      <c r="A436" s="112" t="n"/>
      <c r="B436" s="112" t="n">
        <v>4</v>
      </c>
      <c r="C436" s="112">
        <f>IF(OR(Tabella3[[#This Row],[LUN]]="X",Tabella3[[#This Row],[MAR]]="X",Tabella3[[#This Row],[MER]]="X",Tabella3[[#This Row],[GIO]]="X",Tabella3[[#This Row],[VEN]]="X",),"X","")</f>
        <v/>
      </c>
      <c r="D436" s="113" t="inlineStr">
        <is>
          <t>AREA 3</t>
        </is>
      </c>
      <c r="E436" s="109" t="inlineStr">
        <is>
          <t>507188/C</t>
        </is>
      </c>
      <c r="F436" s="109" t="n">
        <v>1800</v>
      </c>
      <c r="G436" s="109" t="inlineStr">
        <is>
          <t xml:space="preserve"> L405I Livello D116</t>
        </is>
      </c>
      <c r="H436" s="111" t="n"/>
      <c r="I436" s="111" t="n"/>
      <c r="J436" s="111" t="n"/>
      <c r="K436" s="111" t="n"/>
      <c r="L436" s="111" t="n"/>
      <c r="M436" s="109" t="inlineStr">
        <is>
          <t>INTERROTTO</t>
        </is>
      </c>
      <c r="N436" s="109" t="n"/>
      <c r="O436" s="109" t="inlineStr">
        <is>
          <t>X</t>
        </is>
      </c>
      <c r="P436" s="109" t="n"/>
      <c r="Q436" s="109" t="inlineStr">
        <is>
          <t>SERVE PONTEGGIO PER ACCEDERE ALLA TESTINA DI LIVELLO</t>
        </is>
      </c>
      <c r="R436" s="110" t="n">
        <v>45580</v>
      </c>
      <c r="S436" s="110" t="n"/>
      <c r="T436" s="116">
        <f>IF(AND('Inserimento dati'!$B$3=$H$2, Tabella3[[#This Row],[LUN]]="X"), "X",IF(AND('Inserimento dati'!$B$3=$I$2, Tabella3[[#This Row],[MAR]]="X"), "X", IF(AND('Inserimento dati'!$B$3=$J$2, Tabella3[[#This Row],[MER]]="X"), "X",IF(AND('Inserimento dati'!$B$3=$K$2, Tabella3[[#This Row],[GIO]]="X"), "X", IF(AND('Inserimento dati'!$B$3=$L$2, Tabella3[[#This Row],[VEN]]="X"), "X","")))))</f>
        <v/>
      </c>
      <c r="U436" s="145">
        <f>IFERROR(MID(G436,_xlfn.AGGREGATE(15,6,(ROW(INDIRECT("1:"&amp;LEN(G436)-7)))/(ISNUMBER(--MID(G436,ROW(INDIRECT("1:"&amp;LEN(G436)-7)),8))),1),8),"")</f>
        <v/>
      </c>
      <c r="V436" t="inlineStr">
        <is>
          <t>2025-09-30 20:00:00</t>
        </is>
      </c>
    </row>
    <row r="437" ht="23.25" customHeight="1" s="122">
      <c r="A437" s="112" t="n"/>
      <c r="B437" s="112" t="n">
        <v>4</v>
      </c>
      <c r="C437" s="112">
        <f>IF(OR(Tabella3[[#This Row],[LUN]]="X",Tabella3[[#This Row],[MAR]]="X",Tabella3[[#This Row],[MER]]="X",Tabella3[[#This Row],[GIO]]="X",Tabella3[[#This Row],[VEN]]="X",),"X","")</f>
        <v/>
      </c>
      <c r="D437" s="113" t="inlineStr">
        <is>
          <t>AREA 3</t>
        </is>
      </c>
      <c r="E437" s="109" t="inlineStr">
        <is>
          <t>517066/C</t>
        </is>
      </c>
      <c r="F437" s="109" t="inlineStr">
        <is>
          <t>1200/2</t>
        </is>
      </c>
      <c r="G437" s="109" t="inlineStr">
        <is>
          <t xml:space="preserve"> 10211599   1200/2 B301SV2 - T402A/B - T407A/B CONTROLLO E RIPRISTINI SU F101</t>
        </is>
      </c>
      <c r="H437" s="111" t="n"/>
      <c r="I437" s="111" t="n"/>
      <c r="J437" s="111" t="n"/>
      <c r="K437" s="111" t="n"/>
      <c r="L437" s="111" t="n"/>
      <c r="M437" s="109" t="inlineStr">
        <is>
          <t>INTERROTTO</t>
        </is>
      </c>
      <c r="N437" s="109" t="n"/>
      <c r="O437" s="109" t="inlineStr">
        <is>
          <t>X</t>
        </is>
      </c>
      <c r="P437" s="109" t="n"/>
      <c r="Q437" s="109" t="inlineStr">
        <is>
          <t>NECESSITA PONTEGGIO PER CONTROLLO.</t>
        </is>
      </c>
      <c r="R437" s="110" t="n">
        <v>45616</v>
      </c>
      <c r="S437" s="110" t="n"/>
      <c r="T437" s="116">
        <f>IF(AND('Inserimento dati'!$B$3=$H$2, Tabella3[[#This Row],[LUN]]="X"), "X",IF(AND('Inserimento dati'!$B$3=$I$2, Tabella3[[#This Row],[MAR]]="X"), "X", IF(AND('Inserimento dati'!$B$3=$J$2, Tabella3[[#This Row],[MER]]="X"), "X",IF(AND('Inserimento dati'!$B$3=$K$2, Tabella3[[#This Row],[GIO]]="X"), "X", IF(AND('Inserimento dati'!$B$3=$L$2, Tabella3[[#This Row],[VEN]]="X"), "X","")))))</f>
        <v/>
      </c>
      <c r="U437" s="145">
        <f>IFERROR(MID(G437,_xlfn.AGGREGATE(15,6,(ROW(INDIRECT("1:"&amp;LEN(G437)-7)))/(ISNUMBER(--MID(G437,ROW(INDIRECT("1:"&amp;LEN(G437)-7)),8))),1),8),"")</f>
        <v/>
      </c>
      <c r="V437" t="inlineStr">
        <is>
          <t>2025-09-30 20:00:00</t>
        </is>
      </c>
    </row>
    <row r="438" ht="30" customHeight="1" s="122">
      <c r="A438" s="112" t="n"/>
      <c r="B438" s="112" t="n">
        <v>4</v>
      </c>
      <c r="C438" s="112">
        <f>IF(OR(Tabella3[[#This Row],[LUN]]="X",Tabella3[[#This Row],[MAR]]="X",Tabella3[[#This Row],[MER]]="X",Tabella3[[#This Row],[GIO]]="X",Tabella3[[#This Row],[VEN]]="X",),"X","")</f>
        <v/>
      </c>
      <c r="D438" s="113" t="inlineStr">
        <is>
          <t>AREA 3</t>
        </is>
      </c>
      <c r="E438" s="109" t="inlineStr">
        <is>
          <t>516393/C</t>
        </is>
      </c>
      <c r="F438" s="109" t="inlineStr">
        <is>
          <t>1200/M</t>
        </is>
      </c>
      <c r="G438" s="109" t="inlineStr">
        <is>
          <t xml:space="preserve"> VERIFICA ZMP781R     </t>
        </is>
      </c>
      <c r="H438" s="111" t="n"/>
      <c r="I438" s="111" t="n"/>
      <c r="J438" s="111" t="n"/>
      <c r="K438" s="111" t="n"/>
      <c r="L438" s="111" t="n"/>
      <c r="M438" s="109" t="inlineStr">
        <is>
          <t>INTERROTTO</t>
        </is>
      </c>
      <c r="N438" s="109" t="n"/>
      <c r="O438" s="109" t="n"/>
      <c r="P438" s="109" t="inlineStr">
        <is>
          <t>X</t>
        </is>
      </c>
      <c r="Q438" s="109" t="inlineStr">
        <is>
          <t>PRESA TAPPATA. NECESSITA INTERVENTO PONTEROSSO.</t>
        </is>
      </c>
      <c r="R438" s="110" t="n">
        <v>45615</v>
      </c>
      <c r="S438" s="110" t="inlineStr">
        <is>
          <t>TARASCIO/PARTESANO</t>
        </is>
      </c>
      <c r="T438" s="116">
        <f>IF(AND('Inserimento dati'!$B$3=$H$2, Tabella3[[#This Row],[LUN]]="X"), "X",IF(AND('Inserimento dati'!$B$3=$I$2, Tabella3[[#This Row],[MAR]]="X"), "X", IF(AND('Inserimento dati'!$B$3=$J$2, Tabella3[[#This Row],[MER]]="X"), "X",IF(AND('Inserimento dati'!$B$3=$K$2, Tabella3[[#This Row],[GIO]]="X"), "X", IF(AND('Inserimento dati'!$B$3=$L$2, Tabella3[[#This Row],[VEN]]="X"), "X","")))))</f>
        <v/>
      </c>
      <c r="U438" s="145">
        <f>IFERROR(MID(G438,_xlfn.AGGREGATE(15,6,(ROW(INDIRECT("1:"&amp;LEN(G438)-7)))/(ISNUMBER(--MID(G438,ROW(INDIRECT("1:"&amp;LEN(G438)-7)),8))),1),8),"")</f>
        <v/>
      </c>
      <c r="V438" t="inlineStr">
        <is>
          <t>2025-09-30 20:00:00</t>
        </is>
      </c>
    </row>
    <row r="439" ht="30" customHeight="1" s="122">
      <c r="A439" s="112" t="n"/>
      <c r="B439" s="112" t="n">
        <v>4</v>
      </c>
      <c r="C439" s="112">
        <f>IF(OR(Tabella3[[#This Row],[LUN]]="X",Tabella3[[#This Row],[MAR]]="X",Tabella3[[#This Row],[MER]]="X",Tabella3[[#This Row],[GIO]]="X",Tabella3[[#This Row],[VEN]]="X",),"X","")</f>
        <v/>
      </c>
      <c r="D439" s="113" t="inlineStr">
        <is>
          <t>AREA 3</t>
        </is>
      </c>
      <c r="E439" s="109" t="inlineStr">
        <is>
          <t>515273/C</t>
        </is>
      </c>
      <c r="F439" s="109" t="inlineStr">
        <is>
          <t>1200/3</t>
        </is>
      </c>
      <c r="G439" s="109" t="inlineStr">
        <is>
          <t xml:space="preserve"> PR1: 1200/3 RIPRISTINO LIVELLOSTATI D102 L303LA-L303HA </t>
        </is>
      </c>
      <c r="H439" s="111" t="n"/>
      <c r="I439" s="111" t="n"/>
      <c r="J439" s="111" t="n"/>
      <c r="K439" s="111" t="n"/>
      <c r="L439" s="111" t="n"/>
      <c r="M439" s="109" t="inlineStr">
        <is>
          <t>INTERROTTO</t>
        </is>
      </c>
      <c r="N439" s="109" t="inlineStr">
        <is>
          <t>X</t>
        </is>
      </c>
      <c r="O439" s="109" t="n"/>
      <c r="P439" s="109" t="n"/>
      <c r="Q439" s="109" t="inlineStr">
        <is>
          <t>SI ATTENDE BONIFICA LIVELLOSTATI DA PARTE ESERCIZIO PER POTER LAVORARE.</t>
        </is>
      </c>
      <c r="R439" s="110" t="n">
        <v>45595</v>
      </c>
      <c r="S439" s="110" t="inlineStr">
        <is>
          <t>TARASCIO/PARTESANO</t>
        </is>
      </c>
      <c r="T439" s="116">
        <f>IF(AND('Inserimento dati'!$B$3=$H$2, Tabella3[[#This Row],[LUN]]="X"), "X",IF(AND('Inserimento dati'!$B$3=$I$2, Tabella3[[#This Row],[MAR]]="X"), "X", IF(AND('Inserimento dati'!$B$3=$J$2, Tabella3[[#This Row],[MER]]="X"), "X",IF(AND('Inserimento dati'!$B$3=$K$2, Tabella3[[#This Row],[GIO]]="X"), "X", IF(AND('Inserimento dati'!$B$3=$L$2, Tabella3[[#This Row],[VEN]]="X"), "X","")))))</f>
        <v/>
      </c>
      <c r="U439" s="145">
        <f>IFERROR(MID(G439,_xlfn.AGGREGATE(15,6,(ROW(INDIRECT("1:"&amp;LEN(G439)-7)))/(ISNUMBER(--MID(G439,ROW(INDIRECT("1:"&amp;LEN(G439)-7)),8))),1),8),"")</f>
        <v/>
      </c>
      <c r="V439" t="inlineStr">
        <is>
          <t>2025-09-30 20:00:00</t>
        </is>
      </c>
    </row>
    <row r="440" ht="45" customHeight="1" s="122">
      <c r="A440" s="112" t="n"/>
      <c r="B440" s="112" t="n">
        <v>4</v>
      </c>
      <c r="C440" s="112">
        <f>IF(OR(Tabella3[[#This Row],[LUN]]="X",Tabella3[[#This Row],[MAR]]="X",Tabella3[[#This Row],[MER]]="X",Tabella3[[#This Row],[GIO]]="X",Tabella3[[#This Row],[VEN]]="X",),"X","")</f>
        <v/>
      </c>
      <c r="D440" s="113" t="inlineStr">
        <is>
          <t>AREA 3</t>
        </is>
      </c>
      <c r="E440" s="109" t="inlineStr">
        <is>
          <t>520900/C</t>
        </is>
      </c>
      <c r="F440" s="109" t="inlineStr">
        <is>
          <t>1200/2</t>
        </is>
      </c>
      <c r="G440" s="109" t="inlineStr">
        <is>
          <t xml:space="preserve"> 10213784   1200/2: RIPRISTINO PCV310</t>
        </is>
      </c>
      <c r="H440" s="111" t="n"/>
      <c r="I440" s="111" t="n"/>
      <c r="J440" s="111" t="n"/>
      <c r="K440" s="111" t="n"/>
      <c r="L440" s="111" t="n"/>
      <c r="M440" s="109" t="inlineStr">
        <is>
          <t>INTERROTTO</t>
        </is>
      </c>
      <c r="N440" s="109" t="inlineStr">
        <is>
          <t>X</t>
        </is>
      </c>
      <c r="O440" s="109" t="n"/>
      <c r="P440" s="109" t="n"/>
      <c r="Q440" s="109" t="inlineStr">
        <is>
          <t>LA VALVOLA FUNZIONA DAL 50% AL 100%, NON VA IN CHIUSURA, SERVE LA REVISIONE IN OFFICINA. NON AVENDO INTERCETTI, PER SMONTARLA SI DEVE FERMARE LA SOFFIANTE.</t>
        </is>
      </c>
      <c r="R440" s="110" t="n">
        <v>45664</v>
      </c>
      <c r="S440" s="110" t="inlineStr">
        <is>
          <t>SPINALI/MANSERVIGI</t>
        </is>
      </c>
      <c r="T440" s="112">
        <f>IF(AND('Inserimento dati'!$B$3=$H$2, Tabella3[[#This Row],[LUN]]="X"), "X",IF(AND('Inserimento dati'!$B$3=$I$2, Tabella3[[#This Row],[MAR]]="X"), "X", IF(AND('Inserimento dati'!$B$3=$J$2, Tabella3[[#This Row],[MER]]="X"), "X",IF(AND('Inserimento dati'!$B$3=$K$2, Tabella3[[#This Row],[GIO]]="X"), "X", IF(AND('Inserimento dati'!$B$3=$L$2, Tabella3[[#This Row],[VEN]]="X"), "X","")))))</f>
        <v/>
      </c>
      <c r="U440" s="145">
        <f>IFERROR(MID(G440,_xlfn.AGGREGATE(15,6,(ROW(INDIRECT("1:"&amp;LEN(G440)-7)))/(ISNUMBER(--MID(G440,ROW(INDIRECT("1:"&amp;LEN(G440)-7)),8))),1),8),"")</f>
        <v/>
      </c>
      <c r="V440" t="inlineStr">
        <is>
          <t>2025-09-30 20:00:00</t>
        </is>
      </c>
    </row>
    <row r="441" ht="30" customHeight="1" s="122">
      <c r="A441" s="112" t="n"/>
      <c r="B441" s="112" t="n"/>
      <c r="C441" s="112">
        <f>IF(OR(Tabella3[[#This Row],[LUN]]="X",Tabella3[[#This Row],[MAR]]="X",Tabella3[[#This Row],[MER]]="X",Tabella3[[#This Row],[GIO]]="X",Tabella3[[#This Row],[VEN]]="X",),"X","")</f>
        <v/>
      </c>
      <c r="D441" s="113" t="inlineStr">
        <is>
          <t>AREA 3</t>
        </is>
      </c>
      <c r="E441" s="109" t="inlineStr">
        <is>
          <t>542710/C</t>
        </is>
      </c>
      <c r="F441" s="109" t="n">
        <v>800</v>
      </c>
      <c r="G441" s="109" t="inlineStr">
        <is>
          <t>10226577   800: RIPR E CONFIG FLUSSIMETRI MC101A SMONTAGGIO/RIMONTAGGIO PER REVISIONE</t>
        </is>
      </c>
      <c r="H441" s="111" t="n"/>
      <c r="I441" s="111" t="n"/>
      <c r="J441" s="111" t="n"/>
      <c r="K441" s="111" t="n"/>
      <c r="L441" s="111" t="n"/>
      <c r="M441" s="109" t="inlineStr">
        <is>
          <t>INTERROTTO</t>
        </is>
      </c>
      <c r="N441" s="109" t="n"/>
      <c r="O441" s="109" t="n"/>
      <c r="P441" s="109" t="n"/>
      <c r="Q441" s="109" t="inlineStr">
        <is>
          <t>IN ATTESA RICAMBIO</t>
        </is>
      </c>
      <c r="R441" s="110" t="n">
        <v>45848</v>
      </c>
      <c r="S441" s="109" t="inlineStr">
        <is>
          <t>MILLO</t>
        </is>
      </c>
      <c r="T441" s="114">
        <f>IF(AND('Inserimento dati'!$B$3=$H$2, Tabella3[[#This Row],[LUN]]="X"), "X",IF(AND('Inserimento dati'!$B$3=$I$2, Tabella3[[#This Row],[MAR]]="X"), "X", IF(AND('Inserimento dati'!$B$3=$J$2, Tabella3[[#This Row],[MER]]="X"), "X",IF(AND('Inserimento dati'!$B$3=$K$2, Tabella3[[#This Row],[GIO]]="X"), "X", IF(AND('Inserimento dati'!$B$3=$L$2, Tabella3[[#This Row],[VEN]]="X"), "X","")))))</f>
        <v/>
      </c>
      <c r="U441" s="131">
        <f>IFERROR(MID(G441,_xlfn.AGGREGATE(15,6,(ROW(INDIRECT("1:"&amp;LEN(G441)-7)))/(ISNUMBER(--MID(G441,ROW(INDIRECT("1:"&amp;LEN(G441)-7)),8))),1),8),"")</f>
        <v/>
      </c>
      <c r="V441" t="inlineStr">
        <is>
          <t>2025-09-30 20:00:00</t>
        </is>
      </c>
    </row>
    <row r="442" ht="45" customHeight="1" s="122">
      <c r="A442" s="112" t="n"/>
      <c r="B442" s="112" t="n">
        <v>3</v>
      </c>
      <c r="C442" s="112">
        <f>IF(OR(Tabella3[[#This Row],[LUN]]="X",Tabella3[[#This Row],[MAR]]="X",Tabella3[[#This Row],[MER]]="X",Tabella3[[#This Row],[GIO]]="X",Tabella3[[#This Row],[VEN]]="X",),"X","")</f>
        <v/>
      </c>
      <c r="D442" s="113" t="inlineStr">
        <is>
          <t>AREA 3</t>
        </is>
      </c>
      <c r="E442" s="109" t="inlineStr">
        <is>
          <t>540300/C</t>
        </is>
      </c>
      <c r="F442" s="109" t="n">
        <v>1400</v>
      </c>
      <c r="G442" s="109" t="inlineStr">
        <is>
          <t>10224411 1400 - RIPRISTINO FR OO4 SWS GAS DA TESTA 1400-D104 A LINEE ZOLFO</t>
        </is>
      </c>
      <c r="H442" s="111" t="n"/>
      <c r="I442" s="111" t="n"/>
      <c r="J442" s="111" t="n"/>
      <c r="K442" s="111" t="n"/>
      <c r="L442" s="111" t="n"/>
      <c r="M442" s="109" t="inlineStr">
        <is>
          <t>INTERROTTO</t>
        </is>
      </c>
      <c r="N442" s="109" t="n"/>
      <c r="O442" s="109" t="inlineStr">
        <is>
          <t>X</t>
        </is>
      </c>
      <c r="P442" s="113" t="inlineStr">
        <is>
          <t>X</t>
        </is>
      </c>
      <c r="Q442" s="109" t="inlineStr">
        <is>
          <t>VALVOLE TAPPATE, PROVATE CON POMPA ALTA PRESSIONE CON ESITO NEGATIVO. SERVE PONTEGGIO PER STASARE A CURA PONTEROSSO</t>
        </is>
      </c>
      <c r="R442" s="110" t="n">
        <v>45824</v>
      </c>
      <c r="S442" s="109" t="inlineStr">
        <is>
          <t>TARASCIO/PARTESANO</t>
        </is>
      </c>
      <c r="T442" s="114">
        <f>IF(AND('Inserimento dati'!$B$3=$H$2, Tabella3[[#This Row],[LUN]]="X"), "X",IF(AND('Inserimento dati'!$B$3=$I$2, Tabella3[[#This Row],[MAR]]="X"), "X", IF(AND('Inserimento dati'!$B$3=$J$2, Tabella3[[#This Row],[MER]]="X"), "X",IF(AND('Inserimento dati'!$B$3=$K$2, Tabella3[[#This Row],[GIO]]="X"), "X", IF(AND('Inserimento dati'!$B$3=$L$2, Tabella3[[#This Row],[VEN]]="X"), "X","")))))</f>
        <v/>
      </c>
      <c r="U442" s="131">
        <f>IFERROR(MID(G442,_xlfn.AGGREGATE(15,6,(ROW(INDIRECT("1:"&amp;LEN(G442)-7)))/(ISNUMBER(--MID(G442,ROW(INDIRECT("1:"&amp;LEN(G442)-7)),8))),1),8),"")</f>
        <v/>
      </c>
      <c r="V442" t="inlineStr">
        <is>
          <t>2025-09-30 20:00:00</t>
        </is>
      </c>
    </row>
    <row r="443" ht="23.25" customHeight="1" s="122">
      <c r="A443" s="112" t="n"/>
      <c r="B443" s="112" t="n"/>
      <c r="C443" s="112">
        <f>IF(OR(Tabella3[[#This Row],[LUN]]="X",Tabella3[[#This Row],[MAR]]="X",Tabella3[[#This Row],[MER]]="X",Tabella3[[#This Row],[GIO]]="X",Tabella3[[#This Row],[VEN]]="X",),"X","")</f>
        <v/>
      </c>
      <c r="D443" s="113" t="inlineStr">
        <is>
          <t>AREA 3</t>
        </is>
      </c>
      <c r="E443" s="109" t="inlineStr">
        <is>
          <t>547314/C</t>
        </is>
      </c>
      <c r="F443" s="109" t="n">
        <v>1400</v>
      </c>
      <c r="G443" s="109" t="inlineStr">
        <is>
          <t>1400 L001RB CONTROLLO FUNZIONALE</t>
        </is>
      </c>
      <c r="H443" s="111" t="n"/>
      <c r="I443" s="111" t="n"/>
      <c r="J443" s="111" t="n"/>
      <c r="K443" s="111" t="n"/>
      <c r="L443" s="111" t="n"/>
      <c r="M443" s="109" t="inlineStr">
        <is>
          <t>TERMINATA</t>
        </is>
      </c>
      <c r="N443" s="109" t="n"/>
      <c r="O443" s="109" t="n"/>
      <c r="P443" s="109" t="n"/>
      <c r="Q443" s="109" t="inlineStr">
        <is>
          <t xml:space="preserve">Nessuna anomalia riscontrata.Effettuato allineamento sala controllo. </t>
        </is>
      </c>
      <c r="R443" s="110" t="n"/>
      <c r="S443" s="109" t="inlineStr">
        <is>
          <t>TARASCIO</t>
        </is>
      </c>
      <c r="T443" s="114">
        <f>IF(AND('Inserimento dati'!$B$3=$H$2, Tabella3[[#This Row],[LUN]]="X"), "X",IF(AND('Inserimento dati'!$B$3=$I$2, Tabella3[[#This Row],[MAR]]="X"), "X", IF(AND('Inserimento dati'!$B$3=$J$2, Tabella3[[#This Row],[MER]]="X"), "X",IF(AND('Inserimento dati'!$B$3=$K$2, Tabella3[[#This Row],[GIO]]="X"), "X", IF(AND('Inserimento dati'!$B$3=$L$2, Tabella3[[#This Row],[VEN]]="X"), "X","")))))</f>
        <v/>
      </c>
      <c r="U443" s="93">
        <f>IFERROR(MID(G443,_xlfn.AGGREGATE(15,6,(ROW(INDIRECT("1:"&amp;LEN(G443)-7)))/(ISNUMBER(--MID(G443,ROW(INDIRECT("1:"&amp;LEN(G443)-7)),8))),1),8),"")</f>
        <v/>
      </c>
      <c r="V443" t="inlineStr">
        <is>
          <t>2025-09-30 20:00:00</t>
        </is>
      </c>
    </row>
  </sheetData>
  <mergeCells count="2">
    <mergeCell ref="A1:D1"/>
    <mergeCell ref="N2:P2"/>
  </mergeCells>
  <conditionalFormatting sqref="E164:G443 M215:S377 M379:S380 M382:S391 M392:P392 M396:S443 N164:S164 N166:S214 N378:S378 N381:S381 N393:P393 N394:S394 N395:P395">
    <cfRule type="expression" priority="2839" dxfId="60">
      <formula>SEARCH("IN CORSO",$M164)&gt;0</formula>
    </cfRule>
    <cfRule type="expression" priority="2840" dxfId="59">
      <formula>SEARCH("CHIUSO",$M164)&gt;0</formula>
    </cfRule>
    <cfRule type="expression" priority="2841" dxfId="58">
      <formula>SEARCH("EMESSO",$M164)&gt;0</formula>
    </cfRule>
    <cfRule type="expression" priority="2842" dxfId="57">
      <formula>SEARCH("RICHIESTO",$M164)&gt;0</formula>
    </cfRule>
    <cfRule type="expression" priority="2843" dxfId="56">
      <formula>SEARCH("DA CHIUDERE",$M164)&gt;0</formula>
    </cfRule>
    <cfRule type="expression" priority="2844" dxfId="55">
      <formula>SEARCH("INTERROTTO",$M164)&gt;0</formula>
    </cfRule>
  </conditionalFormatting>
  <conditionalFormatting sqref="R165:S165">
    <cfRule type="expression" priority="2833" dxfId="60">
      <formula>SEARCH("IN CORSO",$M165)&gt;0</formula>
    </cfRule>
    <cfRule type="expression" priority="2834" dxfId="59">
      <formula>SEARCH("CHIUSO",$M165)&gt;0</formula>
    </cfRule>
    <cfRule type="expression" priority="2835" dxfId="58">
      <formula>SEARCH("EMESSO",$M165)&gt;0</formula>
    </cfRule>
    <cfRule type="expression" priority="2836" dxfId="57">
      <formula>SEARCH("RICHIESTO",$M165)&gt;0</formula>
    </cfRule>
    <cfRule type="expression" priority="2837" dxfId="56">
      <formula>SEARCH("DA CHIUDERE",$M165)&gt;0</formula>
    </cfRule>
    <cfRule type="expression" priority="2838" dxfId="55">
      <formula>SEARCH("INTERROTTO",$M165)&gt;0</formula>
    </cfRule>
  </conditionalFormatting>
  <conditionalFormatting sqref="E163:G163 N163:S163">
    <cfRule type="expression" priority="2827" dxfId="60">
      <formula>SEARCH("IN CORSO",$M163)&gt;0</formula>
    </cfRule>
    <cfRule type="expression" priority="2828" dxfId="59">
      <formula>SEARCH("CHIUSO",$M163)&gt;0</formula>
    </cfRule>
    <cfRule type="expression" priority="2829" dxfId="58">
      <formula>SEARCH("EMESSO",$M163)&gt;0</formula>
    </cfRule>
    <cfRule type="expression" priority="2830" dxfId="57">
      <formula>SEARCH("RICHIESTO",$M163)&gt;0</formula>
    </cfRule>
    <cfRule type="expression" priority="2831" dxfId="56">
      <formula>SEARCH("DA CHIUDERE",$M163)&gt;0</formula>
    </cfRule>
    <cfRule type="expression" priority="2832" dxfId="55">
      <formula>SEARCH("INTERROTTO",$M163)&gt;0</formula>
    </cfRule>
  </conditionalFormatting>
  <conditionalFormatting sqref="E162:G162 N162:S162">
    <cfRule type="expression" priority="2821" dxfId="60">
      <formula>SEARCH("IN CORSO",$M162)&gt;0</formula>
    </cfRule>
    <cfRule type="expression" priority="2822" dxfId="59">
      <formula>SEARCH("CHIUSO",$M162)&gt;0</formula>
    </cfRule>
    <cfRule type="expression" priority="2823" dxfId="58">
      <formula>SEARCH("EMESSO",$M162)&gt;0</formula>
    </cfRule>
    <cfRule type="expression" priority="2824" dxfId="57">
      <formula>SEARCH("RICHIESTO",$M162)&gt;0</formula>
    </cfRule>
    <cfRule type="expression" priority="2825" dxfId="56">
      <formula>SEARCH("DA CHIUDERE",$M162)&gt;0</formula>
    </cfRule>
    <cfRule type="expression" priority="2826" dxfId="55">
      <formula>SEARCH("INTERROTTO",$M162)&gt;0</formula>
    </cfRule>
  </conditionalFormatting>
  <conditionalFormatting sqref="E161:G161 N161:S161">
    <cfRule type="expression" priority="2815" dxfId="60">
      <formula>SEARCH("IN CORSO",$M161)&gt;0</formula>
    </cfRule>
    <cfRule type="expression" priority="2816" dxfId="59">
      <formula>SEARCH("CHIUSO",$M161)&gt;0</formula>
    </cfRule>
    <cfRule type="expression" priority="2817" dxfId="58">
      <formula>SEARCH("EMESSO",$M161)&gt;0</formula>
    </cfRule>
    <cfRule type="expression" priority="2818" dxfId="57">
      <formula>SEARCH("RICHIESTO",$M161)&gt;0</formula>
    </cfRule>
    <cfRule type="expression" priority="2819" dxfId="56">
      <formula>SEARCH("DA CHIUDERE",$M161)&gt;0</formula>
    </cfRule>
    <cfRule type="expression" priority="2820" dxfId="55">
      <formula>SEARCH("INTERROTTO",$M161)&gt;0</formula>
    </cfRule>
  </conditionalFormatting>
  <conditionalFormatting sqref="E160:G160 N160:S160">
    <cfRule type="expression" priority="2809" dxfId="60">
      <formula>SEARCH("IN CORSO",$M160)&gt;0</formula>
    </cfRule>
    <cfRule type="expression" priority="2810" dxfId="59">
      <formula>SEARCH("CHIUSO",$M160)&gt;0</formula>
    </cfRule>
    <cfRule type="expression" priority="2811" dxfId="58">
      <formula>SEARCH("EMESSO",$M160)&gt;0</formula>
    </cfRule>
    <cfRule type="expression" priority="2812" dxfId="57">
      <formula>SEARCH("RICHIESTO",$M160)&gt;0</formula>
    </cfRule>
    <cfRule type="expression" priority="2813" dxfId="56">
      <formula>SEARCH("DA CHIUDERE",$M160)&gt;0</formula>
    </cfRule>
    <cfRule type="expression" priority="2814" dxfId="55">
      <formula>SEARCH("INTERROTTO",$M160)&gt;0</formula>
    </cfRule>
  </conditionalFormatting>
  <conditionalFormatting sqref="E159:G159 N159:S159">
    <cfRule type="expression" priority="2803" dxfId="60">
      <formula>SEARCH("IN CORSO",$M159)&gt;0</formula>
    </cfRule>
    <cfRule type="expression" priority="2804" dxfId="59">
      <formula>SEARCH("CHIUSO",$M159)&gt;0</formula>
    </cfRule>
    <cfRule type="expression" priority="2805" dxfId="58">
      <formula>SEARCH("EMESSO",$M159)&gt;0</formula>
    </cfRule>
    <cfRule type="expression" priority="2806" dxfId="57">
      <formula>SEARCH("RICHIESTO",$M159)&gt;0</formula>
    </cfRule>
    <cfRule type="expression" priority="2807" dxfId="56">
      <formula>SEARCH("DA CHIUDERE",$M159)&gt;0</formula>
    </cfRule>
    <cfRule type="expression" priority="2808" dxfId="55">
      <formula>SEARCH("INTERROTTO",$M159)&gt;0</formula>
    </cfRule>
  </conditionalFormatting>
  <conditionalFormatting sqref="E158:G158 N158:S158">
    <cfRule type="expression" priority="2797" dxfId="60">
      <formula>SEARCH("IN CORSO",$M158)&gt;0</formula>
    </cfRule>
    <cfRule type="expression" priority="2798" dxfId="59">
      <formula>SEARCH("CHIUSO",$M158)&gt;0</formula>
    </cfRule>
    <cfRule type="expression" priority="2799" dxfId="58">
      <formula>SEARCH("EMESSO",$M158)&gt;0</formula>
    </cfRule>
    <cfRule type="expression" priority="2800" dxfId="57">
      <formula>SEARCH("RICHIESTO",$M158)&gt;0</formula>
    </cfRule>
    <cfRule type="expression" priority="2801" dxfId="56">
      <formula>SEARCH("DA CHIUDERE",$M158)&gt;0</formula>
    </cfRule>
    <cfRule type="expression" priority="2802" dxfId="55">
      <formula>SEARCH("INTERROTTO",$M158)&gt;0</formula>
    </cfRule>
  </conditionalFormatting>
  <conditionalFormatting sqref="E157:G157 N157:S157">
    <cfRule type="expression" priority="2791" dxfId="60">
      <formula>SEARCH("IN CORSO",$M157)&gt;0</formula>
    </cfRule>
    <cfRule type="expression" priority="2792" dxfId="59">
      <formula>SEARCH("CHIUSO",$M157)&gt;0</formula>
    </cfRule>
    <cfRule type="expression" priority="2793" dxfId="58">
      <formula>SEARCH("EMESSO",$M157)&gt;0</formula>
    </cfRule>
    <cfRule type="expression" priority="2794" dxfId="57">
      <formula>SEARCH("RICHIESTO",$M157)&gt;0</formula>
    </cfRule>
    <cfRule type="expression" priority="2795" dxfId="56">
      <formula>SEARCH("DA CHIUDERE",$M157)&gt;0</formula>
    </cfRule>
    <cfRule type="expression" priority="2796" dxfId="55">
      <formula>SEARCH("INTERROTTO",$M157)&gt;0</formula>
    </cfRule>
  </conditionalFormatting>
  <conditionalFormatting sqref="G156 N156:Q156">
    <cfRule type="expression" priority="2785" dxfId="60">
      <formula>SEARCH("IN CORSO",$M156)&gt;0</formula>
    </cfRule>
    <cfRule type="expression" priority="2786" dxfId="59">
      <formula>SEARCH("CHIUSO",$M156)&gt;0</formula>
    </cfRule>
    <cfRule type="expression" priority="2787" dxfId="58">
      <formula>SEARCH("EMESSO",$M156)&gt;0</formula>
    </cfRule>
    <cfRule type="expression" priority="2788" dxfId="57">
      <formula>SEARCH("RICHIESTO",$M156)&gt;0</formula>
    </cfRule>
    <cfRule type="expression" priority="2789" dxfId="56">
      <formula>SEARCH("DA CHIUDERE",$M156)&gt;0</formula>
    </cfRule>
    <cfRule type="expression" priority="2790" dxfId="55">
      <formula>SEARCH("INTERROTTO",$M156)&gt;0</formula>
    </cfRule>
  </conditionalFormatting>
  <conditionalFormatting sqref="E155:G155 E156:F156 N155:S155">
    <cfRule type="expression" priority="2779" dxfId="60">
      <formula>SEARCH("IN CORSO",$M155)&gt;0</formula>
    </cfRule>
    <cfRule type="expression" priority="2780" dxfId="59">
      <formula>SEARCH("CHIUSO",$M155)&gt;0</formula>
    </cfRule>
    <cfRule type="expression" priority="2781" dxfId="58">
      <formula>SEARCH("EMESSO",$M155)&gt;0</formula>
    </cfRule>
    <cfRule type="expression" priority="2782" dxfId="57">
      <formula>SEARCH("RICHIESTO",$M155)&gt;0</formula>
    </cfRule>
    <cfRule type="expression" priority="2783" dxfId="56">
      <formula>SEARCH("DA CHIUDERE",$M155)&gt;0</formula>
    </cfRule>
    <cfRule type="expression" priority="2784" dxfId="55">
      <formula>SEARCH("INTERROTTO",$M155)&gt;0</formula>
    </cfRule>
  </conditionalFormatting>
  <conditionalFormatting sqref="R156:S156">
    <cfRule type="expression" priority="2773" dxfId="60">
      <formula>SEARCH("IN CORSO",$M156)&gt;0</formula>
    </cfRule>
    <cfRule type="expression" priority="2774" dxfId="59">
      <formula>SEARCH("CHIUSO",$M156)&gt;0</formula>
    </cfRule>
    <cfRule type="expression" priority="2775" dxfId="58">
      <formula>SEARCH("EMESSO",$M156)&gt;0</formula>
    </cfRule>
    <cfRule type="expression" priority="2776" dxfId="57">
      <formula>SEARCH("RICHIESTO",$M156)&gt;0</formula>
    </cfRule>
    <cfRule type="expression" priority="2777" dxfId="56">
      <formula>SEARCH("DA CHIUDERE",$M156)&gt;0</formula>
    </cfRule>
    <cfRule type="expression" priority="2778" dxfId="55">
      <formula>SEARCH("INTERROTTO",$M156)&gt;0</formula>
    </cfRule>
  </conditionalFormatting>
  <conditionalFormatting sqref="E154:G154 N154:S154">
    <cfRule type="expression" priority="2767" dxfId="60">
      <formula>SEARCH("IN CORSO",$M154)&gt;0</formula>
    </cfRule>
    <cfRule type="expression" priority="2768" dxfId="59">
      <formula>SEARCH("CHIUSO",$M154)&gt;0</formula>
    </cfRule>
    <cfRule type="expression" priority="2769" dxfId="58">
      <formula>SEARCH("EMESSO",$M154)&gt;0</formula>
    </cfRule>
    <cfRule type="expression" priority="2770" dxfId="57">
      <formula>SEARCH("RICHIESTO",$M154)&gt;0</formula>
    </cfRule>
    <cfRule type="expression" priority="2771" dxfId="56">
      <formula>SEARCH("DA CHIUDERE",$M154)&gt;0</formula>
    </cfRule>
    <cfRule type="expression" priority="2772" dxfId="55">
      <formula>SEARCH("INTERROTTO",$M154)&gt;0</formula>
    </cfRule>
  </conditionalFormatting>
  <conditionalFormatting sqref="E153:G153 N153:S153">
    <cfRule type="expression" priority="2761" dxfId="60">
      <formula>SEARCH("IN CORSO",$M153)&gt;0</formula>
    </cfRule>
    <cfRule type="expression" priority="2762" dxfId="59">
      <formula>SEARCH("CHIUSO",$M153)&gt;0</formula>
    </cfRule>
    <cfRule type="expression" priority="2763" dxfId="58">
      <formula>SEARCH("EMESSO",$M153)&gt;0</formula>
    </cfRule>
    <cfRule type="expression" priority="2764" dxfId="57">
      <formula>SEARCH("RICHIESTO",$M153)&gt;0</formula>
    </cfRule>
    <cfRule type="expression" priority="2765" dxfId="56">
      <formula>SEARCH("DA CHIUDERE",$M153)&gt;0</formula>
    </cfRule>
    <cfRule type="expression" priority="2766" dxfId="55">
      <formula>SEARCH("INTERROTTO",$M153)&gt;0</formula>
    </cfRule>
  </conditionalFormatting>
  <conditionalFormatting sqref="E152:G152 N152:S152">
    <cfRule type="expression" priority="2755" dxfId="60">
      <formula>SEARCH("IN CORSO",$M152)&gt;0</formula>
    </cfRule>
    <cfRule type="expression" priority="2756" dxfId="59">
      <formula>SEARCH("CHIUSO",$M152)&gt;0</formula>
    </cfRule>
    <cfRule type="expression" priority="2757" dxfId="58">
      <formula>SEARCH("EMESSO",$M152)&gt;0</formula>
    </cfRule>
    <cfRule type="expression" priority="2758" dxfId="57">
      <formula>SEARCH("RICHIESTO",$M152)&gt;0</formula>
    </cfRule>
    <cfRule type="expression" priority="2759" dxfId="56">
      <formula>SEARCH("DA CHIUDERE",$M152)&gt;0</formula>
    </cfRule>
    <cfRule type="expression" priority="2760" dxfId="55">
      <formula>SEARCH("INTERROTTO",$M152)&gt;0</formula>
    </cfRule>
  </conditionalFormatting>
  <conditionalFormatting sqref="E149:G149 N149:S149">
    <cfRule type="expression" priority="2725" dxfId="60">
      <formula>SEARCH("IN CORSO",$M149)&gt;0</formula>
    </cfRule>
    <cfRule type="expression" priority="2726" dxfId="59">
      <formula>SEARCH("CHIUSO",$M149)&gt;0</formula>
    </cfRule>
    <cfRule type="expression" priority="2727" dxfId="58">
      <formula>SEARCH("EMESSO",$M149)&gt;0</formula>
    </cfRule>
    <cfRule type="expression" priority="2728" dxfId="57">
      <formula>SEARCH("RICHIESTO",$M149)&gt;0</formula>
    </cfRule>
    <cfRule type="expression" priority="2729" dxfId="56">
      <formula>SEARCH("DA CHIUDERE",$M149)&gt;0</formula>
    </cfRule>
    <cfRule type="expression" priority="2730" dxfId="55">
      <formula>SEARCH("INTERROTTO",$M149)&gt;0</formula>
    </cfRule>
  </conditionalFormatting>
  <conditionalFormatting sqref="E148:G148 N148:S148">
    <cfRule type="expression" priority="2713" dxfId="60">
      <formula>SEARCH("IN CORSO",$M148)&gt;0</formula>
    </cfRule>
    <cfRule type="expression" priority="2714" dxfId="59">
      <formula>SEARCH("CHIUSO",$M148)&gt;0</formula>
    </cfRule>
    <cfRule type="expression" priority="2715" dxfId="58">
      <formula>SEARCH("EMESSO",$M148)&gt;0</formula>
    </cfRule>
    <cfRule type="expression" priority="2716" dxfId="57">
      <formula>SEARCH("RICHIESTO",$M148)&gt;0</formula>
    </cfRule>
    <cfRule type="expression" priority="2717" dxfId="56">
      <formula>SEARCH("DA CHIUDERE",$M148)&gt;0</formula>
    </cfRule>
    <cfRule type="expression" priority="2718" dxfId="55">
      <formula>SEARCH("INTERROTTO",$M148)&gt;0</formula>
    </cfRule>
  </conditionalFormatting>
  <conditionalFormatting sqref="E147:G147 N147:S147">
    <cfRule type="expression" priority="2701" dxfId="60">
      <formula>SEARCH("IN CORSO",$M147)&gt;0</formula>
    </cfRule>
    <cfRule type="expression" priority="2702" dxfId="59">
      <formula>SEARCH("CHIUSO",$M147)&gt;0</formula>
    </cfRule>
    <cfRule type="expression" priority="2703" dxfId="58">
      <formula>SEARCH("EMESSO",$M147)&gt;0</formula>
    </cfRule>
    <cfRule type="expression" priority="2704" dxfId="57">
      <formula>SEARCH("RICHIESTO",$M147)&gt;0</formula>
    </cfRule>
    <cfRule type="expression" priority="2705" dxfId="56">
      <formula>SEARCH("DA CHIUDERE",$M147)&gt;0</formula>
    </cfRule>
    <cfRule type="expression" priority="2706" dxfId="55">
      <formula>SEARCH("INTERROTTO",$M147)&gt;0</formula>
    </cfRule>
  </conditionalFormatting>
  <conditionalFormatting sqref="E146:G146 N146:S146">
    <cfRule type="expression" priority="2689" dxfId="60">
      <formula>SEARCH("IN CORSO",$M146)&gt;0</formula>
    </cfRule>
    <cfRule type="expression" priority="2690" dxfId="59">
      <formula>SEARCH("CHIUSO",$M146)&gt;0</formula>
    </cfRule>
    <cfRule type="expression" priority="2691" dxfId="58">
      <formula>SEARCH("EMESSO",$M146)&gt;0</formula>
    </cfRule>
    <cfRule type="expression" priority="2692" dxfId="57">
      <formula>SEARCH("RICHIESTO",$M146)&gt;0</formula>
    </cfRule>
    <cfRule type="expression" priority="2693" dxfId="56">
      <formula>SEARCH("DA CHIUDERE",$M146)&gt;0</formula>
    </cfRule>
    <cfRule type="expression" priority="2694" dxfId="55">
      <formula>SEARCH("INTERROTTO",$M146)&gt;0</formula>
    </cfRule>
  </conditionalFormatting>
  <conditionalFormatting sqref="E145:G145 N145:S145">
    <cfRule type="expression" priority="2677" dxfId="60">
      <formula>SEARCH("IN CORSO",$M145)&gt;0</formula>
    </cfRule>
    <cfRule type="expression" priority="2678" dxfId="59">
      <formula>SEARCH("CHIUSO",$M145)&gt;0</formula>
    </cfRule>
    <cfRule type="expression" priority="2679" dxfId="58">
      <formula>SEARCH("EMESSO",$M145)&gt;0</formula>
    </cfRule>
    <cfRule type="expression" priority="2680" dxfId="57">
      <formula>SEARCH("RICHIESTO",$M145)&gt;0</formula>
    </cfRule>
    <cfRule type="expression" priority="2681" dxfId="56">
      <formula>SEARCH("DA CHIUDERE",$M145)&gt;0</formula>
    </cfRule>
    <cfRule type="expression" priority="2682" dxfId="55">
      <formula>SEARCH("INTERROTTO",$M145)&gt;0</formula>
    </cfRule>
  </conditionalFormatting>
  <conditionalFormatting sqref="E144:G144 N144:S144">
    <cfRule type="expression" priority="2665" dxfId="60">
      <formula>SEARCH("IN CORSO",$M144)&gt;0</formula>
    </cfRule>
    <cfRule type="expression" priority="2666" dxfId="59">
      <formula>SEARCH("CHIUSO",$M144)&gt;0</formula>
    </cfRule>
    <cfRule type="expression" priority="2667" dxfId="58">
      <formula>SEARCH("EMESSO",$M144)&gt;0</formula>
    </cfRule>
    <cfRule type="expression" priority="2668" dxfId="57">
      <formula>SEARCH("RICHIESTO",$M144)&gt;0</formula>
    </cfRule>
    <cfRule type="expression" priority="2669" dxfId="56">
      <formula>SEARCH("DA CHIUDERE",$M144)&gt;0</formula>
    </cfRule>
    <cfRule type="expression" priority="2670" dxfId="55">
      <formula>SEARCH("INTERROTTO",$M144)&gt;0</formula>
    </cfRule>
  </conditionalFormatting>
  <conditionalFormatting sqref="E143:G143 N143:S143">
    <cfRule type="expression" priority="2653" dxfId="60">
      <formula>SEARCH("IN CORSO",$M143)&gt;0</formula>
    </cfRule>
    <cfRule type="expression" priority="2654" dxfId="59">
      <formula>SEARCH("CHIUSO",$M143)&gt;0</formula>
    </cfRule>
    <cfRule type="expression" priority="2655" dxfId="58">
      <formula>SEARCH("EMESSO",$M143)&gt;0</formula>
    </cfRule>
    <cfRule type="expression" priority="2656" dxfId="57">
      <formula>SEARCH("RICHIESTO",$M143)&gt;0</formula>
    </cfRule>
    <cfRule type="expression" priority="2657" dxfId="56">
      <formula>SEARCH("DA CHIUDERE",$M143)&gt;0</formula>
    </cfRule>
    <cfRule type="expression" priority="2658" dxfId="55">
      <formula>SEARCH("INTERROTTO",$M143)&gt;0</formula>
    </cfRule>
  </conditionalFormatting>
  <conditionalFormatting sqref="E142:G142 N142:S142">
    <cfRule type="expression" priority="2641" dxfId="60">
      <formula>SEARCH("IN CORSO",$M142)&gt;0</formula>
    </cfRule>
    <cfRule type="expression" priority="2642" dxfId="59">
      <formula>SEARCH("CHIUSO",$M142)&gt;0</formula>
    </cfRule>
    <cfRule type="expression" priority="2643" dxfId="58">
      <formula>SEARCH("EMESSO",$M142)&gt;0</formula>
    </cfRule>
    <cfRule type="expression" priority="2644" dxfId="57">
      <formula>SEARCH("RICHIESTO",$M142)&gt;0</formula>
    </cfRule>
    <cfRule type="expression" priority="2645" dxfId="56">
      <formula>SEARCH("DA CHIUDERE",$M142)&gt;0</formula>
    </cfRule>
    <cfRule type="expression" priority="2646" dxfId="55">
      <formula>SEARCH("INTERROTTO",$M142)&gt;0</formula>
    </cfRule>
  </conditionalFormatting>
  <conditionalFormatting sqref="E141:G141 N141:S141">
    <cfRule type="expression" priority="2629" dxfId="60">
      <formula>SEARCH("IN CORSO",$M141)&gt;0</formula>
    </cfRule>
    <cfRule type="expression" priority="2630" dxfId="59">
      <formula>SEARCH("CHIUSO",$M141)&gt;0</formula>
    </cfRule>
    <cfRule type="expression" priority="2631" dxfId="58">
      <formula>SEARCH("EMESSO",$M141)&gt;0</formula>
    </cfRule>
    <cfRule type="expression" priority="2632" dxfId="57">
      <formula>SEARCH("RICHIESTO",$M141)&gt;0</formula>
    </cfRule>
    <cfRule type="expression" priority="2633" dxfId="56">
      <formula>SEARCH("DA CHIUDERE",$M141)&gt;0</formula>
    </cfRule>
    <cfRule type="expression" priority="2634" dxfId="55">
      <formula>SEARCH("INTERROTTO",$M141)&gt;0</formula>
    </cfRule>
  </conditionalFormatting>
  <conditionalFormatting sqref="E140:G140 N140:S140">
    <cfRule type="expression" priority="2617" dxfId="60">
      <formula>SEARCH("IN CORSO",$M140)&gt;0</formula>
    </cfRule>
    <cfRule type="expression" priority="2618" dxfId="59">
      <formula>SEARCH("CHIUSO",$M140)&gt;0</formula>
    </cfRule>
    <cfRule type="expression" priority="2619" dxfId="58">
      <formula>SEARCH("EMESSO",$M140)&gt;0</formula>
    </cfRule>
    <cfRule type="expression" priority="2620" dxfId="57">
      <formula>SEARCH("RICHIESTO",$M140)&gt;0</formula>
    </cfRule>
    <cfRule type="expression" priority="2621" dxfId="56">
      <formula>SEARCH("DA CHIUDERE",$M140)&gt;0</formula>
    </cfRule>
    <cfRule type="expression" priority="2622" dxfId="55">
      <formula>SEARCH("INTERROTTO",$M140)&gt;0</formula>
    </cfRule>
  </conditionalFormatting>
  <conditionalFormatting sqref="E139:F139 N139:S139">
    <cfRule type="expression" priority="2605" dxfId="60">
      <formula>SEARCH("IN CORSO",$M139)&gt;0</formula>
    </cfRule>
    <cfRule type="expression" priority="2606" dxfId="59">
      <formula>SEARCH("CHIUSO",$M139)&gt;0</formula>
    </cfRule>
    <cfRule type="expression" priority="2607" dxfId="58">
      <formula>SEARCH("EMESSO",$M139)&gt;0</formula>
    </cfRule>
    <cfRule type="expression" priority="2608" dxfId="57">
      <formula>SEARCH("RICHIESTO",$M139)&gt;0</formula>
    </cfRule>
    <cfRule type="expression" priority="2609" dxfId="56">
      <formula>SEARCH("DA CHIUDERE",$M139)&gt;0</formula>
    </cfRule>
    <cfRule type="expression" priority="2610" dxfId="55">
      <formula>SEARCH("INTERROTTO",$M139)&gt;0</formula>
    </cfRule>
  </conditionalFormatting>
  <conditionalFormatting sqref="E138:F138 N138:S138">
    <cfRule type="expression" priority="2587" dxfId="60">
      <formula>SEARCH("IN CORSO",$M138)&gt;0</formula>
    </cfRule>
    <cfRule type="expression" priority="2588" dxfId="59">
      <formula>SEARCH("CHIUSO",$M138)&gt;0</formula>
    </cfRule>
    <cfRule type="expression" priority="2589" dxfId="58">
      <formula>SEARCH("EMESSO",$M138)&gt;0</formula>
    </cfRule>
    <cfRule type="expression" priority="2590" dxfId="57">
      <formula>SEARCH("RICHIESTO",$M138)&gt;0</formula>
    </cfRule>
    <cfRule type="expression" priority="2591" dxfId="56">
      <formula>SEARCH("DA CHIUDERE",$M138)&gt;0</formula>
    </cfRule>
    <cfRule type="expression" priority="2592" dxfId="55">
      <formula>SEARCH("INTERROTTO",$M138)&gt;0</formula>
    </cfRule>
  </conditionalFormatting>
  <conditionalFormatting sqref="G139">
    <cfRule type="expression" priority="2593" dxfId="60">
      <formula>SEARCH("IN CORSO",$M139)&gt;0</formula>
    </cfRule>
    <cfRule type="expression" priority="2594" dxfId="59">
      <formula>SEARCH("CHIUSO",$M139)&gt;0</formula>
    </cfRule>
    <cfRule type="expression" priority="2595" dxfId="58">
      <formula>SEARCH("EMESSO",$M139)&gt;0</formula>
    </cfRule>
    <cfRule type="expression" priority="2596" dxfId="57">
      <formula>SEARCH("RICHIESTO",$M139)&gt;0</formula>
    </cfRule>
    <cfRule type="expression" priority="2597" dxfId="56">
      <formula>SEARCH("DA CHIUDERE",$M139)&gt;0</formula>
    </cfRule>
    <cfRule type="expression" priority="2598" dxfId="55">
      <formula>SEARCH("INTERROTTO",$M139)&gt;0</formula>
    </cfRule>
  </conditionalFormatting>
  <conditionalFormatting sqref="E137:F137 N137:S137">
    <cfRule type="expression" priority="2569" dxfId="60">
      <formula>SEARCH("IN CORSO",$M137)&gt;0</formula>
    </cfRule>
    <cfRule type="expression" priority="2570" dxfId="59">
      <formula>SEARCH("CHIUSO",$M137)&gt;0</formula>
    </cfRule>
    <cfRule type="expression" priority="2571" dxfId="58">
      <formula>SEARCH("EMESSO",$M137)&gt;0</formula>
    </cfRule>
    <cfRule type="expression" priority="2572" dxfId="57">
      <formula>SEARCH("RICHIESTO",$M137)&gt;0</formula>
    </cfRule>
    <cfRule type="expression" priority="2573" dxfId="56">
      <formula>SEARCH("DA CHIUDERE",$M137)&gt;0</formula>
    </cfRule>
    <cfRule type="expression" priority="2574" dxfId="55">
      <formula>SEARCH("INTERROTTO",$M137)&gt;0</formula>
    </cfRule>
  </conditionalFormatting>
  <conditionalFormatting sqref="G138">
    <cfRule type="expression" priority="2575" dxfId="60">
      <formula>SEARCH("IN CORSO",$M138)&gt;0</formula>
    </cfRule>
    <cfRule type="expression" priority="2576" dxfId="59">
      <formula>SEARCH("CHIUSO",$M138)&gt;0</formula>
    </cfRule>
    <cfRule type="expression" priority="2577" dxfId="58">
      <formula>SEARCH("EMESSO",$M138)&gt;0</formula>
    </cfRule>
    <cfRule type="expression" priority="2578" dxfId="57">
      <formula>SEARCH("RICHIESTO",$M138)&gt;0</formula>
    </cfRule>
    <cfRule type="expression" priority="2579" dxfId="56">
      <formula>SEARCH("DA CHIUDERE",$M138)&gt;0</formula>
    </cfRule>
    <cfRule type="expression" priority="2580" dxfId="55">
      <formula>SEARCH("INTERROTTO",$M138)&gt;0</formula>
    </cfRule>
  </conditionalFormatting>
  <conditionalFormatting sqref="E136:F136 N136:S136">
    <cfRule type="expression" priority="2551" dxfId="60">
      <formula>SEARCH("IN CORSO",$M136)&gt;0</formula>
    </cfRule>
    <cfRule type="expression" priority="2552" dxfId="59">
      <formula>SEARCH("CHIUSO",$M136)&gt;0</formula>
    </cfRule>
    <cfRule type="expression" priority="2553" dxfId="58">
      <formula>SEARCH("EMESSO",$M136)&gt;0</formula>
    </cfRule>
    <cfRule type="expression" priority="2554" dxfId="57">
      <formula>SEARCH("RICHIESTO",$M136)&gt;0</formula>
    </cfRule>
    <cfRule type="expression" priority="2555" dxfId="56">
      <formula>SEARCH("DA CHIUDERE",$M136)&gt;0</formula>
    </cfRule>
    <cfRule type="expression" priority="2556" dxfId="55">
      <formula>SEARCH("INTERROTTO",$M136)&gt;0</formula>
    </cfRule>
  </conditionalFormatting>
  <conditionalFormatting sqref="G137">
    <cfRule type="expression" priority="2557" dxfId="60">
      <formula>SEARCH("IN CORSO",$M137)&gt;0</formula>
    </cfRule>
    <cfRule type="expression" priority="2558" dxfId="59">
      <formula>SEARCH("CHIUSO",$M137)&gt;0</formula>
    </cfRule>
    <cfRule type="expression" priority="2559" dxfId="58">
      <formula>SEARCH("EMESSO",$M137)&gt;0</formula>
    </cfRule>
    <cfRule type="expression" priority="2560" dxfId="57">
      <formula>SEARCH("RICHIESTO",$M137)&gt;0</formula>
    </cfRule>
    <cfRule type="expression" priority="2561" dxfId="56">
      <formula>SEARCH("DA CHIUDERE",$M137)&gt;0</formula>
    </cfRule>
    <cfRule type="expression" priority="2562" dxfId="55">
      <formula>SEARCH("INTERROTTO",$M137)&gt;0</formula>
    </cfRule>
  </conditionalFormatting>
  <conditionalFormatting sqref="E135:F135 N135:S135">
    <cfRule type="expression" priority="2533" dxfId="60">
      <formula>SEARCH("IN CORSO",$M135)&gt;0</formula>
    </cfRule>
    <cfRule type="expression" priority="2534" dxfId="59">
      <formula>SEARCH("CHIUSO",$M135)&gt;0</formula>
    </cfRule>
    <cfRule type="expression" priority="2535" dxfId="58">
      <formula>SEARCH("EMESSO",$M135)&gt;0</formula>
    </cfRule>
    <cfRule type="expression" priority="2536" dxfId="57">
      <formula>SEARCH("RICHIESTO",$M135)&gt;0</formula>
    </cfRule>
    <cfRule type="expression" priority="2537" dxfId="56">
      <formula>SEARCH("DA CHIUDERE",$M135)&gt;0</formula>
    </cfRule>
    <cfRule type="expression" priority="2538" dxfId="55">
      <formula>SEARCH("INTERROTTO",$M135)&gt;0</formula>
    </cfRule>
  </conditionalFormatting>
  <conditionalFormatting sqref="G136">
    <cfRule type="expression" priority="2539" dxfId="60">
      <formula>SEARCH("IN CORSO",$M136)&gt;0</formula>
    </cfRule>
    <cfRule type="expression" priority="2540" dxfId="59">
      <formula>SEARCH("CHIUSO",$M136)&gt;0</formula>
    </cfRule>
    <cfRule type="expression" priority="2541" dxfId="58">
      <formula>SEARCH("EMESSO",$M136)&gt;0</formula>
    </cfRule>
    <cfRule type="expression" priority="2542" dxfId="57">
      <formula>SEARCH("RICHIESTO",$M136)&gt;0</formula>
    </cfRule>
    <cfRule type="expression" priority="2543" dxfId="56">
      <formula>SEARCH("DA CHIUDERE",$M136)&gt;0</formula>
    </cfRule>
    <cfRule type="expression" priority="2544" dxfId="55">
      <formula>SEARCH("INTERROTTO",$M136)&gt;0</formula>
    </cfRule>
  </conditionalFormatting>
  <conditionalFormatting sqref="E134:F134 N134:S134">
    <cfRule type="expression" priority="2515" dxfId="60">
      <formula>SEARCH("IN CORSO",$M134)&gt;0</formula>
    </cfRule>
    <cfRule type="expression" priority="2516" dxfId="59">
      <formula>SEARCH("CHIUSO",$M134)&gt;0</formula>
    </cfRule>
    <cfRule type="expression" priority="2517" dxfId="58">
      <formula>SEARCH("EMESSO",$M134)&gt;0</formula>
    </cfRule>
    <cfRule type="expression" priority="2518" dxfId="57">
      <formula>SEARCH("RICHIESTO",$M134)&gt;0</formula>
    </cfRule>
    <cfRule type="expression" priority="2519" dxfId="56">
      <formula>SEARCH("DA CHIUDERE",$M134)&gt;0</formula>
    </cfRule>
    <cfRule type="expression" priority="2520" dxfId="55">
      <formula>SEARCH("INTERROTTO",$M134)&gt;0</formula>
    </cfRule>
  </conditionalFormatting>
  <conditionalFormatting sqref="G135">
    <cfRule type="expression" priority="2521" dxfId="60">
      <formula>SEARCH("IN CORSO",$M135)&gt;0</formula>
    </cfRule>
    <cfRule type="expression" priority="2522" dxfId="59">
      <formula>SEARCH("CHIUSO",$M135)&gt;0</formula>
    </cfRule>
    <cfRule type="expression" priority="2523" dxfId="58">
      <formula>SEARCH("EMESSO",$M135)&gt;0</formula>
    </cfRule>
    <cfRule type="expression" priority="2524" dxfId="57">
      <formula>SEARCH("RICHIESTO",$M135)&gt;0</formula>
    </cfRule>
    <cfRule type="expression" priority="2525" dxfId="56">
      <formula>SEARCH("DA CHIUDERE",$M135)&gt;0</formula>
    </cfRule>
    <cfRule type="expression" priority="2526" dxfId="55">
      <formula>SEARCH("INTERROTTO",$M135)&gt;0</formula>
    </cfRule>
  </conditionalFormatting>
  <conditionalFormatting sqref="N165:Q165">
    <cfRule type="expression" priority="2845" dxfId="60">
      <formula>SEARCH("IN CORSO",$M165)&gt;0</formula>
    </cfRule>
    <cfRule type="expression" priority="2846" dxfId="59">
      <formula>SEARCH("CHIUSO",$M165)&gt;0</formula>
    </cfRule>
    <cfRule type="expression" priority="2847" dxfId="58">
      <formula>SEARCH("EMESSO",$M165)&gt;0</formula>
    </cfRule>
    <cfRule type="expression" priority="2848" dxfId="57">
      <formula>SEARCH("RICHIESTO",$M165)&gt;0</formula>
    </cfRule>
    <cfRule type="expression" priority="2849" dxfId="56">
      <formula>SEARCH("DA CHIUDERE",$M165)&gt;0</formula>
    </cfRule>
    <cfRule type="expression" priority="2850" dxfId="55">
      <formula>SEARCH("INTERROTTO",$M165)&gt;0</formula>
    </cfRule>
  </conditionalFormatting>
  <conditionalFormatting sqref="E151:G151 N151:S151">
    <cfRule type="expression" priority="2749" dxfId="60">
      <formula>SEARCH("IN CORSO",$M151)&gt;0</formula>
    </cfRule>
    <cfRule type="expression" priority="2750" dxfId="59">
      <formula>SEARCH("CHIUSO",$M151)&gt;0</formula>
    </cfRule>
    <cfRule type="expression" priority="2751" dxfId="58">
      <formula>SEARCH("EMESSO",$M151)&gt;0</formula>
    </cfRule>
    <cfRule type="expression" priority="2752" dxfId="57">
      <formula>SEARCH("RICHIESTO",$M151)&gt;0</formula>
    </cfRule>
    <cfRule type="expression" priority="2753" dxfId="56">
      <formula>SEARCH("DA CHIUDERE",$M151)&gt;0</formula>
    </cfRule>
    <cfRule type="expression" priority="2754" dxfId="55">
      <formula>SEARCH("INTERROTTO",$M151)&gt;0</formula>
    </cfRule>
  </conditionalFormatting>
  <conditionalFormatting sqref="E150:G150 N150:S150">
    <cfRule type="expression" priority="2737" dxfId="60">
      <formula>SEARCH("IN CORSO",$M150)&gt;0</formula>
    </cfRule>
    <cfRule type="expression" priority="2738" dxfId="59">
      <formula>SEARCH("CHIUSO",$M150)&gt;0</formula>
    </cfRule>
    <cfRule type="expression" priority="2739" dxfId="58">
      <formula>SEARCH("EMESSO",$M150)&gt;0</formula>
    </cfRule>
    <cfRule type="expression" priority="2740" dxfId="57">
      <formula>SEARCH("RICHIESTO",$M150)&gt;0</formula>
    </cfRule>
    <cfRule type="expression" priority="2741" dxfId="56">
      <formula>SEARCH("DA CHIUDERE",$M150)&gt;0</formula>
    </cfRule>
    <cfRule type="expression" priority="2742" dxfId="55">
      <formula>SEARCH("INTERROTTO",$M150)&gt;0</formula>
    </cfRule>
  </conditionalFormatting>
  <conditionalFormatting sqref="E133:F133 N133:S133">
    <cfRule type="expression" priority="2497" dxfId="60">
      <formula>SEARCH("IN CORSO",$M133)&gt;0</formula>
    </cfRule>
    <cfRule type="expression" priority="2498" dxfId="59">
      <formula>SEARCH("CHIUSO",$M133)&gt;0</formula>
    </cfRule>
    <cfRule type="expression" priority="2499" dxfId="58">
      <formula>SEARCH("EMESSO",$M133)&gt;0</formula>
    </cfRule>
    <cfRule type="expression" priority="2500" dxfId="57">
      <formula>SEARCH("RICHIESTO",$M133)&gt;0</formula>
    </cfRule>
    <cfRule type="expression" priority="2501" dxfId="56">
      <formula>SEARCH("DA CHIUDERE",$M133)&gt;0</formula>
    </cfRule>
    <cfRule type="expression" priority="2502" dxfId="55">
      <formula>SEARCH("INTERROTTO",$M133)&gt;0</formula>
    </cfRule>
  </conditionalFormatting>
  <conditionalFormatting sqref="G134">
    <cfRule type="expression" priority="2503" dxfId="60">
      <formula>SEARCH("IN CORSO",$M134)&gt;0</formula>
    </cfRule>
    <cfRule type="expression" priority="2504" dxfId="59">
      <formula>SEARCH("CHIUSO",$M134)&gt;0</formula>
    </cfRule>
    <cfRule type="expression" priority="2505" dxfId="58">
      <formula>SEARCH("EMESSO",$M134)&gt;0</formula>
    </cfRule>
    <cfRule type="expression" priority="2506" dxfId="57">
      <formula>SEARCH("RICHIESTO",$M134)&gt;0</formula>
    </cfRule>
    <cfRule type="expression" priority="2507" dxfId="56">
      <formula>SEARCH("DA CHIUDERE",$M134)&gt;0</formula>
    </cfRule>
    <cfRule type="expression" priority="2508" dxfId="55">
      <formula>SEARCH("INTERROTTO",$M134)&gt;0</formula>
    </cfRule>
  </conditionalFormatting>
  <conditionalFormatting sqref="E132:F132 N132:S132">
    <cfRule type="expression" priority="2479" dxfId="60">
      <formula>SEARCH("IN CORSO",$M132)&gt;0</formula>
    </cfRule>
    <cfRule type="expression" priority="2480" dxfId="59">
      <formula>SEARCH("CHIUSO",$M132)&gt;0</formula>
    </cfRule>
    <cfRule type="expression" priority="2481" dxfId="58">
      <formula>SEARCH("EMESSO",$M132)&gt;0</formula>
    </cfRule>
    <cfRule type="expression" priority="2482" dxfId="57">
      <formula>SEARCH("RICHIESTO",$M132)&gt;0</formula>
    </cfRule>
    <cfRule type="expression" priority="2483" dxfId="56">
      <formula>SEARCH("DA CHIUDERE",$M132)&gt;0</formula>
    </cfRule>
    <cfRule type="expression" priority="2484" dxfId="55">
      <formula>SEARCH("INTERROTTO",$M132)&gt;0</formula>
    </cfRule>
  </conditionalFormatting>
  <conditionalFormatting sqref="G133">
    <cfRule type="expression" priority="2485" dxfId="60">
      <formula>SEARCH("IN CORSO",$M133)&gt;0</formula>
    </cfRule>
    <cfRule type="expression" priority="2486" dxfId="59">
      <formula>SEARCH("CHIUSO",$M133)&gt;0</formula>
    </cfRule>
    <cfRule type="expression" priority="2487" dxfId="58">
      <formula>SEARCH("EMESSO",$M133)&gt;0</formula>
    </cfRule>
    <cfRule type="expression" priority="2488" dxfId="57">
      <formula>SEARCH("RICHIESTO",$M133)&gt;0</formula>
    </cfRule>
    <cfRule type="expression" priority="2489" dxfId="56">
      <formula>SEARCH("DA CHIUDERE",$M133)&gt;0</formula>
    </cfRule>
    <cfRule type="expression" priority="2490" dxfId="55">
      <formula>SEARCH("INTERROTTO",$M133)&gt;0</formula>
    </cfRule>
  </conditionalFormatting>
  <conditionalFormatting sqref="G132">
    <cfRule type="expression" priority="2467" dxfId="60">
      <formula>SEARCH("IN CORSO",$M132)&gt;0</formula>
    </cfRule>
    <cfRule type="expression" priority="2468" dxfId="59">
      <formula>SEARCH("CHIUSO",$M132)&gt;0</formula>
    </cfRule>
    <cfRule type="expression" priority="2469" dxfId="58">
      <formula>SEARCH("EMESSO",$M132)&gt;0</formula>
    </cfRule>
    <cfRule type="expression" priority="2470" dxfId="57">
      <formula>SEARCH("RICHIESTO",$M132)&gt;0</formula>
    </cfRule>
    <cfRule type="expression" priority="2471" dxfId="56">
      <formula>SEARCH("DA CHIUDERE",$M132)&gt;0</formula>
    </cfRule>
    <cfRule type="expression" priority="2472" dxfId="55">
      <formula>SEARCH("INTERROTTO",$M132)&gt;0</formula>
    </cfRule>
  </conditionalFormatting>
  <conditionalFormatting sqref="G131">
    <cfRule type="expression" priority="2449" dxfId="60">
      <formula>SEARCH("IN CORSO",$M131)&gt;0</formula>
    </cfRule>
    <cfRule type="expression" priority="2450" dxfId="59">
      <formula>SEARCH("CHIUSO",$M131)&gt;0</formula>
    </cfRule>
    <cfRule type="expression" priority="2451" dxfId="58">
      <formula>SEARCH("EMESSO",$M131)&gt;0</formula>
    </cfRule>
    <cfRule type="expression" priority="2452" dxfId="57">
      <formula>SEARCH("RICHIESTO",$M131)&gt;0</formula>
    </cfRule>
    <cfRule type="expression" priority="2453" dxfId="56">
      <formula>SEARCH("DA CHIUDERE",$M131)&gt;0</formula>
    </cfRule>
    <cfRule type="expression" priority="2454" dxfId="55">
      <formula>SEARCH("INTERROTTO",$M131)&gt;0</formula>
    </cfRule>
  </conditionalFormatting>
  <conditionalFormatting sqref="E131:F131 N131:S131">
    <cfRule type="expression" priority="2455" dxfId="60">
      <formula>SEARCH("IN CORSO",$M131)&gt;0</formula>
    </cfRule>
    <cfRule type="expression" priority="2456" dxfId="59">
      <formula>SEARCH("CHIUSO",$M131)&gt;0</formula>
    </cfRule>
    <cfRule type="expression" priority="2457" dxfId="58">
      <formula>SEARCH("EMESSO",$M131)&gt;0</formula>
    </cfRule>
    <cfRule type="expression" priority="2458" dxfId="57">
      <formula>SEARCH("RICHIESTO",$M131)&gt;0</formula>
    </cfRule>
    <cfRule type="expression" priority="2459" dxfId="56">
      <formula>SEARCH("DA CHIUDERE",$M131)&gt;0</formula>
    </cfRule>
    <cfRule type="expression" priority="2460" dxfId="55">
      <formula>SEARCH("INTERROTTO",$M131)&gt;0</formula>
    </cfRule>
  </conditionalFormatting>
  <conditionalFormatting sqref="G130">
    <cfRule type="expression" priority="2431" dxfId="60">
      <formula>SEARCH("IN CORSO",$M130)&gt;0</formula>
    </cfRule>
    <cfRule type="expression" priority="2432" dxfId="59">
      <formula>SEARCH("CHIUSO",$M130)&gt;0</formula>
    </cfRule>
    <cfRule type="expression" priority="2433" dxfId="58">
      <formula>SEARCH("EMESSO",$M130)&gt;0</formula>
    </cfRule>
    <cfRule type="expression" priority="2434" dxfId="57">
      <formula>SEARCH("RICHIESTO",$M130)&gt;0</formula>
    </cfRule>
    <cfRule type="expression" priority="2435" dxfId="56">
      <formula>SEARCH("DA CHIUDERE",$M130)&gt;0</formula>
    </cfRule>
    <cfRule type="expression" priority="2436" dxfId="55">
      <formula>SEARCH("INTERROTTO",$M130)&gt;0</formula>
    </cfRule>
  </conditionalFormatting>
  <conditionalFormatting sqref="E130:F130 N130:S130">
    <cfRule type="expression" priority="2437" dxfId="60">
      <formula>SEARCH("IN CORSO",$M130)&gt;0</formula>
    </cfRule>
    <cfRule type="expression" priority="2438" dxfId="59">
      <formula>SEARCH("CHIUSO",$M130)&gt;0</formula>
    </cfRule>
    <cfRule type="expression" priority="2439" dxfId="58">
      <formula>SEARCH("EMESSO",$M130)&gt;0</formula>
    </cfRule>
    <cfRule type="expression" priority="2440" dxfId="57">
      <formula>SEARCH("RICHIESTO",$M130)&gt;0</formula>
    </cfRule>
    <cfRule type="expression" priority="2441" dxfId="56">
      <formula>SEARCH("DA CHIUDERE",$M130)&gt;0</formula>
    </cfRule>
    <cfRule type="expression" priority="2442" dxfId="55">
      <formula>SEARCH("INTERROTTO",$M130)&gt;0</formula>
    </cfRule>
  </conditionalFormatting>
  <conditionalFormatting sqref="E129:F129 N129:S129">
    <cfRule type="expression" priority="2407" dxfId="60">
      <formula>SEARCH("IN CORSO",$M129)&gt;0</formula>
    </cfRule>
    <cfRule type="expression" priority="2408" dxfId="59">
      <formula>SEARCH("CHIUSO",$M129)&gt;0</formula>
    </cfRule>
    <cfRule type="expression" priority="2409" dxfId="58">
      <formula>SEARCH("EMESSO",$M129)&gt;0</formula>
    </cfRule>
    <cfRule type="expression" priority="2410" dxfId="57">
      <formula>SEARCH("RICHIESTO",$M129)&gt;0</formula>
    </cfRule>
    <cfRule type="expression" priority="2411" dxfId="56">
      <formula>SEARCH("DA CHIUDERE",$M129)&gt;0</formula>
    </cfRule>
    <cfRule type="expression" priority="2412" dxfId="55">
      <formula>SEARCH("INTERROTTO",$M129)&gt;0</formula>
    </cfRule>
  </conditionalFormatting>
  <conditionalFormatting sqref="G129">
    <cfRule type="expression" priority="2401" dxfId="60">
      <formula>SEARCH("IN CORSO",$M129)&gt;0</formula>
    </cfRule>
    <cfRule type="expression" priority="2402" dxfId="59">
      <formula>SEARCH("CHIUSO",$M129)&gt;0</formula>
    </cfRule>
    <cfRule type="expression" priority="2403" dxfId="58">
      <formula>SEARCH("EMESSO",$M129)&gt;0</formula>
    </cfRule>
    <cfRule type="expression" priority="2404" dxfId="57">
      <formula>SEARCH("RICHIESTO",$M129)&gt;0</formula>
    </cfRule>
    <cfRule type="expression" priority="2405" dxfId="56">
      <formula>SEARCH("DA CHIUDERE",$M129)&gt;0</formula>
    </cfRule>
    <cfRule type="expression" priority="2406" dxfId="55">
      <formula>SEARCH("INTERROTTO",$M129)&gt;0</formula>
    </cfRule>
  </conditionalFormatting>
  <conditionalFormatting sqref="G128">
    <cfRule type="expression" priority="2383" dxfId="60">
      <formula>SEARCH("IN CORSO",$M128)&gt;0</formula>
    </cfRule>
    <cfRule type="expression" priority="2384" dxfId="59">
      <formula>SEARCH("CHIUSO",$M128)&gt;0</formula>
    </cfRule>
    <cfRule type="expression" priority="2385" dxfId="58">
      <formula>SEARCH("EMESSO",$M128)&gt;0</formula>
    </cfRule>
    <cfRule type="expression" priority="2386" dxfId="57">
      <formula>SEARCH("RICHIESTO",$M128)&gt;0</formula>
    </cfRule>
    <cfRule type="expression" priority="2387" dxfId="56">
      <formula>SEARCH("DA CHIUDERE",$M128)&gt;0</formula>
    </cfRule>
    <cfRule type="expression" priority="2388" dxfId="55">
      <formula>SEARCH("INTERROTTO",$M128)&gt;0</formula>
    </cfRule>
  </conditionalFormatting>
  <conditionalFormatting sqref="E128:F128 N128:S128">
    <cfRule type="expression" priority="2389" dxfId="60">
      <formula>SEARCH("IN CORSO",$M128)&gt;0</formula>
    </cfRule>
    <cfRule type="expression" priority="2390" dxfId="59">
      <formula>SEARCH("CHIUSO",$M128)&gt;0</formula>
    </cfRule>
    <cfRule type="expression" priority="2391" dxfId="58">
      <formula>SEARCH("EMESSO",$M128)&gt;0</formula>
    </cfRule>
    <cfRule type="expression" priority="2392" dxfId="57">
      <formula>SEARCH("RICHIESTO",$M128)&gt;0</formula>
    </cfRule>
    <cfRule type="expression" priority="2393" dxfId="56">
      <formula>SEARCH("DA CHIUDERE",$M128)&gt;0</formula>
    </cfRule>
    <cfRule type="expression" priority="2394" dxfId="55">
      <formula>SEARCH("INTERROTTO",$M128)&gt;0</formula>
    </cfRule>
  </conditionalFormatting>
  <conditionalFormatting sqref="G127">
    <cfRule type="expression" priority="2365" dxfId="60">
      <formula>SEARCH("IN CORSO",$M127)&gt;0</formula>
    </cfRule>
    <cfRule type="expression" priority="2366" dxfId="59">
      <formula>SEARCH("CHIUSO",$M127)&gt;0</formula>
    </cfRule>
    <cfRule type="expression" priority="2367" dxfId="58">
      <formula>SEARCH("EMESSO",$M127)&gt;0</formula>
    </cfRule>
    <cfRule type="expression" priority="2368" dxfId="57">
      <formula>SEARCH("RICHIESTO",$M127)&gt;0</formula>
    </cfRule>
    <cfRule type="expression" priority="2369" dxfId="56">
      <formula>SEARCH("DA CHIUDERE",$M127)&gt;0</formula>
    </cfRule>
    <cfRule type="expression" priority="2370" dxfId="55">
      <formula>SEARCH("INTERROTTO",$M127)&gt;0</formula>
    </cfRule>
  </conditionalFormatting>
  <conditionalFormatting sqref="E127:F127 N127:S127">
    <cfRule type="expression" priority="2371" dxfId="60">
      <formula>SEARCH("IN CORSO",$M127)&gt;0</formula>
    </cfRule>
    <cfRule type="expression" priority="2372" dxfId="59">
      <formula>SEARCH("CHIUSO",$M127)&gt;0</formula>
    </cfRule>
    <cfRule type="expression" priority="2373" dxfId="58">
      <formula>SEARCH("EMESSO",$M127)&gt;0</formula>
    </cfRule>
    <cfRule type="expression" priority="2374" dxfId="57">
      <formula>SEARCH("RICHIESTO",$M127)&gt;0</formula>
    </cfRule>
    <cfRule type="expression" priority="2375" dxfId="56">
      <formula>SEARCH("DA CHIUDERE",$M127)&gt;0</formula>
    </cfRule>
    <cfRule type="expression" priority="2376" dxfId="55">
      <formula>SEARCH("INTERROTTO",$M127)&gt;0</formula>
    </cfRule>
  </conditionalFormatting>
  <conditionalFormatting sqref="G126">
    <cfRule type="expression" priority="2347" dxfId="60">
      <formula>SEARCH("IN CORSO",$M126)&gt;0</formula>
    </cfRule>
    <cfRule type="expression" priority="2348" dxfId="59">
      <formula>SEARCH("CHIUSO",$M126)&gt;0</formula>
    </cfRule>
    <cfRule type="expression" priority="2349" dxfId="58">
      <formula>SEARCH("EMESSO",$M126)&gt;0</formula>
    </cfRule>
    <cfRule type="expression" priority="2350" dxfId="57">
      <formula>SEARCH("RICHIESTO",$M126)&gt;0</formula>
    </cfRule>
    <cfRule type="expression" priority="2351" dxfId="56">
      <formula>SEARCH("DA CHIUDERE",$M126)&gt;0</formula>
    </cfRule>
    <cfRule type="expression" priority="2352" dxfId="55">
      <formula>SEARCH("INTERROTTO",$M126)&gt;0</formula>
    </cfRule>
  </conditionalFormatting>
  <conditionalFormatting sqref="E126:F126 N126:S126">
    <cfRule type="expression" priority="2353" dxfId="60">
      <formula>SEARCH("IN CORSO",$M126)&gt;0</formula>
    </cfRule>
    <cfRule type="expression" priority="2354" dxfId="59">
      <formula>SEARCH("CHIUSO",$M126)&gt;0</formula>
    </cfRule>
    <cfRule type="expression" priority="2355" dxfId="58">
      <formula>SEARCH("EMESSO",$M126)&gt;0</formula>
    </cfRule>
    <cfRule type="expression" priority="2356" dxfId="57">
      <formula>SEARCH("RICHIESTO",$M126)&gt;0</formula>
    </cfRule>
    <cfRule type="expression" priority="2357" dxfId="56">
      <formula>SEARCH("DA CHIUDERE",$M126)&gt;0</formula>
    </cfRule>
    <cfRule type="expression" priority="2358" dxfId="55">
      <formula>SEARCH("INTERROTTO",$M126)&gt;0</formula>
    </cfRule>
  </conditionalFormatting>
  <conditionalFormatting sqref="G125">
    <cfRule type="expression" priority="2329" dxfId="60">
      <formula>SEARCH("IN CORSO",$M125)&gt;0</formula>
    </cfRule>
    <cfRule type="expression" priority="2330" dxfId="59">
      <formula>SEARCH("CHIUSO",$M125)&gt;0</formula>
    </cfRule>
    <cfRule type="expression" priority="2331" dxfId="58">
      <formula>SEARCH("EMESSO",$M125)&gt;0</formula>
    </cfRule>
    <cfRule type="expression" priority="2332" dxfId="57">
      <formula>SEARCH("RICHIESTO",$M125)&gt;0</formula>
    </cfRule>
    <cfRule type="expression" priority="2333" dxfId="56">
      <formula>SEARCH("DA CHIUDERE",$M125)&gt;0</formula>
    </cfRule>
    <cfRule type="expression" priority="2334" dxfId="55">
      <formula>SEARCH("INTERROTTO",$M125)&gt;0</formula>
    </cfRule>
  </conditionalFormatting>
  <conditionalFormatting sqref="E125:F125 N125:S125">
    <cfRule type="expression" priority="2335" dxfId="60">
      <formula>SEARCH("IN CORSO",$M125)&gt;0</formula>
    </cfRule>
    <cfRule type="expression" priority="2336" dxfId="59">
      <formula>SEARCH("CHIUSO",$M125)&gt;0</formula>
    </cfRule>
    <cfRule type="expression" priority="2337" dxfId="58">
      <formula>SEARCH("EMESSO",$M125)&gt;0</formula>
    </cfRule>
    <cfRule type="expression" priority="2338" dxfId="57">
      <formula>SEARCH("RICHIESTO",$M125)&gt;0</formula>
    </cfRule>
    <cfRule type="expression" priority="2339" dxfId="56">
      <formula>SEARCH("DA CHIUDERE",$M125)&gt;0</formula>
    </cfRule>
    <cfRule type="expression" priority="2340" dxfId="55">
      <formula>SEARCH("INTERROTTO",$M125)&gt;0</formula>
    </cfRule>
  </conditionalFormatting>
  <conditionalFormatting sqref="G124">
    <cfRule type="expression" priority="2311" dxfId="60">
      <formula>SEARCH("IN CORSO",$M124)&gt;0</formula>
    </cfRule>
    <cfRule type="expression" priority="2312" dxfId="59">
      <formula>SEARCH("CHIUSO",$M124)&gt;0</formula>
    </cfRule>
    <cfRule type="expression" priority="2313" dxfId="58">
      <formula>SEARCH("EMESSO",$M124)&gt;0</formula>
    </cfRule>
    <cfRule type="expression" priority="2314" dxfId="57">
      <formula>SEARCH("RICHIESTO",$M124)&gt;0</formula>
    </cfRule>
    <cfRule type="expression" priority="2315" dxfId="56">
      <formula>SEARCH("DA CHIUDERE",$M124)&gt;0</formula>
    </cfRule>
    <cfRule type="expression" priority="2316" dxfId="55">
      <formula>SEARCH("INTERROTTO",$M124)&gt;0</formula>
    </cfRule>
  </conditionalFormatting>
  <conditionalFormatting sqref="E124:F124 N124:S124">
    <cfRule type="expression" priority="2317" dxfId="60">
      <formula>SEARCH("IN CORSO",$M124)&gt;0</formula>
    </cfRule>
    <cfRule type="expression" priority="2318" dxfId="59">
      <formula>SEARCH("CHIUSO",$M124)&gt;0</formula>
    </cfRule>
    <cfRule type="expression" priority="2319" dxfId="58">
      <formula>SEARCH("EMESSO",$M124)&gt;0</formula>
    </cfRule>
    <cfRule type="expression" priority="2320" dxfId="57">
      <formula>SEARCH("RICHIESTO",$M124)&gt;0</formula>
    </cfRule>
    <cfRule type="expression" priority="2321" dxfId="56">
      <formula>SEARCH("DA CHIUDERE",$M124)&gt;0</formula>
    </cfRule>
    <cfRule type="expression" priority="2322" dxfId="55">
      <formula>SEARCH("INTERROTTO",$M124)&gt;0</formula>
    </cfRule>
  </conditionalFormatting>
  <conditionalFormatting sqref="G123">
    <cfRule type="expression" priority="2293" dxfId="60">
      <formula>SEARCH("IN CORSO",$M123)&gt;0</formula>
    </cfRule>
    <cfRule type="expression" priority="2294" dxfId="59">
      <formula>SEARCH("CHIUSO",$M123)&gt;0</formula>
    </cfRule>
    <cfRule type="expression" priority="2295" dxfId="58">
      <formula>SEARCH("EMESSO",$M123)&gt;0</formula>
    </cfRule>
    <cfRule type="expression" priority="2296" dxfId="57">
      <formula>SEARCH("RICHIESTO",$M123)&gt;0</formula>
    </cfRule>
    <cfRule type="expression" priority="2297" dxfId="56">
      <formula>SEARCH("DA CHIUDERE",$M123)&gt;0</formula>
    </cfRule>
    <cfRule type="expression" priority="2298" dxfId="55">
      <formula>SEARCH("INTERROTTO",$M123)&gt;0</formula>
    </cfRule>
  </conditionalFormatting>
  <conditionalFormatting sqref="E123:F123 N123:S123">
    <cfRule type="expression" priority="2299" dxfId="60">
      <formula>SEARCH("IN CORSO",$M123)&gt;0</formula>
    </cfRule>
    <cfRule type="expression" priority="2300" dxfId="59">
      <formula>SEARCH("CHIUSO",$M123)&gt;0</formula>
    </cfRule>
    <cfRule type="expression" priority="2301" dxfId="58">
      <formula>SEARCH("EMESSO",$M123)&gt;0</formula>
    </cfRule>
    <cfRule type="expression" priority="2302" dxfId="57">
      <formula>SEARCH("RICHIESTO",$M123)&gt;0</formula>
    </cfRule>
    <cfRule type="expression" priority="2303" dxfId="56">
      <formula>SEARCH("DA CHIUDERE",$M123)&gt;0</formula>
    </cfRule>
    <cfRule type="expression" priority="2304" dxfId="55">
      <formula>SEARCH("INTERROTTO",$M123)&gt;0</formula>
    </cfRule>
  </conditionalFormatting>
  <conditionalFormatting sqref="M395">
    <cfRule type="expression" priority="2275" dxfId="60">
      <formula>SEARCH("IN CORSO",$M395)&gt;0</formula>
    </cfRule>
    <cfRule type="expression" priority="2276" dxfId="59">
      <formula>SEARCH("CHIUSO",$M395)&gt;0</formula>
    </cfRule>
    <cfRule type="expression" priority="2277" dxfId="58">
      <formula>SEARCH("EMESSO",$M395)&gt;0</formula>
    </cfRule>
    <cfRule type="expression" priority="2278" dxfId="57">
      <formula>SEARCH("RICHIESTO",$M395)&gt;0</formula>
    </cfRule>
    <cfRule type="expression" priority="2279" dxfId="56">
      <formula>SEARCH("DA CHIUDERE",$M395)&gt;0</formula>
    </cfRule>
    <cfRule type="expression" priority="2280" dxfId="55">
      <formula>SEARCH("INTERROTTO",$M395)&gt;0</formula>
    </cfRule>
  </conditionalFormatting>
  <conditionalFormatting sqref="E122:F122 N122:S122">
    <cfRule type="expression" priority="2269" dxfId="60">
      <formula>SEARCH("IN CORSO",$M122)&gt;0</formula>
    </cfRule>
    <cfRule type="expression" priority="2270" dxfId="59">
      <formula>SEARCH("CHIUSO",$M122)&gt;0</formula>
    </cfRule>
    <cfRule type="expression" priority="2271" dxfId="58">
      <formula>SEARCH("EMESSO",$M122)&gt;0</formula>
    </cfRule>
    <cfRule type="expression" priority="2272" dxfId="57">
      <formula>SEARCH("RICHIESTO",$M122)&gt;0</formula>
    </cfRule>
    <cfRule type="expression" priority="2273" dxfId="56">
      <formula>SEARCH("DA CHIUDERE",$M122)&gt;0</formula>
    </cfRule>
    <cfRule type="expression" priority="2274" dxfId="55">
      <formula>SEARCH("INTERROTTO",$M122)&gt;0</formula>
    </cfRule>
  </conditionalFormatting>
  <conditionalFormatting sqref="G122">
    <cfRule type="expression" priority="2263" dxfId="60">
      <formula>SEARCH("IN CORSO",$M122)&gt;0</formula>
    </cfRule>
    <cfRule type="expression" priority="2264" dxfId="59">
      <formula>SEARCH("CHIUSO",$M122)&gt;0</formula>
    </cfRule>
    <cfRule type="expression" priority="2265" dxfId="58">
      <formula>SEARCH("EMESSO",$M122)&gt;0</formula>
    </cfRule>
    <cfRule type="expression" priority="2266" dxfId="57">
      <formula>SEARCH("RICHIESTO",$M122)&gt;0</formula>
    </cfRule>
    <cfRule type="expression" priority="2267" dxfId="56">
      <formula>SEARCH("DA CHIUDERE",$M122)&gt;0</formula>
    </cfRule>
    <cfRule type="expression" priority="2268" dxfId="55">
      <formula>SEARCH("INTERROTTO",$M122)&gt;0</formula>
    </cfRule>
  </conditionalFormatting>
  <conditionalFormatting sqref="G121">
    <cfRule type="expression" priority="2245" dxfId="60">
      <formula>SEARCH("IN CORSO",$M121)&gt;0</formula>
    </cfRule>
    <cfRule type="expression" priority="2246" dxfId="59">
      <formula>SEARCH("CHIUSO",$M121)&gt;0</formula>
    </cfRule>
    <cfRule type="expression" priority="2247" dxfId="58">
      <formula>SEARCH("EMESSO",$M121)&gt;0</formula>
    </cfRule>
    <cfRule type="expression" priority="2248" dxfId="57">
      <formula>SEARCH("RICHIESTO",$M121)&gt;0</formula>
    </cfRule>
    <cfRule type="expression" priority="2249" dxfId="56">
      <formula>SEARCH("DA CHIUDERE",$M121)&gt;0</formula>
    </cfRule>
    <cfRule type="expression" priority="2250" dxfId="55">
      <formula>SEARCH("INTERROTTO",$M121)&gt;0</formula>
    </cfRule>
  </conditionalFormatting>
  <conditionalFormatting sqref="E121:F121 N121:S121">
    <cfRule type="expression" priority="2251" dxfId="60">
      <formula>SEARCH("IN CORSO",$M121)&gt;0</formula>
    </cfRule>
    <cfRule type="expression" priority="2252" dxfId="59">
      <formula>SEARCH("CHIUSO",$M121)&gt;0</formula>
    </cfRule>
    <cfRule type="expression" priority="2253" dxfId="58">
      <formula>SEARCH("EMESSO",$M121)&gt;0</formula>
    </cfRule>
    <cfRule type="expression" priority="2254" dxfId="57">
      <formula>SEARCH("RICHIESTO",$M121)&gt;0</formula>
    </cfRule>
    <cfRule type="expression" priority="2255" dxfId="56">
      <formula>SEARCH("DA CHIUDERE",$M121)&gt;0</formula>
    </cfRule>
    <cfRule type="expression" priority="2256" dxfId="55">
      <formula>SEARCH("INTERROTTO",$M121)&gt;0</formula>
    </cfRule>
  </conditionalFormatting>
  <conditionalFormatting sqref="G120">
    <cfRule type="expression" priority="2227" dxfId="60">
      <formula>SEARCH("IN CORSO",$M120)&gt;0</formula>
    </cfRule>
    <cfRule type="expression" priority="2228" dxfId="59">
      <formula>SEARCH("CHIUSO",$M120)&gt;0</formula>
    </cfRule>
    <cfRule type="expression" priority="2229" dxfId="58">
      <formula>SEARCH("EMESSO",$M120)&gt;0</formula>
    </cfRule>
    <cfRule type="expression" priority="2230" dxfId="57">
      <formula>SEARCH("RICHIESTO",$M120)&gt;0</formula>
    </cfRule>
    <cfRule type="expression" priority="2231" dxfId="56">
      <formula>SEARCH("DA CHIUDERE",$M120)&gt;0</formula>
    </cfRule>
    <cfRule type="expression" priority="2232" dxfId="55">
      <formula>SEARCH("INTERROTTO",$M120)&gt;0</formula>
    </cfRule>
  </conditionalFormatting>
  <conditionalFormatting sqref="E120:F120 N120:S120">
    <cfRule type="expression" priority="2233" dxfId="60">
      <formula>SEARCH("IN CORSO",$M120)&gt;0</formula>
    </cfRule>
    <cfRule type="expression" priority="2234" dxfId="59">
      <formula>SEARCH("CHIUSO",$M120)&gt;0</formula>
    </cfRule>
    <cfRule type="expression" priority="2235" dxfId="58">
      <formula>SEARCH("EMESSO",$M120)&gt;0</formula>
    </cfRule>
    <cfRule type="expression" priority="2236" dxfId="57">
      <formula>SEARCH("RICHIESTO",$M120)&gt;0</formula>
    </cfRule>
    <cfRule type="expression" priority="2237" dxfId="56">
      <formula>SEARCH("DA CHIUDERE",$M120)&gt;0</formula>
    </cfRule>
    <cfRule type="expression" priority="2238" dxfId="55">
      <formula>SEARCH("INTERROTTO",$M120)&gt;0</formula>
    </cfRule>
  </conditionalFormatting>
  <conditionalFormatting sqref="G119">
    <cfRule type="expression" priority="2209" dxfId="60">
      <formula>SEARCH("IN CORSO",$M119)&gt;0</formula>
    </cfRule>
    <cfRule type="expression" priority="2210" dxfId="59">
      <formula>SEARCH("CHIUSO",$M119)&gt;0</formula>
    </cfRule>
    <cfRule type="expression" priority="2211" dxfId="58">
      <formula>SEARCH("EMESSO",$M119)&gt;0</formula>
    </cfRule>
    <cfRule type="expression" priority="2212" dxfId="57">
      <formula>SEARCH("RICHIESTO",$M119)&gt;0</formula>
    </cfRule>
    <cfRule type="expression" priority="2213" dxfId="56">
      <formula>SEARCH("DA CHIUDERE",$M119)&gt;0</formula>
    </cfRule>
    <cfRule type="expression" priority="2214" dxfId="55">
      <formula>SEARCH("INTERROTTO",$M119)&gt;0</formula>
    </cfRule>
  </conditionalFormatting>
  <conditionalFormatting sqref="E119:F119 N119:S119">
    <cfRule type="expression" priority="2215" dxfId="60">
      <formula>SEARCH("IN CORSO",$M119)&gt;0</formula>
    </cfRule>
    <cfRule type="expression" priority="2216" dxfId="59">
      <formula>SEARCH("CHIUSO",$M119)&gt;0</formula>
    </cfRule>
    <cfRule type="expression" priority="2217" dxfId="58">
      <formula>SEARCH("EMESSO",$M119)&gt;0</formula>
    </cfRule>
    <cfRule type="expression" priority="2218" dxfId="57">
      <formula>SEARCH("RICHIESTO",$M119)&gt;0</formula>
    </cfRule>
    <cfRule type="expression" priority="2219" dxfId="56">
      <formula>SEARCH("DA CHIUDERE",$M119)&gt;0</formula>
    </cfRule>
    <cfRule type="expression" priority="2220" dxfId="55">
      <formula>SEARCH("INTERROTTO",$M119)&gt;0</formula>
    </cfRule>
  </conditionalFormatting>
  <conditionalFormatting sqref="G118">
    <cfRule type="expression" priority="2191" dxfId="60">
      <formula>SEARCH("IN CORSO",$M118)&gt;0</formula>
    </cfRule>
    <cfRule type="expression" priority="2192" dxfId="59">
      <formula>SEARCH("CHIUSO",$M118)&gt;0</formula>
    </cfRule>
    <cfRule type="expression" priority="2193" dxfId="58">
      <formula>SEARCH("EMESSO",$M118)&gt;0</formula>
    </cfRule>
    <cfRule type="expression" priority="2194" dxfId="57">
      <formula>SEARCH("RICHIESTO",$M118)&gt;0</formula>
    </cfRule>
    <cfRule type="expression" priority="2195" dxfId="56">
      <formula>SEARCH("DA CHIUDERE",$M118)&gt;0</formula>
    </cfRule>
    <cfRule type="expression" priority="2196" dxfId="55">
      <formula>SEARCH("INTERROTTO",$M118)&gt;0</formula>
    </cfRule>
  </conditionalFormatting>
  <conditionalFormatting sqref="E118:F118 N118:S118">
    <cfRule type="expression" priority="2197" dxfId="60">
      <formula>SEARCH("IN CORSO",$M118)&gt;0</formula>
    </cfRule>
    <cfRule type="expression" priority="2198" dxfId="59">
      <formula>SEARCH("CHIUSO",$M118)&gt;0</formula>
    </cfRule>
    <cfRule type="expression" priority="2199" dxfId="58">
      <formula>SEARCH("EMESSO",$M118)&gt;0</formula>
    </cfRule>
    <cfRule type="expression" priority="2200" dxfId="57">
      <formula>SEARCH("RICHIESTO",$M118)&gt;0</formula>
    </cfRule>
    <cfRule type="expression" priority="2201" dxfId="56">
      <formula>SEARCH("DA CHIUDERE",$M118)&gt;0</formula>
    </cfRule>
    <cfRule type="expression" priority="2202" dxfId="55">
      <formula>SEARCH("INTERROTTO",$M118)&gt;0</formula>
    </cfRule>
  </conditionalFormatting>
  <conditionalFormatting sqref="R395:S395">
    <cfRule type="expression" priority="2167" dxfId="60">
      <formula>SEARCH("IN CORSO",$M395)&gt;0</formula>
    </cfRule>
    <cfRule type="expression" priority="2168" dxfId="59">
      <formula>SEARCH("CHIUSO",$M395)&gt;0</formula>
    </cfRule>
    <cfRule type="expression" priority="2169" dxfId="58">
      <formula>SEARCH("EMESSO",$M395)&gt;0</formula>
    </cfRule>
    <cfRule type="expression" priority="2170" dxfId="57">
      <formula>SEARCH("RICHIESTO",$M395)&gt;0</formula>
    </cfRule>
    <cfRule type="expression" priority="2171" dxfId="56">
      <formula>SEARCH("DA CHIUDERE",$M395)&gt;0</formula>
    </cfRule>
    <cfRule type="expression" priority="2172" dxfId="55">
      <formula>SEARCH("INTERROTTO",$M395)&gt;0</formula>
    </cfRule>
  </conditionalFormatting>
  <conditionalFormatting sqref="Q395">
    <cfRule type="expression" priority="2173" dxfId="60">
      <formula>SEARCH("IN CORSO",$M395)&gt;0</formula>
    </cfRule>
    <cfRule type="expression" priority="2174" dxfId="59">
      <formula>SEARCH("CHIUSO",$M395)&gt;0</formula>
    </cfRule>
    <cfRule type="expression" priority="2175" dxfId="58">
      <formula>SEARCH("EMESSO",$M395)&gt;0</formula>
    </cfRule>
    <cfRule type="expression" priority="2176" dxfId="57">
      <formula>SEARCH("RICHIESTO",$M395)&gt;0</formula>
    </cfRule>
    <cfRule type="expression" priority="2177" dxfId="56">
      <formula>SEARCH("DA CHIUDERE",$M395)&gt;0</formula>
    </cfRule>
    <cfRule type="expression" priority="2178" dxfId="55">
      <formula>SEARCH("INTERROTTO",$M395)&gt;0</formula>
    </cfRule>
  </conditionalFormatting>
  <conditionalFormatting sqref="Q392:S392 Q393">
    <cfRule type="expression" priority="2161" dxfId="60">
      <formula>SEARCH("IN CORSO",$M392)&gt;0</formula>
    </cfRule>
    <cfRule type="expression" priority="2162" dxfId="59">
      <formula>SEARCH("CHIUSO",$M392)&gt;0</formula>
    </cfRule>
    <cfRule type="expression" priority="2163" dxfId="58">
      <formula>SEARCH("EMESSO",$M392)&gt;0</formula>
    </cfRule>
    <cfRule type="expression" priority="2164" dxfId="57">
      <formula>SEARCH("RICHIESTO",$M392)&gt;0</formula>
    </cfRule>
    <cfRule type="expression" priority="2165" dxfId="56">
      <formula>SEARCH("DA CHIUDERE",$M392)&gt;0</formula>
    </cfRule>
    <cfRule type="expression" priority="2166" dxfId="55">
      <formula>SEARCH("INTERROTTO",$M392)&gt;0</formula>
    </cfRule>
  </conditionalFormatting>
  <conditionalFormatting sqref="M393">
    <cfRule type="expression" priority="2155" dxfId="60">
      <formula>SEARCH("IN CORSO",$M393)&gt;0</formula>
    </cfRule>
    <cfRule type="expression" priority="2156" dxfId="59">
      <formula>SEARCH("CHIUSO",$M393)&gt;0</formula>
    </cfRule>
    <cfRule type="expression" priority="2157" dxfId="58">
      <formula>SEARCH("EMESSO",$M393)&gt;0</formula>
    </cfRule>
    <cfRule type="expression" priority="2158" dxfId="57">
      <formula>SEARCH("RICHIESTO",$M393)&gt;0</formula>
    </cfRule>
    <cfRule type="expression" priority="2159" dxfId="56">
      <formula>SEARCH("DA CHIUDERE",$M393)&gt;0</formula>
    </cfRule>
    <cfRule type="expression" priority="2160" dxfId="55">
      <formula>SEARCH("INTERROTTO",$M393)&gt;0</formula>
    </cfRule>
  </conditionalFormatting>
  <conditionalFormatting sqref="R393:S393">
    <cfRule type="expression" priority="2149" dxfId="60">
      <formula>SEARCH("IN CORSO",$M393)&gt;0</formula>
    </cfRule>
    <cfRule type="expression" priority="2150" dxfId="59">
      <formula>SEARCH("CHIUSO",$M393)&gt;0</formula>
    </cfRule>
    <cfRule type="expression" priority="2151" dxfId="58">
      <formula>SEARCH("EMESSO",$M393)&gt;0</formula>
    </cfRule>
    <cfRule type="expression" priority="2152" dxfId="57">
      <formula>SEARCH("RICHIESTO",$M393)&gt;0</formula>
    </cfRule>
    <cfRule type="expression" priority="2153" dxfId="56">
      <formula>SEARCH("DA CHIUDERE",$M393)&gt;0</formula>
    </cfRule>
    <cfRule type="expression" priority="2154" dxfId="55">
      <formula>SEARCH("INTERROTTO",$M393)&gt;0</formula>
    </cfRule>
  </conditionalFormatting>
  <conditionalFormatting sqref="E117:F117 N117:S117">
    <cfRule type="expression" priority="2143" dxfId="60">
      <formula>SEARCH("IN CORSO",$M117)&gt;0</formula>
    </cfRule>
    <cfRule type="expression" priority="2144" dxfId="59">
      <formula>SEARCH("CHIUSO",$M117)&gt;0</formula>
    </cfRule>
    <cfRule type="expression" priority="2145" dxfId="58">
      <formula>SEARCH("EMESSO",$M117)&gt;0</formula>
    </cfRule>
    <cfRule type="expression" priority="2146" dxfId="57">
      <formula>SEARCH("RICHIESTO",$M117)&gt;0</formula>
    </cfRule>
    <cfRule type="expression" priority="2147" dxfId="56">
      <formula>SEARCH("DA CHIUDERE",$M117)&gt;0</formula>
    </cfRule>
    <cfRule type="expression" priority="2148" dxfId="55">
      <formula>SEARCH("INTERROTTO",$M117)&gt;0</formula>
    </cfRule>
  </conditionalFormatting>
  <conditionalFormatting sqref="G117">
    <cfRule type="expression" priority="2137" dxfId="60">
      <formula>SEARCH("IN CORSO",$M117)&gt;0</formula>
    </cfRule>
    <cfRule type="expression" priority="2138" dxfId="59">
      <formula>SEARCH("CHIUSO",$M117)&gt;0</formula>
    </cfRule>
    <cfRule type="expression" priority="2139" dxfId="58">
      <formula>SEARCH("EMESSO",$M117)&gt;0</formula>
    </cfRule>
    <cfRule type="expression" priority="2140" dxfId="57">
      <formula>SEARCH("RICHIESTO",$M117)&gt;0</formula>
    </cfRule>
    <cfRule type="expression" priority="2141" dxfId="56">
      <formula>SEARCH("DA CHIUDERE",$M117)&gt;0</formula>
    </cfRule>
    <cfRule type="expression" priority="2142" dxfId="55">
      <formula>SEARCH("INTERROTTO",$M117)&gt;0</formula>
    </cfRule>
  </conditionalFormatting>
  <conditionalFormatting sqref="G116">
    <cfRule type="expression" priority="2119" dxfId="60">
      <formula>SEARCH("IN CORSO",$M116)&gt;0</formula>
    </cfRule>
    <cfRule type="expression" priority="2120" dxfId="59">
      <formula>SEARCH("CHIUSO",$M116)&gt;0</formula>
    </cfRule>
    <cfRule type="expression" priority="2121" dxfId="58">
      <formula>SEARCH("EMESSO",$M116)&gt;0</formula>
    </cfRule>
    <cfRule type="expression" priority="2122" dxfId="57">
      <formula>SEARCH("RICHIESTO",$M116)&gt;0</formula>
    </cfRule>
    <cfRule type="expression" priority="2123" dxfId="56">
      <formula>SEARCH("DA CHIUDERE",$M116)&gt;0</formula>
    </cfRule>
    <cfRule type="expression" priority="2124" dxfId="55">
      <formula>SEARCH("INTERROTTO",$M116)&gt;0</formula>
    </cfRule>
  </conditionalFormatting>
  <conditionalFormatting sqref="E116:F116 N116:S116">
    <cfRule type="expression" priority="2125" dxfId="60">
      <formula>SEARCH("IN CORSO",$M116)&gt;0</formula>
    </cfRule>
    <cfRule type="expression" priority="2126" dxfId="59">
      <formula>SEARCH("CHIUSO",$M116)&gt;0</formula>
    </cfRule>
    <cfRule type="expression" priority="2127" dxfId="58">
      <formula>SEARCH("EMESSO",$M116)&gt;0</formula>
    </cfRule>
    <cfRule type="expression" priority="2128" dxfId="57">
      <formula>SEARCH("RICHIESTO",$M116)&gt;0</formula>
    </cfRule>
    <cfRule type="expression" priority="2129" dxfId="56">
      <formula>SEARCH("DA CHIUDERE",$M116)&gt;0</formula>
    </cfRule>
    <cfRule type="expression" priority="2130" dxfId="55">
      <formula>SEARCH("INTERROTTO",$M116)&gt;0</formula>
    </cfRule>
  </conditionalFormatting>
  <conditionalFormatting sqref="G115">
    <cfRule type="expression" priority="2101" dxfId="60">
      <formula>SEARCH("IN CORSO",$M115)&gt;0</formula>
    </cfRule>
    <cfRule type="expression" priority="2102" dxfId="59">
      <formula>SEARCH("CHIUSO",$M115)&gt;0</formula>
    </cfRule>
    <cfRule type="expression" priority="2103" dxfId="58">
      <formula>SEARCH("EMESSO",$M115)&gt;0</formula>
    </cfRule>
    <cfRule type="expression" priority="2104" dxfId="57">
      <formula>SEARCH("RICHIESTO",$M115)&gt;0</formula>
    </cfRule>
    <cfRule type="expression" priority="2105" dxfId="56">
      <formula>SEARCH("DA CHIUDERE",$M115)&gt;0</formula>
    </cfRule>
    <cfRule type="expression" priority="2106" dxfId="55">
      <formula>SEARCH("INTERROTTO",$M115)&gt;0</formula>
    </cfRule>
  </conditionalFormatting>
  <conditionalFormatting sqref="E115:F115 N115:S115">
    <cfRule type="expression" priority="2107" dxfId="60">
      <formula>SEARCH("IN CORSO",$M115)&gt;0</formula>
    </cfRule>
    <cfRule type="expression" priority="2108" dxfId="59">
      <formula>SEARCH("CHIUSO",$M115)&gt;0</formula>
    </cfRule>
    <cfRule type="expression" priority="2109" dxfId="58">
      <formula>SEARCH("EMESSO",$M115)&gt;0</formula>
    </cfRule>
    <cfRule type="expression" priority="2110" dxfId="57">
      <formula>SEARCH("RICHIESTO",$M115)&gt;0</formula>
    </cfRule>
    <cfRule type="expression" priority="2111" dxfId="56">
      <formula>SEARCH("DA CHIUDERE",$M115)&gt;0</formula>
    </cfRule>
    <cfRule type="expression" priority="2112" dxfId="55">
      <formula>SEARCH("INTERROTTO",$M115)&gt;0</formula>
    </cfRule>
  </conditionalFormatting>
  <conditionalFormatting sqref="G114">
    <cfRule type="expression" priority="2083" dxfId="60">
      <formula>SEARCH("IN CORSO",$M114)&gt;0</formula>
    </cfRule>
    <cfRule type="expression" priority="2084" dxfId="59">
      <formula>SEARCH("CHIUSO",$M114)&gt;0</formula>
    </cfRule>
    <cfRule type="expression" priority="2085" dxfId="58">
      <formula>SEARCH("EMESSO",$M114)&gt;0</formula>
    </cfRule>
    <cfRule type="expression" priority="2086" dxfId="57">
      <formula>SEARCH("RICHIESTO",$M114)&gt;0</formula>
    </cfRule>
    <cfRule type="expression" priority="2087" dxfId="56">
      <formula>SEARCH("DA CHIUDERE",$M114)&gt;0</formula>
    </cfRule>
    <cfRule type="expression" priority="2088" dxfId="55">
      <formula>SEARCH("INTERROTTO",$M114)&gt;0</formula>
    </cfRule>
  </conditionalFormatting>
  <conditionalFormatting sqref="E114:F114 N114:S114">
    <cfRule type="expression" priority="2089" dxfId="60">
      <formula>SEARCH("IN CORSO",$M114)&gt;0</formula>
    </cfRule>
    <cfRule type="expression" priority="2090" dxfId="59">
      <formula>SEARCH("CHIUSO",$M114)&gt;0</formula>
    </cfRule>
    <cfRule type="expression" priority="2091" dxfId="58">
      <formula>SEARCH("EMESSO",$M114)&gt;0</formula>
    </cfRule>
    <cfRule type="expression" priority="2092" dxfId="57">
      <formula>SEARCH("RICHIESTO",$M114)&gt;0</formula>
    </cfRule>
    <cfRule type="expression" priority="2093" dxfId="56">
      <formula>SEARCH("DA CHIUDERE",$M114)&gt;0</formula>
    </cfRule>
    <cfRule type="expression" priority="2094" dxfId="55">
      <formula>SEARCH("INTERROTTO",$M114)&gt;0</formula>
    </cfRule>
  </conditionalFormatting>
  <conditionalFormatting sqref="G113">
    <cfRule type="expression" priority="2065" dxfId="60">
      <formula>SEARCH("IN CORSO",$M113)&gt;0</formula>
    </cfRule>
    <cfRule type="expression" priority="2066" dxfId="59">
      <formula>SEARCH("CHIUSO",$M113)&gt;0</formula>
    </cfRule>
    <cfRule type="expression" priority="2067" dxfId="58">
      <formula>SEARCH("EMESSO",$M113)&gt;0</formula>
    </cfRule>
    <cfRule type="expression" priority="2068" dxfId="57">
      <formula>SEARCH("RICHIESTO",$M113)&gt;0</formula>
    </cfRule>
    <cfRule type="expression" priority="2069" dxfId="56">
      <formula>SEARCH("DA CHIUDERE",$M113)&gt;0</formula>
    </cfRule>
    <cfRule type="expression" priority="2070" dxfId="55">
      <formula>SEARCH("INTERROTTO",$M113)&gt;0</formula>
    </cfRule>
  </conditionalFormatting>
  <conditionalFormatting sqref="E113:F113 N113:S113">
    <cfRule type="expression" priority="2071" dxfId="60">
      <formula>SEARCH("IN CORSO",$M113)&gt;0</formula>
    </cfRule>
    <cfRule type="expression" priority="2072" dxfId="59">
      <formula>SEARCH("CHIUSO",$M113)&gt;0</formula>
    </cfRule>
    <cfRule type="expression" priority="2073" dxfId="58">
      <formula>SEARCH("EMESSO",$M113)&gt;0</formula>
    </cfRule>
    <cfRule type="expression" priority="2074" dxfId="57">
      <formula>SEARCH("RICHIESTO",$M113)&gt;0</formula>
    </cfRule>
    <cfRule type="expression" priority="2075" dxfId="56">
      <formula>SEARCH("DA CHIUDERE",$M113)&gt;0</formula>
    </cfRule>
    <cfRule type="expression" priority="2076" dxfId="55">
      <formula>SEARCH("INTERROTTO",$M113)&gt;0</formula>
    </cfRule>
  </conditionalFormatting>
  <conditionalFormatting sqref="E112:F112 N112:S112">
    <cfRule type="expression" priority="2047" dxfId="60">
      <formula>SEARCH("IN CORSO",$M112)&gt;0</formula>
    </cfRule>
    <cfRule type="expression" priority="2048" dxfId="59">
      <formula>SEARCH("CHIUSO",$M112)&gt;0</formula>
    </cfRule>
    <cfRule type="expression" priority="2049" dxfId="58">
      <formula>SEARCH("EMESSO",$M112)&gt;0</formula>
    </cfRule>
    <cfRule type="expression" priority="2050" dxfId="57">
      <formula>SEARCH("RICHIESTO",$M112)&gt;0</formula>
    </cfRule>
    <cfRule type="expression" priority="2051" dxfId="56">
      <formula>SEARCH("DA CHIUDERE",$M112)&gt;0</formula>
    </cfRule>
    <cfRule type="expression" priority="2052" dxfId="55">
      <formula>SEARCH("INTERROTTO",$M112)&gt;0</formula>
    </cfRule>
  </conditionalFormatting>
  <conditionalFormatting sqref="M394">
    <cfRule type="expression" priority="2053" dxfId="60">
      <formula>SEARCH("IN CORSO",$M394)&gt;0</formula>
    </cfRule>
    <cfRule type="expression" priority="2054" dxfId="59">
      <formula>SEARCH("CHIUSO",$M394)&gt;0</formula>
    </cfRule>
    <cfRule type="expression" priority="2055" dxfId="58">
      <formula>SEARCH("EMESSO",$M394)&gt;0</formula>
    </cfRule>
    <cfRule type="expression" priority="2056" dxfId="57">
      <formula>SEARCH("RICHIESTO",$M394)&gt;0</formula>
    </cfRule>
    <cfRule type="expression" priority="2057" dxfId="56">
      <formula>SEARCH("DA CHIUDERE",$M394)&gt;0</formula>
    </cfRule>
    <cfRule type="expression" priority="2058" dxfId="55">
      <formula>SEARCH("INTERROTTO",$M394)&gt;0</formula>
    </cfRule>
  </conditionalFormatting>
  <conditionalFormatting sqref="G112">
    <cfRule type="expression" priority="2041" dxfId="60">
      <formula>SEARCH("IN CORSO",$M112)&gt;0</formula>
    </cfRule>
    <cfRule type="expression" priority="2042" dxfId="59">
      <formula>SEARCH("CHIUSO",$M112)&gt;0</formula>
    </cfRule>
    <cfRule type="expression" priority="2043" dxfId="58">
      <formula>SEARCH("EMESSO",$M112)&gt;0</formula>
    </cfRule>
    <cfRule type="expression" priority="2044" dxfId="57">
      <formula>SEARCH("RICHIESTO",$M112)&gt;0</formula>
    </cfRule>
    <cfRule type="expression" priority="2045" dxfId="56">
      <formula>SEARCH("DA CHIUDERE",$M112)&gt;0</formula>
    </cfRule>
    <cfRule type="expression" priority="2046" dxfId="55">
      <formula>SEARCH("INTERROTTO",$M112)&gt;0</formula>
    </cfRule>
  </conditionalFormatting>
  <conditionalFormatting sqref="G111">
    <cfRule type="expression" priority="2023" dxfId="60">
      <formula>SEARCH("IN CORSO",$M111)&gt;0</formula>
    </cfRule>
    <cfRule type="expression" priority="2024" dxfId="59">
      <formula>SEARCH("CHIUSO",$M111)&gt;0</formula>
    </cfRule>
    <cfRule type="expression" priority="2025" dxfId="58">
      <formula>SEARCH("EMESSO",$M111)&gt;0</formula>
    </cfRule>
    <cfRule type="expression" priority="2026" dxfId="57">
      <formula>SEARCH("RICHIESTO",$M111)&gt;0</formula>
    </cfRule>
    <cfRule type="expression" priority="2027" dxfId="56">
      <formula>SEARCH("DA CHIUDERE",$M111)&gt;0</formula>
    </cfRule>
    <cfRule type="expression" priority="2028" dxfId="55">
      <formula>SEARCH("INTERROTTO",$M111)&gt;0</formula>
    </cfRule>
  </conditionalFormatting>
  <conditionalFormatting sqref="E111:F111 N111:S111">
    <cfRule type="expression" priority="2029" dxfId="60">
      <formula>SEARCH("IN CORSO",$M111)&gt;0</formula>
    </cfRule>
    <cfRule type="expression" priority="2030" dxfId="59">
      <formula>SEARCH("CHIUSO",$M111)&gt;0</formula>
    </cfRule>
    <cfRule type="expression" priority="2031" dxfId="58">
      <formula>SEARCH("EMESSO",$M111)&gt;0</formula>
    </cfRule>
    <cfRule type="expression" priority="2032" dxfId="57">
      <formula>SEARCH("RICHIESTO",$M111)&gt;0</formula>
    </cfRule>
    <cfRule type="expression" priority="2033" dxfId="56">
      <formula>SEARCH("DA CHIUDERE",$M111)&gt;0</formula>
    </cfRule>
    <cfRule type="expression" priority="2034" dxfId="55">
      <formula>SEARCH("INTERROTTO",$M111)&gt;0</formula>
    </cfRule>
  </conditionalFormatting>
  <conditionalFormatting sqref="G110">
    <cfRule type="expression" priority="2005" dxfId="60">
      <formula>SEARCH("IN CORSO",$M110)&gt;0</formula>
    </cfRule>
    <cfRule type="expression" priority="2006" dxfId="59">
      <formula>SEARCH("CHIUSO",$M110)&gt;0</formula>
    </cfRule>
    <cfRule type="expression" priority="2007" dxfId="58">
      <formula>SEARCH("EMESSO",$M110)&gt;0</formula>
    </cfRule>
    <cfRule type="expression" priority="2008" dxfId="57">
      <formula>SEARCH("RICHIESTO",$M110)&gt;0</formula>
    </cfRule>
    <cfRule type="expression" priority="2009" dxfId="56">
      <formula>SEARCH("DA CHIUDERE",$M110)&gt;0</formula>
    </cfRule>
    <cfRule type="expression" priority="2010" dxfId="55">
      <formula>SEARCH("INTERROTTO",$M110)&gt;0</formula>
    </cfRule>
  </conditionalFormatting>
  <conditionalFormatting sqref="E110:F110 N110:S110">
    <cfRule type="expression" priority="2011" dxfId="60">
      <formula>SEARCH("IN CORSO",$M110)&gt;0</formula>
    </cfRule>
    <cfRule type="expression" priority="2012" dxfId="59">
      <formula>SEARCH("CHIUSO",$M110)&gt;0</formula>
    </cfRule>
    <cfRule type="expression" priority="2013" dxfId="58">
      <formula>SEARCH("EMESSO",$M110)&gt;0</formula>
    </cfRule>
    <cfRule type="expression" priority="2014" dxfId="57">
      <formula>SEARCH("RICHIESTO",$M110)&gt;0</formula>
    </cfRule>
    <cfRule type="expression" priority="2015" dxfId="56">
      <formula>SEARCH("DA CHIUDERE",$M110)&gt;0</formula>
    </cfRule>
    <cfRule type="expression" priority="2016" dxfId="55">
      <formula>SEARCH("INTERROTTO",$M110)&gt;0</formula>
    </cfRule>
  </conditionalFormatting>
  <conditionalFormatting sqref="G109">
    <cfRule type="expression" priority="1987" dxfId="60">
      <formula>SEARCH("IN CORSO",$M109)&gt;0</formula>
    </cfRule>
    <cfRule type="expression" priority="1988" dxfId="59">
      <formula>SEARCH("CHIUSO",$M109)&gt;0</formula>
    </cfRule>
    <cfRule type="expression" priority="1989" dxfId="58">
      <formula>SEARCH("EMESSO",$M109)&gt;0</formula>
    </cfRule>
    <cfRule type="expression" priority="1990" dxfId="57">
      <formula>SEARCH("RICHIESTO",$M109)&gt;0</formula>
    </cfRule>
    <cfRule type="expression" priority="1991" dxfId="56">
      <formula>SEARCH("DA CHIUDERE",$M109)&gt;0</formula>
    </cfRule>
    <cfRule type="expression" priority="1992" dxfId="55">
      <formula>SEARCH("INTERROTTO",$M109)&gt;0</formula>
    </cfRule>
  </conditionalFormatting>
  <conditionalFormatting sqref="E109:F109 N109:S109">
    <cfRule type="expression" priority="1993" dxfId="60">
      <formula>SEARCH("IN CORSO",$M109)&gt;0</formula>
    </cfRule>
    <cfRule type="expression" priority="1994" dxfId="59">
      <formula>SEARCH("CHIUSO",$M109)&gt;0</formula>
    </cfRule>
    <cfRule type="expression" priority="1995" dxfId="58">
      <formula>SEARCH("EMESSO",$M109)&gt;0</formula>
    </cfRule>
    <cfRule type="expression" priority="1996" dxfId="57">
      <formula>SEARCH("RICHIESTO",$M109)&gt;0</formula>
    </cfRule>
    <cfRule type="expression" priority="1997" dxfId="56">
      <formula>SEARCH("DA CHIUDERE",$M109)&gt;0</formula>
    </cfRule>
    <cfRule type="expression" priority="1998" dxfId="55">
      <formula>SEARCH("INTERROTTO",$M109)&gt;0</formula>
    </cfRule>
  </conditionalFormatting>
  <conditionalFormatting sqref="G108">
    <cfRule type="expression" priority="1969" dxfId="60">
      <formula>SEARCH("IN CORSO",$M108)&gt;0</formula>
    </cfRule>
    <cfRule type="expression" priority="1970" dxfId="59">
      <formula>SEARCH("CHIUSO",$M108)&gt;0</formula>
    </cfRule>
    <cfRule type="expression" priority="1971" dxfId="58">
      <formula>SEARCH("EMESSO",$M108)&gt;0</formula>
    </cfRule>
    <cfRule type="expression" priority="1972" dxfId="57">
      <formula>SEARCH("RICHIESTO",$M108)&gt;0</formula>
    </cfRule>
    <cfRule type="expression" priority="1973" dxfId="56">
      <formula>SEARCH("DA CHIUDERE",$M108)&gt;0</formula>
    </cfRule>
    <cfRule type="expression" priority="1974" dxfId="55">
      <formula>SEARCH("INTERROTTO",$M108)&gt;0</formula>
    </cfRule>
  </conditionalFormatting>
  <conditionalFormatting sqref="E108:F108 N108:S108">
    <cfRule type="expression" priority="1975" dxfId="60">
      <formula>SEARCH("IN CORSO",$M108)&gt;0</formula>
    </cfRule>
    <cfRule type="expression" priority="1976" dxfId="59">
      <formula>SEARCH("CHIUSO",$M108)&gt;0</formula>
    </cfRule>
    <cfRule type="expression" priority="1977" dxfId="58">
      <formula>SEARCH("EMESSO",$M108)&gt;0</formula>
    </cfRule>
    <cfRule type="expression" priority="1978" dxfId="57">
      <formula>SEARCH("RICHIESTO",$M108)&gt;0</formula>
    </cfRule>
    <cfRule type="expression" priority="1979" dxfId="56">
      <formula>SEARCH("DA CHIUDERE",$M108)&gt;0</formula>
    </cfRule>
    <cfRule type="expression" priority="1980" dxfId="55">
      <formula>SEARCH("INTERROTTO",$M108)&gt;0</formula>
    </cfRule>
  </conditionalFormatting>
  <conditionalFormatting sqref="G107">
    <cfRule type="expression" priority="1951" dxfId="60">
      <formula>SEARCH("IN CORSO",$M107)&gt;0</formula>
    </cfRule>
    <cfRule type="expression" priority="1952" dxfId="59">
      <formula>SEARCH("CHIUSO",$M107)&gt;0</formula>
    </cfRule>
    <cfRule type="expression" priority="1953" dxfId="58">
      <formula>SEARCH("EMESSO",$M107)&gt;0</formula>
    </cfRule>
    <cfRule type="expression" priority="1954" dxfId="57">
      <formula>SEARCH("RICHIESTO",$M107)&gt;0</formula>
    </cfRule>
    <cfRule type="expression" priority="1955" dxfId="56">
      <formula>SEARCH("DA CHIUDERE",$M107)&gt;0</formula>
    </cfRule>
    <cfRule type="expression" priority="1956" dxfId="55">
      <formula>SEARCH("INTERROTTO",$M107)&gt;0</formula>
    </cfRule>
  </conditionalFormatting>
  <conditionalFormatting sqref="E107:F107 N107:S107">
    <cfRule type="expression" priority="1957" dxfId="60">
      <formula>SEARCH("IN CORSO",$M107)&gt;0</formula>
    </cfRule>
    <cfRule type="expression" priority="1958" dxfId="59">
      <formula>SEARCH("CHIUSO",$M107)&gt;0</formula>
    </cfRule>
    <cfRule type="expression" priority="1959" dxfId="58">
      <formula>SEARCH("EMESSO",$M107)&gt;0</formula>
    </cfRule>
    <cfRule type="expression" priority="1960" dxfId="57">
      <formula>SEARCH("RICHIESTO",$M107)&gt;0</formula>
    </cfRule>
    <cfRule type="expression" priority="1961" dxfId="56">
      <formula>SEARCH("DA CHIUDERE",$M107)&gt;0</formula>
    </cfRule>
    <cfRule type="expression" priority="1962" dxfId="55">
      <formula>SEARCH("INTERROTTO",$M107)&gt;0</formula>
    </cfRule>
  </conditionalFormatting>
  <conditionalFormatting sqref="G106">
    <cfRule type="expression" priority="1933" dxfId="60">
      <formula>SEARCH("IN CORSO",$M106)&gt;0</formula>
    </cfRule>
    <cfRule type="expression" priority="1934" dxfId="59">
      <formula>SEARCH("CHIUSO",$M106)&gt;0</formula>
    </cfRule>
    <cfRule type="expression" priority="1935" dxfId="58">
      <formula>SEARCH("EMESSO",$M106)&gt;0</formula>
    </cfRule>
    <cfRule type="expression" priority="1936" dxfId="57">
      <formula>SEARCH("RICHIESTO",$M106)&gt;0</formula>
    </cfRule>
    <cfRule type="expression" priority="1937" dxfId="56">
      <formula>SEARCH("DA CHIUDERE",$M106)&gt;0</formula>
    </cfRule>
    <cfRule type="expression" priority="1938" dxfId="55">
      <formula>SEARCH("INTERROTTO",$M106)&gt;0</formula>
    </cfRule>
  </conditionalFormatting>
  <conditionalFormatting sqref="E106:F106 N106:S106">
    <cfRule type="expression" priority="1939" dxfId="60">
      <formula>SEARCH("IN CORSO",$M106)&gt;0</formula>
    </cfRule>
    <cfRule type="expression" priority="1940" dxfId="59">
      <formula>SEARCH("CHIUSO",$M106)&gt;0</formula>
    </cfRule>
    <cfRule type="expression" priority="1941" dxfId="58">
      <formula>SEARCH("EMESSO",$M106)&gt;0</formula>
    </cfRule>
    <cfRule type="expression" priority="1942" dxfId="57">
      <formula>SEARCH("RICHIESTO",$M106)&gt;0</formula>
    </cfRule>
    <cfRule type="expression" priority="1943" dxfId="56">
      <formula>SEARCH("DA CHIUDERE",$M106)&gt;0</formula>
    </cfRule>
    <cfRule type="expression" priority="1944" dxfId="55">
      <formula>SEARCH("INTERROTTO",$M106)&gt;0</formula>
    </cfRule>
  </conditionalFormatting>
  <conditionalFormatting sqref="G105">
    <cfRule type="expression" priority="1915" dxfId="60">
      <formula>SEARCH("IN CORSO",$M105)&gt;0</formula>
    </cfRule>
    <cfRule type="expression" priority="1916" dxfId="59">
      <formula>SEARCH("CHIUSO",$M105)&gt;0</formula>
    </cfRule>
    <cfRule type="expression" priority="1917" dxfId="58">
      <formula>SEARCH("EMESSO",$M105)&gt;0</formula>
    </cfRule>
    <cfRule type="expression" priority="1918" dxfId="57">
      <formula>SEARCH("RICHIESTO",$M105)&gt;0</formula>
    </cfRule>
    <cfRule type="expression" priority="1919" dxfId="56">
      <formula>SEARCH("DA CHIUDERE",$M105)&gt;0</formula>
    </cfRule>
    <cfRule type="expression" priority="1920" dxfId="55">
      <formula>SEARCH("INTERROTTO",$M105)&gt;0</formula>
    </cfRule>
  </conditionalFormatting>
  <conditionalFormatting sqref="E105:F105 N105:S105">
    <cfRule type="expression" priority="1921" dxfId="60">
      <formula>SEARCH("IN CORSO",$M105)&gt;0</formula>
    </cfRule>
    <cfRule type="expression" priority="1922" dxfId="59">
      <formula>SEARCH("CHIUSO",$M105)&gt;0</formula>
    </cfRule>
    <cfRule type="expression" priority="1923" dxfId="58">
      <formula>SEARCH("EMESSO",$M105)&gt;0</formula>
    </cfRule>
    <cfRule type="expression" priority="1924" dxfId="57">
      <formula>SEARCH("RICHIESTO",$M105)&gt;0</formula>
    </cfRule>
    <cfRule type="expression" priority="1925" dxfId="56">
      <formula>SEARCH("DA CHIUDERE",$M105)&gt;0</formula>
    </cfRule>
    <cfRule type="expression" priority="1926" dxfId="55">
      <formula>SEARCH("INTERROTTO",$M105)&gt;0</formula>
    </cfRule>
  </conditionalFormatting>
  <conditionalFormatting sqref="G104">
    <cfRule type="expression" priority="1897" dxfId="60">
      <formula>SEARCH("IN CORSO",$M104)&gt;0</formula>
    </cfRule>
    <cfRule type="expression" priority="1898" dxfId="59">
      <formula>SEARCH("CHIUSO",$M104)&gt;0</formula>
    </cfRule>
    <cfRule type="expression" priority="1899" dxfId="58">
      <formula>SEARCH("EMESSO",$M104)&gt;0</formula>
    </cfRule>
    <cfRule type="expression" priority="1900" dxfId="57">
      <formula>SEARCH("RICHIESTO",$M104)&gt;0</formula>
    </cfRule>
    <cfRule type="expression" priority="1901" dxfId="56">
      <formula>SEARCH("DA CHIUDERE",$M104)&gt;0</formula>
    </cfRule>
    <cfRule type="expression" priority="1902" dxfId="55">
      <formula>SEARCH("INTERROTTO",$M104)&gt;0</formula>
    </cfRule>
  </conditionalFormatting>
  <conditionalFormatting sqref="E104:F104 N104:S104">
    <cfRule type="expression" priority="1903" dxfId="60">
      <formula>SEARCH("IN CORSO",$M104)&gt;0</formula>
    </cfRule>
    <cfRule type="expression" priority="1904" dxfId="59">
      <formula>SEARCH("CHIUSO",$M104)&gt;0</formula>
    </cfRule>
    <cfRule type="expression" priority="1905" dxfId="58">
      <formula>SEARCH("EMESSO",$M104)&gt;0</formula>
    </cfRule>
    <cfRule type="expression" priority="1906" dxfId="57">
      <formula>SEARCH("RICHIESTO",$M104)&gt;0</formula>
    </cfRule>
    <cfRule type="expression" priority="1907" dxfId="56">
      <formula>SEARCH("DA CHIUDERE",$M104)&gt;0</formula>
    </cfRule>
    <cfRule type="expression" priority="1908" dxfId="55">
      <formula>SEARCH("INTERROTTO",$M104)&gt;0</formula>
    </cfRule>
  </conditionalFormatting>
  <conditionalFormatting sqref="G103">
    <cfRule type="expression" priority="1879" dxfId="60">
      <formula>SEARCH("IN CORSO",$M103)&gt;0</formula>
    </cfRule>
    <cfRule type="expression" priority="1880" dxfId="59">
      <formula>SEARCH("CHIUSO",$M103)&gt;0</formula>
    </cfRule>
    <cfRule type="expression" priority="1881" dxfId="58">
      <formula>SEARCH("EMESSO",$M103)&gt;0</formula>
    </cfRule>
    <cfRule type="expression" priority="1882" dxfId="57">
      <formula>SEARCH("RICHIESTO",$M103)&gt;0</formula>
    </cfRule>
    <cfRule type="expression" priority="1883" dxfId="56">
      <formula>SEARCH("DA CHIUDERE",$M103)&gt;0</formula>
    </cfRule>
    <cfRule type="expression" priority="1884" dxfId="55">
      <formula>SEARCH("INTERROTTO",$M103)&gt;0</formula>
    </cfRule>
  </conditionalFormatting>
  <conditionalFormatting sqref="E103:F103 N103:S103">
    <cfRule type="expression" priority="1885" dxfId="60">
      <formula>SEARCH("IN CORSO",$M103)&gt;0</formula>
    </cfRule>
    <cfRule type="expression" priority="1886" dxfId="59">
      <formula>SEARCH("CHIUSO",$M103)&gt;0</formula>
    </cfRule>
    <cfRule type="expression" priority="1887" dxfId="58">
      <formula>SEARCH("EMESSO",$M103)&gt;0</formula>
    </cfRule>
    <cfRule type="expression" priority="1888" dxfId="57">
      <formula>SEARCH("RICHIESTO",$M103)&gt;0</formula>
    </cfRule>
    <cfRule type="expression" priority="1889" dxfId="56">
      <formula>SEARCH("DA CHIUDERE",$M103)&gt;0</formula>
    </cfRule>
    <cfRule type="expression" priority="1890" dxfId="55">
      <formula>SEARCH("INTERROTTO",$M103)&gt;0</formula>
    </cfRule>
  </conditionalFormatting>
  <conditionalFormatting sqref="G102">
    <cfRule type="expression" priority="1861" dxfId="60">
      <formula>SEARCH("IN CORSO",$M102)&gt;0</formula>
    </cfRule>
    <cfRule type="expression" priority="1862" dxfId="59">
      <formula>SEARCH("CHIUSO",$M102)&gt;0</formula>
    </cfRule>
    <cfRule type="expression" priority="1863" dxfId="58">
      <formula>SEARCH("EMESSO",$M102)&gt;0</formula>
    </cfRule>
    <cfRule type="expression" priority="1864" dxfId="57">
      <formula>SEARCH("RICHIESTO",$M102)&gt;0</formula>
    </cfRule>
    <cfRule type="expression" priority="1865" dxfId="56">
      <formula>SEARCH("DA CHIUDERE",$M102)&gt;0</formula>
    </cfRule>
    <cfRule type="expression" priority="1866" dxfId="55">
      <formula>SEARCH("INTERROTTO",$M102)&gt;0</formula>
    </cfRule>
  </conditionalFormatting>
  <conditionalFormatting sqref="E102:F102 N102:S102">
    <cfRule type="expression" priority="1867" dxfId="60">
      <formula>SEARCH("IN CORSO",$M102)&gt;0</formula>
    </cfRule>
    <cfRule type="expression" priority="1868" dxfId="59">
      <formula>SEARCH("CHIUSO",$M102)&gt;0</formula>
    </cfRule>
    <cfRule type="expression" priority="1869" dxfId="58">
      <formula>SEARCH("EMESSO",$M102)&gt;0</formula>
    </cfRule>
    <cfRule type="expression" priority="1870" dxfId="57">
      <formula>SEARCH("RICHIESTO",$M102)&gt;0</formula>
    </cfRule>
    <cfRule type="expression" priority="1871" dxfId="56">
      <formula>SEARCH("DA CHIUDERE",$M102)&gt;0</formula>
    </cfRule>
    <cfRule type="expression" priority="1872" dxfId="55">
      <formula>SEARCH("INTERROTTO",$M102)&gt;0</formula>
    </cfRule>
  </conditionalFormatting>
  <conditionalFormatting sqref="E101:F101 N101:S101">
    <cfRule type="expression" priority="1849" dxfId="60">
      <formula>SEARCH("IN CORSO",$M101)&gt;0</formula>
    </cfRule>
    <cfRule type="expression" priority="1850" dxfId="59">
      <formula>SEARCH("CHIUSO",$M101)&gt;0</formula>
    </cfRule>
    <cfRule type="expression" priority="1851" dxfId="58">
      <formula>SEARCH("EMESSO",$M101)&gt;0</formula>
    </cfRule>
    <cfRule type="expression" priority="1852" dxfId="57">
      <formula>SEARCH("RICHIESTO",$M101)&gt;0</formula>
    </cfRule>
    <cfRule type="expression" priority="1853" dxfId="56">
      <formula>SEARCH("DA CHIUDERE",$M101)&gt;0</formula>
    </cfRule>
    <cfRule type="expression" priority="1854" dxfId="55">
      <formula>SEARCH("INTERROTTO",$M101)&gt;0</formula>
    </cfRule>
  </conditionalFormatting>
  <conditionalFormatting sqref="G101">
    <cfRule type="expression" priority="1843" dxfId="60">
      <formula>SEARCH("IN CORSO",$M101)&gt;0</formula>
    </cfRule>
    <cfRule type="expression" priority="1844" dxfId="59">
      <formula>SEARCH("CHIUSO",$M101)&gt;0</formula>
    </cfRule>
    <cfRule type="expression" priority="1845" dxfId="58">
      <formula>SEARCH("EMESSO",$M101)&gt;0</formula>
    </cfRule>
    <cfRule type="expression" priority="1846" dxfId="57">
      <formula>SEARCH("RICHIESTO",$M101)&gt;0</formula>
    </cfRule>
    <cfRule type="expression" priority="1847" dxfId="56">
      <formula>SEARCH("DA CHIUDERE",$M101)&gt;0</formula>
    </cfRule>
    <cfRule type="expression" priority="1848" dxfId="55">
      <formula>SEARCH("INTERROTTO",$M101)&gt;0</formula>
    </cfRule>
  </conditionalFormatting>
  <conditionalFormatting sqref="E100:F100 N100:S100">
    <cfRule type="expression" priority="1825" dxfId="60">
      <formula>SEARCH("IN CORSO",$M100)&gt;0</formula>
    </cfRule>
    <cfRule type="expression" priority="1826" dxfId="59">
      <formula>SEARCH("CHIUSO",$M100)&gt;0</formula>
    </cfRule>
    <cfRule type="expression" priority="1827" dxfId="58">
      <formula>SEARCH("EMESSO",$M100)&gt;0</formula>
    </cfRule>
    <cfRule type="expression" priority="1828" dxfId="57">
      <formula>SEARCH("RICHIESTO",$M100)&gt;0</formula>
    </cfRule>
    <cfRule type="expression" priority="1829" dxfId="56">
      <formula>SEARCH("DA CHIUDERE",$M100)&gt;0</formula>
    </cfRule>
    <cfRule type="expression" priority="1830" dxfId="55">
      <formula>SEARCH("INTERROTTO",$M100)&gt;0</formula>
    </cfRule>
  </conditionalFormatting>
  <conditionalFormatting sqref="G100">
    <cfRule type="expression" priority="1819" dxfId="60">
      <formula>SEARCH("IN CORSO",$M100)&gt;0</formula>
    </cfRule>
    <cfRule type="expression" priority="1820" dxfId="59">
      <formula>SEARCH("CHIUSO",$M100)&gt;0</formula>
    </cfRule>
    <cfRule type="expression" priority="1821" dxfId="58">
      <formula>SEARCH("EMESSO",$M100)&gt;0</formula>
    </cfRule>
    <cfRule type="expression" priority="1822" dxfId="57">
      <formula>SEARCH("RICHIESTO",$M100)&gt;0</formula>
    </cfRule>
    <cfRule type="expression" priority="1823" dxfId="56">
      <formula>SEARCH("DA CHIUDERE",$M100)&gt;0</formula>
    </cfRule>
    <cfRule type="expression" priority="1824" dxfId="55">
      <formula>SEARCH("INTERROTTO",$M100)&gt;0</formula>
    </cfRule>
  </conditionalFormatting>
  <conditionalFormatting sqref="E99:F99 N99:S99">
    <cfRule type="expression" priority="1801" dxfId="60">
      <formula>SEARCH("IN CORSO",$M99)&gt;0</formula>
    </cfRule>
    <cfRule type="expression" priority="1802" dxfId="59">
      <formula>SEARCH("CHIUSO",$M99)&gt;0</formula>
    </cfRule>
    <cfRule type="expression" priority="1803" dxfId="58">
      <formula>SEARCH("EMESSO",$M99)&gt;0</formula>
    </cfRule>
    <cfRule type="expression" priority="1804" dxfId="57">
      <formula>SEARCH("RICHIESTO",$M99)&gt;0</formula>
    </cfRule>
    <cfRule type="expression" priority="1805" dxfId="56">
      <formula>SEARCH("DA CHIUDERE",$M99)&gt;0</formula>
    </cfRule>
    <cfRule type="expression" priority="1806" dxfId="55">
      <formula>SEARCH("INTERROTTO",$M99)&gt;0</formula>
    </cfRule>
  </conditionalFormatting>
  <conditionalFormatting sqref="M381">
    <cfRule type="expression" priority="1807" dxfId="60">
      <formula>SEARCH("IN CORSO",$M381)&gt;0</formula>
    </cfRule>
    <cfRule type="expression" priority="1808" dxfId="59">
      <formula>SEARCH("CHIUSO",$M381)&gt;0</formula>
    </cfRule>
    <cfRule type="expression" priority="1809" dxfId="58">
      <formula>SEARCH("EMESSO",$M381)&gt;0</formula>
    </cfRule>
    <cfRule type="expression" priority="1810" dxfId="57">
      <formula>SEARCH("RICHIESTO",$M381)&gt;0</formula>
    </cfRule>
    <cfRule type="expression" priority="1811" dxfId="56">
      <formula>SEARCH("DA CHIUDERE",$M381)&gt;0</formula>
    </cfRule>
    <cfRule type="expression" priority="1812" dxfId="55">
      <formula>SEARCH("INTERROTTO",$M381)&gt;0</formula>
    </cfRule>
  </conditionalFormatting>
  <conditionalFormatting sqref="G99">
    <cfRule type="expression" priority="1795" dxfId="60">
      <formula>SEARCH("IN CORSO",$M99)&gt;0</formula>
    </cfRule>
    <cfRule type="expression" priority="1796" dxfId="59">
      <formula>SEARCH("CHIUSO",$M99)&gt;0</formula>
    </cfRule>
    <cfRule type="expression" priority="1797" dxfId="58">
      <formula>SEARCH("EMESSO",$M99)&gt;0</formula>
    </cfRule>
    <cfRule type="expression" priority="1798" dxfId="57">
      <formula>SEARCH("RICHIESTO",$M99)&gt;0</formula>
    </cfRule>
    <cfRule type="expression" priority="1799" dxfId="56">
      <formula>SEARCH("DA CHIUDERE",$M99)&gt;0</formula>
    </cfRule>
    <cfRule type="expression" priority="1800" dxfId="55">
      <formula>SEARCH("INTERROTTO",$M99)&gt;0</formula>
    </cfRule>
  </conditionalFormatting>
  <conditionalFormatting sqref="G98">
    <cfRule type="expression" priority="1771" dxfId="60">
      <formula>SEARCH("IN CORSO",$M98)&gt;0</formula>
    </cfRule>
    <cfRule type="expression" priority="1772" dxfId="59">
      <formula>SEARCH("CHIUSO",$M98)&gt;0</formula>
    </cfRule>
    <cfRule type="expression" priority="1773" dxfId="58">
      <formula>SEARCH("EMESSO",$M98)&gt;0</formula>
    </cfRule>
    <cfRule type="expression" priority="1774" dxfId="57">
      <formula>SEARCH("RICHIESTO",$M98)&gt;0</formula>
    </cfRule>
    <cfRule type="expression" priority="1775" dxfId="56">
      <formula>SEARCH("DA CHIUDERE",$M98)&gt;0</formula>
    </cfRule>
    <cfRule type="expression" priority="1776" dxfId="55">
      <formula>SEARCH("INTERROTTO",$M98)&gt;0</formula>
    </cfRule>
  </conditionalFormatting>
  <conditionalFormatting sqref="E98:F98 N98:S98">
    <cfRule type="expression" priority="1777" dxfId="60">
      <formula>SEARCH("IN CORSO",$M98)&gt;0</formula>
    </cfRule>
    <cfRule type="expression" priority="1778" dxfId="59">
      <formula>SEARCH("CHIUSO",$M98)&gt;0</formula>
    </cfRule>
    <cfRule type="expression" priority="1779" dxfId="58">
      <formula>SEARCH("EMESSO",$M98)&gt;0</formula>
    </cfRule>
    <cfRule type="expression" priority="1780" dxfId="57">
      <formula>SEARCH("RICHIESTO",$M98)&gt;0</formula>
    </cfRule>
    <cfRule type="expression" priority="1781" dxfId="56">
      <formula>SEARCH("DA CHIUDERE",$M98)&gt;0</formula>
    </cfRule>
    <cfRule type="expression" priority="1782" dxfId="55">
      <formula>SEARCH("INTERROTTO",$M98)&gt;0</formula>
    </cfRule>
  </conditionalFormatting>
  <conditionalFormatting sqref="G97">
    <cfRule type="expression" priority="1753" dxfId="60">
      <formula>SEARCH("IN CORSO",$M97)&gt;0</formula>
    </cfRule>
    <cfRule type="expression" priority="1754" dxfId="59">
      <formula>SEARCH("CHIUSO",$M97)&gt;0</formula>
    </cfRule>
    <cfRule type="expression" priority="1755" dxfId="58">
      <formula>SEARCH("EMESSO",$M97)&gt;0</formula>
    </cfRule>
    <cfRule type="expression" priority="1756" dxfId="57">
      <formula>SEARCH("RICHIESTO",$M97)&gt;0</formula>
    </cfRule>
    <cfRule type="expression" priority="1757" dxfId="56">
      <formula>SEARCH("DA CHIUDERE",$M97)&gt;0</formula>
    </cfRule>
    <cfRule type="expression" priority="1758" dxfId="55">
      <formula>SEARCH("INTERROTTO",$M97)&gt;0</formula>
    </cfRule>
  </conditionalFormatting>
  <conditionalFormatting sqref="E97:F97 N97:S97">
    <cfRule type="expression" priority="1759" dxfId="60">
      <formula>SEARCH("IN CORSO",$M97)&gt;0</formula>
    </cfRule>
    <cfRule type="expression" priority="1760" dxfId="59">
      <formula>SEARCH("CHIUSO",$M97)&gt;0</formula>
    </cfRule>
    <cfRule type="expression" priority="1761" dxfId="58">
      <formula>SEARCH("EMESSO",$M97)&gt;0</formula>
    </cfRule>
    <cfRule type="expression" priority="1762" dxfId="57">
      <formula>SEARCH("RICHIESTO",$M97)&gt;0</formula>
    </cfRule>
    <cfRule type="expression" priority="1763" dxfId="56">
      <formula>SEARCH("DA CHIUDERE",$M97)&gt;0</formula>
    </cfRule>
    <cfRule type="expression" priority="1764" dxfId="55">
      <formula>SEARCH("INTERROTTO",$M97)&gt;0</formula>
    </cfRule>
  </conditionalFormatting>
  <conditionalFormatting sqref="G96">
    <cfRule type="expression" priority="1735" dxfId="60">
      <formula>SEARCH("IN CORSO",$M96)&gt;0</formula>
    </cfRule>
    <cfRule type="expression" priority="1736" dxfId="59">
      <formula>SEARCH("CHIUSO",$M96)&gt;0</formula>
    </cfRule>
    <cfRule type="expression" priority="1737" dxfId="58">
      <formula>SEARCH("EMESSO",$M96)&gt;0</formula>
    </cfRule>
    <cfRule type="expression" priority="1738" dxfId="57">
      <formula>SEARCH("RICHIESTO",$M96)&gt;0</formula>
    </cfRule>
    <cfRule type="expression" priority="1739" dxfId="56">
      <formula>SEARCH("DA CHIUDERE",$M96)&gt;0</formula>
    </cfRule>
    <cfRule type="expression" priority="1740" dxfId="55">
      <formula>SEARCH("INTERROTTO",$M96)&gt;0</formula>
    </cfRule>
  </conditionalFormatting>
  <conditionalFormatting sqref="E96:F96 N96:S96">
    <cfRule type="expression" priority="1741" dxfId="60">
      <formula>SEARCH("IN CORSO",$M96)&gt;0</formula>
    </cfRule>
    <cfRule type="expression" priority="1742" dxfId="59">
      <formula>SEARCH("CHIUSO",$M96)&gt;0</formula>
    </cfRule>
    <cfRule type="expression" priority="1743" dxfId="58">
      <formula>SEARCH("EMESSO",$M96)&gt;0</formula>
    </cfRule>
    <cfRule type="expression" priority="1744" dxfId="57">
      <formula>SEARCH("RICHIESTO",$M96)&gt;0</formula>
    </cfRule>
    <cfRule type="expression" priority="1745" dxfId="56">
      <formula>SEARCH("DA CHIUDERE",$M96)&gt;0</formula>
    </cfRule>
    <cfRule type="expression" priority="1746" dxfId="55">
      <formula>SEARCH("INTERROTTO",$M96)&gt;0</formula>
    </cfRule>
  </conditionalFormatting>
  <conditionalFormatting sqref="G95">
    <cfRule type="expression" priority="1717" dxfId="60">
      <formula>SEARCH("IN CORSO",$M95)&gt;0</formula>
    </cfRule>
    <cfRule type="expression" priority="1718" dxfId="59">
      <formula>SEARCH("CHIUSO",$M95)&gt;0</formula>
    </cfRule>
    <cfRule type="expression" priority="1719" dxfId="58">
      <formula>SEARCH("EMESSO",$M95)&gt;0</formula>
    </cfRule>
    <cfRule type="expression" priority="1720" dxfId="57">
      <formula>SEARCH("RICHIESTO",$M95)&gt;0</formula>
    </cfRule>
    <cfRule type="expression" priority="1721" dxfId="56">
      <formula>SEARCH("DA CHIUDERE",$M95)&gt;0</formula>
    </cfRule>
    <cfRule type="expression" priority="1722" dxfId="55">
      <formula>SEARCH("INTERROTTO",$M95)&gt;0</formula>
    </cfRule>
  </conditionalFormatting>
  <conditionalFormatting sqref="E95:F95 N95:S95">
    <cfRule type="expression" priority="1723" dxfId="60">
      <formula>SEARCH("IN CORSO",$M95)&gt;0</formula>
    </cfRule>
    <cfRule type="expression" priority="1724" dxfId="59">
      <formula>SEARCH("CHIUSO",$M95)&gt;0</formula>
    </cfRule>
    <cfRule type="expression" priority="1725" dxfId="58">
      <formula>SEARCH("EMESSO",$M95)&gt;0</formula>
    </cfRule>
    <cfRule type="expression" priority="1726" dxfId="57">
      <formula>SEARCH("RICHIESTO",$M95)&gt;0</formula>
    </cfRule>
    <cfRule type="expression" priority="1727" dxfId="56">
      <formula>SEARCH("DA CHIUDERE",$M95)&gt;0</formula>
    </cfRule>
    <cfRule type="expression" priority="1728" dxfId="55">
      <formula>SEARCH("INTERROTTO",$M95)&gt;0</formula>
    </cfRule>
  </conditionalFormatting>
  <conditionalFormatting sqref="G94">
    <cfRule type="expression" priority="1699" dxfId="60">
      <formula>SEARCH("IN CORSO",$M94)&gt;0</formula>
    </cfRule>
    <cfRule type="expression" priority="1700" dxfId="59">
      <formula>SEARCH("CHIUSO",$M94)&gt;0</formula>
    </cfRule>
    <cfRule type="expression" priority="1701" dxfId="58">
      <formula>SEARCH("EMESSO",$M94)&gt;0</formula>
    </cfRule>
    <cfRule type="expression" priority="1702" dxfId="57">
      <formula>SEARCH("RICHIESTO",$M94)&gt;0</formula>
    </cfRule>
    <cfRule type="expression" priority="1703" dxfId="56">
      <formula>SEARCH("DA CHIUDERE",$M94)&gt;0</formula>
    </cfRule>
    <cfRule type="expression" priority="1704" dxfId="55">
      <formula>SEARCH("INTERROTTO",$M94)&gt;0</formula>
    </cfRule>
  </conditionalFormatting>
  <conditionalFormatting sqref="E94:F94 N94:S94">
    <cfRule type="expression" priority="1705" dxfId="60">
      <formula>SEARCH("IN CORSO",$M94)&gt;0</formula>
    </cfRule>
    <cfRule type="expression" priority="1706" dxfId="59">
      <formula>SEARCH("CHIUSO",$M94)&gt;0</formula>
    </cfRule>
    <cfRule type="expression" priority="1707" dxfId="58">
      <formula>SEARCH("EMESSO",$M94)&gt;0</formula>
    </cfRule>
    <cfRule type="expression" priority="1708" dxfId="57">
      <formula>SEARCH("RICHIESTO",$M94)&gt;0</formula>
    </cfRule>
    <cfRule type="expression" priority="1709" dxfId="56">
      <formula>SEARCH("DA CHIUDERE",$M94)&gt;0</formula>
    </cfRule>
    <cfRule type="expression" priority="1710" dxfId="55">
      <formula>SEARCH("INTERROTTO",$M94)&gt;0</formula>
    </cfRule>
  </conditionalFormatting>
  <conditionalFormatting sqref="E93:F93 N93:S93">
    <cfRule type="expression" priority="1669" dxfId="60">
      <formula>SEARCH("IN CORSO",$M93)&gt;0</formula>
    </cfRule>
    <cfRule type="expression" priority="1670" dxfId="59">
      <formula>SEARCH("CHIUSO",$M93)&gt;0</formula>
    </cfRule>
    <cfRule type="expression" priority="1671" dxfId="58">
      <formula>SEARCH("EMESSO",$M93)&gt;0</formula>
    </cfRule>
    <cfRule type="expression" priority="1672" dxfId="57">
      <formula>SEARCH("RICHIESTO",$M93)&gt;0</formula>
    </cfRule>
    <cfRule type="expression" priority="1673" dxfId="56">
      <formula>SEARCH("DA CHIUDERE",$M93)&gt;0</formula>
    </cfRule>
    <cfRule type="expression" priority="1674" dxfId="55">
      <formula>SEARCH("INTERROTTO",$M93)&gt;0</formula>
    </cfRule>
  </conditionalFormatting>
  <conditionalFormatting sqref="G93">
    <cfRule type="expression" priority="1663" dxfId="60">
      <formula>SEARCH("IN CORSO",$M93)&gt;0</formula>
    </cfRule>
    <cfRule type="expression" priority="1664" dxfId="59">
      <formula>SEARCH("CHIUSO",$M93)&gt;0</formula>
    </cfRule>
    <cfRule type="expression" priority="1665" dxfId="58">
      <formula>SEARCH("EMESSO",$M93)&gt;0</formula>
    </cfRule>
    <cfRule type="expression" priority="1666" dxfId="57">
      <formula>SEARCH("RICHIESTO",$M93)&gt;0</formula>
    </cfRule>
    <cfRule type="expression" priority="1667" dxfId="56">
      <formula>SEARCH("DA CHIUDERE",$M93)&gt;0</formula>
    </cfRule>
    <cfRule type="expression" priority="1668" dxfId="55">
      <formula>SEARCH("INTERROTTO",$M93)&gt;0</formula>
    </cfRule>
  </conditionalFormatting>
  <conditionalFormatting sqref="G92">
    <cfRule type="expression" priority="1645" dxfId="60">
      <formula>SEARCH("IN CORSO",$M92)&gt;0</formula>
    </cfRule>
    <cfRule type="expression" priority="1646" dxfId="59">
      <formula>SEARCH("CHIUSO",$M92)&gt;0</formula>
    </cfRule>
    <cfRule type="expression" priority="1647" dxfId="58">
      <formula>SEARCH("EMESSO",$M92)&gt;0</formula>
    </cfRule>
    <cfRule type="expression" priority="1648" dxfId="57">
      <formula>SEARCH("RICHIESTO",$M92)&gt;0</formula>
    </cfRule>
    <cfRule type="expression" priority="1649" dxfId="56">
      <formula>SEARCH("DA CHIUDERE",$M92)&gt;0</formula>
    </cfRule>
    <cfRule type="expression" priority="1650" dxfId="55">
      <formula>SEARCH("INTERROTTO",$M92)&gt;0</formula>
    </cfRule>
  </conditionalFormatting>
  <conditionalFormatting sqref="E92:F92 N92:S92">
    <cfRule type="expression" priority="1651" dxfId="60">
      <formula>SEARCH("IN CORSO",$M92)&gt;0</formula>
    </cfRule>
    <cfRule type="expression" priority="1652" dxfId="59">
      <formula>SEARCH("CHIUSO",$M92)&gt;0</formula>
    </cfRule>
    <cfRule type="expression" priority="1653" dxfId="58">
      <formula>SEARCH("EMESSO",$M92)&gt;0</formula>
    </cfRule>
    <cfRule type="expression" priority="1654" dxfId="57">
      <formula>SEARCH("RICHIESTO",$M92)&gt;0</formula>
    </cfRule>
    <cfRule type="expression" priority="1655" dxfId="56">
      <formula>SEARCH("DA CHIUDERE",$M92)&gt;0</formula>
    </cfRule>
    <cfRule type="expression" priority="1656" dxfId="55">
      <formula>SEARCH("INTERROTTO",$M92)&gt;0</formula>
    </cfRule>
  </conditionalFormatting>
  <conditionalFormatting sqref="G91">
    <cfRule type="expression" priority="1627" dxfId="60">
      <formula>SEARCH("IN CORSO",$M91)&gt;0</formula>
    </cfRule>
    <cfRule type="expression" priority="1628" dxfId="59">
      <formula>SEARCH("CHIUSO",$M91)&gt;0</formula>
    </cfRule>
    <cfRule type="expression" priority="1629" dxfId="58">
      <formula>SEARCH("EMESSO",$M91)&gt;0</formula>
    </cfRule>
    <cfRule type="expression" priority="1630" dxfId="57">
      <formula>SEARCH("RICHIESTO",$M91)&gt;0</formula>
    </cfRule>
    <cfRule type="expression" priority="1631" dxfId="56">
      <formula>SEARCH("DA CHIUDERE",$M91)&gt;0</formula>
    </cfRule>
    <cfRule type="expression" priority="1632" dxfId="55">
      <formula>SEARCH("INTERROTTO",$M91)&gt;0</formula>
    </cfRule>
  </conditionalFormatting>
  <conditionalFormatting sqref="E91:F91 N91:S91">
    <cfRule type="expression" priority="1633" dxfId="60">
      <formula>SEARCH("IN CORSO",$M91)&gt;0</formula>
    </cfRule>
    <cfRule type="expression" priority="1634" dxfId="59">
      <formula>SEARCH("CHIUSO",$M91)&gt;0</formula>
    </cfRule>
    <cfRule type="expression" priority="1635" dxfId="58">
      <formula>SEARCH("EMESSO",$M91)&gt;0</formula>
    </cfRule>
    <cfRule type="expression" priority="1636" dxfId="57">
      <formula>SEARCH("RICHIESTO",$M91)&gt;0</formula>
    </cfRule>
    <cfRule type="expression" priority="1637" dxfId="56">
      <formula>SEARCH("DA CHIUDERE",$M91)&gt;0</formula>
    </cfRule>
    <cfRule type="expression" priority="1638" dxfId="55">
      <formula>SEARCH("INTERROTTO",$M91)&gt;0</formula>
    </cfRule>
  </conditionalFormatting>
  <conditionalFormatting sqref="G90">
    <cfRule type="expression" priority="1609" dxfId="60">
      <formula>SEARCH("IN CORSO",$M90)&gt;0</formula>
    </cfRule>
    <cfRule type="expression" priority="1610" dxfId="59">
      <formula>SEARCH("CHIUSO",$M90)&gt;0</formula>
    </cfRule>
    <cfRule type="expression" priority="1611" dxfId="58">
      <formula>SEARCH("EMESSO",$M90)&gt;0</formula>
    </cfRule>
    <cfRule type="expression" priority="1612" dxfId="57">
      <formula>SEARCH("RICHIESTO",$M90)&gt;0</formula>
    </cfRule>
    <cfRule type="expression" priority="1613" dxfId="56">
      <formula>SEARCH("DA CHIUDERE",$M90)&gt;0</formula>
    </cfRule>
    <cfRule type="expression" priority="1614" dxfId="55">
      <formula>SEARCH("INTERROTTO",$M90)&gt;0</formula>
    </cfRule>
  </conditionalFormatting>
  <conditionalFormatting sqref="E90:F90 N90:S90">
    <cfRule type="expression" priority="1615" dxfId="60">
      <formula>SEARCH("IN CORSO",$M90)&gt;0</formula>
    </cfRule>
    <cfRule type="expression" priority="1616" dxfId="59">
      <formula>SEARCH("CHIUSO",$M90)&gt;0</formula>
    </cfRule>
    <cfRule type="expression" priority="1617" dxfId="58">
      <formula>SEARCH("EMESSO",$M90)&gt;0</formula>
    </cfRule>
    <cfRule type="expression" priority="1618" dxfId="57">
      <formula>SEARCH("RICHIESTO",$M90)&gt;0</formula>
    </cfRule>
    <cfRule type="expression" priority="1619" dxfId="56">
      <formula>SEARCH("DA CHIUDERE",$M90)&gt;0</formula>
    </cfRule>
    <cfRule type="expression" priority="1620" dxfId="55">
      <formula>SEARCH("INTERROTTO",$M90)&gt;0</formula>
    </cfRule>
  </conditionalFormatting>
  <conditionalFormatting sqref="G89">
    <cfRule type="expression" priority="1591" dxfId="60">
      <formula>SEARCH("IN CORSO",$M89)&gt;0</formula>
    </cfRule>
    <cfRule type="expression" priority="1592" dxfId="59">
      <formula>SEARCH("CHIUSO",$M89)&gt;0</formula>
    </cfRule>
    <cfRule type="expression" priority="1593" dxfId="58">
      <formula>SEARCH("EMESSO",$M89)&gt;0</formula>
    </cfRule>
    <cfRule type="expression" priority="1594" dxfId="57">
      <formula>SEARCH("RICHIESTO",$M89)&gt;0</formula>
    </cfRule>
    <cfRule type="expression" priority="1595" dxfId="56">
      <formula>SEARCH("DA CHIUDERE",$M89)&gt;0</formula>
    </cfRule>
    <cfRule type="expression" priority="1596" dxfId="55">
      <formula>SEARCH("INTERROTTO",$M89)&gt;0</formula>
    </cfRule>
  </conditionalFormatting>
  <conditionalFormatting sqref="E89:F89 N89:P89 R89:S89">
    <cfRule type="expression" priority="1597" dxfId="60">
      <formula>SEARCH("IN CORSO",$M89)&gt;0</formula>
    </cfRule>
    <cfRule type="expression" priority="1598" dxfId="59">
      <formula>SEARCH("CHIUSO",$M89)&gt;0</formula>
    </cfRule>
    <cfRule type="expression" priority="1599" dxfId="58">
      <formula>SEARCH("EMESSO",$M89)&gt;0</formula>
    </cfRule>
    <cfRule type="expression" priority="1600" dxfId="57">
      <formula>SEARCH("RICHIESTO",$M89)&gt;0</formula>
    </cfRule>
    <cfRule type="expression" priority="1601" dxfId="56">
      <formula>SEARCH("DA CHIUDERE",$M89)&gt;0</formula>
    </cfRule>
    <cfRule type="expression" priority="1602" dxfId="55">
      <formula>SEARCH("INTERROTTO",$M89)&gt;0</formula>
    </cfRule>
  </conditionalFormatting>
  <conditionalFormatting sqref="G88">
    <cfRule type="expression" priority="1573" dxfId="60">
      <formula>SEARCH("IN CORSO",$M88)&gt;0</formula>
    </cfRule>
    <cfRule type="expression" priority="1574" dxfId="59">
      <formula>SEARCH("CHIUSO",$M88)&gt;0</formula>
    </cfRule>
    <cfRule type="expression" priority="1575" dxfId="58">
      <formula>SEARCH("EMESSO",$M88)&gt;0</formula>
    </cfRule>
    <cfRule type="expression" priority="1576" dxfId="57">
      <formula>SEARCH("RICHIESTO",$M88)&gt;0</formula>
    </cfRule>
    <cfRule type="expression" priority="1577" dxfId="56">
      <formula>SEARCH("DA CHIUDERE",$M88)&gt;0</formula>
    </cfRule>
    <cfRule type="expression" priority="1578" dxfId="55">
      <formula>SEARCH("INTERROTTO",$M88)&gt;0</formula>
    </cfRule>
  </conditionalFormatting>
  <conditionalFormatting sqref="E88:F88 N88:S88">
    <cfRule type="expression" priority="1579" dxfId="60">
      <formula>SEARCH("IN CORSO",$M88)&gt;0</formula>
    </cfRule>
    <cfRule type="expression" priority="1580" dxfId="59">
      <formula>SEARCH("CHIUSO",$M88)&gt;0</formula>
    </cfRule>
    <cfRule type="expression" priority="1581" dxfId="58">
      <formula>SEARCH("EMESSO",$M88)&gt;0</formula>
    </cfRule>
    <cfRule type="expression" priority="1582" dxfId="57">
      <formula>SEARCH("RICHIESTO",$M88)&gt;0</formula>
    </cfRule>
    <cfRule type="expression" priority="1583" dxfId="56">
      <formula>SEARCH("DA CHIUDERE",$M88)&gt;0</formula>
    </cfRule>
    <cfRule type="expression" priority="1584" dxfId="55">
      <formula>SEARCH("INTERROTTO",$M88)&gt;0</formula>
    </cfRule>
  </conditionalFormatting>
  <conditionalFormatting sqref="G87">
    <cfRule type="expression" priority="1555" dxfId="60">
      <formula>SEARCH("IN CORSO",$M87)&gt;0</formula>
    </cfRule>
    <cfRule type="expression" priority="1556" dxfId="59">
      <formula>SEARCH("CHIUSO",$M87)&gt;0</formula>
    </cfRule>
    <cfRule type="expression" priority="1557" dxfId="58">
      <formula>SEARCH("EMESSO",$M87)&gt;0</formula>
    </cfRule>
    <cfRule type="expression" priority="1558" dxfId="57">
      <formula>SEARCH("RICHIESTO",$M87)&gt;0</formula>
    </cfRule>
    <cfRule type="expression" priority="1559" dxfId="56">
      <formula>SEARCH("DA CHIUDERE",$M87)&gt;0</formula>
    </cfRule>
    <cfRule type="expression" priority="1560" dxfId="55">
      <formula>SEARCH("INTERROTTO",$M87)&gt;0</formula>
    </cfRule>
  </conditionalFormatting>
  <conditionalFormatting sqref="E87:F87 N87:S87">
    <cfRule type="expression" priority="1561" dxfId="60">
      <formula>SEARCH("IN CORSO",$M87)&gt;0</formula>
    </cfRule>
    <cfRule type="expression" priority="1562" dxfId="59">
      <formula>SEARCH("CHIUSO",$M87)&gt;0</formula>
    </cfRule>
    <cfRule type="expression" priority="1563" dxfId="58">
      <formula>SEARCH("EMESSO",$M87)&gt;0</formula>
    </cfRule>
    <cfRule type="expression" priority="1564" dxfId="57">
      <formula>SEARCH("RICHIESTO",$M87)&gt;0</formula>
    </cfRule>
    <cfRule type="expression" priority="1565" dxfId="56">
      <formula>SEARCH("DA CHIUDERE",$M87)&gt;0</formula>
    </cfRule>
    <cfRule type="expression" priority="1566" dxfId="55">
      <formula>SEARCH("INTERROTTO",$M87)&gt;0</formula>
    </cfRule>
  </conditionalFormatting>
  <conditionalFormatting sqref="G86">
    <cfRule type="expression" priority="1537" dxfId="60">
      <formula>SEARCH("IN CORSO",$M86)&gt;0</formula>
    </cfRule>
    <cfRule type="expression" priority="1538" dxfId="59">
      <formula>SEARCH("CHIUSO",$M86)&gt;0</formula>
    </cfRule>
    <cfRule type="expression" priority="1539" dxfId="58">
      <formula>SEARCH("EMESSO",$M86)&gt;0</formula>
    </cfRule>
    <cfRule type="expression" priority="1540" dxfId="57">
      <formula>SEARCH("RICHIESTO",$M86)&gt;0</formula>
    </cfRule>
    <cfRule type="expression" priority="1541" dxfId="56">
      <formula>SEARCH("DA CHIUDERE",$M86)&gt;0</formula>
    </cfRule>
    <cfRule type="expression" priority="1542" dxfId="55">
      <formula>SEARCH("INTERROTTO",$M86)&gt;0</formula>
    </cfRule>
  </conditionalFormatting>
  <conditionalFormatting sqref="E86:F86 N86:S86">
    <cfRule type="expression" priority="1543" dxfId="60">
      <formula>SEARCH("IN CORSO",$M86)&gt;0</formula>
    </cfRule>
    <cfRule type="expression" priority="1544" dxfId="59">
      <formula>SEARCH("CHIUSO",$M86)&gt;0</formula>
    </cfRule>
    <cfRule type="expression" priority="1545" dxfId="58">
      <formula>SEARCH("EMESSO",$M86)&gt;0</formula>
    </cfRule>
    <cfRule type="expression" priority="1546" dxfId="57">
      <formula>SEARCH("RICHIESTO",$M86)&gt;0</formula>
    </cfRule>
    <cfRule type="expression" priority="1547" dxfId="56">
      <formula>SEARCH("DA CHIUDERE",$M86)&gt;0</formula>
    </cfRule>
    <cfRule type="expression" priority="1548" dxfId="55">
      <formula>SEARCH("INTERROTTO",$M86)&gt;0</formula>
    </cfRule>
  </conditionalFormatting>
  <conditionalFormatting sqref="G85">
    <cfRule type="expression" priority="1519" dxfId="60">
      <formula>SEARCH("IN CORSO",$M85)&gt;0</formula>
    </cfRule>
    <cfRule type="expression" priority="1520" dxfId="59">
      <formula>SEARCH("CHIUSO",$M85)&gt;0</formula>
    </cfRule>
    <cfRule type="expression" priority="1521" dxfId="58">
      <formula>SEARCH("EMESSO",$M85)&gt;0</formula>
    </cfRule>
    <cfRule type="expression" priority="1522" dxfId="57">
      <formula>SEARCH("RICHIESTO",$M85)&gt;0</formula>
    </cfRule>
    <cfRule type="expression" priority="1523" dxfId="56">
      <formula>SEARCH("DA CHIUDERE",$M85)&gt;0</formula>
    </cfRule>
    <cfRule type="expression" priority="1524" dxfId="55">
      <formula>SEARCH("INTERROTTO",$M85)&gt;0</formula>
    </cfRule>
  </conditionalFormatting>
  <conditionalFormatting sqref="E85:F85 N85:S85">
    <cfRule type="expression" priority="1525" dxfId="60">
      <formula>SEARCH("IN CORSO",$M85)&gt;0</formula>
    </cfRule>
    <cfRule type="expression" priority="1526" dxfId="59">
      <formula>SEARCH("CHIUSO",$M85)&gt;0</formula>
    </cfRule>
    <cfRule type="expression" priority="1527" dxfId="58">
      <formula>SEARCH("EMESSO",$M85)&gt;0</formula>
    </cfRule>
    <cfRule type="expression" priority="1528" dxfId="57">
      <formula>SEARCH("RICHIESTO",$M85)&gt;0</formula>
    </cfRule>
    <cfRule type="expression" priority="1529" dxfId="56">
      <formula>SEARCH("DA CHIUDERE",$M85)&gt;0</formula>
    </cfRule>
    <cfRule type="expression" priority="1530" dxfId="55">
      <formula>SEARCH("INTERROTTO",$M85)&gt;0</formula>
    </cfRule>
  </conditionalFormatting>
  <conditionalFormatting sqref="M86:M214">
    <cfRule type="expression" priority="1507" dxfId="60">
      <formula>SEARCH("IN CORSO",$M86)&gt;0</formula>
    </cfRule>
    <cfRule type="expression" priority="1508" dxfId="59">
      <formula>SEARCH("CHIUSO",$M86)&gt;0</formula>
    </cfRule>
    <cfRule type="expression" priority="1509" dxfId="58">
      <formula>SEARCH("EMESSO",$M86)&gt;0</formula>
    </cfRule>
    <cfRule type="expression" priority="1510" dxfId="57">
      <formula>SEARCH("RICHIESTO",$M86)&gt;0</formula>
    </cfRule>
    <cfRule type="expression" priority="1511" dxfId="56">
      <formula>SEARCH("DA CHIUDERE",$M86)&gt;0</formula>
    </cfRule>
    <cfRule type="expression" priority="1512" dxfId="55">
      <formula>SEARCH("INTERROTTO",$M86)&gt;0</formula>
    </cfRule>
  </conditionalFormatting>
  <conditionalFormatting sqref="M85">
    <cfRule type="expression" priority="1501" dxfId="60">
      <formula>SEARCH("IN CORSO",$M85)&gt;0</formula>
    </cfRule>
    <cfRule type="expression" priority="1502" dxfId="59">
      <formula>SEARCH("CHIUSO",$M85)&gt;0</formula>
    </cfRule>
    <cfRule type="expression" priority="1503" dxfId="58">
      <formula>SEARCH("EMESSO",$M85)&gt;0</formula>
    </cfRule>
    <cfRule type="expression" priority="1504" dxfId="57">
      <formula>SEARCH("RICHIESTO",$M85)&gt;0</formula>
    </cfRule>
    <cfRule type="expression" priority="1505" dxfId="56">
      <formula>SEARCH("DA CHIUDERE",$M85)&gt;0</formula>
    </cfRule>
    <cfRule type="expression" priority="1506" dxfId="55">
      <formula>SEARCH("INTERROTTO",$M85)&gt;0</formula>
    </cfRule>
  </conditionalFormatting>
  <conditionalFormatting sqref="G84">
    <cfRule type="expression" priority="1489" dxfId="60">
      <formula>SEARCH("IN CORSO",$M84)&gt;0</formula>
    </cfRule>
    <cfRule type="expression" priority="1490" dxfId="59">
      <formula>SEARCH("CHIUSO",$M84)&gt;0</formula>
    </cfRule>
    <cfRule type="expression" priority="1491" dxfId="58">
      <formula>SEARCH("EMESSO",$M84)&gt;0</formula>
    </cfRule>
    <cfRule type="expression" priority="1492" dxfId="57">
      <formula>SEARCH("RICHIESTO",$M84)&gt;0</formula>
    </cfRule>
    <cfRule type="expression" priority="1493" dxfId="56">
      <formula>SEARCH("DA CHIUDERE",$M84)&gt;0</formula>
    </cfRule>
    <cfRule type="expression" priority="1494" dxfId="55">
      <formula>SEARCH("INTERROTTO",$M84)&gt;0</formula>
    </cfRule>
  </conditionalFormatting>
  <conditionalFormatting sqref="E84:F84 N84:S84">
    <cfRule type="expression" priority="1495" dxfId="60">
      <formula>SEARCH("IN CORSO",$M84)&gt;0</formula>
    </cfRule>
    <cfRule type="expression" priority="1496" dxfId="59">
      <formula>SEARCH("CHIUSO",$M84)&gt;0</formula>
    </cfRule>
    <cfRule type="expression" priority="1497" dxfId="58">
      <formula>SEARCH("EMESSO",$M84)&gt;0</formula>
    </cfRule>
    <cfRule type="expression" priority="1498" dxfId="57">
      <formula>SEARCH("RICHIESTO",$M84)&gt;0</formula>
    </cfRule>
    <cfRule type="expression" priority="1499" dxfId="56">
      <formula>SEARCH("DA CHIUDERE",$M84)&gt;0</formula>
    </cfRule>
    <cfRule type="expression" priority="1500" dxfId="55">
      <formula>SEARCH("INTERROTTO",$M84)&gt;0</formula>
    </cfRule>
  </conditionalFormatting>
  <conditionalFormatting sqref="G83">
    <cfRule type="expression" priority="1471" dxfId="60">
      <formula>SEARCH("IN CORSO",$M83)&gt;0</formula>
    </cfRule>
    <cfRule type="expression" priority="1472" dxfId="59">
      <formula>SEARCH("CHIUSO",$M83)&gt;0</formula>
    </cfRule>
    <cfRule type="expression" priority="1473" dxfId="58">
      <formula>SEARCH("EMESSO",$M83)&gt;0</formula>
    </cfRule>
    <cfRule type="expression" priority="1474" dxfId="57">
      <formula>SEARCH("RICHIESTO",$M83)&gt;0</formula>
    </cfRule>
    <cfRule type="expression" priority="1475" dxfId="56">
      <formula>SEARCH("DA CHIUDERE",$M83)&gt;0</formula>
    </cfRule>
    <cfRule type="expression" priority="1476" dxfId="55">
      <formula>SEARCH("INTERROTTO",$M83)&gt;0</formula>
    </cfRule>
  </conditionalFormatting>
  <conditionalFormatting sqref="E83:F83 N83:S83">
    <cfRule type="expression" priority="1477" dxfId="60">
      <formula>SEARCH("IN CORSO",$M83)&gt;0</formula>
    </cfRule>
    <cfRule type="expression" priority="1478" dxfId="59">
      <formula>SEARCH("CHIUSO",$M83)&gt;0</formula>
    </cfRule>
    <cfRule type="expression" priority="1479" dxfId="58">
      <formula>SEARCH("EMESSO",$M83)&gt;0</formula>
    </cfRule>
    <cfRule type="expression" priority="1480" dxfId="57">
      <formula>SEARCH("RICHIESTO",$M83)&gt;0</formula>
    </cfRule>
    <cfRule type="expression" priority="1481" dxfId="56">
      <formula>SEARCH("DA CHIUDERE",$M83)&gt;0</formula>
    </cfRule>
    <cfRule type="expression" priority="1482" dxfId="55">
      <formula>SEARCH("INTERROTTO",$M83)&gt;0</formula>
    </cfRule>
  </conditionalFormatting>
  <conditionalFormatting sqref="G82">
    <cfRule type="expression" priority="1453" dxfId="60">
      <formula>SEARCH("IN CORSO",$M82)&gt;0</formula>
    </cfRule>
    <cfRule type="expression" priority="1454" dxfId="59">
      <formula>SEARCH("CHIUSO",$M82)&gt;0</formula>
    </cfRule>
    <cfRule type="expression" priority="1455" dxfId="58">
      <formula>SEARCH("EMESSO",$M82)&gt;0</formula>
    </cfRule>
    <cfRule type="expression" priority="1456" dxfId="57">
      <formula>SEARCH("RICHIESTO",$M82)&gt;0</formula>
    </cfRule>
    <cfRule type="expression" priority="1457" dxfId="56">
      <formula>SEARCH("DA CHIUDERE",$M82)&gt;0</formula>
    </cfRule>
    <cfRule type="expression" priority="1458" dxfId="55">
      <formula>SEARCH("INTERROTTO",$M82)&gt;0</formula>
    </cfRule>
  </conditionalFormatting>
  <conditionalFormatting sqref="E82:F82 N82:S82">
    <cfRule type="expression" priority="1459" dxfId="60">
      <formula>SEARCH("IN CORSO",$M82)&gt;0</formula>
    </cfRule>
    <cfRule type="expression" priority="1460" dxfId="59">
      <formula>SEARCH("CHIUSO",$M82)&gt;0</formula>
    </cfRule>
    <cfRule type="expression" priority="1461" dxfId="58">
      <formula>SEARCH("EMESSO",$M82)&gt;0</formula>
    </cfRule>
    <cfRule type="expression" priority="1462" dxfId="57">
      <formula>SEARCH("RICHIESTO",$M82)&gt;0</formula>
    </cfRule>
    <cfRule type="expression" priority="1463" dxfId="56">
      <formula>SEARCH("DA CHIUDERE",$M82)&gt;0</formula>
    </cfRule>
    <cfRule type="expression" priority="1464" dxfId="55">
      <formula>SEARCH("INTERROTTO",$M82)&gt;0</formula>
    </cfRule>
  </conditionalFormatting>
  <conditionalFormatting sqref="M82">
    <cfRule type="expression" priority="1447" dxfId="60">
      <formula>SEARCH("IN CORSO",$M82)&gt;0</formula>
    </cfRule>
    <cfRule type="expression" priority="1448" dxfId="59">
      <formula>SEARCH("CHIUSO",$M82)&gt;0</formula>
    </cfRule>
    <cfRule type="expression" priority="1449" dxfId="58">
      <formula>SEARCH("EMESSO",$M82)&gt;0</formula>
    </cfRule>
    <cfRule type="expression" priority="1450" dxfId="57">
      <formula>SEARCH("RICHIESTO",$M82)&gt;0</formula>
    </cfRule>
    <cfRule type="expression" priority="1451" dxfId="56">
      <formula>SEARCH("DA CHIUDERE",$M82)&gt;0</formula>
    </cfRule>
    <cfRule type="expression" priority="1452" dxfId="55">
      <formula>SEARCH("INTERROTTO",$M82)&gt;0</formula>
    </cfRule>
  </conditionalFormatting>
  <conditionalFormatting sqref="M83:M84">
    <cfRule type="expression" priority="1441" dxfId="60">
      <formula>SEARCH("IN CORSO",$M83)&gt;0</formula>
    </cfRule>
    <cfRule type="expression" priority="1442" dxfId="59">
      <formula>SEARCH("CHIUSO",$M83)&gt;0</formula>
    </cfRule>
    <cfRule type="expression" priority="1443" dxfId="58">
      <formula>SEARCH("EMESSO",$M83)&gt;0</formula>
    </cfRule>
    <cfRule type="expression" priority="1444" dxfId="57">
      <formula>SEARCH("RICHIESTO",$M83)&gt;0</formula>
    </cfRule>
    <cfRule type="expression" priority="1445" dxfId="56">
      <formula>SEARCH("DA CHIUDERE",$M83)&gt;0</formula>
    </cfRule>
    <cfRule type="expression" priority="1446" dxfId="55">
      <formula>SEARCH("INTERROTTO",$M83)&gt;0</formula>
    </cfRule>
  </conditionalFormatting>
  <conditionalFormatting sqref="G81">
    <cfRule type="expression" priority="1429" dxfId="60">
      <formula>SEARCH("IN CORSO",$M81)&gt;0</formula>
    </cfRule>
    <cfRule type="expression" priority="1430" dxfId="59">
      <formula>SEARCH("CHIUSO",$M81)&gt;0</formula>
    </cfRule>
    <cfRule type="expression" priority="1431" dxfId="58">
      <formula>SEARCH("EMESSO",$M81)&gt;0</formula>
    </cfRule>
    <cfRule type="expression" priority="1432" dxfId="57">
      <formula>SEARCH("RICHIESTO",$M81)&gt;0</formula>
    </cfRule>
    <cfRule type="expression" priority="1433" dxfId="56">
      <formula>SEARCH("DA CHIUDERE",$M81)&gt;0</formula>
    </cfRule>
    <cfRule type="expression" priority="1434" dxfId="55">
      <formula>SEARCH("INTERROTTO",$M81)&gt;0</formula>
    </cfRule>
  </conditionalFormatting>
  <conditionalFormatting sqref="E81:F81 N81:S81">
    <cfRule type="expression" priority="1435" dxfId="60">
      <formula>SEARCH("IN CORSO",$M81)&gt;0</formula>
    </cfRule>
    <cfRule type="expression" priority="1436" dxfId="59">
      <formula>SEARCH("CHIUSO",$M81)&gt;0</formula>
    </cfRule>
    <cfRule type="expression" priority="1437" dxfId="58">
      <formula>SEARCH("EMESSO",$M81)&gt;0</formula>
    </cfRule>
    <cfRule type="expression" priority="1438" dxfId="57">
      <formula>SEARCH("RICHIESTO",$M81)&gt;0</formula>
    </cfRule>
    <cfRule type="expression" priority="1439" dxfId="56">
      <formula>SEARCH("DA CHIUDERE",$M81)&gt;0</formula>
    </cfRule>
    <cfRule type="expression" priority="1440" dxfId="55">
      <formula>SEARCH("INTERROTTO",$M81)&gt;0</formula>
    </cfRule>
  </conditionalFormatting>
  <conditionalFormatting sqref="M81">
    <cfRule type="expression" priority="1423" dxfId="60">
      <formula>SEARCH("IN CORSO",$M81)&gt;0</formula>
    </cfRule>
    <cfRule type="expression" priority="1424" dxfId="59">
      <formula>SEARCH("CHIUSO",$M81)&gt;0</formula>
    </cfRule>
    <cfRule type="expression" priority="1425" dxfId="58">
      <formula>SEARCH("EMESSO",$M81)&gt;0</formula>
    </cfRule>
    <cfRule type="expression" priority="1426" dxfId="57">
      <formula>SEARCH("RICHIESTO",$M81)&gt;0</formula>
    </cfRule>
    <cfRule type="expression" priority="1427" dxfId="56">
      <formula>SEARCH("DA CHIUDERE",$M81)&gt;0</formula>
    </cfRule>
    <cfRule type="expression" priority="1428" dxfId="55">
      <formula>SEARCH("INTERROTTO",$M81)&gt;0</formula>
    </cfRule>
  </conditionalFormatting>
  <conditionalFormatting sqref="G80">
    <cfRule type="expression" priority="1411" dxfId="60">
      <formula>SEARCH("IN CORSO",$M80)&gt;0</formula>
    </cfRule>
    <cfRule type="expression" priority="1412" dxfId="59">
      <formula>SEARCH("CHIUSO",$M80)&gt;0</formula>
    </cfRule>
    <cfRule type="expression" priority="1413" dxfId="58">
      <formula>SEARCH("EMESSO",$M80)&gt;0</formula>
    </cfRule>
    <cfRule type="expression" priority="1414" dxfId="57">
      <formula>SEARCH("RICHIESTO",$M80)&gt;0</formula>
    </cfRule>
    <cfRule type="expression" priority="1415" dxfId="56">
      <formula>SEARCH("DA CHIUDERE",$M80)&gt;0</formula>
    </cfRule>
    <cfRule type="expression" priority="1416" dxfId="55">
      <formula>SEARCH("INTERROTTO",$M80)&gt;0</formula>
    </cfRule>
  </conditionalFormatting>
  <conditionalFormatting sqref="E80:F80 N80:S80">
    <cfRule type="expression" priority="1417" dxfId="60">
      <formula>SEARCH("IN CORSO",$M80)&gt;0</formula>
    </cfRule>
    <cfRule type="expression" priority="1418" dxfId="59">
      <formula>SEARCH("CHIUSO",$M80)&gt;0</formula>
    </cfRule>
    <cfRule type="expression" priority="1419" dxfId="58">
      <formula>SEARCH("EMESSO",$M80)&gt;0</formula>
    </cfRule>
    <cfRule type="expression" priority="1420" dxfId="57">
      <formula>SEARCH("RICHIESTO",$M80)&gt;0</formula>
    </cfRule>
    <cfRule type="expression" priority="1421" dxfId="56">
      <formula>SEARCH("DA CHIUDERE",$M80)&gt;0</formula>
    </cfRule>
    <cfRule type="expression" priority="1422" dxfId="55">
      <formula>SEARCH("INTERROTTO",$M80)&gt;0</formula>
    </cfRule>
  </conditionalFormatting>
  <conditionalFormatting sqref="M80">
    <cfRule type="expression" priority="1405" dxfId="60">
      <formula>SEARCH("IN CORSO",$M80)&gt;0</formula>
    </cfRule>
    <cfRule type="expression" priority="1406" dxfId="59">
      <formula>SEARCH("CHIUSO",$M80)&gt;0</formula>
    </cfRule>
    <cfRule type="expression" priority="1407" dxfId="58">
      <formula>SEARCH("EMESSO",$M80)&gt;0</formula>
    </cfRule>
    <cfRule type="expression" priority="1408" dxfId="57">
      <formula>SEARCH("RICHIESTO",$M80)&gt;0</formula>
    </cfRule>
    <cfRule type="expression" priority="1409" dxfId="56">
      <formula>SEARCH("DA CHIUDERE",$M80)&gt;0</formula>
    </cfRule>
    <cfRule type="expression" priority="1410" dxfId="55">
      <formula>SEARCH("INTERROTTO",$M80)&gt;0</formula>
    </cfRule>
  </conditionalFormatting>
  <conditionalFormatting sqref="G79">
    <cfRule type="expression" priority="1393" dxfId="60">
      <formula>SEARCH("IN CORSO",$M79)&gt;0</formula>
    </cfRule>
    <cfRule type="expression" priority="1394" dxfId="59">
      <formula>SEARCH("CHIUSO",$M79)&gt;0</formula>
    </cfRule>
    <cfRule type="expression" priority="1395" dxfId="58">
      <formula>SEARCH("EMESSO",$M79)&gt;0</formula>
    </cfRule>
    <cfRule type="expression" priority="1396" dxfId="57">
      <formula>SEARCH("RICHIESTO",$M79)&gt;0</formula>
    </cfRule>
    <cfRule type="expression" priority="1397" dxfId="56">
      <formula>SEARCH("DA CHIUDERE",$M79)&gt;0</formula>
    </cfRule>
    <cfRule type="expression" priority="1398" dxfId="55">
      <formula>SEARCH("INTERROTTO",$M79)&gt;0</formula>
    </cfRule>
  </conditionalFormatting>
  <conditionalFormatting sqref="E79:F79 N79:S79">
    <cfRule type="expression" priority="1399" dxfId="60">
      <formula>SEARCH("IN CORSO",$M79)&gt;0</formula>
    </cfRule>
    <cfRule type="expression" priority="1400" dxfId="59">
      <formula>SEARCH("CHIUSO",$M79)&gt;0</formula>
    </cfRule>
    <cfRule type="expression" priority="1401" dxfId="58">
      <formula>SEARCH("EMESSO",$M79)&gt;0</formula>
    </cfRule>
    <cfRule type="expression" priority="1402" dxfId="57">
      <formula>SEARCH("RICHIESTO",$M79)&gt;0</formula>
    </cfRule>
    <cfRule type="expression" priority="1403" dxfId="56">
      <formula>SEARCH("DA CHIUDERE",$M79)&gt;0</formula>
    </cfRule>
    <cfRule type="expression" priority="1404" dxfId="55">
      <formula>SEARCH("INTERROTTO",$M79)&gt;0</formula>
    </cfRule>
  </conditionalFormatting>
  <conditionalFormatting sqref="M79">
    <cfRule type="expression" priority="1387" dxfId="60">
      <formula>SEARCH("IN CORSO",$M79)&gt;0</formula>
    </cfRule>
    <cfRule type="expression" priority="1388" dxfId="59">
      <formula>SEARCH("CHIUSO",$M79)&gt;0</formula>
    </cfRule>
    <cfRule type="expression" priority="1389" dxfId="58">
      <formula>SEARCH("EMESSO",$M79)&gt;0</formula>
    </cfRule>
    <cfRule type="expression" priority="1390" dxfId="57">
      <formula>SEARCH("RICHIESTO",$M79)&gt;0</formula>
    </cfRule>
    <cfRule type="expression" priority="1391" dxfId="56">
      <formula>SEARCH("DA CHIUDERE",$M79)&gt;0</formula>
    </cfRule>
    <cfRule type="expression" priority="1392" dxfId="55">
      <formula>SEARCH("INTERROTTO",$M79)&gt;0</formula>
    </cfRule>
  </conditionalFormatting>
  <conditionalFormatting sqref="Q89">
    <cfRule type="expression" priority="1381" dxfId="60">
      <formula>SEARCH("IN CORSO",$M89)&gt;0</formula>
    </cfRule>
    <cfRule type="expression" priority="1382" dxfId="59">
      <formula>SEARCH("CHIUSO",$M89)&gt;0</formula>
    </cfRule>
    <cfRule type="expression" priority="1383" dxfId="58">
      <formula>SEARCH("EMESSO",$M89)&gt;0</formula>
    </cfRule>
    <cfRule type="expression" priority="1384" dxfId="57">
      <formula>SEARCH("RICHIESTO",$M89)&gt;0</formula>
    </cfRule>
    <cfRule type="expression" priority="1385" dxfId="56">
      <formula>SEARCH("DA CHIUDERE",$M89)&gt;0</formula>
    </cfRule>
    <cfRule type="expression" priority="1386" dxfId="55">
      <formula>SEARCH("INTERROTTO",$M89)&gt;0</formula>
    </cfRule>
  </conditionalFormatting>
  <conditionalFormatting sqref="G78">
    <cfRule type="expression" priority="1369" dxfId="60">
      <formula>SEARCH("IN CORSO",$M78)&gt;0</formula>
    </cfRule>
    <cfRule type="expression" priority="1370" dxfId="59">
      <formula>SEARCH("CHIUSO",$M78)&gt;0</formula>
    </cfRule>
    <cfRule type="expression" priority="1371" dxfId="58">
      <formula>SEARCH("EMESSO",$M78)&gt;0</formula>
    </cfRule>
    <cfRule type="expression" priority="1372" dxfId="57">
      <formula>SEARCH("RICHIESTO",$M78)&gt;0</formula>
    </cfRule>
    <cfRule type="expression" priority="1373" dxfId="56">
      <formula>SEARCH("DA CHIUDERE",$M78)&gt;0</formula>
    </cfRule>
    <cfRule type="expression" priority="1374" dxfId="55">
      <formula>SEARCH("INTERROTTO",$M78)&gt;0</formula>
    </cfRule>
  </conditionalFormatting>
  <conditionalFormatting sqref="E78:F78 N78:S78">
    <cfRule type="expression" priority="1375" dxfId="60">
      <formula>SEARCH("IN CORSO",$M78)&gt;0</formula>
    </cfRule>
    <cfRule type="expression" priority="1376" dxfId="59">
      <formula>SEARCH("CHIUSO",$M78)&gt;0</formula>
    </cfRule>
    <cfRule type="expression" priority="1377" dxfId="58">
      <formula>SEARCH("EMESSO",$M78)&gt;0</formula>
    </cfRule>
    <cfRule type="expression" priority="1378" dxfId="57">
      <formula>SEARCH("RICHIESTO",$M78)&gt;0</formula>
    </cfRule>
    <cfRule type="expression" priority="1379" dxfId="56">
      <formula>SEARCH("DA CHIUDERE",$M78)&gt;0</formula>
    </cfRule>
    <cfRule type="expression" priority="1380" dxfId="55">
      <formula>SEARCH("INTERROTTO",$M78)&gt;0</formula>
    </cfRule>
  </conditionalFormatting>
  <conditionalFormatting sqref="M78">
    <cfRule type="expression" priority="1363" dxfId="60">
      <formula>SEARCH("IN CORSO",$M78)&gt;0</formula>
    </cfRule>
    <cfRule type="expression" priority="1364" dxfId="59">
      <formula>SEARCH("CHIUSO",$M78)&gt;0</formula>
    </cfRule>
    <cfRule type="expression" priority="1365" dxfId="58">
      <formula>SEARCH("EMESSO",$M78)&gt;0</formula>
    </cfRule>
    <cfRule type="expression" priority="1366" dxfId="57">
      <formula>SEARCH("RICHIESTO",$M78)&gt;0</formula>
    </cfRule>
    <cfRule type="expression" priority="1367" dxfId="56">
      <formula>SEARCH("DA CHIUDERE",$M78)&gt;0</formula>
    </cfRule>
    <cfRule type="expression" priority="1368" dxfId="55">
      <formula>SEARCH("INTERROTTO",$M78)&gt;0</formula>
    </cfRule>
  </conditionalFormatting>
  <conditionalFormatting sqref="G77">
    <cfRule type="expression" priority="1351" dxfId="60">
      <formula>SEARCH("IN CORSO",$M77)&gt;0</formula>
    </cfRule>
    <cfRule type="expression" priority="1352" dxfId="59">
      <formula>SEARCH("CHIUSO",$M77)&gt;0</formula>
    </cfRule>
    <cfRule type="expression" priority="1353" dxfId="58">
      <formula>SEARCH("EMESSO",$M77)&gt;0</formula>
    </cfRule>
    <cfRule type="expression" priority="1354" dxfId="57">
      <formula>SEARCH("RICHIESTO",$M77)&gt;0</formula>
    </cfRule>
    <cfRule type="expression" priority="1355" dxfId="56">
      <formula>SEARCH("DA CHIUDERE",$M77)&gt;0</formula>
    </cfRule>
    <cfRule type="expression" priority="1356" dxfId="55">
      <formula>SEARCH("INTERROTTO",$M77)&gt;0</formula>
    </cfRule>
  </conditionalFormatting>
  <conditionalFormatting sqref="E77:F77 N77:S77">
    <cfRule type="expression" priority="1357" dxfId="60">
      <formula>SEARCH("IN CORSO",$M77)&gt;0</formula>
    </cfRule>
    <cfRule type="expression" priority="1358" dxfId="59">
      <formula>SEARCH("CHIUSO",$M77)&gt;0</formula>
    </cfRule>
    <cfRule type="expression" priority="1359" dxfId="58">
      <formula>SEARCH("EMESSO",$M77)&gt;0</formula>
    </cfRule>
    <cfRule type="expression" priority="1360" dxfId="57">
      <formula>SEARCH("RICHIESTO",$M77)&gt;0</formula>
    </cfRule>
    <cfRule type="expression" priority="1361" dxfId="56">
      <formula>SEARCH("DA CHIUDERE",$M77)&gt;0</formula>
    </cfRule>
    <cfRule type="expression" priority="1362" dxfId="55">
      <formula>SEARCH("INTERROTTO",$M77)&gt;0</formula>
    </cfRule>
  </conditionalFormatting>
  <conditionalFormatting sqref="M77">
    <cfRule type="expression" priority="1345" dxfId="60">
      <formula>SEARCH("IN CORSO",$M77)&gt;0</formula>
    </cfRule>
    <cfRule type="expression" priority="1346" dxfId="59">
      <formula>SEARCH("CHIUSO",$M77)&gt;0</formula>
    </cfRule>
    <cfRule type="expression" priority="1347" dxfId="58">
      <formula>SEARCH("EMESSO",$M77)&gt;0</formula>
    </cfRule>
    <cfRule type="expression" priority="1348" dxfId="57">
      <formula>SEARCH("RICHIESTO",$M77)&gt;0</formula>
    </cfRule>
    <cfRule type="expression" priority="1349" dxfId="56">
      <formula>SEARCH("DA CHIUDERE",$M77)&gt;0</formula>
    </cfRule>
    <cfRule type="expression" priority="1350" dxfId="55">
      <formula>SEARCH("INTERROTTO",$M77)&gt;0</formula>
    </cfRule>
  </conditionalFormatting>
  <conditionalFormatting sqref="G76">
    <cfRule type="expression" priority="1333" dxfId="60">
      <formula>SEARCH("IN CORSO",$M76)&gt;0</formula>
    </cfRule>
    <cfRule type="expression" priority="1334" dxfId="59">
      <formula>SEARCH("CHIUSO",$M76)&gt;0</formula>
    </cfRule>
    <cfRule type="expression" priority="1335" dxfId="58">
      <formula>SEARCH("EMESSO",$M76)&gt;0</formula>
    </cfRule>
    <cfRule type="expression" priority="1336" dxfId="57">
      <formula>SEARCH("RICHIESTO",$M76)&gt;0</formula>
    </cfRule>
    <cfRule type="expression" priority="1337" dxfId="56">
      <formula>SEARCH("DA CHIUDERE",$M76)&gt;0</formula>
    </cfRule>
    <cfRule type="expression" priority="1338" dxfId="55">
      <formula>SEARCH("INTERROTTO",$M76)&gt;0</formula>
    </cfRule>
  </conditionalFormatting>
  <conditionalFormatting sqref="E76:F76 N76:S76">
    <cfRule type="expression" priority="1339" dxfId="60">
      <formula>SEARCH("IN CORSO",$M76)&gt;0</formula>
    </cfRule>
    <cfRule type="expression" priority="1340" dxfId="59">
      <formula>SEARCH("CHIUSO",$M76)&gt;0</formula>
    </cfRule>
    <cfRule type="expression" priority="1341" dxfId="58">
      <formula>SEARCH("EMESSO",$M76)&gt;0</formula>
    </cfRule>
    <cfRule type="expression" priority="1342" dxfId="57">
      <formula>SEARCH("RICHIESTO",$M76)&gt;0</formula>
    </cfRule>
    <cfRule type="expression" priority="1343" dxfId="56">
      <formula>SEARCH("DA CHIUDERE",$M76)&gt;0</formula>
    </cfRule>
    <cfRule type="expression" priority="1344" dxfId="55">
      <formula>SEARCH("INTERROTTO",$M76)&gt;0</formula>
    </cfRule>
  </conditionalFormatting>
  <conditionalFormatting sqref="M76">
    <cfRule type="expression" priority="1327" dxfId="60">
      <formula>SEARCH("IN CORSO",$M76)&gt;0</formula>
    </cfRule>
    <cfRule type="expression" priority="1328" dxfId="59">
      <formula>SEARCH("CHIUSO",$M76)&gt;0</formula>
    </cfRule>
    <cfRule type="expression" priority="1329" dxfId="58">
      <formula>SEARCH("EMESSO",$M76)&gt;0</formula>
    </cfRule>
    <cfRule type="expression" priority="1330" dxfId="57">
      <formula>SEARCH("RICHIESTO",$M76)&gt;0</formula>
    </cfRule>
    <cfRule type="expression" priority="1331" dxfId="56">
      <formula>SEARCH("DA CHIUDERE",$M76)&gt;0</formula>
    </cfRule>
    <cfRule type="expression" priority="1332" dxfId="55">
      <formula>SEARCH("INTERROTTO",$M76)&gt;0</formula>
    </cfRule>
  </conditionalFormatting>
  <conditionalFormatting sqref="G75">
    <cfRule type="expression" priority="1315" dxfId="60">
      <formula>SEARCH("IN CORSO",$M75)&gt;0</formula>
    </cfRule>
    <cfRule type="expression" priority="1316" dxfId="59">
      <formula>SEARCH("CHIUSO",$M75)&gt;0</formula>
    </cfRule>
    <cfRule type="expression" priority="1317" dxfId="58">
      <formula>SEARCH("EMESSO",$M75)&gt;0</formula>
    </cfRule>
    <cfRule type="expression" priority="1318" dxfId="57">
      <formula>SEARCH("RICHIESTO",$M75)&gt;0</formula>
    </cfRule>
    <cfRule type="expression" priority="1319" dxfId="56">
      <formula>SEARCH("DA CHIUDERE",$M75)&gt;0</formula>
    </cfRule>
    <cfRule type="expression" priority="1320" dxfId="55">
      <formula>SEARCH("INTERROTTO",$M75)&gt;0</formula>
    </cfRule>
  </conditionalFormatting>
  <conditionalFormatting sqref="E75:F75 N75:S75">
    <cfRule type="expression" priority="1321" dxfId="60">
      <formula>SEARCH("IN CORSO",$M75)&gt;0</formula>
    </cfRule>
    <cfRule type="expression" priority="1322" dxfId="59">
      <formula>SEARCH("CHIUSO",$M75)&gt;0</formula>
    </cfRule>
    <cfRule type="expression" priority="1323" dxfId="58">
      <formula>SEARCH("EMESSO",$M75)&gt;0</formula>
    </cfRule>
    <cfRule type="expression" priority="1324" dxfId="57">
      <formula>SEARCH("RICHIESTO",$M75)&gt;0</formula>
    </cfRule>
    <cfRule type="expression" priority="1325" dxfId="56">
      <formula>SEARCH("DA CHIUDERE",$M75)&gt;0</formula>
    </cfRule>
    <cfRule type="expression" priority="1326" dxfId="55">
      <formula>SEARCH("INTERROTTO",$M75)&gt;0</formula>
    </cfRule>
  </conditionalFormatting>
  <conditionalFormatting sqref="M75">
    <cfRule type="expression" priority="1309" dxfId="60">
      <formula>SEARCH("IN CORSO",$M75)&gt;0</formula>
    </cfRule>
    <cfRule type="expression" priority="1310" dxfId="59">
      <formula>SEARCH("CHIUSO",$M75)&gt;0</formula>
    </cfRule>
    <cfRule type="expression" priority="1311" dxfId="58">
      <formula>SEARCH("EMESSO",$M75)&gt;0</formula>
    </cfRule>
    <cfRule type="expression" priority="1312" dxfId="57">
      <formula>SEARCH("RICHIESTO",$M75)&gt;0</formula>
    </cfRule>
    <cfRule type="expression" priority="1313" dxfId="56">
      <formula>SEARCH("DA CHIUDERE",$M75)&gt;0</formula>
    </cfRule>
    <cfRule type="expression" priority="1314" dxfId="55">
      <formula>SEARCH("INTERROTTO",$M75)&gt;0</formula>
    </cfRule>
  </conditionalFormatting>
  <conditionalFormatting sqref="G74">
    <cfRule type="expression" priority="1297" dxfId="60">
      <formula>SEARCH("IN CORSO",$M74)&gt;0</formula>
    </cfRule>
    <cfRule type="expression" priority="1298" dxfId="59">
      <formula>SEARCH("CHIUSO",$M74)&gt;0</formula>
    </cfRule>
    <cfRule type="expression" priority="1299" dxfId="58">
      <formula>SEARCH("EMESSO",$M74)&gt;0</formula>
    </cfRule>
    <cfRule type="expression" priority="1300" dxfId="57">
      <formula>SEARCH("RICHIESTO",$M74)&gt;0</formula>
    </cfRule>
    <cfRule type="expression" priority="1301" dxfId="56">
      <formula>SEARCH("DA CHIUDERE",$M74)&gt;0</formula>
    </cfRule>
    <cfRule type="expression" priority="1302" dxfId="55">
      <formula>SEARCH("INTERROTTO",$M74)&gt;0</formula>
    </cfRule>
  </conditionalFormatting>
  <conditionalFormatting sqref="E74:F74 N74:S74">
    <cfRule type="expression" priority="1303" dxfId="60">
      <formula>SEARCH("IN CORSO",$M74)&gt;0</formula>
    </cfRule>
    <cfRule type="expression" priority="1304" dxfId="59">
      <formula>SEARCH("CHIUSO",$M74)&gt;0</formula>
    </cfRule>
    <cfRule type="expression" priority="1305" dxfId="58">
      <formula>SEARCH("EMESSO",$M74)&gt;0</formula>
    </cfRule>
    <cfRule type="expression" priority="1306" dxfId="57">
      <formula>SEARCH("RICHIESTO",$M74)&gt;0</formula>
    </cfRule>
    <cfRule type="expression" priority="1307" dxfId="56">
      <formula>SEARCH("DA CHIUDERE",$M74)&gt;0</formula>
    </cfRule>
    <cfRule type="expression" priority="1308" dxfId="55">
      <formula>SEARCH("INTERROTTO",$M74)&gt;0</formula>
    </cfRule>
  </conditionalFormatting>
  <conditionalFormatting sqref="M74">
    <cfRule type="expression" priority="1291" dxfId="60">
      <formula>SEARCH("IN CORSO",$M74)&gt;0</formula>
    </cfRule>
    <cfRule type="expression" priority="1292" dxfId="59">
      <formula>SEARCH("CHIUSO",$M74)&gt;0</formula>
    </cfRule>
    <cfRule type="expression" priority="1293" dxfId="58">
      <formula>SEARCH("EMESSO",$M74)&gt;0</formula>
    </cfRule>
    <cfRule type="expression" priority="1294" dxfId="57">
      <formula>SEARCH("RICHIESTO",$M74)&gt;0</formula>
    </cfRule>
    <cfRule type="expression" priority="1295" dxfId="56">
      <formula>SEARCH("DA CHIUDERE",$M74)&gt;0</formula>
    </cfRule>
    <cfRule type="expression" priority="1296" dxfId="55">
      <formula>SEARCH("INTERROTTO",$M74)&gt;0</formula>
    </cfRule>
  </conditionalFormatting>
  <conditionalFormatting sqref="G73">
    <cfRule type="expression" priority="1279" dxfId="60">
      <formula>SEARCH("IN CORSO",$M73)&gt;0</formula>
    </cfRule>
    <cfRule type="expression" priority="1280" dxfId="59">
      <formula>SEARCH("CHIUSO",$M73)&gt;0</formula>
    </cfRule>
    <cfRule type="expression" priority="1281" dxfId="58">
      <formula>SEARCH("EMESSO",$M73)&gt;0</formula>
    </cfRule>
    <cfRule type="expression" priority="1282" dxfId="57">
      <formula>SEARCH("RICHIESTO",$M73)&gt;0</formula>
    </cfRule>
    <cfRule type="expression" priority="1283" dxfId="56">
      <formula>SEARCH("DA CHIUDERE",$M73)&gt;0</formula>
    </cfRule>
    <cfRule type="expression" priority="1284" dxfId="55">
      <formula>SEARCH("INTERROTTO",$M73)&gt;0</formula>
    </cfRule>
  </conditionalFormatting>
  <conditionalFormatting sqref="E73:F73 N73:S73">
    <cfRule type="expression" priority="1285" dxfId="60">
      <formula>SEARCH("IN CORSO",$M73)&gt;0</formula>
    </cfRule>
    <cfRule type="expression" priority="1286" dxfId="59">
      <formula>SEARCH("CHIUSO",$M73)&gt;0</formula>
    </cfRule>
    <cfRule type="expression" priority="1287" dxfId="58">
      <formula>SEARCH("EMESSO",$M73)&gt;0</formula>
    </cfRule>
    <cfRule type="expression" priority="1288" dxfId="57">
      <formula>SEARCH("RICHIESTO",$M73)&gt;0</formula>
    </cfRule>
    <cfRule type="expression" priority="1289" dxfId="56">
      <formula>SEARCH("DA CHIUDERE",$M73)&gt;0</formula>
    </cfRule>
    <cfRule type="expression" priority="1290" dxfId="55">
      <formula>SEARCH("INTERROTTO",$M73)&gt;0</formula>
    </cfRule>
  </conditionalFormatting>
  <conditionalFormatting sqref="M73">
    <cfRule type="expression" priority="1273" dxfId="60">
      <formula>SEARCH("IN CORSO",$M73)&gt;0</formula>
    </cfRule>
    <cfRule type="expression" priority="1274" dxfId="59">
      <formula>SEARCH("CHIUSO",$M73)&gt;0</formula>
    </cfRule>
    <cfRule type="expression" priority="1275" dxfId="58">
      <formula>SEARCH("EMESSO",$M73)&gt;0</formula>
    </cfRule>
    <cfRule type="expression" priority="1276" dxfId="57">
      <formula>SEARCH("RICHIESTO",$M73)&gt;0</formula>
    </cfRule>
    <cfRule type="expression" priority="1277" dxfId="56">
      <formula>SEARCH("DA CHIUDERE",$M73)&gt;0</formula>
    </cfRule>
    <cfRule type="expression" priority="1278" dxfId="55">
      <formula>SEARCH("INTERROTTO",$M73)&gt;0</formula>
    </cfRule>
  </conditionalFormatting>
  <conditionalFormatting sqref="G72">
    <cfRule type="expression" priority="1261" dxfId="60">
      <formula>SEARCH("IN CORSO",$M72)&gt;0</formula>
    </cfRule>
    <cfRule type="expression" priority="1262" dxfId="59">
      <formula>SEARCH("CHIUSO",$M72)&gt;0</formula>
    </cfRule>
    <cfRule type="expression" priority="1263" dxfId="58">
      <formula>SEARCH("EMESSO",$M72)&gt;0</formula>
    </cfRule>
    <cfRule type="expression" priority="1264" dxfId="57">
      <formula>SEARCH("RICHIESTO",$M72)&gt;0</formula>
    </cfRule>
    <cfRule type="expression" priority="1265" dxfId="56">
      <formula>SEARCH("DA CHIUDERE",$M72)&gt;0</formula>
    </cfRule>
    <cfRule type="expression" priority="1266" dxfId="55">
      <formula>SEARCH("INTERROTTO",$M72)&gt;0</formula>
    </cfRule>
  </conditionalFormatting>
  <conditionalFormatting sqref="E72:F72 N72:S72">
    <cfRule type="expression" priority="1267" dxfId="60">
      <formula>SEARCH("IN CORSO",$M72)&gt;0</formula>
    </cfRule>
    <cfRule type="expression" priority="1268" dxfId="59">
      <formula>SEARCH("CHIUSO",$M72)&gt;0</formula>
    </cfRule>
    <cfRule type="expression" priority="1269" dxfId="58">
      <formula>SEARCH("EMESSO",$M72)&gt;0</formula>
    </cfRule>
    <cfRule type="expression" priority="1270" dxfId="57">
      <formula>SEARCH("RICHIESTO",$M72)&gt;0</formula>
    </cfRule>
    <cfRule type="expression" priority="1271" dxfId="56">
      <formula>SEARCH("DA CHIUDERE",$M72)&gt;0</formula>
    </cfRule>
    <cfRule type="expression" priority="1272" dxfId="55">
      <formula>SEARCH("INTERROTTO",$M72)&gt;0</formula>
    </cfRule>
  </conditionalFormatting>
  <conditionalFormatting sqref="M72">
    <cfRule type="expression" priority="1255" dxfId="60">
      <formula>SEARCH("IN CORSO",$M72)&gt;0</formula>
    </cfRule>
    <cfRule type="expression" priority="1256" dxfId="59">
      <formula>SEARCH("CHIUSO",$M72)&gt;0</formula>
    </cfRule>
    <cfRule type="expression" priority="1257" dxfId="58">
      <formula>SEARCH("EMESSO",$M72)&gt;0</formula>
    </cfRule>
    <cfRule type="expression" priority="1258" dxfId="57">
      <formula>SEARCH("RICHIESTO",$M72)&gt;0</formula>
    </cfRule>
    <cfRule type="expression" priority="1259" dxfId="56">
      <formula>SEARCH("DA CHIUDERE",$M72)&gt;0</formula>
    </cfRule>
    <cfRule type="expression" priority="1260" dxfId="55">
      <formula>SEARCH("INTERROTTO",$M72)&gt;0</formula>
    </cfRule>
  </conditionalFormatting>
  <conditionalFormatting sqref="G71">
    <cfRule type="expression" priority="1243" dxfId="60">
      <formula>SEARCH("IN CORSO",$M71)&gt;0</formula>
    </cfRule>
    <cfRule type="expression" priority="1244" dxfId="59">
      <formula>SEARCH("CHIUSO",$M71)&gt;0</formula>
    </cfRule>
    <cfRule type="expression" priority="1245" dxfId="58">
      <formula>SEARCH("EMESSO",$M71)&gt;0</formula>
    </cfRule>
    <cfRule type="expression" priority="1246" dxfId="57">
      <formula>SEARCH("RICHIESTO",$M71)&gt;0</formula>
    </cfRule>
    <cfRule type="expression" priority="1247" dxfId="56">
      <formula>SEARCH("DA CHIUDERE",$M71)&gt;0</formula>
    </cfRule>
    <cfRule type="expression" priority="1248" dxfId="55">
      <formula>SEARCH("INTERROTTO",$M71)&gt;0</formula>
    </cfRule>
  </conditionalFormatting>
  <conditionalFormatting sqref="E71:F71 N71:S71">
    <cfRule type="expression" priority="1249" dxfId="60">
      <formula>SEARCH("IN CORSO",$M71)&gt;0</formula>
    </cfRule>
    <cfRule type="expression" priority="1250" dxfId="59">
      <formula>SEARCH("CHIUSO",$M71)&gt;0</formula>
    </cfRule>
    <cfRule type="expression" priority="1251" dxfId="58">
      <formula>SEARCH("EMESSO",$M71)&gt;0</formula>
    </cfRule>
    <cfRule type="expression" priority="1252" dxfId="57">
      <formula>SEARCH("RICHIESTO",$M71)&gt;0</formula>
    </cfRule>
    <cfRule type="expression" priority="1253" dxfId="56">
      <formula>SEARCH("DA CHIUDERE",$M71)&gt;0</formula>
    </cfRule>
    <cfRule type="expression" priority="1254" dxfId="55">
      <formula>SEARCH("INTERROTTO",$M71)&gt;0</formula>
    </cfRule>
  </conditionalFormatting>
  <conditionalFormatting sqref="M71">
    <cfRule type="expression" priority="1237" dxfId="60">
      <formula>SEARCH("IN CORSO",$M71)&gt;0</formula>
    </cfRule>
    <cfRule type="expression" priority="1238" dxfId="59">
      <formula>SEARCH("CHIUSO",$M71)&gt;0</formula>
    </cfRule>
    <cfRule type="expression" priority="1239" dxfId="58">
      <formula>SEARCH("EMESSO",$M71)&gt;0</formula>
    </cfRule>
    <cfRule type="expression" priority="1240" dxfId="57">
      <formula>SEARCH("RICHIESTO",$M71)&gt;0</formula>
    </cfRule>
    <cfRule type="expression" priority="1241" dxfId="56">
      <formula>SEARCH("DA CHIUDERE",$M71)&gt;0</formula>
    </cfRule>
    <cfRule type="expression" priority="1242" dxfId="55">
      <formula>SEARCH("INTERROTTO",$M71)&gt;0</formula>
    </cfRule>
  </conditionalFormatting>
  <conditionalFormatting sqref="G70">
    <cfRule type="expression" priority="1225" dxfId="60">
      <formula>SEARCH("IN CORSO",$M70)&gt;0</formula>
    </cfRule>
    <cfRule type="expression" priority="1226" dxfId="59">
      <formula>SEARCH("CHIUSO",$M70)&gt;0</formula>
    </cfRule>
    <cfRule type="expression" priority="1227" dxfId="58">
      <formula>SEARCH("EMESSO",$M70)&gt;0</formula>
    </cfRule>
    <cfRule type="expression" priority="1228" dxfId="57">
      <formula>SEARCH("RICHIESTO",$M70)&gt;0</formula>
    </cfRule>
    <cfRule type="expression" priority="1229" dxfId="56">
      <formula>SEARCH("DA CHIUDERE",$M70)&gt;0</formula>
    </cfRule>
    <cfRule type="expression" priority="1230" dxfId="55">
      <formula>SEARCH("INTERROTTO",$M70)&gt;0</formula>
    </cfRule>
  </conditionalFormatting>
  <conditionalFormatting sqref="E70:F70 N70:S70">
    <cfRule type="expression" priority="1231" dxfId="60">
      <formula>SEARCH("IN CORSO",$M70)&gt;0</formula>
    </cfRule>
    <cfRule type="expression" priority="1232" dxfId="59">
      <formula>SEARCH("CHIUSO",$M70)&gt;0</formula>
    </cfRule>
    <cfRule type="expression" priority="1233" dxfId="58">
      <formula>SEARCH("EMESSO",$M70)&gt;0</formula>
    </cfRule>
    <cfRule type="expression" priority="1234" dxfId="57">
      <formula>SEARCH("RICHIESTO",$M70)&gt;0</formula>
    </cfRule>
    <cfRule type="expression" priority="1235" dxfId="56">
      <formula>SEARCH("DA CHIUDERE",$M70)&gt;0</formula>
    </cfRule>
    <cfRule type="expression" priority="1236" dxfId="55">
      <formula>SEARCH("INTERROTTO",$M70)&gt;0</formula>
    </cfRule>
  </conditionalFormatting>
  <conditionalFormatting sqref="M70">
    <cfRule type="expression" priority="1219" dxfId="60">
      <formula>SEARCH("IN CORSO",$M70)&gt;0</formula>
    </cfRule>
    <cfRule type="expression" priority="1220" dxfId="59">
      <formula>SEARCH("CHIUSO",$M70)&gt;0</formula>
    </cfRule>
    <cfRule type="expression" priority="1221" dxfId="58">
      <formula>SEARCH("EMESSO",$M70)&gt;0</formula>
    </cfRule>
    <cfRule type="expression" priority="1222" dxfId="57">
      <formula>SEARCH("RICHIESTO",$M70)&gt;0</formula>
    </cfRule>
    <cfRule type="expression" priority="1223" dxfId="56">
      <formula>SEARCH("DA CHIUDERE",$M70)&gt;0</formula>
    </cfRule>
    <cfRule type="expression" priority="1224" dxfId="55">
      <formula>SEARCH("INTERROTTO",$M70)&gt;0</formula>
    </cfRule>
  </conditionalFormatting>
  <conditionalFormatting sqref="G69">
    <cfRule type="expression" priority="1207" dxfId="60">
      <formula>SEARCH("IN CORSO",$M69)&gt;0</formula>
    </cfRule>
    <cfRule type="expression" priority="1208" dxfId="59">
      <formula>SEARCH("CHIUSO",$M69)&gt;0</formula>
    </cfRule>
    <cfRule type="expression" priority="1209" dxfId="58">
      <formula>SEARCH("EMESSO",$M69)&gt;0</formula>
    </cfRule>
    <cfRule type="expression" priority="1210" dxfId="57">
      <formula>SEARCH("RICHIESTO",$M69)&gt;0</formula>
    </cfRule>
    <cfRule type="expression" priority="1211" dxfId="56">
      <formula>SEARCH("DA CHIUDERE",$M69)&gt;0</formula>
    </cfRule>
    <cfRule type="expression" priority="1212" dxfId="55">
      <formula>SEARCH("INTERROTTO",$M69)&gt;0</formula>
    </cfRule>
  </conditionalFormatting>
  <conditionalFormatting sqref="E69:F69 N69:S69">
    <cfRule type="expression" priority="1213" dxfId="60">
      <formula>SEARCH("IN CORSO",$M69)&gt;0</formula>
    </cfRule>
    <cfRule type="expression" priority="1214" dxfId="59">
      <formula>SEARCH("CHIUSO",$M69)&gt;0</formula>
    </cfRule>
    <cfRule type="expression" priority="1215" dxfId="58">
      <formula>SEARCH("EMESSO",$M69)&gt;0</formula>
    </cfRule>
    <cfRule type="expression" priority="1216" dxfId="57">
      <formula>SEARCH("RICHIESTO",$M69)&gt;0</formula>
    </cfRule>
    <cfRule type="expression" priority="1217" dxfId="56">
      <formula>SEARCH("DA CHIUDERE",$M69)&gt;0</formula>
    </cfRule>
    <cfRule type="expression" priority="1218" dxfId="55">
      <formula>SEARCH("INTERROTTO",$M69)&gt;0</formula>
    </cfRule>
  </conditionalFormatting>
  <conditionalFormatting sqref="M69">
    <cfRule type="expression" priority="1201" dxfId="60">
      <formula>SEARCH("IN CORSO",$M69)&gt;0</formula>
    </cfRule>
    <cfRule type="expression" priority="1202" dxfId="59">
      <formula>SEARCH("CHIUSO",$M69)&gt;0</formula>
    </cfRule>
    <cfRule type="expression" priority="1203" dxfId="58">
      <formula>SEARCH("EMESSO",$M69)&gt;0</formula>
    </cfRule>
    <cfRule type="expression" priority="1204" dxfId="57">
      <formula>SEARCH("RICHIESTO",$M69)&gt;0</formula>
    </cfRule>
    <cfRule type="expression" priority="1205" dxfId="56">
      <formula>SEARCH("DA CHIUDERE",$M69)&gt;0</formula>
    </cfRule>
    <cfRule type="expression" priority="1206" dxfId="55">
      <formula>SEARCH("INTERROTTO",$M69)&gt;0</formula>
    </cfRule>
  </conditionalFormatting>
  <conditionalFormatting sqref="G68">
    <cfRule type="expression" priority="1189" dxfId="60">
      <formula>SEARCH("IN CORSO",$M68)&gt;0</formula>
    </cfRule>
    <cfRule type="expression" priority="1190" dxfId="59">
      <formula>SEARCH("CHIUSO",$M68)&gt;0</formula>
    </cfRule>
    <cfRule type="expression" priority="1191" dxfId="58">
      <formula>SEARCH("EMESSO",$M68)&gt;0</formula>
    </cfRule>
    <cfRule type="expression" priority="1192" dxfId="57">
      <formula>SEARCH("RICHIESTO",$M68)&gt;0</formula>
    </cfRule>
    <cfRule type="expression" priority="1193" dxfId="56">
      <formula>SEARCH("DA CHIUDERE",$M68)&gt;0</formula>
    </cfRule>
    <cfRule type="expression" priority="1194" dxfId="55">
      <formula>SEARCH("INTERROTTO",$M68)&gt;0</formula>
    </cfRule>
  </conditionalFormatting>
  <conditionalFormatting sqref="E68:F68 N68:S68">
    <cfRule type="expression" priority="1195" dxfId="60">
      <formula>SEARCH("IN CORSO",$M68)&gt;0</formula>
    </cfRule>
    <cfRule type="expression" priority="1196" dxfId="59">
      <formula>SEARCH("CHIUSO",$M68)&gt;0</formula>
    </cfRule>
    <cfRule type="expression" priority="1197" dxfId="58">
      <formula>SEARCH("EMESSO",$M68)&gt;0</formula>
    </cfRule>
    <cfRule type="expression" priority="1198" dxfId="57">
      <formula>SEARCH("RICHIESTO",$M68)&gt;0</formula>
    </cfRule>
    <cfRule type="expression" priority="1199" dxfId="56">
      <formula>SEARCH("DA CHIUDERE",$M68)&gt;0</formula>
    </cfRule>
    <cfRule type="expression" priority="1200" dxfId="55">
      <formula>SEARCH("INTERROTTO",$M68)&gt;0</formula>
    </cfRule>
  </conditionalFormatting>
  <conditionalFormatting sqref="M68">
    <cfRule type="expression" priority="1183" dxfId="60">
      <formula>SEARCH("IN CORSO",$M68)&gt;0</formula>
    </cfRule>
    <cfRule type="expression" priority="1184" dxfId="59">
      <formula>SEARCH("CHIUSO",$M68)&gt;0</formula>
    </cfRule>
    <cfRule type="expression" priority="1185" dxfId="58">
      <formula>SEARCH("EMESSO",$M68)&gt;0</formula>
    </cfRule>
    <cfRule type="expression" priority="1186" dxfId="57">
      <formula>SEARCH("RICHIESTO",$M68)&gt;0</formula>
    </cfRule>
    <cfRule type="expression" priority="1187" dxfId="56">
      <formula>SEARCH("DA CHIUDERE",$M68)&gt;0</formula>
    </cfRule>
    <cfRule type="expression" priority="1188" dxfId="55">
      <formula>SEARCH("INTERROTTO",$M68)&gt;0</formula>
    </cfRule>
  </conditionalFormatting>
  <conditionalFormatting sqref="G67">
    <cfRule type="expression" priority="1171" dxfId="60">
      <formula>SEARCH("IN CORSO",$M67)&gt;0</formula>
    </cfRule>
    <cfRule type="expression" priority="1172" dxfId="59">
      <formula>SEARCH("CHIUSO",$M67)&gt;0</formula>
    </cfRule>
    <cfRule type="expression" priority="1173" dxfId="58">
      <formula>SEARCH("EMESSO",$M67)&gt;0</formula>
    </cfRule>
    <cfRule type="expression" priority="1174" dxfId="57">
      <formula>SEARCH("RICHIESTO",$M67)&gt;0</formula>
    </cfRule>
    <cfRule type="expression" priority="1175" dxfId="56">
      <formula>SEARCH("DA CHIUDERE",$M67)&gt;0</formula>
    </cfRule>
    <cfRule type="expression" priority="1176" dxfId="55">
      <formula>SEARCH("INTERROTTO",$M67)&gt;0</formula>
    </cfRule>
  </conditionalFormatting>
  <conditionalFormatting sqref="E67:F67 N67:S67">
    <cfRule type="expression" priority="1177" dxfId="60">
      <formula>SEARCH("IN CORSO",$M67)&gt;0</formula>
    </cfRule>
    <cfRule type="expression" priority="1178" dxfId="59">
      <formula>SEARCH("CHIUSO",$M67)&gt;0</formula>
    </cfRule>
    <cfRule type="expression" priority="1179" dxfId="58">
      <formula>SEARCH("EMESSO",$M67)&gt;0</formula>
    </cfRule>
    <cfRule type="expression" priority="1180" dxfId="57">
      <formula>SEARCH("RICHIESTO",$M67)&gt;0</formula>
    </cfRule>
    <cfRule type="expression" priority="1181" dxfId="56">
      <formula>SEARCH("DA CHIUDERE",$M67)&gt;0</formula>
    </cfRule>
    <cfRule type="expression" priority="1182" dxfId="55">
      <formula>SEARCH("INTERROTTO",$M67)&gt;0</formula>
    </cfRule>
  </conditionalFormatting>
  <conditionalFormatting sqref="M67">
    <cfRule type="expression" priority="1165" dxfId="60">
      <formula>SEARCH("IN CORSO",$M67)&gt;0</formula>
    </cfRule>
    <cfRule type="expression" priority="1166" dxfId="59">
      <formula>SEARCH("CHIUSO",$M67)&gt;0</formula>
    </cfRule>
    <cfRule type="expression" priority="1167" dxfId="58">
      <formula>SEARCH("EMESSO",$M67)&gt;0</formula>
    </cfRule>
    <cfRule type="expression" priority="1168" dxfId="57">
      <formula>SEARCH("RICHIESTO",$M67)&gt;0</formula>
    </cfRule>
    <cfRule type="expression" priority="1169" dxfId="56">
      <formula>SEARCH("DA CHIUDERE",$M67)&gt;0</formula>
    </cfRule>
    <cfRule type="expression" priority="1170" dxfId="55">
      <formula>SEARCH("INTERROTTO",$M67)&gt;0</formula>
    </cfRule>
  </conditionalFormatting>
  <conditionalFormatting sqref="G66">
    <cfRule type="expression" priority="1153" dxfId="60">
      <formula>SEARCH("IN CORSO",$M66)&gt;0</formula>
    </cfRule>
    <cfRule type="expression" priority="1154" dxfId="59">
      <formula>SEARCH("CHIUSO",$M66)&gt;0</formula>
    </cfRule>
    <cfRule type="expression" priority="1155" dxfId="58">
      <formula>SEARCH("EMESSO",$M66)&gt;0</formula>
    </cfRule>
    <cfRule type="expression" priority="1156" dxfId="57">
      <formula>SEARCH("RICHIESTO",$M66)&gt;0</formula>
    </cfRule>
    <cfRule type="expression" priority="1157" dxfId="56">
      <formula>SEARCH("DA CHIUDERE",$M66)&gt;0</formula>
    </cfRule>
    <cfRule type="expression" priority="1158" dxfId="55">
      <formula>SEARCH("INTERROTTO",$M66)&gt;0</formula>
    </cfRule>
  </conditionalFormatting>
  <conditionalFormatting sqref="E66:F66 N66:S66">
    <cfRule type="expression" priority="1159" dxfId="60">
      <formula>SEARCH("IN CORSO",$M66)&gt;0</formula>
    </cfRule>
    <cfRule type="expression" priority="1160" dxfId="59">
      <formula>SEARCH("CHIUSO",$M66)&gt;0</formula>
    </cfRule>
    <cfRule type="expression" priority="1161" dxfId="58">
      <formula>SEARCH("EMESSO",$M66)&gt;0</formula>
    </cfRule>
    <cfRule type="expression" priority="1162" dxfId="57">
      <formula>SEARCH("RICHIESTO",$M66)&gt;0</formula>
    </cfRule>
    <cfRule type="expression" priority="1163" dxfId="56">
      <formula>SEARCH("DA CHIUDERE",$M66)&gt;0</formula>
    </cfRule>
    <cfRule type="expression" priority="1164" dxfId="55">
      <formula>SEARCH("INTERROTTO",$M66)&gt;0</formula>
    </cfRule>
  </conditionalFormatting>
  <conditionalFormatting sqref="M66">
    <cfRule type="expression" priority="1147" dxfId="60">
      <formula>SEARCH("IN CORSO",$M66)&gt;0</formula>
    </cfRule>
    <cfRule type="expression" priority="1148" dxfId="59">
      <formula>SEARCH("CHIUSO",$M66)&gt;0</formula>
    </cfRule>
    <cfRule type="expression" priority="1149" dxfId="58">
      <formula>SEARCH("EMESSO",$M66)&gt;0</formula>
    </cfRule>
    <cfRule type="expression" priority="1150" dxfId="57">
      <formula>SEARCH("RICHIESTO",$M66)&gt;0</formula>
    </cfRule>
    <cfRule type="expression" priority="1151" dxfId="56">
      <formula>SEARCH("DA CHIUDERE",$M66)&gt;0</formula>
    </cfRule>
    <cfRule type="expression" priority="1152" dxfId="55">
      <formula>SEARCH("INTERROTTO",$M66)&gt;0</formula>
    </cfRule>
  </conditionalFormatting>
  <conditionalFormatting sqref="G65">
    <cfRule type="expression" priority="1135" dxfId="60">
      <formula>SEARCH("IN CORSO",$M65)&gt;0</formula>
    </cfRule>
    <cfRule type="expression" priority="1136" dxfId="59">
      <formula>SEARCH("CHIUSO",$M65)&gt;0</formula>
    </cfRule>
    <cfRule type="expression" priority="1137" dxfId="58">
      <formula>SEARCH("EMESSO",$M65)&gt;0</formula>
    </cfRule>
    <cfRule type="expression" priority="1138" dxfId="57">
      <formula>SEARCH("RICHIESTO",$M65)&gt;0</formula>
    </cfRule>
    <cfRule type="expression" priority="1139" dxfId="56">
      <formula>SEARCH("DA CHIUDERE",$M65)&gt;0</formula>
    </cfRule>
    <cfRule type="expression" priority="1140" dxfId="55">
      <formula>SEARCH("INTERROTTO",$M65)&gt;0</formula>
    </cfRule>
  </conditionalFormatting>
  <conditionalFormatting sqref="E65:F65 N65:S65">
    <cfRule type="expression" priority="1141" dxfId="60">
      <formula>SEARCH("IN CORSO",$M65)&gt;0</formula>
    </cfRule>
    <cfRule type="expression" priority="1142" dxfId="59">
      <formula>SEARCH("CHIUSO",$M65)&gt;0</formula>
    </cfRule>
    <cfRule type="expression" priority="1143" dxfId="58">
      <formula>SEARCH("EMESSO",$M65)&gt;0</formula>
    </cfRule>
    <cfRule type="expression" priority="1144" dxfId="57">
      <formula>SEARCH("RICHIESTO",$M65)&gt;0</formula>
    </cfRule>
    <cfRule type="expression" priority="1145" dxfId="56">
      <formula>SEARCH("DA CHIUDERE",$M65)&gt;0</formula>
    </cfRule>
    <cfRule type="expression" priority="1146" dxfId="55">
      <formula>SEARCH("INTERROTTO",$M65)&gt;0</formula>
    </cfRule>
  </conditionalFormatting>
  <conditionalFormatting sqref="M65">
    <cfRule type="expression" priority="1129" dxfId="60">
      <formula>SEARCH("IN CORSO",$M65)&gt;0</formula>
    </cfRule>
    <cfRule type="expression" priority="1130" dxfId="59">
      <formula>SEARCH("CHIUSO",$M65)&gt;0</formula>
    </cfRule>
    <cfRule type="expression" priority="1131" dxfId="58">
      <formula>SEARCH("EMESSO",$M65)&gt;0</formula>
    </cfRule>
    <cfRule type="expression" priority="1132" dxfId="57">
      <formula>SEARCH("RICHIESTO",$M65)&gt;0</formula>
    </cfRule>
    <cfRule type="expression" priority="1133" dxfId="56">
      <formula>SEARCH("DA CHIUDERE",$M65)&gt;0</formula>
    </cfRule>
    <cfRule type="expression" priority="1134" dxfId="55">
      <formula>SEARCH("INTERROTTO",$M65)&gt;0</formula>
    </cfRule>
  </conditionalFormatting>
  <conditionalFormatting sqref="G64">
    <cfRule type="expression" priority="1117" dxfId="60">
      <formula>SEARCH("IN CORSO",$M64)&gt;0</formula>
    </cfRule>
    <cfRule type="expression" priority="1118" dxfId="59">
      <formula>SEARCH("CHIUSO",$M64)&gt;0</formula>
    </cfRule>
    <cfRule type="expression" priority="1119" dxfId="58">
      <formula>SEARCH("EMESSO",$M64)&gt;0</formula>
    </cfRule>
    <cfRule type="expression" priority="1120" dxfId="57">
      <formula>SEARCH("RICHIESTO",$M64)&gt;0</formula>
    </cfRule>
    <cfRule type="expression" priority="1121" dxfId="56">
      <formula>SEARCH("DA CHIUDERE",$M64)&gt;0</formula>
    </cfRule>
    <cfRule type="expression" priority="1122" dxfId="55">
      <formula>SEARCH("INTERROTTO",$M64)&gt;0</formula>
    </cfRule>
  </conditionalFormatting>
  <conditionalFormatting sqref="E64:F64 N64:S64">
    <cfRule type="expression" priority="1123" dxfId="60">
      <formula>SEARCH("IN CORSO",$M64)&gt;0</formula>
    </cfRule>
    <cfRule type="expression" priority="1124" dxfId="59">
      <formula>SEARCH("CHIUSO",$M64)&gt;0</formula>
    </cfRule>
    <cfRule type="expression" priority="1125" dxfId="58">
      <formula>SEARCH("EMESSO",$M64)&gt;0</formula>
    </cfRule>
    <cfRule type="expression" priority="1126" dxfId="57">
      <formula>SEARCH("RICHIESTO",$M64)&gt;0</formula>
    </cfRule>
    <cfRule type="expression" priority="1127" dxfId="56">
      <formula>SEARCH("DA CHIUDERE",$M64)&gt;0</formula>
    </cfRule>
    <cfRule type="expression" priority="1128" dxfId="55">
      <formula>SEARCH("INTERROTTO",$M64)&gt;0</formula>
    </cfRule>
  </conditionalFormatting>
  <conditionalFormatting sqref="M64">
    <cfRule type="expression" priority="1111" dxfId="60">
      <formula>SEARCH("IN CORSO",$M64)&gt;0</formula>
    </cfRule>
    <cfRule type="expression" priority="1112" dxfId="59">
      <formula>SEARCH("CHIUSO",$M64)&gt;0</formula>
    </cfRule>
    <cfRule type="expression" priority="1113" dxfId="58">
      <formula>SEARCH("EMESSO",$M64)&gt;0</formula>
    </cfRule>
    <cfRule type="expression" priority="1114" dxfId="57">
      <formula>SEARCH("RICHIESTO",$M64)&gt;0</formula>
    </cfRule>
    <cfRule type="expression" priority="1115" dxfId="56">
      <formula>SEARCH("DA CHIUDERE",$M64)&gt;0</formula>
    </cfRule>
    <cfRule type="expression" priority="1116" dxfId="55">
      <formula>SEARCH("INTERROTTO",$M64)&gt;0</formula>
    </cfRule>
  </conditionalFormatting>
  <conditionalFormatting sqref="G63">
    <cfRule type="expression" priority="1099" dxfId="60">
      <formula>SEARCH("IN CORSO",$M63)&gt;0</formula>
    </cfRule>
    <cfRule type="expression" priority="1100" dxfId="59">
      <formula>SEARCH("CHIUSO",$M63)&gt;0</formula>
    </cfRule>
    <cfRule type="expression" priority="1101" dxfId="58">
      <formula>SEARCH("EMESSO",$M63)&gt;0</formula>
    </cfRule>
    <cfRule type="expression" priority="1102" dxfId="57">
      <formula>SEARCH("RICHIESTO",$M63)&gt;0</formula>
    </cfRule>
    <cfRule type="expression" priority="1103" dxfId="56">
      <formula>SEARCH("DA CHIUDERE",$M63)&gt;0</formula>
    </cfRule>
    <cfRule type="expression" priority="1104" dxfId="55">
      <formula>SEARCH("INTERROTTO",$M63)&gt;0</formula>
    </cfRule>
  </conditionalFormatting>
  <conditionalFormatting sqref="E63:F63 N63:S63">
    <cfRule type="expression" priority="1105" dxfId="60">
      <formula>SEARCH("IN CORSO",$M63)&gt;0</formula>
    </cfRule>
    <cfRule type="expression" priority="1106" dxfId="59">
      <formula>SEARCH("CHIUSO",$M63)&gt;0</formula>
    </cfRule>
    <cfRule type="expression" priority="1107" dxfId="58">
      <formula>SEARCH("EMESSO",$M63)&gt;0</formula>
    </cfRule>
    <cfRule type="expression" priority="1108" dxfId="57">
      <formula>SEARCH("RICHIESTO",$M63)&gt;0</formula>
    </cfRule>
    <cfRule type="expression" priority="1109" dxfId="56">
      <formula>SEARCH("DA CHIUDERE",$M63)&gt;0</formula>
    </cfRule>
    <cfRule type="expression" priority="1110" dxfId="55">
      <formula>SEARCH("INTERROTTO",$M63)&gt;0</formula>
    </cfRule>
  </conditionalFormatting>
  <conditionalFormatting sqref="M63">
    <cfRule type="expression" priority="1093" dxfId="60">
      <formula>SEARCH("IN CORSO",$M63)&gt;0</formula>
    </cfRule>
    <cfRule type="expression" priority="1094" dxfId="59">
      <formula>SEARCH("CHIUSO",$M63)&gt;0</formula>
    </cfRule>
    <cfRule type="expression" priority="1095" dxfId="58">
      <formula>SEARCH("EMESSO",$M63)&gt;0</formula>
    </cfRule>
    <cfRule type="expression" priority="1096" dxfId="57">
      <formula>SEARCH("RICHIESTO",$M63)&gt;0</formula>
    </cfRule>
    <cfRule type="expression" priority="1097" dxfId="56">
      <formula>SEARCH("DA CHIUDERE",$M63)&gt;0</formula>
    </cfRule>
    <cfRule type="expression" priority="1098" dxfId="55">
      <formula>SEARCH("INTERROTTO",$M63)&gt;0</formula>
    </cfRule>
  </conditionalFormatting>
  <conditionalFormatting sqref="G62">
    <cfRule type="expression" priority="1081" dxfId="60">
      <formula>SEARCH("IN CORSO",$M62)&gt;0</formula>
    </cfRule>
    <cfRule type="expression" priority="1082" dxfId="59">
      <formula>SEARCH("CHIUSO",$M62)&gt;0</formula>
    </cfRule>
    <cfRule type="expression" priority="1083" dxfId="58">
      <formula>SEARCH("EMESSO",$M62)&gt;0</formula>
    </cfRule>
    <cfRule type="expression" priority="1084" dxfId="57">
      <formula>SEARCH("RICHIESTO",$M62)&gt;0</formula>
    </cfRule>
    <cfRule type="expression" priority="1085" dxfId="56">
      <formula>SEARCH("DA CHIUDERE",$M62)&gt;0</formula>
    </cfRule>
    <cfRule type="expression" priority="1086" dxfId="55">
      <formula>SEARCH("INTERROTTO",$M62)&gt;0</formula>
    </cfRule>
  </conditionalFormatting>
  <conditionalFormatting sqref="E62:F62 N62:S62">
    <cfRule type="expression" priority="1087" dxfId="60">
      <formula>SEARCH("IN CORSO",$M62)&gt;0</formula>
    </cfRule>
    <cfRule type="expression" priority="1088" dxfId="59">
      <formula>SEARCH("CHIUSO",$M62)&gt;0</formula>
    </cfRule>
    <cfRule type="expression" priority="1089" dxfId="58">
      <formula>SEARCH("EMESSO",$M62)&gt;0</formula>
    </cfRule>
    <cfRule type="expression" priority="1090" dxfId="57">
      <formula>SEARCH("RICHIESTO",$M62)&gt;0</formula>
    </cfRule>
    <cfRule type="expression" priority="1091" dxfId="56">
      <formula>SEARCH("DA CHIUDERE",$M62)&gt;0</formula>
    </cfRule>
    <cfRule type="expression" priority="1092" dxfId="55">
      <formula>SEARCH("INTERROTTO",$M62)&gt;0</formula>
    </cfRule>
  </conditionalFormatting>
  <conditionalFormatting sqref="M62">
    <cfRule type="expression" priority="1075" dxfId="60">
      <formula>SEARCH("IN CORSO",$M62)&gt;0</formula>
    </cfRule>
    <cfRule type="expression" priority="1076" dxfId="59">
      <formula>SEARCH("CHIUSO",$M62)&gt;0</formula>
    </cfRule>
    <cfRule type="expression" priority="1077" dxfId="58">
      <formula>SEARCH("EMESSO",$M62)&gt;0</formula>
    </cfRule>
    <cfRule type="expression" priority="1078" dxfId="57">
      <formula>SEARCH("RICHIESTO",$M62)&gt;0</formula>
    </cfRule>
    <cfRule type="expression" priority="1079" dxfId="56">
      <formula>SEARCH("DA CHIUDERE",$M62)&gt;0</formula>
    </cfRule>
    <cfRule type="expression" priority="1080" dxfId="55">
      <formula>SEARCH("INTERROTTO",$M62)&gt;0</formula>
    </cfRule>
  </conditionalFormatting>
  <conditionalFormatting sqref="G61">
    <cfRule type="expression" priority="1063" dxfId="60">
      <formula>SEARCH("IN CORSO",$M61)&gt;0</formula>
    </cfRule>
    <cfRule type="expression" priority="1064" dxfId="59">
      <formula>SEARCH("CHIUSO",$M61)&gt;0</formula>
    </cfRule>
    <cfRule type="expression" priority="1065" dxfId="58">
      <formula>SEARCH("EMESSO",$M61)&gt;0</formula>
    </cfRule>
    <cfRule type="expression" priority="1066" dxfId="57">
      <formula>SEARCH("RICHIESTO",$M61)&gt;0</formula>
    </cfRule>
    <cfRule type="expression" priority="1067" dxfId="56">
      <formula>SEARCH("DA CHIUDERE",$M61)&gt;0</formula>
    </cfRule>
    <cfRule type="expression" priority="1068" dxfId="55">
      <formula>SEARCH("INTERROTTO",$M61)&gt;0</formula>
    </cfRule>
  </conditionalFormatting>
  <conditionalFormatting sqref="E61:F61 N61:S61">
    <cfRule type="expression" priority="1069" dxfId="60">
      <formula>SEARCH("IN CORSO",$M61)&gt;0</formula>
    </cfRule>
    <cfRule type="expression" priority="1070" dxfId="59">
      <formula>SEARCH("CHIUSO",$M61)&gt;0</formula>
    </cfRule>
    <cfRule type="expression" priority="1071" dxfId="58">
      <formula>SEARCH("EMESSO",$M61)&gt;0</formula>
    </cfRule>
    <cfRule type="expression" priority="1072" dxfId="57">
      <formula>SEARCH("RICHIESTO",$M61)&gt;0</formula>
    </cfRule>
    <cfRule type="expression" priority="1073" dxfId="56">
      <formula>SEARCH("DA CHIUDERE",$M61)&gt;0</formula>
    </cfRule>
    <cfRule type="expression" priority="1074" dxfId="55">
      <formula>SEARCH("INTERROTTO",$M61)&gt;0</formula>
    </cfRule>
  </conditionalFormatting>
  <conditionalFormatting sqref="M61">
    <cfRule type="expression" priority="1057" dxfId="60">
      <formula>SEARCH("IN CORSO",$M61)&gt;0</formula>
    </cfRule>
    <cfRule type="expression" priority="1058" dxfId="59">
      <formula>SEARCH("CHIUSO",$M61)&gt;0</formula>
    </cfRule>
    <cfRule type="expression" priority="1059" dxfId="58">
      <formula>SEARCH("EMESSO",$M61)&gt;0</formula>
    </cfRule>
    <cfRule type="expression" priority="1060" dxfId="57">
      <formula>SEARCH("RICHIESTO",$M61)&gt;0</formula>
    </cfRule>
    <cfRule type="expression" priority="1061" dxfId="56">
      <formula>SEARCH("DA CHIUDERE",$M61)&gt;0</formula>
    </cfRule>
    <cfRule type="expression" priority="1062" dxfId="55">
      <formula>SEARCH("INTERROTTO",$M61)&gt;0</formula>
    </cfRule>
  </conditionalFormatting>
  <conditionalFormatting sqref="G60">
    <cfRule type="expression" priority="1045" dxfId="60">
      <formula>SEARCH("IN CORSO",$M60)&gt;0</formula>
    </cfRule>
    <cfRule type="expression" priority="1046" dxfId="59">
      <formula>SEARCH("CHIUSO",$M60)&gt;0</formula>
    </cfRule>
    <cfRule type="expression" priority="1047" dxfId="58">
      <formula>SEARCH("EMESSO",$M60)&gt;0</formula>
    </cfRule>
    <cfRule type="expression" priority="1048" dxfId="57">
      <formula>SEARCH("RICHIESTO",$M60)&gt;0</formula>
    </cfRule>
    <cfRule type="expression" priority="1049" dxfId="56">
      <formula>SEARCH("DA CHIUDERE",$M60)&gt;0</formula>
    </cfRule>
    <cfRule type="expression" priority="1050" dxfId="55">
      <formula>SEARCH("INTERROTTO",$M60)&gt;0</formula>
    </cfRule>
  </conditionalFormatting>
  <conditionalFormatting sqref="E60:F60 N60:S60">
    <cfRule type="expression" priority="1051" dxfId="60">
      <formula>SEARCH("IN CORSO",$M60)&gt;0</formula>
    </cfRule>
    <cfRule type="expression" priority="1052" dxfId="59">
      <formula>SEARCH("CHIUSO",$M60)&gt;0</formula>
    </cfRule>
    <cfRule type="expression" priority="1053" dxfId="58">
      <formula>SEARCH("EMESSO",$M60)&gt;0</formula>
    </cfRule>
    <cfRule type="expression" priority="1054" dxfId="57">
      <formula>SEARCH("RICHIESTO",$M60)&gt;0</formula>
    </cfRule>
    <cfRule type="expression" priority="1055" dxfId="56">
      <formula>SEARCH("DA CHIUDERE",$M60)&gt;0</formula>
    </cfRule>
    <cfRule type="expression" priority="1056" dxfId="55">
      <formula>SEARCH("INTERROTTO",$M60)&gt;0</formula>
    </cfRule>
  </conditionalFormatting>
  <conditionalFormatting sqref="M60">
    <cfRule type="expression" priority="1039" dxfId="60">
      <formula>SEARCH("IN CORSO",$M60)&gt;0</formula>
    </cfRule>
    <cfRule type="expression" priority="1040" dxfId="59">
      <formula>SEARCH("CHIUSO",$M60)&gt;0</formula>
    </cfRule>
    <cfRule type="expression" priority="1041" dxfId="58">
      <formula>SEARCH("EMESSO",$M60)&gt;0</formula>
    </cfRule>
    <cfRule type="expression" priority="1042" dxfId="57">
      <formula>SEARCH("RICHIESTO",$M60)&gt;0</formula>
    </cfRule>
    <cfRule type="expression" priority="1043" dxfId="56">
      <formula>SEARCH("DA CHIUDERE",$M60)&gt;0</formula>
    </cfRule>
    <cfRule type="expression" priority="1044" dxfId="55">
      <formula>SEARCH("INTERROTTO",$M60)&gt;0</formula>
    </cfRule>
  </conditionalFormatting>
  <conditionalFormatting sqref="G59">
    <cfRule type="expression" priority="1027" dxfId="60">
      <formula>SEARCH("IN CORSO",$M59)&gt;0</formula>
    </cfRule>
    <cfRule type="expression" priority="1028" dxfId="59">
      <formula>SEARCH("CHIUSO",$M59)&gt;0</formula>
    </cfRule>
    <cfRule type="expression" priority="1029" dxfId="58">
      <formula>SEARCH("EMESSO",$M59)&gt;0</formula>
    </cfRule>
    <cfRule type="expression" priority="1030" dxfId="57">
      <formula>SEARCH("RICHIESTO",$M59)&gt;0</formula>
    </cfRule>
    <cfRule type="expression" priority="1031" dxfId="56">
      <formula>SEARCH("DA CHIUDERE",$M59)&gt;0</formula>
    </cfRule>
    <cfRule type="expression" priority="1032" dxfId="55">
      <formula>SEARCH("INTERROTTO",$M59)&gt;0</formula>
    </cfRule>
  </conditionalFormatting>
  <conditionalFormatting sqref="E59:F59 N59:S59">
    <cfRule type="expression" priority="1033" dxfId="60">
      <formula>SEARCH("IN CORSO",$M59)&gt;0</formula>
    </cfRule>
    <cfRule type="expression" priority="1034" dxfId="59">
      <formula>SEARCH("CHIUSO",$M59)&gt;0</formula>
    </cfRule>
    <cfRule type="expression" priority="1035" dxfId="58">
      <formula>SEARCH("EMESSO",$M59)&gt;0</formula>
    </cfRule>
    <cfRule type="expression" priority="1036" dxfId="57">
      <formula>SEARCH("RICHIESTO",$M59)&gt;0</formula>
    </cfRule>
    <cfRule type="expression" priority="1037" dxfId="56">
      <formula>SEARCH("DA CHIUDERE",$M59)&gt;0</formula>
    </cfRule>
    <cfRule type="expression" priority="1038" dxfId="55">
      <formula>SEARCH("INTERROTTO",$M59)&gt;0</formula>
    </cfRule>
  </conditionalFormatting>
  <conditionalFormatting sqref="M59">
    <cfRule type="expression" priority="1021" dxfId="60">
      <formula>SEARCH("IN CORSO",$M59)&gt;0</formula>
    </cfRule>
    <cfRule type="expression" priority="1022" dxfId="59">
      <formula>SEARCH("CHIUSO",$M59)&gt;0</formula>
    </cfRule>
    <cfRule type="expression" priority="1023" dxfId="58">
      <formula>SEARCH("EMESSO",$M59)&gt;0</formula>
    </cfRule>
    <cfRule type="expression" priority="1024" dxfId="57">
      <formula>SEARCH("RICHIESTO",$M59)&gt;0</formula>
    </cfRule>
    <cfRule type="expression" priority="1025" dxfId="56">
      <formula>SEARCH("DA CHIUDERE",$M59)&gt;0</formula>
    </cfRule>
    <cfRule type="expression" priority="1026" dxfId="55">
      <formula>SEARCH("INTERROTTO",$M59)&gt;0</formula>
    </cfRule>
  </conditionalFormatting>
  <conditionalFormatting sqref="G58">
    <cfRule type="expression" priority="1009" dxfId="60">
      <formula>SEARCH("IN CORSO",$M58)&gt;0</formula>
    </cfRule>
    <cfRule type="expression" priority="1010" dxfId="59">
      <formula>SEARCH("CHIUSO",$M58)&gt;0</formula>
    </cfRule>
    <cfRule type="expression" priority="1011" dxfId="58">
      <formula>SEARCH("EMESSO",$M58)&gt;0</formula>
    </cfRule>
    <cfRule type="expression" priority="1012" dxfId="57">
      <formula>SEARCH("RICHIESTO",$M58)&gt;0</formula>
    </cfRule>
    <cfRule type="expression" priority="1013" dxfId="56">
      <formula>SEARCH("DA CHIUDERE",$M58)&gt;0</formula>
    </cfRule>
    <cfRule type="expression" priority="1014" dxfId="55">
      <formula>SEARCH("INTERROTTO",$M58)&gt;0</formula>
    </cfRule>
  </conditionalFormatting>
  <conditionalFormatting sqref="E58:F58 N58:S58">
    <cfRule type="expression" priority="1015" dxfId="60">
      <formula>SEARCH("IN CORSO",$M58)&gt;0</formula>
    </cfRule>
    <cfRule type="expression" priority="1016" dxfId="59">
      <formula>SEARCH("CHIUSO",$M58)&gt;0</formula>
    </cfRule>
    <cfRule type="expression" priority="1017" dxfId="58">
      <formula>SEARCH("EMESSO",$M58)&gt;0</formula>
    </cfRule>
    <cfRule type="expression" priority="1018" dxfId="57">
      <formula>SEARCH("RICHIESTO",$M58)&gt;0</formula>
    </cfRule>
    <cfRule type="expression" priority="1019" dxfId="56">
      <formula>SEARCH("DA CHIUDERE",$M58)&gt;0</formula>
    </cfRule>
    <cfRule type="expression" priority="1020" dxfId="55">
      <formula>SEARCH("INTERROTTO",$M58)&gt;0</formula>
    </cfRule>
  </conditionalFormatting>
  <conditionalFormatting sqref="M58">
    <cfRule type="expression" priority="1003" dxfId="60">
      <formula>SEARCH("IN CORSO",$M58)&gt;0</formula>
    </cfRule>
    <cfRule type="expression" priority="1004" dxfId="59">
      <formula>SEARCH("CHIUSO",$M58)&gt;0</formula>
    </cfRule>
    <cfRule type="expression" priority="1005" dxfId="58">
      <formula>SEARCH("EMESSO",$M58)&gt;0</formula>
    </cfRule>
    <cfRule type="expression" priority="1006" dxfId="57">
      <formula>SEARCH("RICHIESTO",$M58)&gt;0</formula>
    </cfRule>
    <cfRule type="expression" priority="1007" dxfId="56">
      <formula>SEARCH("DA CHIUDERE",$M58)&gt;0</formula>
    </cfRule>
    <cfRule type="expression" priority="1008" dxfId="55">
      <formula>SEARCH("INTERROTTO",$M58)&gt;0</formula>
    </cfRule>
  </conditionalFormatting>
  <conditionalFormatting sqref="G57">
    <cfRule type="expression" priority="991" dxfId="60">
      <formula>SEARCH("IN CORSO",$M57)&gt;0</formula>
    </cfRule>
    <cfRule type="expression" priority="992" dxfId="59">
      <formula>SEARCH("CHIUSO",$M57)&gt;0</formula>
    </cfRule>
    <cfRule type="expression" priority="993" dxfId="58">
      <formula>SEARCH("EMESSO",$M57)&gt;0</formula>
    </cfRule>
    <cfRule type="expression" priority="994" dxfId="57">
      <formula>SEARCH("RICHIESTO",$M57)&gt;0</formula>
    </cfRule>
    <cfRule type="expression" priority="995" dxfId="56">
      <formula>SEARCH("DA CHIUDERE",$M57)&gt;0</formula>
    </cfRule>
    <cfRule type="expression" priority="996" dxfId="55">
      <formula>SEARCH("INTERROTTO",$M57)&gt;0</formula>
    </cfRule>
  </conditionalFormatting>
  <conditionalFormatting sqref="E57:F57 N57:S57">
    <cfRule type="expression" priority="997" dxfId="60">
      <formula>SEARCH("IN CORSO",$M57)&gt;0</formula>
    </cfRule>
    <cfRule type="expression" priority="998" dxfId="59">
      <formula>SEARCH("CHIUSO",$M57)&gt;0</formula>
    </cfRule>
    <cfRule type="expression" priority="999" dxfId="58">
      <formula>SEARCH("EMESSO",$M57)&gt;0</formula>
    </cfRule>
    <cfRule type="expression" priority="1000" dxfId="57">
      <formula>SEARCH("RICHIESTO",$M57)&gt;0</formula>
    </cfRule>
    <cfRule type="expression" priority="1001" dxfId="56">
      <formula>SEARCH("DA CHIUDERE",$M57)&gt;0</formula>
    </cfRule>
    <cfRule type="expression" priority="1002" dxfId="55">
      <formula>SEARCH("INTERROTTO",$M57)&gt;0</formula>
    </cfRule>
  </conditionalFormatting>
  <conditionalFormatting sqref="M57">
    <cfRule type="expression" priority="985" dxfId="60">
      <formula>SEARCH("IN CORSO",$M57)&gt;0</formula>
    </cfRule>
    <cfRule type="expression" priority="986" dxfId="59">
      <formula>SEARCH("CHIUSO",$M57)&gt;0</formula>
    </cfRule>
    <cfRule type="expression" priority="987" dxfId="58">
      <formula>SEARCH("EMESSO",$M57)&gt;0</formula>
    </cfRule>
    <cfRule type="expression" priority="988" dxfId="57">
      <formula>SEARCH("RICHIESTO",$M57)&gt;0</formula>
    </cfRule>
    <cfRule type="expression" priority="989" dxfId="56">
      <formula>SEARCH("DA CHIUDERE",$M57)&gt;0</formula>
    </cfRule>
    <cfRule type="expression" priority="990" dxfId="55">
      <formula>SEARCH("INTERROTTO",$M57)&gt;0</formula>
    </cfRule>
  </conditionalFormatting>
  <conditionalFormatting sqref="G56">
    <cfRule type="expression" priority="973" dxfId="60">
      <formula>SEARCH("IN CORSO",$M56)&gt;0</formula>
    </cfRule>
    <cfRule type="expression" priority="974" dxfId="59">
      <formula>SEARCH("CHIUSO",$M56)&gt;0</formula>
    </cfRule>
    <cfRule type="expression" priority="975" dxfId="58">
      <formula>SEARCH("EMESSO",$M56)&gt;0</formula>
    </cfRule>
    <cfRule type="expression" priority="976" dxfId="57">
      <formula>SEARCH("RICHIESTO",$M56)&gt;0</formula>
    </cfRule>
    <cfRule type="expression" priority="977" dxfId="56">
      <formula>SEARCH("DA CHIUDERE",$M56)&gt;0</formula>
    </cfRule>
    <cfRule type="expression" priority="978" dxfId="55">
      <formula>SEARCH("INTERROTTO",$M56)&gt;0</formula>
    </cfRule>
  </conditionalFormatting>
  <conditionalFormatting sqref="E56:F56 N56:S56">
    <cfRule type="expression" priority="979" dxfId="60">
      <formula>SEARCH("IN CORSO",$M56)&gt;0</formula>
    </cfRule>
    <cfRule type="expression" priority="980" dxfId="59">
      <formula>SEARCH("CHIUSO",$M56)&gt;0</formula>
    </cfRule>
    <cfRule type="expression" priority="981" dxfId="58">
      <formula>SEARCH("EMESSO",$M56)&gt;0</formula>
    </cfRule>
    <cfRule type="expression" priority="982" dxfId="57">
      <formula>SEARCH("RICHIESTO",$M56)&gt;0</formula>
    </cfRule>
    <cfRule type="expression" priority="983" dxfId="56">
      <formula>SEARCH("DA CHIUDERE",$M56)&gt;0</formula>
    </cfRule>
    <cfRule type="expression" priority="984" dxfId="55">
      <formula>SEARCH("INTERROTTO",$M56)&gt;0</formula>
    </cfRule>
  </conditionalFormatting>
  <conditionalFormatting sqref="M56">
    <cfRule type="expression" priority="967" dxfId="60">
      <formula>SEARCH("IN CORSO",$M56)&gt;0</formula>
    </cfRule>
    <cfRule type="expression" priority="968" dxfId="59">
      <formula>SEARCH("CHIUSO",$M56)&gt;0</formula>
    </cfRule>
    <cfRule type="expression" priority="969" dxfId="58">
      <formula>SEARCH("EMESSO",$M56)&gt;0</formula>
    </cfRule>
    <cfRule type="expression" priority="970" dxfId="57">
      <formula>SEARCH("RICHIESTO",$M56)&gt;0</formula>
    </cfRule>
    <cfRule type="expression" priority="971" dxfId="56">
      <formula>SEARCH("DA CHIUDERE",$M56)&gt;0</formula>
    </cfRule>
    <cfRule type="expression" priority="972" dxfId="55">
      <formula>SEARCH("INTERROTTO",$M56)&gt;0</formula>
    </cfRule>
  </conditionalFormatting>
  <conditionalFormatting sqref="G55">
    <cfRule type="expression" priority="955" dxfId="60">
      <formula>SEARCH("IN CORSO",$M55)&gt;0</formula>
    </cfRule>
    <cfRule type="expression" priority="956" dxfId="59">
      <formula>SEARCH("CHIUSO",$M55)&gt;0</formula>
    </cfRule>
    <cfRule type="expression" priority="957" dxfId="58">
      <formula>SEARCH("EMESSO",$M55)&gt;0</formula>
    </cfRule>
    <cfRule type="expression" priority="958" dxfId="57">
      <formula>SEARCH("RICHIESTO",$M55)&gt;0</formula>
    </cfRule>
    <cfRule type="expression" priority="959" dxfId="56">
      <formula>SEARCH("DA CHIUDERE",$M55)&gt;0</formula>
    </cfRule>
    <cfRule type="expression" priority="960" dxfId="55">
      <formula>SEARCH("INTERROTTO",$M55)&gt;0</formula>
    </cfRule>
  </conditionalFormatting>
  <conditionalFormatting sqref="E55:F55 N55:S55">
    <cfRule type="expression" priority="961" dxfId="60">
      <formula>SEARCH("IN CORSO",$M55)&gt;0</formula>
    </cfRule>
    <cfRule type="expression" priority="962" dxfId="59">
      <formula>SEARCH("CHIUSO",$M55)&gt;0</formula>
    </cfRule>
    <cfRule type="expression" priority="963" dxfId="58">
      <formula>SEARCH("EMESSO",$M55)&gt;0</formula>
    </cfRule>
    <cfRule type="expression" priority="964" dxfId="57">
      <formula>SEARCH("RICHIESTO",$M55)&gt;0</formula>
    </cfRule>
    <cfRule type="expression" priority="965" dxfId="56">
      <formula>SEARCH("DA CHIUDERE",$M55)&gt;0</formula>
    </cfRule>
    <cfRule type="expression" priority="966" dxfId="55">
      <formula>SEARCH("INTERROTTO",$M55)&gt;0</formula>
    </cfRule>
  </conditionalFormatting>
  <conditionalFormatting sqref="M55">
    <cfRule type="expression" priority="949" dxfId="60">
      <formula>SEARCH("IN CORSO",$M55)&gt;0</formula>
    </cfRule>
    <cfRule type="expression" priority="950" dxfId="59">
      <formula>SEARCH("CHIUSO",$M55)&gt;0</formula>
    </cfRule>
    <cfRule type="expression" priority="951" dxfId="58">
      <formula>SEARCH("EMESSO",$M55)&gt;0</formula>
    </cfRule>
    <cfRule type="expression" priority="952" dxfId="57">
      <formula>SEARCH("RICHIESTO",$M55)&gt;0</formula>
    </cfRule>
    <cfRule type="expression" priority="953" dxfId="56">
      <formula>SEARCH("DA CHIUDERE",$M55)&gt;0</formula>
    </cfRule>
    <cfRule type="expression" priority="954" dxfId="55">
      <formula>SEARCH("INTERROTTO",$M55)&gt;0</formula>
    </cfRule>
  </conditionalFormatting>
  <conditionalFormatting sqref="G54">
    <cfRule type="expression" priority="937" dxfId="60">
      <formula>SEARCH("IN CORSO",$M54)&gt;0</formula>
    </cfRule>
    <cfRule type="expression" priority="938" dxfId="59">
      <formula>SEARCH("CHIUSO",$M54)&gt;0</formula>
    </cfRule>
    <cfRule type="expression" priority="939" dxfId="58">
      <formula>SEARCH("EMESSO",$M54)&gt;0</formula>
    </cfRule>
    <cfRule type="expression" priority="940" dxfId="57">
      <formula>SEARCH("RICHIESTO",$M54)&gt;0</formula>
    </cfRule>
    <cfRule type="expression" priority="941" dxfId="56">
      <formula>SEARCH("DA CHIUDERE",$M54)&gt;0</formula>
    </cfRule>
    <cfRule type="expression" priority="942" dxfId="55">
      <formula>SEARCH("INTERROTTO",$M54)&gt;0</formula>
    </cfRule>
  </conditionalFormatting>
  <conditionalFormatting sqref="E54:F54 N54:S54">
    <cfRule type="expression" priority="943" dxfId="60">
      <formula>SEARCH("IN CORSO",$M54)&gt;0</formula>
    </cfRule>
    <cfRule type="expression" priority="944" dxfId="59">
      <formula>SEARCH("CHIUSO",$M54)&gt;0</formula>
    </cfRule>
    <cfRule type="expression" priority="945" dxfId="58">
      <formula>SEARCH("EMESSO",$M54)&gt;0</formula>
    </cfRule>
    <cfRule type="expression" priority="946" dxfId="57">
      <formula>SEARCH("RICHIESTO",$M54)&gt;0</formula>
    </cfRule>
    <cfRule type="expression" priority="947" dxfId="56">
      <formula>SEARCH("DA CHIUDERE",$M54)&gt;0</formula>
    </cfRule>
    <cfRule type="expression" priority="948" dxfId="55">
      <formula>SEARCH("INTERROTTO",$M54)&gt;0</formula>
    </cfRule>
  </conditionalFormatting>
  <conditionalFormatting sqref="M54">
    <cfRule type="expression" priority="931" dxfId="60">
      <formula>SEARCH("IN CORSO",$M54)&gt;0</formula>
    </cfRule>
    <cfRule type="expression" priority="932" dxfId="59">
      <formula>SEARCH("CHIUSO",$M54)&gt;0</formula>
    </cfRule>
    <cfRule type="expression" priority="933" dxfId="58">
      <formula>SEARCH("EMESSO",$M54)&gt;0</formula>
    </cfRule>
    <cfRule type="expression" priority="934" dxfId="57">
      <formula>SEARCH("RICHIESTO",$M54)&gt;0</formula>
    </cfRule>
    <cfRule type="expression" priority="935" dxfId="56">
      <formula>SEARCH("DA CHIUDERE",$M54)&gt;0</formula>
    </cfRule>
    <cfRule type="expression" priority="936" dxfId="55">
      <formula>SEARCH("INTERROTTO",$M54)&gt;0</formula>
    </cfRule>
  </conditionalFormatting>
  <conditionalFormatting sqref="G53">
    <cfRule type="expression" priority="919" dxfId="60">
      <formula>SEARCH("IN CORSO",$M53)&gt;0</formula>
    </cfRule>
    <cfRule type="expression" priority="920" dxfId="59">
      <formula>SEARCH("CHIUSO",$M53)&gt;0</formula>
    </cfRule>
    <cfRule type="expression" priority="921" dxfId="58">
      <formula>SEARCH("EMESSO",$M53)&gt;0</formula>
    </cfRule>
    <cfRule type="expression" priority="922" dxfId="57">
      <formula>SEARCH("RICHIESTO",$M53)&gt;0</formula>
    </cfRule>
    <cfRule type="expression" priority="923" dxfId="56">
      <formula>SEARCH("DA CHIUDERE",$M53)&gt;0</formula>
    </cfRule>
    <cfRule type="expression" priority="924" dxfId="55">
      <formula>SEARCH("INTERROTTO",$M53)&gt;0</formula>
    </cfRule>
  </conditionalFormatting>
  <conditionalFormatting sqref="E53:F53 N53:S53">
    <cfRule type="expression" priority="925" dxfId="60">
      <formula>SEARCH("IN CORSO",$M53)&gt;0</formula>
    </cfRule>
    <cfRule type="expression" priority="926" dxfId="59">
      <formula>SEARCH("CHIUSO",$M53)&gt;0</formula>
    </cfRule>
    <cfRule type="expression" priority="927" dxfId="58">
      <formula>SEARCH("EMESSO",$M53)&gt;0</formula>
    </cfRule>
    <cfRule type="expression" priority="928" dxfId="57">
      <formula>SEARCH("RICHIESTO",$M53)&gt;0</formula>
    </cfRule>
    <cfRule type="expression" priority="929" dxfId="56">
      <formula>SEARCH("DA CHIUDERE",$M53)&gt;0</formula>
    </cfRule>
    <cfRule type="expression" priority="930" dxfId="55">
      <formula>SEARCH("INTERROTTO",$M53)&gt;0</formula>
    </cfRule>
  </conditionalFormatting>
  <conditionalFormatting sqref="M53">
    <cfRule type="expression" priority="913" dxfId="60">
      <formula>SEARCH("IN CORSO",$M53)&gt;0</formula>
    </cfRule>
    <cfRule type="expression" priority="914" dxfId="59">
      <formula>SEARCH("CHIUSO",$M53)&gt;0</formula>
    </cfRule>
    <cfRule type="expression" priority="915" dxfId="58">
      <formula>SEARCH("EMESSO",$M53)&gt;0</formula>
    </cfRule>
    <cfRule type="expression" priority="916" dxfId="57">
      <formula>SEARCH("RICHIESTO",$M53)&gt;0</formula>
    </cfRule>
    <cfRule type="expression" priority="917" dxfId="56">
      <formula>SEARCH("DA CHIUDERE",$M53)&gt;0</formula>
    </cfRule>
    <cfRule type="expression" priority="918" dxfId="55">
      <formula>SEARCH("INTERROTTO",$M53)&gt;0</formula>
    </cfRule>
  </conditionalFormatting>
  <conditionalFormatting sqref="G52">
    <cfRule type="expression" priority="901" dxfId="60">
      <formula>SEARCH("IN CORSO",$M52)&gt;0</formula>
    </cfRule>
    <cfRule type="expression" priority="902" dxfId="59">
      <formula>SEARCH("CHIUSO",$M52)&gt;0</formula>
    </cfRule>
    <cfRule type="expression" priority="903" dxfId="58">
      <formula>SEARCH("EMESSO",$M52)&gt;0</formula>
    </cfRule>
    <cfRule type="expression" priority="904" dxfId="57">
      <formula>SEARCH("RICHIESTO",$M52)&gt;0</formula>
    </cfRule>
    <cfRule type="expression" priority="905" dxfId="56">
      <formula>SEARCH("DA CHIUDERE",$M52)&gt;0</formula>
    </cfRule>
    <cfRule type="expression" priority="906" dxfId="55">
      <formula>SEARCH("INTERROTTO",$M52)&gt;0</formula>
    </cfRule>
  </conditionalFormatting>
  <conditionalFormatting sqref="E52:F52 N52:S52">
    <cfRule type="expression" priority="907" dxfId="60">
      <formula>SEARCH("IN CORSO",$M52)&gt;0</formula>
    </cfRule>
    <cfRule type="expression" priority="908" dxfId="59">
      <formula>SEARCH("CHIUSO",$M52)&gt;0</formula>
    </cfRule>
    <cfRule type="expression" priority="909" dxfId="58">
      <formula>SEARCH("EMESSO",$M52)&gt;0</formula>
    </cfRule>
    <cfRule type="expression" priority="910" dxfId="57">
      <formula>SEARCH("RICHIESTO",$M52)&gt;0</formula>
    </cfRule>
    <cfRule type="expression" priority="911" dxfId="56">
      <formula>SEARCH("DA CHIUDERE",$M52)&gt;0</formula>
    </cfRule>
    <cfRule type="expression" priority="912" dxfId="55">
      <formula>SEARCH("INTERROTTO",$M52)&gt;0</formula>
    </cfRule>
  </conditionalFormatting>
  <conditionalFormatting sqref="M52">
    <cfRule type="expression" priority="895" dxfId="60">
      <formula>SEARCH("IN CORSO",$M52)&gt;0</formula>
    </cfRule>
    <cfRule type="expression" priority="896" dxfId="59">
      <formula>SEARCH("CHIUSO",$M52)&gt;0</formula>
    </cfRule>
    <cfRule type="expression" priority="897" dxfId="58">
      <formula>SEARCH("EMESSO",$M52)&gt;0</formula>
    </cfRule>
    <cfRule type="expression" priority="898" dxfId="57">
      <formula>SEARCH("RICHIESTO",$M52)&gt;0</formula>
    </cfRule>
    <cfRule type="expression" priority="899" dxfId="56">
      <formula>SEARCH("DA CHIUDERE",$M52)&gt;0</formula>
    </cfRule>
    <cfRule type="expression" priority="900" dxfId="55">
      <formula>SEARCH("INTERROTTO",$M52)&gt;0</formula>
    </cfRule>
  </conditionalFormatting>
  <conditionalFormatting sqref="G51">
    <cfRule type="expression" priority="883" dxfId="60">
      <formula>SEARCH("IN CORSO",$M51)&gt;0</formula>
    </cfRule>
    <cfRule type="expression" priority="884" dxfId="59">
      <formula>SEARCH("CHIUSO",$M51)&gt;0</formula>
    </cfRule>
    <cfRule type="expression" priority="885" dxfId="58">
      <formula>SEARCH("EMESSO",$M51)&gt;0</formula>
    </cfRule>
    <cfRule type="expression" priority="886" dxfId="57">
      <formula>SEARCH("RICHIESTO",$M51)&gt;0</formula>
    </cfRule>
    <cfRule type="expression" priority="887" dxfId="56">
      <formula>SEARCH("DA CHIUDERE",$M51)&gt;0</formula>
    </cfRule>
    <cfRule type="expression" priority="888" dxfId="55">
      <formula>SEARCH("INTERROTTO",$M51)&gt;0</formula>
    </cfRule>
  </conditionalFormatting>
  <conditionalFormatting sqref="E51:F51 N51:S51">
    <cfRule type="expression" priority="889" dxfId="60">
      <formula>SEARCH("IN CORSO",$M51)&gt;0</formula>
    </cfRule>
    <cfRule type="expression" priority="890" dxfId="59">
      <formula>SEARCH("CHIUSO",$M51)&gt;0</formula>
    </cfRule>
    <cfRule type="expression" priority="891" dxfId="58">
      <formula>SEARCH("EMESSO",$M51)&gt;0</formula>
    </cfRule>
    <cfRule type="expression" priority="892" dxfId="57">
      <formula>SEARCH("RICHIESTO",$M51)&gt;0</formula>
    </cfRule>
    <cfRule type="expression" priority="893" dxfId="56">
      <formula>SEARCH("DA CHIUDERE",$M51)&gt;0</formula>
    </cfRule>
    <cfRule type="expression" priority="894" dxfId="55">
      <formula>SEARCH("INTERROTTO",$M51)&gt;0</formula>
    </cfRule>
  </conditionalFormatting>
  <conditionalFormatting sqref="M51">
    <cfRule type="expression" priority="877" dxfId="60">
      <formula>SEARCH("IN CORSO",$M51)&gt;0</formula>
    </cfRule>
    <cfRule type="expression" priority="878" dxfId="59">
      <formula>SEARCH("CHIUSO",$M51)&gt;0</formula>
    </cfRule>
    <cfRule type="expression" priority="879" dxfId="58">
      <formula>SEARCH("EMESSO",$M51)&gt;0</formula>
    </cfRule>
    <cfRule type="expression" priority="880" dxfId="57">
      <formula>SEARCH("RICHIESTO",$M51)&gt;0</formula>
    </cfRule>
    <cfRule type="expression" priority="881" dxfId="56">
      <formula>SEARCH("DA CHIUDERE",$M51)&gt;0</formula>
    </cfRule>
    <cfRule type="expression" priority="882" dxfId="55">
      <formula>SEARCH("INTERROTTO",$M51)&gt;0</formula>
    </cfRule>
  </conditionalFormatting>
  <conditionalFormatting sqref="G50">
    <cfRule type="expression" priority="865" dxfId="60">
      <formula>SEARCH("IN CORSO",$M50)&gt;0</formula>
    </cfRule>
    <cfRule type="expression" priority="866" dxfId="59">
      <formula>SEARCH("CHIUSO",$M50)&gt;0</formula>
    </cfRule>
    <cfRule type="expression" priority="867" dxfId="58">
      <formula>SEARCH("EMESSO",$M50)&gt;0</formula>
    </cfRule>
    <cfRule type="expression" priority="868" dxfId="57">
      <formula>SEARCH("RICHIESTO",$M50)&gt;0</formula>
    </cfRule>
    <cfRule type="expression" priority="869" dxfId="56">
      <formula>SEARCH("DA CHIUDERE",$M50)&gt;0</formula>
    </cfRule>
    <cfRule type="expression" priority="870" dxfId="55">
      <formula>SEARCH("INTERROTTO",$M50)&gt;0</formula>
    </cfRule>
  </conditionalFormatting>
  <conditionalFormatting sqref="E50:F50 N50:S50">
    <cfRule type="expression" priority="871" dxfId="60">
      <formula>SEARCH("IN CORSO",$M50)&gt;0</formula>
    </cfRule>
    <cfRule type="expression" priority="872" dxfId="59">
      <formula>SEARCH("CHIUSO",$M50)&gt;0</formula>
    </cfRule>
    <cfRule type="expression" priority="873" dxfId="58">
      <formula>SEARCH("EMESSO",$M50)&gt;0</formula>
    </cfRule>
    <cfRule type="expression" priority="874" dxfId="57">
      <formula>SEARCH("RICHIESTO",$M50)&gt;0</formula>
    </cfRule>
    <cfRule type="expression" priority="875" dxfId="56">
      <formula>SEARCH("DA CHIUDERE",$M50)&gt;0</formula>
    </cfRule>
    <cfRule type="expression" priority="876" dxfId="55">
      <formula>SEARCH("INTERROTTO",$M50)&gt;0</formula>
    </cfRule>
  </conditionalFormatting>
  <conditionalFormatting sqref="M50">
    <cfRule type="expression" priority="859" dxfId="60">
      <formula>SEARCH("IN CORSO",$M50)&gt;0</formula>
    </cfRule>
    <cfRule type="expression" priority="860" dxfId="59">
      <formula>SEARCH("CHIUSO",$M50)&gt;0</formula>
    </cfRule>
    <cfRule type="expression" priority="861" dxfId="58">
      <formula>SEARCH("EMESSO",$M50)&gt;0</formula>
    </cfRule>
    <cfRule type="expression" priority="862" dxfId="57">
      <formula>SEARCH("RICHIESTO",$M50)&gt;0</formula>
    </cfRule>
    <cfRule type="expression" priority="863" dxfId="56">
      <formula>SEARCH("DA CHIUDERE",$M50)&gt;0</formula>
    </cfRule>
    <cfRule type="expression" priority="864" dxfId="55">
      <formula>SEARCH("INTERROTTO",$M50)&gt;0</formula>
    </cfRule>
  </conditionalFormatting>
  <conditionalFormatting sqref="G49">
    <cfRule type="expression" priority="847" dxfId="60">
      <formula>SEARCH("IN CORSO",$M49)&gt;0</formula>
    </cfRule>
    <cfRule type="expression" priority="848" dxfId="59">
      <formula>SEARCH("CHIUSO",$M49)&gt;0</formula>
    </cfRule>
    <cfRule type="expression" priority="849" dxfId="58">
      <formula>SEARCH("EMESSO",$M49)&gt;0</formula>
    </cfRule>
    <cfRule type="expression" priority="850" dxfId="57">
      <formula>SEARCH("RICHIESTO",$M49)&gt;0</formula>
    </cfRule>
    <cfRule type="expression" priority="851" dxfId="56">
      <formula>SEARCH("DA CHIUDERE",$M49)&gt;0</formula>
    </cfRule>
    <cfRule type="expression" priority="852" dxfId="55">
      <formula>SEARCH("INTERROTTO",$M49)&gt;0</formula>
    </cfRule>
  </conditionalFormatting>
  <conditionalFormatting sqref="E49:F49 N49:S49">
    <cfRule type="expression" priority="853" dxfId="60">
      <formula>SEARCH("IN CORSO",$M49)&gt;0</formula>
    </cfRule>
    <cfRule type="expression" priority="854" dxfId="59">
      <formula>SEARCH("CHIUSO",$M49)&gt;0</formula>
    </cfRule>
    <cfRule type="expression" priority="855" dxfId="58">
      <formula>SEARCH("EMESSO",$M49)&gt;0</formula>
    </cfRule>
    <cfRule type="expression" priority="856" dxfId="57">
      <formula>SEARCH("RICHIESTO",$M49)&gt;0</formula>
    </cfRule>
    <cfRule type="expression" priority="857" dxfId="56">
      <formula>SEARCH("DA CHIUDERE",$M49)&gt;0</formula>
    </cfRule>
    <cfRule type="expression" priority="858" dxfId="55">
      <formula>SEARCH("INTERROTTO",$M49)&gt;0</formula>
    </cfRule>
  </conditionalFormatting>
  <conditionalFormatting sqref="M49">
    <cfRule type="expression" priority="841" dxfId="60">
      <formula>SEARCH("IN CORSO",$M49)&gt;0</formula>
    </cfRule>
    <cfRule type="expression" priority="842" dxfId="59">
      <formula>SEARCH("CHIUSO",$M49)&gt;0</formula>
    </cfRule>
    <cfRule type="expression" priority="843" dxfId="58">
      <formula>SEARCH("EMESSO",$M49)&gt;0</formula>
    </cfRule>
    <cfRule type="expression" priority="844" dxfId="57">
      <formula>SEARCH("RICHIESTO",$M49)&gt;0</formula>
    </cfRule>
    <cfRule type="expression" priority="845" dxfId="56">
      <formula>SEARCH("DA CHIUDERE",$M49)&gt;0</formula>
    </cfRule>
    <cfRule type="expression" priority="846" dxfId="55">
      <formula>SEARCH("INTERROTTO",$M49)&gt;0</formula>
    </cfRule>
  </conditionalFormatting>
  <conditionalFormatting sqref="G48">
    <cfRule type="expression" priority="829" dxfId="60">
      <formula>SEARCH("IN CORSO",$M48)&gt;0</formula>
    </cfRule>
    <cfRule type="expression" priority="830" dxfId="59">
      <formula>SEARCH("CHIUSO",$M48)&gt;0</formula>
    </cfRule>
    <cfRule type="expression" priority="831" dxfId="58">
      <formula>SEARCH("EMESSO",$M48)&gt;0</formula>
    </cfRule>
    <cfRule type="expression" priority="832" dxfId="57">
      <formula>SEARCH("RICHIESTO",$M48)&gt;0</formula>
    </cfRule>
    <cfRule type="expression" priority="833" dxfId="56">
      <formula>SEARCH("DA CHIUDERE",$M48)&gt;0</formula>
    </cfRule>
    <cfRule type="expression" priority="834" dxfId="55">
      <formula>SEARCH("INTERROTTO",$M48)&gt;0</formula>
    </cfRule>
  </conditionalFormatting>
  <conditionalFormatting sqref="E48:F48 N48:S48">
    <cfRule type="expression" priority="835" dxfId="60">
      <formula>SEARCH("IN CORSO",$M48)&gt;0</formula>
    </cfRule>
    <cfRule type="expression" priority="836" dxfId="59">
      <formula>SEARCH("CHIUSO",$M48)&gt;0</formula>
    </cfRule>
    <cfRule type="expression" priority="837" dxfId="58">
      <formula>SEARCH("EMESSO",$M48)&gt;0</formula>
    </cfRule>
    <cfRule type="expression" priority="838" dxfId="57">
      <formula>SEARCH("RICHIESTO",$M48)&gt;0</formula>
    </cfRule>
    <cfRule type="expression" priority="839" dxfId="56">
      <formula>SEARCH("DA CHIUDERE",$M48)&gt;0</formula>
    </cfRule>
    <cfRule type="expression" priority="840" dxfId="55">
      <formula>SEARCH("INTERROTTO",$M48)&gt;0</formula>
    </cfRule>
  </conditionalFormatting>
  <conditionalFormatting sqref="M48">
    <cfRule type="expression" priority="823" dxfId="60">
      <formula>SEARCH("IN CORSO",$M48)&gt;0</formula>
    </cfRule>
    <cfRule type="expression" priority="824" dxfId="59">
      <formula>SEARCH("CHIUSO",$M48)&gt;0</formula>
    </cfRule>
    <cfRule type="expression" priority="825" dxfId="58">
      <formula>SEARCH("EMESSO",$M48)&gt;0</formula>
    </cfRule>
    <cfRule type="expression" priority="826" dxfId="57">
      <formula>SEARCH("RICHIESTO",$M48)&gt;0</formula>
    </cfRule>
    <cfRule type="expression" priority="827" dxfId="56">
      <formula>SEARCH("DA CHIUDERE",$M48)&gt;0</formula>
    </cfRule>
    <cfRule type="expression" priority="828" dxfId="55">
      <formula>SEARCH("INTERROTTO",$M48)&gt;0</formula>
    </cfRule>
  </conditionalFormatting>
  <conditionalFormatting sqref="G47">
    <cfRule type="expression" priority="811" dxfId="60">
      <formula>SEARCH("IN CORSO",$M47)&gt;0</formula>
    </cfRule>
    <cfRule type="expression" priority="812" dxfId="59">
      <formula>SEARCH("CHIUSO",$M47)&gt;0</formula>
    </cfRule>
    <cfRule type="expression" priority="813" dxfId="58">
      <formula>SEARCH("EMESSO",$M47)&gt;0</formula>
    </cfRule>
    <cfRule type="expression" priority="814" dxfId="57">
      <formula>SEARCH("RICHIESTO",$M47)&gt;0</formula>
    </cfRule>
    <cfRule type="expression" priority="815" dxfId="56">
      <formula>SEARCH("DA CHIUDERE",$M47)&gt;0</formula>
    </cfRule>
    <cfRule type="expression" priority="816" dxfId="55">
      <formula>SEARCH("INTERROTTO",$M47)&gt;0</formula>
    </cfRule>
  </conditionalFormatting>
  <conditionalFormatting sqref="E47:F47 N47:S47">
    <cfRule type="expression" priority="817" dxfId="60">
      <formula>SEARCH("IN CORSO",$M47)&gt;0</formula>
    </cfRule>
    <cfRule type="expression" priority="818" dxfId="59">
      <formula>SEARCH("CHIUSO",$M47)&gt;0</formula>
    </cfRule>
    <cfRule type="expression" priority="819" dxfId="58">
      <formula>SEARCH("EMESSO",$M47)&gt;0</formula>
    </cfRule>
    <cfRule type="expression" priority="820" dxfId="57">
      <formula>SEARCH("RICHIESTO",$M47)&gt;0</formula>
    </cfRule>
    <cfRule type="expression" priority="821" dxfId="56">
      <formula>SEARCH("DA CHIUDERE",$M47)&gt;0</formula>
    </cfRule>
    <cfRule type="expression" priority="822" dxfId="55">
      <formula>SEARCH("INTERROTTO",$M47)&gt;0</formula>
    </cfRule>
  </conditionalFormatting>
  <conditionalFormatting sqref="M47">
    <cfRule type="expression" priority="805" dxfId="60">
      <formula>SEARCH("IN CORSO",$M47)&gt;0</formula>
    </cfRule>
    <cfRule type="expression" priority="806" dxfId="59">
      <formula>SEARCH("CHIUSO",$M47)&gt;0</formula>
    </cfRule>
    <cfRule type="expression" priority="807" dxfId="58">
      <formula>SEARCH("EMESSO",$M47)&gt;0</formula>
    </cfRule>
    <cfRule type="expression" priority="808" dxfId="57">
      <formula>SEARCH("RICHIESTO",$M47)&gt;0</formula>
    </cfRule>
    <cfRule type="expression" priority="809" dxfId="56">
      <formula>SEARCH("DA CHIUDERE",$M47)&gt;0</formula>
    </cfRule>
    <cfRule type="expression" priority="810" dxfId="55">
      <formula>SEARCH("INTERROTTO",$M47)&gt;0</formula>
    </cfRule>
  </conditionalFormatting>
  <conditionalFormatting sqref="G46">
    <cfRule type="expression" priority="793" dxfId="60">
      <formula>SEARCH("IN CORSO",$M46)&gt;0</formula>
    </cfRule>
    <cfRule type="expression" priority="794" dxfId="59">
      <formula>SEARCH("CHIUSO",$M46)&gt;0</formula>
    </cfRule>
    <cfRule type="expression" priority="795" dxfId="58">
      <formula>SEARCH("EMESSO",$M46)&gt;0</formula>
    </cfRule>
    <cfRule type="expression" priority="796" dxfId="57">
      <formula>SEARCH("RICHIESTO",$M46)&gt;0</formula>
    </cfRule>
    <cfRule type="expression" priority="797" dxfId="56">
      <formula>SEARCH("DA CHIUDERE",$M46)&gt;0</formula>
    </cfRule>
    <cfRule type="expression" priority="798" dxfId="55">
      <formula>SEARCH("INTERROTTO",$M46)&gt;0</formula>
    </cfRule>
  </conditionalFormatting>
  <conditionalFormatting sqref="E46:F46 N46:S46">
    <cfRule type="expression" priority="799" dxfId="60">
      <formula>SEARCH("IN CORSO",$M46)&gt;0</formula>
    </cfRule>
    <cfRule type="expression" priority="800" dxfId="59">
      <formula>SEARCH("CHIUSO",$M46)&gt;0</formula>
    </cfRule>
    <cfRule type="expression" priority="801" dxfId="58">
      <formula>SEARCH("EMESSO",$M46)&gt;0</formula>
    </cfRule>
    <cfRule type="expression" priority="802" dxfId="57">
      <formula>SEARCH("RICHIESTO",$M46)&gt;0</formula>
    </cfRule>
    <cfRule type="expression" priority="803" dxfId="56">
      <formula>SEARCH("DA CHIUDERE",$M46)&gt;0</formula>
    </cfRule>
    <cfRule type="expression" priority="804" dxfId="55">
      <formula>SEARCH("INTERROTTO",$M46)&gt;0</formula>
    </cfRule>
  </conditionalFormatting>
  <conditionalFormatting sqref="M46">
    <cfRule type="expression" priority="787" dxfId="60">
      <formula>SEARCH("IN CORSO",$M46)&gt;0</formula>
    </cfRule>
    <cfRule type="expression" priority="788" dxfId="59">
      <formula>SEARCH("CHIUSO",$M46)&gt;0</formula>
    </cfRule>
    <cfRule type="expression" priority="789" dxfId="58">
      <formula>SEARCH("EMESSO",$M46)&gt;0</formula>
    </cfRule>
    <cfRule type="expression" priority="790" dxfId="57">
      <formula>SEARCH("RICHIESTO",$M46)&gt;0</formula>
    </cfRule>
    <cfRule type="expression" priority="791" dxfId="56">
      <formula>SEARCH("DA CHIUDERE",$M46)&gt;0</formula>
    </cfRule>
    <cfRule type="expression" priority="792" dxfId="55">
      <formula>SEARCH("INTERROTTO",$M46)&gt;0</formula>
    </cfRule>
  </conditionalFormatting>
  <conditionalFormatting sqref="G45">
    <cfRule type="expression" priority="775" dxfId="60">
      <formula>SEARCH("IN CORSO",$M45)&gt;0</formula>
    </cfRule>
    <cfRule type="expression" priority="776" dxfId="59">
      <formula>SEARCH("CHIUSO",$M45)&gt;0</formula>
    </cfRule>
    <cfRule type="expression" priority="777" dxfId="58">
      <formula>SEARCH("EMESSO",$M45)&gt;0</formula>
    </cfRule>
    <cfRule type="expression" priority="778" dxfId="57">
      <formula>SEARCH("RICHIESTO",$M45)&gt;0</formula>
    </cfRule>
    <cfRule type="expression" priority="779" dxfId="56">
      <formula>SEARCH("DA CHIUDERE",$M45)&gt;0</formula>
    </cfRule>
    <cfRule type="expression" priority="780" dxfId="55">
      <formula>SEARCH("INTERROTTO",$M45)&gt;0</formula>
    </cfRule>
  </conditionalFormatting>
  <conditionalFormatting sqref="E45:F45 N45:S45">
    <cfRule type="expression" priority="781" dxfId="60">
      <formula>SEARCH("IN CORSO",$M45)&gt;0</formula>
    </cfRule>
    <cfRule type="expression" priority="782" dxfId="59">
      <formula>SEARCH("CHIUSO",$M45)&gt;0</formula>
    </cfRule>
    <cfRule type="expression" priority="783" dxfId="58">
      <formula>SEARCH("EMESSO",$M45)&gt;0</formula>
    </cfRule>
    <cfRule type="expression" priority="784" dxfId="57">
      <formula>SEARCH("RICHIESTO",$M45)&gt;0</formula>
    </cfRule>
    <cfRule type="expression" priority="785" dxfId="56">
      <formula>SEARCH("DA CHIUDERE",$M45)&gt;0</formula>
    </cfRule>
    <cfRule type="expression" priority="786" dxfId="55">
      <formula>SEARCH("INTERROTTO",$M45)&gt;0</formula>
    </cfRule>
  </conditionalFormatting>
  <conditionalFormatting sqref="M45">
    <cfRule type="expression" priority="769" dxfId="60">
      <formula>SEARCH("IN CORSO",$M45)&gt;0</formula>
    </cfRule>
    <cfRule type="expression" priority="770" dxfId="59">
      <formula>SEARCH("CHIUSO",$M45)&gt;0</formula>
    </cfRule>
    <cfRule type="expression" priority="771" dxfId="58">
      <formula>SEARCH("EMESSO",$M45)&gt;0</formula>
    </cfRule>
    <cfRule type="expression" priority="772" dxfId="57">
      <formula>SEARCH("RICHIESTO",$M45)&gt;0</formula>
    </cfRule>
    <cfRule type="expression" priority="773" dxfId="56">
      <formula>SEARCH("DA CHIUDERE",$M45)&gt;0</formula>
    </cfRule>
    <cfRule type="expression" priority="774" dxfId="55">
      <formula>SEARCH("INTERROTTO",$M45)&gt;0</formula>
    </cfRule>
  </conditionalFormatting>
  <conditionalFormatting sqref="G44">
    <cfRule type="expression" priority="739" dxfId="60">
      <formula>SEARCH("IN CORSO",$M44)&gt;0</formula>
    </cfRule>
    <cfRule type="expression" priority="740" dxfId="59">
      <formula>SEARCH("CHIUSO",$M44)&gt;0</formula>
    </cfRule>
    <cfRule type="expression" priority="741" dxfId="58">
      <formula>SEARCH("EMESSO",$M44)&gt;0</formula>
    </cfRule>
    <cfRule type="expression" priority="742" dxfId="57">
      <formula>SEARCH("RICHIESTO",$M44)&gt;0</formula>
    </cfRule>
    <cfRule type="expression" priority="743" dxfId="56">
      <formula>SEARCH("DA CHIUDERE",$M44)&gt;0</formula>
    </cfRule>
    <cfRule type="expression" priority="744" dxfId="55">
      <formula>SEARCH("INTERROTTO",$M44)&gt;0</formula>
    </cfRule>
  </conditionalFormatting>
  <conditionalFormatting sqref="E44:F44 N44:S44">
    <cfRule type="expression" priority="745" dxfId="60">
      <formula>SEARCH("IN CORSO",$M44)&gt;0</formula>
    </cfRule>
    <cfRule type="expression" priority="746" dxfId="59">
      <formula>SEARCH("CHIUSO",$M44)&gt;0</formula>
    </cfRule>
    <cfRule type="expression" priority="747" dxfId="58">
      <formula>SEARCH("EMESSO",$M44)&gt;0</formula>
    </cfRule>
    <cfRule type="expression" priority="748" dxfId="57">
      <formula>SEARCH("RICHIESTO",$M44)&gt;0</formula>
    </cfRule>
    <cfRule type="expression" priority="749" dxfId="56">
      <formula>SEARCH("DA CHIUDERE",$M44)&gt;0</formula>
    </cfRule>
    <cfRule type="expression" priority="750" dxfId="55">
      <formula>SEARCH("INTERROTTO",$M44)&gt;0</formula>
    </cfRule>
  </conditionalFormatting>
  <conditionalFormatting sqref="M44">
    <cfRule type="expression" priority="733" dxfId="60">
      <formula>SEARCH("IN CORSO",$M44)&gt;0</formula>
    </cfRule>
    <cfRule type="expression" priority="734" dxfId="59">
      <formula>SEARCH("CHIUSO",$M44)&gt;0</formula>
    </cfRule>
    <cfRule type="expression" priority="735" dxfId="58">
      <formula>SEARCH("EMESSO",$M44)&gt;0</formula>
    </cfRule>
    <cfRule type="expression" priority="736" dxfId="57">
      <formula>SEARCH("RICHIESTO",$M44)&gt;0</formula>
    </cfRule>
    <cfRule type="expression" priority="737" dxfId="56">
      <formula>SEARCH("DA CHIUDERE",$M44)&gt;0</formula>
    </cfRule>
    <cfRule type="expression" priority="738" dxfId="55">
      <formula>SEARCH("INTERROTTO",$M44)&gt;0</formula>
    </cfRule>
  </conditionalFormatting>
  <conditionalFormatting sqref="M378">
    <cfRule type="expression" priority="727" dxfId="60">
      <formula>SEARCH("IN CORSO",$M378)&gt;0</formula>
    </cfRule>
    <cfRule type="expression" priority="728" dxfId="59">
      <formula>SEARCH("CHIUSO",$M378)&gt;0</formula>
    </cfRule>
    <cfRule type="expression" priority="729" dxfId="58">
      <formula>SEARCH("EMESSO",$M378)&gt;0</formula>
    </cfRule>
    <cfRule type="expression" priority="730" dxfId="57">
      <formula>SEARCH("RICHIESTO",$M378)&gt;0</formula>
    </cfRule>
    <cfRule type="expression" priority="731" dxfId="56">
      <formula>SEARCH("DA CHIUDERE",$M378)&gt;0</formula>
    </cfRule>
    <cfRule type="expression" priority="732" dxfId="55">
      <formula>SEARCH("INTERROTTO",$M378)&gt;0</formula>
    </cfRule>
  </conditionalFormatting>
  <conditionalFormatting sqref="G43">
    <cfRule type="expression" priority="715" dxfId="60">
      <formula>SEARCH("IN CORSO",$M43)&gt;0</formula>
    </cfRule>
    <cfRule type="expression" priority="716" dxfId="59">
      <formula>SEARCH("CHIUSO",$M43)&gt;0</formula>
    </cfRule>
    <cfRule type="expression" priority="717" dxfId="58">
      <formula>SEARCH("EMESSO",$M43)&gt;0</formula>
    </cfRule>
    <cfRule type="expression" priority="718" dxfId="57">
      <formula>SEARCH("RICHIESTO",$M43)&gt;0</formula>
    </cfRule>
    <cfRule type="expression" priority="719" dxfId="56">
      <formula>SEARCH("DA CHIUDERE",$M43)&gt;0</formula>
    </cfRule>
    <cfRule type="expression" priority="720" dxfId="55">
      <formula>SEARCH("INTERROTTO",$M43)&gt;0</formula>
    </cfRule>
  </conditionalFormatting>
  <conditionalFormatting sqref="E43:F43 N43:S43">
    <cfRule type="expression" priority="721" dxfId="60">
      <formula>SEARCH("IN CORSO",$M43)&gt;0</formula>
    </cfRule>
    <cfRule type="expression" priority="722" dxfId="59">
      <formula>SEARCH("CHIUSO",$M43)&gt;0</formula>
    </cfRule>
    <cfRule type="expression" priority="723" dxfId="58">
      <formula>SEARCH("EMESSO",$M43)&gt;0</formula>
    </cfRule>
    <cfRule type="expression" priority="724" dxfId="57">
      <formula>SEARCH("RICHIESTO",$M43)&gt;0</formula>
    </cfRule>
    <cfRule type="expression" priority="725" dxfId="56">
      <formula>SEARCH("DA CHIUDERE",$M43)&gt;0</formula>
    </cfRule>
    <cfRule type="expression" priority="726" dxfId="55">
      <formula>SEARCH("INTERROTTO",$M43)&gt;0</formula>
    </cfRule>
  </conditionalFormatting>
  <conditionalFormatting sqref="M43">
    <cfRule type="expression" priority="709" dxfId="60">
      <formula>SEARCH("IN CORSO",$M43)&gt;0</formula>
    </cfRule>
    <cfRule type="expression" priority="710" dxfId="59">
      <formula>SEARCH("CHIUSO",$M43)&gt;0</formula>
    </cfRule>
    <cfRule type="expression" priority="711" dxfId="58">
      <formula>SEARCH("EMESSO",$M43)&gt;0</formula>
    </cfRule>
    <cfRule type="expression" priority="712" dxfId="57">
      <formula>SEARCH("RICHIESTO",$M43)&gt;0</formula>
    </cfRule>
    <cfRule type="expression" priority="713" dxfId="56">
      <formula>SEARCH("DA CHIUDERE",$M43)&gt;0</formula>
    </cfRule>
    <cfRule type="expression" priority="714" dxfId="55">
      <formula>SEARCH("INTERROTTO",$M43)&gt;0</formula>
    </cfRule>
  </conditionalFormatting>
  <conditionalFormatting sqref="G42">
    <cfRule type="expression" priority="697" dxfId="60">
      <formula>SEARCH("IN CORSO",$M42)&gt;0</formula>
    </cfRule>
    <cfRule type="expression" priority="698" dxfId="59">
      <formula>SEARCH("CHIUSO",$M42)&gt;0</formula>
    </cfRule>
    <cfRule type="expression" priority="699" dxfId="58">
      <formula>SEARCH("EMESSO",$M42)&gt;0</formula>
    </cfRule>
    <cfRule type="expression" priority="700" dxfId="57">
      <formula>SEARCH("RICHIESTO",$M42)&gt;0</formula>
    </cfRule>
    <cfRule type="expression" priority="701" dxfId="56">
      <formula>SEARCH("DA CHIUDERE",$M42)&gt;0</formula>
    </cfRule>
    <cfRule type="expression" priority="702" dxfId="55">
      <formula>SEARCH("INTERROTTO",$M42)&gt;0</formula>
    </cfRule>
  </conditionalFormatting>
  <conditionalFormatting sqref="E42:F42 N42:S42">
    <cfRule type="expression" priority="703" dxfId="60">
      <formula>SEARCH("IN CORSO",$M42)&gt;0</formula>
    </cfRule>
    <cfRule type="expression" priority="704" dxfId="59">
      <formula>SEARCH("CHIUSO",$M42)&gt;0</formula>
    </cfRule>
    <cfRule type="expression" priority="705" dxfId="58">
      <formula>SEARCH("EMESSO",$M42)&gt;0</formula>
    </cfRule>
    <cfRule type="expression" priority="706" dxfId="57">
      <formula>SEARCH("RICHIESTO",$M42)&gt;0</formula>
    </cfRule>
    <cfRule type="expression" priority="707" dxfId="56">
      <formula>SEARCH("DA CHIUDERE",$M42)&gt;0</formula>
    </cfRule>
    <cfRule type="expression" priority="708" dxfId="55">
      <formula>SEARCH("INTERROTTO",$M42)&gt;0</formula>
    </cfRule>
  </conditionalFormatting>
  <conditionalFormatting sqref="M42">
    <cfRule type="expression" priority="691" dxfId="60">
      <formula>SEARCH("IN CORSO",$M42)&gt;0</formula>
    </cfRule>
    <cfRule type="expression" priority="692" dxfId="59">
      <formula>SEARCH("CHIUSO",$M42)&gt;0</formula>
    </cfRule>
    <cfRule type="expression" priority="693" dxfId="58">
      <formula>SEARCH("EMESSO",$M42)&gt;0</formula>
    </cfRule>
    <cfRule type="expression" priority="694" dxfId="57">
      <formula>SEARCH("RICHIESTO",$M42)&gt;0</formula>
    </cfRule>
    <cfRule type="expression" priority="695" dxfId="56">
      <formula>SEARCH("DA CHIUDERE",$M42)&gt;0</formula>
    </cfRule>
    <cfRule type="expression" priority="696" dxfId="55">
      <formula>SEARCH("INTERROTTO",$M42)&gt;0</formula>
    </cfRule>
  </conditionalFormatting>
  <conditionalFormatting sqref="G41">
    <cfRule type="expression" priority="679" dxfId="60">
      <formula>SEARCH("IN CORSO",$M41)&gt;0</formula>
    </cfRule>
    <cfRule type="expression" priority="680" dxfId="59">
      <formula>SEARCH("CHIUSO",$M41)&gt;0</formula>
    </cfRule>
    <cfRule type="expression" priority="681" dxfId="58">
      <formula>SEARCH("EMESSO",$M41)&gt;0</formula>
    </cfRule>
    <cfRule type="expression" priority="682" dxfId="57">
      <formula>SEARCH("RICHIESTO",$M41)&gt;0</formula>
    </cfRule>
    <cfRule type="expression" priority="683" dxfId="56">
      <formula>SEARCH("DA CHIUDERE",$M41)&gt;0</formula>
    </cfRule>
    <cfRule type="expression" priority="684" dxfId="55">
      <formula>SEARCH("INTERROTTO",$M41)&gt;0</formula>
    </cfRule>
  </conditionalFormatting>
  <conditionalFormatting sqref="E41:F41 N41:S41">
    <cfRule type="expression" priority="685" dxfId="60">
      <formula>SEARCH("IN CORSO",$M41)&gt;0</formula>
    </cfRule>
    <cfRule type="expression" priority="686" dxfId="59">
      <formula>SEARCH("CHIUSO",$M41)&gt;0</formula>
    </cfRule>
    <cfRule type="expression" priority="687" dxfId="58">
      <formula>SEARCH("EMESSO",$M41)&gt;0</formula>
    </cfRule>
    <cfRule type="expression" priority="688" dxfId="57">
      <formula>SEARCH("RICHIESTO",$M41)&gt;0</formula>
    </cfRule>
    <cfRule type="expression" priority="689" dxfId="56">
      <formula>SEARCH("DA CHIUDERE",$M41)&gt;0</formula>
    </cfRule>
    <cfRule type="expression" priority="690" dxfId="55">
      <formula>SEARCH("INTERROTTO",$M41)&gt;0</formula>
    </cfRule>
  </conditionalFormatting>
  <conditionalFormatting sqref="M41">
    <cfRule type="expression" priority="673" dxfId="60">
      <formula>SEARCH("IN CORSO",$M41)&gt;0</formula>
    </cfRule>
    <cfRule type="expression" priority="674" dxfId="59">
      <formula>SEARCH("CHIUSO",$M41)&gt;0</formula>
    </cfRule>
    <cfRule type="expression" priority="675" dxfId="58">
      <formula>SEARCH("EMESSO",$M41)&gt;0</formula>
    </cfRule>
    <cfRule type="expression" priority="676" dxfId="57">
      <formula>SEARCH("RICHIESTO",$M41)&gt;0</formula>
    </cfRule>
    <cfRule type="expression" priority="677" dxfId="56">
      <formula>SEARCH("DA CHIUDERE",$M41)&gt;0</formula>
    </cfRule>
    <cfRule type="expression" priority="678" dxfId="55">
      <formula>SEARCH("INTERROTTO",$M41)&gt;0</formula>
    </cfRule>
  </conditionalFormatting>
  <conditionalFormatting sqref="G40">
    <cfRule type="expression" priority="661" dxfId="60">
      <formula>SEARCH("IN CORSO",$M40)&gt;0</formula>
    </cfRule>
    <cfRule type="expression" priority="662" dxfId="59">
      <formula>SEARCH("CHIUSO",$M40)&gt;0</formula>
    </cfRule>
    <cfRule type="expression" priority="663" dxfId="58">
      <formula>SEARCH("EMESSO",$M40)&gt;0</formula>
    </cfRule>
    <cfRule type="expression" priority="664" dxfId="57">
      <formula>SEARCH("RICHIESTO",$M40)&gt;0</formula>
    </cfRule>
    <cfRule type="expression" priority="665" dxfId="56">
      <formula>SEARCH("DA CHIUDERE",$M40)&gt;0</formula>
    </cfRule>
    <cfRule type="expression" priority="666" dxfId="55">
      <formula>SEARCH("INTERROTTO",$M40)&gt;0</formula>
    </cfRule>
  </conditionalFormatting>
  <conditionalFormatting sqref="E40:F40 N40:S40">
    <cfRule type="expression" priority="667" dxfId="60">
      <formula>SEARCH("IN CORSO",$M40)&gt;0</formula>
    </cfRule>
    <cfRule type="expression" priority="668" dxfId="59">
      <formula>SEARCH("CHIUSO",$M40)&gt;0</formula>
    </cfRule>
    <cfRule type="expression" priority="669" dxfId="58">
      <formula>SEARCH("EMESSO",$M40)&gt;0</formula>
    </cfRule>
    <cfRule type="expression" priority="670" dxfId="57">
      <formula>SEARCH("RICHIESTO",$M40)&gt;0</formula>
    </cfRule>
    <cfRule type="expression" priority="671" dxfId="56">
      <formula>SEARCH("DA CHIUDERE",$M40)&gt;0</formula>
    </cfRule>
    <cfRule type="expression" priority="672" dxfId="55">
      <formula>SEARCH("INTERROTTO",$M40)&gt;0</formula>
    </cfRule>
  </conditionalFormatting>
  <conditionalFormatting sqref="M40">
    <cfRule type="expression" priority="655" dxfId="60">
      <formula>SEARCH("IN CORSO",$M40)&gt;0</formula>
    </cfRule>
    <cfRule type="expression" priority="656" dxfId="59">
      <formula>SEARCH("CHIUSO",$M40)&gt;0</formula>
    </cfRule>
    <cfRule type="expression" priority="657" dxfId="58">
      <formula>SEARCH("EMESSO",$M40)&gt;0</formula>
    </cfRule>
    <cfRule type="expression" priority="658" dxfId="57">
      <formula>SEARCH("RICHIESTO",$M40)&gt;0</formula>
    </cfRule>
    <cfRule type="expression" priority="659" dxfId="56">
      <formula>SEARCH("DA CHIUDERE",$M40)&gt;0</formula>
    </cfRule>
    <cfRule type="expression" priority="660" dxfId="55">
      <formula>SEARCH("INTERROTTO",$M40)&gt;0</formula>
    </cfRule>
  </conditionalFormatting>
  <conditionalFormatting sqref="G39">
    <cfRule type="expression" priority="643" dxfId="60">
      <formula>SEARCH("IN CORSO",$M39)&gt;0</formula>
    </cfRule>
    <cfRule type="expression" priority="644" dxfId="59">
      <formula>SEARCH("CHIUSO",$M39)&gt;0</formula>
    </cfRule>
    <cfRule type="expression" priority="645" dxfId="58">
      <formula>SEARCH("EMESSO",$M39)&gt;0</formula>
    </cfRule>
    <cfRule type="expression" priority="646" dxfId="57">
      <formula>SEARCH("RICHIESTO",$M39)&gt;0</formula>
    </cfRule>
    <cfRule type="expression" priority="647" dxfId="56">
      <formula>SEARCH("DA CHIUDERE",$M39)&gt;0</formula>
    </cfRule>
    <cfRule type="expression" priority="648" dxfId="55">
      <formula>SEARCH("INTERROTTO",$M39)&gt;0</formula>
    </cfRule>
  </conditionalFormatting>
  <conditionalFormatting sqref="E39:F39 N39:S39">
    <cfRule type="expression" priority="649" dxfId="60">
      <formula>SEARCH("IN CORSO",$M39)&gt;0</formula>
    </cfRule>
    <cfRule type="expression" priority="650" dxfId="59">
      <formula>SEARCH("CHIUSO",$M39)&gt;0</formula>
    </cfRule>
    <cfRule type="expression" priority="651" dxfId="58">
      <formula>SEARCH("EMESSO",$M39)&gt;0</formula>
    </cfRule>
    <cfRule type="expression" priority="652" dxfId="57">
      <formula>SEARCH("RICHIESTO",$M39)&gt;0</formula>
    </cfRule>
    <cfRule type="expression" priority="653" dxfId="56">
      <formula>SEARCH("DA CHIUDERE",$M39)&gt;0</formula>
    </cfRule>
    <cfRule type="expression" priority="654" dxfId="55">
      <formula>SEARCH("INTERROTTO",$M39)&gt;0</formula>
    </cfRule>
  </conditionalFormatting>
  <conditionalFormatting sqref="M39">
    <cfRule type="expression" priority="637" dxfId="60">
      <formula>SEARCH("IN CORSO",$M39)&gt;0</formula>
    </cfRule>
    <cfRule type="expression" priority="638" dxfId="59">
      <formula>SEARCH("CHIUSO",$M39)&gt;0</formula>
    </cfRule>
    <cfRule type="expression" priority="639" dxfId="58">
      <formula>SEARCH("EMESSO",$M39)&gt;0</formula>
    </cfRule>
    <cfRule type="expression" priority="640" dxfId="57">
      <formula>SEARCH("RICHIESTO",$M39)&gt;0</formula>
    </cfRule>
    <cfRule type="expression" priority="641" dxfId="56">
      <formula>SEARCH("DA CHIUDERE",$M39)&gt;0</formula>
    </cfRule>
    <cfRule type="expression" priority="642" dxfId="55">
      <formula>SEARCH("INTERROTTO",$M39)&gt;0</formula>
    </cfRule>
  </conditionalFormatting>
  <conditionalFormatting sqref="G38">
    <cfRule type="expression" priority="625" dxfId="60">
      <formula>SEARCH("IN CORSO",$M38)&gt;0</formula>
    </cfRule>
    <cfRule type="expression" priority="626" dxfId="59">
      <formula>SEARCH("CHIUSO",$M38)&gt;0</formula>
    </cfRule>
    <cfRule type="expression" priority="627" dxfId="58">
      <formula>SEARCH("EMESSO",$M38)&gt;0</formula>
    </cfRule>
    <cfRule type="expression" priority="628" dxfId="57">
      <formula>SEARCH("RICHIESTO",$M38)&gt;0</formula>
    </cfRule>
    <cfRule type="expression" priority="629" dxfId="56">
      <formula>SEARCH("DA CHIUDERE",$M38)&gt;0</formula>
    </cfRule>
    <cfRule type="expression" priority="630" dxfId="55">
      <formula>SEARCH("INTERROTTO",$M38)&gt;0</formula>
    </cfRule>
  </conditionalFormatting>
  <conditionalFormatting sqref="E38:F38 N38:S38">
    <cfRule type="expression" priority="631" dxfId="60">
      <formula>SEARCH("IN CORSO",$M38)&gt;0</formula>
    </cfRule>
    <cfRule type="expression" priority="632" dxfId="59">
      <formula>SEARCH("CHIUSO",$M38)&gt;0</formula>
    </cfRule>
    <cfRule type="expression" priority="633" dxfId="58">
      <formula>SEARCH("EMESSO",$M38)&gt;0</formula>
    </cfRule>
    <cfRule type="expression" priority="634" dxfId="57">
      <formula>SEARCH("RICHIESTO",$M38)&gt;0</formula>
    </cfRule>
    <cfRule type="expression" priority="635" dxfId="56">
      <formula>SEARCH("DA CHIUDERE",$M38)&gt;0</formula>
    </cfRule>
    <cfRule type="expression" priority="636" dxfId="55">
      <formula>SEARCH("INTERROTTO",$M38)&gt;0</formula>
    </cfRule>
  </conditionalFormatting>
  <conditionalFormatting sqref="M38">
    <cfRule type="expression" priority="619" dxfId="60">
      <formula>SEARCH("IN CORSO",$M38)&gt;0</formula>
    </cfRule>
    <cfRule type="expression" priority="620" dxfId="59">
      <formula>SEARCH("CHIUSO",$M38)&gt;0</formula>
    </cfRule>
    <cfRule type="expression" priority="621" dxfId="58">
      <formula>SEARCH("EMESSO",$M38)&gt;0</formula>
    </cfRule>
    <cfRule type="expression" priority="622" dxfId="57">
      <formula>SEARCH("RICHIESTO",$M38)&gt;0</formula>
    </cfRule>
    <cfRule type="expression" priority="623" dxfId="56">
      <formula>SEARCH("DA CHIUDERE",$M38)&gt;0</formula>
    </cfRule>
    <cfRule type="expression" priority="624" dxfId="55">
      <formula>SEARCH("INTERROTTO",$M38)&gt;0</formula>
    </cfRule>
  </conditionalFormatting>
  <conditionalFormatting sqref="G37">
    <cfRule type="expression" priority="607" dxfId="60">
      <formula>SEARCH("IN CORSO",$M37)&gt;0</formula>
    </cfRule>
    <cfRule type="expression" priority="608" dxfId="59">
      <formula>SEARCH("CHIUSO",$M37)&gt;0</formula>
    </cfRule>
    <cfRule type="expression" priority="609" dxfId="58">
      <formula>SEARCH("EMESSO",$M37)&gt;0</formula>
    </cfRule>
    <cfRule type="expression" priority="610" dxfId="57">
      <formula>SEARCH("RICHIESTO",$M37)&gt;0</formula>
    </cfRule>
    <cfRule type="expression" priority="611" dxfId="56">
      <formula>SEARCH("DA CHIUDERE",$M37)&gt;0</formula>
    </cfRule>
    <cfRule type="expression" priority="612" dxfId="55">
      <formula>SEARCH("INTERROTTO",$M37)&gt;0</formula>
    </cfRule>
  </conditionalFormatting>
  <conditionalFormatting sqref="E37:F37 N37:S37">
    <cfRule type="expression" priority="613" dxfId="60">
      <formula>SEARCH("IN CORSO",$M37)&gt;0</formula>
    </cfRule>
    <cfRule type="expression" priority="614" dxfId="59">
      <formula>SEARCH("CHIUSO",$M37)&gt;0</formula>
    </cfRule>
    <cfRule type="expression" priority="615" dxfId="58">
      <formula>SEARCH("EMESSO",$M37)&gt;0</formula>
    </cfRule>
    <cfRule type="expression" priority="616" dxfId="57">
      <formula>SEARCH("RICHIESTO",$M37)&gt;0</formula>
    </cfRule>
    <cfRule type="expression" priority="617" dxfId="56">
      <formula>SEARCH("DA CHIUDERE",$M37)&gt;0</formula>
    </cfRule>
    <cfRule type="expression" priority="618" dxfId="55">
      <formula>SEARCH("INTERROTTO",$M37)&gt;0</formula>
    </cfRule>
  </conditionalFormatting>
  <conditionalFormatting sqref="M37">
    <cfRule type="expression" priority="601" dxfId="60">
      <formula>SEARCH("IN CORSO",$M37)&gt;0</formula>
    </cfRule>
    <cfRule type="expression" priority="602" dxfId="59">
      <formula>SEARCH("CHIUSO",$M37)&gt;0</formula>
    </cfRule>
    <cfRule type="expression" priority="603" dxfId="58">
      <formula>SEARCH("EMESSO",$M37)&gt;0</formula>
    </cfRule>
    <cfRule type="expression" priority="604" dxfId="57">
      <formula>SEARCH("RICHIESTO",$M37)&gt;0</formula>
    </cfRule>
    <cfRule type="expression" priority="605" dxfId="56">
      <formula>SEARCH("DA CHIUDERE",$M37)&gt;0</formula>
    </cfRule>
    <cfRule type="expression" priority="606" dxfId="55">
      <formula>SEARCH("INTERROTTO",$M37)&gt;0</formula>
    </cfRule>
  </conditionalFormatting>
  <conditionalFormatting sqref="G36">
    <cfRule type="expression" priority="589" dxfId="60">
      <formula>SEARCH("IN CORSO",$M36)&gt;0</formula>
    </cfRule>
    <cfRule type="expression" priority="590" dxfId="59">
      <formula>SEARCH("CHIUSO",$M36)&gt;0</formula>
    </cfRule>
    <cfRule type="expression" priority="591" dxfId="58">
      <formula>SEARCH("EMESSO",$M36)&gt;0</formula>
    </cfRule>
    <cfRule type="expression" priority="592" dxfId="57">
      <formula>SEARCH("RICHIESTO",$M36)&gt;0</formula>
    </cfRule>
    <cfRule type="expression" priority="593" dxfId="56">
      <formula>SEARCH("DA CHIUDERE",$M36)&gt;0</formula>
    </cfRule>
    <cfRule type="expression" priority="594" dxfId="55">
      <formula>SEARCH("INTERROTTO",$M36)&gt;0</formula>
    </cfRule>
  </conditionalFormatting>
  <conditionalFormatting sqref="E36:F36 N36:S36">
    <cfRule type="expression" priority="595" dxfId="60">
      <formula>SEARCH("IN CORSO",$M36)&gt;0</formula>
    </cfRule>
    <cfRule type="expression" priority="596" dxfId="59">
      <formula>SEARCH("CHIUSO",$M36)&gt;0</formula>
    </cfRule>
    <cfRule type="expression" priority="597" dxfId="58">
      <formula>SEARCH("EMESSO",$M36)&gt;0</formula>
    </cfRule>
    <cfRule type="expression" priority="598" dxfId="57">
      <formula>SEARCH("RICHIESTO",$M36)&gt;0</formula>
    </cfRule>
    <cfRule type="expression" priority="599" dxfId="56">
      <formula>SEARCH("DA CHIUDERE",$M36)&gt;0</formula>
    </cfRule>
    <cfRule type="expression" priority="600" dxfId="55">
      <formula>SEARCH("INTERROTTO",$M36)&gt;0</formula>
    </cfRule>
  </conditionalFormatting>
  <conditionalFormatting sqref="M36">
    <cfRule type="expression" priority="583" dxfId="60">
      <formula>SEARCH("IN CORSO",$M36)&gt;0</formula>
    </cfRule>
    <cfRule type="expression" priority="584" dxfId="59">
      <formula>SEARCH("CHIUSO",$M36)&gt;0</formula>
    </cfRule>
    <cfRule type="expression" priority="585" dxfId="58">
      <formula>SEARCH("EMESSO",$M36)&gt;0</formula>
    </cfRule>
    <cfRule type="expression" priority="586" dxfId="57">
      <formula>SEARCH("RICHIESTO",$M36)&gt;0</formula>
    </cfRule>
    <cfRule type="expression" priority="587" dxfId="56">
      <formula>SEARCH("DA CHIUDERE",$M36)&gt;0</formula>
    </cfRule>
    <cfRule type="expression" priority="588" dxfId="55">
      <formula>SEARCH("INTERROTTO",$M36)&gt;0</formula>
    </cfRule>
  </conditionalFormatting>
  <conditionalFormatting sqref="G35">
    <cfRule type="expression" priority="571" dxfId="60">
      <formula>SEARCH("IN CORSO",$M35)&gt;0</formula>
    </cfRule>
    <cfRule type="expression" priority="572" dxfId="59">
      <formula>SEARCH("CHIUSO",$M35)&gt;0</formula>
    </cfRule>
    <cfRule type="expression" priority="573" dxfId="58">
      <formula>SEARCH("EMESSO",$M35)&gt;0</formula>
    </cfRule>
    <cfRule type="expression" priority="574" dxfId="57">
      <formula>SEARCH("RICHIESTO",$M35)&gt;0</formula>
    </cfRule>
    <cfRule type="expression" priority="575" dxfId="56">
      <formula>SEARCH("DA CHIUDERE",$M35)&gt;0</formula>
    </cfRule>
    <cfRule type="expression" priority="576" dxfId="55">
      <formula>SEARCH("INTERROTTO",$M35)&gt;0</formula>
    </cfRule>
  </conditionalFormatting>
  <conditionalFormatting sqref="E35:F35 N35:S35">
    <cfRule type="expression" priority="577" dxfId="60">
      <formula>SEARCH("IN CORSO",$M35)&gt;0</formula>
    </cfRule>
    <cfRule type="expression" priority="578" dxfId="59">
      <formula>SEARCH("CHIUSO",$M35)&gt;0</formula>
    </cfRule>
    <cfRule type="expression" priority="579" dxfId="58">
      <formula>SEARCH("EMESSO",$M35)&gt;0</formula>
    </cfRule>
    <cfRule type="expression" priority="580" dxfId="57">
      <formula>SEARCH("RICHIESTO",$M35)&gt;0</formula>
    </cfRule>
    <cfRule type="expression" priority="581" dxfId="56">
      <formula>SEARCH("DA CHIUDERE",$M35)&gt;0</formula>
    </cfRule>
    <cfRule type="expression" priority="582" dxfId="55">
      <formula>SEARCH("INTERROTTO",$M35)&gt;0</formula>
    </cfRule>
  </conditionalFormatting>
  <conditionalFormatting sqref="M35">
    <cfRule type="expression" priority="565" dxfId="60">
      <formula>SEARCH("IN CORSO",$M35)&gt;0</formula>
    </cfRule>
    <cfRule type="expression" priority="566" dxfId="59">
      <formula>SEARCH("CHIUSO",$M35)&gt;0</formula>
    </cfRule>
    <cfRule type="expression" priority="567" dxfId="58">
      <formula>SEARCH("EMESSO",$M35)&gt;0</formula>
    </cfRule>
    <cfRule type="expression" priority="568" dxfId="57">
      <formula>SEARCH("RICHIESTO",$M35)&gt;0</formula>
    </cfRule>
    <cfRule type="expression" priority="569" dxfId="56">
      <formula>SEARCH("DA CHIUDERE",$M35)&gt;0</formula>
    </cfRule>
    <cfRule type="expression" priority="570" dxfId="55">
      <formula>SEARCH("INTERROTTO",$M35)&gt;0</formula>
    </cfRule>
  </conditionalFormatting>
  <conditionalFormatting sqref="G34">
    <cfRule type="expression" priority="553" dxfId="60">
      <formula>SEARCH("IN CORSO",$M34)&gt;0</formula>
    </cfRule>
    <cfRule type="expression" priority="554" dxfId="59">
      <formula>SEARCH("CHIUSO",$M34)&gt;0</formula>
    </cfRule>
    <cfRule type="expression" priority="555" dxfId="58">
      <formula>SEARCH("EMESSO",$M34)&gt;0</formula>
    </cfRule>
    <cfRule type="expression" priority="556" dxfId="57">
      <formula>SEARCH("RICHIESTO",$M34)&gt;0</formula>
    </cfRule>
    <cfRule type="expression" priority="557" dxfId="56">
      <formula>SEARCH("DA CHIUDERE",$M34)&gt;0</formula>
    </cfRule>
    <cfRule type="expression" priority="558" dxfId="55">
      <formula>SEARCH("INTERROTTO",$M34)&gt;0</formula>
    </cfRule>
  </conditionalFormatting>
  <conditionalFormatting sqref="E34:F34 N34:S34">
    <cfRule type="expression" priority="559" dxfId="60">
      <formula>SEARCH("IN CORSO",$M34)&gt;0</formula>
    </cfRule>
    <cfRule type="expression" priority="560" dxfId="59">
      <formula>SEARCH("CHIUSO",$M34)&gt;0</formula>
    </cfRule>
    <cfRule type="expression" priority="561" dxfId="58">
      <formula>SEARCH("EMESSO",$M34)&gt;0</formula>
    </cfRule>
    <cfRule type="expression" priority="562" dxfId="57">
      <formula>SEARCH("RICHIESTO",$M34)&gt;0</formula>
    </cfRule>
    <cfRule type="expression" priority="563" dxfId="56">
      <formula>SEARCH("DA CHIUDERE",$M34)&gt;0</formula>
    </cfRule>
    <cfRule type="expression" priority="564" dxfId="55">
      <formula>SEARCH("INTERROTTO",$M34)&gt;0</formula>
    </cfRule>
  </conditionalFormatting>
  <conditionalFormatting sqref="M34">
    <cfRule type="expression" priority="547" dxfId="60">
      <formula>SEARCH("IN CORSO",$M34)&gt;0</formula>
    </cfRule>
    <cfRule type="expression" priority="548" dxfId="59">
      <formula>SEARCH("CHIUSO",$M34)&gt;0</formula>
    </cfRule>
    <cfRule type="expression" priority="549" dxfId="58">
      <formula>SEARCH("EMESSO",$M34)&gt;0</formula>
    </cfRule>
    <cfRule type="expression" priority="550" dxfId="57">
      <formula>SEARCH("RICHIESTO",$M34)&gt;0</formula>
    </cfRule>
    <cfRule type="expression" priority="551" dxfId="56">
      <formula>SEARCH("DA CHIUDERE",$M34)&gt;0</formula>
    </cfRule>
    <cfRule type="expression" priority="552" dxfId="55">
      <formula>SEARCH("INTERROTTO",$M34)&gt;0</formula>
    </cfRule>
  </conditionalFormatting>
  <conditionalFormatting sqref="G33">
    <cfRule type="expression" priority="535" dxfId="60">
      <formula>SEARCH("IN CORSO",$M33)&gt;0</formula>
    </cfRule>
    <cfRule type="expression" priority="536" dxfId="59">
      <formula>SEARCH("CHIUSO",$M33)&gt;0</formula>
    </cfRule>
    <cfRule type="expression" priority="537" dxfId="58">
      <formula>SEARCH("EMESSO",$M33)&gt;0</formula>
    </cfRule>
    <cfRule type="expression" priority="538" dxfId="57">
      <formula>SEARCH("RICHIESTO",$M33)&gt;0</formula>
    </cfRule>
    <cfRule type="expression" priority="539" dxfId="56">
      <formula>SEARCH("DA CHIUDERE",$M33)&gt;0</formula>
    </cfRule>
    <cfRule type="expression" priority="540" dxfId="55">
      <formula>SEARCH("INTERROTTO",$M33)&gt;0</formula>
    </cfRule>
  </conditionalFormatting>
  <conditionalFormatting sqref="E33:F33 N33:S33">
    <cfRule type="expression" priority="541" dxfId="60">
      <formula>SEARCH("IN CORSO",$M33)&gt;0</formula>
    </cfRule>
    <cfRule type="expression" priority="542" dxfId="59">
      <formula>SEARCH("CHIUSO",$M33)&gt;0</formula>
    </cfRule>
    <cfRule type="expression" priority="543" dxfId="58">
      <formula>SEARCH("EMESSO",$M33)&gt;0</formula>
    </cfRule>
    <cfRule type="expression" priority="544" dxfId="57">
      <formula>SEARCH("RICHIESTO",$M33)&gt;0</formula>
    </cfRule>
    <cfRule type="expression" priority="545" dxfId="56">
      <formula>SEARCH("DA CHIUDERE",$M33)&gt;0</formula>
    </cfRule>
    <cfRule type="expression" priority="546" dxfId="55">
      <formula>SEARCH("INTERROTTO",$M33)&gt;0</formula>
    </cfRule>
  </conditionalFormatting>
  <conditionalFormatting sqref="M33">
    <cfRule type="expression" priority="529" dxfId="60">
      <formula>SEARCH("IN CORSO",$M33)&gt;0</formula>
    </cfRule>
    <cfRule type="expression" priority="530" dxfId="59">
      <formula>SEARCH("CHIUSO",$M33)&gt;0</formula>
    </cfRule>
    <cfRule type="expression" priority="531" dxfId="58">
      <formula>SEARCH("EMESSO",$M33)&gt;0</formula>
    </cfRule>
    <cfRule type="expression" priority="532" dxfId="57">
      <formula>SEARCH("RICHIESTO",$M33)&gt;0</formula>
    </cfRule>
    <cfRule type="expression" priority="533" dxfId="56">
      <formula>SEARCH("DA CHIUDERE",$M33)&gt;0</formula>
    </cfRule>
    <cfRule type="expression" priority="534" dxfId="55">
      <formula>SEARCH("INTERROTTO",$M33)&gt;0</formula>
    </cfRule>
  </conditionalFormatting>
  <conditionalFormatting sqref="G32">
    <cfRule type="expression" priority="517" dxfId="60">
      <formula>SEARCH("IN CORSO",$M32)&gt;0</formula>
    </cfRule>
    <cfRule type="expression" priority="518" dxfId="59">
      <formula>SEARCH("CHIUSO",$M32)&gt;0</formula>
    </cfRule>
    <cfRule type="expression" priority="519" dxfId="58">
      <formula>SEARCH("EMESSO",$M32)&gt;0</formula>
    </cfRule>
    <cfRule type="expression" priority="520" dxfId="57">
      <formula>SEARCH("RICHIESTO",$M32)&gt;0</formula>
    </cfRule>
    <cfRule type="expression" priority="521" dxfId="56">
      <formula>SEARCH("DA CHIUDERE",$M32)&gt;0</formula>
    </cfRule>
    <cfRule type="expression" priority="522" dxfId="55">
      <formula>SEARCH("INTERROTTO",$M32)&gt;0</formula>
    </cfRule>
  </conditionalFormatting>
  <conditionalFormatting sqref="E32:F32 N32:S32">
    <cfRule type="expression" priority="523" dxfId="60">
      <formula>SEARCH("IN CORSO",$M32)&gt;0</formula>
    </cfRule>
    <cfRule type="expression" priority="524" dxfId="59">
      <formula>SEARCH("CHIUSO",$M32)&gt;0</formula>
    </cfRule>
    <cfRule type="expression" priority="525" dxfId="58">
      <formula>SEARCH("EMESSO",$M32)&gt;0</formula>
    </cfRule>
    <cfRule type="expression" priority="526" dxfId="57">
      <formula>SEARCH("RICHIESTO",$M32)&gt;0</formula>
    </cfRule>
    <cfRule type="expression" priority="527" dxfId="56">
      <formula>SEARCH("DA CHIUDERE",$M32)&gt;0</formula>
    </cfRule>
    <cfRule type="expression" priority="528" dxfId="55">
      <formula>SEARCH("INTERROTTO",$M32)&gt;0</formula>
    </cfRule>
  </conditionalFormatting>
  <conditionalFormatting sqref="M32">
    <cfRule type="expression" priority="511" dxfId="60">
      <formula>SEARCH("IN CORSO",$M32)&gt;0</formula>
    </cfRule>
    <cfRule type="expression" priority="512" dxfId="59">
      <formula>SEARCH("CHIUSO",$M32)&gt;0</formula>
    </cfRule>
    <cfRule type="expression" priority="513" dxfId="58">
      <formula>SEARCH("EMESSO",$M32)&gt;0</formula>
    </cfRule>
    <cfRule type="expression" priority="514" dxfId="57">
      <formula>SEARCH("RICHIESTO",$M32)&gt;0</formula>
    </cfRule>
    <cfRule type="expression" priority="515" dxfId="56">
      <formula>SEARCH("DA CHIUDERE",$M32)&gt;0</formula>
    </cfRule>
    <cfRule type="expression" priority="516" dxfId="55">
      <formula>SEARCH("INTERROTTO",$M32)&gt;0</formula>
    </cfRule>
  </conditionalFormatting>
  <conditionalFormatting sqref="G31">
    <cfRule type="expression" priority="499" dxfId="60">
      <formula>SEARCH("IN CORSO",$M31)&gt;0</formula>
    </cfRule>
    <cfRule type="expression" priority="500" dxfId="59">
      <formula>SEARCH("CHIUSO",$M31)&gt;0</formula>
    </cfRule>
    <cfRule type="expression" priority="501" dxfId="58">
      <formula>SEARCH("EMESSO",$M31)&gt;0</formula>
    </cfRule>
    <cfRule type="expression" priority="502" dxfId="57">
      <formula>SEARCH("RICHIESTO",$M31)&gt;0</formula>
    </cfRule>
    <cfRule type="expression" priority="503" dxfId="56">
      <formula>SEARCH("DA CHIUDERE",$M31)&gt;0</formula>
    </cfRule>
    <cfRule type="expression" priority="504" dxfId="55">
      <formula>SEARCH("INTERROTTO",$M31)&gt;0</formula>
    </cfRule>
  </conditionalFormatting>
  <conditionalFormatting sqref="E31:F31 N31:S31">
    <cfRule type="expression" priority="505" dxfId="60">
      <formula>SEARCH("IN CORSO",$M31)&gt;0</formula>
    </cfRule>
    <cfRule type="expression" priority="506" dxfId="59">
      <formula>SEARCH("CHIUSO",$M31)&gt;0</formula>
    </cfRule>
    <cfRule type="expression" priority="507" dxfId="58">
      <formula>SEARCH("EMESSO",$M31)&gt;0</formula>
    </cfRule>
    <cfRule type="expression" priority="508" dxfId="57">
      <formula>SEARCH("RICHIESTO",$M31)&gt;0</formula>
    </cfRule>
    <cfRule type="expression" priority="509" dxfId="56">
      <formula>SEARCH("DA CHIUDERE",$M31)&gt;0</formula>
    </cfRule>
    <cfRule type="expression" priority="510" dxfId="55">
      <formula>SEARCH("INTERROTTO",$M31)&gt;0</formula>
    </cfRule>
  </conditionalFormatting>
  <conditionalFormatting sqref="M31">
    <cfRule type="expression" priority="493" dxfId="60">
      <formula>SEARCH("IN CORSO",$M31)&gt;0</formula>
    </cfRule>
    <cfRule type="expression" priority="494" dxfId="59">
      <formula>SEARCH("CHIUSO",$M31)&gt;0</formula>
    </cfRule>
    <cfRule type="expression" priority="495" dxfId="58">
      <formula>SEARCH("EMESSO",$M31)&gt;0</formula>
    </cfRule>
    <cfRule type="expression" priority="496" dxfId="57">
      <formula>SEARCH("RICHIESTO",$M31)&gt;0</formula>
    </cfRule>
    <cfRule type="expression" priority="497" dxfId="56">
      <formula>SEARCH("DA CHIUDERE",$M31)&gt;0</formula>
    </cfRule>
    <cfRule type="expression" priority="498" dxfId="55">
      <formula>SEARCH("INTERROTTO",$M31)&gt;0</formula>
    </cfRule>
  </conditionalFormatting>
  <conditionalFormatting sqref="G30">
    <cfRule type="expression" priority="481" dxfId="60">
      <formula>SEARCH("IN CORSO",$M30)&gt;0</formula>
    </cfRule>
    <cfRule type="expression" priority="482" dxfId="59">
      <formula>SEARCH("CHIUSO",$M30)&gt;0</formula>
    </cfRule>
    <cfRule type="expression" priority="483" dxfId="58">
      <formula>SEARCH("EMESSO",$M30)&gt;0</formula>
    </cfRule>
    <cfRule type="expression" priority="484" dxfId="57">
      <formula>SEARCH("RICHIESTO",$M30)&gt;0</formula>
    </cfRule>
    <cfRule type="expression" priority="485" dxfId="56">
      <formula>SEARCH("DA CHIUDERE",$M30)&gt;0</formula>
    </cfRule>
    <cfRule type="expression" priority="486" dxfId="55">
      <formula>SEARCH("INTERROTTO",$M30)&gt;0</formula>
    </cfRule>
  </conditionalFormatting>
  <conditionalFormatting sqref="E30:F30 N30:S30">
    <cfRule type="expression" priority="487" dxfId="60">
      <formula>SEARCH("IN CORSO",$M30)&gt;0</formula>
    </cfRule>
    <cfRule type="expression" priority="488" dxfId="59">
      <formula>SEARCH("CHIUSO",$M30)&gt;0</formula>
    </cfRule>
    <cfRule type="expression" priority="489" dxfId="58">
      <formula>SEARCH("EMESSO",$M30)&gt;0</formula>
    </cfRule>
    <cfRule type="expression" priority="490" dxfId="57">
      <formula>SEARCH("RICHIESTO",$M30)&gt;0</formula>
    </cfRule>
    <cfRule type="expression" priority="491" dxfId="56">
      <formula>SEARCH("DA CHIUDERE",$M30)&gt;0</formula>
    </cfRule>
    <cfRule type="expression" priority="492" dxfId="55">
      <formula>SEARCH("INTERROTTO",$M30)&gt;0</formula>
    </cfRule>
  </conditionalFormatting>
  <conditionalFormatting sqref="M30">
    <cfRule type="expression" priority="475" dxfId="60">
      <formula>SEARCH("IN CORSO",$M30)&gt;0</formula>
    </cfRule>
    <cfRule type="expression" priority="476" dxfId="59">
      <formula>SEARCH("CHIUSO",$M30)&gt;0</formula>
    </cfRule>
    <cfRule type="expression" priority="477" dxfId="58">
      <formula>SEARCH("EMESSO",$M30)&gt;0</formula>
    </cfRule>
    <cfRule type="expression" priority="478" dxfId="57">
      <formula>SEARCH("RICHIESTO",$M30)&gt;0</formula>
    </cfRule>
    <cfRule type="expression" priority="479" dxfId="56">
      <formula>SEARCH("DA CHIUDERE",$M30)&gt;0</formula>
    </cfRule>
    <cfRule type="expression" priority="480" dxfId="55">
      <formula>SEARCH("INTERROTTO",$M30)&gt;0</formula>
    </cfRule>
  </conditionalFormatting>
  <conditionalFormatting sqref="G29">
    <cfRule type="expression" priority="463" dxfId="60">
      <formula>SEARCH("IN CORSO",$M29)&gt;0</formula>
    </cfRule>
    <cfRule type="expression" priority="464" dxfId="59">
      <formula>SEARCH("CHIUSO",$M29)&gt;0</formula>
    </cfRule>
    <cfRule type="expression" priority="465" dxfId="58">
      <formula>SEARCH("EMESSO",$M29)&gt;0</formula>
    </cfRule>
    <cfRule type="expression" priority="466" dxfId="57">
      <formula>SEARCH("RICHIESTO",$M29)&gt;0</formula>
    </cfRule>
    <cfRule type="expression" priority="467" dxfId="56">
      <formula>SEARCH("DA CHIUDERE",$M29)&gt;0</formula>
    </cfRule>
    <cfRule type="expression" priority="468" dxfId="55">
      <formula>SEARCH("INTERROTTO",$M29)&gt;0</formula>
    </cfRule>
  </conditionalFormatting>
  <conditionalFormatting sqref="E29:F29 N29:S29">
    <cfRule type="expression" priority="469" dxfId="60">
      <formula>SEARCH("IN CORSO",$M29)&gt;0</formula>
    </cfRule>
    <cfRule type="expression" priority="470" dxfId="59">
      <formula>SEARCH("CHIUSO",$M29)&gt;0</formula>
    </cfRule>
    <cfRule type="expression" priority="471" dxfId="58">
      <formula>SEARCH("EMESSO",$M29)&gt;0</formula>
    </cfRule>
    <cfRule type="expression" priority="472" dxfId="57">
      <formula>SEARCH("RICHIESTO",$M29)&gt;0</formula>
    </cfRule>
    <cfRule type="expression" priority="473" dxfId="56">
      <formula>SEARCH("DA CHIUDERE",$M29)&gt;0</formula>
    </cfRule>
    <cfRule type="expression" priority="474" dxfId="55">
      <formula>SEARCH("INTERROTTO",$M29)&gt;0</formula>
    </cfRule>
  </conditionalFormatting>
  <conditionalFormatting sqref="M29">
    <cfRule type="expression" priority="457" dxfId="60">
      <formula>SEARCH("IN CORSO",$M29)&gt;0</formula>
    </cfRule>
    <cfRule type="expression" priority="458" dxfId="59">
      <formula>SEARCH("CHIUSO",$M29)&gt;0</formula>
    </cfRule>
    <cfRule type="expression" priority="459" dxfId="58">
      <formula>SEARCH("EMESSO",$M29)&gt;0</formula>
    </cfRule>
    <cfRule type="expression" priority="460" dxfId="57">
      <formula>SEARCH("RICHIESTO",$M29)&gt;0</formula>
    </cfRule>
    <cfRule type="expression" priority="461" dxfId="56">
      <formula>SEARCH("DA CHIUDERE",$M29)&gt;0</formula>
    </cfRule>
    <cfRule type="expression" priority="462" dxfId="55">
      <formula>SEARCH("INTERROTTO",$M29)&gt;0</formula>
    </cfRule>
  </conditionalFormatting>
  <conditionalFormatting sqref="G28">
    <cfRule type="expression" priority="445" dxfId="60">
      <formula>SEARCH("IN CORSO",$M28)&gt;0</formula>
    </cfRule>
    <cfRule type="expression" priority="446" dxfId="59">
      <formula>SEARCH("CHIUSO",$M28)&gt;0</formula>
    </cfRule>
    <cfRule type="expression" priority="447" dxfId="58">
      <formula>SEARCH("EMESSO",$M28)&gt;0</formula>
    </cfRule>
    <cfRule type="expression" priority="448" dxfId="57">
      <formula>SEARCH("RICHIESTO",$M28)&gt;0</formula>
    </cfRule>
    <cfRule type="expression" priority="449" dxfId="56">
      <formula>SEARCH("DA CHIUDERE",$M28)&gt;0</formula>
    </cfRule>
    <cfRule type="expression" priority="450" dxfId="55">
      <formula>SEARCH("INTERROTTO",$M28)&gt;0</formula>
    </cfRule>
  </conditionalFormatting>
  <conditionalFormatting sqref="E28:F28 N28:S28">
    <cfRule type="expression" priority="451" dxfId="60">
      <formula>SEARCH("IN CORSO",$M28)&gt;0</formula>
    </cfRule>
    <cfRule type="expression" priority="452" dxfId="59">
      <formula>SEARCH("CHIUSO",$M28)&gt;0</formula>
    </cfRule>
    <cfRule type="expression" priority="453" dxfId="58">
      <formula>SEARCH("EMESSO",$M28)&gt;0</formula>
    </cfRule>
    <cfRule type="expression" priority="454" dxfId="57">
      <formula>SEARCH("RICHIESTO",$M28)&gt;0</formula>
    </cfRule>
    <cfRule type="expression" priority="455" dxfId="56">
      <formula>SEARCH("DA CHIUDERE",$M28)&gt;0</formula>
    </cfRule>
    <cfRule type="expression" priority="456" dxfId="55">
      <formula>SEARCH("INTERROTTO",$M28)&gt;0</formula>
    </cfRule>
  </conditionalFormatting>
  <conditionalFormatting sqref="M28">
    <cfRule type="expression" priority="439" dxfId="60">
      <formula>SEARCH("IN CORSO",$M28)&gt;0</formula>
    </cfRule>
    <cfRule type="expression" priority="440" dxfId="59">
      <formula>SEARCH("CHIUSO",$M28)&gt;0</formula>
    </cfRule>
    <cfRule type="expression" priority="441" dxfId="58">
      <formula>SEARCH("EMESSO",$M28)&gt;0</formula>
    </cfRule>
    <cfRule type="expression" priority="442" dxfId="57">
      <formula>SEARCH("RICHIESTO",$M28)&gt;0</formula>
    </cfRule>
    <cfRule type="expression" priority="443" dxfId="56">
      <formula>SEARCH("DA CHIUDERE",$M28)&gt;0</formula>
    </cfRule>
    <cfRule type="expression" priority="444" dxfId="55">
      <formula>SEARCH("INTERROTTO",$M28)&gt;0</formula>
    </cfRule>
  </conditionalFormatting>
  <conditionalFormatting sqref="G27">
    <cfRule type="expression" priority="427" dxfId="60">
      <formula>SEARCH("IN CORSO",$M27)&gt;0</formula>
    </cfRule>
    <cfRule type="expression" priority="428" dxfId="59">
      <formula>SEARCH("CHIUSO",$M27)&gt;0</formula>
    </cfRule>
    <cfRule type="expression" priority="429" dxfId="58">
      <formula>SEARCH("EMESSO",$M27)&gt;0</formula>
    </cfRule>
    <cfRule type="expression" priority="430" dxfId="57">
      <formula>SEARCH("RICHIESTO",$M27)&gt;0</formula>
    </cfRule>
    <cfRule type="expression" priority="431" dxfId="56">
      <formula>SEARCH("DA CHIUDERE",$M27)&gt;0</formula>
    </cfRule>
    <cfRule type="expression" priority="432" dxfId="55">
      <formula>SEARCH("INTERROTTO",$M27)&gt;0</formula>
    </cfRule>
  </conditionalFormatting>
  <conditionalFormatting sqref="E27:F27 N27:S27">
    <cfRule type="expression" priority="433" dxfId="60">
      <formula>SEARCH("IN CORSO",$M27)&gt;0</formula>
    </cfRule>
    <cfRule type="expression" priority="434" dxfId="59">
      <formula>SEARCH("CHIUSO",$M27)&gt;0</formula>
    </cfRule>
    <cfRule type="expression" priority="435" dxfId="58">
      <formula>SEARCH("EMESSO",$M27)&gt;0</formula>
    </cfRule>
    <cfRule type="expression" priority="436" dxfId="57">
      <formula>SEARCH("RICHIESTO",$M27)&gt;0</formula>
    </cfRule>
    <cfRule type="expression" priority="437" dxfId="56">
      <formula>SEARCH("DA CHIUDERE",$M27)&gt;0</formula>
    </cfRule>
    <cfRule type="expression" priority="438" dxfId="55">
      <formula>SEARCH("INTERROTTO",$M27)&gt;0</formula>
    </cfRule>
  </conditionalFormatting>
  <conditionalFormatting sqref="M27">
    <cfRule type="expression" priority="421" dxfId="60">
      <formula>SEARCH("IN CORSO",$M27)&gt;0</formula>
    </cfRule>
    <cfRule type="expression" priority="422" dxfId="59">
      <formula>SEARCH("CHIUSO",$M27)&gt;0</formula>
    </cfRule>
    <cfRule type="expression" priority="423" dxfId="58">
      <formula>SEARCH("EMESSO",$M27)&gt;0</formula>
    </cfRule>
    <cfRule type="expression" priority="424" dxfId="57">
      <formula>SEARCH("RICHIESTO",$M27)&gt;0</formula>
    </cfRule>
    <cfRule type="expression" priority="425" dxfId="56">
      <formula>SEARCH("DA CHIUDERE",$M27)&gt;0</formula>
    </cfRule>
    <cfRule type="expression" priority="426" dxfId="55">
      <formula>SEARCH("INTERROTTO",$M27)&gt;0</formula>
    </cfRule>
  </conditionalFormatting>
  <conditionalFormatting sqref="G26">
    <cfRule type="expression" priority="409" dxfId="60">
      <formula>SEARCH("IN CORSO",$M26)&gt;0</formula>
    </cfRule>
    <cfRule type="expression" priority="410" dxfId="59">
      <formula>SEARCH("CHIUSO",$M26)&gt;0</formula>
    </cfRule>
    <cfRule type="expression" priority="411" dxfId="58">
      <formula>SEARCH("EMESSO",$M26)&gt;0</formula>
    </cfRule>
    <cfRule type="expression" priority="412" dxfId="57">
      <formula>SEARCH("RICHIESTO",$M26)&gt;0</formula>
    </cfRule>
    <cfRule type="expression" priority="413" dxfId="56">
      <formula>SEARCH("DA CHIUDERE",$M26)&gt;0</formula>
    </cfRule>
    <cfRule type="expression" priority="414" dxfId="55">
      <formula>SEARCH("INTERROTTO",$M26)&gt;0</formula>
    </cfRule>
  </conditionalFormatting>
  <conditionalFormatting sqref="E26:F26 N26:S26">
    <cfRule type="expression" priority="415" dxfId="60">
      <formula>SEARCH("IN CORSO",$M26)&gt;0</formula>
    </cfRule>
    <cfRule type="expression" priority="416" dxfId="59">
      <formula>SEARCH("CHIUSO",$M26)&gt;0</formula>
    </cfRule>
    <cfRule type="expression" priority="417" dxfId="58">
      <formula>SEARCH("EMESSO",$M26)&gt;0</formula>
    </cfRule>
    <cfRule type="expression" priority="418" dxfId="57">
      <formula>SEARCH("RICHIESTO",$M26)&gt;0</formula>
    </cfRule>
    <cfRule type="expression" priority="419" dxfId="56">
      <formula>SEARCH("DA CHIUDERE",$M26)&gt;0</formula>
    </cfRule>
    <cfRule type="expression" priority="420" dxfId="55">
      <formula>SEARCH("INTERROTTO",$M26)&gt;0</formula>
    </cfRule>
  </conditionalFormatting>
  <conditionalFormatting sqref="M26">
    <cfRule type="expression" priority="403" dxfId="60">
      <formula>SEARCH("IN CORSO",$M26)&gt;0</formula>
    </cfRule>
    <cfRule type="expression" priority="404" dxfId="59">
      <formula>SEARCH("CHIUSO",$M26)&gt;0</formula>
    </cfRule>
    <cfRule type="expression" priority="405" dxfId="58">
      <formula>SEARCH("EMESSO",$M26)&gt;0</formula>
    </cfRule>
    <cfRule type="expression" priority="406" dxfId="57">
      <formula>SEARCH("RICHIESTO",$M26)&gt;0</formula>
    </cfRule>
    <cfRule type="expression" priority="407" dxfId="56">
      <formula>SEARCH("DA CHIUDERE",$M26)&gt;0</formula>
    </cfRule>
    <cfRule type="expression" priority="408" dxfId="55">
      <formula>SEARCH("INTERROTTO",$M26)&gt;0</formula>
    </cfRule>
  </conditionalFormatting>
  <conditionalFormatting sqref="G25">
    <cfRule type="expression" priority="391" dxfId="60">
      <formula>SEARCH("IN CORSO",$M25)&gt;0</formula>
    </cfRule>
    <cfRule type="expression" priority="392" dxfId="59">
      <formula>SEARCH("CHIUSO",$M25)&gt;0</formula>
    </cfRule>
    <cfRule type="expression" priority="393" dxfId="58">
      <formula>SEARCH("EMESSO",$M25)&gt;0</formula>
    </cfRule>
    <cfRule type="expression" priority="394" dxfId="57">
      <formula>SEARCH("RICHIESTO",$M25)&gt;0</formula>
    </cfRule>
    <cfRule type="expression" priority="395" dxfId="56">
      <formula>SEARCH("DA CHIUDERE",$M25)&gt;0</formula>
    </cfRule>
    <cfRule type="expression" priority="396" dxfId="55">
      <formula>SEARCH("INTERROTTO",$M25)&gt;0</formula>
    </cfRule>
  </conditionalFormatting>
  <conditionalFormatting sqref="E25:F25 N25:S25">
    <cfRule type="expression" priority="397" dxfId="60">
      <formula>SEARCH("IN CORSO",$M25)&gt;0</formula>
    </cfRule>
    <cfRule type="expression" priority="398" dxfId="59">
      <formula>SEARCH("CHIUSO",$M25)&gt;0</formula>
    </cfRule>
    <cfRule type="expression" priority="399" dxfId="58">
      <formula>SEARCH("EMESSO",$M25)&gt;0</formula>
    </cfRule>
    <cfRule type="expression" priority="400" dxfId="57">
      <formula>SEARCH("RICHIESTO",$M25)&gt;0</formula>
    </cfRule>
    <cfRule type="expression" priority="401" dxfId="56">
      <formula>SEARCH("DA CHIUDERE",$M25)&gt;0</formula>
    </cfRule>
    <cfRule type="expression" priority="402" dxfId="55">
      <formula>SEARCH("INTERROTTO",$M25)&gt;0</formula>
    </cfRule>
  </conditionalFormatting>
  <conditionalFormatting sqref="M25">
    <cfRule type="expression" priority="385" dxfId="60">
      <formula>SEARCH("IN CORSO",$M25)&gt;0</formula>
    </cfRule>
    <cfRule type="expression" priority="386" dxfId="59">
      <formula>SEARCH("CHIUSO",$M25)&gt;0</formula>
    </cfRule>
    <cfRule type="expression" priority="387" dxfId="58">
      <formula>SEARCH("EMESSO",$M25)&gt;0</formula>
    </cfRule>
    <cfRule type="expression" priority="388" dxfId="57">
      <formula>SEARCH("RICHIESTO",$M25)&gt;0</formula>
    </cfRule>
    <cfRule type="expression" priority="389" dxfId="56">
      <formula>SEARCH("DA CHIUDERE",$M25)&gt;0</formula>
    </cfRule>
    <cfRule type="expression" priority="390" dxfId="55">
      <formula>SEARCH("INTERROTTO",$M25)&gt;0</formula>
    </cfRule>
  </conditionalFormatting>
  <conditionalFormatting sqref="G24">
    <cfRule type="expression" priority="373" dxfId="60">
      <formula>SEARCH("IN CORSO",$M24)&gt;0</formula>
    </cfRule>
    <cfRule type="expression" priority="374" dxfId="59">
      <formula>SEARCH("CHIUSO",$M24)&gt;0</formula>
    </cfRule>
    <cfRule type="expression" priority="375" dxfId="58">
      <formula>SEARCH("EMESSO",$M24)&gt;0</formula>
    </cfRule>
    <cfRule type="expression" priority="376" dxfId="57">
      <formula>SEARCH("RICHIESTO",$M24)&gt;0</formula>
    </cfRule>
    <cfRule type="expression" priority="377" dxfId="56">
      <formula>SEARCH("DA CHIUDERE",$M24)&gt;0</formula>
    </cfRule>
    <cfRule type="expression" priority="378" dxfId="55">
      <formula>SEARCH("INTERROTTO",$M24)&gt;0</formula>
    </cfRule>
  </conditionalFormatting>
  <conditionalFormatting sqref="E24:F24 N24:S24">
    <cfRule type="expression" priority="379" dxfId="60">
      <formula>SEARCH("IN CORSO",$M24)&gt;0</formula>
    </cfRule>
    <cfRule type="expression" priority="380" dxfId="59">
      <formula>SEARCH("CHIUSO",$M24)&gt;0</formula>
    </cfRule>
    <cfRule type="expression" priority="381" dxfId="58">
      <formula>SEARCH("EMESSO",$M24)&gt;0</formula>
    </cfRule>
    <cfRule type="expression" priority="382" dxfId="57">
      <formula>SEARCH("RICHIESTO",$M24)&gt;0</formula>
    </cfRule>
    <cfRule type="expression" priority="383" dxfId="56">
      <formula>SEARCH("DA CHIUDERE",$M24)&gt;0</formula>
    </cfRule>
    <cfRule type="expression" priority="384" dxfId="55">
      <formula>SEARCH("INTERROTTO",$M24)&gt;0</formula>
    </cfRule>
  </conditionalFormatting>
  <conditionalFormatting sqref="M24">
    <cfRule type="expression" priority="367" dxfId="60">
      <formula>SEARCH("IN CORSO",$M24)&gt;0</formula>
    </cfRule>
    <cfRule type="expression" priority="368" dxfId="59">
      <formula>SEARCH("CHIUSO",$M24)&gt;0</formula>
    </cfRule>
    <cfRule type="expression" priority="369" dxfId="58">
      <formula>SEARCH("EMESSO",$M24)&gt;0</formula>
    </cfRule>
    <cfRule type="expression" priority="370" dxfId="57">
      <formula>SEARCH("RICHIESTO",$M24)&gt;0</formula>
    </cfRule>
    <cfRule type="expression" priority="371" dxfId="56">
      <formula>SEARCH("DA CHIUDERE",$M24)&gt;0</formula>
    </cfRule>
    <cfRule type="expression" priority="372" dxfId="55">
      <formula>SEARCH("INTERROTTO",$M24)&gt;0</formula>
    </cfRule>
  </conditionalFormatting>
  <conditionalFormatting sqref="G23">
    <cfRule type="expression" priority="355" dxfId="60">
      <formula>SEARCH("IN CORSO",$M23)&gt;0</formula>
    </cfRule>
    <cfRule type="expression" priority="356" dxfId="59">
      <formula>SEARCH("CHIUSO",$M23)&gt;0</formula>
    </cfRule>
    <cfRule type="expression" priority="357" dxfId="58">
      <formula>SEARCH("EMESSO",$M23)&gt;0</formula>
    </cfRule>
    <cfRule type="expression" priority="358" dxfId="57">
      <formula>SEARCH("RICHIESTO",$M23)&gt;0</formula>
    </cfRule>
    <cfRule type="expression" priority="359" dxfId="56">
      <formula>SEARCH("DA CHIUDERE",$M23)&gt;0</formula>
    </cfRule>
    <cfRule type="expression" priority="360" dxfId="55">
      <formula>SEARCH("INTERROTTO",$M23)&gt;0</formula>
    </cfRule>
  </conditionalFormatting>
  <conditionalFormatting sqref="E23:F23 N23:S23">
    <cfRule type="expression" priority="361" dxfId="60">
      <formula>SEARCH("IN CORSO",$M23)&gt;0</formula>
    </cfRule>
    <cfRule type="expression" priority="362" dxfId="59">
      <formula>SEARCH("CHIUSO",$M23)&gt;0</formula>
    </cfRule>
    <cfRule type="expression" priority="363" dxfId="58">
      <formula>SEARCH("EMESSO",$M23)&gt;0</formula>
    </cfRule>
    <cfRule type="expression" priority="364" dxfId="57">
      <formula>SEARCH("RICHIESTO",$M23)&gt;0</formula>
    </cfRule>
    <cfRule type="expression" priority="365" dxfId="56">
      <formula>SEARCH("DA CHIUDERE",$M23)&gt;0</formula>
    </cfRule>
    <cfRule type="expression" priority="366" dxfId="55">
      <formula>SEARCH("INTERROTTO",$M23)&gt;0</formula>
    </cfRule>
  </conditionalFormatting>
  <conditionalFormatting sqref="M23">
    <cfRule type="expression" priority="349" dxfId="60">
      <formula>SEARCH("IN CORSO",$M23)&gt;0</formula>
    </cfRule>
    <cfRule type="expression" priority="350" dxfId="59">
      <formula>SEARCH("CHIUSO",$M23)&gt;0</formula>
    </cfRule>
    <cfRule type="expression" priority="351" dxfId="58">
      <formula>SEARCH("EMESSO",$M23)&gt;0</formula>
    </cfRule>
    <cfRule type="expression" priority="352" dxfId="57">
      <formula>SEARCH("RICHIESTO",$M23)&gt;0</formula>
    </cfRule>
    <cfRule type="expression" priority="353" dxfId="56">
      <formula>SEARCH("DA CHIUDERE",$M23)&gt;0</formula>
    </cfRule>
    <cfRule type="expression" priority="354" dxfId="55">
      <formula>SEARCH("INTERROTTO",$M23)&gt;0</formula>
    </cfRule>
  </conditionalFormatting>
  <conditionalFormatting sqref="G22">
    <cfRule type="expression" priority="337" dxfId="60">
      <formula>SEARCH("IN CORSO",$M22)&gt;0</formula>
    </cfRule>
    <cfRule type="expression" priority="338" dxfId="59">
      <formula>SEARCH("CHIUSO",$M22)&gt;0</formula>
    </cfRule>
    <cfRule type="expression" priority="339" dxfId="58">
      <formula>SEARCH("EMESSO",$M22)&gt;0</formula>
    </cfRule>
    <cfRule type="expression" priority="340" dxfId="57">
      <formula>SEARCH("RICHIESTO",$M22)&gt;0</formula>
    </cfRule>
    <cfRule type="expression" priority="341" dxfId="56">
      <formula>SEARCH("DA CHIUDERE",$M22)&gt;0</formula>
    </cfRule>
    <cfRule type="expression" priority="342" dxfId="55">
      <formula>SEARCH("INTERROTTO",$M22)&gt;0</formula>
    </cfRule>
  </conditionalFormatting>
  <conditionalFormatting sqref="E22:F22 N22:S22">
    <cfRule type="expression" priority="343" dxfId="60">
      <formula>SEARCH("IN CORSO",$M22)&gt;0</formula>
    </cfRule>
    <cfRule type="expression" priority="344" dxfId="59">
      <formula>SEARCH("CHIUSO",$M22)&gt;0</formula>
    </cfRule>
    <cfRule type="expression" priority="345" dxfId="58">
      <formula>SEARCH("EMESSO",$M22)&gt;0</formula>
    </cfRule>
    <cfRule type="expression" priority="346" dxfId="57">
      <formula>SEARCH("RICHIESTO",$M22)&gt;0</formula>
    </cfRule>
    <cfRule type="expression" priority="347" dxfId="56">
      <formula>SEARCH("DA CHIUDERE",$M22)&gt;0</formula>
    </cfRule>
    <cfRule type="expression" priority="348" dxfId="55">
      <formula>SEARCH("INTERROTTO",$M22)&gt;0</formula>
    </cfRule>
  </conditionalFormatting>
  <conditionalFormatting sqref="M22">
    <cfRule type="expression" priority="331" dxfId="60">
      <formula>SEARCH("IN CORSO",$M22)&gt;0</formula>
    </cfRule>
    <cfRule type="expression" priority="332" dxfId="59">
      <formula>SEARCH("CHIUSO",$M22)&gt;0</formula>
    </cfRule>
    <cfRule type="expression" priority="333" dxfId="58">
      <formula>SEARCH("EMESSO",$M22)&gt;0</formula>
    </cfRule>
    <cfRule type="expression" priority="334" dxfId="57">
      <formula>SEARCH("RICHIESTO",$M22)&gt;0</formula>
    </cfRule>
    <cfRule type="expression" priority="335" dxfId="56">
      <formula>SEARCH("DA CHIUDERE",$M22)&gt;0</formula>
    </cfRule>
    <cfRule type="expression" priority="336" dxfId="55">
      <formula>SEARCH("INTERROTTO",$M22)&gt;0</formula>
    </cfRule>
  </conditionalFormatting>
  <conditionalFormatting sqref="G21">
    <cfRule type="expression" priority="319" dxfId="60">
      <formula>SEARCH("IN CORSO",$M21)&gt;0</formula>
    </cfRule>
    <cfRule type="expression" priority="320" dxfId="59">
      <formula>SEARCH("CHIUSO",$M21)&gt;0</formula>
    </cfRule>
    <cfRule type="expression" priority="321" dxfId="58">
      <formula>SEARCH("EMESSO",$M21)&gt;0</formula>
    </cfRule>
    <cfRule type="expression" priority="322" dxfId="57">
      <formula>SEARCH("RICHIESTO",$M21)&gt;0</formula>
    </cfRule>
    <cfRule type="expression" priority="323" dxfId="56">
      <formula>SEARCH("DA CHIUDERE",$M21)&gt;0</formula>
    </cfRule>
    <cfRule type="expression" priority="324" dxfId="55">
      <formula>SEARCH("INTERROTTO",$M21)&gt;0</formula>
    </cfRule>
  </conditionalFormatting>
  <conditionalFormatting sqref="E21:F21 N21:S21">
    <cfRule type="expression" priority="325" dxfId="60">
      <formula>SEARCH("IN CORSO",$M21)&gt;0</formula>
    </cfRule>
    <cfRule type="expression" priority="326" dxfId="59">
      <formula>SEARCH("CHIUSO",$M21)&gt;0</formula>
    </cfRule>
    <cfRule type="expression" priority="327" dxfId="58">
      <formula>SEARCH("EMESSO",$M21)&gt;0</formula>
    </cfRule>
    <cfRule type="expression" priority="328" dxfId="57">
      <formula>SEARCH("RICHIESTO",$M21)&gt;0</formula>
    </cfRule>
    <cfRule type="expression" priority="329" dxfId="56">
      <formula>SEARCH("DA CHIUDERE",$M21)&gt;0</formula>
    </cfRule>
    <cfRule type="expression" priority="330" dxfId="55">
      <formula>SEARCH("INTERROTTO",$M21)&gt;0</formula>
    </cfRule>
  </conditionalFormatting>
  <conditionalFormatting sqref="M21">
    <cfRule type="expression" priority="313" dxfId="60">
      <formula>SEARCH("IN CORSO",$M21)&gt;0</formula>
    </cfRule>
    <cfRule type="expression" priority="314" dxfId="59">
      <formula>SEARCH("CHIUSO",$M21)&gt;0</formula>
    </cfRule>
    <cfRule type="expression" priority="315" dxfId="58">
      <formula>SEARCH("EMESSO",$M21)&gt;0</formula>
    </cfRule>
    <cfRule type="expression" priority="316" dxfId="57">
      <formula>SEARCH("RICHIESTO",$M21)&gt;0</formula>
    </cfRule>
    <cfRule type="expression" priority="317" dxfId="56">
      <formula>SEARCH("DA CHIUDERE",$M21)&gt;0</formula>
    </cfRule>
    <cfRule type="expression" priority="318" dxfId="55">
      <formula>SEARCH("INTERROTTO",$M21)&gt;0</formula>
    </cfRule>
  </conditionalFormatting>
  <conditionalFormatting sqref="G20">
    <cfRule type="expression" priority="301" dxfId="60">
      <formula>SEARCH("IN CORSO",$M20)&gt;0</formula>
    </cfRule>
    <cfRule type="expression" priority="302" dxfId="59">
      <formula>SEARCH("CHIUSO",$M20)&gt;0</formula>
    </cfRule>
    <cfRule type="expression" priority="303" dxfId="58">
      <formula>SEARCH("EMESSO",$M20)&gt;0</formula>
    </cfRule>
    <cfRule type="expression" priority="304" dxfId="57">
      <formula>SEARCH("RICHIESTO",$M20)&gt;0</formula>
    </cfRule>
    <cfRule type="expression" priority="305" dxfId="56">
      <formula>SEARCH("DA CHIUDERE",$M20)&gt;0</formula>
    </cfRule>
    <cfRule type="expression" priority="306" dxfId="55">
      <formula>SEARCH("INTERROTTO",$M20)&gt;0</formula>
    </cfRule>
  </conditionalFormatting>
  <conditionalFormatting sqref="E20:F20 N20:S20">
    <cfRule type="expression" priority="307" dxfId="60">
      <formula>SEARCH("IN CORSO",$M20)&gt;0</formula>
    </cfRule>
    <cfRule type="expression" priority="308" dxfId="59">
      <formula>SEARCH("CHIUSO",$M20)&gt;0</formula>
    </cfRule>
    <cfRule type="expression" priority="309" dxfId="58">
      <formula>SEARCH("EMESSO",$M20)&gt;0</formula>
    </cfRule>
    <cfRule type="expression" priority="310" dxfId="57">
      <formula>SEARCH("RICHIESTO",$M20)&gt;0</formula>
    </cfRule>
    <cfRule type="expression" priority="311" dxfId="56">
      <formula>SEARCH("DA CHIUDERE",$M20)&gt;0</formula>
    </cfRule>
    <cfRule type="expression" priority="312" dxfId="55">
      <formula>SEARCH("INTERROTTO",$M20)&gt;0</formula>
    </cfRule>
  </conditionalFormatting>
  <conditionalFormatting sqref="M20">
    <cfRule type="expression" priority="295" dxfId="60">
      <formula>SEARCH("IN CORSO",$M20)&gt;0</formula>
    </cfRule>
    <cfRule type="expression" priority="296" dxfId="59">
      <formula>SEARCH("CHIUSO",$M20)&gt;0</formula>
    </cfRule>
    <cfRule type="expression" priority="297" dxfId="58">
      <formula>SEARCH("EMESSO",$M20)&gt;0</formula>
    </cfRule>
    <cfRule type="expression" priority="298" dxfId="57">
      <formula>SEARCH("RICHIESTO",$M20)&gt;0</formula>
    </cfRule>
    <cfRule type="expression" priority="299" dxfId="56">
      <formula>SEARCH("DA CHIUDERE",$M20)&gt;0</formula>
    </cfRule>
    <cfRule type="expression" priority="300" dxfId="55">
      <formula>SEARCH("INTERROTTO",$M20)&gt;0</formula>
    </cfRule>
  </conditionalFormatting>
  <conditionalFormatting sqref="G19">
    <cfRule type="expression" priority="283" dxfId="60">
      <formula>SEARCH("IN CORSO",$M19)&gt;0</formula>
    </cfRule>
    <cfRule type="expression" priority="284" dxfId="59">
      <formula>SEARCH("CHIUSO",$M19)&gt;0</formula>
    </cfRule>
    <cfRule type="expression" priority="285" dxfId="58">
      <formula>SEARCH("EMESSO",$M19)&gt;0</formula>
    </cfRule>
    <cfRule type="expression" priority="286" dxfId="57">
      <formula>SEARCH("RICHIESTO",$M19)&gt;0</formula>
    </cfRule>
    <cfRule type="expression" priority="287" dxfId="56">
      <formula>SEARCH("DA CHIUDERE",$M19)&gt;0</formula>
    </cfRule>
    <cfRule type="expression" priority="288" dxfId="55">
      <formula>SEARCH("INTERROTTO",$M19)&gt;0</formula>
    </cfRule>
  </conditionalFormatting>
  <conditionalFormatting sqref="E19:F19 N19:S19">
    <cfRule type="expression" priority="289" dxfId="60">
      <formula>SEARCH("IN CORSO",$M19)&gt;0</formula>
    </cfRule>
    <cfRule type="expression" priority="290" dxfId="59">
      <formula>SEARCH("CHIUSO",$M19)&gt;0</formula>
    </cfRule>
    <cfRule type="expression" priority="291" dxfId="58">
      <formula>SEARCH("EMESSO",$M19)&gt;0</formula>
    </cfRule>
    <cfRule type="expression" priority="292" dxfId="57">
      <formula>SEARCH("RICHIESTO",$M19)&gt;0</formula>
    </cfRule>
    <cfRule type="expression" priority="293" dxfId="56">
      <formula>SEARCH("DA CHIUDERE",$M19)&gt;0</formula>
    </cfRule>
    <cfRule type="expression" priority="294" dxfId="55">
      <formula>SEARCH("INTERROTTO",$M19)&gt;0</formula>
    </cfRule>
  </conditionalFormatting>
  <conditionalFormatting sqref="M19">
    <cfRule type="expression" priority="277" dxfId="60">
      <formula>SEARCH("IN CORSO",$M19)&gt;0</formula>
    </cfRule>
    <cfRule type="expression" priority="278" dxfId="59">
      <formula>SEARCH("CHIUSO",$M19)&gt;0</formula>
    </cfRule>
    <cfRule type="expression" priority="279" dxfId="58">
      <formula>SEARCH("EMESSO",$M19)&gt;0</formula>
    </cfRule>
    <cfRule type="expression" priority="280" dxfId="57">
      <formula>SEARCH("RICHIESTO",$M19)&gt;0</formula>
    </cfRule>
    <cfRule type="expression" priority="281" dxfId="56">
      <formula>SEARCH("DA CHIUDERE",$M19)&gt;0</formula>
    </cfRule>
    <cfRule type="expression" priority="282" dxfId="55">
      <formula>SEARCH("INTERROTTO",$M19)&gt;0</formula>
    </cfRule>
  </conditionalFormatting>
  <conditionalFormatting sqref="G18">
    <cfRule type="expression" priority="265" dxfId="60">
      <formula>SEARCH("IN CORSO",$M18)&gt;0</formula>
    </cfRule>
    <cfRule type="expression" priority="266" dxfId="59">
      <formula>SEARCH("CHIUSO",$M18)&gt;0</formula>
    </cfRule>
    <cfRule type="expression" priority="267" dxfId="58">
      <formula>SEARCH("EMESSO",$M18)&gt;0</formula>
    </cfRule>
    <cfRule type="expression" priority="268" dxfId="57">
      <formula>SEARCH("RICHIESTO",$M18)&gt;0</formula>
    </cfRule>
    <cfRule type="expression" priority="269" dxfId="56">
      <formula>SEARCH("DA CHIUDERE",$M18)&gt;0</formula>
    </cfRule>
    <cfRule type="expression" priority="270" dxfId="55">
      <formula>SEARCH("INTERROTTO",$M18)&gt;0</formula>
    </cfRule>
  </conditionalFormatting>
  <conditionalFormatting sqref="E18:F18 N18:S18">
    <cfRule type="expression" priority="271" dxfId="60">
      <formula>SEARCH("IN CORSO",$M18)&gt;0</formula>
    </cfRule>
    <cfRule type="expression" priority="272" dxfId="59">
      <formula>SEARCH("CHIUSO",$M18)&gt;0</formula>
    </cfRule>
    <cfRule type="expression" priority="273" dxfId="58">
      <formula>SEARCH("EMESSO",$M18)&gt;0</formula>
    </cfRule>
    <cfRule type="expression" priority="274" dxfId="57">
      <formula>SEARCH("RICHIESTO",$M18)&gt;0</formula>
    </cfRule>
    <cfRule type="expression" priority="275" dxfId="56">
      <formula>SEARCH("DA CHIUDERE",$M18)&gt;0</formula>
    </cfRule>
    <cfRule type="expression" priority="276" dxfId="55">
      <formula>SEARCH("INTERROTTO",$M18)&gt;0</formula>
    </cfRule>
  </conditionalFormatting>
  <conditionalFormatting sqref="M18">
    <cfRule type="expression" priority="259" dxfId="60">
      <formula>SEARCH("IN CORSO",$M18)&gt;0</formula>
    </cfRule>
    <cfRule type="expression" priority="260" dxfId="59">
      <formula>SEARCH("CHIUSO",$M18)&gt;0</formula>
    </cfRule>
    <cfRule type="expression" priority="261" dxfId="58">
      <formula>SEARCH("EMESSO",$M18)&gt;0</formula>
    </cfRule>
    <cfRule type="expression" priority="262" dxfId="57">
      <formula>SEARCH("RICHIESTO",$M18)&gt;0</formula>
    </cfRule>
    <cfRule type="expression" priority="263" dxfId="56">
      <formula>SEARCH("DA CHIUDERE",$M18)&gt;0</formula>
    </cfRule>
    <cfRule type="expression" priority="264" dxfId="55">
      <formula>SEARCH("INTERROTTO",$M18)&gt;0</formula>
    </cfRule>
  </conditionalFormatting>
  <conditionalFormatting sqref="G17">
    <cfRule type="expression" priority="247" dxfId="60">
      <formula>SEARCH("IN CORSO",$M17)&gt;0</formula>
    </cfRule>
    <cfRule type="expression" priority="248" dxfId="59">
      <formula>SEARCH("CHIUSO",$M17)&gt;0</formula>
    </cfRule>
    <cfRule type="expression" priority="249" dxfId="58">
      <formula>SEARCH("EMESSO",$M17)&gt;0</formula>
    </cfRule>
    <cfRule type="expression" priority="250" dxfId="57">
      <formula>SEARCH("RICHIESTO",$M17)&gt;0</formula>
    </cfRule>
    <cfRule type="expression" priority="251" dxfId="56">
      <formula>SEARCH("DA CHIUDERE",$M17)&gt;0</formula>
    </cfRule>
    <cfRule type="expression" priority="252" dxfId="55">
      <formula>SEARCH("INTERROTTO",$M17)&gt;0</formula>
    </cfRule>
  </conditionalFormatting>
  <conditionalFormatting sqref="E17:F17 N17:S17">
    <cfRule type="expression" priority="253" dxfId="60">
      <formula>SEARCH("IN CORSO",$M17)&gt;0</formula>
    </cfRule>
    <cfRule type="expression" priority="254" dxfId="59">
      <formula>SEARCH("CHIUSO",$M17)&gt;0</formula>
    </cfRule>
    <cfRule type="expression" priority="255" dxfId="58">
      <formula>SEARCH("EMESSO",$M17)&gt;0</formula>
    </cfRule>
    <cfRule type="expression" priority="256" dxfId="57">
      <formula>SEARCH("RICHIESTO",$M17)&gt;0</formula>
    </cfRule>
    <cfRule type="expression" priority="257" dxfId="56">
      <formula>SEARCH("DA CHIUDERE",$M17)&gt;0</formula>
    </cfRule>
    <cfRule type="expression" priority="258" dxfId="55">
      <formula>SEARCH("INTERROTTO",$M17)&gt;0</formula>
    </cfRule>
  </conditionalFormatting>
  <conditionalFormatting sqref="M17">
    <cfRule type="expression" priority="241" dxfId="60">
      <formula>SEARCH("IN CORSO",$M17)&gt;0</formula>
    </cfRule>
    <cfRule type="expression" priority="242" dxfId="59">
      <formula>SEARCH("CHIUSO",$M17)&gt;0</formula>
    </cfRule>
    <cfRule type="expression" priority="243" dxfId="58">
      <formula>SEARCH("EMESSO",$M17)&gt;0</formula>
    </cfRule>
    <cfRule type="expression" priority="244" dxfId="57">
      <formula>SEARCH("RICHIESTO",$M17)&gt;0</formula>
    </cfRule>
    <cfRule type="expression" priority="245" dxfId="56">
      <formula>SEARCH("DA CHIUDERE",$M17)&gt;0</formula>
    </cfRule>
    <cfRule type="expression" priority="246" dxfId="55">
      <formula>SEARCH("INTERROTTO",$M17)&gt;0</formula>
    </cfRule>
  </conditionalFormatting>
  <conditionalFormatting sqref="G16">
    <cfRule type="expression" priority="229" dxfId="60">
      <formula>SEARCH("IN CORSO",$M16)&gt;0</formula>
    </cfRule>
    <cfRule type="expression" priority="230" dxfId="59">
      <formula>SEARCH("CHIUSO",$M16)&gt;0</formula>
    </cfRule>
    <cfRule type="expression" priority="231" dxfId="58">
      <formula>SEARCH("EMESSO",$M16)&gt;0</formula>
    </cfRule>
    <cfRule type="expression" priority="232" dxfId="57">
      <formula>SEARCH("RICHIESTO",$M16)&gt;0</formula>
    </cfRule>
    <cfRule type="expression" priority="233" dxfId="56">
      <formula>SEARCH("DA CHIUDERE",$M16)&gt;0</formula>
    </cfRule>
    <cfRule type="expression" priority="234" dxfId="55">
      <formula>SEARCH("INTERROTTO",$M16)&gt;0</formula>
    </cfRule>
  </conditionalFormatting>
  <conditionalFormatting sqref="E16:F16 N16:S16">
    <cfRule type="expression" priority="235" dxfId="60">
      <formula>SEARCH("IN CORSO",$M16)&gt;0</formula>
    </cfRule>
    <cfRule type="expression" priority="236" dxfId="59">
      <formula>SEARCH("CHIUSO",$M16)&gt;0</formula>
    </cfRule>
    <cfRule type="expression" priority="237" dxfId="58">
      <formula>SEARCH("EMESSO",$M16)&gt;0</formula>
    </cfRule>
    <cfRule type="expression" priority="238" dxfId="57">
      <formula>SEARCH("RICHIESTO",$M16)&gt;0</formula>
    </cfRule>
    <cfRule type="expression" priority="239" dxfId="56">
      <formula>SEARCH("DA CHIUDERE",$M16)&gt;0</formula>
    </cfRule>
    <cfRule type="expression" priority="240" dxfId="55">
      <formula>SEARCH("INTERROTTO",$M16)&gt;0</formula>
    </cfRule>
  </conditionalFormatting>
  <conditionalFormatting sqref="M16">
    <cfRule type="expression" priority="223" dxfId="60">
      <formula>SEARCH("IN CORSO",$M16)&gt;0</formula>
    </cfRule>
    <cfRule type="expression" priority="224" dxfId="59">
      <formula>SEARCH("CHIUSO",$M16)&gt;0</formula>
    </cfRule>
    <cfRule type="expression" priority="225" dxfId="58">
      <formula>SEARCH("EMESSO",$M16)&gt;0</formula>
    </cfRule>
    <cfRule type="expression" priority="226" dxfId="57">
      <formula>SEARCH("RICHIESTO",$M16)&gt;0</formula>
    </cfRule>
    <cfRule type="expression" priority="227" dxfId="56">
      <formula>SEARCH("DA CHIUDERE",$M16)&gt;0</formula>
    </cfRule>
    <cfRule type="expression" priority="228" dxfId="55">
      <formula>SEARCH("INTERROTTO",$M16)&gt;0</formula>
    </cfRule>
  </conditionalFormatting>
  <conditionalFormatting sqref="G15">
    <cfRule type="expression" priority="211" dxfId="60">
      <formula>SEARCH("IN CORSO",$M15)&gt;0</formula>
    </cfRule>
    <cfRule type="expression" priority="212" dxfId="59">
      <formula>SEARCH("CHIUSO",$M15)&gt;0</formula>
    </cfRule>
    <cfRule type="expression" priority="213" dxfId="58">
      <formula>SEARCH("EMESSO",$M15)&gt;0</formula>
    </cfRule>
    <cfRule type="expression" priority="214" dxfId="57">
      <formula>SEARCH("RICHIESTO",$M15)&gt;0</formula>
    </cfRule>
    <cfRule type="expression" priority="215" dxfId="56">
      <formula>SEARCH("DA CHIUDERE",$M15)&gt;0</formula>
    </cfRule>
    <cfRule type="expression" priority="216" dxfId="55">
      <formula>SEARCH("INTERROTTO",$M15)&gt;0</formula>
    </cfRule>
  </conditionalFormatting>
  <conditionalFormatting sqref="E15:F15 N15:S15">
    <cfRule type="expression" priority="217" dxfId="60">
      <formula>SEARCH("IN CORSO",$M15)&gt;0</formula>
    </cfRule>
    <cfRule type="expression" priority="218" dxfId="59">
      <formula>SEARCH("CHIUSO",$M15)&gt;0</formula>
    </cfRule>
    <cfRule type="expression" priority="219" dxfId="58">
      <formula>SEARCH("EMESSO",$M15)&gt;0</formula>
    </cfRule>
    <cfRule type="expression" priority="220" dxfId="57">
      <formula>SEARCH("RICHIESTO",$M15)&gt;0</formula>
    </cfRule>
    <cfRule type="expression" priority="221" dxfId="56">
      <formula>SEARCH("DA CHIUDERE",$M15)&gt;0</formula>
    </cfRule>
    <cfRule type="expression" priority="222" dxfId="55">
      <formula>SEARCH("INTERROTTO",$M15)&gt;0</formula>
    </cfRule>
  </conditionalFormatting>
  <conditionalFormatting sqref="M15">
    <cfRule type="expression" priority="205" dxfId="60">
      <formula>SEARCH("IN CORSO",$M15)&gt;0</formula>
    </cfRule>
    <cfRule type="expression" priority="206" dxfId="59">
      <formula>SEARCH("CHIUSO",$M15)&gt;0</formula>
    </cfRule>
    <cfRule type="expression" priority="207" dxfId="58">
      <formula>SEARCH("EMESSO",$M15)&gt;0</formula>
    </cfRule>
    <cfRule type="expression" priority="208" dxfId="57">
      <formula>SEARCH("RICHIESTO",$M15)&gt;0</formula>
    </cfRule>
    <cfRule type="expression" priority="209" dxfId="56">
      <formula>SEARCH("DA CHIUDERE",$M15)&gt;0</formula>
    </cfRule>
    <cfRule type="expression" priority="210" dxfId="55">
      <formula>SEARCH("INTERROTTO",$M15)&gt;0</formula>
    </cfRule>
  </conditionalFormatting>
  <conditionalFormatting sqref="G14">
    <cfRule type="expression" priority="193" dxfId="60">
      <formula>SEARCH("IN CORSO",$M14)&gt;0</formula>
    </cfRule>
    <cfRule type="expression" priority="194" dxfId="59">
      <formula>SEARCH("CHIUSO",$M14)&gt;0</formula>
    </cfRule>
    <cfRule type="expression" priority="195" dxfId="58">
      <formula>SEARCH("EMESSO",$M14)&gt;0</formula>
    </cfRule>
    <cfRule type="expression" priority="196" dxfId="57">
      <formula>SEARCH("RICHIESTO",$M14)&gt;0</formula>
    </cfRule>
    <cfRule type="expression" priority="197" dxfId="56">
      <formula>SEARCH("DA CHIUDERE",$M14)&gt;0</formula>
    </cfRule>
    <cfRule type="expression" priority="198" dxfId="55">
      <formula>SEARCH("INTERROTTO",$M14)&gt;0</formula>
    </cfRule>
  </conditionalFormatting>
  <conditionalFormatting sqref="E14:F14 N14:S14">
    <cfRule type="expression" priority="199" dxfId="60">
      <formula>SEARCH("IN CORSO",$M14)&gt;0</formula>
    </cfRule>
    <cfRule type="expression" priority="200" dxfId="59">
      <formula>SEARCH("CHIUSO",$M14)&gt;0</formula>
    </cfRule>
    <cfRule type="expression" priority="201" dxfId="58">
      <formula>SEARCH("EMESSO",$M14)&gt;0</formula>
    </cfRule>
    <cfRule type="expression" priority="202" dxfId="57">
      <formula>SEARCH("RICHIESTO",$M14)&gt;0</formula>
    </cfRule>
    <cfRule type="expression" priority="203" dxfId="56">
      <formula>SEARCH("DA CHIUDERE",$M14)&gt;0</formula>
    </cfRule>
    <cfRule type="expression" priority="204" dxfId="55">
      <formula>SEARCH("INTERROTTO",$M14)&gt;0</formula>
    </cfRule>
  </conditionalFormatting>
  <conditionalFormatting sqref="M14">
    <cfRule type="expression" priority="187" dxfId="60">
      <formula>SEARCH("IN CORSO",$M14)&gt;0</formula>
    </cfRule>
    <cfRule type="expression" priority="188" dxfId="59">
      <formula>SEARCH("CHIUSO",$M14)&gt;0</formula>
    </cfRule>
    <cfRule type="expression" priority="189" dxfId="58">
      <formula>SEARCH("EMESSO",$M14)&gt;0</formula>
    </cfRule>
    <cfRule type="expression" priority="190" dxfId="57">
      <formula>SEARCH("RICHIESTO",$M14)&gt;0</formula>
    </cfRule>
    <cfRule type="expression" priority="191" dxfId="56">
      <formula>SEARCH("DA CHIUDERE",$M14)&gt;0</formula>
    </cfRule>
    <cfRule type="expression" priority="192" dxfId="55">
      <formula>SEARCH("INTERROTTO",$M14)&gt;0</formula>
    </cfRule>
  </conditionalFormatting>
  <conditionalFormatting sqref="G13">
    <cfRule type="expression" priority="175" dxfId="60">
      <formula>SEARCH("IN CORSO",$M13)&gt;0</formula>
    </cfRule>
    <cfRule type="expression" priority="176" dxfId="59">
      <formula>SEARCH("CHIUSO",$M13)&gt;0</formula>
    </cfRule>
    <cfRule type="expression" priority="177" dxfId="58">
      <formula>SEARCH("EMESSO",$M13)&gt;0</formula>
    </cfRule>
    <cfRule type="expression" priority="178" dxfId="57">
      <formula>SEARCH("RICHIESTO",$M13)&gt;0</formula>
    </cfRule>
    <cfRule type="expression" priority="179" dxfId="56">
      <formula>SEARCH("DA CHIUDERE",$M13)&gt;0</formula>
    </cfRule>
    <cfRule type="expression" priority="180" dxfId="55">
      <formula>SEARCH("INTERROTTO",$M13)&gt;0</formula>
    </cfRule>
  </conditionalFormatting>
  <conditionalFormatting sqref="E13:F13 N13:S13">
    <cfRule type="expression" priority="181" dxfId="60">
      <formula>SEARCH("IN CORSO",$M13)&gt;0</formula>
    </cfRule>
    <cfRule type="expression" priority="182" dxfId="59">
      <formula>SEARCH("CHIUSO",$M13)&gt;0</formula>
    </cfRule>
    <cfRule type="expression" priority="183" dxfId="58">
      <formula>SEARCH("EMESSO",$M13)&gt;0</formula>
    </cfRule>
    <cfRule type="expression" priority="184" dxfId="57">
      <formula>SEARCH("RICHIESTO",$M13)&gt;0</formula>
    </cfRule>
    <cfRule type="expression" priority="185" dxfId="56">
      <formula>SEARCH("DA CHIUDERE",$M13)&gt;0</formula>
    </cfRule>
    <cfRule type="expression" priority="186" dxfId="55">
      <formula>SEARCH("INTERROTTO",$M13)&gt;0</formula>
    </cfRule>
  </conditionalFormatting>
  <conditionalFormatting sqref="M13">
    <cfRule type="expression" priority="169" dxfId="60">
      <formula>SEARCH("IN CORSO",$M13)&gt;0</formula>
    </cfRule>
    <cfRule type="expression" priority="170" dxfId="59">
      <formula>SEARCH("CHIUSO",$M13)&gt;0</formula>
    </cfRule>
    <cfRule type="expression" priority="171" dxfId="58">
      <formula>SEARCH("EMESSO",$M13)&gt;0</formula>
    </cfRule>
    <cfRule type="expression" priority="172" dxfId="57">
      <formula>SEARCH("RICHIESTO",$M13)&gt;0</formula>
    </cfRule>
    <cfRule type="expression" priority="173" dxfId="56">
      <formula>SEARCH("DA CHIUDERE",$M13)&gt;0</formula>
    </cfRule>
    <cfRule type="expression" priority="174" dxfId="55">
      <formula>SEARCH("INTERROTTO",$M13)&gt;0</formula>
    </cfRule>
  </conditionalFormatting>
  <conditionalFormatting sqref="G12">
    <cfRule type="expression" priority="157" dxfId="60">
      <formula>SEARCH("IN CORSO",$M12)&gt;0</formula>
    </cfRule>
    <cfRule type="expression" priority="158" dxfId="59">
      <formula>SEARCH("CHIUSO",$M12)&gt;0</formula>
    </cfRule>
    <cfRule type="expression" priority="159" dxfId="58">
      <formula>SEARCH("EMESSO",$M12)&gt;0</formula>
    </cfRule>
    <cfRule type="expression" priority="160" dxfId="57">
      <formula>SEARCH("RICHIESTO",$M12)&gt;0</formula>
    </cfRule>
    <cfRule type="expression" priority="161" dxfId="56">
      <formula>SEARCH("DA CHIUDERE",$M12)&gt;0</formula>
    </cfRule>
    <cfRule type="expression" priority="162" dxfId="55">
      <formula>SEARCH("INTERROTTO",$M12)&gt;0</formula>
    </cfRule>
  </conditionalFormatting>
  <conditionalFormatting sqref="E12:F12 N12:S12">
    <cfRule type="expression" priority="163" dxfId="60">
      <formula>SEARCH("IN CORSO",$M12)&gt;0</formula>
    </cfRule>
    <cfRule type="expression" priority="164" dxfId="59">
      <formula>SEARCH("CHIUSO",$M12)&gt;0</formula>
    </cfRule>
    <cfRule type="expression" priority="165" dxfId="58">
      <formula>SEARCH("EMESSO",$M12)&gt;0</formula>
    </cfRule>
    <cfRule type="expression" priority="166" dxfId="57">
      <formula>SEARCH("RICHIESTO",$M12)&gt;0</formula>
    </cfRule>
    <cfRule type="expression" priority="167" dxfId="56">
      <formula>SEARCH("DA CHIUDERE",$M12)&gt;0</formula>
    </cfRule>
    <cfRule type="expression" priority="168" dxfId="55">
      <formula>SEARCH("INTERROTTO",$M12)&gt;0</formula>
    </cfRule>
  </conditionalFormatting>
  <conditionalFormatting sqref="M12">
    <cfRule type="expression" priority="151" dxfId="60">
      <formula>SEARCH("IN CORSO",$M12)&gt;0</formula>
    </cfRule>
    <cfRule type="expression" priority="152" dxfId="59">
      <formula>SEARCH("CHIUSO",$M12)&gt;0</formula>
    </cfRule>
    <cfRule type="expression" priority="153" dxfId="58">
      <formula>SEARCH("EMESSO",$M12)&gt;0</formula>
    </cfRule>
    <cfRule type="expression" priority="154" dxfId="57">
      <formula>SEARCH("RICHIESTO",$M12)&gt;0</formula>
    </cfRule>
    <cfRule type="expression" priority="155" dxfId="56">
      <formula>SEARCH("DA CHIUDERE",$M12)&gt;0</formula>
    </cfRule>
    <cfRule type="expression" priority="156" dxfId="55">
      <formula>SEARCH("INTERROTTO",$M12)&gt;0</formula>
    </cfRule>
  </conditionalFormatting>
  <conditionalFormatting sqref="G11">
    <cfRule type="expression" priority="139" dxfId="60">
      <formula>SEARCH("IN CORSO",$M11)&gt;0</formula>
    </cfRule>
    <cfRule type="expression" priority="140" dxfId="59">
      <formula>SEARCH("CHIUSO",$M11)&gt;0</formula>
    </cfRule>
    <cfRule type="expression" priority="141" dxfId="58">
      <formula>SEARCH("EMESSO",$M11)&gt;0</formula>
    </cfRule>
    <cfRule type="expression" priority="142" dxfId="57">
      <formula>SEARCH("RICHIESTO",$M11)&gt;0</formula>
    </cfRule>
    <cfRule type="expression" priority="143" dxfId="56">
      <formula>SEARCH("DA CHIUDERE",$M11)&gt;0</formula>
    </cfRule>
    <cfRule type="expression" priority="144" dxfId="55">
      <formula>SEARCH("INTERROTTO",$M11)&gt;0</formula>
    </cfRule>
  </conditionalFormatting>
  <conditionalFormatting sqref="E11:F11 N11:S11">
    <cfRule type="expression" priority="145" dxfId="60">
      <formula>SEARCH("IN CORSO",$M11)&gt;0</formula>
    </cfRule>
    <cfRule type="expression" priority="146" dxfId="59">
      <formula>SEARCH("CHIUSO",$M11)&gt;0</formula>
    </cfRule>
    <cfRule type="expression" priority="147" dxfId="58">
      <formula>SEARCH("EMESSO",$M11)&gt;0</formula>
    </cfRule>
    <cfRule type="expression" priority="148" dxfId="57">
      <formula>SEARCH("RICHIESTO",$M11)&gt;0</formula>
    </cfRule>
    <cfRule type="expression" priority="149" dxfId="56">
      <formula>SEARCH("DA CHIUDERE",$M11)&gt;0</formula>
    </cfRule>
    <cfRule type="expression" priority="150" dxfId="55">
      <formula>SEARCH("INTERROTTO",$M11)&gt;0</formula>
    </cfRule>
  </conditionalFormatting>
  <conditionalFormatting sqref="M11">
    <cfRule type="expression" priority="133" dxfId="60">
      <formula>SEARCH("IN CORSO",$M11)&gt;0</formula>
    </cfRule>
    <cfRule type="expression" priority="134" dxfId="59">
      <formula>SEARCH("CHIUSO",$M11)&gt;0</formula>
    </cfRule>
    <cfRule type="expression" priority="135" dxfId="58">
      <formula>SEARCH("EMESSO",$M11)&gt;0</formula>
    </cfRule>
    <cfRule type="expression" priority="136" dxfId="57">
      <formula>SEARCH("RICHIESTO",$M11)&gt;0</formula>
    </cfRule>
    <cfRule type="expression" priority="137" dxfId="56">
      <formula>SEARCH("DA CHIUDERE",$M11)&gt;0</formula>
    </cfRule>
    <cfRule type="expression" priority="138" dxfId="55">
      <formula>SEARCH("INTERROTTO",$M11)&gt;0</formula>
    </cfRule>
  </conditionalFormatting>
  <conditionalFormatting sqref="G10">
    <cfRule type="expression" priority="121" dxfId="60">
      <formula>SEARCH("IN CORSO",$M10)&gt;0</formula>
    </cfRule>
    <cfRule type="expression" priority="122" dxfId="59">
      <formula>SEARCH("CHIUSO",$M10)&gt;0</formula>
    </cfRule>
    <cfRule type="expression" priority="123" dxfId="58">
      <formula>SEARCH("EMESSO",$M10)&gt;0</formula>
    </cfRule>
    <cfRule type="expression" priority="124" dxfId="57">
      <formula>SEARCH("RICHIESTO",$M10)&gt;0</formula>
    </cfRule>
    <cfRule type="expression" priority="125" dxfId="56">
      <formula>SEARCH("DA CHIUDERE",$M10)&gt;0</formula>
    </cfRule>
    <cfRule type="expression" priority="126" dxfId="55">
      <formula>SEARCH("INTERROTTO",$M10)&gt;0</formula>
    </cfRule>
  </conditionalFormatting>
  <conditionalFormatting sqref="E10:F10 N10:S10">
    <cfRule type="expression" priority="127" dxfId="60">
      <formula>SEARCH("IN CORSO",$M10)&gt;0</formula>
    </cfRule>
    <cfRule type="expression" priority="128" dxfId="59">
      <formula>SEARCH("CHIUSO",$M10)&gt;0</formula>
    </cfRule>
    <cfRule type="expression" priority="129" dxfId="58">
      <formula>SEARCH("EMESSO",$M10)&gt;0</formula>
    </cfRule>
    <cfRule type="expression" priority="130" dxfId="57">
      <formula>SEARCH("RICHIESTO",$M10)&gt;0</formula>
    </cfRule>
    <cfRule type="expression" priority="131" dxfId="56">
      <formula>SEARCH("DA CHIUDERE",$M10)&gt;0</formula>
    </cfRule>
    <cfRule type="expression" priority="132" dxfId="55">
      <formula>SEARCH("INTERROTTO",$M10)&gt;0</formula>
    </cfRule>
  </conditionalFormatting>
  <conditionalFormatting sqref="M10">
    <cfRule type="expression" priority="115" dxfId="60">
      <formula>SEARCH("IN CORSO",$M10)&gt;0</formula>
    </cfRule>
    <cfRule type="expression" priority="116" dxfId="59">
      <formula>SEARCH("CHIUSO",$M10)&gt;0</formula>
    </cfRule>
    <cfRule type="expression" priority="117" dxfId="58">
      <formula>SEARCH("EMESSO",$M10)&gt;0</formula>
    </cfRule>
    <cfRule type="expression" priority="118" dxfId="57">
      <formula>SEARCH("RICHIESTO",$M10)&gt;0</formula>
    </cfRule>
    <cfRule type="expression" priority="119" dxfId="56">
      <formula>SEARCH("DA CHIUDERE",$M10)&gt;0</formula>
    </cfRule>
    <cfRule type="expression" priority="120" dxfId="55">
      <formula>SEARCH("INTERROTTO",$M10)&gt;0</formula>
    </cfRule>
  </conditionalFormatting>
  <conditionalFormatting sqref="G9">
    <cfRule type="expression" priority="103" dxfId="60">
      <formula>SEARCH("IN CORSO",$M9)&gt;0</formula>
    </cfRule>
    <cfRule type="expression" priority="104" dxfId="59">
      <formula>SEARCH("CHIUSO",$M9)&gt;0</formula>
    </cfRule>
    <cfRule type="expression" priority="105" dxfId="58">
      <formula>SEARCH("EMESSO",$M9)&gt;0</formula>
    </cfRule>
    <cfRule type="expression" priority="106" dxfId="57">
      <formula>SEARCH("RICHIESTO",$M9)&gt;0</formula>
    </cfRule>
    <cfRule type="expression" priority="107" dxfId="56">
      <formula>SEARCH("DA CHIUDERE",$M9)&gt;0</formula>
    </cfRule>
    <cfRule type="expression" priority="108" dxfId="55">
      <formula>SEARCH("INTERROTTO",$M9)&gt;0</formula>
    </cfRule>
  </conditionalFormatting>
  <conditionalFormatting sqref="E9:F9 N9:S9">
    <cfRule type="expression" priority="109" dxfId="60">
      <formula>SEARCH("IN CORSO",$M9)&gt;0</formula>
    </cfRule>
    <cfRule type="expression" priority="110" dxfId="59">
      <formula>SEARCH("CHIUSO",$M9)&gt;0</formula>
    </cfRule>
    <cfRule type="expression" priority="111" dxfId="58">
      <formula>SEARCH("EMESSO",$M9)&gt;0</formula>
    </cfRule>
    <cfRule type="expression" priority="112" dxfId="57">
      <formula>SEARCH("RICHIESTO",$M9)&gt;0</formula>
    </cfRule>
    <cfRule type="expression" priority="113" dxfId="56">
      <formula>SEARCH("DA CHIUDERE",$M9)&gt;0</formula>
    </cfRule>
    <cfRule type="expression" priority="114" dxfId="55">
      <formula>SEARCH("INTERROTTO",$M9)&gt;0</formula>
    </cfRule>
  </conditionalFormatting>
  <conditionalFormatting sqref="M9">
    <cfRule type="expression" priority="97" dxfId="60">
      <formula>SEARCH("IN CORSO",$M9)&gt;0</formula>
    </cfRule>
    <cfRule type="expression" priority="98" dxfId="59">
      <formula>SEARCH("CHIUSO",$M9)&gt;0</formula>
    </cfRule>
    <cfRule type="expression" priority="99" dxfId="58">
      <formula>SEARCH("EMESSO",$M9)&gt;0</formula>
    </cfRule>
    <cfRule type="expression" priority="100" dxfId="57">
      <formula>SEARCH("RICHIESTO",$M9)&gt;0</formula>
    </cfRule>
    <cfRule type="expression" priority="101" dxfId="56">
      <formula>SEARCH("DA CHIUDERE",$M9)&gt;0</formula>
    </cfRule>
    <cfRule type="expression" priority="102" dxfId="55">
      <formula>SEARCH("INTERROTTO",$M9)&gt;0</formula>
    </cfRule>
  </conditionalFormatting>
  <conditionalFormatting sqref="G8">
    <cfRule type="expression" priority="85" dxfId="60">
      <formula>SEARCH("IN CORSO",$M8)&gt;0</formula>
    </cfRule>
    <cfRule type="expression" priority="86" dxfId="59">
      <formula>SEARCH("CHIUSO",$M8)&gt;0</formula>
    </cfRule>
    <cfRule type="expression" priority="87" dxfId="58">
      <formula>SEARCH("EMESSO",$M8)&gt;0</formula>
    </cfRule>
    <cfRule type="expression" priority="88" dxfId="57">
      <formula>SEARCH("RICHIESTO",$M8)&gt;0</formula>
    </cfRule>
    <cfRule type="expression" priority="89" dxfId="56">
      <formula>SEARCH("DA CHIUDERE",$M8)&gt;0</formula>
    </cfRule>
    <cfRule type="expression" priority="90" dxfId="55">
      <formula>SEARCH("INTERROTTO",$M8)&gt;0</formula>
    </cfRule>
  </conditionalFormatting>
  <conditionalFormatting sqref="E8:F8 N8:S8">
    <cfRule type="expression" priority="91" dxfId="60">
      <formula>SEARCH("IN CORSO",$M8)&gt;0</formula>
    </cfRule>
    <cfRule type="expression" priority="92" dxfId="59">
      <formula>SEARCH("CHIUSO",$M8)&gt;0</formula>
    </cfRule>
    <cfRule type="expression" priority="93" dxfId="58">
      <formula>SEARCH("EMESSO",$M8)&gt;0</formula>
    </cfRule>
    <cfRule type="expression" priority="94" dxfId="57">
      <formula>SEARCH("RICHIESTO",$M8)&gt;0</formula>
    </cfRule>
    <cfRule type="expression" priority="95" dxfId="56">
      <formula>SEARCH("DA CHIUDERE",$M8)&gt;0</formula>
    </cfRule>
    <cfRule type="expression" priority="96" dxfId="55">
      <formula>SEARCH("INTERROTTO",$M8)&gt;0</formula>
    </cfRule>
  </conditionalFormatting>
  <conditionalFormatting sqref="M8">
    <cfRule type="expression" priority="73" dxfId="60">
      <formula>SEARCH("IN CORSO",$M8)&gt;0</formula>
    </cfRule>
    <cfRule type="expression" priority="74" dxfId="59">
      <formula>SEARCH("CHIUSO",$M8)&gt;0</formula>
    </cfRule>
    <cfRule type="expression" priority="75" dxfId="58">
      <formula>SEARCH("EMESSO",$M8)&gt;0</formula>
    </cfRule>
    <cfRule type="expression" priority="76" dxfId="57">
      <formula>SEARCH("RICHIESTO",$M8)&gt;0</formula>
    </cfRule>
    <cfRule type="expression" priority="77" dxfId="56">
      <formula>SEARCH("DA CHIUDERE",$M8)&gt;0</formula>
    </cfRule>
    <cfRule type="expression" priority="78" dxfId="55">
      <formula>SEARCH("INTERROTTO",$M8)&gt;0</formula>
    </cfRule>
  </conditionalFormatting>
  <conditionalFormatting sqref="G7">
    <cfRule type="expression" priority="61" dxfId="60">
      <formula>SEARCH("IN CORSO",$M7)&gt;0</formula>
    </cfRule>
    <cfRule type="expression" priority="62" dxfId="59">
      <formula>SEARCH("CHIUSO",$M7)&gt;0</formula>
    </cfRule>
    <cfRule type="expression" priority="63" dxfId="58">
      <formula>SEARCH("EMESSO",$M7)&gt;0</formula>
    </cfRule>
    <cfRule type="expression" priority="64" dxfId="57">
      <formula>SEARCH("RICHIESTO",$M7)&gt;0</formula>
    </cfRule>
    <cfRule type="expression" priority="65" dxfId="56">
      <formula>SEARCH("DA CHIUDERE",$M7)&gt;0</formula>
    </cfRule>
    <cfRule type="expression" priority="66" dxfId="55">
      <formula>SEARCH("INTERROTTO",$M7)&gt;0</formula>
    </cfRule>
  </conditionalFormatting>
  <conditionalFormatting sqref="E7:F7 N7:S7">
    <cfRule type="expression" priority="67" dxfId="60">
      <formula>SEARCH("IN CORSO",$M7)&gt;0</formula>
    </cfRule>
    <cfRule type="expression" priority="68" dxfId="59">
      <formula>SEARCH("CHIUSO",$M7)&gt;0</formula>
    </cfRule>
    <cfRule type="expression" priority="69" dxfId="58">
      <formula>SEARCH("EMESSO",$M7)&gt;0</formula>
    </cfRule>
    <cfRule type="expression" priority="70" dxfId="57">
      <formula>SEARCH("RICHIESTO",$M7)&gt;0</formula>
    </cfRule>
    <cfRule type="expression" priority="71" dxfId="56">
      <formula>SEARCH("DA CHIUDERE",$M7)&gt;0</formula>
    </cfRule>
    <cfRule type="expression" priority="72" dxfId="55">
      <formula>SEARCH("INTERROTTO",$M7)&gt;0</formula>
    </cfRule>
  </conditionalFormatting>
  <conditionalFormatting sqref="M7">
    <cfRule type="expression" priority="55" dxfId="60">
      <formula>SEARCH("IN CORSO",$M7)&gt;0</formula>
    </cfRule>
    <cfRule type="expression" priority="56" dxfId="59">
      <formula>SEARCH("CHIUSO",$M7)&gt;0</formula>
    </cfRule>
    <cfRule type="expression" priority="57" dxfId="58">
      <formula>SEARCH("EMESSO",$M7)&gt;0</formula>
    </cfRule>
    <cfRule type="expression" priority="58" dxfId="57">
      <formula>SEARCH("RICHIESTO",$M7)&gt;0</formula>
    </cfRule>
    <cfRule type="expression" priority="59" dxfId="56">
      <formula>SEARCH("DA CHIUDERE",$M7)&gt;0</formula>
    </cfRule>
    <cfRule type="expression" priority="60" dxfId="55">
      <formula>SEARCH("INTERROTTO",$M7)&gt;0</formula>
    </cfRule>
  </conditionalFormatting>
  <conditionalFormatting sqref="G6">
    <cfRule type="expression" priority="43" dxfId="60">
      <formula>SEARCH("IN CORSO",$M6)&gt;0</formula>
    </cfRule>
    <cfRule type="expression" priority="44" dxfId="59">
      <formula>SEARCH("CHIUSO",$M6)&gt;0</formula>
    </cfRule>
    <cfRule type="expression" priority="45" dxfId="58">
      <formula>SEARCH("EMESSO",$M6)&gt;0</formula>
    </cfRule>
    <cfRule type="expression" priority="46" dxfId="57">
      <formula>SEARCH("RICHIESTO",$M6)&gt;0</formula>
    </cfRule>
    <cfRule type="expression" priority="47" dxfId="56">
      <formula>SEARCH("DA CHIUDERE",$M6)&gt;0</formula>
    </cfRule>
    <cfRule type="expression" priority="48" dxfId="55">
      <formula>SEARCH("INTERROTTO",$M6)&gt;0</formula>
    </cfRule>
  </conditionalFormatting>
  <conditionalFormatting sqref="E6:F6 N6:S6">
    <cfRule type="expression" priority="49" dxfId="60">
      <formula>SEARCH("IN CORSO",$M6)&gt;0</formula>
    </cfRule>
    <cfRule type="expression" priority="50" dxfId="59">
      <formula>SEARCH("CHIUSO",$M6)&gt;0</formula>
    </cfRule>
    <cfRule type="expression" priority="51" dxfId="58">
      <formula>SEARCH("EMESSO",$M6)&gt;0</formula>
    </cfRule>
    <cfRule type="expression" priority="52" dxfId="57">
      <formula>SEARCH("RICHIESTO",$M6)&gt;0</formula>
    </cfRule>
    <cfRule type="expression" priority="53" dxfId="56">
      <formula>SEARCH("DA CHIUDERE",$M6)&gt;0</formula>
    </cfRule>
    <cfRule type="expression" priority="54" dxfId="55">
      <formula>SEARCH("INTERROTTO",$M6)&gt;0</formula>
    </cfRule>
  </conditionalFormatting>
  <conditionalFormatting sqref="M6">
    <cfRule type="expression" priority="37" dxfId="60">
      <formula>SEARCH("IN CORSO",$M6)&gt;0</formula>
    </cfRule>
    <cfRule type="expression" priority="38" dxfId="59">
      <formula>SEARCH("CHIUSO",$M6)&gt;0</formula>
    </cfRule>
    <cfRule type="expression" priority="39" dxfId="58">
      <formula>SEARCH("EMESSO",$M6)&gt;0</formula>
    </cfRule>
    <cfRule type="expression" priority="40" dxfId="57">
      <formula>SEARCH("RICHIESTO",$M6)&gt;0</formula>
    </cfRule>
    <cfRule type="expression" priority="41" dxfId="56">
      <formula>SEARCH("DA CHIUDERE",$M6)&gt;0</formula>
    </cfRule>
    <cfRule type="expression" priority="42" dxfId="55">
      <formula>SEARCH("INTERROTTO",$M6)&gt;0</formula>
    </cfRule>
  </conditionalFormatting>
  <conditionalFormatting sqref="G5">
    <cfRule type="expression" priority="25" dxfId="60">
      <formula>SEARCH("IN CORSO",$M5)&gt;0</formula>
    </cfRule>
    <cfRule type="expression" priority="26" dxfId="59">
      <formula>SEARCH("CHIUSO",$M5)&gt;0</formula>
    </cfRule>
    <cfRule type="expression" priority="27" dxfId="58">
      <formula>SEARCH("EMESSO",$M5)&gt;0</formula>
    </cfRule>
    <cfRule type="expression" priority="28" dxfId="57">
      <formula>SEARCH("RICHIESTO",$M5)&gt;0</formula>
    </cfRule>
    <cfRule type="expression" priority="29" dxfId="56">
      <formula>SEARCH("DA CHIUDERE",$M5)&gt;0</formula>
    </cfRule>
    <cfRule type="expression" priority="30" dxfId="55">
      <formula>SEARCH("INTERROTTO",$M5)&gt;0</formula>
    </cfRule>
  </conditionalFormatting>
  <conditionalFormatting sqref="E5:F5 N5:S5">
    <cfRule type="expression" priority="31" dxfId="60">
      <formula>SEARCH("IN CORSO",$M5)&gt;0</formula>
    </cfRule>
    <cfRule type="expression" priority="32" dxfId="59">
      <formula>SEARCH("CHIUSO",$M5)&gt;0</formula>
    </cfRule>
    <cfRule type="expression" priority="33" dxfId="58">
      <formula>SEARCH("EMESSO",$M5)&gt;0</formula>
    </cfRule>
    <cfRule type="expression" priority="34" dxfId="57">
      <formula>SEARCH("RICHIESTO",$M5)&gt;0</formula>
    </cfRule>
    <cfRule type="expression" priority="35" dxfId="56">
      <formula>SEARCH("DA CHIUDERE",$M5)&gt;0</formula>
    </cfRule>
    <cfRule type="expression" priority="36" dxfId="55">
      <formula>SEARCH("INTERROTTO",$M5)&gt;0</formula>
    </cfRule>
  </conditionalFormatting>
  <conditionalFormatting sqref="M5">
    <cfRule type="expression" priority="19" dxfId="60">
      <formula>SEARCH("IN CORSO",$M5)&gt;0</formula>
    </cfRule>
    <cfRule type="expression" priority="20" dxfId="59">
      <formula>SEARCH("CHIUSO",$M5)&gt;0</formula>
    </cfRule>
    <cfRule type="expression" priority="21" dxfId="58">
      <formula>SEARCH("EMESSO",$M5)&gt;0</formula>
    </cfRule>
    <cfRule type="expression" priority="22" dxfId="57">
      <formula>SEARCH("RICHIESTO",$M5)&gt;0</formula>
    </cfRule>
    <cfRule type="expression" priority="23" dxfId="56">
      <formula>SEARCH("DA CHIUDERE",$M5)&gt;0</formula>
    </cfRule>
    <cfRule type="expression" priority="24" dxfId="55">
      <formula>SEARCH("INTERROTTO",$M5)&gt;0</formula>
    </cfRule>
  </conditionalFormatting>
  <conditionalFormatting sqref="G4">
    <cfRule type="expression" priority="7" dxfId="60">
      <formula>SEARCH("IN CORSO",$M4)&gt;0</formula>
    </cfRule>
    <cfRule type="expression" priority="8" dxfId="59">
      <formula>SEARCH("CHIUSO",$M4)&gt;0</formula>
    </cfRule>
    <cfRule type="expression" priority="9" dxfId="58">
      <formula>SEARCH("EMESSO",$M4)&gt;0</formula>
    </cfRule>
    <cfRule type="expression" priority="10" dxfId="57">
      <formula>SEARCH("RICHIESTO",$M4)&gt;0</formula>
    </cfRule>
    <cfRule type="expression" priority="11" dxfId="56">
      <formula>SEARCH("DA CHIUDERE",$M4)&gt;0</formula>
    </cfRule>
    <cfRule type="expression" priority="12" dxfId="55">
      <formula>SEARCH("INTERROTTO",$M4)&gt;0</formula>
    </cfRule>
  </conditionalFormatting>
  <conditionalFormatting sqref="E4:F4 N4:S4">
    <cfRule type="expression" priority="13" dxfId="60">
      <formula>SEARCH("IN CORSO",$M4)&gt;0</formula>
    </cfRule>
    <cfRule type="expression" priority="14" dxfId="59">
      <formula>SEARCH("CHIUSO",$M4)&gt;0</formula>
    </cfRule>
    <cfRule type="expression" priority="15" dxfId="58">
      <formula>SEARCH("EMESSO",$M4)&gt;0</formula>
    </cfRule>
    <cfRule type="expression" priority="16" dxfId="57">
      <formula>SEARCH("RICHIESTO",$M4)&gt;0</formula>
    </cfRule>
    <cfRule type="expression" priority="17" dxfId="56">
      <formula>SEARCH("DA CHIUDERE",$M4)&gt;0</formula>
    </cfRule>
    <cfRule type="expression" priority="18" dxfId="55">
      <formula>SEARCH("INTERROTTO",$M4)&gt;0</formula>
    </cfRule>
  </conditionalFormatting>
  <conditionalFormatting sqref="M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1">
    <dataValidation sqref="M83:M380 M382:M394 M396:M443" showDropDown="0" showInputMessage="0" showErrorMessage="0" allowBlank="1" type="list">
      <formula1>"RICHIESTO,EMESSO,IN CORSO,INTERROTTO,DA CHIUDERE,SCADUTO,CHIUSO,DA ATTENZIONARE,"</formula1>
    </dataValidation>
  </dataValidations>
  <printOptions horizontalCentered="1"/>
  <pageMargins left="0" right="0" top="0" bottom="0" header="0" footer="0"/>
  <pageSetup orientation="landscape" paperSize="9" scale="48" fitToHeight="0" horizontalDpi="1200" verticalDpi="1200"/>
  <colBreaks count="1" manualBreakCount="1">
    <brk id="19" min="0" max="1048575" man="1"/>
  </colBreaks>
  <drawing xmlns:r="http://schemas.openxmlformats.org/officeDocument/2006/relationships" r:id="rId1"/>
  <legacyDrawing xmlns:r="http://schemas.openxmlformats.org/officeDocument/2006/relationships" r:id="anysvml"/>
  <tableParts count="1">
    <tablePart xmlns:r="http://schemas.openxmlformats.org/officeDocument/2006/relationships" r:id="rId2"/>
  </tableParts>
</worksheet>
</file>

<file path=xl/worksheets/sheet4.xml><?xml version="1.0" encoding="utf-8"?>
<worksheet xmlns="http://schemas.openxmlformats.org/spreadsheetml/2006/main">
  <sheetPr codeName="Foglio4">
    <tabColor theme="3"/>
    <outlinePr summaryBelow="1" summaryRight="1"/>
    <pageSetUpPr fitToPage="1"/>
  </sheetPr>
  <dimension ref="A1:V34"/>
  <sheetViews>
    <sheetView workbookViewId="0">
      <selection activeCell="A4" sqref="A4:U29"/>
    </sheetView>
  </sheetViews>
  <sheetFormatPr baseColWidth="8" defaultColWidth="7.75" defaultRowHeight="15"/>
  <cols>
    <col width="3.125" customWidth="1" style="6" min="1" max="1"/>
    <col width="3.125" customWidth="1" style="1" min="2" max="2"/>
    <col width="3.125" customWidth="1" style="7" min="3" max="3"/>
    <col width="7.7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6"/>
    <col width="55.625" customWidth="1" style="10" min="17" max="17"/>
    <col width="13.625" bestFit="1" customWidth="1" style="10" min="18" max="18"/>
    <col width="13.125" customWidth="1" style="10" min="19" max="19"/>
    <col width="3.125" customWidth="1" style="10" min="20" max="20"/>
    <col width="8.5" customWidth="1" style="10" min="21" max="28"/>
    <col width="7.75" customWidth="1" style="10" min="29" max="16384"/>
  </cols>
  <sheetData>
    <row r="1" ht="128.1" customHeight="1" s="122">
      <c r="A1" s="188" t="n"/>
      <c r="G1" s="13" t="n"/>
      <c r="L1" s="38" t="n"/>
      <c r="M1" s="62" t="inlineStr">
        <is>
          <t>FILTRA PDL</t>
        </is>
      </c>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row>
    <row r="3" ht="38.25" customFormat="1" customHeight="1" s="45">
      <c r="A3" s="26" t="inlineStr">
        <is>
          <t>FERM</t>
        </is>
      </c>
      <c r="B3" s="34" t="inlineStr">
        <is>
          <t>MANUT</t>
        </is>
      </c>
      <c r="C3" s="30" t="inlineStr">
        <is>
          <t>PS</t>
        </is>
      </c>
      <c r="D3" s="30" t="inlineStr">
        <is>
          <t xml:space="preserve">AREA </t>
        </is>
      </c>
      <c r="E3" s="30" t="inlineStr">
        <is>
          <t>PdL</t>
        </is>
      </c>
      <c r="F3" s="30"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121" t="inlineStr">
        <is>
          <t>STATO
ATTIVITA'</t>
        </is>
      </c>
      <c r="R3" s="18" t="inlineStr">
        <is>
          <t>DATA
CONTROLLO</t>
        </is>
      </c>
      <c r="S3" s="121" t="inlineStr">
        <is>
          <t>PERSONALE
IMPIEGATO</t>
        </is>
      </c>
      <c r="T3" s="121" t="inlineStr">
        <is>
          <t>PO</t>
        </is>
      </c>
      <c r="U3" s="127" t="inlineStr">
        <is>
          <t>AVVISO</t>
        </is>
      </c>
      <c r="V3" t="inlineStr">
        <is>
          <t>DataUltimaModifica</t>
        </is>
      </c>
    </row>
    <row r="4" ht="23.25" customFormat="1" customHeight="1" s="45">
      <c r="A4" s="112" t="n"/>
      <c r="B4" s="112">
        <f>IF(OR(A4="x",A4="X"),"",IF(ISBLANK(A4),"X",""))</f>
        <v/>
      </c>
      <c r="C4" s="112">
        <f>IF(OR(TabellaCTE[[#This Row],[LUN]]="X",TabellaCTE[[#This Row],[MAR]]="X",TabellaCTE[[#This Row],[MER]]="X",TabellaCTE[[#This Row],[GIO]]="X",TabellaCTE[[#This Row],[VEN]]="X",),"X","")</f>
        <v/>
      </c>
      <c r="D4" s="113" t="inlineStr">
        <is>
          <t>CTE</t>
        </is>
      </c>
      <c r="E4" s="109" t="inlineStr">
        <is>
          <t>536183/C</t>
        </is>
      </c>
      <c r="F4" s="109" t="n">
        <v>2600</v>
      </c>
      <c r="G4" s="109" t="inlineStr">
        <is>
          <t>2600-XV1135 RIMONTAGGIO VALVOLA</t>
        </is>
      </c>
      <c r="H4" s="111" t="n"/>
      <c r="I4" s="111" t="n"/>
      <c r="J4" s="111" t="n"/>
      <c r="K4" s="111" t="n"/>
      <c r="L4" s="111" t="n"/>
      <c r="M4" s="109" t="inlineStr">
        <is>
          <t>DA CHIUDERE</t>
        </is>
      </c>
      <c r="N4" s="109" t="n"/>
      <c r="O4" s="109" t="n"/>
      <c r="P4" s="109" t="n"/>
      <c r="Q4" s="109" t="inlineStr">
        <is>
          <t>ESEGUITO RIMONTAGGIO</t>
        </is>
      </c>
      <c r="R4" s="110" t="n">
        <v>45789</v>
      </c>
      <c r="S4" s="109" t="inlineStr">
        <is>
          <t>SAGGIO</t>
        </is>
      </c>
      <c r="T4" s="140">
        <f>IF(AND('Inserimento dati'!$B$3=$H$2, TabellaCTE[[#This Row],[LUN]]="X"), "X",IF(AND('Inserimento dati'!$B$3=$I$2, TabellaCTE[[#This Row],[MAR]]="X"), "X", IF(AND('Inserimento dati'!$B$3=$J$2, TabellaCTE[[#This Row],[MER]]="X"), "X",IF(AND('Inserimento dati'!$B$3=$K$2, TabellaCTE[[#This Row],[GIO]]="X"), "X", IF(AND('Inserimento dati'!$B$3=$L$2, TabellaCTE[[#This Row],[VEN]]="X"), "X","")))))</f>
        <v/>
      </c>
      <c r="U4" s="161">
        <f>IFERROR(MID(G4,_xlfn.AGGREGATE(15,6,(ROW(INDIRECT("1:"&amp;LEN(G4)-7)))/(ISNUMBER(--MID(G4,ROW(INDIRECT("1:"&amp;LEN(G4)-7)),8))),1),8),"")</f>
        <v/>
      </c>
      <c r="V4" t="inlineStr">
        <is>
          <t>2025-09-30 20:00:00</t>
        </is>
      </c>
    </row>
    <row r="5" ht="23.25" customFormat="1" customHeight="1" s="45">
      <c r="A5" s="112" t="n"/>
      <c r="B5" s="112">
        <f>IF(OR(A5="x",A5="X"),"",IF(ISBLANK(A5),"X",""))</f>
        <v/>
      </c>
      <c r="C5" s="112">
        <f>IF(OR(TabellaCTE[[#This Row],[LUN]]="X",TabellaCTE[[#This Row],[MAR]]="X",TabellaCTE[[#This Row],[MER]]="X",TabellaCTE[[#This Row],[GIO]]="X",TabellaCTE[[#This Row],[VEN]]="X",),"X","")</f>
        <v/>
      </c>
      <c r="D5" s="113" t="inlineStr">
        <is>
          <t>CTE</t>
        </is>
      </c>
      <c r="E5" s="109" t="inlineStr">
        <is>
          <t>532009/C</t>
        </is>
      </c>
      <c r="F5" s="109" t="n">
        <v>2600</v>
      </c>
      <c r="G5" s="109" t="inlineStr">
        <is>
          <t>2600 - 2600PCV953 serraggio premi treccia</t>
        </is>
      </c>
      <c r="H5" s="111" t="n"/>
      <c r="I5" s="111" t="n"/>
      <c r="J5" s="111" t="n"/>
      <c r="K5" s="111" t="n"/>
      <c r="L5" s="111" t="n"/>
      <c r="M5" s="109" t="inlineStr">
        <is>
          <t>DA CHIUDERE</t>
        </is>
      </c>
      <c r="N5" s="109" t="n"/>
      <c r="O5" s="109" t="n"/>
      <c r="P5" s="109" t="n"/>
      <c r="Q5" s="109" t="n"/>
      <c r="R5" s="110" t="n"/>
      <c r="S5" s="109" t="n"/>
      <c r="T5" s="140">
        <f>IF(AND('Inserimento dati'!$B$3=$H$2, TabellaCTE[[#This Row],[LUN]]="X"), "X",IF(AND('Inserimento dati'!$B$3=$I$2, TabellaCTE[[#This Row],[MAR]]="X"), "X", IF(AND('Inserimento dati'!$B$3=$J$2, TabellaCTE[[#This Row],[MER]]="X"), "X",IF(AND('Inserimento dati'!$B$3=$K$2, TabellaCTE[[#This Row],[GIO]]="X"), "X", IF(AND('Inserimento dati'!$B$3=$L$2, TabellaCTE[[#This Row],[VEN]]="X"), "X","")))))</f>
        <v/>
      </c>
      <c r="U5" s="161">
        <f>IFERROR(MID(G5,_xlfn.AGGREGATE(15,6,(ROW(INDIRECT("1:"&amp;LEN(G5)-7)))/(ISNUMBER(--MID(G5,ROW(INDIRECT("1:"&amp;LEN(G5)-7)),8))),1),8),"")</f>
        <v/>
      </c>
      <c r="V5" t="inlineStr">
        <is>
          <t>2025-09-30 20:00:00</t>
        </is>
      </c>
    </row>
    <row r="6" ht="23.25" customFormat="1" customHeight="1" s="45">
      <c r="A6" s="112" t="n"/>
      <c r="B6" s="112">
        <f>IF(OR(A6="x",A6="X"),"",IF(ISBLANK(A6),"X",""))</f>
        <v/>
      </c>
      <c r="C6" s="112">
        <f>IF(OR(TabellaCTE[[#This Row],[LUN]]="X",TabellaCTE[[#This Row],[MAR]]="X",TabellaCTE[[#This Row],[MER]]="X",TabellaCTE[[#This Row],[GIO]]="X",TabellaCTE[[#This Row],[VEN]]="X",),"X","")</f>
        <v/>
      </c>
      <c r="D6" s="113" t="inlineStr">
        <is>
          <t>CTE</t>
        </is>
      </c>
      <c r="E6" s="109" t="inlineStr">
        <is>
          <t>528688/C</t>
        </is>
      </c>
      <c r="F6" s="109" t="n">
        <v>2000</v>
      </c>
      <c r="G6" s="109" t="inlineStr">
        <is>
          <t>2000 - SG101 ASSISTENZA AVVIAMENTO CALDAIA</t>
        </is>
      </c>
      <c r="H6" s="111" t="n"/>
      <c r="I6" s="111" t="n"/>
      <c r="J6" s="111" t="n"/>
      <c r="K6" s="111" t="n"/>
      <c r="L6" s="111" t="n"/>
      <c r="M6" s="109" t="inlineStr">
        <is>
          <t>DA CHIUDERE</t>
        </is>
      </c>
      <c r="N6" s="109" t="n"/>
      <c r="O6" s="109" t="n"/>
      <c r="P6" s="109" t="n"/>
      <c r="Q6" s="109" t="n"/>
      <c r="R6" s="110" t="n"/>
      <c r="S6" s="109" t="n"/>
      <c r="T6" s="140">
        <f>IF(AND('Inserimento dati'!$B$3=$H$2, TabellaCTE[[#This Row],[LUN]]="X"), "X",IF(AND('Inserimento dati'!$B$3=$I$2, TabellaCTE[[#This Row],[MAR]]="X"), "X", IF(AND('Inserimento dati'!$B$3=$J$2, TabellaCTE[[#This Row],[MER]]="X"), "X",IF(AND('Inserimento dati'!$B$3=$K$2, TabellaCTE[[#This Row],[GIO]]="X"), "X", IF(AND('Inserimento dati'!$B$3=$L$2, TabellaCTE[[#This Row],[VEN]]="X"), "X","")))))</f>
        <v/>
      </c>
      <c r="U6" s="141">
        <f>IFERROR(MID(G6,_xlfn.AGGREGATE(15,6,(ROW(INDIRECT("1:"&amp;LEN(G6)-7)))/(ISNUMBER(--MID(G6,ROW(INDIRECT("1:"&amp;LEN(G6)-7)),8))),1),8),"")</f>
        <v/>
      </c>
      <c r="V6" t="inlineStr">
        <is>
          <t>2025-09-30 20:00:00</t>
        </is>
      </c>
    </row>
    <row r="7" ht="23.25" customFormat="1" customHeight="1" s="45">
      <c r="A7" s="112" t="n"/>
      <c r="B7" s="112">
        <f>IF(OR(A7="x",A7="X"),"",IF(ISBLANK(A7),"X",""))</f>
        <v/>
      </c>
      <c r="C7" s="112">
        <f>IF(OR(TabellaCTE[[#This Row],[LUN]]="X",TabellaCTE[[#This Row],[MAR]]="X",TabellaCTE[[#This Row],[MER]]="X",TabellaCTE[[#This Row],[GIO]]="X",TabellaCTE[[#This Row],[VEN]]="X",),"X","")</f>
        <v/>
      </c>
      <c r="D7" s="113" t="inlineStr">
        <is>
          <t>CTE</t>
        </is>
      </c>
      <c r="E7" s="109" t="inlineStr">
        <is>
          <t>527600/C</t>
        </is>
      </c>
      <c r="F7" s="109" t="n">
        <v>2600</v>
      </c>
      <c r="G7" s="109" t="inlineStr">
        <is>
          <t>2600 - PCV 953 rimontaggio valvola ed allineamento con sala controllo</t>
        </is>
      </c>
      <c r="H7" s="111" t="n"/>
      <c r="I7" s="111" t="n"/>
      <c r="J7" s="111" t="n"/>
      <c r="K7" s="111" t="n"/>
      <c r="L7" s="111" t="n"/>
      <c r="M7" s="109" t="inlineStr">
        <is>
          <t>DA CHIUDERE</t>
        </is>
      </c>
      <c r="N7" s="109" t="n"/>
      <c r="O7" s="109" t="n"/>
      <c r="P7" s="109" t="n"/>
      <c r="Q7" s="109" t="inlineStr">
        <is>
          <t>VALVOLA MONTATA, ALLINEATA CON SALA CONTROLLO.</t>
        </is>
      </c>
      <c r="R7" s="110" t="n">
        <v>45720</v>
      </c>
      <c r="S7" s="109" t="inlineStr">
        <is>
          <t>MILLO</t>
        </is>
      </c>
      <c r="T7" s="140">
        <f>IF(AND('Inserimento dati'!$B$3=$H$2, TabellaCTE[[#This Row],[LUN]]="X"), "X",IF(AND('Inserimento dati'!$B$3=$I$2, TabellaCTE[[#This Row],[MAR]]="X"), "X", IF(AND('Inserimento dati'!$B$3=$J$2, TabellaCTE[[#This Row],[MER]]="X"), "X",IF(AND('Inserimento dati'!$B$3=$K$2, TabellaCTE[[#This Row],[GIO]]="X"), "X", IF(AND('Inserimento dati'!$B$3=$L$2, TabellaCTE[[#This Row],[VEN]]="X"), "X","")))))</f>
        <v/>
      </c>
      <c r="U7" s="141">
        <f>IFERROR(MID(G7,_xlfn.AGGREGATE(15,6,(ROW(INDIRECT("1:"&amp;LEN(G7)-7)))/(ISNUMBER(--MID(G7,ROW(INDIRECT("1:"&amp;LEN(G7)-7)),8))),1),8),"")</f>
        <v/>
      </c>
      <c r="V7" t="inlineStr">
        <is>
          <t>2025-09-30 20:00:00</t>
        </is>
      </c>
    </row>
    <row r="8" ht="30" customFormat="1" customHeight="1" s="45">
      <c r="A8" s="112" t="n"/>
      <c r="B8" s="112">
        <f>IF(OR(A8="x",A8="X"),"",IF(ISBLANK(A8),"X",""))</f>
        <v/>
      </c>
      <c r="C8" s="112">
        <f>IF(OR(TabellaCTE[[#This Row],[LUN]]="X",TabellaCTE[[#This Row],[MAR]]="X",TabellaCTE[[#This Row],[MER]]="X",TabellaCTE[[#This Row],[GIO]]="X",TabellaCTE[[#This Row],[VEN]]="X",),"X","")</f>
        <v/>
      </c>
      <c r="D8" s="113" t="inlineStr">
        <is>
          <t>CTE</t>
        </is>
      </c>
      <c r="E8" s="109" t="inlineStr">
        <is>
          <t>524988/C</t>
        </is>
      </c>
      <c r="F8" s="109" t="n">
        <v>2600</v>
      </c>
      <c r="G8" s="109" t="inlineStr">
        <is>
          <t>2600 - X754V smontaggio rimontaggio Valvola + controllo funzionale ed allineamento con sala controllo</t>
        </is>
      </c>
      <c r="H8" s="111" t="n"/>
      <c r="I8" s="111" t="n"/>
      <c r="J8" s="111" t="n"/>
      <c r="K8" s="111" t="n"/>
      <c r="L8" s="111" t="n"/>
      <c r="M8" s="109" t="inlineStr">
        <is>
          <t>DA CHIUDERE</t>
        </is>
      </c>
      <c r="N8" s="109" t="n"/>
      <c r="O8" s="109" t="n"/>
      <c r="P8" s="109" t="n"/>
      <c r="Q8" s="109" t="inlineStr">
        <is>
          <t>VALVOLA MONTATA DOPO REVISIONE IN CANTIERE</t>
        </is>
      </c>
      <c r="R8" s="110" t="n">
        <v>45716</v>
      </c>
      <c r="S8" s="109" t="inlineStr">
        <is>
          <t>GARRO L. / GARRO S.</t>
        </is>
      </c>
      <c r="T8" s="140">
        <f>IF(AND('Inserimento dati'!$B$3=$H$2, TabellaCTE[[#This Row],[LUN]]="X"), "X",IF(AND('Inserimento dati'!$B$3=$I$2, TabellaCTE[[#This Row],[MAR]]="X"), "X", IF(AND('Inserimento dati'!$B$3=$J$2, TabellaCTE[[#This Row],[MER]]="X"), "X",IF(AND('Inserimento dati'!$B$3=$K$2, TabellaCTE[[#This Row],[GIO]]="X"), "X", IF(AND('Inserimento dati'!$B$3=$L$2, TabellaCTE[[#This Row],[VEN]]="X"), "X","")))))</f>
        <v/>
      </c>
      <c r="U8" s="141">
        <f>IFERROR(MID(G8,_xlfn.AGGREGATE(15,6,(ROW(INDIRECT("1:"&amp;LEN(G8)-7)))/(ISNUMBER(--MID(G8,ROW(INDIRECT("1:"&amp;LEN(G8)-7)),8))),1),8),"")</f>
        <v/>
      </c>
      <c r="V8" t="inlineStr">
        <is>
          <t>2025-09-30 20:00:00</t>
        </is>
      </c>
    </row>
    <row r="9" ht="23.25" customFormat="1" customHeight="1" s="45">
      <c r="A9" s="112" t="n"/>
      <c r="B9" s="112">
        <f>IF(OR(A9="x",A9="X"),"",IF(ISBLANK(A9),"X",""))</f>
        <v/>
      </c>
      <c r="C9" s="112">
        <f>IF(OR(TabellaCTE[[#This Row],[LUN]]="X",TabellaCTE[[#This Row],[MAR]]="X",TabellaCTE[[#This Row],[MER]]="X",TabellaCTE[[#This Row],[GIO]]="X",TabellaCTE[[#This Row],[VEN]]="X",),"X","")</f>
        <v/>
      </c>
      <c r="D9" s="113" t="inlineStr">
        <is>
          <t>CTE</t>
        </is>
      </c>
      <c r="E9" s="109" t="inlineStr">
        <is>
          <t>520386/C</t>
        </is>
      </c>
      <c r="F9" s="109" t="n">
        <v>2000</v>
      </c>
      <c r="G9" s="109" t="inlineStr">
        <is>
          <t xml:space="preserve">ASSISTENZA STRUMENTALE DITTA DE PRETTO </t>
        </is>
      </c>
      <c r="H9" s="111" t="n"/>
      <c r="I9" s="111" t="n"/>
      <c r="J9" s="111" t="n"/>
      <c r="K9" s="111" t="n"/>
      <c r="L9" s="111" t="n"/>
      <c r="M9" s="109" t="inlineStr">
        <is>
          <t>DA CHIUDERE</t>
        </is>
      </c>
      <c r="N9" s="109" t="n"/>
      <c r="O9" s="109" t="n"/>
      <c r="P9" s="109" t="n"/>
      <c r="Q9" s="109" t="n"/>
      <c r="R9" s="110" t="n"/>
      <c r="S9" s="110" t="n"/>
      <c r="T9" s="140">
        <f>IF(AND('Inserimento dati'!$B$3=$H$2, TabellaCTE[[#This Row],[LUN]]="X"), "X",IF(AND('Inserimento dati'!$B$3=$I$2, TabellaCTE[[#This Row],[MAR]]="X"), "X", IF(AND('Inserimento dati'!$B$3=$J$2, TabellaCTE[[#This Row],[MER]]="X"), "X",IF(AND('Inserimento dati'!$B$3=$K$2, TabellaCTE[[#This Row],[GIO]]="X"), "X", IF(AND('Inserimento dati'!$B$3=$L$2, TabellaCTE[[#This Row],[VEN]]="X"), "X","")))))</f>
        <v/>
      </c>
      <c r="U9" s="141">
        <f>IFERROR(MID(G9,_xlfn.AGGREGATE(15,6,(ROW(INDIRECT("1:"&amp;LEN(G9)-7)))/(ISNUMBER(--MID(G9,ROW(INDIRECT("1:"&amp;LEN(G9)-7)),8))),1),8),"")</f>
        <v/>
      </c>
      <c r="V9" t="inlineStr">
        <is>
          <t>2025-09-30 20:00:00</t>
        </is>
      </c>
    </row>
    <row r="10" ht="30" customFormat="1" customHeight="1" s="45">
      <c r="A10" s="112" t="n"/>
      <c r="B10" s="112">
        <f>IF(OR(A10="x",A10="X"),"",IF(ISBLANK(A10),"X",""))</f>
        <v/>
      </c>
      <c r="C10" s="112">
        <f>IF(OR(TabellaCTE[[#This Row],[LUN]]="X",TabellaCTE[[#This Row],[MAR]]="X",TabellaCTE[[#This Row],[MER]]="X",TabellaCTE[[#This Row],[GIO]]="X",TabellaCTE[[#This Row],[VEN]]="X",),"X","")</f>
        <v/>
      </c>
      <c r="D10" s="113" t="inlineStr">
        <is>
          <t>CTE</t>
        </is>
      </c>
      <c r="E10" s="109" t="inlineStr">
        <is>
          <t>522324/C</t>
        </is>
      </c>
      <c r="F10" s="109" t="inlineStr">
        <is>
          <t>2000A</t>
        </is>
      </c>
      <c r="G10" s="109" t="inlineStr">
        <is>
          <t xml:space="preserve">2000A  - P701CV Smontaggio /Rimontaggio bonnet valvola per pulizia gabbia + controllo funzionale ed allineamento con sala controllo </t>
        </is>
      </c>
      <c r="H10" s="111" t="n"/>
      <c r="I10" s="111" t="n"/>
      <c r="J10" s="111" t="n"/>
      <c r="K10" s="111" t="n"/>
      <c r="L10" s="111" t="n"/>
      <c r="M10" s="109" t="inlineStr">
        <is>
          <t>DA CHIUDERE</t>
        </is>
      </c>
      <c r="N10" s="109" t="n"/>
      <c r="O10" s="109" t="n"/>
      <c r="P10" s="109" t="n"/>
      <c r="Q10" s="109" t="inlineStr">
        <is>
          <t>ESEGUITA PULIZIA GABBIA</t>
        </is>
      </c>
      <c r="R10" s="110" t="n">
        <v>45685</v>
      </c>
      <c r="S10" s="110" t="inlineStr">
        <is>
          <t>GARRO L. / GARRO S.</t>
        </is>
      </c>
      <c r="T10" s="140">
        <f>IF(AND('Inserimento dati'!$B$3=$H$2, TabellaCTE[[#This Row],[LUN]]="X"), "X",IF(AND('Inserimento dati'!$B$3=$I$2, TabellaCTE[[#This Row],[MAR]]="X"), "X", IF(AND('Inserimento dati'!$B$3=$J$2, TabellaCTE[[#This Row],[MER]]="X"), "X",IF(AND('Inserimento dati'!$B$3=$K$2, TabellaCTE[[#This Row],[GIO]]="X"), "X", IF(AND('Inserimento dati'!$B$3=$L$2, TabellaCTE[[#This Row],[VEN]]="X"), "X","")))))</f>
        <v/>
      </c>
      <c r="U10" s="141">
        <f>IFERROR(MID(G10,_xlfn.AGGREGATE(15,6,(ROW(INDIRECT("1:"&amp;LEN(G10)-7)))/(ISNUMBER(--MID(G10,ROW(INDIRECT("1:"&amp;LEN(G10)-7)),8))),1),8),"")</f>
        <v/>
      </c>
      <c r="V10" t="inlineStr">
        <is>
          <t>2025-09-30 20:00:00</t>
        </is>
      </c>
    </row>
    <row r="11" ht="23.25" customFormat="1" customHeight="1" s="45">
      <c r="A11" s="112" t="n"/>
      <c r="B11" s="112">
        <f>IF(OR(A11="x",A11="X"),"",IF(ISBLANK(A11),"X",""))</f>
        <v/>
      </c>
      <c r="C11" s="112">
        <f>IF(OR(TabellaCTE[[#This Row],[LUN]]="X",TabellaCTE[[#This Row],[MAR]]="X",TabellaCTE[[#This Row],[MER]]="X",TabellaCTE[[#This Row],[GIO]]="X",TabellaCTE[[#This Row],[VEN]]="X",),"X","")</f>
        <v/>
      </c>
      <c r="D11" s="113" t="inlineStr">
        <is>
          <t>CTE</t>
        </is>
      </c>
      <c r="E11" s="109" t="inlineStr">
        <is>
          <t>521628/C</t>
        </is>
      </c>
      <c r="F11" s="109" t="n">
        <v>2000</v>
      </c>
      <c r="G11" s="109" t="inlineStr">
        <is>
          <t>2000-PLC 1004 controllo funzionale pressostato ed allineamento con sala controllo</t>
        </is>
      </c>
      <c r="H11" s="111" t="n"/>
      <c r="I11" s="111" t="n"/>
      <c r="J11" s="111" t="n"/>
      <c r="K11" s="111" t="n"/>
      <c r="L11" s="111" t="n"/>
      <c r="M11" s="109" t="inlineStr">
        <is>
          <t>DA CHIUDERE</t>
        </is>
      </c>
      <c r="N11" s="109" t="n"/>
      <c r="O11" s="109" t="n"/>
      <c r="P11" s="109" t="n"/>
      <c r="Q11" s="109" t="n"/>
      <c r="R11" s="110" t="n"/>
      <c r="S11" s="110" t="n"/>
      <c r="T11" s="140">
        <f>IF(AND('Inserimento dati'!$B$3=$H$2, TabellaCTE[[#This Row],[LUN]]="X"), "X",IF(AND('Inserimento dati'!$B$3=$I$2, TabellaCTE[[#This Row],[MAR]]="X"), "X", IF(AND('Inserimento dati'!$B$3=$J$2, TabellaCTE[[#This Row],[MER]]="X"), "X",IF(AND('Inserimento dati'!$B$3=$K$2, TabellaCTE[[#This Row],[GIO]]="X"), "X", IF(AND('Inserimento dati'!$B$3=$L$2, TabellaCTE[[#This Row],[VEN]]="X"), "X","")))))</f>
        <v/>
      </c>
      <c r="U11" s="141">
        <f>IFERROR(MID(G11,_xlfn.AGGREGATE(15,6,(ROW(INDIRECT("1:"&amp;LEN(G11)-7)))/(ISNUMBER(--MID(G11,ROW(INDIRECT("1:"&amp;LEN(G11)-7)),8))),1),8),"")</f>
        <v/>
      </c>
      <c r="V11" t="inlineStr">
        <is>
          <t>2025-09-30 20:00:00</t>
        </is>
      </c>
    </row>
    <row r="12" ht="30" customFormat="1" customHeight="1" s="45">
      <c r="A12" s="112" t="n"/>
      <c r="B12" s="112">
        <f>IF(OR(A12="x",A12="X"),"",IF(ISBLANK(A12),"X",""))</f>
        <v/>
      </c>
      <c r="C12" s="112">
        <f>IF(OR(TabellaCTE[[#This Row],[LUN]]="X",TabellaCTE[[#This Row],[MAR]]="X",TabellaCTE[[#This Row],[MER]]="X",TabellaCTE[[#This Row],[GIO]]="X",TabellaCTE[[#This Row],[VEN]]="X",),"X","")</f>
        <v/>
      </c>
      <c r="D12" s="113" t="inlineStr">
        <is>
          <t>CTE</t>
        </is>
      </c>
      <c r="E12" s="109" t="inlineStr">
        <is>
          <t>521544/C</t>
        </is>
      </c>
      <c r="F12" s="109" t="n">
        <v>2800</v>
      </c>
      <c r="G12" s="109" t="inlineStr">
        <is>
          <t>assistenza strumentisti per posizionamento strumento a ultrasuoni su linea acqua a TK140</t>
        </is>
      </c>
      <c r="H12" s="111" t="n"/>
      <c r="I12" s="111" t="n"/>
      <c r="J12" s="111" t="n"/>
      <c r="K12" s="111" t="n"/>
      <c r="L12" s="111" t="n"/>
      <c r="M12" s="109" t="inlineStr">
        <is>
          <t>DA CHIUDERE</t>
        </is>
      </c>
      <c r="N12" s="109" t="n"/>
      <c r="O12" s="109" t="n"/>
      <c r="P12" s="109" t="n"/>
      <c r="Q12" s="109" t="n"/>
      <c r="R12" s="110" t="n"/>
      <c r="S12" s="110" t="n"/>
      <c r="T12" s="140">
        <f>IF(AND('Inserimento dati'!$B$3=$H$2, TabellaCTE[[#This Row],[LUN]]="X"), "X",IF(AND('Inserimento dati'!$B$3=$I$2, TabellaCTE[[#This Row],[MAR]]="X"), "X", IF(AND('Inserimento dati'!$B$3=$J$2, TabellaCTE[[#This Row],[MER]]="X"), "X",IF(AND('Inserimento dati'!$B$3=$K$2, TabellaCTE[[#This Row],[GIO]]="X"), "X", IF(AND('Inserimento dati'!$B$3=$L$2, TabellaCTE[[#This Row],[VEN]]="X"), "X","")))))</f>
        <v/>
      </c>
      <c r="U12" s="141">
        <f>IFERROR(MID(G12,_xlfn.AGGREGATE(15,6,(ROW(INDIRECT("1:"&amp;LEN(G12)-7)))/(ISNUMBER(--MID(G12,ROW(INDIRECT("1:"&amp;LEN(G12)-7)),8))),1),8),"")</f>
        <v/>
      </c>
      <c r="V12" t="inlineStr">
        <is>
          <t>2025-09-30 20:00:00</t>
        </is>
      </c>
    </row>
    <row r="13" ht="30" customFormat="1" customHeight="1" s="45">
      <c r="A13" s="112" t="n"/>
      <c r="B13" s="112">
        <f>IF(OR(A13="x",A13="X"),"",IF(ISBLANK(A13),"X",""))</f>
        <v/>
      </c>
      <c r="C13" s="112">
        <f>IF(OR(TabellaCTE[[#This Row],[LUN]]="X",TabellaCTE[[#This Row],[MAR]]="X",TabellaCTE[[#This Row],[MER]]="X",TabellaCTE[[#This Row],[GIO]]="X",TabellaCTE[[#This Row],[VEN]]="X",),"X","")</f>
        <v/>
      </c>
      <c r="D13" s="113" t="inlineStr">
        <is>
          <t>CTE</t>
        </is>
      </c>
      <c r="E13" s="109" t="inlineStr">
        <is>
          <t>519017/C</t>
        </is>
      </c>
      <c r="F13" s="109" t="n">
        <v>2000</v>
      </c>
      <c r="G13" s="109" t="inlineStr">
        <is>
          <t>2600 X751V smontaggio rimontaggio Valvola + controllo funzionale ed allineamento con sala controllo</t>
        </is>
      </c>
      <c r="H13" s="111" t="n"/>
      <c r="I13" s="111" t="n"/>
      <c r="J13" s="111" t="n"/>
      <c r="K13" s="111" t="n"/>
      <c r="L13" s="111" t="n"/>
      <c r="M13" s="109" t="inlineStr">
        <is>
          <t>DA CHIUDERE</t>
        </is>
      </c>
      <c r="N13" s="109" t="n"/>
      <c r="O13" s="109" t="n"/>
      <c r="P13" s="109" t="n"/>
      <c r="Q13" s="109" t="n"/>
      <c r="R13" s="110" t="n"/>
      <c r="S13" s="110" t="n"/>
      <c r="T13" s="140">
        <f>IF(AND('Inserimento dati'!$B$3=$H$2, TabellaCTE[[#This Row],[LUN]]="X"), "X",IF(AND('Inserimento dati'!$B$3=$I$2, TabellaCTE[[#This Row],[MAR]]="X"), "X", IF(AND('Inserimento dati'!$B$3=$J$2, TabellaCTE[[#This Row],[MER]]="X"), "X",IF(AND('Inserimento dati'!$B$3=$K$2, TabellaCTE[[#This Row],[GIO]]="X"), "X", IF(AND('Inserimento dati'!$B$3=$L$2, TabellaCTE[[#This Row],[VEN]]="X"), "X","")))))</f>
        <v/>
      </c>
      <c r="U13" s="141">
        <f>IFERROR(MID(G13,_xlfn.AGGREGATE(15,6,(ROW(INDIRECT("1:"&amp;LEN(G13)-7)))/(ISNUMBER(--MID(G13,ROW(INDIRECT("1:"&amp;LEN(G13)-7)),8))),1),8),"")</f>
        <v/>
      </c>
      <c r="V13" t="inlineStr">
        <is>
          <t>2025-09-30 20:00:00</t>
        </is>
      </c>
    </row>
    <row r="14" ht="23.25" customFormat="1" customHeight="1" s="45">
      <c r="A14" s="112" t="n"/>
      <c r="B14" s="112">
        <f>IF(OR(A14="x",A14="X"),"",IF(ISBLANK(A14),"X",""))</f>
        <v/>
      </c>
      <c r="C14" s="112">
        <f>IF(OR(TabellaCTE[[#This Row],[LUN]]="X",TabellaCTE[[#This Row],[MAR]]="X",TabellaCTE[[#This Row],[MER]]="X",TabellaCTE[[#This Row],[GIO]]="X",TabellaCTE[[#This Row],[VEN]]="X",),"X","")</f>
        <v/>
      </c>
      <c r="D14" s="113" t="inlineStr">
        <is>
          <t>CTE</t>
        </is>
      </c>
      <c r="E14" s="109" t="inlineStr">
        <is>
          <t>515908/C</t>
        </is>
      </c>
      <c r="F14" s="109" t="n">
        <v>2000</v>
      </c>
      <c r="G14" s="109" t="inlineStr">
        <is>
          <t>STG 102 RICOLL/ALL STRUMENTAZIONE</t>
        </is>
      </c>
      <c r="H14" s="111" t="n"/>
      <c r="I14" s="111" t="n"/>
      <c r="J14" s="111" t="n"/>
      <c r="K14" s="111" t="n"/>
      <c r="L14" s="111" t="n"/>
      <c r="M14" s="109" t="inlineStr">
        <is>
          <t>DA CHIUDERE</t>
        </is>
      </c>
      <c r="N14" s="109" t="n"/>
      <c r="O14" s="109" t="n"/>
      <c r="P14" s="109" t="n"/>
      <c r="Q14" s="109" t="inlineStr">
        <is>
          <t>CONTROLLO GIORNALIERO</t>
        </is>
      </c>
      <c r="R14" s="110" t="n"/>
      <c r="S14" s="110" t="n"/>
      <c r="T14" s="140">
        <f>IF(AND('Inserimento dati'!$B$3=$H$2, TabellaCTE[[#This Row],[LUN]]="X"), "X",IF(AND('Inserimento dati'!$B$3=$I$2, TabellaCTE[[#This Row],[MAR]]="X"), "X", IF(AND('Inserimento dati'!$B$3=$J$2, TabellaCTE[[#This Row],[MER]]="X"), "X",IF(AND('Inserimento dati'!$B$3=$K$2, TabellaCTE[[#This Row],[GIO]]="X"), "X", IF(AND('Inserimento dati'!$B$3=$L$2, TabellaCTE[[#This Row],[VEN]]="X"), "X","")))))</f>
        <v/>
      </c>
      <c r="U14" s="141">
        <f>IFERROR(MID(G14,_xlfn.AGGREGATE(15,6,(ROW(INDIRECT("1:"&amp;LEN(G14)-7)))/(ISNUMBER(--MID(G14,ROW(INDIRECT("1:"&amp;LEN(G14)-7)),8))),1),8),"")</f>
        <v/>
      </c>
      <c r="V14" t="inlineStr">
        <is>
          <t>2025-09-30 20:00:00</t>
        </is>
      </c>
    </row>
    <row r="15" ht="23.25" customFormat="1" customHeight="1" s="45">
      <c r="A15" s="112" t="n"/>
      <c r="B15" s="112">
        <f>IF(OR(A15="x",A15="X"),"",IF(ISBLANK(A15),"X",""))</f>
        <v/>
      </c>
      <c r="C15" s="112">
        <f>IF(OR(TabellaCTE[[#This Row],[LUN]]="X",TabellaCTE[[#This Row],[MAR]]="X",TabellaCTE[[#This Row],[MER]]="X",TabellaCTE[[#This Row],[GIO]]="X",TabellaCTE[[#This Row],[VEN]]="X",),"X","")</f>
        <v/>
      </c>
      <c r="D15" s="113" t="inlineStr">
        <is>
          <t>CTE</t>
        </is>
      </c>
      <c r="E15" s="109" t="inlineStr">
        <is>
          <t>511406/C</t>
        </is>
      </c>
      <c r="F15" s="109" t="inlineStr">
        <is>
          <t>CTE</t>
        </is>
      </c>
      <c r="G15" s="109" t="inlineStr">
        <is>
          <t>AREA CTE (IMP. 2000-2000A-2300-2600) assistenza strumentale.</t>
        </is>
      </c>
      <c r="H15" s="111" t="n"/>
      <c r="I15" s="111" t="n"/>
      <c r="J15" s="111" t="n"/>
      <c r="K15" s="111" t="n"/>
      <c r="L15" s="111" t="n"/>
      <c r="M15" s="109" t="inlineStr">
        <is>
          <t>DA CHIUDERE</t>
        </is>
      </c>
      <c r="N15" s="109" t="n"/>
      <c r="O15" s="109" t="n"/>
      <c r="P15" s="109" t="n"/>
      <c r="Q15" s="109" t="inlineStr">
        <is>
          <t>CONTROLLO GIORNALIERO</t>
        </is>
      </c>
      <c r="R15" s="110" t="n"/>
      <c r="S15" s="110" t="n"/>
      <c r="T15" s="140">
        <f>IF(AND('Inserimento dati'!$B$3=$H$2, TabellaCTE[[#This Row],[LUN]]="X"), "X",IF(AND('Inserimento dati'!$B$3=$I$2, TabellaCTE[[#This Row],[MAR]]="X"), "X", IF(AND('Inserimento dati'!$B$3=$J$2, TabellaCTE[[#This Row],[MER]]="X"), "X",IF(AND('Inserimento dati'!$B$3=$K$2, TabellaCTE[[#This Row],[GIO]]="X"), "X", IF(AND('Inserimento dati'!$B$3=$L$2, TabellaCTE[[#This Row],[VEN]]="X"), "X","")))))</f>
        <v/>
      </c>
      <c r="U15" s="141">
        <f>IFERROR(MID(G15,_xlfn.AGGREGATE(15,6,(ROW(INDIRECT("1:"&amp;LEN(G15)-7)))/(ISNUMBER(--MID(G15,ROW(INDIRECT("1:"&amp;LEN(G15)-7)),8))),1),8),"")</f>
        <v/>
      </c>
      <c r="V15" t="inlineStr">
        <is>
          <t>2025-09-30 20:00:00</t>
        </is>
      </c>
    </row>
    <row r="16" ht="23.25" customFormat="1" customHeight="1" s="45">
      <c r="A16" s="112" t="n"/>
      <c r="B16" s="112">
        <f>IF(OR(A16="x",A16="X"),"",IF(ISBLANK(A16),"X",""))</f>
        <v/>
      </c>
      <c r="C16" s="112">
        <f>IF(OR(TabellaCTE[[#This Row],[LUN]]="X",TabellaCTE[[#This Row],[MAR]]="X",TabellaCTE[[#This Row],[MER]]="X",TabellaCTE[[#This Row],[GIO]]="X",TabellaCTE[[#This Row],[VEN]]="X",),"X","")</f>
        <v/>
      </c>
      <c r="D16" s="113" t="inlineStr">
        <is>
          <t>CTE</t>
        </is>
      </c>
      <c r="E16" s="109" t="inlineStr">
        <is>
          <t>513197/C</t>
        </is>
      </c>
      <c r="F16" s="109" t="n">
        <v>2800</v>
      </c>
      <c r="G16" s="109" t="inlineStr">
        <is>
          <t>campionatore EMN/4</t>
        </is>
      </c>
      <c r="H16" s="111" t="n"/>
      <c r="I16" s="111" t="n"/>
      <c r="J16" s="111" t="n"/>
      <c r="K16" s="111" t="n"/>
      <c r="L16" s="111" t="n"/>
      <c r="M16" s="109" t="inlineStr">
        <is>
          <t>DA CHIUDERE</t>
        </is>
      </c>
      <c r="N16" s="109" t="n"/>
      <c r="O16" s="109" t="n"/>
      <c r="P16" s="109" t="n"/>
      <c r="Q16" s="109" t="inlineStr">
        <is>
          <t>CONTROLLO GIORNALIERO</t>
        </is>
      </c>
      <c r="R16" s="110" t="n"/>
      <c r="S16" s="110" t="n"/>
      <c r="T16" s="140">
        <f>IF(AND('Inserimento dati'!$B$3=$H$2, TabellaCTE[[#This Row],[LUN]]="X"), "X",IF(AND('Inserimento dati'!$B$3=$I$2, TabellaCTE[[#This Row],[MAR]]="X"), "X", IF(AND('Inserimento dati'!$B$3=$J$2, TabellaCTE[[#This Row],[MER]]="X"), "X",IF(AND('Inserimento dati'!$B$3=$K$2, TabellaCTE[[#This Row],[GIO]]="X"), "X", IF(AND('Inserimento dati'!$B$3=$L$2, TabellaCTE[[#This Row],[VEN]]="X"), "X","")))))</f>
        <v/>
      </c>
      <c r="U16" s="141">
        <f>IFERROR(MID(G16,_xlfn.AGGREGATE(15,6,(ROW(INDIRECT("1:"&amp;LEN(G16)-7)))/(ISNUMBER(--MID(G16,ROW(INDIRECT("1:"&amp;LEN(G16)-7)),8))),1),8),"")</f>
        <v/>
      </c>
      <c r="V16" t="inlineStr">
        <is>
          <t>2025-09-30 20:00:00</t>
        </is>
      </c>
    </row>
    <row r="17" ht="30" customFormat="1" customHeight="1" s="45">
      <c r="A17" s="112" t="n"/>
      <c r="B17" s="112">
        <f>IF(OR(A17="x",A17="X"),"",IF(ISBLANK(A17),"X",""))</f>
        <v/>
      </c>
      <c r="C17" s="112">
        <f>IF(OR(TabellaCTE[[#This Row],[LUN]]="X",TabellaCTE[[#This Row],[MAR]]="X",TabellaCTE[[#This Row],[MER]]="X",TabellaCTE[[#This Row],[GIO]]="X",TabellaCTE[[#This Row],[VEN]]="X",),"X","")</f>
        <v/>
      </c>
      <c r="D17" s="113" t="inlineStr">
        <is>
          <t>CTE</t>
        </is>
      </c>
      <c r="E17" s="109" t="inlineStr">
        <is>
          <t>517890/C</t>
        </is>
      </c>
      <c r="F17" s="109" t="n">
        <v>2600</v>
      </c>
      <c r="G17" s="109" t="inlineStr">
        <is>
          <t xml:space="preserve">2600X-1-X990V  Controllo funzionale  valvola  ed allineamento con sala controllo </t>
        </is>
      </c>
      <c r="H17" s="111" t="n"/>
      <c r="I17" s="111" t="n"/>
      <c r="J17" s="111" t="n"/>
      <c r="K17" s="111" t="n"/>
      <c r="L17" s="111" t="n"/>
      <c r="M17" s="109" t="inlineStr">
        <is>
          <t>DA CHIUDERE</t>
        </is>
      </c>
      <c r="N17" s="109" t="n"/>
      <c r="O17" s="109" t="n"/>
      <c r="P17" s="109" t="n"/>
      <c r="Q17" s="109" t="n"/>
      <c r="R17" s="110" t="n">
        <v>45638</v>
      </c>
      <c r="S17" s="110" t="inlineStr">
        <is>
          <t>GARRO L. / GARRO S.</t>
        </is>
      </c>
      <c r="T17" s="112">
        <f>IF(AND('Inserimento dati'!$B$3=$H$2, TabellaCTE[[#This Row],[LUN]]="X"), "X",IF(AND('Inserimento dati'!$B$3=$I$2, TabellaCTE[[#This Row],[MAR]]="X"), "X", IF(AND('Inserimento dati'!$B$3=$J$2, TabellaCTE[[#This Row],[MER]]="X"), "X",IF(AND('Inserimento dati'!$B$3=$K$2, TabellaCTE[[#This Row],[GIO]]="X"), "X", IF(AND('Inserimento dati'!$B$3=$L$2, TabellaCTE[[#This Row],[VEN]]="X"), "X","")))))</f>
        <v/>
      </c>
      <c r="U17" s="141">
        <f>IFERROR(MID(G17,_xlfn.AGGREGATE(15,6,(ROW(INDIRECT("1:"&amp;LEN(G17)-7)))/(ISNUMBER(--MID(G17,ROW(INDIRECT("1:"&amp;LEN(G17)-7)),8))),1),8),"")</f>
        <v/>
      </c>
      <c r="V17" t="inlineStr">
        <is>
          <t>2025-09-30 20:00:00</t>
        </is>
      </c>
    </row>
    <row r="18" ht="30" customFormat="1" customHeight="1" s="45">
      <c r="A18" s="112" t="n"/>
      <c r="B18" s="112">
        <f>IF(OR(A18="x",A18="X"),"",IF(ISBLANK(A18),"X",""))</f>
        <v/>
      </c>
      <c r="C18" s="112">
        <f>IF(OR(TabellaCTE[[#This Row],[LUN]]="X",TabellaCTE[[#This Row],[MAR]]="X",TabellaCTE[[#This Row],[MER]]="X",TabellaCTE[[#This Row],[GIO]]="X",TabellaCTE[[#This Row],[VEN]]="X",),"X","")</f>
        <v/>
      </c>
      <c r="D18" s="113" t="inlineStr">
        <is>
          <t>CTE</t>
        </is>
      </c>
      <c r="E18" s="109" t="inlineStr">
        <is>
          <t>517894/C</t>
        </is>
      </c>
      <c r="F18" s="109" t="n">
        <v>2600</v>
      </c>
      <c r="G18" s="109" t="inlineStr">
        <is>
          <t xml:space="preserve">2600X-1-X753V  Smontaggio Rimontaggio  valvola XV e montaggio rimontaggio valvola manuale + movimentazione +controllo funzionale ed allineamento con sala controllo </t>
        </is>
      </c>
      <c r="H18" s="111" t="n"/>
      <c r="I18" s="111" t="n"/>
      <c r="J18" s="111" t="n"/>
      <c r="K18" s="111" t="n"/>
      <c r="L18" s="111" t="n"/>
      <c r="M18" s="109" t="inlineStr">
        <is>
          <t>DA CHIUDERE</t>
        </is>
      </c>
      <c r="N18" s="109" t="n"/>
      <c r="O18" s="109" t="n"/>
      <c r="P18" s="109" t="n"/>
      <c r="Q18" s="109" t="inlineStr">
        <is>
          <t>MOLLA GUASTA. SOSTITUITA</t>
        </is>
      </c>
      <c r="R18" s="110" t="n">
        <v>45637</v>
      </c>
      <c r="S18" s="110" t="inlineStr">
        <is>
          <t>GARRO L. / GARRO S.</t>
        </is>
      </c>
      <c r="T18" s="112">
        <f>IF(AND('Inserimento dati'!$B$3=$H$2, TabellaCTE[[#This Row],[LUN]]="X"), "X",IF(AND('Inserimento dati'!$B$3=$I$2, TabellaCTE[[#This Row],[MAR]]="X"), "X", IF(AND('Inserimento dati'!$B$3=$J$2, TabellaCTE[[#This Row],[MER]]="X"), "X",IF(AND('Inserimento dati'!$B$3=$K$2, TabellaCTE[[#This Row],[GIO]]="X"), "X", IF(AND('Inserimento dati'!$B$3=$L$2, TabellaCTE[[#This Row],[VEN]]="X"), "X","")))))</f>
        <v/>
      </c>
      <c r="U18" s="141">
        <f>IFERROR(MID(G18,_xlfn.AGGREGATE(15,6,(ROW(INDIRECT("1:"&amp;LEN(G18)-7)))/(ISNUMBER(--MID(G18,ROW(INDIRECT("1:"&amp;LEN(G18)-7)),8))),1),8),"")</f>
        <v/>
      </c>
      <c r="V18" t="inlineStr">
        <is>
          <t>2025-09-30 20:00:00</t>
        </is>
      </c>
    </row>
    <row r="19" ht="23.25" customFormat="1" customHeight="1" s="1">
      <c r="A19" s="112" t="n"/>
      <c r="B19" s="112">
        <f>IF(OR(A19="x",A19="X"),"",IF(ISBLANK(A19),"X",""))</f>
        <v/>
      </c>
      <c r="C19" s="112">
        <f>IF(OR(TabellaCTE[[#This Row],[LUN]]="X",TabellaCTE[[#This Row],[MAR]]="X",TabellaCTE[[#This Row],[MER]]="X",TabellaCTE[[#This Row],[GIO]]="X",TabellaCTE[[#This Row],[VEN]]="X",),"X","")</f>
        <v/>
      </c>
      <c r="D19" s="113" t="inlineStr">
        <is>
          <t>CTE</t>
        </is>
      </c>
      <c r="E19" s="109" t="inlineStr">
        <is>
          <t>518607/C</t>
        </is>
      </c>
      <c r="F19" s="109" t="inlineStr">
        <is>
          <t>2000A</t>
        </is>
      </c>
      <c r="G19" s="109" t="inlineStr">
        <is>
          <t>SOSTITUZIONE SONDA VIBRAZIONI TG</t>
        </is>
      </c>
      <c r="H19" s="111" t="n"/>
      <c r="I19" s="111" t="n"/>
      <c r="J19" s="111" t="n"/>
      <c r="K19" s="111" t="n"/>
      <c r="L19" s="111" t="n"/>
      <c r="M19" s="109" t="inlineStr">
        <is>
          <t>DA CHIUDERE</t>
        </is>
      </c>
      <c r="N19" s="109" t="n"/>
      <c r="O19" s="109" t="n"/>
      <c r="P19" s="109" t="n"/>
      <c r="Q19" s="109" t="n"/>
      <c r="R19" s="110" t="n"/>
      <c r="S19" s="110" t="n"/>
      <c r="T19" s="112">
        <f>IF(AND('Inserimento dati'!$B$3=$H$2, TabellaCTE[[#This Row],[LUN]]="X"), "X",IF(AND('Inserimento dati'!$B$3=$I$2, TabellaCTE[[#This Row],[MAR]]="X"), "X", IF(AND('Inserimento dati'!$B$3=$J$2, TabellaCTE[[#This Row],[MER]]="X"), "X",IF(AND('Inserimento dati'!$B$3=$K$2, TabellaCTE[[#This Row],[GIO]]="X"), "X", IF(AND('Inserimento dati'!$B$3=$L$2, TabellaCTE[[#This Row],[VEN]]="X"), "X","")))))</f>
        <v/>
      </c>
      <c r="U19" s="141">
        <f>IFERROR(MID(G19,_xlfn.AGGREGATE(15,6,(ROW(INDIRECT("1:"&amp;LEN(G19)-7)))/(ISNUMBER(--MID(G19,ROW(INDIRECT("1:"&amp;LEN(G19)-7)),8))),1),8),"")</f>
        <v/>
      </c>
      <c r="V19" t="inlineStr">
        <is>
          <t>2025-09-30 20:00:00</t>
        </is>
      </c>
    </row>
    <row r="20" ht="23.25" customFormat="1" customHeight="1" s="1">
      <c r="A20" s="112" t="n"/>
      <c r="B20" s="112">
        <f>IF(OR(A20="x",A20="X"),"",IF(ISBLANK(A20),"X",""))</f>
        <v/>
      </c>
      <c r="C20" s="112">
        <f>IF(OR(TabellaCTE[[#This Row],[LUN]]="X",TabellaCTE[[#This Row],[MAR]]="X",TabellaCTE[[#This Row],[MER]]="X",TabellaCTE[[#This Row],[GIO]]="X",TabellaCTE[[#This Row],[VEN]]="X",),"X","")</f>
        <v/>
      </c>
      <c r="D20" s="113" t="inlineStr">
        <is>
          <t>CTE</t>
        </is>
      </c>
      <c r="E20" s="109" t="inlineStr">
        <is>
          <t>518606/C</t>
        </is>
      </c>
      <c r="F20" s="109" t="inlineStr">
        <is>
          <t>2000A</t>
        </is>
      </c>
      <c r="G20" s="109" t="inlineStr">
        <is>
          <t>SOSTITUZIONE RILEVATORE DI FIAMMA TG</t>
        </is>
      </c>
      <c r="H20" s="111" t="n"/>
      <c r="I20" s="111" t="n"/>
      <c r="J20" s="111" t="n"/>
      <c r="K20" s="111" t="n"/>
      <c r="L20" s="111" t="n"/>
      <c r="M20" s="109" t="inlineStr">
        <is>
          <t>DA CHIUDERE</t>
        </is>
      </c>
      <c r="N20" s="109" t="n"/>
      <c r="O20" s="109" t="n"/>
      <c r="P20" s="109" t="n"/>
      <c r="Q20" s="109" t="n"/>
      <c r="R20" s="110" t="n"/>
      <c r="S20" s="110" t="n"/>
      <c r="T20" s="112">
        <f>IF(AND('Inserimento dati'!$B$3=$H$2, TabellaCTE[[#This Row],[LUN]]="X"), "X",IF(AND('Inserimento dati'!$B$3=$I$2, TabellaCTE[[#This Row],[MAR]]="X"), "X", IF(AND('Inserimento dati'!$B$3=$J$2, TabellaCTE[[#This Row],[MER]]="X"), "X",IF(AND('Inserimento dati'!$B$3=$K$2, TabellaCTE[[#This Row],[GIO]]="X"), "X", IF(AND('Inserimento dati'!$B$3=$L$2, TabellaCTE[[#This Row],[VEN]]="X"), "X","")))))</f>
        <v/>
      </c>
      <c r="U20" s="141">
        <f>IFERROR(MID(G20,_xlfn.AGGREGATE(15,6,(ROW(INDIRECT("1:"&amp;LEN(G20)-7)))/(ISNUMBER(--MID(G20,ROW(INDIRECT("1:"&amp;LEN(G20)-7)),8))),1),8),"")</f>
        <v/>
      </c>
      <c r="V20" t="inlineStr">
        <is>
          <t>2025-09-30 20:00:00</t>
        </is>
      </c>
    </row>
    <row r="21" ht="23.25" customFormat="1" customHeight="1" s="1">
      <c r="A21" s="112" t="n"/>
      <c r="B21" s="112">
        <f>IF(OR(A21="x",A21="X"),"",IF(ISBLANK(A21),"X",""))</f>
        <v/>
      </c>
      <c r="C21" s="112">
        <f>IF(OR(TabellaCTE[[#This Row],[LUN]]="X",TabellaCTE[[#This Row],[MAR]]="X",TabellaCTE[[#This Row],[MER]]="X",TabellaCTE[[#This Row],[GIO]]="X",TabellaCTE[[#This Row],[VEN]]="X",),"X","")</f>
        <v/>
      </c>
      <c r="D21" s="113" t="inlineStr">
        <is>
          <t>CTE</t>
        </is>
      </c>
      <c r="E21" s="109" t="inlineStr">
        <is>
          <t>518595/C</t>
        </is>
      </c>
      <c r="F21" s="109" t="inlineStr">
        <is>
          <t>2000A</t>
        </is>
      </c>
      <c r="G21" s="109" t="inlineStr">
        <is>
          <t>SOSTITUZIONE TERMOCOPPIE SCARICO TURBOGAS (TTXD1-4/6/8/10//12/14</t>
        </is>
      </c>
      <c r="H21" s="111" t="n"/>
      <c r="I21" s="111" t="n"/>
      <c r="J21" s="111" t="n"/>
      <c r="K21" s="111" t="n"/>
      <c r="L21" s="111" t="n"/>
      <c r="M21" s="109" t="inlineStr">
        <is>
          <t>DA CHIUDERE</t>
        </is>
      </c>
      <c r="N21" s="109" t="n"/>
      <c r="O21" s="109" t="n"/>
      <c r="P21" s="109" t="n"/>
      <c r="Q21" s="109" t="n"/>
      <c r="R21" s="110" t="n"/>
      <c r="S21" s="110" t="n"/>
      <c r="T21" s="112">
        <f>IF(AND('Inserimento dati'!$B$3=$H$2, TabellaCTE[[#This Row],[LUN]]="X"), "X",IF(AND('Inserimento dati'!$B$3=$I$2, TabellaCTE[[#This Row],[MAR]]="X"), "X", IF(AND('Inserimento dati'!$B$3=$J$2, TabellaCTE[[#This Row],[MER]]="X"), "X",IF(AND('Inserimento dati'!$B$3=$K$2, TabellaCTE[[#This Row],[GIO]]="X"), "X", IF(AND('Inserimento dati'!$B$3=$L$2, TabellaCTE[[#This Row],[VEN]]="X"), "X","")))))</f>
        <v/>
      </c>
      <c r="U21" s="141">
        <f>IFERROR(MID(G21,_xlfn.AGGREGATE(15,6,(ROW(INDIRECT("1:"&amp;LEN(G21)-7)))/(ISNUMBER(--MID(G21,ROW(INDIRECT("1:"&amp;LEN(G21)-7)),8))),1),8),"")</f>
        <v/>
      </c>
      <c r="V21" t="inlineStr">
        <is>
          <t>2025-09-30 20:00:00</t>
        </is>
      </c>
    </row>
    <row r="22" ht="30" customFormat="1" customHeight="1" s="1">
      <c r="A22" s="112" t="n"/>
      <c r="B22" s="112">
        <f>IF(OR(A22="x",A22="X"),"",IF(ISBLANK(A22),"X",""))</f>
        <v/>
      </c>
      <c r="C22" s="112">
        <f>IF(OR(TabellaCTE[[#This Row],[LUN]]="X",TabellaCTE[[#This Row],[MAR]]="X",TabellaCTE[[#This Row],[MER]]="X",TabellaCTE[[#This Row],[GIO]]="X",TabellaCTE[[#This Row],[VEN]]="X",),"X","")</f>
        <v/>
      </c>
      <c r="D22" s="113" t="inlineStr">
        <is>
          <t>CTE</t>
        </is>
      </c>
      <c r="E22" s="109" t="inlineStr">
        <is>
          <t>518562/C</t>
        </is>
      </c>
      <c r="F22" s="109" t="inlineStr">
        <is>
          <t>2000A</t>
        </is>
      </c>
      <c r="G22" s="109" t="inlineStr">
        <is>
          <t>allineamento strumenti e valvola tramite PLC e sala controllo, attivit in assisstenza ad Automation service</t>
        </is>
      </c>
      <c r="H22" s="111" t="n"/>
      <c r="I22" s="111" t="n"/>
      <c r="J22" s="111" t="n"/>
      <c r="K22" s="111" t="n"/>
      <c r="L22" s="111" t="n"/>
      <c r="M22" s="109" t="inlineStr">
        <is>
          <t>DA CHIUDERE</t>
        </is>
      </c>
      <c r="N22" s="109" t="n"/>
      <c r="O22" s="109" t="n"/>
      <c r="P22" s="109" t="n"/>
      <c r="Q22" s="109" t="n"/>
      <c r="R22" s="110" t="n"/>
      <c r="S22" s="110" t="n"/>
      <c r="T22" s="112">
        <f>IF(AND('Inserimento dati'!$B$3=$H$2, TabellaCTE[[#This Row],[LUN]]="X"), "X",IF(AND('Inserimento dati'!$B$3=$I$2, TabellaCTE[[#This Row],[MAR]]="X"), "X", IF(AND('Inserimento dati'!$B$3=$J$2, TabellaCTE[[#This Row],[MER]]="X"), "X",IF(AND('Inserimento dati'!$B$3=$K$2, TabellaCTE[[#This Row],[GIO]]="X"), "X", IF(AND('Inserimento dati'!$B$3=$L$2, TabellaCTE[[#This Row],[VEN]]="X"), "X","")))))</f>
        <v/>
      </c>
      <c r="U22" s="141">
        <f>IFERROR(MID(G22,_xlfn.AGGREGATE(15,6,(ROW(INDIRECT("1:"&amp;LEN(G22)-7)))/(ISNUMBER(--MID(G22,ROW(INDIRECT("1:"&amp;LEN(G22)-7)),8))),1),8),"")</f>
        <v/>
      </c>
      <c r="V22" t="inlineStr">
        <is>
          <t>2025-09-30 20:00:00</t>
        </is>
      </c>
    </row>
    <row r="23" ht="23.25" customFormat="1" customHeight="1" s="1">
      <c r="A23" s="112" t="n"/>
      <c r="B23" s="112">
        <f>IF(OR(A23="x",A23="X"),"",IF(ISBLANK(A23),"X",""))</f>
        <v/>
      </c>
      <c r="C23" s="112">
        <f>IF(OR(TabellaCTE[[#This Row],[LUN]]="X",TabellaCTE[[#This Row],[MAR]]="X",TabellaCTE[[#This Row],[MER]]="X",TabellaCTE[[#This Row],[GIO]]="X",TabellaCTE[[#This Row],[VEN]]="X",),"X","")</f>
        <v/>
      </c>
      <c r="D23" s="113" t="inlineStr">
        <is>
          <t>CTE</t>
        </is>
      </c>
      <c r="E23" s="109" t="inlineStr">
        <is>
          <t>518496/C</t>
        </is>
      </c>
      <c r="F23" s="109" t="inlineStr">
        <is>
          <t>2000A</t>
        </is>
      </c>
      <c r="G23" s="109" t="inlineStr">
        <is>
          <t>2000A ASSISTENZA STRUMENTALE ATTIVITA SU TURBOGAS  (Vedi Allegato)</t>
        </is>
      </c>
      <c r="H23" s="111" t="n"/>
      <c r="I23" s="111" t="n"/>
      <c r="J23" s="111" t="n"/>
      <c r="K23" s="111" t="n"/>
      <c r="L23" s="111" t="n"/>
      <c r="M23" s="109" t="inlineStr">
        <is>
          <t>DA CHIUDERE</t>
        </is>
      </c>
      <c r="N23" s="109" t="n"/>
      <c r="O23" s="109" t="n"/>
      <c r="P23" s="109" t="n"/>
      <c r="Q23" s="109" t="n"/>
      <c r="R23" s="110" t="n"/>
      <c r="S23" s="110" t="n"/>
      <c r="T23" s="112">
        <f>IF(AND('Inserimento dati'!$B$3=$H$2, TabellaCTE[[#This Row],[LUN]]="X"), "X",IF(AND('Inserimento dati'!$B$3=$I$2, TabellaCTE[[#This Row],[MAR]]="X"), "X", IF(AND('Inserimento dati'!$B$3=$J$2, TabellaCTE[[#This Row],[MER]]="X"), "X",IF(AND('Inserimento dati'!$B$3=$K$2, TabellaCTE[[#This Row],[GIO]]="X"), "X", IF(AND('Inserimento dati'!$B$3=$L$2, TabellaCTE[[#This Row],[VEN]]="X"), "X","")))))</f>
        <v/>
      </c>
      <c r="U23" s="141">
        <f>IFERROR(MID(G23,_xlfn.AGGREGATE(15,6,(ROW(INDIRECT("1:"&amp;LEN(G23)-7)))/(ISNUMBER(--MID(G23,ROW(INDIRECT("1:"&amp;LEN(G23)-7)),8))),1),8),"")</f>
        <v/>
      </c>
      <c r="V23" t="inlineStr">
        <is>
          <t>2025-09-30 20:00:00</t>
        </is>
      </c>
    </row>
    <row r="24" ht="30" customFormat="1" customHeight="1" s="1">
      <c r="A24" s="112" t="n"/>
      <c r="B24" s="112">
        <f>IF(OR(A24="x",A24="X"),"",IF(ISBLANK(A24),"X",""))</f>
        <v/>
      </c>
      <c r="C24" s="112">
        <f>IF(OR(TabellaCTE[[#This Row],[LUN]]="X",TabellaCTE[[#This Row],[MAR]]="X",TabellaCTE[[#This Row],[MER]]="X",TabellaCTE[[#This Row],[GIO]]="X",TabellaCTE[[#This Row],[VEN]]="X",),"X","")</f>
        <v/>
      </c>
      <c r="D24" s="113" t="inlineStr">
        <is>
          <t>CTE</t>
        </is>
      </c>
      <c r="E24" s="109" t="inlineStr">
        <is>
          <t>535315/C</t>
        </is>
      </c>
      <c r="F24" s="109" t="n">
        <v>2600</v>
      </c>
      <c r="G24" s="109" t="inlineStr">
        <is>
          <t>2600 - PCV 953 SMONTAGGIO/RIMONTAGGIO PER REVISIONE VALVOLA</t>
        </is>
      </c>
      <c r="H24" s="111" t="n"/>
      <c r="I24" s="111" t="n"/>
      <c r="J24" s="111" t="n"/>
      <c r="K24" s="111" t="n"/>
      <c r="L24" s="111" t="n"/>
      <c r="M24" s="109" t="inlineStr">
        <is>
          <t>DA CHIUDERE</t>
        </is>
      </c>
      <c r="N24" s="109" t="n"/>
      <c r="O24" s="109" t="n"/>
      <c r="P24" s="109" t="n"/>
      <c r="Q24" s="109" t="inlineStr">
        <is>
          <t>VALVOLA SMONTATA E PORTATA IN OFFICINA SEDE</t>
        </is>
      </c>
      <c r="R24" s="110" t="n">
        <v>45813</v>
      </c>
      <c r="S24" s="109" t="inlineStr">
        <is>
          <t>CIANCHINO/GIGLIUTO</t>
        </is>
      </c>
      <c r="T24" s="112">
        <f>IF(AND('Inserimento dati'!$B$3=$H$2, TabellaCTE[[#This Row],[LUN]]="X"), "X",IF(AND('Inserimento dati'!$B$3=$I$2, TabellaCTE[[#This Row],[MAR]]="X"), "X", IF(AND('Inserimento dati'!$B$3=$J$2, TabellaCTE[[#This Row],[MER]]="X"), "X",IF(AND('Inserimento dati'!$B$3=$K$2, TabellaCTE[[#This Row],[GIO]]="X"), "X", IF(AND('Inserimento dati'!$B$3=$L$2, TabellaCTE[[#This Row],[VEN]]="X"), "X","")))))</f>
        <v/>
      </c>
      <c r="U24" s="141">
        <f>IFERROR(MID(G24,_xlfn.AGGREGATE(15,6,(ROW(INDIRECT("1:"&amp;LEN(G24)-7)))/(ISNUMBER(--MID(G24,ROW(INDIRECT("1:"&amp;LEN(G24)-7)),8))),1),8),"")</f>
        <v/>
      </c>
      <c r="V24" t="inlineStr">
        <is>
          <t>2025-09-30 20:00:00</t>
        </is>
      </c>
    </row>
    <row r="25" ht="30" customFormat="1" customHeight="1" s="1">
      <c r="A25" s="112" t="n"/>
      <c r="B25" s="112">
        <f>IF(OR(A25="x",A25="X"),"",IF(ISBLANK(A25),"X",""))</f>
        <v/>
      </c>
      <c r="C25" s="112">
        <f>IF(OR(TabellaCTE[[#This Row],[LUN]]="X",TabellaCTE[[#This Row],[MAR]]="X",TabellaCTE[[#This Row],[MER]]="X",TabellaCTE[[#This Row],[GIO]]="X",TabellaCTE[[#This Row],[VEN]]="X",),"X","")</f>
        <v/>
      </c>
      <c r="D25" s="113" t="inlineStr">
        <is>
          <t>CTE</t>
        </is>
      </c>
      <c r="E25" s="109" t="inlineStr">
        <is>
          <t>536461/C</t>
        </is>
      </c>
      <c r="F25" s="109" t="n">
        <v>2600</v>
      </c>
      <c r="G25" s="109" t="inlineStr">
        <is>
          <t xml:space="preserve">2600 - XV914 Smontaggio /Rimontaggio  valvola + smontaggio/rimontaggio valvola  manuale , movimentazione + controllo funzionale ed allineamento con sala controllo </t>
        </is>
      </c>
      <c r="H25" s="111" t="n"/>
      <c r="I25" s="111" t="n"/>
      <c r="J25" s="111" t="n"/>
      <c r="K25" s="111" t="n"/>
      <c r="L25" s="111" t="n"/>
      <c r="M25" s="109" t="inlineStr">
        <is>
          <t>DA CHIUDERE</t>
        </is>
      </c>
      <c r="N25" s="109" t="n"/>
      <c r="O25" s="109" t="n"/>
      <c r="P25" s="109" t="n"/>
      <c r="Q25" s="109" t="inlineStr">
        <is>
          <t xml:space="preserve">odc dedicato: 5400253751 </t>
        </is>
      </c>
      <c r="R25" s="110" t="n"/>
      <c r="S25" s="109" t="n"/>
      <c r="T25" s="115">
        <f>IF(AND('Inserimento dati'!$B$3=$H$2, TabellaCTE[[#This Row],[LUN]]="X"), "X",IF(AND('Inserimento dati'!$B$3=$I$2, TabellaCTE[[#This Row],[MAR]]="X"), "X", IF(AND('Inserimento dati'!$B$3=$J$2, TabellaCTE[[#This Row],[MER]]="X"), "X",IF(AND('Inserimento dati'!$B$3=$K$2, TabellaCTE[[#This Row],[GIO]]="X"), "X", IF(AND('Inserimento dati'!$B$3=$L$2, TabellaCTE[[#This Row],[VEN]]="X"), "X","")))))</f>
        <v/>
      </c>
      <c r="U25" s="141">
        <f>IFERROR(MID(G25,_xlfn.AGGREGATE(15,6,(ROW(INDIRECT("1:"&amp;LEN(G25)-7)))/(ISNUMBER(--MID(G25,ROW(INDIRECT("1:"&amp;LEN(G25)-7)),8))),1),8),"")</f>
        <v/>
      </c>
      <c r="V25" t="inlineStr">
        <is>
          <t>2025-09-30 20:00:00</t>
        </is>
      </c>
    </row>
    <row r="26" ht="23.25" customFormat="1" customHeight="1" s="1">
      <c r="A26" s="112" t="n"/>
      <c r="B26" s="112">
        <f>IF(OR(A26="x",A26="X"),"",IF(ISBLANK(A26),"X",""))</f>
        <v/>
      </c>
      <c r="C26" s="112">
        <f>IF(OR(TabellaCTE[[#This Row],[LUN]]="X",TabellaCTE[[#This Row],[MAR]]="X",TabellaCTE[[#This Row],[MER]]="X",TabellaCTE[[#This Row],[GIO]]="X",TabellaCTE[[#This Row],[VEN]]="X",),"X","")</f>
        <v/>
      </c>
      <c r="D26" s="113" t="inlineStr">
        <is>
          <t>CTE</t>
        </is>
      </c>
      <c r="E26" s="109" t="inlineStr">
        <is>
          <t>549306/C</t>
        </is>
      </c>
      <c r="F26" s="109" t="n">
        <v>2000</v>
      </c>
      <c r="G26" s="109" t="inlineStr">
        <is>
          <t>2000 - SG102 assistenza strumentale</t>
        </is>
      </c>
      <c r="H26" s="111" t="n"/>
      <c r="I26" s="111" t="n"/>
      <c r="J26" s="111" t="n"/>
      <c r="K26" s="111" t="n"/>
      <c r="L26" s="111" t="n"/>
      <c r="M26" s="109" t="inlineStr">
        <is>
          <t>EMESSO</t>
        </is>
      </c>
      <c r="N26" s="109" t="n"/>
      <c r="O26" s="109" t="n"/>
      <c r="P26" s="109" t="n"/>
      <c r="Q26" s="109" t="n"/>
      <c r="R26" s="110" t="n"/>
      <c r="S26" s="109" t="n"/>
      <c r="T26" s="128">
        <f>IF(AND('Inserimento dati'!$B$3=$H$2, TabellaCTE[[#This Row],[LUN]]="X"), "X",IF(AND('Inserimento dati'!$B$3=$I$2, TabellaCTE[[#This Row],[MAR]]="X"), "X", IF(AND('Inserimento dati'!$B$3=$J$2, TabellaCTE[[#This Row],[MER]]="X"), "X",IF(AND('Inserimento dati'!$B$3=$K$2, TabellaCTE[[#This Row],[GIO]]="X"), "X", IF(AND('Inserimento dati'!$B$3=$L$2, TabellaCTE[[#This Row],[VEN]]="X"), "X","")))))</f>
        <v/>
      </c>
      <c r="U26" s="162" t="n"/>
      <c r="V26" t="inlineStr">
        <is>
          <t>2025-09-30 20:00:00</t>
        </is>
      </c>
    </row>
    <row r="27" ht="45" customFormat="1" customHeight="1" s="1">
      <c r="A27" s="112" t="n"/>
      <c r="B27" s="112">
        <f>IF(OR(A27="x",A27="X"),"",IF(ISBLANK(A27),"X",""))</f>
        <v/>
      </c>
      <c r="C27" s="112">
        <f>IF(OR(TabellaCTE[[#This Row],[LUN]]="X",TabellaCTE[[#This Row],[MAR]]="X",TabellaCTE[[#This Row],[MER]]="X",TabellaCTE[[#This Row],[GIO]]="X",TabellaCTE[[#This Row],[VEN]]="X",),"X","")</f>
        <v/>
      </c>
      <c r="D27" s="113" t="inlineStr">
        <is>
          <t>CTE</t>
        </is>
      </c>
      <c r="E27" s="109" t="inlineStr">
        <is>
          <t>545401/C</t>
        </is>
      </c>
      <c r="F27" s="109" t="inlineStr">
        <is>
          <t>2000A</t>
        </is>
      </c>
      <c r="G27" s="109" t="inlineStr">
        <is>
          <t>2000A TDE 001T VM15-1 (TIC 001 TEMPERATURA USCITA E201) BLOCCAGGIO MECCANICO STELO E SUCCESSIVO SMONTAGGIO/RIMONTAGGIO RIDUTTORE PER REVISIONE DELLO STESSO</t>
        </is>
      </c>
      <c r="H27" s="111" t="n"/>
      <c r="I27" s="111" t="n"/>
      <c r="J27" s="111" t="n"/>
      <c r="K27" s="111" t="n"/>
      <c r="L27" s="111" t="n"/>
      <c r="M27" s="109" t="inlineStr">
        <is>
          <t>EMESSO</t>
        </is>
      </c>
      <c r="N27" s="109" t="n"/>
      <c r="O27" s="109" t="n"/>
      <c r="P27" s="109" t="n"/>
      <c r="Q27" s="109" t="n"/>
      <c r="R27" s="110" t="n"/>
      <c r="S27" s="109" t="n"/>
      <c r="T27" s="128">
        <f>IF(AND('Inserimento dati'!$B$3=$H$2, TabellaCTE[[#This Row],[LUN]]="X"), "X",IF(AND('Inserimento dati'!$B$3=$I$2, TabellaCTE[[#This Row],[MAR]]="X"), "X", IF(AND('Inserimento dati'!$B$3=$J$2, TabellaCTE[[#This Row],[MER]]="X"), "X",IF(AND('Inserimento dati'!$B$3=$K$2, TabellaCTE[[#This Row],[GIO]]="X"), "X", IF(AND('Inserimento dati'!$B$3=$L$2, TabellaCTE[[#This Row],[VEN]]="X"), "X","")))))</f>
        <v/>
      </c>
      <c r="U27" s="162" t="n"/>
      <c r="V27" t="inlineStr">
        <is>
          <t>2025-09-30 20:00:00</t>
        </is>
      </c>
    </row>
    <row r="28" ht="30" customFormat="1" customHeight="1" s="1">
      <c r="A28" s="112" t="n"/>
      <c r="B28" s="112">
        <f>IF(OR(A28="x",A28="X"),"",IF(ISBLANK(A28),"X",""))</f>
        <v/>
      </c>
      <c r="C28" s="112">
        <f>IF(OR(TabellaCTE[[#This Row],[LUN]]="X",TabellaCTE[[#This Row],[MAR]]="X",TabellaCTE[[#This Row],[MER]]="X",TabellaCTE[[#This Row],[GIO]]="X",TabellaCTE[[#This Row],[VEN]]="X",),"X","")</f>
        <v/>
      </c>
      <c r="D28" s="113" t="inlineStr">
        <is>
          <t>CTE</t>
        </is>
      </c>
      <c r="E28" s="109" t="inlineStr">
        <is>
          <t>540767/C</t>
        </is>
      </c>
      <c r="F28" s="109" t="inlineStr">
        <is>
          <t>2000A</t>
        </is>
      </c>
      <c r="G28" s="109" t="inlineStr">
        <is>
          <t xml:space="preserve">2000A-0-TurboGas ( comparto olio ) sostituzione MOOG PM1;PM2;PM3;PM4;VSR1  + controllo funzionale valvole ed allineamento con sala controllo </t>
        </is>
      </c>
      <c r="H28" s="111" t="n"/>
      <c r="I28" s="111" t="n"/>
      <c r="J28" s="111" t="n"/>
      <c r="K28" s="111" t="n"/>
      <c r="L28" s="111" t="n"/>
      <c r="M28" s="109" t="inlineStr">
        <is>
          <t>EMESSO</t>
        </is>
      </c>
      <c r="N28" s="109" t="n"/>
      <c r="O28" s="109" t="n"/>
      <c r="P28" s="109" t="n"/>
      <c r="Q28" s="109" t="n"/>
      <c r="R28" s="110" t="n"/>
      <c r="S28" s="109" t="n"/>
      <c r="T28" s="128">
        <f>IF(AND('Inserimento dati'!$B$3=$H$2, TabellaCTE[[#This Row],[LUN]]="X"), "X",IF(AND('Inserimento dati'!$B$3=$I$2, TabellaCTE[[#This Row],[MAR]]="X"), "X", IF(AND('Inserimento dati'!$B$3=$J$2, TabellaCTE[[#This Row],[MER]]="X"), "X",IF(AND('Inserimento dati'!$B$3=$K$2, TabellaCTE[[#This Row],[GIO]]="X"), "X", IF(AND('Inserimento dati'!$B$3=$L$2, TabellaCTE[[#This Row],[VEN]]="X"), "X","")))))</f>
        <v/>
      </c>
      <c r="U28" s="143">
        <f>IFERROR(MID(G28,_xlfn.AGGREGATE(15,6,(ROW(INDIRECT("1:"&amp;LEN(G28)-7)))/(ISNUMBER(--MID(G28,ROW(INDIRECT("1:"&amp;LEN(G28)-7)),8))),1),8),"")</f>
        <v/>
      </c>
      <c r="V28" t="inlineStr">
        <is>
          <t>2025-09-30 20:00:00</t>
        </is>
      </c>
    </row>
    <row r="29" ht="30" customHeight="1" s="122">
      <c r="A29" s="112" t="n"/>
      <c r="B29" s="112">
        <f>IF(OR(A29="x",A29="X"),"",IF(ISBLANK(A29),"X",""))</f>
        <v/>
      </c>
      <c r="C29" s="112">
        <f>IF(OR(TabellaCTE[[#This Row],[LUN]]="X",TabellaCTE[[#This Row],[MAR]]="X",TabellaCTE[[#This Row],[MER]]="X",TabellaCTE[[#This Row],[GIO]]="X",TabellaCTE[[#This Row],[VEN]]="X",),"X","")</f>
        <v/>
      </c>
      <c r="D29" s="113" t="inlineStr">
        <is>
          <t>CTE</t>
        </is>
      </c>
      <c r="E29" s="109" t="inlineStr">
        <is>
          <t>540740/C</t>
        </is>
      </c>
      <c r="F29" s="109" t="inlineStr">
        <is>
          <t>2000A</t>
        </is>
      </c>
      <c r="G29" s="109" t="inlineStr">
        <is>
          <t xml:space="preserve">2000A-0-P701CV Smontaggio /Rimontaggio bonnet valvola per pulizia gabbia + controllo funzionale ed allineamento con sala controllo </t>
        </is>
      </c>
      <c r="H29" s="111" t="n"/>
      <c r="I29" s="111" t="n"/>
      <c r="J29" s="111" t="n"/>
      <c r="K29" s="111" t="n"/>
      <c r="L29" s="111" t="n"/>
      <c r="M29" s="109" t="inlineStr">
        <is>
          <t>EMESSO</t>
        </is>
      </c>
      <c r="N29" s="109" t="n"/>
      <c r="O29" s="109" t="n"/>
      <c r="P29" s="109" t="n"/>
      <c r="Q29" s="109" t="inlineStr">
        <is>
          <t>ODC DEDICATO: 5400256149 PROGRAMMATO TCL TGO DAL 23 AL 27/06</t>
        </is>
      </c>
      <c r="R29" s="110" t="n"/>
      <c r="S29" s="109" t="n"/>
      <c r="T29" s="114">
        <f>IF(AND('Inserimento dati'!$B$3=$H$2, TabellaCTE[[#This Row],[LUN]]="X"), "X",IF(AND('Inserimento dati'!$B$3=$I$2, TabellaCTE[[#This Row],[MAR]]="X"), "X", IF(AND('Inserimento dati'!$B$3=$J$2, TabellaCTE[[#This Row],[MER]]="X"), "X",IF(AND('Inserimento dati'!$B$3=$K$2, TabellaCTE[[#This Row],[GIO]]="X"), "X", IF(AND('Inserimento dati'!$B$3=$L$2, TabellaCTE[[#This Row],[VEN]]="X"), "X","")))))</f>
        <v/>
      </c>
      <c r="U29" s="143">
        <f>IFERROR(MID(G29,_xlfn.AGGREGATE(15,6,(ROW(INDIRECT("1:"&amp;LEN(G29)-7)))/(ISNUMBER(--MID(G29,ROW(INDIRECT("1:"&amp;LEN(G29)-7)),8))),1),8),"")</f>
        <v/>
      </c>
      <c r="V29" t="inlineStr">
        <is>
          <t>2025-09-30 20:00:00</t>
        </is>
      </c>
    </row>
    <row r="30" ht="23.25" customHeight="1" s="122">
      <c r="A30" s="63" t="n"/>
      <c r="B30" s="63" t="n"/>
      <c r="C30" s="63" t="n"/>
      <c r="E30" s="179" t="n"/>
      <c r="F30" s="179" t="inlineStr">
        <is>
          <t xml:space="preserve"> </t>
        </is>
      </c>
      <c r="G30" s="179" t="n"/>
      <c r="H30" s="55" t="n"/>
      <c r="I30" s="55" t="n"/>
      <c r="J30" s="55" t="n"/>
      <c r="K30" s="55" t="n"/>
      <c r="L30" s="56" t="n"/>
      <c r="M30" s="187" t="n"/>
      <c r="N30" s="65" t="n"/>
      <c r="O30" s="65" t="n"/>
      <c r="P30" s="65" t="n"/>
      <c r="Q30" s="65" t="n"/>
      <c r="R30" s="65" t="n"/>
      <c r="S30" s="65" t="n"/>
      <c r="T30" s="66" t="n"/>
      <c r="V30" t="inlineStr">
        <is>
          <t>2025-09-30 20:00:00</t>
        </is>
      </c>
    </row>
    <row r="31"/>
    <row r="32"/>
    <row r="33"/>
    <row r="34">
      <c r="D34" s="7" t="n"/>
    </row>
  </sheetData>
  <mergeCells count="2">
    <mergeCell ref="A1:D1"/>
    <mergeCell ref="N2:P2"/>
  </mergeCells>
  <conditionalFormatting sqref="E7:G7 M7:S7">
    <cfRule type="expression" priority="19" dxfId="60">
      <formula>SEARCH("IN CORSO",$M7)&gt;0</formula>
    </cfRule>
    <cfRule type="expression" priority="20" dxfId="59">
      <formula>SEARCH("CHIUSO",$M7)&gt;0</formula>
    </cfRule>
    <cfRule type="expression" priority="21" dxfId="58">
      <formula>SEARCH("EMESSO",$M7)&gt;0</formula>
    </cfRule>
    <cfRule type="expression" priority="22" dxfId="57">
      <formula>SEARCH("RICHIESTO",$M7)&gt;0</formula>
    </cfRule>
    <cfRule type="expression" priority="23" dxfId="56">
      <formula>SEARCH("DA CHIUDERE",$M7)&gt;0</formula>
    </cfRule>
    <cfRule type="expression" priority="24" dxfId="55">
      <formula>SEARCH("INTERROTTO",$M7)&gt;0</formula>
    </cfRule>
  </conditionalFormatting>
  <conditionalFormatting sqref="E9:G29 M9:S29">
    <cfRule type="expression" priority="31" dxfId="60">
      <formula>SEARCH("IN CORSO",$M9)&gt;0</formula>
    </cfRule>
    <cfRule type="expression" priority="32" dxfId="59">
      <formula>SEARCH("CHIUSO",$M9)&gt;0</formula>
    </cfRule>
    <cfRule type="expression" priority="33" dxfId="58">
      <formula>SEARCH("EMESSO",$M9)&gt;0</formula>
    </cfRule>
    <cfRule type="expression" priority="34" dxfId="57">
      <formula>SEARCH("RICHIESTO",$M9)&gt;0</formula>
    </cfRule>
    <cfRule type="expression" priority="35" dxfId="56">
      <formula>SEARCH("DA CHIUDERE",$M9)&gt;0</formula>
    </cfRule>
    <cfRule type="expression" priority="36" dxfId="55">
      <formula>SEARCH("INTERROTTO",$M9)&gt;0</formula>
    </cfRule>
  </conditionalFormatting>
  <conditionalFormatting sqref="E8:G8 M8:S8">
    <cfRule type="expression" priority="25" dxfId="60">
      <formula>SEARCH("IN CORSO",$M8)&gt;0</formula>
    </cfRule>
    <cfRule type="expression" priority="26" dxfId="59">
      <formula>SEARCH("CHIUSO",$M8)&gt;0</formula>
    </cfRule>
    <cfRule type="expression" priority="27" dxfId="58">
      <formula>SEARCH("EMESSO",$M8)&gt;0</formula>
    </cfRule>
    <cfRule type="expression" priority="28" dxfId="57">
      <formula>SEARCH("RICHIESTO",$M8)&gt;0</formula>
    </cfRule>
    <cfRule type="expression" priority="29" dxfId="56">
      <formula>SEARCH("DA CHIUDERE",$M8)&gt;0</formula>
    </cfRule>
    <cfRule type="expression" priority="30" dxfId="55">
      <formula>SEARCH("INTERROTTO",$M8)&gt;0</formula>
    </cfRule>
  </conditionalFormatting>
  <conditionalFormatting sqref="E6:G6 M6:S6">
    <cfRule type="expression" priority="13" dxfId="60">
      <formula>SEARCH("IN CORSO",$M6)&gt;0</formula>
    </cfRule>
    <cfRule type="expression" priority="14" dxfId="59">
      <formula>SEARCH("CHIUSO",$M6)&gt;0</formula>
    </cfRule>
    <cfRule type="expression" priority="15" dxfId="58">
      <formula>SEARCH("EMESSO",$M6)&gt;0</formula>
    </cfRule>
    <cfRule type="expression" priority="16" dxfId="57">
      <formula>SEARCH("RICHIESTO",$M6)&gt;0</formula>
    </cfRule>
    <cfRule type="expression" priority="17" dxfId="56">
      <formula>SEARCH("DA CHIUDERE",$M6)&gt;0</formula>
    </cfRule>
    <cfRule type="expression" priority="18" dxfId="55">
      <formula>SEARCH("INTERROTTO",$M6)&gt;0</formula>
    </cfRule>
  </conditionalFormatting>
  <conditionalFormatting sqref="E5:G5 M5:S5">
    <cfRule type="expression" priority="7" dxfId="60">
      <formula>SEARCH("IN CORSO",$M5)&gt;0</formula>
    </cfRule>
    <cfRule type="expression" priority="8" dxfId="59">
      <formula>SEARCH("CHIUSO",$M5)&gt;0</formula>
    </cfRule>
    <cfRule type="expression" priority="9" dxfId="58">
      <formula>SEARCH("EMESSO",$M5)&gt;0</formula>
    </cfRule>
    <cfRule type="expression" priority="10" dxfId="57">
      <formula>SEARCH("RICHIESTO",$M5)&gt;0</formula>
    </cfRule>
    <cfRule type="expression" priority="11" dxfId="56">
      <formula>SEARCH("DA CHIUDERE",$M5)&gt;0</formula>
    </cfRule>
    <cfRule type="expression" priority="12" dxfId="55">
      <formula>SEARCH("INTERROTTO",$M5)&gt;0</formula>
    </cfRule>
  </conditionalFormatting>
  <conditionalFormatting sqref="E4:G4 M4:S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2">
    <dataValidation sqref="M10:M29" showDropDown="0" showInputMessage="1" showErrorMessage="1" allowBlank="1" type="list">
      <formula1>"RICHIESTO,EMESSO,IN CORSO,INTERROTTO,DA CHIUDERE,SCADUTO,CHIUSO,"</formula1>
    </dataValidation>
    <dataValidation sqref="M9" showDropDown="0" showInputMessage="0" showErrorMessage="0" allowBlank="1" type="list">
      <formula1>"RICHIESTO,EMESSO,IN CORSO,INTERROTTO,DA CHIUDERE,SCADUTO,CHIUSO,"</formula1>
    </dataValidation>
  </dataValidations>
  <pageMargins left="0.7086614173228347" right="0.7086614173228347" top="0.7480314960629921" bottom="0.7480314960629921" header="0.3149606299212598" footer="0.3149606299212598"/>
  <pageSetup orientation="landscape" paperSize="9" scale="78"/>
  <drawing xmlns:r="http://schemas.openxmlformats.org/officeDocument/2006/relationships" r:id="rId1"/>
  <legacyDrawing xmlns:r="http://schemas.openxmlformats.org/officeDocument/2006/relationships" r:id="anysvml"/>
  <tableParts count="1">
    <tablePart xmlns:r="http://schemas.openxmlformats.org/officeDocument/2006/relationships" r:id="rId2"/>
  </tableParts>
</worksheet>
</file>

<file path=xl/worksheets/sheet5.xml><?xml version="1.0" encoding="utf-8"?>
<worksheet xmlns="http://schemas.openxmlformats.org/spreadsheetml/2006/main">
  <sheetPr codeName="Foglio5">
    <tabColor theme="3"/>
    <outlinePr summaryBelow="1" summaryRight="1"/>
    <pageSetUpPr fitToPage="1"/>
  </sheetPr>
  <dimension ref="A1:V182"/>
  <sheetViews>
    <sheetView topLeftCell="E4" workbookViewId="0">
      <selection activeCell="A4" sqref="A4:U182"/>
    </sheetView>
  </sheetViews>
  <sheetFormatPr baseColWidth="8" defaultColWidth="7.75" defaultRowHeight="15"/>
  <cols>
    <col width="3.125" customWidth="1" style="6" min="1" max="1"/>
    <col width="3.125" customWidth="1" style="1" min="2" max="2"/>
    <col width="3.125" customWidth="1" style="7" min="3" max="3"/>
    <col width="9"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6"/>
    <col width="55.625" customWidth="1" style="10" min="17" max="17"/>
    <col width="13.625" bestFit="1" customWidth="1" style="10" min="18" max="18"/>
    <col width="13.125" customWidth="1" style="10" min="19" max="19"/>
    <col width="3.125" customWidth="1" style="10" min="20" max="20"/>
    <col width="7.75" customWidth="1" style="10" min="21" max="16384"/>
  </cols>
  <sheetData>
    <row r="1" ht="128.1" customHeight="1" s="122">
      <c r="A1" s="188" t="n"/>
      <c r="G1" s="13" t="n"/>
      <c r="L1" s="38" t="n"/>
      <c r="M1" s="62" t="inlineStr">
        <is>
          <t>FILTRA PDL</t>
        </is>
      </c>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row>
    <row r="3" ht="38.25" customFormat="1" customHeight="1" s="45">
      <c r="A3" s="26" t="inlineStr">
        <is>
          <t>FERM</t>
        </is>
      </c>
      <c r="B3" s="34" t="inlineStr">
        <is>
          <t>MANUT</t>
        </is>
      </c>
      <c r="C3" s="30" t="inlineStr">
        <is>
          <t>PS</t>
        </is>
      </c>
      <c r="D3" s="30" t="inlineStr">
        <is>
          <t xml:space="preserve">AREA </t>
        </is>
      </c>
      <c r="E3" s="30" t="inlineStr">
        <is>
          <t>PdL</t>
        </is>
      </c>
      <c r="F3" s="30"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121" t="inlineStr">
        <is>
          <t>STATO
ATTIVITA'</t>
        </is>
      </c>
      <c r="R3" s="18" t="inlineStr">
        <is>
          <t>DATA
CONTROLLO</t>
        </is>
      </c>
      <c r="S3" s="121" t="inlineStr">
        <is>
          <t>PERSONALE
IMPIEGATO</t>
        </is>
      </c>
      <c r="T3" s="121" t="inlineStr">
        <is>
          <t>PO</t>
        </is>
      </c>
      <c r="U3" s="121" t="inlineStr">
        <is>
          <t>AVVISO</t>
        </is>
      </c>
      <c r="V3" t="inlineStr">
        <is>
          <t>DataUltimaModifica</t>
        </is>
      </c>
    </row>
    <row r="4" ht="45" customFormat="1" customHeight="1" s="45">
      <c r="A4" s="112" t="n"/>
      <c r="B4" s="112" t="n"/>
      <c r="C4" s="112">
        <f>IF(OR(TabellaBLENDING[[#This Row],[LUN]]="X",TabellaBLENDING[[#This Row],[MAR]]="X",TabellaBLENDING[[#This Row],[MER]]="X",TabellaBLENDING[[#This Row],[GIO]]="X",TabellaBLENDING[[#This Row],[VEN]]="X",),"X","")</f>
        <v/>
      </c>
      <c r="D4" s="109" t="inlineStr">
        <is>
          <t>BLENDING</t>
        </is>
      </c>
      <c r="E4" s="109" t="inlineStr">
        <is>
          <t>545751/C</t>
        </is>
      </c>
      <c r="F4" s="109" t="inlineStr">
        <is>
          <t>Pontile</t>
        </is>
      </c>
      <c r="G4" s="109" t="inlineStr">
        <is>
          <t>10227902  PONTILE CONTROLLO LIVELLI SLOOP PIATTAFORMA 1 LT102A</t>
        </is>
      </c>
      <c r="H4" s="111" t="n"/>
      <c r="I4" s="111" t="n"/>
      <c r="J4" s="111" t="n"/>
      <c r="K4" s="111" t="n"/>
      <c r="L4" s="111" t="n"/>
      <c r="M4" s="109" t="inlineStr">
        <is>
          <t>DA CHIUDERE</t>
        </is>
      </c>
      <c r="N4" s="109" t="n"/>
      <c r="O4" s="109" t="n"/>
      <c r="P4" s="109" t="n"/>
      <c r="Q4" s="109" t="inlineStr">
        <is>
          <t>livello radar: l'alimentazione si scollega a causa delle alte temperature. È necessario un intervento dei meccanici per la pulizia del tubo di calma</t>
        </is>
      </c>
      <c r="R4" s="110" t="n">
        <v>45863</v>
      </c>
      <c r="S4" s="110" t="inlineStr">
        <is>
          <t>MILLO</t>
        </is>
      </c>
      <c r="T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1" t="n"/>
      <c r="V4" t="inlineStr">
        <is>
          <t>2025-09-30 20:00:00</t>
        </is>
      </c>
    </row>
    <row r="5" ht="30" customFormat="1" customHeight="1" s="45">
      <c r="A5" s="112" t="n"/>
      <c r="B5" s="112">
        <f>IF(OR(A5="x",A5="X"),"",IF(ISBLANK(A5),"X",""))</f>
        <v/>
      </c>
      <c r="C5" s="112">
        <f>IF(OR(TabellaBLENDING[[#This Row],[LUN]]="X",TabellaBLENDING[[#This Row],[MAR]]="X",TabellaBLENDING[[#This Row],[MER]]="X",TabellaBLENDING[[#This Row],[GIO]]="X",TabellaBLENDING[[#This Row],[VEN]]="X",),"X","")</f>
        <v/>
      </c>
      <c r="D5" s="109" t="inlineStr">
        <is>
          <t>BLENDING</t>
        </is>
      </c>
      <c r="E5" s="109" t="inlineStr">
        <is>
          <t>539429/C</t>
        </is>
      </c>
      <c r="F5" s="109" t="inlineStr">
        <is>
          <t>BLENDING</t>
        </is>
      </c>
      <c r="G5" s="109" t="inlineStr">
        <is>
          <t>Verifica funzionalità livellostato L609HA</t>
        </is>
      </c>
      <c r="H5" s="111" t="n"/>
      <c r="I5" s="111" t="n"/>
      <c r="J5" s="111" t="n"/>
      <c r="K5" s="111" t="n"/>
      <c r="L5" s="111" t="n"/>
      <c r="M5" s="109" t="inlineStr">
        <is>
          <t>DA CHIUDERE</t>
        </is>
      </c>
      <c r="N5" s="109" t="n"/>
      <c r="O5" s="109" t="n"/>
      <c r="P5" s="109" t="n"/>
      <c r="Q5" s="109" t="n"/>
      <c r="R5" s="110" t="n"/>
      <c r="S5" s="110" t="n"/>
      <c r="T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9">
        <f>IFERROR(MID(G5,_xlfn.AGGREGATE(15,6,(ROW(INDIRECT("1:"&amp;LEN(G5)-7)))/(ISNUMBER(--MID(G5,ROW(INDIRECT("1:"&amp;LEN(G5)-7)),8))),1),8),"")</f>
        <v/>
      </c>
      <c r="V5" t="inlineStr">
        <is>
          <t>2025-09-30 20:00:00</t>
        </is>
      </c>
    </row>
    <row r="6" ht="30" customFormat="1" customHeight="1" s="45">
      <c r="A6" s="112" t="n"/>
      <c r="B6" s="112">
        <f>IF(OR(A6="x",A6="X"),"",IF(ISBLANK(A6),"X",""))</f>
        <v/>
      </c>
      <c r="C6" s="112">
        <f>IF(OR(TabellaBLENDING[[#This Row],[LUN]]="X",TabellaBLENDING[[#This Row],[MAR]]="X",TabellaBLENDING[[#This Row],[MER]]="X",TabellaBLENDING[[#This Row],[GIO]]="X",TabellaBLENDING[[#This Row],[VEN]]="X",),"X","")</f>
        <v/>
      </c>
      <c r="D6" s="109" t="inlineStr">
        <is>
          <t>BLENDING</t>
        </is>
      </c>
      <c r="E6" s="109" t="inlineStr">
        <is>
          <t>533533/C</t>
        </is>
      </c>
      <c r="F6" s="109" t="n">
        <v>6500</v>
      </c>
      <c r="G6" s="109" t="inlineStr">
        <is>
          <t xml:space="preserve">apertura cassetta ADF per sostituzione scheda PLC a cura Automation Service e successiva chiusura cassetta </t>
        </is>
      </c>
      <c r="H6" s="111" t="n"/>
      <c r="I6" s="111" t="n"/>
      <c r="J6" s="111" t="n"/>
      <c r="K6" s="111" t="n"/>
      <c r="L6" s="111" t="n"/>
      <c r="M6" s="109" t="inlineStr">
        <is>
          <t>DA CHIUDERE</t>
        </is>
      </c>
      <c r="N6" s="109" t="n"/>
      <c r="O6" s="109" t="n"/>
      <c r="P6" s="109" t="n"/>
      <c r="Q6" s="109" t="inlineStr">
        <is>
          <t>RIPRISTINATA FUNZIONALITA'</t>
        </is>
      </c>
      <c r="R6" s="110" t="n">
        <v>45763</v>
      </c>
      <c r="S6" s="110" t="inlineStr">
        <is>
          <t>MILLO</t>
        </is>
      </c>
      <c r="T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9">
        <f>IFERROR(MID(G6,_xlfn.AGGREGATE(15,6,(ROW(INDIRECT("1:"&amp;LEN(G6)-7)))/(ISNUMBER(--MID(G6,ROW(INDIRECT("1:"&amp;LEN(G6)-7)),8))),1),8),"")</f>
        <v/>
      </c>
      <c r="V6" t="inlineStr">
        <is>
          <t>2025-09-30 20:00:00</t>
        </is>
      </c>
    </row>
    <row r="7" ht="23.25" customFormat="1" customHeight="1" s="45">
      <c r="A7" s="112" t="n"/>
      <c r="B7" s="112">
        <f>IF(OR(A7="x",A7="X"),"",IF(ISBLANK(A7),"X",""))</f>
        <v/>
      </c>
      <c r="C7" s="112">
        <f>IF(OR(TabellaBLENDING[[#This Row],[LUN]]="X",TabellaBLENDING[[#This Row],[MAR]]="X",TabellaBLENDING[[#This Row],[MER]]="X",TabellaBLENDING[[#This Row],[GIO]]="X",TabellaBLENDING[[#This Row],[VEN]]="X",),"X","")</f>
        <v/>
      </c>
      <c r="D7" s="109" t="inlineStr">
        <is>
          <t>BLENDING</t>
        </is>
      </c>
      <c r="E7" s="109" t="inlineStr">
        <is>
          <t>533928/C</t>
        </is>
      </c>
      <c r="F7" s="109" t="n">
        <v>6500</v>
      </c>
      <c r="G7" s="109" t="inlineStr">
        <is>
          <t>Controllo e ripristino funzionalit valvola</t>
        </is>
      </c>
      <c r="H7" s="111" t="n"/>
      <c r="I7" s="111" t="n"/>
      <c r="J7" s="111" t="n"/>
      <c r="K7" s="111" t="n"/>
      <c r="L7" s="111" t="n"/>
      <c r="M7" s="109" t="inlineStr">
        <is>
          <t>DA CHIUDERE</t>
        </is>
      </c>
      <c r="N7" s="109" t="n"/>
      <c r="O7" s="109" t="n"/>
      <c r="P7" s="109" t="n"/>
      <c r="Q7" s="109" t="inlineStr">
        <is>
          <t>RIPRISTINATA FUNZIONALITA'</t>
        </is>
      </c>
      <c r="R7" s="110" t="n">
        <v>45769</v>
      </c>
      <c r="S7" s="110" t="inlineStr">
        <is>
          <t>GARRO</t>
        </is>
      </c>
      <c r="T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9">
        <f>IFERROR(MID(G7,_xlfn.AGGREGATE(15,6,(ROW(INDIRECT("1:"&amp;LEN(G7)-7)))/(ISNUMBER(--MID(G7,ROW(INDIRECT("1:"&amp;LEN(G7)-7)),8))),1),8),"")</f>
        <v/>
      </c>
      <c r="V7" t="inlineStr">
        <is>
          <t>2025-09-30 20:00:00</t>
        </is>
      </c>
    </row>
    <row r="8" ht="23.25" customFormat="1" customHeight="1" s="45">
      <c r="A8" s="112" t="n"/>
      <c r="B8" s="112">
        <f>IF(OR(A8="x",A8="X"),"",IF(ISBLANK(A8),"X",""))</f>
        <v/>
      </c>
      <c r="C8" s="112">
        <f>IF(OR(TabellaBLENDING[[#This Row],[LUN]]="X",TabellaBLENDING[[#This Row],[MAR]]="X",TabellaBLENDING[[#This Row],[MER]]="X",TabellaBLENDING[[#This Row],[GIO]]="X",TabellaBLENDING[[#This Row],[VEN]]="X",),"X","")</f>
        <v/>
      </c>
      <c r="D8" s="109" t="inlineStr">
        <is>
          <t>BLENDING</t>
        </is>
      </c>
      <c r="E8" s="109" t="inlineStr">
        <is>
          <t>537441/C</t>
        </is>
      </c>
      <c r="F8" s="109" t="n">
        <v>6500</v>
      </c>
      <c r="G8" s="109" t="inlineStr">
        <is>
          <t>Revisione attuatore pneumatico XV BR41</t>
        </is>
      </c>
      <c r="H8" s="111" t="n"/>
      <c r="I8" s="111" t="n"/>
      <c r="J8" s="111" t="n"/>
      <c r="K8" s="111" t="n"/>
      <c r="L8" s="111" t="n"/>
      <c r="M8" s="109" t="inlineStr">
        <is>
          <t>DA CHIUDERE</t>
        </is>
      </c>
      <c r="N8" s="109" t="n"/>
      <c r="O8" s="109" t="n"/>
      <c r="P8" s="109" t="n"/>
      <c r="Q8" s="109" t="inlineStr">
        <is>
          <t>RIPRISTINATA FUNZIONALITA'</t>
        </is>
      </c>
      <c r="R8" s="110" t="n">
        <v>45797</v>
      </c>
      <c r="S8" s="110" t="inlineStr">
        <is>
          <t>RICIPUTO</t>
        </is>
      </c>
      <c r="T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9">
        <f>IFERROR(MID(G8,_xlfn.AGGREGATE(15,6,(ROW(INDIRECT("1:"&amp;LEN(G8)-7)))/(ISNUMBER(--MID(G8,ROW(INDIRECT("1:"&amp;LEN(G8)-7)),8))),1),8),"")</f>
        <v/>
      </c>
      <c r="V8" t="inlineStr">
        <is>
          <t>2025-09-30 20:00:00</t>
        </is>
      </c>
    </row>
    <row r="9" ht="30" customFormat="1" customHeight="1" s="45">
      <c r="A9" s="112" t="n"/>
      <c r="B9" s="112">
        <f>IF(OR(A9="x",A9="X"),"",IF(ISBLANK(A9),"X",""))</f>
        <v/>
      </c>
      <c r="C9" s="112">
        <f>IF(OR(TabellaBLENDING[[#This Row],[LUN]]="X",TabellaBLENDING[[#This Row],[MAR]]="X",TabellaBLENDING[[#This Row],[MER]]="X",TabellaBLENDING[[#This Row],[GIO]]="X",TabellaBLENDING[[#This Row],[VEN]]="X",),"X","")</f>
        <v/>
      </c>
      <c r="D9" s="109" t="inlineStr">
        <is>
          <t>BLENDING</t>
        </is>
      </c>
      <c r="E9" s="109" t="inlineStr">
        <is>
          <t>538843/C</t>
        </is>
      </c>
      <c r="F9" s="109" t="n">
        <v>4500</v>
      </c>
      <c r="G9" s="109" t="inlineStr">
        <is>
          <t>messa in servizio valvola regolatrice  PCV-008_A + collegamento barilotto aria strumentale</t>
        </is>
      </c>
      <c r="H9" s="111" t="n"/>
      <c r="I9" s="111" t="n"/>
      <c r="J9" s="111" t="n"/>
      <c r="K9" s="111" t="n"/>
      <c r="L9" s="111" t="n"/>
      <c r="M9" s="109" t="inlineStr">
        <is>
          <t>DA CHIUDERE</t>
        </is>
      </c>
      <c r="N9" s="109" t="n"/>
      <c r="O9" s="109" t="n"/>
      <c r="P9" s="109" t="n"/>
      <c r="Q9" s="109" t="inlineStr">
        <is>
          <t>RIPRISTINATA FUNZIONALITA'</t>
        </is>
      </c>
      <c r="R9" s="110" t="n">
        <v>45806</v>
      </c>
      <c r="S9" s="110" t="inlineStr">
        <is>
          <t>MILLO</t>
        </is>
      </c>
      <c r="T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9">
        <f>IFERROR(MID(G9,_xlfn.AGGREGATE(15,6,(ROW(INDIRECT("1:"&amp;LEN(G9)-7)))/(ISNUMBER(--MID(G9,ROW(INDIRECT("1:"&amp;LEN(G9)-7)),8))),1),8),"")</f>
        <v/>
      </c>
      <c r="V9" t="inlineStr">
        <is>
          <t>2025-09-30 20:00:00</t>
        </is>
      </c>
    </row>
    <row r="10" ht="30" customFormat="1" customHeight="1" s="45">
      <c r="A10" s="112" t="n"/>
      <c r="B10" s="112">
        <f>IF(OR(A10="x",A10="X"),"",IF(ISBLANK(A10),"X",""))</f>
        <v/>
      </c>
      <c r="C10" s="112">
        <f>IF(OR(TabellaBLENDING[[#This Row],[LUN]]="X",TabellaBLENDING[[#This Row],[MAR]]="X",TabellaBLENDING[[#This Row],[MER]]="X",TabellaBLENDING[[#This Row],[GIO]]="X",TabellaBLENDING[[#This Row],[VEN]]="X",),"X","")</f>
        <v/>
      </c>
      <c r="D10" s="109" t="inlineStr">
        <is>
          <t>BLENDING</t>
        </is>
      </c>
      <c r="E10" s="109" t="inlineStr">
        <is>
          <t>313874/S</t>
        </is>
      </c>
      <c r="F10" s="109" t="inlineStr">
        <is>
          <t>BLENDING</t>
        </is>
      </c>
      <c r="G10" s="109" t="inlineStr">
        <is>
          <t>BLENDING - Ripristino gruppo manometrico mandata pompa P320B</t>
        </is>
      </c>
      <c r="H10" s="111" t="n"/>
      <c r="I10" s="111" t="n"/>
      <c r="J10" s="111" t="n"/>
      <c r="K10" s="111" t="n"/>
      <c r="L10" s="111" t="n"/>
      <c r="M10" s="109" t="inlineStr">
        <is>
          <t>DA CHIUDERE</t>
        </is>
      </c>
      <c r="N10" s="109" t="n"/>
      <c r="O10" s="109" t="n"/>
      <c r="P10" s="109" t="n"/>
      <c r="Q10" s="109" t="n"/>
      <c r="R10" s="110" t="n"/>
      <c r="S10" s="110" t="n"/>
      <c r="T1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1">
        <f>IFERROR(MID(G10,_xlfn.AGGREGATE(15,6,(ROW(INDIRECT("1:"&amp;LEN(G10)-7)))/(ISNUMBER(--MID(G10,ROW(INDIRECT("1:"&amp;LEN(G10)-7)),8))),1),8),"")</f>
        <v/>
      </c>
      <c r="V10" t="inlineStr">
        <is>
          <t>2025-09-30 20:00:00</t>
        </is>
      </c>
    </row>
    <row r="11" ht="30" customFormat="1" customHeight="1" s="45">
      <c r="A11" s="112" t="n"/>
      <c r="B11" s="112">
        <f>IF(OR(A11="x",A11="X"),"",IF(ISBLANK(A11),"X",""))</f>
        <v/>
      </c>
      <c r="C11" s="112">
        <f>IF(OR(TabellaBLENDING[[#This Row],[LUN]]="X",TabellaBLENDING[[#This Row],[MAR]]="X",TabellaBLENDING[[#This Row],[MER]]="X",TabellaBLENDING[[#This Row],[GIO]]="X",TabellaBLENDING[[#This Row],[VEN]]="X",),"X","")</f>
        <v/>
      </c>
      <c r="D11" s="109" t="inlineStr">
        <is>
          <t>BLENDING</t>
        </is>
      </c>
      <c r="E11" s="109" t="inlineStr">
        <is>
          <t>312614/S</t>
        </is>
      </c>
      <c r="F11" s="109" t="inlineStr">
        <is>
          <t>BLENDING</t>
        </is>
      </c>
      <c r="G11" s="109" t="inlineStr">
        <is>
          <t>BLENDING - verifica e ripristino funzionalità attuatore pneumatico sfioro P603B</t>
        </is>
      </c>
      <c r="H11" s="111" t="n"/>
      <c r="I11" s="111" t="n"/>
      <c r="J11" s="111" t="n"/>
      <c r="K11" s="111" t="n"/>
      <c r="L11" s="111" t="n"/>
      <c r="M11" s="109" t="inlineStr">
        <is>
          <t>DA CHIUDERE</t>
        </is>
      </c>
      <c r="N11" s="109" t="inlineStr">
        <is>
          <t>X</t>
        </is>
      </c>
      <c r="O11" s="109" t="n"/>
      <c r="P11" s="109" t="n"/>
      <c r="Q11" s="109" t="inlineStr">
        <is>
          <t>CONTROLLO VALVOLA NON ESEGUITO PER POMPA IN MARCIA</t>
        </is>
      </c>
      <c r="R11" s="110" t="n">
        <v>45782</v>
      </c>
      <c r="S11" s="110" t="inlineStr">
        <is>
          <t>RICIPUTO</t>
        </is>
      </c>
      <c r="T1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1">
        <f>IFERROR(MID(G11,_xlfn.AGGREGATE(15,6,(ROW(INDIRECT("1:"&amp;LEN(G11)-7)))/(ISNUMBER(--MID(G11,ROW(INDIRECT("1:"&amp;LEN(G11)-7)),8))),1),8),"")</f>
        <v/>
      </c>
      <c r="V11" t="inlineStr">
        <is>
          <t>2025-09-30 20:00:00</t>
        </is>
      </c>
    </row>
    <row r="12" ht="30" customFormat="1" customHeight="1" s="45">
      <c r="A12" s="112" t="n"/>
      <c r="B12" s="112">
        <f>IF(OR(A12="x",A12="X"),"",IF(ISBLANK(A12),"X",""))</f>
        <v/>
      </c>
      <c r="C12" s="112">
        <f>IF(OR(TabellaBLENDING[[#This Row],[LUN]]="X",TabellaBLENDING[[#This Row],[MAR]]="X",TabellaBLENDING[[#This Row],[MER]]="X",TabellaBLENDING[[#This Row],[GIO]]="X",TabellaBLENDING[[#This Row],[VEN]]="X",),"X","")</f>
        <v/>
      </c>
      <c r="D12" s="109" t="inlineStr">
        <is>
          <t>BLENDING</t>
        </is>
      </c>
      <c r="E12" s="109" t="inlineStr">
        <is>
          <t>531750/C</t>
        </is>
      </c>
      <c r="F12" s="109" t="inlineStr">
        <is>
          <t>BLENDING</t>
        </is>
      </c>
      <c r="G12" s="109" t="inlineStr">
        <is>
          <t>BLENDING - S702 : Controllo funzionalita' valvola controllo temperatura TCV-702</t>
        </is>
      </c>
      <c r="H12" s="111" t="n"/>
      <c r="I12" s="111" t="n"/>
      <c r="J12" s="111" t="n"/>
      <c r="K12" s="111" t="n"/>
      <c r="L12" s="111" t="n"/>
      <c r="M12" s="109" t="inlineStr">
        <is>
          <t>DA CHIUDERE</t>
        </is>
      </c>
      <c r="N12" s="109" t="n"/>
      <c r="O12" s="109" t="n"/>
      <c r="P12" s="109" t="n"/>
      <c r="Q12" s="109" t="n"/>
      <c r="R12" s="110" t="n"/>
      <c r="S12" s="110" t="n"/>
      <c r="T1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1">
        <f>IFERROR(MID(G12,_xlfn.AGGREGATE(15,6,(ROW(INDIRECT("1:"&amp;LEN(G12)-7)))/(ISNUMBER(--MID(G12,ROW(INDIRECT("1:"&amp;LEN(G12)-7)),8))),1),8),"")</f>
        <v/>
      </c>
      <c r="V12" t="inlineStr">
        <is>
          <t>2025-09-30 20:00:00</t>
        </is>
      </c>
    </row>
    <row r="13" ht="30" customFormat="1" customHeight="1" s="45">
      <c r="A13" s="112" t="n"/>
      <c r="B13" s="112">
        <f>IF(OR(A13="x",A13="X"),"",IF(ISBLANK(A13),"X",""))</f>
        <v/>
      </c>
      <c r="C13" s="112">
        <f>IF(OR(TabellaBLENDING[[#This Row],[LUN]]="X",TabellaBLENDING[[#This Row],[MAR]]="X",TabellaBLENDING[[#This Row],[MER]]="X",TabellaBLENDING[[#This Row],[GIO]]="X",TabellaBLENDING[[#This Row],[VEN]]="X",),"X","")</f>
        <v/>
      </c>
      <c r="D13" s="109" t="inlineStr">
        <is>
          <t>BLENDING</t>
        </is>
      </c>
      <c r="E13" s="109" t="inlineStr">
        <is>
          <t>533743/C</t>
        </is>
      </c>
      <c r="F13" s="109" t="inlineStr">
        <is>
          <t>BLENDING</t>
        </is>
      </c>
      <c r="G13" s="109" t="inlineStr">
        <is>
          <t xml:space="preserve">PONTILE  - Taratura pressostati pompe MP102-MP110-MP201-MP101A-DP101B-DP101S in S.P. Antincendio Pontile come da elenco allegato </t>
        </is>
      </c>
      <c r="H13" s="111" t="n"/>
      <c r="I13" s="111" t="n"/>
      <c r="J13" s="111" t="n"/>
      <c r="K13" s="111" t="n"/>
      <c r="L13" s="111" t="n"/>
      <c r="M13" s="109" t="inlineStr">
        <is>
          <t>DA CHIUDERE</t>
        </is>
      </c>
      <c r="N13" s="110" t="n"/>
      <c r="O13" s="110" t="n"/>
      <c r="P13" s="110" t="n"/>
      <c r="Q13" s="110" t="n"/>
      <c r="R13" s="110" t="n"/>
      <c r="S13" s="110" t="n"/>
      <c r="T1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1">
        <f>IFERROR(MID(G13,_xlfn.AGGREGATE(15,6,(ROW(INDIRECT("1:"&amp;LEN(G13)-7)))/(ISNUMBER(--MID(G13,ROW(INDIRECT("1:"&amp;LEN(G13)-7)),8))),1),8),"")</f>
        <v/>
      </c>
      <c r="V13" t="inlineStr">
        <is>
          <t>2025-09-30 20:00:00</t>
        </is>
      </c>
    </row>
    <row r="14" ht="30" customFormat="1" customHeight="1" s="45">
      <c r="A14" s="112" t="n"/>
      <c r="B14" s="112">
        <f>IF(OR(A14="x",A14="X"),"",IF(ISBLANK(A14),"X",""))</f>
        <v/>
      </c>
      <c r="C14" s="112">
        <f>IF(OR(TabellaBLENDING[[#This Row],[LUN]]="X",TabellaBLENDING[[#This Row],[MAR]]="X",TabellaBLENDING[[#This Row],[MER]]="X",TabellaBLENDING[[#This Row],[GIO]]="X",TabellaBLENDING[[#This Row],[VEN]]="X",),"X","")</f>
        <v/>
      </c>
      <c r="D14" s="109" t="inlineStr">
        <is>
          <t>BLENDING</t>
        </is>
      </c>
      <c r="E14" s="109" t="inlineStr">
        <is>
          <t>312611/S</t>
        </is>
      </c>
      <c r="F14" s="109" t="inlineStr">
        <is>
          <t>BLENDING</t>
        </is>
      </c>
      <c r="G14" s="109" t="inlineStr">
        <is>
          <t>BLENDING - verifica e ripristino funzionalità attuatore pneumatico sfioro P605</t>
        </is>
      </c>
      <c r="H14" s="111" t="n"/>
      <c r="I14" s="111" t="n"/>
      <c r="J14" s="111" t="n"/>
      <c r="K14" s="111" t="n"/>
      <c r="L14" s="111" t="n"/>
      <c r="M14" s="109" t="inlineStr">
        <is>
          <t>DA CHIUDERE</t>
        </is>
      </c>
      <c r="N14" s="109" t="n"/>
      <c r="O14" s="109" t="n"/>
      <c r="P14" s="109" t="n"/>
      <c r="Q14" s="109" t="inlineStr">
        <is>
          <t>SOSTITUITO IP CONVERTER, FILTRO RIDUTTORE E MANOMETRI POSIZIONATORE RIPRISTINANDO LA FUNZIONALITA'</t>
        </is>
      </c>
      <c r="R14" s="110" t="n">
        <v>45782</v>
      </c>
      <c r="S14" s="110" t="inlineStr">
        <is>
          <t>RICIPUTO</t>
        </is>
      </c>
      <c r="T1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1">
        <f>IFERROR(MID(G14,_xlfn.AGGREGATE(15,6,(ROW(INDIRECT("1:"&amp;LEN(G14)-7)))/(ISNUMBER(--MID(G14,ROW(INDIRECT("1:"&amp;LEN(G14)-7)),8))),1),8),"")</f>
        <v/>
      </c>
      <c r="V14" t="inlineStr">
        <is>
          <t>2025-09-30 20:00:00</t>
        </is>
      </c>
    </row>
    <row r="15" ht="30" customFormat="1" customHeight="1" s="45">
      <c r="A15" s="112" t="n"/>
      <c r="B15" s="112">
        <f>IF(OR(A15="x",A15="X"),"",IF(ISBLANK(A15),"X",""))</f>
        <v/>
      </c>
      <c r="C15" s="112">
        <f>IF(OR(TabellaBLENDING[[#This Row],[LUN]]="X",TabellaBLENDING[[#This Row],[MAR]]="X",TabellaBLENDING[[#This Row],[MER]]="X",TabellaBLENDING[[#This Row],[GIO]]="X",TabellaBLENDING[[#This Row],[VEN]]="X",),"X","")</f>
        <v/>
      </c>
      <c r="D15" s="109" t="inlineStr">
        <is>
          <t>BLENDING</t>
        </is>
      </c>
      <c r="E15" s="109" t="inlineStr">
        <is>
          <t>534679/C</t>
        </is>
      </c>
      <c r="F15" s="109" t="inlineStr">
        <is>
          <t>BLENDING</t>
        </is>
      </c>
      <c r="G15" s="109" t="inlineStr">
        <is>
          <t>BLENDING - Controllo termocoppia T2001IC presso gli scambiatori E201</t>
        </is>
      </c>
      <c r="H15" s="111" t="n"/>
      <c r="I15" s="111" t="n"/>
      <c r="J15" s="111" t="n"/>
      <c r="K15" s="111" t="n"/>
      <c r="L15" s="111" t="n"/>
      <c r="M15" s="109" t="inlineStr">
        <is>
          <t>DA CHIUDERE</t>
        </is>
      </c>
      <c r="N15" s="110" t="n"/>
      <c r="O15" s="110" t="n"/>
      <c r="P15" s="110" t="n"/>
      <c r="Q15" s="110" t="inlineStr">
        <is>
          <t xml:space="preserve">NON ARRIVA AL DCS </t>
        </is>
      </c>
      <c r="R15" s="110" t="n">
        <v>45779</v>
      </c>
      <c r="S15" s="110" t="inlineStr">
        <is>
          <t>RICIPUTO</t>
        </is>
      </c>
      <c r="T15"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1">
        <f>IFERROR(MID(G15,_xlfn.AGGREGATE(15,6,(ROW(INDIRECT("1:"&amp;LEN(G15)-7)))/(ISNUMBER(--MID(G15,ROW(INDIRECT("1:"&amp;LEN(G15)-7)),8))),1),8),"")</f>
        <v/>
      </c>
      <c r="V15" t="inlineStr">
        <is>
          <t>2025-09-30 20:00:00</t>
        </is>
      </c>
    </row>
    <row r="16" ht="30" customFormat="1" customHeight="1" s="45">
      <c r="A16" s="112" t="n"/>
      <c r="B16" s="112">
        <f>IF(OR(A16="x",A16="X"),"",IF(ISBLANK(A16),"X",""))</f>
        <v/>
      </c>
      <c r="C16" s="112">
        <f>IF(OR(TabellaBLENDING[[#This Row],[LUN]]="X",TabellaBLENDING[[#This Row],[MAR]]="X",TabellaBLENDING[[#This Row],[MER]]="X",TabellaBLENDING[[#This Row],[GIO]]="X",TabellaBLENDING[[#This Row],[VEN]]="X",),"X","")</f>
        <v/>
      </c>
      <c r="D16" s="109" t="inlineStr">
        <is>
          <t>BLENDING</t>
        </is>
      </c>
      <c r="E16" s="109" t="inlineStr">
        <is>
          <t>534576/C</t>
        </is>
      </c>
      <c r="F16" s="109" t="inlineStr">
        <is>
          <t>BLENDING</t>
        </is>
      </c>
      <c r="G16" s="109" t="inlineStr">
        <is>
          <t>BLENDING - Ricerca guasto e ripristino funzionalita' valvola di blocco braccio di carico lato monte BR301 + verifica funzionalita' E.V. aria strumenti</t>
        </is>
      </c>
      <c r="H16" s="111" t="n"/>
      <c r="I16" s="111" t="n"/>
      <c r="J16" s="111" t="n"/>
      <c r="K16" s="111" t="n"/>
      <c r="L16" s="111" t="n"/>
      <c r="M16" s="110" t="inlineStr">
        <is>
          <t>DA CHIUDERE</t>
        </is>
      </c>
      <c r="N16" s="110" t="n"/>
      <c r="O16" s="110" t="n"/>
      <c r="P16" s="110" t="n"/>
      <c r="Q16" s="110" t="inlineStr">
        <is>
          <t>RIPRISTINATO FINECORSA E COLLEGAMENTI</t>
        </is>
      </c>
      <c r="R16" s="110" t="n">
        <v>45775</v>
      </c>
      <c r="S16" s="110" t="inlineStr">
        <is>
          <t>RICIPUTO/PARTESANO</t>
        </is>
      </c>
      <c r="T16"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60">
        <f>IFERROR(MID(G16,_xlfn.AGGREGATE(15,6,(ROW(INDIRECT("1:"&amp;LEN(G16)-7)))/(ISNUMBER(--MID(G16,ROW(INDIRECT("1:"&amp;LEN(G16)-7)),8))),1),8),"")</f>
        <v/>
      </c>
      <c r="V16" t="inlineStr">
        <is>
          <t>2025-09-30 20:00:00</t>
        </is>
      </c>
    </row>
    <row r="17" ht="30" customFormat="1" customHeight="1" s="45">
      <c r="A17" s="112" t="n"/>
      <c r="B17" s="112">
        <f>IF(OR(A17="x",A17="X"),"",IF(ISBLANK(A17),"X",""))</f>
        <v/>
      </c>
      <c r="C17" s="112">
        <f>IF(OR(TabellaBLENDING[[#This Row],[LUN]]="X",TabellaBLENDING[[#This Row],[MAR]]="X",TabellaBLENDING[[#This Row],[MER]]="X",TabellaBLENDING[[#This Row],[GIO]]="X",TabellaBLENDING[[#This Row],[VEN]]="X",),"X","")</f>
        <v/>
      </c>
      <c r="D17" s="109" t="inlineStr">
        <is>
          <t>BLENDING</t>
        </is>
      </c>
      <c r="E17" s="109" t="inlineStr">
        <is>
          <t>534568/C</t>
        </is>
      </c>
      <c r="F17" s="109" t="inlineStr">
        <is>
          <t>BLENDING</t>
        </is>
      </c>
      <c r="G17" s="109" t="inlineStr">
        <is>
          <t xml:space="preserve">BLENDING - ripristino sistema di gorgogliamento braccio di carico lato mare BR302-B </t>
        </is>
      </c>
      <c r="H17" s="111" t="n"/>
      <c r="I17" s="111" t="n"/>
      <c r="J17" s="111" t="n"/>
      <c r="K17" s="111" t="n"/>
      <c r="L17" s="111" t="n"/>
      <c r="M17" s="110" t="inlineStr">
        <is>
          <t>DA CHIUDERE</t>
        </is>
      </c>
      <c r="N17" s="110" t="n"/>
      <c r="O17" s="110" t="n"/>
      <c r="P17" s="110" t="n"/>
      <c r="Q17" s="110" t="inlineStr">
        <is>
          <t>SOSTITUITA ELETTROVALVOLA GUASTA</t>
        </is>
      </c>
      <c r="R17" s="110" t="n">
        <v>45775</v>
      </c>
      <c r="S17" s="110" t="inlineStr">
        <is>
          <t>RICIPUTO/PARTESANO</t>
        </is>
      </c>
      <c r="T17"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1">
        <f>IFERROR(MID(G17,_xlfn.AGGREGATE(15,6,(ROW(INDIRECT("1:"&amp;LEN(G17)-7)))/(ISNUMBER(--MID(G17,ROW(INDIRECT("1:"&amp;LEN(G17)-7)),8))),1),8),"")</f>
        <v/>
      </c>
      <c r="V17" t="inlineStr">
        <is>
          <t>2025-09-30 20:00:00</t>
        </is>
      </c>
    </row>
    <row r="18" ht="30" customFormat="1" customHeight="1" s="45">
      <c r="A18" s="112" t="n"/>
      <c r="B18" s="112">
        <f>IF(OR(A18="x",A18="X"),"",IF(ISBLANK(A18),"X",""))</f>
        <v/>
      </c>
      <c r="C18" s="112">
        <f>IF(OR(TabellaBLENDING[[#This Row],[LUN]]="X",TabellaBLENDING[[#This Row],[MAR]]="X",TabellaBLENDING[[#This Row],[MER]]="X",TabellaBLENDING[[#This Row],[GIO]]="X",TabellaBLENDING[[#This Row],[VEN]]="X",),"X","")</f>
        <v/>
      </c>
      <c r="D18" s="109" t="inlineStr">
        <is>
          <t>BLENDING</t>
        </is>
      </c>
      <c r="E18" s="109" t="inlineStr">
        <is>
          <t>533749/C</t>
        </is>
      </c>
      <c r="F18" s="109" t="inlineStr">
        <is>
          <t>BLENDING</t>
        </is>
      </c>
      <c r="G18" s="109" t="inlineStr">
        <is>
          <t>ANTICENDIO - DP1003-B/C e MP1003-A/D Taratura pressostati pompe antincendio Raffineria come da elenco allegato</t>
        </is>
      </c>
      <c r="H18" s="111" t="n"/>
      <c r="I18" s="111" t="n"/>
      <c r="J18" s="111" t="n"/>
      <c r="K18" s="111" t="n"/>
      <c r="L18" s="111" t="n"/>
      <c r="M18" s="109" t="inlineStr">
        <is>
          <t>DA CHIUDERE</t>
        </is>
      </c>
      <c r="N18" s="109" t="n"/>
      <c r="O18" s="109" t="n"/>
      <c r="P18" s="109" t="n"/>
      <c r="Q18" s="109" t="n"/>
      <c r="R18" s="110" t="n"/>
      <c r="S18" s="110" t="n"/>
      <c r="T18"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1">
        <f>IFERROR(MID(G18,_xlfn.AGGREGATE(15,6,(ROW(INDIRECT("1:"&amp;LEN(G18)-7)))/(ISNUMBER(--MID(G18,ROW(INDIRECT("1:"&amp;LEN(G18)-7)),8))),1),8),"")</f>
        <v/>
      </c>
      <c r="V18" t="inlineStr">
        <is>
          <t>2025-09-30 20:00:00</t>
        </is>
      </c>
    </row>
    <row r="19" ht="30" customFormat="1" customHeight="1" s="45">
      <c r="A19" s="112" t="n"/>
      <c r="B19" s="112">
        <f>IF(OR(A19="x",A19="X"),"",IF(ISBLANK(A19),"X",""))</f>
        <v/>
      </c>
      <c r="C19" s="112">
        <f>IF(OR(TabellaBLENDING[[#This Row],[LUN]]="X",TabellaBLENDING[[#This Row],[MAR]]="X",TabellaBLENDING[[#This Row],[MER]]="X",TabellaBLENDING[[#This Row],[GIO]]="X",TabellaBLENDING[[#This Row],[VEN]]="X",),"X","")</f>
        <v/>
      </c>
      <c r="D19" s="109" t="inlineStr">
        <is>
          <t>BLENDING</t>
        </is>
      </c>
      <c r="E19" s="109" t="inlineStr">
        <is>
          <t>526508/C</t>
        </is>
      </c>
      <c r="F19" s="109" t="inlineStr">
        <is>
          <t>BLENDING</t>
        </is>
      </c>
      <c r="G19" s="109" t="inlineStr">
        <is>
          <t>ARCOM - montaggio e collegamento celle di carico Bilico Portineria ATB</t>
        </is>
      </c>
      <c r="H19" s="111" t="n"/>
      <c r="I19" s="111" t="n"/>
      <c r="J19" s="111" t="n"/>
      <c r="K19" s="111" t="n"/>
      <c r="L19" s="111" t="n"/>
      <c r="M19" s="109" t="inlineStr">
        <is>
          <t>DA CHIUDERE</t>
        </is>
      </c>
      <c r="N19" s="109" t="n"/>
      <c r="O19" s="109" t="n"/>
      <c r="P19" s="109" t="n"/>
      <c r="Q19" s="109" t="n"/>
      <c r="R19" s="110" t="n">
        <v>45710</v>
      </c>
      <c r="S19" s="110" t="n"/>
      <c r="T1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1">
        <f>IFERROR(MID(G19,_xlfn.AGGREGATE(15,6,(ROW(INDIRECT("1:"&amp;LEN(G19)-7)))/(ISNUMBER(--MID(G19,ROW(INDIRECT("1:"&amp;LEN(G19)-7)),8))),1),8),"")</f>
        <v/>
      </c>
      <c r="V19" t="inlineStr">
        <is>
          <t>2025-09-30 20:00:00</t>
        </is>
      </c>
    </row>
    <row r="20" ht="30" customFormat="1" customHeight="1" s="45">
      <c r="A20" s="112" t="n"/>
      <c r="B20" s="112">
        <f>IF(OR(A20="x",A20="X"),"",IF(ISBLANK(A20),"X",""))</f>
        <v/>
      </c>
      <c r="C20" s="112">
        <f>IF(OR(TabellaBLENDING[[#This Row],[LUN]]="X",TabellaBLENDING[[#This Row],[MAR]]="X",TabellaBLENDING[[#This Row],[MER]]="X",TabellaBLENDING[[#This Row],[GIO]]="X",TabellaBLENDING[[#This Row],[VEN]]="X",),"X","")</f>
        <v/>
      </c>
      <c r="D20" s="109" t="inlineStr">
        <is>
          <t>BLENDING</t>
        </is>
      </c>
      <c r="E20" s="109" t="inlineStr">
        <is>
          <t>533286/C</t>
        </is>
      </c>
      <c r="F20" s="109" t="inlineStr">
        <is>
          <t>BLENDING</t>
        </is>
      </c>
      <c r="G20" s="109" t="inlineStr">
        <is>
          <t xml:space="preserve">ANTICENDIO - Modifica taratura del pressostato di avviamento per bassa pressione del motore Diesel antincendio Raffineria da 22 bar </t>
        </is>
      </c>
      <c r="H20" s="111" t="n"/>
      <c r="I20" s="111" t="n"/>
      <c r="J20" s="111" t="n"/>
      <c r="K20" s="111" t="n"/>
      <c r="L20" s="111" t="n"/>
      <c r="M20" s="109" t="inlineStr">
        <is>
          <t>DA CHIUDERE</t>
        </is>
      </c>
      <c r="N20" s="109" t="n"/>
      <c r="O20" s="109" t="n"/>
      <c r="P20" s="109" t="n"/>
      <c r="Q20" s="109" t="n"/>
      <c r="R20" s="110" t="n"/>
      <c r="S20" s="110" t="n"/>
      <c r="T2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1">
        <f>IFERROR(MID(G20,_xlfn.AGGREGATE(15,6,(ROW(INDIRECT("1:"&amp;LEN(G20)-7)))/(ISNUMBER(--MID(G20,ROW(INDIRECT("1:"&amp;LEN(G20)-7)),8))),1),8),"")</f>
        <v/>
      </c>
      <c r="V20" t="inlineStr">
        <is>
          <t>2025-09-30 20:00:00</t>
        </is>
      </c>
    </row>
    <row r="21" ht="30" customFormat="1" customHeight="1" s="45">
      <c r="A21" s="112" t="n"/>
      <c r="B21" s="112">
        <f>IF(OR(A21="x",A21="X"),"",IF(ISBLANK(A21),"X",""))</f>
        <v/>
      </c>
      <c r="C21" s="112">
        <f>IF(OR(TabellaBLENDING[[#This Row],[LUN]]="X",TabellaBLENDING[[#This Row],[MAR]]="X",TabellaBLENDING[[#This Row],[MER]]="X",TabellaBLENDING[[#This Row],[GIO]]="X",TabellaBLENDING[[#This Row],[VEN]]="X",),"X","")</f>
        <v/>
      </c>
      <c r="D21" s="109" t="inlineStr">
        <is>
          <t>BLENDING</t>
        </is>
      </c>
      <c r="E21" s="109" t="inlineStr">
        <is>
          <t>533199/C</t>
        </is>
      </c>
      <c r="F21" s="109" t="inlineStr">
        <is>
          <t>BLENDING</t>
        </is>
      </c>
      <c r="G21" s="109" t="inlineStr">
        <is>
          <t>BLENDING - ripristino sonda antitrabocco BR22</t>
        </is>
      </c>
      <c r="H21" s="111" t="n"/>
      <c r="I21" s="111" t="n"/>
      <c r="J21" s="111" t="n"/>
      <c r="K21" s="111" t="n"/>
      <c r="L21" s="111" t="n"/>
      <c r="M21" s="109" t="inlineStr">
        <is>
          <t>DA CHIUDERE</t>
        </is>
      </c>
      <c r="N21" s="109" t="n"/>
      <c r="O21" s="109" t="n"/>
      <c r="P21" s="109" t="n"/>
      <c r="Q21" s="109" t="n"/>
      <c r="R21" s="110" t="n"/>
      <c r="S21" s="110" t="n"/>
      <c r="T2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1">
        <f>IFERROR(MID(G21,_xlfn.AGGREGATE(15,6,(ROW(INDIRECT("1:"&amp;LEN(G21)-7)))/(ISNUMBER(--MID(G21,ROW(INDIRECT("1:"&amp;LEN(G21)-7)),8))),1),8),"")</f>
        <v/>
      </c>
      <c r="V21" t="inlineStr">
        <is>
          <t>2025-09-30 20:00:00</t>
        </is>
      </c>
    </row>
    <row r="22" ht="30" customFormat="1" customHeight="1" s="45">
      <c r="A22" s="112" t="n"/>
      <c r="B22" s="112">
        <f>IF(OR(A22="x",A22="X"),"",IF(ISBLANK(A22),"X",""))</f>
        <v/>
      </c>
      <c r="C22" s="112">
        <f>IF(OR(TabellaBLENDING[[#This Row],[LUN]]="X",TabellaBLENDING[[#This Row],[MAR]]="X",TabellaBLENDING[[#This Row],[MER]]="X",TabellaBLENDING[[#This Row],[GIO]]="X",TabellaBLENDING[[#This Row],[VEN]]="X",),"X","")</f>
        <v/>
      </c>
      <c r="D22" s="109" t="inlineStr">
        <is>
          <t>BLENDING</t>
        </is>
      </c>
      <c r="E22" s="109" t="inlineStr">
        <is>
          <t>532510/C</t>
        </is>
      </c>
      <c r="F22" s="109" t="inlineStr">
        <is>
          <t>BLENDING</t>
        </is>
      </c>
      <c r="G22" s="109" t="inlineStr">
        <is>
          <t>BLENDING - Assistenza strumentale per manutenzione Flexi Mix Rampa 6</t>
        </is>
      </c>
      <c r="H22" s="111" t="n"/>
      <c r="I22" s="111" t="n"/>
      <c r="J22" s="111" t="n"/>
      <c r="K22" s="111" t="n"/>
      <c r="L22" s="111" t="n"/>
      <c r="M22" s="109" t="inlineStr">
        <is>
          <t>DA CHIUDERE</t>
        </is>
      </c>
      <c r="N22" s="109" t="n"/>
      <c r="O22" s="109" t="n"/>
      <c r="P22" s="109" t="n"/>
      <c r="Q22" s="109" t="n"/>
      <c r="R22" s="110" t="n"/>
      <c r="S22" s="110" t="n"/>
      <c r="T2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1">
        <f>IFERROR(MID(G22,_xlfn.AGGREGATE(15,6,(ROW(INDIRECT("1:"&amp;LEN(G22)-7)))/(ISNUMBER(--MID(G22,ROW(INDIRECT("1:"&amp;LEN(G22)-7)),8))),1),8),"")</f>
        <v/>
      </c>
      <c r="V22" t="inlineStr">
        <is>
          <t>2025-09-30 20:00:00</t>
        </is>
      </c>
    </row>
    <row r="23" ht="23.25" customFormat="1" customHeight="1" s="45">
      <c r="A23" s="112" t="n"/>
      <c r="B23" s="112">
        <f>IF(OR(A23="x",A23="X"),"",IF(ISBLANK(A23),"X",""))</f>
        <v/>
      </c>
      <c r="C23" s="112">
        <f>IF(OR(TabellaBLENDING[[#This Row],[LUN]]="X",TabellaBLENDING[[#This Row],[MAR]]="X",TabellaBLENDING[[#This Row],[MER]]="X",TabellaBLENDING[[#This Row],[GIO]]="X",TabellaBLENDING[[#This Row],[VEN]]="X",),"X","")</f>
        <v/>
      </c>
      <c r="D23" s="109" t="inlineStr">
        <is>
          <t>BLENDING</t>
        </is>
      </c>
      <c r="E23" s="109" t="inlineStr">
        <is>
          <t>532211/C</t>
        </is>
      </c>
      <c r="F23" s="109" t="inlineStr">
        <is>
          <t>PONTILE</t>
        </is>
      </c>
      <c r="G23" s="109" t="inlineStr">
        <is>
          <t>PONTILE - verifica e ripristino funzionalita'  trasmettitore di livello barilotto slop</t>
        </is>
      </c>
      <c r="H23" s="111" t="n"/>
      <c r="I23" s="111" t="n"/>
      <c r="J23" s="111" t="n"/>
      <c r="K23" s="111" t="n"/>
      <c r="L23" s="111" t="n"/>
      <c r="M23" s="109" t="inlineStr">
        <is>
          <t>DA CHIUDERE</t>
        </is>
      </c>
      <c r="N23" s="109" t="n"/>
      <c r="O23" s="109" t="n"/>
      <c r="P23" s="109" t="n"/>
      <c r="Q23" s="109" t="n"/>
      <c r="R23" s="110" t="n"/>
      <c r="S23" s="110" t="n"/>
      <c r="T2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1">
        <f>IFERROR(MID(G23,_xlfn.AGGREGATE(15,6,(ROW(INDIRECT("1:"&amp;LEN(G23)-7)))/(ISNUMBER(--MID(G23,ROW(INDIRECT("1:"&amp;LEN(G23)-7)),8))),1),8),"")</f>
        <v/>
      </c>
      <c r="V23" t="inlineStr">
        <is>
          <t>2025-09-30 20:00:00</t>
        </is>
      </c>
    </row>
    <row r="24" ht="30" customFormat="1" customHeight="1" s="45">
      <c r="A24" s="112" t="n"/>
      <c r="B24" s="112">
        <f>IF(OR(A24="x",A24="X"),"",IF(ISBLANK(A24),"X",""))</f>
        <v/>
      </c>
      <c r="C24" s="112">
        <f>IF(OR(TabellaBLENDING[[#This Row],[LUN]]="X",TabellaBLENDING[[#This Row],[MAR]]="X",TabellaBLENDING[[#This Row],[MER]]="X",TabellaBLENDING[[#This Row],[GIO]]="X",TabellaBLENDING[[#This Row],[VEN]]="X",),"X","")</f>
        <v/>
      </c>
      <c r="D24" s="109" t="inlineStr">
        <is>
          <t>BLENDING</t>
        </is>
      </c>
      <c r="E24" s="109" t="inlineStr">
        <is>
          <t>531796/C</t>
        </is>
      </c>
      <c r="F24" s="109" t="inlineStr">
        <is>
          <t>BLENDING</t>
        </is>
      </c>
      <c r="G24" s="109" t="inlineStr">
        <is>
          <t>BLENDING - EMERGENZA 6500 CVT RAMBA 4 RICERCA GUASTO</t>
        </is>
      </c>
      <c r="H24" s="111" t="n"/>
      <c r="I24" s="111" t="n"/>
      <c r="J24" s="111" t="n"/>
      <c r="K24" s="111" t="n"/>
      <c r="L24" s="111" t="n"/>
      <c r="M24" s="109" t="inlineStr">
        <is>
          <t>DA CHIUDERE</t>
        </is>
      </c>
      <c r="N24" s="109" t="n"/>
      <c r="O24" s="109" t="n"/>
      <c r="P24" s="109" t="n"/>
      <c r="Q24" s="109" t="n"/>
      <c r="R24" s="110" t="n"/>
      <c r="S24" s="110" t="n"/>
      <c r="T2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1">
        <f>IFERROR(MID(G24,_xlfn.AGGREGATE(15,6,(ROW(INDIRECT("1:"&amp;LEN(G24)-7)))/(ISNUMBER(--MID(G24,ROW(INDIRECT("1:"&amp;LEN(G24)-7)),8))),1),8),"")</f>
        <v/>
      </c>
      <c r="V24" t="inlineStr">
        <is>
          <t>2025-09-30 20:00:00</t>
        </is>
      </c>
    </row>
    <row r="25" ht="30" customFormat="1" customHeight="1" s="45">
      <c r="A25" s="112" t="n"/>
      <c r="B25" s="112">
        <f>IF(OR(A25="x",A25="X"),"",IF(ISBLANK(A25),"X",""))</f>
        <v/>
      </c>
      <c r="C25" s="112">
        <f>IF(OR(TabellaBLENDING[[#This Row],[LUN]]="X",TabellaBLENDING[[#This Row],[MAR]]="X",TabellaBLENDING[[#This Row],[MER]]="X",TabellaBLENDING[[#This Row],[GIO]]="X",TabellaBLENDING[[#This Row],[VEN]]="X",),"X","")</f>
        <v/>
      </c>
      <c r="D25" s="109" t="inlineStr">
        <is>
          <t>BLENDING</t>
        </is>
      </c>
      <c r="E25" s="109" t="inlineStr">
        <is>
          <t>531742/C</t>
        </is>
      </c>
      <c r="F25" s="109" t="inlineStr">
        <is>
          <t>BLENDING</t>
        </is>
      </c>
      <c r="G25" s="109" t="inlineStr">
        <is>
          <t>BLENDING - controllo loop di regolazione valvole (non si muovono)</t>
        </is>
      </c>
      <c r="H25" s="111" t="n"/>
      <c r="I25" s="111" t="n"/>
      <c r="J25" s="111" t="n"/>
      <c r="K25" s="111" t="n"/>
      <c r="L25" s="111" t="n"/>
      <c r="M25" s="109" t="inlineStr">
        <is>
          <t>DA CHIUDERE</t>
        </is>
      </c>
      <c r="N25" s="109" t="n"/>
      <c r="O25" s="109" t="n"/>
      <c r="P25" s="109" t="n"/>
      <c r="Q25" s="109" t="n"/>
      <c r="R25" s="110" t="n"/>
      <c r="S25" s="110" t="n"/>
      <c r="T25"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1">
        <f>IFERROR(MID(G25,_xlfn.AGGREGATE(15,6,(ROW(INDIRECT("1:"&amp;LEN(G25)-7)))/(ISNUMBER(--MID(G25,ROW(INDIRECT("1:"&amp;LEN(G25)-7)),8))),1),8),"")</f>
        <v/>
      </c>
      <c r="V25" t="inlineStr">
        <is>
          <t>2025-09-30 20:00:00</t>
        </is>
      </c>
    </row>
    <row r="26" ht="23.25" customFormat="1" customHeight="1" s="45">
      <c r="A26" s="112" t="n"/>
      <c r="B26" s="112">
        <f>IF(OR(A26="x",A26="X"),"",IF(ISBLANK(A26),"X",""))</f>
        <v/>
      </c>
      <c r="C26" s="112">
        <f>IF(OR(TabellaBLENDING[[#This Row],[LUN]]="X",TabellaBLENDING[[#This Row],[MAR]]="X",TabellaBLENDING[[#This Row],[MER]]="X",TabellaBLENDING[[#This Row],[GIO]]="X",TabellaBLENDING[[#This Row],[VEN]]="X",),"X","")</f>
        <v/>
      </c>
      <c r="D26" s="109" t="inlineStr">
        <is>
          <t>BLENDING</t>
        </is>
      </c>
      <c r="E26" s="109" t="inlineStr">
        <is>
          <t>531401/C</t>
        </is>
      </c>
      <c r="F26" s="109" t="inlineStr">
        <is>
          <t>PONTILE</t>
        </is>
      </c>
      <c r="G26" s="109" t="inlineStr">
        <is>
          <t>Controllo livellostati rilevamento perdite sovrappasso lato Pontile + drenaggio barilotto</t>
        </is>
      </c>
      <c r="H26" s="111" t="n"/>
      <c r="I26" s="111" t="n"/>
      <c r="J26" s="111" t="n"/>
      <c r="K26" s="111" t="n"/>
      <c r="L26" s="111" t="n"/>
      <c r="M26" s="109" t="inlineStr">
        <is>
          <t>DA CHIUDERE</t>
        </is>
      </c>
      <c r="N26" s="109" t="n"/>
      <c r="O26" s="109" t="n"/>
      <c r="P26" s="109" t="n"/>
      <c r="Q26" s="109" t="n"/>
      <c r="R26" s="110" t="n"/>
      <c r="S26" s="110" t="n"/>
      <c r="T26"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1">
        <f>IFERROR(MID(G26,_xlfn.AGGREGATE(15,6,(ROW(INDIRECT("1:"&amp;LEN(G26)-7)))/(ISNUMBER(--MID(G26,ROW(INDIRECT("1:"&amp;LEN(G26)-7)),8))),1),8),"")</f>
        <v/>
      </c>
      <c r="V26" t="inlineStr">
        <is>
          <t>2025-09-30 20:00:00</t>
        </is>
      </c>
    </row>
    <row r="27" ht="23.25" customFormat="1" customHeight="1" s="45">
      <c r="A27" s="112" t="n"/>
      <c r="B27" s="112">
        <f>IF(OR(A27="x",A27="X"),"",IF(ISBLANK(A27),"X",""))</f>
        <v/>
      </c>
      <c r="C27" s="112">
        <f>IF(OR(TabellaBLENDING[[#This Row],[LUN]]="X",TabellaBLENDING[[#This Row],[MAR]]="X",TabellaBLENDING[[#This Row],[MER]]="X",TabellaBLENDING[[#This Row],[GIO]]="X",TabellaBLENDING[[#This Row],[VEN]]="X",),"X","")</f>
        <v/>
      </c>
      <c r="D27" s="109" t="inlineStr">
        <is>
          <t>BLENDING</t>
        </is>
      </c>
      <c r="E27" s="109" t="inlineStr">
        <is>
          <t>530921/C</t>
        </is>
      </c>
      <c r="F27" s="109" t="inlineStr">
        <is>
          <t>CVT</t>
        </is>
      </c>
      <c r="G27" s="109" t="inlineStr">
        <is>
          <t xml:space="preserve">CVT - Rampa 6 : revisione E.V. della  valvola di radice del Braccio 64 </t>
        </is>
      </c>
      <c r="H27" s="111" t="n"/>
      <c r="I27" s="111" t="n"/>
      <c r="J27" s="111" t="n"/>
      <c r="K27" s="111" t="n"/>
      <c r="L27" s="111" t="n"/>
      <c r="M27" s="109" t="inlineStr">
        <is>
          <t>DA CHIUDERE</t>
        </is>
      </c>
      <c r="N27" s="109" t="n"/>
      <c r="O27" s="109" t="n"/>
      <c r="P27" s="109" t="n"/>
      <c r="Q27" s="109" t="n"/>
      <c r="R27" s="110" t="n"/>
      <c r="S27" s="110" t="n"/>
      <c r="T27"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1">
        <f>IFERROR(MID(G27,_xlfn.AGGREGATE(15,6,(ROW(INDIRECT("1:"&amp;LEN(G27)-7)))/(ISNUMBER(--MID(G27,ROW(INDIRECT("1:"&amp;LEN(G27)-7)),8))),1),8),"")</f>
        <v/>
      </c>
      <c r="V27" t="inlineStr">
        <is>
          <t>2025-09-30 20:00:00</t>
        </is>
      </c>
    </row>
    <row r="28" ht="23.25" customFormat="1" customHeight="1" s="45">
      <c r="A28" s="112" t="n"/>
      <c r="B28" s="112">
        <f>IF(OR(A28="x",A28="X"),"",IF(ISBLANK(A28),"X",""))</f>
        <v/>
      </c>
      <c r="C28" s="112">
        <f>IF(OR(TabellaBLENDING[[#This Row],[LUN]]="X",TabellaBLENDING[[#This Row],[MAR]]="X",TabellaBLENDING[[#This Row],[MER]]="X",TabellaBLENDING[[#This Row],[GIO]]="X",TabellaBLENDING[[#This Row],[VEN]]="X",),"X","")</f>
        <v/>
      </c>
      <c r="D28" s="109" t="inlineStr">
        <is>
          <t>BLENDING</t>
        </is>
      </c>
      <c r="E28" s="109" t="inlineStr">
        <is>
          <t>530919/C</t>
        </is>
      </c>
      <c r="F28" s="109" t="inlineStr">
        <is>
          <t>CVT</t>
        </is>
      </c>
      <c r="G28" s="109" t="inlineStr">
        <is>
          <t xml:space="preserve">CVT - Rampa 2 : revisione E.V. delle  valvole di radice dei Bracci 23 - 24 - 26 </t>
        </is>
      </c>
      <c r="H28" s="111" t="n"/>
      <c r="I28" s="111" t="n"/>
      <c r="J28" s="111" t="n"/>
      <c r="K28" s="111" t="n"/>
      <c r="L28" s="111" t="n"/>
      <c r="M28" s="109" t="inlineStr">
        <is>
          <t>DA CHIUDERE</t>
        </is>
      </c>
      <c r="N28" s="109" t="n"/>
      <c r="O28" s="109" t="n"/>
      <c r="P28" s="109" t="n"/>
      <c r="Q28" s="109" t="n"/>
      <c r="R28" s="110" t="n"/>
      <c r="S28" s="110" t="n"/>
      <c r="T28"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1">
        <f>IFERROR(MID(G28,_xlfn.AGGREGATE(15,6,(ROW(INDIRECT("1:"&amp;LEN(G28)-7)))/(ISNUMBER(--MID(G28,ROW(INDIRECT("1:"&amp;LEN(G28)-7)),8))),1),8),"")</f>
        <v/>
      </c>
      <c r="V28" t="inlineStr">
        <is>
          <t>2025-09-30 20:00:00</t>
        </is>
      </c>
    </row>
    <row r="29" ht="45" customFormat="1" customHeight="1" s="45">
      <c r="A29" s="112" t="n"/>
      <c r="B29" s="112">
        <f>IF(OR(A29="x",A29="X"),"",IF(ISBLANK(A29),"X",""))</f>
        <v/>
      </c>
      <c r="C29" s="112">
        <f>IF(OR(TabellaBLENDING[[#This Row],[LUN]]="X",TabellaBLENDING[[#This Row],[MAR]]="X",TabellaBLENDING[[#This Row],[MER]]="X",TabellaBLENDING[[#This Row],[GIO]]="X",TabellaBLENDING[[#This Row],[VEN]]="X",),"X","")</f>
        <v/>
      </c>
      <c r="D29" s="109" t="inlineStr">
        <is>
          <t>BLENDING</t>
        </is>
      </c>
      <c r="E29" s="109" t="inlineStr">
        <is>
          <t>531394/C</t>
        </is>
      </c>
      <c r="F29" s="109" t="inlineStr">
        <is>
          <t>BLENDING</t>
        </is>
      </c>
      <c r="G29" s="109" t="inlineStr">
        <is>
          <t>Controllo livellostati rilevamento perdite sovrappasso lato raffineria + drenaggio barilotto (LSH_01 - LSH_02 - LSH_03 - LSH_021 - LSH_023 - LSH_024 - LSH_025 - LSH_026 - LSH_029 - LSH_031 - LSH_032 - LSH_040)</t>
        </is>
      </c>
      <c r="H29" s="111" t="n"/>
      <c r="I29" s="111" t="n"/>
      <c r="J29" s="111" t="n"/>
      <c r="K29" s="111" t="n"/>
      <c r="L29" s="111" t="n"/>
      <c r="M29" s="109" t="inlineStr">
        <is>
          <t>DA CHIUDERE</t>
        </is>
      </c>
      <c r="N29" s="109" t="n"/>
      <c r="O29" s="109" t="n"/>
      <c r="P29" s="109" t="n"/>
      <c r="Q29" s="109" t="n"/>
      <c r="R29" s="110" t="n"/>
      <c r="S29" s="110" t="n"/>
      <c r="T2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1">
        <f>IFERROR(MID(G29,_xlfn.AGGREGATE(15,6,(ROW(INDIRECT("1:"&amp;LEN(G29)-7)))/(ISNUMBER(--MID(G29,ROW(INDIRECT("1:"&amp;LEN(G29)-7)),8))),1),8),"")</f>
        <v/>
      </c>
      <c r="V29" t="inlineStr">
        <is>
          <t>2025-09-30 20:00:00</t>
        </is>
      </c>
    </row>
    <row r="30" ht="30" customFormat="1" customHeight="1" s="45">
      <c r="A30" s="112" t="n"/>
      <c r="B30" s="112">
        <f>IF(OR(A30="x",A30="X"),"",IF(ISBLANK(A30),"X",""))</f>
        <v/>
      </c>
      <c r="C30" s="112">
        <f>IF(OR(TabellaBLENDING[[#This Row],[LUN]]="X",TabellaBLENDING[[#This Row],[MAR]]="X",TabellaBLENDING[[#This Row],[MER]]="X",TabellaBLENDING[[#This Row],[GIO]]="X",TabellaBLENDING[[#This Row],[VEN]]="X",),"X","")</f>
        <v/>
      </c>
      <c r="D30" s="109" t="inlineStr">
        <is>
          <t>BLENDING</t>
        </is>
      </c>
      <c r="E30" s="109" t="inlineStr">
        <is>
          <t>530241/C</t>
        </is>
      </c>
      <c r="F30" s="109" t="inlineStr">
        <is>
          <t>BLENDING</t>
        </is>
      </c>
      <c r="G30" s="109" t="inlineStr">
        <is>
          <t>BLENDING - Verifica taratura trasmettitore di portata F6023RC e allineamento con sala controllo</t>
        </is>
      </c>
      <c r="H30" s="111" t="n"/>
      <c r="I30" s="111" t="n"/>
      <c r="J30" s="111" t="n"/>
      <c r="K30" s="111" t="n"/>
      <c r="L30" s="111" t="n"/>
      <c r="M30" s="109" t="inlineStr">
        <is>
          <t>DA CHIUDERE</t>
        </is>
      </c>
      <c r="N30" s="109" t="n"/>
      <c r="O30" s="109" t="n"/>
      <c r="P30" s="109" t="n"/>
      <c r="Q30" s="109" t="n"/>
      <c r="R30" s="110" t="n"/>
      <c r="S30" s="110" t="n"/>
      <c r="T3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1">
        <f>IFERROR(MID(G30,_xlfn.AGGREGATE(15,6,(ROW(INDIRECT("1:"&amp;LEN(G30)-7)))/(ISNUMBER(--MID(G30,ROW(INDIRECT("1:"&amp;LEN(G30)-7)),8))),1),8),"")</f>
        <v/>
      </c>
      <c r="V30" t="inlineStr">
        <is>
          <t>2025-09-30 20:00:00</t>
        </is>
      </c>
    </row>
    <row r="31" ht="30" customFormat="1" customHeight="1" s="45">
      <c r="A31" s="112" t="n"/>
      <c r="B31" s="112">
        <f>IF(OR(A31="x",A31="X"),"",IF(ISBLANK(A31),"X",""))</f>
        <v/>
      </c>
      <c r="C31" s="112">
        <f>IF(OR(TabellaBLENDING[[#This Row],[LUN]]="X",TabellaBLENDING[[#This Row],[MAR]]="X",TabellaBLENDING[[#This Row],[MER]]="X",TabellaBLENDING[[#This Row],[GIO]]="X",TabellaBLENDING[[#This Row],[VEN]]="X",),"X","")</f>
        <v/>
      </c>
      <c r="D31" s="109" t="inlineStr">
        <is>
          <t>BLENDING</t>
        </is>
      </c>
      <c r="E31" s="109" t="inlineStr">
        <is>
          <t>530240/C</t>
        </is>
      </c>
      <c r="F31" s="109" t="inlineStr">
        <is>
          <t>BLENDING</t>
        </is>
      </c>
      <c r="G31" s="109" t="inlineStr">
        <is>
          <t>BLENDING - Verifica taratura trasmettitore di portata F6022RC e allineamento con sala controllo</t>
        </is>
      </c>
      <c r="H31" s="111" t="n"/>
      <c r="I31" s="111" t="n"/>
      <c r="J31" s="111" t="n"/>
      <c r="K31" s="111" t="n"/>
      <c r="L31" s="111" t="n"/>
      <c r="M31" s="109" t="inlineStr">
        <is>
          <t>DA CHIUDERE</t>
        </is>
      </c>
      <c r="N31" s="109" t="n"/>
      <c r="O31" s="109" t="n"/>
      <c r="P31" s="109" t="n"/>
      <c r="Q31" s="109" t="n"/>
      <c r="R31" s="110" t="n"/>
      <c r="S31" s="110" t="n"/>
      <c r="T3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1">
        <f>IFERROR(MID(G31,_xlfn.AGGREGATE(15,6,(ROW(INDIRECT("1:"&amp;LEN(G31)-7)))/(ISNUMBER(--MID(G31,ROW(INDIRECT("1:"&amp;LEN(G31)-7)),8))),1),8),"")</f>
        <v/>
      </c>
      <c r="V31" t="inlineStr">
        <is>
          <t>2025-09-30 20:00:00</t>
        </is>
      </c>
    </row>
    <row r="32" ht="30" customFormat="1" customHeight="1" s="45">
      <c r="A32" s="112" t="n"/>
      <c r="B32" s="112">
        <f>IF(OR(A32="x",A32="X"),"",IF(ISBLANK(A32),"X",""))</f>
        <v/>
      </c>
      <c r="C32" s="112">
        <f>IF(OR(TabellaBLENDING[[#This Row],[LUN]]="X",TabellaBLENDING[[#This Row],[MAR]]="X",TabellaBLENDING[[#This Row],[MER]]="X",TabellaBLENDING[[#This Row],[GIO]]="X",TabellaBLENDING[[#This Row],[VEN]]="X",),"X","")</f>
        <v/>
      </c>
      <c r="D32" s="109" t="inlineStr">
        <is>
          <t>BLENDING</t>
        </is>
      </c>
      <c r="E32" s="109" t="inlineStr">
        <is>
          <t>530239/C</t>
        </is>
      </c>
      <c r="F32" s="109" t="inlineStr">
        <is>
          <t>BLENDING</t>
        </is>
      </c>
      <c r="G32" s="109" t="inlineStr">
        <is>
          <t>Verifica taratura trasmettitore di portata F6021RC e allineamento con sala controllo</t>
        </is>
      </c>
      <c r="H32" s="111" t="n"/>
      <c r="I32" s="111" t="n"/>
      <c r="J32" s="111" t="n"/>
      <c r="K32" s="111" t="n"/>
      <c r="L32" s="111" t="n"/>
      <c r="M32" s="109" t="inlineStr">
        <is>
          <t>DA CHIUDERE</t>
        </is>
      </c>
      <c r="N32" s="109" t="n"/>
      <c r="O32" s="109" t="n"/>
      <c r="P32" s="109" t="n"/>
      <c r="Q32" s="109" t="n"/>
      <c r="R32" s="110" t="n"/>
      <c r="S32" s="110" t="n"/>
      <c r="T3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1">
        <f>IFERROR(MID(G32,_xlfn.AGGREGATE(15,6,(ROW(INDIRECT("1:"&amp;LEN(G32)-7)))/(ISNUMBER(--MID(G32,ROW(INDIRECT("1:"&amp;LEN(G32)-7)),8))),1),8),"")</f>
        <v/>
      </c>
      <c r="V32" t="inlineStr">
        <is>
          <t>2025-09-30 20:00:00</t>
        </is>
      </c>
    </row>
    <row r="33" ht="30" customFormat="1" customHeight="1" s="45">
      <c r="A33" s="112" t="n"/>
      <c r="B33" s="112">
        <f>IF(OR(A33="x",A33="X"),"",IF(ISBLANK(A33),"X",""))</f>
        <v/>
      </c>
      <c r="C33" s="112">
        <f>IF(OR(TabellaBLENDING[[#This Row],[LUN]]="X",TabellaBLENDING[[#This Row],[MAR]]="X",TabellaBLENDING[[#This Row],[MER]]="X",TabellaBLENDING[[#This Row],[GIO]]="X",TabellaBLENDING[[#This Row],[VEN]]="X",),"X","")</f>
        <v/>
      </c>
      <c r="D33" s="109" t="inlineStr">
        <is>
          <t>BLENDING</t>
        </is>
      </c>
      <c r="E33" s="109" t="inlineStr">
        <is>
          <t>530236/C</t>
        </is>
      </c>
      <c r="F33" s="109" t="inlineStr">
        <is>
          <t>BLENDING</t>
        </is>
      </c>
      <c r="G33" s="109" t="inlineStr">
        <is>
          <t>Verifica taratura trasmettitore di portata F6020RC e allineamento con sala controllo</t>
        </is>
      </c>
      <c r="H33" s="111" t="n"/>
      <c r="I33" s="111" t="n"/>
      <c r="J33" s="111" t="n"/>
      <c r="K33" s="111" t="n"/>
      <c r="L33" s="111" t="n"/>
      <c r="M33" s="109" t="inlineStr">
        <is>
          <t>DA CHIUDERE</t>
        </is>
      </c>
      <c r="N33" s="109" t="n"/>
      <c r="O33" s="109" t="n"/>
      <c r="P33" s="109" t="n"/>
      <c r="Q33" s="109" t="n"/>
      <c r="R33" s="110" t="n"/>
      <c r="S33" s="110" t="n"/>
      <c r="T3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1">
        <f>IFERROR(MID(G33,_xlfn.AGGREGATE(15,6,(ROW(INDIRECT("1:"&amp;LEN(G33)-7)))/(ISNUMBER(--MID(G33,ROW(INDIRECT("1:"&amp;LEN(G33)-7)),8))),1),8),"")</f>
        <v/>
      </c>
      <c r="V33" t="inlineStr">
        <is>
          <t>2025-09-30 20:00:00</t>
        </is>
      </c>
    </row>
    <row r="34" ht="30" customFormat="1" customHeight="1" s="45">
      <c r="A34" s="112" t="n"/>
      <c r="B34" s="112">
        <f>IF(OR(A34="x",A34="X"),"",IF(ISBLANK(A34),"X",""))</f>
        <v/>
      </c>
      <c r="C34" s="112">
        <f>IF(OR(TabellaBLENDING[[#This Row],[LUN]]="X",TabellaBLENDING[[#This Row],[MAR]]="X",TabellaBLENDING[[#This Row],[MER]]="X",TabellaBLENDING[[#This Row],[GIO]]="X",TabellaBLENDING[[#This Row],[VEN]]="X",),"X","")</f>
        <v/>
      </c>
      <c r="D34" s="109" t="inlineStr">
        <is>
          <t>BLENDING</t>
        </is>
      </c>
      <c r="E34" s="109" t="inlineStr">
        <is>
          <t>529945/C</t>
        </is>
      </c>
      <c r="F34" s="109" t="inlineStr">
        <is>
          <t>BLENDING</t>
        </is>
      </c>
      <c r="G34" s="109" t="inlineStr">
        <is>
          <t>BLENDING - ripristino o sostituzione manichetta in gomma aria strumenti braccio di carico lato mare BR302-B</t>
        </is>
      </c>
      <c r="H34" s="111" t="n"/>
      <c r="I34" s="111" t="n"/>
      <c r="J34" s="111" t="n"/>
      <c r="K34" s="111" t="n"/>
      <c r="L34" s="111" t="n"/>
      <c r="M34" s="109" t="inlineStr">
        <is>
          <t>DA CHIUDERE</t>
        </is>
      </c>
      <c r="N34" s="109" t="n"/>
      <c r="O34" s="109" t="n"/>
      <c r="P34" s="109" t="n"/>
      <c r="Q34" s="109" t="n"/>
      <c r="R34" s="110" t="n"/>
      <c r="S34" s="110" t="n"/>
      <c r="T3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1">
        <f>IFERROR(MID(G34,_xlfn.AGGREGATE(15,6,(ROW(INDIRECT("1:"&amp;LEN(G34)-7)))/(ISNUMBER(--MID(G34,ROW(INDIRECT("1:"&amp;LEN(G34)-7)),8))),1),8),"")</f>
        <v/>
      </c>
      <c r="V34" t="inlineStr">
        <is>
          <t>2025-09-30 20:00:00</t>
        </is>
      </c>
    </row>
    <row r="35" ht="30" customFormat="1" customHeight="1" s="45">
      <c r="A35" s="112" t="n"/>
      <c r="B35" s="112">
        <f>IF(OR(A35="x",A35="X"),"",IF(ISBLANK(A35),"X",""))</f>
        <v/>
      </c>
      <c r="C35" s="112">
        <f>IF(OR(TabellaBLENDING[[#This Row],[LUN]]="X",TabellaBLENDING[[#This Row],[MAR]]="X",TabellaBLENDING[[#This Row],[MER]]="X",TabellaBLENDING[[#This Row],[GIO]]="X",TabellaBLENDING[[#This Row],[VEN]]="X",),"X","")</f>
        <v/>
      </c>
      <c r="D35" s="109" t="inlineStr">
        <is>
          <t>BLENDING</t>
        </is>
      </c>
      <c r="E35" s="109" t="inlineStr">
        <is>
          <t>528588/C</t>
        </is>
      </c>
      <c r="F35" s="109" t="inlineStr">
        <is>
          <t>BLENDING</t>
        </is>
      </c>
      <c r="G35" s="109" t="inlineStr">
        <is>
          <t>ricerca guasto e ripristino funzionalit loop di regolazione termocoppia T215IC e valvola TCV-215</t>
        </is>
      </c>
      <c r="H35" s="111" t="n"/>
      <c r="I35" s="111" t="n"/>
      <c r="J35" s="111" t="n"/>
      <c r="K35" s="111" t="n"/>
      <c r="L35" s="111" t="n"/>
      <c r="M35" s="109" t="inlineStr">
        <is>
          <t>DA CHIUDERE</t>
        </is>
      </c>
      <c r="N35" s="109" t="n"/>
      <c r="O35" s="109" t="n"/>
      <c r="P35" s="109" t="n"/>
      <c r="Q35" s="109" t="n"/>
      <c r="R35" s="110" t="n"/>
      <c r="S35" s="110" t="inlineStr">
        <is>
          <t>SPINALI/SERRA</t>
        </is>
      </c>
      <c r="T35"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1">
        <f>IFERROR(MID(G35,_xlfn.AGGREGATE(15,6,(ROW(INDIRECT("1:"&amp;LEN(G35)-7)))/(ISNUMBER(--MID(G35,ROW(INDIRECT("1:"&amp;LEN(G35)-7)),8))),1),8),"")</f>
        <v/>
      </c>
      <c r="V35" t="inlineStr">
        <is>
          <t>2025-09-30 20:00:00</t>
        </is>
      </c>
    </row>
    <row r="36" ht="30" customFormat="1" customHeight="1" s="45">
      <c r="A36" s="112" t="n"/>
      <c r="B36" s="112">
        <f>IF(OR(A36="x",A36="X"),"",IF(ISBLANK(A36),"X",""))</f>
        <v/>
      </c>
      <c r="C36" s="112">
        <f>IF(OR(TabellaBLENDING[[#This Row],[LUN]]="X",TabellaBLENDING[[#This Row],[MAR]]="X",TabellaBLENDING[[#This Row],[MER]]="X",TabellaBLENDING[[#This Row],[GIO]]="X",TabellaBLENDING[[#This Row],[VEN]]="X",),"X","")</f>
        <v/>
      </c>
      <c r="D36" s="109" t="inlineStr">
        <is>
          <t>BLENDING</t>
        </is>
      </c>
      <c r="E36" s="109" t="inlineStr">
        <is>
          <t>530514/C</t>
        </is>
      </c>
      <c r="F36" s="109" t="inlineStr">
        <is>
          <t>CVT</t>
        </is>
      </c>
      <c r="G36" s="109" t="inlineStr">
        <is>
          <t xml:space="preserve">CVT - Controllo funzionalità di tutte le valvole di radice dei bracci di carico di Rampa 1-2-3-4-5-6-7 </t>
        </is>
      </c>
      <c r="H36" s="111" t="n"/>
      <c r="I36" s="111" t="n"/>
      <c r="J36" s="111" t="n"/>
      <c r="K36" s="111" t="n"/>
      <c r="L36" s="111" t="n"/>
      <c r="M36" s="109" t="inlineStr">
        <is>
          <t>DA CHIUDERE</t>
        </is>
      </c>
      <c r="N36" s="109" t="n"/>
      <c r="O36" s="109" t="n"/>
      <c r="P36" s="109" t="n"/>
      <c r="Q36" s="109" t="n"/>
      <c r="R36" s="110" t="n"/>
      <c r="S36" s="110" t="n"/>
      <c r="T36"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1">
        <f>IFERROR(MID(G36,_xlfn.AGGREGATE(15,6,(ROW(INDIRECT("1:"&amp;LEN(G36)-7)))/(ISNUMBER(--MID(G36,ROW(INDIRECT("1:"&amp;LEN(G36)-7)),8))),1),8),"")</f>
        <v/>
      </c>
      <c r="V36" t="inlineStr">
        <is>
          <t>2025-09-30 20:00:00</t>
        </is>
      </c>
    </row>
    <row r="37" ht="30" customFormat="1" customHeight="1" s="45">
      <c r="A37" s="112" t="n"/>
      <c r="B37" s="112">
        <f>IF(OR(A37="x",A37="X"),"",IF(ISBLANK(A37),"X",""))</f>
        <v/>
      </c>
      <c r="C37" s="112">
        <f>IF(OR(TabellaBLENDING[[#This Row],[LUN]]="X",TabellaBLENDING[[#This Row],[MAR]]="X",TabellaBLENDING[[#This Row],[MER]]="X",TabellaBLENDING[[#This Row],[GIO]]="X",TabellaBLENDING[[#This Row],[VEN]]="X",),"X","")</f>
        <v/>
      </c>
      <c r="D37" s="109" t="inlineStr">
        <is>
          <t>BLENDING</t>
        </is>
      </c>
      <c r="E37" s="109" t="inlineStr">
        <is>
          <t>312184/S</t>
        </is>
      </c>
      <c r="F37" s="109" t="inlineStr">
        <is>
          <t>BLENDING</t>
        </is>
      </c>
      <c r="G37" s="109" t="inlineStr">
        <is>
          <t>BLENDING - Ripristinare innesto aria strumenti su valvola regolatrice STREAM F5002 (BLENDING BENZINA - STREAM MTBE/IC6)</t>
        </is>
      </c>
      <c r="H37" s="111" t="n"/>
      <c r="I37" s="111" t="n"/>
      <c r="J37" s="111" t="n"/>
      <c r="K37" s="111" t="n"/>
      <c r="L37" s="111" t="n"/>
      <c r="M37" s="109" t="inlineStr">
        <is>
          <t>DA CHIUDERE</t>
        </is>
      </c>
      <c r="N37" s="109" t="n"/>
      <c r="O37" s="109" t="n"/>
      <c r="P37" s="109" t="n"/>
      <c r="Q37" s="109" t="n"/>
      <c r="R37" s="110" t="n"/>
      <c r="S37" s="110" t="n"/>
      <c r="T37"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1">
        <f>IFERROR(MID(G37,_xlfn.AGGREGATE(15,6,(ROW(INDIRECT("1:"&amp;LEN(G37)-7)))/(ISNUMBER(--MID(G37,ROW(INDIRECT("1:"&amp;LEN(G37)-7)),8))),1),8),"")</f>
        <v/>
      </c>
      <c r="V37" t="inlineStr">
        <is>
          <t>2025-09-30 20:00:00</t>
        </is>
      </c>
    </row>
    <row r="38" ht="23.25" customFormat="1" customHeight="1" s="45">
      <c r="A38" s="112" t="n"/>
      <c r="B38" s="112">
        <f>IF(OR(A38="x",A38="X"),"",IF(ISBLANK(A38),"X",""))</f>
        <v/>
      </c>
      <c r="C38" s="112">
        <f>IF(OR(TabellaBLENDING[[#This Row],[LUN]]="X",TabellaBLENDING[[#This Row],[MAR]]="X",TabellaBLENDING[[#This Row],[MER]]="X",TabellaBLENDING[[#This Row],[GIO]]="X",TabellaBLENDING[[#This Row],[VEN]]="X",),"X","")</f>
        <v/>
      </c>
      <c r="D38" s="109" t="inlineStr">
        <is>
          <t>BLENDING</t>
        </is>
      </c>
      <c r="E38" s="109" t="inlineStr">
        <is>
          <t>530229/C</t>
        </is>
      </c>
      <c r="F38" s="109" t="inlineStr">
        <is>
          <t>PONTILE</t>
        </is>
      </c>
      <c r="G38" s="109" t="inlineStr">
        <is>
          <t>PONTILE - Ripristino E.V. del motorino di avviamento del Diesel DP101S</t>
        </is>
      </c>
      <c r="H38" s="111" t="n"/>
      <c r="I38" s="111" t="n"/>
      <c r="J38" s="111" t="n"/>
      <c r="K38" s="111" t="n"/>
      <c r="L38" s="111" t="n"/>
      <c r="M38" s="109" t="inlineStr">
        <is>
          <t>DA CHIUDERE</t>
        </is>
      </c>
      <c r="N38" s="109" t="n"/>
      <c r="O38" s="109" t="n"/>
      <c r="P38" s="109" t="n"/>
      <c r="Q38" s="109" t="n"/>
      <c r="R38" s="110" t="n"/>
      <c r="S38" s="110" t="n"/>
      <c r="T38"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1">
        <f>IFERROR(MID(G38,_xlfn.AGGREGATE(15,6,(ROW(INDIRECT("1:"&amp;LEN(G38)-7)))/(ISNUMBER(--MID(G38,ROW(INDIRECT("1:"&amp;LEN(G38)-7)),8))),1),8),"")</f>
        <v/>
      </c>
      <c r="V38" t="inlineStr">
        <is>
          <t>2025-09-30 20:00:00</t>
        </is>
      </c>
    </row>
    <row r="39" ht="30" customFormat="1" customHeight="1" s="45">
      <c r="A39" s="112" t="n"/>
      <c r="B39" s="112">
        <f>IF(OR(A39="x",A39="X"),"",IF(ISBLANK(A39),"X",""))</f>
        <v/>
      </c>
      <c r="C39" s="112">
        <f>IF(OR(TabellaBLENDING[[#This Row],[LUN]]="X",TabellaBLENDING[[#This Row],[MAR]]="X",TabellaBLENDING[[#This Row],[MER]]="X",TabellaBLENDING[[#This Row],[GIO]]="X",TabellaBLENDING[[#This Row],[VEN]]="X",),"X","")</f>
        <v/>
      </c>
      <c r="D39" s="109" t="inlineStr">
        <is>
          <t>BLENDING</t>
        </is>
      </c>
      <c r="E39" s="109" t="inlineStr">
        <is>
          <t>530132/C</t>
        </is>
      </c>
      <c r="F39" s="109" t="inlineStr">
        <is>
          <t>BLENDING</t>
        </is>
      </c>
      <c r="G39" s="109" t="inlineStr">
        <is>
          <t xml:space="preserve">BLENDING - ripristino sistema di gorgogliamento braccio di carico lato mare BR302-B + verifica funzionalit E.V. aria strumenti </t>
        </is>
      </c>
      <c r="H39" s="111" t="n"/>
      <c r="I39" s="111" t="n"/>
      <c r="J39" s="111" t="n"/>
      <c r="K39" s="111" t="n"/>
      <c r="L39" s="111" t="n"/>
      <c r="M39" s="109" t="inlineStr">
        <is>
          <t>DA CHIUDERE</t>
        </is>
      </c>
      <c r="N39" s="109" t="n"/>
      <c r="O39" s="109" t="n"/>
      <c r="P39" s="109" t="n"/>
      <c r="Q39" s="109" t="n"/>
      <c r="R39" s="110" t="n"/>
      <c r="S39" s="110" t="n"/>
      <c r="T3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1">
        <f>IFERROR(MID(G39,_xlfn.AGGREGATE(15,6,(ROW(INDIRECT("1:"&amp;LEN(G39)-7)))/(ISNUMBER(--MID(G39,ROW(INDIRECT("1:"&amp;LEN(G39)-7)),8))),1),8),"")</f>
        <v/>
      </c>
      <c r="V39" t="inlineStr">
        <is>
          <t>2025-09-30 20:00:00</t>
        </is>
      </c>
    </row>
    <row r="40" ht="30" customFormat="1" customHeight="1" s="45">
      <c r="A40" s="112" t="n"/>
      <c r="B40" s="112">
        <f>IF(OR(A40="x",A40="X"),"",IF(ISBLANK(A40),"X",""))</f>
        <v/>
      </c>
      <c r="C40" s="112">
        <f>IF(OR(TabellaBLENDING[[#This Row],[LUN]]="X",TabellaBLENDING[[#This Row],[MAR]]="X",TabellaBLENDING[[#This Row],[MER]]="X",TabellaBLENDING[[#This Row],[GIO]]="X",TabellaBLENDING[[#This Row],[VEN]]="X",),"X","")</f>
        <v/>
      </c>
      <c r="D40" s="109" t="inlineStr">
        <is>
          <t>BLENDING</t>
        </is>
      </c>
      <c r="E40" s="109" t="inlineStr">
        <is>
          <t>528414/C</t>
        </is>
      </c>
      <c r="F40" s="109" t="inlineStr">
        <is>
          <t>BLENDING</t>
        </is>
      </c>
      <c r="G40" s="109" t="inlineStr">
        <is>
          <t>PONTILE - messa in servizio valvola regolatrice  PCV-008_A + collegamento barilotto aria strumentale</t>
        </is>
      </c>
      <c r="H40" s="111" t="n"/>
      <c r="I40" s="111" t="n"/>
      <c r="J40" s="111" t="n"/>
      <c r="K40" s="111" t="n"/>
      <c r="L40" s="111" t="n"/>
      <c r="M40" s="109" t="inlineStr">
        <is>
          <t>DA CHIUDERE</t>
        </is>
      </c>
      <c r="N40" s="109" t="n"/>
      <c r="O40" s="109" t="n"/>
      <c r="P40" s="109" t="n"/>
      <c r="Q40" s="109" t="n"/>
      <c r="R40" s="110" t="n"/>
      <c r="S40" s="110" t="inlineStr">
        <is>
          <t>GARRO L.</t>
        </is>
      </c>
      <c r="T4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1">
        <f>IFERROR(MID(G40,_xlfn.AGGREGATE(15,6,(ROW(INDIRECT("1:"&amp;LEN(G40)-7)))/(ISNUMBER(--MID(G40,ROW(INDIRECT("1:"&amp;LEN(G40)-7)),8))),1),8),"")</f>
        <v/>
      </c>
      <c r="V40" t="inlineStr">
        <is>
          <t>2025-09-30 20:00:00</t>
        </is>
      </c>
    </row>
    <row r="41" ht="45" customFormat="1" customHeight="1" s="45">
      <c r="A41" s="112" t="n"/>
      <c r="B41" s="112">
        <f>IF(OR(A41="x",A41="X"),"",IF(ISBLANK(A41),"X",""))</f>
        <v/>
      </c>
      <c r="C41" s="112">
        <f>IF(OR(TabellaBLENDING[[#This Row],[LUN]]="X",TabellaBLENDING[[#This Row],[MAR]]="X",TabellaBLENDING[[#This Row],[MER]]="X",TabellaBLENDING[[#This Row],[GIO]]="X",TabellaBLENDING[[#This Row],[VEN]]="X",),"X","")</f>
        <v/>
      </c>
      <c r="D41" s="109" t="inlineStr">
        <is>
          <t>BLENDING</t>
        </is>
      </c>
      <c r="E41" s="109" t="inlineStr">
        <is>
          <t>528044/C</t>
        </is>
      </c>
      <c r="F41" s="109" t="inlineStr">
        <is>
          <t>BLENDING</t>
        </is>
      </c>
      <c r="G41" s="109" t="inlineStr">
        <is>
          <t>controllo e ripristino funzionalita' loop di regolazione polmonazione azoto scarico a Blow Down</t>
        </is>
      </c>
      <c r="H41" s="111" t="n"/>
      <c r="I41" s="111" t="n"/>
      <c r="J41" s="111" t="n"/>
      <c r="K41" s="111" t="n"/>
      <c r="L41" s="111" t="n"/>
      <c r="M41" s="109" t="inlineStr">
        <is>
          <t>DA CHIUDERE</t>
        </is>
      </c>
      <c r="N41" s="109" t="n"/>
      <c r="O41" s="109" t="n"/>
      <c r="P41" s="109" t="n"/>
      <c r="Q41" s="109" t="inlineStr">
        <is>
          <t>LE VALVOLE DI AZOTO, INGRESSO E USCITA FUNZIONANO REGOLARMENTE. LA VALVOLA DI INGRESSO, NONOSTANTE SIA COMPLETAMENTE CHIUSA, TRAFILA. SI CONSIGLIA LA REVISIONE.</t>
        </is>
      </c>
      <c r="R41" s="110" t="n">
        <v>45720</v>
      </c>
      <c r="S41" s="110" t="inlineStr">
        <is>
          <t>SPINALI/SERRA</t>
        </is>
      </c>
      <c r="T4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1">
        <f>IFERROR(MID(G41,_xlfn.AGGREGATE(15,6,(ROW(INDIRECT("1:"&amp;LEN(G41)-7)))/(ISNUMBER(--MID(G41,ROW(INDIRECT("1:"&amp;LEN(G41)-7)),8))),1),8),"")</f>
        <v/>
      </c>
      <c r="V41" t="inlineStr">
        <is>
          <t>2025-09-30 20:00:00</t>
        </is>
      </c>
    </row>
    <row r="42" ht="30" customFormat="1" customHeight="1" s="45">
      <c r="A42" s="112" t="n"/>
      <c r="B42" s="112">
        <f>IF(OR(A42="x",A42="X"),"",IF(ISBLANK(A42),"X",""))</f>
        <v/>
      </c>
      <c r="C42" s="112">
        <f>IF(OR(TabellaBLENDING[[#This Row],[LUN]]="X",TabellaBLENDING[[#This Row],[MAR]]="X",TabellaBLENDING[[#This Row],[MER]]="X",TabellaBLENDING[[#This Row],[GIO]]="X",TabellaBLENDING[[#This Row],[VEN]]="X",),"X","")</f>
        <v/>
      </c>
      <c r="D42" s="109" t="inlineStr">
        <is>
          <t>BLENDING</t>
        </is>
      </c>
      <c r="E42" s="109" t="inlineStr">
        <is>
          <t>527191/C</t>
        </is>
      </c>
      <c r="F42" s="109" t="inlineStr">
        <is>
          <t>BLENDING</t>
        </is>
      </c>
      <c r="G42" s="109" t="inlineStr">
        <is>
          <t>PONTILE - ripristino trasmettitore di livello impianto MISE - Radice Pontile</t>
        </is>
      </c>
      <c r="H42" s="111" t="n"/>
      <c r="I42" s="111" t="n"/>
      <c r="J42" s="111" t="n"/>
      <c r="K42" s="111" t="n"/>
      <c r="L42" s="111" t="n"/>
      <c r="M42" s="109" t="inlineStr">
        <is>
          <t>DA CHIUDERE</t>
        </is>
      </c>
      <c r="N42" s="109" t="n"/>
      <c r="O42" s="109" t="n"/>
      <c r="P42" s="109" t="n"/>
      <c r="Q42" s="109" t="inlineStr">
        <is>
          <t>SOSTITUITO TX DI LIVELLO, SOSTITUITI TIRANTI SULLA FLANGIA.</t>
        </is>
      </c>
      <c r="R42" s="110" t="n">
        <v>45715</v>
      </c>
      <c r="S42" s="110" t="inlineStr">
        <is>
          <t>TARASCIO/PARTESANO</t>
        </is>
      </c>
      <c r="T4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1">
        <f>IFERROR(MID(G42,_xlfn.AGGREGATE(15,6,(ROW(INDIRECT("1:"&amp;LEN(G42)-7)))/(ISNUMBER(--MID(G42,ROW(INDIRECT("1:"&amp;LEN(G42)-7)),8))),1),8),"")</f>
        <v/>
      </c>
      <c r="V42" t="inlineStr">
        <is>
          <t>2025-09-30 20:00:00</t>
        </is>
      </c>
    </row>
    <row r="43" ht="30" customFormat="1" customHeight="1" s="45">
      <c r="A43" s="112" t="n"/>
      <c r="B43" s="112">
        <f>IF(OR(A43="x",A43="X"),"",IF(ISBLANK(A43),"X",""))</f>
        <v/>
      </c>
      <c r="C43" s="112">
        <f>IF(OR(TabellaBLENDING[[#This Row],[LUN]]="X",TabellaBLENDING[[#This Row],[MAR]]="X",TabellaBLENDING[[#This Row],[MER]]="X",TabellaBLENDING[[#This Row],[GIO]]="X",TabellaBLENDING[[#This Row],[VEN]]="X",),"X","")</f>
        <v/>
      </c>
      <c r="D43" s="109" t="inlineStr">
        <is>
          <t>BLENDING</t>
        </is>
      </c>
      <c r="E43" s="109" t="inlineStr">
        <is>
          <t>310765/S</t>
        </is>
      </c>
      <c r="F43" s="109" t="inlineStr">
        <is>
          <t>BLENDING</t>
        </is>
      </c>
      <c r="G43" s="109" t="inlineStr">
        <is>
          <t>BLENDING - Controllo e ripristino funzionalità (presso scambiatore E201)</t>
        </is>
      </c>
      <c r="H43" s="111" t="n"/>
      <c r="I43" s="111" t="n"/>
      <c r="J43" s="111" t="n"/>
      <c r="K43" s="111" t="n"/>
      <c r="L43" s="111" t="n"/>
      <c r="M43" s="109" t="inlineStr">
        <is>
          <t>DA CHIUDERE</t>
        </is>
      </c>
      <c r="N43" s="109" t="n"/>
      <c r="O43" s="109" t="n"/>
      <c r="P43" s="109" t="n"/>
      <c r="Q43" s="109" t="inlineStr">
        <is>
          <t>ATTIVITA' DA CHIUDERE</t>
        </is>
      </c>
      <c r="R43" s="110" t="n">
        <v>45706</v>
      </c>
      <c r="S43" s="110" t="inlineStr">
        <is>
          <t>SPINALI/SERRA</t>
        </is>
      </c>
      <c r="T4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1">
        <f>IFERROR(MID(G43,_xlfn.AGGREGATE(15,6,(ROW(INDIRECT("1:"&amp;LEN(G43)-7)))/(ISNUMBER(--MID(G43,ROW(INDIRECT("1:"&amp;LEN(G43)-7)),8))),1),8),"")</f>
        <v/>
      </c>
      <c r="V43" t="inlineStr">
        <is>
          <t>2025-09-30 20:00:00</t>
        </is>
      </c>
    </row>
    <row r="44" ht="30" customFormat="1" customHeight="1" s="45">
      <c r="A44" s="112" t="n"/>
      <c r="B44" s="112">
        <f>IF(OR(A44="x",A44="X"),"",IF(ISBLANK(A44),"X",""))</f>
        <v/>
      </c>
      <c r="C44" s="112">
        <f>IF(OR(TabellaBLENDING[[#This Row],[LUN]]="X",TabellaBLENDING[[#This Row],[MAR]]="X",TabellaBLENDING[[#This Row],[MER]]="X",TabellaBLENDING[[#This Row],[GIO]]="X",TabellaBLENDING[[#This Row],[VEN]]="X",),"X","")</f>
        <v/>
      </c>
      <c r="D44" s="109" t="inlineStr">
        <is>
          <t>BLENDING</t>
        </is>
      </c>
      <c r="E44" s="109" t="inlineStr">
        <is>
          <t>310504/S</t>
        </is>
      </c>
      <c r="F44" s="109" t="inlineStr">
        <is>
          <t>BLENDING</t>
        </is>
      </c>
      <c r="G44" s="109" t="inlineStr">
        <is>
          <t>BLENDING - ripristino funzionalità lettore di Badge</t>
        </is>
      </c>
      <c r="H44" s="111" t="n"/>
      <c r="I44" s="111" t="n"/>
      <c r="J44" s="111" t="n"/>
      <c r="K44" s="111" t="n"/>
      <c r="L44" s="111" t="n"/>
      <c r="M44" s="109" t="inlineStr">
        <is>
          <t>DA CHIUDERE</t>
        </is>
      </c>
      <c r="N44" s="109" t="n"/>
      <c r="O44" s="109" t="n"/>
      <c r="P44" s="109" t="n"/>
      <c r="Q44" s="109" t="inlineStr">
        <is>
          <t>ATTIVITA' DA CHIUDERE</t>
        </is>
      </c>
      <c r="R44" s="110" t="n">
        <v>45701</v>
      </c>
      <c r="S44" s="110" t="inlineStr">
        <is>
          <t>SPINALI/SERRA</t>
        </is>
      </c>
      <c r="T44"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1">
        <f>IFERROR(MID(G44,_xlfn.AGGREGATE(15,6,(ROW(INDIRECT("1:"&amp;LEN(G44)-7)))/(ISNUMBER(--MID(G44,ROW(INDIRECT("1:"&amp;LEN(G44)-7)),8))),1),8),"")</f>
        <v/>
      </c>
      <c r="V44" t="inlineStr">
        <is>
          <t>2025-09-30 20:00:00</t>
        </is>
      </c>
    </row>
    <row r="45" ht="23.25" customFormat="1" customHeight="1" s="45">
      <c r="A45" s="112" t="n"/>
      <c r="B45" s="112">
        <f>IF(OR(A45="x",A45="X"),"",IF(ISBLANK(A45),"X",""))</f>
        <v/>
      </c>
      <c r="C45" s="112">
        <f>IF(OR(TabellaBLENDING[[#This Row],[LUN]]="X",TabellaBLENDING[[#This Row],[MAR]]="X",TabellaBLENDING[[#This Row],[MER]]="X",TabellaBLENDING[[#This Row],[GIO]]="X",TabellaBLENDING[[#This Row],[VEN]]="X",),"X","")</f>
        <v/>
      </c>
      <c r="D45" s="109" t="inlineStr">
        <is>
          <t>BLENDING</t>
        </is>
      </c>
      <c r="E45" s="109" t="inlineStr">
        <is>
          <t>310218/S</t>
        </is>
      </c>
      <c r="F45" s="109" t="n">
        <v>1300</v>
      </c>
      <c r="G45" s="109" t="inlineStr">
        <is>
          <t>1300 - Controllo taratura e ripristino funzionalità F265B_T</t>
        </is>
      </c>
      <c r="H45" s="111" t="n"/>
      <c r="I45" s="111" t="n"/>
      <c r="J45" s="111" t="n"/>
      <c r="K45" s="111" t="n"/>
      <c r="L45" s="111" t="n"/>
      <c r="M45" s="109" t="inlineStr">
        <is>
          <t>DA CHIUDERE</t>
        </is>
      </c>
      <c r="N45" s="109" t="n"/>
      <c r="O45" s="109" t="n"/>
      <c r="P45" s="109" t="n"/>
      <c r="Q45" s="109" t="n"/>
      <c r="R45" s="110" t="n"/>
      <c r="S45" s="110" t="inlineStr">
        <is>
          <t>SPINALI/SERRA</t>
        </is>
      </c>
      <c r="T45"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1">
        <f>IFERROR(MID(G45,_xlfn.AGGREGATE(15,6,(ROW(INDIRECT("1:"&amp;LEN(G45)-7)))/(ISNUMBER(--MID(G45,ROW(INDIRECT("1:"&amp;LEN(G45)-7)),8))),1),8),"")</f>
        <v/>
      </c>
      <c r="V45" t="inlineStr">
        <is>
          <t>2025-09-30 20:00:00</t>
        </is>
      </c>
    </row>
    <row r="46" ht="23.25" customFormat="1" customHeight="1" s="45">
      <c r="A46" s="112" t="n"/>
      <c r="B46" s="112">
        <f>IF(OR(A46="x",A46="X"),"",IF(ISBLANK(A46),"X",""))</f>
        <v/>
      </c>
      <c r="C46" s="112">
        <f>IF(OR(TabellaBLENDING[[#This Row],[LUN]]="X",TabellaBLENDING[[#This Row],[MAR]]="X",TabellaBLENDING[[#This Row],[MER]]="X",TabellaBLENDING[[#This Row],[GIO]]="X",TabellaBLENDING[[#This Row],[VEN]]="X",),"X","")</f>
        <v/>
      </c>
      <c r="D46" s="109" t="inlineStr">
        <is>
          <t>BLENDING</t>
        </is>
      </c>
      <c r="E46" s="109" t="inlineStr">
        <is>
          <t>310219/S</t>
        </is>
      </c>
      <c r="F46" s="109" t="n">
        <v>1300</v>
      </c>
      <c r="G46" s="109" t="inlineStr">
        <is>
          <t>1300 - Controllo taratura e ripristino funzionalità F265A_T</t>
        </is>
      </c>
      <c r="H46" s="111" t="n"/>
      <c r="I46" s="111" t="n"/>
      <c r="J46" s="111" t="n"/>
      <c r="K46" s="111" t="n"/>
      <c r="L46" s="111" t="n"/>
      <c r="M46" s="109" t="inlineStr">
        <is>
          <t>DA CHIUDERE</t>
        </is>
      </c>
      <c r="N46" s="109" t="n"/>
      <c r="O46" s="109" t="n"/>
      <c r="P46" s="109" t="n"/>
      <c r="Q46" s="109" t="n"/>
      <c r="R46" s="110" t="n"/>
      <c r="S46" s="110" t="inlineStr">
        <is>
          <t>SPINALI/SERRA</t>
        </is>
      </c>
      <c r="T46"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1">
        <f>IFERROR(MID(G46,_xlfn.AGGREGATE(15,6,(ROW(INDIRECT("1:"&amp;LEN(G46)-7)))/(ISNUMBER(--MID(G46,ROW(INDIRECT("1:"&amp;LEN(G46)-7)),8))),1),8),"")</f>
        <v/>
      </c>
      <c r="V46" t="inlineStr">
        <is>
          <t>2025-09-30 20:00:00</t>
        </is>
      </c>
    </row>
    <row r="47" ht="30" customFormat="1" customHeight="1" s="45">
      <c r="A47" s="112" t="n"/>
      <c r="B47" s="112">
        <f>IF(OR(A47="x",A47="X"),"",IF(ISBLANK(A47),"X",""))</f>
        <v/>
      </c>
      <c r="C47" s="112">
        <f>IF(OR(TabellaBLENDING[[#This Row],[LUN]]="X",TabellaBLENDING[[#This Row],[MAR]]="X",TabellaBLENDING[[#This Row],[MER]]="X",TabellaBLENDING[[#This Row],[GIO]]="X",TabellaBLENDING[[#This Row],[VEN]]="X",),"X","")</f>
        <v/>
      </c>
      <c r="D47" s="109" t="inlineStr">
        <is>
          <t>BLENDING</t>
        </is>
      </c>
      <c r="E47" s="109" t="inlineStr">
        <is>
          <t>524799/C</t>
        </is>
      </c>
      <c r="F47" s="109" t="inlineStr">
        <is>
          <t>BLENDING</t>
        </is>
      </c>
      <c r="G47" s="109" t="inlineStr">
        <is>
          <t>BLENDING - Controllo e ripristino funzionalit trasmettitore di portata e dosatore pompetta additivo P1141-D</t>
        </is>
      </c>
      <c r="H47" s="111" t="n"/>
      <c r="I47" s="111" t="n"/>
      <c r="J47" s="111" t="n"/>
      <c r="K47" s="111" t="n"/>
      <c r="L47" s="111" t="n"/>
      <c r="M47" s="109" t="inlineStr">
        <is>
          <t>DA CHIUDERE</t>
        </is>
      </c>
      <c r="N47" s="109" t="n"/>
      <c r="O47" s="109" t="n"/>
      <c r="P47" s="109" t="n"/>
      <c r="Q47" s="109" t="n"/>
      <c r="R47" s="110" t="n">
        <v>45700</v>
      </c>
      <c r="S47" s="110" t="inlineStr">
        <is>
          <t>SPINALI/SERRA</t>
        </is>
      </c>
      <c r="T47"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1">
        <f>IFERROR(MID(G47,_xlfn.AGGREGATE(15,6,(ROW(INDIRECT("1:"&amp;LEN(G47)-7)))/(ISNUMBER(--MID(G47,ROW(INDIRECT("1:"&amp;LEN(G47)-7)),8))),1),8),"")</f>
        <v/>
      </c>
      <c r="V47" t="inlineStr">
        <is>
          <t>2025-09-30 20:00:00</t>
        </is>
      </c>
    </row>
    <row r="48" ht="30" customFormat="1" customHeight="1" s="45">
      <c r="A48" s="112" t="n"/>
      <c r="B48" s="112">
        <f>IF(OR(A48="x",A48="X"),"",IF(ISBLANK(A48),"X",""))</f>
        <v/>
      </c>
      <c r="C48" s="112">
        <f>IF(OR(TabellaBLENDING[[#This Row],[LUN]]="X",TabellaBLENDING[[#This Row],[MAR]]="X",TabellaBLENDING[[#This Row],[MER]]="X",TabellaBLENDING[[#This Row],[GIO]]="X",TabellaBLENDING[[#This Row],[VEN]]="X",),"X","")</f>
        <v/>
      </c>
      <c r="D48" s="109" t="inlineStr">
        <is>
          <t>BLENDING</t>
        </is>
      </c>
      <c r="E48" s="109" t="inlineStr">
        <is>
          <t>310190/S</t>
        </is>
      </c>
      <c r="F48" s="109" t="inlineStr">
        <is>
          <t>BLENDING</t>
        </is>
      </c>
      <c r="G48" s="109" t="inlineStr">
        <is>
          <t>ARCOM - Smontaggio piastre inferiori, sede di appoggio, celle di carico bilico ATB</t>
        </is>
      </c>
      <c r="H48" s="111" t="n"/>
      <c r="I48" s="111" t="n"/>
      <c r="J48" s="111" t="n"/>
      <c r="K48" s="111" t="n"/>
      <c r="L48" s="111" t="n"/>
      <c r="M48" s="109" t="inlineStr">
        <is>
          <t>DA CHIUDERE</t>
        </is>
      </c>
      <c r="N48" s="109" t="n"/>
      <c r="O48" s="109" t="n"/>
      <c r="P48" s="109" t="n"/>
      <c r="Q48" s="109" t="n"/>
      <c r="R48" s="110" t="n"/>
      <c r="S48" s="110" t="inlineStr">
        <is>
          <t>SPINALI/SERRA</t>
        </is>
      </c>
      <c r="T48"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1">
        <f>IFERROR(MID(G48,_xlfn.AGGREGATE(15,6,(ROW(INDIRECT("1:"&amp;LEN(G48)-7)))/(ISNUMBER(--MID(G48,ROW(INDIRECT("1:"&amp;LEN(G48)-7)),8))),1),8),"")</f>
        <v/>
      </c>
      <c r="V48" t="inlineStr">
        <is>
          <t>2025-09-30 20:00:00</t>
        </is>
      </c>
    </row>
    <row r="49" ht="30" customFormat="1" customHeight="1" s="45">
      <c r="A49" s="112" t="n"/>
      <c r="B49" s="112">
        <f>IF(OR(A49="x",A49="X"),"",IF(ISBLANK(A49),"X",""))</f>
        <v/>
      </c>
      <c r="C49" s="112">
        <f>IF(OR(TabellaBLENDING[[#This Row],[LUN]]="X",TabellaBLENDING[[#This Row],[MAR]]="X",TabellaBLENDING[[#This Row],[MER]]="X",TabellaBLENDING[[#This Row],[GIO]]="X",TabellaBLENDING[[#This Row],[VEN]]="X",),"X","")</f>
        <v/>
      </c>
      <c r="D49" s="109" t="inlineStr">
        <is>
          <t>BLENDING</t>
        </is>
      </c>
      <c r="E49" s="109" t="inlineStr">
        <is>
          <t>310187/S</t>
        </is>
      </c>
      <c r="F49" s="109" t="inlineStr">
        <is>
          <t>BLENDING</t>
        </is>
      </c>
      <c r="G49" s="109" t="inlineStr">
        <is>
          <t>BLENDING - Controllo regolatore scarico salamoia FIL 104</t>
        </is>
      </c>
      <c r="H49" s="111" t="n"/>
      <c r="I49" s="111" t="n"/>
      <c r="J49" s="111" t="n"/>
      <c r="K49" s="111" t="n"/>
      <c r="L49" s="111" t="n"/>
      <c r="M49" s="109" t="inlineStr">
        <is>
          <t>DA CHIUDERE</t>
        </is>
      </c>
      <c r="N49" s="109" t="n"/>
      <c r="O49" s="109" t="n"/>
      <c r="P49" s="109" t="n"/>
      <c r="Q49" s="109" t="n"/>
      <c r="R49" s="110" t="n"/>
      <c r="S49" s="110" t="inlineStr">
        <is>
          <t>SPINALI/SERRA</t>
        </is>
      </c>
      <c r="T49"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1">
        <f>IFERROR(MID(G49,_xlfn.AGGREGATE(15,6,(ROW(INDIRECT("1:"&amp;LEN(G49)-7)))/(ISNUMBER(--MID(G49,ROW(INDIRECT("1:"&amp;LEN(G49)-7)),8))),1),8),"")</f>
        <v/>
      </c>
      <c r="V49" t="inlineStr">
        <is>
          <t>2025-09-30 20:00:00</t>
        </is>
      </c>
    </row>
    <row r="50" ht="30" customFormat="1" customHeight="1" s="45">
      <c r="A50" s="112" t="n"/>
      <c r="B50" s="112">
        <f>IF(OR(A50="x",A50="X"),"",IF(ISBLANK(A50),"X",""))</f>
        <v/>
      </c>
      <c r="C50" s="112">
        <f>IF(OR(TabellaBLENDING[[#This Row],[LUN]]="X",TabellaBLENDING[[#This Row],[MAR]]="X",TabellaBLENDING[[#This Row],[MER]]="X",TabellaBLENDING[[#This Row],[GIO]]="X",TabellaBLENDING[[#This Row],[VEN]]="X",),"X","")</f>
        <v/>
      </c>
      <c r="D50" s="109" t="inlineStr">
        <is>
          <t>BLENDING</t>
        </is>
      </c>
      <c r="E50" s="109" t="inlineStr">
        <is>
          <t>310186/S</t>
        </is>
      </c>
      <c r="F50" s="109" t="inlineStr">
        <is>
          <t>BLENDING</t>
        </is>
      </c>
      <c r="G50" s="109" t="inlineStr">
        <is>
          <t>BLENDING - Controllo regolatore scarico salamoia FIL 103</t>
        </is>
      </c>
      <c r="H50" s="111" t="n"/>
      <c r="I50" s="111" t="n"/>
      <c r="J50" s="111" t="n"/>
      <c r="K50" s="111" t="n"/>
      <c r="L50" s="111" t="n"/>
      <c r="M50" s="109" t="inlineStr">
        <is>
          <t>DA CHIUDERE</t>
        </is>
      </c>
      <c r="N50" s="109" t="n"/>
      <c r="O50" s="109" t="n"/>
      <c r="P50" s="109" t="n"/>
      <c r="Q50" s="109" t="n"/>
      <c r="R50" s="110" t="n"/>
      <c r="S50" s="110" t="inlineStr">
        <is>
          <t>SPINALI/SERRA</t>
        </is>
      </c>
      <c r="T50"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1">
        <f>IFERROR(MID(G50,_xlfn.AGGREGATE(15,6,(ROW(INDIRECT("1:"&amp;LEN(G50)-7)))/(ISNUMBER(--MID(G50,ROW(INDIRECT("1:"&amp;LEN(G50)-7)),8))),1),8),"")</f>
        <v/>
      </c>
      <c r="V50" t="inlineStr">
        <is>
          <t>2025-09-30 20:00:00</t>
        </is>
      </c>
    </row>
    <row r="51" ht="30" customFormat="1" customHeight="1" s="45">
      <c r="A51" s="112" t="n"/>
      <c r="B51" s="112">
        <f>IF(OR(A51="x",A51="X"),"",IF(ISBLANK(A51),"X",""))</f>
        <v/>
      </c>
      <c r="C51" s="112">
        <f>IF(OR(TabellaBLENDING[[#This Row],[LUN]]="X",TabellaBLENDING[[#This Row],[MAR]]="X",TabellaBLENDING[[#This Row],[MER]]="X",TabellaBLENDING[[#This Row],[GIO]]="X",TabellaBLENDING[[#This Row],[VEN]]="X",),"X","")</f>
        <v/>
      </c>
      <c r="D51" s="109" t="inlineStr">
        <is>
          <t>BLENDING</t>
        </is>
      </c>
      <c r="E51" s="109" t="inlineStr">
        <is>
          <t>310184/S</t>
        </is>
      </c>
      <c r="F51" s="109" t="inlineStr">
        <is>
          <t>BLENDING</t>
        </is>
      </c>
      <c r="G51" s="109" t="inlineStr">
        <is>
          <t>BLENDING - Controllo regolatore scarico salamoia FIL 102</t>
        </is>
      </c>
      <c r="H51" s="111" t="n"/>
      <c r="I51" s="111" t="n"/>
      <c r="J51" s="111" t="n"/>
      <c r="K51" s="111" t="n"/>
      <c r="L51" s="111" t="n"/>
      <c r="M51" s="109" t="inlineStr">
        <is>
          <t>DA CHIUDERE</t>
        </is>
      </c>
      <c r="N51" s="109" t="n"/>
      <c r="O51" s="109" t="n"/>
      <c r="P51" s="109" t="n"/>
      <c r="Q51" s="109" t="n"/>
      <c r="R51" s="110" t="n"/>
      <c r="S51" s="110" t="inlineStr">
        <is>
          <t>SPINALI/SERRA</t>
        </is>
      </c>
      <c r="T51"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1">
        <f>IFERROR(MID(G51,_xlfn.AGGREGATE(15,6,(ROW(INDIRECT("1:"&amp;LEN(G51)-7)))/(ISNUMBER(--MID(G51,ROW(INDIRECT("1:"&amp;LEN(G51)-7)),8))),1),8),"")</f>
        <v/>
      </c>
      <c r="V51" t="inlineStr">
        <is>
          <t>2025-09-30 20:00:00</t>
        </is>
      </c>
    </row>
    <row r="52" ht="23.25" customFormat="1" customHeight="1" s="45">
      <c r="A52" s="112" t="n"/>
      <c r="B52" s="112">
        <f>IF(OR(A52="x",A52="X"),"",IF(ISBLANK(A52),"X",""))</f>
        <v/>
      </c>
      <c r="C52" s="112">
        <f>IF(OR(TabellaBLENDING[[#This Row],[LUN]]="X",TabellaBLENDING[[#This Row],[MAR]]="X",TabellaBLENDING[[#This Row],[MER]]="X",TabellaBLENDING[[#This Row],[GIO]]="X",TabellaBLENDING[[#This Row],[VEN]]="X",),"X","")</f>
        <v/>
      </c>
      <c r="D52" s="109" t="inlineStr">
        <is>
          <t>BLENDING</t>
        </is>
      </c>
      <c r="E52" s="109" t="inlineStr">
        <is>
          <t>524060/C</t>
        </is>
      </c>
      <c r="F52" s="109" t="inlineStr">
        <is>
          <t>CVT</t>
        </is>
      </c>
      <c r="G52" s="109" t="inlineStr">
        <is>
          <t>CVT - Verifica Taratura Sistema di additivazione Flexi Mix</t>
        </is>
      </c>
      <c r="H52" s="111" t="n"/>
      <c r="I52" s="111" t="n"/>
      <c r="J52" s="111" t="n"/>
      <c r="K52" s="111" t="n"/>
      <c r="L52" s="111" t="n"/>
      <c r="M52" s="109" t="inlineStr">
        <is>
          <t>DA CHIUDERE</t>
        </is>
      </c>
      <c r="N52" s="109" t="n"/>
      <c r="O52" s="109" t="n"/>
      <c r="P52" s="109" t="n"/>
      <c r="Q52" s="109" t="n"/>
      <c r="R52" s="110" t="n"/>
      <c r="S52" s="110" t="n"/>
      <c r="T52"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1">
        <f>IFERROR(MID(G52,_xlfn.AGGREGATE(15,6,(ROW(INDIRECT("1:"&amp;LEN(G52)-7)))/(ISNUMBER(--MID(G52,ROW(INDIRECT("1:"&amp;LEN(G52)-7)),8))),1),8),"")</f>
        <v/>
      </c>
      <c r="V52" t="inlineStr">
        <is>
          <t>2025-09-30 20:00:00</t>
        </is>
      </c>
    </row>
    <row r="53" ht="30" customFormat="1" customHeight="1" s="45">
      <c r="A53" s="112" t="n"/>
      <c r="B53" s="112">
        <f>IF(OR(A53="x",A53="X"),"",IF(ISBLANK(A53),"X",""))</f>
        <v/>
      </c>
      <c r="C53" s="112">
        <f>IF(OR(TabellaBLENDING[[#This Row],[LUN]]="X",TabellaBLENDING[[#This Row],[MAR]]="X",TabellaBLENDING[[#This Row],[MER]]="X",TabellaBLENDING[[#This Row],[GIO]]="X",TabellaBLENDING[[#This Row],[VEN]]="X",),"X","")</f>
        <v/>
      </c>
      <c r="D53" s="109" t="inlineStr">
        <is>
          <t>BLENDING</t>
        </is>
      </c>
      <c r="E53" s="109" t="inlineStr">
        <is>
          <t>309924/S</t>
        </is>
      </c>
      <c r="F53" s="109" t="n">
        <v>1300</v>
      </c>
      <c r="G53" s="109" t="inlineStr">
        <is>
          <t>1300 - ripristino o sostituzione manichetta in gomma aria strumenti braccio di carico lato mare BR302-B</t>
        </is>
      </c>
      <c r="H53" s="111" t="n"/>
      <c r="I53" s="111" t="n"/>
      <c r="J53" s="111" t="n"/>
      <c r="K53" s="111" t="n"/>
      <c r="L53" s="111" t="n"/>
      <c r="M53" s="109" t="inlineStr">
        <is>
          <t>DA CHIUDERE</t>
        </is>
      </c>
      <c r="N53" s="109" t="n"/>
      <c r="O53" s="109" t="n"/>
      <c r="P53" s="109" t="n"/>
      <c r="Q53" s="109" t="n"/>
      <c r="R53" s="110" t="n"/>
      <c r="S53" s="110" t="n"/>
      <c r="T53"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41">
        <f>IFERROR(MID(G53,_xlfn.AGGREGATE(15,6,(ROW(INDIRECT("1:"&amp;LEN(G53)-7)))/(ISNUMBER(--MID(G53,ROW(INDIRECT("1:"&amp;LEN(G53)-7)),8))),1),8),"")</f>
        <v/>
      </c>
      <c r="V53" t="inlineStr">
        <is>
          <t>2025-09-30 20:00:00</t>
        </is>
      </c>
    </row>
    <row r="54" ht="23.25" customFormat="1" customHeight="1" s="45">
      <c r="A54" s="112" t="n"/>
      <c r="B54" s="112">
        <f>IF(OR(A54="x",A54="X"),"",IF(ISBLANK(A54),"X",""))</f>
        <v/>
      </c>
      <c r="C54" s="112">
        <f>IF(OR(TabellaBLENDING[[#This Row],[LUN]]="X",TabellaBLENDING[[#This Row],[MAR]]="X",TabellaBLENDING[[#This Row],[MER]]="X",TabellaBLENDING[[#This Row],[GIO]]="X",TabellaBLENDING[[#This Row],[VEN]]="X",),"X","")</f>
        <v/>
      </c>
      <c r="D54" s="109" t="inlineStr">
        <is>
          <t>BLENDING</t>
        </is>
      </c>
      <c r="E54" s="109" t="inlineStr">
        <is>
          <t>309999/S</t>
        </is>
      </c>
      <c r="F54" s="109" t="inlineStr">
        <is>
          <t>CVT</t>
        </is>
      </c>
      <c r="G54" s="109" t="inlineStr">
        <is>
          <t>CVT - Ripristino pressacavo della sonda anti trabocco BR44</t>
        </is>
      </c>
      <c r="H54" s="111" t="n"/>
      <c r="I54" s="111" t="n"/>
      <c r="J54" s="111" t="n"/>
      <c r="K54" s="111" t="n"/>
      <c r="L54" s="111" t="n"/>
      <c r="M54" s="109" t="inlineStr">
        <is>
          <t>DA CHIUDERE</t>
        </is>
      </c>
      <c r="N54" s="109" t="n"/>
      <c r="O54" s="109" t="n"/>
      <c r="P54" s="109" t="n"/>
      <c r="Q54" s="109" t="n"/>
      <c r="R54" s="110" t="n"/>
      <c r="S54" s="110" t="n"/>
      <c r="T54"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41">
        <f>IFERROR(MID(G54,_xlfn.AGGREGATE(15,6,(ROW(INDIRECT("1:"&amp;LEN(G54)-7)))/(ISNUMBER(--MID(G54,ROW(INDIRECT("1:"&amp;LEN(G54)-7)),8))),1),8),"")</f>
        <v/>
      </c>
      <c r="V54" t="inlineStr">
        <is>
          <t>2025-09-30 20:00:00</t>
        </is>
      </c>
    </row>
    <row r="55" ht="23.25" customFormat="1" customHeight="1" s="45">
      <c r="A55" s="112" t="n"/>
      <c r="B55" s="112">
        <f>IF(OR(A55="x",A55="X"),"",IF(ISBLANK(A55),"X",""))</f>
        <v/>
      </c>
      <c r="C55" s="112">
        <f>IF(OR(TabellaBLENDING[[#This Row],[LUN]]="X",TabellaBLENDING[[#This Row],[MAR]]="X",TabellaBLENDING[[#This Row],[MER]]="X",TabellaBLENDING[[#This Row],[GIO]]="X",TabellaBLENDING[[#This Row],[VEN]]="X",),"X","")</f>
        <v/>
      </c>
      <c r="D55" s="109" t="inlineStr">
        <is>
          <t>BLENDING</t>
        </is>
      </c>
      <c r="E55" s="109" t="inlineStr">
        <is>
          <t>310020/S</t>
        </is>
      </c>
      <c r="F55" s="109" t="inlineStr">
        <is>
          <t>CVT</t>
        </is>
      </c>
      <c r="G55" s="109" t="inlineStr">
        <is>
          <t>CVT - Controllo funzionalità livello serbatoio cherosene LT- 604-D-821</t>
        </is>
      </c>
      <c r="H55" s="111" t="n"/>
      <c r="I55" s="111" t="n"/>
      <c r="J55" s="111" t="n"/>
      <c r="K55" s="111" t="n"/>
      <c r="L55" s="111" t="n"/>
      <c r="M55" s="109" t="inlineStr">
        <is>
          <t>DA CHIUDERE</t>
        </is>
      </c>
      <c r="N55" s="109" t="n"/>
      <c r="O55" s="109" t="n"/>
      <c r="P55" s="109" t="n"/>
      <c r="Q55" s="109" t="n"/>
      <c r="R55" s="110" t="n"/>
      <c r="S55" s="110" t="n"/>
      <c r="T55"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1">
        <f>IFERROR(MID(G55,_xlfn.AGGREGATE(15,6,(ROW(INDIRECT("1:"&amp;LEN(G55)-7)))/(ISNUMBER(--MID(G55,ROW(INDIRECT("1:"&amp;LEN(G55)-7)),8))),1),8),"")</f>
        <v/>
      </c>
      <c r="V55" t="inlineStr">
        <is>
          <t>2025-09-30 20:00:00</t>
        </is>
      </c>
    </row>
    <row r="56" ht="30" customFormat="1" customHeight="1" s="45">
      <c r="A56" s="112" t="n"/>
      <c r="B56" s="112">
        <f>IF(OR(A56="x",A56="X"),"",IF(ISBLANK(A56),"X",""))</f>
        <v/>
      </c>
      <c r="C56" s="112">
        <f>IF(OR(TabellaBLENDING[[#This Row],[LUN]]="X",TabellaBLENDING[[#This Row],[MAR]]="X",TabellaBLENDING[[#This Row],[MER]]="X",TabellaBLENDING[[#This Row],[GIO]]="X",TabellaBLENDING[[#This Row],[VEN]]="X",),"X","")</f>
        <v/>
      </c>
      <c r="D56" s="109" t="inlineStr">
        <is>
          <t>BLENDING</t>
        </is>
      </c>
      <c r="E56" s="109" t="inlineStr">
        <is>
          <t>310018/S</t>
        </is>
      </c>
      <c r="F56" s="109" t="inlineStr">
        <is>
          <t>BLENDING</t>
        </is>
      </c>
      <c r="G56" s="109" t="inlineStr">
        <is>
          <t>BLENDING - Verifica funzionalità loop automatismo pompa e livello L914SH - tronchetti fiscali</t>
        </is>
      </c>
      <c r="H56" s="111" t="n"/>
      <c r="I56" s="111" t="n"/>
      <c r="J56" s="111" t="n"/>
      <c r="K56" s="111" t="n"/>
      <c r="L56" s="111" t="n"/>
      <c r="M56" s="109" t="inlineStr">
        <is>
          <t>DA CHIUDERE</t>
        </is>
      </c>
      <c r="N56" s="109" t="n"/>
      <c r="O56" s="109" t="n"/>
      <c r="P56" s="109" t="n"/>
      <c r="Q56" s="109" t="n"/>
      <c r="R56" s="110" t="n"/>
      <c r="S56" s="110" t="n"/>
      <c r="T56"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1">
        <f>IFERROR(MID(G56,_xlfn.AGGREGATE(15,6,(ROW(INDIRECT("1:"&amp;LEN(G56)-7)))/(ISNUMBER(--MID(G56,ROW(INDIRECT("1:"&amp;LEN(G56)-7)),8))),1),8),"")</f>
        <v/>
      </c>
      <c r="V56" t="inlineStr">
        <is>
          <t>2025-09-30 20:00:00</t>
        </is>
      </c>
    </row>
    <row r="57" ht="30" customFormat="1" customHeight="1" s="45">
      <c r="A57" s="112" t="n"/>
      <c r="B57" s="112">
        <f>IF(OR(A57="x",A57="X"),"",IF(ISBLANK(A57),"X",""))</f>
        <v/>
      </c>
      <c r="C57" s="112">
        <f>IF(OR(TabellaBLENDING[[#This Row],[LUN]]="X",TabellaBLENDING[[#This Row],[MAR]]="X",TabellaBLENDING[[#This Row],[MER]]="X",TabellaBLENDING[[#This Row],[GIO]]="X",TabellaBLENDING[[#This Row],[VEN]]="X",),"X","")</f>
        <v/>
      </c>
      <c r="D57" s="109" t="inlineStr">
        <is>
          <t>BLENDING</t>
        </is>
      </c>
      <c r="E57" s="109" t="inlineStr">
        <is>
          <t>524175/C</t>
        </is>
      </c>
      <c r="F57" s="109" t="inlineStr">
        <is>
          <t>BLENDING</t>
        </is>
      </c>
      <c r="G57" s="109" t="inlineStr">
        <is>
          <t>BLENDING - revisione valvola di radice (perde gasolio)</t>
        </is>
      </c>
      <c r="H57" s="111" t="n"/>
      <c r="I57" s="111" t="n"/>
      <c r="J57" s="111" t="n"/>
      <c r="K57" s="111" t="n"/>
      <c r="L57" s="111" t="n"/>
      <c r="M57" s="109" t="inlineStr">
        <is>
          <t>DA CHIUDERE</t>
        </is>
      </c>
      <c r="N57" s="109" t="n"/>
      <c r="O57" s="109" t="n"/>
      <c r="P57" s="109" t="n"/>
      <c r="Q57" s="109" t="n"/>
      <c r="R57" s="110" t="n"/>
      <c r="S57" s="110" t="n"/>
      <c r="T57"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1">
        <f>IFERROR(MID(G57,_xlfn.AGGREGATE(15,6,(ROW(INDIRECT("1:"&amp;LEN(G57)-7)))/(ISNUMBER(--MID(G57,ROW(INDIRECT("1:"&amp;LEN(G57)-7)),8))),1),8),"")</f>
        <v/>
      </c>
      <c r="V57" t="inlineStr">
        <is>
          <t>2025-09-30 20:00:00</t>
        </is>
      </c>
    </row>
    <row r="58" ht="30" customFormat="1" customHeight="1" s="45">
      <c r="A58" s="112" t="n"/>
      <c r="B58" s="112">
        <f>IF(OR(A58="x",A58="X"),"",IF(ISBLANK(A58),"X",""))</f>
        <v/>
      </c>
      <c r="C58" s="112">
        <f>IF(OR(TabellaBLENDING[[#This Row],[LUN]]="X",TabellaBLENDING[[#This Row],[MAR]]="X",TabellaBLENDING[[#This Row],[MER]]="X",TabellaBLENDING[[#This Row],[GIO]]="X",TabellaBLENDING[[#This Row],[VEN]]="X",),"X","")</f>
        <v/>
      </c>
      <c r="D58" s="109" t="inlineStr">
        <is>
          <t>BLENDING</t>
        </is>
      </c>
      <c r="E58" s="109" t="inlineStr">
        <is>
          <t>522519/C</t>
        </is>
      </c>
      <c r="F58" s="109" t="inlineStr">
        <is>
          <t>ANTICENDIO</t>
        </is>
      </c>
      <c r="G58" s="109" t="inlineStr">
        <is>
          <t>ANTICENDIO - DP1003-B/C e MP1003-A/D Taratura pressostati pompe antincendio Raffineria come da elenco allegato</t>
        </is>
      </c>
      <c r="H58" s="111" t="n"/>
      <c r="I58" s="111" t="n"/>
      <c r="J58" s="111" t="n"/>
      <c r="K58" s="111" t="n"/>
      <c r="L58" s="111" t="n"/>
      <c r="M58" s="109" t="inlineStr">
        <is>
          <t>DA CHIUDERE</t>
        </is>
      </c>
      <c r="N58" s="109" t="n"/>
      <c r="O58" s="109" t="n"/>
      <c r="P58" s="109" t="n"/>
      <c r="Q58" s="109" t="n"/>
      <c r="R58" s="110" t="n"/>
      <c r="S58" s="110" t="n"/>
      <c r="T58"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1">
        <f>IFERROR(MID(G58,_xlfn.AGGREGATE(15,6,(ROW(INDIRECT("1:"&amp;LEN(G58)-7)))/(ISNUMBER(--MID(G58,ROW(INDIRECT("1:"&amp;LEN(G58)-7)),8))),1),8),"")</f>
        <v/>
      </c>
      <c r="V58" t="inlineStr">
        <is>
          <t>2025-09-30 20:00:00</t>
        </is>
      </c>
    </row>
    <row r="59" ht="23.25" customFormat="1" customHeight="1" s="45">
      <c r="A59" s="112" t="n"/>
      <c r="B59" s="112">
        <f>IF(OR(A59="x",A59="X"),"",IF(ISBLANK(A59),"X",""))</f>
        <v/>
      </c>
      <c r="C59" s="112">
        <f>IF(OR(TabellaBLENDING[[#This Row],[LUN]]="X",TabellaBLENDING[[#This Row],[MAR]]="X",TabellaBLENDING[[#This Row],[MER]]="X",TabellaBLENDING[[#This Row],[GIO]]="X",TabellaBLENDING[[#This Row],[VEN]]="X",),"X","")</f>
        <v/>
      </c>
      <c r="D59" s="109" t="inlineStr">
        <is>
          <t>BLENDING</t>
        </is>
      </c>
      <c r="E59" s="109" t="inlineStr">
        <is>
          <t>524058/C</t>
        </is>
      </c>
      <c r="F59" s="109" t="inlineStr">
        <is>
          <t>CVT</t>
        </is>
      </c>
      <c r="G59" s="109" t="inlineStr">
        <is>
          <t>CVT - Verifica taratura Flexi Mix IB1 additivo ROSSO su BR45</t>
        </is>
      </c>
      <c r="H59" s="111" t="n"/>
      <c r="I59" s="111" t="n"/>
      <c r="J59" s="111" t="n"/>
      <c r="K59" s="111" t="n"/>
      <c r="L59" s="111" t="n"/>
      <c r="M59" s="109" t="inlineStr">
        <is>
          <t>DA CHIUDERE</t>
        </is>
      </c>
      <c r="N59" s="109" t="n"/>
      <c r="O59" s="109" t="n"/>
      <c r="P59" s="109" t="n"/>
      <c r="Q59" s="109" t="n"/>
      <c r="R59" s="110" t="n"/>
      <c r="S59" s="110" t="n"/>
      <c r="T59"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1">
        <f>IFERROR(MID(G59,_xlfn.AGGREGATE(15,6,(ROW(INDIRECT("1:"&amp;LEN(G59)-7)))/(ISNUMBER(--MID(G59,ROW(INDIRECT("1:"&amp;LEN(G59)-7)),8))),1),8),"")</f>
        <v/>
      </c>
      <c r="V59" t="inlineStr">
        <is>
          <t>2025-09-30 20:00:00</t>
        </is>
      </c>
    </row>
    <row r="60" ht="23.25" customFormat="1" customHeight="1" s="45">
      <c r="A60" s="112" t="n"/>
      <c r="B60" s="112">
        <f>IF(OR(A60="x",A60="X"),"",IF(ISBLANK(A60),"X",""))</f>
        <v/>
      </c>
      <c r="C60" s="112">
        <f>IF(OR(TabellaBLENDING[[#This Row],[LUN]]="X",TabellaBLENDING[[#This Row],[MAR]]="X",TabellaBLENDING[[#This Row],[MER]]="X",TabellaBLENDING[[#This Row],[GIO]]="X",TabellaBLENDING[[#This Row],[VEN]]="X",),"X","")</f>
        <v/>
      </c>
      <c r="D60" s="109" t="inlineStr">
        <is>
          <t>BLENDING</t>
        </is>
      </c>
      <c r="E60" s="109" t="inlineStr">
        <is>
          <t>523716/C</t>
        </is>
      </c>
      <c r="F60" s="109" t="inlineStr">
        <is>
          <t>CVT</t>
        </is>
      </c>
      <c r="G60" s="109" t="inlineStr">
        <is>
          <t>ripristino funzionalit Flexi Mix  (Braccio12) - pulizia E.V.</t>
        </is>
      </c>
      <c r="H60" s="111" t="n"/>
      <c r="I60" s="111" t="n"/>
      <c r="J60" s="111" t="n"/>
      <c r="K60" s="111" t="n"/>
      <c r="L60" s="111" t="n"/>
      <c r="M60" s="109" t="inlineStr">
        <is>
          <t>DA CHIUDERE</t>
        </is>
      </c>
      <c r="N60" s="109" t="n"/>
      <c r="O60" s="109" t="n"/>
      <c r="P60" s="109" t="n"/>
      <c r="Q60" s="109" t="n"/>
      <c r="R60" s="110" t="n"/>
      <c r="S60" s="110" t="n"/>
      <c r="T60"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1">
        <f>IFERROR(MID(G60,_xlfn.AGGREGATE(15,6,(ROW(INDIRECT("1:"&amp;LEN(G60)-7)))/(ISNUMBER(--MID(G60,ROW(INDIRECT("1:"&amp;LEN(G60)-7)),8))),1),8),"")</f>
        <v/>
      </c>
      <c r="V60" t="inlineStr">
        <is>
          <t>2025-09-30 20:00:00</t>
        </is>
      </c>
    </row>
    <row r="61" ht="30" customFormat="1" customHeight="1" s="45">
      <c r="A61" s="112" t="n"/>
      <c r="B61" s="112">
        <f>IF(OR(A61="x",A61="X"),"",IF(ISBLANK(A61),"X",""))</f>
        <v/>
      </c>
      <c r="C61" s="112">
        <f>IF(OR(TabellaBLENDING[[#This Row],[LUN]]="X",TabellaBLENDING[[#This Row],[MAR]]="X",TabellaBLENDING[[#This Row],[MER]]="X",TabellaBLENDING[[#This Row],[GIO]]="X",TabellaBLENDING[[#This Row],[VEN]]="X",),"X","")</f>
        <v/>
      </c>
      <c r="D61" s="109" t="inlineStr">
        <is>
          <t>BLENDING</t>
        </is>
      </c>
      <c r="E61" s="109" t="inlineStr">
        <is>
          <t>523342/C</t>
        </is>
      </c>
      <c r="F61" s="109" t="inlineStr">
        <is>
          <t>BLENDING</t>
        </is>
      </c>
      <c r="G61" s="109" t="inlineStr">
        <is>
          <t xml:space="preserve">Ripristino funzionalit valvola di polmonazione azoto scarico a Blow Down </t>
        </is>
      </c>
      <c r="H61" s="111" t="n"/>
      <c r="I61" s="111" t="n"/>
      <c r="J61" s="111" t="n"/>
      <c r="K61" s="111" t="n"/>
      <c r="L61" s="111" t="n"/>
      <c r="M61" s="109" t="inlineStr">
        <is>
          <t>DA CHIUDERE</t>
        </is>
      </c>
      <c r="N61" s="109" t="n"/>
      <c r="O61" s="109" t="n"/>
      <c r="P61" s="109" t="n"/>
      <c r="Q61" s="109" t="n"/>
      <c r="R61" s="110" t="n">
        <v>45681</v>
      </c>
      <c r="S61" s="110" t="inlineStr">
        <is>
          <t>RICIPUTO</t>
        </is>
      </c>
      <c r="T61"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1">
        <f>IFERROR(MID(G61,_xlfn.AGGREGATE(15,6,(ROW(INDIRECT("1:"&amp;LEN(G61)-7)))/(ISNUMBER(--MID(G61,ROW(INDIRECT("1:"&amp;LEN(G61)-7)),8))),1),8),"")</f>
        <v/>
      </c>
      <c r="V61" t="inlineStr">
        <is>
          <t>2025-09-30 20:00:00</t>
        </is>
      </c>
    </row>
    <row r="62" ht="23.25" customFormat="1" customHeight="1" s="45">
      <c r="A62" s="112" t="n"/>
      <c r="B62" s="112">
        <f>IF(OR(A62="x",A62="X"),"",IF(ISBLANK(A62),"X",""))</f>
        <v/>
      </c>
      <c r="C62" s="112">
        <f>IF(OR(TabellaBLENDING[[#This Row],[LUN]]="X",TabellaBLENDING[[#This Row],[MAR]]="X",TabellaBLENDING[[#This Row],[MER]]="X",TabellaBLENDING[[#This Row],[GIO]]="X",TabellaBLENDING[[#This Row],[VEN]]="X",),"X","")</f>
        <v/>
      </c>
      <c r="D62" s="109" t="inlineStr">
        <is>
          <t>BLENDING</t>
        </is>
      </c>
      <c r="E62" s="109" t="inlineStr">
        <is>
          <t>309652/S</t>
        </is>
      </c>
      <c r="F62" s="109" t="n">
        <v>6500</v>
      </c>
      <c r="G62" s="109" t="inlineStr">
        <is>
          <t>Ripristino funzionalità lettore di badge</t>
        </is>
      </c>
      <c r="H62" s="111" t="n"/>
      <c r="I62" s="111" t="n"/>
      <c r="J62" s="111" t="n"/>
      <c r="K62" s="111" t="n"/>
      <c r="L62" s="111" t="n"/>
      <c r="M62" s="109" t="inlineStr">
        <is>
          <t>DA CHIUDERE</t>
        </is>
      </c>
      <c r="N62" s="109" t="n"/>
      <c r="O62" s="109" t="n"/>
      <c r="P62" s="109" t="n"/>
      <c r="Q62" s="109" t="n"/>
      <c r="R62" s="110" t="n">
        <v>45680</v>
      </c>
      <c r="S62" s="110" t="inlineStr">
        <is>
          <t>RICIPUTO</t>
        </is>
      </c>
      <c r="T62"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1">
        <f>IFERROR(MID(G62,_xlfn.AGGREGATE(15,6,(ROW(INDIRECT("1:"&amp;LEN(G62)-7)))/(ISNUMBER(--MID(G62,ROW(INDIRECT("1:"&amp;LEN(G62)-7)),8))),1),8),"")</f>
        <v/>
      </c>
      <c r="V62" t="inlineStr">
        <is>
          <t>2025-09-30 20:00:00</t>
        </is>
      </c>
    </row>
    <row r="63" ht="23.25" customFormat="1" customHeight="1" s="45">
      <c r="A63" s="112" t="n"/>
      <c r="B63" s="112">
        <f>IF(OR(A63="x",A63="X"),"",IF(ISBLANK(A63),"X",""))</f>
        <v/>
      </c>
      <c r="C63" s="112">
        <f>IF(OR(TabellaBLENDING[[#This Row],[LUN]]="X",TabellaBLENDING[[#This Row],[MAR]]="X",TabellaBLENDING[[#This Row],[MER]]="X",TabellaBLENDING[[#This Row],[GIO]]="X",TabellaBLENDING[[#This Row],[VEN]]="X",),"X","")</f>
        <v/>
      </c>
      <c r="D63" s="109" t="inlineStr">
        <is>
          <t>BLENDING</t>
        </is>
      </c>
      <c r="E63" s="109" t="inlineStr">
        <is>
          <t>523104/C</t>
        </is>
      </c>
      <c r="F63" s="109" t="n">
        <v>6500</v>
      </c>
      <c r="G63" s="109" t="inlineStr">
        <is>
          <t>sostituzione cavo Civacon</t>
        </is>
      </c>
      <c r="H63" s="111" t="n"/>
      <c r="I63" s="111" t="n"/>
      <c r="J63" s="111" t="n"/>
      <c r="K63" s="111" t="n"/>
      <c r="L63" s="111" t="n"/>
      <c r="M63" s="109" t="inlineStr">
        <is>
          <t>DA CHIUDERE</t>
        </is>
      </c>
      <c r="N63" s="109" t="n"/>
      <c r="O63" s="109" t="n"/>
      <c r="P63" s="109" t="n"/>
      <c r="Q63" s="109" t="n"/>
      <c r="R63" s="110" t="n">
        <v>45681</v>
      </c>
      <c r="S63" s="110" t="inlineStr">
        <is>
          <t>RICIPUTO</t>
        </is>
      </c>
      <c r="T63"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1">
        <f>IFERROR(MID(G63,_xlfn.AGGREGATE(15,6,(ROW(INDIRECT("1:"&amp;LEN(G63)-7)))/(ISNUMBER(--MID(G63,ROW(INDIRECT("1:"&amp;LEN(G63)-7)),8))),1),8),"")</f>
        <v/>
      </c>
      <c r="V63" t="inlineStr">
        <is>
          <t>2025-09-30 20:00:00</t>
        </is>
      </c>
    </row>
    <row r="64" ht="23.25" customFormat="1" customHeight="1" s="45">
      <c r="A64" s="112" t="n"/>
      <c r="B64" s="112">
        <f>IF(OR(A64="x",A64="X"),"",IF(ISBLANK(A64),"X",""))</f>
        <v/>
      </c>
      <c r="C64" s="112">
        <f>IF(OR(TabellaBLENDING[[#This Row],[LUN]]="X",TabellaBLENDING[[#This Row],[MAR]]="X",TabellaBLENDING[[#This Row],[MER]]="X",TabellaBLENDING[[#This Row],[GIO]]="X",TabellaBLENDING[[#This Row],[VEN]]="X",),"X","")</f>
        <v/>
      </c>
      <c r="D64" s="109" t="inlineStr">
        <is>
          <t>BLENDING</t>
        </is>
      </c>
      <c r="E64" s="109" t="inlineStr">
        <is>
          <t>309538/S</t>
        </is>
      </c>
      <c r="F64" s="109" t="inlineStr">
        <is>
          <t>PONTILE</t>
        </is>
      </c>
      <c r="G64" s="109" t="inlineStr">
        <is>
          <t>Controllo taratura pressostati barilotti aria dei compressori C1 e C2 Diesel Pontile</t>
        </is>
      </c>
      <c r="H64" s="111" t="n"/>
      <c r="I64" s="111" t="n"/>
      <c r="J64" s="111" t="n"/>
      <c r="K64" s="111" t="n"/>
      <c r="L64" s="111" t="n"/>
      <c r="M64" s="109" t="inlineStr">
        <is>
          <t>DA CHIUDERE</t>
        </is>
      </c>
      <c r="N64" s="109" t="n"/>
      <c r="O64" s="109" t="n"/>
      <c r="P64" s="109" t="n"/>
      <c r="Q64" s="109" t="inlineStr">
        <is>
          <t>ESEGUITI TUTTI I CONTROLLI.</t>
        </is>
      </c>
      <c r="R64" s="110" t="n">
        <v>45679</v>
      </c>
      <c r="S64" s="110" t="inlineStr">
        <is>
          <t>RICIPUTO A.</t>
        </is>
      </c>
      <c r="T64"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1">
        <f>IFERROR(MID(G64,_xlfn.AGGREGATE(15,6,(ROW(INDIRECT("1:"&amp;LEN(G64)-7)))/(ISNUMBER(--MID(G64,ROW(INDIRECT("1:"&amp;LEN(G64)-7)),8))),1),8),"")</f>
        <v/>
      </c>
      <c r="V64" t="inlineStr">
        <is>
          <t>2025-09-30 20:00:00</t>
        </is>
      </c>
    </row>
    <row r="65" ht="30" customFormat="1" customHeight="1" s="45">
      <c r="A65" s="112" t="n"/>
      <c r="B65" s="112">
        <f>IF(OR(A65="x",A65="X"),"",IF(ISBLANK(A65),"X",""))</f>
        <v/>
      </c>
      <c r="C65" s="112">
        <f>IF(OR(TabellaBLENDING[[#This Row],[LUN]]="X",TabellaBLENDING[[#This Row],[MAR]]="X",TabellaBLENDING[[#This Row],[MER]]="X",TabellaBLENDING[[#This Row],[GIO]]="X",TabellaBLENDING[[#This Row],[VEN]]="X",),"X","")</f>
        <v/>
      </c>
      <c r="D65" s="109" t="inlineStr">
        <is>
          <t>BLENDING</t>
        </is>
      </c>
      <c r="E65" s="109" t="inlineStr">
        <is>
          <t>522513/C</t>
        </is>
      </c>
      <c r="F65" s="109" t="inlineStr">
        <is>
          <t>ANTICENDIO</t>
        </is>
      </c>
      <c r="G65" s="109" t="inlineStr">
        <is>
          <t>ANTICENDIO - Taratura pressostati pompe MP102-MP110-MP201-MP101A-DP101B-DP101S in S.P. Antincendio Pontile</t>
        </is>
      </c>
      <c r="H65" s="111" t="n"/>
      <c r="I65" s="111" t="n"/>
      <c r="J65" s="111" t="n"/>
      <c r="K65" s="111" t="n"/>
      <c r="L65" s="111" t="n"/>
      <c r="M65" s="109" t="inlineStr">
        <is>
          <t>DA CHIUDERE</t>
        </is>
      </c>
      <c r="N65" s="109" t="n"/>
      <c r="O65" s="109" t="n"/>
      <c r="P65" s="109" t="n"/>
      <c r="Q65" s="109" t="inlineStr">
        <is>
          <t>ESEGUITI TUTTI I CONTROLLI.</t>
        </is>
      </c>
      <c r="R65" s="110" t="n">
        <v>45679</v>
      </c>
      <c r="S65" s="110" t="inlineStr">
        <is>
          <t>RICIPUTO A.</t>
        </is>
      </c>
      <c r="T65"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1">
        <f>IFERROR(MID(G65,_xlfn.AGGREGATE(15,6,(ROW(INDIRECT("1:"&amp;LEN(G65)-7)))/(ISNUMBER(--MID(G65,ROW(INDIRECT("1:"&amp;LEN(G65)-7)),8))),1),8),"")</f>
        <v/>
      </c>
      <c r="V65" t="inlineStr">
        <is>
          <t>2025-09-30 20:00:00</t>
        </is>
      </c>
    </row>
    <row r="66" ht="30" customFormat="1" customHeight="1" s="45">
      <c r="A66" s="112" t="n"/>
      <c r="B66" s="112">
        <f>IF(OR(A66="x",A66="X"),"",IF(ISBLANK(A66),"X",""))</f>
        <v/>
      </c>
      <c r="C66" s="112">
        <f>IF(OR(TabellaBLENDING[[#This Row],[LUN]]="X",TabellaBLENDING[[#This Row],[MAR]]="X",TabellaBLENDING[[#This Row],[MER]]="X",TabellaBLENDING[[#This Row],[GIO]]="X",TabellaBLENDING[[#This Row],[VEN]]="X",),"X","")</f>
        <v/>
      </c>
      <c r="D66" s="109" t="inlineStr">
        <is>
          <t>BLENDING</t>
        </is>
      </c>
      <c r="E66" s="109" t="inlineStr">
        <is>
          <t>309194/S</t>
        </is>
      </c>
      <c r="F66" s="109" t="inlineStr">
        <is>
          <t>BLENDING</t>
        </is>
      </c>
      <c r="G66" s="109" t="inlineStr">
        <is>
          <t>BLENDING - Controllo funzionalità pressostati differenziali (Filtri Pompe)</t>
        </is>
      </c>
      <c r="H66" s="111" t="n"/>
      <c r="I66" s="111" t="n"/>
      <c r="J66" s="111" t="n"/>
      <c r="K66" s="111" t="n"/>
      <c r="L66" s="111" t="n"/>
      <c r="M66" s="109" t="inlineStr">
        <is>
          <t>DA CHIUDERE</t>
        </is>
      </c>
      <c r="N66" s="109" t="n"/>
      <c r="O66" s="109" t="n"/>
      <c r="P66" s="109" t="n"/>
      <c r="Q66" s="109" t="inlineStr">
        <is>
          <t>ESEGUITI TUTTI I CONTROLLI.</t>
        </is>
      </c>
      <c r="R66" s="110" t="n">
        <v>45674</v>
      </c>
      <c r="S66" s="110" t="inlineStr">
        <is>
          <t>RICIPUTO A.</t>
        </is>
      </c>
      <c r="T66"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1">
        <f>IFERROR(MID(G66,_xlfn.AGGREGATE(15,6,(ROW(INDIRECT("1:"&amp;LEN(G66)-7)))/(ISNUMBER(--MID(G66,ROW(INDIRECT("1:"&amp;LEN(G66)-7)),8))),1),8),"")</f>
        <v/>
      </c>
      <c r="V66" t="inlineStr">
        <is>
          <t>2025-09-30 20:00:00</t>
        </is>
      </c>
    </row>
    <row r="67" ht="30" customFormat="1" customHeight="1" s="45">
      <c r="A67" s="112" t="n"/>
      <c r="B67" s="112">
        <f>IF(OR(A67="x",A67="X"),"",IF(ISBLANK(A67),"X",""))</f>
        <v/>
      </c>
      <c r="C67" s="112">
        <f>IF(OR(TabellaBLENDING[[#This Row],[LUN]]="X",TabellaBLENDING[[#This Row],[MAR]]="X",TabellaBLENDING[[#This Row],[MER]]="X",TabellaBLENDING[[#This Row],[GIO]]="X",TabellaBLENDING[[#This Row],[VEN]]="X",),"X","")</f>
        <v/>
      </c>
      <c r="D67" s="109" t="inlineStr">
        <is>
          <t>BLENDING</t>
        </is>
      </c>
      <c r="E67" s="109" t="inlineStr">
        <is>
          <t>309196/S</t>
        </is>
      </c>
      <c r="F67" s="109" t="inlineStr">
        <is>
          <t>BLENDING</t>
        </is>
      </c>
      <c r="G67" s="109" t="inlineStr">
        <is>
          <t>BLENDING - Controllo funzionalità pressostati differenziali (Filtri Pompe)</t>
        </is>
      </c>
      <c r="H67" s="111" t="n"/>
      <c r="I67" s="111" t="n"/>
      <c r="J67" s="111" t="n"/>
      <c r="K67" s="111" t="n"/>
      <c r="L67" s="111" t="n"/>
      <c r="M67" s="109" t="inlineStr">
        <is>
          <t>DA CHIUDERE</t>
        </is>
      </c>
      <c r="N67" s="109" t="n"/>
      <c r="O67" s="109" t="n"/>
      <c r="P67" s="109" t="n"/>
      <c r="Q67" s="109" t="n"/>
      <c r="R67" s="110" t="n">
        <v>45672</v>
      </c>
      <c r="S67" s="110" t="inlineStr">
        <is>
          <t>RICIPUTO/RIZZA</t>
        </is>
      </c>
      <c r="T67"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1">
        <f>IFERROR(MID(G67,_xlfn.AGGREGATE(15,6,(ROW(INDIRECT("1:"&amp;LEN(G67)-7)))/(ISNUMBER(--MID(G67,ROW(INDIRECT("1:"&amp;LEN(G67)-7)),8))),1),8),"")</f>
        <v/>
      </c>
      <c r="V67" t="inlineStr">
        <is>
          <t>2025-09-30 20:00:00</t>
        </is>
      </c>
    </row>
    <row r="68" ht="30" customFormat="1" customHeight="1" s="45">
      <c r="A68" s="112" t="n"/>
      <c r="B68" s="112">
        <f>IF(OR(A68="x",A68="X"),"",IF(ISBLANK(A68),"X",""))</f>
        <v/>
      </c>
      <c r="C68" s="112">
        <f>IF(OR(TabellaBLENDING[[#This Row],[LUN]]="X",TabellaBLENDING[[#This Row],[MAR]]="X",TabellaBLENDING[[#This Row],[MER]]="X",TabellaBLENDING[[#This Row],[GIO]]="X",TabellaBLENDING[[#This Row],[VEN]]="X",),"X","")</f>
        <v/>
      </c>
      <c r="D68" s="109" t="inlineStr">
        <is>
          <t>BLENDING</t>
        </is>
      </c>
      <c r="E68" s="109" t="inlineStr">
        <is>
          <t>309192/S</t>
        </is>
      </c>
      <c r="F68" s="109" t="inlineStr">
        <is>
          <t>BLENDING</t>
        </is>
      </c>
      <c r="G68" s="109" t="inlineStr">
        <is>
          <t>BLENDING - Controllo e ripristino funzionalità DP FT2 del Filtro FIL 605 - FT12_A-B-C</t>
        </is>
      </c>
      <c r="H68" s="111" t="n"/>
      <c r="I68" s="111" t="n"/>
      <c r="J68" s="111" t="n"/>
      <c r="K68" s="111" t="n"/>
      <c r="L68" s="111" t="n"/>
      <c r="M68" s="109" t="inlineStr">
        <is>
          <t>DA CHIUDERE</t>
        </is>
      </c>
      <c r="N68" s="109" t="n"/>
      <c r="O68" s="109" t="n"/>
      <c r="P68" s="109" t="n"/>
      <c r="Q68" s="109" t="n"/>
      <c r="R68" s="110" t="n"/>
      <c r="S68" s="110" t="n"/>
      <c r="T68"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1">
        <f>IFERROR(MID(G68,_xlfn.AGGREGATE(15,6,(ROW(INDIRECT("1:"&amp;LEN(G68)-7)))/(ISNUMBER(--MID(G68,ROW(INDIRECT("1:"&amp;LEN(G68)-7)),8))),1),8),"")</f>
        <v/>
      </c>
      <c r="V68" t="inlineStr">
        <is>
          <t>2025-09-30 20:00:00</t>
        </is>
      </c>
    </row>
    <row r="69" ht="30" customFormat="1" customHeight="1" s="45">
      <c r="A69" s="112" t="n"/>
      <c r="B69" s="112">
        <f>IF(OR(A69="x",A69="X"),"",IF(ISBLANK(A69),"X",""))</f>
        <v/>
      </c>
      <c r="C69" s="112">
        <f>IF(OR(TabellaBLENDING[[#This Row],[LUN]]="X",TabellaBLENDING[[#This Row],[MAR]]="X",TabellaBLENDING[[#This Row],[MER]]="X",TabellaBLENDING[[#This Row],[GIO]]="X",TabellaBLENDING[[#This Row],[VEN]]="X",),"X","")</f>
        <v/>
      </c>
      <c r="D69" s="109" t="inlineStr">
        <is>
          <t>BLENDING</t>
        </is>
      </c>
      <c r="E69" s="109" t="inlineStr">
        <is>
          <t>516606/C</t>
        </is>
      </c>
      <c r="F69" s="109" t="inlineStr">
        <is>
          <t>PONTILE</t>
        </is>
      </c>
      <c r="G69" s="109" t="inlineStr">
        <is>
          <t>PONTILE - Sostituzione trasmettitore contalitri presso Impianto MISE in Area PMP (messa in sicurezza a cura esecutore)</t>
        </is>
      </c>
      <c r="H69" s="111" t="n"/>
      <c r="I69" s="111" t="n"/>
      <c r="J69" s="111" t="n"/>
      <c r="K69" s="111" t="n"/>
      <c r="L69" s="111" t="n"/>
      <c r="M69" s="109" t="inlineStr">
        <is>
          <t>DA CHIUDERE</t>
        </is>
      </c>
      <c r="N69" s="109" t="n"/>
      <c r="O69" s="109" t="n"/>
      <c r="P69" s="109" t="n"/>
      <c r="Q69" s="109" t="n"/>
      <c r="R69" s="110" t="n"/>
      <c r="S69" s="110" t="n"/>
      <c r="T69"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1">
        <f>IFERROR(MID(G69,_xlfn.AGGREGATE(15,6,(ROW(INDIRECT("1:"&amp;LEN(G69)-7)))/(ISNUMBER(--MID(G69,ROW(INDIRECT("1:"&amp;LEN(G69)-7)),8))),1),8),"")</f>
        <v/>
      </c>
      <c r="V69" t="inlineStr">
        <is>
          <t>2025-09-30 20:00:00</t>
        </is>
      </c>
    </row>
    <row r="70" ht="30" customFormat="1" customHeight="1" s="45">
      <c r="A70" s="112" t="n"/>
      <c r="B70" s="112">
        <f>IF(OR(A70="x",A70="X"),"",IF(ISBLANK(A70),"X",""))</f>
        <v/>
      </c>
      <c r="C70" s="112">
        <f>IF(OR(TabellaBLENDING[[#This Row],[LUN]]="X",TabellaBLENDING[[#This Row],[MAR]]="X",TabellaBLENDING[[#This Row],[MER]]="X",TabellaBLENDING[[#This Row],[GIO]]="X",TabellaBLENDING[[#This Row],[VEN]]="X",),"X","")</f>
        <v/>
      </c>
      <c r="D70" s="109" t="inlineStr">
        <is>
          <t>BLENDING</t>
        </is>
      </c>
      <c r="E70" s="109" t="inlineStr">
        <is>
          <t>313705/S</t>
        </is>
      </c>
      <c r="F70" s="109" t="inlineStr">
        <is>
          <t>BLENDING</t>
        </is>
      </c>
      <c r="G70" s="109" t="inlineStr">
        <is>
          <t>BLENDING - Controllo funzionalità DP_004_I installato su filtri a carbone attivi del serbatoio S417 (Jet-fuel)</t>
        </is>
      </c>
      <c r="H70" s="111" t="n"/>
      <c r="I70" s="111" t="n"/>
      <c r="J70" s="111" t="n"/>
      <c r="K70" s="111" t="n"/>
      <c r="L70" s="111" t="n"/>
      <c r="M70" s="109" t="inlineStr">
        <is>
          <t>DA CHIUDERE</t>
        </is>
      </c>
      <c r="N70" s="109" t="n"/>
      <c r="O70" s="109" t="n"/>
      <c r="P70" s="109" t="n"/>
      <c r="Q70" s="109" t="n"/>
      <c r="R70" s="110" t="n">
        <v>45784</v>
      </c>
      <c r="S70" s="110" t="inlineStr">
        <is>
          <t>RICIPUTO/SERRA</t>
        </is>
      </c>
      <c r="T7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1">
        <f>IFERROR(MID(G70,_xlfn.AGGREGATE(15,6,(ROW(INDIRECT("1:"&amp;LEN(G70)-7)))/(ISNUMBER(--MID(G70,ROW(INDIRECT("1:"&amp;LEN(G70)-7)),8))),1),8),"")</f>
        <v/>
      </c>
      <c r="V70" t="inlineStr">
        <is>
          <t>2025-09-30 20:00:00</t>
        </is>
      </c>
    </row>
    <row r="71" ht="30" customFormat="1" customHeight="1" s="45">
      <c r="A71" s="112" t="n"/>
      <c r="B71" s="112">
        <f>IF(OR(A71="x",A71="X"),"",IF(ISBLANK(A71),"X",""))</f>
        <v/>
      </c>
      <c r="C71" s="112">
        <f>IF(OR(TabellaBLENDING[[#This Row],[LUN]]="X",TabellaBLENDING[[#This Row],[MAR]]="X",TabellaBLENDING[[#This Row],[MER]]="X",TabellaBLENDING[[#This Row],[GIO]]="X",TabellaBLENDING[[#This Row],[VEN]]="X",),"X","")</f>
        <v/>
      </c>
      <c r="D71" s="109" t="inlineStr">
        <is>
          <t>BLENDING</t>
        </is>
      </c>
      <c r="E71" s="109" t="inlineStr">
        <is>
          <t>535221/C</t>
        </is>
      </c>
      <c r="F71" s="109" t="inlineStr">
        <is>
          <t>BLENDING</t>
        </is>
      </c>
      <c r="G71" s="109" t="inlineStr">
        <is>
          <t xml:space="preserve">BLENDING - MP120 A-B-C + MP121 verifica funzionalità livellostati di allarme perdita tenute </t>
        </is>
      </c>
      <c r="H71" s="111" t="n"/>
      <c r="I71" s="111" t="n"/>
      <c r="J71" s="111" t="n"/>
      <c r="K71" s="111" t="n"/>
      <c r="L71" s="111" t="n"/>
      <c r="M71" s="109" t="inlineStr">
        <is>
          <t>DA CHIUDERE</t>
        </is>
      </c>
      <c r="N71" s="109" t="n"/>
      <c r="O71" s="109" t="n"/>
      <c r="P71" s="109" t="n"/>
      <c r="Q71" s="109" t="n"/>
      <c r="R71" s="110" t="n">
        <v>45785</v>
      </c>
      <c r="S71" s="110" t="inlineStr">
        <is>
          <t>RICIPUTO/SERRA</t>
        </is>
      </c>
      <c r="T7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1">
        <f>IFERROR(MID(G71,_xlfn.AGGREGATE(15,6,(ROW(INDIRECT("1:"&amp;LEN(G71)-7)))/(ISNUMBER(--MID(G71,ROW(INDIRECT("1:"&amp;LEN(G71)-7)),8))),1),8),"")</f>
        <v/>
      </c>
      <c r="V71" t="inlineStr">
        <is>
          <t>2025-09-30 20:00:00</t>
        </is>
      </c>
    </row>
    <row r="72" ht="30" customFormat="1" customHeight="1" s="45">
      <c r="A72" s="112" t="n"/>
      <c r="B72" s="112">
        <f>IF(OR(A72="x",A72="X"),"",IF(ISBLANK(A72),"X",""))</f>
        <v/>
      </c>
      <c r="C72" s="112">
        <f>IF(OR(TabellaBLENDING[[#This Row],[LUN]]="X",TabellaBLENDING[[#This Row],[MAR]]="X",TabellaBLENDING[[#This Row],[MER]]="X",TabellaBLENDING[[#This Row],[GIO]]="X",TabellaBLENDING[[#This Row],[VEN]]="X",),"X","")</f>
        <v/>
      </c>
      <c r="D72" s="109" t="inlineStr">
        <is>
          <t>BLENDING</t>
        </is>
      </c>
      <c r="E72" s="109" t="inlineStr">
        <is>
          <t>530658/C</t>
        </is>
      </c>
      <c r="F72" s="109" t="inlineStr">
        <is>
          <t>BLENDING</t>
        </is>
      </c>
      <c r="G72" s="109" t="inlineStr">
        <is>
          <t xml:space="preserve">BLENDING - controllo funzionalità PT 607 + ripristino gruppo manometrico </t>
        </is>
      </c>
      <c r="H72" s="111" t="n"/>
      <c r="I72" s="111" t="n"/>
      <c r="J72" s="111" t="n"/>
      <c r="K72" s="111" t="n"/>
      <c r="L72" s="111" t="n"/>
      <c r="M72" s="109" t="inlineStr">
        <is>
          <t>DA CHIUDERE</t>
        </is>
      </c>
      <c r="N72" s="109" t="n"/>
      <c r="O72" s="109" t="n"/>
      <c r="P72" s="109" t="n"/>
      <c r="Q72" s="109" t="inlineStr">
        <is>
          <t>GRUPPO MANOMETRICO RIPRISTINATO, DA MONTARE IN CAMPO.</t>
        </is>
      </c>
      <c r="R72" s="110" t="n">
        <v>45775</v>
      </c>
      <c r="S72" s="110" t="inlineStr">
        <is>
          <t>RICIPUTO/PARTESANO</t>
        </is>
      </c>
      <c r="T7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1">
        <f>IFERROR(MID(G72,_xlfn.AGGREGATE(15,6,(ROW(INDIRECT("1:"&amp;LEN(G72)-7)))/(ISNUMBER(--MID(G72,ROW(INDIRECT("1:"&amp;LEN(G72)-7)),8))),1),8),"")</f>
        <v/>
      </c>
      <c r="V72" t="inlineStr">
        <is>
          <t>2025-09-30 20:00:00</t>
        </is>
      </c>
    </row>
    <row r="73" ht="30" customFormat="1" customHeight="1" s="45">
      <c r="A73" s="112" t="n"/>
      <c r="B73" s="112">
        <f>IF(OR(A73="x",A73="X"),"",IF(ISBLANK(A73),"X",""))</f>
        <v/>
      </c>
      <c r="C73" s="112">
        <f>IF(OR(TabellaBLENDING[[#This Row],[LUN]]="X",TabellaBLENDING[[#This Row],[MAR]]="X",TabellaBLENDING[[#This Row],[MER]]="X",TabellaBLENDING[[#This Row],[GIO]]="X",TabellaBLENDING[[#This Row],[VEN]]="X",),"X","")</f>
        <v/>
      </c>
      <c r="D73" s="109" t="inlineStr">
        <is>
          <t>BLENDING</t>
        </is>
      </c>
      <c r="E73" s="109" t="inlineStr">
        <is>
          <t>535213/C</t>
        </is>
      </c>
      <c r="F73" s="109" t="inlineStr">
        <is>
          <t>BLENDING</t>
        </is>
      </c>
      <c r="G73" s="109" t="inlineStr">
        <is>
          <t>BLENDING - Ripristino funzionalita' SOV6 VRU</t>
        </is>
      </c>
      <c r="H73" s="111" t="n"/>
      <c r="I73" s="111" t="n"/>
      <c r="J73" s="111" t="n"/>
      <c r="K73" s="111" t="n"/>
      <c r="L73" s="111" t="n"/>
      <c r="M73" s="109" t="inlineStr">
        <is>
          <t>DA CHIUDERE</t>
        </is>
      </c>
      <c r="N73" s="109" t="n"/>
      <c r="O73" s="109" t="n"/>
      <c r="P73" s="109" t="n"/>
      <c r="Q73" s="109" t="inlineStr">
        <is>
          <t>SMTG ATTUATORE PER RIPRISTINO ORING DI TENUTA</t>
        </is>
      </c>
      <c r="R73" s="110" t="n">
        <v>45784</v>
      </c>
      <c r="S73" s="110" t="inlineStr">
        <is>
          <t>CIANCHINO/GIGLIUTO</t>
        </is>
      </c>
      <c r="T7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1">
        <f>IFERROR(MID(G73,_xlfn.AGGREGATE(15,6,(ROW(INDIRECT("1:"&amp;LEN(G73)-7)))/(ISNUMBER(--MID(G73,ROW(INDIRECT("1:"&amp;LEN(G73)-7)),8))),1),8),"")</f>
        <v/>
      </c>
      <c r="V73" t="inlineStr">
        <is>
          <t>2025-09-30 20:00:00</t>
        </is>
      </c>
    </row>
    <row r="74" ht="30" customFormat="1" customHeight="1" s="45">
      <c r="A74" s="112" t="n"/>
      <c r="B74" s="112">
        <f>IF(OR(A74="x",A74="X"),"",IF(ISBLANK(A74),"X",""))</f>
        <v/>
      </c>
      <c r="C74" s="112">
        <f>IF(OR(TabellaBLENDING[[#This Row],[LUN]]="X",TabellaBLENDING[[#This Row],[MAR]]="X",TabellaBLENDING[[#This Row],[MER]]="X",TabellaBLENDING[[#This Row],[GIO]]="X",TabellaBLENDING[[#This Row],[VEN]]="X",),"X","")</f>
        <v/>
      </c>
      <c r="D74" s="109" t="inlineStr">
        <is>
          <t>BLENDING</t>
        </is>
      </c>
      <c r="E74" s="109" t="inlineStr">
        <is>
          <t>533473/C</t>
        </is>
      </c>
      <c r="F74" s="109" t="inlineStr">
        <is>
          <t>BLENDING</t>
        </is>
      </c>
      <c r="G74" s="109" t="inlineStr">
        <is>
          <t>ANTICENDIO - Taratura pressostati Sala Pompe AI radice pontile, come da elenco allegato + sostituzione se guasti</t>
        </is>
      </c>
      <c r="H74" s="111" t="n"/>
      <c r="I74" s="111" t="n"/>
      <c r="J74" s="111" t="n"/>
      <c r="K74" s="111" t="n"/>
      <c r="L74" s="111" t="n"/>
      <c r="M74" s="109" t="inlineStr">
        <is>
          <t>DA CHIUDERE</t>
        </is>
      </c>
      <c r="N74" s="109" t="n"/>
      <c r="O74" s="109" t="n"/>
      <c r="P74" s="109" t="n"/>
      <c r="Q74" s="109" t="n"/>
      <c r="R74" s="110" t="n"/>
      <c r="S74" s="110" t="n"/>
      <c r="T7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1">
        <f>IFERROR(MID(G74,_xlfn.AGGREGATE(15,6,(ROW(INDIRECT("1:"&amp;LEN(G74)-7)))/(ISNUMBER(--MID(G74,ROW(INDIRECT("1:"&amp;LEN(G74)-7)),8))),1),8),"")</f>
        <v/>
      </c>
      <c r="V74" t="inlineStr">
        <is>
          <t>2025-09-30 20:00:00</t>
        </is>
      </c>
    </row>
    <row r="75" ht="23.25" customFormat="1" customHeight="1" s="45">
      <c r="A75" s="112" t="n"/>
      <c r="B75" s="112">
        <f>IF(OR(A75="x",A75="X"),"",IF(ISBLANK(A75),"X",""))</f>
        <v/>
      </c>
      <c r="C75" s="112">
        <f>IF(OR(TabellaBLENDING[[#This Row],[LUN]]="X",TabellaBLENDING[[#This Row],[MAR]]="X",TabellaBLENDING[[#This Row],[MER]]="X",TabellaBLENDING[[#This Row],[GIO]]="X",TabellaBLENDING[[#This Row],[VEN]]="X",),"X","")</f>
        <v/>
      </c>
      <c r="D75" s="109" t="inlineStr">
        <is>
          <t>BLENDING</t>
        </is>
      </c>
      <c r="E75" s="109" t="inlineStr">
        <is>
          <t>536498/C</t>
        </is>
      </c>
      <c r="F75" s="109" t="inlineStr">
        <is>
          <t>CVT</t>
        </is>
      </c>
      <c r="G75" s="109" t="inlineStr">
        <is>
          <t>CVT - RIPRISTINO CIVACON</t>
        </is>
      </c>
      <c r="H75" s="111" t="n"/>
      <c r="I75" s="111" t="n"/>
      <c r="J75" s="111" t="n"/>
      <c r="K75" s="111" t="n"/>
      <c r="L75" s="111" t="n"/>
      <c r="M75" s="109" t="inlineStr">
        <is>
          <t>DA CHIUDERE</t>
        </is>
      </c>
      <c r="N75" s="109" t="n"/>
      <c r="O75" s="109" t="n"/>
      <c r="P75" s="109" t="n"/>
      <c r="Q75" s="109" t="n"/>
      <c r="R75" s="110" t="n"/>
      <c r="S75" s="110" t="n"/>
      <c r="T7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1">
        <f>IFERROR(MID(G75,_xlfn.AGGREGATE(15,6,(ROW(INDIRECT("1:"&amp;LEN(G75)-7)))/(ISNUMBER(--MID(G75,ROW(INDIRECT("1:"&amp;LEN(G75)-7)),8))),1),8),"")</f>
        <v/>
      </c>
      <c r="V75" t="inlineStr">
        <is>
          <t>2025-09-30 20:00:00</t>
        </is>
      </c>
    </row>
    <row r="76" ht="30" customFormat="1" customHeight="1" s="45">
      <c r="A76" s="112" t="n"/>
      <c r="B76" s="112">
        <f>IF(OR(A76="x",A76="X"),"",IF(ISBLANK(A76),"X",""))</f>
        <v/>
      </c>
      <c r="C76" s="112">
        <f>IF(OR(TabellaBLENDING[[#This Row],[LUN]]="X",TabellaBLENDING[[#This Row],[MAR]]="X",TabellaBLENDING[[#This Row],[MER]]="X",TabellaBLENDING[[#This Row],[GIO]]="X",TabellaBLENDING[[#This Row],[VEN]]="X",),"X","")</f>
        <v/>
      </c>
      <c r="D76" s="109" t="inlineStr">
        <is>
          <t>BLENDING</t>
        </is>
      </c>
      <c r="E76" s="109" t="inlineStr">
        <is>
          <t>536722/C</t>
        </is>
      </c>
      <c r="F76" s="109" t="inlineStr">
        <is>
          <t>BLENDING</t>
        </is>
      </c>
      <c r="G76" s="109" t="inlineStr">
        <is>
          <t>BLENDING - controllo funzionalit PI001 - OL 7</t>
        </is>
      </c>
      <c r="H76" s="111" t="n"/>
      <c r="I76" s="111" t="n"/>
      <c r="J76" s="111" t="n"/>
      <c r="K76" s="111" t="n"/>
      <c r="L76" s="111" t="n"/>
      <c r="M76" s="109" t="inlineStr">
        <is>
          <t>DA CHIUDERE</t>
        </is>
      </c>
      <c r="N76" s="109" t="n"/>
      <c r="O76" s="109" t="n"/>
      <c r="P76" s="109" t="n"/>
      <c r="Q76" s="109" t="n"/>
      <c r="R76" s="110" t="n"/>
      <c r="S76" s="110" t="n"/>
      <c r="T7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1">
        <f>IFERROR(MID(G76,_xlfn.AGGREGATE(15,6,(ROW(INDIRECT("1:"&amp;LEN(G76)-7)))/(ISNUMBER(--MID(G76,ROW(INDIRECT("1:"&amp;LEN(G76)-7)),8))),1),8),"")</f>
        <v/>
      </c>
      <c r="V76" t="inlineStr">
        <is>
          <t>2025-09-30 20:00:00</t>
        </is>
      </c>
    </row>
    <row r="77" ht="30" customFormat="1" customHeight="1" s="45">
      <c r="A77" s="112" t="n"/>
      <c r="B77" s="112">
        <f>IF(OR(A77="x",A77="X"),"",IF(ISBLANK(A77),"X",""))</f>
        <v/>
      </c>
      <c r="C77" s="112">
        <f>IF(OR(TabellaBLENDING[[#This Row],[LUN]]="X",TabellaBLENDING[[#This Row],[MAR]]="X",TabellaBLENDING[[#This Row],[MER]]="X",TabellaBLENDING[[#This Row],[GIO]]="X",TabellaBLENDING[[#This Row],[VEN]]="X",),"X","")</f>
        <v/>
      </c>
      <c r="D77" s="109" t="inlineStr">
        <is>
          <t>BLENDING</t>
        </is>
      </c>
      <c r="E77" s="109" t="inlineStr">
        <is>
          <t>536720/C</t>
        </is>
      </c>
      <c r="F77" s="109" t="inlineStr">
        <is>
          <t>BLENDING</t>
        </is>
      </c>
      <c r="G77" s="109" t="inlineStr">
        <is>
          <t>BLENDING - controllo funzionalit PI002 - OL6A</t>
        </is>
      </c>
      <c r="H77" s="111" t="n"/>
      <c r="I77" s="111" t="n"/>
      <c r="J77" s="111" t="n"/>
      <c r="K77" s="111" t="n"/>
      <c r="L77" s="111" t="n"/>
      <c r="M77" s="109" t="inlineStr">
        <is>
          <t>DA CHIUDERE</t>
        </is>
      </c>
      <c r="N77" s="109" t="n"/>
      <c r="O77" s="109" t="n"/>
      <c r="P77" s="109" t="n"/>
      <c r="Q77" s="109" t="n"/>
      <c r="R77" s="110" t="n"/>
      <c r="S77" s="110" t="n"/>
      <c r="T7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1">
        <f>IFERROR(MID(G77,_xlfn.AGGREGATE(15,6,(ROW(INDIRECT("1:"&amp;LEN(G77)-7)))/(ISNUMBER(--MID(G77,ROW(INDIRECT("1:"&amp;LEN(G77)-7)),8))),1),8),"")</f>
        <v/>
      </c>
      <c r="V77" t="inlineStr">
        <is>
          <t>2025-09-30 20:00:00</t>
        </is>
      </c>
    </row>
    <row r="78" ht="30" customFormat="1" customHeight="1" s="45">
      <c r="A78" s="112" t="n"/>
      <c r="B78" s="112" t="n"/>
      <c r="C78" s="112">
        <f>IF(OR(TabellaBLENDING[[#This Row],[LUN]]="X",TabellaBLENDING[[#This Row],[MAR]]="X",TabellaBLENDING[[#This Row],[MER]]="X",TabellaBLENDING[[#This Row],[GIO]]="X",TabellaBLENDING[[#This Row],[VEN]]="X",),"X","")</f>
        <v/>
      </c>
      <c r="D78" s="109" t="inlineStr">
        <is>
          <t>BLENDING</t>
        </is>
      </c>
      <c r="E78" s="109" t="inlineStr">
        <is>
          <t>314452/S</t>
        </is>
      </c>
      <c r="F78" s="109" t="inlineStr">
        <is>
          <t>BLENDING</t>
        </is>
      </c>
      <c r="G78" s="109" t="inlineStr">
        <is>
          <t>2200 BD - Installazione rilevatore portatile di ossigeno X-Zone 5500 (Torretta) su presa in aspirazione linea di azoto 8" BD66 (PROCESS AREA 3)</t>
        </is>
      </c>
      <c r="H78" s="111" t="n"/>
      <c r="I78" s="111" t="n"/>
      <c r="J78" s="111" t="n"/>
      <c r="K78" s="111" t="n"/>
      <c r="L78" s="111" t="n"/>
      <c r="M78" s="109" t="inlineStr">
        <is>
          <t>DA CHIUDERE</t>
        </is>
      </c>
      <c r="N78" s="109" t="n"/>
      <c r="O78" s="109" t="n"/>
      <c r="P78" s="109" t="n"/>
      <c r="Q78" s="109" t="n"/>
      <c r="R78" s="110" t="n"/>
      <c r="S78" s="110" t="n"/>
      <c r="T7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8">
        <f>IFERROR(MID(G78,_xlfn.AGGREGATE(15,6,(ROW(INDIRECT("1:"&amp;LEN(G78)-7)))/(ISNUMBER(--MID(G78,ROW(INDIRECT("1:"&amp;LEN(G78)-7)),8))),1),8),"")</f>
        <v/>
      </c>
      <c r="V78" t="inlineStr">
        <is>
          <t>2025-09-30 20:00:00</t>
        </is>
      </c>
    </row>
    <row r="79" ht="23.25" customFormat="1" customHeight="1" s="45">
      <c r="A79" s="112" t="n"/>
      <c r="B79" s="112" t="n"/>
      <c r="C79" s="112">
        <f>IF(OR(TabellaBLENDING[[#This Row],[LUN]]="X",TabellaBLENDING[[#This Row],[MAR]]="X",TabellaBLENDING[[#This Row],[MER]]="X",TabellaBLENDING[[#This Row],[GIO]]="X",TabellaBLENDING[[#This Row],[VEN]]="X",),"X","")</f>
        <v/>
      </c>
      <c r="D79" s="109" t="inlineStr">
        <is>
          <t>BLENDING</t>
        </is>
      </c>
      <c r="E79" s="109" t="inlineStr">
        <is>
          <t>538283/C</t>
        </is>
      </c>
      <c r="F79" s="109" t="inlineStr">
        <is>
          <t>CVT</t>
        </is>
      </c>
      <c r="G79" s="109" t="inlineStr">
        <is>
          <t>CVT - Controllo e ripristino funzionalità valvola di radice XV del BR 53</t>
        </is>
      </c>
      <c r="H79" s="111" t="n"/>
      <c r="I79" s="111" t="n"/>
      <c r="J79" s="111" t="n"/>
      <c r="K79" s="111" t="n"/>
      <c r="L79" s="111" t="n"/>
      <c r="M79" s="109" t="inlineStr">
        <is>
          <t>DA CHIUDERE</t>
        </is>
      </c>
      <c r="N79" s="109" t="n"/>
      <c r="O79" s="109" t="n"/>
      <c r="P79" s="109" t="n"/>
      <c r="Q79" s="109" t="n"/>
      <c r="R79" s="110" t="n"/>
      <c r="S79" s="110" t="n"/>
      <c r="T7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3">
        <f>IFERROR(MID(G79,_xlfn.AGGREGATE(15,6,(ROW(INDIRECT("1:"&amp;LEN(G79)-7)))/(ISNUMBER(--MID(G79,ROW(INDIRECT("1:"&amp;LEN(G79)-7)),8))),1),8),"")</f>
        <v/>
      </c>
      <c r="V79" t="inlineStr">
        <is>
          <t>2025-09-30 20:00:00</t>
        </is>
      </c>
    </row>
    <row r="80" ht="23.25" customFormat="1" customHeight="1" s="45">
      <c r="A80" s="112" t="n"/>
      <c r="B80" s="112" t="n"/>
      <c r="C80" s="112">
        <f>IF(OR(TabellaBLENDING[[#This Row],[LUN]]="X",TabellaBLENDING[[#This Row],[MAR]]="X",TabellaBLENDING[[#This Row],[MER]]="X",TabellaBLENDING[[#This Row],[GIO]]="X",TabellaBLENDING[[#This Row],[VEN]]="X",),"X","")</f>
        <v/>
      </c>
      <c r="D80" s="109" t="inlineStr">
        <is>
          <t>BLENDING</t>
        </is>
      </c>
      <c r="E80" s="109" t="inlineStr">
        <is>
          <t>538281/C</t>
        </is>
      </c>
      <c r="F80" s="109" t="inlineStr">
        <is>
          <t>CVT</t>
        </is>
      </c>
      <c r="G80" s="109" t="inlineStr">
        <is>
          <t>CVT - Controllo e ripristino funzionalit valvola di radice XV del BR 43</t>
        </is>
      </c>
      <c r="H80" s="111" t="n"/>
      <c r="I80" s="111" t="n"/>
      <c r="J80" s="111" t="n"/>
      <c r="K80" s="111" t="n"/>
      <c r="L80" s="111" t="n"/>
      <c r="M80" s="109" t="inlineStr">
        <is>
          <t>DA CHIUDERE</t>
        </is>
      </c>
      <c r="N80" s="109" t="n"/>
      <c r="O80" s="109" t="n"/>
      <c r="P80" s="109" t="n"/>
      <c r="Q80" s="109" t="n"/>
      <c r="R80" s="110" t="n"/>
      <c r="S80" s="110" t="n"/>
      <c r="T8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3">
        <f>IFERROR(MID(G80,_xlfn.AGGREGATE(15,6,(ROW(INDIRECT("1:"&amp;LEN(G80)-7)))/(ISNUMBER(--MID(G80,ROW(INDIRECT("1:"&amp;LEN(G80)-7)),8))),1),8),"")</f>
        <v/>
      </c>
      <c r="V80" t="inlineStr">
        <is>
          <t>2025-09-30 20:00:00</t>
        </is>
      </c>
    </row>
    <row r="81" ht="30" customFormat="1" customHeight="1" s="45">
      <c r="A81" s="112" t="n"/>
      <c r="B81" s="112" t="n"/>
      <c r="C81" s="112">
        <f>IF(OR(TabellaBLENDING[[#This Row],[LUN]]="X",TabellaBLENDING[[#This Row],[MAR]]="X",TabellaBLENDING[[#This Row],[MER]]="X",TabellaBLENDING[[#This Row],[GIO]]="X",TabellaBLENDING[[#This Row],[VEN]]="X",),"X","")</f>
        <v/>
      </c>
      <c r="D81" s="109" t="inlineStr">
        <is>
          <t>BLENDING</t>
        </is>
      </c>
      <c r="E81" s="109" t="inlineStr">
        <is>
          <t>538769/C</t>
        </is>
      </c>
      <c r="F81" s="109" t="inlineStr">
        <is>
          <t>BLENDING</t>
        </is>
      </c>
      <c r="G81" s="109" t="inlineStr">
        <is>
          <t>BLENDING - Controllo e ripristino funzionalit TI-492</t>
        </is>
      </c>
      <c r="H81" s="111" t="n"/>
      <c r="I81" s="111" t="n"/>
      <c r="J81" s="111" t="n"/>
      <c r="K81" s="111" t="n"/>
      <c r="L81" s="111" t="n"/>
      <c r="M81" s="109" t="inlineStr">
        <is>
          <t>DA CHIUDERE</t>
        </is>
      </c>
      <c r="N81" s="109" t="n"/>
      <c r="O81" s="109" t="n"/>
      <c r="P81" s="109" t="n"/>
      <c r="Q81" s="109" t="n"/>
      <c r="R81" s="110" t="n"/>
      <c r="S81" s="110" t="n"/>
      <c r="T8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3">
        <f>IFERROR(MID(G81,_xlfn.AGGREGATE(15,6,(ROW(INDIRECT("1:"&amp;LEN(G81)-7)))/(ISNUMBER(--MID(G81,ROW(INDIRECT("1:"&amp;LEN(G81)-7)),8))),1),8),"")</f>
        <v/>
      </c>
      <c r="V81" t="inlineStr">
        <is>
          <t>2025-09-30 20:00:00</t>
        </is>
      </c>
    </row>
    <row r="82" ht="30" customFormat="1" customHeight="1" s="45">
      <c r="A82" s="112" t="n"/>
      <c r="B82" s="112">
        <f>IF(OR(A82="x",A82="X"),"",IF(ISBLANK(A82),"X",""))</f>
        <v/>
      </c>
      <c r="C82" s="112">
        <f>IF(OR(TabellaBLENDING[[#This Row],[LUN]]="X",TabellaBLENDING[[#This Row],[MAR]]="X",TabellaBLENDING[[#This Row],[MER]]="X",TabellaBLENDING[[#This Row],[GIO]]="X",TabellaBLENDING[[#This Row],[VEN]]="X",),"X","")</f>
        <v/>
      </c>
      <c r="D82" s="109" t="inlineStr">
        <is>
          <t>BLENDING</t>
        </is>
      </c>
      <c r="E82" s="109" t="inlineStr">
        <is>
          <t>538855/C</t>
        </is>
      </c>
      <c r="F82" s="109" t="inlineStr">
        <is>
          <t>BLENDING</t>
        </is>
      </c>
      <c r="G82" s="109" t="inlineStr">
        <is>
          <t>BLENDING - Verifica funzionalità livellostato L102HA</t>
        </is>
      </c>
      <c r="H82" s="111" t="n"/>
      <c r="I82" s="111" t="n"/>
      <c r="J82" s="111" t="n"/>
      <c r="K82" s="111" t="n"/>
      <c r="L82" s="111" t="n"/>
      <c r="M82" s="109" t="inlineStr">
        <is>
          <t>DA CHIUDERE</t>
        </is>
      </c>
      <c r="N82" s="109" t="n"/>
      <c r="O82" s="109" t="n"/>
      <c r="P82" s="109" t="n"/>
      <c r="Q82" s="109" t="n"/>
      <c r="R82" s="110" t="n"/>
      <c r="S82" s="110" t="n"/>
      <c r="T8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8">
        <f>IFERROR(MID(G82,_xlfn.AGGREGATE(15,6,(ROW(INDIRECT("1:"&amp;LEN(G82)-7)))/(ISNUMBER(--MID(G82,ROW(INDIRECT("1:"&amp;LEN(G82)-7)),8))),1),8),"")</f>
        <v/>
      </c>
      <c r="V82" t="inlineStr">
        <is>
          <t>2025-09-30 20:00:00</t>
        </is>
      </c>
    </row>
    <row r="83" ht="30" customFormat="1" customHeight="1" s="45">
      <c r="A83" s="112" t="n"/>
      <c r="B83" s="112" t="n"/>
      <c r="C83" s="112">
        <f>IF(OR(TabellaBLENDING[[#This Row],[LUN]]="X",TabellaBLENDING[[#This Row],[MAR]]="X",TabellaBLENDING[[#This Row],[MER]]="X",TabellaBLENDING[[#This Row],[GIO]]="X",TabellaBLENDING[[#This Row],[VEN]]="X",),"X","")</f>
        <v/>
      </c>
      <c r="D83" s="109" t="inlineStr">
        <is>
          <t>BLENDING</t>
        </is>
      </c>
      <c r="E83" s="109" t="inlineStr">
        <is>
          <t>538820/C</t>
        </is>
      </c>
      <c r="F83" s="109" t="inlineStr">
        <is>
          <t>BLENDING</t>
        </is>
      </c>
      <c r="G83" s="109" t="inlineStr">
        <is>
          <t>BLENDING - Verifica funzionalità livellostato L101HA</t>
        </is>
      </c>
      <c r="H83" s="111" t="n"/>
      <c r="I83" s="111" t="n"/>
      <c r="J83" s="111" t="n"/>
      <c r="K83" s="111" t="n"/>
      <c r="L83" s="111" t="n"/>
      <c r="M83" s="109" t="inlineStr">
        <is>
          <t>DA CHIUDERE</t>
        </is>
      </c>
      <c r="N83" s="109" t="n"/>
      <c r="O83" s="109" t="n"/>
      <c r="P83" s="109" t="n"/>
      <c r="Q83" s="109" t="n"/>
      <c r="R83" s="110" t="n"/>
      <c r="S83" s="110" t="n"/>
      <c r="T8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3">
        <f>IFERROR(MID(G83,_xlfn.AGGREGATE(15,6,(ROW(INDIRECT("1:"&amp;LEN(G83)-7)))/(ISNUMBER(--MID(G83,ROW(INDIRECT("1:"&amp;LEN(G83)-7)),8))),1),8),"")</f>
        <v/>
      </c>
      <c r="V83" t="inlineStr">
        <is>
          <t>2025-09-30 20:00:00</t>
        </is>
      </c>
    </row>
    <row r="84" ht="30" customFormat="1" customHeight="1" s="45">
      <c r="A84" s="112" t="n"/>
      <c r="B84" s="112">
        <f>IF(OR(A84="x",A84="X"),"",IF(ISBLANK(A84),"X",""))</f>
        <v/>
      </c>
      <c r="C84" s="112">
        <f>IF(OR(TabellaBLENDING[[#This Row],[LUN]]="X",TabellaBLENDING[[#This Row],[MAR]]="X",TabellaBLENDING[[#This Row],[MER]]="X",TabellaBLENDING[[#This Row],[GIO]]="X",TabellaBLENDING[[#This Row],[VEN]]="X",),"X","")</f>
        <v/>
      </c>
      <c r="D84" s="109" t="inlineStr">
        <is>
          <t>BLENDING</t>
        </is>
      </c>
      <c r="E84" s="109" t="inlineStr">
        <is>
          <t>538858/C</t>
        </is>
      </c>
      <c r="F84" s="109" t="inlineStr">
        <is>
          <t>BLENDING</t>
        </is>
      </c>
      <c r="G84" s="109" t="inlineStr">
        <is>
          <t>BLENDING - Verifica funzionalità livellostato L103HA</t>
        </is>
      </c>
      <c r="H84" s="111" t="n"/>
      <c r="I84" s="111" t="n"/>
      <c r="J84" s="111" t="n"/>
      <c r="K84" s="111" t="n"/>
      <c r="L84" s="111" t="n"/>
      <c r="M84" s="109" t="inlineStr">
        <is>
          <t>DA CHIUDERE</t>
        </is>
      </c>
      <c r="N84" s="109" t="n"/>
      <c r="O84" s="109" t="n"/>
      <c r="P84" s="109" t="n"/>
      <c r="Q84" s="109" t="n"/>
      <c r="R84" s="110" t="n"/>
      <c r="S84" s="110" t="n"/>
      <c r="T8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8">
        <f>IFERROR(MID(G84,_xlfn.AGGREGATE(15,6,(ROW(INDIRECT("1:"&amp;LEN(G84)-7)))/(ISNUMBER(--MID(G84,ROW(INDIRECT("1:"&amp;LEN(G84)-7)),8))),1),8),"")</f>
        <v/>
      </c>
      <c r="V84" t="inlineStr">
        <is>
          <t>2025-09-30 20:00:00</t>
        </is>
      </c>
    </row>
    <row r="85" ht="30" customFormat="1" customHeight="1" s="45">
      <c r="A85" s="112" t="n"/>
      <c r="B85" s="112">
        <f>IF(OR(A85="x",A85="X"),"",IF(ISBLANK(A85),"X",""))</f>
        <v/>
      </c>
      <c r="C85" s="112">
        <f>IF(OR(TabellaBLENDING[[#This Row],[LUN]]="X",TabellaBLENDING[[#This Row],[MAR]]="X",TabellaBLENDING[[#This Row],[MER]]="X",TabellaBLENDING[[#This Row],[GIO]]="X",TabellaBLENDING[[#This Row],[VEN]]="X",),"X","")</f>
        <v/>
      </c>
      <c r="D85" s="109" t="inlineStr">
        <is>
          <t>BLENDING</t>
        </is>
      </c>
      <c r="E85" s="109" t="inlineStr">
        <is>
          <t>538870/C</t>
        </is>
      </c>
      <c r="F85" s="109" t="inlineStr">
        <is>
          <t>BLENDING</t>
        </is>
      </c>
      <c r="G85" s="109" t="inlineStr">
        <is>
          <t>BLENDING - Verifica funzionalità livellostato L106HA</t>
        </is>
      </c>
      <c r="H85" s="111" t="n"/>
      <c r="I85" s="111" t="n"/>
      <c r="J85" s="111" t="n"/>
      <c r="K85" s="111" t="n"/>
      <c r="L85" s="111" t="n"/>
      <c r="M85" s="109" t="inlineStr">
        <is>
          <t>DA CHIUDERE</t>
        </is>
      </c>
      <c r="N85" s="109" t="n"/>
      <c r="O85" s="109" t="n"/>
      <c r="P85" s="109" t="n"/>
      <c r="Q85" s="109" t="n"/>
      <c r="R85" s="110" t="n"/>
      <c r="S85" s="110" t="n"/>
      <c r="T8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8">
        <f>IFERROR(MID(G85,_xlfn.AGGREGATE(15,6,(ROW(INDIRECT("1:"&amp;LEN(G85)-7)))/(ISNUMBER(--MID(G85,ROW(INDIRECT("1:"&amp;LEN(G85)-7)),8))),1),8),"")</f>
        <v/>
      </c>
      <c r="V85" t="inlineStr">
        <is>
          <t>2025-09-30 20:00:00</t>
        </is>
      </c>
    </row>
    <row r="86" ht="30" customFormat="1" customHeight="1" s="45">
      <c r="A86" s="112" t="n"/>
      <c r="B86" s="112">
        <f>IF(OR(A86="x",A86="X"),"",IF(ISBLANK(A86),"X",""))</f>
        <v/>
      </c>
      <c r="C86" s="112">
        <f>IF(OR(TabellaBLENDING[[#This Row],[LUN]]="X",TabellaBLENDING[[#This Row],[MAR]]="X",TabellaBLENDING[[#This Row],[MER]]="X",TabellaBLENDING[[#This Row],[GIO]]="X",TabellaBLENDING[[#This Row],[VEN]]="X",),"X","")</f>
        <v/>
      </c>
      <c r="D86" s="109" t="inlineStr">
        <is>
          <t>BLENDING</t>
        </is>
      </c>
      <c r="E86" s="109" t="inlineStr">
        <is>
          <t>538877/C</t>
        </is>
      </c>
      <c r="F86" s="109" t="inlineStr">
        <is>
          <t>BLENDING</t>
        </is>
      </c>
      <c r="G86" s="109" t="inlineStr">
        <is>
          <t>BLENDING - Verifica funzionalità livellostato L109HA</t>
        </is>
      </c>
      <c r="H86" s="111" t="n"/>
      <c r="I86" s="111" t="n"/>
      <c r="J86" s="111" t="n"/>
      <c r="K86" s="111" t="n"/>
      <c r="L86" s="111" t="n"/>
      <c r="M86" s="109" t="inlineStr">
        <is>
          <t>DA CHIUDERE</t>
        </is>
      </c>
      <c r="N86" s="109" t="n"/>
      <c r="O86" s="109" t="n"/>
      <c r="P86" s="109" t="n"/>
      <c r="Q86" s="109" t="n"/>
      <c r="R86" s="110" t="n"/>
      <c r="S86" s="110" t="n"/>
      <c r="T8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8">
        <f>IFERROR(MID(G86,_xlfn.AGGREGATE(15,6,(ROW(INDIRECT("1:"&amp;LEN(G86)-7)))/(ISNUMBER(--MID(G86,ROW(INDIRECT("1:"&amp;LEN(G86)-7)),8))),1),8),"")</f>
        <v/>
      </c>
      <c r="V86" t="inlineStr">
        <is>
          <t>2025-09-30 20:00:00</t>
        </is>
      </c>
    </row>
    <row r="87" ht="30" customFormat="1" customHeight="1" s="45">
      <c r="A87" s="112" t="n"/>
      <c r="B87" s="112">
        <f>IF(OR(A87="x",A87="X"),"",IF(ISBLANK(A87),"X",""))</f>
        <v/>
      </c>
      <c r="C87" s="112">
        <f>IF(OR(TabellaBLENDING[[#This Row],[LUN]]="X",TabellaBLENDING[[#This Row],[MAR]]="X",TabellaBLENDING[[#This Row],[MER]]="X",TabellaBLENDING[[#This Row],[GIO]]="X",TabellaBLENDING[[#This Row],[VEN]]="X",),"X","")</f>
        <v/>
      </c>
      <c r="D87" s="109" t="inlineStr">
        <is>
          <t>BLENDING</t>
        </is>
      </c>
      <c r="E87" s="109" t="inlineStr">
        <is>
          <t>538876/C</t>
        </is>
      </c>
      <c r="F87" s="109" t="inlineStr">
        <is>
          <t>BLENDING</t>
        </is>
      </c>
      <c r="G87" s="109" t="inlineStr">
        <is>
          <t>BLENDING - Verifica funzionalità livellostato L108HA</t>
        </is>
      </c>
      <c r="H87" s="111" t="n"/>
      <c r="I87" s="111" t="n"/>
      <c r="J87" s="111" t="n"/>
      <c r="K87" s="111" t="n"/>
      <c r="L87" s="111" t="n"/>
      <c r="M87" s="109" t="inlineStr">
        <is>
          <t>DA CHIUDERE</t>
        </is>
      </c>
      <c r="N87" s="109" t="n"/>
      <c r="O87" s="109" t="n"/>
      <c r="P87" s="109" t="n"/>
      <c r="Q87" s="109" t="n"/>
      <c r="R87" s="110" t="n"/>
      <c r="S87" s="110" t="n"/>
      <c r="T8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8">
        <f>IFERROR(MID(G87,_xlfn.AGGREGATE(15,6,(ROW(INDIRECT("1:"&amp;LEN(G87)-7)))/(ISNUMBER(--MID(G87,ROW(INDIRECT("1:"&amp;LEN(G87)-7)),8))),1),8),"")</f>
        <v/>
      </c>
      <c r="V87" t="inlineStr">
        <is>
          <t>2025-09-30 20:00:00</t>
        </is>
      </c>
    </row>
    <row r="88" ht="30" customFormat="1" customHeight="1" s="45">
      <c r="A88" s="112" t="n"/>
      <c r="B88" s="112">
        <f>IF(OR(A88="x",A88="X"),"",IF(ISBLANK(A88),"X",""))</f>
        <v/>
      </c>
      <c r="C88" s="112">
        <f>IF(OR(TabellaBLENDING[[#This Row],[LUN]]="X",TabellaBLENDING[[#This Row],[MAR]]="X",TabellaBLENDING[[#This Row],[MER]]="X",TabellaBLENDING[[#This Row],[GIO]]="X",TabellaBLENDING[[#This Row],[VEN]]="X",),"X","")</f>
        <v/>
      </c>
      <c r="D88" s="109" t="inlineStr">
        <is>
          <t>BLENDING</t>
        </is>
      </c>
      <c r="E88" s="109" t="inlineStr">
        <is>
          <t>539263/C</t>
        </is>
      </c>
      <c r="F88" s="109" t="inlineStr">
        <is>
          <t>BLENDING</t>
        </is>
      </c>
      <c r="G88" s="109" t="inlineStr">
        <is>
          <t>Verifica funzionalità livellostato L601HA</t>
        </is>
      </c>
      <c r="H88" s="111" t="n"/>
      <c r="I88" s="111" t="n"/>
      <c r="J88" s="111" t="n"/>
      <c r="K88" s="111" t="n"/>
      <c r="L88" s="111" t="n"/>
      <c r="M88" s="109" t="inlineStr">
        <is>
          <t>DA CHIUDERE</t>
        </is>
      </c>
      <c r="N88" s="109" t="n"/>
      <c r="O88" s="109" t="n"/>
      <c r="P88" s="109" t="n"/>
      <c r="Q88" s="109" t="n"/>
      <c r="R88" s="110" t="n"/>
      <c r="S88" s="110" t="n"/>
      <c r="T8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8">
        <f>IFERROR(MID(G88,_xlfn.AGGREGATE(15,6,(ROW(INDIRECT("1:"&amp;LEN(G88)-7)))/(ISNUMBER(--MID(G88,ROW(INDIRECT("1:"&amp;LEN(G88)-7)),8))),1),8),"")</f>
        <v/>
      </c>
      <c r="V88" t="inlineStr">
        <is>
          <t>2025-09-30 20:00:00</t>
        </is>
      </c>
    </row>
    <row r="89" ht="30" customFormat="1" customHeight="1" s="45">
      <c r="A89" s="112" t="n"/>
      <c r="B89" s="112">
        <f>IF(OR(A89="x",A89="X"),"",IF(ISBLANK(A89),"X",""))</f>
        <v/>
      </c>
      <c r="C89" s="112">
        <f>IF(OR(TabellaBLENDING[[#This Row],[LUN]]="X",TabellaBLENDING[[#This Row],[MAR]]="X",TabellaBLENDING[[#This Row],[MER]]="X",TabellaBLENDING[[#This Row],[GIO]]="X",TabellaBLENDING[[#This Row],[VEN]]="X",),"X","")</f>
        <v/>
      </c>
      <c r="D89" s="109" t="inlineStr">
        <is>
          <t>BLENDING</t>
        </is>
      </c>
      <c r="E89" s="109" t="inlineStr">
        <is>
          <t>539425/C</t>
        </is>
      </c>
      <c r="F89" s="109" t="inlineStr">
        <is>
          <t>BLENDING</t>
        </is>
      </c>
      <c r="G89" s="109" t="inlineStr">
        <is>
          <t>Verifica funzionalità livellostato L608HA</t>
        </is>
      </c>
      <c r="H89" s="111" t="n"/>
      <c r="I89" s="111" t="n"/>
      <c r="J89" s="111" t="n"/>
      <c r="K89" s="111" t="n"/>
      <c r="L89" s="111" t="n"/>
      <c r="M89" s="109" t="inlineStr">
        <is>
          <t>DA CHIUDERE</t>
        </is>
      </c>
      <c r="N89" s="109" t="n"/>
      <c r="O89" s="109" t="n"/>
      <c r="P89" s="109" t="n"/>
      <c r="Q89" s="109" t="n"/>
      <c r="R89" s="110" t="n"/>
      <c r="S89" s="110" t="n"/>
      <c r="T8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8">
        <f>IFERROR(MID(G89,_xlfn.AGGREGATE(15,6,(ROW(INDIRECT("1:"&amp;LEN(G89)-7)))/(ISNUMBER(--MID(G89,ROW(INDIRECT("1:"&amp;LEN(G89)-7)),8))),1),8),"")</f>
        <v/>
      </c>
      <c r="V89" t="inlineStr">
        <is>
          <t>2025-09-30 20:00:00</t>
        </is>
      </c>
    </row>
    <row r="90" ht="30" customFormat="1" customHeight="1" s="45">
      <c r="A90" s="112" t="n"/>
      <c r="B90" s="112">
        <f>IF(OR(A90="x",A90="X"),"",IF(ISBLANK(A90),"X",""))</f>
        <v/>
      </c>
      <c r="C90" s="112">
        <f>IF(OR(TabellaBLENDING[[#This Row],[LUN]]="X",TabellaBLENDING[[#This Row],[MAR]]="X",TabellaBLENDING[[#This Row],[MER]]="X",TabellaBLENDING[[#This Row],[GIO]]="X",TabellaBLENDING[[#This Row],[VEN]]="X",),"X","")</f>
        <v/>
      </c>
      <c r="D90" s="109" t="inlineStr">
        <is>
          <t>BLENDING</t>
        </is>
      </c>
      <c r="E90" s="109" t="inlineStr">
        <is>
          <t>539286/C</t>
        </is>
      </c>
      <c r="F90" s="109" t="inlineStr">
        <is>
          <t>BLENDING</t>
        </is>
      </c>
      <c r="G90" s="109" t="inlineStr">
        <is>
          <t>Verifica funzionalità livellostato L607HA</t>
        </is>
      </c>
      <c r="H90" s="111" t="n"/>
      <c r="I90" s="111" t="n"/>
      <c r="J90" s="111" t="n"/>
      <c r="K90" s="111" t="n"/>
      <c r="L90" s="111" t="n"/>
      <c r="M90" s="109" t="inlineStr">
        <is>
          <t>DA CHIUDERE</t>
        </is>
      </c>
      <c r="N90" s="109" t="n"/>
      <c r="O90" s="109" t="n"/>
      <c r="P90" s="109" t="n"/>
      <c r="Q90" s="109" t="n"/>
      <c r="R90" s="110" t="n"/>
      <c r="S90" s="110" t="n"/>
      <c r="T9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8">
        <f>IFERROR(MID(G90,_xlfn.AGGREGATE(15,6,(ROW(INDIRECT("1:"&amp;LEN(G90)-7)))/(ISNUMBER(--MID(G90,ROW(INDIRECT("1:"&amp;LEN(G90)-7)),8))),1),8),"")</f>
        <v/>
      </c>
      <c r="V90" t="inlineStr">
        <is>
          <t>2025-09-30 20:00:00</t>
        </is>
      </c>
    </row>
    <row r="91" ht="23.25" customFormat="1" customHeight="1" s="45">
      <c r="A91" s="112" t="n"/>
      <c r="B91" s="112" t="n"/>
      <c r="C91" s="112">
        <f>IF(OR(TabellaBLENDING[[#This Row],[LUN]]="X",TabellaBLENDING[[#This Row],[MAR]]="X",TabellaBLENDING[[#This Row],[MER]]="X",TabellaBLENDING[[#This Row],[GIO]]="X",TabellaBLENDING[[#This Row],[VEN]]="X",),"X","")</f>
        <v/>
      </c>
      <c r="D91" s="109" t="inlineStr">
        <is>
          <t>BLENDING</t>
        </is>
      </c>
      <c r="E91" s="109" t="inlineStr">
        <is>
          <t>543263/C</t>
        </is>
      </c>
      <c r="F91" s="109" t="n">
        <v>6500</v>
      </c>
      <c r="G91" s="109" t="inlineStr">
        <is>
          <t xml:space="preserve">ricerca guasto a ripristino funzionalita' CIVACON </t>
        </is>
      </c>
      <c r="H91" s="111" t="n"/>
      <c r="I91" s="111" t="n"/>
      <c r="J91" s="111" t="n"/>
      <c r="K91" s="111" t="n"/>
      <c r="L91" s="111" t="n"/>
      <c r="M91" s="109" t="inlineStr">
        <is>
          <t>DA CHIUDERE</t>
        </is>
      </c>
      <c r="N91" s="109" t="n"/>
      <c r="O91" s="109" t="n"/>
      <c r="P91" s="109" t="n"/>
      <c r="Q91" s="109" t="n"/>
      <c r="R91" s="110" t="n"/>
      <c r="S91" s="110" t="n"/>
      <c r="T9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8">
        <f>IFERROR(MID(G91,_xlfn.AGGREGATE(15,6,(ROW(INDIRECT("1:"&amp;LEN(G91)-7)))/(ISNUMBER(--MID(G91,ROW(INDIRECT("1:"&amp;LEN(G91)-7)),8))),1),8),"")</f>
        <v/>
      </c>
      <c r="V91" t="inlineStr">
        <is>
          <t>2025-09-30 20:00:00</t>
        </is>
      </c>
    </row>
    <row r="92" ht="23.25" customFormat="1" customHeight="1" s="45">
      <c r="A92" s="112" t="n"/>
      <c r="B92" s="112" t="n"/>
      <c r="C92" s="112">
        <f>IF(OR(TabellaBLENDING[[#This Row],[LUN]]="X",TabellaBLENDING[[#This Row],[MAR]]="X",TabellaBLENDING[[#This Row],[MER]]="X",TabellaBLENDING[[#This Row],[GIO]]="X",TabellaBLENDING[[#This Row],[VEN]]="X",),"X","")</f>
        <v/>
      </c>
      <c r="D92" s="109" t="inlineStr">
        <is>
          <t>BLENDING</t>
        </is>
      </c>
      <c r="E92" s="109" t="inlineStr">
        <is>
          <t>542972/C</t>
        </is>
      </c>
      <c r="F92" s="109" t="n">
        <v>6000</v>
      </c>
      <c r="G92" s="109" t="inlineStr">
        <is>
          <t>Ripristino dp filtro 103-PdAH 103 filtri sale</t>
        </is>
      </c>
      <c r="H92" s="111" t="n"/>
      <c r="I92" s="111" t="n"/>
      <c r="J92" s="111" t="n"/>
      <c r="K92" s="111" t="n"/>
      <c r="L92" s="111" t="n"/>
      <c r="M92" s="109" t="inlineStr">
        <is>
          <t>DA CHIUDERE</t>
        </is>
      </c>
      <c r="N92" s="109" t="n"/>
      <c r="O92" s="109" t="n"/>
      <c r="P92" s="109" t="n"/>
      <c r="Q92" s="109" t="n"/>
      <c r="R92" s="110" t="n"/>
      <c r="S92" s="110" t="n"/>
      <c r="T9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8">
        <f>IFERROR(MID(G92,_xlfn.AGGREGATE(15,6,(ROW(INDIRECT("1:"&amp;LEN(G92)-7)))/(ISNUMBER(--MID(G92,ROW(INDIRECT("1:"&amp;LEN(G92)-7)),8))),1),8),"")</f>
        <v/>
      </c>
      <c r="V92" t="inlineStr">
        <is>
          <t>2025-09-30 20:00:00</t>
        </is>
      </c>
    </row>
    <row r="93" ht="30" customFormat="1" customHeight="1" s="45">
      <c r="A93" s="112" t="n"/>
      <c r="B93" s="112">
        <f>IF(OR(A93="x",A93="X"),"",IF(ISBLANK(A93),"X",""))</f>
        <v/>
      </c>
      <c r="C93" s="112">
        <f>IF(OR(TabellaBLENDING[[#This Row],[LUN]]="X",TabellaBLENDING[[#This Row],[MAR]]="X",TabellaBLENDING[[#This Row],[MER]]="X",TabellaBLENDING[[#This Row],[GIO]]="X",TabellaBLENDING[[#This Row],[VEN]]="X",),"X","")</f>
        <v/>
      </c>
      <c r="D93" s="109" t="inlineStr">
        <is>
          <t>BLENDING</t>
        </is>
      </c>
      <c r="E93" s="109" t="inlineStr">
        <is>
          <t>538861/C</t>
        </is>
      </c>
      <c r="F93" s="109" t="inlineStr">
        <is>
          <t>BLENDING</t>
        </is>
      </c>
      <c r="G93" s="109" t="inlineStr">
        <is>
          <t>BLENDING - Verifica funzionalità livellostato L104HA</t>
        </is>
      </c>
      <c r="H93" s="111" t="n"/>
      <c r="I93" s="111" t="n"/>
      <c r="J93" s="111" t="n"/>
      <c r="K93" s="111" t="n"/>
      <c r="L93" s="111" t="n"/>
      <c r="M93" s="109" t="inlineStr">
        <is>
          <t>DA CHIUDERE</t>
        </is>
      </c>
      <c r="N93" s="109" t="n"/>
      <c r="O93" s="109" t="n"/>
      <c r="P93" s="109" t="n"/>
      <c r="Q93" s="109" t="n"/>
      <c r="R93" s="110" t="n"/>
      <c r="S93" s="110" t="n"/>
      <c r="T9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8">
        <f>IFERROR(MID(G93,_xlfn.AGGREGATE(15,6,(ROW(INDIRECT("1:"&amp;LEN(G93)-7)))/(ISNUMBER(--MID(G93,ROW(INDIRECT("1:"&amp;LEN(G93)-7)),8))),1),8),"")</f>
        <v/>
      </c>
      <c r="V93" t="inlineStr">
        <is>
          <t>2025-09-30 20:00:00</t>
        </is>
      </c>
    </row>
    <row r="94" ht="23.25" customFormat="1" customHeight="1" s="45">
      <c r="A94" s="112" t="n"/>
      <c r="B94" s="112" t="n"/>
      <c r="C94" s="112">
        <f>IF(OR(TabellaBLENDING[[#This Row],[LUN]]="X",TabellaBLENDING[[#This Row],[MAR]]="X",TabellaBLENDING[[#This Row],[MER]]="X",TabellaBLENDING[[#This Row],[GIO]]="X",TabellaBLENDING[[#This Row],[VEN]]="X",),"X","")</f>
        <v/>
      </c>
      <c r="D94" s="109" t="inlineStr">
        <is>
          <t>BLENDING</t>
        </is>
      </c>
      <c r="E94" s="109" t="inlineStr">
        <is>
          <t>543008/C</t>
        </is>
      </c>
      <c r="F94" s="109" t="n">
        <v>6000</v>
      </c>
      <c r="G94" s="109" t="inlineStr">
        <is>
          <t>Controllo e ripristino livellostato D106 filtri sale</t>
        </is>
      </c>
      <c r="H94" s="111" t="n"/>
      <c r="I94" s="111" t="n"/>
      <c r="J94" s="111" t="n"/>
      <c r="K94" s="111" t="n"/>
      <c r="L94" s="111" t="n"/>
      <c r="M94" s="109" t="inlineStr">
        <is>
          <t>DA CHIUDERE</t>
        </is>
      </c>
      <c r="N94" s="109" t="n"/>
      <c r="O94" s="109" t="n"/>
      <c r="P94" s="109" t="n"/>
      <c r="Q94" s="109" t="n"/>
      <c r="R94" s="110" t="n"/>
      <c r="S94" s="110" t="n"/>
      <c r="T9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8">
        <f>IFERROR(MID(G94,_xlfn.AGGREGATE(15,6,(ROW(INDIRECT("1:"&amp;LEN(G94)-7)))/(ISNUMBER(--MID(G94,ROW(INDIRECT("1:"&amp;LEN(G94)-7)),8))),1),8),"")</f>
        <v/>
      </c>
      <c r="V94" t="inlineStr">
        <is>
          <t>2025-09-30 20:00:00</t>
        </is>
      </c>
    </row>
    <row r="95" ht="30" customFormat="1" customHeight="1" s="45">
      <c r="A95" s="112" t="n"/>
      <c r="B95" s="112" t="n"/>
      <c r="C95" s="112">
        <f>IF(OR(TabellaBLENDING[[#This Row],[LUN]]="X",TabellaBLENDING[[#This Row],[MAR]]="X",TabellaBLENDING[[#This Row],[MER]]="X",TabellaBLENDING[[#This Row],[GIO]]="X",TabellaBLENDING[[#This Row],[VEN]]="X",),"X","")</f>
        <v/>
      </c>
      <c r="D95" s="109" t="inlineStr">
        <is>
          <t>BLENDING</t>
        </is>
      </c>
      <c r="E95" s="109" t="inlineStr">
        <is>
          <t>545460/C</t>
        </is>
      </c>
      <c r="F95" s="109" t="inlineStr">
        <is>
          <t>Blend</t>
        </is>
      </c>
      <c r="G95" s="109" t="inlineStr">
        <is>
          <t>SALA POMPE ADDITIVI P1141B  RIPRISTINO FUNZIONALITA FINE CORSA XV 33A(MAN GASOLIO 2)</t>
        </is>
      </c>
      <c r="H95" s="111" t="n"/>
      <c r="I95" s="111" t="n"/>
      <c r="J95" s="111" t="n"/>
      <c r="K95" s="111" t="n"/>
      <c r="L95" s="111" t="n"/>
      <c r="M95" s="109" t="inlineStr">
        <is>
          <t>DA CHIUDERE</t>
        </is>
      </c>
      <c r="N95" s="109" t="n"/>
      <c r="O95" s="109" t="n"/>
      <c r="P95" s="109" t="n"/>
      <c r="Q95" s="109" t="n"/>
      <c r="R95" s="110" t="n"/>
      <c r="S95" s="110" t="n"/>
      <c r="T9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2" t="n"/>
      <c r="V95" t="inlineStr">
        <is>
          <t>2025-09-30 20:00:00</t>
        </is>
      </c>
    </row>
    <row r="96" ht="30" customFormat="1" customHeight="1" s="45">
      <c r="A96" s="112" t="n"/>
      <c r="B96" s="112" t="n"/>
      <c r="C96" s="112">
        <f>IF(OR(TabellaBLENDING[[#This Row],[LUN]]="X",TabellaBLENDING[[#This Row],[MAR]]="X",TabellaBLENDING[[#This Row],[MER]]="X",TabellaBLENDING[[#This Row],[GIO]]="X",TabellaBLENDING[[#This Row],[VEN]]="X",),"X","")</f>
        <v/>
      </c>
      <c r="D96" s="109" t="inlineStr">
        <is>
          <t>BLENDING</t>
        </is>
      </c>
      <c r="E96" s="109" t="inlineStr">
        <is>
          <t>545458/C</t>
        </is>
      </c>
      <c r="F96" s="109" t="inlineStr">
        <is>
          <t>Blend</t>
        </is>
      </c>
      <c r="G96" s="109" t="inlineStr">
        <is>
          <t>SALA POMPE ADDITIVI P1141A RIPRISTINO FUNZIONALITA FINE CORSA XV 28A(MAN GASOLIO2) XV29A(MANDATA GASOLIO 1)</t>
        </is>
      </c>
      <c r="H96" s="111" t="n"/>
      <c r="I96" s="111" t="n"/>
      <c r="J96" s="111" t="n"/>
      <c r="K96" s="111" t="n"/>
      <c r="L96" s="111" t="n"/>
      <c r="M96" s="109" t="inlineStr">
        <is>
          <t>DA CHIUDERE</t>
        </is>
      </c>
      <c r="N96" s="109" t="n"/>
      <c r="O96" s="109" t="n"/>
      <c r="P96" s="109" t="n"/>
      <c r="Q96" s="109" t="n"/>
      <c r="R96" s="110" t="n"/>
      <c r="S96" s="110" t="n"/>
      <c r="T9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2" t="n"/>
      <c r="V96" t="inlineStr">
        <is>
          <t>2025-09-30 20:00:00</t>
        </is>
      </c>
    </row>
    <row r="97" ht="23.25" customFormat="1" customHeight="1" s="45">
      <c r="A97" s="112" t="n"/>
      <c r="B97" s="112" t="n"/>
      <c r="C97" s="112">
        <f>IF(OR(TabellaBLENDING[[#This Row],[LUN]]="X",TabellaBLENDING[[#This Row],[MAR]]="X",TabellaBLENDING[[#This Row],[MER]]="X",TabellaBLENDING[[#This Row],[GIO]]="X",TabellaBLENDING[[#This Row],[VEN]]="X",),"X","")</f>
        <v/>
      </c>
      <c r="D97" s="109" t="inlineStr">
        <is>
          <t>BLENDING</t>
        </is>
      </c>
      <c r="E97" s="109" t="inlineStr">
        <is>
          <t>546291/C</t>
        </is>
      </c>
      <c r="F97" s="109" t="inlineStr">
        <is>
          <t>Blend</t>
        </is>
      </c>
      <c r="G97" s="109" t="inlineStr">
        <is>
          <t>verifica funzionalta' pressostato della pompa P404 + ripristino gruppo manometrico</t>
        </is>
      </c>
      <c r="H97" s="111" t="n"/>
      <c r="I97" s="111" t="n"/>
      <c r="J97" s="111" t="n"/>
      <c r="K97" s="111" t="n"/>
      <c r="L97" s="111" t="n"/>
      <c r="M97" s="109" t="inlineStr">
        <is>
          <t>DA CHIUDERE</t>
        </is>
      </c>
      <c r="N97" s="109" t="n"/>
      <c r="O97" s="109" t="n"/>
      <c r="P97" s="109" t="n"/>
      <c r="Q97" s="109" t="n"/>
      <c r="R97" s="110" t="n"/>
      <c r="S97" s="110" t="n"/>
      <c r="T9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2" t="n"/>
      <c r="V97" t="inlineStr">
        <is>
          <t>2025-09-30 20:00:00</t>
        </is>
      </c>
    </row>
    <row r="98" ht="30" customFormat="1" customHeight="1" s="45">
      <c r="A98" s="112" t="n"/>
      <c r="B98" s="112">
        <f>IF(OR(A98="x",A98="X"),"",IF(ISBLANK(A98),"X",""))</f>
        <v/>
      </c>
      <c r="C98" s="112">
        <f>IF(OR(TabellaBLENDING[[#This Row],[LUN]]="X",TabellaBLENDING[[#This Row],[MAR]]="X",TabellaBLENDING[[#This Row],[MER]]="X",TabellaBLENDING[[#This Row],[GIO]]="X",TabellaBLENDING[[#This Row],[VEN]]="X",),"X","")</f>
        <v/>
      </c>
      <c r="D98" s="109" t="inlineStr">
        <is>
          <t>BLENDING</t>
        </is>
      </c>
      <c r="E98" s="109" t="inlineStr">
        <is>
          <t>539454/C</t>
        </is>
      </c>
      <c r="F98" s="109" t="inlineStr">
        <is>
          <t>BLENDING</t>
        </is>
      </c>
      <c r="G98" s="109" t="inlineStr">
        <is>
          <t>Verifica funzionalità livellostato L622HA</t>
        </is>
      </c>
      <c r="H98" s="111" t="n"/>
      <c r="I98" s="111" t="n"/>
      <c r="J98" s="111" t="n"/>
      <c r="K98" s="111" t="n"/>
      <c r="L98" s="111" t="n"/>
      <c r="M98" s="109" t="inlineStr">
        <is>
          <t>DA CHIUDERE</t>
        </is>
      </c>
      <c r="N98" s="109" t="n"/>
      <c r="O98" s="109" t="n"/>
      <c r="P98" s="109" t="n"/>
      <c r="Q98" s="109" t="n"/>
      <c r="R98" s="110" t="n">
        <v>45894</v>
      </c>
      <c r="S98" s="110" t="inlineStr">
        <is>
          <t>RICIPUTO</t>
        </is>
      </c>
      <c r="T9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8">
        <f>IFERROR(MID(G98,_xlfn.AGGREGATE(15,6,(ROW(INDIRECT("1:"&amp;LEN(G98)-7)))/(ISNUMBER(--MID(G98,ROW(INDIRECT("1:"&amp;LEN(G98)-7)),8))),1),8),"")</f>
        <v/>
      </c>
      <c r="V98" t="inlineStr">
        <is>
          <t>2025-09-30 20:00:00</t>
        </is>
      </c>
    </row>
    <row r="99" ht="30" customFormat="1" customHeight="1" s="45">
      <c r="A99" s="112" t="n"/>
      <c r="B99" s="112">
        <f>IF(OR(A99="x",A99="X"),"",IF(ISBLANK(A99),"X",""))</f>
        <v/>
      </c>
      <c r="C99" s="112">
        <f>IF(OR(TabellaBLENDING[[#This Row],[LUN]]="X",TabellaBLENDING[[#This Row],[MAR]]="X",TabellaBLENDING[[#This Row],[MER]]="X",TabellaBLENDING[[#This Row],[GIO]]="X",TabellaBLENDING[[#This Row],[VEN]]="X",),"X","")</f>
        <v/>
      </c>
      <c r="D99" s="109" t="inlineStr">
        <is>
          <t>BLENDING</t>
        </is>
      </c>
      <c r="E99" s="109" t="inlineStr">
        <is>
          <t>539467/C</t>
        </is>
      </c>
      <c r="F99" s="109" t="inlineStr">
        <is>
          <t>BLENDING</t>
        </is>
      </c>
      <c r="G99" s="109" t="inlineStr">
        <is>
          <t>Verifica funzionalità livellostato L623HA</t>
        </is>
      </c>
      <c r="H99" s="111" t="n"/>
      <c r="I99" s="111" t="n"/>
      <c r="J99" s="111" t="n"/>
      <c r="K99" s="111" t="n"/>
      <c r="L99" s="111" t="n"/>
      <c r="M99" s="109" t="inlineStr">
        <is>
          <t>DA CHIUDERE</t>
        </is>
      </c>
      <c r="N99" s="109" t="n"/>
      <c r="O99" s="109" t="n"/>
      <c r="P99" s="109" t="n"/>
      <c r="Q99" s="109" t="n"/>
      <c r="R99" s="110" t="n">
        <v>45894</v>
      </c>
      <c r="S99" s="110" t="inlineStr">
        <is>
          <t>RICIPUTO</t>
        </is>
      </c>
      <c r="T9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8">
        <f>IFERROR(MID(G99,_xlfn.AGGREGATE(15,6,(ROW(INDIRECT("1:"&amp;LEN(G99)-7)))/(ISNUMBER(--MID(G99,ROW(INDIRECT("1:"&amp;LEN(G99)-7)),8))),1),8),"")</f>
        <v/>
      </c>
      <c r="V99" t="inlineStr">
        <is>
          <t>2025-09-30 20:00:00</t>
        </is>
      </c>
    </row>
    <row r="100" ht="23.25" customFormat="1" customHeight="1" s="45">
      <c r="A100" s="112" t="n"/>
      <c r="B100" s="112" t="n"/>
      <c r="C100" s="112">
        <f>IF(OR(TabellaBLENDING[[#This Row],[LUN]]="X",TabellaBLENDING[[#This Row],[MAR]]="X",TabellaBLENDING[[#This Row],[MER]]="X",TabellaBLENDING[[#This Row],[GIO]]="X",TabellaBLENDING[[#This Row],[VEN]]="X",),"X","")</f>
        <v/>
      </c>
      <c r="D100" s="109" t="inlineStr">
        <is>
          <t>BLENDING</t>
        </is>
      </c>
      <c r="E100" s="109" t="inlineStr">
        <is>
          <t>317893/S</t>
        </is>
      </c>
      <c r="F100" s="109" t="n">
        <v>7000</v>
      </c>
      <c r="G100" s="109" t="inlineStr">
        <is>
          <t>Controllo taratura pressostati barilotti aria dei compressori C1 e C2 Diesel Pontile</t>
        </is>
      </c>
      <c r="H100" s="111" t="n"/>
      <c r="I100" s="111" t="n"/>
      <c r="J100" s="111" t="n"/>
      <c r="K100" s="111" t="n"/>
      <c r="L100" s="111" t="n"/>
      <c r="M100" s="109" t="inlineStr">
        <is>
          <t>DA CHIUDERE</t>
        </is>
      </c>
      <c r="N100" s="109" t="n"/>
      <c r="O100" s="109" t="n"/>
      <c r="P100" s="109" t="n"/>
      <c r="Q100" s="109" t="n"/>
      <c r="R100" s="110" t="n"/>
      <c r="S100" s="110" t="n"/>
      <c r="T10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2" t="n"/>
      <c r="V100" t="inlineStr">
        <is>
          <t>2025-09-30 20:00:00</t>
        </is>
      </c>
    </row>
    <row r="101" ht="30" customFormat="1" customHeight="1" s="45">
      <c r="A101" s="112" t="n"/>
      <c r="B101" s="112" t="n"/>
      <c r="C101" s="112">
        <f>IF(OR(TabellaBLENDING[[#This Row],[LUN]]="X",TabellaBLENDING[[#This Row],[MAR]]="X",TabellaBLENDING[[#This Row],[MER]]="X",TabellaBLENDING[[#This Row],[GIO]]="X",TabellaBLENDING[[#This Row],[VEN]]="X",),"X","")</f>
        <v/>
      </c>
      <c r="D101" s="109" t="inlineStr">
        <is>
          <t>BLENDING</t>
        </is>
      </c>
      <c r="E101" s="109" t="inlineStr">
        <is>
          <t>549371/C</t>
        </is>
      </c>
      <c r="F101" s="109" t="n">
        <v>7000</v>
      </c>
      <c r="G101" s="109" t="inlineStr">
        <is>
          <t>Taratura pressostati Sala Pompe AI radice pontile, come da elenco allegato + sostituzione se guasti</t>
        </is>
      </c>
      <c r="H101" s="111" t="n"/>
      <c r="I101" s="111" t="n"/>
      <c r="J101" s="111" t="n"/>
      <c r="K101" s="111" t="n"/>
      <c r="L101" s="111" t="n"/>
      <c r="M101" s="109" t="inlineStr">
        <is>
          <t>DA CHIUDERE</t>
        </is>
      </c>
      <c r="N101" s="109" t="n"/>
      <c r="O101" s="109" t="n"/>
      <c r="P101" s="109" t="n"/>
      <c r="Q101" s="109" t="n"/>
      <c r="R101" s="110" t="n"/>
      <c r="S101" s="110" t="n"/>
      <c r="T10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2" t="n"/>
      <c r="V101" t="inlineStr">
        <is>
          <t>2025-09-30 20:00:00</t>
        </is>
      </c>
    </row>
    <row r="102" ht="23.25" customFormat="1" customHeight="1" s="45">
      <c r="A102" s="112" t="n"/>
      <c r="B102" s="112" t="n"/>
      <c r="C102" s="112">
        <f>IF(OR(TabellaBLENDING[[#This Row],[LUN]]="X",TabellaBLENDING[[#This Row],[MAR]]="X",TabellaBLENDING[[#This Row],[MER]]="X",TabellaBLENDING[[#This Row],[GIO]]="X",TabellaBLENDING[[#This Row],[VEN]]="X",),"X","")</f>
        <v/>
      </c>
      <c r="D102" s="109" t="inlineStr">
        <is>
          <t>BLENDING</t>
        </is>
      </c>
      <c r="E102" s="109" t="inlineStr">
        <is>
          <t>549465/C</t>
        </is>
      </c>
      <c r="F102" s="109" t="n">
        <v>1300</v>
      </c>
      <c r="G102" s="109" t="inlineStr">
        <is>
          <t>Ripristino guasto programmatore carico Braccio TL301B</t>
        </is>
      </c>
      <c r="H102" s="111" t="n"/>
      <c r="I102" s="111" t="n"/>
      <c r="J102" s="111" t="n"/>
      <c r="K102" s="111" t="n"/>
      <c r="L102" s="111" t="n"/>
      <c r="M102" s="109" t="inlineStr">
        <is>
          <t>DA CHIUDERE</t>
        </is>
      </c>
      <c r="N102" s="109" t="n"/>
      <c r="O102" s="109" t="n"/>
      <c r="P102" s="109" t="n"/>
      <c r="Q102" s="109" t="n"/>
      <c r="R102" s="110" t="n">
        <v>45903</v>
      </c>
      <c r="S102" s="110" t="inlineStr">
        <is>
          <t>RICIPUTO</t>
        </is>
      </c>
      <c r="T10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2" t="n"/>
      <c r="V102" t="inlineStr">
        <is>
          <t>2025-09-30 20:00:00</t>
        </is>
      </c>
    </row>
    <row r="103" ht="30" customFormat="1" customHeight="1" s="45">
      <c r="A103" s="112" t="n"/>
      <c r="B103" s="112" t="n"/>
      <c r="C103" s="112">
        <f>IF(OR(TabellaBLENDING[[#This Row],[LUN]]="X",TabellaBLENDING[[#This Row],[MAR]]="X",TabellaBLENDING[[#This Row],[MER]]="X",TabellaBLENDING[[#This Row],[GIO]]="X",TabellaBLENDING[[#This Row],[VEN]]="X",),"X","")</f>
        <v/>
      </c>
      <c r="D103" s="109" t="inlineStr">
        <is>
          <t>BLENDING</t>
        </is>
      </c>
      <c r="E103" s="109" t="inlineStr">
        <is>
          <t>549587/C</t>
        </is>
      </c>
      <c r="F103" s="109" t="n">
        <v>7000</v>
      </c>
      <c r="G103" s="109" t="inlineStr">
        <is>
          <t>Taratura pressostati pompe antincendio Raffineria come da elenco allegato + sostituzione se guasti</t>
        </is>
      </c>
      <c r="H103" s="111" t="n"/>
      <c r="I103" s="111" t="n"/>
      <c r="J103" s="111" t="n"/>
      <c r="K103" s="111" t="n"/>
      <c r="L103" s="111" t="n"/>
      <c r="M103" s="109" t="inlineStr">
        <is>
          <t>DA CHIUDERE</t>
        </is>
      </c>
      <c r="N103" s="109" t="n"/>
      <c r="O103" s="109" t="n"/>
      <c r="P103" s="109" t="n"/>
      <c r="Q103" s="109" t="n"/>
      <c r="R103" s="110" t="n"/>
      <c r="S103" s="110" t="n"/>
      <c r="T10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2" t="n"/>
      <c r="V103" t="inlineStr">
        <is>
          <t>2025-09-30 20:00:00</t>
        </is>
      </c>
    </row>
    <row r="104" ht="30" customFormat="1" customHeight="1" s="45">
      <c r="A104" s="112" t="n"/>
      <c r="B104" s="112" t="n"/>
      <c r="C104" s="112">
        <f>IF(OR(TabellaBLENDING[[#This Row],[LUN]]="X",TabellaBLENDING[[#This Row],[MAR]]="X",TabellaBLENDING[[#This Row],[MER]]="X",TabellaBLENDING[[#This Row],[GIO]]="X",TabellaBLENDING[[#This Row],[VEN]]="X",),"X","")</f>
        <v/>
      </c>
      <c r="D104" s="109" t="inlineStr">
        <is>
          <t>BLENDING</t>
        </is>
      </c>
      <c r="E104" s="109" t="inlineStr">
        <is>
          <t>549300/C</t>
        </is>
      </c>
      <c r="F104" s="109" t="inlineStr">
        <is>
          <t>Pontile</t>
        </is>
      </c>
      <c r="G104" s="109" t="inlineStr">
        <is>
          <t>Pontile   VRU Ptf.6 - Linea tra filtri e rompifiamma scollegamento/ricollegamento della strumentazione.</t>
        </is>
      </c>
      <c r="H104" s="111" t="n"/>
      <c r="I104" s="111" t="n"/>
      <c r="J104" s="111" t="n"/>
      <c r="K104" s="111" t="n"/>
      <c r="L104" s="111" t="n"/>
      <c r="M104" s="109" t="inlineStr">
        <is>
          <t>DA CHIUDERE</t>
        </is>
      </c>
      <c r="N104" s="109" t="n"/>
      <c r="O104" s="109" t="n"/>
      <c r="P104" s="109" t="n"/>
      <c r="Q104" s="109" t="n"/>
      <c r="R104" s="110" t="n"/>
      <c r="S104" s="110" t="n"/>
      <c r="T10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2" t="n"/>
      <c r="V104" t="inlineStr">
        <is>
          <t>2025-09-30 20:00:00</t>
        </is>
      </c>
    </row>
    <row r="105" ht="30" customFormat="1" customHeight="1" s="45">
      <c r="A105" s="112" t="n"/>
      <c r="B105" s="112" t="n"/>
      <c r="C105" s="112">
        <f>IF(OR(TabellaBLENDING[[#This Row],[LUN]]="X",TabellaBLENDING[[#This Row],[MAR]]="X",TabellaBLENDING[[#This Row],[MER]]="X",TabellaBLENDING[[#This Row],[GIO]]="X",TabellaBLENDING[[#This Row],[VEN]]="X",),"X","")</f>
        <v/>
      </c>
      <c r="D105" s="109" t="inlineStr">
        <is>
          <t>BLENDING</t>
        </is>
      </c>
      <c r="E105" s="109" t="inlineStr">
        <is>
          <t>318038/S</t>
        </is>
      </c>
      <c r="F105" s="109" t="n">
        <v>7000</v>
      </c>
      <c r="G105" s="109" t="inlineStr">
        <is>
          <t xml:space="preserve">Controllo taratura pressostati barilotti aria dei compressori C1 e C2 Diesel Raffineria
</t>
        </is>
      </c>
      <c r="H105" s="111" t="n"/>
      <c r="I105" s="111" t="n"/>
      <c r="J105" s="111" t="n"/>
      <c r="K105" s="111" t="n"/>
      <c r="L105" s="111" t="n"/>
      <c r="M105" s="109" t="inlineStr">
        <is>
          <t>DA CHIUDERE</t>
        </is>
      </c>
      <c r="N105" s="109" t="n"/>
      <c r="O105" s="109" t="n"/>
      <c r="P105" s="109" t="n"/>
      <c r="Q105" s="109" t="n"/>
      <c r="R105" s="110" t="n"/>
      <c r="S105" s="110" t="n"/>
      <c r="T10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2" t="n"/>
      <c r="V105" t="inlineStr">
        <is>
          <t>2025-09-30 20:00:00</t>
        </is>
      </c>
    </row>
    <row r="106" ht="23.25" customFormat="1" customHeight="1" s="45">
      <c r="A106" s="112" t="n"/>
      <c r="B106" s="112" t="n"/>
      <c r="C106" s="112">
        <f>IF(OR(TabellaBLENDING[[#This Row],[LUN]]="X",TabellaBLENDING[[#This Row],[MAR]]="X",TabellaBLENDING[[#This Row],[MER]]="X",TabellaBLENDING[[#This Row],[GIO]]="X",TabellaBLENDING[[#This Row],[VEN]]="X",),"X","")</f>
        <v/>
      </c>
      <c r="D106" s="109" t="inlineStr">
        <is>
          <t>BLENDING</t>
        </is>
      </c>
      <c r="E106" s="109" t="inlineStr">
        <is>
          <t>549357/C</t>
        </is>
      </c>
      <c r="F106" s="109" t="inlineStr">
        <is>
          <t>Pontile</t>
        </is>
      </c>
      <c r="G106" s="109" t="inlineStr">
        <is>
          <t>Controllo, ingrassaggio e ripristino funzionale valvola XV01-6 in PTF 6 (bloccata)</t>
        </is>
      </c>
      <c r="H106" s="111" t="n"/>
      <c r="I106" s="111" t="n"/>
      <c r="J106" s="111" t="n"/>
      <c r="K106" s="111" t="n"/>
      <c r="L106" s="111" t="n"/>
      <c r="M106" s="109" t="inlineStr">
        <is>
          <t>DA CHIUDERE</t>
        </is>
      </c>
      <c r="N106" s="109" t="n"/>
      <c r="O106" s="109" t="n"/>
      <c r="P106" s="109" t="n"/>
      <c r="Q106" s="109" t="n"/>
      <c r="R106" s="110" t="n"/>
      <c r="S106" s="110" t="n"/>
      <c r="T10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2" t="n"/>
      <c r="V106" t="inlineStr">
        <is>
          <t>2025-09-30 20:00:00</t>
        </is>
      </c>
    </row>
    <row r="107" ht="30" customFormat="1" customHeight="1" s="45">
      <c r="A107" s="112" t="n"/>
      <c r="B107" s="112" t="n"/>
      <c r="C107" s="112">
        <f>IF(OR(TabellaBLENDING[[#This Row],[LUN]]="X",TabellaBLENDING[[#This Row],[MAR]]="X",TabellaBLENDING[[#This Row],[MER]]="X",TabellaBLENDING[[#This Row],[GIO]]="X",TabellaBLENDING[[#This Row],[VEN]]="X",),"X","")</f>
        <v/>
      </c>
      <c r="D107" s="109" t="inlineStr">
        <is>
          <t>BLENDING</t>
        </is>
      </c>
      <c r="E107" s="109" t="inlineStr">
        <is>
          <t>549943/C</t>
        </is>
      </c>
      <c r="F107" s="109" t="inlineStr">
        <is>
          <t>Blend</t>
        </is>
      </c>
      <c r="G107" s="109" t="inlineStr">
        <is>
          <t>Ripristino funzionamento regolatrice blender dello stream F5002 (MTBE/IC6) sul blending benzina (non si apre)</t>
        </is>
      </c>
      <c r="H107" s="111" t="n"/>
      <c r="I107" s="111" t="n"/>
      <c r="J107" s="111" t="n"/>
      <c r="K107" s="111" t="n"/>
      <c r="L107" s="111" t="n"/>
      <c r="M107" s="109" t="inlineStr">
        <is>
          <t>DA CHIUDERE</t>
        </is>
      </c>
      <c r="N107" s="109" t="n"/>
      <c r="O107" s="109" t="n"/>
      <c r="P107" s="109" t="n"/>
      <c r="Q107" s="109" t="n"/>
      <c r="R107" s="110" t="n"/>
      <c r="S107" s="110" t="n"/>
      <c r="T10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2" t="n"/>
      <c r="V107" t="inlineStr">
        <is>
          <t>2025-09-30 20:00:00</t>
        </is>
      </c>
    </row>
    <row r="108" ht="23.25" customFormat="1" customHeight="1" s="45">
      <c r="A108" s="112" t="n"/>
      <c r="B108" s="112" t="n"/>
      <c r="C108" s="112">
        <f>IF(OR(TabellaBLENDING[[#This Row],[LUN]]="X",TabellaBLENDING[[#This Row],[MAR]]="X",TabellaBLENDING[[#This Row],[MER]]="X",TabellaBLENDING[[#This Row],[GIO]]="X",TabellaBLENDING[[#This Row],[VEN]]="X",),"X","")</f>
        <v/>
      </c>
      <c r="D108" s="109" t="inlineStr">
        <is>
          <t>BLENDING</t>
        </is>
      </c>
      <c r="E108" s="109" t="inlineStr">
        <is>
          <t>318240/S</t>
        </is>
      </c>
      <c r="F108" s="109" t="n">
        <v>6500</v>
      </c>
      <c r="G108" s="109" t="inlineStr">
        <is>
          <t>BR 54 ripristino perdita di aria da filtro riduttore su XV di radice</t>
        </is>
      </c>
      <c r="H108" s="111" t="n"/>
      <c r="I108" s="111" t="n"/>
      <c r="J108" s="111" t="n"/>
      <c r="K108" s="111" t="n"/>
      <c r="L108" s="111" t="n"/>
      <c r="M108" s="109" t="inlineStr">
        <is>
          <t>DA CHIUDERE</t>
        </is>
      </c>
      <c r="N108" s="109" t="n"/>
      <c r="O108" s="109" t="n"/>
      <c r="P108" s="109" t="n"/>
      <c r="Q108" s="109" t="n"/>
      <c r="R108" s="110" t="n"/>
      <c r="S108" s="110" t="n"/>
      <c r="T10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2" t="n"/>
      <c r="V108" t="inlineStr">
        <is>
          <t>2025-09-30 20:00:00</t>
        </is>
      </c>
    </row>
    <row r="109" ht="75" customFormat="1" customHeight="1" s="45">
      <c r="A109" s="112" t="n"/>
      <c r="B109" s="112" t="n"/>
      <c r="C109" s="112">
        <f>IF(OR(TabellaBLENDING[[#This Row],[LUN]]="X",TabellaBLENDING[[#This Row],[MAR]]="X",TabellaBLENDING[[#This Row],[MER]]="X",TabellaBLENDING[[#This Row],[GIO]]="X",TabellaBLENDING[[#This Row],[VEN]]="X",),"X","")</f>
        <v/>
      </c>
      <c r="D109" s="109" t="inlineStr">
        <is>
          <t>BLENDING</t>
        </is>
      </c>
      <c r="E109" s="109" t="inlineStr">
        <is>
          <t>551310/C</t>
        </is>
      </c>
      <c r="F109" s="109" t="inlineStr">
        <is>
          <t>Blend</t>
        </is>
      </c>
      <c r="G109" s="109" t="inlineStr">
        <is>
          <t>RIPRISTINO GRUPPO MANOMETRICO MANDATA P402/B</t>
        </is>
      </c>
      <c r="H109" s="111" t="n"/>
      <c r="I109" s="111" t="n"/>
      <c r="J109" s="111" t="n"/>
      <c r="K109" s="111" t="n"/>
      <c r="L109" s="111" t="n"/>
      <c r="M109" s="109" t="inlineStr">
        <is>
          <t>DA CHIUDERE</t>
        </is>
      </c>
      <c r="N109" s="109" t="n"/>
      <c r="O109" s="109" t="n"/>
      <c r="P109" s="109" t="n"/>
      <c r="Q109" s="109" t="inlineStr">
        <is>
          <t>SMONTAGGIO VECCHIO GRUPPO , RIFACIMENTO IN CANTIERE NUOVO GRUPPO + CONTROLLO PRESSOSTATO E SOSTITUZIONE 4 VALVOLE , TUNING , E MANOMETRO CON GLICERINA , SOSTITUZIONE CAVALLOTTI DI FISSAGGIO . INSERITO E CONSEGNATO CON CHIUSURA PERMESSO.</t>
        </is>
      </c>
      <c r="R109" s="110" t="n">
        <v>45917</v>
      </c>
      <c r="S109" s="110" t="inlineStr">
        <is>
          <t>RICIPUTO</t>
        </is>
      </c>
      <c r="T10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2" t="n"/>
      <c r="V109" t="inlineStr">
        <is>
          <t>2025-09-30 20:00:00</t>
        </is>
      </c>
    </row>
    <row r="110" ht="23.25" customFormat="1" customHeight="1" s="45">
      <c r="A110" s="112" t="n"/>
      <c r="B110" s="112" t="n"/>
      <c r="C110" s="112">
        <f>IF(OR(TabellaBLENDING[[#This Row],[LUN]]="X",TabellaBLENDING[[#This Row],[MAR]]="X",TabellaBLENDING[[#This Row],[MER]]="X",TabellaBLENDING[[#This Row],[GIO]]="X",TabellaBLENDING[[#This Row],[VEN]]="X",),"X","")</f>
        <v/>
      </c>
      <c r="D110" s="109" t="inlineStr">
        <is>
          <t>BLENDING</t>
        </is>
      </c>
      <c r="E110" s="109" t="inlineStr">
        <is>
          <t>551570/C</t>
        </is>
      </c>
      <c r="F110" s="109" t="n">
        <v>6500</v>
      </c>
      <c r="G110" s="109" t="inlineStr">
        <is>
          <t xml:space="preserve">Ripristino funzionalit Civacon - controllo sonda n. 3 </t>
        </is>
      </c>
      <c r="H110" s="111" t="n"/>
      <c r="I110" s="111" t="n"/>
      <c r="J110" s="111" t="n"/>
      <c r="K110" s="111" t="n"/>
      <c r="L110" s="111" t="n"/>
      <c r="M110" s="109" t="inlineStr">
        <is>
          <t>DA CHIUDERE</t>
        </is>
      </c>
      <c r="N110" s="109" t="n"/>
      <c r="O110" s="109" t="n"/>
      <c r="P110" s="109" t="n"/>
      <c r="Q110" s="109" t="inlineStr">
        <is>
          <t>RIPRISTINATA FUNZIONALITÀ CIVACON.</t>
        </is>
      </c>
      <c r="R110" s="110" t="n">
        <v>45918</v>
      </c>
      <c r="S110" s="110" t="inlineStr">
        <is>
          <t>RICIPUTO</t>
        </is>
      </c>
      <c r="T11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2" t="n"/>
      <c r="V110" t="inlineStr">
        <is>
          <t>2025-09-30 20:00:00</t>
        </is>
      </c>
    </row>
    <row r="111" ht="30" customFormat="1" customHeight="1" s="45">
      <c r="A111" s="112" t="n"/>
      <c r="B111" s="112" t="n"/>
      <c r="C111" s="112">
        <f>IF(OR(TabellaBLENDING[[#This Row],[LUN]]="X",TabellaBLENDING[[#This Row],[MAR]]="X",TabellaBLENDING[[#This Row],[MER]]="X",TabellaBLENDING[[#This Row],[GIO]]="X",TabellaBLENDING[[#This Row],[VEN]]="X",),"X","")</f>
        <v/>
      </c>
      <c r="D111" s="109" t="inlineStr">
        <is>
          <t>BLENDING</t>
        </is>
      </c>
      <c r="E111" s="109" t="inlineStr">
        <is>
          <t>550440/C</t>
        </is>
      </c>
      <c r="F111" s="109" t="n">
        <v>6500</v>
      </c>
      <c r="G111" s="109" t="inlineStr">
        <is>
          <t>Verifica annuale di funzionalita' dei Differenziali di Pressione dei filtri a cestello di tutti i Bracci di carico</t>
        </is>
      </c>
      <c r="H111" s="111" t="n"/>
      <c r="I111" s="111" t="n"/>
      <c r="J111" s="111" t="n"/>
      <c r="K111" s="111" t="n"/>
      <c r="L111" s="111" t="n"/>
      <c r="M111" s="109" t="inlineStr">
        <is>
          <t>DA CHIUDERE</t>
        </is>
      </c>
      <c r="N111" s="109" t="n"/>
      <c r="O111" s="109" t="n"/>
      <c r="P111" s="109" t="n"/>
      <c r="Q111" s="109" t="inlineStr">
        <is>
          <t>ESEGUITE VERIFICHE DELTAP RAMPA 1 RAMPA 2</t>
        </is>
      </c>
      <c r="R111" s="110" t="n">
        <v>45918</v>
      </c>
      <c r="S111" s="110" t="inlineStr">
        <is>
          <t>RICIPUTO</t>
        </is>
      </c>
      <c r="T11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2" t="n"/>
      <c r="V111" t="inlineStr">
        <is>
          <t>2025-09-30 20:00:00</t>
        </is>
      </c>
    </row>
    <row r="112" ht="23.25" customFormat="1" customHeight="1" s="45">
      <c r="A112" s="112" t="n"/>
      <c r="B112" s="112" t="n"/>
      <c r="C112" s="112">
        <f>IF(OR(TabellaBLENDING[[#This Row],[LUN]]="X",TabellaBLENDING[[#This Row],[MAR]]="X",TabellaBLENDING[[#This Row],[MER]]="X",TabellaBLENDING[[#This Row],[GIO]]="X",TabellaBLENDING[[#This Row],[VEN]]="X",),"X","")</f>
        <v/>
      </c>
      <c r="D112" s="109" t="inlineStr">
        <is>
          <t>BLENDING</t>
        </is>
      </c>
      <c r="E112" s="109" t="inlineStr">
        <is>
          <t>551695/C</t>
        </is>
      </c>
      <c r="F112" s="109" t="n">
        <v>6500</v>
      </c>
      <c r="G112" s="109" t="inlineStr">
        <is>
          <t>Ricerca e ripristino guasto su testata Vega BR 41 + sostituzione barriera in cassetta ADF</t>
        </is>
      </c>
      <c r="H112" s="111" t="n"/>
      <c r="I112" s="111" t="n"/>
      <c r="J112" s="111" t="n"/>
      <c r="K112" s="111" t="n"/>
      <c r="L112" s="111" t="n"/>
      <c r="M112" s="109" t="inlineStr">
        <is>
          <t>DA CHIUDERE</t>
        </is>
      </c>
      <c r="N112" s="109" t="n"/>
      <c r="O112" s="109" t="n"/>
      <c r="P112" s="109" t="n"/>
      <c r="Q112" s="109" t="inlineStr">
        <is>
          <t>RESETTATA EPROM ISOIL</t>
        </is>
      </c>
      <c r="R112" s="110" t="n">
        <v>45919</v>
      </c>
      <c r="S112" s="110" t="inlineStr">
        <is>
          <t>RICIPUTO</t>
        </is>
      </c>
      <c r="T11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2" t="n"/>
      <c r="V112" t="inlineStr">
        <is>
          <t>2025-09-30 20:00:00</t>
        </is>
      </c>
    </row>
    <row r="113" ht="23.25" customFormat="1" customHeight="1" s="45">
      <c r="A113" s="112" t="n"/>
      <c r="B113" s="112" t="n"/>
      <c r="C113" s="112">
        <f>IF(OR(TabellaBLENDING[[#This Row],[LUN]]="X",TabellaBLENDING[[#This Row],[MAR]]="X",TabellaBLENDING[[#This Row],[MER]]="X",TabellaBLENDING[[#This Row],[GIO]]="X",TabellaBLENDING[[#This Row],[VEN]]="X",),"X","")</f>
        <v/>
      </c>
      <c r="D113" s="109" t="inlineStr">
        <is>
          <t>BLENDING</t>
        </is>
      </c>
      <c r="E113" s="109" t="inlineStr">
        <is>
          <t>551676/C</t>
        </is>
      </c>
      <c r="F113" s="109" t="inlineStr">
        <is>
          <t>Blend</t>
        </is>
      </c>
      <c r="G113" s="109" t="inlineStr">
        <is>
          <t>Sostituzione trasmettitore di livello Krohne L610_B</t>
        </is>
      </c>
      <c r="H113" s="111" t="n"/>
      <c r="I113" s="111" t="n"/>
      <c r="J113" s="111" t="n"/>
      <c r="K113" s="111" t="n"/>
      <c r="L113" s="111" t="n"/>
      <c r="M113" s="109" t="inlineStr">
        <is>
          <t>DA CHIUDERE</t>
        </is>
      </c>
      <c r="N113" s="109" t="n"/>
      <c r="O113" s="109" t="n"/>
      <c r="P113" s="109" t="n"/>
      <c r="Q113" s="109" t="inlineStr">
        <is>
          <t>INSTALLATO NUOVO TX</t>
        </is>
      </c>
      <c r="R113" s="110" t="n">
        <v>45922</v>
      </c>
      <c r="S113" s="110" t="inlineStr">
        <is>
          <t>RICIPUTO</t>
        </is>
      </c>
      <c r="T11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2" t="n"/>
      <c r="V113" t="inlineStr">
        <is>
          <t>2025-09-30 20:00:00</t>
        </is>
      </c>
    </row>
    <row r="114" ht="23.25" customFormat="1" customHeight="1" s="45">
      <c r="A114" s="112" t="n"/>
      <c r="B114" s="112" t="n"/>
      <c r="C114" s="112">
        <f>IF(OR(TabellaBLENDING[[#This Row],[LUN]]="X",TabellaBLENDING[[#This Row],[MAR]]="X",TabellaBLENDING[[#This Row],[MER]]="X",TabellaBLENDING[[#This Row],[GIO]]="X",TabellaBLENDING[[#This Row],[VEN]]="X",),"X","")</f>
        <v/>
      </c>
      <c r="D114" s="109" t="inlineStr">
        <is>
          <t>BLENDING</t>
        </is>
      </c>
      <c r="E114" s="109" t="inlineStr">
        <is>
          <t>551810/C</t>
        </is>
      </c>
      <c r="F114" s="109" t="inlineStr">
        <is>
          <t>Blend</t>
        </is>
      </c>
      <c r="G114" s="109" t="inlineStr">
        <is>
          <t>verifica e ripristino funzionalit pressostato</t>
        </is>
      </c>
      <c r="H114" s="111" t="n"/>
      <c r="I114" s="111" t="n"/>
      <c r="J114" s="111" t="n"/>
      <c r="K114" s="111" t="n"/>
      <c r="L114" s="111" t="n"/>
      <c r="M114" s="109" t="inlineStr">
        <is>
          <t>DA CHIUDERE</t>
        </is>
      </c>
      <c r="N114" s="109" t="n"/>
      <c r="O114" s="109" t="n"/>
      <c r="P114" s="109" t="n"/>
      <c r="Q114" s="109" t="inlineStr">
        <is>
          <t>APERTA VALVOLA INTERCETTO PRESSOSTATO.</t>
        </is>
      </c>
      <c r="R114" s="110" t="n">
        <v>45922</v>
      </c>
      <c r="S114" s="110" t="inlineStr">
        <is>
          <t>RICIPUTO</t>
        </is>
      </c>
      <c r="T11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2" t="n"/>
      <c r="V114" t="inlineStr">
        <is>
          <t>2025-09-30 20:00:00</t>
        </is>
      </c>
    </row>
    <row r="115" ht="23.25" customFormat="1" customHeight="1" s="45">
      <c r="A115" s="112" t="n"/>
      <c r="B115" s="112" t="n"/>
      <c r="C115" s="112">
        <f>IF(OR(TabellaBLENDING[[#This Row],[LUN]]="X",TabellaBLENDING[[#This Row],[MAR]]="X",TabellaBLENDING[[#This Row],[MER]]="X",TabellaBLENDING[[#This Row],[GIO]]="X",TabellaBLENDING[[#This Row],[VEN]]="X",),"X","")</f>
        <v/>
      </c>
      <c r="D115" s="109" t="inlineStr">
        <is>
          <t>BLENDING</t>
        </is>
      </c>
      <c r="E115" s="109" t="inlineStr">
        <is>
          <t>552940/C</t>
        </is>
      </c>
      <c r="F115" s="109" t="n">
        <v>6200</v>
      </c>
      <c r="G115" s="109" t="inlineStr">
        <is>
          <t>Controllo funzionalita' PRESSOSTATO P311 e ripristino staffaggio</t>
        </is>
      </c>
      <c r="H115" s="111" t="n"/>
      <c r="I115" s="111" t="inlineStr">
        <is>
          <t>X</t>
        </is>
      </c>
      <c r="J115" s="111" t="inlineStr">
        <is>
          <t>X</t>
        </is>
      </c>
      <c r="K115" s="111" t="n"/>
      <c r="L115" s="111" t="n"/>
      <c r="M115" s="109" t="inlineStr">
        <is>
          <t>EMESSO</t>
        </is>
      </c>
      <c r="N115" s="109" t="n"/>
      <c r="O115" s="109" t="n"/>
      <c r="P115" s="109" t="n"/>
      <c r="Q115" s="109" t="n"/>
      <c r="R115" s="110" t="n"/>
      <c r="S115" s="110" t="n"/>
      <c r="T11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52" t="n"/>
      <c r="V115" t="inlineStr">
        <is>
          <t>2025-09-30 20:00:00</t>
        </is>
      </c>
    </row>
    <row r="116" ht="23.25" customFormat="1" customHeight="1" s="45">
      <c r="A116" s="112" t="n"/>
      <c r="B116" s="112" t="n"/>
      <c r="C116" s="112">
        <f>IF(OR(TabellaBLENDING[[#This Row],[LUN]]="X",TabellaBLENDING[[#This Row],[MAR]]="X",TabellaBLENDING[[#This Row],[MER]]="X",TabellaBLENDING[[#This Row],[GIO]]="X",TabellaBLENDING[[#This Row],[VEN]]="X",),"X","")</f>
        <v/>
      </c>
      <c r="D116" s="109" t="inlineStr">
        <is>
          <t>BLENDING</t>
        </is>
      </c>
      <c r="E116" s="109" t="inlineStr">
        <is>
          <t>552473/C</t>
        </is>
      </c>
      <c r="F116" s="109" t="n">
        <v>6500</v>
      </c>
      <c r="G116" s="109" t="inlineStr">
        <is>
          <t xml:space="preserve">Controllo funzionalita' livello serbatoio cherosene </t>
        </is>
      </c>
      <c r="H116" s="111" t="n"/>
      <c r="I116" s="111" t="inlineStr">
        <is>
          <t>X</t>
        </is>
      </c>
      <c r="J116" s="111" t="n"/>
      <c r="K116" s="111" t="n"/>
      <c r="L116" s="111" t="n"/>
      <c r="M116" s="109" t="inlineStr">
        <is>
          <t>EMESSO</t>
        </is>
      </c>
      <c r="N116" s="109" t="n"/>
      <c r="O116" s="109" t="n"/>
      <c r="P116" s="109" t="n"/>
      <c r="Q116" s="109" t="n"/>
      <c r="R116" s="110" t="n"/>
      <c r="S116" s="110" t="n"/>
      <c r="T11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6" s="152" t="n"/>
      <c r="V116" t="inlineStr">
        <is>
          <t>2025-09-30 20:00:00</t>
        </is>
      </c>
    </row>
    <row r="117" ht="23.25" customFormat="1" customHeight="1" s="45">
      <c r="A117" s="112" t="n"/>
      <c r="B117" s="112" t="n"/>
      <c r="C117" s="112">
        <f>IF(OR(TabellaBLENDING[[#This Row],[LUN]]="X",TabellaBLENDING[[#This Row],[MAR]]="X",TabellaBLENDING[[#This Row],[MER]]="X",TabellaBLENDING[[#This Row],[GIO]]="X",TabellaBLENDING[[#This Row],[VEN]]="X",),"X","")</f>
        <v/>
      </c>
      <c r="D117" s="109" t="inlineStr">
        <is>
          <t>BLENDING</t>
        </is>
      </c>
      <c r="E117" s="109" t="inlineStr">
        <is>
          <t>552476/C</t>
        </is>
      </c>
      <c r="F117" s="109" t="inlineStr">
        <is>
          <t>Blend</t>
        </is>
      </c>
      <c r="G117" s="109" t="inlineStr">
        <is>
          <t>VERIFICA STRUMENTAZIONE ALTA PRESSIONE MANDATA P512C (P512C_LA )</t>
        </is>
      </c>
      <c r="H117" s="111" t="n"/>
      <c r="I117" s="111" t="inlineStr">
        <is>
          <t>X</t>
        </is>
      </c>
      <c r="J117" s="111" t="n"/>
      <c r="K117" s="111" t="n"/>
      <c r="L117" s="111" t="n"/>
      <c r="M117" s="109" t="inlineStr">
        <is>
          <t>EMESSO</t>
        </is>
      </c>
      <c r="N117" s="109" t="n"/>
      <c r="O117" s="109" t="n"/>
      <c r="P117" s="109" t="n"/>
      <c r="Q117" s="109" t="n"/>
      <c r="R117" s="110" t="n"/>
      <c r="S117" s="110" t="n"/>
      <c r="T11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7" s="152" t="n"/>
      <c r="V117" t="inlineStr">
        <is>
          <t>2025-09-30 20:00:00</t>
        </is>
      </c>
    </row>
    <row r="118" ht="23.25" customFormat="1" customHeight="1" s="45">
      <c r="A118" s="112" t="n"/>
      <c r="B118" s="112" t="n"/>
      <c r="C118" s="112">
        <f>IF(OR(TabellaBLENDING[[#This Row],[LUN]]="X",TabellaBLENDING[[#This Row],[MAR]]="X",TabellaBLENDING[[#This Row],[MER]]="X",TabellaBLENDING[[#This Row],[GIO]]="X",TabellaBLENDING[[#This Row],[VEN]]="X",),"X","")</f>
        <v/>
      </c>
      <c r="D118" s="109" t="inlineStr">
        <is>
          <t>BLENDING</t>
        </is>
      </c>
      <c r="E118" s="109" t="inlineStr">
        <is>
          <t>548717/C</t>
        </is>
      </c>
      <c r="F118" s="109" t="n">
        <v>6500</v>
      </c>
      <c r="G118" s="109" t="inlineStr">
        <is>
          <t>BLENDING CVT  RAMPA 6 :  BR65 JET FUEL LA XV NON SI APRE</t>
        </is>
      </c>
      <c r="H118" s="111" t="n"/>
      <c r="I118" s="111" t="n"/>
      <c r="J118" s="111" t="n"/>
      <c r="K118" s="111" t="n"/>
      <c r="L118" s="111" t="n"/>
      <c r="M118" s="109" t="inlineStr">
        <is>
          <t>EMESSO</t>
        </is>
      </c>
      <c r="N118" s="109" t="n"/>
      <c r="O118" s="109" t="n"/>
      <c r="P118" s="109" t="n"/>
      <c r="Q118" s="109" t="n"/>
      <c r="R118" s="110" t="n">
        <v>45895</v>
      </c>
      <c r="S118" s="110" t="inlineStr">
        <is>
          <t>RICIPUTO</t>
        </is>
      </c>
      <c r="T11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2" t="n"/>
      <c r="V118" t="inlineStr">
        <is>
          <t>2025-09-30 20:00:00</t>
        </is>
      </c>
    </row>
    <row r="119" ht="23.25" customFormat="1" customHeight="1" s="45">
      <c r="A119" s="112" t="n"/>
      <c r="B119" s="112" t="n"/>
      <c r="C119" s="112">
        <f>IF(OR(TabellaBLENDING[[#This Row],[LUN]]="X",TabellaBLENDING[[#This Row],[MAR]]="X",TabellaBLENDING[[#This Row],[MER]]="X",TabellaBLENDING[[#This Row],[GIO]]="X",TabellaBLENDING[[#This Row],[VEN]]="X",),"X","")</f>
        <v/>
      </c>
      <c r="D119" s="109" t="inlineStr">
        <is>
          <t>BLENDING</t>
        </is>
      </c>
      <c r="E119" s="109" t="inlineStr">
        <is>
          <t>547593/C</t>
        </is>
      </c>
      <c r="F119" s="109" t="inlineStr">
        <is>
          <t>Pontile</t>
        </is>
      </c>
      <c r="G119" s="109" t="inlineStr">
        <is>
          <t>Scollegamento strumentale E.V. e posizionatore della Valvola PIC 01-06 VRU PTF 6</t>
        </is>
      </c>
      <c r="H119" s="111" t="n"/>
      <c r="I119" s="111" t="n"/>
      <c r="J119" s="111" t="n"/>
      <c r="K119" s="111" t="n"/>
      <c r="L119" s="111" t="n"/>
      <c r="M119" s="109" t="inlineStr">
        <is>
          <t>EMESSO</t>
        </is>
      </c>
      <c r="N119" s="109" t="n"/>
      <c r="O119" s="109" t="n"/>
      <c r="P119" s="109" t="n"/>
      <c r="Q119" s="109" t="n"/>
      <c r="R119" s="110" t="n"/>
      <c r="S119" s="110" t="n"/>
      <c r="T11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2" t="n"/>
      <c r="V119" t="inlineStr">
        <is>
          <t>2025-09-30 20:00:00</t>
        </is>
      </c>
    </row>
    <row r="120" ht="23.25" customFormat="1" customHeight="1" s="45">
      <c r="A120" s="112" t="n"/>
      <c r="B120" s="112" t="n"/>
      <c r="C120" s="112">
        <f>IF(OR(TabellaBLENDING[[#This Row],[LUN]]="X",TabellaBLENDING[[#This Row],[MAR]]="X",TabellaBLENDING[[#This Row],[MER]]="X",TabellaBLENDING[[#This Row],[GIO]]="X",TabellaBLENDING[[#This Row],[VEN]]="X",),"X","")</f>
        <v/>
      </c>
      <c r="D120" s="109" t="inlineStr">
        <is>
          <t>BLENDING</t>
        </is>
      </c>
      <c r="E120" s="109" t="inlineStr">
        <is>
          <t>547430/C</t>
        </is>
      </c>
      <c r="F120" s="109" t="n">
        <v>6500</v>
      </c>
      <c r="G120" s="109" t="inlineStr">
        <is>
          <t>Ricerca guasto e ripristino funzionalit Braccio 71</t>
        </is>
      </c>
      <c r="H120" s="111" t="n"/>
      <c r="I120" s="111" t="n"/>
      <c r="J120" s="111" t="n"/>
      <c r="K120" s="111" t="n"/>
      <c r="L120" s="111" t="n"/>
      <c r="M120" s="109" t="inlineStr">
        <is>
          <t>EMESSO</t>
        </is>
      </c>
      <c r="N120" s="109" t="n"/>
      <c r="O120" s="109" t="n"/>
      <c r="P120" s="109" t="n"/>
      <c r="Q120" s="109" t="n"/>
      <c r="R120" s="110" t="n"/>
      <c r="S120" s="110" t="n"/>
      <c r="T12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2" t="n"/>
      <c r="V120" t="inlineStr">
        <is>
          <t>2025-09-30 20:00:00</t>
        </is>
      </c>
    </row>
    <row r="121" ht="23.25" customFormat="1" customHeight="1" s="45">
      <c r="A121" s="112" t="n"/>
      <c r="B121" s="112" t="n"/>
      <c r="C121" s="112">
        <f>IF(OR(TabellaBLENDING[[#This Row],[LUN]]="X",TabellaBLENDING[[#This Row],[MAR]]="X",TabellaBLENDING[[#This Row],[MER]]="X",TabellaBLENDING[[#This Row],[GIO]]="X",TabellaBLENDING[[#This Row],[VEN]]="X",),"X","")</f>
        <v/>
      </c>
      <c r="D121" s="109" t="inlineStr">
        <is>
          <t>BLENDING</t>
        </is>
      </c>
      <c r="E121" s="109" t="inlineStr">
        <is>
          <t>547341/C</t>
        </is>
      </c>
      <c r="F121" s="109" t="inlineStr">
        <is>
          <t>Pontile</t>
        </is>
      </c>
      <c r="G121" s="109" t="inlineStr">
        <is>
          <t>PTF6 : verifica funzionalit 801-P02-6DP</t>
        </is>
      </c>
      <c r="H121" s="111" t="n"/>
      <c r="I121" s="111" t="n"/>
      <c r="J121" s="111" t="n"/>
      <c r="K121" s="111" t="n"/>
      <c r="L121" s="111" t="n"/>
      <c r="M121" s="109" t="inlineStr">
        <is>
          <t>EMESSO</t>
        </is>
      </c>
      <c r="N121" s="109" t="n"/>
      <c r="O121" s="109" t="n"/>
      <c r="P121" s="109" t="n"/>
      <c r="Q121" s="109" t="n"/>
      <c r="R121" s="110" t="n"/>
      <c r="S121" s="110" t="n"/>
      <c r="T12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2" t="n"/>
      <c r="V121" t="inlineStr">
        <is>
          <t>2025-09-30 20:00:00</t>
        </is>
      </c>
    </row>
    <row r="122" ht="23.25" customFormat="1" customHeight="1" s="45">
      <c r="A122" s="112" t="n"/>
      <c r="B122" s="112" t="n"/>
      <c r="C122" s="112">
        <f>IF(OR(TabellaBLENDING[[#This Row],[LUN]]="X",TabellaBLENDING[[#This Row],[MAR]]="X",TabellaBLENDING[[#This Row],[MER]]="X",TabellaBLENDING[[#This Row],[GIO]]="X",TabellaBLENDING[[#This Row],[VEN]]="X",),"X","")</f>
        <v/>
      </c>
      <c r="D122" s="109" t="inlineStr">
        <is>
          <t>BLENDING</t>
        </is>
      </c>
      <c r="E122" s="109" t="inlineStr">
        <is>
          <t>317310/S</t>
        </is>
      </c>
      <c r="F122" s="109" t="inlineStr">
        <is>
          <t>Pontile</t>
        </is>
      </c>
      <c r="G122" s="109" t="inlineStr">
        <is>
          <t>controllo funzionalità livello LD102A barilotto slop</t>
        </is>
      </c>
      <c r="H122" s="111" t="n"/>
      <c r="I122" s="111" t="n"/>
      <c r="J122" s="111" t="n"/>
      <c r="K122" s="111" t="n"/>
      <c r="L122" s="111" t="n"/>
      <c r="M122" s="109" t="inlineStr">
        <is>
          <t>EMESSO</t>
        </is>
      </c>
      <c r="N122" s="109" t="n"/>
      <c r="O122" s="109" t="n"/>
      <c r="P122" s="109" t="n"/>
      <c r="Q122" s="109" t="n"/>
      <c r="R122" s="110" t="n"/>
      <c r="S122" s="110" t="n"/>
      <c r="T12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2" t="n"/>
      <c r="V122" t="inlineStr">
        <is>
          <t>2025-09-30 20:00:00</t>
        </is>
      </c>
    </row>
    <row r="123" ht="23.25" customFormat="1" customHeight="1" s="45">
      <c r="A123" s="112" t="n"/>
      <c r="B123" s="112" t="n"/>
      <c r="C123" s="112">
        <f>IF(OR(TabellaBLENDING[[#This Row],[LUN]]="X",TabellaBLENDING[[#This Row],[MAR]]="X",TabellaBLENDING[[#This Row],[MER]]="X",TabellaBLENDING[[#This Row],[GIO]]="X",TabellaBLENDING[[#This Row],[VEN]]="X",),"X","")</f>
        <v/>
      </c>
      <c r="D123" s="109" t="inlineStr">
        <is>
          <t>BLENDING</t>
        </is>
      </c>
      <c r="E123" s="109" t="inlineStr">
        <is>
          <t>546919/C</t>
        </is>
      </c>
      <c r="F123" s="109" t="inlineStr">
        <is>
          <t>Pontile</t>
        </is>
      </c>
      <c r="G123" s="109" t="inlineStr">
        <is>
          <t xml:space="preserve">Ripristino funzionalita' valvola </t>
        </is>
      </c>
      <c r="H123" s="111" t="n"/>
      <c r="I123" s="111" t="n"/>
      <c r="J123" s="111" t="n"/>
      <c r="K123" s="111" t="n"/>
      <c r="L123" s="111" t="n"/>
      <c r="M123" s="109" t="inlineStr">
        <is>
          <t>EMESSO</t>
        </is>
      </c>
      <c r="N123" s="109" t="n"/>
      <c r="O123" s="109" t="n"/>
      <c r="P123" s="109" t="n"/>
      <c r="Q123" s="109" t="n"/>
      <c r="R123" s="110" t="n"/>
      <c r="S123" s="110" t="n"/>
      <c r="T12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2" t="n"/>
      <c r="V123" t="inlineStr">
        <is>
          <t>2025-09-30 20:00:00</t>
        </is>
      </c>
    </row>
    <row r="124" ht="30" customFormat="1" customHeight="1" s="45">
      <c r="A124" s="112" t="n"/>
      <c r="B124" s="112" t="n"/>
      <c r="C124" s="112">
        <f>IF(OR(TabellaBLENDING[[#This Row],[LUN]]="X",TabellaBLENDING[[#This Row],[MAR]]="X",TabellaBLENDING[[#This Row],[MER]]="X",TabellaBLENDING[[#This Row],[GIO]]="X",TabellaBLENDING[[#This Row],[VEN]]="X",),"X","")</f>
        <v/>
      </c>
      <c r="D124" s="109" t="inlineStr">
        <is>
          <t>BLENDING</t>
        </is>
      </c>
      <c r="E124" s="109" t="inlineStr">
        <is>
          <t>545624/C</t>
        </is>
      </c>
      <c r="F124" s="109" t="inlineStr">
        <is>
          <t>Blend</t>
        </is>
      </c>
      <c r="G124" s="109" t="inlineStr">
        <is>
          <t>SALA POMPE ADDITIVI P1141E/F SMONTAGGIO /MONTAGGIO PER REVISIONE SERVOMOTORE XV47  XV48  XV49  XV50</t>
        </is>
      </c>
      <c r="H124" s="111" t="n"/>
      <c r="I124" s="111" t="n"/>
      <c r="J124" s="111" t="n"/>
      <c r="K124" s="111" t="n"/>
      <c r="L124" s="111" t="n"/>
      <c r="M124" s="109" t="inlineStr">
        <is>
          <t>EMESSO</t>
        </is>
      </c>
      <c r="N124" s="109" t="n"/>
      <c r="O124" s="109" t="n"/>
      <c r="P124" s="109" t="n"/>
      <c r="Q124" s="109" t="n"/>
      <c r="R124" s="110" t="n"/>
      <c r="S124" s="110" t="n"/>
      <c r="T12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2" t="n"/>
      <c r="V124" t="inlineStr">
        <is>
          <t>2025-09-30 20:00:00</t>
        </is>
      </c>
    </row>
    <row r="125" ht="23.25" customFormat="1" customHeight="1" s="45">
      <c r="A125" s="112" t="n"/>
      <c r="B125" s="112" t="n"/>
      <c r="C125" s="112">
        <f>IF(OR(TabellaBLENDING[[#This Row],[LUN]]="X",TabellaBLENDING[[#This Row],[MAR]]="X",TabellaBLENDING[[#This Row],[MER]]="X",TabellaBLENDING[[#This Row],[GIO]]="X",TabellaBLENDING[[#This Row],[VEN]]="X",),"X","")</f>
        <v/>
      </c>
      <c r="D125" s="109" t="inlineStr">
        <is>
          <t>BLENDING</t>
        </is>
      </c>
      <c r="E125" s="109" t="inlineStr">
        <is>
          <t>544767/C</t>
        </is>
      </c>
      <c r="F125" s="109" t="n">
        <v>6500</v>
      </c>
      <c r="G125" s="109" t="inlineStr">
        <is>
          <t xml:space="preserve">Ripristino funzionalita' lettore di badge Rampa 1 GPL </t>
        </is>
      </c>
      <c r="H125" s="111" t="n"/>
      <c r="I125" s="111" t="n"/>
      <c r="J125" s="111" t="n"/>
      <c r="K125" s="111" t="n"/>
      <c r="L125" s="111" t="n"/>
      <c r="M125" s="109" t="inlineStr">
        <is>
          <t>EMESSO</t>
        </is>
      </c>
      <c r="N125" s="109" t="n"/>
      <c r="O125" s="109" t="n"/>
      <c r="P125" s="109" t="n"/>
      <c r="Q125" s="109" t="n"/>
      <c r="R125" s="110" t="n"/>
      <c r="S125" s="110" t="n"/>
      <c r="T12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2" t="n"/>
      <c r="V125" t="inlineStr">
        <is>
          <t>2025-09-30 20:00:00</t>
        </is>
      </c>
    </row>
    <row r="126" ht="23.25" customFormat="1" customHeight="1" s="45">
      <c r="A126" s="112" t="n"/>
      <c r="B126" s="112" t="n"/>
      <c r="C126" s="112">
        <f>IF(OR(TabellaBLENDING[[#This Row],[LUN]]="X",TabellaBLENDING[[#This Row],[MAR]]="X",TabellaBLENDING[[#This Row],[MER]]="X",TabellaBLENDING[[#This Row],[GIO]]="X",TabellaBLENDING[[#This Row],[VEN]]="X",),"X","")</f>
        <v/>
      </c>
      <c r="D126" s="109" t="inlineStr">
        <is>
          <t>BLENDING</t>
        </is>
      </c>
      <c r="E126" s="109" t="inlineStr">
        <is>
          <t>543000/C</t>
        </is>
      </c>
      <c r="F126" s="109" t="n">
        <v>6000</v>
      </c>
      <c r="G126" s="109" t="inlineStr">
        <is>
          <t>Ripristino F105 mis. di portata filtri sale</t>
        </is>
      </c>
      <c r="H126" s="111" t="n"/>
      <c r="I126" s="111" t="n"/>
      <c r="J126" s="111" t="n"/>
      <c r="K126" s="111" t="n"/>
      <c r="L126" s="111" t="n"/>
      <c r="M126" s="109" t="inlineStr">
        <is>
          <t>EMESSO</t>
        </is>
      </c>
      <c r="N126" s="109" t="n"/>
      <c r="O126" s="109" t="n"/>
      <c r="P126" s="109" t="n"/>
      <c r="Q126" s="109" t="n"/>
      <c r="R126" s="110" t="n"/>
      <c r="S126" s="110" t="n"/>
      <c r="T12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8">
        <f>IFERROR(MID(G126,_xlfn.AGGREGATE(15,6,(ROW(INDIRECT("1:"&amp;LEN(G126)-7)))/(ISNUMBER(--MID(G126,ROW(INDIRECT("1:"&amp;LEN(G126)-7)),8))),1),8),"")</f>
        <v/>
      </c>
      <c r="V126" t="inlineStr">
        <is>
          <t>2025-09-30 20:00:00</t>
        </is>
      </c>
    </row>
    <row r="127" ht="23.25" customFormat="1" customHeight="1" s="45">
      <c r="A127" s="112" t="n"/>
      <c r="B127" s="112" t="n"/>
      <c r="C127" s="112">
        <f>IF(OR(TabellaBLENDING[[#This Row],[LUN]]="X",TabellaBLENDING[[#This Row],[MAR]]="X",TabellaBLENDING[[#This Row],[MER]]="X",TabellaBLENDING[[#This Row],[GIO]]="X",TabellaBLENDING[[#This Row],[VEN]]="X",),"X","")</f>
        <v/>
      </c>
      <c r="D127" s="109" t="inlineStr">
        <is>
          <t>BLENDING</t>
        </is>
      </c>
      <c r="E127" s="109" t="inlineStr">
        <is>
          <t>542503/C</t>
        </is>
      </c>
      <c r="F127" s="109" t="n">
        <v>6500</v>
      </c>
      <c r="G127" s="109" t="inlineStr">
        <is>
          <t>ripristino funzionalit Flexi Mix  (Braccio12) - pulizia E.V.</t>
        </is>
      </c>
      <c r="H127" s="111" t="n"/>
      <c r="I127" s="111" t="n"/>
      <c r="J127" s="111" t="n"/>
      <c r="K127" s="111" t="n"/>
      <c r="L127" s="111" t="n"/>
      <c r="M127" s="109" t="inlineStr">
        <is>
          <t>EMESSO</t>
        </is>
      </c>
      <c r="N127" s="109" t="n"/>
      <c r="O127" s="109" t="n"/>
      <c r="P127" s="109" t="n"/>
      <c r="Q127" s="109" t="n"/>
      <c r="R127" s="110" t="n"/>
      <c r="S127" s="110" t="n"/>
      <c r="T12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8">
        <f>IFERROR(MID(G127,_xlfn.AGGREGATE(15,6,(ROW(INDIRECT("1:"&amp;LEN(G127)-7)))/(ISNUMBER(--MID(G127,ROW(INDIRECT("1:"&amp;LEN(G127)-7)),8))),1),8),"")</f>
        <v/>
      </c>
      <c r="V127" t="inlineStr">
        <is>
          <t>2025-09-30 20:00:00</t>
        </is>
      </c>
    </row>
    <row r="128" ht="23.25" customFormat="1" customHeight="1" s="45">
      <c r="A128" s="112" t="n"/>
      <c r="B128" s="112" t="n"/>
      <c r="C128" s="112">
        <f>IF(OR(TabellaBLENDING[[#This Row],[LUN]]="X",TabellaBLENDING[[#This Row],[MAR]]="X",TabellaBLENDING[[#This Row],[MER]]="X",TabellaBLENDING[[#This Row],[GIO]]="X",TabellaBLENDING[[#This Row],[VEN]]="X",),"X","")</f>
        <v/>
      </c>
      <c r="D128" s="109" t="inlineStr">
        <is>
          <t>BLENDING</t>
        </is>
      </c>
      <c r="E128" s="109" t="inlineStr">
        <is>
          <t>540938/C</t>
        </is>
      </c>
      <c r="F128" s="109" t="n">
        <v>6500</v>
      </c>
      <c r="G128" s="109" t="inlineStr">
        <is>
          <t xml:space="preserve">Ripristino funzionalita' lettore di badge </t>
        </is>
      </c>
      <c r="H128" s="111" t="n"/>
      <c r="I128" s="111" t="n"/>
      <c r="J128" s="111" t="n"/>
      <c r="K128" s="111" t="n"/>
      <c r="L128" s="111" t="n"/>
      <c r="M128" s="109" t="inlineStr">
        <is>
          <t>EMESSO</t>
        </is>
      </c>
      <c r="N128" s="109" t="n"/>
      <c r="O128" s="109" t="n"/>
      <c r="P128" s="109" t="n"/>
      <c r="Q128" s="109" t="n"/>
      <c r="R128" s="110" t="n">
        <v>45824</v>
      </c>
      <c r="S128" s="110" t="inlineStr">
        <is>
          <t>RICIPUTO</t>
        </is>
      </c>
      <c r="T12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8">
        <f>IFERROR(MID(G128,_xlfn.AGGREGATE(15,6,(ROW(INDIRECT("1:"&amp;LEN(G128)-7)))/(ISNUMBER(--MID(G128,ROW(INDIRECT("1:"&amp;LEN(G128)-7)),8))),1),8),"")</f>
        <v/>
      </c>
      <c r="V128" t="inlineStr">
        <is>
          <t>2025-09-30 20:00:00</t>
        </is>
      </c>
    </row>
    <row r="129" ht="23.25" customFormat="1" customHeight="1" s="45">
      <c r="A129" s="112" t="n"/>
      <c r="B129" s="112" t="n"/>
      <c r="C129" s="112">
        <f>IF(OR(TabellaBLENDING[[#This Row],[LUN]]="X",TabellaBLENDING[[#This Row],[MAR]]="X",TabellaBLENDING[[#This Row],[MER]]="X",TabellaBLENDING[[#This Row],[GIO]]="X",TabellaBLENDING[[#This Row],[VEN]]="X",),"X","")</f>
        <v/>
      </c>
      <c r="D129" s="109" t="inlineStr">
        <is>
          <t>BLENDING</t>
        </is>
      </c>
      <c r="E129" s="109" t="inlineStr">
        <is>
          <t>537528/C</t>
        </is>
      </c>
      <c r="F129" s="109" t="inlineStr">
        <is>
          <t>CVT</t>
        </is>
      </c>
      <c r="G129" s="109" t="inlineStr">
        <is>
          <t>CVT - revisione valvola di radice (perde gasolio)</t>
        </is>
      </c>
      <c r="H129" s="111" t="n"/>
      <c r="I129" s="111" t="n"/>
      <c r="J129" s="111" t="n"/>
      <c r="K129" s="111" t="n"/>
      <c r="L129" s="111" t="n"/>
      <c r="M129" s="109" t="inlineStr">
        <is>
          <t>EMESSO</t>
        </is>
      </c>
      <c r="N129" s="109" t="n"/>
      <c r="O129" s="109" t="n"/>
      <c r="P129" s="109" t="n"/>
      <c r="Q129" s="109" t="n"/>
      <c r="R129" s="110" t="n"/>
      <c r="S129" s="110" t="n"/>
      <c r="T12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8">
        <f>IFERROR(MID(G129,_xlfn.AGGREGATE(15,6,(ROW(INDIRECT("1:"&amp;LEN(G129)-7)))/(ISNUMBER(--MID(G129,ROW(INDIRECT("1:"&amp;LEN(G129)-7)),8))),1),8),"")</f>
        <v/>
      </c>
      <c r="V129" t="inlineStr">
        <is>
          <t>2025-09-30 20:00:00</t>
        </is>
      </c>
    </row>
    <row r="130" ht="30" customFormat="1" customHeight="1" s="45">
      <c r="A130" s="112" t="n"/>
      <c r="B130" s="112">
        <f>IF(OR(A130="x",A130="X"),"",IF(ISBLANK(A130),"X",""))</f>
        <v/>
      </c>
      <c r="C130" s="112">
        <f>IF(OR(TabellaBLENDING[[#This Row],[LUN]]="X",TabellaBLENDING[[#This Row],[MAR]]="X",TabellaBLENDING[[#This Row],[MER]]="X",TabellaBLENDING[[#This Row],[GIO]]="X",TabellaBLENDING[[#This Row],[VEN]]="X",),"X","")</f>
        <v/>
      </c>
      <c r="D130" s="109" t="inlineStr">
        <is>
          <t>BLENDING</t>
        </is>
      </c>
      <c r="E130" s="109" t="inlineStr">
        <is>
          <t>314234/S</t>
        </is>
      </c>
      <c r="F130" s="109" t="inlineStr">
        <is>
          <t>BLENDING</t>
        </is>
      </c>
      <c r="G130" s="109" t="inlineStr">
        <is>
          <t>PONTILE - Controllo funzionalità livellostati cut_in e cut_off MP112_A-B</t>
        </is>
      </c>
      <c r="H130" s="111" t="n"/>
      <c r="I130" s="111" t="n"/>
      <c r="J130" s="111" t="n"/>
      <c r="K130" s="111" t="n"/>
      <c r="L130" s="111" t="n"/>
      <c r="M130" s="109" t="inlineStr">
        <is>
          <t>EMESSO</t>
        </is>
      </c>
      <c r="N130" s="109" t="n"/>
      <c r="O130" s="109" t="n"/>
      <c r="P130" s="109" t="n"/>
      <c r="Q130" s="109" t="n"/>
      <c r="R130" s="110" t="n"/>
      <c r="S130" s="110" t="n"/>
      <c r="T130" s="67">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1">
        <f>IFERROR(MID(G130,_xlfn.AGGREGATE(15,6,(ROW(INDIRECT("1:"&amp;LEN(G130)-7)))/(ISNUMBER(--MID(G130,ROW(INDIRECT("1:"&amp;LEN(G130)-7)),8))),1),8),"")</f>
        <v/>
      </c>
      <c r="V130" t="inlineStr">
        <is>
          <t>2025-09-30 20:00:00</t>
        </is>
      </c>
    </row>
    <row r="131" ht="30" customFormat="1" customHeight="1" s="45">
      <c r="A131" s="112" t="n"/>
      <c r="B131" s="112">
        <f>IF(OR(A131="x",A131="X"),"",IF(ISBLANK(A131),"X",""))</f>
        <v/>
      </c>
      <c r="C131" s="112">
        <f>IF(OR(TabellaBLENDING[[#This Row],[LUN]]="X",TabellaBLENDING[[#This Row],[MAR]]="X",TabellaBLENDING[[#This Row],[MER]]="X",TabellaBLENDING[[#This Row],[GIO]]="X",TabellaBLENDING[[#This Row],[VEN]]="X",),"X","")</f>
        <v/>
      </c>
      <c r="D131" s="109" t="inlineStr">
        <is>
          <t>BLENDING</t>
        </is>
      </c>
      <c r="E131" s="109" t="inlineStr">
        <is>
          <t>313873/S</t>
        </is>
      </c>
      <c r="F131" s="109" t="inlineStr">
        <is>
          <t>BLENDING</t>
        </is>
      </c>
      <c r="G131" s="109" t="inlineStr">
        <is>
          <t>BLENDING - Ripristino gruppo manometrico mandata pompa P320A</t>
        </is>
      </c>
      <c r="H131" s="111" t="n"/>
      <c r="I131" s="111" t="n"/>
      <c r="J131" s="111" t="n"/>
      <c r="K131" s="111" t="n"/>
      <c r="L131" s="111" t="n"/>
      <c r="M131" s="109" t="inlineStr">
        <is>
          <t>EMESSO</t>
        </is>
      </c>
      <c r="N131" s="109" t="n"/>
      <c r="O131" s="109" t="n"/>
      <c r="P131" s="109" t="n"/>
      <c r="Q131" s="109" t="n"/>
      <c r="R131" s="110" t="n"/>
      <c r="S131" s="110" t="n"/>
      <c r="T131" s="14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1">
        <f>IFERROR(MID(G131,_xlfn.AGGREGATE(15,6,(ROW(INDIRECT("1:"&amp;LEN(G131)-7)))/(ISNUMBER(--MID(G131,ROW(INDIRECT("1:"&amp;LEN(G131)-7)),8))),1),8),"")</f>
        <v/>
      </c>
      <c r="V131" t="inlineStr">
        <is>
          <t>2025-09-30 20:00:00</t>
        </is>
      </c>
    </row>
    <row r="132" ht="30" customFormat="1" customHeight="1" s="45">
      <c r="A132" s="112" t="n"/>
      <c r="B132" s="112">
        <f>IF(OR(A132="x",A132="X"),"",IF(ISBLANK(A132),"X",""))</f>
        <v/>
      </c>
      <c r="C132" s="112">
        <f>IF(OR(TabellaBLENDING[[#This Row],[LUN]]="X",TabellaBLENDING[[#This Row],[MAR]]="X",TabellaBLENDING[[#This Row],[MER]]="X",TabellaBLENDING[[#This Row],[GIO]]="X",TabellaBLENDING[[#This Row],[VEN]]="X",),"X","")</f>
        <v/>
      </c>
      <c r="D132" s="109" t="inlineStr">
        <is>
          <t>BLENDING</t>
        </is>
      </c>
      <c r="E132" s="109" t="inlineStr">
        <is>
          <t>536715/C</t>
        </is>
      </c>
      <c r="F132" s="109" t="inlineStr">
        <is>
          <t>BLENDING</t>
        </is>
      </c>
      <c r="G132" s="109" t="inlineStr">
        <is>
          <t>6000 - controllo funzionalit L119AH (D104 del F104)</t>
        </is>
      </c>
      <c r="H132" s="111" t="n"/>
      <c r="I132" s="111" t="n"/>
      <c r="J132" s="111" t="n"/>
      <c r="K132" s="111" t="n"/>
      <c r="L132" s="111" t="n"/>
      <c r="M132" s="109" t="inlineStr">
        <is>
          <t>EMESSO</t>
        </is>
      </c>
      <c r="N132" s="109" t="n"/>
      <c r="O132" s="109" t="n"/>
      <c r="P132" s="109" t="n"/>
      <c r="Q132" s="109" t="n"/>
      <c r="R132" s="110" t="n">
        <v>45792</v>
      </c>
      <c r="S132" s="110" t="inlineStr">
        <is>
          <t>RICIPUTO/SERRA</t>
        </is>
      </c>
      <c r="T13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1">
        <f>IFERROR(MID(G132,_xlfn.AGGREGATE(15,6,(ROW(INDIRECT("1:"&amp;LEN(G132)-7)))/(ISNUMBER(--MID(G132,ROW(INDIRECT("1:"&amp;LEN(G132)-7)),8))),1),8),"")</f>
        <v/>
      </c>
      <c r="V132" t="inlineStr">
        <is>
          <t>2025-09-30 20:00:00</t>
        </is>
      </c>
    </row>
    <row r="133" ht="30" customFormat="1" customHeight="1" s="45">
      <c r="A133" s="112" t="n"/>
      <c r="B133" s="112">
        <f>IF(OR(A133="x",A133="X"),"",IF(ISBLANK(A133),"X",""))</f>
        <v/>
      </c>
      <c r="C133" s="112">
        <f>IF(OR(TabellaBLENDING[[#This Row],[LUN]]="X",TabellaBLENDING[[#This Row],[MAR]]="X",TabellaBLENDING[[#This Row],[MER]]="X",TabellaBLENDING[[#This Row],[GIO]]="X",TabellaBLENDING[[#This Row],[VEN]]="X",),"X","")</f>
        <v/>
      </c>
      <c r="D133" s="109" t="inlineStr">
        <is>
          <t>BLENDING</t>
        </is>
      </c>
      <c r="E133" s="109" t="inlineStr">
        <is>
          <t>536714/C</t>
        </is>
      </c>
      <c r="F133" s="109" t="inlineStr">
        <is>
          <t>BLENDING</t>
        </is>
      </c>
      <c r="G133" s="109" t="inlineStr">
        <is>
          <t>6000 - controllo funzionalit L118AH (D103 del F103)</t>
        </is>
      </c>
      <c r="H133" s="111" t="n"/>
      <c r="I133" s="111" t="n"/>
      <c r="J133" s="111" t="n"/>
      <c r="K133" s="111" t="n"/>
      <c r="L133" s="111" t="n"/>
      <c r="M133" s="109" t="inlineStr">
        <is>
          <t>EMESSO</t>
        </is>
      </c>
      <c r="N133" s="109" t="n"/>
      <c r="O133" s="109" t="n"/>
      <c r="P133" s="109" t="n"/>
      <c r="Q133" s="109" t="n"/>
      <c r="R133" s="110" t="n">
        <v>45792</v>
      </c>
      <c r="S133" s="110" t="inlineStr">
        <is>
          <t>RICIPUTO/SERRA</t>
        </is>
      </c>
      <c r="T13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1">
        <f>IFERROR(MID(G133,_xlfn.AGGREGATE(15,6,(ROW(INDIRECT("1:"&amp;LEN(G133)-7)))/(ISNUMBER(--MID(G133,ROW(INDIRECT("1:"&amp;LEN(G133)-7)),8))),1),8),"")</f>
        <v/>
      </c>
      <c r="V133" t="inlineStr">
        <is>
          <t>2025-09-30 20:00:00</t>
        </is>
      </c>
    </row>
    <row r="134" ht="30" customFormat="1" customHeight="1" s="45">
      <c r="A134" s="112" t="n"/>
      <c r="B134" s="112">
        <f>IF(OR(A134="x",A134="X"),"",IF(ISBLANK(A134),"X",""))</f>
        <v/>
      </c>
      <c r="C134" s="112">
        <f>IF(OR(TabellaBLENDING[[#This Row],[LUN]]="X",TabellaBLENDING[[#This Row],[MAR]]="X",TabellaBLENDING[[#This Row],[MER]]="X",TabellaBLENDING[[#This Row],[GIO]]="X",TabellaBLENDING[[#This Row],[VEN]]="X",),"X","")</f>
        <v/>
      </c>
      <c r="D134" s="109" t="inlineStr">
        <is>
          <t>BLENDING</t>
        </is>
      </c>
      <c r="E134" s="109" t="inlineStr">
        <is>
          <t>530662/C</t>
        </is>
      </c>
      <c r="F134" s="109" t="inlineStr">
        <is>
          <t>BLENDING</t>
        </is>
      </c>
      <c r="G134" s="109" t="inlineStr">
        <is>
          <t xml:space="preserve">BLENDING - controllo funzionalit LI607 trasmettitore di livello Krohne a onde guidate </t>
        </is>
      </c>
      <c r="H134" s="111" t="n"/>
      <c r="I134" s="111" t="n"/>
      <c r="J134" s="111" t="n"/>
      <c r="K134" s="111" t="n"/>
      <c r="L134" s="111" t="n"/>
      <c r="M134" s="109" t="inlineStr">
        <is>
          <t>EMESSO</t>
        </is>
      </c>
      <c r="N134" s="109" t="n"/>
      <c r="O134" s="109" t="n"/>
      <c r="P134" s="109" t="n"/>
      <c r="Q134" s="109" t="n"/>
      <c r="R134" s="110" t="n"/>
      <c r="S134" s="110" t="n"/>
      <c r="T13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1">
        <f>IFERROR(MID(G134,_xlfn.AGGREGATE(15,6,(ROW(INDIRECT("1:"&amp;LEN(G134)-7)))/(ISNUMBER(--MID(G134,ROW(INDIRECT("1:"&amp;LEN(G134)-7)),8))),1),8),"")</f>
        <v/>
      </c>
      <c r="V134" t="inlineStr">
        <is>
          <t>2025-09-30 20:00:00</t>
        </is>
      </c>
    </row>
    <row r="135" ht="30" customFormat="1" customHeight="1" s="45">
      <c r="A135" s="112" t="n"/>
      <c r="B135" s="112">
        <f>IF(OR(A135="x",A135="X"),"",IF(ISBLANK(A135),"X",""))</f>
        <v/>
      </c>
      <c r="C135" s="112">
        <f>IF(OR(TabellaBLENDING[[#This Row],[LUN]]="X",TabellaBLENDING[[#This Row],[MAR]]="X",TabellaBLENDING[[#This Row],[MER]]="X",TabellaBLENDING[[#This Row],[GIO]]="X",TabellaBLENDING[[#This Row],[VEN]]="X",),"X","")</f>
        <v/>
      </c>
      <c r="D135" s="109" t="inlineStr">
        <is>
          <t>BLENDING</t>
        </is>
      </c>
      <c r="E135" s="109" t="inlineStr">
        <is>
          <t>537584/C</t>
        </is>
      </c>
      <c r="F135" s="109" t="inlineStr">
        <is>
          <t>BLENDING</t>
        </is>
      </c>
      <c r="G135" s="109" t="inlineStr">
        <is>
          <t>Controllo e ripristino alimentazione Testata Vega BR41</t>
        </is>
      </c>
      <c r="H135" s="111" t="n"/>
      <c r="I135" s="111" t="n"/>
      <c r="J135" s="111" t="n"/>
      <c r="K135" s="111" t="n"/>
      <c r="L135" s="111" t="n"/>
      <c r="M135" s="109" t="inlineStr">
        <is>
          <t>EMESSO</t>
        </is>
      </c>
      <c r="N135" s="109" t="n"/>
      <c r="O135" s="109" t="n"/>
      <c r="P135" s="109" t="n"/>
      <c r="Q135" s="109" t="n"/>
      <c r="R135" s="110" t="n"/>
      <c r="S135" s="110" t="n"/>
      <c r="T13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8">
        <f>IFERROR(MID(G135,_xlfn.AGGREGATE(15,6,(ROW(INDIRECT("1:"&amp;LEN(G135)-7)))/(ISNUMBER(--MID(G135,ROW(INDIRECT("1:"&amp;LEN(G135)-7)),8))),1),8),"")</f>
        <v/>
      </c>
      <c r="V135" t="inlineStr">
        <is>
          <t>2025-09-30 20:00:00</t>
        </is>
      </c>
    </row>
    <row r="136" ht="30" customFormat="1" customHeight="1" s="45">
      <c r="A136" s="112" t="n"/>
      <c r="B136" s="112">
        <f>IF(OR(A136="x",A136="X"),"",IF(ISBLANK(A136),"X",""))</f>
        <v/>
      </c>
      <c r="C136" s="112">
        <f>IF(OR(TabellaBLENDING[[#This Row],[LUN]]="X",TabellaBLENDING[[#This Row],[MAR]]="X",TabellaBLENDING[[#This Row],[MER]]="X",TabellaBLENDING[[#This Row],[GIO]]="X",TabellaBLENDING[[#This Row],[VEN]]="X",),"X","")</f>
        <v/>
      </c>
      <c r="D136" s="109" t="inlineStr">
        <is>
          <t>BLENDING</t>
        </is>
      </c>
      <c r="E136" s="109" t="inlineStr">
        <is>
          <t>539271/C</t>
        </is>
      </c>
      <c r="F136" s="109" t="inlineStr">
        <is>
          <t>BLENDING</t>
        </is>
      </c>
      <c r="G136" s="109" t="inlineStr">
        <is>
          <t>Verifica funzionalità livellostato L602HA</t>
        </is>
      </c>
      <c r="H136" s="111" t="n"/>
      <c r="I136" s="111" t="n"/>
      <c r="J136" s="111" t="n"/>
      <c r="K136" s="111" t="n"/>
      <c r="L136" s="111" t="n"/>
      <c r="M136" s="109" t="inlineStr">
        <is>
          <t>EMESSO</t>
        </is>
      </c>
      <c r="N136" s="109" t="n"/>
      <c r="O136" s="109" t="n"/>
      <c r="P136" s="109" t="n"/>
      <c r="Q136" s="109" t="n"/>
      <c r="R136" s="110" t="n"/>
      <c r="S136" s="110" t="n"/>
      <c r="T13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8">
        <f>IFERROR(MID(G136,_xlfn.AGGREGATE(15,6,(ROW(INDIRECT("1:"&amp;LEN(G136)-7)))/(ISNUMBER(--MID(G136,ROW(INDIRECT("1:"&amp;LEN(G136)-7)),8))),1),8),"")</f>
        <v/>
      </c>
      <c r="V136" t="inlineStr">
        <is>
          <t>2025-09-30 20:00:00</t>
        </is>
      </c>
    </row>
    <row r="137" ht="30" customFormat="1" customHeight="1" s="45">
      <c r="A137" s="112" t="n"/>
      <c r="B137" s="112">
        <f>IF(OR(A137="x",A137="X"),"",IF(ISBLANK(A137),"X",""))</f>
        <v/>
      </c>
      <c r="C137" s="112">
        <f>IF(OR(TabellaBLENDING[[#This Row],[LUN]]="X",TabellaBLENDING[[#This Row],[MAR]]="X",TabellaBLENDING[[#This Row],[MER]]="X",TabellaBLENDING[[#This Row],[GIO]]="X",TabellaBLENDING[[#This Row],[VEN]]="X",),"X","")</f>
        <v/>
      </c>
      <c r="D137" s="109" t="inlineStr">
        <is>
          <t>BLENDING</t>
        </is>
      </c>
      <c r="E137" s="109" t="inlineStr">
        <is>
          <t>539435/C</t>
        </is>
      </c>
      <c r="F137" s="109" t="inlineStr">
        <is>
          <t>BLENDING</t>
        </is>
      </c>
      <c r="G137" s="109" t="inlineStr">
        <is>
          <t>Verifica funzionalità livellostato L613HA</t>
        </is>
      </c>
      <c r="H137" s="111" t="n"/>
      <c r="I137" s="111" t="n"/>
      <c r="J137" s="111" t="n"/>
      <c r="K137" s="111" t="n"/>
      <c r="L137" s="111" t="n"/>
      <c r="M137" s="109" t="inlineStr">
        <is>
          <t>EMESSO</t>
        </is>
      </c>
      <c r="N137" s="109" t="n"/>
      <c r="O137" s="109" t="n"/>
      <c r="P137" s="109" t="n"/>
      <c r="Q137" s="109" t="n"/>
      <c r="R137" s="110" t="n"/>
      <c r="S137" s="110" t="n"/>
      <c r="T13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8">
        <f>IFERROR(MID(G137,_xlfn.AGGREGATE(15,6,(ROW(INDIRECT("1:"&amp;LEN(G137)-7)))/(ISNUMBER(--MID(G137,ROW(INDIRECT("1:"&amp;LEN(G137)-7)),8))),1),8),"")</f>
        <v/>
      </c>
      <c r="V137" t="inlineStr">
        <is>
          <t>2025-09-30 20:00:00</t>
        </is>
      </c>
    </row>
    <row r="138" ht="30" customFormat="1" customHeight="1" s="45">
      <c r="A138" s="112" t="n"/>
      <c r="B138" s="112">
        <f>IF(OR(A138="x",A138="X"),"",IF(ISBLANK(A138),"X",""))</f>
        <v/>
      </c>
      <c r="C138" s="112">
        <f>IF(OR(TabellaBLENDING[[#This Row],[LUN]]="X",TabellaBLENDING[[#This Row],[MAR]]="X",TabellaBLENDING[[#This Row],[MER]]="X",TabellaBLENDING[[#This Row],[GIO]]="X",TabellaBLENDING[[#This Row],[VEN]]="X",),"X","")</f>
        <v/>
      </c>
      <c r="D138" s="109" t="inlineStr">
        <is>
          <t>BLENDING</t>
        </is>
      </c>
      <c r="E138" s="109" t="inlineStr">
        <is>
          <t>539273/C</t>
        </is>
      </c>
      <c r="F138" s="109" t="inlineStr">
        <is>
          <t>BLENDING</t>
        </is>
      </c>
      <c r="G138" s="109" t="inlineStr">
        <is>
          <t>Verifica funzionalità livellostato L606HA</t>
        </is>
      </c>
      <c r="H138" s="111" t="n"/>
      <c r="I138" s="111" t="n"/>
      <c r="J138" s="111" t="n"/>
      <c r="K138" s="111" t="n"/>
      <c r="L138" s="111" t="n"/>
      <c r="M138" s="109" t="inlineStr">
        <is>
          <t>EMESSO</t>
        </is>
      </c>
      <c r="N138" s="109" t="n"/>
      <c r="O138" s="109" t="n"/>
      <c r="P138" s="109" t="n"/>
      <c r="Q138" s="109" t="n"/>
      <c r="R138" s="110" t="n"/>
      <c r="S138" s="110" t="n"/>
      <c r="T13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8">
        <f>IFERROR(MID(G138,_xlfn.AGGREGATE(15,6,(ROW(INDIRECT("1:"&amp;LEN(G138)-7)))/(ISNUMBER(--MID(G138,ROW(INDIRECT("1:"&amp;LEN(G138)-7)),8))),1),8),"")</f>
        <v/>
      </c>
      <c r="V138" t="inlineStr">
        <is>
          <t>2025-09-30 20:00:00</t>
        </is>
      </c>
    </row>
    <row r="139" ht="23.25" customFormat="1" customHeight="1" s="45">
      <c r="A139" s="112" t="n"/>
      <c r="B139" s="112" t="n"/>
      <c r="C139" s="112">
        <f>IF(OR(TabellaBLENDING[[#This Row],[LUN]]="X",TabellaBLENDING[[#This Row],[MAR]]="X",TabellaBLENDING[[#This Row],[MER]]="X",TabellaBLENDING[[#This Row],[GIO]]="X",TabellaBLENDING[[#This Row],[VEN]]="X",),"X","")</f>
        <v/>
      </c>
      <c r="D139" s="109" t="inlineStr">
        <is>
          <t>BLENDING</t>
        </is>
      </c>
      <c r="E139" s="109" t="inlineStr">
        <is>
          <t>315471/S</t>
        </is>
      </c>
      <c r="F139" s="109" t="inlineStr">
        <is>
          <t>Blend</t>
        </is>
      </c>
      <c r="G139" s="109" t="inlineStr">
        <is>
          <t>Controllo funzionalità livelli vasca SP2</t>
        </is>
      </c>
      <c r="H139" s="111" t="n"/>
      <c r="I139" s="111" t="n"/>
      <c r="J139" s="111" t="n"/>
      <c r="K139" s="111" t="n"/>
      <c r="L139" s="111" t="n"/>
      <c r="M139" s="109" t="inlineStr">
        <is>
          <t>EMESSO</t>
        </is>
      </c>
      <c r="N139" s="109" t="n"/>
      <c r="O139" s="109" t="n"/>
      <c r="P139" s="109" t="n"/>
      <c r="Q139" s="109" t="n"/>
      <c r="R139" s="110" t="n"/>
      <c r="S139" s="110" t="n"/>
      <c r="T13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8">
        <f>IFERROR(MID(G139,_xlfn.AGGREGATE(15,6,(ROW(INDIRECT("1:"&amp;LEN(G139)-7)))/(ISNUMBER(--MID(G139,ROW(INDIRECT("1:"&amp;LEN(G139)-7)),8))),1),8),"")</f>
        <v/>
      </c>
      <c r="V139" t="inlineStr">
        <is>
          <t>2025-09-30 20:00:00</t>
        </is>
      </c>
    </row>
    <row r="140" ht="23.25" customFormat="1" customHeight="1" s="45">
      <c r="A140" s="112" t="n"/>
      <c r="B140" s="112" t="n"/>
      <c r="C140" s="112">
        <f>IF(OR(TabellaBLENDING[[#This Row],[LUN]]="X",TabellaBLENDING[[#This Row],[MAR]]="X",TabellaBLENDING[[#This Row],[MER]]="X",TabellaBLENDING[[#This Row],[GIO]]="X",TabellaBLENDING[[#This Row],[VEN]]="X",),"X","")</f>
        <v/>
      </c>
      <c r="D140" s="109" t="inlineStr">
        <is>
          <t>BLENDING</t>
        </is>
      </c>
      <c r="E140" s="109" t="inlineStr">
        <is>
          <t>542952/C</t>
        </is>
      </c>
      <c r="F140" s="109" t="n">
        <v>6000</v>
      </c>
      <c r="G140" s="109" t="inlineStr">
        <is>
          <t>Ripristino dp filtro 104-PdAH 104 filtri sale</t>
        </is>
      </c>
      <c r="H140" s="111" t="n"/>
      <c r="I140" s="111" t="n"/>
      <c r="J140" s="111" t="n"/>
      <c r="K140" s="111" t="n"/>
      <c r="L140" s="111" t="n"/>
      <c r="M140" s="109" t="inlineStr">
        <is>
          <t>EMESSO</t>
        </is>
      </c>
      <c r="N140" s="109" t="n"/>
      <c r="O140" s="109" t="n"/>
      <c r="P140" s="109" t="n"/>
      <c r="Q140" s="109" t="n"/>
      <c r="R140" s="110" t="n"/>
      <c r="S140" s="110" t="n"/>
      <c r="T14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8">
        <f>IFERROR(MID(G140,_xlfn.AGGREGATE(15,6,(ROW(INDIRECT("1:"&amp;LEN(G140)-7)))/(ISNUMBER(--MID(G140,ROW(INDIRECT("1:"&amp;LEN(G140)-7)),8))),1),8),"")</f>
        <v/>
      </c>
      <c r="V140" t="inlineStr">
        <is>
          <t>2025-09-30 20:00:00</t>
        </is>
      </c>
    </row>
    <row r="141" ht="23.25" customFormat="1" customHeight="1" s="45">
      <c r="A141" s="112" t="n"/>
      <c r="B141" s="112" t="n"/>
      <c r="C141" s="112">
        <f>IF(OR(TabellaBLENDING[[#This Row],[LUN]]="X",TabellaBLENDING[[#This Row],[MAR]]="X",TabellaBLENDING[[#This Row],[MER]]="X",TabellaBLENDING[[#This Row],[GIO]]="X",TabellaBLENDING[[#This Row],[VEN]]="X",),"X","")</f>
        <v/>
      </c>
      <c r="D141" s="109" t="inlineStr">
        <is>
          <t>BLENDING</t>
        </is>
      </c>
      <c r="E141" s="109" t="inlineStr">
        <is>
          <t>315689/S</t>
        </is>
      </c>
      <c r="F141" s="109" t="n">
        <v>6200</v>
      </c>
      <c r="G141" s="109" t="inlineStr">
        <is>
          <t>Ripristino pressostati in ASP P213/A+B PAL 64 E PAL65</t>
        </is>
      </c>
      <c r="H141" s="111" t="n"/>
      <c r="I141" s="111" t="n"/>
      <c r="J141" s="111" t="n"/>
      <c r="K141" s="111" t="n"/>
      <c r="L141" s="111" t="n"/>
      <c r="M141" s="109" t="inlineStr">
        <is>
          <t>EMESSO</t>
        </is>
      </c>
      <c r="N141" s="109" t="n"/>
      <c r="O141" s="109" t="n"/>
      <c r="P141" s="109" t="n"/>
      <c r="Q141" s="109" t="n"/>
      <c r="R141" s="110" t="n"/>
      <c r="S141" s="110" t="n"/>
      <c r="T14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8">
        <f>IFERROR(MID(G141,_xlfn.AGGREGATE(15,6,(ROW(INDIRECT("1:"&amp;LEN(G141)-7)))/(ISNUMBER(--MID(G141,ROW(INDIRECT("1:"&amp;LEN(G141)-7)),8))),1),8),"")</f>
        <v/>
      </c>
      <c r="V141" t="inlineStr">
        <is>
          <t>2025-09-30 20:00:00</t>
        </is>
      </c>
    </row>
    <row r="142" ht="23.25" customFormat="1" customHeight="1" s="45">
      <c r="A142" s="112" t="n"/>
      <c r="B142" s="112" t="n"/>
      <c r="C142" s="112">
        <f>IF(OR(TabellaBLENDING[[#This Row],[LUN]]="X",TabellaBLENDING[[#This Row],[MAR]]="X",TabellaBLENDING[[#This Row],[MER]]="X",TabellaBLENDING[[#This Row],[GIO]]="X",TabellaBLENDING[[#This Row],[VEN]]="X",),"X","")</f>
        <v/>
      </c>
      <c r="D142" s="109" t="inlineStr">
        <is>
          <t>BLENDING</t>
        </is>
      </c>
      <c r="E142" s="109" t="inlineStr">
        <is>
          <t>541944/C</t>
        </is>
      </c>
      <c r="F142" s="109" t="inlineStr">
        <is>
          <t>Pontile</t>
        </is>
      </c>
      <c r="G142" s="109" t="inlineStr">
        <is>
          <t>Controllo e ripristino valvola XV01-1 in PTF 1</t>
        </is>
      </c>
      <c r="H142" s="111" t="n"/>
      <c r="I142" s="111" t="n"/>
      <c r="J142" s="111" t="n"/>
      <c r="K142" s="111" t="n"/>
      <c r="L142" s="111" t="n"/>
      <c r="M142" s="109" t="inlineStr">
        <is>
          <t>EMESSO</t>
        </is>
      </c>
      <c r="N142" s="109" t="n"/>
      <c r="O142" s="109" t="n"/>
      <c r="P142" s="109" t="n"/>
      <c r="Q142" s="109" t="n"/>
      <c r="R142" s="110" t="n"/>
      <c r="S142" s="110" t="n"/>
      <c r="T14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8">
        <f>IFERROR(MID(G142,_xlfn.AGGREGATE(15,6,(ROW(INDIRECT("1:"&amp;LEN(G142)-7)))/(ISNUMBER(--MID(G142,ROW(INDIRECT("1:"&amp;LEN(G142)-7)),8))),1),8),"")</f>
        <v/>
      </c>
      <c r="V142" t="inlineStr">
        <is>
          <t>2025-09-30 20:00:00</t>
        </is>
      </c>
    </row>
    <row r="143" ht="23.25" customFormat="1" customHeight="1" s="45">
      <c r="A143" s="112" t="n"/>
      <c r="B143" s="112" t="n"/>
      <c r="C143" s="112">
        <f>IF(OR(TabellaBLENDING[[#This Row],[LUN]]="X",TabellaBLENDING[[#This Row],[MAR]]="X",TabellaBLENDING[[#This Row],[MER]]="X",TabellaBLENDING[[#This Row],[GIO]]="X",TabellaBLENDING[[#This Row],[VEN]]="X",),"X","")</f>
        <v/>
      </c>
      <c r="D143" s="109" t="inlineStr">
        <is>
          <t>BLENDING</t>
        </is>
      </c>
      <c r="E143" s="109" t="inlineStr">
        <is>
          <t>541924/C</t>
        </is>
      </c>
      <c r="F143" s="109" t="n">
        <v>6500</v>
      </c>
      <c r="G143" s="109" t="inlineStr">
        <is>
          <t>Verifica e ripristino funzionalita'  XV valvola di radice</t>
        </is>
      </c>
      <c r="H143" s="111" t="n"/>
      <c r="I143" s="111" t="n"/>
      <c r="J143" s="111" t="n"/>
      <c r="K143" s="111" t="n"/>
      <c r="L143" s="111" t="n"/>
      <c r="M143" s="109" t="inlineStr">
        <is>
          <t>EMESSO</t>
        </is>
      </c>
      <c r="N143" s="109" t="n"/>
      <c r="O143" s="109" t="n"/>
      <c r="P143" s="109" t="n"/>
      <c r="Q143" s="109" t="n"/>
      <c r="R143" s="110" t="n"/>
      <c r="S143" s="110" t="n"/>
      <c r="T14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8">
        <f>IFERROR(MID(G143,_xlfn.AGGREGATE(15,6,(ROW(INDIRECT("1:"&amp;LEN(G143)-7)))/(ISNUMBER(--MID(G143,ROW(INDIRECT("1:"&amp;LEN(G143)-7)),8))),1),8),"")</f>
        <v/>
      </c>
      <c r="V143" t="inlineStr">
        <is>
          <t>2025-09-30 20:00:00</t>
        </is>
      </c>
    </row>
    <row r="144" ht="30" customFormat="1" customHeight="1" s="45">
      <c r="A144" s="112" t="n"/>
      <c r="B144" s="112" t="n"/>
      <c r="C144" s="112">
        <f>IF(OR(TabellaBLENDING[[#This Row],[LUN]]="X",TabellaBLENDING[[#This Row],[MAR]]="X",TabellaBLENDING[[#This Row],[MER]]="X",TabellaBLENDING[[#This Row],[GIO]]="X",TabellaBLENDING[[#This Row],[VEN]]="X",),"X","")</f>
        <v/>
      </c>
      <c r="D144" s="109" t="inlineStr">
        <is>
          <t>BLENDING</t>
        </is>
      </c>
      <c r="E144" s="109" t="inlineStr">
        <is>
          <t>542712/C</t>
        </is>
      </c>
      <c r="F144" s="109" t="n">
        <v>6500</v>
      </c>
      <c r="G144" s="109" t="inlineStr">
        <is>
          <t>10226579 BLENDING  perdita importante di benzina dal BR 51  per verifica tenuta XV del medesimo braccio</t>
        </is>
      </c>
      <c r="H144" s="111" t="n"/>
      <c r="I144" s="111" t="n"/>
      <c r="J144" s="111" t="n"/>
      <c r="K144" s="111" t="n"/>
      <c r="L144" s="111" t="n"/>
      <c r="M144" s="109" t="inlineStr">
        <is>
          <t>EMESSO</t>
        </is>
      </c>
      <c r="N144" s="109" t="n"/>
      <c r="O144" s="109" t="n"/>
      <c r="P144" s="109" t="n"/>
      <c r="Q144" s="109" t="n"/>
      <c r="R144" s="110" t="n"/>
      <c r="S144" s="110" t="n"/>
      <c r="T14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8">
        <f>IFERROR(MID(G144,_xlfn.AGGREGATE(15,6,(ROW(INDIRECT("1:"&amp;LEN(G144)-7)))/(ISNUMBER(--MID(G144,ROW(INDIRECT("1:"&amp;LEN(G144)-7)),8))),1),8),"")</f>
        <v/>
      </c>
      <c r="V144" t="inlineStr">
        <is>
          <t>2025-09-30 20:00:00</t>
        </is>
      </c>
    </row>
    <row r="145" ht="23.25" customFormat="1" customHeight="1" s="45">
      <c r="A145" s="112" t="n"/>
      <c r="B145" s="112">
        <f>IF(OR(A145="x",A145="X"),"",IF(ISBLANK(A145),"X",""))</f>
        <v/>
      </c>
      <c r="C145" s="112">
        <f>IF(OR(TabellaBLENDING[[#This Row],[LUN]]="X",TabellaBLENDING[[#This Row],[MAR]]="X",TabellaBLENDING[[#This Row],[MER]]="X",TabellaBLENDING[[#This Row],[GIO]]="X",TabellaBLENDING[[#This Row],[VEN]]="X",),"X","")</f>
        <v/>
      </c>
      <c r="D145" s="109" t="inlineStr">
        <is>
          <t>BLENDING</t>
        </is>
      </c>
      <c r="E145" s="109" t="inlineStr">
        <is>
          <t>538881/C</t>
        </is>
      </c>
      <c r="F145" s="109" t="inlineStr">
        <is>
          <t>Blend</t>
        </is>
      </c>
      <c r="G145" s="109" t="inlineStr">
        <is>
          <t>Verifica funzionalit livellostato L707HA</t>
        </is>
      </c>
      <c r="H145" s="111" t="n"/>
      <c r="I145" s="111" t="n"/>
      <c r="J145" s="111" t="n"/>
      <c r="K145" s="111" t="n"/>
      <c r="L145" s="111" t="n"/>
      <c r="M145" s="109" t="inlineStr">
        <is>
          <t>EMESSO</t>
        </is>
      </c>
      <c r="N145" s="109" t="n"/>
      <c r="O145" s="109" t="n"/>
      <c r="P145" s="109" t="n"/>
      <c r="Q145" s="109" t="n"/>
      <c r="R145" s="110" t="n"/>
      <c r="S145" s="110" t="n"/>
      <c r="T14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8">
        <f>IFERROR(MID(G145,_xlfn.AGGREGATE(15,6,(ROW(INDIRECT("1:"&amp;LEN(G145)-7)))/(ISNUMBER(--MID(G145,ROW(INDIRECT("1:"&amp;LEN(G145)-7)),8))),1),8),"")</f>
        <v/>
      </c>
      <c r="V145" t="inlineStr">
        <is>
          <t>2025-09-30 20:00:00</t>
        </is>
      </c>
    </row>
    <row r="146" ht="30" customFormat="1" customHeight="1" s="45">
      <c r="A146" s="112" t="n"/>
      <c r="B146" s="112" t="n"/>
      <c r="C146" s="112">
        <f>IF(OR(TabellaBLENDING[[#This Row],[LUN]]="X",TabellaBLENDING[[#This Row],[MAR]]="X",TabellaBLENDING[[#This Row],[MER]]="X",TabellaBLENDING[[#This Row],[GIO]]="X",TabellaBLENDING[[#This Row],[VEN]]="X",),"X","")</f>
        <v/>
      </c>
      <c r="D146" s="109" t="inlineStr">
        <is>
          <t>BLENDING</t>
        </is>
      </c>
      <c r="E146" s="109" t="inlineStr">
        <is>
          <t>541018/C</t>
        </is>
      </c>
      <c r="F146" s="109" t="n">
        <v>6500</v>
      </c>
      <c r="G146" s="109" t="inlineStr">
        <is>
          <t>Controllo funzionalita' di tutte le termocoppie e di tutti i trasmettitori di pressione del VRU</t>
        </is>
      </c>
      <c r="H146" s="111" t="n"/>
      <c r="I146" s="111" t="n"/>
      <c r="J146" s="111" t="n"/>
      <c r="K146" s="111" t="n"/>
      <c r="L146" s="111" t="n"/>
      <c r="M146" s="109" t="inlineStr">
        <is>
          <t>EMESSO</t>
        </is>
      </c>
      <c r="N146" s="109" t="n"/>
      <c r="O146" s="109" t="n"/>
      <c r="P146" s="109" t="n"/>
      <c r="Q146" s="109" t="n"/>
      <c r="R146" s="110" t="n"/>
      <c r="S146" s="110" t="n"/>
      <c r="T14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8">
        <f>IFERROR(MID(G146,_xlfn.AGGREGATE(15,6,(ROW(INDIRECT("1:"&amp;LEN(G146)-7)))/(ISNUMBER(--MID(G146,ROW(INDIRECT("1:"&amp;LEN(G146)-7)),8))),1),8),"")</f>
        <v/>
      </c>
      <c r="V146" t="inlineStr">
        <is>
          <t>2025-09-30 20:00:00</t>
        </is>
      </c>
    </row>
    <row r="147" ht="23.25" customFormat="1" customHeight="1" s="45">
      <c r="A147" s="112" t="n"/>
      <c r="B147" s="112" t="n"/>
      <c r="C147" s="112">
        <f>IF(OR(TabellaBLENDING[[#This Row],[LUN]]="X",TabellaBLENDING[[#This Row],[MAR]]="X",TabellaBLENDING[[#This Row],[MER]]="X",TabellaBLENDING[[#This Row],[GIO]]="X",TabellaBLENDING[[#This Row],[VEN]]="X",),"X","")</f>
        <v/>
      </c>
      <c r="D147" s="109" t="inlineStr">
        <is>
          <t>BLENDING</t>
        </is>
      </c>
      <c r="E147" s="109" t="inlineStr">
        <is>
          <t>315961/S</t>
        </is>
      </c>
      <c r="F147" s="109" t="inlineStr">
        <is>
          <t>Pontile</t>
        </is>
      </c>
      <c r="G147" s="109" t="inlineStr">
        <is>
          <t>Revisione in officina COEMI della valvola di blocco XV01-6 della PTF 6 (bloccata aperta)</t>
        </is>
      </c>
      <c r="H147" s="111" t="n"/>
      <c r="I147" s="111" t="n"/>
      <c r="J147" s="111" t="n"/>
      <c r="K147" s="111" t="n"/>
      <c r="L147" s="111" t="n"/>
      <c r="M147" s="109" t="inlineStr">
        <is>
          <t>EMESSO</t>
        </is>
      </c>
      <c r="N147" s="109" t="n"/>
      <c r="O147" s="109" t="n"/>
      <c r="P147" s="109" t="n"/>
      <c r="Q147" s="109" t="n"/>
      <c r="R147" s="110" t="n"/>
      <c r="S147" s="110" t="n"/>
      <c r="T14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8">
        <f>IFERROR(MID(G147,_xlfn.AGGREGATE(15,6,(ROW(INDIRECT("1:"&amp;LEN(G147)-7)))/(ISNUMBER(--MID(G147,ROW(INDIRECT("1:"&amp;LEN(G147)-7)),8))),1),8),"")</f>
        <v/>
      </c>
      <c r="V147" t="inlineStr">
        <is>
          <t>2025-09-30 20:00:00</t>
        </is>
      </c>
    </row>
    <row r="148" ht="30" customFormat="1" customHeight="1" s="45">
      <c r="A148" s="112" t="n"/>
      <c r="B148" s="112" t="n"/>
      <c r="C148" s="112">
        <f>IF(OR(TabellaBLENDING[[#This Row],[LUN]]="X",TabellaBLENDING[[#This Row],[MAR]]="X",TabellaBLENDING[[#This Row],[MER]]="X",TabellaBLENDING[[#This Row],[GIO]]="X",TabellaBLENDING[[#This Row],[VEN]]="X",),"X","")</f>
        <v/>
      </c>
      <c r="D148" s="109" t="inlineStr">
        <is>
          <t>BLENDING</t>
        </is>
      </c>
      <c r="E148" s="109" t="inlineStr">
        <is>
          <t>538233/C</t>
        </is>
      </c>
      <c r="F148" s="109" t="inlineStr">
        <is>
          <t>PONTILE</t>
        </is>
      </c>
      <c r="G148" s="109" t="inlineStr">
        <is>
          <t>PONTILE - PTF5 : MP202A POMPA SLOP, CONTROLLARE AUTOMATISMO LA POMPA PARTE PER ALTO LIVELLO, MA NON SI FERMA PER BASSO - Ricerca guasto</t>
        </is>
      </c>
      <c r="H148" s="111" t="n"/>
      <c r="I148" s="111" t="n"/>
      <c r="J148" s="111" t="n"/>
      <c r="K148" s="111" t="n"/>
      <c r="L148" s="111" t="n"/>
      <c r="M148" s="109" t="inlineStr">
        <is>
          <t>EMESSO</t>
        </is>
      </c>
      <c r="N148" s="109" t="n"/>
      <c r="O148" s="109" t="n"/>
      <c r="P148" s="109" t="n"/>
      <c r="Q148" s="109" t="n"/>
      <c r="R148" s="110" t="n"/>
      <c r="S148" s="110" t="n"/>
      <c r="T14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1">
        <f>IFERROR(MID(G148,_xlfn.AGGREGATE(15,6,(ROW(INDIRECT("1:"&amp;LEN(G148)-7)))/(ISNUMBER(--MID(G148,ROW(INDIRECT("1:"&amp;LEN(G148)-7)),8))),1),8),"")</f>
        <v/>
      </c>
      <c r="V148" t="inlineStr">
        <is>
          <t>2025-09-30 20:00:00</t>
        </is>
      </c>
    </row>
    <row r="149" ht="30" customFormat="1" customHeight="1" s="45">
      <c r="A149" s="112" t="n"/>
      <c r="B149" s="112">
        <f>IF(OR(A149="x",A149="X"),"",IF(ISBLANK(A149),"X",""))</f>
        <v/>
      </c>
      <c r="C149" s="112">
        <f>IF(OR(TabellaBLENDING[[#This Row],[LUN]]="X",TabellaBLENDING[[#This Row],[MAR]]="X",TabellaBLENDING[[#This Row],[MER]]="X",TabellaBLENDING[[#This Row],[GIO]]="X",TabellaBLENDING[[#This Row],[VEN]]="X",),"X","")</f>
        <v/>
      </c>
      <c r="D149" s="109" t="inlineStr">
        <is>
          <t>BLENDING</t>
        </is>
      </c>
      <c r="E149" s="109" t="inlineStr">
        <is>
          <t>539431/C</t>
        </is>
      </c>
      <c r="F149" s="109" t="inlineStr">
        <is>
          <t>BLENDING</t>
        </is>
      </c>
      <c r="G149" s="109" t="inlineStr">
        <is>
          <t>Verifica funzionalità livellostato L610HA</t>
        </is>
      </c>
      <c r="H149" s="111" t="n"/>
      <c r="I149" s="111" t="n"/>
      <c r="J149" s="111" t="n"/>
      <c r="K149" s="111" t="n"/>
      <c r="L149" s="111" t="n"/>
      <c r="M149" s="109" t="inlineStr">
        <is>
          <t>EMESSO</t>
        </is>
      </c>
      <c r="N149" s="109" t="n"/>
      <c r="O149" s="109" t="n"/>
      <c r="P149" s="109" t="n"/>
      <c r="Q149" s="109" t="n"/>
      <c r="R149" s="110" t="n"/>
      <c r="S149" s="110" t="n"/>
      <c r="T14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8">
        <f>IFERROR(MID(G149,_xlfn.AGGREGATE(15,6,(ROW(INDIRECT("1:"&amp;LEN(G149)-7)))/(ISNUMBER(--MID(G149,ROW(INDIRECT("1:"&amp;LEN(G149)-7)),8))),1),8),"")</f>
        <v/>
      </c>
      <c r="V149" t="inlineStr">
        <is>
          <t>2025-09-30 20:00:00</t>
        </is>
      </c>
    </row>
    <row r="150" ht="30" customFormat="1" customHeight="1" s="45">
      <c r="A150" s="112" t="n"/>
      <c r="B150" s="112">
        <f>IF(OR(A150="x",A150="X"),"",IF(ISBLANK(A150),"X",""))</f>
        <v/>
      </c>
      <c r="C150" s="112">
        <f>IF(OR(TabellaBLENDING[[#This Row],[LUN]]="X",TabellaBLENDING[[#This Row],[MAR]]="X",TabellaBLENDING[[#This Row],[MER]]="X",TabellaBLENDING[[#This Row],[GIO]]="X",TabellaBLENDING[[#This Row],[VEN]]="X",),"X","")</f>
        <v/>
      </c>
      <c r="D150" s="109" t="inlineStr">
        <is>
          <t>BLENDING</t>
        </is>
      </c>
      <c r="E150" s="109" t="inlineStr">
        <is>
          <t>539432/C</t>
        </is>
      </c>
      <c r="F150" s="109" t="inlineStr">
        <is>
          <t>BLENDING</t>
        </is>
      </c>
      <c r="G150" s="109" t="inlineStr">
        <is>
          <t>Verifica funzionalità livellostato L611HA</t>
        </is>
      </c>
      <c r="H150" s="111" t="n"/>
      <c r="I150" s="111" t="n"/>
      <c r="J150" s="111" t="n"/>
      <c r="K150" s="111" t="n"/>
      <c r="L150" s="111" t="n"/>
      <c r="M150" s="109" t="inlineStr">
        <is>
          <t>EMESSO</t>
        </is>
      </c>
      <c r="N150" s="109" t="n"/>
      <c r="O150" s="109" t="n"/>
      <c r="P150" s="109" t="n"/>
      <c r="Q150" s="109" t="n"/>
      <c r="R150" s="110" t="n"/>
      <c r="S150" s="110" t="n"/>
      <c r="T15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8">
        <f>IFERROR(MID(G150,_xlfn.AGGREGATE(15,6,(ROW(INDIRECT("1:"&amp;LEN(G150)-7)))/(ISNUMBER(--MID(G150,ROW(INDIRECT("1:"&amp;LEN(G150)-7)),8))),1),8),"")</f>
        <v/>
      </c>
      <c r="V150" t="inlineStr">
        <is>
          <t>2025-09-30 20:00:00</t>
        </is>
      </c>
    </row>
    <row r="151" ht="23.25" customFormat="1" customHeight="1" s="45">
      <c r="A151" s="112" t="n"/>
      <c r="B151" s="112" t="n"/>
      <c r="C151" s="112">
        <f>IF(OR(TabellaBLENDING[[#This Row],[LUN]]="X",TabellaBLENDING[[#This Row],[MAR]]="X",TabellaBLENDING[[#This Row],[MER]]="X",TabellaBLENDING[[#This Row],[GIO]]="X",TabellaBLENDING[[#This Row],[VEN]]="X",),"X","")</f>
        <v/>
      </c>
      <c r="D151" s="109" t="inlineStr">
        <is>
          <t>BLENDING</t>
        </is>
      </c>
      <c r="E151" s="109" t="inlineStr">
        <is>
          <t>542986/C</t>
        </is>
      </c>
      <c r="F151" s="109" t="n">
        <v>6000</v>
      </c>
      <c r="G151" s="109" t="inlineStr">
        <is>
          <t>Ripristino dp filtro 102-PdAH 102 filtri sale</t>
        </is>
      </c>
      <c r="H151" s="111" t="n"/>
      <c r="I151" s="111" t="n"/>
      <c r="J151" s="111" t="n"/>
      <c r="K151" s="111" t="n"/>
      <c r="L151" s="111" t="n"/>
      <c r="M151" s="109" t="inlineStr">
        <is>
          <t>EMESSO</t>
        </is>
      </c>
      <c r="N151" s="109" t="n"/>
      <c r="O151" s="109" t="n"/>
      <c r="P151" s="109" t="n"/>
      <c r="Q151" s="109" t="n"/>
      <c r="R151" s="110" t="n"/>
      <c r="S151" s="110" t="n"/>
      <c r="T15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8">
        <f>IFERROR(MID(G151,_xlfn.AGGREGATE(15,6,(ROW(INDIRECT("1:"&amp;LEN(G151)-7)))/(ISNUMBER(--MID(G151,ROW(INDIRECT("1:"&amp;LEN(G151)-7)),8))),1),8),"")</f>
        <v/>
      </c>
      <c r="V151" t="inlineStr">
        <is>
          <t>2025-09-30 20:00:00</t>
        </is>
      </c>
    </row>
    <row r="152" ht="23.25" customFormat="1" customHeight="1" s="45">
      <c r="A152" s="112" t="n"/>
      <c r="B152" s="112" t="n"/>
      <c r="C152" s="112">
        <f>IF(OR(TabellaBLENDING[[#This Row],[LUN]]="X",TabellaBLENDING[[#This Row],[MAR]]="X",TabellaBLENDING[[#This Row],[MER]]="X",TabellaBLENDING[[#This Row],[GIO]]="X",TabellaBLENDING[[#This Row],[VEN]]="X",),"X","")</f>
        <v/>
      </c>
      <c r="D152" s="109" t="inlineStr">
        <is>
          <t>BLENDING</t>
        </is>
      </c>
      <c r="E152" s="109" t="inlineStr">
        <is>
          <t>543931/C</t>
        </is>
      </c>
      <c r="F152" s="109" t="n">
        <v>6500</v>
      </c>
      <c r="G152" s="109" t="inlineStr">
        <is>
          <t>Ricerca e ripristino guasto su testata Vega BR 31</t>
        </is>
      </c>
      <c r="H152" s="111" t="n"/>
      <c r="I152" s="111" t="n"/>
      <c r="J152" s="111" t="n"/>
      <c r="K152" s="111" t="n"/>
      <c r="L152" s="111" t="n"/>
      <c r="M152" s="109" t="inlineStr">
        <is>
          <t>EMESSO</t>
        </is>
      </c>
      <c r="N152" s="109" t="n"/>
      <c r="O152" s="109" t="n"/>
      <c r="P152" s="109" t="n"/>
      <c r="Q152" s="109" t="n"/>
      <c r="R152" s="110" t="n"/>
      <c r="S152" s="110" t="n"/>
      <c r="T15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8">
        <f>IFERROR(MID(G152,_xlfn.AGGREGATE(15,6,(ROW(INDIRECT("1:"&amp;LEN(G152)-7)))/(ISNUMBER(--MID(G152,ROW(INDIRECT("1:"&amp;LEN(G152)-7)),8))),1),8),"")</f>
        <v/>
      </c>
      <c r="V152" t="inlineStr">
        <is>
          <t>2025-09-30 20:00:00</t>
        </is>
      </c>
    </row>
    <row r="153" ht="23.25" customFormat="1" customHeight="1" s="45">
      <c r="A153" s="112" t="n"/>
      <c r="B153" s="112" t="n"/>
      <c r="C153" s="112">
        <f>IF(OR(TabellaBLENDING[[#This Row],[LUN]]="X",TabellaBLENDING[[#This Row],[MAR]]="X",TabellaBLENDING[[#This Row],[MER]]="X",TabellaBLENDING[[#This Row],[GIO]]="X",TabellaBLENDING[[#This Row],[VEN]]="X",),"X","")</f>
        <v/>
      </c>
      <c r="D153" s="109" t="inlineStr">
        <is>
          <t>BLENDING</t>
        </is>
      </c>
      <c r="E153" s="109" t="inlineStr">
        <is>
          <t>541092/C</t>
        </is>
      </c>
      <c r="F153" s="109" t="inlineStr">
        <is>
          <t>Pontile</t>
        </is>
      </c>
      <c r="G153" s="109" t="inlineStr">
        <is>
          <t>Controllo e ripristino valvola XV01-6 in PTF 6 (bloccata aperta)</t>
        </is>
      </c>
      <c r="H153" s="111" t="n"/>
      <c r="I153" s="111" t="n"/>
      <c r="J153" s="111" t="n"/>
      <c r="K153" s="111" t="n"/>
      <c r="L153" s="111" t="n"/>
      <c r="M153" s="109" t="inlineStr">
        <is>
          <t>EMESSO</t>
        </is>
      </c>
      <c r="N153" s="109" t="n"/>
      <c r="O153" s="109" t="n"/>
      <c r="P153" s="109" t="n"/>
      <c r="Q153" s="109" t="n"/>
      <c r="R153" s="110" t="n"/>
      <c r="S153" s="110" t="n"/>
      <c r="T15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8">
        <f>IFERROR(MID(G153,_xlfn.AGGREGATE(15,6,(ROW(INDIRECT("1:"&amp;LEN(G153)-7)))/(ISNUMBER(--MID(G153,ROW(INDIRECT("1:"&amp;LEN(G153)-7)),8))),1),8),"")</f>
        <v/>
      </c>
      <c r="V153" t="inlineStr">
        <is>
          <t>2025-09-30 20:00:00</t>
        </is>
      </c>
    </row>
    <row r="154" ht="23.25" customFormat="1" customHeight="1" s="45">
      <c r="A154" s="112" t="n"/>
      <c r="B154" s="112" t="n"/>
      <c r="C154" s="112">
        <f>IF(OR(TabellaBLENDING[[#This Row],[LUN]]="X",TabellaBLENDING[[#This Row],[MAR]]="X",TabellaBLENDING[[#This Row],[MER]]="X",TabellaBLENDING[[#This Row],[GIO]]="X",TabellaBLENDING[[#This Row],[VEN]]="X",),"X","")</f>
        <v/>
      </c>
      <c r="D154" s="109" t="inlineStr">
        <is>
          <t>BLENDING</t>
        </is>
      </c>
      <c r="E154" s="109" t="inlineStr">
        <is>
          <t>542988/C</t>
        </is>
      </c>
      <c r="F154" s="109" t="n">
        <v>6000</v>
      </c>
      <c r="G154" s="109" t="inlineStr">
        <is>
          <t>Ripristino dp filtro 101-PdAH 101 filtri sale</t>
        </is>
      </c>
      <c r="H154" s="111" t="n"/>
      <c r="I154" s="111" t="n"/>
      <c r="J154" s="111" t="n"/>
      <c r="K154" s="111" t="n"/>
      <c r="L154" s="111" t="n"/>
      <c r="M154" s="109" t="inlineStr">
        <is>
          <t>EMESSO</t>
        </is>
      </c>
      <c r="N154" s="109" t="n"/>
      <c r="O154" s="109" t="n"/>
      <c r="P154" s="109" t="n"/>
      <c r="Q154" s="109" t="n"/>
      <c r="R154" s="110" t="n"/>
      <c r="S154" s="110" t="n"/>
      <c r="T15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8">
        <f>IFERROR(MID(G154,_xlfn.AGGREGATE(15,6,(ROW(INDIRECT("1:"&amp;LEN(G154)-7)))/(ISNUMBER(--MID(G154,ROW(INDIRECT("1:"&amp;LEN(G154)-7)),8))),1),8),"")</f>
        <v/>
      </c>
      <c r="V154" t="inlineStr">
        <is>
          <t>2025-09-30 20:00:00</t>
        </is>
      </c>
    </row>
    <row r="155" ht="23.25" customFormat="1" customHeight="1" s="45">
      <c r="A155" s="112" t="n"/>
      <c r="B155" s="112" t="n"/>
      <c r="C155" s="112">
        <f>IF(OR(TabellaBLENDING[[#This Row],[LUN]]="X",TabellaBLENDING[[#This Row],[MAR]]="X",TabellaBLENDING[[#This Row],[MER]]="X",TabellaBLENDING[[#This Row],[GIO]]="X",TabellaBLENDING[[#This Row],[VEN]]="X",),"X","")</f>
        <v/>
      </c>
      <c r="D155" s="109" t="inlineStr">
        <is>
          <t>BLENDING</t>
        </is>
      </c>
      <c r="E155" s="109" t="inlineStr">
        <is>
          <t>543934/C</t>
        </is>
      </c>
      <c r="F155" s="109" t="n">
        <v>6500</v>
      </c>
      <c r="G155" s="109" t="inlineStr">
        <is>
          <t>Ricerca e ripristino guasto su testata Vega BR 41</t>
        </is>
      </c>
      <c r="H155" s="111" t="n"/>
      <c r="I155" s="111" t="n"/>
      <c r="J155" s="111" t="n"/>
      <c r="K155" s="111" t="n"/>
      <c r="L155" s="111" t="n"/>
      <c r="M155" s="109" t="inlineStr">
        <is>
          <t>EMESSO</t>
        </is>
      </c>
      <c r="N155" s="109" t="n"/>
      <c r="O155" s="109" t="n"/>
      <c r="P155" s="109" t="n"/>
      <c r="Q155" s="109" t="n"/>
      <c r="R155" s="110" t="n"/>
      <c r="S155" s="110" t="n"/>
      <c r="T15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8">
        <f>IFERROR(MID(G155,_xlfn.AGGREGATE(15,6,(ROW(INDIRECT("1:"&amp;LEN(G155)-7)))/(ISNUMBER(--MID(G155,ROW(INDIRECT("1:"&amp;LEN(G155)-7)),8))),1),8),"")</f>
        <v/>
      </c>
      <c r="V155" t="inlineStr">
        <is>
          <t>2025-09-30 20:00:00</t>
        </is>
      </c>
    </row>
    <row r="156" ht="23.25" customFormat="1" customHeight="1" s="45">
      <c r="A156" s="112" t="n"/>
      <c r="B156" s="112" t="n"/>
      <c r="C156" s="112">
        <f>IF(OR(TabellaBLENDING[[#This Row],[LUN]]="X",TabellaBLENDING[[#This Row],[MAR]]="X",TabellaBLENDING[[#This Row],[MER]]="X",TabellaBLENDING[[#This Row],[GIO]]="X",TabellaBLENDING[[#This Row],[VEN]]="X",),"X","")</f>
        <v/>
      </c>
      <c r="D156" s="109" t="inlineStr">
        <is>
          <t>BLENDING</t>
        </is>
      </c>
      <c r="E156" s="109" t="inlineStr">
        <is>
          <t>543004/C</t>
        </is>
      </c>
      <c r="F156" s="109" t="n">
        <v>6000</v>
      </c>
      <c r="G156" s="109" t="inlineStr">
        <is>
          <t>Controllo e ripristino livello D105 filtri sale</t>
        </is>
      </c>
      <c r="H156" s="111" t="n"/>
      <c r="I156" s="111" t="n"/>
      <c r="J156" s="111" t="n"/>
      <c r="K156" s="111" t="n"/>
      <c r="L156" s="111" t="n"/>
      <c r="M156" s="109" t="inlineStr">
        <is>
          <t>EMESSO</t>
        </is>
      </c>
      <c r="N156" s="109" t="n"/>
      <c r="O156" s="109" t="n"/>
      <c r="P156" s="109" t="n"/>
      <c r="Q156" s="109" t="n"/>
      <c r="R156" s="110" t="n"/>
      <c r="S156" s="110" t="n"/>
      <c r="T15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8">
        <f>IFERROR(MID(G156,_xlfn.AGGREGATE(15,6,(ROW(INDIRECT("1:"&amp;LEN(G156)-7)))/(ISNUMBER(--MID(G156,ROW(INDIRECT("1:"&amp;LEN(G156)-7)),8))),1),8),"")</f>
        <v/>
      </c>
      <c r="V156" t="inlineStr">
        <is>
          <t>2025-09-30 20:00:00</t>
        </is>
      </c>
    </row>
    <row r="157" ht="23.25" customFormat="1" customHeight="1" s="45">
      <c r="A157" s="112" t="n"/>
      <c r="B157" s="112" t="n"/>
      <c r="C157" s="112">
        <f>IF(OR(TabellaBLENDING[[#This Row],[LUN]]="X",TabellaBLENDING[[#This Row],[MAR]]="X",TabellaBLENDING[[#This Row],[MER]]="X",TabellaBLENDING[[#This Row],[GIO]]="X",TabellaBLENDING[[#This Row],[VEN]]="X",),"X","")</f>
        <v/>
      </c>
      <c r="D157" s="109" t="inlineStr">
        <is>
          <t>BLENDING</t>
        </is>
      </c>
      <c r="E157" s="109" t="inlineStr">
        <is>
          <t>542992/C</t>
        </is>
      </c>
      <c r="F157" s="109" t="n">
        <v>6000</v>
      </c>
      <c r="G157" s="109" t="inlineStr">
        <is>
          <t>Ripristino F106 mis. di portata filtri sale</t>
        </is>
      </c>
      <c r="H157" s="111" t="n"/>
      <c r="I157" s="111" t="n"/>
      <c r="J157" s="111" t="n"/>
      <c r="K157" s="111" t="n"/>
      <c r="L157" s="111" t="n"/>
      <c r="M157" s="109" t="inlineStr">
        <is>
          <t>EMESSO</t>
        </is>
      </c>
      <c r="N157" s="109" t="n"/>
      <c r="O157" s="109" t="n"/>
      <c r="P157" s="109" t="n"/>
      <c r="Q157" s="109" t="n"/>
      <c r="R157" s="110" t="n"/>
      <c r="S157" s="110" t="n"/>
      <c r="T15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8">
        <f>IFERROR(MID(G157,_xlfn.AGGREGATE(15,6,(ROW(INDIRECT("1:"&amp;LEN(G157)-7)))/(ISNUMBER(--MID(G157,ROW(INDIRECT("1:"&amp;LEN(G157)-7)),8))),1),8),"")</f>
        <v/>
      </c>
      <c r="V157" t="inlineStr">
        <is>
          <t>2025-09-30 20:00:00</t>
        </is>
      </c>
    </row>
    <row r="158" ht="23.25" customFormat="1" customHeight="1" s="45">
      <c r="A158" s="112" t="n"/>
      <c r="B158" s="112" t="n"/>
      <c r="C158" s="112">
        <f>IF(OR(TabellaBLENDING[[#This Row],[LUN]]="X",TabellaBLENDING[[#This Row],[MAR]]="X",TabellaBLENDING[[#This Row],[MER]]="X",TabellaBLENDING[[#This Row],[GIO]]="X",TabellaBLENDING[[#This Row],[VEN]]="X",),"X","")</f>
        <v/>
      </c>
      <c r="D158" s="109" t="inlineStr">
        <is>
          <t>BLENDING</t>
        </is>
      </c>
      <c r="E158" s="109" t="inlineStr">
        <is>
          <t>544467/C</t>
        </is>
      </c>
      <c r="F158" s="109" t="inlineStr">
        <is>
          <t>Pontile</t>
        </is>
      </c>
      <c r="G158" s="109" t="inlineStr">
        <is>
          <t>Sostituzione trasmettitore conta-litri presso Impianto MISE in radice Pontile</t>
        </is>
      </c>
      <c r="H158" s="111" t="n"/>
      <c r="I158" s="111" t="n"/>
      <c r="J158" s="111" t="n"/>
      <c r="K158" s="111" t="n"/>
      <c r="L158" s="111" t="n"/>
      <c r="M158" s="109" t="inlineStr">
        <is>
          <t>EMESSO</t>
        </is>
      </c>
      <c r="N158" s="109" t="n"/>
      <c r="O158" s="109" t="n"/>
      <c r="P158" s="109" t="n"/>
      <c r="Q158" s="109" t="n"/>
      <c r="R158" s="110" t="n"/>
      <c r="S158" s="110" t="n"/>
      <c r="T15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2" t="n"/>
      <c r="V158" t="inlineStr">
        <is>
          <t>2025-09-30 20:00:00</t>
        </is>
      </c>
    </row>
    <row r="159" ht="30" customFormat="1" customHeight="1" s="45">
      <c r="A159" s="112" t="n"/>
      <c r="B159" s="112" t="n"/>
      <c r="C159" s="112">
        <f>IF(OR(TabellaBLENDING[[#This Row],[LUN]]="X",TabellaBLENDING[[#This Row],[MAR]]="X",TabellaBLENDING[[#This Row],[MER]]="X",TabellaBLENDING[[#This Row],[GIO]]="X",TabellaBLENDING[[#This Row],[VEN]]="X",),"X","")</f>
        <v/>
      </c>
      <c r="D159" s="109" t="inlineStr">
        <is>
          <t>BLENDING</t>
        </is>
      </c>
      <c r="E159" s="109" t="inlineStr">
        <is>
          <t>545461/C</t>
        </is>
      </c>
      <c r="F159" s="109" t="inlineStr">
        <is>
          <t>Blend</t>
        </is>
      </c>
      <c r="G159" s="109" t="inlineStr">
        <is>
          <t>SALA POMPE ADDITIVI P1141C  RIPRISTINO FUNZIONALITA FINE CORSA XV 39A(MAN GASOLIO 2) XV38A(MAN GASOLIO 1)</t>
        </is>
      </c>
      <c r="H159" s="111" t="n"/>
      <c r="I159" s="111" t="n"/>
      <c r="J159" s="111" t="n"/>
      <c r="K159" s="111" t="n"/>
      <c r="L159" s="111" t="n"/>
      <c r="M159" s="109" t="inlineStr">
        <is>
          <t>EMESSO</t>
        </is>
      </c>
      <c r="N159" s="109" t="n"/>
      <c r="O159" s="109" t="n"/>
      <c r="P159" s="109" t="n"/>
      <c r="Q159" s="109" t="n"/>
      <c r="R159" s="110" t="n"/>
      <c r="S159" s="110" t="n"/>
      <c r="T15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2" t="n"/>
      <c r="V159" t="inlineStr">
        <is>
          <t>2025-09-30 20:00:00</t>
        </is>
      </c>
    </row>
    <row r="160" ht="23.25" customFormat="1" customHeight="1" s="45">
      <c r="A160" s="112" t="n"/>
      <c r="B160" s="112" t="n"/>
      <c r="C160" s="112">
        <f>IF(OR(TabellaBLENDING[[#This Row],[LUN]]="X",TabellaBLENDING[[#This Row],[MAR]]="X",TabellaBLENDING[[#This Row],[MER]]="X",TabellaBLENDING[[#This Row],[GIO]]="X",TabellaBLENDING[[#This Row],[VEN]]="X",),"X","")</f>
        <v/>
      </c>
      <c r="D160" s="109" t="inlineStr">
        <is>
          <t>BLENDING</t>
        </is>
      </c>
      <c r="E160" s="109" t="inlineStr">
        <is>
          <t>546973/C</t>
        </is>
      </c>
      <c r="F160" s="109" t="n">
        <v>6300</v>
      </c>
      <c r="G160" s="109" t="inlineStr">
        <is>
          <t>Controllo e ripristino funzionalit PAL 95 BASSA ASPIRAZIONE MP619/A</t>
        </is>
      </c>
      <c r="H160" s="111" t="n"/>
      <c r="I160" s="111" t="n"/>
      <c r="J160" s="111" t="n"/>
      <c r="K160" s="111" t="n"/>
      <c r="L160" s="111" t="n"/>
      <c r="M160" s="109" t="inlineStr">
        <is>
          <t>EMESSO</t>
        </is>
      </c>
      <c r="N160" s="109" t="n"/>
      <c r="O160" s="109" t="n"/>
      <c r="P160" s="109" t="n"/>
      <c r="Q160" s="109" t="n"/>
      <c r="R160" s="110" t="n"/>
      <c r="S160" s="110" t="n"/>
      <c r="T16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2" t="n"/>
      <c r="V160" t="inlineStr">
        <is>
          <t>2025-09-30 20:00:00</t>
        </is>
      </c>
    </row>
    <row r="161" ht="30" customFormat="1" customHeight="1" s="45">
      <c r="A161" s="112" t="n"/>
      <c r="B161" s="112" t="n"/>
      <c r="C161" s="112">
        <f>IF(OR(TabellaBLENDING[[#This Row],[LUN]]="X",TabellaBLENDING[[#This Row],[MAR]]="X",TabellaBLENDING[[#This Row],[MER]]="X",TabellaBLENDING[[#This Row],[GIO]]="X",TabellaBLENDING[[#This Row],[VEN]]="X",),"X","")</f>
        <v/>
      </c>
      <c r="D161" s="109" t="inlineStr">
        <is>
          <t>BLENDING</t>
        </is>
      </c>
      <c r="E161" s="109" t="inlineStr">
        <is>
          <t>547609/C</t>
        </is>
      </c>
      <c r="F161" s="109" t="inlineStr">
        <is>
          <t>VRU Aereon</t>
        </is>
      </c>
      <c r="G161" s="109" t="inlineStr">
        <is>
          <t>Controllo funzionalita' e allineamento con Sala Controllo di tutta la strumentazione FT - TT - PIC - PT - XV del VRU AERON</t>
        </is>
      </c>
      <c r="H161" s="111" t="n"/>
      <c r="I161" s="111" t="n"/>
      <c r="J161" s="111" t="n"/>
      <c r="K161" s="111" t="n"/>
      <c r="L161" s="111" t="n"/>
      <c r="M161" s="109" t="inlineStr">
        <is>
          <t>EMESSO</t>
        </is>
      </c>
      <c r="N161" s="109" t="n"/>
      <c r="O161" s="109" t="n"/>
      <c r="P161" s="109" t="n"/>
      <c r="Q161" s="109" t="n"/>
      <c r="R161" s="110" t="n"/>
      <c r="S161" s="110" t="n"/>
      <c r="T16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2" t="n"/>
      <c r="V161" t="inlineStr">
        <is>
          <t>2025-09-30 20:00:00</t>
        </is>
      </c>
    </row>
    <row r="162" ht="30" customFormat="1" customHeight="1" s="45">
      <c r="A162" s="112" t="n"/>
      <c r="B162" s="112" t="n"/>
      <c r="C162" s="112">
        <f>IF(OR(TabellaBLENDING[[#This Row],[LUN]]="X",TabellaBLENDING[[#This Row],[MAR]]="X",TabellaBLENDING[[#This Row],[MER]]="X",TabellaBLENDING[[#This Row],[GIO]]="X",TabellaBLENDING[[#This Row],[VEN]]="X",),"X","")</f>
        <v/>
      </c>
      <c r="D162" s="109" t="inlineStr">
        <is>
          <t>BLENDING</t>
        </is>
      </c>
      <c r="E162" s="109" t="inlineStr">
        <is>
          <t>547625/C</t>
        </is>
      </c>
      <c r="F162" s="109" t="inlineStr">
        <is>
          <t>Pontile</t>
        </is>
      </c>
      <c r="G162" s="109" t="inlineStr">
        <is>
          <t>PTF6 - VRU : Controllo funzionalita' e allineamento con Sala Controllo di tutta la strumentazione FT - TT - PIC - PT - XV</t>
        </is>
      </c>
      <c r="H162" s="111" t="n"/>
      <c r="I162" s="111" t="n"/>
      <c r="J162" s="111" t="n"/>
      <c r="K162" s="111" t="n"/>
      <c r="L162" s="111" t="n"/>
      <c r="M162" s="109" t="inlineStr">
        <is>
          <t>EMESSO</t>
        </is>
      </c>
      <c r="N162" s="109" t="n"/>
      <c r="O162" s="109" t="n"/>
      <c r="P162" s="109" t="n"/>
      <c r="Q162" s="109" t="n"/>
      <c r="R162" s="110" t="n"/>
      <c r="S162" s="110" t="n"/>
      <c r="T16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2" t="n"/>
      <c r="V162" t="inlineStr">
        <is>
          <t>2025-09-30 20:00:00</t>
        </is>
      </c>
    </row>
    <row r="163" ht="30" customFormat="1" customHeight="1" s="45">
      <c r="A163" s="112" t="n"/>
      <c r="B163" s="112" t="n"/>
      <c r="C163" s="112">
        <f>IF(OR(TabellaBLENDING[[#This Row],[LUN]]="X",TabellaBLENDING[[#This Row],[MAR]]="X",TabellaBLENDING[[#This Row],[MER]]="X",TabellaBLENDING[[#This Row],[GIO]]="X",TabellaBLENDING[[#This Row],[VEN]]="X",),"X","")</f>
        <v/>
      </c>
      <c r="D163" s="109" t="inlineStr">
        <is>
          <t>BLENDING</t>
        </is>
      </c>
      <c r="E163" s="109" t="inlineStr">
        <is>
          <t>317311/S</t>
        </is>
      </c>
      <c r="F163" s="109" t="inlineStr">
        <is>
          <t>Pontile</t>
        </is>
      </c>
      <c r="G163" s="109" t="inlineStr">
        <is>
          <t>PTF6 : smontaggio livello LD103A barilotto slop per pulizia tubo di calma (a cura meccanici) e successivo montaggio</t>
        </is>
      </c>
      <c r="H163" s="111" t="n"/>
      <c r="I163" s="111" t="n"/>
      <c r="J163" s="111" t="n"/>
      <c r="K163" s="111" t="n"/>
      <c r="L163" s="111" t="n"/>
      <c r="M163" s="109" t="inlineStr">
        <is>
          <t>EMESSO</t>
        </is>
      </c>
      <c r="N163" s="109" t="n"/>
      <c r="O163" s="109" t="n"/>
      <c r="P163" s="109" t="n"/>
      <c r="Q163" s="109" t="inlineStr">
        <is>
          <t>SMONTATO EPROVATO IN CANTIERE STRUMENTO DI LIVELLO, TEST OK. RIMONTATO IN CAMPO, ESERCIZIO STA FACENDO LE PROVE</t>
        </is>
      </c>
      <c r="R163" s="110" t="n">
        <v>45888</v>
      </c>
      <c r="S163" s="110" t="inlineStr">
        <is>
          <t>RICIPUTO</t>
        </is>
      </c>
      <c r="T16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2" t="n"/>
      <c r="V163" t="inlineStr">
        <is>
          <t>2025-09-30 20:00:00</t>
        </is>
      </c>
    </row>
    <row r="164" ht="30" customFormat="1" customHeight="1" s="45">
      <c r="A164" s="112" t="n"/>
      <c r="B164" s="112" t="n"/>
      <c r="C164" s="112">
        <f>IF(OR(TabellaBLENDING[[#This Row],[LUN]]="X",TabellaBLENDING[[#This Row],[MAR]]="X",TabellaBLENDING[[#This Row],[MER]]="X",TabellaBLENDING[[#This Row],[GIO]]="X",TabellaBLENDING[[#This Row],[VEN]]="X",),"X","")</f>
        <v/>
      </c>
      <c r="D164" s="109" t="inlineStr">
        <is>
          <t>BLENDING</t>
        </is>
      </c>
      <c r="E164" s="109" t="inlineStr">
        <is>
          <t>547630/C</t>
        </is>
      </c>
      <c r="F164" s="109" t="inlineStr">
        <is>
          <t>Pontile</t>
        </is>
      </c>
      <c r="G164" s="109" t="inlineStr">
        <is>
          <t>PTF1 - VRU : Controllo funzionalita' e allineamento con Sala Controllo di tutta la strumentazione FT - TT - PIC - PT - XV</t>
        </is>
      </c>
      <c r="H164" s="111" t="n"/>
      <c r="I164" s="111" t="n"/>
      <c r="J164" s="111" t="n"/>
      <c r="K164" s="111" t="n"/>
      <c r="L164" s="111" t="n"/>
      <c r="M164" s="109" t="inlineStr">
        <is>
          <t>EMESSO</t>
        </is>
      </c>
      <c r="N164" s="109" t="n"/>
      <c r="O164" s="109" t="n"/>
      <c r="P164" s="109" t="n"/>
      <c r="Q164" s="109" t="n"/>
      <c r="R164" s="110" t="n"/>
      <c r="S164" s="110" t="n"/>
      <c r="T16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2" t="n"/>
      <c r="V164" t="inlineStr">
        <is>
          <t>2025-09-30 20:00:00</t>
        </is>
      </c>
    </row>
    <row r="165" ht="23.25" customFormat="1" customHeight="1" s="45">
      <c r="A165" s="112" t="n"/>
      <c r="B165" s="112" t="n"/>
      <c r="C165" s="112">
        <f>IF(OR(TabellaBLENDING[[#This Row],[LUN]]="X",TabellaBLENDING[[#This Row],[MAR]]="X",TabellaBLENDING[[#This Row],[MER]]="X",TabellaBLENDING[[#This Row],[GIO]]="X",TabellaBLENDING[[#This Row],[VEN]]="X",),"X","")</f>
        <v/>
      </c>
      <c r="D165" s="109" t="inlineStr">
        <is>
          <t>BLENDING</t>
        </is>
      </c>
      <c r="E165" s="109" t="inlineStr">
        <is>
          <t>318061/S</t>
        </is>
      </c>
      <c r="F165" s="109" t="inlineStr">
        <is>
          <t>Pontile</t>
        </is>
      </c>
      <c r="G165" s="109" t="inlineStr">
        <is>
          <t>ingrassaggio e movimentazione valvola XV01-1 in PTF 1</t>
        </is>
      </c>
      <c r="H165" s="111" t="n"/>
      <c r="I165" s="111" t="n"/>
      <c r="J165" s="111" t="n"/>
      <c r="K165" s="111" t="n"/>
      <c r="L165" s="111" t="n"/>
      <c r="M165" s="109" t="inlineStr">
        <is>
          <t>EMESSO</t>
        </is>
      </c>
      <c r="N165" s="109" t="n"/>
      <c r="O165" s="109" t="n"/>
      <c r="P165" s="109" t="n"/>
      <c r="Q165" s="109" t="n"/>
      <c r="R165" s="110" t="n"/>
      <c r="S165" s="110" t="n"/>
      <c r="T16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2" t="n"/>
      <c r="V165" t="inlineStr">
        <is>
          <t>2025-09-30 20:00:00</t>
        </is>
      </c>
    </row>
    <row r="166" ht="30" customFormat="1" customHeight="1" s="45">
      <c r="A166" s="112" t="n"/>
      <c r="B166" s="112" t="n"/>
      <c r="C166" s="112">
        <f>IF(OR(TabellaBLENDING[[#This Row],[LUN]]="X",TabellaBLENDING[[#This Row],[MAR]]="X",TabellaBLENDING[[#This Row],[MER]]="X",TabellaBLENDING[[#This Row],[GIO]]="X",TabellaBLENDING[[#This Row],[VEN]]="X",),"X","")</f>
        <v/>
      </c>
      <c r="D166" s="109" t="inlineStr">
        <is>
          <t>BLENDING</t>
        </is>
      </c>
      <c r="E166" s="109" t="inlineStr">
        <is>
          <t>318075/S</t>
        </is>
      </c>
      <c r="F166" s="109" t="inlineStr">
        <is>
          <t>Blend</t>
        </is>
      </c>
      <c r="G166" s="109" t="inlineStr">
        <is>
          <t xml:space="preserve">Ripristino guasto (cavi di segnale interrotti) bilancia elettronica in Sala Additivi Blending 
</t>
        </is>
      </c>
      <c r="H166" s="111" t="n"/>
      <c r="I166" s="111" t="n"/>
      <c r="J166" s="111" t="n"/>
      <c r="K166" s="111" t="n"/>
      <c r="L166" s="111" t="n"/>
      <c r="M166" s="109" t="inlineStr">
        <is>
          <t>EMESSO</t>
        </is>
      </c>
      <c r="N166" s="109" t="n"/>
      <c r="O166" s="109" t="n"/>
      <c r="P166" s="109" t="n"/>
      <c r="Q166" s="109" t="n"/>
      <c r="R166" s="110" t="n"/>
      <c r="S166" s="110" t="n"/>
      <c r="T16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2" t="n"/>
      <c r="V166" t="inlineStr">
        <is>
          <t>2025-09-30 20:00:00</t>
        </is>
      </c>
    </row>
    <row r="167" ht="30" customFormat="1" customHeight="1" s="45">
      <c r="A167" s="112" t="n"/>
      <c r="B167" s="112">
        <f>IF(OR(A167="x",A167="X"),"",IF(ISBLANK(A167),"X",""))</f>
        <v/>
      </c>
      <c r="C167" s="112">
        <f>IF(OR(TabellaBLENDING[[#This Row],[LUN]]="X",TabellaBLENDING[[#This Row],[MAR]]="X",TabellaBLENDING[[#This Row],[MER]]="X",TabellaBLENDING[[#This Row],[GIO]]="X",TabellaBLENDING[[#This Row],[VEN]]="X",),"X","")</f>
        <v/>
      </c>
      <c r="D167" s="109" t="inlineStr">
        <is>
          <t>BLENDING</t>
        </is>
      </c>
      <c r="E167" s="109" t="inlineStr">
        <is>
          <t>539448/C</t>
        </is>
      </c>
      <c r="F167" s="109" t="inlineStr">
        <is>
          <t>BLENDING</t>
        </is>
      </c>
      <c r="G167" s="109" t="inlineStr">
        <is>
          <t>Verifica funzionalità livellostato L621HA</t>
        </is>
      </c>
      <c r="H167" s="111" t="n"/>
      <c r="I167" s="111" t="n"/>
      <c r="J167" s="111" t="n"/>
      <c r="K167" s="111" t="n"/>
      <c r="L167" s="111" t="n"/>
      <c r="M167" s="109" t="inlineStr">
        <is>
          <t>EMESSO</t>
        </is>
      </c>
      <c r="N167" s="109" t="n"/>
      <c r="O167" s="109" t="n"/>
      <c r="P167" s="109" t="n"/>
      <c r="Q167" s="109" t="n"/>
      <c r="R167" s="110" t="n">
        <v>45894</v>
      </c>
      <c r="S167" s="110" t="inlineStr">
        <is>
          <t>RICIPUTO</t>
        </is>
      </c>
      <c r="T16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8">
        <f>IFERROR(MID(G167,_xlfn.AGGREGATE(15,6,(ROW(INDIRECT("1:"&amp;LEN(G167)-7)))/(ISNUMBER(--MID(G167,ROW(INDIRECT("1:"&amp;LEN(G167)-7)),8))),1),8),"")</f>
        <v/>
      </c>
      <c r="V167" t="inlineStr">
        <is>
          <t>2025-09-30 20:00:00</t>
        </is>
      </c>
    </row>
    <row r="168" ht="30" customFormat="1" customHeight="1" s="45">
      <c r="A168" s="112" t="n"/>
      <c r="B168" s="112">
        <f>IF(OR(A168="x",A168="X"),"",IF(ISBLANK(A168),"X",""))</f>
        <v/>
      </c>
      <c r="C168" s="112">
        <f>IF(OR(TabellaBLENDING[[#This Row],[LUN]]="X",TabellaBLENDING[[#This Row],[MAR]]="X",TabellaBLENDING[[#This Row],[MER]]="X",TabellaBLENDING[[#This Row],[GIO]]="X",TabellaBLENDING[[#This Row],[VEN]]="X",),"X","")</f>
        <v/>
      </c>
      <c r="D168" s="109" t="inlineStr">
        <is>
          <t>BLENDING</t>
        </is>
      </c>
      <c r="E168" s="109" t="inlineStr">
        <is>
          <t>539444/C</t>
        </is>
      </c>
      <c r="F168" s="109" t="inlineStr">
        <is>
          <t>BLENDING</t>
        </is>
      </c>
      <c r="G168" s="109" t="inlineStr">
        <is>
          <t>Verifica funzionalità livellostato L619HA</t>
        </is>
      </c>
      <c r="H168" s="111" t="n"/>
      <c r="I168" s="111" t="n"/>
      <c r="J168" s="111" t="n"/>
      <c r="K168" s="111" t="n"/>
      <c r="L168" s="111" t="n"/>
      <c r="M168" s="109" t="inlineStr">
        <is>
          <t>EMESSO</t>
        </is>
      </c>
      <c r="N168" s="109" t="n"/>
      <c r="O168" s="109" t="n"/>
      <c r="P168" s="109" t="n"/>
      <c r="Q168" s="109" t="n"/>
      <c r="R168" s="110" t="n"/>
      <c r="S168" s="110" t="n"/>
      <c r="T16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8">
        <f>IFERROR(MID(G168,_xlfn.AGGREGATE(15,6,(ROW(INDIRECT("1:"&amp;LEN(G168)-7)))/(ISNUMBER(--MID(G168,ROW(INDIRECT("1:"&amp;LEN(G168)-7)),8))),1),8),"")</f>
        <v/>
      </c>
      <c r="V168" t="inlineStr">
        <is>
          <t>2025-09-30 20:00:00</t>
        </is>
      </c>
    </row>
    <row r="169" ht="30" customFormat="1" customHeight="1" s="45">
      <c r="A169" s="112" t="n"/>
      <c r="B169" s="112">
        <f>IF(OR(A169="x",A169="X"),"",IF(ISBLANK(A169),"X",""))</f>
        <v/>
      </c>
      <c r="C169" s="112">
        <f>IF(OR(TabellaBLENDING[[#This Row],[LUN]]="X",TabellaBLENDING[[#This Row],[MAR]]="X",TabellaBLENDING[[#This Row],[MER]]="X",TabellaBLENDING[[#This Row],[GIO]]="X",TabellaBLENDING[[#This Row],[VEN]]="X",),"X","")</f>
        <v/>
      </c>
      <c r="D169" s="109" t="inlineStr">
        <is>
          <t>BLENDING</t>
        </is>
      </c>
      <c r="E169" s="109" t="inlineStr">
        <is>
          <t>539438/C</t>
        </is>
      </c>
      <c r="F169" s="109" t="inlineStr">
        <is>
          <t>BLENDING</t>
        </is>
      </c>
      <c r="G169" s="109" t="inlineStr">
        <is>
          <t>Verifica funzionalità livellostato L614HA</t>
        </is>
      </c>
      <c r="H169" s="111" t="n"/>
      <c r="I169" s="111" t="n"/>
      <c r="J169" s="111" t="n"/>
      <c r="K169" s="111" t="n"/>
      <c r="L169" s="111" t="n"/>
      <c r="M169" s="109" t="inlineStr">
        <is>
          <t>EMESSO</t>
        </is>
      </c>
      <c r="N169" s="109" t="n"/>
      <c r="O169" s="109" t="n"/>
      <c r="P169" s="109" t="n"/>
      <c r="Q169" s="109" t="n"/>
      <c r="R169" s="110" t="n"/>
      <c r="S169" s="110" t="n"/>
      <c r="T16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8">
        <f>IFERROR(MID(G169,_xlfn.AGGREGATE(15,6,(ROW(INDIRECT("1:"&amp;LEN(G169)-7)))/(ISNUMBER(--MID(G169,ROW(INDIRECT("1:"&amp;LEN(G169)-7)),8))),1),8),"")</f>
        <v/>
      </c>
      <c r="V169" t="inlineStr">
        <is>
          <t>2025-09-30 20:00:00</t>
        </is>
      </c>
    </row>
    <row r="170" ht="23.25" customFormat="1" customHeight="1" s="45">
      <c r="A170" s="112" t="n"/>
      <c r="B170" s="112" t="n"/>
      <c r="C170" s="112">
        <f>IF(OR(TabellaBLENDING[[#This Row],[LUN]]="X",TabellaBLENDING[[#This Row],[MAR]]="X",TabellaBLENDING[[#This Row],[MER]]="X",TabellaBLENDING[[#This Row],[GIO]]="X",TabellaBLENDING[[#This Row],[VEN]]="X",),"X","")</f>
        <v/>
      </c>
      <c r="D170" s="109" t="inlineStr">
        <is>
          <t>BLENDING</t>
        </is>
      </c>
      <c r="E170" s="109" t="inlineStr">
        <is>
          <t>550514/C</t>
        </is>
      </c>
      <c r="F170" s="109" t="inlineStr">
        <is>
          <t>Blend</t>
        </is>
      </c>
      <c r="G170" s="109" t="inlineStr">
        <is>
          <t>Verifica taratura TX di livello Krohne S610 - S622</t>
        </is>
      </c>
      <c r="H170" s="111" t="n"/>
      <c r="I170" s="111" t="n"/>
      <c r="J170" s="111" t="n"/>
      <c r="K170" s="111" t="n"/>
      <c r="L170" s="111" t="n"/>
      <c r="M170" s="109" t="inlineStr">
        <is>
          <t>EMESSO</t>
        </is>
      </c>
      <c r="N170" s="109" t="n"/>
      <c r="O170" s="109" t="n"/>
      <c r="P170" s="109" t="n"/>
      <c r="Q170" s="109" t="n"/>
      <c r="R170" s="110" t="n"/>
      <c r="S170" s="110" t="n"/>
      <c r="T17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2" t="n"/>
      <c r="V170" t="inlineStr">
        <is>
          <t>2025-09-30 20:00:00</t>
        </is>
      </c>
    </row>
    <row r="171" ht="30" customFormat="1" customHeight="1" s="45">
      <c r="A171" s="112" t="n"/>
      <c r="B171" s="112" t="n"/>
      <c r="C171" s="112">
        <f>IF(OR(TabellaBLENDING[[#This Row],[LUN]]="X",TabellaBLENDING[[#This Row],[MAR]]="X",TabellaBLENDING[[#This Row],[MER]]="X",TabellaBLENDING[[#This Row],[GIO]]="X",TabellaBLENDING[[#This Row],[VEN]]="X",),"X","")</f>
        <v/>
      </c>
      <c r="D171" s="109" t="inlineStr">
        <is>
          <t>BLENDING</t>
        </is>
      </c>
      <c r="E171" s="109" t="inlineStr">
        <is>
          <t>550843/C</t>
        </is>
      </c>
      <c r="F171" s="109" t="n">
        <v>1300</v>
      </c>
      <c r="G171" s="109" t="inlineStr">
        <is>
          <t>Smontaggio revisione e rimontaggio valvola di blocco XV106B braccio zolfo liquido lato mare</t>
        </is>
      </c>
      <c r="H171" s="111" t="n"/>
      <c r="I171" s="111" t="n"/>
      <c r="J171" s="111" t="n"/>
      <c r="K171" s="111" t="n"/>
      <c r="L171" s="111" t="n"/>
      <c r="M171" s="109" t="inlineStr">
        <is>
          <t>EMESSO</t>
        </is>
      </c>
      <c r="N171" s="109" t="n"/>
      <c r="O171" s="109" t="n"/>
      <c r="P171" s="109" t="n"/>
      <c r="Q171" s="109" t="n"/>
      <c r="R171" s="110" t="n"/>
      <c r="S171" s="110" t="n"/>
      <c r="T17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2" t="n"/>
      <c r="V171" t="inlineStr">
        <is>
          <t>2025-09-30 20:00:00</t>
        </is>
      </c>
    </row>
    <row r="172" ht="30" customFormat="1" customHeight="1" s="45">
      <c r="A172" s="112" t="n"/>
      <c r="B172" s="112" t="n"/>
      <c r="C172" s="112">
        <f>IF(OR(TabellaBLENDING[[#This Row],[LUN]]="X",TabellaBLENDING[[#This Row],[MAR]]="X",TabellaBLENDING[[#This Row],[MER]]="X",TabellaBLENDING[[#This Row],[GIO]]="X",TabellaBLENDING[[#This Row],[VEN]]="X",),"X","")</f>
        <v/>
      </c>
      <c r="D172" s="109" t="inlineStr">
        <is>
          <t>BLENDING</t>
        </is>
      </c>
      <c r="E172" s="109" t="inlineStr">
        <is>
          <t>549964/C</t>
        </is>
      </c>
      <c r="F172" s="109" t="n">
        <v>1300</v>
      </c>
      <c r="G172" s="109" t="inlineStr">
        <is>
          <t>Ricerca guasto e ripristino funzionalita' valvola di blocco braccio di carico lato monte BR301 + verifica funzionalita' E.V. aria strumenti</t>
        </is>
      </c>
      <c r="H172" s="111" t="n"/>
      <c r="I172" s="111" t="n"/>
      <c r="J172" s="111" t="n"/>
      <c r="K172" s="111" t="n"/>
      <c r="L172" s="111" t="n"/>
      <c r="M172" s="109" t="inlineStr">
        <is>
          <t>EMESSO</t>
        </is>
      </c>
      <c r="N172" s="109" t="n"/>
      <c r="O172" s="109" t="n"/>
      <c r="P172" s="109" t="n"/>
      <c r="Q172" s="109" t="n"/>
      <c r="R172" s="110" t="n"/>
      <c r="S172" s="110" t="n"/>
      <c r="T17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2" t="n"/>
      <c r="V172" t="inlineStr">
        <is>
          <t>2025-09-30 20:00:00</t>
        </is>
      </c>
    </row>
    <row r="173" ht="23.25" customFormat="1" customHeight="1" s="45">
      <c r="A173" s="112" t="n"/>
      <c r="B173" s="112" t="n"/>
      <c r="C173" s="112">
        <f>IF(OR(TabellaBLENDING[[#This Row],[LUN]]="X",TabellaBLENDING[[#This Row],[MAR]]="X",TabellaBLENDING[[#This Row],[MER]]="X",TabellaBLENDING[[#This Row],[GIO]]="X",TabellaBLENDING[[#This Row],[VEN]]="X",),"X","")</f>
        <v/>
      </c>
      <c r="D173" s="109" t="inlineStr">
        <is>
          <t>BLENDING</t>
        </is>
      </c>
      <c r="E173" s="109" t="inlineStr">
        <is>
          <t>551827/C</t>
        </is>
      </c>
      <c r="F173" s="109" t="n">
        <v>6200</v>
      </c>
      <c r="G173" s="109" t="inlineStr">
        <is>
          <t>BASSO LIV.GRUPPO ELETTROGENO SP5  (L200_LA)</t>
        </is>
      </c>
      <c r="H173" s="111" t="n"/>
      <c r="I173" s="111" t="n"/>
      <c r="J173" s="111" t="n"/>
      <c r="K173" s="111" t="n"/>
      <c r="L173" s="111" t="n"/>
      <c r="M173" s="109" t="inlineStr">
        <is>
          <t>EMESSO</t>
        </is>
      </c>
      <c r="N173" s="109" t="n"/>
      <c r="O173" s="109" t="n"/>
      <c r="P173" s="109" t="n"/>
      <c r="Q173" s="109" t="n"/>
      <c r="R173" s="110" t="n"/>
      <c r="S173" s="110" t="n"/>
      <c r="T17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2" t="n"/>
      <c r="V173" t="inlineStr">
        <is>
          <t>2025-09-30 20:00:00</t>
        </is>
      </c>
    </row>
    <row r="174" ht="45" customFormat="1" customHeight="1" s="45">
      <c r="A174" s="112" t="n"/>
      <c r="B174" s="112" t="n"/>
      <c r="C174" s="112">
        <f>IF(OR(TabellaBLENDING[[#This Row],[LUN]]="X",TabellaBLENDING[[#This Row],[MAR]]="X",TabellaBLENDING[[#This Row],[MER]]="X",TabellaBLENDING[[#This Row],[GIO]]="X",TabellaBLENDING[[#This Row],[VEN]]="X",),"X","")</f>
        <v/>
      </c>
      <c r="D174" s="109" t="inlineStr">
        <is>
          <t>BLENDING</t>
        </is>
      </c>
      <c r="E174" s="109" t="inlineStr">
        <is>
          <t>318731/S</t>
        </is>
      </c>
      <c r="F174" s="109" t="n">
        <v>6500</v>
      </c>
      <c r="G174" s="109" t="inlineStr">
        <is>
          <t>Controllo funzionalità pressostati differenziali (Filtri Pompe)</t>
        </is>
      </c>
      <c r="H174" s="111" t="n"/>
      <c r="I174" s="111" t="n"/>
      <c r="J174" s="111" t="n"/>
      <c r="K174" s="111" t="n"/>
      <c r="L174" s="111" t="n"/>
      <c r="M174" s="109" t="inlineStr">
        <is>
          <t>EMESSO</t>
        </is>
      </c>
      <c r="N174" s="109" t="n"/>
      <c r="O174" s="109" t="n"/>
      <c r="P174" s="109" t="n"/>
      <c r="Q174" s="109" t="inlineStr">
        <is>
          <t>TAG 1 TX PRESSIONE DIFFERENZIALE OK TAG 2 TX PRESSIONE DIFFERENZIALE OK TAG 3 PRESSOSTATO DIFFERENZIALE TARATURA OK,ALLARME NON ARRIVA IN SALA CONTROLLO.</t>
        </is>
      </c>
      <c r="R174" s="110" t="n">
        <v>45924</v>
      </c>
      <c r="S174" s="110" t="inlineStr">
        <is>
          <t>SPINALI</t>
        </is>
      </c>
      <c r="T17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2" t="n"/>
      <c r="V174" t="inlineStr">
        <is>
          <t>2025-09-30 20:00:00</t>
        </is>
      </c>
    </row>
    <row r="175" ht="90" customFormat="1" customHeight="1" s="45">
      <c r="A175" s="112" t="n"/>
      <c r="B175" s="112" t="n"/>
      <c r="C175" s="112">
        <f>IF(OR(TabellaBLENDING[[#This Row],[LUN]]="X",TabellaBLENDING[[#This Row],[MAR]]="X",TabellaBLENDING[[#This Row],[MER]]="X",TabellaBLENDING[[#This Row],[GIO]]="X",TabellaBLENDING[[#This Row],[VEN]]="X",),"X","")</f>
        <v/>
      </c>
      <c r="D175" s="109" t="inlineStr">
        <is>
          <t>BLENDING</t>
        </is>
      </c>
      <c r="E175" s="109" t="inlineStr">
        <is>
          <t>551710/C</t>
        </is>
      </c>
      <c r="F175" s="109" t="n">
        <v>6200</v>
      </c>
      <c r="G175" s="109" t="inlineStr">
        <is>
          <t>SP5 Oleodotto 20" Neri : ripristino funzionalit TI100</t>
        </is>
      </c>
      <c r="H175" s="111" t="n"/>
      <c r="I175" s="111" t="n"/>
      <c r="J175" s="111" t="n"/>
      <c r="K175" s="111" t="n"/>
      <c r="L175" s="111" t="n"/>
      <c r="M175" s="109" t="inlineStr">
        <is>
          <t>EMESSO</t>
        </is>
      </c>
      <c r="N175" s="109" t="n"/>
      <c r="O175" s="109" t="n"/>
      <c r="P175" s="109" t="n"/>
      <c r="Q175" s="109" t="inlineStr">
        <is>
          <t>RICERCA GUASTO SU ALIMENTAZIONE E SOSTITUZIONE TX
HTTPS://MYASSETS.EMERSON.COM/IT-IT/DEVICES/DETAILS/GAAAAABO0_DIAL12JOYMWEONQCAUXHR6ZFKAWRWUOMZ3MSAXWPU21HHL31-J_LCMK59XA22R540RBU_B9TUXJGTVZE2SO6VYQG==/?Q=%2F01%2F0195074000640%2F21%2F23CLTD0002976%2F240%2F7DLYYBNLR</t>
        </is>
      </c>
      <c r="R175" s="110" t="n">
        <v>45924</v>
      </c>
      <c r="S175" s="110" t="inlineStr">
        <is>
          <t>RICIPUTO</t>
        </is>
      </c>
      <c r="T17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2" t="n"/>
      <c r="V175" t="inlineStr">
        <is>
          <t>2025-09-30 20:00:00</t>
        </is>
      </c>
    </row>
    <row r="176" ht="23.25" customFormat="1" customHeight="1" s="45">
      <c r="A176" s="112" t="n"/>
      <c r="B176" s="112" t="n"/>
      <c r="C176" s="112">
        <f>IF(OR(TabellaBLENDING[[#This Row],[LUN]]="X",TabellaBLENDING[[#This Row],[MAR]]="X",TabellaBLENDING[[#This Row],[MER]]="X",TabellaBLENDING[[#This Row],[GIO]]="X",TabellaBLENDING[[#This Row],[VEN]]="X",),"X","")</f>
        <v/>
      </c>
      <c r="D176" s="109" t="inlineStr">
        <is>
          <t>BLENDING</t>
        </is>
      </c>
      <c r="E176" s="109" t="inlineStr">
        <is>
          <t>552481/C</t>
        </is>
      </c>
      <c r="F176" s="109" t="n">
        <v>6400</v>
      </c>
      <c r="G176" s="109" t="inlineStr">
        <is>
          <t>VERIFICA ANOMALIA TENUTA MP618B (X618B_A )</t>
        </is>
      </c>
      <c r="H176" s="111" t="n"/>
      <c r="I176" s="111" t="inlineStr">
        <is>
          <t>X</t>
        </is>
      </c>
      <c r="J176" s="111" t="n"/>
      <c r="K176" s="111" t="n"/>
      <c r="L176" s="111" t="n"/>
      <c r="M176" s="109" t="inlineStr">
        <is>
          <t>EMESSO</t>
        </is>
      </c>
      <c r="N176" s="109" t="n"/>
      <c r="O176" s="109" t="n"/>
      <c r="P176" s="109" t="n"/>
      <c r="Q176" s="109" t="n"/>
      <c r="R176" s="110" t="n"/>
      <c r="S176" s="110" t="n"/>
      <c r="T17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52" t="n"/>
      <c r="V176" t="inlineStr">
        <is>
          <t>2025-09-30 20:00:00</t>
        </is>
      </c>
    </row>
    <row r="177" ht="23.25" customFormat="1" customHeight="1" s="45">
      <c r="A177" s="112" t="n"/>
      <c r="B177" s="112" t="n"/>
      <c r="C177" s="112">
        <f>IF(OR(TabellaBLENDING[[#This Row],[LUN]]="X",TabellaBLENDING[[#This Row],[MAR]]="X",TabellaBLENDING[[#This Row],[MER]]="X",TabellaBLENDING[[#This Row],[GIO]]="X",TabellaBLENDING[[#This Row],[VEN]]="X",),"X","")</f>
        <v/>
      </c>
      <c r="D177" s="109" t="inlineStr">
        <is>
          <t>BLENDING</t>
        </is>
      </c>
      <c r="E177" s="109" t="inlineStr">
        <is>
          <t>318732/S</t>
        </is>
      </c>
      <c r="F177" s="109" t="n">
        <v>6500</v>
      </c>
      <c r="G177" s="109" t="inlineStr">
        <is>
          <t>Controllo funzionalità pressostati differenziali (Filtri Pompe)</t>
        </is>
      </c>
      <c r="H177" s="111" t="n"/>
      <c r="I177" s="111" t="n"/>
      <c r="J177" s="111" t="n"/>
      <c r="K177" s="111" t="n"/>
      <c r="L177" s="111" t="n"/>
      <c r="M177" s="109" t="inlineStr">
        <is>
          <t>EMESSO</t>
        </is>
      </c>
      <c r="N177" s="109" t="n"/>
      <c r="O177" s="109" t="n"/>
      <c r="P177" s="109" t="n"/>
      <c r="Q177" s="109" t="n"/>
      <c r="R177" s="110" t="n"/>
      <c r="S177" s="110" t="n"/>
      <c r="T17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152" t="n"/>
      <c r="V177" t="inlineStr">
        <is>
          <t>2025-09-30 20:00:00</t>
        </is>
      </c>
    </row>
    <row r="178" ht="23.25" customFormat="1" customHeight="1" s="45">
      <c r="A178" s="112" t="n"/>
      <c r="B178" s="112" t="n"/>
      <c r="C178" s="112">
        <f>IF(OR(TabellaBLENDING[[#This Row],[LUN]]="X",TabellaBLENDING[[#This Row],[MAR]]="X",TabellaBLENDING[[#This Row],[MER]]="X",TabellaBLENDING[[#This Row],[GIO]]="X",TabellaBLENDING[[#This Row],[VEN]]="X",),"X","")</f>
        <v/>
      </c>
      <c r="D178" s="109" t="inlineStr">
        <is>
          <t>BLENDING</t>
        </is>
      </c>
      <c r="E178" s="109" t="inlineStr">
        <is>
          <t>552934/C</t>
        </is>
      </c>
      <c r="F178" s="109" t="n">
        <v>6200</v>
      </c>
      <c r="G178" s="109" t="inlineStr">
        <is>
          <t xml:space="preserve">Controllo funzionalita' PRESSOSTATO P 302/A e ripristino staffaggio </t>
        </is>
      </c>
      <c r="H178" s="111" t="n"/>
      <c r="I178" s="111" t="inlineStr">
        <is>
          <t>X</t>
        </is>
      </c>
      <c r="J178" s="111" t="inlineStr">
        <is>
          <t>X</t>
        </is>
      </c>
      <c r="K178" s="111" t="n"/>
      <c r="L178" s="111" t="n"/>
      <c r="M178" s="109" t="inlineStr">
        <is>
          <t>EMESSO</t>
        </is>
      </c>
      <c r="N178" s="109" t="n"/>
      <c r="O178" s="109" t="n"/>
      <c r="P178" s="109" t="n"/>
      <c r="Q178" s="109" t="n"/>
      <c r="R178" s="110" t="n"/>
      <c r="S178" s="110" t="n"/>
      <c r="T17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8" s="152" t="n"/>
      <c r="V178" t="inlineStr">
        <is>
          <t>2025-09-30 20:00:00</t>
        </is>
      </c>
    </row>
    <row r="179" ht="30" customFormat="1" customHeight="1" s="45">
      <c r="A179" s="112" t="n"/>
      <c r="B179" s="112">
        <f>IF(OR(A179="x",A179="X"),"",IF(ISBLANK(A179),"X",""))</f>
        <v/>
      </c>
      <c r="C179" s="112">
        <f>IF(OR(TabellaBLENDING[[#This Row],[LUN]]="X",TabellaBLENDING[[#This Row],[MAR]]="X",TabellaBLENDING[[#This Row],[MER]]="X",TabellaBLENDING[[#This Row],[GIO]]="X",TabellaBLENDING[[#This Row],[VEN]]="X",),"X","")</f>
        <v/>
      </c>
      <c r="D179" s="109" t="inlineStr">
        <is>
          <t>BLENDING</t>
        </is>
      </c>
      <c r="E179" s="109" t="inlineStr">
        <is>
          <t>526992/C</t>
        </is>
      </c>
      <c r="F179" s="109" t="inlineStr">
        <is>
          <t>PONTILE</t>
        </is>
      </c>
      <c r="G179" s="109" t="inlineStr">
        <is>
          <t>PONTILE - Controllo e ripristino funzionalita' valvola regolatrice  (attualmente bloccata chiusa)</t>
        </is>
      </c>
      <c r="H179" s="111" t="n"/>
      <c r="I179" s="111" t="n"/>
      <c r="J179" s="111" t="n"/>
      <c r="K179" s="111" t="n"/>
      <c r="L179" s="111" t="n"/>
      <c r="M179" s="109" t="inlineStr">
        <is>
          <t>INTERROTTO</t>
        </is>
      </c>
      <c r="N179" s="109" t="n"/>
      <c r="O179" s="109" t="n"/>
      <c r="P179" s="109" t="n"/>
      <c r="Q179" s="109" t="inlineStr">
        <is>
          <t>VALVOLA DA REVISIONARE</t>
        </is>
      </c>
      <c r="R179" s="110" t="n">
        <v>45712</v>
      </c>
      <c r="S179" s="110" t="inlineStr">
        <is>
          <t>GARRO L.</t>
        </is>
      </c>
      <c r="T17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41">
        <f>IFERROR(MID(G179,_xlfn.AGGREGATE(15,6,(ROW(INDIRECT("1:"&amp;LEN(G179)-7)))/(ISNUMBER(--MID(G179,ROW(INDIRECT("1:"&amp;LEN(G179)-7)),8))),1),8),"")</f>
        <v/>
      </c>
      <c r="V179" t="inlineStr">
        <is>
          <t>2025-09-30 20:00:00</t>
        </is>
      </c>
    </row>
    <row r="180" ht="30" customFormat="1" customHeight="1" s="45">
      <c r="A180" s="112" t="n"/>
      <c r="B180" s="112">
        <f>IF(OR(A180="x",A180="X"),"",IF(ISBLANK(A180),"X",""))</f>
        <v/>
      </c>
      <c r="C180" s="112">
        <f>IF(OR(TabellaBLENDING[[#This Row],[LUN]]="X",TabellaBLENDING[[#This Row],[MAR]]="X",TabellaBLENDING[[#This Row],[MER]]="X",TabellaBLENDING[[#This Row],[GIO]]="X",TabellaBLENDING[[#This Row],[VEN]]="X",),"X","")</f>
        <v/>
      </c>
      <c r="D180" s="109" t="inlineStr">
        <is>
          <t>BLENDING</t>
        </is>
      </c>
      <c r="E180" s="109" t="inlineStr">
        <is>
          <t>310296/S</t>
        </is>
      </c>
      <c r="F180" s="109" t="inlineStr">
        <is>
          <t>BLENDING</t>
        </is>
      </c>
      <c r="G180" s="109" t="inlineStr">
        <is>
          <t>BLENDING - Controllo taratura e ripristino funzionalità FR-170</t>
        </is>
      </c>
      <c r="H180" s="111" t="n"/>
      <c r="I180" s="111" t="n"/>
      <c r="J180" s="111" t="n"/>
      <c r="K180" s="111" t="n"/>
      <c r="L180" s="111" t="n"/>
      <c r="M180" s="109" t="inlineStr">
        <is>
          <t>INTERROTTO</t>
        </is>
      </c>
      <c r="N180" s="109" t="n"/>
      <c r="O180" s="109" t="n"/>
      <c r="P180" s="109" t="n"/>
      <c r="Q180" s="109" t="inlineStr">
        <is>
          <t>NON SI TROVANO I LOOP.</t>
        </is>
      </c>
      <c r="R180" s="110" t="n">
        <v>45700</v>
      </c>
      <c r="S180" s="110" t="inlineStr">
        <is>
          <t>SPINALI/SERRA</t>
        </is>
      </c>
      <c r="T180"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41">
        <f>IFERROR(MID(G180,_xlfn.AGGREGATE(15,6,(ROW(INDIRECT("1:"&amp;LEN(G180)-7)))/(ISNUMBER(--MID(G180,ROW(INDIRECT("1:"&amp;LEN(G180)-7)),8))),1),8),"")</f>
        <v/>
      </c>
      <c r="V180" t="inlineStr">
        <is>
          <t>2025-09-30 20:00:00</t>
        </is>
      </c>
    </row>
    <row r="181" ht="23.25" customFormat="1" customHeight="1" s="45">
      <c r="A181" s="112" t="n"/>
      <c r="B181" s="112" t="n"/>
      <c r="C181" s="112">
        <f>IF(OR(TabellaBLENDING[[#This Row],[LUN]]="X",TabellaBLENDING[[#This Row],[MAR]]="X",TabellaBLENDING[[#This Row],[MER]]="X",TabellaBLENDING[[#This Row],[GIO]]="X",TabellaBLENDING[[#This Row],[VEN]]="X",),"X","")</f>
        <v/>
      </c>
      <c r="D181" s="109" t="inlineStr">
        <is>
          <t>BLENDING</t>
        </is>
      </c>
      <c r="E181" s="109" t="inlineStr">
        <is>
          <t>543006/C</t>
        </is>
      </c>
      <c r="F181" s="109" t="n">
        <v>6000</v>
      </c>
      <c r="G181" s="109" t="inlineStr">
        <is>
          <t>Controllo e ripristino livello D105 filtri sale</t>
        </is>
      </c>
      <c r="H181" s="111" t="n"/>
      <c r="I181" s="111" t="n"/>
      <c r="J181" s="111" t="n"/>
      <c r="K181" s="111" t="n"/>
      <c r="L181" s="111" t="n"/>
      <c r="M181" s="109" t="inlineStr">
        <is>
          <t>SCADUTO</t>
        </is>
      </c>
      <c r="N181" s="109" t="n"/>
      <c r="O181" s="109" t="n"/>
      <c r="P181" s="109" t="n"/>
      <c r="Q181" s="109" t="n"/>
      <c r="R181" s="110" t="n"/>
      <c r="S181" s="110" t="n"/>
      <c r="T18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38">
        <f>IFERROR(MID(G181,_xlfn.AGGREGATE(15,6,(ROW(INDIRECT("1:"&amp;LEN(G181)-7)))/(ISNUMBER(--MID(G181,ROW(INDIRECT("1:"&amp;LEN(G181)-7)),8))),1),8),"")</f>
        <v/>
      </c>
      <c r="V181" t="inlineStr">
        <is>
          <t>2025-09-30 20:00:00</t>
        </is>
      </c>
    </row>
    <row r="182" ht="23.25" customFormat="1" customHeight="1" s="45">
      <c r="A182" s="112" t="n"/>
      <c r="B182" s="112" t="n"/>
      <c r="C182" s="112">
        <f>IF(OR(TabellaBLENDING[[#This Row],[LUN]]="X",TabellaBLENDING[[#This Row],[MAR]]="X",TabellaBLENDING[[#This Row],[MER]]="X",TabellaBLENDING[[#This Row],[GIO]]="X",TabellaBLENDING[[#This Row],[VEN]]="X",),"X","")</f>
        <v/>
      </c>
      <c r="D182" s="109" t="inlineStr">
        <is>
          <t>BLENDING</t>
        </is>
      </c>
      <c r="E182" s="109" t="inlineStr">
        <is>
          <t>543010/C</t>
        </is>
      </c>
      <c r="F182" s="109" t="n">
        <v>6000</v>
      </c>
      <c r="G182" s="109" t="inlineStr">
        <is>
          <t>Ripristino L114SL livello D106 filtri sale</t>
        </is>
      </c>
      <c r="H182" s="111" t="n"/>
      <c r="I182" s="111" t="n"/>
      <c r="J182" s="111" t="n"/>
      <c r="K182" s="111" t="n"/>
      <c r="L182" s="111" t="n"/>
      <c r="M182" s="109" t="inlineStr">
        <is>
          <t>SCADUTO</t>
        </is>
      </c>
      <c r="N182" s="109" t="n"/>
      <c r="O182" s="109" t="n"/>
      <c r="P182" s="109" t="n"/>
      <c r="Q182" s="109" t="n"/>
      <c r="R182" s="110" t="n"/>
      <c r="S182" s="110" t="n"/>
      <c r="T18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38">
        <f>IFERROR(MID(G182,_xlfn.AGGREGATE(15,6,(ROW(INDIRECT("1:"&amp;LEN(G182)-7)))/(ISNUMBER(--MID(G182,ROW(INDIRECT("1:"&amp;LEN(G182)-7)),8))),1),8),"")</f>
        <v/>
      </c>
      <c r="V182" t="inlineStr">
        <is>
          <t>2025-09-30 20:00:00</t>
        </is>
      </c>
    </row>
  </sheetData>
  <mergeCells count="2">
    <mergeCell ref="A1:D1"/>
    <mergeCell ref="N2:P2"/>
  </mergeCells>
  <conditionalFormatting sqref="E115:G182 F111 M115:S182">
    <cfRule type="expression" priority="3019" dxfId="60">
      <formula>SEARCH("IN CORSO",$M111)&gt;0</formula>
    </cfRule>
    <cfRule type="expression" priority="3020" dxfId="59">
      <formula>SEARCH("CHIUSO",$M111)&gt;0</formula>
    </cfRule>
    <cfRule type="expression" priority="3021" dxfId="58">
      <formula>SEARCH("EMESSO",$M111)&gt;0</formula>
    </cfRule>
    <cfRule type="expression" priority="3022" dxfId="57">
      <formula>SEARCH("RICHIESTO",$M111)&gt;0</formula>
    </cfRule>
    <cfRule type="expression" priority="3023" dxfId="56">
      <formula>SEARCH("DA CHIUDERE",$M111)&gt;0</formula>
    </cfRule>
    <cfRule type="expression" priority="3024" dxfId="55">
      <formula>SEARCH("INTERROTTO",$M111)&gt;0</formula>
    </cfRule>
  </conditionalFormatting>
  <conditionalFormatting sqref="F112">
    <cfRule type="expression" priority="3031" dxfId="60">
      <formula>SEARCH("IN CORSO",$M112)&gt;0</formula>
    </cfRule>
    <cfRule type="expression" priority="3032" dxfId="59">
      <formula>SEARCH("CHIUSO",$M112)&gt;0</formula>
    </cfRule>
    <cfRule type="expression" priority="3033" dxfId="58">
      <formula>SEARCH("EMESSO",$M112)&gt;0</formula>
    </cfRule>
    <cfRule type="expression" priority="3034" dxfId="57">
      <formula>SEARCH("RICHIESTO",$M112)&gt;0</formula>
    </cfRule>
    <cfRule type="expression" priority="3035" dxfId="56">
      <formula>SEARCH("DA CHIUDERE",$M112)&gt;0</formula>
    </cfRule>
    <cfRule type="expression" priority="3036" dxfId="55">
      <formula>SEARCH("INTERROTTO",$M112)&gt;0</formula>
    </cfRule>
  </conditionalFormatting>
  <conditionalFormatting sqref="E113 G113 M113:S113">
    <cfRule type="expression" priority="3049" dxfId="60">
      <formula>SEARCH("IN CORSO",$M113)&gt;0</formula>
    </cfRule>
    <cfRule type="expression" priority="3050" dxfId="59">
      <formula>SEARCH("CHIUSO",$M113)&gt;0</formula>
    </cfRule>
    <cfRule type="expression" priority="3051" dxfId="58">
      <formula>SEARCH("EMESSO",$M113)&gt;0</formula>
    </cfRule>
    <cfRule type="expression" priority="3052" dxfId="57">
      <formula>SEARCH("RICHIESTO",$M113)&gt;0</formula>
    </cfRule>
    <cfRule type="expression" priority="3053" dxfId="56">
      <formula>SEARCH("DA CHIUDERE",$M113)&gt;0</formula>
    </cfRule>
    <cfRule type="expression" priority="3054" dxfId="55">
      <formula>SEARCH("INTERROTTO",$M113)&gt;0</formula>
    </cfRule>
  </conditionalFormatting>
  <conditionalFormatting sqref="F113">
    <cfRule type="expression" priority="3043" dxfId="60">
      <formula>SEARCH("IN CORSO",$M113)&gt;0</formula>
    </cfRule>
    <cfRule type="expression" priority="3044" dxfId="59">
      <formula>SEARCH("CHIUSO",$M113)&gt;0</formula>
    </cfRule>
    <cfRule type="expression" priority="3045" dxfId="58">
      <formula>SEARCH("EMESSO",$M113)&gt;0</formula>
    </cfRule>
    <cfRule type="expression" priority="3046" dxfId="57">
      <formula>SEARCH("RICHIESTO",$M113)&gt;0</formula>
    </cfRule>
    <cfRule type="expression" priority="3047" dxfId="56">
      <formula>SEARCH("DA CHIUDERE",$M113)&gt;0</formula>
    </cfRule>
    <cfRule type="expression" priority="3048" dxfId="55">
      <formula>SEARCH("INTERROTTO",$M113)&gt;0</formula>
    </cfRule>
  </conditionalFormatting>
  <conditionalFormatting sqref="M84:M97">
    <cfRule type="expression" priority="3061" dxfId="60">
      <formula>SEARCH("IN CORSO",$M84)&gt;0</formula>
    </cfRule>
    <cfRule type="expression" priority="3062" dxfId="59">
      <formula>SEARCH("CHIUSO",$M84)&gt;0</formula>
    </cfRule>
    <cfRule type="expression" priority="3063" dxfId="58">
      <formula>SEARCH("EMESSO",$M84)&gt;0</formula>
    </cfRule>
    <cfRule type="expression" priority="3064" dxfId="57">
      <formula>SEARCH("RICHIESTO",$M84)&gt;0</formula>
    </cfRule>
    <cfRule type="expression" priority="3065" dxfId="56">
      <formula>SEARCH("DA CHIUDERE",$M84)&gt;0</formula>
    </cfRule>
    <cfRule type="expression" priority="3066" dxfId="55">
      <formula>SEARCH("INTERROTTO",$M84)&gt;0</formula>
    </cfRule>
  </conditionalFormatting>
  <conditionalFormatting sqref="E112 G112 M112:S112">
    <cfRule type="expression" priority="3037" dxfId="60">
      <formula>SEARCH("IN CORSO",$M112)&gt;0</formula>
    </cfRule>
    <cfRule type="expression" priority="3038" dxfId="59">
      <formula>SEARCH("CHIUSO",$M112)&gt;0</formula>
    </cfRule>
    <cfRule type="expression" priority="3039" dxfId="58">
      <formula>SEARCH("EMESSO",$M112)&gt;0</formula>
    </cfRule>
    <cfRule type="expression" priority="3040" dxfId="57">
      <formula>SEARCH("RICHIESTO",$M112)&gt;0</formula>
    </cfRule>
    <cfRule type="expression" priority="3041" dxfId="56">
      <formula>SEARCH("DA CHIUDERE",$M112)&gt;0</formula>
    </cfRule>
    <cfRule type="expression" priority="3042" dxfId="55">
      <formula>SEARCH("INTERROTTO",$M112)&gt;0</formula>
    </cfRule>
  </conditionalFormatting>
  <conditionalFormatting sqref="E111 G111 M111:S111">
    <cfRule type="expression" priority="3025" dxfId="60">
      <formula>SEARCH("IN CORSO",$M111)&gt;0</formula>
    </cfRule>
    <cfRule type="expression" priority="3026" dxfId="59">
      <formula>SEARCH("CHIUSO",$M111)&gt;0</formula>
    </cfRule>
    <cfRule type="expression" priority="3027" dxfId="58">
      <formula>SEARCH("EMESSO",$M111)&gt;0</formula>
    </cfRule>
    <cfRule type="expression" priority="3028" dxfId="57">
      <formula>SEARCH("RICHIESTO",$M111)&gt;0</formula>
    </cfRule>
    <cfRule type="expression" priority="3029" dxfId="56">
      <formula>SEARCH("DA CHIUDERE",$M111)&gt;0</formula>
    </cfRule>
    <cfRule type="expression" priority="3030" dxfId="55">
      <formula>SEARCH("INTERROTTO",$M111)&gt;0</formula>
    </cfRule>
  </conditionalFormatting>
  <conditionalFormatting sqref="E107 G107 M107:S107">
    <cfRule type="expression" priority="2977" dxfId="60">
      <formula>SEARCH("IN CORSO",$M107)&gt;0</formula>
    </cfRule>
    <cfRule type="expression" priority="2978" dxfId="59">
      <formula>SEARCH("CHIUSO",$M107)&gt;0</formula>
    </cfRule>
    <cfRule type="expression" priority="2979" dxfId="58">
      <formula>SEARCH("EMESSO",$M107)&gt;0</formula>
    </cfRule>
    <cfRule type="expression" priority="2980" dxfId="57">
      <formula>SEARCH("RICHIESTO",$M107)&gt;0</formula>
    </cfRule>
    <cfRule type="expression" priority="2981" dxfId="56">
      <formula>SEARCH("DA CHIUDERE",$M107)&gt;0</formula>
    </cfRule>
    <cfRule type="expression" priority="2982" dxfId="55">
      <formula>SEARCH("INTERROTTO",$M107)&gt;0</formula>
    </cfRule>
  </conditionalFormatting>
  <conditionalFormatting sqref="N106:S106">
    <cfRule type="expression" priority="2965" dxfId="60">
      <formula>SEARCH("IN CORSO",$M106)&gt;0</formula>
    </cfRule>
    <cfRule type="expression" priority="2966" dxfId="59">
      <formula>SEARCH("CHIUSO",$M106)&gt;0</formula>
    </cfRule>
    <cfRule type="expression" priority="2967" dxfId="58">
      <formula>SEARCH("EMESSO",$M106)&gt;0</formula>
    </cfRule>
    <cfRule type="expression" priority="2968" dxfId="57">
      <formula>SEARCH("RICHIESTO",$M106)&gt;0</formula>
    </cfRule>
    <cfRule type="expression" priority="2969" dxfId="56">
      <formula>SEARCH("DA CHIUDERE",$M106)&gt;0</formula>
    </cfRule>
    <cfRule type="expression" priority="2970" dxfId="55">
      <formula>SEARCH("INTERROTTO",$M106)&gt;0</formula>
    </cfRule>
  </conditionalFormatting>
  <conditionalFormatting sqref="F108">
    <cfRule type="expression" priority="2983" dxfId="60">
      <formula>SEARCH("IN CORSO",$M108)&gt;0</formula>
    </cfRule>
    <cfRule type="expression" priority="2984" dxfId="59">
      <formula>SEARCH("CHIUSO",$M108)&gt;0</formula>
    </cfRule>
    <cfRule type="expression" priority="2985" dxfId="58">
      <formula>SEARCH("EMESSO",$M108)&gt;0</formula>
    </cfRule>
    <cfRule type="expression" priority="2986" dxfId="57">
      <formula>SEARCH("RICHIESTO",$M108)&gt;0</formula>
    </cfRule>
    <cfRule type="expression" priority="2987" dxfId="56">
      <formula>SEARCH("DA CHIUDERE",$M108)&gt;0</formula>
    </cfRule>
    <cfRule type="expression" priority="2988" dxfId="55">
      <formula>SEARCH("INTERROTTO",$M108)&gt;0</formula>
    </cfRule>
  </conditionalFormatting>
  <conditionalFormatting sqref="G105">
    <cfRule type="expression" priority="2935" dxfId="60">
      <formula>SEARCH("IN CORSO",$M105)&gt;0</formula>
    </cfRule>
    <cfRule type="expression" priority="2936" dxfId="59">
      <formula>SEARCH("CHIUSO",$M105)&gt;0</formula>
    </cfRule>
    <cfRule type="expression" priority="2937" dxfId="58">
      <formula>SEARCH("EMESSO",$M105)&gt;0</formula>
    </cfRule>
    <cfRule type="expression" priority="2938" dxfId="57">
      <formula>SEARCH("RICHIESTO",$M105)&gt;0</formula>
    </cfRule>
    <cfRule type="expression" priority="2939" dxfId="56">
      <formula>SEARCH("DA CHIUDERE",$M105)&gt;0</formula>
    </cfRule>
    <cfRule type="expression" priority="2940" dxfId="55">
      <formula>SEARCH("INTERROTTO",$M105)&gt;0</formula>
    </cfRule>
  </conditionalFormatting>
  <conditionalFormatting sqref="E106 G106 M106">
    <cfRule type="expression" priority="2959" dxfId="60">
      <formula>SEARCH("IN CORSO",$M106)&gt;0</formula>
    </cfRule>
    <cfRule type="expression" priority="2960" dxfId="59">
      <formula>SEARCH("CHIUSO",$M106)&gt;0</formula>
    </cfRule>
    <cfRule type="expression" priority="2961" dxfId="58">
      <formula>SEARCH("EMESSO",$M106)&gt;0</formula>
    </cfRule>
    <cfRule type="expression" priority="2962" dxfId="57">
      <formula>SEARCH("RICHIESTO",$M106)&gt;0</formula>
    </cfRule>
    <cfRule type="expression" priority="2963" dxfId="56">
      <formula>SEARCH("DA CHIUDERE",$M106)&gt;0</formula>
    </cfRule>
    <cfRule type="expression" priority="2964" dxfId="55">
      <formula>SEARCH("INTERROTTO",$M106)&gt;0</formula>
    </cfRule>
  </conditionalFormatting>
  <conditionalFormatting sqref="F106">
    <cfRule type="expression" priority="2953" dxfId="60">
      <formula>SEARCH("IN CORSO",$M106)&gt;0</formula>
    </cfRule>
    <cfRule type="expression" priority="2954" dxfId="59">
      <formula>SEARCH("CHIUSO",$M106)&gt;0</formula>
    </cfRule>
    <cfRule type="expression" priority="2955" dxfId="58">
      <formula>SEARCH("EMESSO",$M106)&gt;0</formula>
    </cfRule>
    <cfRule type="expression" priority="2956" dxfId="57">
      <formula>SEARCH("RICHIESTO",$M106)&gt;0</formula>
    </cfRule>
    <cfRule type="expression" priority="2957" dxfId="56">
      <formula>SEARCH("DA CHIUDERE",$M106)&gt;0</formula>
    </cfRule>
    <cfRule type="expression" priority="2958" dxfId="55">
      <formula>SEARCH("INTERROTTO",$M106)&gt;0</formula>
    </cfRule>
  </conditionalFormatting>
  <conditionalFormatting sqref="E105">
    <cfRule type="expression" priority="2941" dxfId="60">
      <formula>SEARCH("IN CORSO",$M105)&gt;0</formula>
    </cfRule>
    <cfRule type="expression" priority="2942" dxfId="59">
      <formula>SEARCH("CHIUSO",$M105)&gt;0</formula>
    </cfRule>
    <cfRule type="expression" priority="2943" dxfId="58">
      <formula>SEARCH("EMESSO",$M105)&gt;0</formula>
    </cfRule>
    <cfRule type="expression" priority="2944" dxfId="57">
      <formula>SEARCH("RICHIESTO",$M105)&gt;0</formula>
    </cfRule>
    <cfRule type="expression" priority="2945" dxfId="56">
      <formula>SEARCH("DA CHIUDERE",$M105)&gt;0</formula>
    </cfRule>
    <cfRule type="expression" priority="2946" dxfId="55">
      <formula>SEARCH("INTERROTTO",$M105)&gt;0</formula>
    </cfRule>
  </conditionalFormatting>
  <conditionalFormatting sqref="N103:S103">
    <cfRule type="expression" priority="2905" dxfId="60">
      <formula>SEARCH("IN CORSO",$M103)&gt;0</formula>
    </cfRule>
    <cfRule type="expression" priority="2906" dxfId="59">
      <formula>SEARCH("CHIUSO",$M103)&gt;0</formula>
    </cfRule>
    <cfRule type="expression" priority="2907" dxfId="58">
      <formula>SEARCH("EMESSO",$M103)&gt;0</formula>
    </cfRule>
    <cfRule type="expression" priority="2908" dxfId="57">
      <formula>SEARCH("RICHIESTO",$M103)&gt;0</formula>
    </cfRule>
    <cfRule type="expression" priority="2909" dxfId="56">
      <formula>SEARCH("DA CHIUDERE",$M103)&gt;0</formula>
    </cfRule>
    <cfRule type="expression" priority="2910" dxfId="55">
      <formula>SEARCH("INTERROTTO",$M103)&gt;0</formula>
    </cfRule>
  </conditionalFormatting>
  <conditionalFormatting sqref="N105:S105">
    <cfRule type="expression" priority="2947" dxfId="60">
      <formula>SEARCH("IN CORSO",$M105)&gt;0</formula>
    </cfRule>
    <cfRule type="expression" priority="2948" dxfId="59">
      <formula>SEARCH("CHIUSO",$M105)&gt;0</formula>
    </cfRule>
    <cfRule type="expression" priority="2949" dxfId="58">
      <formula>SEARCH("EMESSO",$M105)&gt;0</formula>
    </cfRule>
    <cfRule type="expression" priority="2950" dxfId="57">
      <formula>SEARCH("RICHIESTO",$M105)&gt;0</formula>
    </cfRule>
    <cfRule type="expression" priority="2951" dxfId="56">
      <formula>SEARCH("DA CHIUDERE",$M105)&gt;0</formula>
    </cfRule>
    <cfRule type="expression" priority="2952" dxfId="55">
      <formula>SEARCH("INTERROTTO",$M105)&gt;0</formula>
    </cfRule>
  </conditionalFormatting>
  <conditionalFormatting sqref="M105">
    <cfRule type="expression" priority="2929" dxfId="60">
      <formula>SEARCH("IN CORSO",$M105)&gt;0</formula>
    </cfRule>
    <cfRule type="expression" priority="2930" dxfId="59">
      <formula>SEARCH("CHIUSO",$M105)&gt;0</formula>
    </cfRule>
    <cfRule type="expression" priority="2931" dxfId="58">
      <formula>SEARCH("EMESSO",$M105)&gt;0</formula>
    </cfRule>
    <cfRule type="expression" priority="2932" dxfId="57">
      <formula>SEARCH("RICHIESTO",$M105)&gt;0</formula>
    </cfRule>
    <cfRule type="expression" priority="2933" dxfId="56">
      <formula>SEARCH("DA CHIUDERE",$M105)&gt;0</formula>
    </cfRule>
    <cfRule type="expression" priority="2934" dxfId="55">
      <formula>SEARCH("INTERROTTO",$M105)&gt;0</formula>
    </cfRule>
  </conditionalFormatting>
  <conditionalFormatting sqref="F105">
    <cfRule type="expression" priority="2923" dxfId="60">
      <formula>SEARCH("IN CORSO",$M105)&gt;0</formula>
    </cfRule>
    <cfRule type="expression" priority="2924" dxfId="59">
      <formula>SEARCH("CHIUSO",$M105)&gt;0</formula>
    </cfRule>
    <cfRule type="expression" priority="2925" dxfId="58">
      <formula>SEARCH("EMESSO",$M105)&gt;0</formula>
    </cfRule>
    <cfRule type="expression" priority="2926" dxfId="57">
      <formula>SEARCH("RICHIESTO",$M105)&gt;0</formula>
    </cfRule>
    <cfRule type="expression" priority="2927" dxfId="56">
      <formula>SEARCH("DA CHIUDERE",$M105)&gt;0</formula>
    </cfRule>
    <cfRule type="expression" priority="2928" dxfId="55">
      <formula>SEARCH("INTERROTTO",$M105)&gt;0</formula>
    </cfRule>
  </conditionalFormatting>
  <conditionalFormatting sqref="E104">
    <cfRule type="expression" priority="2911" dxfId="60">
      <formula>SEARCH("IN CORSO",$M104)&gt;0</formula>
    </cfRule>
    <cfRule type="expression" priority="2912" dxfId="59">
      <formula>SEARCH("CHIUSO",$M104)&gt;0</formula>
    </cfRule>
    <cfRule type="expression" priority="2913" dxfId="58">
      <formula>SEARCH("EMESSO",$M104)&gt;0</formula>
    </cfRule>
    <cfRule type="expression" priority="2914" dxfId="57">
      <formula>SEARCH("RICHIESTO",$M104)&gt;0</formula>
    </cfRule>
    <cfRule type="expression" priority="2915" dxfId="56">
      <formula>SEARCH("DA CHIUDERE",$M104)&gt;0</formula>
    </cfRule>
    <cfRule type="expression" priority="2916" dxfId="55">
      <formula>SEARCH("INTERROTTO",$M104)&gt;0</formula>
    </cfRule>
  </conditionalFormatting>
  <conditionalFormatting sqref="N104:S104">
    <cfRule type="expression" priority="2917" dxfId="60">
      <formula>SEARCH("IN CORSO",$M104)&gt;0</formula>
    </cfRule>
    <cfRule type="expression" priority="2918" dxfId="59">
      <formula>SEARCH("CHIUSO",$M104)&gt;0</formula>
    </cfRule>
    <cfRule type="expression" priority="2919" dxfId="58">
      <formula>SEARCH("EMESSO",$M104)&gt;0</formula>
    </cfRule>
    <cfRule type="expression" priority="2920" dxfId="57">
      <formula>SEARCH("RICHIESTO",$M104)&gt;0</formula>
    </cfRule>
    <cfRule type="expression" priority="2921" dxfId="56">
      <formula>SEARCH("DA CHIUDERE",$M104)&gt;0</formula>
    </cfRule>
    <cfRule type="expression" priority="2922" dxfId="55">
      <formula>SEARCH("INTERROTTO",$M104)&gt;0</formula>
    </cfRule>
  </conditionalFormatting>
  <conditionalFormatting sqref="E103">
    <cfRule type="expression" priority="2899" dxfId="60">
      <formula>SEARCH("IN CORSO",$M103)&gt;0</formula>
    </cfRule>
    <cfRule type="expression" priority="2900" dxfId="59">
      <formula>SEARCH("CHIUSO",$M103)&gt;0</formula>
    </cfRule>
    <cfRule type="expression" priority="2901" dxfId="58">
      <formula>SEARCH("EMESSO",$M103)&gt;0</formula>
    </cfRule>
    <cfRule type="expression" priority="2902" dxfId="57">
      <formula>SEARCH("RICHIESTO",$M103)&gt;0</formula>
    </cfRule>
    <cfRule type="expression" priority="2903" dxfId="56">
      <formula>SEARCH("DA CHIUDERE",$M103)&gt;0</formula>
    </cfRule>
    <cfRule type="expression" priority="2904" dxfId="55">
      <formula>SEARCH("INTERROTTO",$M103)&gt;0</formula>
    </cfRule>
  </conditionalFormatting>
  <conditionalFormatting sqref="N102:S102">
    <cfRule type="expression" priority="2893" dxfId="60">
      <formula>SEARCH("IN CORSO",$M102)&gt;0</formula>
    </cfRule>
    <cfRule type="expression" priority="2894" dxfId="59">
      <formula>SEARCH("CHIUSO",$M102)&gt;0</formula>
    </cfRule>
    <cfRule type="expression" priority="2895" dxfId="58">
      <formula>SEARCH("EMESSO",$M102)&gt;0</formula>
    </cfRule>
    <cfRule type="expression" priority="2896" dxfId="57">
      <formula>SEARCH("RICHIESTO",$M102)&gt;0</formula>
    </cfRule>
    <cfRule type="expression" priority="2897" dxfId="56">
      <formula>SEARCH("DA CHIUDERE",$M102)&gt;0</formula>
    </cfRule>
    <cfRule type="expression" priority="2898" dxfId="55">
      <formula>SEARCH("INTERROTTO",$M102)&gt;0</formula>
    </cfRule>
  </conditionalFormatting>
  <conditionalFormatting sqref="N100:S100">
    <cfRule type="expression" priority="2827" dxfId="60">
      <formula>SEARCH("IN CORSO",$M100)&gt;0</formula>
    </cfRule>
    <cfRule type="expression" priority="2828" dxfId="59">
      <formula>SEARCH("CHIUSO",$M100)&gt;0</formula>
    </cfRule>
    <cfRule type="expression" priority="2829" dxfId="58">
      <formula>SEARCH("EMESSO",$M100)&gt;0</formula>
    </cfRule>
    <cfRule type="expression" priority="2830" dxfId="57">
      <formula>SEARCH("RICHIESTO",$M100)&gt;0</formula>
    </cfRule>
    <cfRule type="expression" priority="2831" dxfId="56">
      <formula>SEARCH("DA CHIUDERE",$M100)&gt;0</formula>
    </cfRule>
    <cfRule type="expression" priority="2832" dxfId="55">
      <formula>SEARCH("INTERROTTO",$M100)&gt;0</formula>
    </cfRule>
  </conditionalFormatting>
  <conditionalFormatting sqref="G100">
    <cfRule type="expression" priority="2815" dxfId="60">
      <formula>SEARCH("IN CORSO",$M100)&gt;0</formula>
    </cfRule>
    <cfRule type="expression" priority="2816" dxfId="59">
      <formula>SEARCH("CHIUSO",$M100)&gt;0</formula>
    </cfRule>
    <cfRule type="expression" priority="2817" dxfId="58">
      <formula>SEARCH("EMESSO",$M100)&gt;0</formula>
    </cfRule>
    <cfRule type="expression" priority="2818" dxfId="57">
      <formula>SEARCH("RICHIESTO",$M100)&gt;0</formula>
    </cfRule>
    <cfRule type="expression" priority="2819" dxfId="56">
      <formula>SEARCH("DA CHIUDERE",$M100)&gt;0</formula>
    </cfRule>
    <cfRule type="expression" priority="2820" dxfId="55">
      <formula>SEARCH("INTERROTTO",$M100)&gt;0</formula>
    </cfRule>
  </conditionalFormatting>
  <conditionalFormatting sqref="E100">
    <cfRule type="expression" priority="2821" dxfId="60">
      <formula>SEARCH("IN CORSO",$M100)&gt;0</formula>
    </cfRule>
    <cfRule type="expression" priority="2822" dxfId="59">
      <formula>SEARCH("CHIUSO",$M100)&gt;0</formula>
    </cfRule>
    <cfRule type="expression" priority="2823" dxfId="58">
      <formula>SEARCH("EMESSO",$M100)&gt;0</formula>
    </cfRule>
    <cfRule type="expression" priority="2824" dxfId="57">
      <formula>SEARCH("RICHIESTO",$M100)&gt;0</formula>
    </cfRule>
    <cfRule type="expression" priority="2825" dxfId="56">
      <formula>SEARCH("DA CHIUDERE",$M100)&gt;0</formula>
    </cfRule>
    <cfRule type="expression" priority="2826" dxfId="55">
      <formula>SEARCH("INTERROTTO",$M100)&gt;0</formula>
    </cfRule>
  </conditionalFormatting>
  <conditionalFormatting sqref="F100">
    <cfRule type="expression" priority="2809" dxfId="60">
      <formula>SEARCH("IN CORSO",$M100)&gt;0</formula>
    </cfRule>
    <cfRule type="expression" priority="2810" dxfId="59">
      <formula>SEARCH("CHIUSO",$M100)&gt;0</formula>
    </cfRule>
    <cfRule type="expression" priority="2811" dxfId="58">
      <formula>SEARCH("EMESSO",$M100)&gt;0</formula>
    </cfRule>
    <cfRule type="expression" priority="2812" dxfId="57">
      <formula>SEARCH("RICHIESTO",$M100)&gt;0</formula>
    </cfRule>
    <cfRule type="expression" priority="2813" dxfId="56">
      <formula>SEARCH("DA CHIUDERE",$M100)&gt;0</formula>
    </cfRule>
    <cfRule type="expression" priority="2814" dxfId="55">
      <formula>SEARCH("INTERROTTO",$M100)&gt;0</formula>
    </cfRule>
  </conditionalFormatting>
  <conditionalFormatting sqref="N99:S99">
    <cfRule type="expression" priority="2797" dxfId="60">
      <formula>SEARCH("IN CORSO",$M99)&gt;0</formula>
    </cfRule>
    <cfRule type="expression" priority="2798" dxfId="59">
      <formula>SEARCH("CHIUSO",$M99)&gt;0</formula>
    </cfRule>
    <cfRule type="expression" priority="2799" dxfId="58">
      <formula>SEARCH("EMESSO",$M99)&gt;0</formula>
    </cfRule>
    <cfRule type="expression" priority="2800" dxfId="57">
      <formula>SEARCH("RICHIESTO",$M99)&gt;0</formula>
    </cfRule>
    <cfRule type="expression" priority="2801" dxfId="56">
      <formula>SEARCH("DA CHIUDERE",$M99)&gt;0</formula>
    </cfRule>
    <cfRule type="expression" priority="2802" dxfId="55">
      <formula>SEARCH("INTERROTTO",$M99)&gt;0</formula>
    </cfRule>
  </conditionalFormatting>
  <conditionalFormatting sqref="G99">
    <cfRule type="expression" priority="2785" dxfId="60">
      <formula>SEARCH("IN CORSO",$M99)&gt;0</formula>
    </cfRule>
    <cfRule type="expression" priority="2786" dxfId="59">
      <formula>SEARCH("CHIUSO",$M99)&gt;0</formula>
    </cfRule>
    <cfRule type="expression" priority="2787" dxfId="58">
      <formula>SEARCH("EMESSO",$M99)&gt;0</formula>
    </cfRule>
    <cfRule type="expression" priority="2788" dxfId="57">
      <formula>SEARCH("RICHIESTO",$M99)&gt;0</formula>
    </cfRule>
    <cfRule type="expression" priority="2789" dxfId="56">
      <formula>SEARCH("DA CHIUDERE",$M99)&gt;0</formula>
    </cfRule>
    <cfRule type="expression" priority="2790" dxfId="55">
      <formula>SEARCH("INTERROTTO",$M99)&gt;0</formula>
    </cfRule>
  </conditionalFormatting>
  <conditionalFormatting sqref="E99">
    <cfRule type="expression" priority="2791" dxfId="60">
      <formula>SEARCH("IN CORSO",$M99)&gt;0</formula>
    </cfRule>
    <cfRule type="expression" priority="2792" dxfId="59">
      <formula>SEARCH("CHIUSO",$M99)&gt;0</formula>
    </cfRule>
    <cfRule type="expression" priority="2793" dxfId="58">
      <formula>SEARCH("EMESSO",$M99)&gt;0</formula>
    </cfRule>
    <cfRule type="expression" priority="2794" dxfId="57">
      <formula>SEARCH("RICHIESTO",$M99)&gt;0</formula>
    </cfRule>
    <cfRule type="expression" priority="2795" dxfId="56">
      <formula>SEARCH("DA CHIUDERE",$M99)&gt;0</formula>
    </cfRule>
    <cfRule type="expression" priority="2796" dxfId="55">
      <formula>SEARCH("INTERROTTO",$M99)&gt;0</formula>
    </cfRule>
  </conditionalFormatting>
  <conditionalFormatting sqref="F99">
    <cfRule type="expression" priority="2779" dxfId="60">
      <formula>SEARCH("IN CORSO",$M99)&gt;0</formula>
    </cfRule>
    <cfRule type="expression" priority="2780" dxfId="59">
      <formula>SEARCH("CHIUSO",$M99)&gt;0</formula>
    </cfRule>
    <cfRule type="expression" priority="2781" dxfId="58">
      <formula>SEARCH("EMESSO",$M99)&gt;0</formula>
    </cfRule>
    <cfRule type="expression" priority="2782" dxfId="57">
      <formula>SEARCH("RICHIESTO",$M99)&gt;0</formula>
    </cfRule>
    <cfRule type="expression" priority="2783" dxfId="56">
      <formula>SEARCH("DA CHIUDERE",$M99)&gt;0</formula>
    </cfRule>
    <cfRule type="expression" priority="2784" dxfId="55">
      <formula>SEARCH("INTERROTTO",$M99)&gt;0</formula>
    </cfRule>
  </conditionalFormatting>
  <conditionalFormatting sqref="N98:S98">
    <cfRule type="expression" priority="2767" dxfId="60">
      <formula>SEARCH("IN CORSO",$M98)&gt;0</formula>
    </cfRule>
    <cfRule type="expression" priority="2768" dxfId="59">
      <formula>SEARCH("CHIUSO",$M98)&gt;0</formula>
    </cfRule>
    <cfRule type="expression" priority="2769" dxfId="58">
      <formula>SEARCH("EMESSO",$M98)&gt;0</formula>
    </cfRule>
    <cfRule type="expression" priority="2770" dxfId="57">
      <formula>SEARCH("RICHIESTO",$M98)&gt;0</formula>
    </cfRule>
    <cfRule type="expression" priority="2771" dxfId="56">
      <formula>SEARCH("DA CHIUDERE",$M98)&gt;0</formula>
    </cfRule>
    <cfRule type="expression" priority="2772" dxfId="55">
      <formula>SEARCH("INTERROTTO",$M98)&gt;0</formula>
    </cfRule>
  </conditionalFormatting>
  <conditionalFormatting sqref="G98">
    <cfRule type="expression" priority="2755" dxfId="60">
      <formula>SEARCH("IN CORSO",$M98)&gt;0</formula>
    </cfRule>
    <cfRule type="expression" priority="2756" dxfId="59">
      <formula>SEARCH("CHIUSO",$M98)&gt;0</formula>
    </cfRule>
    <cfRule type="expression" priority="2757" dxfId="58">
      <formula>SEARCH("EMESSO",$M98)&gt;0</formula>
    </cfRule>
    <cfRule type="expression" priority="2758" dxfId="57">
      <formula>SEARCH("RICHIESTO",$M98)&gt;0</formula>
    </cfRule>
    <cfRule type="expression" priority="2759" dxfId="56">
      <formula>SEARCH("DA CHIUDERE",$M98)&gt;0</formula>
    </cfRule>
    <cfRule type="expression" priority="2760" dxfId="55">
      <formula>SEARCH("INTERROTTO",$M98)&gt;0</formula>
    </cfRule>
  </conditionalFormatting>
  <conditionalFormatting sqref="E98">
    <cfRule type="expression" priority="2761" dxfId="60">
      <formula>SEARCH("IN CORSO",$M98)&gt;0</formula>
    </cfRule>
    <cfRule type="expression" priority="2762" dxfId="59">
      <formula>SEARCH("CHIUSO",$M98)&gt;0</formula>
    </cfRule>
    <cfRule type="expression" priority="2763" dxfId="58">
      <formula>SEARCH("EMESSO",$M98)&gt;0</formula>
    </cfRule>
    <cfRule type="expression" priority="2764" dxfId="57">
      <formula>SEARCH("RICHIESTO",$M98)&gt;0</formula>
    </cfRule>
    <cfRule type="expression" priority="2765" dxfId="56">
      <formula>SEARCH("DA CHIUDERE",$M98)&gt;0</formula>
    </cfRule>
    <cfRule type="expression" priority="2766" dxfId="55">
      <formula>SEARCH("INTERROTTO",$M98)&gt;0</formula>
    </cfRule>
  </conditionalFormatting>
  <conditionalFormatting sqref="F98">
    <cfRule type="expression" priority="2749" dxfId="60">
      <formula>SEARCH("IN CORSO",$M98)&gt;0</formula>
    </cfRule>
    <cfRule type="expression" priority="2750" dxfId="59">
      <formula>SEARCH("CHIUSO",$M98)&gt;0</formula>
    </cfRule>
    <cfRule type="expression" priority="2751" dxfId="58">
      <formula>SEARCH("EMESSO",$M98)&gt;0</formula>
    </cfRule>
    <cfRule type="expression" priority="2752" dxfId="57">
      <formula>SEARCH("RICHIESTO",$M98)&gt;0</formula>
    </cfRule>
    <cfRule type="expression" priority="2753" dxfId="56">
      <formula>SEARCH("DA CHIUDERE",$M98)&gt;0</formula>
    </cfRule>
    <cfRule type="expression" priority="2754" dxfId="55">
      <formula>SEARCH("INTERROTTO",$M98)&gt;0</formula>
    </cfRule>
  </conditionalFormatting>
  <conditionalFormatting sqref="N97:S97">
    <cfRule type="expression" priority="2737" dxfId="60">
      <formula>SEARCH("IN CORSO",$M97)&gt;0</formula>
    </cfRule>
    <cfRule type="expression" priority="2738" dxfId="59">
      <formula>SEARCH("CHIUSO",$M97)&gt;0</formula>
    </cfRule>
    <cfRule type="expression" priority="2739" dxfId="58">
      <formula>SEARCH("EMESSO",$M97)&gt;0</formula>
    </cfRule>
    <cfRule type="expression" priority="2740" dxfId="57">
      <formula>SEARCH("RICHIESTO",$M97)&gt;0</formula>
    </cfRule>
    <cfRule type="expression" priority="2741" dxfId="56">
      <formula>SEARCH("DA CHIUDERE",$M97)&gt;0</formula>
    </cfRule>
    <cfRule type="expression" priority="2742" dxfId="55">
      <formula>SEARCH("INTERROTTO",$M97)&gt;0</formula>
    </cfRule>
  </conditionalFormatting>
  <conditionalFormatting sqref="G97">
    <cfRule type="expression" priority="2725" dxfId="60">
      <formula>SEARCH("IN CORSO",$M97)&gt;0</formula>
    </cfRule>
    <cfRule type="expression" priority="2726" dxfId="59">
      <formula>SEARCH("CHIUSO",$M97)&gt;0</formula>
    </cfRule>
    <cfRule type="expression" priority="2727" dxfId="58">
      <formula>SEARCH("EMESSO",$M97)&gt;0</formula>
    </cfRule>
    <cfRule type="expression" priority="2728" dxfId="57">
      <formula>SEARCH("RICHIESTO",$M97)&gt;0</formula>
    </cfRule>
    <cfRule type="expression" priority="2729" dxfId="56">
      <formula>SEARCH("DA CHIUDERE",$M97)&gt;0</formula>
    </cfRule>
    <cfRule type="expression" priority="2730" dxfId="55">
      <formula>SEARCH("INTERROTTO",$M97)&gt;0</formula>
    </cfRule>
  </conditionalFormatting>
  <conditionalFormatting sqref="E97">
    <cfRule type="expression" priority="2731" dxfId="60">
      <formula>SEARCH("IN CORSO",$M97)&gt;0</formula>
    </cfRule>
    <cfRule type="expression" priority="2732" dxfId="59">
      <formula>SEARCH("CHIUSO",$M97)&gt;0</formula>
    </cfRule>
    <cfRule type="expression" priority="2733" dxfId="58">
      <formula>SEARCH("EMESSO",$M97)&gt;0</formula>
    </cfRule>
    <cfRule type="expression" priority="2734" dxfId="57">
      <formula>SEARCH("RICHIESTO",$M97)&gt;0</formula>
    </cfRule>
    <cfRule type="expression" priority="2735" dxfId="56">
      <formula>SEARCH("DA CHIUDERE",$M97)&gt;0</formula>
    </cfRule>
    <cfRule type="expression" priority="2736" dxfId="55">
      <formula>SEARCH("INTERROTTO",$M97)&gt;0</formula>
    </cfRule>
  </conditionalFormatting>
  <conditionalFormatting sqref="F97">
    <cfRule type="expression" priority="2719" dxfId="60">
      <formula>SEARCH("IN CORSO",$M97)&gt;0</formula>
    </cfRule>
    <cfRule type="expression" priority="2720" dxfId="59">
      <formula>SEARCH("CHIUSO",$M97)&gt;0</formula>
    </cfRule>
    <cfRule type="expression" priority="2721" dxfId="58">
      <formula>SEARCH("EMESSO",$M97)&gt;0</formula>
    </cfRule>
    <cfRule type="expression" priority="2722" dxfId="57">
      <formula>SEARCH("RICHIESTO",$M97)&gt;0</formula>
    </cfRule>
    <cfRule type="expression" priority="2723" dxfId="56">
      <formula>SEARCH("DA CHIUDERE",$M97)&gt;0</formula>
    </cfRule>
    <cfRule type="expression" priority="2724" dxfId="55">
      <formula>SEARCH("INTERROTTO",$M97)&gt;0</formula>
    </cfRule>
  </conditionalFormatting>
  <conditionalFormatting sqref="E96">
    <cfRule type="expression" priority="2707" dxfId="60">
      <formula>SEARCH("IN CORSO",$M96)&gt;0</formula>
    </cfRule>
    <cfRule type="expression" priority="2708" dxfId="59">
      <formula>SEARCH("CHIUSO",$M96)&gt;0</formula>
    </cfRule>
    <cfRule type="expression" priority="2709" dxfId="58">
      <formula>SEARCH("EMESSO",$M96)&gt;0</formula>
    </cfRule>
    <cfRule type="expression" priority="2710" dxfId="57">
      <formula>SEARCH("RICHIESTO",$M96)&gt;0</formula>
    </cfRule>
    <cfRule type="expression" priority="2711" dxfId="56">
      <formula>SEARCH("DA CHIUDERE",$M96)&gt;0</formula>
    </cfRule>
    <cfRule type="expression" priority="2712" dxfId="55">
      <formula>SEARCH("INTERROTTO",$M96)&gt;0</formula>
    </cfRule>
  </conditionalFormatting>
  <conditionalFormatting sqref="F96">
    <cfRule type="expression" priority="2695" dxfId="60">
      <formula>SEARCH("IN CORSO",$M96)&gt;0</formula>
    </cfRule>
    <cfRule type="expression" priority="2696" dxfId="59">
      <formula>SEARCH("CHIUSO",$M96)&gt;0</formula>
    </cfRule>
    <cfRule type="expression" priority="2697" dxfId="58">
      <formula>SEARCH("EMESSO",$M96)&gt;0</formula>
    </cfRule>
    <cfRule type="expression" priority="2698" dxfId="57">
      <formula>SEARCH("RICHIESTO",$M96)&gt;0</formula>
    </cfRule>
    <cfRule type="expression" priority="2699" dxfId="56">
      <formula>SEARCH("DA CHIUDERE",$M96)&gt;0</formula>
    </cfRule>
    <cfRule type="expression" priority="2700" dxfId="55">
      <formula>SEARCH("INTERROTTO",$M96)&gt;0</formula>
    </cfRule>
  </conditionalFormatting>
  <conditionalFormatting sqref="G96">
    <cfRule type="expression" priority="2701" dxfId="60">
      <formula>SEARCH("IN CORSO",$M96)&gt;0</formula>
    </cfRule>
    <cfRule type="expression" priority="2702" dxfId="59">
      <formula>SEARCH("CHIUSO",$M96)&gt;0</formula>
    </cfRule>
    <cfRule type="expression" priority="2703" dxfId="58">
      <formula>SEARCH("EMESSO",$M96)&gt;0</formula>
    </cfRule>
    <cfRule type="expression" priority="2704" dxfId="57">
      <formula>SEARCH("RICHIESTO",$M96)&gt;0</formula>
    </cfRule>
    <cfRule type="expression" priority="2705" dxfId="56">
      <formula>SEARCH("DA CHIUDERE",$M96)&gt;0</formula>
    </cfRule>
    <cfRule type="expression" priority="2706" dxfId="55">
      <formula>SEARCH("INTERROTTO",$M96)&gt;0</formula>
    </cfRule>
  </conditionalFormatting>
  <conditionalFormatting sqref="N95:S95">
    <cfRule type="expression" priority="2689" dxfId="60">
      <formula>SEARCH("IN CORSO",$M95)&gt;0</formula>
    </cfRule>
    <cfRule type="expression" priority="2690" dxfId="59">
      <formula>SEARCH("CHIUSO",$M95)&gt;0</formula>
    </cfRule>
    <cfRule type="expression" priority="2691" dxfId="58">
      <formula>SEARCH("EMESSO",$M95)&gt;0</formula>
    </cfRule>
    <cfRule type="expression" priority="2692" dxfId="57">
      <formula>SEARCH("RICHIESTO",$M95)&gt;0</formula>
    </cfRule>
    <cfRule type="expression" priority="2693" dxfId="56">
      <formula>SEARCH("DA CHIUDERE",$M95)&gt;0</formula>
    </cfRule>
    <cfRule type="expression" priority="2694" dxfId="55">
      <formula>SEARCH("INTERROTTO",$M95)&gt;0</formula>
    </cfRule>
  </conditionalFormatting>
  <conditionalFormatting sqref="G95">
    <cfRule type="expression" priority="2677" dxfId="60">
      <formula>SEARCH("IN CORSO",$M95)&gt;0</formula>
    </cfRule>
    <cfRule type="expression" priority="2678" dxfId="59">
      <formula>SEARCH("CHIUSO",$M95)&gt;0</formula>
    </cfRule>
    <cfRule type="expression" priority="2679" dxfId="58">
      <formula>SEARCH("EMESSO",$M95)&gt;0</formula>
    </cfRule>
    <cfRule type="expression" priority="2680" dxfId="57">
      <formula>SEARCH("RICHIESTO",$M95)&gt;0</formula>
    </cfRule>
    <cfRule type="expression" priority="2681" dxfId="56">
      <formula>SEARCH("DA CHIUDERE",$M95)&gt;0</formula>
    </cfRule>
    <cfRule type="expression" priority="2682" dxfId="55">
      <formula>SEARCH("INTERROTTO",$M95)&gt;0</formula>
    </cfRule>
  </conditionalFormatting>
  <conditionalFormatting sqref="N94:S94">
    <cfRule type="expression" priority="2665" dxfId="60">
      <formula>SEARCH("IN CORSO",$M94)&gt;0</formula>
    </cfRule>
    <cfRule type="expression" priority="2666" dxfId="59">
      <formula>SEARCH("CHIUSO",$M94)&gt;0</formula>
    </cfRule>
    <cfRule type="expression" priority="2667" dxfId="58">
      <formula>SEARCH("EMESSO",$M94)&gt;0</formula>
    </cfRule>
    <cfRule type="expression" priority="2668" dxfId="57">
      <formula>SEARCH("RICHIESTO",$M94)&gt;0</formula>
    </cfRule>
    <cfRule type="expression" priority="2669" dxfId="56">
      <formula>SEARCH("DA CHIUDERE",$M94)&gt;0</formula>
    </cfRule>
    <cfRule type="expression" priority="2670" dxfId="55">
      <formula>SEARCH("INTERROTTO",$M94)&gt;0</formula>
    </cfRule>
  </conditionalFormatting>
  <conditionalFormatting sqref="F95">
    <cfRule type="expression" priority="2671" dxfId="60">
      <formula>SEARCH("IN CORSO",$M95)&gt;0</formula>
    </cfRule>
    <cfRule type="expression" priority="2672" dxfId="59">
      <formula>SEARCH("CHIUSO",$M95)&gt;0</formula>
    </cfRule>
    <cfRule type="expression" priority="2673" dxfId="58">
      <formula>SEARCH("EMESSO",$M95)&gt;0</formula>
    </cfRule>
    <cfRule type="expression" priority="2674" dxfId="57">
      <formula>SEARCH("RICHIESTO",$M95)&gt;0</formula>
    </cfRule>
    <cfRule type="expression" priority="2675" dxfId="56">
      <formula>SEARCH("DA CHIUDERE",$M95)&gt;0</formula>
    </cfRule>
    <cfRule type="expression" priority="2676" dxfId="55">
      <formula>SEARCH("INTERROTTO",$M95)&gt;0</formula>
    </cfRule>
  </conditionalFormatting>
  <conditionalFormatting sqref="E94">
    <cfRule type="expression" priority="2659" dxfId="60">
      <formula>SEARCH("IN CORSO",$M94)&gt;0</formula>
    </cfRule>
    <cfRule type="expression" priority="2660" dxfId="59">
      <formula>SEARCH("CHIUSO",$M94)&gt;0</formula>
    </cfRule>
    <cfRule type="expression" priority="2661" dxfId="58">
      <formula>SEARCH("EMESSO",$M94)&gt;0</formula>
    </cfRule>
    <cfRule type="expression" priority="2662" dxfId="57">
      <formula>SEARCH("RICHIESTO",$M94)&gt;0</formula>
    </cfRule>
    <cfRule type="expression" priority="2663" dxfId="56">
      <formula>SEARCH("DA CHIUDERE",$M94)&gt;0</formula>
    </cfRule>
    <cfRule type="expression" priority="2664" dxfId="55">
      <formula>SEARCH("INTERROTTO",$M94)&gt;0</formula>
    </cfRule>
  </conditionalFormatting>
  <conditionalFormatting sqref="F94">
    <cfRule type="expression" priority="2647" dxfId="60">
      <formula>SEARCH("IN CORSO",$M94)&gt;0</formula>
    </cfRule>
    <cfRule type="expression" priority="2648" dxfId="59">
      <formula>SEARCH("CHIUSO",$M94)&gt;0</formula>
    </cfRule>
    <cfRule type="expression" priority="2649" dxfId="58">
      <formula>SEARCH("EMESSO",$M94)&gt;0</formula>
    </cfRule>
    <cfRule type="expression" priority="2650" dxfId="57">
      <formula>SEARCH("RICHIESTO",$M94)&gt;0</formula>
    </cfRule>
    <cfRule type="expression" priority="2651" dxfId="56">
      <formula>SEARCH("DA CHIUDERE",$M94)&gt;0</formula>
    </cfRule>
    <cfRule type="expression" priority="2652" dxfId="55">
      <formula>SEARCH("INTERROTTO",$M94)&gt;0</formula>
    </cfRule>
  </conditionalFormatting>
  <conditionalFormatting sqref="E93">
    <cfRule type="expression" priority="2635" dxfId="60">
      <formula>SEARCH("IN CORSO",$M93)&gt;0</formula>
    </cfRule>
    <cfRule type="expression" priority="2636" dxfId="59">
      <formula>SEARCH("CHIUSO",$M93)&gt;0</formula>
    </cfRule>
    <cfRule type="expression" priority="2637" dxfId="58">
      <formula>SEARCH("EMESSO",$M93)&gt;0</formula>
    </cfRule>
    <cfRule type="expression" priority="2638" dxfId="57">
      <formula>SEARCH("RICHIESTO",$M93)&gt;0</formula>
    </cfRule>
    <cfRule type="expression" priority="2639" dxfId="56">
      <formula>SEARCH("DA CHIUDERE",$M93)&gt;0</formula>
    </cfRule>
    <cfRule type="expression" priority="2640" dxfId="55">
      <formula>SEARCH("INTERROTTO",$M93)&gt;0</formula>
    </cfRule>
  </conditionalFormatting>
  <conditionalFormatting sqref="N93:S93">
    <cfRule type="expression" priority="2641" dxfId="60">
      <formula>SEARCH("IN CORSO",$M93)&gt;0</formula>
    </cfRule>
    <cfRule type="expression" priority="2642" dxfId="59">
      <formula>SEARCH("CHIUSO",$M93)&gt;0</formula>
    </cfRule>
    <cfRule type="expression" priority="2643" dxfId="58">
      <formula>SEARCH("EMESSO",$M93)&gt;0</formula>
    </cfRule>
    <cfRule type="expression" priority="2644" dxfId="57">
      <formula>SEARCH("RICHIESTO",$M93)&gt;0</formula>
    </cfRule>
    <cfRule type="expression" priority="2645" dxfId="56">
      <formula>SEARCH("DA CHIUDERE",$M93)&gt;0</formula>
    </cfRule>
    <cfRule type="expression" priority="2646" dxfId="55">
      <formula>SEARCH("INTERROTTO",$M93)&gt;0</formula>
    </cfRule>
  </conditionalFormatting>
  <conditionalFormatting sqref="G93">
    <cfRule type="expression" priority="2629" dxfId="60">
      <formula>SEARCH("IN CORSO",$M93)&gt;0</formula>
    </cfRule>
    <cfRule type="expression" priority="2630" dxfId="59">
      <formula>SEARCH("CHIUSO",$M93)&gt;0</formula>
    </cfRule>
    <cfRule type="expression" priority="2631" dxfId="58">
      <formula>SEARCH("EMESSO",$M93)&gt;0</formula>
    </cfRule>
    <cfRule type="expression" priority="2632" dxfId="57">
      <formula>SEARCH("RICHIESTO",$M93)&gt;0</formula>
    </cfRule>
    <cfRule type="expression" priority="2633" dxfId="56">
      <formula>SEARCH("DA CHIUDERE",$M93)&gt;0</formula>
    </cfRule>
    <cfRule type="expression" priority="2634" dxfId="55">
      <formula>SEARCH("INTERROTTO",$M93)&gt;0</formula>
    </cfRule>
  </conditionalFormatting>
  <conditionalFormatting sqref="N92:S92">
    <cfRule type="expression" priority="2617" dxfId="60">
      <formula>SEARCH("IN CORSO",$M92)&gt;0</formula>
    </cfRule>
    <cfRule type="expression" priority="2618" dxfId="59">
      <formula>SEARCH("CHIUSO",$M92)&gt;0</formula>
    </cfRule>
    <cfRule type="expression" priority="2619" dxfId="58">
      <formula>SEARCH("EMESSO",$M92)&gt;0</formula>
    </cfRule>
    <cfRule type="expression" priority="2620" dxfId="57">
      <formula>SEARCH("RICHIESTO",$M92)&gt;0</formula>
    </cfRule>
    <cfRule type="expression" priority="2621" dxfId="56">
      <formula>SEARCH("DA CHIUDERE",$M92)&gt;0</formula>
    </cfRule>
    <cfRule type="expression" priority="2622" dxfId="55">
      <formula>SEARCH("INTERROTTO",$M92)&gt;0</formula>
    </cfRule>
  </conditionalFormatting>
  <conditionalFormatting sqref="G92">
    <cfRule type="expression" priority="2605" dxfId="60">
      <formula>SEARCH("IN CORSO",$M92)&gt;0</formula>
    </cfRule>
    <cfRule type="expression" priority="2606" dxfId="59">
      <formula>SEARCH("CHIUSO",$M92)&gt;0</formula>
    </cfRule>
    <cfRule type="expression" priority="2607" dxfId="58">
      <formula>SEARCH("EMESSO",$M92)&gt;0</formula>
    </cfRule>
    <cfRule type="expression" priority="2608" dxfId="57">
      <formula>SEARCH("RICHIESTO",$M92)&gt;0</formula>
    </cfRule>
    <cfRule type="expression" priority="2609" dxfId="56">
      <formula>SEARCH("DA CHIUDERE",$M92)&gt;0</formula>
    </cfRule>
    <cfRule type="expression" priority="2610" dxfId="55">
      <formula>SEARCH("INTERROTTO",$M92)&gt;0</formula>
    </cfRule>
  </conditionalFormatting>
  <conditionalFormatting sqref="E92">
    <cfRule type="expression" priority="2611" dxfId="60">
      <formula>SEARCH("IN CORSO",$M92)&gt;0</formula>
    </cfRule>
    <cfRule type="expression" priority="2612" dxfId="59">
      <formula>SEARCH("CHIUSO",$M92)&gt;0</formula>
    </cfRule>
    <cfRule type="expression" priority="2613" dxfId="58">
      <formula>SEARCH("EMESSO",$M92)&gt;0</formula>
    </cfRule>
    <cfRule type="expression" priority="2614" dxfId="57">
      <formula>SEARCH("RICHIESTO",$M92)&gt;0</formula>
    </cfRule>
    <cfRule type="expression" priority="2615" dxfId="56">
      <formula>SEARCH("DA CHIUDERE",$M92)&gt;0</formula>
    </cfRule>
    <cfRule type="expression" priority="2616" dxfId="55">
      <formula>SEARCH("INTERROTTO",$M92)&gt;0</formula>
    </cfRule>
  </conditionalFormatting>
  <conditionalFormatting sqref="F92">
    <cfRule type="expression" priority="2599" dxfId="60">
      <formula>SEARCH("IN CORSO",$M92)&gt;0</formula>
    </cfRule>
    <cfRule type="expression" priority="2600" dxfId="59">
      <formula>SEARCH("CHIUSO",$M92)&gt;0</formula>
    </cfRule>
    <cfRule type="expression" priority="2601" dxfId="58">
      <formula>SEARCH("EMESSO",$M92)&gt;0</formula>
    </cfRule>
    <cfRule type="expression" priority="2602" dxfId="57">
      <formula>SEARCH("RICHIESTO",$M92)&gt;0</formula>
    </cfRule>
    <cfRule type="expression" priority="2603" dxfId="56">
      <formula>SEARCH("DA CHIUDERE",$M92)&gt;0</formula>
    </cfRule>
    <cfRule type="expression" priority="2604" dxfId="55">
      <formula>SEARCH("INTERROTTO",$M92)&gt;0</formula>
    </cfRule>
  </conditionalFormatting>
  <conditionalFormatting sqref="E91">
    <cfRule type="expression" priority="2587" dxfId="60">
      <formula>SEARCH("IN CORSO",$M91)&gt;0</formula>
    </cfRule>
    <cfRule type="expression" priority="2588" dxfId="59">
      <formula>SEARCH("CHIUSO",$M91)&gt;0</formula>
    </cfRule>
    <cfRule type="expression" priority="2589" dxfId="58">
      <formula>SEARCH("EMESSO",$M91)&gt;0</formula>
    </cfRule>
    <cfRule type="expression" priority="2590" dxfId="57">
      <formula>SEARCH("RICHIESTO",$M91)&gt;0</formula>
    </cfRule>
    <cfRule type="expression" priority="2591" dxfId="56">
      <formula>SEARCH("DA CHIUDERE",$M91)&gt;0</formula>
    </cfRule>
    <cfRule type="expression" priority="2592" dxfId="55">
      <formula>SEARCH("INTERROTTO",$M91)&gt;0</formula>
    </cfRule>
  </conditionalFormatting>
  <conditionalFormatting sqref="F91">
    <cfRule type="expression" priority="2575" dxfId="60">
      <formula>SEARCH("IN CORSO",$M91)&gt;0</formula>
    </cfRule>
    <cfRule type="expression" priority="2576" dxfId="59">
      <formula>SEARCH("CHIUSO",$M91)&gt;0</formula>
    </cfRule>
    <cfRule type="expression" priority="2577" dxfId="58">
      <formula>SEARCH("EMESSO",$M91)&gt;0</formula>
    </cfRule>
    <cfRule type="expression" priority="2578" dxfId="57">
      <formula>SEARCH("RICHIESTO",$M91)&gt;0</formula>
    </cfRule>
    <cfRule type="expression" priority="2579" dxfId="56">
      <formula>SEARCH("DA CHIUDERE",$M91)&gt;0</formula>
    </cfRule>
    <cfRule type="expression" priority="2580" dxfId="55">
      <formula>SEARCH("INTERROTTO",$M91)&gt;0</formula>
    </cfRule>
  </conditionalFormatting>
  <conditionalFormatting sqref="G91">
    <cfRule type="expression" priority="2581" dxfId="60">
      <formula>SEARCH("IN CORSO",$M91)&gt;0</formula>
    </cfRule>
    <cfRule type="expression" priority="2582" dxfId="59">
      <formula>SEARCH("CHIUSO",$M91)&gt;0</formula>
    </cfRule>
    <cfRule type="expression" priority="2583" dxfId="58">
      <formula>SEARCH("EMESSO",$M91)&gt;0</formula>
    </cfRule>
    <cfRule type="expression" priority="2584" dxfId="57">
      <formula>SEARCH("RICHIESTO",$M91)&gt;0</formula>
    </cfRule>
    <cfRule type="expression" priority="2585" dxfId="56">
      <formula>SEARCH("DA CHIUDERE",$M91)&gt;0</formula>
    </cfRule>
    <cfRule type="expression" priority="2586" dxfId="55">
      <formula>SEARCH("INTERROTTO",$M91)&gt;0</formula>
    </cfRule>
  </conditionalFormatting>
  <conditionalFormatting sqref="N90:S90">
    <cfRule type="expression" priority="2569" dxfId="60">
      <formula>SEARCH("IN CORSO",$M90)&gt;0</formula>
    </cfRule>
    <cfRule type="expression" priority="2570" dxfId="59">
      <formula>SEARCH("CHIUSO",$M90)&gt;0</formula>
    </cfRule>
    <cfRule type="expression" priority="2571" dxfId="58">
      <formula>SEARCH("EMESSO",$M90)&gt;0</formula>
    </cfRule>
    <cfRule type="expression" priority="2572" dxfId="57">
      <formula>SEARCH("RICHIESTO",$M90)&gt;0</formula>
    </cfRule>
    <cfRule type="expression" priority="2573" dxfId="56">
      <formula>SEARCH("DA CHIUDERE",$M90)&gt;0</formula>
    </cfRule>
    <cfRule type="expression" priority="2574" dxfId="55">
      <formula>SEARCH("INTERROTTO",$M90)&gt;0</formula>
    </cfRule>
  </conditionalFormatting>
  <conditionalFormatting sqref="G90">
    <cfRule type="expression" priority="2557" dxfId="60">
      <formula>SEARCH("IN CORSO",$M90)&gt;0</formula>
    </cfRule>
    <cfRule type="expression" priority="2558" dxfId="59">
      <formula>SEARCH("CHIUSO",$M90)&gt;0</formula>
    </cfRule>
    <cfRule type="expression" priority="2559" dxfId="58">
      <formula>SEARCH("EMESSO",$M90)&gt;0</formula>
    </cfRule>
    <cfRule type="expression" priority="2560" dxfId="57">
      <formula>SEARCH("RICHIESTO",$M90)&gt;0</formula>
    </cfRule>
    <cfRule type="expression" priority="2561" dxfId="56">
      <formula>SEARCH("DA CHIUDERE",$M90)&gt;0</formula>
    </cfRule>
    <cfRule type="expression" priority="2562" dxfId="55">
      <formula>SEARCH("INTERROTTO",$M90)&gt;0</formula>
    </cfRule>
  </conditionalFormatting>
  <conditionalFormatting sqref="N89:S89">
    <cfRule type="expression" priority="2545" dxfId="60">
      <formula>SEARCH("IN CORSO",$M89)&gt;0</formula>
    </cfRule>
    <cfRule type="expression" priority="2546" dxfId="59">
      <formula>SEARCH("CHIUSO",$M89)&gt;0</formula>
    </cfRule>
    <cfRule type="expression" priority="2547" dxfId="58">
      <formula>SEARCH("EMESSO",$M89)&gt;0</formula>
    </cfRule>
    <cfRule type="expression" priority="2548" dxfId="57">
      <formula>SEARCH("RICHIESTO",$M89)&gt;0</formula>
    </cfRule>
    <cfRule type="expression" priority="2549" dxfId="56">
      <formula>SEARCH("DA CHIUDERE",$M89)&gt;0</formula>
    </cfRule>
    <cfRule type="expression" priority="2550" dxfId="55">
      <formula>SEARCH("INTERROTTO",$M89)&gt;0</formula>
    </cfRule>
  </conditionalFormatting>
  <conditionalFormatting sqref="F90">
    <cfRule type="expression" priority="2551" dxfId="60">
      <formula>SEARCH("IN CORSO",$M90)&gt;0</formula>
    </cfRule>
    <cfRule type="expression" priority="2552" dxfId="59">
      <formula>SEARCH("CHIUSO",$M90)&gt;0</formula>
    </cfRule>
    <cfRule type="expression" priority="2553" dxfId="58">
      <formula>SEARCH("EMESSO",$M90)&gt;0</formula>
    </cfRule>
    <cfRule type="expression" priority="2554" dxfId="57">
      <formula>SEARCH("RICHIESTO",$M90)&gt;0</formula>
    </cfRule>
    <cfRule type="expression" priority="2555" dxfId="56">
      <formula>SEARCH("DA CHIUDERE",$M90)&gt;0</formula>
    </cfRule>
    <cfRule type="expression" priority="2556" dxfId="55">
      <formula>SEARCH("INTERROTTO",$M90)&gt;0</formula>
    </cfRule>
  </conditionalFormatting>
  <conditionalFormatting sqref="E89">
    <cfRule type="expression" priority="2539" dxfId="60">
      <formula>SEARCH("IN CORSO",$M89)&gt;0</formula>
    </cfRule>
    <cfRule type="expression" priority="2540" dxfId="59">
      <formula>SEARCH("CHIUSO",$M89)&gt;0</formula>
    </cfRule>
    <cfRule type="expression" priority="2541" dxfId="58">
      <formula>SEARCH("EMESSO",$M89)&gt;0</formula>
    </cfRule>
    <cfRule type="expression" priority="2542" dxfId="57">
      <formula>SEARCH("RICHIESTO",$M89)&gt;0</formula>
    </cfRule>
    <cfRule type="expression" priority="2543" dxfId="56">
      <formula>SEARCH("DA CHIUDERE",$M89)&gt;0</formula>
    </cfRule>
    <cfRule type="expression" priority="2544" dxfId="55">
      <formula>SEARCH("INTERROTTO",$M89)&gt;0</formula>
    </cfRule>
  </conditionalFormatting>
  <conditionalFormatting sqref="F89">
    <cfRule type="expression" priority="2527" dxfId="60">
      <formula>SEARCH("IN CORSO",$M89)&gt;0</formula>
    </cfRule>
    <cfRule type="expression" priority="2528" dxfId="59">
      <formula>SEARCH("CHIUSO",$M89)&gt;0</formula>
    </cfRule>
    <cfRule type="expression" priority="2529" dxfId="58">
      <formula>SEARCH("EMESSO",$M89)&gt;0</formula>
    </cfRule>
    <cfRule type="expression" priority="2530" dxfId="57">
      <formula>SEARCH("RICHIESTO",$M89)&gt;0</formula>
    </cfRule>
    <cfRule type="expression" priority="2531" dxfId="56">
      <formula>SEARCH("DA CHIUDERE",$M89)&gt;0</formula>
    </cfRule>
    <cfRule type="expression" priority="2532" dxfId="55">
      <formula>SEARCH("INTERROTTO",$M89)&gt;0</formula>
    </cfRule>
  </conditionalFormatting>
  <conditionalFormatting sqref="E88">
    <cfRule type="expression" priority="2515" dxfId="60">
      <formula>SEARCH("IN CORSO",$M88)&gt;0</formula>
    </cfRule>
    <cfRule type="expression" priority="2516" dxfId="59">
      <formula>SEARCH("CHIUSO",$M88)&gt;0</formula>
    </cfRule>
    <cfRule type="expression" priority="2517" dxfId="58">
      <formula>SEARCH("EMESSO",$M88)&gt;0</formula>
    </cfRule>
    <cfRule type="expression" priority="2518" dxfId="57">
      <formula>SEARCH("RICHIESTO",$M88)&gt;0</formula>
    </cfRule>
    <cfRule type="expression" priority="2519" dxfId="56">
      <formula>SEARCH("DA CHIUDERE",$M88)&gt;0</formula>
    </cfRule>
    <cfRule type="expression" priority="2520" dxfId="55">
      <formula>SEARCH("INTERROTTO",$M88)&gt;0</formula>
    </cfRule>
  </conditionalFormatting>
  <conditionalFormatting sqref="N88:S88">
    <cfRule type="expression" priority="2521" dxfId="60">
      <formula>SEARCH("IN CORSO",$M88)&gt;0</formula>
    </cfRule>
    <cfRule type="expression" priority="2522" dxfId="59">
      <formula>SEARCH("CHIUSO",$M88)&gt;0</formula>
    </cfRule>
    <cfRule type="expression" priority="2523" dxfId="58">
      <formula>SEARCH("EMESSO",$M88)&gt;0</formula>
    </cfRule>
    <cfRule type="expression" priority="2524" dxfId="57">
      <formula>SEARCH("RICHIESTO",$M88)&gt;0</formula>
    </cfRule>
    <cfRule type="expression" priority="2525" dxfId="56">
      <formula>SEARCH("DA CHIUDERE",$M88)&gt;0</formula>
    </cfRule>
    <cfRule type="expression" priority="2526" dxfId="55">
      <formula>SEARCH("INTERROTTO",$M88)&gt;0</formula>
    </cfRule>
  </conditionalFormatting>
  <conditionalFormatting sqref="G88">
    <cfRule type="expression" priority="2509" dxfId="60">
      <formula>SEARCH("IN CORSO",$M88)&gt;0</formula>
    </cfRule>
    <cfRule type="expression" priority="2510" dxfId="59">
      <formula>SEARCH("CHIUSO",$M88)&gt;0</formula>
    </cfRule>
    <cfRule type="expression" priority="2511" dxfId="58">
      <formula>SEARCH("EMESSO",$M88)&gt;0</formula>
    </cfRule>
    <cfRule type="expression" priority="2512" dxfId="57">
      <formula>SEARCH("RICHIESTO",$M88)&gt;0</formula>
    </cfRule>
    <cfRule type="expression" priority="2513" dxfId="56">
      <formula>SEARCH("DA CHIUDERE",$M88)&gt;0</formula>
    </cfRule>
    <cfRule type="expression" priority="2514" dxfId="55">
      <formula>SEARCH("INTERROTTO",$M88)&gt;0</formula>
    </cfRule>
  </conditionalFormatting>
  <conditionalFormatting sqref="N87:S87">
    <cfRule type="expression" priority="2497" dxfId="60">
      <formula>SEARCH("IN CORSO",$M87)&gt;0</formula>
    </cfRule>
    <cfRule type="expression" priority="2498" dxfId="59">
      <formula>SEARCH("CHIUSO",$M87)&gt;0</formula>
    </cfRule>
    <cfRule type="expression" priority="2499" dxfId="58">
      <formula>SEARCH("EMESSO",$M87)&gt;0</formula>
    </cfRule>
    <cfRule type="expression" priority="2500" dxfId="57">
      <formula>SEARCH("RICHIESTO",$M87)&gt;0</formula>
    </cfRule>
    <cfRule type="expression" priority="2501" dxfId="56">
      <formula>SEARCH("DA CHIUDERE",$M87)&gt;0</formula>
    </cfRule>
    <cfRule type="expression" priority="2502" dxfId="55">
      <formula>SEARCH("INTERROTTO",$M87)&gt;0</formula>
    </cfRule>
  </conditionalFormatting>
  <conditionalFormatting sqref="G87">
    <cfRule type="expression" priority="2485" dxfId="60">
      <formula>SEARCH("IN CORSO",$M87)&gt;0</formula>
    </cfRule>
    <cfRule type="expression" priority="2486" dxfId="59">
      <formula>SEARCH("CHIUSO",$M87)&gt;0</formula>
    </cfRule>
    <cfRule type="expression" priority="2487" dxfId="58">
      <formula>SEARCH("EMESSO",$M87)&gt;0</formula>
    </cfRule>
    <cfRule type="expression" priority="2488" dxfId="57">
      <formula>SEARCH("RICHIESTO",$M87)&gt;0</formula>
    </cfRule>
    <cfRule type="expression" priority="2489" dxfId="56">
      <formula>SEARCH("DA CHIUDERE",$M87)&gt;0</formula>
    </cfRule>
    <cfRule type="expression" priority="2490" dxfId="55">
      <formula>SEARCH("INTERROTTO",$M87)&gt;0</formula>
    </cfRule>
  </conditionalFormatting>
  <conditionalFormatting sqref="E87">
    <cfRule type="expression" priority="2491" dxfId="60">
      <formula>SEARCH("IN CORSO",$M87)&gt;0</formula>
    </cfRule>
    <cfRule type="expression" priority="2492" dxfId="59">
      <formula>SEARCH("CHIUSO",$M87)&gt;0</formula>
    </cfRule>
    <cfRule type="expression" priority="2493" dxfId="58">
      <formula>SEARCH("EMESSO",$M87)&gt;0</formula>
    </cfRule>
    <cfRule type="expression" priority="2494" dxfId="57">
      <formula>SEARCH("RICHIESTO",$M87)&gt;0</formula>
    </cfRule>
    <cfRule type="expression" priority="2495" dxfId="56">
      <formula>SEARCH("DA CHIUDERE",$M87)&gt;0</formula>
    </cfRule>
    <cfRule type="expression" priority="2496" dxfId="55">
      <formula>SEARCH("INTERROTTO",$M87)&gt;0</formula>
    </cfRule>
  </conditionalFormatting>
  <conditionalFormatting sqref="F87">
    <cfRule type="expression" priority="2479" dxfId="60">
      <formula>SEARCH("IN CORSO",$M87)&gt;0</formula>
    </cfRule>
    <cfRule type="expression" priority="2480" dxfId="59">
      <formula>SEARCH("CHIUSO",$M87)&gt;0</formula>
    </cfRule>
    <cfRule type="expression" priority="2481" dxfId="58">
      <formula>SEARCH("EMESSO",$M87)&gt;0</formula>
    </cfRule>
    <cfRule type="expression" priority="2482" dxfId="57">
      <formula>SEARCH("RICHIESTO",$M87)&gt;0</formula>
    </cfRule>
    <cfRule type="expression" priority="2483" dxfId="56">
      <formula>SEARCH("DA CHIUDERE",$M87)&gt;0</formula>
    </cfRule>
    <cfRule type="expression" priority="2484" dxfId="55">
      <formula>SEARCH("INTERROTTO",$M87)&gt;0</formula>
    </cfRule>
  </conditionalFormatting>
  <conditionalFormatting sqref="E86">
    <cfRule type="expression" priority="2467" dxfId="60">
      <formula>SEARCH("IN CORSO",$M86)&gt;0</formula>
    </cfRule>
    <cfRule type="expression" priority="2468" dxfId="59">
      <formula>SEARCH("CHIUSO",$M86)&gt;0</formula>
    </cfRule>
    <cfRule type="expression" priority="2469" dxfId="58">
      <formula>SEARCH("EMESSO",$M86)&gt;0</formula>
    </cfRule>
    <cfRule type="expression" priority="2470" dxfId="57">
      <formula>SEARCH("RICHIESTO",$M86)&gt;0</formula>
    </cfRule>
    <cfRule type="expression" priority="2471" dxfId="56">
      <formula>SEARCH("DA CHIUDERE",$M86)&gt;0</formula>
    </cfRule>
    <cfRule type="expression" priority="2472" dxfId="55">
      <formula>SEARCH("INTERROTTO",$M86)&gt;0</formula>
    </cfRule>
  </conditionalFormatting>
  <conditionalFormatting sqref="F86">
    <cfRule type="expression" priority="2455" dxfId="60">
      <formula>SEARCH("IN CORSO",$M86)&gt;0</formula>
    </cfRule>
    <cfRule type="expression" priority="2456" dxfId="59">
      <formula>SEARCH("CHIUSO",$M86)&gt;0</formula>
    </cfRule>
    <cfRule type="expression" priority="2457" dxfId="58">
      <formula>SEARCH("EMESSO",$M86)&gt;0</formula>
    </cfRule>
    <cfRule type="expression" priority="2458" dxfId="57">
      <formula>SEARCH("RICHIESTO",$M86)&gt;0</formula>
    </cfRule>
    <cfRule type="expression" priority="2459" dxfId="56">
      <formula>SEARCH("DA CHIUDERE",$M86)&gt;0</formula>
    </cfRule>
    <cfRule type="expression" priority="2460" dxfId="55">
      <formula>SEARCH("INTERROTTO",$M86)&gt;0</formula>
    </cfRule>
  </conditionalFormatting>
  <conditionalFormatting sqref="G86">
    <cfRule type="expression" priority="2461" dxfId="60">
      <formula>SEARCH("IN CORSO",$M86)&gt;0</formula>
    </cfRule>
    <cfRule type="expression" priority="2462" dxfId="59">
      <formula>SEARCH("CHIUSO",$M86)&gt;0</formula>
    </cfRule>
    <cfRule type="expression" priority="2463" dxfId="58">
      <formula>SEARCH("EMESSO",$M86)&gt;0</formula>
    </cfRule>
    <cfRule type="expression" priority="2464" dxfId="57">
      <formula>SEARCH("RICHIESTO",$M86)&gt;0</formula>
    </cfRule>
    <cfRule type="expression" priority="2465" dxfId="56">
      <formula>SEARCH("DA CHIUDERE",$M86)&gt;0</formula>
    </cfRule>
    <cfRule type="expression" priority="2466" dxfId="55">
      <formula>SEARCH("INTERROTTO",$M86)&gt;0</formula>
    </cfRule>
  </conditionalFormatting>
  <conditionalFormatting sqref="N85:S85">
    <cfRule type="expression" priority="2449" dxfId="60">
      <formula>SEARCH("IN CORSO",$M85)&gt;0</formula>
    </cfRule>
    <cfRule type="expression" priority="2450" dxfId="59">
      <formula>SEARCH("CHIUSO",$M85)&gt;0</formula>
    </cfRule>
    <cfRule type="expression" priority="2451" dxfId="58">
      <formula>SEARCH("EMESSO",$M85)&gt;0</formula>
    </cfRule>
    <cfRule type="expression" priority="2452" dxfId="57">
      <formula>SEARCH("RICHIESTO",$M85)&gt;0</formula>
    </cfRule>
    <cfRule type="expression" priority="2453" dxfId="56">
      <formula>SEARCH("DA CHIUDERE",$M85)&gt;0</formula>
    </cfRule>
    <cfRule type="expression" priority="2454" dxfId="55">
      <formula>SEARCH("INTERROTTO",$M85)&gt;0</formula>
    </cfRule>
  </conditionalFormatting>
  <conditionalFormatting sqref="G85">
    <cfRule type="expression" priority="2437" dxfId="60">
      <formula>SEARCH("IN CORSO",$M85)&gt;0</formula>
    </cfRule>
    <cfRule type="expression" priority="2438" dxfId="59">
      <formula>SEARCH("CHIUSO",$M85)&gt;0</formula>
    </cfRule>
    <cfRule type="expression" priority="2439" dxfId="58">
      <formula>SEARCH("EMESSO",$M85)&gt;0</formula>
    </cfRule>
    <cfRule type="expression" priority="2440" dxfId="57">
      <formula>SEARCH("RICHIESTO",$M85)&gt;0</formula>
    </cfRule>
    <cfRule type="expression" priority="2441" dxfId="56">
      <formula>SEARCH("DA CHIUDERE",$M85)&gt;0</formula>
    </cfRule>
    <cfRule type="expression" priority="2442" dxfId="55">
      <formula>SEARCH("INTERROTTO",$M85)&gt;0</formula>
    </cfRule>
  </conditionalFormatting>
  <conditionalFormatting sqref="N84:S84">
    <cfRule type="expression" priority="2425" dxfId="60">
      <formula>SEARCH("IN CORSO",$M84)&gt;0</formula>
    </cfRule>
    <cfRule type="expression" priority="2426" dxfId="59">
      <formula>SEARCH("CHIUSO",$M84)&gt;0</formula>
    </cfRule>
    <cfRule type="expression" priority="2427" dxfId="58">
      <formula>SEARCH("EMESSO",$M84)&gt;0</formula>
    </cfRule>
    <cfRule type="expression" priority="2428" dxfId="57">
      <formula>SEARCH("RICHIESTO",$M84)&gt;0</formula>
    </cfRule>
    <cfRule type="expression" priority="2429" dxfId="56">
      <formula>SEARCH("DA CHIUDERE",$M84)&gt;0</formula>
    </cfRule>
    <cfRule type="expression" priority="2430" dxfId="55">
      <formula>SEARCH("INTERROTTO",$M84)&gt;0</formula>
    </cfRule>
  </conditionalFormatting>
  <conditionalFormatting sqref="F85">
    <cfRule type="expression" priority="2431" dxfId="60">
      <formula>SEARCH("IN CORSO",$M85)&gt;0</formula>
    </cfRule>
    <cfRule type="expression" priority="2432" dxfId="59">
      <formula>SEARCH("CHIUSO",$M85)&gt;0</formula>
    </cfRule>
    <cfRule type="expression" priority="2433" dxfId="58">
      <formula>SEARCH("EMESSO",$M85)&gt;0</formula>
    </cfRule>
    <cfRule type="expression" priority="2434" dxfId="57">
      <formula>SEARCH("RICHIESTO",$M85)&gt;0</formula>
    </cfRule>
    <cfRule type="expression" priority="2435" dxfId="56">
      <formula>SEARCH("DA CHIUDERE",$M85)&gt;0</formula>
    </cfRule>
    <cfRule type="expression" priority="2436" dxfId="55">
      <formula>SEARCH("INTERROTTO",$M85)&gt;0</formula>
    </cfRule>
  </conditionalFormatting>
  <conditionalFormatting sqref="E84">
    <cfRule type="expression" priority="2419" dxfId="60">
      <formula>SEARCH("IN CORSO",$M84)&gt;0</formula>
    </cfRule>
    <cfRule type="expression" priority="2420" dxfId="59">
      <formula>SEARCH("CHIUSO",$M84)&gt;0</formula>
    </cfRule>
    <cfRule type="expression" priority="2421" dxfId="58">
      <formula>SEARCH("EMESSO",$M84)&gt;0</formula>
    </cfRule>
    <cfRule type="expression" priority="2422" dxfId="57">
      <formula>SEARCH("RICHIESTO",$M84)&gt;0</formula>
    </cfRule>
    <cfRule type="expression" priority="2423" dxfId="56">
      <formula>SEARCH("DA CHIUDERE",$M84)&gt;0</formula>
    </cfRule>
    <cfRule type="expression" priority="2424" dxfId="55">
      <formula>SEARCH("INTERROTTO",$M84)&gt;0</formula>
    </cfRule>
  </conditionalFormatting>
  <conditionalFormatting sqref="M83">
    <cfRule type="expression" priority="2401" dxfId="60">
      <formula>SEARCH("IN CORSO",$M83)&gt;0</formula>
    </cfRule>
    <cfRule type="expression" priority="2402" dxfId="59">
      <formula>SEARCH("CHIUSO",$M83)&gt;0</formula>
    </cfRule>
    <cfRule type="expression" priority="2403" dxfId="58">
      <formula>SEARCH("EMESSO",$M83)&gt;0</formula>
    </cfRule>
    <cfRule type="expression" priority="2404" dxfId="57">
      <formula>SEARCH("RICHIESTO",$M83)&gt;0</formula>
    </cfRule>
    <cfRule type="expression" priority="2405" dxfId="56">
      <formula>SEARCH("DA CHIUDERE",$M83)&gt;0</formula>
    </cfRule>
    <cfRule type="expression" priority="2406" dxfId="55">
      <formula>SEARCH("INTERROTTO",$M83)&gt;0</formula>
    </cfRule>
  </conditionalFormatting>
  <conditionalFormatting sqref="N83:S83">
    <cfRule type="expression" priority="2395" dxfId="60">
      <formula>SEARCH("IN CORSO",$M83)&gt;0</formula>
    </cfRule>
    <cfRule type="expression" priority="2396" dxfId="59">
      <formula>SEARCH("CHIUSO",$M83)&gt;0</formula>
    </cfRule>
    <cfRule type="expression" priority="2397" dxfId="58">
      <formula>SEARCH("EMESSO",$M83)&gt;0</formula>
    </cfRule>
    <cfRule type="expression" priority="2398" dxfId="57">
      <formula>SEARCH("RICHIESTO",$M83)&gt;0</formula>
    </cfRule>
    <cfRule type="expression" priority="2399" dxfId="56">
      <formula>SEARCH("DA CHIUDERE",$M83)&gt;0</formula>
    </cfRule>
    <cfRule type="expression" priority="2400" dxfId="55">
      <formula>SEARCH("INTERROTTO",$M83)&gt;0</formula>
    </cfRule>
  </conditionalFormatting>
  <conditionalFormatting sqref="G83">
    <cfRule type="expression" priority="2383" dxfId="60">
      <formula>SEARCH("IN CORSO",$M83)&gt;0</formula>
    </cfRule>
    <cfRule type="expression" priority="2384" dxfId="59">
      <formula>SEARCH("CHIUSO",$M83)&gt;0</formula>
    </cfRule>
    <cfRule type="expression" priority="2385" dxfId="58">
      <formula>SEARCH("EMESSO",$M83)&gt;0</formula>
    </cfRule>
    <cfRule type="expression" priority="2386" dxfId="57">
      <formula>SEARCH("RICHIESTO",$M83)&gt;0</formula>
    </cfRule>
    <cfRule type="expression" priority="2387" dxfId="56">
      <formula>SEARCH("DA CHIUDERE",$M83)&gt;0</formula>
    </cfRule>
    <cfRule type="expression" priority="2388" dxfId="55">
      <formula>SEARCH("INTERROTTO",$M83)&gt;0</formula>
    </cfRule>
  </conditionalFormatting>
  <conditionalFormatting sqref="E83">
    <cfRule type="expression" priority="2389" dxfId="60">
      <formula>SEARCH("IN CORSO",$M83)&gt;0</formula>
    </cfRule>
    <cfRule type="expression" priority="2390" dxfId="59">
      <formula>SEARCH("CHIUSO",$M83)&gt;0</formula>
    </cfRule>
    <cfRule type="expression" priority="2391" dxfId="58">
      <formula>SEARCH("EMESSO",$M83)&gt;0</formula>
    </cfRule>
    <cfRule type="expression" priority="2392" dxfId="57">
      <formula>SEARCH("RICHIESTO",$M83)&gt;0</formula>
    </cfRule>
    <cfRule type="expression" priority="2393" dxfId="56">
      <formula>SEARCH("DA CHIUDERE",$M83)&gt;0</formula>
    </cfRule>
    <cfRule type="expression" priority="2394" dxfId="55">
      <formula>SEARCH("INTERROTTO",$M83)&gt;0</formula>
    </cfRule>
  </conditionalFormatting>
  <conditionalFormatting sqref="F83">
    <cfRule type="expression" priority="2377" dxfId="60">
      <formula>SEARCH("IN CORSO",$M83)&gt;0</formula>
    </cfRule>
    <cfRule type="expression" priority="2378" dxfId="59">
      <formula>SEARCH("CHIUSO",$M83)&gt;0</formula>
    </cfRule>
    <cfRule type="expression" priority="2379" dxfId="58">
      <formula>SEARCH("EMESSO",$M83)&gt;0</formula>
    </cfRule>
    <cfRule type="expression" priority="2380" dxfId="57">
      <formula>SEARCH("RICHIESTO",$M83)&gt;0</formula>
    </cfRule>
    <cfRule type="expression" priority="2381" dxfId="56">
      <formula>SEARCH("DA CHIUDERE",$M83)&gt;0</formula>
    </cfRule>
    <cfRule type="expression" priority="2382" dxfId="55">
      <formula>SEARCH("INTERROTTO",$M83)&gt;0</formula>
    </cfRule>
  </conditionalFormatting>
  <conditionalFormatting sqref="M82">
    <cfRule type="expression" priority="2371" dxfId="60">
      <formula>SEARCH("IN CORSO",$M82)&gt;0</formula>
    </cfRule>
    <cfRule type="expression" priority="2372" dxfId="59">
      <formula>SEARCH("CHIUSO",$M82)&gt;0</formula>
    </cfRule>
    <cfRule type="expression" priority="2373" dxfId="58">
      <formula>SEARCH("EMESSO",$M82)&gt;0</formula>
    </cfRule>
    <cfRule type="expression" priority="2374" dxfId="57">
      <formula>SEARCH("RICHIESTO",$M82)&gt;0</formula>
    </cfRule>
    <cfRule type="expression" priority="2375" dxfId="56">
      <formula>SEARCH("DA CHIUDERE",$M82)&gt;0</formula>
    </cfRule>
    <cfRule type="expression" priority="2376" dxfId="55">
      <formula>SEARCH("INTERROTTO",$M82)&gt;0</formula>
    </cfRule>
  </conditionalFormatting>
  <conditionalFormatting sqref="N82:S82">
    <cfRule type="expression" priority="2365" dxfId="60">
      <formula>SEARCH("IN CORSO",$M82)&gt;0</formula>
    </cfRule>
    <cfRule type="expression" priority="2366" dxfId="59">
      <formula>SEARCH("CHIUSO",$M82)&gt;0</formula>
    </cfRule>
    <cfRule type="expression" priority="2367" dxfId="58">
      <formula>SEARCH("EMESSO",$M82)&gt;0</formula>
    </cfRule>
    <cfRule type="expression" priority="2368" dxfId="57">
      <formula>SEARCH("RICHIESTO",$M82)&gt;0</formula>
    </cfRule>
    <cfRule type="expression" priority="2369" dxfId="56">
      <formula>SEARCH("DA CHIUDERE",$M82)&gt;0</formula>
    </cfRule>
    <cfRule type="expression" priority="2370" dxfId="55">
      <formula>SEARCH("INTERROTTO",$M82)&gt;0</formula>
    </cfRule>
  </conditionalFormatting>
  <conditionalFormatting sqref="G82">
    <cfRule type="expression" priority="2353" dxfId="60">
      <formula>SEARCH("IN CORSO",$M82)&gt;0</formula>
    </cfRule>
    <cfRule type="expression" priority="2354" dxfId="59">
      <formula>SEARCH("CHIUSO",$M82)&gt;0</formula>
    </cfRule>
    <cfRule type="expression" priority="2355" dxfId="58">
      <formula>SEARCH("EMESSO",$M82)&gt;0</formula>
    </cfRule>
    <cfRule type="expression" priority="2356" dxfId="57">
      <formula>SEARCH("RICHIESTO",$M82)&gt;0</formula>
    </cfRule>
    <cfRule type="expression" priority="2357" dxfId="56">
      <formula>SEARCH("DA CHIUDERE",$M82)&gt;0</formula>
    </cfRule>
    <cfRule type="expression" priority="2358" dxfId="55">
      <formula>SEARCH("INTERROTTO",$M82)&gt;0</formula>
    </cfRule>
  </conditionalFormatting>
  <conditionalFormatting sqref="E82">
    <cfRule type="expression" priority="2359" dxfId="60">
      <formula>SEARCH("IN CORSO",$M82)&gt;0</formula>
    </cfRule>
    <cfRule type="expression" priority="2360" dxfId="59">
      <formula>SEARCH("CHIUSO",$M82)&gt;0</formula>
    </cfRule>
    <cfRule type="expression" priority="2361" dxfId="58">
      <formula>SEARCH("EMESSO",$M82)&gt;0</formula>
    </cfRule>
    <cfRule type="expression" priority="2362" dxfId="57">
      <formula>SEARCH("RICHIESTO",$M82)&gt;0</formula>
    </cfRule>
    <cfRule type="expression" priority="2363" dxfId="56">
      <formula>SEARCH("DA CHIUDERE",$M82)&gt;0</formula>
    </cfRule>
    <cfRule type="expression" priority="2364" dxfId="55">
      <formula>SEARCH("INTERROTTO",$M82)&gt;0</formula>
    </cfRule>
  </conditionalFormatting>
  <conditionalFormatting sqref="F82">
    <cfRule type="expression" priority="2347" dxfId="60">
      <formula>SEARCH("IN CORSO",$M82)&gt;0</formula>
    </cfRule>
    <cfRule type="expression" priority="2348" dxfId="59">
      <formula>SEARCH("CHIUSO",$M82)&gt;0</formula>
    </cfRule>
    <cfRule type="expression" priority="2349" dxfId="58">
      <formula>SEARCH("EMESSO",$M82)&gt;0</formula>
    </cfRule>
    <cfRule type="expression" priority="2350" dxfId="57">
      <formula>SEARCH("RICHIESTO",$M82)&gt;0</formula>
    </cfRule>
    <cfRule type="expression" priority="2351" dxfId="56">
      <formula>SEARCH("DA CHIUDERE",$M82)&gt;0</formula>
    </cfRule>
    <cfRule type="expression" priority="2352" dxfId="55">
      <formula>SEARCH("INTERROTTO",$M82)&gt;0</formula>
    </cfRule>
  </conditionalFormatting>
  <conditionalFormatting sqref="M81">
    <cfRule type="expression" priority="2341" dxfId="60">
      <formula>SEARCH("IN CORSO",$M81)&gt;0</formula>
    </cfRule>
    <cfRule type="expression" priority="2342" dxfId="59">
      <formula>SEARCH("CHIUSO",$M81)&gt;0</formula>
    </cfRule>
    <cfRule type="expression" priority="2343" dxfId="58">
      <formula>SEARCH("EMESSO",$M81)&gt;0</formula>
    </cfRule>
    <cfRule type="expression" priority="2344" dxfId="57">
      <formula>SEARCH("RICHIESTO",$M81)&gt;0</formula>
    </cfRule>
    <cfRule type="expression" priority="2345" dxfId="56">
      <formula>SEARCH("DA CHIUDERE",$M81)&gt;0</formula>
    </cfRule>
    <cfRule type="expression" priority="2346" dxfId="55">
      <formula>SEARCH("INTERROTTO",$M81)&gt;0</formula>
    </cfRule>
  </conditionalFormatting>
  <conditionalFormatting sqref="N81:S81">
    <cfRule type="expression" priority="2335" dxfId="60">
      <formula>SEARCH("IN CORSO",$M81)&gt;0</formula>
    </cfRule>
    <cfRule type="expression" priority="2336" dxfId="59">
      <formula>SEARCH("CHIUSO",$M81)&gt;0</formula>
    </cfRule>
    <cfRule type="expression" priority="2337" dxfId="58">
      <formula>SEARCH("EMESSO",$M81)&gt;0</formula>
    </cfRule>
    <cfRule type="expression" priority="2338" dxfId="57">
      <formula>SEARCH("RICHIESTO",$M81)&gt;0</formula>
    </cfRule>
    <cfRule type="expression" priority="2339" dxfId="56">
      <formula>SEARCH("DA CHIUDERE",$M81)&gt;0</formula>
    </cfRule>
    <cfRule type="expression" priority="2340" dxfId="55">
      <formula>SEARCH("INTERROTTO",$M81)&gt;0</formula>
    </cfRule>
  </conditionalFormatting>
  <conditionalFormatting sqref="G81">
    <cfRule type="expression" priority="2323" dxfId="60">
      <formula>SEARCH("IN CORSO",$M81)&gt;0</formula>
    </cfRule>
    <cfRule type="expression" priority="2324" dxfId="59">
      <formula>SEARCH("CHIUSO",$M81)&gt;0</formula>
    </cfRule>
    <cfRule type="expression" priority="2325" dxfId="58">
      <formula>SEARCH("EMESSO",$M81)&gt;0</formula>
    </cfRule>
    <cfRule type="expression" priority="2326" dxfId="57">
      <formula>SEARCH("RICHIESTO",$M81)&gt;0</formula>
    </cfRule>
    <cfRule type="expression" priority="2327" dxfId="56">
      <formula>SEARCH("DA CHIUDERE",$M81)&gt;0</formula>
    </cfRule>
    <cfRule type="expression" priority="2328" dxfId="55">
      <formula>SEARCH("INTERROTTO",$M81)&gt;0</formula>
    </cfRule>
  </conditionalFormatting>
  <conditionalFormatting sqref="E81">
    <cfRule type="expression" priority="2329" dxfId="60">
      <formula>SEARCH("IN CORSO",$M81)&gt;0</formula>
    </cfRule>
    <cfRule type="expression" priority="2330" dxfId="59">
      <formula>SEARCH("CHIUSO",$M81)&gt;0</formula>
    </cfRule>
    <cfRule type="expression" priority="2331" dxfId="58">
      <formula>SEARCH("EMESSO",$M81)&gt;0</formula>
    </cfRule>
    <cfRule type="expression" priority="2332" dxfId="57">
      <formula>SEARCH("RICHIESTO",$M81)&gt;0</formula>
    </cfRule>
    <cfRule type="expression" priority="2333" dxfId="56">
      <formula>SEARCH("DA CHIUDERE",$M81)&gt;0</formula>
    </cfRule>
    <cfRule type="expression" priority="2334" dxfId="55">
      <formula>SEARCH("INTERROTTO",$M81)&gt;0</formula>
    </cfRule>
  </conditionalFormatting>
  <conditionalFormatting sqref="F81">
    <cfRule type="expression" priority="2317" dxfId="60">
      <formula>SEARCH("IN CORSO",$M81)&gt;0</formula>
    </cfRule>
    <cfRule type="expression" priority="2318" dxfId="59">
      <formula>SEARCH("CHIUSO",$M81)&gt;0</formula>
    </cfRule>
    <cfRule type="expression" priority="2319" dxfId="58">
      <formula>SEARCH("EMESSO",$M81)&gt;0</formula>
    </cfRule>
    <cfRule type="expression" priority="2320" dxfId="57">
      <formula>SEARCH("RICHIESTO",$M81)&gt;0</formula>
    </cfRule>
    <cfRule type="expression" priority="2321" dxfId="56">
      <formula>SEARCH("DA CHIUDERE",$M81)&gt;0</formula>
    </cfRule>
    <cfRule type="expression" priority="2322" dxfId="55">
      <formula>SEARCH("INTERROTTO",$M81)&gt;0</formula>
    </cfRule>
  </conditionalFormatting>
  <conditionalFormatting sqref="M80">
    <cfRule type="expression" priority="2311" dxfId="60">
      <formula>SEARCH("IN CORSO",$M80)&gt;0</formula>
    </cfRule>
    <cfRule type="expression" priority="2312" dxfId="59">
      <formula>SEARCH("CHIUSO",$M80)&gt;0</formula>
    </cfRule>
    <cfRule type="expression" priority="2313" dxfId="58">
      <formula>SEARCH("EMESSO",$M80)&gt;0</formula>
    </cfRule>
    <cfRule type="expression" priority="2314" dxfId="57">
      <formula>SEARCH("RICHIESTO",$M80)&gt;0</formula>
    </cfRule>
    <cfRule type="expression" priority="2315" dxfId="56">
      <formula>SEARCH("DA CHIUDERE",$M80)&gt;0</formula>
    </cfRule>
    <cfRule type="expression" priority="2316" dxfId="55">
      <formula>SEARCH("INTERROTTO",$M80)&gt;0</formula>
    </cfRule>
  </conditionalFormatting>
  <conditionalFormatting sqref="N80:S80">
    <cfRule type="expression" priority="2305" dxfId="60">
      <formula>SEARCH("IN CORSO",$M80)&gt;0</formula>
    </cfRule>
    <cfRule type="expression" priority="2306" dxfId="59">
      <formula>SEARCH("CHIUSO",$M80)&gt;0</formula>
    </cfRule>
    <cfRule type="expression" priority="2307" dxfId="58">
      <formula>SEARCH("EMESSO",$M80)&gt;0</formula>
    </cfRule>
    <cfRule type="expression" priority="2308" dxfId="57">
      <formula>SEARCH("RICHIESTO",$M80)&gt;0</formula>
    </cfRule>
    <cfRule type="expression" priority="2309" dxfId="56">
      <formula>SEARCH("DA CHIUDERE",$M80)&gt;0</formula>
    </cfRule>
    <cfRule type="expression" priority="2310" dxfId="55">
      <formula>SEARCH("INTERROTTO",$M80)&gt;0</formula>
    </cfRule>
  </conditionalFormatting>
  <conditionalFormatting sqref="G80">
    <cfRule type="expression" priority="2293" dxfId="60">
      <formula>SEARCH("IN CORSO",$M80)&gt;0</formula>
    </cfRule>
    <cfRule type="expression" priority="2294" dxfId="59">
      <formula>SEARCH("CHIUSO",$M80)&gt;0</formula>
    </cfRule>
    <cfRule type="expression" priority="2295" dxfId="58">
      <formula>SEARCH("EMESSO",$M80)&gt;0</formula>
    </cfRule>
    <cfRule type="expression" priority="2296" dxfId="57">
      <formula>SEARCH("RICHIESTO",$M80)&gt;0</formula>
    </cfRule>
    <cfRule type="expression" priority="2297" dxfId="56">
      <formula>SEARCH("DA CHIUDERE",$M80)&gt;0</formula>
    </cfRule>
    <cfRule type="expression" priority="2298" dxfId="55">
      <formula>SEARCH("INTERROTTO",$M80)&gt;0</formula>
    </cfRule>
  </conditionalFormatting>
  <conditionalFormatting sqref="E80">
    <cfRule type="expression" priority="2299" dxfId="60">
      <formula>SEARCH("IN CORSO",$M80)&gt;0</formula>
    </cfRule>
    <cfRule type="expression" priority="2300" dxfId="59">
      <formula>SEARCH("CHIUSO",$M80)&gt;0</formula>
    </cfRule>
    <cfRule type="expression" priority="2301" dxfId="58">
      <formula>SEARCH("EMESSO",$M80)&gt;0</formula>
    </cfRule>
    <cfRule type="expression" priority="2302" dxfId="57">
      <formula>SEARCH("RICHIESTO",$M80)&gt;0</formula>
    </cfRule>
    <cfRule type="expression" priority="2303" dxfId="56">
      <formula>SEARCH("DA CHIUDERE",$M80)&gt;0</formula>
    </cfRule>
    <cfRule type="expression" priority="2304" dxfId="55">
      <formula>SEARCH("INTERROTTO",$M80)&gt;0</formula>
    </cfRule>
  </conditionalFormatting>
  <conditionalFormatting sqref="F80">
    <cfRule type="expression" priority="2287" dxfId="60">
      <formula>SEARCH("IN CORSO",$M80)&gt;0</formula>
    </cfRule>
    <cfRule type="expression" priority="2288" dxfId="59">
      <formula>SEARCH("CHIUSO",$M80)&gt;0</formula>
    </cfRule>
    <cfRule type="expression" priority="2289" dxfId="58">
      <formula>SEARCH("EMESSO",$M80)&gt;0</formula>
    </cfRule>
    <cfRule type="expression" priority="2290" dxfId="57">
      <formula>SEARCH("RICHIESTO",$M80)&gt;0</formula>
    </cfRule>
    <cfRule type="expression" priority="2291" dxfId="56">
      <formula>SEARCH("DA CHIUDERE",$M80)&gt;0</formula>
    </cfRule>
    <cfRule type="expression" priority="2292" dxfId="55">
      <formula>SEARCH("INTERROTTO",$M80)&gt;0</formula>
    </cfRule>
  </conditionalFormatting>
  <conditionalFormatting sqref="M79">
    <cfRule type="expression" priority="2281" dxfId="60">
      <formula>SEARCH("IN CORSO",$M79)&gt;0</formula>
    </cfRule>
    <cfRule type="expression" priority="2282" dxfId="59">
      <formula>SEARCH("CHIUSO",$M79)&gt;0</formula>
    </cfRule>
    <cfRule type="expression" priority="2283" dxfId="58">
      <formula>SEARCH("EMESSO",$M79)&gt;0</formula>
    </cfRule>
    <cfRule type="expression" priority="2284" dxfId="57">
      <formula>SEARCH("RICHIESTO",$M79)&gt;0</formula>
    </cfRule>
    <cfRule type="expression" priority="2285" dxfId="56">
      <formula>SEARCH("DA CHIUDERE",$M79)&gt;0</formula>
    </cfRule>
    <cfRule type="expression" priority="2286" dxfId="55">
      <formula>SEARCH("INTERROTTO",$M79)&gt;0</formula>
    </cfRule>
  </conditionalFormatting>
  <conditionalFormatting sqref="N79:S79">
    <cfRule type="expression" priority="2275" dxfId="60">
      <formula>SEARCH("IN CORSO",$M79)&gt;0</formula>
    </cfRule>
    <cfRule type="expression" priority="2276" dxfId="59">
      <formula>SEARCH("CHIUSO",$M79)&gt;0</formula>
    </cfRule>
    <cfRule type="expression" priority="2277" dxfId="58">
      <formula>SEARCH("EMESSO",$M79)&gt;0</formula>
    </cfRule>
    <cfRule type="expression" priority="2278" dxfId="57">
      <formula>SEARCH("RICHIESTO",$M79)&gt;0</formula>
    </cfRule>
    <cfRule type="expression" priority="2279" dxfId="56">
      <formula>SEARCH("DA CHIUDERE",$M79)&gt;0</formula>
    </cfRule>
    <cfRule type="expression" priority="2280" dxfId="55">
      <formula>SEARCH("INTERROTTO",$M79)&gt;0</formula>
    </cfRule>
  </conditionalFormatting>
  <conditionalFormatting sqref="G79">
    <cfRule type="expression" priority="2263" dxfId="60">
      <formula>SEARCH("IN CORSO",$M79)&gt;0</formula>
    </cfRule>
    <cfRule type="expression" priority="2264" dxfId="59">
      <formula>SEARCH("CHIUSO",$M79)&gt;0</formula>
    </cfRule>
    <cfRule type="expression" priority="2265" dxfId="58">
      <formula>SEARCH("EMESSO",$M79)&gt;0</formula>
    </cfRule>
    <cfRule type="expression" priority="2266" dxfId="57">
      <formula>SEARCH("RICHIESTO",$M79)&gt;0</formula>
    </cfRule>
    <cfRule type="expression" priority="2267" dxfId="56">
      <formula>SEARCH("DA CHIUDERE",$M79)&gt;0</formula>
    </cfRule>
    <cfRule type="expression" priority="2268" dxfId="55">
      <formula>SEARCH("INTERROTTO",$M79)&gt;0</formula>
    </cfRule>
  </conditionalFormatting>
  <conditionalFormatting sqref="E79">
    <cfRule type="expression" priority="2269" dxfId="60">
      <formula>SEARCH("IN CORSO",$M79)&gt;0</formula>
    </cfRule>
    <cfRule type="expression" priority="2270" dxfId="59">
      <formula>SEARCH("CHIUSO",$M79)&gt;0</formula>
    </cfRule>
    <cfRule type="expression" priority="2271" dxfId="58">
      <formula>SEARCH("EMESSO",$M79)&gt;0</formula>
    </cfRule>
    <cfRule type="expression" priority="2272" dxfId="57">
      <formula>SEARCH("RICHIESTO",$M79)&gt;0</formula>
    </cfRule>
    <cfRule type="expression" priority="2273" dxfId="56">
      <formula>SEARCH("DA CHIUDERE",$M79)&gt;0</formula>
    </cfRule>
    <cfRule type="expression" priority="2274" dxfId="55">
      <formula>SEARCH("INTERROTTO",$M79)&gt;0</formula>
    </cfRule>
  </conditionalFormatting>
  <conditionalFormatting sqref="F79">
    <cfRule type="expression" priority="2257" dxfId="60">
      <formula>SEARCH("IN CORSO",$M79)&gt;0</formula>
    </cfRule>
    <cfRule type="expression" priority="2258" dxfId="59">
      <formula>SEARCH("CHIUSO",$M79)&gt;0</formula>
    </cfRule>
    <cfRule type="expression" priority="2259" dxfId="58">
      <formula>SEARCH("EMESSO",$M79)&gt;0</formula>
    </cfRule>
    <cfRule type="expression" priority="2260" dxfId="57">
      <formula>SEARCH("RICHIESTO",$M79)&gt;0</formula>
    </cfRule>
    <cfRule type="expression" priority="2261" dxfId="56">
      <formula>SEARCH("DA CHIUDERE",$M79)&gt;0</formula>
    </cfRule>
    <cfRule type="expression" priority="2262" dxfId="55">
      <formula>SEARCH("INTERROTTO",$M79)&gt;0</formula>
    </cfRule>
  </conditionalFormatting>
  <conditionalFormatting sqref="M78">
    <cfRule type="expression" priority="2251" dxfId="60">
      <formula>SEARCH("IN CORSO",$M78)&gt;0</formula>
    </cfRule>
    <cfRule type="expression" priority="2252" dxfId="59">
      <formula>SEARCH("CHIUSO",$M78)&gt;0</formula>
    </cfRule>
    <cfRule type="expression" priority="2253" dxfId="58">
      <formula>SEARCH("EMESSO",$M78)&gt;0</formula>
    </cfRule>
    <cfRule type="expression" priority="2254" dxfId="57">
      <formula>SEARCH("RICHIESTO",$M78)&gt;0</formula>
    </cfRule>
    <cfRule type="expression" priority="2255" dxfId="56">
      <formula>SEARCH("DA CHIUDERE",$M78)&gt;0</formula>
    </cfRule>
    <cfRule type="expression" priority="2256" dxfId="55">
      <formula>SEARCH("INTERROTTO",$M78)&gt;0</formula>
    </cfRule>
  </conditionalFormatting>
  <conditionalFormatting sqref="N78:S78">
    <cfRule type="expression" priority="2245" dxfId="60">
      <formula>SEARCH("IN CORSO",$M78)&gt;0</formula>
    </cfRule>
    <cfRule type="expression" priority="2246" dxfId="59">
      <formula>SEARCH("CHIUSO",$M78)&gt;0</formula>
    </cfRule>
    <cfRule type="expression" priority="2247" dxfId="58">
      <formula>SEARCH("EMESSO",$M78)&gt;0</formula>
    </cfRule>
    <cfRule type="expression" priority="2248" dxfId="57">
      <formula>SEARCH("RICHIESTO",$M78)&gt;0</formula>
    </cfRule>
    <cfRule type="expression" priority="2249" dxfId="56">
      <formula>SEARCH("DA CHIUDERE",$M78)&gt;0</formula>
    </cfRule>
    <cfRule type="expression" priority="2250" dxfId="55">
      <formula>SEARCH("INTERROTTO",$M78)&gt;0</formula>
    </cfRule>
  </conditionalFormatting>
  <conditionalFormatting sqref="G78">
    <cfRule type="expression" priority="2233" dxfId="60">
      <formula>SEARCH("IN CORSO",$M78)&gt;0</formula>
    </cfRule>
    <cfRule type="expression" priority="2234" dxfId="59">
      <formula>SEARCH("CHIUSO",$M78)&gt;0</formula>
    </cfRule>
    <cfRule type="expression" priority="2235" dxfId="58">
      <formula>SEARCH("EMESSO",$M78)&gt;0</formula>
    </cfRule>
    <cfRule type="expression" priority="2236" dxfId="57">
      <formula>SEARCH("RICHIESTO",$M78)&gt;0</formula>
    </cfRule>
    <cfRule type="expression" priority="2237" dxfId="56">
      <formula>SEARCH("DA CHIUDERE",$M78)&gt;0</formula>
    </cfRule>
    <cfRule type="expression" priority="2238" dxfId="55">
      <formula>SEARCH("INTERROTTO",$M78)&gt;0</formula>
    </cfRule>
  </conditionalFormatting>
  <conditionalFormatting sqref="E78">
    <cfRule type="expression" priority="2239" dxfId="60">
      <formula>SEARCH("IN CORSO",$M78)&gt;0</formula>
    </cfRule>
    <cfRule type="expression" priority="2240" dxfId="59">
      <formula>SEARCH("CHIUSO",$M78)&gt;0</formula>
    </cfRule>
    <cfRule type="expression" priority="2241" dxfId="58">
      <formula>SEARCH("EMESSO",$M78)&gt;0</formula>
    </cfRule>
    <cfRule type="expression" priority="2242" dxfId="57">
      <formula>SEARCH("RICHIESTO",$M78)&gt;0</formula>
    </cfRule>
    <cfRule type="expression" priority="2243" dxfId="56">
      <formula>SEARCH("DA CHIUDERE",$M78)&gt;0</formula>
    </cfRule>
    <cfRule type="expression" priority="2244" dxfId="55">
      <formula>SEARCH("INTERROTTO",$M78)&gt;0</formula>
    </cfRule>
  </conditionalFormatting>
  <conditionalFormatting sqref="F78">
    <cfRule type="expression" priority="2227" dxfId="60">
      <formula>SEARCH("IN CORSO",$M78)&gt;0</formula>
    </cfRule>
    <cfRule type="expression" priority="2228" dxfId="59">
      <formula>SEARCH("CHIUSO",$M78)&gt;0</formula>
    </cfRule>
    <cfRule type="expression" priority="2229" dxfId="58">
      <formula>SEARCH("EMESSO",$M78)&gt;0</formula>
    </cfRule>
    <cfRule type="expression" priority="2230" dxfId="57">
      <formula>SEARCH("RICHIESTO",$M78)&gt;0</formula>
    </cfRule>
    <cfRule type="expression" priority="2231" dxfId="56">
      <formula>SEARCH("DA CHIUDERE",$M78)&gt;0</formula>
    </cfRule>
    <cfRule type="expression" priority="2232" dxfId="55">
      <formula>SEARCH("INTERROTTO",$M78)&gt;0</formula>
    </cfRule>
  </conditionalFormatting>
  <conditionalFormatting sqref="E114:G114 M114:S114">
    <cfRule type="expression" priority="3055" dxfId="60">
      <formula>SEARCH("IN CORSO",$M114)&gt;0</formula>
    </cfRule>
    <cfRule type="expression" priority="3056" dxfId="59">
      <formula>SEARCH("CHIUSO",$M114)&gt;0</formula>
    </cfRule>
    <cfRule type="expression" priority="3057" dxfId="58">
      <formula>SEARCH("EMESSO",$M114)&gt;0</formula>
    </cfRule>
    <cfRule type="expression" priority="3058" dxfId="57">
      <formula>SEARCH("RICHIESTO",$M114)&gt;0</formula>
    </cfRule>
    <cfRule type="expression" priority="3059" dxfId="56">
      <formula>SEARCH("DA CHIUDERE",$M114)&gt;0</formula>
    </cfRule>
    <cfRule type="expression" priority="3060" dxfId="55">
      <formula>SEARCH("INTERROTTO",$M114)&gt;0</formula>
    </cfRule>
  </conditionalFormatting>
  <conditionalFormatting sqref="E110 G110 M110:S110">
    <cfRule type="expression" priority="3013" dxfId="60">
      <formula>SEARCH("IN CORSO",$M110)&gt;0</formula>
    </cfRule>
    <cfRule type="expression" priority="3014" dxfId="59">
      <formula>SEARCH("CHIUSO",$M110)&gt;0</formula>
    </cfRule>
    <cfRule type="expression" priority="3015" dxfId="58">
      <formula>SEARCH("EMESSO",$M110)&gt;0</formula>
    </cfRule>
    <cfRule type="expression" priority="3016" dxfId="57">
      <formula>SEARCH("RICHIESTO",$M110)&gt;0</formula>
    </cfRule>
    <cfRule type="expression" priority="3017" dxfId="56">
      <formula>SEARCH("DA CHIUDERE",$M110)&gt;0</formula>
    </cfRule>
    <cfRule type="expression" priority="3018" dxfId="55">
      <formula>SEARCH("INTERROTTO",$M110)&gt;0</formula>
    </cfRule>
  </conditionalFormatting>
  <conditionalFormatting sqref="F110">
    <cfRule type="expression" priority="3007" dxfId="60">
      <formula>SEARCH("IN CORSO",$M110)&gt;0</formula>
    </cfRule>
    <cfRule type="expression" priority="3008" dxfId="59">
      <formula>SEARCH("CHIUSO",$M110)&gt;0</formula>
    </cfRule>
    <cfRule type="expression" priority="3009" dxfId="58">
      <formula>SEARCH("EMESSO",$M110)&gt;0</formula>
    </cfRule>
    <cfRule type="expression" priority="3010" dxfId="57">
      <formula>SEARCH("RICHIESTO",$M110)&gt;0</formula>
    </cfRule>
    <cfRule type="expression" priority="3011" dxfId="56">
      <formula>SEARCH("DA CHIUDERE",$M110)&gt;0</formula>
    </cfRule>
    <cfRule type="expression" priority="3012" dxfId="55">
      <formula>SEARCH("INTERROTTO",$M110)&gt;0</formula>
    </cfRule>
  </conditionalFormatting>
  <conditionalFormatting sqref="E109 G109 M109:S109">
    <cfRule type="expression" priority="3001" dxfId="60">
      <formula>SEARCH("IN CORSO",$M109)&gt;0</formula>
    </cfRule>
    <cfRule type="expression" priority="3002" dxfId="59">
      <formula>SEARCH("CHIUSO",$M109)&gt;0</formula>
    </cfRule>
    <cfRule type="expression" priority="3003" dxfId="58">
      <formula>SEARCH("EMESSO",$M109)&gt;0</formula>
    </cfRule>
    <cfRule type="expression" priority="3004" dxfId="57">
      <formula>SEARCH("RICHIESTO",$M109)&gt;0</formula>
    </cfRule>
    <cfRule type="expression" priority="3005" dxfId="56">
      <formula>SEARCH("DA CHIUDERE",$M109)&gt;0</formula>
    </cfRule>
    <cfRule type="expression" priority="3006" dxfId="55">
      <formula>SEARCH("INTERROTTO",$M109)&gt;0</formula>
    </cfRule>
  </conditionalFormatting>
  <conditionalFormatting sqref="F109">
    <cfRule type="expression" priority="2995" dxfId="60">
      <formula>SEARCH("IN CORSO",$M109)&gt;0</formula>
    </cfRule>
    <cfRule type="expression" priority="2996" dxfId="59">
      <formula>SEARCH("CHIUSO",$M109)&gt;0</formula>
    </cfRule>
    <cfRule type="expression" priority="2997" dxfId="58">
      <formula>SEARCH("EMESSO",$M109)&gt;0</formula>
    </cfRule>
    <cfRule type="expression" priority="2998" dxfId="57">
      <formula>SEARCH("RICHIESTO",$M109)&gt;0</formula>
    </cfRule>
    <cfRule type="expression" priority="2999" dxfId="56">
      <formula>SEARCH("DA CHIUDERE",$M109)&gt;0</formula>
    </cfRule>
    <cfRule type="expression" priority="3000" dxfId="55">
      <formula>SEARCH("INTERROTTO",$M109)&gt;0</formula>
    </cfRule>
  </conditionalFormatting>
  <conditionalFormatting sqref="E108 G108 M108:S108">
    <cfRule type="expression" priority="2989" dxfId="60">
      <formula>SEARCH("IN CORSO",$M108)&gt;0</formula>
    </cfRule>
    <cfRule type="expression" priority="2990" dxfId="59">
      <formula>SEARCH("CHIUSO",$M108)&gt;0</formula>
    </cfRule>
    <cfRule type="expression" priority="2991" dxfId="58">
      <formula>SEARCH("EMESSO",$M108)&gt;0</formula>
    </cfRule>
    <cfRule type="expression" priority="2992" dxfId="57">
      <formula>SEARCH("RICHIESTO",$M108)&gt;0</formula>
    </cfRule>
    <cfRule type="expression" priority="2993" dxfId="56">
      <formula>SEARCH("DA CHIUDERE",$M108)&gt;0</formula>
    </cfRule>
    <cfRule type="expression" priority="2994" dxfId="55">
      <formula>SEARCH("INTERROTTO",$M108)&gt;0</formula>
    </cfRule>
  </conditionalFormatting>
  <conditionalFormatting sqref="F107">
    <cfRule type="expression" priority="2971" dxfId="60">
      <formula>SEARCH("IN CORSO",$M107)&gt;0</formula>
    </cfRule>
    <cfRule type="expression" priority="2972" dxfId="59">
      <formula>SEARCH("CHIUSO",$M107)&gt;0</formula>
    </cfRule>
    <cfRule type="expression" priority="2973" dxfId="58">
      <formula>SEARCH("EMESSO",$M107)&gt;0</formula>
    </cfRule>
    <cfRule type="expression" priority="2974" dxfId="57">
      <formula>SEARCH("RICHIESTO",$M107)&gt;0</formula>
    </cfRule>
    <cfRule type="expression" priority="2975" dxfId="56">
      <formula>SEARCH("DA CHIUDERE",$M107)&gt;0</formula>
    </cfRule>
    <cfRule type="expression" priority="2976" dxfId="55">
      <formula>SEARCH("INTERROTTO",$M107)&gt;0</formula>
    </cfRule>
  </conditionalFormatting>
  <conditionalFormatting sqref="E102">
    <cfRule type="expression" priority="2887" dxfId="60">
      <formula>SEARCH("IN CORSO",$M102)&gt;0</formula>
    </cfRule>
    <cfRule type="expression" priority="2888" dxfId="59">
      <formula>SEARCH("CHIUSO",$M102)&gt;0</formula>
    </cfRule>
    <cfRule type="expression" priority="2889" dxfId="58">
      <formula>SEARCH("EMESSO",$M102)&gt;0</formula>
    </cfRule>
    <cfRule type="expression" priority="2890" dxfId="57">
      <formula>SEARCH("RICHIESTO",$M102)&gt;0</formula>
    </cfRule>
    <cfRule type="expression" priority="2891" dxfId="56">
      <formula>SEARCH("DA CHIUDERE",$M102)&gt;0</formula>
    </cfRule>
    <cfRule type="expression" priority="2892" dxfId="55">
      <formula>SEARCH("INTERROTTO",$M102)&gt;0</formula>
    </cfRule>
  </conditionalFormatting>
  <conditionalFormatting sqref="E101">
    <cfRule type="expression" priority="2875" dxfId="60">
      <formula>SEARCH("IN CORSO",$M101)&gt;0</formula>
    </cfRule>
    <cfRule type="expression" priority="2876" dxfId="59">
      <formula>SEARCH("CHIUSO",$M101)&gt;0</formula>
    </cfRule>
    <cfRule type="expression" priority="2877" dxfId="58">
      <formula>SEARCH("EMESSO",$M101)&gt;0</formula>
    </cfRule>
    <cfRule type="expression" priority="2878" dxfId="57">
      <formula>SEARCH("RICHIESTO",$M101)&gt;0</formula>
    </cfRule>
    <cfRule type="expression" priority="2879" dxfId="56">
      <formula>SEARCH("DA CHIUDERE",$M101)&gt;0</formula>
    </cfRule>
    <cfRule type="expression" priority="2880" dxfId="55">
      <formula>SEARCH("INTERROTTO",$M101)&gt;0</formula>
    </cfRule>
  </conditionalFormatting>
  <conditionalFormatting sqref="M102:M104">
    <cfRule type="expression" priority="2833" dxfId="60">
      <formula>SEARCH("IN CORSO",$M102)&gt;0</formula>
    </cfRule>
    <cfRule type="expression" priority="2834" dxfId="59">
      <formula>SEARCH("CHIUSO",$M102)&gt;0</formula>
    </cfRule>
    <cfRule type="expression" priority="2835" dxfId="58">
      <formula>SEARCH("EMESSO",$M102)&gt;0</formula>
    </cfRule>
    <cfRule type="expression" priority="2836" dxfId="57">
      <formula>SEARCH("RICHIESTO",$M102)&gt;0</formula>
    </cfRule>
    <cfRule type="expression" priority="2837" dxfId="56">
      <formula>SEARCH("DA CHIUDERE",$M102)&gt;0</formula>
    </cfRule>
    <cfRule type="expression" priority="2838" dxfId="55">
      <formula>SEARCH("INTERROTTO",$M102)&gt;0</formula>
    </cfRule>
  </conditionalFormatting>
  <conditionalFormatting sqref="G101">
    <cfRule type="expression" priority="2845" dxfId="60">
      <formula>SEARCH("IN CORSO",$M101)&gt;0</formula>
    </cfRule>
    <cfRule type="expression" priority="2846" dxfId="59">
      <formula>SEARCH("CHIUSO",$M101)&gt;0</formula>
    </cfRule>
    <cfRule type="expression" priority="2847" dxfId="58">
      <formula>SEARCH("EMESSO",$M101)&gt;0</formula>
    </cfRule>
    <cfRule type="expression" priority="2848" dxfId="57">
      <formula>SEARCH("RICHIESTO",$M101)&gt;0</formula>
    </cfRule>
    <cfRule type="expression" priority="2849" dxfId="56">
      <formula>SEARCH("DA CHIUDERE",$M101)&gt;0</formula>
    </cfRule>
    <cfRule type="expression" priority="2850" dxfId="55">
      <formula>SEARCH("INTERROTTO",$M101)&gt;0</formula>
    </cfRule>
  </conditionalFormatting>
  <conditionalFormatting sqref="G104">
    <cfRule type="expression" priority="2863" dxfId="60">
      <formula>SEARCH("IN CORSO",$M104)&gt;0</formula>
    </cfRule>
    <cfRule type="expression" priority="2864" dxfId="59">
      <formula>SEARCH("CHIUSO",$M104)&gt;0</formula>
    </cfRule>
    <cfRule type="expression" priority="2865" dxfId="58">
      <formula>SEARCH("EMESSO",$M104)&gt;0</formula>
    </cfRule>
    <cfRule type="expression" priority="2866" dxfId="57">
      <formula>SEARCH("RICHIESTO",$M104)&gt;0</formula>
    </cfRule>
    <cfRule type="expression" priority="2867" dxfId="56">
      <formula>SEARCH("DA CHIUDERE",$M104)&gt;0</formula>
    </cfRule>
    <cfRule type="expression" priority="2868" dxfId="55">
      <formula>SEARCH("INTERROTTO",$M104)&gt;0</formula>
    </cfRule>
  </conditionalFormatting>
  <conditionalFormatting sqref="G103">
    <cfRule type="expression" priority="2857" dxfId="60">
      <formula>SEARCH("IN CORSO",$M103)&gt;0</formula>
    </cfRule>
    <cfRule type="expression" priority="2858" dxfId="59">
      <formula>SEARCH("CHIUSO",$M103)&gt;0</formula>
    </cfRule>
    <cfRule type="expression" priority="2859" dxfId="58">
      <formula>SEARCH("EMESSO",$M103)&gt;0</formula>
    </cfRule>
    <cfRule type="expression" priority="2860" dxfId="57">
      <formula>SEARCH("RICHIESTO",$M103)&gt;0</formula>
    </cfRule>
    <cfRule type="expression" priority="2861" dxfId="56">
      <formula>SEARCH("DA CHIUDERE",$M103)&gt;0</formula>
    </cfRule>
    <cfRule type="expression" priority="2862" dxfId="55">
      <formula>SEARCH("INTERROTTO",$M103)&gt;0</formula>
    </cfRule>
  </conditionalFormatting>
  <conditionalFormatting sqref="N101:S101">
    <cfRule type="expression" priority="2881" dxfId="60">
      <formula>SEARCH("IN CORSO",$M101)&gt;0</formula>
    </cfRule>
    <cfRule type="expression" priority="2882" dxfId="59">
      <formula>SEARCH("CHIUSO",$M101)&gt;0</formula>
    </cfRule>
    <cfRule type="expression" priority="2883" dxfId="58">
      <formula>SEARCH("EMESSO",$M101)&gt;0</formula>
    </cfRule>
    <cfRule type="expression" priority="2884" dxfId="57">
      <formula>SEARCH("RICHIESTO",$M101)&gt;0</formula>
    </cfRule>
    <cfRule type="expression" priority="2885" dxfId="56">
      <formula>SEARCH("DA CHIUDERE",$M101)&gt;0</formula>
    </cfRule>
    <cfRule type="expression" priority="2886" dxfId="55">
      <formula>SEARCH("INTERROTTO",$M101)&gt;0</formula>
    </cfRule>
  </conditionalFormatting>
  <conditionalFormatting sqref="M101">
    <cfRule type="expression" priority="2869" dxfId="60">
      <formula>SEARCH("IN CORSO",$M101)&gt;0</formula>
    </cfRule>
    <cfRule type="expression" priority="2870" dxfId="59">
      <formula>SEARCH("CHIUSO",$M101)&gt;0</formula>
    </cfRule>
    <cfRule type="expression" priority="2871" dxfId="58">
      <formula>SEARCH("EMESSO",$M101)&gt;0</formula>
    </cfRule>
    <cfRule type="expression" priority="2872" dxfId="57">
      <formula>SEARCH("RICHIESTO",$M101)&gt;0</formula>
    </cfRule>
    <cfRule type="expression" priority="2873" dxfId="56">
      <formula>SEARCH("DA CHIUDERE",$M101)&gt;0</formula>
    </cfRule>
    <cfRule type="expression" priority="2874" dxfId="55">
      <formula>SEARCH("INTERROTTO",$M101)&gt;0</formula>
    </cfRule>
  </conditionalFormatting>
  <conditionalFormatting sqref="G102">
    <cfRule type="expression" priority="2851" dxfId="60">
      <formula>SEARCH("IN CORSO",$M102)&gt;0</formula>
    </cfRule>
    <cfRule type="expression" priority="2852" dxfId="59">
      <formula>SEARCH("CHIUSO",$M102)&gt;0</formula>
    </cfRule>
    <cfRule type="expression" priority="2853" dxfId="58">
      <formula>SEARCH("EMESSO",$M102)&gt;0</formula>
    </cfRule>
    <cfRule type="expression" priority="2854" dxfId="57">
      <formula>SEARCH("RICHIESTO",$M102)&gt;0</formula>
    </cfRule>
    <cfRule type="expression" priority="2855" dxfId="56">
      <formula>SEARCH("DA CHIUDERE",$M102)&gt;0</formula>
    </cfRule>
    <cfRule type="expression" priority="2856" dxfId="55">
      <formula>SEARCH("INTERROTTO",$M102)&gt;0</formula>
    </cfRule>
  </conditionalFormatting>
  <conditionalFormatting sqref="F101:F104">
    <cfRule type="expression" priority="2839" dxfId="60">
      <formula>SEARCH("IN CORSO",$M101)&gt;0</formula>
    </cfRule>
    <cfRule type="expression" priority="2840" dxfId="59">
      <formula>SEARCH("CHIUSO",$M101)&gt;0</formula>
    </cfRule>
    <cfRule type="expression" priority="2841" dxfId="58">
      <formula>SEARCH("EMESSO",$M101)&gt;0</formula>
    </cfRule>
    <cfRule type="expression" priority="2842" dxfId="57">
      <formula>SEARCH("RICHIESTO",$M101)&gt;0</formula>
    </cfRule>
    <cfRule type="expression" priority="2843" dxfId="56">
      <formula>SEARCH("DA CHIUDERE",$M101)&gt;0</formula>
    </cfRule>
    <cfRule type="expression" priority="2844" dxfId="55">
      <formula>SEARCH("INTERROTTO",$M101)&gt;0</formula>
    </cfRule>
  </conditionalFormatting>
  <conditionalFormatting sqref="M100">
    <cfRule type="expression" priority="2803" dxfId="60">
      <formula>SEARCH("IN CORSO",$M100)&gt;0</formula>
    </cfRule>
    <cfRule type="expression" priority="2804" dxfId="59">
      <formula>SEARCH("CHIUSO",$M100)&gt;0</formula>
    </cfRule>
    <cfRule type="expression" priority="2805" dxfId="58">
      <formula>SEARCH("EMESSO",$M100)&gt;0</formula>
    </cfRule>
    <cfRule type="expression" priority="2806" dxfId="57">
      <formula>SEARCH("RICHIESTO",$M100)&gt;0</formula>
    </cfRule>
    <cfRule type="expression" priority="2807" dxfId="56">
      <formula>SEARCH("DA CHIUDERE",$M100)&gt;0</formula>
    </cfRule>
    <cfRule type="expression" priority="2808" dxfId="55">
      <formula>SEARCH("INTERROTTO",$M100)&gt;0</formula>
    </cfRule>
  </conditionalFormatting>
  <conditionalFormatting sqref="M99">
    <cfRule type="expression" priority="2773" dxfId="60">
      <formula>SEARCH("IN CORSO",$M99)&gt;0</formula>
    </cfRule>
    <cfRule type="expression" priority="2774" dxfId="59">
      <formula>SEARCH("CHIUSO",$M99)&gt;0</formula>
    </cfRule>
    <cfRule type="expression" priority="2775" dxfId="58">
      <formula>SEARCH("EMESSO",$M99)&gt;0</formula>
    </cfRule>
    <cfRule type="expression" priority="2776" dxfId="57">
      <formula>SEARCH("RICHIESTO",$M99)&gt;0</formula>
    </cfRule>
    <cfRule type="expression" priority="2777" dxfId="56">
      <formula>SEARCH("DA CHIUDERE",$M99)&gt;0</formula>
    </cfRule>
    <cfRule type="expression" priority="2778" dxfId="55">
      <formula>SEARCH("INTERROTTO",$M99)&gt;0</formula>
    </cfRule>
  </conditionalFormatting>
  <conditionalFormatting sqref="M98">
    <cfRule type="expression" priority="2743" dxfId="60">
      <formula>SEARCH("IN CORSO",$M98)&gt;0</formula>
    </cfRule>
    <cfRule type="expression" priority="2744" dxfId="59">
      <formula>SEARCH("CHIUSO",$M98)&gt;0</formula>
    </cfRule>
    <cfRule type="expression" priority="2745" dxfId="58">
      <formula>SEARCH("EMESSO",$M98)&gt;0</formula>
    </cfRule>
    <cfRule type="expression" priority="2746" dxfId="57">
      <formula>SEARCH("RICHIESTO",$M98)&gt;0</formula>
    </cfRule>
    <cfRule type="expression" priority="2747" dxfId="56">
      <formula>SEARCH("DA CHIUDERE",$M98)&gt;0</formula>
    </cfRule>
    <cfRule type="expression" priority="2748" dxfId="55">
      <formula>SEARCH("INTERROTTO",$M98)&gt;0</formula>
    </cfRule>
  </conditionalFormatting>
  <conditionalFormatting sqref="N96:S96">
    <cfRule type="expression" priority="2713" dxfId="60">
      <formula>SEARCH("IN CORSO",$M96)&gt;0</formula>
    </cfRule>
    <cfRule type="expression" priority="2714" dxfId="59">
      <formula>SEARCH("CHIUSO",$M96)&gt;0</formula>
    </cfRule>
    <cfRule type="expression" priority="2715" dxfId="58">
      <formula>SEARCH("EMESSO",$M96)&gt;0</formula>
    </cfRule>
    <cfRule type="expression" priority="2716" dxfId="57">
      <formula>SEARCH("RICHIESTO",$M96)&gt;0</formula>
    </cfRule>
    <cfRule type="expression" priority="2717" dxfId="56">
      <formula>SEARCH("DA CHIUDERE",$M96)&gt;0</formula>
    </cfRule>
    <cfRule type="expression" priority="2718" dxfId="55">
      <formula>SEARCH("INTERROTTO",$M96)&gt;0</formula>
    </cfRule>
  </conditionalFormatting>
  <conditionalFormatting sqref="E95">
    <cfRule type="expression" priority="2683" dxfId="60">
      <formula>SEARCH("IN CORSO",$M95)&gt;0</formula>
    </cfRule>
    <cfRule type="expression" priority="2684" dxfId="59">
      <formula>SEARCH("CHIUSO",$M95)&gt;0</formula>
    </cfRule>
    <cfRule type="expression" priority="2685" dxfId="58">
      <formula>SEARCH("EMESSO",$M95)&gt;0</formula>
    </cfRule>
    <cfRule type="expression" priority="2686" dxfId="57">
      <formula>SEARCH("RICHIESTO",$M95)&gt;0</formula>
    </cfRule>
    <cfRule type="expression" priority="2687" dxfId="56">
      <formula>SEARCH("DA CHIUDERE",$M95)&gt;0</formula>
    </cfRule>
    <cfRule type="expression" priority="2688" dxfId="55">
      <formula>SEARCH("INTERROTTO",$M95)&gt;0</formula>
    </cfRule>
  </conditionalFormatting>
  <conditionalFormatting sqref="G94">
    <cfRule type="expression" priority="2653" dxfId="60">
      <formula>SEARCH("IN CORSO",$M94)&gt;0</formula>
    </cfRule>
    <cfRule type="expression" priority="2654" dxfId="59">
      <formula>SEARCH("CHIUSO",$M94)&gt;0</formula>
    </cfRule>
    <cfRule type="expression" priority="2655" dxfId="58">
      <formula>SEARCH("EMESSO",$M94)&gt;0</formula>
    </cfRule>
    <cfRule type="expression" priority="2656" dxfId="57">
      <formula>SEARCH("RICHIESTO",$M94)&gt;0</formula>
    </cfRule>
    <cfRule type="expression" priority="2657" dxfId="56">
      <formula>SEARCH("DA CHIUDERE",$M94)&gt;0</formula>
    </cfRule>
    <cfRule type="expression" priority="2658" dxfId="55">
      <formula>SEARCH("INTERROTTO",$M94)&gt;0</formula>
    </cfRule>
  </conditionalFormatting>
  <conditionalFormatting sqref="F93">
    <cfRule type="expression" priority="2623" dxfId="60">
      <formula>SEARCH("IN CORSO",$M93)&gt;0</formula>
    </cfRule>
    <cfRule type="expression" priority="2624" dxfId="59">
      <formula>SEARCH("CHIUSO",$M93)&gt;0</formula>
    </cfRule>
    <cfRule type="expression" priority="2625" dxfId="58">
      <formula>SEARCH("EMESSO",$M93)&gt;0</formula>
    </cfRule>
    <cfRule type="expression" priority="2626" dxfId="57">
      <formula>SEARCH("RICHIESTO",$M93)&gt;0</formula>
    </cfRule>
    <cfRule type="expression" priority="2627" dxfId="56">
      <formula>SEARCH("DA CHIUDERE",$M93)&gt;0</formula>
    </cfRule>
    <cfRule type="expression" priority="2628" dxfId="55">
      <formula>SEARCH("INTERROTTO",$M93)&gt;0</formula>
    </cfRule>
  </conditionalFormatting>
  <conditionalFormatting sqref="N91:S91">
    <cfRule type="expression" priority="2593" dxfId="60">
      <formula>SEARCH("IN CORSO",$M91)&gt;0</formula>
    </cfRule>
    <cfRule type="expression" priority="2594" dxfId="59">
      <formula>SEARCH("CHIUSO",$M91)&gt;0</formula>
    </cfRule>
    <cfRule type="expression" priority="2595" dxfId="58">
      <formula>SEARCH("EMESSO",$M91)&gt;0</formula>
    </cfRule>
    <cfRule type="expression" priority="2596" dxfId="57">
      <formula>SEARCH("RICHIESTO",$M91)&gt;0</formula>
    </cfRule>
    <cfRule type="expression" priority="2597" dxfId="56">
      <formula>SEARCH("DA CHIUDERE",$M91)&gt;0</formula>
    </cfRule>
    <cfRule type="expression" priority="2598" dxfId="55">
      <formula>SEARCH("INTERROTTO",$M91)&gt;0</formula>
    </cfRule>
  </conditionalFormatting>
  <conditionalFormatting sqref="E90">
    <cfRule type="expression" priority="2563" dxfId="60">
      <formula>SEARCH("IN CORSO",$M90)&gt;0</formula>
    </cfRule>
    <cfRule type="expression" priority="2564" dxfId="59">
      <formula>SEARCH("CHIUSO",$M90)&gt;0</formula>
    </cfRule>
    <cfRule type="expression" priority="2565" dxfId="58">
      <formula>SEARCH("EMESSO",$M90)&gt;0</formula>
    </cfRule>
    <cfRule type="expression" priority="2566" dxfId="57">
      <formula>SEARCH("RICHIESTO",$M90)&gt;0</formula>
    </cfRule>
    <cfRule type="expression" priority="2567" dxfId="56">
      <formula>SEARCH("DA CHIUDERE",$M90)&gt;0</formula>
    </cfRule>
    <cfRule type="expression" priority="2568" dxfId="55">
      <formula>SEARCH("INTERROTTO",$M90)&gt;0</formula>
    </cfRule>
  </conditionalFormatting>
  <conditionalFormatting sqref="G89">
    <cfRule type="expression" priority="2533" dxfId="60">
      <formula>SEARCH("IN CORSO",$M89)&gt;0</formula>
    </cfRule>
    <cfRule type="expression" priority="2534" dxfId="59">
      <formula>SEARCH("CHIUSO",$M89)&gt;0</formula>
    </cfRule>
    <cfRule type="expression" priority="2535" dxfId="58">
      <formula>SEARCH("EMESSO",$M89)&gt;0</formula>
    </cfRule>
    <cfRule type="expression" priority="2536" dxfId="57">
      <formula>SEARCH("RICHIESTO",$M89)&gt;0</formula>
    </cfRule>
    <cfRule type="expression" priority="2537" dxfId="56">
      <formula>SEARCH("DA CHIUDERE",$M89)&gt;0</formula>
    </cfRule>
    <cfRule type="expression" priority="2538" dxfId="55">
      <formula>SEARCH("INTERROTTO",$M89)&gt;0</formula>
    </cfRule>
  </conditionalFormatting>
  <conditionalFormatting sqref="F88">
    <cfRule type="expression" priority="2503" dxfId="60">
      <formula>SEARCH("IN CORSO",$M88)&gt;0</formula>
    </cfRule>
    <cfRule type="expression" priority="2504" dxfId="59">
      <formula>SEARCH("CHIUSO",$M88)&gt;0</formula>
    </cfRule>
    <cfRule type="expression" priority="2505" dxfId="58">
      <formula>SEARCH("EMESSO",$M88)&gt;0</formula>
    </cfRule>
    <cfRule type="expression" priority="2506" dxfId="57">
      <formula>SEARCH("RICHIESTO",$M88)&gt;0</formula>
    </cfRule>
    <cfRule type="expression" priority="2507" dxfId="56">
      <formula>SEARCH("DA CHIUDERE",$M88)&gt;0</formula>
    </cfRule>
    <cfRule type="expression" priority="2508" dxfId="55">
      <formula>SEARCH("INTERROTTO",$M88)&gt;0</formula>
    </cfRule>
  </conditionalFormatting>
  <conditionalFormatting sqref="N86:S86">
    <cfRule type="expression" priority="2473" dxfId="60">
      <formula>SEARCH("IN CORSO",$M86)&gt;0</formula>
    </cfRule>
    <cfRule type="expression" priority="2474" dxfId="59">
      <formula>SEARCH("CHIUSO",$M86)&gt;0</formula>
    </cfRule>
    <cfRule type="expression" priority="2475" dxfId="58">
      <formula>SEARCH("EMESSO",$M86)&gt;0</formula>
    </cfRule>
    <cfRule type="expression" priority="2476" dxfId="57">
      <formula>SEARCH("RICHIESTO",$M86)&gt;0</formula>
    </cfRule>
    <cfRule type="expression" priority="2477" dxfId="56">
      <formula>SEARCH("DA CHIUDERE",$M86)&gt;0</formula>
    </cfRule>
    <cfRule type="expression" priority="2478" dxfId="55">
      <formula>SEARCH("INTERROTTO",$M86)&gt;0</formula>
    </cfRule>
  </conditionalFormatting>
  <conditionalFormatting sqref="E85">
    <cfRule type="expression" priority="2443" dxfId="60">
      <formula>SEARCH("IN CORSO",$M85)&gt;0</formula>
    </cfRule>
    <cfRule type="expression" priority="2444" dxfId="59">
      <formula>SEARCH("CHIUSO",$M85)&gt;0</formula>
    </cfRule>
    <cfRule type="expression" priority="2445" dxfId="58">
      <formula>SEARCH("EMESSO",$M85)&gt;0</formula>
    </cfRule>
    <cfRule type="expression" priority="2446" dxfId="57">
      <formula>SEARCH("RICHIESTO",$M85)&gt;0</formula>
    </cfRule>
    <cfRule type="expression" priority="2447" dxfId="56">
      <formula>SEARCH("DA CHIUDERE",$M85)&gt;0</formula>
    </cfRule>
    <cfRule type="expression" priority="2448" dxfId="55">
      <formula>SEARCH("INTERROTTO",$M85)&gt;0</formula>
    </cfRule>
  </conditionalFormatting>
  <conditionalFormatting sqref="G84">
    <cfRule type="expression" priority="2413" dxfId="60">
      <formula>SEARCH("IN CORSO",$M84)&gt;0</formula>
    </cfRule>
    <cfRule type="expression" priority="2414" dxfId="59">
      <formula>SEARCH("CHIUSO",$M84)&gt;0</formula>
    </cfRule>
    <cfRule type="expression" priority="2415" dxfId="58">
      <formula>SEARCH("EMESSO",$M84)&gt;0</formula>
    </cfRule>
    <cfRule type="expression" priority="2416" dxfId="57">
      <formula>SEARCH("RICHIESTO",$M84)&gt;0</formula>
    </cfRule>
    <cfRule type="expression" priority="2417" dxfId="56">
      <formula>SEARCH("DA CHIUDERE",$M84)&gt;0</formula>
    </cfRule>
    <cfRule type="expression" priority="2418" dxfId="55">
      <formula>SEARCH("INTERROTTO",$M84)&gt;0</formula>
    </cfRule>
  </conditionalFormatting>
  <conditionalFormatting sqref="F84">
    <cfRule type="expression" priority="2407" dxfId="60">
      <formula>SEARCH("IN CORSO",$M84)&gt;0</formula>
    </cfRule>
    <cfRule type="expression" priority="2408" dxfId="59">
      <formula>SEARCH("CHIUSO",$M84)&gt;0</formula>
    </cfRule>
    <cfRule type="expression" priority="2409" dxfId="58">
      <formula>SEARCH("EMESSO",$M84)&gt;0</formula>
    </cfRule>
    <cfRule type="expression" priority="2410" dxfId="57">
      <formula>SEARCH("RICHIESTO",$M84)&gt;0</formula>
    </cfRule>
    <cfRule type="expression" priority="2411" dxfId="56">
      <formula>SEARCH("DA CHIUDERE",$M84)&gt;0</formula>
    </cfRule>
    <cfRule type="expression" priority="2412" dxfId="55">
      <formula>SEARCH("INTERROTTO",$M84)&gt;0</formula>
    </cfRule>
  </conditionalFormatting>
  <conditionalFormatting sqref="M77">
    <cfRule type="expression" priority="2221" dxfId="60">
      <formula>SEARCH("IN CORSO",$M77)&gt;0</formula>
    </cfRule>
    <cfRule type="expression" priority="2222" dxfId="59">
      <formula>SEARCH("CHIUSO",$M77)&gt;0</formula>
    </cfRule>
    <cfRule type="expression" priority="2223" dxfId="58">
      <formula>SEARCH("EMESSO",$M77)&gt;0</formula>
    </cfRule>
    <cfRule type="expression" priority="2224" dxfId="57">
      <formula>SEARCH("RICHIESTO",$M77)&gt;0</formula>
    </cfRule>
    <cfRule type="expression" priority="2225" dxfId="56">
      <formula>SEARCH("DA CHIUDERE",$M77)&gt;0</formula>
    </cfRule>
    <cfRule type="expression" priority="2226" dxfId="55">
      <formula>SEARCH("INTERROTTO",$M77)&gt;0</formula>
    </cfRule>
  </conditionalFormatting>
  <conditionalFormatting sqref="N77:S77">
    <cfRule type="expression" priority="2215" dxfId="60">
      <formula>SEARCH("IN CORSO",$M77)&gt;0</formula>
    </cfRule>
    <cfRule type="expression" priority="2216" dxfId="59">
      <formula>SEARCH("CHIUSO",$M77)&gt;0</formula>
    </cfRule>
    <cfRule type="expression" priority="2217" dxfId="58">
      <formula>SEARCH("EMESSO",$M77)&gt;0</formula>
    </cfRule>
    <cfRule type="expression" priority="2218" dxfId="57">
      <formula>SEARCH("RICHIESTO",$M77)&gt;0</formula>
    </cfRule>
    <cfRule type="expression" priority="2219" dxfId="56">
      <formula>SEARCH("DA CHIUDERE",$M77)&gt;0</formula>
    </cfRule>
    <cfRule type="expression" priority="2220" dxfId="55">
      <formula>SEARCH("INTERROTTO",$M77)&gt;0</formula>
    </cfRule>
  </conditionalFormatting>
  <conditionalFormatting sqref="G77">
    <cfRule type="expression" priority="2203" dxfId="60">
      <formula>SEARCH("IN CORSO",$M77)&gt;0</formula>
    </cfRule>
    <cfRule type="expression" priority="2204" dxfId="59">
      <formula>SEARCH("CHIUSO",$M77)&gt;0</formula>
    </cfRule>
    <cfRule type="expression" priority="2205" dxfId="58">
      <formula>SEARCH("EMESSO",$M77)&gt;0</formula>
    </cfRule>
    <cfRule type="expression" priority="2206" dxfId="57">
      <formula>SEARCH("RICHIESTO",$M77)&gt;0</formula>
    </cfRule>
    <cfRule type="expression" priority="2207" dxfId="56">
      <formula>SEARCH("DA CHIUDERE",$M77)&gt;0</formula>
    </cfRule>
    <cfRule type="expression" priority="2208" dxfId="55">
      <formula>SEARCH("INTERROTTO",$M77)&gt;0</formula>
    </cfRule>
  </conditionalFormatting>
  <conditionalFormatting sqref="E77">
    <cfRule type="expression" priority="2209" dxfId="60">
      <formula>SEARCH("IN CORSO",$M77)&gt;0</formula>
    </cfRule>
    <cfRule type="expression" priority="2210" dxfId="59">
      <formula>SEARCH("CHIUSO",$M77)&gt;0</formula>
    </cfRule>
    <cfRule type="expression" priority="2211" dxfId="58">
      <formula>SEARCH("EMESSO",$M77)&gt;0</formula>
    </cfRule>
    <cfRule type="expression" priority="2212" dxfId="57">
      <formula>SEARCH("RICHIESTO",$M77)&gt;0</formula>
    </cfRule>
    <cfRule type="expression" priority="2213" dxfId="56">
      <formula>SEARCH("DA CHIUDERE",$M77)&gt;0</formula>
    </cfRule>
    <cfRule type="expression" priority="2214" dxfId="55">
      <formula>SEARCH("INTERROTTO",$M77)&gt;0</formula>
    </cfRule>
  </conditionalFormatting>
  <conditionalFormatting sqref="F77">
    <cfRule type="expression" priority="2197" dxfId="60">
      <formula>SEARCH("IN CORSO",$M77)&gt;0</formula>
    </cfRule>
    <cfRule type="expression" priority="2198" dxfId="59">
      <formula>SEARCH("CHIUSO",$M77)&gt;0</formula>
    </cfRule>
    <cfRule type="expression" priority="2199" dxfId="58">
      <formula>SEARCH("EMESSO",$M77)&gt;0</formula>
    </cfRule>
    <cfRule type="expression" priority="2200" dxfId="57">
      <formula>SEARCH("RICHIESTO",$M77)&gt;0</formula>
    </cfRule>
    <cfRule type="expression" priority="2201" dxfId="56">
      <formula>SEARCH("DA CHIUDERE",$M77)&gt;0</formula>
    </cfRule>
    <cfRule type="expression" priority="2202" dxfId="55">
      <formula>SEARCH("INTERROTTO",$M77)&gt;0</formula>
    </cfRule>
  </conditionalFormatting>
  <conditionalFormatting sqref="M76">
    <cfRule type="expression" priority="2191" dxfId="60">
      <formula>SEARCH("IN CORSO",$M76)&gt;0</formula>
    </cfRule>
    <cfRule type="expression" priority="2192" dxfId="59">
      <formula>SEARCH("CHIUSO",$M76)&gt;0</formula>
    </cfRule>
    <cfRule type="expression" priority="2193" dxfId="58">
      <formula>SEARCH("EMESSO",$M76)&gt;0</formula>
    </cfRule>
    <cfRule type="expression" priority="2194" dxfId="57">
      <formula>SEARCH("RICHIESTO",$M76)&gt;0</formula>
    </cfRule>
    <cfRule type="expression" priority="2195" dxfId="56">
      <formula>SEARCH("DA CHIUDERE",$M76)&gt;0</formula>
    </cfRule>
    <cfRule type="expression" priority="2196" dxfId="55">
      <formula>SEARCH("INTERROTTO",$M76)&gt;0</formula>
    </cfRule>
  </conditionalFormatting>
  <conditionalFormatting sqref="N76:S76">
    <cfRule type="expression" priority="2185" dxfId="60">
      <formula>SEARCH("IN CORSO",$M76)&gt;0</formula>
    </cfRule>
    <cfRule type="expression" priority="2186" dxfId="59">
      <formula>SEARCH("CHIUSO",$M76)&gt;0</formula>
    </cfRule>
    <cfRule type="expression" priority="2187" dxfId="58">
      <formula>SEARCH("EMESSO",$M76)&gt;0</formula>
    </cfRule>
    <cfRule type="expression" priority="2188" dxfId="57">
      <formula>SEARCH("RICHIESTO",$M76)&gt;0</formula>
    </cfRule>
    <cfRule type="expression" priority="2189" dxfId="56">
      <formula>SEARCH("DA CHIUDERE",$M76)&gt;0</formula>
    </cfRule>
    <cfRule type="expression" priority="2190" dxfId="55">
      <formula>SEARCH("INTERROTTO",$M76)&gt;0</formula>
    </cfRule>
  </conditionalFormatting>
  <conditionalFormatting sqref="G76">
    <cfRule type="expression" priority="2173" dxfId="60">
      <formula>SEARCH("IN CORSO",$M76)&gt;0</formula>
    </cfRule>
    <cfRule type="expression" priority="2174" dxfId="59">
      <formula>SEARCH("CHIUSO",$M76)&gt;0</formula>
    </cfRule>
    <cfRule type="expression" priority="2175" dxfId="58">
      <formula>SEARCH("EMESSO",$M76)&gt;0</formula>
    </cfRule>
    <cfRule type="expression" priority="2176" dxfId="57">
      <formula>SEARCH("RICHIESTO",$M76)&gt;0</formula>
    </cfRule>
    <cfRule type="expression" priority="2177" dxfId="56">
      <formula>SEARCH("DA CHIUDERE",$M76)&gt;0</formula>
    </cfRule>
    <cfRule type="expression" priority="2178" dxfId="55">
      <formula>SEARCH("INTERROTTO",$M76)&gt;0</formula>
    </cfRule>
  </conditionalFormatting>
  <conditionalFormatting sqref="E76">
    <cfRule type="expression" priority="2179" dxfId="60">
      <formula>SEARCH("IN CORSO",$M76)&gt;0</formula>
    </cfRule>
    <cfRule type="expression" priority="2180" dxfId="59">
      <formula>SEARCH("CHIUSO",$M76)&gt;0</formula>
    </cfRule>
    <cfRule type="expression" priority="2181" dxfId="58">
      <formula>SEARCH("EMESSO",$M76)&gt;0</formula>
    </cfRule>
    <cfRule type="expression" priority="2182" dxfId="57">
      <formula>SEARCH("RICHIESTO",$M76)&gt;0</formula>
    </cfRule>
    <cfRule type="expression" priority="2183" dxfId="56">
      <formula>SEARCH("DA CHIUDERE",$M76)&gt;0</formula>
    </cfRule>
    <cfRule type="expression" priority="2184" dxfId="55">
      <formula>SEARCH("INTERROTTO",$M76)&gt;0</formula>
    </cfRule>
  </conditionalFormatting>
  <conditionalFormatting sqref="F76">
    <cfRule type="expression" priority="2167" dxfId="60">
      <formula>SEARCH("IN CORSO",$M76)&gt;0</formula>
    </cfRule>
    <cfRule type="expression" priority="2168" dxfId="59">
      <formula>SEARCH("CHIUSO",$M76)&gt;0</formula>
    </cfRule>
    <cfRule type="expression" priority="2169" dxfId="58">
      <formula>SEARCH("EMESSO",$M76)&gt;0</formula>
    </cfRule>
    <cfRule type="expression" priority="2170" dxfId="57">
      <formula>SEARCH("RICHIESTO",$M76)&gt;0</formula>
    </cfRule>
    <cfRule type="expression" priority="2171" dxfId="56">
      <formula>SEARCH("DA CHIUDERE",$M76)&gt;0</formula>
    </cfRule>
    <cfRule type="expression" priority="2172" dxfId="55">
      <formula>SEARCH("INTERROTTO",$M76)&gt;0</formula>
    </cfRule>
  </conditionalFormatting>
  <conditionalFormatting sqref="M75">
    <cfRule type="expression" priority="2161" dxfId="60">
      <formula>SEARCH("IN CORSO",$M75)&gt;0</formula>
    </cfRule>
    <cfRule type="expression" priority="2162" dxfId="59">
      <formula>SEARCH("CHIUSO",$M75)&gt;0</formula>
    </cfRule>
    <cfRule type="expression" priority="2163" dxfId="58">
      <formula>SEARCH("EMESSO",$M75)&gt;0</formula>
    </cfRule>
    <cfRule type="expression" priority="2164" dxfId="57">
      <formula>SEARCH("RICHIESTO",$M75)&gt;0</formula>
    </cfRule>
    <cfRule type="expression" priority="2165" dxfId="56">
      <formula>SEARCH("DA CHIUDERE",$M75)&gt;0</formula>
    </cfRule>
    <cfRule type="expression" priority="2166" dxfId="55">
      <formula>SEARCH("INTERROTTO",$M75)&gt;0</formula>
    </cfRule>
  </conditionalFormatting>
  <conditionalFormatting sqref="N75:S75">
    <cfRule type="expression" priority="2155" dxfId="60">
      <formula>SEARCH("IN CORSO",$M75)&gt;0</formula>
    </cfRule>
    <cfRule type="expression" priority="2156" dxfId="59">
      <formula>SEARCH("CHIUSO",$M75)&gt;0</formula>
    </cfRule>
    <cfRule type="expression" priority="2157" dxfId="58">
      <formula>SEARCH("EMESSO",$M75)&gt;0</formula>
    </cfRule>
    <cfRule type="expression" priority="2158" dxfId="57">
      <formula>SEARCH("RICHIESTO",$M75)&gt;0</formula>
    </cfRule>
    <cfRule type="expression" priority="2159" dxfId="56">
      <formula>SEARCH("DA CHIUDERE",$M75)&gt;0</formula>
    </cfRule>
    <cfRule type="expression" priority="2160" dxfId="55">
      <formula>SEARCH("INTERROTTO",$M75)&gt;0</formula>
    </cfRule>
  </conditionalFormatting>
  <conditionalFormatting sqref="G75">
    <cfRule type="expression" priority="2143" dxfId="60">
      <formula>SEARCH("IN CORSO",$M75)&gt;0</formula>
    </cfRule>
    <cfRule type="expression" priority="2144" dxfId="59">
      <formula>SEARCH("CHIUSO",$M75)&gt;0</formula>
    </cfRule>
    <cfRule type="expression" priority="2145" dxfId="58">
      <formula>SEARCH("EMESSO",$M75)&gt;0</formula>
    </cfRule>
    <cfRule type="expression" priority="2146" dxfId="57">
      <formula>SEARCH("RICHIESTO",$M75)&gt;0</formula>
    </cfRule>
    <cfRule type="expression" priority="2147" dxfId="56">
      <formula>SEARCH("DA CHIUDERE",$M75)&gt;0</formula>
    </cfRule>
    <cfRule type="expression" priority="2148" dxfId="55">
      <formula>SEARCH("INTERROTTO",$M75)&gt;0</formula>
    </cfRule>
  </conditionalFormatting>
  <conditionalFormatting sqref="E75">
    <cfRule type="expression" priority="2149" dxfId="60">
      <formula>SEARCH("IN CORSO",$M75)&gt;0</formula>
    </cfRule>
    <cfRule type="expression" priority="2150" dxfId="59">
      <formula>SEARCH("CHIUSO",$M75)&gt;0</formula>
    </cfRule>
    <cfRule type="expression" priority="2151" dxfId="58">
      <formula>SEARCH("EMESSO",$M75)&gt;0</formula>
    </cfRule>
    <cfRule type="expression" priority="2152" dxfId="57">
      <formula>SEARCH("RICHIESTO",$M75)&gt;0</formula>
    </cfRule>
    <cfRule type="expression" priority="2153" dxfId="56">
      <formula>SEARCH("DA CHIUDERE",$M75)&gt;0</formula>
    </cfRule>
    <cfRule type="expression" priority="2154" dxfId="55">
      <formula>SEARCH("INTERROTTO",$M75)&gt;0</formula>
    </cfRule>
  </conditionalFormatting>
  <conditionalFormatting sqref="F75">
    <cfRule type="expression" priority="2137" dxfId="60">
      <formula>SEARCH("IN CORSO",$M75)&gt;0</formula>
    </cfRule>
    <cfRule type="expression" priority="2138" dxfId="59">
      <formula>SEARCH("CHIUSO",$M75)&gt;0</formula>
    </cfRule>
    <cfRule type="expression" priority="2139" dxfId="58">
      <formula>SEARCH("EMESSO",$M75)&gt;0</formula>
    </cfRule>
    <cfRule type="expression" priority="2140" dxfId="57">
      <formula>SEARCH("RICHIESTO",$M75)&gt;0</formula>
    </cfRule>
    <cfRule type="expression" priority="2141" dxfId="56">
      <formula>SEARCH("DA CHIUDERE",$M75)&gt;0</formula>
    </cfRule>
    <cfRule type="expression" priority="2142" dxfId="55">
      <formula>SEARCH("INTERROTTO",$M75)&gt;0</formula>
    </cfRule>
  </conditionalFormatting>
  <conditionalFormatting sqref="M74">
    <cfRule type="expression" priority="2131" dxfId="60">
      <formula>SEARCH("IN CORSO",$M74)&gt;0</formula>
    </cfRule>
    <cfRule type="expression" priority="2132" dxfId="59">
      <formula>SEARCH("CHIUSO",$M74)&gt;0</formula>
    </cfRule>
    <cfRule type="expression" priority="2133" dxfId="58">
      <formula>SEARCH("EMESSO",$M74)&gt;0</formula>
    </cfRule>
    <cfRule type="expression" priority="2134" dxfId="57">
      <formula>SEARCH("RICHIESTO",$M74)&gt;0</formula>
    </cfRule>
    <cfRule type="expression" priority="2135" dxfId="56">
      <formula>SEARCH("DA CHIUDERE",$M74)&gt;0</formula>
    </cfRule>
    <cfRule type="expression" priority="2136" dxfId="55">
      <formula>SEARCH("INTERROTTO",$M74)&gt;0</formula>
    </cfRule>
  </conditionalFormatting>
  <conditionalFormatting sqref="N74:S74">
    <cfRule type="expression" priority="2125" dxfId="60">
      <formula>SEARCH("IN CORSO",$M74)&gt;0</formula>
    </cfRule>
    <cfRule type="expression" priority="2126" dxfId="59">
      <formula>SEARCH("CHIUSO",$M74)&gt;0</formula>
    </cfRule>
    <cfRule type="expression" priority="2127" dxfId="58">
      <formula>SEARCH("EMESSO",$M74)&gt;0</formula>
    </cfRule>
    <cfRule type="expression" priority="2128" dxfId="57">
      <formula>SEARCH("RICHIESTO",$M74)&gt;0</formula>
    </cfRule>
    <cfRule type="expression" priority="2129" dxfId="56">
      <formula>SEARCH("DA CHIUDERE",$M74)&gt;0</formula>
    </cfRule>
    <cfRule type="expression" priority="2130" dxfId="55">
      <formula>SEARCH("INTERROTTO",$M74)&gt;0</formula>
    </cfRule>
  </conditionalFormatting>
  <conditionalFormatting sqref="G74">
    <cfRule type="expression" priority="2113" dxfId="60">
      <formula>SEARCH("IN CORSO",$M74)&gt;0</formula>
    </cfRule>
    <cfRule type="expression" priority="2114" dxfId="59">
      <formula>SEARCH("CHIUSO",$M74)&gt;0</formula>
    </cfRule>
    <cfRule type="expression" priority="2115" dxfId="58">
      <formula>SEARCH("EMESSO",$M74)&gt;0</formula>
    </cfRule>
    <cfRule type="expression" priority="2116" dxfId="57">
      <formula>SEARCH("RICHIESTO",$M74)&gt;0</formula>
    </cfRule>
    <cfRule type="expression" priority="2117" dxfId="56">
      <formula>SEARCH("DA CHIUDERE",$M74)&gt;0</formula>
    </cfRule>
    <cfRule type="expression" priority="2118" dxfId="55">
      <formula>SEARCH("INTERROTTO",$M74)&gt;0</formula>
    </cfRule>
  </conditionalFormatting>
  <conditionalFormatting sqref="E74">
    <cfRule type="expression" priority="2119" dxfId="60">
      <formula>SEARCH("IN CORSO",$M74)&gt;0</formula>
    </cfRule>
    <cfRule type="expression" priority="2120" dxfId="59">
      <formula>SEARCH("CHIUSO",$M74)&gt;0</formula>
    </cfRule>
    <cfRule type="expression" priority="2121" dxfId="58">
      <formula>SEARCH("EMESSO",$M74)&gt;0</formula>
    </cfRule>
    <cfRule type="expression" priority="2122" dxfId="57">
      <formula>SEARCH("RICHIESTO",$M74)&gt;0</formula>
    </cfRule>
    <cfRule type="expression" priority="2123" dxfId="56">
      <formula>SEARCH("DA CHIUDERE",$M74)&gt;0</formula>
    </cfRule>
    <cfRule type="expression" priority="2124" dxfId="55">
      <formula>SEARCH("INTERROTTO",$M74)&gt;0</formula>
    </cfRule>
  </conditionalFormatting>
  <conditionalFormatting sqref="F74">
    <cfRule type="expression" priority="2107" dxfId="60">
      <formula>SEARCH("IN CORSO",$M74)&gt;0</formula>
    </cfRule>
    <cfRule type="expression" priority="2108" dxfId="59">
      <formula>SEARCH("CHIUSO",$M74)&gt;0</formula>
    </cfRule>
    <cfRule type="expression" priority="2109" dxfId="58">
      <formula>SEARCH("EMESSO",$M74)&gt;0</formula>
    </cfRule>
    <cfRule type="expression" priority="2110" dxfId="57">
      <formula>SEARCH("RICHIESTO",$M74)&gt;0</formula>
    </cfRule>
    <cfRule type="expression" priority="2111" dxfId="56">
      <formula>SEARCH("DA CHIUDERE",$M74)&gt;0</formula>
    </cfRule>
    <cfRule type="expression" priority="2112" dxfId="55">
      <formula>SEARCH("INTERROTTO",$M74)&gt;0</formula>
    </cfRule>
  </conditionalFormatting>
  <conditionalFormatting sqref="M73">
    <cfRule type="expression" priority="2101" dxfId="60">
      <formula>SEARCH("IN CORSO",$M73)&gt;0</formula>
    </cfRule>
    <cfRule type="expression" priority="2102" dxfId="59">
      <formula>SEARCH("CHIUSO",$M73)&gt;0</formula>
    </cfRule>
    <cfRule type="expression" priority="2103" dxfId="58">
      <formula>SEARCH("EMESSO",$M73)&gt;0</formula>
    </cfRule>
    <cfRule type="expression" priority="2104" dxfId="57">
      <formula>SEARCH("RICHIESTO",$M73)&gt;0</formula>
    </cfRule>
    <cfRule type="expression" priority="2105" dxfId="56">
      <formula>SEARCH("DA CHIUDERE",$M73)&gt;0</formula>
    </cfRule>
    <cfRule type="expression" priority="2106" dxfId="55">
      <formula>SEARCH("INTERROTTO",$M73)&gt;0</formula>
    </cfRule>
  </conditionalFormatting>
  <conditionalFormatting sqref="N73:S73">
    <cfRule type="expression" priority="2095" dxfId="60">
      <formula>SEARCH("IN CORSO",$M73)&gt;0</formula>
    </cfRule>
    <cfRule type="expression" priority="2096" dxfId="59">
      <formula>SEARCH("CHIUSO",$M73)&gt;0</formula>
    </cfRule>
    <cfRule type="expression" priority="2097" dxfId="58">
      <formula>SEARCH("EMESSO",$M73)&gt;0</formula>
    </cfRule>
    <cfRule type="expression" priority="2098" dxfId="57">
      <formula>SEARCH("RICHIESTO",$M73)&gt;0</formula>
    </cfRule>
    <cfRule type="expression" priority="2099" dxfId="56">
      <formula>SEARCH("DA CHIUDERE",$M73)&gt;0</formula>
    </cfRule>
    <cfRule type="expression" priority="2100" dxfId="55">
      <formula>SEARCH("INTERROTTO",$M73)&gt;0</formula>
    </cfRule>
  </conditionalFormatting>
  <conditionalFormatting sqref="G73">
    <cfRule type="expression" priority="2083" dxfId="60">
      <formula>SEARCH("IN CORSO",$M73)&gt;0</formula>
    </cfRule>
    <cfRule type="expression" priority="2084" dxfId="59">
      <formula>SEARCH("CHIUSO",$M73)&gt;0</formula>
    </cfRule>
    <cfRule type="expression" priority="2085" dxfId="58">
      <formula>SEARCH("EMESSO",$M73)&gt;0</formula>
    </cfRule>
    <cfRule type="expression" priority="2086" dxfId="57">
      <formula>SEARCH("RICHIESTO",$M73)&gt;0</formula>
    </cfRule>
    <cfRule type="expression" priority="2087" dxfId="56">
      <formula>SEARCH("DA CHIUDERE",$M73)&gt;0</formula>
    </cfRule>
    <cfRule type="expression" priority="2088" dxfId="55">
      <formula>SEARCH("INTERROTTO",$M73)&gt;0</formula>
    </cfRule>
  </conditionalFormatting>
  <conditionalFormatting sqref="E73">
    <cfRule type="expression" priority="2089" dxfId="60">
      <formula>SEARCH("IN CORSO",$M73)&gt;0</formula>
    </cfRule>
    <cfRule type="expression" priority="2090" dxfId="59">
      <formula>SEARCH("CHIUSO",$M73)&gt;0</formula>
    </cfRule>
    <cfRule type="expression" priority="2091" dxfId="58">
      <formula>SEARCH("EMESSO",$M73)&gt;0</formula>
    </cfRule>
    <cfRule type="expression" priority="2092" dxfId="57">
      <formula>SEARCH("RICHIESTO",$M73)&gt;0</formula>
    </cfRule>
    <cfRule type="expression" priority="2093" dxfId="56">
      <formula>SEARCH("DA CHIUDERE",$M73)&gt;0</formula>
    </cfRule>
    <cfRule type="expression" priority="2094" dxfId="55">
      <formula>SEARCH("INTERROTTO",$M73)&gt;0</formula>
    </cfRule>
  </conditionalFormatting>
  <conditionalFormatting sqref="F73">
    <cfRule type="expression" priority="2077" dxfId="60">
      <formula>SEARCH("IN CORSO",$M73)&gt;0</formula>
    </cfRule>
    <cfRule type="expression" priority="2078" dxfId="59">
      <formula>SEARCH("CHIUSO",$M73)&gt;0</formula>
    </cfRule>
    <cfRule type="expression" priority="2079" dxfId="58">
      <formula>SEARCH("EMESSO",$M73)&gt;0</formula>
    </cfRule>
    <cfRule type="expression" priority="2080" dxfId="57">
      <formula>SEARCH("RICHIESTO",$M73)&gt;0</formula>
    </cfRule>
    <cfRule type="expression" priority="2081" dxfId="56">
      <formula>SEARCH("DA CHIUDERE",$M73)&gt;0</formula>
    </cfRule>
    <cfRule type="expression" priority="2082" dxfId="55">
      <formula>SEARCH("INTERROTTO",$M73)&gt;0</formula>
    </cfRule>
  </conditionalFormatting>
  <conditionalFormatting sqref="M72">
    <cfRule type="expression" priority="2071" dxfId="60">
      <formula>SEARCH("IN CORSO",$M72)&gt;0</formula>
    </cfRule>
    <cfRule type="expression" priority="2072" dxfId="59">
      <formula>SEARCH("CHIUSO",$M72)&gt;0</formula>
    </cfRule>
    <cfRule type="expression" priority="2073" dxfId="58">
      <formula>SEARCH("EMESSO",$M72)&gt;0</formula>
    </cfRule>
    <cfRule type="expression" priority="2074" dxfId="57">
      <formula>SEARCH("RICHIESTO",$M72)&gt;0</formula>
    </cfRule>
    <cfRule type="expression" priority="2075" dxfId="56">
      <formula>SEARCH("DA CHIUDERE",$M72)&gt;0</formula>
    </cfRule>
    <cfRule type="expression" priority="2076" dxfId="55">
      <formula>SEARCH("INTERROTTO",$M72)&gt;0</formula>
    </cfRule>
  </conditionalFormatting>
  <conditionalFormatting sqref="N72:S72">
    <cfRule type="expression" priority="2065" dxfId="60">
      <formula>SEARCH("IN CORSO",$M72)&gt;0</formula>
    </cfRule>
    <cfRule type="expression" priority="2066" dxfId="59">
      <formula>SEARCH("CHIUSO",$M72)&gt;0</formula>
    </cfRule>
    <cfRule type="expression" priority="2067" dxfId="58">
      <formula>SEARCH("EMESSO",$M72)&gt;0</formula>
    </cfRule>
    <cfRule type="expression" priority="2068" dxfId="57">
      <formula>SEARCH("RICHIESTO",$M72)&gt;0</formula>
    </cfRule>
    <cfRule type="expression" priority="2069" dxfId="56">
      <formula>SEARCH("DA CHIUDERE",$M72)&gt;0</formula>
    </cfRule>
    <cfRule type="expression" priority="2070" dxfId="55">
      <formula>SEARCH("INTERROTTO",$M72)&gt;0</formula>
    </cfRule>
  </conditionalFormatting>
  <conditionalFormatting sqref="G72">
    <cfRule type="expression" priority="2053" dxfId="60">
      <formula>SEARCH("IN CORSO",$M72)&gt;0</formula>
    </cfRule>
    <cfRule type="expression" priority="2054" dxfId="59">
      <formula>SEARCH("CHIUSO",$M72)&gt;0</formula>
    </cfRule>
    <cfRule type="expression" priority="2055" dxfId="58">
      <formula>SEARCH("EMESSO",$M72)&gt;0</formula>
    </cfRule>
    <cfRule type="expression" priority="2056" dxfId="57">
      <formula>SEARCH("RICHIESTO",$M72)&gt;0</formula>
    </cfRule>
    <cfRule type="expression" priority="2057" dxfId="56">
      <formula>SEARCH("DA CHIUDERE",$M72)&gt;0</formula>
    </cfRule>
    <cfRule type="expression" priority="2058" dxfId="55">
      <formula>SEARCH("INTERROTTO",$M72)&gt;0</formula>
    </cfRule>
  </conditionalFormatting>
  <conditionalFormatting sqref="E72">
    <cfRule type="expression" priority="2059" dxfId="60">
      <formula>SEARCH("IN CORSO",$M72)&gt;0</formula>
    </cfRule>
    <cfRule type="expression" priority="2060" dxfId="59">
      <formula>SEARCH("CHIUSO",$M72)&gt;0</formula>
    </cfRule>
    <cfRule type="expression" priority="2061" dxfId="58">
      <formula>SEARCH("EMESSO",$M72)&gt;0</formula>
    </cfRule>
    <cfRule type="expression" priority="2062" dxfId="57">
      <formula>SEARCH("RICHIESTO",$M72)&gt;0</formula>
    </cfRule>
    <cfRule type="expression" priority="2063" dxfId="56">
      <formula>SEARCH("DA CHIUDERE",$M72)&gt;0</formula>
    </cfRule>
    <cfRule type="expression" priority="2064" dxfId="55">
      <formula>SEARCH("INTERROTTO",$M72)&gt;0</formula>
    </cfRule>
  </conditionalFormatting>
  <conditionalFormatting sqref="F72">
    <cfRule type="expression" priority="2047" dxfId="60">
      <formula>SEARCH("IN CORSO",$M72)&gt;0</formula>
    </cfRule>
    <cfRule type="expression" priority="2048" dxfId="59">
      <formula>SEARCH("CHIUSO",$M72)&gt;0</formula>
    </cfRule>
    <cfRule type="expression" priority="2049" dxfId="58">
      <formula>SEARCH("EMESSO",$M72)&gt;0</formula>
    </cfRule>
    <cfRule type="expression" priority="2050" dxfId="57">
      <formula>SEARCH("RICHIESTO",$M72)&gt;0</formula>
    </cfRule>
    <cfRule type="expression" priority="2051" dxfId="56">
      <formula>SEARCH("DA CHIUDERE",$M72)&gt;0</formula>
    </cfRule>
    <cfRule type="expression" priority="2052" dxfId="55">
      <formula>SEARCH("INTERROTTO",$M72)&gt;0</formula>
    </cfRule>
  </conditionalFormatting>
  <conditionalFormatting sqref="M71">
    <cfRule type="expression" priority="2041" dxfId="60">
      <formula>SEARCH("IN CORSO",$M71)&gt;0</formula>
    </cfRule>
    <cfRule type="expression" priority="2042" dxfId="59">
      <formula>SEARCH("CHIUSO",$M71)&gt;0</formula>
    </cfRule>
    <cfRule type="expression" priority="2043" dxfId="58">
      <formula>SEARCH("EMESSO",$M71)&gt;0</formula>
    </cfRule>
    <cfRule type="expression" priority="2044" dxfId="57">
      <formula>SEARCH("RICHIESTO",$M71)&gt;0</formula>
    </cfRule>
    <cfRule type="expression" priority="2045" dxfId="56">
      <formula>SEARCH("DA CHIUDERE",$M71)&gt;0</formula>
    </cfRule>
    <cfRule type="expression" priority="2046" dxfId="55">
      <formula>SEARCH("INTERROTTO",$M71)&gt;0</formula>
    </cfRule>
  </conditionalFormatting>
  <conditionalFormatting sqref="N71:S71">
    <cfRule type="expression" priority="2035" dxfId="60">
      <formula>SEARCH("IN CORSO",$M71)&gt;0</formula>
    </cfRule>
    <cfRule type="expression" priority="2036" dxfId="59">
      <formula>SEARCH("CHIUSO",$M71)&gt;0</formula>
    </cfRule>
    <cfRule type="expression" priority="2037" dxfId="58">
      <formula>SEARCH("EMESSO",$M71)&gt;0</formula>
    </cfRule>
    <cfRule type="expression" priority="2038" dxfId="57">
      <formula>SEARCH("RICHIESTO",$M71)&gt;0</formula>
    </cfRule>
    <cfRule type="expression" priority="2039" dxfId="56">
      <formula>SEARCH("DA CHIUDERE",$M71)&gt;0</formula>
    </cfRule>
    <cfRule type="expression" priority="2040" dxfId="55">
      <formula>SEARCH("INTERROTTO",$M71)&gt;0</formula>
    </cfRule>
  </conditionalFormatting>
  <conditionalFormatting sqref="G71">
    <cfRule type="expression" priority="2023" dxfId="60">
      <formula>SEARCH("IN CORSO",$M71)&gt;0</formula>
    </cfRule>
    <cfRule type="expression" priority="2024" dxfId="59">
      <formula>SEARCH("CHIUSO",$M71)&gt;0</formula>
    </cfRule>
    <cfRule type="expression" priority="2025" dxfId="58">
      <formula>SEARCH("EMESSO",$M71)&gt;0</formula>
    </cfRule>
    <cfRule type="expression" priority="2026" dxfId="57">
      <formula>SEARCH("RICHIESTO",$M71)&gt;0</formula>
    </cfRule>
    <cfRule type="expression" priority="2027" dxfId="56">
      <formula>SEARCH("DA CHIUDERE",$M71)&gt;0</formula>
    </cfRule>
    <cfRule type="expression" priority="2028" dxfId="55">
      <formula>SEARCH("INTERROTTO",$M71)&gt;0</formula>
    </cfRule>
  </conditionalFormatting>
  <conditionalFormatting sqref="E71">
    <cfRule type="expression" priority="2029" dxfId="60">
      <formula>SEARCH("IN CORSO",$M71)&gt;0</formula>
    </cfRule>
    <cfRule type="expression" priority="2030" dxfId="59">
      <formula>SEARCH("CHIUSO",$M71)&gt;0</formula>
    </cfRule>
    <cfRule type="expression" priority="2031" dxfId="58">
      <formula>SEARCH("EMESSO",$M71)&gt;0</formula>
    </cfRule>
    <cfRule type="expression" priority="2032" dxfId="57">
      <formula>SEARCH("RICHIESTO",$M71)&gt;0</formula>
    </cfRule>
    <cfRule type="expression" priority="2033" dxfId="56">
      <formula>SEARCH("DA CHIUDERE",$M71)&gt;0</formula>
    </cfRule>
    <cfRule type="expression" priority="2034" dxfId="55">
      <formula>SEARCH("INTERROTTO",$M71)&gt;0</formula>
    </cfRule>
  </conditionalFormatting>
  <conditionalFormatting sqref="F71">
    <cfRule type="expression" priority="2017" dxfId="60">
      <formula>SEARCH("IN CORSO",$M71)&gt;0</formula>
    </cfRule>
    <cfRule type="expression" priority="2018" dxfId="59">
      <formula>SEARCH("CHIUSO",$M71)&gt;0</formula>
    </cfRule>
    <cfRule type="expression" priority="2019" dxfId="58">
      <formula>SEARCH("EMESSO",$M71)&gt;0</formula>
    </cfRule>
    <cfRule type="expression" priority="2020" dxfId="57">
      <formula>SEARCH("RICHIESTO",$M71)&gt;0</formula>
    </cfRule>
    <cfRule type="expression" priority="2021" dxfId="56">
      <formula>SEARCH("DA CHIUDERE",$M71)&gt;0</formula>
    </cfRule>
    <cfRule type="expression" priority="2022" dxfId="55">
      <formula>SEARCH("INTERROTTO",$M71)&gt;0</formula>
    </cfRule>
  </conditionalFormatting>
  <conditionalFormatting sqref="M70">
    <cfRule type="expression" priority="2011" dxfId="60">
      <formula>SEARCH("IN CORSO",$M70)&gt;0</formula>
    </cfRule>
    <cfRule type="expression" priority="2012" dxfId="59">
      <formula>SEARCH("CHIUSO",$M70)&gt;0</formula>
    </cfRule>
    <cfRule type="expression" priority="2013" dxfId="58">
      <formula>SEARCH("EMESSO",$M70)&gt;0</formula>
    </cfRule>
    <cfRule type="expression" priority="2014" dxfId="57">
      <formula>SEARCH("RICHIESTO",$M70)&gt;0</formula>
    </cfRule>
    <cfRule type="expression" priority="2015" dxfId="56">
      <formula>SEARCH("DA CHIUDERE",$M70)&gt;0</formula>
    </cfRule>
    <cfRule type="expression" priority="2016" dxfId="55">
      <formula>SEARCH("INTERROTTO",$M70)&gt;0</formula>
    </cfRule>
  </conditionalFormatting>
  <conditionalFormatting sqref="N70:S70">
    <cfRule type="expression" priority="2005" dxfId="60">
      <formula>SEARCH("IN CORSO",$M70)&gt;0</formula>
    </cfRule>
    <cfRule type="expression" priority="2006" dxfId="59">
      <formula>SEARCH("CHIUSO",$M70)&gt;0</formula>
    </cfRule>
    <cfRule type="expression" priority="2007" dxfId="58">
      <formula>SEARCH("EMESSO",$M70)&gt;0</formula>
    </cfRule>
    <cfRule type="expression" priority="2008" dxfId="57">
      <formula>SEARCH("RICHIESTO",$M70)&gt;0</formula>
    </cfRule>
    <cfRule type="expression" priority="2009" dxfId="56">
      <formula>SEARCH("DA CHIUDERE",$M70)&gt;0</formula>
    </cfRule>
    <cfRule type="expression" priority="2010" dxfId="55">
      <formula>SEARCH("INTERROTTO",$M70)&gt;0</formula>
    </cfRule>
  </conditionalFormatting>
  <conditionalFormatting sqref="G70">
    <cfRule type="expression" priority="1993" dxfId="60">
      <formula>SEARCH("IN CORSO",$M70)&gt;0</formula>
    </cfRule>
    <cfRule type="expression" priority="1994" dxfId="59">
      <formula>SEARCH("CHIUSO",$M70)&gt;0</formula>
    </cfRule>
    <cfRule type="expression" priority="1995" dxfId="58">
      <formula>SEARCH("EMESSO",$M70)&gt;0</formula>
    </cfRule>
    <cfRule type="expression" priority="1996" dxfId="57">
      <formula>SEARCH("RICHIESTO",$M70)&gt;0</formula>
    </cfRule>
    <cfRule type="expression" priority="1997" dxfId="56">
      <formula>SEARCH("DA CHIUDERE",$M70)&gt;0</formula>
    </cfRule>
    <cfRule type="expression" priority="1998" dxfId="55">
      <formula>SEARCH("INTERROTTO",$M70)&gt;0</formula>
    </cfRule>
  </conditionalFormatting>
  <conditionalFormatting sqref="E70">
    <cfRule type="expression" priority="1999" dxfId="60">
      <formula>SEARCH("IN CORSO",$M70)&gt;0</formula>
    </cfRule>
    <cfRule type="expression" priority="2000" dxfId="59">
      <formula>SEARCH("CHIUSO",$M70)&gt;0</formula>
    </cfRule>
    <cfRule type="expression" priority="2001" dxfId="58">
      <formula>SEARCH("EMESSO",$M70)&gt;0</formula>
    </cfRule>
    <cfRule type="expression" priority="2002" dxfId="57">
      <formula>SEARCH("RICHIESTO",$M70)&gt;0</formula>
    </cfRule>
    <cfRule type="expression" priority="2003" dxfId="56">
      <formula>SEARCH("DA CHIUDERE",$M70)&gt;0</formula>
    </cfRule>
    <cfRule type="expression" priority="2004" dxfId="55">
      <formula>SEARCH("INTERROTTO",$M70)&gt;0</formula>
    </cfRule>
  </conditionalFormatting>
  <conditionalFormatting sqref="F70">
    <cfRule type="expression" priority="1987" dxfId="60">
      <formula>SEARCH("IN CORSO",$M70)&gt;0</formula>
    </cfRule>
    <cfRule type="expression" priority="1988" dxfId="59">
      <formula>SEARCH("CHIUSO",$M70)&gt;0</formula>
    </cfRule>
    <cfRule type="expression" priority="1989" dxfId="58">
      <formula>SEARCH("EMESSO",$M70)&gt;0</formula>
    </cfRule>
    <cfRule type="expression" priority="1990" dxfId="57">
      <formula>SEARCH("RICHIESTO",$M70)&gt;0</formula>
    </cfRule>
    <cfRule type="expression" priority="1991" dxfId="56">
      <formula>SEARCH("DA CHIUDERE",$M70)&gt;0</formula>
    </cfRule>
    <cfRule type="expression" priority="1992" dxfId="55">
      <formula>SEARCH("INTERROTTO",$M70)&gt;0</formula>
    </cfRule>
  </conditionalFormatting>
  <conditionalFormatting sqref="M69">
    <cfRule type="expression" priority="1981" dxfId="60">
      <formula>SEARCH("IN CORSO",$M69)&gt;0</formula>
    </cfRule>
    <cfRule type="expression" priority="1982" dxfId="59">
      <formula>SEARCH("CHIUSO",$M69)&gt;0</formula>
    </cfRule>
    <cfRule type="expression" priority="1983" dxfId="58">
      <formula>SEARCH("EMESSO",$M69)&gt;0</formula>
    </cfRule>
    <cfRule type="expression" priority="1984" dxfId="57">
      <formula>SEARCH("RICHIESTO",$M69)&gt;0</formula>
    </cfRule>
    <cfRule type="expression" priority="1985" dxfId="56">
      <formula>SEARCH("DA CHIUDERE",$M69)&gt;0</formula>
    </cfRule>
    <cfRule type="expression" priority="1986" dxfId="55">
      <formula>SEARCH("INTERROTTO",$M69)&gt;0</formula>
    </cfRule>
  </conditionalFormatting>
  <conditionalFormatting sqref="N69:S69">
    <cfRule type="expression" priority="1975" dxfId="60">
      <formula>SEARCH("IN CORSO",$M69)&gt;0</formula>
    </cfRule>
    <cfRule type="expression" priority="1976" dxfId="59">
      <formula>SEARCH("CHIUSO",$M69)&gt;0</formula>
    </cfRule>
    <cfRule type="expression" priority="1977" dxfId="58">
      <formula>SEARCH("EMESSO",$M69)&gt;0</formula>
    </cfRule>
    <cfRule type="expression" priority="1978" dxfId="57">
      <formula>SEARCH("RICHIESTO",$M69)&gt;0</formula>
    </cfRule>
    <cfRule type="expression" priority="1979" dxfId="56">
      <formula>SEARCH("DA CHIUDERE",$M69)&gt;0</formula>
    </cfRule>
    <cfRule type="expression" priority="1980" dxfId="55">
      <formula>SEARCH("INTERROTTO",$M69)&gt;0</formula>
    </cfRule>
  </conditionalFormatting>
  <conditionalFormatting sqref="G69">
    <cfRule type="expression" priority="1963" dxfId="60">
      <formula>SEARCH("IN CORSO",$M69)&gt;0</formula>
    </cfRule>
    <cfRule type="expression" priority="1964" dxfId="59">
      <formula>SEARCH("CHIUSO",$M69)&gt;0</formula>
    </cfRule>
    <cfRule type="expression" priority="1965" dxfId="58">
      <formula>SEARCH("EMESSO",$M69)&gt;0</formula>
    </cfRule>
    <cfRule type="expression" priority="1966" dxfId="57">
      <formula>SEARCH("RICHIESTO",$M69)&gt;0</formula>
    </cfRule>
    <cfRule type="expression" priority="1967" dxfId="56">
      <formula>SEARCH("DA CHIUDERE",$M69)&gt;0</formula>
    </cfRule>
    <cfRule type="expression" priority="1968" dxfId="55">
      <formula>SEARCH("INTERROTTO",$M69)&gt;0</formula>
    </cfRule>
  </conditionalFormatting>
  <conditionalFormatting sqref="E69">
    <cfRule type="expression" priority="1969" dxfId="60">
      <formula>SEARCH("IN CORSO",$M69)&gt;0</formula>
    </cfRule>
    <cfRule type="expression" priority="1970" dxfId="59">
      <formula>SEARCH("CHIUSO",$M69)&gt;0</formula>
    </cfRule>
    <cfRule type="expression" priority="1971" dxfId="58">
      <formula>SEARCH("EMESSO",$M69)&gt;0</formula>
    </cfRule>
    <cfRule type="expression" priority="1972" dxfId="57">
      <formula>SEARCH("RICHIESTO",$M69)&gt;0</formula>
    </cfRule>
    <cfRule type="expression" priority="1973" dxfId="56">
      <formula>SEARCH("DA CHIUDERE",$M69)&gt;0</formula>
    </cfRule>
    <cfRule type="expression" priority="1974" dxfId="55">
      <formula>SEARCH("INTERROTTO",$M69)&gt;0</formula>
    </cfRule>
  </conditionalFormatting>
  <conditionalFormatting sqref="F69">
    <cfRule type="expression" priority="1957" dxfId="60">
      <formula>SEARCH("IN CORSO",$M69)&gt;0</formula>
    </cfRule>
    <cfRule type="expression" priority="1958" dxfId="59">
      <formula>SEARCH("CHIUSO",$M69)&gt;0</formula>
    </cfRule>
    <cfRule type="expression" priority="1959" dxfId="58">
      <formula>SEARCH("EMESSO",$M69)&gt;0</formula>
    </cfRule>
    <cfRule type="expression" priority="1960" dxfId="57">
      <formula>SEARCH("RICHIESTO",$M69)&gt;0</formula>
    </cfRule>
    <cfRule type="expression" priority="1961" dxfId="56">
      <formula>SEARCH("DA CHIUDERE",$M69)&gt;0</formula>
    </cfRule>
    <cfRule type="expression" priority="1962" dxfId="55">
      <formula>SEARCH("INTERROTTO",$M69)&gt;0</formula>
    </cfRule>
  </conditionalFormatting>
  <conditionalFormatting sqref="M68">
    <cfRule type="expression" priority="1951" dxfId="60">
      <formula>SEARCH("IN CORSO",$M68)&gt;0</formula>
    </cfRule>
    <cfRule type="expression" priority="1952" dxfId="59">
      <formula>SEARCH("CHIUSO",$M68)&gt;0</formula>
    </cfRule>
    <cfRule type="expression" priority="1953" dxfId="58">
      <formula>SEARCH("EMESSO",$M68)&gt;0</formula>
    </cfRule>
    <cfRule type="expression" priority="1954" dxfId="57">
      <formula>SEARCH("RICHIESTO",$M68)&gt;0</formula>
    </cfRule>
    <cfRule type="expression" priority="1955" dxfId="56">
      <formula>SEARCH("DA CHIUDERE",$M68)&gt;0</formula>
    </cfRule>
    <cfRule type="expression" priority="1956" dxfId="55">
      <formula>SEARCH("INTERROTTO",$M68)&gt;0</formula>
    </cfRule>
  </conditionalFormatting>
  <conditionalFormatting sqref="N68:S68">
    <cfRule type="expression" priority="1945" dxfId="60">
      <formula>SEARCH("IN CORSO",$M68)&gt;0</formula>
    </cfRule>
    <cfRule type="expression" priority="1946" dxfId="59">
      <formula>SEARCH("CHIUSO",$M68)&gt;0</formula>
    </cfRule>
    <cfRule type="expression" priority="1947" dxfId="58">
      <formula>SEARCH("EMESSO",$M68)&gt;0</formula>
    </cfRule>
    <cfRule type="expression" priority="1948" dxfId="57">
      <formula>SEARCH("RICHIESTO",$M68)&gt;0</formula>
    </cfRule>
    <cfRule type="expression" priority="1949" dxfId="56">
      <formula>SEARCH("DA CHIUDERE",$M68)&gt;0</formula>
    </cfRule>
    <cfRule type="expression" priority="1950" dxfId="55">
      <formula>SEARCH("INTERROTTO",$M68)&gt;0</formula>
    </cfRule>
  </conditionalFormatting>
  <conditionalFormatting sqref="G68">
    <cfRule type="expression" priority="1933" dxfId="60">
      <formula>SEARCH("IN CORSO",$M68)&gt;0</formula>
    </cfRule>
    <cfRule type="expression" priority="1934" dxfId="59">
      <formula>SEARCH("CHIUSO",$M68)&gt;0</formula>
    </cfRule>
    <cfRule type="expression" priority="1935" dxfId="58">
      <formula>SEARCH("EMESSO",$M68)&gt;0</formula>
    </cfRule>
    <cfRule type="expression" priority="1936" dxfId="57">
      <formula>SEARCH("RICHIESTO",$M68)&gt;0</formula>
    </cfRule>
    <cfRule type="expression" priority="1937" dxfId="56">
      <formula>SEARCH("DA CHIUDERE",$M68)&gt;0</formula>
    </cfRule>
    <cfRule type="expression" priority="1938" dxfId="55">
      <formula>SEARCH("INTERROTTO",$M68)&gt;0</formula>
    </cfRule>
  </conditionalFormatting>
  <conditionalFormatting sqref="E68">
    <cfRule type="expression" priority="1939" dxfId="60">
      <formula>SEARCH("IN CORSO",$M68)&gt;0</formula>
    </cfRule>
    <cfRule type="expression" priority="1940" dxfId="59">
      <formula>SEARCH("CHIUSO",$M68)&gt;0</formula>
    </cfRule>
    <cfRule type="expression" priority="1941" dxfId="58">
      <formula>SEARCH("EMESSO",$M68)&gt;0</formula>
    </cfRule>
    <cfRule type="expression" priority="1942" dxfId="57">
      <formula>SEARCH("RICHIESTO",$M68)&gt;0</formula>
    </cfRule>
    <cfRule type="expression" priority="1943" dxfId="56">
      <formula>SEARCH("DA CHIUDERE",$M68)&gt;0</formula>
    </cfRule>
    <cfRule type="expression" priority="1944" dxfId="55">
      <formula>SEARCH("INTERROTTO",$M68)&gt;0</formula>
    </cfRule>
  </conditionalFormatting>
  <conditionalFormatting sqref="F68">
    <cfRule type="expression" priority="1927" dxfId="60">
      <formula>SEARCH("IN CORSO",$M68)&gt;0</formula>
    </cfRule>
    <cfRule type="expression" priority="1928" dxfId="59">
      <formula>SEARCH("CHIUSO",$M68)&gt;0</formula>
    </cfRule>
    <cfRule type="expression" priority="1929" dxfId="58">
      <formula>SEARCH("EMESSO",$M68)&gt;0</formula>
    </cfRule>
    <cfRule type="expression" priority="1930" dxfId="57">
      <formula>SEARCH("RICHIESTO",$M68)&gt;0</formula>
    </cfRule>
    <cfRule type="expression" priority="1931" dxfId="56">
      <formula>SEARCH("DA CHIUDERE",$M68)&gt;0</formula>
    </cfRule>
    <cfRule type="expression" priority="1932" dxfId="55">
      <formula>SEARCH("INTERROTTO",$M68)&gt;0</formula>
    </cfRule>
  </conditionalFormatting>
  <conditionalFormatting sqref="M67">
    <cfRule type="expression" priority="1921" dxfId="60">
      <formula>SEARCH("IN CORSO",$M67)&gt;0</formula>
    </cfRule>
    <cfRule type="expression" priority="1922" dxfId="59">
      <formula>SEARCH("CHIUSO",$M67)&gt;0</formula>
    </cfRule>
    <cfRule type="expression" priority="1923" dxfId="58">
      <formula>SEARCH("EMESSO",$M67)&gt;0</formula>
    </cfRule>
    <cfRule type="expression" priority="1924" dxfId="57">
      <formula>SEARCH("RICHIESTO",$M67)&gt;0</formula>
    </cfRule>
    <cfRule type="expression" priority="1925" dxfId="56">
      <formula>SEARCH("DA CHIUDERE",$M67)&gt;0</formula>
    </cfRule>
    <cfRule type="expression" priority="1926" dxfId="55">
      <formula>SEARCH("INTERROTTO",$M67)&gt;0</formula>
    </cfRule>
  </conditionalFormatting>
  <conditionalFormatting sqref="N67:S67">
    <cfRule type="expression" priority="1915" dxfId="60">
      <formula>SEARCH("IN CORSO",$M67)&gt;0</formula>
    </cfRule>
    <cfRule type="expression" priority="1916" dxfId="59">
      <formula>SEARCH("CHIUSO",$M67)&gt;0</formula>
    </cfRule>
    <cfRule type="expression" priority="1917" dxfId="58">
      <formula>SEARCH("EMESSO",$M67)&gt;0</formula>
    </cfRule>
    <cfRule type="expression" priority="1918" dxfId="57">
      <formula>SEARCH("RICHIESTO",$M67)&gt;0</formula>
    </cfRule>
    <cfRule type="expression" priority="1919" dxfId="56">
      <formula>SEARCH("DA CHIUDERE",$M67)&gt;0</formula>
    </cfRule>
    <cfRule type="expression" priority="1920" dxfId="55">
      <formula>SEARCH("INTERROTTO",$M67)&gt;0</formula>
    </cfRule>
  </conditionalFormatting>
  <conditionalFormatting sqref="G67">
    <cfRule type="expression" priority="1903" dxfId="60">
      <formula>SEARCH("IN CORSO",$M67)&gt;0</formula>
    </cfRule>
    <cfRule type="expression" priority="1904" dxfId="59">
      <formula>SEARCH("CHIUSO",$M67)&gt;0</formula>
    </cfRule>
    <cfRule type="expression" priority="1905" dxfId="58">
      <formula>SEARCH("EMESSO",$M67)&gt;0</formula>
    </cfRule>
    <cfRule type="expression" priority="1906" dxfId="57">
      <formula>SEARCH("RICHIESTO",$M67)&gt;0</formula>
    </cfRule>
    <cfRule type="expression" priority="1907" dxfId="56">
      <formula>SEARCH("DA CHIUDERE",$M67)&gt;0</formula>
    </cfRule>
    <cfRule type="expression" priority="1908" dxfId="55">
      <formula>SEARCH("INTERROTTO",$M67)&gt;0</formula>
    </cfRule>
  </conditionalFormatting>
  <conditionalFormatting sqref="E67">
    <cfRule type="expression" priority="1909" dxfId="60">
      <formula>SEARCH("IN CORSO",$M67)&gt;0</formula>
    </cfRule>
    <cfRule type="expression" priority="1910" dxfId="59">
      <formula>SEARCH("CHIUSO",$M67)&gt;0</formula>
    </cfRule>
    <cfRule type="expression" priority="1911" dxfId="58">
      <formula>SEARCH("EMESSO",$M67)&gt;0</formula>
    </cfRule>
    <cfRule type="expression" priority="1912" dxfId="57">
      <formula>SEARCH("RICHIESTO",$M67)&gt;0</formula>
    </cfRule>
    <cfRule type="expression" priority="1913" dxfId="56">
      <formula>SEARCH("DA CHIUDERE",$M67)&gt;0</formula>
    </cfRule>
    <cfRule type="expression" priority="1914" dxfId="55">
      <formula>SEARCH("INTERROTTO",$M67)&gt;0</formula>
    </cfRule>
  </conditionalFormatting>
  <conditionalFormatting sqref="F67">
    <cfRule type="expression" priority="1897" dxfId="60">
      <formula>SEARCH("IN CORSO",$M67)&gt;0</formula>
    </cfRule>
    <cfRule type="expression" priority="1898" dxfId="59">
      <formula>SEARCH("CHIUSO",$M67)&gt;0</formula>
    </cfRule>
    <cfRule type="expression" priority="1899" dxfId="58">
      <formula>SEARCH("EMESSO",$M67)&gt;0</formula>
    </cfRule>
    <cfRule type="expression" priority="1900" dxfId="57">
      <formula>SEARCH("RICHIESTO",$M67)&gt;0</formula>
    </cfRule>
    <cfRule type="expression" priority="1901" dxfId="56">
      <formula>SEARCH("DA CHIUDERE",$M67)&gt;0</formula>
    </cfRule>
    <cfRule type="expression" priority="1902" dxfId="55">
      <formula>SEARCH("INTERROTTO",$M67)&gt;0</formula>
    </cfRule>
  </conditionalFormatting>
  <conditionalFormatting sqref="M66">
    <cfRule type="expression" priority="1891" dxfId="60">
      <formula>SEARCH("IN CORSO",$M66)&gt;0</formula>
    </cfRule>
    <cfRule type="expression" priority="1892" dxfId="59">
      <formula>SEARCH("CHIUSO",$M66)&gt;0</formula>
    </cfRule>
    <cfRule type="expression" priority="1893" dxfId="58">
      <formula>SEARCH("EMESSO",$M66)&gt;0</formula>
    </cfRule>
    <cfRule type="expression" priority="1894" dxfId="57">
      <formula>SEARCH("RICHIESTO",$M66)&gt;0</formula>
    </cfRule>
    <cfRule type="expression" priority="1895" dxfId="56">
      <formula>SEARCH("DA CHIUDERE",$M66)&gt;0</formula>
    </cfRule>
    <cfRule type="expression" priority="1896" dxfId="55">
      <formula>SEARCH("INTERROTTO",$M66)&gt;0</formula>
    </cfRule>
  </conditionalFormatting>
  <conditionalFormatting sqref="N66:S66">
    <cfRule type="expression" priority="1885" dxfId="60">
      <formula>SEARCH("IN CORSO",$M66)&gt;0</formula>
    </cfRule>
    <cfRule type="expression" priority="1886" dxfId="59">
      <formula>SEARCH("CHIUSO",$M66)&gt;0</formula>
    </cfRule>
    <cfRule type="expression" priority="1887" dxfId="58">
      <formula>SEARCH("EMESSO",$M66)&gt;0</formula>
    </cfRule>
    <cfRule type="expression" priority="1888" dxfId="57">
      <formula>SEARCH("RICHIESTO",$M66)&gt;0</formula>
    </cfRule>
    <cfRule type="expression" priority="1889" dxfId="56">
      <formula>SEARCH("DA CHIUDERE",$M66)&gt;0</formula>
    </cfRule>
    <cfRule type="expression" priority="1890" dxfId="55">
      <formula>SEARCH("INTERROTTO",$M66)&gt;0</formula>
    </cfRule>
  </conditionalFormatting>
  <conditionalFormatting sqref="G66">
    <cfRule type="expression" priority="1873" dxfId="60">
      <formula>SEARCH("IN CORSO",$M66)&gt;0</formula>
    </cfRule>
    <cfRule type="expression" priority="1874" dxfId="59">
      <formula>SEARCH("CHIUSO",$M66)&gt;0</formula>
    </cfRule>
    <cfRule type="expression" priority="1875" dxfId="58">
      <formula>SEARCH("EMESSO",$M66)&gt;0</formula>
    </cfRule>
    <cfRule type="expression" priority="1876" dxfId="57">
      <formula>SEARCH("RICHIESTO",$M66)&gt;0</formula>
    </cfRule>
    <cfRule type="expression" priority="1877" dxfId="56">
      <formula>SEARCH("DA CHIUDERE",$M66)&gt;0</formula>
    </cfRule>
    <cfRule type="expression" priority="1878" dxfId="55">
      <formula>SEARCH("INTERROTTO",$M66)&gt;0</formula>
    </cfRule>
  </conditionalFormatting>
  <conditionalFormatting sqref="E66">
    <cfRule type="expression" priority="1879" dxfId="60">
      <formula>SEARCH("IN CORSO",$M66)&gt;0</formula>
    </cfRule>
    <cfRule type="expression" priority="1880" dxfId="59">
      <formula>SEARCH("CHIUSO",$M66)&gt;0</formula>
    </cfRule>
    <cfRule type="expression" priority="1881" dxfId="58">
      <formula>SEARCH("EMESSO",$M66)&gt;0</formula>
    </cfRule>
    <cfRule type="expression" priority="1882" dxfId="57">
      <formula>SEARCH("RICHIESTO",$M66)&gt;0</formula>
    </cfRule>
    <cfRule type="expression" priority="1883" dxfId="56">
      <formula>SEARCH("DA CHIUDERE",$M66)&gt;0</formula>
    </cfRule>
    <cfRule type="expression" priority="1884" dxfId="55">
      <formula>SEARCH("INTERROTTO",$M66)&gt;0</formula>
    </cfRule>
  </conditionalFormatting>
  <conditionalFormatting sqref="F66">
    <cfRule type="expression" priority="1867" dxfId="60">
      <formula>SEARCH("IN CORSO",$M66)&gt;0</formula>
    </cfRule>
    <cfRule type="expression" priority="1868" dxfId="59">
      <formula>SEARCH("CHIUSO",$M66)&gt;0</formula>
    </cfRule>
    <cfRule type="expression" priority="1869" dxfId="58">
      <formula>SEARCH("EMESSO",$M66)&gt;0</formula>
    </cfRule>
    <cfRule type="expression" priority="1870" dxfId="57">
      <formula>SEARCH("RICHIESTO",$M66)&gt;0</formula>
    </cfRule>
    <cfRule type="expression" priority="1871" dxfId="56">
      <formula>SEARCH("DA CHIUDERE",$M66)&gt;0</formula>
    </cfRule>
    <cfRule type="expression" priority="1872" dxfId="55">
      <formula>SEARCH("INTERROTTO",$M66)&gt;0</formula>
    </cfRule>
  </conditionalFormatting>
  <conditionalFormatting sqref="M65">
    <cfRule type="expression" priority="1861" dxfId="60">
      <formula>SEARCH("IN CORSO",$M65)&gt;0</formula>
    </cfRule>
    <cfRule type="expression" priority="1862" dxfId="59">
      <formula>SEARCH("CHIUSO",$M65)&gt;0</formula>
    </cfRule>
    <cfRule type="expression" priority="1863" dxfId="58">
      <formula>SEARCH("EMESSO",$M65)&gt;0</formula>
    </cfRule>
    <cfRule type="expression" priority="1864" dxfId="57">
      <formula>SEARCH("RICHIESTO",$M65)&gt;0</formula>
    </cfRule>
    <cfRule type="expression" priority="1865" dxfId="56">
      <formula>SEARCH("DA CHIUDERE",$M65)&gt;0</formula>
    </cfRule>
    <cfRule type="expression" priority="1866" dxfId="55">
      <formula>SEARCH("INTERROTTO",$M65)&gt;0</formula>
    </cfRule>
  </conditionalFormatting>
  <conditionalFormatting sqref="N65:S65">
    <cfRule type="expression" priority="1855" dxfId="60">
      <formula>SEARCH("IN CORSO",$M65)&gt;0</formula>
    </cfRule>
    <cfRule type="expression" priority="1856" dxfId="59">
      <formula>SEARCH("CHIUSO",$M65)&gt;0</formula>
    </cfRule>
    <cfRule type="expression" priority="1857" dxfId="58">
      <formula>SEARCH("EMESSO",$M65)&gt;0</formula>
    </cfRule>
    <cfRule type="expression" priority="1858" dxfId="57">
      <formula>SEARCH("RICHIESTO",$M65)&gt;0</formula>
    </cfRule>
    <cfRule type="expression" priority="1859" dxfId="56">
      <formula>SEARCH("DA CHIUDERE",$M65)&gt;0</formula>
    </cfRule>
    <cfRule type="expression" priority="1860" dxfId="55">
      <formula>SEARCH("INTERROTTO",$M65)&gt;0</formula>
    </cfRule>
  </conditionalFormatting>
  <conditionalFormatting sqref="G65">
    <cfRule type="expression" priority="1843" dxfId="60">
      <formula>SEARCH("IN CORSO",$M65)&gt;0</formula>
    </cfRule>
    <cfRule type="expression" priority="1844" dxfId="59">
      <formula>SEARCH("CHIUSO",$M65)&gt;0</formula>
    </cfRule>
    <cfRule type="expression" priority="1845" dxfId="58">
      <formula>SEARCH("EMESSO",$M65)&gt;0</formula>
    </cfRule>
    <cfRule type="expression" priority="1846" dxfId="57">
      <formula>SEARCH("RICHIESTO",$M65)&gt;0</formula>
    </cfRule>
    <cfRule type="expression" priority="1847" dxfId="56">
      <formula>SEARCH("DA CHIUDERE",$M65)&gt;0</formula>
    </cfRule>
    <cfRule type="expression" priority="1848" dxfId="55">
      <formula>SEARCH("INTERROTTO",$M65)&gt;0</formula>
    </cfRule>
  </conditionalFormatting>
  <conditionalFormatting sqref="E65">
    <cfRule type="expression" priority="1849" dxfId="60">
      <formula>SEARCH("IN CORSO",$M65)&gt;0</formula>
    </cfRule>
    <cfRule type="expression" priority="1850" dxfId="59">
      <formula>SEARCH("CHIUSO",$M65)&gt;0</formula>
    </cfRule>
    <cfRule type="expression" priority="1851" dxfId="58">
      <formula>SEARCH("EMESSO",$M65)&gt;0</formula>
    </cfRule>
    <cfRule type="expression" priority="1852" dxfId="57">
      <formula>SEARCH("RICHIESTO",$M65)&gt;0</formula>
    </cfRule>
    <cfRule type="expression" priority="1853" dxfId="56">
      <formula>SEARCH("DA CHIUDERE",$M65)&gt;0</formula>
    </cfRule>
    <cfRule type="expression" priority="1854" dxfId="55">
      <formula>SEARCH("INTERROTTO",$M65)&gt;0</formula>
    </cfRule>
  </conditionalFormatting>
  <conditionalFormatting sqref="F65">
    <cfRule type="expression" priority="1837" dxfId="60">
      <formula>SEARCH("IN CORSO",$M65)&gt;0</formula>
    </cfRule>
    <cfRule type="expression" priority="1838" dxfId="59">
      <formula>SEARCH("CHIUSO",$M65)&gt;0</formula>
    </cfRule>
    <cfRule type="expression" priority="1839" dxfId="58">
      <formula>SEARCH("EMESSO",$M65)&gt;0</formula>
    </cfRule>
    <cfRule type="expression" priority="1840" dxfId="57">
      <formula>SEARCH("RICHIESTO",$M65)&gt;0</formula>
    </cfRule>
    <cfRule type="expression" priority="1841" dxfId="56">
      <formula>SEARCH("DA CHIUDERE",$M65)&gt;0</formula>
    </cfRule>
    <cfRule type="expression" priority="1842" dxfId="55">
      <formula>SEARCH("INTERROTTO",$M65)&gt;0</formula>
    </cfRule>
  </conditionalFormatting>
  <conditionalFormatting sqref="M64">
    <cfRule type="expression" priority="1831" dxfId="60">
      <formula>SEARCH("IN CORSO",$M64)&gt;0</formula>
    </cfRule>
    <cfRule type="expression" priority="1832" dxfId="59">
      <formula>SEARCH("CHIUSO",$M64)&gt;0</formula>
    </cfRule>
    <cfRule type="expression" priority="1833" dxfId="58">
      <formula>SEARCH("EMESSO",$M64)&gt;0</formula>
    </cfRule>
    <cfRule type="expression" priority="1834" dxfId="57">
      <formula>SEARCH("RICHIESTO",$M64)&gt;0</formula>
    </cfRule>
    <cfRule type="expression" priority="1835" dxfId="56">
      <formula>SEARCH("DA CHIUDERE",$M64)&gt;0</formula>
    </cfRule>
    <cfRule type="expression" priority="1836" dxfId="55">
      <formula>SEARCH("INTERROTTO",$M64)&gt;0</formula>
    </cfRule>
  </conditionalFormatting>
  <conditionalFormatting sqref="N64:S64">
    <cfRule type="expression" priority="1825" dxfId="60">
      <formula>SEARCH("IN CORSO",$M64)&gt;0</formula>
    </cfRule>
    <cfRule type="expression" priority="1826" dxfId="59">
      <formula>SEARCH("CHIUSO",$M64)&gt;0</formula>
    </cfRule>
    <cfRule type="expression" priority="1827" dxfId="58">
      <formula>SEARCH("EMESSO",$M64)&gt;0</formula>
    </cfRule>
    <cfRule type="expression" priority="1828" dxfId="57">
      <formula>SEARCH("RICHIESTO",$M64)&gt;0</formula>
    </cfRule>
    <cfRule type="expression" priority="1829" dxfId="56">
      <formula>SEARCH("DA CHIUDERE",$M64)&gt;0</formula>
    </cfRule>
    <cfRule type="expression" priority="1830" dxfId="55">
      <formula>SEARCH("INTERROTTO",$M64)&gt;0</formula>
    </cfRule>
  </conditionalFormatting>
  <conditionalFormatting sqref="G64">
    <cfRule type="expression" priority="1813" dxfId="60">
      <formula>SEARCH("IN CORSO",$M64)&gt;0</formula>
    </cfRule>
    <cfRule type="expression" priority="1814" dxfId="59">
      <formula>SEARCH("CHIUSO",$M64)&gt;0</formula>
    </cfRule>
    <cfRule type="expression" priority="1815" dxfId="58">
      <formula>SEARCH("EMESSO",$M64)&gt;0</formula>
    </cfRule>
    <cfRule type="expression" priority="1816" dxfId="57">
      <formula>SEARCH("RICHIESTO",$M64)&gt;0</formula>
    </cfRule>
    <cfRule type="expression" priority="1817" dxfId="56">
      <formula>SEARCH("DA CHIUDERE",$M64)&gt;0</formula>
    </cfRule>
    <cfRule type="expression" priority="1818" dxfId="55">
      <formula>SEARCH("INTERROTTO",$M64)&gt;0</formula>
    </cfRule>
  </conditionalFormatting>
  <conditionalFormatting sqref="E64">
    <cfRule type="expression" priority="1819" dxfId="60">
      <formula>SEARCH("IN CORSO",$M64)&gt;0</formula>
    </cfRule>
    <cfRule type="expression" priority="1820" dxfId="59">
      <formula>SEARCH("CHIUSO",$M64)&gt;0</formula>
    </cfRule>
    <cfRule type="expression" priority="1821" dxfId="58">
      <formula>SEARCH("EMESSO",$M64)&gt;0</formula>
    </cfRule>
    <cfRule type="expression" priority="1822" dxfId="57">
      <formula>SEARCH("RICHIESTO",$M64)&gt;0</formula>
    </cfRule>
    <cfRule type="expression" priority="1823" dxfId="56">
      <formula>SEARCH("DA CHIUDERE",$M64)&gt;0</formula>
    </cfRule>
    <cfRule type="expression" priority="1824" dxfId="55">
      <formula>SEARCH("INTERROTTO",$M64)&gt;0</formula>
    </cfRule>
  </conditionalFormatting>
  <conditionalFormatting sqref="F64">
    <cfRule type="expression" priority="1807" dxfId="60">
      <formula>SEARCH("IN CORSO",$M64)&gt;0</formula>
    </cfRule>
    <cfRule type="expression" priority="1808" dxfId="59">
      <formula>SEARCH("CHIUSO",$M64)&gt;0</formula>
    </cfRule>
    <cfRule type="expression" priority="1809" dxfId="58">
      <formula>SEARCH("EMESSO",$M64)&gt;0</formula>
    </cfRule>
    <cfRule type="expression" priority="1810" dxfId="57">
      <formula>SEARCH("RICHIESTO",$M64)&gt;0</formula>
    </cfRule>
    <cfRule type="expression" priority="1811" dxfId="56">
      <formula>SEARCH("DA CHIUDERE",$M64)&gt;0</formula>
    </cfRule>
    <cfRule type="expression" priority="1812" dxfId="55">
      <formula>SEARCH("INTERROTTO",$M64)&gt;0</formula>
    </cfRule>
  </conditionalFormatting>
  <conditionalFormatting sqref="M63">
    <cfRule type="expression" priority="1801" dxfId="60">
      <formula>SEARCH("IN CORSO",$M63)&gt;0</formula>
    </cfRule>
    <cfRule type="expression" priority="1802" dxfId="59">
      <formula>SEARCH("CHIUSO",$M63)&gt;0</formula>
    </cfRule>
    <cfRule type="expression" priority="1803" dxfId="58">
      <formula>SEARCH("EMESSO",$M63)&gt;0</formula>
    </cfRule>
    <cfRule type="expression" priority="1804" dxfId="57">
      <formula>SEARCH("RICHIESTO",$M63)&gt;0</formula>
    </cfRule>
    <cfRule type="expression" priority="1805" dxfId="56">
      <formula>SEARCH("DA CHIUDERE",$M63)&gt;0</formula>
    </cfRule>
    <cfRule type="expression" priority="1806" dxfId="55">
      <formula>SEARCH("INTERROTTO",$M63)&gt;0</formula>
    </cfRule>
  </conditionalFormatting>
  <conditionalFormatting sqref="N63:S63">
    <cfRule type="expression" priority="1795" dxfId="60">
      <formula>SEARCH("IN CORSO",$M63)&gt;0</formula>
    </cfRule>
    <cfRule type="expression" priority="1796" dxfId="59">
      <formula>SEARCH("CHIUSO",$M63)&gt;0</formula>
    </cfRule>
    <cfRule type="expression" priority="1797" dxfId="58">
      <formula>SEARCH("EMESSO",$M63)&gt;0</formula>
    </cfRule>
    <cfRule type="expression" priority="1798" dxfId="57">
      <formula>SEARCH("RICHIESTO",$M63)&gt;0</formula>
    </cfRule>
    <cfRule type="expression" priority="1799" dxfId="56">
      <formula>SEARCH("DA CHIUDERE",$M63)&gt;0</formula>
    </cfRule>
    <cfRule type="expression" priority="1800" dxfId="55">
      <formula>SEARCH("INTERROTTO",$M63)&gt;0</formula>
    </cfRule>
  </conditionalFormatting>
  <conditionalFormatting sqref="G63">
    <cfRule type="expression" priority="1783" dxfId="60">
      <formula>SEARCH("IN CORSO",$M63)&gt;0</formula>
    </cfRule>
    <cfRule type="expression" priority="1784" dxfId="59">
      <formula>SEARCH("CHIUSO",$M63)&gt;0</formula>
    </cfRule>
    <cfRule type="expression" priority="1785" dxfId="58">
      <formula>SEARCH("EMESSO",$M63)&gt;0</formula>
    </cfRule>
    <cfRule type="expression" priority="1786" dxfId="57">
      <formula>SEARCH("RICHIESTO",$M63)&gt;0</formula>
    </cfRule>
    <cfRule type="expression" priority="1787" dxfId="56">
      <formula>SEARCH("DA CHIUDERE",$M63)&gt;0</formula>
    </cfRule>
    <cfRule type="expression" priority="1788" dxfId="55">
      <formula>SEARCH("INTERROTTO",$M63)&gt;0</formula>
    </cfRule>
  </conditionalFormatting>
  <conditionalFormatting sqref="E63">
    <cfRule type="expression" priority="1789" dxfId="60">
      <formula>SEARCH("IN CORSO",$M63)&gt;0</formula>
    </cfRule>
    <cfRule type="expression" priority="1790" dxfId="59">
      <formula>SEARCH("CHIUSO",$M63)&gt;0</formula>
    </cfRule>
    <cfRule type="expression" priority="1791" dxfId="58">
      <formula>SEARCH("EMESSO",$M63)&gt;0</formula>
    </cfRule>
    <cfRule type="expression" priority="1792" dxfId="57">
      <formula>SEARCH("RICHIESTO",$M63)&gt;0</formula>
    </cfRule>
    <cfRule type="expression" priority="1793" dxfId="56">
      <formula>SEARCH("DA CHIUDERE",$M63)&gt;0</formula>
    </cfRule>
    <cfRule type="expression" priority="1794" dxfId="55">
      <formula>SEARCH("INTERROTTO",$M63)&gt;0</formula>
    </cfRule>
  </conditionalFormatting>
  <conditionalFormatting sqref="F63">
    <cfRule type="expression" priority="1777" dxfId="60">
      <formula>SEARCH("IN CORSO",$M63)&gt;0</formula>
    </cfRule>
    <cfRule type="expression" priority="1778" dxfId="59">
      <formula>SEARCH("CHIUSO",$M63)&gt;0</formula>
    </cfRule>
    <cfRule type="expression" priority="1779" dxfId="58">
      <formula>SEARCH("EMESSO",$M63)&gt;0</formula>
    </cfRule>
    <cfRule type="expression" priority="1780" dxfId="57">
      <formula>SEARCH("RICHIESTO",$M63)&gt;0</formula>
    </cfRule>
    <cfRule type="expression" priority="1781" dxfId="56">
      <formula>SEARCH("DA CHIUDERE",$M63)&gt;0</formula>
    </cfRule>
    <cfRule type="expression" priority="1782" dxfId="55">
      <formula>SEARCH("INTERROTTO",$M63)&gt;0</formula>
    </cfRule>
  </conditionalFormatting>
  <conditionalFormatting sqref="M62">
    <cfRule type="expression" priority="1771" dxfId="60">
      <formula>SEARCH("IN CORSO",$M62)&gt;0</formula>
    </cfRule>
    <cfRule type="expression" priority="1772" dxfId="59">
      <formula>SEARCH("CHIUSO",$M62)&gt;0</formula>
    </cfRule>
    <cfRule type="expression" priority="1773" dxfId="58">
      <formula>SEARCH("EMESSO",$M62)&gt;0</formula>
    </cfRule>
    <cfRule type="expression" priority="1774" dxfId="57">
      <formula>SEARCH("RICHIESTO",$M62)&gt;0</formula>
    </cfRule>
    <cfRule type="expression" priority="1775" dxfId="56">
      <formula>SEARCH("DA CHIUDERE",$M62)&gt;0</formula>
    </cfRule>
    <cfRule type="expression" priority="1776" dxfId="55">
      <formula>SEARCH("INTERROTTO",$M62)&gt;0</formula>
    </cfRule>
  </conditionalFormatting>
  <conditionalFormatting sqref="N62:S62">
    <cfRule type="expression" priority="1765" dxfId="60">
      <formula>SEARCH("IN CORSO",$M62)&gt;0</formula>
    </cfRule>
    <cfRule type="expression" priority="1766" dxfId="59">
      <formula>SEARCH("CHIUSO",$M62)&gt;0</formula>
    </cfRule>
    <cfRule type="expression" priority="1767" dxfId="58">
      <formula>SEARCH("EMESSO",$M62)&gt;0</formula>
    </cfRule>
    <cfRule type="expression" priority="1768" dxfId="57">
      <formula>SEARCH("RICHIESTO",$M62)&gt;0</formula>
    </cfRule>
    <cfRule type="expression" priority="1769" dxfId="56">
      <formula>SEARCH("DA CHIUDERE",$M62)&gt;0</formula>
    </cfRule>
    <cfRule type="expression" priority="1770" dxfId="55">
      <formula>SEARCH("INTERROTTO",$M62)&gt;0</formula>
    </cfRule>
  </conditionalFormatting>
  <conditionalFormatting sqref="G62">
    <cfRule type="expression" priority="1753" dxfId="60">
      <formula>SEARCH("IN CORSO",$M62)&gt;0</formula>
    </cfRule>
    <cfRule type="expression" priority="1754" dxfId="59">
      <formula>SEARCH("CHIUSO",$M62)&gt;0</formula>
    </cfRule>
    <cfRule type="expression" priority="1755" dxfId="58">
      <formula>SEARCH("EMESSO",$M62)&gt;0</formula>
    </cfRule>
    <cfRule type="expression" priority="1756" dxfId="57">
      <formula>SEARCH("RICHIESTO",$M62)&gt;0</formula>
    </cfRule>
    <cfRule type="expression" priority="1757" dxfId="56">
      <formula>SEARCH("DA CHIUDERE",$M62)&gt;0</formula>
    </cfRule>
    <cfRule type="expression" priority="1758" dxfId="55">
      <formula>SEARCH("INTERROTTO",$M62)&gt;0</formula>
    </cfRule>
  </conditionalFormatting>
  <conditionalFormatting sqref="E62">
    <cfRule type="expression" priority="1759" dxfId="60">
      <formula>SEARCH("IN CORSO",$M62)&gt;0</formula>
    </cfRule>
    <cfRule type="expression" priority="1760" dxfId="59">
      <formula>SEARCH("CHIUSO",$M62)&gt;0</formula>
    </cfRule>
    <cfRule type="expression" priority="1761" dxfId="58">
      <formula>SEARCH("EMESSO",$M62)&gt;0</formula>
    </cfRule>
    <cfRule type="expression" priority="1762" dxfId="57">
      <formula>SEARCH("RICHIESTO",$M62)&gt;0</formula>
    </cfRule>
    <cfRule type="expression" priority="1763" dxfId="56">
      <formula>SEARCH("DA CHIUDERE",$M62)&gt;0</formula>
    </cfRule>
    <cfRule type="expression" priority="1764" dxfId="55">
      <formula>SEARCH("INTERROTTO",$M62)&gt;0</formula>
    </cfRule>
  </conditionalFormatting>
  <conditionalFormatting sqref="F62">
    <cfRule type="expression" priority="1747" dxfId="60">
      <formula>SEARCH("IN CORSO",$M62)&gt;0</formula>
    </cfRule>
    <cfRule type="expression" priority="1748" dxfId="59">
      <formula>SEARCH("CHIUSO",$M62)&gt;0</formula>
    </cfRule>
    <cfRule type="expression" priority="1749" dxfId="58">
      <formula>SEARCH("EMESSO",$M62)&gt;0</formula>
    </cfRule>
    <cfRule type="expression" priority="1750" dxfId="57">
      <formula>SEARCH("RICHIESTO",$M62)&gt;0</formula>
    </cfRule>
    <cfRule type="expression" priority="1751" dxfId="56">
      <formula>SEARCH("DA CHIUDERE",$M62)&gt;0</formula>
    </cfRule>
    <cfRule type="expression" priority="1752" dxfId="55">
      <formula>SEARCH("INTERROTTO",$M62)&gt;0</formula>
    </cfRule>
  </conditionalFormatting>
  <conditionalFormatting sqref="M61">
    <cfRule type="expression" priority="1741" dxfId="60">
      <formula>SEARCH("IN CORSO",$M61)&gt;0</formula>
    </cfRule>
    <cfRule type="expression" priority="1742" dxfId="59">
      <formula>SEARCH("CHIUSO",$M61)&gt;0</formula>
    </cfRule>
    <cfRule type="expression" priority="1743" dxfId="58">
      <formula>SEARCH("EMESSO",$M61)&gt;0</formula>
    </cfRule>
    <cfRule type="expression" priority="1744" dxfId="57">
      <formula>SEARCH("RICHIESTO",$M61)&gt;0</formula>
    </cfRule>
    <cfRule type="expression" priority="1745" dxfId="56">
      <formula>SEARCH("DA CHIUDERE",$M61)&gt;0</formula>
    </cfRule>
    <cfRule type="expression" priority="1746" dxfId="55">
      <formula>SEARCH("INTERROTTO",$M61)&gt;0</formula>
    </cfRule>
  </conditionalFormatting>
  <conditionalFormatting sqref="N61:S61">
    <cfRule type="expression" priority="1735" dxfId="60">
      <formula>SEARCH("IN CORSO",$M61)&gt;0</formula>
    </cfRule>
    <cfRule type="expression" priority="1736" dxfId="59">
      <formula>SEARCH("CHIUSO",$M61)&gt;0</formula>
    </cfRule>
    <cfRule type="expression" priority="1737" dxfId="58">
      <formula>SEARCH("EMESSO",$M61)&gt;0</formula>
    </cfRule>
    <cfRule type="expression" priority="1738" dxfId="57">
      <formula>SEARCH("RICHIESTO",$M61)&gt;0</formula>
    </cfRule>
    <cfRule type="expression" priority="1739" dxfId="56">
      <formula>SEARCH("DA CHIUDERE",$M61)&gt;0</formula>
    </cfRule>
    <cfRule type="expression" priority="1740" dxfId="55">
      <formula>SEARCH("INTERROTTO",$M61)&gt;0</formula>
    </cfRule>
  </conditionalFormatting>
  <conditionalFormatting sqref="G61">
    <cfRule type="expression" priority="1723" dxfId="60">
      <formula>SEARCH("IN CORSO",$M61)&gt;0</formula>
    </cfRule>
    <cfRule type="expression" priority="1724" dxfId="59">
      <formula>SEARCH("CHIUSO",$M61)&gt;0</formula>
    </cfRule>
    <cfRule type="expression" priority="1725" dxfId="58">
      <formula>SEARCH("EMESSO",$M61)&gt;0</formula>
    </cfRule>
    <cfRule type="expression" priority="1726" dxfId="57">
      <formula>SEARCH("RICHIESTO",$M61)&gt;0</formula>
    </cfRule>
    <cfRule type="expression" priority="1727" dxfId="56">
      <formula>SEARCH("DA CHIUDERE",$M61)&gt;0</formula>
    </cfRule>
    <cfRule type="expression" priority="1728" dxfId="55">
      <formula>SEARCH("INTERROTTO",$M61)&gt;0</formula>
    </cfRule>
  </conditionalFormatting>
  <conditionalFormatting sqref="E61">
    <cfRule type="expression" priority="1729" dxfId="60">
      <formula>SEARCH("IN CORSO",$M61)&gt;0</formula>
    </cfRule>
    <cfRule type="expression" priority="1730" dxfId="59">
      <formula>SEARCH("CHIUSO",$M61)&gt;0</formula>
    </cfRule>
    <cfRule type="expression" priority="1731" dxfId="58">
      <formula>SEARCH("EMESSO",$M61)&gt;0</formula>
    </cfRule>
    <cfRule type="expression" priority="1732" dxfId="57">
      <formula>SEARCH("RICHIESTO",$M61)&gt;0</formula>
    </cfRule>
    <cfRule type="expression" priority="1733" dxfId="56">
      <formula>SEARCH("DA CHIUDERE",$M61)&gt;0</formula>
    </cfRule>
    <cfRule type="expression" priority="1734" dxfId="55">
      <formula>SEARCH("INTERROTTO",$M61)&gt;0</formula>
    </cfRule>
  </conditionalFormatting>
  <conditionalFormatting sqref="F61">
    <cfRule type="expression" priority="1717" dxfId="60">
      <formula>SEARCH("IN CORSO",$M61)&gt;0</formula>
    </cfRule>
    <cfRule type="expression" priority="1718" dxfId="59">
      <formula>SEARCH("CHIUSO",$M61)&gt;0</formula>
    </cfRule>
    <cfRule type="expression" priority="1719" dxfId="58">
      <formula>SEARCH("EMESSO",$M61)&gt;0</formula>
    </cfRule>
    <cfRule type="expression" priority="1720" dxfId="57">
      <formula>SEARCH("RICHIESTO",$M61)&gt;0</formula>
    </cfRule>
    <cfRule type="expression" priority="1721" dxfId="56">
      <formula>SEARCH("DA CHIUDERE",$M61)&gt;0</formula>
    </cfRule>
    <cfRule type="expression" priority="1722" dxfId="55">
      <formula>SEARCH("INTERROTTO",$M61)&gt;0</formula>
    </cfRule>
  </conditionalFormatting>
  <conditionalFormatting sqref="M60">
    <cfRule type="expression" priority="1711" dxfId="60">
      <formula>SEARCH("IN CORSO",$M60)&gt;0</formula>
    </cfRule>
    <cfRule type="expression" priority="1712" dxfId="59">
      <formula>SEARCH("CHIUSO",$M60)&gt;0</formula>
    </cfRule>
    <cfRule type="expression" priority="1713" dxfId="58">
      <formula>SEARCH("EMESSO",$M60)&gt;0</formula>
    </cfRule>
    <cfRule type="expression" priority="1714" dxfId="57">
      <formula>SEARCH("RICHIESTO",$M60)&gt;0</formula>
    </cfRule>
    <cfRule type="expression" priority="1715" dxfId="56">
      <formula>SEARCH("DA CHIUDERE",$M60)&gt;0</formula>
    </cfRule>
    <cfRule type="expression" priority="1716" dxfId="55">
      <formula>SEARCH("INTERROTTO",$M60)&gt;0</formula>
    </cfRule>
  </conditionalFormatting>
  <conditionalFormatting sqref="N60:S60">
    <cfRule type="expression" priority="1705" dxfId="60">
      <formula>SEARCH("IN CORSO",$M60)&gt;0</formula>
    </cfRule>
    <cfRule type="expression" priority="1706" dxfId="59">
      <formula>SEARCH("CHIUSO",$M60)&gt;0</formula>
    </cfRule>
    <cfRule type="expression" priority="1707" dxfId="58">
      <formula>SEARCH("EMESSO",$M60)&gt;0</formula>
    </cfRule>
    <cfRule type="expression" priority="1708" dxfId="57">
      <formula>SEARCH("RICHIESTO",$M60)&gt;0</formula>
    </cfRule>
    <cfRule type="expression" priority="1709" dxfId="56">
      <formula>SEARCH("DA CHIUDERE",$M60)&gt;0</formula>
    </cfRule>
    <cfRule type="expression" priority="1710" dxfId="55">
      <formula>SEARCH("INTERROTTO",$M60)&gt;0</formula>
    </cfRule>
  </conditionalFormatting>
  <conditionalFormatting sqref="G60">
    <cfRule type="expression" priority="1693" dxfId="60">
      <formula>SEARCH("IN CORSO",$M60)&gt;0</formula>
    </cfRule>
    <cfRule type="expression" priority="1694" dxfId="59">
      <formula>SEARCH("CHIUSO",$M60)&gt;0</formula>
    </cfRule>
    <cfRule type="expression" priority="1695" dxfId="58">
      <formula>SEARCH("EMESSO",$M60)&gt;0</formula>
    </cfRule>
    <cfRule type="expression" priority="1696" dxfId="57">
      <formula>SEARCH("RICHIESTO",$M60)&gt;0</formula>
    </cfRule>
    <cfRule type="expression" priority="1697" dxfId="56">
      <formula>SEARCH("DA CHIUDERE",$M60)&gt;0</formula>
    </cfRule>
    <cfRule type="expression" priority="1698" dxfId="55">
      <formula>SEARCH("INTERROTTO",$M60)&gt;0</formula>
    </cfRule>
  </conditionalFormatting>
  <conditionalFormatting sqref="E60">
    <cfRule type="expression" priority="1699" dxfId="60">
      <formula>SEARCH("IN CORSO",$M60)&gt;0</formula>
    </cfRule>
    <cfRule type="expression" priority="1700" dxfId="59">
      <formula>SEARCH("CHIUSO",$M60)&gt;0</formula>
    </cfRule>
    <cfRule type="expression" priority="1701" dxfId="58">
      <formula>SEARCH("EMESSO",$M60)&gt;0</formula>
    </cfRule>
    <cfRule type="expression" priority="1702" dxfId="57">
      <formula>SEARCH("RICHIESTO",$M60)&gt;0</formula>
    </cfRule>
    <cfRule type="expression" priority="1703" dxfId="56">
      <formula>SEARCH("DA CHIUDERE",$M60)&gt;0</formula>
    </cfRule>
    <cfRule type="expression" priority="1704" dxfId="55">
      <formula>SEARCH("INTERROTTO",$M60)&gt;0</formula>
    </cfRule>
  </conditionalFormatting>
  <conditionalFormatting sqref="F60">
    <cfRule type="expression" priority="1687" dxfId="60">
      <formula>SEARCH("IN CORSO",$M60)&gt;0</formula>
    </cfRule>
    <cfRule type="expression" priority="1688" dxfId="59">
      <formula>SEARCH("CHIUSO",$M60)&gt;0</formula>
    </cfRule>
    <cfRule type="expression" priority="1689" dxfId="58">
      <formula>SEARCH("EMESSO",$M60)&gt;0</formula>
    </cfRule>
    <cfRule type="expression" priority="1690" dxfId="57">
      <formula>SEARCH("RICHIESTO",$M60)&gt;0</formula>
    </cfRule>
    <cfRule type="expression" priority="1691" dxfId="56">
      <formula>SEARCH("DA CHIUDERE",$M60)&gt;0</formula>
    </cfRule>
    <cfRule type="expression" priority="1692" dxfId="55">
      <formula>SEARCH("INTERROTTO",$M60)&gt;0</formula>
    </cfRule>
  </conditionalFormatting>
  <conditionalFormatting sqref="M59">
    <cfRule type="expression" priority="1681" dxfId="60">
      <formula>SEARCH("IN CORSO",$M59)&gt;0</formula>
    </cfRule>
    <cfRule type="expression" priority="1682" dxfId="59">
      <formula>SEARCH("CHIUSO",$M59)&gt;0</formula>
    </cfRule>
    <cfRule type="expression" priority="1683" dxfId="58">
      <formula>SEARCH("EMESSO",$M59)&gt;0</formula>
    </cfRule>
    <cfRule type="expression" priority="1684" dxfId="57">
      <formula>SEARCH("RICHIESTO",$M59)&gt;0</formula>
    </cfRule>
    <cfRule type="expression" priority="1685" dxfId="56">
      <formula>SEARCH("DA CHIUDERE",$M59)&gt;0</formula>
    </cfRule>
    <cfRule type="expression" priority="1686" dxfId="55">
      <formula>SEARCH("INTERROTTO",$M59)&gt;0</formula>
    </cfRule>
  </conditionalFormatting>
  <conditionalFormatting sqref="N59:S59">
    <cfRule type="expression" priority="1675" dxfId="60">
      <formula>SEARCH("IN CORSO",$M59)&gt;0</formula>
    </cfRule>
    <cfRule type="expression" priority="1676" dxfId="59">
      <formula>SEARCH("CHIUSO",$M59)&gt;0</formula>
    </cfRule>
    <cfRule type="expression" priority="1677" dxfId="58">
      <formula>SEARCH("EMESSO",$M59)&gt;0</formula>
    </cfRule>
    <cfRule type="expression" priority="1678" dxfId="57">
      <formula>SEARCH("RICHIESTO",$M59)&gt;0</formula>
    </cfRule>
    <cfRule type="expression" priority="1679" dxfId="56">
      <formula>SEARCH("DA CHIUDERE",$M59)&gt;0</formula>
    </cfRule>
    <cfRule type="expression" priority="1680" dxfId="55">
      <formula>SEARCH("INTERROTTO",$M59)&gt;0</formula>
    </cfRule>
  </conditionalFormatting>
  <conditionalFormatting sqref="G59">
    <cfRule type="expression" priority="1663" dxfId="60">
      <formula>SEARCH("IN CORSO",$M59)&gt;0</formula>
    </cfRule>
    <cfRule type="expression" priority="1664" dxfId="59">
      <formula>SEARCH("CHIUSO",$M59)&gt;0</formula>
    </cfRule>
    <cfRule type="expression" priority="1665" dxfId="58">
      <formula>SEARCH("EMESSO",$M59)&gt;0</formula>
    </cfRule>
    <cfRule type="expression" priority="1666" dxfId="57">
      <formula>SEARCH("RICHIESTO",$M59)&gt;0</formula>
    </cfRule>
    <cfRule type="expression" priority="1667" dxfId="56">
      <formula>SEARCH("DA CHIUDERE",$M59)&gt;0</formula>
    </cfRule>
    <cfRule type="expression" priority="1668" dxfId="55">
      <formula>SEARCH("INTERROTTO",$M59)&gt;0</formula>
    </cfRule>
  </conditionalFormatting>
  <conditionalFormatting sqref="E59">
    <cfRule type="expression" priority="1669" dxfId="60">
      <formula>SEARCH("IN CORSO",$M59)&gt;0</formula>
    </cfRule>
    <cfRule type="expression" priority="1670" dxfId="59">
      <formula>SEARCH("CHIUSO",$M59)&gt;0</formula>
    </cfRule>
    <cfRule type="expression" priority="1671" dxfId="58">
      <formula>SEARCH("EMESSO",$M59)&gt;0</formula>
    </cfRule>
    <cfRule type="expression" priority="1672" dxfId="57">
      <formula>SEARCH("RICHIESTO",$M59)&gt;0</formula>
    </cfRule>
    <cfRule type="expression" priority="1673" dxfId="56">
      <formula>SEARCH("DA CHIUDERE",$M59)&gt;0</formula>
    </cfRule>
    <cfRule type="expression" priority="1674" dxfId="55">
      <formula>SEARCH("INTERROTTO",$M59)&gt;0</formula>
    </cfRule>
  </conditionalFormatting>
  <conditionalFormatting sqref="F59">
    <cfRule type="expression" priority="1657" dxfId="60">
      <formula>SEARCH("IN CORSO",$M59)&gt;0</formula>
    </cfRule>
    <cfRule type="expression" priority="1658" dxfId="59">
      <formula>SEARCH("CHIUSO",$M59)&gt;0</formula>
    </cfRule>
    <cfRule type="expression" priority="1659" dxfId="58">
      <formula>SEARCH("EMESSO",$M59)&gt;0</formula>
    </cfRule>
    <cfRule type="expression" priority="1660" dxfId="57">
      <formula>SEARCH("RICHIESTO",$M59)&gt;0</formula>
    </cfRule>
    <cfRule type="expression" priority="1661" dxfId="56">
      <formula>SEARCH("DA CHIUDERE",$M59)&gt;0</formula>
    </cfRule>
    <cfRule type="expression" priority="1662" dxfId="55">
      <formula>SEARCH("INTERROTTO",$M59)&gt;0</formula>
    </cfRule>
  </conditionalFormatting>
  <conditionalFormatting sqref="M58">
    <cfRule type="expression" priority="1651" dxfId="60">
      <formula>SEARCH("IN CORSO",$M58)&gt;0</formula>
    </cfRule>
    <cfRule type="expression" priority="1652" dxfId="59">
      <formula>SEARCH("CHIUSO",$M58)&gt;0</formula>
    </cfRule>
    <cfRule type="expression" priority="1653" dxfId="58">
      <formula>SEARCH("EMESSO",$M58)&gt;0</formula>
    </cfRule>
    <cfRule type="expression" priority="1654" dxfId="57">
      <formula>SEARCH("RICHIESTO",$M58)&gt;0</formula>
    </cfRule>
    <cfRule type="expression" priority="1655" dxfId="56">
      <formula>SEARCH("DA CHIUDERE",$M58)&gt;0</formula>
    </cfRule>
    <cfRule type="expression" priority="1656" dxfId="55">
      <formula>SEARCH("INTERROTTO",$M58)&gt;0</formula>
    </cfRule>
  </conditionalFormatting>
  <conditionalFormatting sqref="N58:S58">
    <cfRule type="expression" priority="1645" dxfId="60">
      <formula>SEARCH("IN CORSO",$M58)&gt;0</formula>
    </cfRule>
    <cfRule type="expression" priority="1646" dxfId="59">
      <formula>SEARCH("CHIUSO",$M58)&gt;0</formula>
    </cfRule>
    <cfRule type="expression" priority="1647" dxfId="58">
      <formula>SEARCH("EMESSO",$M58)&gt;0</formula>
    </cfRule>
    <cfRule type="expression" priority="1648" dxfId="57">
      <formula>SEARCH("RICHIESTO",$M58)&gt;0</formula>
    </cfRule>
    <cfRule type="expression" priority="1649" dxfId="56">
      <formula>SEARCH("DA CHIUDERE",$M58)&gt;0</formula>
    </cfRule>
    <cfRule type="expression" priority="1650" dxfId="55">
      <formula>SEARCH("INTERROTTO",$M58)&gt;0</formula>
    </cfRule>
  </conditionalFormatting>
  <conditionalFormatting sqref="G58">
    <cfRule type="expression" priority="1633" dxfId="60">
      <formula>SEARCH("IN CORSO",$M58)&gt;0</formula>
    </cfRule>
    <cfRule type="expression" priority="1634" dxfId="59">
      <formula>SEARCH("CHIUSO",$M58)&gt;0</formula>
    </cfRule>
    <cfRule type="expression" priority="1635" dxfId="58">
      <formula>SEARCH("EMESSO",$M58)&gt;0</formula>
    </cfRule>
    <cfRule type="expression" priority="1636" dxfId="57">
      <formula>SEARCH("RICHIESTO",$M58)&gt;0</formula>
    </cfRule>
    <cfRule type="expression" priority="1637" dxfId="56">
      <formula>SEARCH("DA CHIUDERE",$M58)&gt;0</formula>
    </cfRule>
    <cfRule type="expression" priority="1638" dxfId="55">
      <formula>SEARCH("INTERROTTO",$M58)&gt;0</formula>
    </cfRule>
  </conditionalFormatting>
  <conditionalFormatting sqref="E58">
    <cfRule type="expression" priority="1639" dxfId="60">
      <formula>SEARCH("IN CORSO",$M58)&gt;0</formula>
    </cfRule>
    <cfRule type="expression" priority="1640" dxfId="59">
      <formula>SEARCH("CHIUSO",$M58)&gt;0</formula>
    </cfRule>
    <cfRule type="expression" priority="1641" dxfId="58">
      <formula>SEARCH("EMESSO",$M58)&gt;0</formula>
    </cfRule>
    <cfRule type="expression" priority="1642" dxfId="57">
      <formula>SEARCH("RICHIESTO",$M58)&gt;0</formula>
    </cfRule>
    <cfRule type="expression" priority="1643" dxfId="56">
      <formula>SEARCH("DA CHIUDERE",$M58)&gt;0</formula>
    </cfRule>
    <cfRule type="expression" priority="1644" dxfId="55">
      <formula>SEARCH("INTERROTTO",$M58)&gt;0</formula>
    </cfRule>
  </conditionalFormatting>
  <conditionalFormatting sqref="F58">
    <cfRule type="expression" priority="1627" dxfId="60">
      <formula>SEARCH("IN CORSO",$M58)&gt;0</formula>
    </cfRule>
    <cfRule type="expression" priority="1628" dxfId="59">
      <formula>SEARCH("CHIUSO",$M58)&gt;0</formula>
    </cfRule>
    <cfRule type="expression" priority="1629" dxfId="58">
      <formula>SEARCH("EMESSO",$M58)&gt;0</formula>
    </cfRule>
    <cfRule type="expression" priority="1630" dxfId="57">
      <formula>SEARCH("RICHIESTO",$M58)&gt;0</formula>
    </cfRule>
    <cfRule type="expression" priority="1631" dxfId="56">
      <formula>SEARCH("DA CHIUDERE",$M58)&gt;0</formula>
    </cfRule>
    <cfRule type="expression" priority="1632" dxfId="55">
      <formula>SEARCH("INTERROTTO",$M58)&gt;0</formula>
    </cfRule>
  </conditionalFormatting>
  <conditionalFormatting sqref="M57">
    <cfRule type="expression" priority="1621" dxfId="60">
      <formula>SEARCH("IN CORSO",$M57)&gt;0</formula>
    </cfRule>
    <cfRule type="expression" priority="1622" dxfId="59">
      <formula>SEARCH("CHIUSO",$M57)&gt;0</formula>
    </cfRule>
    <cfRule type="expression" priority="1623" dxfId="58">
      <formula>SEARCH("EMESSO",$M57)&gt;0</formula>
    </cfRule>
    <cfRule type="expression" priority="1624" dxfId="57">
      <formula>SEARCH("RICHIESTO",$M57)&gt;0</formula>
    </cfRule>
    <cfRule type="expression" priority="1625" dxfId="56">
      <formula>SEARCH("DA CHIUDERE",$M57)&gt;0</formula>
    </cfRule>
    <cfRule type="expression" priority="1626" dxfId="55">
      <formula>SEARCH("INTERROTTO",$M57)&gt;0</formula>
    </cfRule>
  </conditionalFormatting>
  <conditionalFormatting sqref="N57:S57">
    <cfRule type="expression" priority="1615" dxfId="60">
      <formula>SEARCH("IN CORSO",$M57)&gt;0</formula>
    </cfRule>
    <cfRule type="expression" priority="1616" dxfId="59">
      <formula>SEARCH("CHIUSO",$M57)&gt;0</formula>
    </cfRule>
    <cfRule type="expression" priority="1617" dxfId="58">
      <formula>SEARCH("EMESSO",$M57)&gt;0</formula>
    </cfRule>
    <cfRule type="expression" priority="1618" dxfId="57">
      <formula>SEARCH("RICHIESTO",$M57)&gt;0</formula>
    </cfRule>
    <cfRule type="expression" priority="1619" dxfId="56">
      <formula>SEARCH("DA CHIUDERE",$M57)&gt;0</formula>
    </cfRule>
    <cfRule type="expression" priority="1620" dxfId="55">
      <formula>SEARCH("INTERROTTO",$M57)&gt;0</formula>
    </cfRule>
  </conditionalFormatting>
  <conditionalFormatting sqref="G57">
    <cfRule type="expression" priority="1603" dxfId="60">
      <formula>SEARCH("IN CORSO",$M57)&gt;0</formula>
    </cfRule>
    <cfRule type="expression" priority="1604" dxfId="59">
      <formula>SEARCH("CHIUSO",$M57)&gt;0</formula>
    </cfRule>
    <cfRule type="expression" priority="1605" dxfId="58">
      <formula>SEARCH("EMESSO",$M57)&gt;0</formula>
    </cfRule>
    <cfRule type="expression" priority="1606" dxfId="57">
      <formula>SEARCH("RICHIESTO",$M57)&gt;0</formula>
    </cfRule>
    <cfRule type="expression" priority="1607" dxfId="56">
      <formula>SEARCH("DA CHIUDERE",$M57)&gt;0</formula>
    </cfRule>
    <cfRule type="expression" priority="1608" dxfId="55">
      <formula>SEARCH("INTERROTTO",$M57)&gt;0</formula>
    </cfRule>
  </conditionalFormatting>
  <conditionalFormatting sqref="E57">
    <cfRule type="expression" priority="1609" dxfId="60">
      <formula>SEARCH("IN CORSO",$M57)&gt;0</formula>
    </cfRule>
    <cfRule type="expression" priority="1610" dxfId="59">
      <formula>SEARCH("CHIUSO",$M57)&gt;0</formula>
    </cfRule>
    <cfRule type="expression" priority="1611" dxfId="58">
      <formula>SEARCH("EMESSO",$M57)&gt;0</formula>
    </cfRule>
    <cfRule type="expression" priority="1612" dxfId="57">
      <formula>SEARCH("RICHIESTO",$M57)&gt;0</formula>
    </cfRule>
    <cfRule type="expression" priority="1613" dxfId="56">
      <formula>SEARCH("DA CHIUDERE",$M57)&gt;0</formula>
    </cfRule>
    <cfRule type="expression" priority="1614" dxfId="55">
      <formula>SEARCH("INTERROTTO",$M57)&gt;0</formula>
    </cfRule>
  </conditionalFormatting>
  <conditionalFormatting sqref="F57">
    <cfRule type="expression" priority="1597" dxfId="60">
      <formula>SEARCH("IN CORSO",$M57)&gt;0</formula>
    </cfRule>
    <cfRule type="expression" priority="1598" dxfId="59">
      <formula>SEARCH("CHIUSO",$M57)&gt;0</formula>
    </cfRule>
    <cfRule type="expression" priority="1599" dxfId="58">
      <formula>SEARCH("EMESSO",$M57)&gt;0</formula>
    </cfRule>
    <cfRule type="expression" priority="1600" dxfId="57">
      <formula>SEARCH("RICHIESTO",$M57)&gt;0</formula>
    </cfRule>
    <cfRule type="expression" priority="1601" dxfId="56">
      <formula>SEARCH("DA CHIUDERE",$M57)&gt;0</formula>
    </cfRule>
    <cfRule type="expression" priority="1602" dxfId="55">
      <formula>SEARCH("INTERROTTO",$M57)&gt;0</formula>
    </cfRule>
  </conditionalFormatting>
  <conditionalFormatting sqref="M56">
    <cfRule type="expression" priority="1591" dxfId="60">
      <formula>SEARCH("IN CORSO",$M56)&gt;0</formula>
    </cfRule>
    <cfRule type="expression" priority="1592" dxfId="59">
      <formula>SEARCH("CHIUSO",$M56)&gt;0</formula>
    </cfRule>
    <cfRule type="expression" priority="1593" dxfId="58">
      <formula>SEARCH("EMESSO",$M56)&gt;0</formula>
    </cfRule>
    <cfRule type="expression" priority="1594" dxfId="57">
      <formula>SEARCH("RICHIESTO",$M56)&gt;0</formula>
    </cfRule>
    <cfRule type="expression" priority="1595" dxfId="56">
      <formula>SEARCH("DA CHIUDERE",$M56)&gt;0</formula>
    </cfRule>
    <cfRule type="expression" priority="1596" dxfId="55">
      <formula>SEARCH("INTERROTTO",$M56)&gt;0</formula>
    </cfRule>
  </conditionalFormatting>
  <conditionalFormatting sqref="N56:S56">
    <cfRule type="expression" priority="1585" dxfId="60">
      <formula>SEARCH("IN CORSO",$M56)&gt;0</formula>
    </cfRule>
    <cfRule type="expression" priority="1586" dxfId="59">
      <formula>SEARCH("CHIUSO",$M56)&gt;0</formula>
    </cfRule>
    <cfRule type="expression" priority="1587" dxfId="58">
      <formula>SEARCH("EMESSO",$M56)&gt;0</formula>
    </cfRule>
    <cfRule type="expression" priority="1588" dxfId="57">
      <formula>SEARCH("RICHIESTO",$M56)&gt;0</formula>
    </cfRule>
    <cfRule type="expression" priority="1589" dxfId="56">
      <formula>SEARCH("DA CHIUDERE",$M56)&gt;0</formula>
    </cfRule>
    <cfRule type="expression" priority="1590" dxfId="55">
      <formula>SEARCH("INTERROTTO",$M56)&gt;0</formula>
    </cfRule>
  </conditionalFormatting>
  <conditionalFormatting sqref="G56">
    <cfRule type="expression" priority="1573" dxfId="60">
      <formula>SEARCH("IN CORSO",$M56)&gt;0</formula>
    </cfRule>
    <cfRule type="expression" priority="1574" dxfId="59">
      <formula>SEARCH("CHIUSO",$M56)&gt;0</formula>
    </cfRule>
    <cfRule type="expression" priority="1575" dxfId="58">
      <formula>SEARCH("EMESSO",$M56)&gt;0</formula>
    </cfRule>
    <cfRule type="expression" priority="1576" dxfId="57">
      <formula>SEARCH("RICHIESTO",$M56)&gt;0</formula>
    </cfRule>
    <cfRule type="expression" priority="1577" dxfId="56">
      <formula>SEARCH("DA CHIUDERE",$M56)&gt;0</formula>
    </cfRule>
    <cfRule type="expression" priority="1578" dxfId="55">
      <formula>SEARCH("INTERROTTO",$M56)&gt;0</formula>
    </cfRule>
  </conditionalFormatting>
  <conditionalFormatting sqref="E56">
    <cfRule type="expression" priority="1579" dxfId="60">
      <formula>SEARCH("IN CORSO",$M56)&gt;0</formula>
    </cfRule>
    <cfRule type="expression" priority="1580" dxfId="59">
      <formula>SEARCH("CHIUSO",$M56)&gt;0</formula>
    </cfRule>
    <cfRule type="expression" priority="1581" dxfId="58">
      <formula>SEARCH("EMESSO",$M56)&gt;0</formula>
    </cfRule>
    <cfRule type="expression" priority="1582" dxfId="57">
      <formula>SEARCH("RICHIESTO",$M56)&gt;0</formula>
    </cfRule>
    <cfRule type="expression" priority="1583" dxfId="56">
      <formula>SEARCH("DA CHIUDERE",$M56)&gt;0</formula>
    </cfRule>
    <cfRule type="expression" priority="1584" dxfId="55">
      <formula>SEARCH("INTERROTTO",$M56)&gt;0</formula>
    </cfRule>
  </conditionalFormatting>
  <conditionalFormatting sqref="F56">
    <cfRule type="expression" priority="1567" dxfId="60">
      <formula>SEARCH("IN CORSO",$M56)&gt;0</formula>
    </cfRule>
    <cfRule type="expression" priority="1568" dxfId="59">
      <formula>SEARCH("CHIUSO",$M56)&gt;0</formula>
    </cfRule>
    <cfRule type="expression" priority="1569" dxfId="58">
      <formula>SEARCH("EMESSO",$M56)&gt;0</formula>
    </cfRule>
    <cfRule type="expression" priority="1570" dxfId="57">
      <formula>SEARCH("RICHIESTO",$M56)&gt;0</formula>
    </cfRule>
    <cfRule type="expression" priority="1571" dxfId="56">
      <formula>SEARCH("DA CHIUDERE",$M56)&gt;0</formula>
    </cfRule>
    <cfRule type="expression" priority="1572" dxfId="55">
      <formula>SEARCH("INTERROTTO",$M56)&gt;0</formula>
    </cfRule>
  </conditionalFormatting>
  <conditionalFormatting sqref="M55">
    <cfRule type="expression" priority="1561" dxfId="60">
      <formula>SEARCH("IN CORSO",$M55)&gt;0</formula>
    </cfRule>
    <cfRule type="expression" priority="1562" dxfId="59">
      <formula>SEARCH("CHIUSO",$M55)&gt;0</formula>
    </cfRule>
    <cfRule type="expression" priority="1563" dxfId="58">
      <formula>SEARCH("EMESSO",$M55)&gt;0</formula>
    </cfRule>
    <cfRule type="expression" priority="1564" dxfId="57">
      <formula>SEARCH("RICHIESTO",$M55)&gt;0</formula>
    </cfRule>
    <cfRule type="expression" priority="1565" dxfId="56">
      <formula>SEARCH("DA CHIUDERE",$M55)&gt;0</formula>
    </cfRule>
    <cfRule type="expression" priority="1566" dxfId="55">
      <formula>SEARCH("INTERROTTO",$M55)&gt;0</formula>
    </cfRule>
  </conditionalFormatting>
  <conditionalFormatting sqref="N55:S55">
    <cfRule type="expression" priority="1555" dxfId="60">
      <formula>SEARCH("IN CORSO",$M55)&gt;0</formula>
    </cfRule>
    <cfRule type="expression" priority="1556" dxfId="59">
      <formula>SEARCH("CHIUSO",$M55)&gt;0</formula>
    </cfRule>
    <cfRule type="expression" priority="1557" dxfId="58">
      <formula>SEARCH("EMESSO",$M55)&gt;0</formula>
    </cfRule>
    <cfRule type="expression" priority="1558" dxfId="57">
      <formula>SEARCH("RICHIESTO",$M55)&gt;0</formula>
    </cfRule>
    <cfRule type="expression" priority="1559" dxfId="56">
      <formula>SEARCH("DA CHIUDERE",$M55)&gt;0</formula>
    </cfRule>
    <cfRule type="expression" priority="1560" dxfId="55">
      <formula>SEARCH("INTERROTTO",$M55)&gt;0</formula>
    </cfRule>
  </conditionalFormatting>
  <conditionalFormatting sqref="G55">
    <cfRule type="expression" priority="1543" dxfId="60">
      <formula>SEARCH("IN CORSO",$M55)&gt;0</formula>
    </cfRule>
    <cfRule type="expression" priority="1544" dxfId="59">
      <formula>SEARCH("CHIUSO",$M55)&gt;0</formula>
    </cfRule>
    <cfRule type="expression" priority="1545" dxfId="58">
      <formula>SEARCH("EMESSO",$M55)&gt;0</formula>
    </cfRule>
    <cfRule type="expression" priority="1546" dxfId="57">
      <formula>SEARCH("RICHIESTO",$M55)&gt;0</formula>
    </cfRule>
    <cfRule type="expression" priority="1547" dxfId="56">
      <formula>SEARCH("DA CHIUDERE",$M55)&gt;0</formula>
    </cfRule>
    <cfRule type="expression" priority="1548" dxfId="55">
      <formula>SEARCH("INTERROTTO",$M55)&gt;0</formula>
    </cfRule>
  </conditionalFormatting>
  <conditionalFormatting sqref="E55">
    <cfRule type="expression" priority="1549" dxfId="60">
      <formula>SEARCH("IN CORSO",$M55)&gt;0</formula>
    </cfRule>
    <cfRule type="expression" priority="1550" dxfId="59">
      <formula>SEARCH("CHIUSO",$M55)&gt;0</formula>
    </cfRule>
    <cfRule type="expression" priority="1551" dxfId="58">
      <formula>SEARCH("EMESSO",$M55)&gt;0</formula>
    </cfRule>
    <cfRule type="expression" priority="1552" dxfId="57">
      <formula>SEARCH("RICHIESTO",$M55)&gt;0</formula>
    </cfRule>
    <cfRule type="expression" priority="1553" dxfId="56">
      <formula>SEARCH("DA CHIUDERE",$M55)&gt;0</formula>
    </cfRule>
    <cfRule type="expression" priority="1554" dxfId="55">
      <formula>SEARCH("INTERROTTO",$M55)&gt;0</formula>
    </cfRule>
  </conditionalFormatting>
  <conditionalFormatting sqref="F55">
    <cfRule type="expression" priority="1537" dxfId="60">
      <formula>SEARCH("IN CORSO",$M55)&gt;0</formula>
    </cfRule>
    <cfRule type="expression" priority="1538" dxfId="59">
      <formula>SEARCH("CHIUSO",$M55)&gt;0</formula>
    </cfRule>
    <cfRule type="expression" priority="1539" dxfId="58">
      <formula>SEARCH("EMESSO",$M55)&gt;0</formula>
    </cfRule>
    <cfRule type="expression" priority="1540" dxfId="57">
      <formula>SEARCH("RICHIESTO",$M55)&gt;0</formula>
    </cfRule>
    <cfRule type="expression" priority="1541" dxfId="56">
      <formula>SEARCH("DA CHIUDERE",$M55)&gt;0</formula>
    </cfRule>
    <cfRule type="expression" priority="1542" dxfId="55">
      <formula>SEARCH("INTERROTTO",$M55)&gt;0</formula>
    </cfRule>
  </conditionalFormatting>
  <conditionalFormatting sqref="M54">
    <cfRule type="expression" priority="1531" dxfId="60">
      <formula>SEARCH("IN CORSO",$M54)&gt;0</formula>
    </cfRule>
    <cfRule type="expression" priority="1532" dxfId="59">
      <formula>SEARCH("CHIUSO",$M54)&gt;0</formula>
    </cfRule>
    <cfRule type="expression" priority="1533" dxfId="58">
      <formula>SEARCH("EMESSO",$M54)&gt;0</formula>
    </cfRule>
    <cfRule type="expression" priority="1534" dxfId="57">
      <formula>SEARCH("RICHIESTO",$M54)&gt;0</formula>
    </cfRule>
    <cfRule type="expression" priority="1535" dxfId="56">
      <formula>SEARCH("DA CHIUDERE",$M54)&gt;0</formula>
    </cfRule>
    <cfRule type="expression" priority="1536" dxfId="55">
      <formula>SEARCH("INTERROTTO",$M54)&gt;0</formula>
    </cfRule>
  </conditionalFormatting>
  <conditionalFormatting sqref="N54:S54">
    <cfRule type="expression" priority="1525" dxfId="60">
      <formula>SEARCH("IN CORSO",$M54)&gt;0</formula>
    </cfRule>
    <cfRule type="expression" priority="1526" dxfId="59">
      <formula>SEARCH("CHIUSO",$M54)&gt;0</formula>
    </cfRule>
    <cfRule type="expression" priority="1527" dxfId="58">
      <formula>SEARCH("EMESSO",$M54)&gt;0</formula>
    </cfRule>
    <cfRule type="expression" priority="1528" dxfId="57">
      <formula>SEARCH("RICHIESTO",$M54)&gt;0</formula>
    </cfRule>
    <cfRule type="expression" priority="1529" dxfId="56">
      <formula>SEARCH("DA CHIUDERE",$M54)&gt;0</formula>
    </cfRule>
    <cfRule type="expression" priority="1530" dxfId="55">
      <formula>SEARCH("INTERROTTO",$M54)&gt;0</formula>
    </cfRule>
  </conditionalFormatting>
  <conditionalFormatting sqref="G54">
    <cfRule type="expression" priority="1513" dxfId="60">
      <formula>SEARCH("IN CORSO",$M54)&gt;0</formula>
    </cfRule>
    <cfRule type="expression" priority="1514" dxfId="59">
      <formula>SEARCH("CHIUSO",$M54)&gt;0</formula>
    </cfRule>
    <cfRule type="expression" priority="1515" dxfId="58">
      <formula>SEARCH("EMESSO",$M54)&gt;0</formula>
    </cfRule>
    <cfRule type="expression" priority="1516" dxfId="57">
      <formula>SEARCH("RICHIESTO",$M54)&gt;0</formula>
    </cfRule>
    <cfRule type="expression" priority="1517" dxfId="56">
      <formula>SEARCH("DA CHIUDERE",$M54)&gt;0</formula>
    </cfRule>
    <cfRule type="expression" priority="1518" dxfId="55">
      <formula>SEARCH("INTERROTTO",$M54)&gt;0</formula>
    </cfRule>
  </conditionalFormatting>
  <conditionalFormatting sqref="E54">
    <cfRule type="expression" priority="1519" dxfId="60">
      <formula>SEARCH("IN CORSO",$M54)&gt;0</formula>
    </cfRule>
    <cfRule type="expression" priority="1520" dxfId="59">
      <formula>SEARCH("CHIUSO",$M54)&gt;0</formula>
    </cfRule>
    <cfRule type="expression" priority="1521" dxfId="58">
      <formula>SEARCH("EMESSO",$M54)&gt;0</formula>
    </cfRule>
    <cfRule type="expression" priority="1522" dxfId="57">
      <formula>SEARCH("RICHIESTO",$M54)&gt;0</formula>
    </cfRule>
    <cfRule type="expression" priority="1523" dxfId="56">
      <formula>SEARCH("DA CHIUDERE",$M54)&gt;0</formula>
    </cfRule>
    <cfRule type="expression" priority="1524" dxfId="55">
      <formula>SEARCH("INTERROTTO",$M54)&gt;0</formula>
    </cfRule>
  </conditionalFormatting>
  <conditionalFormatting sqref="F54">
    <cfRule type="expression" priority="1507" dxfId="60">
      <formula>SEARCH("IN CORSO",$M54)&gt;0</formula>
    </cfRule>
    <cfRule type="expression" priority="1508" dxfId="59">
      <formula>SEARCH("CHIUSO",$M54)&gt;0</formula>
    </cfRule>
    <cfRule type="expression" priority="1509" dxfId="58">
      <formula>SEARCH("EMESSO",$M54)&gt;0</formula>
    </cfRule>
    <cfRule type="expression" priority="1510" dxfId="57">
      <formula>SEARCH("RICHIESTO",$M54)&gt;0</formula>
    </cfRule>
    <cfRule type="expression" priority="1511" dxfId="56">
      <formula>SEARCH("DA CHIUDERE",$M54)&gt;0</formula>
    </cfRule>
    <cfRule type="expression" priority="1512" dxfId="55">
      <formula>SEARCH("INTERROTTO",$M54)&gt;0</formula>
    </cfRule>
  </conditionalFormatting>
  <conditionalFormatting sqref="M53">
    <cfRule type="expression" priority="1501" dxfId="60">
      <formula>SEARCH("IN CORSO",$M53)&gt;0</formula>
    </cfRule>
    <cfRule type="expression" priority="1502" dxfId="59">
      <formula>SEARCH("CHIUSO",$M53)&gt;0</formula>
    </cfRule>
    <cfRule type="expression" priority="1503" dxfId="58">
      <formula>SEARCH("EMESSO",$M53)&gt;0</formula>
    </cfRule>
    <cfRule type="expression" priority="1504" dxfId="57">
      <formula>SEARCH("RICHIESTO",$M53)&gt;0</formula>
    </cfRule>
    <cfRule type="expression" priority="1505" dxfId="56">
      <formula>SEARCH("DA CHIUDERE",$M53)&gt;0</formula>
    </cfRule>
    <cfRule type="expression" priority="1506" dxfId="55">
      <formula>SEARCH("INTERROTTO",$M53)&gt;0</formula>
    </cfRule>
  </conditionalFormatting>
  <conditionalFormatting sqref="N53:S53">
    <cfRule type="expression" priority="1495" dxfId="60">
      <formula>SEARCH("IN CORSO",$M53)&gt;0</formula>
    </cfRule>
    <cfRule type="expression" priority="1496" dxfId="59">
      <formula>SEARCH("CHIUSO",$M53)&gt;0</formula>
    </cfRule>
    <cfRule type="expression" priority="1497" dxfId="58">
      <formula>SEARCH("EMESSO",$M53)&gt;0</formula>
    </cfRule>
    <cfRule type="expression" priority="1498" dxfId="57">
      <formula>SEARCH("RICHIESTO",$M53)&gt;0</formula>
    </cfRule>
    <cfRule type="expression" priority="1499" dxfId="56">
      <formula>SEARCH("DA CHIUDERE",$M53)&gt;0</formula>
    </cfRule>
    <cfRule type="expression" priority="1500" dxfId="55">
      <formula>SEARCH("INTERROTTO",$M53)&gt;0</formula>
    </cfRule>
  </conditionalFormatting>
  <conditionalFormatting sqref="G53">
    <cfRule type="expression" priority="1483" dxfId="60">
      <formula>SEARCH("IN CORSO",$M53)&gt;0</formula>
    </cfRule>
    <cfRule type="expression" priority="1484" dxfId="59">
      <formula>SEARCH("CHIUSO",$M53)&gt;0</formula>
    </cfRule>
    <cfRule type="expression" priority="1485" dxfId="58">
      <formula>SEARCH("EMESSO",$M53)&gt;0</formula>
    </cfRule>
    <cfRule type="expression" priority="1486" dxfId="57">
      <formula>SEARCH("RICHIESTO",$M53)&gt;0</formula>
    </cfRule>
    <cfRule type="expression" priority="1487" dxfId="56">
      <formula>SEARCH("DA CHIUDERE",$M53)&gt;0</formula>
    </cfRule>
    <cfRule type="expression" priority="1488" dxfId="55">
      <formula>SEARCH("INTERROTTO",$M53)&gt;0</formula>
    </cfRule>
  </conditionalFormatting>
  <conditionalFormatting sqref="E53">
    <cfRule type="expression" priority="1489" dxfId="60">
      <formula>SEARCH("IN CORSO",$M53)&gt;0</formula>
    </cfRule>
    <cfRule type="expression" priority="1490" dxfId="59">
      <formula>SEARCH("CHIUSO",$M53)&gt;0</formula>
    </cfRule>
    <cfRule type="expression" priority="1491" dxfId="58">
      <formula>SEARCH("EMESSO",$M53)&gt;0</formula>
    </cfRule>
    <cfRule type="expression" priority="1492" dxfId="57">
      <formula>SEARCH("RICHIESTO",$M53)&gt;0</formula>
    </cfRule>
    <cfRule type="expression" priority="1493" dxfId="56">
      <formula>SEARCH("DA CHIUDERE",$M53)&gt;0</formula>
    </cfRule>
    <cfRule type="expression" priority="1494" dxfId="55">
      <formula>SEARCH("INTERROTTO",$M53)&gt;0</formula>
    </cfRule>
  </conditionalFormatting>
  <conditionalFormatting sqref="F53">
    <cfRule type="expression" priority="1477" dxfId="60">
      <formula>SEARCH("IN CORSO",$M53)&gt;0</formula>
    </cfRule>
    <cfRule type="expression" priority="1478" dxfId="59">
      <formula>SEARCH("CHIUSO",$M53)&gt;0</formula>
    </cfRule>
    <cfRule type="expression" priority="1479" dxfId="58">
      <formula>SEARCH("EMESSO",$M53)&gt;0</formula>
    </cfRule>
    <cfRule type="expression" priority="1480" dxfId="57">
      <formula>SEARCH("RICHIESTO",$M53)&gt;0</formula>
    </cfRule>
    <cfRule type="expression" priority="1481" dxfId="56">
      <formula>SEARCH("DA CHIUDERE",$M53)&gt;0</formula>
    </cfRule>
    <cfRule type="expression" priority="1482" dxfId="55">
      <formula>SEARCH("INTERROTTO",$M53)&gt;0</formula>
    </cfRule>
  </conditionalFormatting>
  <conditionalFormatting sqref="M52">
    <cfRule type="expression" priority="1471" dxfId="60">
      <formula>SEARCH("IN CORSO",$M52)&gt;0</formula>
    </cfRule>
    <cfRule type="expression" priority="1472" dxfId="59">
      <formula>SEARCH("CHIUSO",$M52)&gt;0</formula>
    </cfRule>
    <cfRule type="expression" priority="1473" dxfId="58">
      <formula>SEARCH("EMESSO",$M52)&gt;0</formula>
    </cfRule>
    <cfRule type="expression" priority="1474" dxfId="57">
      <formula>SEARCH("RICHIESTO",$M52)&gt;0</formula>
    </cfRule>
    <cfRule type="expression" priority="1475" dxfId="56">
      <formula>SEARCH("DA CHIUDERE",$M52)&gt;0</formula>
    </cfRule>
    <cfRule type="expression" priority="1476" dxfId="55">
      <formula>SEARCH("INTERROTTO",$M52)&gt;0</formula>
    </cfRule>
  </conditionalFormatting>
  <conditionalFormatting sqref="N52:S52">
    <cfRule type="expression" priority="1465" dxfId="60">
      <formula>SEARCH("IN CORSO",$M52)&gt;0</formula>
    </cfRule>
    <cfRule type="expression" priority="1466" dxfId="59">
      <formula>SEARCH("CHIUSO",$M52)&gt;0</formula>
    </cfRule>
    <cfRule type="expression" priority="1467" dxfId="58">
      <formula>SEARCH("EMESSO",$M52)&gt;0</formula>
    </cfRule>
    <cfRule type="expression" priority="1468" dxfId="57">
      <formula>SEARCH("RICHIESTO",$M52)&gt;0</formula>
    </cfRule>
    <cfRule type="expression" priority="1469" dxfId="56">
      <formula>SEARCH("DA CHIUDERE",$M52)&gt;0</formula>
    </cfRule>
    <cfRule type="expression" priority="1470" dxfId="55">
      <formula>SEARCH("INTERROTTO",$M52)&gt;0</formula>
    </cfRule>
  </conditionalFormatting>
  <conditionalFormatting sqref="G52">
    <cfRule type="expression" priority="1453" dxfId="60">
      <formula>SEARCH("IN CORSO",$M52)&gt;0</formula>
    </cfRule>
    <cfRule type="expression" priority="1454" dxfId="59">
      <formula>SEARCH("CHIUSO",$M52)&gt;0</formula>
    </cfRule>
    <cfRule type="expression" priority="1455" dxfId="58">
      <formula>SEARCH("EMESSO",$M52)&gt;0</formula>
    </cfRule>
    <cfRule type="expression" priority="1456" dxfId="57">
      <formula>SEARCH("RICHIESTO",$M52)&gt;0</formula>
    </cfRule>
    <cfRule type="expression" priority="1457" dxfId="56">
      <formula>SEARCH("DA CHIUDERE",$M52)&gt;0</formula>
    </cfRule>
    <cfRule type="expression" priority="1458" dxfId="55">
      <formula>SEARCH("INTERROTTO",$M52)&gt;0</formula>
    </cfRule>
  </conditionalFormatting>
  <conditionalFormatting sqref="E52">
    <cfRule type="expression" priority="1459" dxfId="60">
      <formula>SEARCH("IN CORSO",$M52)&gt;0</formula>
    </cfRule>
    <cfRule type="expression" priority="1460" dxfId="59">
      <formula>SEARCH("CHIUSO",$M52)&gt;0</formula>
    </cfRule>
    <cfRule type="expression" priority="1461" dxfId="58">
      <formula>SEARCH("EMESSO",$M52)&gt;0</formula>
    </cfRule>
    <cfRule type="expression" priority="1462" dxfId="57">
      <formula>SEARCH("RICHIESTO",$M52)&gt;0</formula>
    </cfRule>
    <cfRule type="expression" priority="1463" dxfId="56">
      <formula>SEARCH("DA CHIUDERE",$M52)&gt;0</formula>
    </cfRule>
    <cfRule type="expression" priority="1464" dxfId="55">
      <formula>SEARCH("INTERROTTO",$M52)&gt;0</formula>
    </cfRule>
  </conditionalFormatting>
  <conditionalFormatting sqref="F52">
    <cfRule type="expression" priority="1447" dxfId="60">
      <formula>SEARCH("IN CORSO",$M52)&gt;0</formula>
    </cfRule>
    <cfRule type="expression" priority="1448" dxfId="59">
      <formula>SEARCH("CHIUSO",$M52)&gt;0</formula>
    </cfRule>
    <cfRule type="expression" priority="1449" dxfId="58">
      <formula>SEARCH("EMESSO",$M52)&gt;0</formula>
    </cfRule>
    <cfRule type="expression" priority="1450" dxfId="57">
      <formula>SEARCH("RICHIESTO",$M52)&gt;0</formula>
    </cfRule>
    <cfRule type="expression" priority="1451" dxfId="56">
      <formula>SEARCH("DA CHIUDERE",$M52)&gt;0</formula>
    </cfRule>
    <cfRule type="expression" priority="1452" dxfId="55">
      <formula>SEARCH("INTERROTTO",$M52)&gt;0</formula>
    </cfRule>
  </conditionalFormatting>
  <conditionalFormatting sqref="M51">
    <cfRule type="expression" priority="1441" dxfId="60">
      <formula>SEARCH("IN CORSO",$M51)&gt;0</formula>
    </cfRule>
    <cfRule type="expression" priority="1442" dxfId="59">
      <formula>SEARCH("CHIUSO",$M51)&gt;0</formula>
    </cfRule>
    <cfRule type="expression" priority="1443" dxfId="58">
      <formula>SEARCH("EMESSO",$M51)&gt;0</formula>
    </cfRule>
    <cfRule type="expression" priority="1444" dxfId="57">
      <formula>SEARCH("RICHIESTO",$M51)&gt;0</formula>
    </cfRule>
    <cfRule type="expression" priority="1445" dxfId="56">
      <formula>SEARCH("DA CHIUDERE",$M51)&gt;0</formula>
    </cfRule>
    <cfRule type="expression" priority="1446" dxfId="55">
      <formula>SEARCH("INTERROTTO",$M51)&gt;0</formula>
    </cfRule>
  </conditionalFormatting>
  <conditionalFormatting sqref="N51:S51">
    <cfRule type="expression" priority="1435" dxfId="60">
      <formula>SEARCH("IN CORSO",$M51)&gt;0</formula>
    </cfRule>
    <cfRule type="expression" priority="1436" dxfId="59">
      <formula>SEARCH("CHIUSO",$M51)&gt;0</formula>
    </cfRule>
    <cfRule type="expression" priority="1437" dxfId="58">
      <formula>SEARCH("EMESSO",$M51)&gt;0</formula>
    </cfRule>
    <cfRule type="expression" priority="1438" dxfId="57">
      <formula>SEARCH("RICHIESTO",$M51)&gt;0</formula>
    </cfRule>
    <cfRule type="expression" priority="1439" dxfId="56">
      <formula>SEARCH("DA CHIUDERE",$M51)&gt;0</formula>
    </cfRule>
    <cfRule type="expression" priority="1440" dxfId="55">
      <formula>SEARCH("INTERROTTO",$M51)&gt;0</formula>
    </cfRule>
  </conditionalFormatting>
  <conditionalFormatting sqref="G51">
    <cfRule type="expression" priority="1423" dxfId="60">
      <formula>SEARCH("IN CORSO",$M51)&gt;0</formula>
    </cfRule>
    <cfRule type="expression" priority="1424" dxfId="59">
      <formula>SEARCH("CHIUSO",$M51)&gt;0</formula>
    </cfRule>
    <cfRule type="expression" priority="1425" dxfId="58">
      <formula>SEARCH("EMESSO",$M51)&gt;0</formula>
    </cfRule>
    <cfRule type="expression" priority="1426" dxfId="57">
      <formula>SEARCH("RICHIESTO",$M51)&gt;0</formula>
    </cfRule>
    <cfRule type="expression" priority="1427" dxfId="56">
      <formula>SEARCH("DA CHIUDERE",$M51)&gt;0</formula>
    </cfRule>
    <cfRule type="expression" priority="1428" dxfId="55">
      <formula>SEARCH("INTERROTTO",$M51)&gt;0</formula>
    </cfRule>
  </conditionalFormatting>
  <conditionalFormatting sqref="E51">
    <cfRule type="expression" priority="1429" dxfId="60">
      <formula>SEARCH("IN CORSO",$M51)&gt;0</formula>
    </cfRule>
    <cfRule type="expression" priority="1430" dxfId="59">
      <formula>SEARCH("CHIUSO",$M51)&gt;0</formula>
    </cfRule>
    <cfRule type="expression" priority="1431" dxfId="58">
      <formula>SEARCH("EMESSO",$M51)&gt;0</formula>
    </cfRule>
    <cfRule type="expression" priority="1432" dxfId="57">
      <formula>SEARCH("RICHIESTO",$M51)&gt;0</formula>
    </cfRule>
    <cfRule type="expression" priority="1433" dxfId="56">
      <formula>SEARCH("DA CHIUDERE",$M51)&gt;0</formula>
    </cfRule>
    <cfRule type="expression" priority="1434" dxfId="55">
      <formula>SEARCH("INTERROTTO",$M51)&gt;0</formula>
    </cfRule>
  </conditionalFormatting>
  <conditionalFormatting sqref="F51">
    <cfRule type="expression" priority="1417" dxfId="60">
      <formula>SEARCH("IN CORSO",$M51)&gt;0</formula>
    </cfRule>
    <cfRule type="expression" priority="1418" dxfId="59">
      <formula>SEARCH("CHIUSO",$M51)&gt;0</formula>
    </cfRule>
    <cfRule type="expression" priority="1419" dxfId="58">
      <formula>SEARCH("EMESSO",$M51)&gt;0</formula>
    </cfRule>
    <cfRule type="expression" priority="1420" dxfId="57">
      <formula>SEARCH("RICHIESTO",$M51)&gt;0</formula>
    </cfRule>
    <cfRule type="expression" priority="1421" dxfId="56">
      <formula>SEARCH("DA CHIUDERE",$M51)&gt;0</formula>
    </cfRule>
    <cfRule type="expression" priority="1422" dxfId="55">
      <formula>SEARCH("INTERROTTO",$M51)&gt;0</formula>
    </cfRule>
  </conditionalFormatting>
  <conditionalFormatting sqref="M50">
    <cfRule type="expression" priority="1411" dxfId="60">
      <formula>SEARCH("IN CORSO",$M50)&gt;0</formula>
    </cfRule>
    <cfRule type="expression" priority="1412" dxfId="59">
      <formula>SEARCH("CHIUSO",$M50)&gt;0</formula>
    </cfRule>
    <cfRule type="expression" priority="1413" dxfId="58">
      <formula>SEARCH("EMESSO",$M50)&gt;0</formula>
    </cfRule>
    <cfRule type="expression" priority="1414" dxfId="57">
      <formula>SEARCH("RICHIESTO",$M50)&gt;0</formula>
    </cfRule>
    <cfRule type="expression" priority="1415" dxfId="56">
      <formula>SEARCH("DA CHIUDERE",$M50)&gt;0</formula>
    </cfRule>
    <cfRule type="expression" priority="1416" dxfId="55">
      <formula>SEARCH("INTERROTTO",$M50)&gt;0</formula>
    </cfRule>
  </conditionalFormatting>
  <conditionalFormatting sqref="N50:S50">
    <cfRule type="expression" priority="1405" dxfId="60">
      <formula>SEARCH("IN CORSO",$M50)&gt;0</formula>
    </cfRule>
    <cfRule type="expression" priority="1406" dxfId="59">
      <formula>SEARCH("CHIUSO",$M50)&gt;0</formula>
    </cfRule>
    <cfRule type="expression" priority="1407" dxfId="58">
      <formula>SEARCH("EMESSO",$M50)&gt;0</formula>
    </cfRule>
    <cfRule type="expression" priority="1408" dxfId="57">
      <formula>SEARCH("RICHIESTO",$M50)&gt;0</formula>
    </cfRule>
    <cfRule type="expression" priority="1409" dxfId="56">
      <formula>SEARCH("DA CHIUDERE",$M50)&gt;0</formula>
    </cfRule>
    <cfRule type="expression" priority="1410" dxfId="55">
      <formula>SEARCH("INTERROTTO",$M50)&gt;0</formula>
    </cfRule>
  </conditionalFormatting>
  <conditionalFormatting sqref="G50">
    <cfRule type="expression" priority="1393" dxfId="60">
      <formula>SEARCH("IN CORSO",$M50)&gt;0</formula>
    </cfRule>
    <cfRule type="expression" priority="1394" dxfId="59">
      <formula>SEARCH("CHIUSO",$M50)&gt;0</formula>
    </cfRule>
    <cfRule type="expression" priority="1395" dxfId="58">
      <formula>SEARCH("EMESSO",$M50)&gt;0</formula>
    </cfRule>
    <cfRule type="expression" priority="1396" dxfId="57">
      <formula>SEARCH("RICHIESTO",$M50)&gt;0</formula>
    </cfRule>
    <cfRule type="expression" priority="1397" dxfId="56">
      <formula>SEARCH("DA CHIUDERE",$M50)&gt;0</formula>
    </cfRule>
    <cfRule type="expression" priority="1398" dxfId="55">
      <formula>SEARCH("INTERROTTO",$M50)&gt;0</formula>
    </cfRule>
  </conditionalFormatting>
  <conditionalFormatting sqref="E50">
    <cfRule type="expression" priority="1399" dxfId="60">
      <formula>SEARCH("IN CORSO",$M50)&gt;0</formula>
    </cfRule>
    <cfRule type="expression" priority="1400" dxfId="59">
      <formula>SEARCH("CHIUSO",$M50)&gt;0</formula>
    </cfRule>
    <cfRule type="expression" priority="1401" dxfId="58">
      <formula>SEARCH("EMESSO",$M50)&gt;0</formula>
    </cfRule>
    <cfRule type="expression" priority="1402" dxfId="57">
      <formula>SEARCH("RICHIESTO",$M50)&gt;0</formula>
    </cfRule>
    <cfRule type="expression" priority="1403" dxfId="56">
      <formula>SEARCH("DA CHIUDERE",$M50)&gt;0</formula>
    </cfRule>
    <cfRule type="expression" priority="1404" dxfId="55">
      <formula>SEARCH("INTERROTTO",$M50)&gt;0</formula>
    </cfRule>
  </conditionalFormatting>
  <conditionalFormatting sqref="F50">
    <cfRule type="expression" priority="1387" dxfId="60">
      <formula>SEARCH("IN CORSO",$M50)&gt;0</formula>
    </cfRule>
    <cfRule type="expression" priority="1388" dxfId="59">
      <formula>SEARCH("CHIUSO",$M50)&gt;0</formula>
    </cfRule>
    <cfRule type="expression" priority="1389" dxfId="58">
      <formula>SEARCH("EMESSO",$M50)&gt;0</formula>
    </cfRule>
    <cfRule type="expression" priority="1390" dxfId="57">
      <formula>SEARCH("RICHIESTO",$M50)&gt;0</formula>
    </cfRule>
    <cfRule type="expression" priority="1391" dxfId="56">
      <formula>SEARCH("DA CHIUDERE",$M50)&gt;0</formula>
    </cfRule>
    <cfRule type="expression" priority="1392" dxfId="55">
      <formula>SEARCH("INTERROTTO",$M50)&gt;0</formula>
    </cfRule>
  </conditionalFormatting>
  <conditionalFormatting sqref="M49">
    <cfRule type="expression" priority="1381" dxfId="60">
      <formula>SEARCH("IN CORSO",$M49)&gt;0</formula>
    </cfRule>
    <cfRule type="expression" priority="1382" dxfId="59">
      <formula>SEARCH("CHIUSO",$M49)&gt;0</formula>
    </cfRule>
    <cfRule type="expression" priority="1383" dxfId="58">
      <formula>SEARCH("EMESSO",$M49)&gt;0</formula>
    </cfRule>
    <cfRule type="expression" priority="1384" dxfId="57">
      <formula>SEARCH("RICHIESTO",$M49)&gt;0</formula>
    </cfRule>
    <cfRule type="expression" priority="1385" dxfId="56">
      <formula>SEARCH("DA CHIUDERE",$M49)&gt;0</formula>
    </cfRule>
    <cfRule type="expression" priority="1386" dxfId="55">
      <formula>SEARCH("INTERROTTO",$M49)&gt;0</formula>
    </cfRule>
  </conditionalFormatting>
  <conditionalFormatting sqref="N49:S49">
    <cfRule type="expression" priority="1375" dxfId="60">
      <formula>SEARCH("IN CORSO",$M49)&gt;0</formula>
    </cfRule>
    <cfRule type="expression" priority="1376" dxfId="59">
      <formula>SEARCH("CHIUSO",$M49)&gt;0</formula>
    </cfRule>
    <cfRule type="expression" priority="1377" dxfId="58">
      <formula>SEARCH("EMESSO",$M49)&gt;0</formula>
    </cfRule>
    <cfRule type="expression" priority="1378" dxfId="57">
      <formula>SEARCH("RICHIESTO",$M49)&gt;0</formula>
    </cfRule>
    <cfRule type="expression" priority="1379" dxfId="56">
      <formula>SEARCH("DA CHIUDERE",$M49)&gt;0</formula>
    </cfRule>
    <cfRule type="expression" priority="1380" dxfId="55">
      <formula>SEARCH("INTERROTTO",$M49)&gt;0</formula>
    </cfRule>
  </conditionalFormatting>
  <conditionalFormatting sqref="G49">
    <cfRule type="expression" priority="1363" dxfId="60">
      <formula>SEARCH("IN CORSO",$M49)&gt;0</formula>
    </cfRule>
    <cfRule type="expression" priority="1364" dxfId="59">
      <formula>SEARCH("CHIUSO",$M49)&gt;0</formula>
    </cfRule>
    <cfRule type="expression" priority="1365" dxfId="58">
      <formula>SEARCH("EMESSO",$M49)&gt;0</formula>
    </cfRule>
    <cfRule type="expression" priority="1366" dxfId="57">
      <formula>SEARCH("RICHIESTO",$M49)&gt;0</formula>
    </cfRule>
    <cfRule type="expression" priority="1367" dxfId="56">
      <formula>SEARCH("DA CHIUDERE",$M49)&gt;0</formula>
    </cfRule>
    <cfRule type="expression" priority="1368" dxfId="55">
      <formula>SEARCH("INTERROTTO",$M49)&gt;0</formula>
    </cfRule>
  </conditionalFormatting>
  <conditionalFormatting sqref="E49">
    <cfRule type="expression" priority="1369" dxfId="60">
      <formula>SEARCH("IN CORSO",$M49)&gt;0</formula>
    </cfRule>
    <cfRule type="expression" priority="1370" dxfId="59">
      <formula>SEARCH("CHIUSO",$M49)&gt;0</formula>
    </cfRule>
    <cfRule type="expression" priority="1371" dxfId="58">
      <formula>SEARCH("EMESSO",$M49)&gt;0</formula>
    </cfRule>
    <cfRule type="expression" priority="1372" dxfId="57">
      <formula>SEARCH("RICHIESTO",$M49)&gt;0</formula>
    </cfRule>
    <cfRule type="expression" priority="1373" dxfId="56">
      <formula>SEARCH("DA CHIUDERE",$M49)&gt;0</formula>
    </cfRule>
    <cfRule type="expression" priority="1374" dxfId="55">
      <formula>SEARCH("INTERROTTO",$M49)&gt;0</formula>
    </cfRule>
  </conditionalFormatting>
  <conditionalFormatting sqref="F49">
    <cfRule type="expression" priority="1357" dxfId="60">
      <formula>SEARCH("IN CORSO",$M49)&gt;0</formula>
    </cfRule>
    <cfRule type="expression" priority="1358" dxfId="59">
      <formula>SEARCH("CHIUSO",$M49)&gt;0</formula>
    </cfRule>
    <cfRule type="expression" priority="1359" dxfId="58">
      <formula>SEARCH("EMESSO",$M49)&gt;0</formula>
    </cfRule>
    <cfRule type="expression" priority="1360" dxfId="57">
      <formula>SEARCH("RICHIESTO",$M49)&gt;0</formula>
    </cfRule>
    <cfRule type="expression" priority="1361" dxfId="56">
      <formula>SEARCH("DA CHIUDERE",$M49)&gt;0</formula>
    </cfRule>
    <cfRule type="expression" priority="1362" dxfId="55">
      <formula>SEARCH("INTERROTTO",$M49)&gt;0</formula>
    </cfRule>
  </conditionalFormatting>
  <conditionalFormatting sqref="M48">
    <cfRule type="expression" priority="1351" dxfId="60">
      <formula>SEARCH("IN CORSO",$M48)&gt;0</formula>
    </cfRule>
    <cfRule type="expression" priority="1352" dxfId="59">
      <formula>SEARCH("CHIUSO",$M48)&gt;0</formula>
    </cfRule>
    <cfRule type="expression" priority="1353" dxfId="58">
      <formula>SEARCH("EMESSO",$M48)&gt;0</formula>
    </cfRule>
    <cfRule type="expression" priority="1354" dxfId="57">
      <formula>SEARCH("RICHIESTO",$M48)&gt;0</formula>
    </cfRule>
    <cfRule type="expression" priority="1355" dxfId="56">
      <formula>SEARCH("DA CHIUDERE",$M48)&gt;0</formula>
    </cfRule>
    <cfRule type="expression" priority="1356" dxfId="55">
      <formula>SEARCH("INTERROTTO",$M48)&gt;0</formula>
    </cfRule>
  </conditionalFormatting>
  <conditionalFormatting sqref="N48:S48">
    <cfRule type="expression" priority="1345" dxfId="60">
      <formula>SEARCH("IN CORSO",$M48)&gt;0</formula>
    </cfRule>
    <cfRule type="expression" priority="1346" dxfId="59">
      <formula>SEARCH("CHIUSO",$M48)&gt;0</formula>
    </cfRule>
    <cfRule type="expression" priority="1347" dxfId="58">
      <formula>SEARCH("EMESSO",$M48)&gt;0</formula>
    </cfRule>
    <cfRule type="expression" priority="1348" dxfId="57">
      <formula>SEARCH("RICHIESTO",$M48)&gt;0</formula>
    </cfRule>
    <cfRule type="expression" priority="1349" dxfId="56">
      <formula>SEARCH("DA CHIUDERE",$M48)&gt;0</formula>
    </cfRule>
    <cfRule type="expression" priority="1350" dxfId="55">
      <formula>SEARCH("INTERROTTO",$M48)&gt;0</formula>
    </cfRule>
  </conditionalFormatting>
  <conditionalFormatting sqref="G48">
    <cfRule type="expression" priority="1333" dxfId="60">
      <formula>SEARCH("IN CORSO",$M48)&gt;0</formula>
    </cfRule>
    <cfRule type="expression" priority="1334" dxfId="59">
      <formula>SEARCH("CHIUSO",$M48)&gt;0</formula>
    </cfRule>
    <cfRule type="expression" priority="1335" dxfId="58">
      <formula>SEARCH("EMESSO",$M48)&gt;0</formula>
    </cfRule>
    <cfRule type="expression" priority="1336" dxfId="57">
      <formula>SEARCH("RICHIESTO",$M48)&gt;0</formula>
    </cfRule>
    <cfRule type="expression" priority="1337" dxfId="56">
      <formula>SEARCH("DA CHIUDERE",$M48)&gt;0</formula>
    </cfRule>
    <cfRule type="expression" priority="1338" dxfId="55">
      <formula>SEARCH("INTERROTTO",$M48)&gt;0</formula>
    </cfRule>
  </conditionalFormatting>
  <conditionalFormatting sqref="E48">
    <cfRule type="expression" priority="1339" dxfId="60">
      <formula>SEARCH("IN CORSO",$M48)&gt;0</formula>
    </cfRule>
    <cfRule type="expression" priority="1340" dxfId="59">
      <formula>SEARCH("CHIUSO",$M48)&gt;0</formula>
    </cfRule>
    <cfRule type="expression" priority="1341" dxfId="58">
      <formula>SEARCH("EMESSO",$M48)&gt;0</formula>
    </cfRule>
    <cfRule type="expression" priority="1342" dxfId="57">
      <formula>SEARCH("RICHIESTO",$M48)&gt;0</formula>
    </cfRule>
    <cfRule type="expression" priority="1343" dxfId="56">
      <formula>SEARCH("DA CHIUDERE",$M48)&gt;0</formula>
    </cfRule>
    <cfRule type="expression" priority="1344" dxfId="55">
      <formula>SEARCH("INTERROTTO",$M48)&gt;0</formula>
    </cfRule>
  </conditionalFormatting>
  <conditionalFormatting sqref="F48">
    <cfRule type="expression" priority="1327" dxfId="60">
      <formula>SEARCH("IN CORSO",$M48)&gt;0</formula>
    </cfRule>
    <cfRule type="expression" priority="1328" dxfId="59">
      <formula>SEARCH("CHIUSO",$M48)&gt;0</formula>
    </cfRule>
    <cfRule type="expression" priority="1329" dxfId="58">
      <formula>SEARCH("EMESSO",$M48)&gt;0</formula>
    </cfRule>
    <cfRule type="expression" priority="1330" dxfId="57">
      <formula>SEARCH("RICHIESTO",$M48)&gt;0</formula>
    </cfRule>
    <cfRule type="expression" priority="1331" dxfId="56">
      <formula>SEARCH("DA CHIUDERE",$M48)&gt;0</formula>
    </cfRule>
    <cfRule type="expression" priority="1332" dxfId="55">
      <formula>SEARCH("INTERROTTO",$M48)&gt;0</formula>
    </cfRule>
  </conditionalFormatting>
  <conditionalFormatting sqref="M47">
    <cfRule type="expression" priority="1321" dxfId="60">
      <formula>SEARCH("IN CORSO",$M47)&gt;0</formula>
    </cfRule>
    <cfRule type="expression" priority="1322" dxfId="59">
      <formula>SEARCH("CHIUSO",$M47)&gt;0</formula>
    </cfRule>
    <cfRule type="expression" priority="1323" dxfId="58">
      <formula>SEARCH("EMESSO",$M47)&gt;0</formula>
    </cfRule>
    <cfRule type="expression" priority="1324" dxfId="57">
      <formula>SEARCH("RICHIESTO",$M47)&gt;0</formula>
    </cfRule>
    <cfRule type="expression" priority="1325" dxfId="56">
      <formula>SEARCH("DA CHIUDERE",$M47)&gt;0</formula>
    </cfRule>
    <cfRule type="expression" priority="1326" dxfId="55">
      <formula>SEARCH("INTERROTTO",$M47)&gt;0</formula>
    </cfRule>
  </conditionalFormatting>
  <conditionalFormatting sqref="N47:S47">
    <cfRule type="expression" priority="1315" dxfId="60">
      <formula>SEARCH("IN CORSO",$M47)&gt;0</formula>
    </cfRule>
    <cfRule type="expression" priority="1316" dxfId="59">
      <formula>SEARCH("CHIUSO",$M47)&gt;0</formula>
    </cfRule>
    <cfRule type="expression" priority="1317" dxfId="58">
      <formula>SEARCH("EMESSO",$M47)&gt;0</formula>
    </cfRule>
    <cfRule type="expression" priority="1318" dxfId="57">
      <formula>SEARCH("RICHIESTO",$M47)&gt;0</formula>
    </cfRule>
    <cfRule type="expression" priority="1319" dxfId="56">
      <formula>SEARCH("DA CHIUDERE",$M47)&gt;0</formula>
    </cfRule>
    <cfRule type="expression" priority="1320" dxfId="55">
      <formula>SEARCH("INTERROTTO",$M47)&gt;0</formula>
    </cfRule>
  </conditionalFormatting>
  <conditionalFormatting sqref="G47">
    <cfRule type="expression" priority="1303" dxfId="60">
      <formula>SEARCH("IN CORSO",$M47)&gt;0</formula>
    </cfRule>
    <cfRule type="expression" priority="1304" dxfId="59">
      <formula>SEARCH("CHIUSO",$M47)&gt;0</formula>
    </cfRule>
    <cfRule type="expression" priority="1305" dxfId="58">
      <formula>SEARCH("EMESSO",$M47)&gt;0</formula>
    </cfRule>
    <cfRule type="expression" priority="1306" dxfId="57">
      <formula>SEARCH("RICHIESTO",$M47)&gt;0</formula>
    </cfRule>
    <cfRule type="expression" priority="1307" dxfId="56">
      <formula>SEARCH("DA CHIUDERE",$M47)&gt;0</formula>
    </cfRule>
    <cfRule type="expression" priority="1308" dxfId="55">
      <formula>SEARCH("INTERROTTO",$M47)&gt;0</formula>
    </cfRule>
  </conditionalFormatting>
  <conditionalFormatting sqref="E47">
    <cfRule type="expression" priority="1309" dxfId="60">
      <formula>SEARCH("IN CORSO",$M47)&gt;0</formula>
    </cfRule>
    <cfRule type="expression" priority="1310" dxfId="59">
      <formula>SEARCH("CHIUSO",$M47)&gt;0</formula>
    </cfRule>
    <cfRule type="expression" priority="1311" dxfId="58">
      <formula>SEARCH("EMESSO",$M47)&gt;0</formula>
    </cfRule>
    <cfRule type="expression" priority="1312" dxfId="57">
      <formula>SEARCH("RICHIESTO",$M47)&gt;0</formula>
    </cfRule>
    <cfRule type="expression" priority="1313" dxfId="56">
      <formula>SEARCH("DA CHIUDERE",$M47)&gt;0</formula>
    </cfRule>
    <cfRule type="expression" priority="1314" dxfId="55">
      <formula>SEARCH("INTERROTTO",$M47)&gt;0</formula>
    </cfRule>
  </conditionalFormatting>
  <conditionalFormatting sqref="F47">
    <cfRule type="expression" priority="1297" dxfId="60">
      <formula>SEARCH("IN CORSO",$M47)&gt;0</formula>
    </cfRule>
    <cfRule type="expression" priority="1298" dxfId="59">
      <formula>SEARCH("CHIUSO",$M47)&gt;0</formula>
    </cfRule>
    <cfRule type="expression" priority="1299" dxfId="58">
      <formula>SEARCH("EMESSO",$M47)&gt;0</formula>
    </cfRule>
    <cfRule type="expression" priority="1300" dxfId="57">
      <formula>SEARCH("RICHIESTO",$M47)&gt;0</formula>
    </cfRule>
    <cfRule type="expression" priority="1301" dxfId="56">
      <formula>SEARCH("DA CHIUDERE",$M47)&gt;0</formula>
    </cfRule>
    <cfRule type="expression" priority="1302" dxfId="55">
      <formula>SEARCH("INTERROTTO",$M47)&gt;0</formula>
    </cfRule>
  </conditionalFormatting>
  <conditionalFormatting sqref="N46:S46">
    <cfRule type="expression" priority="1285" dxfId="60">
      <formula>SEARCH("IN CORSO",$M46)&gt;0</formula>
    </cfRule>
    <cfRule type="expression" priority="1286" dxfId="59">
      <formula>SEARCH("CHIUSO",$M46)&gt;0</formula>
    </cfRule>
    <cfRule type="expression" priority="1287" dxfId="58">
      <formula>SEARCH("EMESSO",$M46)&gt;0</formula>
    </cfRule>
    <cfRule type="expression" priority="1288" dxfId="57">
      <formula>SEARCH("RICHIESTO",$M46)&gt;0</formula>
    </cfRule>
    <cfRule type="expression" priority="1289" dxfId="56">
      <formula>SEARCH("DA CHIUDERE",$M46)&gt;0</formula>
    </cfRule>
    <cfRule type="expression" priority="1290" dxfId="55">
      <formula>SEARCH("INTERROTTO",$M46)&gt;0</formula>
    </cfRule>
  </conditionalFormatting>
  <conditionalFormatting sqref="G46">
    <cfRule type="expression" priority="1273" dxfId="60">
      <formula>SEARCH("IN CORSO",$M46)&gt;0</formula>
    </cfRule>
    <cfRule type="expression" priority="1274" dxfId="59">
      <formula>SEARCH("CHIUSO",$M46)&gt;0</formula>
    </cfRule>
    <cfRule type="expression" priority="1275" dxfId="58">
      <formula>SEARCH("EMESSO",$M46)&gt;0</formula>
    </cfRule>
    <cfRule type="expression" priority="1276" dxfId="57">
      <formula>SEARCH("RICHIESTO",$M46)&gt;0</formula>
    </cfRule>
    <cfRule type="expression" priority="1277" dxfId="56">
      <formula>SEARCH("DA CHIUDERE",$M46)&gt;0</formula>
    </cfRule>
    <cfRule type="expression" priority="1278" dxfId="55">
      <formula>SEARCH("INTERROTTO",$M46)&gt;0</formula>
    </cfRule>
  </conditionalFormatting>
  <conditionalFormatting sqref="E46">
    <cfRule type="expression" priority="1279" dxfId="60">
      <formula>SEARCH("IN CORSO",$M46)&gt;0</formula>
    </cfRule>
    <cfRule type="expression" priority="1280" dxfId="59">
      <formula>SEARCH("CHIUSO",$M46)&gt;0</formula>
    </cfRule>
    <cfRule type="expression" priority="1281" dxfId="58">
      <formula>SEARCH("EMESSO",$M46)&gt;0</formula>
    </cfRule>
    <cfRule type="expression" priority="1282" dxfId="57">
      <formula>SEARCH("RICHIESTO",$M46)&gt;0</formula>
    </cfRule>
    <cfRule type="expression" priority="1283" dxfId="56">
      <formula>SEARCH("DA CHIUDERE",$M46)&gt;0</formula>
    </cfRule>
    <cfRule type="expression" priority="1284" dxfId="55">
      <formula>SEARCH("INTERROTTO",$M46)&gt;0</formula>
    </cfRule>
  </conditionalFormatting>
  <conditionalFormatting sqref="F46">
    <cfRule type="expression" priority="1267" dxfId="60">
      <formula>SEARCH("IN CORSO",$M46)&gt;0</formula>
    </cfRule>
    <cfRule type="expression" priority="1268" dxfId="59">
      <formula>SEARCH("CHIUSO",$M46)&gt;0</formula>
    </cfRule>
    <cfRule type="expression" priority="1269" dxfId="58">
      <formula>SEARCH("EMESSO",$M46)&gt;0</formula>
    </cfRule>
    <cfRule type="expression" priority="1270" dxfId="57">
      <formula>SEARCH("RICHIESTO",$M46)&gt;0</formula>
    </cfRule>
    <cfRule type="expression" priority="1271" dxfId="56">
      <formula>SEARCH("DA CHIUDERE",$M46)&gt;0</formula>
    </cfRule>
    <cfRule type="expression" priority="1272" dxfId="55">
      <formula>SEARCH("INTERROTTO",$M46)&gt;0</formula>
    </cfRule>
  </conditionalFormatting>
  <conditionalFormatting sqref="M46">
    <cfRule type="expression" priority="1261" dxfId="60">
      <formula>SEARCH("IN CORSO",$M46)&gt;0</formula>
    </cfRule>
    <cfRule type="expression" priority="1262" dxfId="59">
      <formula>SEARCH("CHIUSO",$M46)&gt;0</formula>
    </cfRule>
    <cfRule type="expression" priority="1263" dxfId="58">
      <formula>SEARCH("EMESSO",$M46)&gt;0</formula>
    </cfRule>
    <cfRule type="expression" priority="1264" dxfId="57">
      <formula>SEARCH("RICHIESTO",$M46)&gt;0</formula>
    </cfRule>
    <cfRule type="expression" priority="1265" dxfId="56">
      <formula>SEARCH("DA CHIUDERE",$M46)&gt;0</formula>
    </cfRule>
    <cfRule type="expression" priority="1266" dxfId="55">
      <formula>SEARCH("INTERROTTO",$M46)&gt;0</formula>
    </cfRule>
  </conditionalFormatting>
  <conditionalFormatting sqref="N45:S45">
    <cfRule type="expression" priority="1255" dxfId="60">
      <formula>SEARCH("IN CORSO",$M45)&gt;0</formula>
    </cfRule>
    <cfRule type="expression" priority="1256" dxfId="59">
      <formula>SEARCH("CHIUSO",$M45)&gt;0</formula>
    </cfRule>
    <cfRule type="expression" priority="1257" dxfId="58">
      <formula>SEARCH("EMESSO",$M45)&gt;0</formula>
    </cfRule>
    <cfRule type="expression" priority="1258" dxfId="57">
      <formula>SEARCH("RICHIESTO",$M45)&gt;0</formula>
    </cfRule>
    <cfRule type="expression" priority="1259" dxfId="56">
      <formula>SEARCH("DA CHIUDERE",$M45)&gt;0</formula>
    </cfRule>
    <cfRule type="expression" priority="1260" dxfId="55">
      <formula>SEARCH("INTERROTTO",$M45)&gt;0</formula>
    </cfRule>
  </conditionalFormatting>
  <conditionalFormatting sqref="G45">
    <cfRule type="expression" priority="1243" dxfId="60">
      <formula>SEARCH("IN CORSO",$M45)&gt;0</formula>
    </cfRule>
    <cfRule type="expression" priority="1244" dxfId="59">
      <formula>SEARCH("CHIUSO",$M45)&gt;0</formula>
    </cfRule>
    <cfRule type="expression" priority="1245" dxfId="58">
      <formula>SEARCH("EMESSO",$M45)&gt;0</formula>
    </cfRule>
    <cfRule type="expression" priority="1246" dxfId="57">
      <formula>SEARCH("RICHIESTO",$M45)&gt;0</formula>
    </cfRule>
    <cfRule type="expression" priority="1247" dxfId="56">
      <formula>SEARCH("DA CHIUDERE",$M45)&gt;0</formula>
    </cfRule>
    <cfRule type="expression" priority="1248" dxfId="55">
      <formula>SEARCH("INTERROTTO",$M45)&gt;0</formula>
    </cfRule>
  </conditionalFormatting>
  <conditionalFormatting sqref="E45">
    <cfRule type="expression" priority="1249" dxfId="60">
      <formula>SEARCH("IN CORSO",$M45)&gt;0</formula>
    </cfRule>
    <cfRule type="expression" priority="1250" dxfId="59">
      <formula>SEARCH("CHIUSO",$M45)&gt;0</formula>
    </cfRule>
    <cfRule type="expression" priority="1251" dxfId="58">
      <formula>SEARCH("EMESSO",$M45)&gt;0</formula>
    </cfRule>
    <cfRule type="expression" priority="1252" dxfId="57">
      <formula>SEARCH("RICHIESTO",$M45)&gt;0</formula>
    </cfRule>
    <cfRule type="expression" priority="1253" dxfId="56">
      <formula>SEARCH("DA CHIUDERE",$M45)&gt;0</formula>
    </cfRule>
    <cfRule type="expression" priority="1254" dxfId="55">
      <formula>SEARCH("INTERROTTO",$M45)&gt;0</formula>
    </cfRule>
  </conditionalFormatting>
  <conditionalFormatting sqref="F45">
    <cfRule type="expression" priority="1237" dxfId="60">
      <formula>SEARCH("IN CORSO",$M45)&gt;0</formula>
    </cfRule>
    <cfRule type="expression" priority="1238" dxfId="59">
      <formula>SEARCH("CHIUSO",$M45)&gt;0</formula>
    </cfRule>
    <cfRule type="expression" priority="1239" dxfId="58">
      <formula>SEARCH("EMESSO",$M45)&gt;0</formula>
    </cfRule>
    <cfRule type="expression" priority="1240" dxfId="57">
      <formula>SEARCH("RICHIESTO",$M45)&gt;0</formula>
    </cfRule>
    <cfRule type="expression" priority="1241" dxfId="56">
      <formula>SEARCH("DA CHIUDERE",$M45)&gt;0</formula>
    </cfRule>
    <cfRule type="expression" priority="1242" dxfId="55">
      <formula>SEARCH("INTERROTTO",$M45)&gt;0</formula>
    </cfRule>
  </conditionalFormatting>
  <conditionalFormatting sqref="M45">
    <cfRule type="expression" priority="1231" dxfId="60">
      <formula>SEARCH("IN CORSO",$M45)&gt;0</formula>
    </cfRule>
    <cfRule type="expression" priority="1232" dxfId="59">
      <formula>SEARCH("CHIUSO",$M45)&gt;0</formula>
    </cfRule>
    <cfRule type="expression" priority="1233" dxfId="58">
      <formula>SEARCH("EMESSO",$M45)&gt;0</formula>
    </cfRule>
    <cfRule type="expression" priority="1234" dxfId="57">
      <formula>SEARCH("RICHIESTO",$M45)&gt;0</formula>
    </cfRule>
    <cfRule type="expression" priority="1235" dxfId="56">
      <formula>SEARCH("DA CHIUDERE",$M45)&gt;0</formula>
    </cfRule>
    <cfRule type="expression" priority="1236" dxfId="55">
      <formula>SEARCH("INTERROTTO",$M45)&gt;0</formula>
    </cfRule>
  </conditionalFormatting>
  <conditionalFormatting sqref="N44:S44">
    <cfRule type="expression" priority="1225" dxfId="60">
      <formula>SEARCH("IN CORSO",$M44)&gt;0</formula>
    </cfRule>
    <cfRule type="expression" priority="1226" dxfId="59">
      <formula>SEARCH("CHIUSO",$M44)&gt;0</formula>
    </cfRule>
    <cfRule type="expression" priority="1227" dxfId="58">
      <formula>SEARCH("EMESSO",$M44)&gt;0</formula>
    </cfRule>
    <cfRule type="expression" priority="1228" dxfId="57">
      <formula>SEARCH("RICHIESTO",$M44)&gt;0</formula>
    </cfRule>
    <cfRule type="expression" priority="1229" dxfId="56">
      <formula>SEARCH("DA CHIUDERE",$M44)&gt;0</formula>
    </cfRule>
    <cfRule type="expression" priority="1230" dxfId="55">
      <formula>SEARCH("INTERROTTO",$M44)&gt;0</formula>
    </cfRule>
  </conditionalFormatting>
  <conditionalFormatting sqref="G44">
    <cfRule type="expression" priority="1213" dxfId="60">
      <formula>SEARCH("IN CORSO",$M44)&gt;0</formula>
    </cfRule>
    <cfRule type="expression" priority="1214" dxfId="59">
      <formula>SEARCH("CHIUSO",$M44)&gt;0</formula>
    </cfRule>
    <cfRule type="expression" priority="1215" dxfId="58">
      <formula>SEARCH("EMESSO",$M44)&gt;0</formula>
    </cfRule>
    <cfRule type="expression" priority="1216" dxfId="57">
      <formula>SEARCH("RICHIESTO",$M44)&gt;0</formula>
    </cfRule>
    <cfRule type="expression" priority="1217" dxfId="56">
      <formula>SEARCH("DA CHIUDERE",$M44)&gt;0</formula>
    </cfRule>
    <cfRule type="expression" priority="1218" dxfId="55">
      <formula>SEARCH("INTERROTTO",$M44)&gt;0</formula>
    </cfRule>
  </conditionalFormatting>
  <conditionalFormatting sqref="E44">
    <cfRule type="expression" priority="1219" dxfId="60">
      <formula>SEARCH("IN CORSO",$M44)&gt;0</formula>
    </cfRule>
    <cfRule type="expression" priority="1220" dxfId="59">
      <formula>SEARCH("CHIUSO",$M44)&gt;0</formula>
    </cfRule>
    <cfRule type="expression" priority="1221" dxfId="58">
      <formula>SEARCH("EMESSO",$M44)&gt;0</formula>
    </cfRule>
    <cfRule type="expression" priority="1222" dxfId="57">
      <formula>SEARCH("RICHIESTO",$M44)&gt;0</formula>
    </cfRule>
    <cfRule type="expression" priority="1223" dxfId="56">
      <formula>SEARCH("DA CHIUDERE",$M44)&gt;0</formula>
    </cfRule>
    <cfRule type="expression" priority="1224" dxfId="55">
      <formula>SEARCH("INTERROTTO",$M44)&gt;0</formula>
    </cfRule>
  </conditionalFormatting>
  <conditionalFormatting sqref="F44">
    <cfRule type="expression" priority="1207" dxfId="60">
      <formula>SEARCH("IN CORSO",$M44)&gt;0</formula>
    </cfRule>
    <cfRule type="expression" priority="1208" dxfId="59">
      <formula>SEARCH("CHIUSO",$M44)&gt;0</formula>
    </cfRule>
    <cfRule type="expression" priority="1209" dxfId="58">
      <formula>SEARCH("EMESSO",$M44)&gt;0</formula>
    </cfRule>
    <cfRule type="expression" priority="1210" dxfId="57">
      <formula>SEARCH("RICHIESTO",$M44)&gt;0</formula>
    </cfRule>
    <cfRule type="expression" priority="1211" dxfId="56">
      <formula>SEARCH("DA CHIUDERE",$M44)&gt;0</formula>
    </cfRule>
    <cfRule type="expression" priority="1212" dxfId="55">
      <formula>SEARCH("INTERROTTO",$M44)&gt;0</formula>
    </cfRule>
  </conditionalFormatting>
  <conditionalFormatting sqref="M44">
    <cfRule type="expression" priority="1201" dxfId="60">
      <formula>SEARCH("IN CORSO",$M44)&gt;0</formula>
    </cfRule>
    <cfRule type="expression" priority="1202" dxfId="59">
      <formula>SEARCH("CHIUSO",$M44)&gt;0</formula>
    </cfRule>
    <cfRule type="expression" priority="1203" dxfId="58">
      <formula>SEARCH("EMESSO",$M44)&gt;0</formula>
    </cfRule>
    <cfRule type="expression" priority="1204" dxfId="57">
      <formula>SEARCH("RICHIESTO",$M44)&gt;0</formula>
    </cfRule>
    <cfRule type="expression" priority="1205" dxfId="56">
      <formula>SEARCH("DA CHIUDERE",$M44)&gt;0</formula>
    </cfRule>
    <cfRule type="expression" priority="1206" dxfId="55">
      <formula>SEARCH("INTERROTTO",$M44)&gt;0</formula>
    </cfRule>
  </conditionalFormatting>
  <conditionalFormatting sqref="N43:S43">
    <cfRule type="expression" priority="1195" dxfId="60">
      <formula>SEARCH("IN CORSO",$M43)&gt;0</formula>
    </cfRule>
    <cfRule type="expression" priority="1196" dxfId="59">
      <formula>SEARCH("CHIUSO",$M43)&gt;0</formula>
    </cfRule>
    <cfRule type="expression" priority="1197" dxfId="58">
      <formula>SEARCH("EMESSO",$M43)&gt;0</formula>
    </cfRule>
    <cfRule type="expression" priority="1198" dxfId="57">
      <formula>SEARCH("RICHIESTO",$M43)&gt;0</formula>
    </cfRule>
    <cfRule type="expression" priority="1199" dxfId="56">
      <formula>SEARCH("DA CHIUDERE",$M43)&gt;0</formula>
    </cfRule>
    <cfRule type="expression" priority="1200" dxfId="55">
      <formula>SEARCH("INTERROTTO",$M43)&gt;0</formula>
    </cfRule>
  </conditionalFormatting>
  <conditionalFormatting sqref="G43">
    <cfRule type="expression" priority="1183" dxfId="60">
      <formula>SEARCH("IN CORSO",$M43)&gt;0</formula>
    </cfRule>
    <cfRule type="expression" priority="1184" dxfId="59">
      <formula>SEARCH("CHIUSO",$M43)&gt;0</formula>
    </cfRule>
    <cfRule type="expression" priority="1185" dxfId="58">
      <formula>SEARCH("EMESSO",$M43)&gt;0</formula>
    </cfRule>
    <cfRule type="expression" priority="1186" dxfId="57">
      <formula>SEARCH("RICHIESTO",$M43)&gt;0</formula>
    </cfRule>
    <cfRule type="expression" priority="1187" dxfId="56">
      <formula>SEARCH("DA CHIUDERE",$M43)&gt;0</formula>
    </cfRule>
    <cfRule type="expression" priority="1188" dxfId="55">
      <formula>SEARCH("INTERROTTO",$M43)&gt;0</formula>
    </cfRule>
  </conditionalFormatting>
  <conditionalFormatting sqref="E43">
    <cfRule type="expression" priority="1189" dxfId="60">
      <formula>SEARCH("IN CORSO",$M43)&gt;0</formula>
    </cfRule>
    <cfRule type="expression" priority="1190" dxfId="59">
      <formula>SEARCH("CHIUSO",$M43)&gt;0</formula>
    </cfRule>
    <cfRule type="expression" priority="1191" dxfId="58">
      <formula>SEARCH("EMESSO",$M43)&gt;0</formula>
    </cfRule>
    <cfRule type="expression" priority="1192" dxfId="57">
      <formula>SEARCH("RICHIESTO",$M43)&gt;0</formula>
    </cfRule>
    <cfRule type="expression" priority="1193" dxfId="56">
      <formula>SEARCH("DA CHIUDERE",$M43)&gt;0</formula>
    </cfRule>
    <cfRule type="expression" priority="1194" dxfId="55">
      <formula>SEARCH("INTERROTTO",$M43)&gt;0</formula>
    </cfRule>
  </conditionalFormatting>
  <conditionalFormatting sqref="F43">
    <cfRule type="expression" priority="1177" dxfId="60">
      <formula>SEARCH("IN CORSO",$M43)&gt;0</formula>
    </cfRule>
    <cfRule type="expression" priority="1178" dxfId="59">
      <formula>SEARCH("CHIUSO",$M43)&gt;0</formula>
    </cfRule>
    <cfRule type="expression" priority="1179" dxfId="58">
      <formula>SEARCH("EMESSO",$M43)&gt;0</formula>
    </cfRule>
    <cfRule type="expression" priority="1180" dxfId="57">
      <formula>SEARCH("RICHIESTO",$M43)&gt;0</formula>
    </cfRule>
    <cfRule type="expression" priority="1181" dxfId="56">
      <formula>SEARCH("DA CHIUDERE",$M43)&gt;0</formula>
    </cfRule>
    <cfRule type="expression" priority="1182" dxfId="55">
      <formula>SEARCH("INTERROTTO",$M43)&gt;0</formula>
    </cfRule>
  </conditionalFormatting>
  <conditionalFormatting sqref="M43">
    <cfRule type="expression" priority="1171" dxfId="60">
      <formula>SEARCH("IN CORSO",$M43)&gt;0</formula>
    </cfRule>
    <cfRule type="expression" priority="1172" dxfId="59">
      <formula>SEARCH("CHIUSO",$M43)&gt;0</formula>
    </cfRule>
    <cfRule type="expression" priority="1173" dxfId="58">
      <formula>SEARCH("EMESSO",$M43)&gt;0</formula>
    </cfRule>
    <cfRule type="expression" priority="1174" dxfId="57">
      <formula>SEARCH("RICHIESTO",$M43)&gt;0</formula>
    </cfRule>
    <cfRule type="expression" priority="1175" dxfId="56">
      <formula>SEARCH("DA CHIUDERE",$M43)&gt;0</formula>
    </cfRule>
    <cfRule type="expression" priority="1176" dxfId="55">
      <formula>SEARCH("INTERROTTO",$M43)&gt;0</formula>
    </cfRule>
  </conditionalFormatting>
  <conditionalFormatting sqref="N42:S42">
    <cfRule type="expression" priority="1165" dxfId="60">
      <formula>SEARCH("IN CORSO",$M42)&gt;0</formula>
    </cfRule>
    <cfRule type="expression" priority="1166" dxfId="59">
      <formula>SEARCH("CHIUSO",$M42)&gt;0</formula>
    </cfRule>
    <cfRule type="expression" priority="1167" dxfId="58">
      <formula>SEARCH("EMESSO",$M42)&gt;0</formula>
    </cfRule>
    <cfRule type="expression" priority="1168" dxfId="57">
      <formula>SEARCH("RICHIESTO",$M42)&gt;0</formula>
    </cfRule>
    <cfRule type="expression" priority="1169" dxfId="56">
      <formula>SEARCH("DA CHIUDERE",$M42)&gt;0</formula>
    </cfRule>
    <cfRule type="expression" priority="1170" dxfId="55">
      <formula>SEARCH("INTERROTTO",$M42)&gt;0</formula>
    </cfRule>
  </conditionalFormatting>
  <conditionalFormatting sqref="G42">
    <cfRule type="expression" priority="1153" dxfId="60">
      <formula>SEARCH("IN CORSO",$M42)&gt;0</formula>
    </cfRule>
    <cfRule type="expression" priority="1154" dxfId="59">
      <formula>SEARCH("CHIUSO",$M42)&gt;0</formula>
    </cfRule>
    <cfRule type="expression" priority="1155" dxfId="58">
      <formula>SEARCH("EMESSO",$M42)&gt;0</formula>
    </cfRule>
    <cfRule type="expression" priority="1156" dxfId="57">
      <formula>SEARCH("RICHIESTO",$M42)&gt;0</formula>
    </cfRule>
    <cfRule type="expression" priority="1157" dxfId="56">
      <formula>SEARCH("DA CHIUDERE",$M42)&gt;0</formula>
    </cfRule>
    <cfRule type="expression" priority="1158" dxfId="55">
      <formula>SEARCH("INTERROTTO",$M42)&gt;0</formula>
    </cfRule>
  </conditionalFormatting>
  <conditionalFormatting sqref="E42">
    <cfRule type="expression" priority="1159" dxfId="60">
      <formula>SEARCH("IN CORSO",$M42)&gt;0</formula>
    </cfRule>
    <cfRule type="expression" priority="1160" dxfId="59">
      <formula>SEARCH("CHIUSO",$M42)&gt;0</formula>
    </cfRule>
    <cfRule type="expression" priority="1161" dxfId="58">
      <formula>SEARCH("EMESSO",$M42)&gt;0</formula>
    </cfRule>
    <cfRule type="expression" priority="1162" dxfId="57">
      <formula>SEARCH("RICHIESTO",$M42)&gt;0</formula>
    </cfRule>
    <cfRule type="expression" priority="1163" dxfId="56">
      <formula>SEARCH("DA CHIUDERE",$M42)&gt;0</formula>
    </cfRule>
    <cfRule type="expression" priority="1164" dxfId="55">
      <formula>SEARCH("INTERROTTO",$M42)&gt;0</formula>
    </cfRule>
  </conditionalFormatting>
  <conditionalFormatting sqref="F42">
    <cfRule type="expression" priority="1147" dxfId="60">
      <formula>SEARCH("IN CORSO",$M42)&gt;0</formula>
    </cfRule>
    <cfRule type="expression" priority="1148" dxfId="59">
      <formula>SEARCH("CHIUSO",$M42)&gt;0</formula>
    </cfRule>
    <cfRule type="expression" priority="1149" dxfId="58">
      <formula>SEARCH("EMESSO",$M42)&gt;0</formula>
    </cfRule>
    <cfRule type="expression" priority="1150" dxfId="57">
      <formula>SEARCH("RICHIESTO",$M42)&gt;0</formula>
    </cfRule>
    <cfRule type="expression" priority="1151" dxfId="56">
      <formula>SEARCH("DA CHIUDERE",$M42)&gt;0</formula>
    </cfRule>
    <cfRule type="expression" priority="1152" dxfId="55">
      <formula>SEARCH("INTERROTTO",$M42)&gt;0</formula>
    </cfRule>
  </conditionalFormatting>
  <conditionalFormatting sqref="M42">
    <cfRule type="expression" priority="1141" dxfId="60">
      <formula>SEARCH("IN CORSO",$M42)&gt;0</formula>
    </cfRule>
    <cfRule type="expression" priority="1142" dxfId="59">
      <formula>SEARCH("CHIUSO",$M42)&gt;0</formula>
    </cfRule>
    <cfRule type="expression" priority="1143" dxfId="58">
      <formula>SEARCH("EMESSO",$M42)&gt;0</formula>
    </cfRule>
    <cfRule type="expression" priority="1144" dxfId="57">
      <formula>SEARCH("RICHIESTO",$M42)&gt;0</formula>
    </cfRule>
    <cfRule type="expression" priority="1145" dxfId="56">
      <formula>SEARCH("DA CHIUDERE",$M42)&gt;0</formula>
    </cfRule>
    <cfRule type="expression" priority="1146" dxfId="55">
      <formula>SEARCH("INTERROTTO",$M42)&gt;0</formula>
    </cfRule>
  </conditionalFormatting>
  <conditionalFormatting sqref="N41:S41">
    <cfRule type="expression" priority="1135" dxfId="60">
      <formula>SEARCH("IN CORSO",$M41)&gt;0</formula>
    </cfRule>
    <cfRule type="expression" priority="1136" dxfId="59">
      <formula>SEARCH("CHIUSO",$M41)&gt;0</formula>
    </cfRule>
    <cfRule type="expression" priority="1137" dxfId="58">
      <formula>SEARCH("EMESSO",$M41)&gt;0</formula>
    </cfRule>
    <cfRule type="expression" priority="1138" dxfId="57">
      <formula>SEARCH("RICHIESTO",$M41)&gt;0</formula>
    </cfRule>
    <cfRule type="expression" priority="1139" dxfId="56">
      <formula>SEARCH("DA CHIUDERE",$M41)&gt;0</formula>
    </cfRule>
    <cfRule type="expression" priority="1140" dxfId="55">
      <formula>SEARCH("INTERROTTO",$M41)&gt;0</formula>
    </cfRule>
  </conditionalFormatting>
  <conditionalFormatting sqref="G41">
    <cfRule type="expression" priority="1123" dxfId="60">
      <formula>SEARCH("IN CORSO",$M41)&gt;0</formula>
    </cfRule>
    <cfRule type="expression" priority="1124" dxfId="59">
      <formula>SEARCH("CHIUSO",$M41)&gt;0</formula>
    </cfRule>
    <cfRule type="expression" priority="1125" dxfId="58">
      <formula>SEARCH("EMESSO",$M41)&gt;0</formula>
    </cfRule>
    <cfRule type="expression" priority="1126" dxfId="57">
      <formula>SEARCH("RICHIESTO",$M41)&gt;0</formula>
    </cfRule>
    <cfRule type="expression" priority="1127" dxfId="56">
      <formula>SEARCH("DA CHIUDERE",$M41)&gt;0</formula>
    </cfRule>
    <cfRule type="expression" priority="1128" dxfId="55">
      <formula>SEARCH("INTERROTTO",$M41)&gt;0</formula>
    </cfRule>
  </conditionalFormatting>
  <conditionalFormatting sqref="E41">
    <cfRule type="expression" priority="1129" dxfId="60">
      <formula>SEARCH("IN CORSO",$M41)&gt;0</formula>
    </cfRule>
    <cfRule type="expression" priority="1130" dxfId="59">
      <formula>SEARCH("CHIUSO",$M41)&gt;0</formula>
    </cfRule>
    <cfRule type="expression" priority="1131" dxfId="58">
      <formula>SEARCH("EMESSO",$M41)&gt;0</formula>
    </cfRule>
    <cfRule type="expression" priority="1132" dxfId="57">
      <formula>SEARCH("RICHIESTO",$M41)&gt;0</formula>
    </cfRule>
    <cfRule type="expression" priority="1133" dxfId="56">
      <formula>SEARCH("DA CHIUDERE",$M41)&gt;0</formula>
    </cfRule>
    <cfRule type="expression" priority="1134" dxfId="55">
      <formula>SEARCH("INTERROTTO",$M41)&gt;0</formula>
    </cfRule>
  </conditionalFormatting>
  <conditionalFormatting sqref="F41">
    <cfRule type="expression" priority="1117" dxfId="60">
      <formula>SEARCH("IN CORSO",$M41)&gt;0</formula>
    </cfRule>
    <cfRule type="expression" priority="1118" dxfId="59">
      <formula>SEARCH("CHIUSO",$M41)&gt;0</formula>
    </cfRule>
    <cfRule type="expression" priority="1119" dxfId="58">
      <formula>SEARCH("EMESSO",$M41)&gt;0</formula>
    </cfRule>
    <cfRule type="expression" priority="1120" dxfId="57">
      <formula>SEARCH("RICHIESTO",$M41)&gt;0</formula>
    </cfRule>
    <cfRule type="expression" priority="1121" dxfId="56">
      <formula>SEARCH("DA CHIUDERE",$M41)&gt;0</formula>
    </cfRule>
    <cfRule type="expression" priority="1122" dxfId="55">
      <formula>SEARCH("INTERROTTO",$M41)&gt;0</formula>
    </cfRule>
  </conditionalFormatting>
  <conditionalFormatting sqref="M41">
    <cfRule type="expression" priority="1111" dxfId="60">
      <formula>SEARCH("IN CORSO",$M41)&gt;0</formula>
    </cfRule>
    <cfRule type="expression" priority="1112" dxfId="59">
      <formula>SEARCH("CHIUSO",$M41)&gt;0</formula>
    </cfRule>
    <cfRule type="expression" priority="1113" dxfId="58">
      <formula>SEARCH("EMESSO",$M41)&gt;0</formula>
    </cfRule>
    <cfRule type="expression" priority="1114" dxfId="57">
      <formula>SEARCH("RICHIESTO",$M41)&gt;0</formula>
    </cfRule>
    <cfRule type="expression" priority="1115" dxfId="56">
      <formula>SEARCH("DA CHIUDERE",$M41)&gt;0</formula>
    </cfRule>
    <cfRule type="expression" priority="1116" dxfId="55">
      <formula>SEARCH("INTERROTTO",$M41)&gt;0</formula>
    </cfRule>
  </conditionalFormatting>
  <conditionalFormatting sqref="N40:S40">
    <cfRule type="expression" priority="1105" dxfId="60">
      <formula>SEARCH("IN CORSO",$M40)&gt;0</formula>
    </cfRule>
    <cfRule type="expression" priority="1106" dxfId="59">
      <formula>SEARCH("CHIUSO",$M40)&gt;0</formula>
    </cfRule>
    <cfRule type="expression" priority="1107" dxfId="58">
      <formula>SEARCH("EMESSO",$M40)&gt;0</formula>
    </cfRule>
    <cfRule type="expression" priority="1108" dxfId="57">
      <formula>SEARCH("RICHIESTO",$M40)&gt;0</formula>
    </cfRule>
    <cfRule type="expression" priority="1109" dxfId="56">
      <formula>SEARCH("DA CHIUDERE",$M40)&gt;0</formula>
    </cfRule>
    <cfRule type="expression" priority="1110" dxfId="55">
      <formula>SEARCH("INTERROTTO",$M40)&gt;0</formula>
    </cfRule>
  </conditionalFormatting>
  <conditionalFormatting sqref="G40">
    <cfRule type="expression" priority="1093" dxfId="60">
      <formula>SEARCH("IN CORSO",$M40)&gt;0</formula>
    </cfRule>
    <cfRule type="expression" priority="1094" dxfId="59">
      <formula>SEARCH("CHIUSO",$M40)&gt;0</formula>
    </cfRule>
    <cfRule type="expression" priority="1095" dxfId="58">
      <formula>SEARCH("EMESSO",$M40)&gt;0</formula>
    </cfRule>
    <cfRule type="expression" priority="1096" dxfId="57">
      <formula>SEARCH("RICHIESTO",$M40)&gt;0</formula>
    </cfRule>
    <cfRule type="expression" priority="1097" dxfId="56">
      <formula>SEARCH("DA CHIUDERE",$M40)&gt;0</formula>
    </cfRule>
    <cfRule type="expression" priority="1098" dxfId="55">
      <formula>SEARCH("INTERROTTO",$M40)&gt;0</formula>
    </cfRule>
  </conditionalFormatting>
  <conditionalFormatting sqref="E40">
    <cfRule type="expression" priority="1099" dxfId="60">
      <formula>SEARCH("IN CORSO",$M40)&gt;0</formula>
    </cfRule>
    <cfRule type="expression" priority="1100" dxfId="59">
      <formula>SEARCH("CHIUSO",$M40)&gt;0</formula>
    </cfRule>
    <cfRule type="expression" priority="1101" dxfId="58">
      <formula>SEARCH("EMESSO",$M40)&gt;0</formula>
    </cfRule>
    <cfRule type="expression" priority="1102" dxfId="57">
      <formula>SEARCH("RICHIESTO",$M40)&gt;0</formula>
    </cfRule>
    <cfRule type="expression" priority="1103" dxfId="56">
      <formula>SEARCH("DA CHIUDERE",$M40)&gt;0</formula>
    </cfRule>
    <cfRule type="expression" priority="1104" dxfId="55">
      <formula>SEARCH("INTERROTTO",$M40)&gt;0</formula>
    </cfRule>
  </conditionalFormatting>
  <conditionalFormatting sqref="F40">
    <cfRule type="expression" priority="1087" dxfId="60">
      <formula>SEARCH("IN CORSO",$M40)&gt;0</formula>
    </cfRule>
    <cfRule type="expression" priority="1088" dxfId="59">
      <formula>SEARCH("CHIUSO",$M40)&gt;0</formula>
    </cfRule>
    <cfRule type="expression" priority="1089" dxfId="58">
      <formula>SEARCH("EMESSO",$M40)&gt;0</formula>
    </cfRule>
    <cfRule type="expression" priority="1090" dxfId="57">
      <formula>SEARCH("RICHIESTO",$M40)&gt;0</formula>
    </cfRule>
    <cfRule type="expression" priority="1091" dxfId="56">
      <formula>SEARCH("DA CHIUDERE",$M40)&gt;0</formula>
    </cfRule>
    <cfRule type="expression" priority="1092" dxfId="55">
      <formula>SEARCH("INTERROTTO",$M40)&gt;0</formula>
    </cfRule>
  </conditionalFormatting>
  <conditionalFormatting sqref="M40">
    <cfRule type="expression" priority="1081" dxfId="60">
      <formula>SEARCH("IN CORSO",$M40)&gt;0</formula>
    </cfRule>
    <cfRule type="expression" priority="1082" dxfId="59">
      <formula>SEARCH("CHIUSO",$M40)&gt;0</formula>
    </cfRule>
    <cfRule type="expression" priority="1083" dxfId="58">
      <formula>SEARCH("EMESSO",$M40)&gt;0</formula>
    </cfRule>
    <cfRule type="expression" priority="1084" dxfId="57">
      <formula>SEARCH("RICHIESTO",$M40)&gt;0</formula>
    </cfRule>
    <cfRule type="expression" priority="1085" dxfId="56">
      <formula>SEARCH("DA CHIUDERE",$M40)&gt;0</formula>
    </cfRule>
    <cfRule type="expression" priority="1086" dxfId="55">
      <formula>SEARCH("INTERROTTO",$M40)&gt;0</formula>
    </cfRule>
  </conditionalFormatting>
  <conditionalFormatting sqref="N39:S39">
    <cfRule type="expression" priority="1075" dxfId="60">
      <formula>SEARCH("IN CORSO",$M39)&gt;0</formula>
    </cfRule>
    <cfRule type="expression" priority="1076" dxfId="59">
      <formula>SEARCH("CHIUSO",$M39)&gt;0</formula>
    </cfRule>
    <cfRule type="expression" priority="1077" dxfId="58">
      <formula>SEARCH("EMESSO",$M39)&gt;0</formula>
    </cfRule>
    <cfRule type="expression" priority="1078" dxfId="57">
      <formula>SEARCH("RICHIESTO",$M39)&gt;0</formula>
    </cfRule>
    <cfRule type="expression" priority="1079" dxfId="56">
      <formula>SEARCH("DA CHIUDERE",$M39)&gt;0</formula>
    </cfRule>
    <cfRule type="expression" priority="1080" dxfId="55">
      <formula>SEARCH("INTERROTTO",$M39)&gt;0</formula>
    </cfRule>
  </conditionalFormatting>
  <conditionalFormatting sqref="G39">
    <cfRule type="expression" priority="1063" dxfId="60">
      <formula>SEARCH("IN CORSO",$M39)&gt;0</formula>
    </cfRule>
    <cfRule type="expression" priority="1064" dxfId="59">
      <formula>SEARCH("CHIUSO",$M39)&gt;0</formula>
    </cfRule>
    <cfRule type="expression" priority="1065" dxfId="58">
      <formula>SEARCH("EMESSO",$M39)&gt;0</formula>
    </cfRule>
    <cfRule type="expression" priority="1066" dxfId="57">
      <formula>SEARCH("RICHIESTO",$M39)&gt;0</formula>
    </cfRule>
    <cfRule type="expression" priority="1067" dxfId="56">
      <formula>SEARCH("DA CHIUDERE",$M39)&gt;0</formula>
    </cfRule>
    <cfRule type="expression" priority="1068" dxfId="55">
      <formula>SEARCH("INTERROTTO",$M39)&gt;0</formula>
    </cfRule>
  </conditionalFormatting>
  <conditionalFormatting sqref="E39">
    <cfRule type="expression" priority="1069" dxfId="60">
      <formula>SEARCH("IN CORSO",$M39)&gt;0</formula>
    </cfRule>
    <cfRule type="expression" priority="1070" dxfId="59">
      <formula>SEARCH("CHIUSO",$M39)&gt;0</formula>
    </cfRule>
    <cfRule type="expression" priority="1071" dxfId="58">
      <formula>SEARCH("EMESSO",$M39)&gt;0</formula>
    </cfRule>
    <cfRule type="expression" priority="1072" dxfId="57">
      <formula>SEARCH("RICHIESTO",$M39)&gt;0</formula>
    </cfRule>
    <cfRule type="expression" priority="1073" dxfId="56">
      <formula>SEARCH("DA CHIUDERE",$M39)&gt;0</formula>
    </cfRule>
    <cfRule type="expression" priority="1074" dxfId="55">
      <formula>SEARCH("INTERROTTO",$M39)&gt;0</formula>
    </cfRule>
  </conditionalFormatting>
  <conditionalFormatting sqref="F39">
    <cfRule type="expression" priority="1057" dxfId="60">
      <formula>SEARCH("IN CORSO",$M39)&gt;0</formula>
    </cfRule>
    <cfRule type="expression" priority="1058" dxfId="59">
      <formula>SEARCH("CHIUSO",$M39)&gt;0</formula>
    </cfRule>
    <cfRule type="expression" priority="1059" dxfId="58">
      <formula>SEARCH("EMESSO",$M39)&gt;0</formula>
    </cfRule>
    <cfRule type="expression" priority="1060" dxfId="57">
      <formula>SEARCH("RICHIESTO",$M39)&gt;0</formula>
    </cfRule>
    <cfRule type="expression" priority="1061" dxfId="56">
      <formula>SEARCH("DA CHIUDERE",$M39)&gt;0</formula>
    </cfRule>
    <cfRule type="expression" priority="1062" dxfId="55">
      <formula>SEARCH("INTERROTTO",$M39)&gt;0</formula>
    </cfRule>
  </conditionalFormatting>
  <conditionalFormatting sqref="M39">
    <cfRule type="expression" priority="1051" dxfId="60">
      <formula>SEARCH("IN CORSO",$M39)&gt;0</formula>
    </cfRule>
    <cfRule type="expression" priority="1052" dxfId="59">
      <formula>SEARCH("CHIUSO",$M39)&gt;0</formula>
    </cfRule>
    <cfRule type="expression" priority="1053" dxfId="58">
      <formula>SEARCH("EMESSO",$M39)&gt;0</formula>
    </cfRule>
    <cfRule type="expression" priority="1054" dxfId="57">
      <formula>SEARCH("RICHIESTO",$M39)&gt;0</formula>
    </cfRule>
    <cfRule type="expression" priority="1055" dxfId="56">
      <formula>SEARCH("DA CHIUDERE",$M39)&gt;0</formula>
    </cfRule>
    <cfRule type="expression" priority="1056" dxfId="55">
      <formula>SEARCH("INTERROTTO",$M39)&gt;0</formula>
    </cfRule>
  </conditionalFormatting>
  <conditionalFormatting sqref="N38:S38">
    <cfRule type="expression" priority="1045" dxfId="60">
      <formula>SEARCH("IN CORSO",$M38)&gt;0</formula>
    </cfRule>
    <cfRule type="expression" priority="1046" dxfId="59">
      <formula>SEARCH("CHIUSO",$M38)&gt;0</formula>
    </cfRule>
    <cfRule type="expression" priority="1047" dxfId="58">
      <formula>SEARCH("EMESSO",$M38)&gt;0</formula>
    </cfRule>
    <cfRule type="expression" priority="1048" dxfId="57">
      <formula>SEARCH("RICHIESTO",$M38)&gt;0</formula>
    </cfRule>
    <cfRule type="expression" priority="1049" dxfId="56">
      <formula>SEARCH("DA CHIUDERE",$M38)&gt;0</formula>
    </cfRule>
    <cfRule type="expression" priority="1050" dxfId="55">
      <formula>SEARCH("INTERROTTO",$M38)&gt;0</formula>
    </cfRule>
  </conditionalFormatting>
  <conditionalFormatting sqref="G38">
    <cfRule type="expression" priority="1033" dxfId="60">
      <formula>SEARCH("IN CORSO",$M38)&gt;0</formula>
    </cfRule>
    <cfRule type="expression" priority="1034" dxfId="59">
      <formula>SEARCH("CHIUSO",$M38)&gt;0</formula>
    </cfRule>
    <cfRule type="expression" priority="1035" dxfId="58">
      <formula>SEARCH("EMESSO",$M38)&gt;0</formula>
    </cfRule>
    <cfRule type="expression" priority="1036" dxfId="57">
      <formula>SEARCH("RICHIESTO",$M38)&gt;0</formula>
    </cfRule>
    <cfRule type="expression" priority="1037" dxfId="56">
      <formula>SEARCH("DA CHIUDERE",$M38)&gt;0</formula>
    </cfRule>
    <cfRule type="expression" priority="1038" dxfId="55">
      <formula>SEARCH("INTERROTTO",$M38)&gt;0</formula>
    </cfRule>
  </conditionalFormatting>
  <conditionalFormatting sqref="E38">
    <cfRule type="expression" priority="1039" dxfId="60">
      <formula>SEARCH("IN CORSO",$M38)&gt;0</formula>
    </cfRule>
    <cfRule type="expression" priority="1040" dxfId="59">
      <formula>SEARCH("CHIUSO",$M38)&gt;0</formula>
    </cfRule>
    <cfRule type="expression" priority="1041" dxfId="58">
      <formula>SEARCH("EMESSO",$M38)&gt;0</formula>
    </cfRule>
    <cfRule type="expression" priority="1042" dxfId="57">
      <formula>SEARCH("RICHIESTO",$M38)&gt;0</formula>
    </cfRule>
    <cfRule type="expression" priority="1043" dxfId="56">
      <formula>SEARCH("DA CHIUDERE",$M38)&gt;0</formula>
    </cfRule>
    <cfRule type="expression" priority="1044" dxfId="55">
      <formula>SEARCH("INTERROTTO",$M38)&gt;0</formula>
    </cfRule>
  </conditionalFormatting>
  <conditionalFormatting sqref="F38">
    <cfRule type="expression" priority="1027" dxfId="60">
      <formula>SEARCH("IN CORSO",$M38)&gt;0</formula>
    </cfRule>
    <cfRule type="expression" priority="1028" dxfId="59">
      <formula>SEARCH("CHIUSO",$M38)&gt;0</formula>
    </cfRule>
    <cfRule type="expression" priority="1029" dxfId="58">
      <formula>SEARCH("EMESSO",$M38)&gt;0</formula>
    </cfRule>
    <cfRule type="expression" priority="1030" dxfId="57">
      <formula>SEARCH("RICHIESTO",$M38)&gt;0</formula>
    </cfRule>
    <cfRule type="expression" priority="1031" dxfId="56">
      <formula>SEARCH("DA CHIUDERE",$M38)&gt;0</formula>
    </cfRule>
    <cfRule type="expression" priority="1032" dxfId="55">
      <formula>SEARCH("INTERROTTO",$M38)&gt;0</formula>
    </cfRule>
  </conditionalFormatting>
  <conditionalFormatting sqref="M38">
    <cfRule type="expression" priority="1021" dxfId="60">
      <formula>SEARCH("IN CORSO",$M38)&gt;0</formula>
    </cfRule>
    <cfRule type="expression" priority="1022" dxfId="59">
      <formula>SEARCH("CHIUSO",$M38)&gt;0</formula>
    </cfRule>
    <cfRule type="expression" priority="1023" dxfId="58">
      <formula>SEARCH("EMESSO",$M38)&gt;0</formula>
    </cfRule>
    <cfRule type="expression" priority="1024" dxfId="57">
      <formula>SEARCH("RICHIESTO",$M38)&gt;0</formula>
    </cfRule>
    <cfRule type="expression" priority="1025" dxfId="56">
      <formula>SEARCH("DA CHIUDERE",$M38)&gt;0</formula>
    </cfRule>
    <cfRule type="expression" priority="1026" dxfId="55">
      <formula>SEARCH("INTERROTTO",$M38)&gt;0</formula>
    </cfRule>
  </conditionalFormatting>
  <conditionalFormatting sqref="N37:S37">
    <cfRule type="expression" priority="1015" dxfId="60">
      <formula>SEARCH("IN CORSO",$M37)&gt;0</formula>
    </cfRule>
    <cfRule type="expression" priority="1016" dxfId="59">
      <formula>SEARCH("CHIUSO",$M37)&gt;0</formula>
    </cfRule>
    <cfRule type="expression" priority="1017" dxfId="58">
      <formula>SEARCH("EMESSO",$M37)&gt;0</formula>
    </cfRule>
    <cfRule type="expression" priority="1018" dxfId="57">
      <formula>SEARCH("RICHIESTO",$M37)&gt;0</formula>
    </cfRule>
    <cfRule type="expression" priority="1019" dxfId="56">
      <formula>SEARCH("DA CHIUDERE",$M37)&gt;0</formula>
    </cfRule>
    <cfRule type="expression" priority="1020" dxfId="55">
      <formula>SEARCH("INTERROTTO",$M37)&gt;0</formula>
    </cfRule>
  </conditionalFormatting>
  <conditionalFormatting sqref="G37">
    <cfRule type="expression" priority="1003" dxfId="60">
      <formula>SEARCH("IN CORSO",$M37)&gt;0</formula>
    </cfRule>
    <cfRule type="expression" priority="1004" dxfId="59">
      <formula>SEARCH("CHIUSO",$M37)&gt;0</formula>
    </cfRule>
    <cfRule type="expression" priority="1005" dxfId="58">
      <formula>SEARCH("EMESSO",$M37)&gt;0</formula>
    </cfRule>
    <cfRule type="expression" priority="1006" dxfId="57">
      <formula>SEARCH("RICHIESTO",$M37)&gt;0</formula>
    </cfRule>
    <cfRule type="expression" priority="1007" dxfId="56">
      <formula>SEARCH("DA CHIUDERE",$M37)&gt;0</formula>
    </cfRule>
    <cfRule type="expression" priority="1008" dxfId="55">
      <formula>SEARCH("INTERROTTO",$M37)&gt;0</formula>
    </cfRule>
  </conditionalFormatting>
  <conditionalFormatting sqref="E37">
    <cfRule type="expression" priority="1009" dxfId="60">
      <formula>SEARCH("IN CORSO",$M37)&gt;0</formula>
    </cfRule>
    <cfRule type="expression" priority="1010" dxfId="59">
      <formula>SEARCH("CHIUSO",$M37)&gt;0</formula>
    </cfRule>
    <cfRule type="expression" priority="1011" dxfId="58">
      <formula>SEARCH("EMESSO",$M37)&gt;0</formula>
    </cfRule>
    <cfRule type="expression" priority="1012" dxfId="57">
      <formula>SEARCH("RICHIESTO",$M37)&gt;0</formula>
    </cfRule>
    <cfRule type="expression" priority="1013" dxfId="56">
      <formula>SEARCH("DA CHIUDERE",$M37)&gt;0</formula>
    </cfRule>
    <cfRule type="expression" priority="1014" dxfId="55">
      <formula>SEARCH("INTERROTTO",$M37)&gt;0</formula>
    </cfRule>
  </conditionalFormatting>
  <conditionalFormatting sqref="F37">
    <cfRule type="expression" priority="997" dxfId="60">
      <formula>SEARCH("IN CORSO",$M37)&gt;0</formula>
    </cfRule>
    <cfRule type="expression" priority="998" dxfId="59">
      <formula>SEARCH("CHIUSO",$M37)&gt;0</formula>
    </cfRule>
    <cfRule type="expression" priority="999" dxfId="58">
      <formula>SEARCH("EMESSO",$M37)&gt;0</formula>
    </cfRule>
    <cfRule type="expression" priority="1000" dxfId="57">
      <formula>SEARCH("RICHIESTO",$M37)&gt;0</formula>
    </cfRule>
    <cfRule type="expression" priority="1001" dxfId="56">
      <formula>SEARCH("DA CHIUDERE",$M37)&gt;0</formula>
    </cfRule>
    <cfRule type="expression" priority="1002" dxfId="55">
      <formula>SEARCH("INTERROTTO",$M37)&gt;0</formula>
    </cfRule>
  </conditionalFormatting>
  <conditionalFormatting sqref="M37">
    <cfRule type="expression" priority="991" dxfId="60">
      <formula>SEARCH("IN CORSO",$M37)&gt;0</formula>
    </cfRule>
    <cfRule type="expression" priority="992" dxfId="59">
      <formula>SEARCH("CHIUSO",$M37)&gt;0</formula>
    </cfRule>
    <cfRule type="expression" priority="993" dxfId="58">
      <formula>SEARCH("EMESSO",$M37)&gt;0</formula>
    </cfRule>
    <cfRule type="expression" priority="994" dxfId="57">
      <formula>SEARCH("RICHIESTO",$M37)&gt;0</formula>
    </cfRule>
    <cfRule type="expression" priority="995" dxfId="56">
      <formula>SEARCH("DA CHIUDERE",$M37)&gt;0</formula>
    </cfRule>
    <cfRule type="expression" priority="996" dxfId="55">
      <formula>SEARCH("INTERROTTO",$M37)&gt;0</formula>
    </cfRule>
  </conditionalFormatting>
  <conditionalFormatting sqref="N36:S36">
    <cfRule type="expression" priority="985" dxfId="60">
      <formula>SEARCH("IN CORSO",$M36)&gt;0</formula>
    </cfRule>
    <cfRule type="expression" priority="986" dxfId="59">
      <formula>SEARCH("CHIUSO",$M36)&gt;0</formula>
    </cfRule>
    <cfRule type="expression" priority="987" dxfId="58">
      <formula>SEARCH("EMESSO",$M36)&gt;0</formula>
    </cfRule>
    <cfRule type="expression" priority="988" dxfId="57">
      <formula>SEARCH("RICHIESTO",$M36)&gt;0</formula>
    </cfRule>
    <cfRule type="expression" priority="989" dxfId="56">
      <formula>SEARCH("DA CHIUDERE",$M36)&gt;0</formula>
    </cfRule>
    <cfRule type="expression" priority="990" dxfId="55">
      <formula>SEARCH("INTERROTTO",$M36)&gt;0</formula>
    </cfRule>
  </conditionalFormatting>
  <conditionalFormatting sqref="G36">
    <cfRule type="expression" priority="973" dxfId="60">
      <formula>SEARCH("IN CORSO",$M36)&gt;0</formula>
    </cfRule>
    <cfRule type="expression" priority="974" dxfId="59">
      <formula>SEARCH("CHIUSO",$M36)&gt;0</formula>
    </cfRule>
    <cfRule type="expression" priority="975" dxfId="58">
      <formula>SEARCH("EMESSO",$M36)&gt;0</formula>
    </cfRule>
    <cfRule type="expression" priority="976" dxfId="57">
      <formula>SEARCH("RICHIESTO",$M36)&gt;0</formula>
    </cfRule>
    <cfRule type="expression" priority="977" dxfId="56">
      <formula>SEARCH("DA CHIUDERE",$M36)&gt;0</formula>
    </cfRule>
    <cfRule type="expression" priority="978" dxfId="55">
      <formula>SEARCH("INTERROTTO",$M36)&gt;0</formula>
    </cfRule>
  </conditionalFormatting>
  <conditionalFormatting sqref="E36">
    <cfRule type="expression" priority="979" dxfId="60">
      <formula>SEARCH("IN CORSO",$M36)&gt;0</formula>
    </cfRule>
    <cfRule type="expression" priority="980" dxfId="59">
      <formula>SEARCH("CHIUSO",$M36)&gt;0</formula>
    </cfRule>
    <cfRule type="expression" priority="981" dxfId="58">
      <formula>SEARCH("EMESSO",$M36)&gt;0</formula>
    </cfRule>
    <cfRule type="expression" priority="982" dxfId="57">
      <formula>SEARCH("RICHIESTO",$M36)&gt;0</formula>
    </cfRule>
    <cfRule type="expression" priority="983" dxfId="56">
      <formula>SEARCH("DA CHIUDERE",$M36)&gt;0</formula>
    </cfRule>
    <cfRule type="expression" priority="984" dxfId="55">
      <formula>SEARCH("INTERROTTO",$M36)&gt;0</formula>
    </cfRule>
  </conditionalFormatting>
  <conditionalFormatting sqref="F36">
    <cfRule type="expression" priority="967" dxfId="60">
      <formula>SEARCH("IN CORSO",$M36)&gt;0</formula>
    </cfRule>
    <cfRule type="expression" priority="968" dxfId="59">
      <formula>SEARCH("CHIUSO",$M36)&gt;0</formula>
    </cfRule>
    <cfRule type="expression" priority="969" dxfId="58">
      <formula>SEARCH("EMESSO",$M36)&gt;0</formula>
    </cfRule>
    <cfRule type="expression" priority="970" dxfId="57">
      <formula>SEARCH("RICHIESTO",$M36)&gt;0</formula>
    </cfRule>
    <cfRule type="expression" priority="971" dxfId="56">
      <formula>SEARCH("DA CHIUDERE",$M36)&gt;0</formula>
    </cfRule>
    <cfRule type="expression" priority="972" dxfId="55">
      <formula>SEARCH("INTERROTTO",$M36)&gt;0</formula>
    </cfRule>
  </conditionalFormatting>
  <conditionalFormatting sqref="M36">
    <cfRule type="expression" priority="961" dxfId="60">
      <formula>SEARCH("IN CORSO",$M36)&gt;0</formula>
    </cfRule>
    <cfRule type="expression" priority="962" dxfId="59">
      <formula>SEARCH("CHIUSO",$M36)&gt;0</formula>
    </cfRule>
    <cfRule type="expression" priority="963" dxfId="58">
      <formula>SEARCH("EMESSO",$M36)&gt;0</formula>
    </cfRule>
    <cfRule type="expression" priority="964" dxfId="57">
      <formula>SEARCH("RICHIESTO",$M36)&gt;0</formula>
    </cfRule>
    <cfRule type="expression" priority="965" dxfId="56">
      <formula>SEARCH("DA CHIUDERE",$M36)&gt;0</formula>
    </cfRule>
    <cfRule type="expression" priority="966" dxfId="55">
      <formula>SEARCH("INTERROTTO",$M36)&gt;0</formula>
    </cfRule>
  </conditionalFormatting>
  <conditionalFormatting sqref="N35:S35">
    <cfRule type="expression" priority="955" dxfId="60">
      <formula>SEARCH("IN CORSO",$M35)&gt;0</formula>
    </cfRule>
    <cfRule type="expression" priority="956" dxfId="59">
      <formula>SEARCH("CHIUSO",$M35)&gt;0</formula>
    </cfRule>
    <cfRule type="expression" priority="957" dxfId="58">
      <formula>SEARCH("EMESSO",$M35)&gt;0</formula>
    </cfRule>
    <cfRule type="expression" priority="958" dxfId="57">
      <formula>SEARCH("RICHIESTO",$M35)&gt;0</formula>
    </cfRule>
    <cfRule type="expression" priority="959" dxfId="56">
      <formula>SEARCH("DA CHIUDERE",$M35)&gt;0</formula>
    </cfRule>
    <cfRule type="expression" priority="960" dxfId="55">
      <formula>SEARCH("INTERROTTO",$M35)&gt;0</formula>
    </cfRule>
  </conditionalFormatting>
  <conditionalFormatting sqref="G35">
    <cfRule type="expression" priority="943" dxfId="60">
      <formula>SEARCH("IN CORSO",$M35)&gt;0</formula>
    </cfRule>
    <cfRule type="expression" priority="944" dxfId="59">
      <formula>SEARCH("CHIUSO",$M35)&gt;0</formula>
    </cfRule>
    <cfRule type="expression" priority="945" dxfId="58">
      <formula>SEARCH("EMESSO",$M35)&gt;0</formula>
    </cfRule>
    <cfRule type="expression" priority="946" dxfId="57">
      <formula>SEARCH("RICHIESTO",$M35)&gt;0</formula>
    </cfRule>
    <cfRule type="expression" priority="947" dxfId="56">
      <formula>SEARCH("DA CHIUDERE",$M35)&gt;0</formula>
    </cfRule>
    <cfRule type="expression" priority="948" dxfId="55">
      <formula>SEARCH("INTERROTTO",$M35)&gt;0</formula>
    </cfRule>
  </conditionalFormatting>
  <conditionalFormatting sqref="E35">
    <cfRule type="expression" priority="949" dxfId="60">
      <formula>SEARCH("IN CORSO",$M35)&gt;0</formula>
    </cfRule>
    <cfRule type="expression" priority="950" dxfId="59">
      <formula>SEARCH("CHIUSO",$M35)&gt;0</formula>
    </cfRule>
    <cfRule type="expression" priority="951" dxfId="58">
      <formula>SEARCH("EMESSO",$M35)&gt;0</formula>
    </cfRule>
    <cfRule type="expression" priority="952" dxfId="57">
      <formula>SEARCH("RICHIESTO",$M35)&gt;0</formula>
    </cfRule>
    <cfRule type="expression" priority="953" dxfId="56">
      <formula>SEARCH("DA CHIUDERE",$M35)&gt;0</formula>
    </cfRule>
    <cfRule type="expression" priority="954" dxfId="55">
      <formula>SEARCH("INTERROTTO",$M35)&gt;0</formula>
    </cfRule>
  </conditionalFormatting>
  <conditionalFormatting sqref="F35">
    <cfRule type="expression" priority="937" dxfId="60">
      <formula>SEARCH("IN CORSO",$M35)&gt;0</formula>
    </cfRule>
    <cfRule type="expression" priority="938" dxfId="59">
      <formula>SEARCH("CHIUSO",$M35)&gt;0</formula>
    </cfRule>
    <cfRule type="expression" priority="939" dxfId="58">
      <formula>SEARCH("EMESSO",$M35)&gt;0</formula>
    </cfRule>
    <cfRule type="expression" priority="940" dxfId="57">
      <formula>SEARCH("RICHIESTO",$M35)&gt;0</formula>
    </cfRule>
    <cfRule type="expression" priority="941" dxfId="56">
      <formula>SEARCH("DA CHIUDERE",$M35)&gt;0</formula>
    </cfRule>
    <cfRule type="expression" priority="942" dxfId="55">
      <formula>SEARCH("INTERROTTO",$M35)&gt;0</formula>
    </cfRule>
  </conditionalFormatting>
  <conditionalFormatting sqref="M35">
    <cfRule type="expression" priority="931" dxfId="60">
      <formula>SEARCH("IN CORSO",$M35)&gt;0</formula>
    </cfRule>
    <cfRule type="expression" priority="932" dxfId="59">
      <formula>SEARCH("CHIUSO",$M35)&gt;0</formula>
    </cfRule>
    <cfRule type="expression" priority="933" dxfId="58">
      <formula>SEARCH("EMESSO",$M35)&gt;0</formula>
    </cfRule>
    <cfRule type="expression" priority="934" dxfId="57">
      <formula>SEARCH("RICHIESTO",$M35)&gt;0</formula>
    </cfRule>
    <cfRule type="expression" priority="935" dxfId="56">
      <formula>SEARCH("DA CHIUDERE",$M35)&gt;0</formula>
    </cfRule>
    <cfRule type="expression" priority="936" dxfId="55">
      <formula>SEARCH("INTERROTTO",$M35)&gt;0</formula>
    </cfRule>
  </conditionalFormatting>
  <conditionalFormatting sqref="N34:S34">
    <cfRule type="expression" priority="925" dxfId="60">
      <formula>SEARCH("IN CORSO",$M34)&gt;0</formula>
    </cfRule>
    <cfRule type="expression" priority="926" dxfId="59">
      <formula>SEARCH("CHIUSO",$M34)&gt;0</formula>
    </cfRule>
    <cfRule type="expression" priority="927" dxfId="58">
      <formula>SEARCH("EMESSO",$M34)&gt;0</formula>
    </cfRule>
    <cfRule type="expression" priority="928" dxfId="57">
      <formula>SEARCH("RICHIESTO",$M34)&gt;0</formula>
    </cfRule>
    <cfRule type="expression" priority="929" dxfId="56">
      <formula>SEARCH("DA CHIUDERE",$M34)&gt;0</formula>
    </cfRule>
    <cfRule type="expression" priority="930" dxfId="55">
      <formula>SEARCH("INTERROTTO",$M34)&gt;0</formula>
    </cfRule>
  </conditionalFormatting>
  <conditionalFormatting sqref="G34">
    <cfRule type="expression" priority="913" dxfId="60">
      <formula>SEARCH("IN CORSO",$M34)&gt;0</formula>
    </cfRule>
    <cfRule type="expression" priority="914" dxfId="59">
      <formula>SEARCH("CHIUSO",$M34)&gt;0</formula>
    </cfRule>
    <cfRule type="expression" priority="915" dxfId="58">
      <formula>SEARCH("EMESSO",$M34)&gt;0</formula>
    </cfRule>
    <cfRule type="expression" priority="916" dxfId="57">
      <formula>SEARCH("RICHIESTO",$M34)&gt;0</formula>
    </cfRule>
    <cfRule type="expression" priority="917" dxfId="56">
      <formula>SEARCH("DA CHIUDERE",$M34)&gt;0</formula>
    </cfRule>
    <cfRule type="expression" priority="918" dxfId="55">
      <formula>SEARCH("INTERROTTO",$M34)&gt;0</formula>
    </cfRule>
  </conditionalFormatting>
  <conditionalFormatting sqref="E34">
    <cfRule type="expression" priority="919" dxfId="60">
      <formula>SEARCH("IN CORSO",$M34)&gt;0</formula>
    </cfRule>
    <cfRule type="expression" priority="920" dxfId="59">
      <formula>SEARCH("CHIUSO",$M34)&gt;0</formula>
    </cfRule>
    <cfRule type="expression" priority="921" dxfId="58">
      <formula>SEARCH("EMESSO",$M34)&gt;0</formula>
    </cfRule>
    <cfRule type="expression" priority="922" dxfId="57">
      <formula>SEARCH("RICHIESTO",$M34)&gt;0</formula>
    </cfRule>
    <cfRule type="expression" priority="923" dxfId="56">
      <formula>SEARCH("DA CHIUDERE",$M34)&gt;0</formula>
    </cfRule>
    <cfRule type="expression" priority="924" dxfId="55">
      <formula>SEARCH("INTERROTTO",$M34)&gt;0</formula>
    </cfRule>
  </conditionalFormatting>
  <conditionalFormatting sqref="F34">
    <cfRule type="expression" priority="907" dxfId="60">
      <formula>SEARCH("IN CORSO",$M34)&gt;0</formula>
    </cfRule>
    <cfRule type="expression" priority="908" dxfId="59">
      <formula>SEARCH("CHIUSO",$M34)&gt;0</formula>
    </cfRule>
    <cfRule type="expression" priority="909" dxfId="58">
      <formula>SEARCH("EMESSO",$M34)&gt;0</formula>
    </cfRule>
    <cfRule type="expression" priority="910" dxfId="57">
      <formula>SEARCH("RICHIESTO",$M34)&gt;0</formula>
    </cfRule>
    <cfRule type="expression" priority="911" dxfId="56">
      <formula>SEARCH("DA CHIUDERE",$M34)&gt;0</formula>
    </cfRule>
    <cfRule type="expression" priority="912" dxfId="55">
      <formula>SEARCH("INTERROTTO",$M34)&gt;0</formula>
    </cfRule>
  </conditionalFormatting>
  <conditionalFormatting sqref="M34">
    <cfRule type="expression" priority="901" dxfId="60">
      <formula>SEARCH("IN CORSO",$M34)&gt;0</formula>
    </cfRule>
    <cfRule type="expression" priority="902" dxfId="59">
      <formula>SEARCH("CHIUSO",$M34)&gt;0</formula>
    </cfRule>
    <cfRule type="expression" priority="903" dxfId="58">
      <formula>SEARCH("EMESSO",$M34)&gt;0</formula>
    </cfRule>
    <cfRule type="expression" priority="904" dxfId="57">
      <formula>SEARCH("RICHIESTO",$M34)&gt;0</formula>
    </cfRule>
    <cfRule type="expression" priority="905" dxfId="56">
      <formula>SEARCH("DA CHIUDERE",$M34)&gt;0</formula>
    </cfRule>
    <cfRule type="expression" priority="906" dxfId="55">
      <formula>SEARCH("INTERROTTO",$M34)&gt;0</formula>
    </cfRule>
  </conditionalFormatting>
  <conditionalFormatting sqref="N33:S33">
    <cfRule type="expression" priority="895" dxfId="60">
      <formula>SEARCH("IN CORSO",$M33)&gt;0</formula>
    </cfRule>
    <cfRule type="expression" priority="896" dxfId="59">
      <formula>SEARCH("CHIUSO",$M33)&gt;0</formula>
    </cfRule>
    <cfRule type="expression" priority="897" dxfId="58">
      <formula>SEARCH("EMESSO",$M33)&gt;0</formula>
    </cfRule>
    <cfRule type="expression" priority="898" dxfId="57">
      <formula>SEARCH("RICHIESTO",$M33)&gt;0</formula>
    </cfRule>
    <cfRule type="expression" priority="899" dxfId="56">
      <formula>SEARCH("DA CHIUDERE",$M33)&gt;0</formula>
    </cfRule>
    <cfRule type="expression" priority="900" dxfId="55">
      <formula>SEARCH("INTERROTTO",$M33)&gt;0</formula>
    </cfRule>
  </conditionalFormatting>
  <conditionalFormatting sqref="G33">
    <cfRule type="expression" priority="883" dxfId="60">
      <formula>SEARCH("IN CORSO",$M33)&gt;0</formula>
    </cfRule>
    <cfRule type="expression" priority="884" dxfId="59">
      <formula>SEARCH("CHIUSO",$M33)&gt;0</formula>
    </cfRule>
    <cfRule type="expression" priority="885" dxfId="58">
      <formula>SEARCH("EMESSO",$M33)&gt;0</formula>
    </cfRule>
    <cfRule type="expression" priority="886" dxfId="57">
      <formula>SEARCH("RICHIESTO",$M33)&gt;0</formula>
    </cfRule>
    <cfRule type="expression" priority="887" dxfId="56">
      <formula>SEARCH("DA CHIUDERE",$M33)&gt;0</formula>
    </cfRule>
    <cfRule type="expression" priority="888" dxfId="55">
      <formula>SEARCH("INTERROTTO",$M33)&gt;0</formula>
    </cfRule>
  </conditionalFormatting>
  <conditionalFormatting sqref="E33">
    <cfRule type="expression" priority="889" dxfId="60">
      <formula>SEARCH("IN CORSO",$M33)&gt;0</formula>
    </cfRule>
    <cfRule type="expression" priority="890" dxfId="59">
      <formula>SEARCH("CHIUSO",$M33)&gt;0</formula>
    </cfRule>
    <cfRule type="expression" priority="891" dxfId="58">
      <formula>SEARCH("EMESSO",$M33)&gt;0</formula>
    </cfRule>
    <cfRule type="expression" priority="892" dxfId="57">
      <formula>SEARCH("RICHIESTO",$M33)&gt;0</formula>
    </cfRule>
    <cfRule type="expression" priority="893" dxfId="56">
      <formula>SEARCH("DA CHIUDERE",$M33)&gt;0</formula>
    </cfRule>
    <cfRule type="expression" priority="894" dxfId="55">
      <formula>SEARCH("INTERROTTO",$M33)&gt;0</formula>
    </cfRule>
  </conditionalFormatting>
  <conditionalFormatting sqref="F33">
    <cfRule type="expression" priority="877" dxfId="60">
      <formula>SEARCH("IN CORSO",$M33)&gt;0</formula>
    </cfRule>
    <cfRule type="expression" priority="878" dxfId="59">
      <formula>SEARCH("CHIUSO",$M33)&gt;0</formula>
    </cfRule>
    <cfRule type="expression" priority="879" dxfId="58">
      <formula>SEARCH("EMESSO",$M33)&gt;0</formula>
    </cfRule>
    <cfRule type="expression" priority="880" dxfId="57">
      <formula>SEARCH("RICHIESTO",$M33)&gt;0</formula>
    </cfRule>
    <cfRule type="expression" priority="881" dxfId="56">
      <formula>SEARCH("DA CHIUDERE",$M33)&gt;0</formula>
    </cfRule>
    <cfRule type="expression" priority="882" dxfId="55">
      <formula>SEARCH("INTERROTTO",$M33)&gt;0</formula>
    </cfRule>
  </conditionalFormatting>
  <conditionalFormatting sqref="M33">
    <cfRule type="expression" priority="871" dxfId="60">
      <formula>SEARCH("IN CORSO",$M33)&gt;0</formula>
    </cfRule>
    <cfRule type="expression" priority="872" dxfId="59">
      <formula>SEARCH("CHIUSO",$M33)&gt;0</formula>
    </cfRule>
    <cfRule type="expression" priority="873" dxfId="58">
      <formula>SEARCH("EMESSO",$M33)&gt;0</formula>
    </cfRule>
    <cfRule type="expression" priority="874" dxfId="57">
      <formula>SEARCH("RICHIESTO",$M33)&gt;0</formula>
    </cfRule>
    <cfRule type="expression" priority="875" dxfId="56">
      <formula>SEARCH("DA CHIUDERE",$M33)&gt;0</formula>
    </cfRule>
    <cfRule type="expression" priority="876" dxfId="55">
      <formula>SEARCH("INTERROTTO",$M33)&gt;0</formula>
    </cfRule>
  </conditionalFormatting>
  <conditionalFormatting sqref="N32:S32">
    <cfRule type="expression" priority="865" dxfId="60">
      <formula>SEARCH("IN CORSO",$M32)&gt;0</formula>
    </cfRule>
    <cfRule type="expression" priority="866" dxfId="59">
      <formula>SEARCH("CHIUSO",$M32)&gt;0</formula>
    </cfRule>
    <cfRule type="expression" priority="867" dxfId="58">
      <formula>SEARCH("EMESSO",$M32)&gt;0</formula>
    </cfRule>
    <cfRule type="expression" priority="868" dxfId="57">
      <formula>SEARCH("RICHIESTO",$M32)&gt;0</formula>
    </cfRule>
    <cfRule type="expression" priority="869" dxfId="56">
      <formula>SEARCH("DA CHIUDERE",$M32)&gt;0</formula>
    </cfRule>
    <cfRule type="expression" priority="870" dxfId="55">
      <formula>SEARCH("INTERROTTO",$M32)&gt;0</formula>
    </cfRule>
  </conditionalFormatting>
  <conditionalFormatting sqref="G32">
    <cfRule type="expression" priority="853" dxfId="60">
      <formula>SEARCH("IN CORSO",$M32)&gt;0</formula>
    </cfRule>
    <cfRule type="expression" priority="854" dxfId="59">
      <formula>SEARCH("CHIUSO",$M32)&gt;0</formula>
    </cfRule>
    <cfRule type="expression" priority="855" dxfId="58">
      <formula>SEARCH("EMESSO",$M32)&gt;0</formula>
    </cfRule>
    <cfRule type="expression" priority="856" dxfId="57">
      <formula>SEARCH("RICHIESTO",$M32)&gt;0</formula>
    </cfRule>
    <cfRule type="expression" priority="857" dxfId="56">
      <formula>SEARCH("DA CHIUDERE",$M32)&gt;0</formula>
    </cfRule>
    <cfRule type="expression" priority="858" dxfId="55">
      <formula>SEARCH("INTERROTTO",$M32)&gt;0</formula>
    </cfRule>
  </conditionalFormatting>
  <conditionalFormatting sqref="E32">
    <cfRule type="expression" priority="859" dxfId="60">
      <formula>SEARCH("IN CORSO",$M32)&gt;0</formula>
    </cfRule>
    <cfRule type="expression" priority="860" dxfId="59">
      <formula>SEARCH("CHIUSO",$M32)&gt;0</formula>
    </cfRule>
    <cfRule type="expression" priority="861" dxfId="58">
      <formula>SEARCH("EMESSO",$M32)&gt;0</formula>
    </cfRule>
    <cfRule type="expression" priority="862" dxfId="57">
      <formula>SEARCH("RICHIESTO",$M32)&gt;0</formula>
    </cfRule>
    <cfRule type="expression" priority="863" dxfId="56">
      <formula>SEARCH("DA CHIUDERE",$M32)&gt;0</formula>
    </cfRule>
    <cfRule type="expression" priority="864" dxfId="55">
      <formula>SEARCH("INTERROTTO",$M32)&gt;0</formula>
    </cfRule>
  </conditionalFormatting>
  <conditionalFormatting sqref="F32">
    <cfRule type="expression" priority="847" dxfId="60">
      <formula>SEARCH("IN CORSO",$M32)&gt;0</formula>
    </cfRule>
    <cfRule type="expression" priority="848" dxfId="59">
      <formula>SEARCH("CHIUSO",$M32)&gt;0</formula>
    </cfRule>
    <cfRule type="expression" priority="849" dxfId="58">
      <formula>SEARCH("EMESSO",$M32)&gt;0</formula>
    </cfRule>
    <cfRule type="expression" priority="850" dxfId="57">
      <formula>SEARCH("RICHIESTO",$M32)&gt;0</formula>
    </cfRule>
    <cfRule type="expression" priority="851" dxfId="56">
      <formula>SEARCH("DA CHIUDERE",$M32)&gt;0</formula>
    </cfRule>
    <cfRule type="expression" priority="852" dxfId="55">
      <formula>SEARCH("INTERROTTO",$M32)&gt;0</formula>
    </cfRule>
  </conditionalFormatting>
  <conditionalFormatting sqref="M32">
    <cfRule type="expression" priority="841" dxfId="60">
      <formula>SEARCH("IN CORSO",$M32)&gt;0</formula>
    </cfRule>
    <cfRule type="expression" priority="842" dxfId="59">
      <formula>SEARCH("CHIUSO",$M32)&gt;0</formula>
    </cfRule>
    <cfRule type="expression" priority="843" dxfId="58">
      <formula>SEARCH("EMESSO",$M32)&gt;0</formula>
    </cfRule>
    <cfRule type="expression" priority="844" dxfId="57">
      <formula>SEARCH("RICHIESTO",$M32)&gt;0</formula>
    </cfRule>
    <cfRule type="expression" priority="845" dxfId="56">
      <formula>SEARCH("DA CHIUDERE",$M32)&gt;0</formula>
    </cfRule>
    <cfRule type="expression" priority="846" dxfId="55">
      <formula>SEARCH("INTERROTTO",$M32)&gt;0</formula>
    </cfRule>
  </conditionalFormatting>
  <conditionalFormatting sqref="N31:S31">
    <cfRule type="expression" priority="835" dxfId="60">
      <formula>SEARCH("IN CORSO",$M31)&gt;0</formula>
    </cfRule>
    <cfRule type="expression" priority="836" dxfId="59">
      <formula>SEARCH("CHIUSO",$M31)&gt;0</formula>
    </cfRule>
    <cfRule type="expression" priority="837" dxfId="58">
      <formula>SEARCH("EMESSO",$M31)&gt;0</formula>
    </cfRule>
    <cfRule type="expression" priority="838" dxfId="57">
      <formula>SEARCH("RICHIESTO",$M31)&gt;0</formula>
    </cfRule>
    <cfRule type="expression" priority="839" dxfId="56">
      <formula>SEARCH("DA CHIUDERE",$M31)&gt;0</formula>
    </cfRule>
    <cfRule type="expression" priority="840" dxfId="55">
      <formula>SEARCH("INTERROTTO",$M31)&gt;0</formula>
    </cfRule>
  </conditionalFormatting>
  <conditionalFormatting sqref="G31">
    <cfRule type="expression" priority="823" dxfId="60">
      <formula>SEARCH("IN CORSO",$M31)&gt;0</formula>
    </cfRule>
    <cfRule type="expression" priority="824" dxfId="59">
      <formula>SEARCH("CHIUSO",$M31)&gt;0</formula>
    </cfRule>
    <cfRule type="expression" priority="825" dxfId="58">
      <formula>SEARCH("EMESSO",$M31)&gt;0</formula>
    </cfRule>
    <cfRule type="expression" priority="826" dxfId="57">
      <formula>SEARCH("RICHIESTO",$M31)&gt;0</formula>
    </cfRule>
    <cfRule type="expression" priority="827" dxfId="56">
      <formula>SEARCH("DA CHIUDERE",$M31)&gt;0</formula>
    </cfRule>
    <cfRule type="expression" priority="828" dxfId="55">
      <formula>SEARCH("INTERROTTO",$M31)&gt;0</formula>
    </cfRule>
  </conditionalFormatting>
  <conditionalFormatting sqref="E31">
    <cfRule type="expression" priority="829" dxfId="60">
      <formula>SEARCH("IN CORSO",$M31)&gt;0</formula>
    </cfRule>
    <cfRule type="expression" priority="830" dxfId="59">
      <formula>SEARCH("CHIUSO",$M31)&gt;0</formula>
    </cfRule>
    <cfRule type="expression" priority="831" dxfId="58">
      <formula>SEARCH("EMESSO",$M31)&gt;0</formula>
    </cfRule>
    <cfRule type="expression" priority="832" dxfId="57">
      <formula>SEARCH("RICHIESTO",$M31)&gt;0</formula>
    </cfRule>
    <cfRule type="expression" priority="833" dxfId="56">
      <formula>SEARCH("DA CHIUDERE",$M31)&gt;0</formula>
    </cfRule>
    <cfRule type="expression" priority="834" dxfId="55">
      <formula>SEARCH("INTERROTTO",$M31)&gt;0</formula>
    </cfRule>
  </conditionalFormatting>
  <conditionalFormatting sqref="F31">
    <cfRule type="expression" priority="817" dxfId="60">
      <formula>SEARCH("IN CORSO",$M31)&gt;0</formula>
    </cfRule>
    <cfRule type="expression" priority="818" dxfId="59">
      <formula>SEARCH("CHIUSO",$M31)&gt;0</formula>
    </cfRule>
    <cfRule type="expression" priority="819" dxfId="58">
      <formula>SEARCH("EMESSO",$M31)&gt;0</formula>
    </cfRule>
    <cfRule type="expression" priority="820" dxfId="57">
      <formula>SEARCH("RICHIESTO",$M31)&gt;0</formula>
    </cfRule>
    <cfRule type="expression" priority="821" dxfId="56">
      <formula>SEARCH("DA CHIUDERE",$M31)&gt;0</formula>
    </cfRule>
    <cfRule type="expression" priority="822" dxfId="55">
      <formula>SEARCH("INTERROTTO",$M31)&gt;0</formula>
    </cfRule>
  </conditionalFormatting>
  <conditionalFormatting sqref="M31">
    <cfRule type="expression" priority="811" dxfId="60">
      <formula>SEARCH("IN CORSO",$M31)&gt;0</formula>
    </cfRule>
    <cfRule type="expression" priority="812" dxfId="59">
      <formula>SEARCH("CHIUSO",$M31)&gt;0</formula>
    </cfRule>
    <cfRule type="expression" priority="813" dxfId="58">
      <formula>SEARCH("EMESSO",$M31)&gt;0</formula>
    </cfRule>
    <cfRule type="expression" priority="814" dxfId="57">
      <formula>SEARCH("RICHIESTO",$M31)&gt;0</formula>
    </cfRule>
    <cfRule type="expression" priority="815" dxfId="56">
      <formula>SEARCH("DA CHIUDERE",$M31)&gt;0</formula>
    </cfRule>
    <cfRule type="expression" priority="816" dxfId="55">
      <formula>SEARCH("INTERROTTO",$M31)&gt;0</formula>
    </cfRule>
  </conditionalFormatting>
  <conditionalFormatting sqref="N30:S30">
    <cfRule type="expression" priority="805" dxfId="60">
      <formula>SEARCH("IN CORSO",$M30)&gt;0</formula>
    </cfRule>
    <cfRule type="expression" priority="806" dxfId="59">
      <formula>SEARCH("CHIUSO",$M30)&gt;0</formula>
    </cfRule>
    <cfRule type="expression" priority="807" dxfId="58">
      <formula>SEARCH("EMESSO",$M30)&gt;0</formula>
    </cfRule>
    <cfRule type="expression" priority="808" dxfId="57">
      <formula>SEARCH("RICHIESTO",$M30)&gt;0</formula>
    </cfRule>
    <cfRule type="expression" priority="809" dxfId="56">
      <formula>SEARCH("DA CHIUDERE",$M30)&gt;0</formula>
    </cfRule>
    <cfRule type="expression" priority="810" dxfId="55">
      <formula>SEARCH("INTERROTTO",$M30)&gt;0</formula>
    </cfRule>
  </conditionalFormatting>
  <conditionalFormatting sqref="G30">
    <cfRule type="expression" priority="793" dxfId="60">
      <formula>SEARCH("IN CORSO",$M30)&gt;0</formula>
    </cfRule>
    <cfRule type="expression" priority="794" dxfId="59">
      <formula>SEARCH("CHIUSO",$M30)&gt;0</formula>
    </cfRule>
    <cfRule type="expression" priority="795" dxfId="58">
      <formula>SEARCH("EMESSO",$M30)&gt;0</formula>
    </cfRule>
    <cfRule type="expression" priority="796" dxfId="57">
      <formula>SEARCH("RICHIESTO",$M30)&gt;0</formula>
    </cfRule>
    <cfRule type="expression" priority="797" dxfId="56">
      <formula>SEARCH("DA CHIUDERE",$M30)&gt;0</formula>
    </cfRule>
    <cfRule type="expression" priority="798" dxfId="55">
      <formula>SEARCH("INTERROTTO",$M30)&gt;0</formula>
    </cfRule>
  </conditionalFormatting>
  <conditionalFormatting sqref="E30">
    <cfRule type="expression" priority="799" dxfId="60">
      <formula>SEARCH("IN CORSO",$M30)&gt;0</formula>
    </cfRule>
    <cfRule type="expression" priority="800" dxfId="59">
      <formula>SEARCH("CHIUSO",$M30)&gt;0</formula>
    </cfRule>
    <cfRule type="expression" priority="801" dxfId="58">
      <formula>SEARCH("EMESSO",$M30)&gt;0</formula>
    </cfRule>
    <cfRule type="expression" priority="802" dxfId="57">
      <formula>SEARCH("RICHIESTO",$M30)&gt;0</formula>
    </cfRule>
    <cfRule type="expression" priority="803" dxfId="56">
      <formula>SEARCH("DA CHIUDERE",$M30)&gt;0</formula>
    </cfRule>
    <cfRule type="expression" priority="804" dxfId="55">
      <formula>SEARCH("INTERROTTO",$M30)&gt;0</formula>
    </cfRule>
  </conditionalFormatting>
  <conditionalFormatting sqref="F30">
    <cfRule type="expression" priority="787" dxfId="60">
      <formula>SEARCH("IN CORSO",$M30)&gt;0</formula>
    </cfRule>
    <cfRule type="expression" priority="788" dxfId="59">
      <formula>SEARCH("CHIUSO",$M30)&gt;0</formula>
    </cfRule>
    <cfRule type="expression" priority="789" dxfId="58">
      <formula>SEARCH("EMESSO",$M30)&gt;0</formula>
    </cfRule>
    <cfRule type="expression" priority="790" dxfId="57">
      <formula>SEARCH("RICHIESTO",$M30)&gt;0</formula>
    </cfRule>
    <cfRule type="expression" priority="791" dxfId="56">
      <formula>SEARCH("DA CHIUDERE",$M30)&gt;0</formula>
    </cfRule>
    <cfRule type="expression" priority="792" dxfId="55">
      <formula>SEARCH("INTERROTTO",$M30)&gt;0</formula>
    </cfRule>
  </conditionalFormatting>
  <conditionalFormatting sqref="M30">
    <cfRule type="expression" priority="781" dxfId="60">
      <formula>SEARCH("IN CORSO",$M30)&gt;0</formula>
    </cfRule>
    <cfRule type="expression" priority="782" dxfId="59">
      <formula>SEARCH("CHIUSO",$M30)&gt;0</formula>
    </cfRule>
    <cfRule type="expression" priority="783" dxfId="58">
      <formula>SEARCH("EMESSO",$M30)&gt;0</formula>
    </cfRule>
    <cfRule type="expression" priority="784" dxfId="57">
      <formula>SEARCH("RICHIESTO",$M30)&gt;0</formula>
    </cfRule>
    <cfRule type="expression" priority="785" dxfId="56">
      <formula>SEARCH("DA CHIUDERE",$M30)&gt;0</formula>
    </cfRule>
    <cfRule type="expression" priority="786" dxfId="55">
      <formula>SEARCH("INTERROTTO",$M30)&gt;0</formula>
    </cfRule>
  </conditionalFormatting>
  <conditionalFormatting sqref="N29:S29">
    <cfRule type="expression" priority="775" dxfId="60">
      <formula>SEARCH("IN CORSO",$M29)&gt;0</formula>
    </cfRule>
    <cfRule type="expression" priority="776" dxfId="59">
      <formula>SEARCH("CHIUSO",$M29)&gt;0</formula>
    </cfRule>
    <cfRule type="expression" priority="777" dxfId="58">
      <formula>SEARCH("EMESSO",$M29)&gt;0</formula>
    </cfRule>
    <cfRule type="expression" priority="778" dxfId="57">
      <formula>SEARCH("RICHIESTO",$M29)&gt;0</formula>
    </cfRule>
    <cfRule type="expression" priority="779" dxfId="56">
      <formula>SEARCH("DA CHIUDERE",$M29)&gt;0</formula>
    </cfRule>
    <cfRule type="expression" priority="780" dxfId="55">
      <formula>SEARCH("INTERROTTO",$M29)&gt;0</formula>
    </cfRule>
  </conditionalFormatting>
  <conditionalFormatting sqref="G29">
    <cfRule type="expression" priority="763" dxfId="60">
      <formula>SEARCH("IN CORSO",$M29)&gt;0</formula>
    </cfRule>
    <cfRule type="expression" priority="764" dxfId="59">
      <formula>SEARCH("CHIUSO",$M29)&gt;0</formula>
    </cfRule>
    <cfRule type="expression" priority="765" dxfId="58">
      <formula>SEARCH("EMESSO",$M29)&gt;0</formula>
    </cfRule>
    <cfRule type="expression" priority="766" dxfId="57">
      <formula>SEARCH("RICHIESTO",$M29)&gt;0</formula>
    </cfRule>
    <cfRule type="expression" priority="767" dxfId="56">
      <formula>SEARCH("DA CHIUDERE",$M29)&gt;0</formula>
    </cfRule>
    <cfRule type="expression" priority="768" dxfId="55">
      <formula>SEARCH("INTERROTTO",$M29)&gt;0</formula>
    </cfRule>
  </conditionalFormatting>
  <conditionalFormatting sqref="E29">
    <cfRule type="expression" priority="769" dxfId="60">
      <formula>SEARCH("IN CORSO",$M29)&gt;0</formula>
    </cfRule>
    <cfRule type="expression" priority="770" dxfId="59">
      <formula>SEARCH("CHIUSO",$M29)&gt;0</formula>
    </cfRule>
    <cfRule type="expression" priority="771" dxfId="58">
      <formula>SEARCH("EMESSO",$M29)&gt;0</formula>
    </cfRule>
    <cfRule type="expression" priority="772" dxfId="57">
      <formula>SEARCH("RICHIESTO",$M29)&gt;0</formula>
    </cfRule>
    <cfRule type="expression" priority="773" dxfId="56">
      <formula>SEARCH("DA CHIUDERE",$M29)&gt;0</formula>
    </cfRule>
    <cfRule type="expression" priority="774" dxfId="55">
      <formula>SEARCH("INTERROTTO",$M29)&gt;0</formula>
    </cfRule>
  </conditionalFormatting>
  <conditionalFormatting sqref="F29">
    <cfRule type="expression" priority="757" dxfId="60">
      <formula>SEARCH("IN CORSO",$M29)&gt;0</formula>
    </cfRule>
    <cfRule type="expression" priority="758" dxfId="59">
      <formula>SEARCH("CHIUSO",$M29)&gt;0</formula>
    </cfRule>
    <cfRule type="expression" priority="759" dxfId="58">
      <formula>SEARCH("EMESSO",$M29)&gt;0</formula>
    </cfRule>
    <cfRule type="expression" priority="760" dxfId="57">
      <formula>SEARCH("RICHIESTO",$M29)&gt;0</formula>
    </cfRule>
    <cfRule type="expression" priority="761" dxfId="56">
      <formula>SEARCH("DA CHIUDERE",$M29)&gt;0</formula>
    </cfRule>
    <cfRule type="expression" priority="762" dxfId="55">
      <formula>SEARCH("INTERROTTO",$M29)&gt;0</formula>
    </cfRule>
  </conditionalFormatting>
  <conditionalFormatting sqref="M29">
    <cfRule type="expression" priority="751" dxfId="60">
      <formula>SEARCH("IN CORSO",$M29)&gt;0</formula>
    </cfRule>
    <cfRule type="expression" priority="752" dxfId="59">
      <formula>SEARCH("CHIUSO",$M29)&gt;0</formula>
    </cfRule>
    <cfRule type="expression" priority="753" dxfId="58">
      <formula>SEARCH("EMESSO",$M29)&gt;0</formula>
    </cfRule>
    <cfRule type="expression" priority="754" dxfId="57">
      <formula>SEARCH("RICHIESTO",$M29)&gt;0</formula>
    </cfRule>
    <cfRule type="expression" priority="755" dxfId="56">
      <formula>SEARCH("DA CHIUDERE",$M29)&gt;0</formula>
    </cfRule>
    <cfRule type="expression" priority="756" dxfId="55">
      <formula>SEARCH("INTERROTTO",$M29)&gt;0</formula>
    </cfRule>
  </conditionalFormatting>
  <conditionalFormatting sqref="N28:S28">
    <cfRule type="expression" priority="745" dxfId="60">
      <formula>SEARCH("IN CORSO",$M28)&gt;0</formula>
    </cfRule>
    <cfRule type="expression" priority="746" dxfId="59">
      <formula>SEARCH("CHIUSO",$M28)&gt;0</formula>
    </cfRule>
    <cfRule type="expression" priority="747" dxfId="58">
      <formula>SEARCH("EMESSO",$M28)&gt;0</formula>
    </cfRule>
    <cfRule type="expression" priority="748" dxfId="57">
      <formula>SEARCH("RICHIESTO",$M28)&gt;0</formula>
    </cfRule>
    <cfRule type="expression" priority="749" dxfId="56">
      <formula>SEARCH("DA CHIUDERE",$M28)&gt;0</formula>
    </cfRule>
    <cfRule type="expression" priority="750" dxfId="55">
      <formula>SEARCH("INTERROTTO",$M28)&gt;0</formula>
    </cfRule>
  </conditionalFormatting>
  <conditionalFormatting sqref="G28">
    <cfRule type="expression" priority="733" dxfId="60">
      <formula>SEARCH("IN CORSO",$M28)&gt;0</formula>
    </cfRule>
    <cfRule type="expression" priority="734" dxfId="59">
      <formula>SEARCH("CHIUSO",$M28)&gt;0</formula>
    </cfRule>
    <cfRule type="expression" priority="735" dxfId="58">
      <formula>SEARCH("EMESSO",$M28)&gt;0</formula>
    </cfRule>
    <cfRule type="expression" priority="736" dxfId="57">
      <formula>SEARCH("RICHIESTO",$M28)&gt;0</formula>
    </cfRule>
    <cfRule type="expression" priority="737" dxfId="56">
      <formula>SEARCH("DA CHIUDERE",$M28)&gt;0</formula>
    </cfRule>
    <cfRule type="expression" priority="738" dxfId="55">
      <formula>SEARCH("INTERROTTO",$M28)&gt;0</formula>
    </cfRule>
  </conditionalFormatting>
  <conditionalFormatting sqref="E28">
    <cfRule type="expression" priority="739" dxfId="60">
      <formula>SEARCH("IN CORSO",$M28)&gt;0</formula>
    </cfRule>
    <cfRule type="expression" priority="740" dxfId="59">
      <formula>SEARCH("CHIUSO",$M28)&gt;0</formula>
    </cfRule>
    <cfRule type="expression" priority="741" dxfId="58">
      <formula>SEARCH("EMESSO",$M28)&gt;0</formula>
    </cfRule>
    <cfRule type="expression" priority="742" dxfId="57">
      <formula>SEARCH("RICHIESTO",$M28)&gt;0</formula>
    </cfRule>
    <cfRule type="expression" priority="743" dxfId="56">
      <formula>SEARCH("DA CHIUDERE",$M28)&gt;0</formula>
    </cfRule>
    <cfRule type="expression" priority="744" dxfId="55">
      <formula>SEARCH("INTERROTTO",$M28)&gt;0</formula>
    </cfRule>
  </conditionalFormatting>
  <conditionalFormatting sqref="F28">
    <cfRule type="expression" priority="727" dxfId="60">
      <formula>SEARCH("IN CORSO",$M28)&gt;0</formula>
    </cfRule>
    <cfRule type="expression" priority="728" dxfId="59">
      <formula>SEARCH("CHIUSO",$M28)&gt;0</formula>
    </cfRule>
    <cfRule type="expression" priority="729" dxfId="58">
      <formula>SEARCH("EMESSO",$M28)&gt;0</formula>
    </cfRule>
    <cfRule type="expression" priority="730" dxfId="57">
      <formula>SEARCH("RICHIESTO",$M28)&gt;0</formula>
    </cfRule>
    <cfRule type="expression" priority="731" dxfId="56">
      <formula>SEARCH("DA CHIUDERE",$M28)&gt;0</formula>
    </cfRule>
    <cfRule type="expression" priority="732" dxfId="55">
      <formula>SEARCH("INTERROTTO",$M28)&gt;0</formula>
    </cfRule>
  </conditionalFormatting>
  <conditionalFormatting sqref="M28">
    <cfRule type="expression" priority="721" dxfId="60">
      <formula>SEARCH("IN CORSO",$M28)&gt;0</formula>
    </cfRule>
    <cfRule type="expression" priority="722" dxfId="59">
      <formula>SEARCH("CHIUSO",$M28)&gt;0</formula>
    </cfRule>
    <cfRule type="expression" priority="723" dxfId="58">
      <formula>SEARCH("EMESSO",$M28)&gt;0</formula>
    </cfRule>
    <cfRule type="expression" priority="724" dxfId="57">
      <formula>SEARCH("RICHIESTO",$M28)&gt;0</formula>
    </cfRule>
    <cfRule type="expression" priority="725" dxfId="56">
      <formula>SEARCH("DA CHIUDERE",$M28)&gt;0</formula>
    </cfRule>
    <cfRule type="expression" priority="726" dxfId="55">
      <formula>SEARCH("INTERROTTO",$M28)&gt;0</formula>
    </cfRule>
  </conditionalFormatting>
  <conditionalFormatting sqref="N27:S27">
    <cfRule type="expression" priority="715" dxfId="60">
      <formula>SEARCH("IN CORSO",$M27)&gt;0</formula>
    </cfRule>
    <cfRule type="expression" priority="716" dxfId="59">
      <formula>SEARCH("CHIUSO",$M27)&gt;0</formula>
    </cfRule>
    <cfRule type="expression" priority="717" dxfId="58">
      <formula>SEARCH("EMESSO",$M27)&gt;0</formula>
    </cfRule>
    <cfRule type="expression" priority="718" dxfId="57">
      <formula>SEARCH("RICHIESTO",$M27)&gt;0</formula>
    </cfRule>
    <cfRule type="expression" priority="719" dxfId="56">
      <formula>SEARCH("DA CHIUDERE",$M27)&gt;0</formula>
    </cfRule>
    <cfRule type="expression" priority="720" dxfId="55">
      <formula>SEARCH("INTERROTTO",$M27)&gt;0</formula>
    </cfRule>
  </conditionalFormatting>
  <conditionalFormatting sqref="G27">
    <cfRule type="expression" priority="703" dxfId="60">
      <formula>SEARCH("IN CORSO",$M27)&gt;0</formula>
    </cfRule>
    <cfRule type="expression" priority="704" dxfId="59">
      <formula>SEARCH("CHIUSO",$M27)&gt;0</formula>
    </cfRule>
    <cfRule type="expression" priority="705" dxfId="58">
      <formula>SEARCH("EMESSO",$M27)&gt;0</formula>
    </cfRule>
    <cfRule type="expression" priority="706" dxfId="57">
      <formula>SEARCH("RICHIESTO",$M27)&gt;0</formula>
    </cfRule>
    <cfRule type="expression" priority="707" dxfId="56">
      <formula>SEARCH("DA CHIUDERE",$M27)&gt;0</formula>
    </cfRule>
    <cfRule type="expression" priority="708" dxfId="55">
      <formula>SEARCH("INTERROTTO",$M27)&gt;0</formula>
    </cfRule>
  </conditionalFormatting>
  <conditionalFormatting sqref="E27">
    <cfRule type="expression" priority="709" dxfId="60">
      <formula>SEARCH("IN CORSO",$M27)&gt;0</formula>
    </cfRule>
    <cfRule type="expression" priority="710" dxfId="59">
      <formula>SEARCH("CHIUSO",$M27)&gt;0</formula>
    </cfRule>
    <cfRule type="expression" priority="711" dxfId="58">
      <formula>SEARCH("EMESSO",$M27)&gt;0</formula>
    </cfRule>
    <cfRule type="expression" priority="712" dxfId="57">
      <formula>SEARCH("RICHIESTO",$M27)&gt;0</formula>
    </cfRule>
    <cfRule type="expression" priority="713" dxfId="56">
      <formula>SEARCH("DA CHIUDERE",$M27)&gt;0</formula>
    </cfRule>
    <cfRule type="expression" priority="714" dxfId="55">
      <formula>SEARCH("INTERROTTO",$M27)&gt;0</formula>
    </cfRule>
  </conditionalFormatting>
  <conditionalFormatting sqref="F27">
    <cfRule type="expression" priority="697" dxfId="60">
      <formula>SEARCH("IN CORSO",$M27)&gt;0</formula>
    </cfRule>
    <cfRule type="expression" priority="698" dxfId="59">
      <formula>SEARCH("CHIUSO",$M27)&gt;0</formula>
    </cfRule>
    <cfRule type="expression" priority="699" dxfId="58">
      <formula>SEARCH("EMESSO",$M27)&gt;0</formula>
    </cfRule>
    <cfRule type="expression" priority="700" dxfId="57">
      <formula>SEARCH("RICHIESTO",$M27)&gt;0</formula>
    </cfRule>
    <cfRule type="expression" priority="701" dxfId="56">
      <formula>SEARCH("DA CHIUDERE",$M27)&gt;0</formula>
    </cfRule>
    <cfRule type="expression" priority="702" dxfId="55">
      <formula>SEARCH("INTERROTTO",$M27)&gt;0</formula>
    </cfRule>
  </conditionalFormatting>
  <conditionalFormatting sqref="M27">
    <cfRule type="expression" priority="691" dxfId="60">
      <formula>SEARCH("IN CORSO",$M27)&gt;0</formula>
    </cfRule>
    <cfRule type="expression" priority="692" dxfId="59">
      <formula>SEARCH("CHIUSO",$M27)&gt;0</formula>
    </cfRule>
    <cfRule type="expression" priority="693" dxfId="58">
      <formula>SEARCH("EMESSO",$M27)&gt;0</formula>
    </cfRule>
    <cfRule type="expression" priority="694" dxfId="57">
      <formula>SEARCH("RICHIESTO",$M27)&gt;0</formula>
    </cfRule>
    <cfRule type="expression" priority="695" dxfId="56">
      <formula>SEARCH("DA CHIUDERE",$M27)&gt;0</formula>
    </cfRule>
    <cfRule type="expression" priority="696" dxfId="55">
      <formula>SEARCH("INTERROTTO",$M27)&gt;0</formula>
    </cfRule>
  </conditionalFormatting>
  <conditionalFormatting sqref="N26:S26">
    <cfRule type="expression" priority="685" dxfId="60">
      <formula>SEARCH("IN CORSO",$M26)&gt;0</formula>
    </cfRule>
    <cfRule type="expression" priority="686" dxfId="59">
      <formula>SEARCH("CHIUSO",$M26)&gt;0</formula>
    </cfRule>
    <cfRule type="expression" priority="687" dxfId="58">
      <formula>SEARCH("EMESSO",$M26)&gt;0</formula>
    </cfRule>
    <cfRule type="expression" priority="688" dxfId="57">
      <formula>SEARCH("RICHIESTO",$M26)&gt;0</formula>
    </cfRule>
    <cfRule type="expression" priority="689" dxfId="56">
      <formula>SEARCH("DA CHIUDERE",$M26)&gt;0</formula>
    </cfRule>
    <cfRule type="expression" priority="690" dxfId="55">
      <formula>SEARCH("INTERROTTO",$M26)&gt;0</formula>
    </cfRule>
  </conditionalFormatting>
  <conditionalFormatting sqref="G26">
    <cfRule type="expression" priority="673" dxfId="60">
      <formula>SEARCH("IN CORSO",$M26)&gt;0</formula>
    </cfRule>
    <cfRule type="expression" priority="674" dxfId="59">
      <formula>SEARCH("CHIUSO",$M26)&gt;0</formula>
    </cfRule>
    <cfRule type="expression" priority="675" dxfId="58">
      <formula>SEARCH("EMESSO",$M26)&gt;0</formula>
    </cfRule>
    <cfRule type="expression" priority="676" dxfId="57">
      <formula>SEARCH("RICHIESTO",$M26)&gt;0</formula>
    </cfRule>
    <cfRule type="expression" priority="677" dxfId="56">
      <formula>SEARCH("DA CHIUDERE",$M26)&gt;0</formula>
    </cfRule>
    <cfRule type="expression" priority="678" dxfId="55">
      <formula>SEARCH("INTERROTTO",$M26)&gt;0</formula>
    </cfRule>
  </conditionalFormatting>
  <conditionalFormatting sqref="E26">
    <cfRule type="expression" priority="679" dxfId="60">
      <formula>SEARCH("IN CORSO",$M26)&gt;0</formula>
    </cfRule>
    <cfRule type="expression" priority="680" dxfId="59">
      <formula>SEARCH("CHIUSO",$M26)&gt;0</formula>
    </cfRule>
    <cfRule type="expression" priority="681" dxfId="58">
      <formula>SEARCH("EMESSO",$M26)&gt;0</formula>
    </cfRule>
    <cfRule type="expression" priority="682" dxfId="57">
      <formula>SEARCH("RICHIESTO",$M26)&gt;0</formula>
    </cfRule>
    <cfRule type="expression" priority="683" dxfId="56">
      <formula>SEARCH("DA CHIUDERE",$M26)&gt;0</formula>
    </cfRule>
    <cfRule type="expression" priority="684" dxfId="55">
      <formula>SEARCH("INTERROTTO",$M26)&gt;0</formula>
    </cfRule>
  </conditionalFormatting>
  <conditionalFormatting sqref="F26">
    <cfRule type="expression" priority="667" dxfId="60">
      <formula>SEARCH("IN CORSO",$M26)&gt;0</formula>
    </cfRule>
    <cfRule type="expression" priority="668" dxfId="59">
      <formula>SEARCH("CHIUSO",$M26)&gt;0</formula>
    </cfRule>
    <cfRule type="expression" priority="669" dxfId="58">
      <formula>SEARCH("EMESSO",$M26)&gt;0</formula>
    </cfRule>
    <cfRule type="expression" priority="670" dxfId="57">
      <formula>SEARCH("RICHIESTO",$M26)&gt;0</formula>
    </cfRule>
    <cfRule type="expression" priority="671" dxfId="56">
      <formula>SEARCH("DA CHIUDERE",$M26)&gt;0</formula>
    </cfRule>
    <cfRule type="expression" priority="672" dxfId="55">
      <formula>SEARCH("INTERROTTO",$M26)&gt;0</formula>
    </cfRule>
  </conditionalFormatting>
  <conditionalFormatting sqref="M26">
    <cfRule type="expression" priority="661" dxfId="60">
      <formula>SEARCH("IN CORSO",$M26)&gt;0</formula>
    </cfRule>
    <cfRule type="expression" priority="662" dxfId="59">
      <formula>SEARCH("CHIUSO",$M26)&gt;0</formula>
    </cfRule>
    <cfRule type="expression" priority="663" dxfId="58">
      <formula>SEARCH("EMESSO",$M26)&gt;0</formula>
    </cfRule>
    <cfRule type="expression" priority="664" dxfId="57">
      <formula>SEARCH("RICHIESTO",$M26)&gt;0</formula>
    </cfRule>
    <cfRule type="expression" priority="665" dxfId="56">
      <formula>SEARCH("DA CHIUDERE",$M26)&gt;0</formula>
    </cfRule>
    <cfRule type="expression" priority="666" dxfId="55">
      <formula>SEARCH("INTERROTTO",$M26)&gt;0</formula>
    </cfRule>
  </conditionalFormatting>
  <conditionalFormatting sqref="N25:S25">
    <cfRule type="expression" priority="655" dxfId="60">
      <formula>SEARCH("IN CORSO",$M25)&gt;0</formula>
    </cfRule>
    <cfRule type="expression" priority="656" dxfId="59">
      <formula>SEARCH("CHIUSO",$M25)&gt;0</formula>
    </cfRule>
    <cfRule type="expression" priority="657" dxfId="58">
      <formula>SEARCH("EMESSO",$M25)&gt;0</formula>
    </cfRule>
    <cfRule type="expression" priority="658" dxfId="57">
      <formula>SEARCH("RICHIESTO",$M25)&gt;0</formula>
    </cfRule>
    <cfRule type="expression" priority="659" dxfId="56">
      <formula>SEARCH("DA CHIUDERE",$M25)&gt;0</formula>
    </cfRule>
    <cfRule type="expression" priority="660" dxfId="55">
      <formula>SEARCH("INTERROTTO",$M25)&gt;0</formula>
    </cfRule>
  </conditionalFormatting>
  <conditionalFormatting sqref="G25">
    <cfRule type="expression" priority="643" dxfId="60">
      <formula>SEARCH("IN CORSO",$M25)&gt;0</formula>
    </cfRule>
    <cfRule type="expression" priority="644" dxfId="59">
      <formula>SEARCH("CHIUSO",$M25)&gt;0</formula>
    </cfRule>
    <cfRule type="expression" priority="645" dxfId="58">
      <formula>SEARCH("EMESSO",$M25)&gt;0</formula>
    </cfRule>
    <cfRule type="expression" priority="646" dxfId="57">
      <formula>SEARCH("RICHIESTO",$M25)&gt;0</formula>
    </cfRule>
    <cfRule type="expression" priority="647" dxfId="56">
      <formula>SEARCH("DA CHIUDERE",$M25)&gt;0</formula>
    </cfRule>
    <cfRule type="expression" priority="648" dxfId="55">
      <formula>SEARCH("INTERROTTO",$M25)&gt;0</formula>
    </cfRule>
  </conditionalFormatting>
  <conditionalFormatting sqref="E25">
    <cfRule type="expression" priority="649" dxfId="60">
      <formula>SEARCH("IN CORSO",$M25)&gt;0</formula>
    </cfRule>
    <cfRule type="expression" priority="650" dxfId="59">
      <formula>SEARCH("CHIUSO",$M25)&gt;0</formula>
    </cfRule>
    <cfRule type="expression" priority="651" dxfId="58">
      <formula>SEARCH("EMESSO",$M25)&gt;0</formula>
    </cfRule>
    <cfRule type="expression" priority="652" dxfId="57">
      <formula>SEARCH("RICHIESTO",$M25)&gt;0</formula>
    </cfRule>
    <cfRule type="expression" priority="653" dxfId="56">
      <formula>SEARCH("DA CHIUDERE",$M25)&gt;0</formula>
    </cfRule>
    <cfRule type="expression" priority="654" dxfId="55">
      <formula>SEARCH("INTERROTTO",$M25)&gt;0</formula>
    </cfRule>
  </conditionalFormatting>
  <conditionalFormatting sqref="F25">
    <cfRule type="expression" priority="637" dxfId="60">
      <formula>SEARCH("IN CORSO",$M25)&gt;0</formula>
    </cfRule>
    <cfRule type="expression" priority="638" dxfId="59">
      <formula>SEARCH("CHIUSO",$M25)&gt;0</formula>
    </cfRule>
    <cfRule type="expression" priority="639" dxfId="58">
      <formula>SEARCH("EMESSO",$M25)&gt;0</formula>
    </cfRule>
    <cfRule type="expression" priority="640" dxfId="57">
      <formula>SEARCH("RICHIESTO",$M25)&gt;0</formula>
    </cfRule>
    <cfRule type="expression" priority="641" dxfId="56">
      <formula>SEARCH("DA CHIUDERE",$M25)&gt;0</formula>
    </cfRule>
    <cfRule type="expression" priority="642" dxfId="55">
      <formula>SEARCH("INTERROTTO",$M25)&gt;0</formula>
    </cfRule>
  </conditionalFormatting>
  <conditionalFormatting sqref="M25">
    <cfRule type="expression" priority="631" dxfId="60">
      <formula>SEARCH("IN CORSO",$M25)&gt;0</formula>
    </cfRule>
    <cfRule type="expression" priority="632" dxfId="59">
      <formula>SEARCH("CHIUSO",$M25)&gt;0</formula>
    </cfRule>
    <cfRule type="expression" priority="633" dxfId="58">
      <formula>SEARCH("EMESSO",$M25)&gt;0</formula>
    </cfRule>
    <cfRule type="expression" priority="634" dxfId="57">
      <formula>SEARCH("RICHIESTO",$M25)&gt;0</formula>
    </cfRule>
    <cfRule type="expression" priority="635" dxfId="56">
      <formula>SEARCH("DA CHIUDERE",$M25)&gt;0</formula>
    </cfRule>
    <cfRule type="expression" priority="636" dxfId="55">
      <formula>SEARCH("INTERROTTO",$M25)&gt;0</formula>
    </cfRule>
  </conditionalFormatting>
  <conditionalFormatting sqref="N24:S24">
    <cfRule type="expression" priority="625" dxfId="60">
      <formula>SEARCH("IN CORSO",$M24)&gt;0</formula>
    </cfRule>
    <cfRule type="expression" priority="626" dxfId="59">
      <formula>SEARCH("CHIUSO",$M24)&gt;0</formula>
    </cfRule>
    <cfRule type="expression" priority="627" dxfId="58">
      <formula>SEARCH("EMESSO",$M24)&gt;0</formula>
    </cfRule>
    <cfRule type="expression" priority="628" dxfId="57">
      <formula>SEARCH("RICHIESTO",$M24)&gt;0</formula>
    </cfRule>
    <cfRule type="expression" priority="629" dxfId="56">
      <formula>SEARCH("DA CHIUDERE",$M24)&gt;0</formula>
    </cfRule>
    <cfRule type="expression" priority="630" dxfId="55">
      <formula>SEARCH("INTERROTTO",$M24)&gt;0</formula>
    </cfRule>
  </conditionalFormatting>
  <conditionalFormatting sqref="G24">
    <cfRule type="expression" priority="613" dxfId="60">
      <formula>SEARCH("IN CORSO",$M24)&gt;0</formula>
    </cfRule>
    <cfRule type="expression" priority="614" dxfId="59">
      <formula>SEARCH("CHIUSO",$M24)&gt;0</formula>
    </cfRule>
    <cfRule type="expression" priority="615" dxfId="58">
      <formula>SEARCH("EMESSO",$M24)&gt;0</formula>
    </cfRule>
    <cfRule type="expression" priority="616" dxfId="57">
      <formula>SEARCH("RICHIESTO",$M24)&gt;0</formula>
    </cfRule>
    <cfRule type="expression" priority="617" dxfId="56">
      <formula>SEARCH("DA CHIUDERE",$M24)&gt;0</formula>
    </cfRule>
    <cfRule type="expression" priority="618" dxfId="55">
      <formula>SEARCH("INTERROTTO",$M24)&gt;0</formula>
    </cfRule>
  </conditionalFormatting>
  <conditionalFormatting sqref="E24">
    <cfRule type="expression" priority="619" dxfId="60">
      <formula>SEARCH("IN CORSO",$M24)&gt;0</formula>
    </cfRule>
    <cfRule type="expression" priority="620" dxfId="59">
      <formula>SEARCH("CHIUSO",$M24)&gt;0</formula>
    </cfRule>
    <cfRule type="expression" priority="621" dxfId="58">
      <formula>SEARCH("EMESSO",$M24)&gt;0</formula>
    </cfRule>
    <cfRule type="expression" priority="622" dxfId="57">
      <formula>SEARCH("RICHIESTO",$M24)&gt;0</formula>
    </cfRule>
    <cfRule type="expression" priority="623" dxfId="56">
      <formula>SEARCH("DA CHIUDERE",$M24)&gt;0</formula>
    </cfRule>
    <cfRule type="expression" priority="624" dxfId="55">
      <formula>SEARCH("INTERROTTO",$M24)&gt;0</formula>
    </cfRule>
  </conditionalFormatting>
  <conditionalFormatting sqref="F24">
    <cfRule type="expression" priority="607" dxfId="60">
      <formula>SEARCH("IN CORSO",$M24)&gt;0</formula>
    </cfRule>
    <cfRule type="expression" priority="608" dxfId="59">
      <formula>SEARCH("CHIUSO",$M24)&gt;0</formula>
    </cfRule>
    <cfRule type="expression" priority="609" dxfId="58">
      <formula>SEARCH("EMESSO",$M24)&gt;0</formula>
    </cfRule>
    <cfRule type="expression" priority="610" dxfId="57">
      <formula>SEARCH("RICHIESTO",$M24)&gt;0</formula>
    </cfRule>
    <cfRule type="expression" priority="611" dxfId="56">
      <formula>SEARCH("DA CHIUDERE",$M24)&gt;0</formula>
    </cfRule>
    <cfRule type="expression" priority="612" dxfId="55">
      <formula>SEARCH("INTERROTTO",$M24)&gt;0</formula>
    </cfRule>
  </conditionalFormatting>
  <conditionalFormatting sqref="M24">
    <cfRule type="expression" priority="601" dxfId="60">
      <formula>SEARCH("IN CORSO",$M24)&gt;0</formula>
    </cfRule>
    <cfRule type="expression" priority="602" dxfId="59">
      <formula>SEARCH("CHIUSO",$M24)&gt;0</formula>
    </cfRule>
    <cfRule type="expression" priority="603" dxfId="58">
      <formula>SEARCH("EMESSO",$M24)&gt;0</formula>
    </cfRule>
    <cfRule type="expression" priority="604" dxfId="57">
      <formula>SEARCH("RICHIESTO",$M24)&gt;0</formula>
    </cfRule>
    <cfRule type="expression" priority="605" dxfId="56">
      <formula>SEARCH("DA CHIUDERE",$M24)&gt;0</formula>
    </cfRule>
    <cfRule type="expression" priority="606" dxfId="55">
      <formula>SEARCH("INTERROTTO",$M24)&gt;0</formula>
    </cfRule>
  </conditionalFormatting>
  <conditionalFormatting sqref="N23:S23">
    <cfRule type="expression" priority="595" dxfId="60">
      <formula>SEARCH("IN CORSO",$M23)&gt;0</formula>
    </cfRule>
    <cfRule type="expression" priority="596" dxfId="59">
      <formula>SEARCH("CHIUSO",$M23)&gt;0</formula>
    </cfRule>
    <cfRule type="expression" priority="597" dxfId="58">
      <formula>SEARCH("EMESSO",$M23)&gt;0</formula>
    </cfRule>
    <cfRule type="expression" priority="598" dxfId="57">
      <formula>SEARCH("RICHIESTO",$M23)&gt;0</formula>
    </cfRule>
    <cfRule type="expression" priority="599" dxfId="56">
      <formula>SEARCH("DA CHIUDERE",$M23)&gt;0</formula>
    </cfRule>
    <cfRule type="expression" priority="600" dxfId="55">
      <formula>SEARCH("INTERROTTO",$M23)&gt;0</formula>
    </cfRule>
  </conditionalFormatting>
  <conditionalFormatting sqref="G23">
    <cfRule type="expression" priority="583" dxfId="60">
      <formula>SEARCH("IN CORSO",$M23)&gt;0</formula>
    </cfRule>
    <cfRule type="expression" priority="584" dxfId="59">
      <formula>SEARCH("CHIUSO",$M23)&gt;0</formula>
    </cfRule>
    <cfRule type="expression" priority="585" dxfId="58">
      <formula>SEARCH("EMESSO",$M23)&gt;0</formula>
    </cfRule>
    <cfRule type="expression" priority="586" dxfId="57">
      <formula>SEARCH("RICHIESTO",$M23)&gt;0</formula>
    </cfRule>
    <cfRule type="expression" priority="587" dxfId="56">
      <formula>SEARCH("DA CHIUDERE",$M23)&gt;0</formula>
    </cfRule>
    <cfRule type="expression" priority="588" dxfId="55">
      <formula>SEARCH("INTERROTTO",$M23)&gt;0</formula>
    </cfRule>
  </conditionalFormatting>
  <conditionalFormatting sqref="E23">
    <cfRule type="expression" priority="589" dxfId="60">
      <formula>SEARCH("IN CORSO",$M23)&gt;0</formula>
    </cfRule>
    <cfRule type="expression" priority="590" dxfId="59">
      <formula>SEARCH("CHIUSO",$M23)&gt;0</formula>
    </cfRule>
    <cfRule type="expression" priority="591" dxfId="58">
      <formula>SEARCH("EMESSO",$M23)&gt;0</formula>
    </cfRule>
    <cfRule type="expression" priority="592" dxfId="57">
      <formula>SEARCH("RICHIESTO",$M23)&gt;0</formula>
    </cfRule>
    <cfRule type="expression" priority="593" dxfId="56">
      <formula>SEARCH("DA CHIUDERE",$M23)&gt;0</formula>
    </cfRule>
    <cfRule type="expression" priority="594" dxfId="55">
      <formula>SEARCH("INTERROTTO",$M23)&gt;0</formula>
    </cfRule>
  </conditionalFormatting>
  <conditionalFormatting sqref="F23">
    <cfRule type="expression" priority="577" dxfId="60">
      <formula>SEARCH("IN CORSO",$M23)&gt;0</formula>
    </cfRule>
    <cfRule type="expression" priority="578" dxfId="59">
      <formula>SEARCH("CHIUSO",$M23)&gt;0</formula>
    </cfRule>
    <cfRule type="expression" priority="579" dxfId="58">
      <formula>SEARCH("EMESSO",$M23)&gt;0</formula>
    </cfRule>
    <cfRule type="expression" priority="580" dxfId="57">
      <formula>SEARCH("RICHIESTO",$M23)&gt;0</formula>
    </cfRule>
    <cfRule type="expression" priority="581" dxfId="56">
      <formula>SEARCH("DA CHIUDERE",$M23)&gt;0</formula>
    </cfRule>
    <cfRule type="expression" priority="582" dxfId="55">
      <formula>SEARCH("INTERROTTO",$M23)&gt;0</formula>
    </cfRule>
  </conditionalFormatting>
  <conditionalFormatting sqref="M23">
    <cfRule type="expression" priority="571" dxfId="60">
      <formula>SEARCH("IN CORSO",$M23)&gt;0</formula>
    </cfRule>
    <cfRule type="expression" priority="572" dxfId="59">
      <formula>SEARCH("CHIUSO",$M23)&gt;0</formula>
    </cfRule>
    <cfRule type="expression" priority="573" dxfId="58">
      <formula>SEARCH("EMESSO",$M23)&gt;0</formula>
    </cfRule>
    <cfRule type="expression" priority="574" dxfId="57">
      <formula>SEARCH("RICHIESTO",$M23)&gt;0</formula>
    </cfRule>
    <cfRule type="expression" priority="575" dxfId="56">
      <formula>SEARCH("DA CHIUDERE",$M23)&gt;0</formula>
    </cfRule>
    <cfRule type="expression" priority="576" dxfId="55">
      <formula>SEARCH("INTERROTTO",$M23)&gt;0</formula>
    </cfRule>
  </conditionalFormatting>
  <conditionalFormatting sqref="N22:S22">
    <cfRule type="expression" priority="565" dxfId="60">
      <formula>SEARCH("IN CORSO",$M22)&gt;0</formula>
    </cfRule>
    <cfRule type="expression" priority="566" dxfId="59">
      <formula>SEARCH("CHIUSO",$M22)&gt;0</formula>
    </cfRule>
    <cfRule type="expression" priority="567" dxfId="58">
      <formula>SEARCH("EMESSO",$M22)&gt;0</formula>
    </cfRule>
    <cfRule type="expression" priority="568" dxfId="57">
      <formula>SEARCH("RICHIESTO",$M22)&gt;0</formula>
    </cfRule>
    <cfRule type="expression" priority="569" dxfId="56">
      <formula>SEARCH("DA CHIUDERE",$M22)&gt;0</formula>
    </cfRule>
    <cfRule type="expression" priority="570" dxfId="55">
      <formula>SEARCH("INTERROTTO",$M22)&gt;0</formula>
    </cfRule>
  </conditionalFormatting>
  <conditionalFormatting sqref="G22">
    <cfRule type="expression" priority="553" dxfId="60">
      <formula>SEARCH("IN CORSO",$M22)&gt;0</formula>
    </cfRule>
    <cfRule type="expression" priority="554" dxfId="59">
      <formula>SEARCH("CHIUSO",$M22)&gt;0</formula>
    </cfRule>
    <cfRule type="expression" priority="555" dxfId="58">
      <formula>SEARCH("EMESSO",$M22)&gt;0</formula>
    </cfRule>
    <cfRule type="expression" priority="556" dxfId="57">
      <formula>SEARCH("RICHIESTO",$M22)&gt;0</formula>
    </cfRule>
    <cfRule type="expression" priority="557" dxfId="56">
      <formula>SEARCH("DA CHIUDERE",$M22)&gt;0</formula>
    </cfRule>
    <cfRule type="expression" priority="558" dxfId="55">
      <formula>SEARCH("INTERROTTO",$M22)&gt;0</formula>
    </cfRule>
  </conditionalFormatting>
  <conditionalFormatting sqref="E22">
    <cfRule type="expression" priority="559" dxfId="60">
      <formula>SEARCH("IN CORSO",$M22)&gt;0</formula>
    </cfRule>
    <cfRule type="expression" priority="560" dxfId="59">
      <formula>SEARCH("CHIUSO",$M22)&gt;0</formula>
    </cfRule>
    <cfRule type="expression" priority="561" dxfId="58">
      <formula>SEARCH("EMESSO",$M22)&gt;0</formula>
    </cfRule>
    <cfRule type="expression" priority="562" dxfId="57">
      <formula>SEARCH("RICHIESTO",$M22)&gt;0</formula>
    </cfRule>
    <cfRule type="expression" priority="563" dxfId="56">
      <formula>SEARCH("DA CHIUDERE",$M22)&gt;0</formula>
    </cfRule>
    <cfRule type="expression" priority="564" dxfId="55">
      <formula>SEARCH("INTERROTTO",$M22)&gt;0</formula>
    </cfRule>
  </conditionalFormatting>
  <conditionalFormatting sqref="F22">
    <cfRule type="expression" priority="547" dxfId="60">
      <formula>SEARCH("IN CORSO",$M22)&gt;0</formula>
    </cfRule>
    <cfRule type="expression" priority="548" dxfId="59">
      <formula>SEARCH("CHIUSO",$M22)&gt;0</formula>
    </cfRule>
    <cfRule type="expression" priority="549" dxfId="58">
      <formula>SEARCH("EMESSO",$M22)&gt;0</formula>
    </cfRule>
    <cfRule type="expression" priority="550" dxfId="57">
      <formula>SEARCH("RICHIESTO",$M22)&gt;0</formula>
    </cfRule>
    <cfRule type="expression" priority="551" dxfId="56">
      <formula>SEARCH("DA CHIUDERE",$M22)&gt;0</formula>
    </cfRule>
    <cfRule type="expression" priority="552" dxfId="55">
      <formula>SEARCH("INTERROTTO",$M22)&gt;0</formula>
    </cfRule>
  </conditionalFormatting>
  <conditionalFormatting sqref="M22">
    <cfRule type="expression" priority="541" dxfId="60">
      <formula>SEARCH("IN CORSO",$M22)&gt;0</formula>
    </cfRule>
    <cfRule type="expression" priority="542" dxfId="59">
      <formula>SEARCH("CHIUSO",$M22)&gt;0</formula>
    </cfRule>
    <cfRule type="expression" priority="543" dxfId="58">
      <formula>SEARCH("EMESSO",$M22)&gt;0</formula>
    </cfRule>
    <cfRule type="expression" priority="544" dxfId="57">
      <formula>SEARCH("RICHIESTO",$M22)&gt;0</formula>
    </cfRule>
    <cfRule type="expression" priority="545" dxfId="56">
      <formula>SEARCH("DA CHIUDERE",$M22)&gt;0</formula>
    </cfRule>
    <cfRule type="expression" priority="546" dxfId="55">
      <formula>SEARCH("INTERROTTO",$M22)&gt;0</formula>
    </cfRule>
  </conditionalFormatting>
  <conditionalFormatting sqref="N21:S21">
    <cfRule type="expression" priority="535" dxfId="60">
      <formula>SEARCH("IN CORSO",$M21)&gt;0</formula>
    </cfRule>
    <cfRule type="expression" priority="536" dxfId="59">
      <formula>SEARCH("CHIUSO",$M21)&gt;0</formula>
    </cfRule>
    <cfRule type="expression" priority="537" dxfId="58">
      <formula>SEARCH("EMESSO",$M21)&gt;0</formula>
    </cfRule>
    <cfRule type="expression" priority="538" dxfId="57">
      <formula>SEARCH("RICHIESTO",$M21)&gt;0</formula>
    </cfRule>
    <cfRule type="expression" priority="539" dxfId="56">
      <formula>SEARCH("DA CHIUDERE",$M21)&gt;0</formula>
    </cfRule>
    <cfRule type="expression" priority="540" dxfId="55">
      <formula>SEARCH("INTERROTTO",$M21)&gt;0</formula>
    </cfRule>
  </conditionalFormatting>
  <conditionalFormatting sqref="G21">
    <cfRule type="expression" priority="523" dxfId="60">
      <formula>SEARCH("IN CORSO",$M21)&gt;0</formula>
    </cfRule>
    <cfRule type="expression" priority="524" dxfId="59">
      <formula>SEARCH("CHIUSO",$M21)&gt;0</formula>
    </cfRule>
    <cfRule type="expression" priority="525" dxfId="58">
      <formula>SEARCH("EMESSO",$M21)&gt;0</formula>
    </cfRule>
    <cfRule type="expression" priority="526" dxfId="57">
      <formula>SEARCH("RICHIESTO",$M21)&gt;0</formula>
    </cfRule>
    <cfRule type="expression" priority="527" dxfId="56">
      <formula>SEARCH("DA CHIUDERE",$M21)&gt;0</formula>
    </cfRule>
    <cfRule type="expression" priority="528" dxfId="55">
      <formula>SEARCH("INTERROTTO",$M21)&gt;0</formula>
    </cfRule>
  </conditionalFormatting>
  <conditionalFormatting sqref="E21">
    <cfRule type="expression" priority="529" dxfId="60">
      <formula>SEARCH("IN CORSO",$M21)&gt;0</formula>
    </cfRule>
    <cfRule type="expression" priority="530" dxfId="59">
      <formula>SEARCH("CHIUSO",$M21)&gt;0</formula>
    </cfRule>
    <cfRule type="expression" priority="531" dxfId="58">
      <formula>SEARCH("EMESSO",$M21)&gt;0</formula>
    </cfRule>
    <cfRule type="expression" priority="532" dxfId="57">
      <formula>SEARCH("RICHIESTO",$M21)&gt;0</formula>
    </cfRule>
    <cfRule type="expression" priority="533" dxfId="56">
      <formula>SEARCH("DA CHIUDERE",$M21)&gt;0</formula>
    </cfRule>
    <cfRule type="expression" priority="534" dxfId="55">
      <formula>SEARCH("INTERROTTO",$M21)&gt;0</formula>
    </cfRule>
  </conditionalFormatting>
  <conditionalFormatting sqref="F21">
    <cfRule type="expression" priority="517" dxfId="60">
      <formula>SEARCH("IN CORSO",$M21)&gt;0</formula>
    </cfRule>
    <cfRule type="expression" priority="518" dxfId="59">
      <formula>SEARCH("CHIUSO",$M21)&gt;0</formula>
    </cfRule>
    <cfRule type="expression" priority="519" dxfId="58">
      <formula>SEARCH("EMESSO",$M21)&gt;0</formula>
    </cfRule>
    <cfRule type="expression" priority="520" dxfId="57">
      <formula>SEARCH("RICHIESTO",$M21)&gt;0</formula>
    </cfRule>
    <cfRule type="expression" priority="521" dxfId="56">
      <formula>SEARCH("DA CHIUDERE",$M21)&gt;0</formula>
    </cfRule>
    <cfRule type="expression" priority="522" dxfId="55">
      <formula>SEARCH("INTERROTTO",$M21)&gt;0</formula>
    </cfRule>
  </conditionalFormatting>
  <conditionalFormatting sqref="M21">
    <cfRule type="expression" priority="511" dxfId="60">
      <formula>SEARCH("IN CORSO",$M21)&gt;0</formula>
    </cfRule>
    <cfRule type="expression" priority="512" dxfId="59">
      <formula>SEARCH("CHIUSO",$M21)&gt;0</formula>
    </cfRule>
    <cfRule type="expression" priority="513" dxfId="58">
      <formula>SEARCH("EMESSO",$M21)&gt;0</formula>
    </cfRule>
    <cfRule type="expression" priority="514" dxfId="57">
      <formula>SEARCH("RICHIESTO",$M21)&gt;0</formula>
    </cfRule>
    <cfRule type="expression" priority="515" dxfId="56">
      <formula>SEARCH("DA CHIUDERE",$M21)&gt;0</formula>
    </cfRule>
    <cfRule type="expression" priority="516" dxfId="55">
      <formula>SEARCH("INTERROTTO",$M21)&gt;0</formula>
    </cfRule>
  </conditionalFormatting>
  <conditionalFormatting sqref="N20:S20">
    <cfRule type="expression" priority="505" dxfId="60">
      <formula>SEARCH("IN CORSO",$M20)&gt;0</formula>
    </cfRule>
    <cfRule type="expression" priority="506" dxfId="59">
      <formula>SEARCH("CHIUSO",$M20)&gt;0</formula>
    </cfRule>
    <cfRule type="expression" priority="507" dxfId="58">
      <formula>SEARCH("EMESSO",$M20)&gt;0</formula>
    </cfRule>
    <cfRule type="expression" priority="508" dxfId="57">
      <formula>SEARCH("RICHIESTO",$M20)&gt;0</formula>
    </cfRule>
    <cfRule type="expression" priority="509" dxfId="56">
      <formula>SEARCH("DA CHIUDERE",$M20)&gt;0</formula>
    </cfRule>
    <cfRule type="expression" priority="510" dxfId="55">
      <formula>SEARCH("INTERROTTO",$M20)&gt;0</formula>
    </cfRule>
  </conditionalFormatting>
  <conditionalFormatting sqref="G20">
    <cfRule type="expression" priority="493" dxfId="60">
      <formula>SEARCH("IN CORSO",$M20)&gt;0</formula>
    </cfRule>
    <cfRule type="expression" priority="494" dxfId="59">
      <formula>SEARCH("CHIUSO",$M20)&gt;0</formula>
    </cfRule>
    <cfRule type="expression" priority="495" dxfId="58">
      <formula>SEARCH("EMESSO",$M20)&gt;0</formula>
    </cfRule>
    <cfRule type="expression" priority="496" dxfId="57">
      <formula>SEARCH("RICHIESTO",$M20)&gt;0</formula>
    </cfRule>
    <cfRule type="expression" priority="497" dxfId="56">
      <formula>SEARCH("DA CHIUDERE",$M20)&gt;0</formula>
    </cfRule>
    <cfRule type="expression" priority="498" dxfId="55">
      <formula>SEARCH("INTERROTTO",$M20)&gt;0</formula>
    </cfRule>
  </conditionalFormatting>
  <conditionalFormatting sqref="E20">
    <cfRule type="expression" priority="499" dxfId="60">
      <formula>SEARCH("IN CORSO",$M20)&gt;0</formula>
    </cfRule>
    <cfRule type="expression" priority="500" dxfId="59">
      <formula>SEARCH("CHIUSO",$M20)&gt;0</formula>
    </cfRule>
    <cfRule type="expression" priority="501" dxfId="58">
      <formula>SEARCH("EMESSO",$M20)&gt;0</formula>
    </cfRule>
    <cfRule type="expression" priority="502" dxfId="57">
      <formula>SEARCH("RICHIESTO",$M20)&gt;0</formula>
    </cfRule>
    <cfRule type="expression" priority="503" dxfId="56">
      <formula>SEARCH("DA CHIUDERE",$M20)&gt;0</formula>
    </cfRule>
    <cfRule type="expression" priority="504" dxfId="55">
      <formula>SEARCH("INTERROTTO",$M20)&gt;0</formula>
    </cfRule>
  </conditionalFormatting>
  <conditionalFormatting sqref="F20">
    <cfRule type="expression" priority="487" dxfId="60">
      <formula>SEARCH("IN CORSO",$M20)&gt;0</formula>
    </cfRule>
    <cfRule type="expression" priority="488" dxfId="59">
      <formula>SEARCH("CHIUSO",$M20)&gt;0</formula>
    </cfRule>
    <cfRule type="expression" priority="489" dxfId="58">
      <formula>SEARCH("EMESSO",$M20)&gt;0</formula>
    </cfRule>
    <cfRule type="expression" priority="490" dxfId="57">
      <formula>SEARCH("RICHIESTO",$M20)&gt;0</formula>
    </cfRule>
    <cfRule type="expression" priority="491" dxfId="56">
      <formula>SEARCH("DA CHIUDERE",$M20)&gt;0</formula>
    </cfRule>
    <cfRule type="expression" priority="492" dxfId="55">
      <formula>SEARCH("INTERROTTO",$M20)&gt;0</formula>
    </cfRule>
  </conditionalFormatting>
  <conditionalFormatting sqref="M20">
    <cfRule type="expression" priority="481" dxfId="60">
      <formula>SEARCH("IN CORSO",$M20)&gt;0</formula>
    </cfRule>
    <cfRule type="expression" priority="482" dxfId="59">
      <formula>SEARCH("CHIUSO",$M20)&gt;0</formula>
    </cfRule>
    <cfRule type="expression" priority="483" dxfId="58">
      <formula>SEARCH("EMESSO",$M20)&gt;0</formula>
    </cfRule>
    <cfRule type="expression" priority="484" dxfId="57">
      <formula>SEARCH("RICHIESTO",$M20)&gt;0</formula>
    </cfRule>
    <cfRule type="expression" priority="485" dxfId="56">
      <formula>SEARCH("DA CHIUDERE",$M20)&gt;0</formula>
    </cfRule>
    <cfRule type="expression" priority="486" dxfId="55">
      <formula>SEARCH("INTERROTTO",$M20)&gt;0</formula>
    </cfRule>
  </conditionalFormatting>
  <conditionalFormatting sqref="N19:S19">
    <cfRule type="expression" priority="475" dxfId="60">
      <formula>SEARCH("IN CORSO",$M19)&gt;0</formula>
    </cfRule>
    <cfRule type="expression" priority="476" dxfId="59">
      <formula>SEARCH("CHIUSO",$M19)&gt;0</formula>
    </cfRule>
    <cfRule type="expression" priority="477" dxfId="58">
      <formula>SEARCH("EMESSO",$M19)&gt;0</formula>
    </cfRule>
    <cfRule type="expression" priority="478" dxfId="57">
      <formula>SEARCH("RICHIESTO",$M19)&gt;0</formula>
    </cfRule>
    <cfRule type="expression" priority="479" dxfId="56">
      <formula>SEARCH("DA CHIUDERE",$M19)&gt;0</formula>
    </cfRule>
    <cfRule type="expression" priority="480" dxfId="55">
      <formula>SEARCH("INTERROTTO",$M19)&gt;0</formula>
    </cfRule>
  </conditionalFormatting>
  <conditionalFormatting sqref="G19">
    <cfRule type="expression" priority="463" dxfId="60">
      <formula>SEARCH("IN CORSO",$M19)&gt;0</formula>
    </cfRule>
    <cfRule type="expression" priority="464" dxfId="59">
      <formula>SEARCH("CHIUSO",$M19)&gt;0</formula>
    </cfRule>
    <cfRule type="expression" priority="465" dxfId="58">
      <formula>SEARCH("EMESSO",$M19)&gt;0</formula>
    </cfRule>
    <cfRule type="expression" priority="466" dxfId="57">
      <formula>SEARCH("RICHIESTO",$M19)&gt;0</formula>
    </cfRule>
    <cfRule type="expression" priority="467" dxfId="56">
      <formula>SEARCH("DA CHIUDERE",$M19)&gt;0</formula>
    </cfRule>
    <cfRule type="expression" priority="468" dxfId="55">
      <formula>SEARCH("INTERROTTO",$M19)&gt;0</formula>
    </cfRule>
  </conditionalFormatting>
  <conditionalFormatting sqref="E19">
    <cfRule type="expression" priority="469" dxfId="60">
      <formula>SEARCH("IN CORSO",$M19)&gt;0</formula>
    </cfRule>
    <cfRule type="expression" priority="470" dxfId="59">
      <formula>SEARCH("CHIUSO",$M19)&gt;0</formula>
    </cfRule>
    <cfRule type="expression" priority="471" dxfId="58">
      <formula>SEARCH("EMESSO",$M19)&gt;0</formula>
    </cfRule>
    <cfRule type="expression" priority="472" dxfId="57">
      <formula>SEARCH("RICHIESTO",$M19)&gt;0</formula>
    </cfRule>
    <cfRule type="expression" priority="473" dxfId="56">
      <formula>SEARCH("DA CHIUDERE",$M19)&gt;0</formula>
    </cfRule>
    <cfRule type="expression" priority="474" dxfId="55">
      <formula>SEARCH("INTERROTTO",$M19)&gt;0</formula>
    </cfRule>
  </conditionalFormatting>
  <conditionalFormatting sqref="F19">
    <cfRule type="expression" priority="457" dxfId="60">
      <formula>SEARCH("IN CORSO",$M19)&gt;0</formula>
    </cfRule>
    <cfRule type="expression" priority="458" dxfId="59">
      <formula>SEARCH("CHIUSO",$M19)&gt;0</formula>
    </cfRule>
    <cfRule type="expression" priority="459" dxfId="58">
      <formula>SEARCH("EMESSO",$M19)&gt;0</formula>
    </cfRule>
    <cfRule type="expression" priority="460" dxfId="57">
      <formula>SEARCH("RICHIESTO",$M19)&gt;0</formula>
    </cfRule>
    <cfRule type="expression" priority="461" dxfId="56">
      <formula>SEARCH("DA CHIUDERE",$M19)&gt;0</formula>
    </cfRule>
    <cfRule type="expression" priority="462" dxfId="55">
      <formula>SEARCH("INTERROTTO",$M19)&gt;0</formula>
    </cfRule>
  </conditionalFormatting>
  <conditionalFormatting sqref="M19">
    <cfRule type="expression" priority="451" dxfId="60">
      <formula>SEARCH("IN CORSO",$M19)&gt;0</formula>
    </cfRule>
    <cfRule type="expression" priority="452" dxfId="59">
      <formula>SEARCH("CHIUSO",$M19)&gt;0</formula>
    </cfRule>
    <cfRule type="expression" priority="453" dxfId="58">
      <formula>SEARCH("EMESSO",$M19)&gt;0</formula>
    </cfRule>
    <cfRule type="expression" priority="454" dxfId="57">
      <formula>SEARCH("RICHIESTO",$M19)&gt;0</formula>
    </cfRule>
    <cfRule type="expression" priority="455" dxfId="56">
      <formula>SEARCH("DA CHIUDERE",$M19)&gt;0</formula>
    </cfRule>
    <cfRule type="expression" priority="456" dxfId="55">
      <formula>SEARCH("INTERROTTO",$M19)&gt;0</formula>
    </cfRule>
  </conditionalFormatting>
  <conditionalFormatting sqref="N18:S18">
    <cfRule type="expression" priority="445" dxfId="60">
      <formula>SEARCH("IN CORSO",$M18)&gt;0</formula>
    </cfRule>
    <cfRule type="expression" priority="446" dxfId="59">
      <formula>SEARCH("CHIUSO",$M18)&gt;0</formula>
    </cfRule>
    <cfRule type="expression" priority="447" dxfId="58">
      <formula>SEARCH("EMESSO",$M18)&gt;0</formula>
    </cfRule>
    <cfRule type="expression" priority="448" dxfId="57">
      <formula>SEARCH("RICHIESTO",$M18)&gt;0</formula>
    </cfRule>
    <cfRule type="expression" priority="449" dxfId="56">
      <formula>SEARCH("DA CHIUDERE",$M18)&gt;0</formula>
    </cfRule>
    <cfRule type="expression" priority="450" dxfId="55">
      <formula>SEARCH("INTERROTTO",$M18)&gt;0</formula>
    </cfRule>
  </conditionalFormatting>
  <conditionalFormatting sqref="G18">
    <cfRule type="expression" priority="433" dxfId="60">
      <formula>SEARCH("IN CORSO",$M18)&gt;0</formula>
    </cfRule>
    <cfRule type="expression" priority="434" dxfId="59">
      <formula>SEARCH("CHIUSO",$M18)&gt;0</formula>
    </cfRule>
    <cfRule type="expression" priority="435" dxfId="58">
      <formula>SEARCH("EMESSO",$M18)&gt;0</formula>
    </cfRule>
    <cfRule type="expression" priority="436" dxfId="57">
      <formula>SEARCH("RICHIESTO",$M18)&gt;0</formula>
    </cfRule>
    <cfRule type="expression" priority="437" dxfId="56">
      <formula>SEARCH("DA CHIUDERE",$M18)&gt;0</formula>
    </cfRule>
    <cfRule type="expression" priority="438" dxfId="55">
      <formula>SEARCH("INTERROTTO",$M18)&gt;0</formula>
    </cfRule>
  </conditionalFormatting>
  <conditionalFormatting sqref="E18">
    <cfRule type="expression" priority="439" dxfId="60">
      <formula>SEARCH("IN CORSO",$M18)&gt;0</formula>
    </cfRule>
    <cfRule type="expression" priority="440" dxfId="59">
      <formula>SEARCH("CHIUSO",$M18)&gt;0</formula>
    </cfRule>
    <cfRule type="expression" priority="441" dxfId="58">
      <formula>SEARCH("EMESSO",$M18)&gt;0</formula>
    </cfRule>
    <cfRule type="expression" priority="442" dxfId="57">
      <formula>SEARCH("RICHIESTO",$M18)&gt;0</formula>
    </cfRule>
    <cfRule type="expression" priority="443" dxfId="56">
      <formula>SEARCH("DA CHIUDERE",$M18)&gt;0</formula>
    </cfRule>
    <cfRule type="expression" priority="444" dxfId="55">
      <formula>SEARCH("INTERROTTO",$M18)&gt;0</formula>
    </cfRule>
  </conditionalFormatting>
  <conditionalFormatting sqref="F18">
    <cfRule type="expression" priority="427" dxfId="60">
      <formula>SEARCH("IN CORSO",$M18)&gt;0</formula>
    </cfRule>
    <cfRule type="expression" priority="428" dxfId="59">
      <formula>SEARCH("CHIUSO",$M18)&gt;0</formula>
    </cfRule>
    <cfRule type="expression" priority="429" dxfId="58">
      <formula>SEARCH("EMESSO",$M18)&gt;0</formula>
    </cfRule>
    <cfRule type="expression" priority="430" dxfId="57">
      <formula>SEARCH("RICHIESTO",$M18)&gt;0</formula>
    </cfRule>
    <cfRule type="expression" priority="431" dxfId="56">
      <formula>SEARCH("DA CHIUDERE",$M18)&gt;0</formula>
    </cfRule>
    <cfRule type="expression" priority="432" dxfId="55">
      <formula>SEARCH("INTERROTTO",$M18)&gt;0</formula>
    </cfRule>
  </conditionalFormatting>
  <conditionalFormatting sqref="M18">
    <cfRule type="expression" priority="421" dxfId="60">
      <formula>SEARCH("IN CORSO",$M18)&gt;0</formula>
    </cfRule>
    <cfRule type="expression" priority="422" dxfId="59">
      <formula>SEARCH("CHIUSO",$M18)&gt;0</formula>
    </cfRule>
    <cfRule type="expression" priority="423" dxfId="58">
      <formula>SEARCH("EMESSO",$M18)&gt;0</formula>
    </cfRule>
    <cfRule type="expression" priority="424" dxfId="57">
      <formula>SEARCH("RICHIESTO",$M18)&gt;0</formula>
    </cfRule>
    <cfRule type="expression" priority="425" dxfId="56">
      <formula>SEARCH("DA CHIUDERE",$M18)&gt;0</formula>
    </cfRule>
    <cfRule type="expression" priority="426" dxfId="55">
      <formula>SEARCH("INTERROTTO",$M18)&gt;0</formula>
    </cfRule>
  </conditionalFormatting>
  <conditionalFormatting sqref="N17:S17">
    <cfRule type="expression" priority="415" dxfId="60">
      <formula>SEARCH("IN CORSO",$M17)&gt;0</formula>
    </cfRule>
    <cfRule type="expression" priority="416" dxfId="59">
      <formula>SEARCH("CHIUSO",$M17)&gt;0</formula>
    </cfRule>
    <cfRule type="expression" priority="417" dxfId="58">
      <formula>SEARCH("EMESSO",$M17)&gt;0</formula>
    </cfRule>
    <cfRule type="expression" priority="418" dxfId="57">
      <formula>SEARCH("RICHIESTO",$M17)&gt;0</formula>
    </cfRule>
    <cfRule type="expression" priority="419" dxfId="56">
      <formula>SEARCH("DA CHIUDERE",$M17)&gt;0</formula>
    </cfRule>
    <cfRule type="expression" priority="420" dxfId="55">
      <formula>SEARCH("INTERROTTO",$M17)&gt;0</formula>
    </cfRule>
  </conditionalFormatting>
  <conditionalFormatting sqref="G17">
    <cfRule type="expression" priority="403" dxfId="60">
      <formula>SEARCH("IN CORSO",$M17)&gt;0</formula>
    </cfRule>
    <cfRule type="expression" priority="404" dxfId="59">
      <formula>SEARCH("CHIUSO",$M17)&gt;0</formula>
    </cfRule>
    <cfRule type="expression" priority="405" dxfId="58">
      <formula>SEARCH("EMESSO",$M17)&gt;0</formula>
    </cfRule>
    <cfRule type="expression" priority="406" dxfId="57">
      <formula>SEARCH("RICHIESTO",$M17)&gt;0</formula>
    </cfRule>
    <cfRule type="expression" priority="407" dxfId="56">
      <formula>SEARCH("DA CHIUDERE",$M17)&gt;0</formula>
    </cfRule>
    <cfRule type="expression" priority="408" dxfId="55">
      <formula>SEARCH("INTERROTTO",$M17)&gt;0</formula>
    </cfRule>
  </conditionalFormatting>
  <conditionalFormatting sqref="E17">
    <cfRule type="expression" priority="409" dxfId="60">
      <formula>SEARCH("IN CORSO",$M17)&gt;0</formula>
    </cfRule>
    <cfRule type="expression" priority="410" dxfId="59">
      <formula>SEARCH("CHIUSO",$M17)&gt;0</formula>
    </cfRule>
    <cfRule type="expression" priority="411" dxfId="58">
      <formula>SEARCH("EMESSO",$M17)&gt;0</formula>
    </cfRule>
    <cfRule type="expression" priority="412" dxfId="57">
      <formula>SEARCH("RICHIESTO",$M17)&gt;0</formula>
    </cfRule>
    <cfRule type="expression" priority="413" dxfId="56">
      <formula>SEARCH("DA CHIUDERE",$M17)&gt;0</formula>
    </cfRule>
    <cfRule type="expression" priority="414" dxfId="55">
      <formula>SEARCH("INTERROTTO",$M17)&gt;0</formula>
    </cfRule>
  </conditionalFormatting>
  <conditionalFormatting sqref="F17">
    <cfRule type="expression" priority="397" dxfId="60">
      <formula>SEARCH("IN CORSO",$M17)&gt;0</formula>
    </cfRule>
    <cfRule type="expression" priority="398" dxfId="59">
      <formula>SEARCH("CHIUSO",$M17)&gt;0</formula>
    </cfRule>
    <cfRule type="expression" priority="399" dxfId="58">
      <formula>SEARCH("EMESSO",$M17)&gt;0</formula>
    </cfRule>
    <cfRule type="expression" priority="400" dxfId="57">
      <formula>SEARCH("RICHIESTO",$M17)&gt;0</formula>
    </cfRule>
    <cfRule type="expression" priority="401" dxfId="56">
      <formula>SEARCH("DA CHIUDERE",$M17)&gt;0</formula>
    </cfRule>
    <cfRule type="expression" priority="402" dxfId="55">
      <formula>SEARCH("INTERROTTO",$M17)&gt;0</formula>
    </cfRule>
  </conditionalFormatting>
  <conditionalFormatting sqref="M17">
    <cfRule type="expression" priority="391" dxfId="60">
      <formula>SEARCH("IN CORSO",$M17)&gt;0</formula>
    </cfRule>
    <cfRule type="expression" priority="392" dxfId="59">
      <formula>SEARCH("CHIUSO",$M17)&gt;0</formula>
    </cfRule>
    <cfRule type="expression" priority="393" dxfId="58">
      <formula>SEARCH("EMESSO",$M17)&gt;0</formula>
    </cfRule>
    <cfRule type="expression" priority="394" dxfId="57">
      <formula>SEARCH("RICHIESTO",$M17)&gt;0</formula>
    </cfRule>
    <cfRule type="expression" priority="395" dxfId="56">
      <formula>SEARCH("DA CHIUDERE",$M17)&gt;0</formula>
    </cfRule>
    <cfRule type="expression" priority="396" dxfId="55">
      <formula>SEARCH("INTERROTTO",$M17)&gt;0</formula>
    </cfRule>
  </conditionalFormatting>
  <conditionalFormatting sqref="N16:S16">
    <cfRule type="expression" priority="385" dxfId="60">
      <formula>SEARCH("IN CORSO",$M16)&gt;0</formula>
    </cfRule>
    <cfRule type="expression" priority="386" dxfId="59">
      <formula>SEARCH("CHIUSO",$M16)&gt;0</formula>
    </cfRule>
    <cfRule type="expression" priority="387" dxfId="58">
      <formula>SEARCH("EMESSO",$M16)&gt;0</formula>
    </cfRule>
    <cfRule type="expression" priority="388" dxfId="57">
      <formula>SEARCH("RICHIESTO",$M16)&gt;0</formula>
    </cfRule>
    <cfRule type="expression" priority="389" dxfId="56">
      <formula>SEARCH("DA CHIUDERE",$M16)&gt;0</formula>
    </cfRule>
    <cfRule type="expression" priority="390" dxfId="55">
      <formula>SEARCH("INTERROTTO",$M16)&gt;0</formula>
    </cfRule>
  </conditionalFormatting>
  <conditionalFormatting sqref="G16">
    <cfRule type="expression" priority="373" dxfId="60">
      <formula>SEARCH("IN CORSO",$M16)&gt;0</formula>
    </cfRule>
    <cfRule type="expression" priority="374" dxfId="59">
      <formula>SEARCH("CHIUSO",$M16)&gt;0</formula>
    </cfRule>
    <cfRule type="expression" priority="375" dxfId="58">
      <formula>SEARCH("EMESSO",$M16)&gt;0</formula>
    </cfRule>
    <cfRule type="expression" priority="376" dxfId="57">
      <formula>SEARCH("RICHIESTO",$M16)&gt;0</formula>
    </cfRule>
    <cfRule type="expression" priority="377" dxfId="56">
      <formula>SEARCH("DA CHIUDERE",$M16)&gt;0</formula>
    </cfRule>
    <cfRule type="expression" priority="378" dxfId="55">
      <formula>SEARCH("INTERROTTO",$M16)&gt;0</formula>
    </cfRule>
  </conditionalFormatting>
  <conditionalFormatting sqref="E16">
    <cfRule type="expression" priority="379" dxfId="60">
      <formula>SEARCH("IN CORSO",$M16)&gt;0</formula>
    </cfRule>
    <cfRule type="expression" priority="380" dxfId="59">
      <formula>SEARCH("CHIUSO",$M16)&gt;0</formula>
    </cfRule>
    <cfRule type="expression" priority="381" dxfId="58">
      <formula>SEARCH("EMESSO",$M16)&gt;0</formula>
    </cfRule>
    <cfRule type="expression" priority="382" dxfId="57">
      <formula>SEARCH("RICHIESTO",$M16)&gt;0</formula>
    </cfRule>
    <cfRule type="expression" priority="383" dxfId="56">
      <formula>SEARCH("DA CHIUDERE",$M16)&gt;0</formula>
    </cfRule>
    <cfRule type="expression" priority="384" dxfId="55">
      <formula>SEARCH("INTERROTTO",$M16)&gt;0</formula>
    </cfRule>
  </conditionalFormatting>
  <conditionalFormatting sqref="F16">
    <cfRule type="expression" priority="367" dxfId="60">
      <formula>SEARCH("IN CORSO",$M16)&gt;0</formula>
    </cfRule>
    <cfRule type="expression" priority="368" dxfId="59">
      <formula>SEARCH("CHIUSO",$M16)&gt;0</formula>
    </cfRule>
    <cfRule type="expression" priority="369" dxfId="58">
      <formula>SEARCH("EMESSO",$M16)&gt;0</formula>
    </cfRule>
    <cfRule type="expression" priority="370" dxfId="57">
      <formula>SEARCH("RICHIESTO",$M16)&gt;0</formula>
    </cfRule>
    <cfRule type="expression" priority="371" dxfId="56">
      <formula>SEARCH("DA CHIUDERE",$M16)&gt;0</formula>
    </cfRule>
    <cfRule type="expression" priority="372" dxfId="55">
      <formula>SEARCH("INTERROTTO",$M16)&gt;0</formula>
    </cfRule>
  </conditionalFormatting>
  <conditionalFormatting sqref="M16">
    <cfRule type="expression" priority="361" dxfId="60">
      <formula>SEARCH("IN CORSO",$M16)&gt;0</formula>
    </cfRule>
    <cfRule type="expression" priority="362" dxfId="59">
      <formula>SEARCH("CHIUSO",$M16)&gt;0</formula>
    </cfRule>
    <cfRule type="expression" priority="363" dxfId="58">
      <formula>SEARCH("EMESSO",$M16)&gt;0</formula>
    </cfRule>
    <cfRule type="expression" priority="364" dxfId="57">
      <formula>SEARCH("RICHIESTO",$M16)&gt;0</formula>
    </cfRule>
    <cfRule type="expression" priority="365" dxfId="56">
      <formula>SEARCH("DA CHIUDERE",$M16)&gt;0</formula>
    </cfRule>
    <cfRule type="expression" priority="366" dxfId="55">
      <formula>SEARCH("INTERROTTO",$M16)&gt;0</formula>
    </cfRule>
  </conditionalFormatting>
  <conditionalFormatting sqref="N15:S15">
    <cfRule type="expression" priority="355" dxfId="60">
      <formula>SEARCH("IN CORSO",$M15)&gt;0</formula>
    </cfRule>
    <cfRule type="expression" priority="356" dxfId="59">
      <formula>SEARCH("CHIUSO",$M15)&gt;0</formula>
    </cfRule>
    <cfRule type="expression" priority="357" dxfId="58">
      <formula>SEARCH("EMESSO",$M15)&gt;0</formula>
    </cfRule>
    <cfRule type="expression" priority="358" dxfId="57">
      <formula>SEARCH("RICHIESTO",$M15)&gt;0</formula>
    </cfRule>
    <cfRule type="expression" priority="359" dxfId="56">
      <formula>SEARCH("DA CHIUDERE",$M15)&gt;0</formula>
    </cfRule>
    <cfRule type="expression" priority="360" dxfId="55">
      <formula>SEARCH("INTERROTTO",$M15)&gt;0</formula>
    </cfRule>
  </conditionalFormatting>
  <conditionalFormatting sqref="G15">
    <cfRule type="expression" priority="343" dxfId="60">
      <formula>SEARCH("IN CORSO",$M15)&gt;0</formula>
    </cfRule>
    <cfRule type="expression" priority="344" dxfId="59">
      <formula>SEARCH("CHIUSO",$M15)&gt;0</formula>
    </cfRule>
    <cfRule type="expression" priority="345" dxfId="58">
      <formula>SEARCH("EMESSO",$M15)&gt;0</formula>
    </cfRule>
    <cfRule type="expression" priority="346" dxfId="57">
      <formula>SEARCH("RICHIESTO",$M15)&gt;0</formula>
    </cfRule>
    <cfRule type="expression" priority="347" dxfId="56">
      <formula>SEARCH("DA CHIUDERE",$M15)&gt;0</formula>
    </cfRule>
    <cfRule type="expression" priority="348" dxfId="55">
      <formula>SEARCH("INTERROTTO",$M15)&gt;0</formula>
    </cfRule>
  </conditionalFormatting>
  <conditionalFormatting sqref="E15">
    <cfRule type="expression" priority="349" dxfId="60">
      <formula>SEARCH("IN CORSO",$M15)&gt;0</formula>
    </cfRule>
    <cfRule type="expression" priority="350" dxfId="59">
      <formula>SEARCH("CHIUSO",$M15)&gt;0</formula>
    </cfRule>
    <cfRule type="expression" priority="351" dxfId="58">
      <formula>SEARCH("EMESSO",$M15)&gt;0</formula>
    </cfRule>
    <cfRule type="expression" priority="352" dxfId="57">
      <formula>SEARCH("RICHIESTO",$M15)&gt;0</formula>
    </cfRule>
    <cfRule type="expression" priority="353" dxfId="56">
      <formula>SEARCH("DA CHIUDERE",$M15)&gt;0</formula>
    </cfRule>
    <cfRule type="expression" priority="354" dxfId="55">
      <formula>SEARCH("INTERROTTO",$M15)&gt;0</formula>
    </cfRule>
  </conditionalFormatting>
  <conditionalFormatting sqref="F15">
    <cfRule type="expression" priority="337" dxfId="60">
      <formula>SEARCH("IN CORSO",$M15)&gt;0</formula>
    </cfRule>
    <cfRule type="expression" priority="338" dxfId="59">
      <formula>SEARCH("CHIUSO",$M15)&gt;0</formula>
    </cfRule>
    <cfRule type="expression" priority="339" dxfId="58">
      <formula>SEARCH("EMESSO",$M15)&gt;0</formula>
    </cfRule>
    <cfRule type="expression" priority="340" dxfId="57">
      <formula>SEARCH("RICHIESTO",$M15)&gt;0</formula>
    </cfRule>
    <cfRule type="expression" priority="341" dxfId="56">
      <formula>SEARCH("DA CHIUDERE",$M15)&gt;0</formula>
    </cfRule>
    <cfRule type="expression" priority="342" dxfId="55">
      <formula>SEARCH("INTERROTTO",$M15)&gt;0</formula>
    </cfRule>
  </conditionalFormatting>
  <conditionalFormatting sqref="M15">
    <cfRule type="expression" priority="331" dxfId="60">
      <formula>SEARCH("IN CORSO",$M15)&gt;0</formula>
    </cfRule>
    <cfRule type="expression" priority="332" dxfId="59">
      <formula>SEARCH("CHIUSO",$M15)&gt;0</formula>
    </cfRule>
    <cfRule type="expression" priority="333" dxfId="58">
      <formula>SEARCH("EMESSO",$M15)&gt;0</formula>
    </cfRule>
    <cfRule type="expression" priority="334" dxfId="57">
      <formula>SEARCH("RICHIESTO",$M15)&gt;0</formula>
    </cfRule>
    <cfRule type="expression" priority="335" dxfId="56">
      <formula>SEARCH("DA CHIUDERE",$M15)&gt;0</formula>
    </cfRule>
    <cfRule type="expression" priority="336" dxfId="55">
      <formula>SEARCH("INTERROTTO",$M15)&gt;0</formula>
    </cfRule>
  </conditionalFormatting>
  <conditionalFormatting sqref="N14:S14">
    <cfRule type="expression" priority="325" dxfId="60">
      <formula>SEARCH("IN CORSO",$M14)&gt;0</formula>
    </cfRule>
    <cfRule type="expression" priority="326" dxfId="59">
      <formula>SEARCH("CHIUSO",$M14)&gt;0</formula>
    </cfRule>
    <cfRule type="expression" priority="327" dxfId="58">
      <formula>SEARCH("EMESSO",$M14)&gt;0</formula>
    </cfRule>
    <cfRule type="expression" priority="328" dxfId="57">
      <formula>SEARCH("RICHIESTO",$M14)&gt;0</formula>
    </cfRule>
    <cfRule type="expression" priority="329" dxfId="56">
      <formula>SEARCH("DA CHIUDERE",$M14)&gt;0</formula>
    </cfRule>
    <cfRule type="expression" priority="330" dxfId="55">
      <formula>SEARCH("INTERROTTO",$M14)&gt;0</formula>
    </cfRule>
  </conditionalFormatting>
  <conditionalFormatting sqref="G14">
    <cfRule type="expression" priority="313" dxfId="60">
      <formula>SEARCH("IN CORSO",$M14)&gt;0</formula>
    </cfRule>
    <cfRule type="expression" priority="314" dxfId="59">
      <formula>SEARCH("CHIUSO",$M14)&gt;0</formula>
    </cfRule>
    <cfRule type="expression" priority="315" dxfId="58">
      <formula>SEARCH("EMESSO",$M14)&gt;0</formula>
    </cfRule>
    <cfRule type="expression" priority="316" dxfId="57">
      <formula>SEARCH("RICHIESTO",$M14)&gt;0</formula>
    </cfRule>
    <cfRule type="expression" priority="317" dxfId="56">
      <formula>SEARCH("DA CHIUDERE",$M14)&gt;0</formula>
    </cfRule>
    <cfRule type="expression" priority="318" dxfId="55">
      <formula>SEARCH("INTERROTTO",$M14)&gt;0</formula>
    </cfRule>
  </conditionalFormatting>
  <conditionalFormatting sqref="E14">
    <cfRule type="expression" priority="319" dxfId="60">
      <formula>SEARCH("IN CORSO",$M14)&gt;0</formula>
    </cfRule>
    <cfRule type="expression" priority="320" dxfId="59">
      <formula>SEARCH("CHIUSO",$M14)&gt;0</formula>
    </cfRule>
    <cfRule type="expression" priority="321" dxfId="58">
      <formula>SEARCH("EMESSO",$M14)&gt;0</formula>
    </cfRule>
    <cfRule type="expression" priority="322" dxfId="57">
      <formula>SEARCH("RICHIESTO",$M14)&gt;0</formula>
    </cfRule>
    <cfRule type="expression" priority="323" dxfId="56">
      <formula>SEARCH("DA CHIUDERE",$M14)&gt;0</formula>
    </cfRule>
    <cfRule type="expression" priority="324" dxfId="55">
      <formula>SEARCH("INTERROTTO",$M14)&gt;0</formula>
    </cfRule>
  </conditionalFormatting>
  <conditionalFormatting sqref="F14">
    <cfRule type="expression" priority="307" dxfId="60">
      <formula>SEARCH("IN CORSO",$M14)&gt;0</formula>
    </cfRule>
    <cfRule type="expression" priority="308" dxfId="59">
      <formula>SEARCH("CHIUSO",$M14)&gt;0</formula>
    </cfRule>
    <cfRule type="expression" priority="309" dxfId="58">
      <formula>SEARCH("EMESSO",$M14)&gt;0</formula>
    </cfRule>
    <cfRule type="expression" priority="310" dxfId="57">
      <formula>SEARCH("RICHIESTO",$M14)&gt;0</formula>
    </cfRule>
    <cfRule type="expression" priority="311" dxfId="56">
      <formula>SEARCH("DA CHIUDERE",$M14)&gt;0</formula>
    </cfRule>
    <cfRule type="expression" priority="312" dxfId="55">
      <formula>SEARCH("INTERROTTO",$M14)&gt;0</formula>
    </cfRule>
  </conditionalFormatting>
  <conditionalFormatting sqref="M14">
    <cfRule type="expression" priority="301" dxfId="60">
      <formula>SEARCH("IN CORSO",$M14)&gt;0</formula>
    </cfRule>
    <cfRule type="expression" priority="302" dxfId="59">
      <formula>SEARCH("CHIUSO",$M14)&gt;0</formula>
    </cfRule>
    <cfRule type="expression" priority="303" dxfId="58">
      <formula>SEARCH("EMESSO",$M14)&gt;0</formula>
    </cfRule>
    <cfRule type="expression" priority="304" dxfId="57">
      <formula>SEARCH("RICHIESTO",$M14)&gt;0</formula>
    </cfRule>
    <cfRule type="expression" priority="305" dxfId="56">
      <formula>SEARCH("DA CHIUDERE",$M14)&gt;0</formula>
    </cfRule>
    <cfRule type="expression" priority="306" dxfId="55">
      <formula>SEARCH("INTERROTTO",$M14)&gt;0</formula>
    </cfRule>
  </conditionalFormatting>
  <conditionalFormatting sqref="N13:S13">
    <cfRule type="expression" priority="295" dxfId="60">
      <formula>SEARCH("IN CORSO",$M13)&gt;0</formula>
    </cfRule>
    <cfRule type="expression" priority="296" dxfId="59">
      <formula>SEARCH("CHIUSO",$M13)&gt;0</formula>
    </cfRule>
    <cfRule type="expression" priority="297" dxfId="58">
      <formula>SEARCH("EMESSO",$M13)&gt;0</formula>
    </cfRule>
    <cfRule type="expression" priority="298" dxfId="57">
      <formula>SEARCH("RICHIESTO",$M13)&gt;0</formula>
    </cfRule>
    <cfRule type="expression" priority="299" dxfId="56">
      <formula>SEARCH("DA CHIUDERE",$M13)&gt;0</formula>
    </cfRule>
    <cfRule type="expression" priority="300" dxfId="55">
      <formula>SEARCH("INTERROTTO",$M13)&gt;0</formula>
    </cfRule>
  </conditionalFormatting>
  <conditionalFormatting sqref="G13">
    <cfRule type="expression" priority="283" dxfId="60">
      <formula>SEARCH("IN CORSO",$M13)&gt;0</formula>
    </cfRule>
    <cfRule type="expression" priority="284" dxfId="59">
      <formula>SEARCH("CHIUSO",$M13)&gt;0</formula>
    </cfRule>
    <cfRule type="expression" priority="285" dxfId="58">
      <formula>SEARCH("EMESSO",$M13)&gt;0</formula>
    </cfRule>
    <cfRule type="expression" priority="286" dxfId="57">
      <formula>SEARCH("RICHIESTO",$M13)&gt;0</formula>
    </cfRule>
    <cfRule type="expression" priority="287" dxfId="56">
      <formula>SEARCH("DA CHIUDERE",$M13)&gt;0</formula>
    </cfRule>
    <cfRule type="expression" priority="288" dxfId="55">
      <formula>SEARCH("INTERROTTO",$M13)&gt;0</formula>
    </cfRule>
  </conditionalFormatting>
  <conditionalFormatting sqref="E13">
    <cfRule type="expression" priority="289" dxfId="60">
      <formula>SEARCH("IN CORSO",$M13)&gt;0</formula>
    </cfRule>
    <cfRule type="expression" priority="290" dxfId="59">
      <formula>SEARCH("CHIUSO",$M13)&gt;0</formula>
    </cfRule>
    <cfRule type="expression" priority="291" dxfId="58">
      <formula>SEARCH("EMESSO",$M13)&gt;0</formula>
    </cfRule>
    <cfRule type="expression" priority="292" dxfId="57">
      <formula>SEARCH("RICHIESTO",$M13)&gt;0</formula>
    </cfRule>
    <cfRule type="expression" priority="293" dxfId="56">
      <formula>SEARCH("DA CHIUDERE",$M13)&gt;0</formula>
    </cfRule>
    <cfRule type="expression" priority="294" dxfId="55">
      <formula>SEARCH("INTERROTTO",$M13)&gt;0</formula>
    </cfRule>
  </conditionalFormatting>
  <conditionalFormatting sqref="F13">
    <cfRule type="expression" priority="277" dxfId="60">
      <formula>SEARCH("IN CORSO",$M13)&gt;0</formula>
    </cfRule>
    <cfRule type="expression" priority="278" dxfId="59">
      <formula>SEARCH("CHIUSO",$M13)&gt;0</formula>
    </cfRule>
    <cfRule type="expression" priority="279" dxfId="58">
      <formula>SEARCH("EMESSO",$M13)&gt;0</formula>
    </cfRule>
    <cfRule type="expression" priority="280" dxfId="57">
      <formula>SEARCH("RICHIESTO",$M13)&gt;0</formula>
    </cfRule>
    <cfRule type="expression" priority="281" dxfId="56">
      <formula>SEARCH("DA CHIUDERE",$M13)&gt;0</formula>
    </cfRule>
    <cfRule type="expression" priority="282" dxfId="55">
      <formula>SEARCH("INTERROTTO",$M13)&gt;0</formula>
    </cfRule>
  </conditionalFormatting>
  <conditionalFormatting sqref="M13">
    <cfRule type="expression" priority="271" dxfId="60">
      <formula>SEARCH("IN CORSO",$M13)&gt;0</formula>
    </cfRule>
    <cfRule type="expression" priority="272" dxfId="59">
      <formula>SEARCH("CHIUSO",$M13)&gt;0</formula>
    </cfRule>
    <cfRule type="expression" priority="273" dxfId="58">
      <formula>SEARCH("EMESSO",$M13)&gt;0</formula>
    </cfRule>
    <cfRule type="expression" priority="274" dxfId="57">
      <formula>SEARCH("RICHIESTO",$M13)&gt;0</formula>
    </cfRule>
    <cfRule type="expression" priority="275" dxfId="56">
      <formula>SEARCH("DA CHIUDERE",$M13)&gt;0</formula>
    </cfRule>
    <cfRule type="expression" priority="276" dxfId="55">
      <formula>SEARCH("INTERROTTO",$M13)&gt;0</formula>
    </cfRule>
  </conditionalFormatting>
  <conditionalFormatting sqref="N12:S12">
    <cfRule type="expression" priority="265" dxfId="60">
      <formula>SEARCH("IN CORSO",$M12)&gt;0</formula>
    </cfRule>
    <cfRule type="expression" priority="266" dxfId="59">
      <formula>SEARCH("CHIUSO",$M12)&gt;0</formula>
    </cfRule>
    <cfRule type="expression" priority="267" dxfId="58">
      <formula>SEARCH("EMESSO",$M12)&gt;0</formula>
    </cfRule>
    <cfRule type="expression" priority="268" dxfId="57">
      <formula>SEARCH("RICHIESTO",$M12)&gt;0</formula>
    </cfRule>
    <cfRule type="expression" priority="269" dxfId="56">
      <formula>SEARCH("DA CHIUDERE",$M12)&gt;0</formula>
    </cfRule>
    <cfRule type="expression" priority="270" dxfId="55">
      <formula>SEARCH("INTERROTTO",$M12)&gt;0</formula>
    </cfRule>
  </conditionalFormatting>
  <conditionalFormatting sqref="G12">
    <cfRule type="expression" priority="253" dxfId="60">
      <formula>SEARCH("IN CORSO",$M12)&gt;0</formula>
    </cfRule>
    <cfRule type="expression" priority="254" dxfId="59">
      <formula>SEARCH("CHIUSO",$M12)&gt;0</formula>
    </cfRule>
    <cfRule type="expression" priority="255" dxfId="58">
      <formula>SEARCH("EMESSO",$M12)&gt;0</formula>
    </cfRule>
    <cfRule type="expression" priority="256" dxfId="57">
      <formula>SEARCH("RICHIESTO",$M12)&gt;0</formula>
    </cfRule>
    <cfRule type="expression" priority="257" dxfId="56">
      <formula>SEARCH("DA CHIUDERE",$M12)&gt;0</formula>
    </cfRule>
    <cfRule type="expression" priority="258" dxfId="55">
      <formula>SEARCH("INTERROTTO",$M12)&gt;0</formula>
    </cfRule>
  </conditionalFormatting>
  <conditionalFormatting sqref="E12">
    <cfRule type="expression" priority="259" dxfId="60">
      <formula>SEARCH("IN CORSO",$M12)&gt;0</formula>
    </cfRule>
    <cfRule type="expression" priority="260" dxfId="59">
      <formula>SEARCH("CHIUSO",$M12)&gt;0</formula>
    </cfRule>
    <cfRule type="expression" priority="261" dxfId="58">
      <formula>SEARCH("EMESSO",$M12)&gt;0</formula>
    </cfRule>
    <cfRule type="expression" priority="262" dxfId="57">
      <formula>SEARCH("RICHIESTO",$M12)&gt;0</formula>
    </cfRule>
    <cfRule type="expression" priority="263" dxfId="56">
      <formula>SEARCH("DA CHIUDERE",$M12)&gt;0</formula>
    </cfRule>
    <cfRule type="expression" priority="264" dxfId="55">
      <formula>SEARCH("INTERROTTO",$M12)&gt;0</formula>
    </cfRule>
  </conditionalFormatting>
  <conditionalFormatting sqref="F12">
    <cfRule type="expression" priority="247" dxfId="60">
      <formula>SEARCH("IN CORSO",$M12)&gt;0</formula>
    </cfRule>
    <cfRule type="expression" priority="248" dxfId="59">
      <formula>SEARCH("CHIUSO",$M12)&gt;0</formula>
    </cfRule>
    <cfRule type="expression" priority="249" dxfId="58">
      <formula>SEARCH("EMESSO",$M12)&gt;0</formula>
    </cfRule>
    <cfRule type="expression" priority="250" dxfId="57">
      <formula>SEARCH("RICHIESTO",$M12)&gt;0</formula>
    </cfRule>
    <cfRule type="expression" priority="251" dxfId="56">
      <formula>SEARCH("DA CHIUDERE",$M12)&gt;0</formula>
    </cfRule>
    <cfRule type="expression" priority="252" dxfId="55">
      <formula>SEARCH("INTERROTTO",$M12)&gt;0</formula>
    </cfRule>
  </conditionalFormatting>
  <conditionalFormatting sqref="M12">
    <cfRule type="expression" priority="241" dxfId="60">
      <formula>SEARCH("IN CORSO",$M12)&gt;0</formula>
    </cfRule>
    <cfRule type="expression" priority="242" dxfId="59">
      <formula>SEARCH("CHIUSO",$M12)&gt;0</formula>
    </cfRule>
    <cfRule type="expression" priority="243" dxfId="58">
      <formula>SEARCH("EMESSO",$M12)&gt;0</formula>
    </cfRule>
    <cfRule type="expression" priority="244" dxfId="57">
      <formula>SEARCH("RICHIESTO",$M12)&gt;0</formula>
    </cfRule>
    <cfRule type="expression" priority="245" dxfId="56">
      <formula>SEARCH("DA CHIUDERE",$M12)&gt;0</formula>
    </cfRule>
    <cfRule type="expression" priority="246" dxfId="55">
      <formula>SEARCH("INTERROTTO",$M12)&gt;0</formula>
    </cfRule>
  </conditionalFormatting>
  <conditionalFormatting sqref="N11:S11">
    <cfRule type="expression" priority="235" dxfId="60">
      <formula>SEARCH("IN CORSO",$M11)&gt;0</formula>
    </cfRule>
    <cfRule type="expression" priority="236" dxfId="59">
      <formula>SEARCH("CHIUSO",$M11)&gt;0</formula>
    </cfRule>
    <cfRule type="expression" priority="237" dxfId="58">
      <formula>SEARCH("EMESSO",$M11)&gt;0</formula>
    </cfRule>
    <cfRule type="expression" priority="238" dxfId="57">
      <formula>SEARCH("RICHIESTO",$M11)&gt;0</formula>
    </cfRule>
    <cfRule type="expression" priority="239" dxfId="56">
      <formula>SEARCH("DA CHIUDERE",$M11)&gt;0</formula>
    </cfRule>
    <cfRule type="expression" priority="240" dxfId="55">
      <formula>SEARCH("INTERROTTO",$M11)&gt;0</formula>
    </cfRule>
  </conditionalFormatting>
  <conditionalFormatting sqref="G11">
    <cfRule type="expression" priority="223" dxfId="60">
      <formula>SEARCH("IN CORSO",$M11)&gt;0</formula>
    </cfRule>
    <cfRule type="expression" priority="224" dxfId="59">
      <formula>SEARCH("CHIUSO",$M11)&gt;0</formula>
    </cfRule>
    <cfRule type="expression" priority="225" dxfId="58">
      <formula>SEARCH("EMESSO",$M11)&gt;0</formula>
    </cfRule>
    <cfRule type="expression" priority="226" dxfId="57">
      <formula>SEARCH("RICHIESTO",$M11)&gt;0</formula>
    </cfRule>
    <cfRule type="expression" priority="227" dxfId="56">
      <formula>SEARCH("DA CHIUDERE",$M11)&gt;0</formula>
    </cfRule>
    <cfRule type="expression" priority="228" dxfId="55">
      <formula>SEARCH("INTERROTTO",$M11)&gt;0</formula>
    </cfRule>
  </conditionalFormatting>
  <conditionalFormatting sqref="E11">
    <cfRule type="expression" priority="229" dxfId="60">
      <formula>SEARCH("IN CORSO",$M11)&gt;0</formula>
    </cfRule>
    <cfRule type="expression" priority="230" dxfId="59">
      <formula>SEARCH("CHIUSO",$M11)&gt;0</formula>
    </cfRule>
    <cfRule type="expression" priority="231" dxfId="58">
      <formula>SEARCH("EMESSO",$M11)&gt;0</formula>
    </cfRule>
    <cfRule type="expression" priority="232" dxfId="57">
      <formula>SEARCH("RICHIESTO",$M11)&gt;0</formula>
    </cfRule>
    <cfRule type="expression" priority="233" dxfId="56">
      <formula>SEARCH("DA CHIUDERE",$M11)&gt;0</formula>
    </cfRule>
    <cfRule type="expression" priority="234" dxfId="55">
      <formula>SEARCH("INTERROTTO",$M11)&gt;0</formula>
    </cfRule>
  </conditionalFormatting>
  <conditionalFormatting sqref="F11">
    <cfRule type="expression" priority="217" dxfId="60">
      <formula>SEARCH("IN CORSO",$M11)&gt;0</formula>
    </cfRule>
    <cfRule type="expression" priority="218" dxfId="59">
      <formula>SEARCH("CHIUSO",$M11)&gt;0</formula>
    </cfRule>
    <cfRule type="expression" priority="219" dxfId="58">
      <formula>SEARCH("EMESSO",$M11)&gt;0</formula>
    </cfRule>
    <cfRule type="expression" priority="220" dxfId="57">
      <formula>SEARCH("RICHIESTO",$M11)&gt;0</formula>
    </cfRule>
    <cfRule type="expression" priority="221" dxfId="56">
      <formula>SEARCH("DA CHIUDERE",$M11)&gt;0</formula>
    </cfRule>
    <cfRule type="expression" priority="222" dxfId="55">
      <formula>SEARCH("INTERROTTO",$M11)&gt;0</formula>
    </cfRule>
  </conditionalFormatting>
  <conditionalFormatting sqref="M11">
    <cfRule type="expression" priority="211" dxfId="60">
      <formula>SEARCH("IN CORSO",$M11)&gt;0</formula>
    </cfRule>
    <cfRule type="expression" priority="212" dxfId="59">
      <formula>SEARCH("CHIUSO",$M11)&gt;0</formula>
    </cfRule>
    <cfRule type="expression" priority="213" dxfId="58">
      <formula>SEARCH("EMESSO",$M11)&gt;0</formula>
    </cfRule>
    <cfRule type="expression" priority="214" dxfId="57">
      <formula>SEARCH("RICHIESTO",$M11)&gt;0</formula>
    </cfRule>
    <cfRule type="expression" priority="215" dxfId="56">
      <formula>SEARCH("DA CHIUDERE",$M11)&gt;0</formula>
    </cfRule>
    <cfRule type="expression" priority="216" dxfId="55">
      <formula>SEARCH("INTERROTTO",$M11)&gt;0</formula>
    </cfRule>
  </conditionalFormatting>
  <conditionalFormatting sqref="N10:S10">
    <cfRule type="expression" priority="205" dxfId="60">
      <formula>SEARCH("IN CORSO",$M10)&gt;0</formula>
    </cfRule>
    <cfRule type="expression" priority="206" dxfId="59">
      <formula>SEARCH("CHIUSO",$M10)&gt;0</formula>
    </cfRule>
    <cfRule type="expression" priority="207" dxfId="58">
      <formula>SEARCH("EMESSO",$M10)&gt;0</formula>
    </cfRule>
    <cfRule type="expression" priority="208" dxfId="57">
      <formula>SEARCH("RICHIESTO",$M10)&gt;0</formula>
    </cfRule>
    <cfRule type="expression" priority="209" dxfId="56">
      <formula>SEARCH("DA CHIUDERE",$M10)&gt;0</formula>
    </cfRule>
    <cfRule type="expression" priority="210" dxfId="55">
      <formula>SEARCH("INTERROTTO",$M10)&gt;0</formula>
    </cfRule>
  </conditionalFormatting>
  <conditionalFormatting sqref="G10">
    <cfRule type="expression" priority="193" dxfId="60">
      <formula>SEARCH("IN CORSO",$M10)&gt;0</formula>
    </cfRule>
    <cfRule type="expression" priority="194" dxfId="59">
      <formula>SEARCH("CHIUSO",$M10)&gt;0</formula>
    </cfRule>
    <cfRule type="expression" priority="195" dxfId="58">
      <formula>SEARCH("EMESSO",$M10)&gt;0</formula>
    </cfRule>
    <cfRule type="expression" priority="196" dxfId="57">
      <formula>SEARCH("RICHIESTO",$M10)&gt;0</formula>
    </cfRule>
    <cfRule type="expression" priority="197" dxfId="56">
      <formula>SEARCH("DA CHIUDERE",$M10)&gt;0</formula>
    </cfRule>
    <cfRule type="expression" priority="198" dxfId="55">
      <formula>SEARCH("INTERROTTO",$M10)&gt;0</formula>
    </cfRule>
  </conditionalFormatting>
  <conditionalFormatting sqref="E10">
    <cfRule type="expression" priority="199" dxfId="60">
      <formula>SEARCH("IN CORSO",$M10)&gt;0</formula>
    </cfRule>
    <cfRule type="expression" priority="200" dxfId="59">
      <formula>SEARCH("CHIUSO",$M10)&gt;0</formula>
    </cfRule>
    <cfRule type="expression" priority="201" dxfId="58">
      <formula>SEARCH("EMESSO",$M10)&gt;0</formula>
    </cfRule>
    <cfRule type="expression" priority="202" dxfId="57">
      <formula>SEARCH("RICHIESTO",$M10)&gt;0</formula>
    </cfRule>
    <cfRule type="expression" priority="203" dxfId="56">
      <formula>SEARCH("DA CHIUDERE",$M10)&gt;0</formula>
    </cfRule>
    <cfRule type="expression" priority="204" dxfId="55">
      <formula>SEARCH("INTERROTTO",$M10)&gt;0</formula>
    </cfRule>
  </conditionalFormatting>
  <conditionalFormatting sqref="F10">
    <cfRule type="expression" priority="187" dxfId="60">
      <formula>SEARCH("IN CORSO",$M10)&gt;0</formula>
    </cfRule>
    <cfRule type="expression" priority="188" dxfId="59">
      <formula>SEARCH("CHIUSO",$M10)&gt;0</formula>
    </cfRule>
    <cfRule type="expression" priority="189" dxfId="58">
      <formula>SEARCH("EMESSO",$M10)&gt;0</formula>
    </cfRule>
    <cfRule type="expression" priority="190" dxfId="57">
      <formula>SEARCH("RICHIESTO",$M10)&gt;0</formula>
    </cfRule>
    <cfRule type="expression" priority="191" dxfId="56">
      <formula>SEARCH("DA CHIUDERE",$M10)&gt;0</formula>
    </cfRule>
    <cfRule type="expression" priority="192" dxfId="55">
      <formula>SEARCH("INTERROTTO",$M10)&gt;0</formula>
    </cfRule>
  </conditionalFormatting>
  <conditionalFormatting sqref="M10">
    <cfRule type="expression" priority="181" dxfId="60">
      <formula>SEARCH("IN CORSO",$M10)&gt;0</formula>
    </cfRule>
    <cfRule type="expression" priority="182" dxfId="59">
      <formula>SEARCH("CHIUSO",$M10)&gt;0</formula>
    </cfRule>
    <cfRule type="expression" priority="183" dxfId="58">
      <formula>SEARCH("EMESSO",$M10)&gt;0</formula>
    </cfRule>
    <cfRule type="expression" priority="184" dxfId="57">
      <formula>SEARCH("RICHIESTO",$M10)&gt;0</formula>
    </cfRule>
    <cfRule type="expression" priority="185" dxfId="56">
      <formula>SEARCH("DA CHIUDERE",$M10)&gt;0</formula>
    </cfRule>
    <cfRule type="expression" priority="186" dxfId="55">
      <formula>SEARCH("INTERROTTO",$M10)&gt;0</formula>
    </cfRule>
  </conditionalFormatting>
  <conditionalFormatting sqref="N9:S9">
    <cfRule type="expression" priority="175" dxfId="60">
      <formula>SEARCH("IN CORSO",$M9)&gt;0</formula>
    </cfRule>
    <cfRule type="expression" priority="176" dxfId="59">
      <formula>SEARCH("CHIUSO",$M9)&gt;0</formula>
    </cfRule>
    <cfRule type="expression" priority="177" dxfId="58">
      <formula>SEARCH("EMESSO",$M9)&gt;0</formula>
    </cfRule>
    <cfRule type="expression" priority="178" dxfId="57">
      <formula>SEARCH("RICHIESTO",$M9)&gt;0</formula>
    </cfRule>
    <cfRule type="expression" priority="179" dxfId="56">
      <formula>SEARCH("DA CHIUDERE",$M9)&gt;0</formula>
    </cfRule>
    <cfRule type="expression" priority="180" dxfId="55">
      <formula>SEARCH("INTERROTTO",$M9)&gt;0</formula>
    </cfRule>
  </conditionalFormatting>
  <conditionalFormatting sqref="G9">
    <cfRule type="expression" priority="163" dxfId="60">
      <formula>SEARCH("IN CORSO",$M9)&gt;0</formula>
    </cfRule>
    <cfRule type="expression" priority="164" dxfId="59">
      <formula>SEARCH("CHIUSO",$M9)&gt;0</formula>
    </cfRule>
    <cfRule type="expression" priority="165" dxfId="58">
      <formula>SEARCH("EMESSO",$M9)&gt;0</formula>
    </cfRule>
    <cfRule type="expression" priority="166" dxfId="57">
      <formula>SEARCH("RICHIESTO",$M9)&gt;0</formula>
    </cfRule>
    <cfRule type="expression" priority="167" dxfId="56">
      <formula>SEARCH("DA CHIUDERE",$M9)&gt;0</formula>
    </cfRule>
    <cfRule type="expression" priority="168" dxfId="55">
      <formula>SEARCH("INTERROTTO",$M9)&gt;0</formula>
    </cfRule>
  </conditionalFormatting>
  <conditionalFormatting sqref="E9">
    <cfRule type="expression" priority="169" dxfId="60">
      <formula>SEARCH("IN CORSO",$M9)&gt;0</formula>
    </cfRule>
    <cfRule type="expression" priority="170" dxfId="59">
      <formula>SEARCH("CHIUSO",$M9)&gt;0</formula>
    </cfRule>
    <cfRule type="expression" priority="171" dxfId="58">
      <formula>SEARCH("EMESSO",$M9)&gt;0</formula>
    </cfRule>
    <cfRule type="expression" priority="172" dxfId="57">
      <formula>SEARCH("RICHIESTO",$M9)&gt;0</formula>
    </cfRule>
    <cfRule type="expression" priority="173" dxfId="56">
      <formula>SEARCH("DA CHIUDERE",$M9)&gt;0</formula>
    </cfRule>
    <cfRule type="expression" priority="174" dxfId="55">
      <formula>SEARCH("INTERROTTO",$M9)&gt;0</formula>
    </cfRule>
  </conditionalFormatting>
  <conditionalFormatting sqref="F9">
    <cfRule type="expression" priority="157" dxfId="60">
      <formula>SEARCH("IN CORSO",$M9)&gt;0</formula>
    </cfRule>
    <cfRule type="expression" priority="158" dxfId="59">
      <formula>SEARCH("CHIUSO",$M9)&gt;0</formula>
    </cfRule>
    <cfRule type="expression" priority="159" dxfId="58">
      <formula>SEARCH("EMESSO",$M9)&gt;0</formula>
    </cfRule>
    <cfRule type="expression" priority="160" dxfId="57">
      <formula>SEARCH("RICHIESTO",$M9)&gt;0</formula>
    </cfRule>
    <cfRule type="expression" priority="161" dxfId="56">
      <formula>SEARCH("DA CHIUDERE",$M9)&gt;0</formula>
    </cfRule>
    <cfRule type="expression" priority="162" dxfId="55">
      <formula>SEARCH("INTERROTTO",$M9)&gt;0</formula>
    </cfRule>
  </conditionalFormatting>
  <conditionalFormatting sqref="M9">
    <cfRule type="expression" priority="151" dxfId="60">
      <formula>SEARCH("IN CORSO",$M9)&gt;0</formula>
    </cfRule>
    <cfRule type="expression" priority="152" dxfId="59">
      <formula>SEARCH("CHIUSO",$M9)&gt;0</formula>
    </cfRule>
    <cfRule type="expression" priority="153" dxfId="58">
      <formula>SEARCH("EMESSO",$M9)&gt;0</formula>
    </cfRule>
    <cfRule type="expression" priority="154" dxfId="57">
      <formula>SEARCH("RICHIESTO",$M9)&gt;0</formula>
    </cfRule>
    <cfRule type="expression" priority="155" dxfId="56">
      <formula>SEARCH("DA CHIUDERE",$M9)&gt;0</formula>
    </cfRule>
    <cfRule type="expression" priority="156" dxfId="55">
      <formula>SEARCH("INTERROTTO",$M9)&gt;0</formula>
    </cfRule>
  </conditionalFormatting>
  <conditionalFormatting sqref="N8:S8">
    <cfRule type="expression" priority="145" dxfId="60">
      <formula>SEARCH("IN CORSO",$M8)&gt;0</formula>
    </cfRule>
    <cfRule type="expression" priority="146" dxfId="59">
      <formula>SEARCH("CHIUSO",$M8)&gt;0</formula>
    </cfRule>
    <cfRule type="expression" priority="147" dxfId="58">
      <formula>SEARCH("EMESSO",$M8)&gt;0</formula>
    </cfRule>
    <cfRule type="expression" priority="148" dxfId="57">
      <formula>SEARCH("RICHIESTO",$M8)&gt;0</formula>
    </cfRule>
    <cfRule type="expression" priority="149" dxfId="56">
      <formula>SEARCH("DA CHIUDERE",$M8)&gt;0</formula>
    </cfRule>
    <cfRule type="expression" priority="150" dxfId="55">
      <formula>SEARCH("INTERROTTO",$M8)&gt;0</formula>
    </cfRule>
  </conditionalFormatting>
  <conditionalFormatting sqref="G8">
    <cfRule type="expression" priority="133" dxfId="60">
      <formula>SEARCH("IN CORSO",$M8)&gt;0</formula>
    </cfRule>
    <cfRule type="expression" priority="134" dxfId="59">
      <formula>SEARCH("CHIUSO",$M8)&gt;0</formula>
    </cfRule>
    <cfRule type="expression" priority="135" dxfId="58">
      <formula>SEARCH("EMESSO",$M8)&gt;0</formula>
    </cfRule>
    <cfRule type="expression" priority="136" dxfId="57">
      <formula>SEARCH("RICHIESTO",$M8)&gt;0</formula>
    </cfRule>
    <cfRule type="expression" priority="137" dxfId="56">
      <formula>SEARCH("DA CHIUDERE",$M8)&gt;0</formula>
    </cfRule>
    <cfRule type="expression" priority="138" dxfId="55">
      <formula>SEARCH("INTERROTTO",$M8)&gt;0</formula>
    </cfRule>
  </conditionalFormatting>
  <conditionalFormatting sqref="E8">
    <cfRule type="expression" priority="139" dxfId="60">
      <formula>SEARCH("IN CORSO",$M8)&gt;0</formula>
    </cfRule>
    <cfRule type="expression" priority="140" dxfId="59">
      <formula>SEARCH("CHIUSO",$M8)&gt;0</formula>
    </cfRule>
    <cfRule type="expression" priority="141" dxfId="58">
      <formula>SEARCH("EMESSO",$M8)&gt;0</formula>
    </cfRule>
    <cfRule type="expression" priority="142" dxfId="57">
      <formula>SEARCH("RICHIESTO",$M8)&gt;0</formula>
    </cfRule>
    <cfRule type="expression" priority="143" dxfId="56">
      <formula>SEARCH("DA CHIUDERE",$M8)&gt;0</formula>
    </cfRule>
    <cfRule type="expression" priority="144" dxfId="55">
      <formula>SEARCH("INTERROTTO",$M8)&gt;0</formula>
    </cfRule>
  </conditionalFormatting>
  <conditionalFormatting sqref="F8">
    <cfRule type="expression" priority="127" dxfId="60">
      <formula>SEARCH("IN CORSO",$M8)&gt;0</formula>
    </cfRule>
    <cfRule type="expression" priority="128" dxfId="59">
      <formula>SEARCH("CHIUSO",$M8)&gt;0</formula>
    </cfRule>
    <cfRule type="expression" priority="129" dxfId="58">
      <formula>SEARCH("EMESSO",$M8)&gt;0</formula>
    </cfRule>
    <cfRule type="expression" priority="130" dxfId="57">
      <formula>SEARCH("RICHIESTO",$M8)&gt;0</formula>
    </cfRule>
    <cfRule type="expression" priority="131" dxfId="56">
      <formula>SEARCH("DA CHIUDERE",$M8)&gt;0</formula>
    </cfRule>
    <cfRule type="expression" priority="132" dxfId="55">
      <formula>SEARCH("INTERROTTO",$M8)&gt;0</formula>
    </cfRule>
  </conditionalFormatting>
  <conditionalFormatting sqref="M8">
    <cfRule type="expression" priority="121" dxfId="60">
      <formula>SEARCH("IN CORSO",$M8)&gt;0</formula>
    </cfRule>
    <cfRule type="expression" priority="122" dxfId="59">
      <formula>SEARCH("CHIUSO",$M8)&gt;0</formula>
    </cfRule>
    <cfRule type="expression" priority="123" dxfId="58">
      <formula>SEARCH("EMESSO",$M8)&gt;0</formula>
    </cfRule>
    <cfRule type="expression" priority="124" dxfId="57">
      <formula>SEARCH("RICHIESTO",$M8)&gt;0</formula>
    </cfRule>
    <cfRule type="expression" priority="125" dxfId="56">
      <formula>SEARCH("DA CHIUDERE",$M8)&gt;0</formula>
    </cfRule>
    <cfRule type="expression" priority="126" dxfId="55">
      <formula>SEARCH("INTERROTTO",$M8)&gt;0</formula>
    </cfRule>
  </conditionalFormatting>
  <conditionalFormatting sqref="N7:S7">
    <cfRule type="expression" priority="115" dxfId="60">
      <formula>SEARCH("IN CORSO",$M7)&gt;0</formula>
    </cfRule>
    <cfRule type="expression" priority="116" dxfId="59">
      <formula>SEARCH("CHIUSO",$M7)&gt;0</formula>
    </cfRule>
    <cfRule type="expression" priority="117" dxfId="58">
      <formula>SEARCH("EMESSO",$M7)&gt;0</formula>
    </cfRule>
    <cfRule type="expression" priority="118" dxfId="57">
      <formula>SEARCH("RICHIESTO",$M7)&gt;0</formula>
    </cfRule>
    <cfRule type="expression" priority="119" dxfId="56">
      <formula>SEARCH("DA CHIUDERE",$M7)&gt;0</formula>
    </cfRule>
    <cfRule type="expression" priority="120" dxfId="55">
      <formula>SEARCH("INTERROTTO",$M7)&gt;0</formula>
    </cfRule>
  </conditionalFormatting>
  <conditionalFormatting sqref="G7">
    <cfRule type="expression" priority="103" dxfId="60">
      <formula>SEARCH("IN CORSO",$M7)&gt;0</formula>
    </cfRule>
    <cfRule type="expression" priority="104" dxfId="59">
      <formula>SEARCH("CHIUSO",$M7)&gt;0</formula>
    </cfRule>
    <cfRule type="expression" priority="105" dxfId="58">
      <formula>SEARCH("EMESSO",$M7)&gt;0</formula>
    </cfRule>
    <cfRule type="expression" priority="106" dxfId="57">
      <formula>SEARCH("RICHIESTO",$M7)&gt;0</formula>
    </cfRule>
    <cfRule type="expression" priority="107" dxfId="56">
      <formula>SEARCH("DA CHIUDERE",$M7)&gt;0</formula>
    </cfRule>
    <cfRule type="expression" priority="108" dxfId="55">
      <formula>SEARCH("INTERROTTO",$M7)&gt;0</formula>
    </cfRule>
  </conditionalFormatting>
  <conditionalFormatting sqref="E7">
    <cfRule type="expression" priority="109" dxfId="60">
      <formula>SEARCH("IN CORSO",$M7)&gt;0</formula>
    </cfRule>
    <cfRule type="expression" priority="110" dxfId="59">
      <formula>SEARCH("CHIUSO",$M7)&gt;0</formula>
    </cfRule>
    <cfRule type="expression" priority="111" dxfId="58">
      <formula>SEARCH("EMESSO",$M7)&gt;0</formula>
    </cfRule>
    <cfRule type="expression" priority="112" dxfId="57">
      <formula>SEARCH("RICHIESTO",$M7)&gt;0</formula>
    </cfRule>
    <cfRule type="expression" priority="113" dxfId="56">
      <formula>SEARCH("DA CHIUDERE",$M7)&gt;0</formula>
    </cfRule>
    <cfRule type="expression" priority="114" dxfId="55">
      <formula>SEARCH("INTERROTTO",$M7)&gt;0</formula>
    </cfRule>
  </conditionalFormatting>
  <conditionalFormatting sqref="F7">
    <cfRule type="expression" priority="97" dxfId="60">
      <formula>SEARCH("IN CORSO",$M7)&gt;0</formula>
    </cfRule>
    <cfRule type="expression" priority="98" dxfId="59">
      <formula>SEARCH("CHIUSO",$M7)&gt;0</formula>
    </cfRule>
    <cfRule type="expression" priority="99" dxfId="58">
      <formula>SEARCH("EMESSO",$M7)&gt;0</formula>
    </cfRule>
    <cfRule type="expression" priority="100" dxfId="57">
      <formula>SEARCH("RICHIESTO",$M7)&gt;0</formula>
    </cfRule>
    <cfRule type="expression" priority="101" dxfId="56">
      <formula>SEARCH("DA CHIUDERE",$M7)&gt;0</formula>
    </cfRule>
    <cfRule type="expression" priority="102" dxfId="55">
      <formula>SEARCH("INTERROTTO",$M7)&gt;0</formula>
    </cfRule>
  </conditionalFormatting>
  <conditionalFormatting sqref="M7">
    <cfRule type="expression" priority="91" dxfId="60">
      <formula>SEARCH("IN CORSO",$M7)&gt;0</formula>
    </cfRule>
    <cfRule type="expression" priority="92" dxfId="59">
      <formula>SEARCH("CHIUSO",$M7)&gt;0</formula>
    </cfRule>
    <cfRule type="expression" priority="93" dxfId="58">
      <formula>SEARCH("EMESSO",$M7)&gt;0</formula>
    </cfRule>
    <cfRule type="expression" priority="94" dxfId="57">
      <formula>SEARCH("RICHIESTO",$M7)&gt;0</formula>
    </cfRule>
    <cfRule type="expression" priority="95" dxfId="56">
      <formula>SEARCH("DA CHIUDERE",$M7)&gt;0</formula>
    </cfRule>
    <cfRule type="expression" priority="96" dxfId="55">
      <formula>SEARCH("INTERROTTO",$M7)&gt;0</formula>
    </cfRule>
  </conditionalFormatting>
  <conditionalFormatting sqref="N6:S6">
    <cfRule type="expression" priority="85" dxfId="60">
      <formula>SEARCH("IN CORSO",$M6)&gt;0</formula>
    </cfRule>
    <cfRule type="expression" priority="86" dxfId="59">
      <formula>SEARCH("CHIUSO",$M6)&gt;0</formula>
    </cfRule>
    <cfRule type="expression" priority="87" dxfId="58">
      <formula>SEARCH("EMESSO",$M6)&gt;0</formula>
    </cfRule>
    <cfRule type="expression" priority="88" dxfId="57">
      <formula>SEARCH("RICHIESTO",$M6)&gt;0</formula>
    </cfRule>
    <cfRule type="expression" priority="89" dxfId="56">
      <formula>SEARCH("DA CHIUDERE",$M6)&gt;0</formula>
    </cfRule>
    <cfRule type="expression" priority="90" dxfId="55">
      <formula>SEARCH("INTERROTTO",$M6)&gt;0</formula>
    </cfRule>
  </conditionalFormatting>
  <conditionalFormatting sqref="G6">
    <cfRule type="expression" priority="73" dxfId="60">
      <formula>SEARCH("IN CORSO",$M6)&gt;0</formula>
    </cfRule>
    <cfRule type="expression" priority="74" dxfId="59">
      <formula>SEARCH("CHIUSO",$M6)&gt;0</formula>
    </cfRule>
    <cfRule type="expression" priority="75" dxfId="58">
      <formula>SEARCH("EMESSO",$M6)&gt;0</formula>
    </cfRule>
    <cfRule type="expression" priority="76" dxfId="57">
      <formula>SEARCH("RICHIESTO",$M6)&gt;0</formula>
    </cfRule>
    <cfRule type="expression" priority="77" dxfId="56">
      <formula>SEARCH("DA CHIUDERE",$M6)&gt;0</formula>
    </cfRule>
    <cfRule type="expression" priority="78" dxfId="55">
      <formula>SEARCH("INTERROTTO",$M6)&gt;0</formula>
    </cfRule>
  </conditionalFormatting>
  <conditionalFormatting sqref="E6">
    <cfRule type="expression" priority="79" dxfId="60">
      <formula>SEARCH("IN CORSO",$M6)&gt;0</formula>
    </cfRule>
    <cfRule type="expression" priority="80" dxfId="59">
      <formula>SEARCH("CHIUSO",$M6)&gt;0</formula>
    </cfRule>
    <cfRule type="expression" priority="81" dxfId="58">
      <formula>SEARCH("EMESSO",$M6)&gt;0</formula>
    </cfRule>
    <cfRule type="expression" priority="82" dxfId="57">
      <formula>SEARCH("RICHIESTO",$M6)&gt;0</formula>
    </cfRule>
    <cfRule type="expression" priority="83" dxfId="56">
      <formula>SEARCH("DA CHIUDERE",$M6)&gt;0</formula>
    </cfRule>
    <cfRule type="expression" priority="84" dxfId="55">
      <formula>SEARCH("INTERROTTO",$M6)&gt;0</formula>
    </cfRule>
  </conditionalFormatting>
  <conditionalFormatting sqref="F6">
    <cfRule type="expression" priority="67" dxfId="60">
      <formula>SEARCH("IN CORSO",$M6)&gt;0</formula>
    </cfRule>
    <cfRule type="expression" priority="68" dxfId="59">
      <formula>SEARCH("CHIUSO",$M6)&gt;0</formula>
    </cfRule>
    <cfRule type="expression" priority="69" dxfId="58">
      <formula>SEARCH("EMESSO",$M6)&gt;0</formula>
    </cfRule>
    <cfRule type="expression" priority="70" dxfId="57">
      <formula>SEARCH("RICHIESTO",$M6)&gt;0</formula>
    </cfRule>
    <cfRule type="expression" priority="71" dxfId="56">
      <formula>SEARCH("DA CHIUDERE",$M6)&gt;0</formula>
    </cfRule>
    <cfRule type="expression" priority="72" dxfId="55">
      <formula>SEARCH("INTERROTTO",$M6)&gt;0</formula>
    </cfRule>
  </conditionalFormatting>
  <conditionalFormatting sqref="M6">
    <cfRule type="expression" priority="61" dxfId="60">
      <formula>SEARCH("IN CORSO",$M6)&gt;0</formula>
    </cfRule>
    <cfRule type="expression" priority="62" dxfId="59">
      <formula>SEARCH("CHIUSO",$M6)&gt;0</formula>
    </cfRule>
    <cfRule type="expression" priority="63" dxfId="58">
      <formula>SEARCH("EMESSO",$M6)&gt;0</formula>
    </cfRule>
    <cfRule type="expression" priority="64" dxfId="57">
      <formula>SEARCH("RICHIESTO",$M6)&gt;0</formula>
    </cfRule>
    <cfRule type="expression" priority="65" dxfId="56">
      <formula>SEARCH("DA CHIUDERE",$M6)&gt;0</formula>
    </cfRule>
    <cfRule type="expression" priority="66" dxfId="55">
      <formula>SEARCH("INTERROTTO",$M6)&gt;0</formula>
    </cfRule>
  </conditionalFormatting>
  <conditionalFormatting sqref="N5:S5">
    <cfRule type="expression" priority="55" dxfId="60">
      <formula>SEARCH("IN CORSO",$M5)&gt;0</formula>
    </cfRule>
    <cfRule type="expression" priority="56" dxfId="59">
      <formula>SEARCH("CHIUSO",$M5)&gt;0</formula>
    </cfRule>
    <cfRule type="expression" priority="57" dxfId="58">
      <formula>SEARCH("EMESSO",$M5)&gt;0</formula>
    </cfRule>
    <cfRule type="expression" priority="58" dxfId="57">
      <formula>SEARCH("RICHIESTO",$M5)&gt;0</formula>
    </cfRule>
    <cfRule type="expression" priority="59" dxfId="56">
      <formula>SEARCH("DA CHIUDERE",$M5)&gt;0</formula>
    </cfRule>
    <cfRule type="expression" priority="60" dxfId="55">
      <formula>SEARCH("INTERROTTO",$M5)&gt;0</formula>
    </cfRule>
  </conditionalFormatting>
  <conditionalFormatting sqref="G5">
    <cfRule type="expression" priority="43" dxfId="60">
      <formula>SEARCH("IN CORSO",$M5)&gt;0</formula>
    </cfRule>
    <cfRule type="expression" priority="44" dxfId="59">
      <formula>SEARCH("CHIUSO",$M5)&gt;0</formula>
    </cfRule>
    <cfRule type="expression" priority="45" dxfId="58">
      <formula>SEARCH("EMESSO",$M5)&gt;0</formula>
    </cfRule>
    <cfRule type="expression" priority="46" dxfId="57">
      <formula>SEARCH("RICHIESTO",$M5)&gt;0</formula>
    </cfRule>
    <cfRule type="expression" priority="47" dxfId="56">
      <formula>SEARCH("DA CHIUDERE",$M5)&gt;0</formula>
    </cfRule>
    <cfRule type="expression" priority="48" dxfId="55">
      <formula>SEARCH("INTERROTTO",$M5)&gt;0</formula>
    </cfRule>
  </conditionalFormatting>
  <conditionalFormatting sqref="E5">
    <cfRule type="expression" priority="49" dxfId="60">
      <formula>SEARCH("IN CORSO",$M5)&gt;0</formula>
    </cfRule>
    <cfRule type="expression" priority="50" dxfId="59">
      <formula>SEARCH("CHIUSO",$M5)&gt;0</formula>
    </cfRule>
    <cfRule type="expression" priority="51" dxfId="58">
      <formula>SEARCH("EMESSO",$M5)&gt;0</formula>
    </cfRule>
    <cfRule type="expression" priority="52" dxfId="57">
      <formula>SEARCH("RICHIESTO",$M5)&gt;0</formula>
    </cfRule>
    <cfRule type="expression" priority="53" dxfId="56">
      <formula>SEARCH("DA CHIUDERE",$M5)&gt;0</formula>
    </cfRule>
    <cfRule type="expression" priority="54" dxfId="55">
      <formula>SEARCH("INTERROTTO",$M5)&gt;0</formula>
    </cfRule>
  </conditionalFormatting>
  <conditionalFormatting sqref="F5">
    <cfRule type="expression" priority="37" dxfId="60">
      <formula>SEARCH("IN CORSO",$M5)&gt;0</formula>
    </cfRule>
    <cfRule type="expression" priority="38" dxfId="59">
      <formula>SEARCH("CHIUSO",$M5)&gt;0</formula>
    </cfRule>
    <cfRule type="expression" priority="39" dxfId="58">
      <formula>SEARCH("EMESSO",$M5)&gt;0</formula>
    </cfRule>
    <cfRule type="expression" priority="40" dxfId="57">
      <formula>SEARCH("RICHIESTO",$M5)&gt;0</formula>
    </cfRule>
    <cfRule type="expression" priority="41" dxfId="56">
      <formula>SEARCH("DA CHIUDERE",$M5)&gt;0</formula>
    </cfRule>
    <cfRule type="expression" priority="42" dxfId="55">
      <formula>SEARCH("INTERROTTO",$M5)&gt;0</formula>
    </cfRule>
  </conditionalFormatting>
  <conditionalFormatting sqref="M5">
    <cfRule type="expression" priority="31" dxfId="60">
      <formula>SEARCH("IN CORSO",$M5)&gt;0</formula>
    </cfRule>
    <cfRule type="expression" priority="32" dxfId="59">
      <formula>SEARCH("CHIUSO",$M5)&gt;0</formula>
    </cfRule>
    <cfRule type="expression" priority="33" dxfId="58">
      <formula>SEARCH("EMESSO",$M5)&gt;0</formula>
    </cfRule>
    <cfRule type="expression" priority="34" dxfId="57">
      <formula>SEARCH("RICHIESTO",$M5)&gt;0</formula>
    </cfRule>
    <cfRule type="expression" priority="35" dxfId="56">
      <formula>SEARCH("DA CHIUDERE",$M5)&gt;0</formula>
    </cfRule>
    <cfRule type="expression" priority="36" dxfId="55">
      <formula>SEARCH("INTERROTTO",$M5)&gt;0</formula>
    </cfRule>
  </conditionalFormatting>
  <conditionalFormatting sqref="N4:S4">
    <cfRule type="expression" priority="25" dxfId="60">
      <formula>SEARCH("IN CORSO",$M4)&gt;0</formula>
    </cfRule>
    <cfRule type="expression" priority="26" dxfId="59">
      <formula>SEARCH("CHIUSO",$M4)&gt;0</formula>
    </cfRule>
    <cfRule type="expression" priority="27" dxfId="58">
      <formula>SEARCH("EMESSO",$M4)&gt;0</formula>
    </cfRule>
    <cfRule type="expression" priority="28" dxfId="57">
      <formula>SEARCH("RICHIESTO",$M4)&gt;0</formula>
    </cfRule>
    <cfRule type="expression" priority="29" dxfId="56">
      <formula>SEARCH("DA CHIUDERE",$M4)&gt;0</formula>
    </cfRule>
    <cfRule type="expression" priority="30" dxfId="55">
      <formula>SEARCH("INTERROTTO",$M4)&gt;0</formula>
    </cfRule>
  </conditionalFormatting>
  <conditionalFormatting sqref="G4">
    <cfRule type="expression" priority="13" dxfId="60">
      <formula>SEARCH("IN CORSO",$M4)&gt;0</formula>
    </cfRule>
    <cfRule type="expression" priority="14" dxfId="59">
      <formula>SEARCH("CHIUSO",$M4)&gt;0</formula>
    </cfRule>
    <cfRule type="expression" priority="15" dxfId="58">
      <formula>SEARCH("EMESSO",$M4)&gt;0</formula>
    </cfRule>
    <cfRule type="expression" priority="16" dxfId="57">
      <formula>SEARCH("RICHIESTO",$M4)&gt;0</formula>
    </cfRule>
    <cfRule type="expression" priority="17" dxfId="56">
      <formula>SEARCH("DA CHIUDERE",$M4)&gt;0</formula>
    </cfRule>
    <cfRule type="expression" priority="18" dxfId="55">
      <formula>SEARCH("INTERROTTO",$M4)&gt;0</formula>
    </cfRule>
  </conditionalFormatting>
  <conditionalFormatting sqref="E4">
    <cfRule type="expression" priority="19" dxfId="60">
      <formula>SEARCH("IN CORSO",$M4)&gt;0</formula>
    </cfRule>
    <cfRule type="expression" priority="20" dxfId="59">
      <formula>SEARCH("CHIUSO",$M4)&gt;0</formula>
    </cfRule>
    <cfRule type="expression" priority="21" dxfId="58">
      <formula>SEARCH("EMESSO",$M4)&gt;0</formula>
    </cfRule>
    <cfRule type="expression" priority="22" dxfId="57">
      <formula>SEARCH("RICHIESTO",$M4)&gt;0</formula>
    </cfRule>
    <cfRule type="expression" priority="23" dxfId="56">
      <formula>SEARCH("DA CHIUDERE",$M4)&gt;0</formula>
    </cfRule>
    <cfRule type="expression" priority="24" dxfId="55">
      <formula>SEARCH("INTERROTTO",$M4)&gt;0</formula>
    </cfRule>
  </conditionalFormatting>
  <conditionalFormatting sqref="F4">
    <cfRule type="expression" priority="7" dxfId="60">
      <formula>SEARCH("IN CORSO",$M4)&gt;0</formula>
    </cfRule>
    <cfRule type="expression" priority="8" dxfId="59">
      <formula>SEARCH("CHIUSO",$M4)&gt;0</formula>
    </cfRule>
    <cfRule type="expression" priority="9" dxfId="58">
      <formula>SEARCH("EMESSO",$M4)&gt;0</formula>
    </cfRule>
    <cfRule type="expression" priority="10" dxfId="57">
      <formula>SEARCH("RICHIESTO",$M4)&gt;0</formula>
    </cfRule>
    <cfRule type="expression" priority="11" dxfId="56">
      <formula>SEARCH("DA CHIUDERE",$M4)&gt;0</formula>
    </cfRule>
    <cfRule type="expression" priority="12" dxfId="55">
      <formula>SEARCH("INTERROTTO",$M4)&gt;0</formula>
    </cfRule>
  </conditionalFormatting>
  <conditionalFormatting sqref="M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1">
    <dataValidation sqref="M4:M182" showDropDown="0" showInputMessage="1" showErrorMessage="1" allowBlank="1" type="list">
      <formula1>"RICHIESTO,EMESSO,IN CORSO,INTERROTTO,DA CHIUDERE,SCADUTO,CHIUSO,"</formula1>
    </dataValidation>
  </dataValidations>
  <pageMargins left="0.7" right="0.7" top="0.75" bottom="0.75" header="0.3" footer="0.3"/>
  <pageSetup orientation="landscape" paperSize="9" scale="77"/>
  <drawing xmlns:r="http://schemas.openxmlformats.org/officeDocument/2006/relationships" r:id="rId1"/>
  <legacyDrawing xmlns:r="http://schemas.openxmlformats.org/officeDocument/2006/relationships" r:id="anysvml"/>
  <tableParts count="1">
    <tablePart xmlns:r="http://schemas.openxmlformats.org/officeDocument/2006/relationships" r:id="rId2"/>
  </tableParts>
</worksheet>
</file>

<file path=xl/worksheets/sheet6.xml><?xml version="1.0" encoding="utf-8"?>
<worksheet xmlns="http://schemas.openxmlformats.org/spreadsheetml/2006/main">
  <sheetPr codeName="Foglio3">
    <outlinePr summaryBelow="1" summaryRight="1"/>
    <pageSetUpPr fitToPage="1"/>
  </sheetPr>
  <dimension ref="A1:X1650"/>
  <sheetViews>
    <sheetView zoomScale="90" zoomScaleNormal="90" workbookViewId="0">
      <selection activeCell="E1093" sqref="E1093"/>
    </sheetView>
  </sheetViews>
  <sheetFormatPr baseColWidth="8" defaultColWidth="8.75" defaultRowHeight="15"/>
  <cols>
    <col width="3.125" customWidth="1" style="179" min="1" max="1"/>
    <col width="3.125" customWidth="1" style="31" min="2" max="2"/>
    <col width="3.125" customWidth="1" style="8" min="3" max="3"/>
    <col width="9.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38" min="14" max="15"/>
    <col width="6.375" customWidth="1" style="38" min="16" max="16"/>
    <col width="55.625" customWidth="1" style="38" min="17" max="17"/>
    <col width="11" bestFit="1" customWidth="1" style="174" min="18" max="18"/>
    <col width="13.125" customWidth="1" style="10" min="19" max="19"/>
    <col width="3.125" customWidth="1" style="10" min="20" max="20"/>
    <col width="11.125" bestFit="1" customWidth="1" style="10" min="21" max="21"/>
    <col width="3.125" customWidth="1" style="10" min="22" max="22"/>
    <col width="2.75" bestFit="1" customWidth="1" style="10" min="23" max="23"/>
    <col width="6.5" customWidth="1" style="10" min="24" max="32"/>
    <col width="8.75" customWidth="1" style="10" min="33" max="16384"/>
  </cols>
  <sheetData>
    <row r="1" ht="128.1" customHeight="1" s="122">
      <c r="A1" s="188" t="n"/>
      <c r="G1" s="13" t="n"/>
      <c r="L1" s="38" t="n"/>
      <c r="M1" s="62" t="inlineStr">
        <is>
          <t>FILTRA PDL</t>
        </is>
      </c>
      <c r="N1" s="10" t="n"/>
      <c r="O1" s="10" t="n"/>
      <c r="P1" s="10" t="n"/>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1" t="n"/>
      <c r="R2" s="175" t="n"/>
      <c r="S2" s="39" t="n"/>
      <c r="T2" s="15" t="n"/>
      <c r="U2" s="15" t="n"/>
      <c r="V2" s="15" t="n"/>
    </row>
    <row r="3" ht="52.9" customFormat="1" customHeight="1" s="45">
      <c r="A3" s="26" t="inlineStr">
        <is>
          <t>FERM</t>
        </is>
      </c>
      <c r="B3" s="34" t="inlineStr">
        <is>
          <t>MANUT</t>
        </is>
      </c>
      <c r="C3" s="44" t="inlineStr">
        <is>
          <t>PS</t>
        </is>
      </c>
      <c r="D3" s="44" t="inlineStr">
        <is>
          <t xml:space="preserve">AREA </t>
        </is>
      </c>
      <c r="E3" s="26" t="inlineStr">
        <is>
          <t>PdL</t>
        </is>
      </c>
      <c r="F3" s="26"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26" t="inlineStr">
        <is>
          <t>STATO
ATTIVITA'</t>
        </is>
      </c>
      <c r="R3" s="27" t="inlineStr">
        <is>
          <t>DATA
CONTROLLO</t>
        </is>
      </c>
      <c r="S3" s="25" t="inlineStr">
        <is>
          <t>PERSONALE
IMPIEGATO</t>
        </is>
      </c>
      <c r="T3" s="26" t="inlineStr">
        <is>
          <t>PO</t>
        </is>
      </c>
      <c r="U3" s="26" t="inlineStr">
        <is>
          <t>AVVISO</t>
        </is>
      </c>
    </row>
    <row r="4" ht="30" customFormat="1" customHeight="1" s="45">
      <c r="A4" s="109" t="n"/>
      <c r="B4" s="108" t="n"/>
      <c r="C4" s="109" t="inlineStr"/>
      <c r="D4" s="109" t="inlineStr">
        <is>
          <t>AREA 1</t>
        </is>
      </c>
      <c r="E4" s="109" t="inlineStr">
        <is>
          <t>544421/C</t>
        </is>
      </c>
      <c r="F4" s="109" t="inlineStr">
        <is>
          <t>400</t>
        </is>
      </c>
      <c r="G4" s="109" t="inlineStr">
        <is>
          <t>400F101 SOSTITUZIONE E PASSAGGIO CAVI TERMOCOPPIE CON RIPRISTINI SU STRUMENTAZIONE DANNEGGIATA ED ALLINEAMENTO CON SALA CONTROLLO</t>
        </is>
      </c>
      <c r="H4" s="109" t="n"/>
      <c r="I4" s="109" t="n"/>
      <c r="J4" s="109" t="n"/>
      <c r="K4" s="109" t="n"/>
      <c r="L4" s="109" t="n"/>
      <c r="M4" s="110" t="inlineStr">
        <is>
          <t>DA CHIUDERE</t>
        </is>
      </c>
      <c r="N4" s="110" t="n"/>
      <c r="O4" s="110" t="n"/>
      <c r="P4" s="110" t="n"/>
      <c r="Q4" s="110" t="inlineStr">
        <is>
          <t>RIPRISTINATO BATTENTE SULLA TRIPLICE MISURA.</t>
        </is>
      </c>
      <c r="R4" s="151" t="n">
        <v>45880</v>
      </c>
      <c r="S4" s="110" t="inlineStr">
        <is>
          <t>MILLO</t>
        </is>
      </c>
      <c r="T4" s="109" t="inlineStr"/>
      <c r="U4" s="147" t="n"/>
    </row>
    <row r="5" ht="30" customFormat="1" customHeight="1" s="45">
      <c r="A5" s="109" t="n"/>
      <c r="B5" s="109" t="n"/>
      <c r="C5" s="109" t="inlineStr"/>
      <c r="D5" s="109" t="inlineStr">
        <is>
          <t>AREA 1</t>
        </is>
      </c>
      <c r="E5" s="109" t="inlineStr">
        <is>
          <t>547395/C</t>
        </is>
      </c>
      <c r="F5" s="109" t="inlineStr">
        <is>
          <t>900</t>
        </is>
      </c>
      <c r="G5" s="109" t="inlineStr">
        <is>
          <t>900L030A/B/C (LIVELLI FONDO T101) CONTROLLO E RIPRISTINO MISURA (METTERE MOS PRIMA DI INIZIARE ATTIVITA)</t>
        </is>
      </c>
      <c r="H5" s="109" t="n"/>
      <c r="I5" s="109" t="n"/>
      <c r="J5" s="109" t="n"/>
      <c r="K5" s="109" t="n"/>
      <c r="L5" s="109" t="n"/>
      <c r="M5" s="109" t="inlineStr">
        <is>
          <t>DA CHIUDERE</t>
        </is>
      </c>
      <c r="N5" s="109" t="n"/>
      <c r="O5" s="109" t="n"/>
      <c r="P5" s="109" t="n"/>
      <c r="Q5" s="109" t="inlineStr">
        <is>
          <t>RIPRISTINATO BATTENTE SULLA TRIPLICE MISURA.</t>
        </is>
      </c>
      <c r="R5" s="151" t="n"/>
      <c r="S5" s="109" t="n"/>
      <c r="T5" s="109" t="inlineStr"/>
      <c r="U5" s="109" t="n"/>
    </row>
    <row r="6" customFormat="1" s="45">
      <c r="A6" s="109" t="n"/>
      <c r="B6" s="108" t="n"/>
      <c r="C6" s="109" t="inlineStr"/>
      <c r="D6" s="109" t="inlineStr">
        <is>
          <t>AREA 1</t>
        </is>
      </c>
      <c r="E6" s="109" t="inlineStr">
        <is>
          <t>544428/C</t>
        </is>
      </c>
      <c r="F6" s="109" t="inlineStr">
        <is>
          <t>400</t>
        </is>
      </c>
      <c r="G6" s="109" t="inlineStr">
        <is>
          <t>400FCV604 : RIPRISTINO FUNZIONALITA'</t>
        </is>
      </c>
      <c r="H6" s="109" t="n"/>
      <c r="I6" s="109" t="n"/>
      <c r="J6" s="109" t="n"/>
      <c r="K6" s="109" t="n"/>
      <c r="L6" s="109" t="n"/>
      <c r="M6" s="110" t="inlineStr">
        <is>
          <t>DA CHIUDERE</t>
        </is>
      </c>
      <c r="N6" s="110" t="n"/>
      <c r="O6" s="110" t="n"/>
      <c r="P6" s="110" t="n"/>
      <c r="Q6" s="110" t="n"/>
      <c r="R6" s="151" t="n"/>
      <c r="S6" s="110" t="n"/>
      <c r="T6" s="109" t="inlineStr"/>
      <c r="U6" s="147" t="n"/>
    </row>
    <row r="7" customFormat="1" s="45">
      <c r="A7" s="109" t="n"/>
      <c r="B7" s="109" t="n"/>
      <c r="C7" s="109" t="inlineStr"/>
      <c r="D7" s="109" t="inlineStr">
        <is>
          <t>AREA 1</t>
        </is>
      </c>
      <c r="E7" s="109" t="inlineStr">
        <is>
          <t>539642/C</t>
        </is>
      </c>
      <c r="F7" s="109" t="inlineStr">
        <is>
          <t>300</t>
        </is>
      </c>
      <c r="G7" s="109" t="inlineStr">
        <is>
          <t>300 - P103B CONTROLLO E VERIFICA STRUMENTAZIONE BARILOTTO TENUTE POMPE</t>
        </is>
      </c>
      <c r="H7" s="109" t="n"/>
      <c r="I7" s="109" t="n"/>
      <c r="J7" s="109" t="n"/>
      <c r="K7" s="109" t="n"/>
      <c r="L7" s="109" t="n"/>
      <c r="M7" s="109" t="inlineStr">
        <is>
          <t>DA CHIUDERE</t>
        </is>
      </c>
      <c r="N7" s="109" t="n"/>
      <c r="O7" s="109" t="n"/>
      <c r="P7" s="109" t="n"/>
      <c r="Q7" s="109" t="inlineStr">
        <is>
          <t>ALLARME REALE (TRAFILA PRODOTTO DALLE TENUTE)</t>
        </is>
      </c>
      <c r="R7" s="151" t="n">
        <v>45825</v>
      </c>
      <c r="S7" s="109" t="inlineStr">
        <is>
          <t>SPINALI</t>
        </is>
      </c>
      <c r="T7" s="109" t="inlineStr"/>
      <c r="U7" s="109" t="inlineStr"/>
    </row>
    <row r="8" ht="30" customFormat="1" customHeight="1" s="45">
      <c r="A8" s="109" t="n"/>
      <c r="B8" s="108" t="inlineStr">
        <is>
          <t>X</t>
        </is>
      </c>
      <c r="C8" s="109" t="inlineStr"/>
      <c r="D8" s="109" t="inlineStr">
        <is>
          <t>AREA 1</t>
        </is>
      </c>
      <c r="E8" s="109" t="inlineStr">
        <is>
          <t>539855/C</t>
        </is>
      </c>
      <c r="F8" s="109" t="inlineStr">
        <is>
          <t>400</t>
        </is>
      </c>
      <c r="G8" s="109" t="inlineStr">
        <is>
          <t>400Z751HA ALLARME ABBASSAMENTO ASTA PRIMO CILINDRO C401.CONTROLLO E RIPRISTINO FUNZIONALITA(METTERE MOS SU 04Z751SH)</t>
        </is>
      </c>
      <c r="H8" s="109" t="n"/>
      <c r="I8" s="109" t="n"/>
      <c r="J8" s="109" t="n"/>
      <c r="K8" s="109" t="n"/>
      <c r="L8" s="109" t="n"/>
      <c r="M8" s="110" t="inlineStr">
        <is>
          <t>DA CHIUDERE</t>
        </is>
      </c>
      <c r="N8" s="110" t="n"/>
      <c r="O8" s="110" t="n"/>
      <c r="P8" s="110" t="n"/>
      <c r="Q8" s="110" t="n"/>
      <c r="R8" s="151" t="n">
        <v>45814</v>
      </c>
      <c r="S8" s="110" t="inlineStr">
        <is>
          <t>MILLO</t>
        </is>
      </c>
      <c r="T8" s="109" t="inlineStr"/>
      <c r="U8" s="147" t="inlineStr"/>
    </row>
    <row r="9" customFormat="1" s="45">
      <c r="A9" s="109" t="n"/>
      <c r="B9" s="108" t="n"/>
      <c r="C9" s="109" t="inlineStr"/>
      <c r="D9" s="109" t="inlineStr">
        <is>
          <t>AREA 1</t>
        </is>
      </c>
      <c r="E9" s="109" t="inlineStr">
        <is>
          <t>539473/C</t>
        </is>
      </c>
      <c r="F9" s="109" t="inlineStr">
        <is>
          <t>200</t>
        </is>
      </c>
      <c r="G9" s="109" t="inlineStr">
        <is>
          <t>200 - F015CV RIFLUSSO DEB. CONTROLLO E RIPRISTINO FUNZIONALITA VALVOLA</t>
        </is>
      </c>
      <c r="H9" s="109" t="n"/>
      <c r="I9" s="109" t="n"/>
      <c r="J9" s="109" t="n"/>
      <c r="K9" s="109" t="n"/>
      <c r="L9" s="109" t="n"/>
      <c r="M9" s="110" t="inlineStr">
        <is>
          <t>DA CHIUDERE</t>
        </is>
      </c>
      <c r="N9" s="110" t="n"/>
      <c r="O9" s="110" t="n"/>
      <c r="P9" s="110" t="n"/>
      <c r="Q9" s="110" t="n"/>
      <c r="R9" s="151" t="n">
        <v>45813</v>
      </c>
      <c r="S9" s="110" t="inlineStr">
        <is>
          <t>MILLO/GARRO</t>
        </is>
      </c>
      <c r="T9" s="109" t="inlineStr"/>
      <c r="U9" s="147" t="inlineStr"/>
    </row>
    <row r="10" ht="30" customFormat="1" customHeight="1" s="45">
      <c r="A10" s="109" t="n"/>
      <c r="B10" s="108" t="inlineStr">
        <is>
          <t>X</t>
        </is>
      </c>
      <c r="C10" s="109" t="inlineStr"/>
      <c r="D10" s="109" t="inlineStr">
        <is>
          <t>AREA 1</t>
        </is>
      </c>
      <c r="E10" s="109" t="inlineStr">
        <is>
          <t>536907/C</t>
        </is>
      </c>
      <c r="F10" s="109" t="inlineStr">
        <is>
          <t>400</t>
        </is>
      </c>
      <c r="G10" s="109" t="inlineStr">
        <is>
          <t>400 - 400T700/703R CONTROLLO TEMPERATURE ED ALLINEAMENTO CON SALA CONTROLLO</t>
        </is>
      </c>
      <c r="H10" s="109" t="n"/>
      <c r="I10" s="109" t="n"/>
      <c r="J10" s="109" t="n"/>
      <c r="K10" s="109" t="n"/>
      <c r="L10" s="109" t="n"/>
      <c r="M10" s="110" t="inlineStr">
        <is>
          <t>DA CHIUDERE</t>
        </is>
      </c>
      <c r="N10" s="110" t="n"/>
      <c r="O10" s="110" t="n"/>
      <c r="P10" s="110" t="n"/>
      <c r="Q10" s="110" t="n"/>
      <c r="R10" s="151" t="n"/>
      <c r="S10" s="110" t="n"/>
      <c r="T10" s="109" t="inlineStr"/>
      <c r="U10" s="147" t="inlineStr"/>
    </row>
    <row r="11" customFormat="1" s="45">
      <c r="A11" s="109" t="n"/>
      <c r="B11" s="108" t="n"/>
      <c r="C11" s="109" t="inlineStr"/>
      <c r="D11" s="109" t="inlineStr">
        <is>
          <t>AREA 1</t>
        </is>
      </c>
      <c r="E11" s="109" t="inlineStr">
        <is>
          <t>537751/C</t>
        </is>
      </c>
      <c r="F11" s="109" t="inlineStr">
        <is>
          <t>300</t>
        </is>
      </c>
      <c r="G11" s="109" t="inlineStr">
        <is>
          <t>300 - P103A RIMONTAGGIO STRUMENTAZIONE SU BARILOTTI TENUTA POMPE</t>
        </is>
      </c>
      <c r="H11" s="109" t="n"/>
      <c r="I11" s="109" t="n"/>
      <c r="J11" s="109" t="n"/>
      <c r="K11" s="109" t="n"/>
      <c r="L11" s="109" t="n"/>
      <c r="M11" s="110" t="inlineStr">
        <is>
          <t>DA CHIUDERE</t>
        </is>
      </c>
      <c r="N11" s="110" t="n"/>
      <c r="O11" s="110" t="n"/>
      <c r="P11" s="110" t="n"/>
      <c r="Q11" s="110" t="n"/>
      <c r="R11" s="151" t="n"/>
      <c r="S11" s="110" t="n"/>
      <c r="T11" s="109" t="inlineStr"/>
      <c r="U11" s="147" t="inlineStr"/>
    </row>
    <row r="12" ht="30" customFormat="1" customHeight="1" s="45">
      <c r="A12" s="109" t="n"/>
      <c r="B12" s="108" t="inlineStr">
        <is>
          <t>X</t>
        </is>
      </c>
      <c r="C12" s="109" t="inlineStr"/>
      <c r="D12" s="109" t="inlineStr">
        <is>
          <t>AREA 1</t>
        </is>
      </c>
      <c r="E12" s="109" t="inlineStr">
        <is>
          <t>535185/C</t>
        </is>
      </c>
      <c r="F12" s="109" t="inlineStr">
        <is>
          <t>100</t>
        </is>
      </c>
      <c r="G12" s="109" t="inlineStr">
        <is>
          <t>100 - P102B CONTROLLO E RIPRISTINO ALLARME CUMULATIVO 1P102BRA</t>
        </is>
      </c>
      <c r="H12" s="109" t="n"/>
      <c r="I12" s="109" t="n"/>
      <c r="J12" s="109" t="n"/>
      <c r="K12" s="109" t="n"/>
      <c r="L12" s="109" t="n"/>
      <c r="M12" s="110" t="inlineStr">
        <is>
          <t>DA CHIUDERE</t>
        </is>
      </c>
      <c r="N12" s="110" t="n"/>
      <c r="O12" s="110" t="n"/>
      <c r="P12" s="110" t="n"/>
      <c r="Q12" s="110" t="inlineStr">
        <is>
          <t>BYPASSATO TERMOSTATO DOPPIO CONTATTO ANALOGICO, CON MORSETTIERA LE CUI VITI GIRANO A VUOTO.</t>
        </is>
      </c>
      <c r="R12" s="151" t="n">
        <v>45782</v>
      </c>
      <c r="S12" s="110" t="inlineStr">
        <is>
          <t>MILLO/ALLEGRETTI</t>
        </is>
      </c>
      <c r="T12" s="109" t="inlineStr"/>
      <c r="U12" s="147" t="inlineStr"/>
    </row>
    <row r="13" customFormat="1" s="45">
      <c r="A13" s="109" t="n"/>
      <c r="B13" s="108" t="inlineStr">
        <is>
          <t>X</t>
        </is>
      </c>
      <c r="C13" s="109" t="inlineStr"/>
      <c r="D13" s="109" t="inlineStr">
        <is>
          <t>AREA 1</t>
        </is>
      </c>
      <c r="E13" s="109" t="inlineStr">
        <is>
          <t>535280/C</t>
        </is>
      </c>
      <c r="F13" s="109" t="inlineStr">
        <is>
          <t>100</t>
        </is>
      </c>
      <c r="G13" s="109" t="inlineStr">
        <is>
          <t>100 - T419I (USCITA LM E107C/D)CONTROLLO E RIPRISTINO MISURA DI TEMPERATURA</t>
        </is>
      </c>
      <c r="H13" s="109" t="n"/>
      <c r="I13" s="109" t="n"/>
      <c r="J13" s="109" t="n"/>
      <c r="K13" s="109" t="n"/>
      <c r="L13" s="109" t="n"/>
      <c r="M13" s="110" t="inlineStr">
        <is>
          <t>DA CHIUDERE</t>
        </is>
      </c>
      <c r="N13" s="110" t="n"/>
      <c r="O13" s="110" t="n"/>
      <c r="P13" s="110" t="n"/>
      <c r="Q13" s="110" t="inlineStr">
        <is>
          <t>MORSETTI OSSIDATI, RIPRISTINATA FUNZIONALITA'</t>
        </is>
      </c>
      <c r="R13" s="151" t="n">
        <v>45783</v>
      </c>
      <c r="S13" s="110" t="inlineStr">
        <is>
          <t>TARASCIO</t>
        </is>
      </c>
      <c r="T13" s="109" t="inlineStr"/>
      <c r="U13" s="147" t="inlineStr"/>
    </row>
    <row r="14" ht="30" customFormat="1" customHeight="1" s="45">
      <c r="A14" s="109" t="n"/>
      <c r="B14" s="108" t="inlineStr">
        <is>
          <t>X</t>
        </is>
      </c>
      <c r="C14" s="109" t="inlineStr"/>
      <c r="D14" s="109" t="inlineStr">
        <is>
          <t>AREA 1</t>
        </is>
      </c>
      <c r="E14" s="109" t="inlineStr">
        <is>
          <t>534468/C</t>
        </is>
      </c>
      <c r="F14" s="109" t="inlineStr">
        <is>
          <t>300</t>
        </is>
      </c>
      <c r="G14" s="109" t="inlineStr">
        <is>
          <t>300 - L012IC(MAMMELLONE D101)RIPRISTINO LOOP DI REGOLAZIONE CON CONTROLLO LIVELLO E VALVOLA</t>
        </is>
      </c>
      <c r="H14" s="109" t="n"/>
      <c r="I14" s="109" t="n"/>
      <c r="J14" s="109" t="n"/>
      <c r="K14" s="109" t="n"/>
      <c r="L14" s="109" t="n"/>
      <c r="M14" s="110" t="inlineStr">
        <is>
          <t>DA CHIUDERE</t>
        </is>
      </c>
      <c r="N14" s="110" t="n"/>
      <c r="O14" s="110" t="n"/>
      <c r="P14" s="110" t="n"/>
      <c r="Q14" s="110" t="inlineStr">
        <is>
          <t>SMONTAGGIO VALVOLA TROVATA OSTRUITA DA MELMA, PULITA E RIMONTATA</t>
        </is>
      </c>
      <c r="R14" s="151" t="n">
        <v>45777</v>
      </c>
      <c r="S14" s="110" t="inlineStr">
        <is>
          <t>CIANCHINO/SAGGIO</t>
        </is>
      </c>
      <c r="T14" s="109" t="inlineStr"/>
      <c r="U14" s="147" t="inlineStr"/>
    </row>
    <row r="15" ht="30" customFormat="1" customHeight="1" s="45">
      <c r="A15" s="109" t="n"/>
      <c r="B15" s="108" t="inlineStr">
        <is>
          <t>X</t>
        </is>
      </c>
      <c r="C15" s="109" t="inlineStr"/>
      <c r="D15" s="109" t="inlineStr">
        <is>
          <t>AREA 1</t>
        </is>
      </c>
      <c r="E15" s="109" t="inlineStr">
        <is>
          <t>534462/C</t>
        </is>
      </c>
      <c r="F15" s="109" t="inlineStr">
        <is>
          <t>900</t>
        </is>
      </c>
      <c r="G15" s="109" t="inlineStr">
        <is>
          <t>900 - F024R(CARICA TOTALE T101) RIPRISTINO FUNZIONALITA PORTATA</t>
        </is>
      </c>
      <c r="H15" s="109" t="n"/>
      <c r="I15" s="109" t="n"/>
      <c r="J15" s="109" t="n"/>
      <c r="K15" s="109" t="n"/>
      <c r="L15" s="109" t="n"/>
      <c r="M15" s="110" t="inlineStr">
        <is>
          <t>DA CHIUDERE</t>
        </is>
      </c>
      <c r="N15" s="110" t="n"/>
      <c r="O15" s="110" t="n"/>
      <c r="P15" s="110" t="n"/>
      <c r="Q15" s="110" t="inlineStr">
        <is>
          <t>SOSTITUITO STRUMENTO GUASTO, ALLINEAMENTO MISURA CON SALA CONTROLLO</t>
        </is>
      </c>
      <c r="R15" s="151" t="n">
        <v>45777</v>
      </c>
      <c r="S15" s="110" t="inlineStr">
        <is>
          <t>TARASCIO/PARTESANO</t>
        </is>
      </c>
      <c r="T15" s="109" t="inlineStr"/>
      <c r="U15" s="147" t="inlineStr"/>
    </row>
    <row r="16" ht="30" customFormat="1" customHeight="1" s="45">
      <c r="A16" s="109" t="n"/>
      <c r="B16" s="109" t="inlineStr">
        <is>
          <t>X</t>
        </is>
      </c>
      <c r="C16" s="109" t="inlineStr"/>
      <c r="D16" s="109" t="inlineStr">
        <is>
          <t>AREA 1</t>
        </is>
      </c>
      <c r="E16" s="109" t="inlineStr">
        <is>
          <t>533751/C</t>
        </is>
      </c>
      <c r="F16" s="109" t="inlineStr">
        <is>
          <t>100</t>
        </is>
      </c>
      <c r="G16" s="109" t="inlineStr">
        <is>
          <t>100 - P102CRA (P102C ALLARME CUMULATIVO)  CONTROLLO E RIPRISTINO FUNZIONALITA</t>
        </is>
      </c>
      <c r="H16" s="109" t="n"/>
      <c r="I16" s="109" t="n"/>
      <c r="J16" s="109" t="n"/>
      <c r="K16" s="109" t="n"/>
      <c r="L16" s="109" t="n"/>
      <c r="M16" s="109" t="inlineStr">
        <is>
          <t>DA CHIUDERE</t>
        </is>
      </c>
      <c r="N16" s="109" t="n"/>
      <c r="O16" s="109" t="n"/>
      <c r="P16" s="109" t="n"/>
      <c r="Q16" s="109" t="inlineStr">
        <is>
          <t>DA CHIUDERE</t>
        </is>
      </c>
      <c r="R16" s="151" t="n">
        <v>45764</v>
      </c>
      <c r="S16" s="109" t="inlineStr">
        <is>
          <t>SPINALI</t>
        </is>
      </c>
      <c r="T16" s="109" t="inlineStr"/>
      <c r="U16" s="109" t="inlineStr"/>
    </row>
    <row r="17" ht="30" customFormat="1" customHeight="1" s="45">
      <c r="A17" s="109" t="n"/>
      <c r="B17" s="109" t="inlineStr">
        <is>
          <t>X</t>
        </is>
      </c>
      <c r="C17" s="109" t="inlineStr"/>
      <c r="D17" s="109" t="inlineStr">
        <is>
          <t>AREA 1</t>
        </is>
      </c>
      <c r="E17" s="109" t="inlineStr">
        <is>
          <t>532690/C</t>
        </is>
      </c>
      <c r="F17" s="109" t="inlineStr">
        <is>
          <t>100</t>
        </is>
      </c>
      <c r="G17" s="109" t="inlineStr">
        <is>
          <t>100 - 01F030RC VAPORE A T104 CONTROLLO  LOOP DI REGOLAZIONE PARTENDO DALLA MISURA DI PORTATA</t>
        </is>
      </c>
      <c r="H17" s="109" t="n"/>
      <c r="I17" s="109" t="n"/>
      <c r="J17" s="109" t="n"/>
      <c r="K17" s="109" t="n"/>
      <c r="L17" s="109" t="n"/>
      <c r="M17" s="109" t="inlineStr">
        <is>
          <t>DA CHIUDERE</t>
        </is>
      </c>
      <c r="N17" s="109" t="n"/>
      <c r="O17" s="109" t="n"/>
      <c r="P17" s="109" t="n"/>
      <c r="Q17" s="109" t="inlineStr">
        <is>
          <t>NEGATIVA TAPPATA, STASATA OK. ALLARMI NON INTERVENGONO IN SALA CONTROLLO</t>
        </is>
      </c>
      <c r="R17" s="151" t="n">
        <v>45764</v>
      </c>
      <c r="S17" s="109" t="inlineStr">
        <is>
          <t>SPINALI</t>
        </is>
      </c>
      <c r="T17" s="109" t="inlineStr"/>
      <c r="U17" s="147" t="inlineStr"/>
    </row>
    <row r="18" customFormat="1" s="45">
      <c r="A18" s="109" t="n"/>
      <c r="B18" s="109" t="inlineStr">
        <is>
          <t>X</t>
        </is>
      </c>
      <c r="C18" s="109" t="inlineStr"/>
      <c r="D18" s="109" t="inlineStr">
        <is>
          <t>AREA 1</t>
        </is>
      </c>
      <c r="E18" s="109" t="inlineStr">
        <is>
          <t>534322/C</t>
        </is>
      </c>
      <c r="F18" s="109" t="inlineStr">
        <is>
          <t>200</t>
        </is>
      </c>
      <c r="G18" s="109" t="inlineStr">
        <is>
          <t>200 - P001I(INGRESSO 200-R101)CONTROLLO E TARATURA STRUMENTO DI PRESSIONE</t>
        </is>
      </c>
      <c r="H18" s="109" t="n"/>
      <c r="I18" s="109" t="n"/>
      <c r="J18" s="109" t="n"/>
      <c r="K18" s="109" t="n"/>
      <c r="L18" s="109" t="n"/>
      <c r="M18" s="109" t="inlineStr">
        <is>
          <t>DA CHIUDERE</t>
        </is>
      </c>
      <c r="N18" s="109" t="n"/>
      <c r="O18" s="109" t="n"/>
      <c r="P18" s="109" t="n"/>
      <c r="Q18" s="109" t="inlineStr">
        <is>
          <t>NULLA DA SEGNALARE, AZZERATO.</t>
        </is>
      </c>
      <c r="R18" s="151" t="n">
        <v>45775</v>
      </c>
      <c r="S18" s="109" t="inlineStr">
        <is>
          <t>SPINALI/SERRA</t>
        </is>
      </c>
      <c r="T18" s="109" t="inlineStr"/>
      <c r="U18" s="109" t="inlineStr"/>
    </row>
    <row r="19" ht="30" customFormat="1" customHeight="1" s="45">
      <c r="A19" s="109" t="n"/>
      <c r="B19" s="109" t="inlineStr">
        <is>
          <t>X</t>
        </is>
      </c>
      <c r="C19" s="109" t="inlineStr"/>
      <c r="D19" s="109" t="inlineStr">
        <is>
          <t>AREA 1</t>
        </is>
      </c>
      <c r="E19" s="109" t="inlineStr">
        <is>
          <t>534327/C</t>
        </is>
      </c>
      <c r="F19" s="109" t="inlineStr">
        <is>
          <t>200</t>
        </is>
      </c>
      <c r="G19" s="109" t="inlineStr">
        <is>
          <t>200 - P002DC(DIFFERENZIALE PRESSIONE 200-R101)CONTROLLO E TARATURA STRUMENTO DI PRESSIONE</t>
        </is>
      </c>
      <c r="H19" s="109" t="n"/>
      <c r="I19" s="109" t="n"/>
      <c r="J19" s="109" t="n"/>
      <c r="K19" s="109" t="n"/>
      <c r="L19" s="109" t="n"/>
      <c r="M19" s="110" t="inlineStr">
        <is>
          <t>DA CHIUDERE</t>
        </is>
      </c>
      <c r="N19" s="110" t="n"/>
      <c r="O19" s="110" t="n"/>
      <c r="P19" s="110" t="n"/>
      <c r="Q19" s="110" t="inlineStr">
        <is>
          <t>VALVOLE D'INTERCETTO NON FANNO TENUTA, CORRETTO DI ZERO</t>
        </is>
      </c>
      <c r="R19" s="151" t="n">
        <v>45771</v>
      </c>
      <c r="S19" s="110" t="inlineStr">
        <is>
          <t>SPINALI</t>
        </is>
      </c>
      <c r="T19" s="109" t="inlineStr"/>
      <c r="U19" s="147" t="inlineStr"/>
    </row>
    <row r="20" ht="30" customFormat="1" customHeight="1" s="45">
      <c r="A20" s="109" t="n"/>
      <c r="B20" s="108" t="inlineStr">
        <is>
          <t>X</t>
        </is>
      </c>
      <c r="C20" s="109" t="inlineStr"/>
      <c r="D20" s="109" t="inlineStr">
        <is>
          <t>AREA 1</t>
        </is>
      </c>
      <c r="E20" s="109" t="inlineStr">
        <is>
          <t>534324/C</t>
        </is>
      </c>
      <c r="F20" s="109" t="inlineStr">
        <is>
          <t>200</t>
        </is>
      </c>
      <c r="G20" s="109" t="inlineStr">
        <is>
          <t>200 - P030R(USCITA 200-R101)CONTROLLO E TARATURA STRUMENTO DI PRESSIONE</t>
        </is>
      </c>
      <c r="H20" s="109" t="n"/>
      <c r="I20" s="109" t="n"/>
      <c r="J20" s="109" t="n"/>
      <c r="K20" s="109" t="n"/>
      <c r="L20" s="109" t="n"/>
      <c r="M20" s="110" t="inlineStr">
        <is>
          <t>DA CHIUDERE</t>
        </is>
      </c>
      <c r="N20" s="110" t="n"/>
      <c r="O20" s="110" t="n"/>
      <c r="P20" s="110" t="n"/>
      <c r="Q20" s="110" t="inlineStr">
        <is>
          <t>STARATA BARRIERA, SOSTITUITA CON RIPRISTINO DELLA FUNZIONALITA'</t>
        </is>
      </c>
      <c r="R20" s="151" t="n">
        <v>45771</v>
      </c>
      <c r="S20" s="110" t="inlineStr">
        <is>
          <t>SPINALI</t>
        </is>
      </c>
      <c r="T20" s="109" t="inlineStr"/>
      <c r="U20" s="147" t="inlineStr"/>
    </row>
    <row r="21" customFormat="1" s="45">
      <c r="A21" s="109" t="n"/>
      <c r="B21" s="109" t="inlineStr">
        <is>
          <t>X</t>
        </is>
      </c>
      <c r="C21" s="109" t="inlineStr"/>
      <c r="D21" s="109" t="inlineStr">
        <is>
          <t>AREA 1</t>
        </is>
      </c>
      <c r="E21" s="109" t="inlineStr">
        <is>
          <t>533920/C</t>
        </is>
      </c>
      <c r="F21" s="109" t="inlineStr">
        <is>
          <t>200A</t>
        </is>
      </c>
      <c r="G21" s="109" t="inlineStr">
        <is>
          <t>200A - L355HA D303  CONTROLLO E RIPRISTINO FUNZIONALITA LIVELLOSTATO</t>
        </is>
      </c>
      <c r="H21" s="109" t="n"/>
      <c r="I21" s="109" t="n"/>
      <c r="J21" s="109" t="n"/>
      <c r="K21" s="109" t="n"/>
      <c r="L21" s="109" t="n"/>
      <c r="M21" s="109" t="inlineStr">
        <is>
          <t>DA CHIUDERE</t>
        </is>
      </c>
      <c r="N21" s="109" t="n"/>
      <c r="O21" s="109" t="n"/>
      <c r="P21" s="109" t="n"/>
      <c r="Q21" s="109" t="n"/>
      <c r="R21" s="151" t="n"/>
      <c r="S21" s="109" t="n"/>
      <c r="T21" s="109" t="inlineStr"/>
      <c r="U21" s="147" t="inlineStr"/>
    </row>
    <row r="22" ht="30" customFormat="1" customHeight="1" s="45">
      <c r="A22" s="109" t="n"/>
      <c r="B22" s="109" t="inlineStr">
        <is>
          <t>X</t>
        </is>
      </c>
      <c r="C22" s="109" t="inlineStr"/>
      <c r="D22" s="109" t="inlineStr">
        <is>
          <t>AREA 1</t>
        </is>
      </c>
      <c r="E22" s="109" t="inlineStr">
        <is>
          <t>533748/C</t>
        </is>
      </c>
      <c r="F22" s="109" t="inlineStr">
        <is>
          <t>100</t>
        </is>
      </c>
      <c r="G22" s="109" t="inlineStr">
        <is>
          <t xml:space="preserve">100 - L352RC (T301)CONTROLLO E TARATURA LIVELLO E  ALLINEAMENTO CON SALA CONTROLLOI </t>
        </is>
      </c>
      <c r="H22" s="109" t="n"/>
      <c r="I22" s="109" t="n"/>
      <c r="J22" s="109" t="n"/>
      <c r="K22" s="109" t="n"/>
      <c r="L22" s="109" t="n"/>
      <c r="M22" s="109" t="inlineStr">
        <is>
          <t>DA CHIUDERE</t>
        </is>
      </c>
      <c r="N22" s="109" t="n"/>
      <c r="O22" s="109" t="n"/>
      <c r="P22" s="109" t="n"/>
      <c r="Q22" s="109" t="inlineStr">
        <is>
          <t>SOSTITUITO STRUMENTO IN CHIAMATA CTG, FUNZIONANTE E COSTRUITA PALINA</t>
        </is>
      </c>
      <c r="R22" s="151" t="n">
        <v>45771</v>
      </c>
      <c r="S22" s="109" t="inlineStr">
        <is>
          <t>CAVAGNACCHI</t>
        </is>
      </c>
      <c r="T22" s="109" t="inlineStr"/>
      <c r="U22" s="147" t="inlineStr"/>
    </row>
    <row r="23" ht="30" customFormat="1" customHeight="1" s="45">
      <c r="A23" s="109" t="n"/>
      <c r="B23" s="108" t="inlineStr">
        <is>
          <t>X</t>
        </is>
      </c>
      <c r="C23" s="109" t="inlineStr"/>
      <c r="D23" s="109" t="inlineStr">
        <is>
          <t>AREA 1</t>
        </is>
      </c>
      <c r="E23" s="109" t="inlineStr">
        <is>
          <t>533507/C</t>
        </is>
      </c>
      <c r="F23" s="109" t="inlineStr">
        <is>
          <t>100</t>
        </is>
      </c>
      <c r="G23" s="109" t="inlineStr">
        <is>
          <t>100 - L352CV (T301) CONTROLLO E RIPRISTINO VALVOLA ATTIVITA DA EFFETTUARE CON SUPPORTO OPERATORE</t>
        </is>
      </c>
      <c r="H23" s="109" t="n"/>
      <c r="I23" s="109" t="n"/>
      <c r="J23" s="109" t="n"/>
      <c r="K23" s="109" t="n"/>
      <c r="L23" s="109" t="n"/>
      <c r="M23" s="110" t="inlineStr">
        <is>
          <t>DA CHIUDERE</t>
        </is>
      </c>
      <c r="N23" s="110" t="n"/>
      <c r="O23" s="110" t="n"/>
      <c r="P23" s="110" t="n"/>
      <c r="Q23" s="110" t="inlineStr">
        <is>
          <t>PER VALVOLISTI</t>
        </is>
      </c>
      <c r="R23" s="151" t="n"/>
      <c r="S23" s="110" t="n"/>
      <c r="T23" s="109" t="inlineStr"/>
      <c r="U23" s="147" t="inlineStr"/>
    </row>
    <row r="24" ht="30" customFormat="1" customHeight="1" s="45">
      <c r="A24" s="109" t="n"/>
      <c r="B24" s="109" t="inlineStr">
        <is>
          <t>X</t>
        </is>
      </c>
      <c r="C24" s="109" t="inlineStr"/>
      <c r="D24" s="109" t="inlineStr">
        <is>
          <t>AREA 1</t>
        </is>
      </c>
      <c r="E24" s="109" t="inlineStr">
        <is>
          <t>532694/C</t>
        </is>
      </c>
      <c r="F24" s="109" t="inlineStr">
        <is>
          <t>100</t>
        </is>
      </c>
      <c r="G24" s="109" t="inlineStr">
        <is>
          <t>100 - 01F035RC VAPORE A T103 CONTROLLO  LOOP DI REGOLAZIONE PARTENDO DALLA MISURA DI PORTATA</t>
        </is>
      </c>
      <c r="H24" s="109" t="n"/>
      <c r="I24" s="109" t="n"/>
      <c r="J24" s="109" t="n"/>
      <c r="K24" s="109" t="n"/>
      <c r="L24" s="109" t="n"/>
      <c r="M24" s="109" t="inlineStr">
        <is>
          <t>DA CHIUDERE</t>
        </is>
      </c>
      <c r="N24" s="109" t="n"/>
      <c r="O24" s="109" t="n"/>
      <c r="P24" s="109" t="n"/>
      <c r="Q24" s="109" t="n"/>
      <c r="R24" s="151" t="n"/>
      <c r="S24" s="109" t="n"/>
      <c r="T24" s="109" t="inlineStr"/>
      <c r="U24" s="147" t="inlineStr"/>
    </row>
    <row r="25" customFormat="1" s="45">
      <c r="A25" s="109" t="n"/>
      <c r="B25" s="108" t="inlineStr">
        <is>
          <t>X</t>
        </is>
      </c>
      <c r="C25" s="109" t="inlineStr"/>
      <c r="D25" s="109" t="inlineStr">
        <is>
          <t>AREA 1</t>
        </is>
      </c>
      <c r="E25" s="109" t="inlineStr">
        <is>
          <t>532479/C</t>
        </is>
      </c>
      <c r="F25" s="109" t="inlineStr">
        <is>
          <t>900</t>
        </is>
      </c>
      <c r="G25" s="109" t="inlineStr">
        <is>
          <t>900 - F004R PROPANO A STOCCAGGIO RIPRISTINO MISURA PORTATA</t>
        </is>
      </c>
      <c r="H25" s="109" t="n"/>
      <c r="I25" s="109" t="n"/>
      <c r="J25" s="109" t="n"/>
      <c r="K25" s="109" t="n"/>
      <c r="L25" s="109" t="n"/>
      <c r="M25" s="110" t="inlineStr">
        <is>
          <t>DA CHIUDERE</t>
        </is>
      </c>
      <c r="N25" s="110" t="n"/>
      <c r="O25" s="110" t="n"/>
      <c r="P25" s="110" t="n"/>
      <c r="Q25" s="110" t="inlineStr">
        <is>
          <t>SOSTITUITO TX DI PORTATA RIPRISTINATA FUNZIONALITA'</t>
        </is>
      </c>
      <c r="R25" s="151" t="n">
        <v>45762</v>
      </c>
      <c r="S25" s="110" t="inlineStr">
        <is>
          <t>SPINALI/SERRA</t>
        </is>
      </c>
      <c r="T25" s="109" t="inlineStr"/>
      <c r="U25" s="147" t="inlineStr"/>
    </row>
    <row r="26" ht="30" customFormat="1" customHeight="1" s="45">
      <c r="A26" s="109" t="n"/>
      <c r="B26" s="108" t="inlineStr">
        <is>
          <t>X</t>
        </is>
      </c>
      <c r="C26" s="109" t="inlineStr"/>
      <c r="D26" s="109" t="inlineStr">
        <is>
          <t>AREA 1</t>
        </is>
      </c>
      <c r="E26" s="109" t="inlineStr">
        <is>
          <t>523172/C</t>
        </is>
      </c>
      <c r="F26" s="109" t="inlineStr">
        <is>
          <t>200A</t>
        </is>
      </c>
      <c r="G26" s="109" t="inlineStr">
        <is>
          <t>200 T361I(TEMPERATURA FASE LIQUIDA D301)CONTROLLO E ALLINEAMENTO CON SALA CONTROLLO</t>
        </is>
      </c>
      <c r="H26" s="109" t="n"/>
      <c r="I26" s="109" t="n"/>
      <c r="J26" s="109" t="n"/>
      <c r="K26" s="109" t="n"/>
      <c r="L26" s="109" t="n"/>
      <c r="M26" s="110" t="inlineStr">
        <is>
          <t>DA CHIUDERE</t>
        </is>
      </c>
      <c r="N26" s="110" t="n"/>
      <c r="O26" s="110" t="inlineStr">
        <is>
          <t>X</t>
        </is>
      </c>
      <c r="P26" s="110" t="n"/>
      <c r="Q26" s="110" t="inlineStr">
        <is>
          <t>INVERSIONE DI POLARITA' SUL TERMOELEMENTO, NECESSITA PONTEGGIO PER ACCEDERE. MISURA OK DA INFO NASELLI</t>
        </is>
      </c>
      <c r="R26" s="151" t="n">
        <v>45680</v>
      </c>
      <c r="S26" s="110" t="inlineStr">
        <is>
          <t>MILLO/ALLEGRETTI</t>
        </is>
      </c>
      <c r="T26" s="109" t="inlineStr"/>
      <c r="U26" s="147" t="inlineStr"/>
    </row>
    <row r="27" customFormat="1" s="45">
      <c r="A27" s="109" t="n"/>
      <c r="B27" s="108" t="inlineStr">
        <is>
          <t>X</t>
        </is>
      </c>
      <c r="C27" s="109" t="inlineStr"/>
      <c r="D27" s="109" t="inlineStr">
        <is>
          <t>AREA 1</t>
        </is>
      </c>
      <c r="E27" s="109" t="inlineStr">
        <is>
          <t>527367/C</t>
        </is>
      </c>
      <c r="F27" s="109" t="inlineStr">
        <is>
          <t>200</t>
        </is>
      </c>
      <c r="G27" s="109" t="inlineStr">
        <is>
          <t>200 - F150R(VAPORE MS L.B.)CONTROLLO E RIPRISTINO FUNZIONALITA</t>
        </is>
      </c>
      <c r="H27" s="109" t="n"/>
      <c r="I27" s="109" t="n"/>
      <c r="J27" s="109" t="n"/>
      <c r="K27" s="109" t="n"/>
      <c r="L27" s="109" t="n"/>
      <c r="M27" s="110" t="inlineStr">
        <is>
          <t>DA CHIUDERE</t>
        </is>
      </c>
      <c r="N27" s="110" t="n"/>
      <c r="O27" s="110" t="n"/>
      <c r="P27" s="110" t="n"/>
      <c r="Q27" s="110" t="inlineStr">
        <is>
          <t xml:space="preserve">RISOLTO CON SCATOLA DI CONTENIMENTO STRUMENTO IN SERVIZIO </t>
        </is>
      </c>
      <c r="R27" s="151" t="n">
        <v>45715</v>
      </c>
      <c r="S27" s="110" t="inlineStr">
        <is>
          <t>SPINALI/SERRA</t>
        </is>
      </c>
      <c r="T27" s="109" t="inlineStr"/>
      <c r="U27" s="147" t="inlineStr"/>
    </row>
    <row r="28" ht="45" customFormat="1" customHeight="1" s="1">
      <c r="A28" s="109" t="n"/>
      <c r="B28" s="108" t="inlineStr">
        <is>
          <t>X</t>
        </is>
      </c>
      <c r="C28" s="109" t="inlineStr"/>
      <c r="D28" s="109" t="inlineStr">
        <is>
          <t>AREA 1</t>
        </is>
      </c>
      <c r="E28" s="109" t="inlineStr">
        <is>
          <t>531793/C</t>
        </is>
      </c>
      <c r="F28" s="109" t="inlineStr">
        <is>
          <t>900</t>
        </is>
      </c>
      <c r="G28" s="109" t="inlineStr">
        <is>
          <t>900 - (ZONA TRA T101 E P106A) RIPRISTINI CAVI E PASSARELLE  DANNEGIATE IN H24 TRAMITE REALIZZAZIONE DI GIUNTI E RIPRISTINO  CASSETE DI GIUNZIONE ELETTROVALVOLE (SOV-2 )TEMPERATURE (T3)E ALLARMI (AL1-2)</t>
        </is>
      </c>
      <c r="H28" s="109" t="n"/>
      <c r="I28" s="109" t="n"/>
      <c r="J28" s="109" t="n"/>
      <c r="K28" s="109" t="n"/>
      <c r="L28" s="109" t="n"/>
      <c r="M28" s="110" t="inlineStr">
        <is>
          <t>DA CHIUDERE</t>
        </is>
      </c>
      <c r="N28" s="110" t="n"/>
      <c r="O28" s="110" t="n"/>
      <c r="P28" s="110" t="n"/>
      <c r="Q28" s="110" t="n"/>
      <c r="R28" s="151" t="n"/>
      <c r="S28" s="110" t="n"/>
      <c r="T28" s="109" t="inlineStr"/>
      <c r="U28" s="147" t="inlineStr"/>
      <c r="W28" s="45" t="n"/>
      <c r="X28" s="45" t="n"/>
    </row>
    <row r="29" ht="30" customFormat="1" customHeight="1" s="1">
      <c r="A29" s="109" t="n"/>
      <c r="B29" s="108" t="inlineStr">
        <is>
          <t>X</t>
        </is>
      </c>
      <c r="C29" s="109" t="inlineStr"/>
      <c r="D29" s="109" t="inlineStr">
        <is>
          <t>AREA 1</t>
        </is>
      </c>
      <c r="E29" s="109" t="inlineStr">
        <is>
          <t>531726/C</t>
        </is>
      </c>
      <c r="F29" s="109" t="inlineStr">
        <is>
          <t>900</t>
        </is>
      </c>
      <c r="G29" s="109" t="inlineStr">
        <is>
          <t>900 - T101 CONTROLLO LOOP CHECK SU STRUMENTAZIONE COLONNA E A CORREDO CON LA STESSA.</t>
        </is>
      </c>
      <c r="H29" s="109" t="n"/>
      <c r="I29" s="109" t="n"/>
      <c r="J29" s="109" t="n"/>
      <c r="K29" s="109" t="n"/>
      <c r="L29" s="109" t="n"/>
      <c r="M29" s="110" t="inlineStr">
        <is>
          <t>DA CHIUDERE</t>
        </is>
      </c>
      <c r="N29" s="110" t="n"/>
      <c r="O29" s="110" t="n"/>
      <c r="P29" s="110" t="n"/>
      <c r="Q29" s="110" t="n"/>
      <c r="R29" s="151" t="n"/>
      <c r="S29" s="110" t="n"/>
      <c r="T29" s="109" t="inlineStr"/>
      <c r="U29" s="147" t="inlineStr"/>
      <c r="X29" s="20" t="n"/>
    </row>
    <row r="30" customFormat="1" s="1">
      <c r="A30" s="109" t="n"/>
      <c r="B30" s="108" t="inlineStr">
        <is>
          <t>X</t>
        </is>
      </c>
      <c r="C30" s="109" t="inlineStr"/>
      <c r="D30" s="109" t="inlineStr">
        <is>
          <t>AREA 1</t>
        </is>
      </c>
      <c r="E30" s="109" t="inlineStr">
        <is>
          <t>531636/C</t>
        </is>
      </c>
      <c r="F30" s="109" t="inlineStr">
        <is>
          <t>100</t>
        </is>
      </c>
      <c r="G30" s="109" t="inlineStr">
        <is>
          <t>100 - L009CV STRIPPER T103  CONTROLLO E RIPRISTINO FUNZIONALITA VALVOLA</t>
        </is>
      </c>
      <c r="H30" s="109" t="n"/>
      <c r="I30" s="109" t="n"/>
      <c r="J30" s="109" t="n"/>
      <c r="K30" s="109" t="n"/>
      <c r="L30" s="109" t="n"/>
      <c r="M30" s="110" t="inlineStr">
        <is>
          <t>DA CHIUDERE</t>
        </is>
      </c>
      <c r="N30" s="110" t="n"/>
      <c r="O30" s="110" t="n"/>
      <c r="P30" s="110" t="n"/>
      <c r="Q30" s="110" t="n"/>
      <c r="R30" s="151" t="n"/>
      <c r="S30" s="110" t="n"/>
      <c r="T30" s="109" t="inlineStr"/>
      <c r="U30" s="147" t="inlineStr"/>
      <c r="X30" s="45" t="n"/>
    </row>
    <row r="31" customFormat="1" s="1">
      <c r="A31" s="109" t="n"/>
      <c r="B31" s="108" t="inlineStr">
        <is>
          <t>X</t>
        </is>
      </c>
      <c r="C31" s="109" t="inlineStr"/>
      <c r="D31" s="109" t="inlineStr">
        <is>
          <t>AREA 1</t>
        </is>
      </c>
      <c r="E31" s="109" t="inlineStr">
        <is>
          <t>531195/C</t>
        </is>
      </c>
      <c r="F31" s="109" t="inlineStr">
        <is>
          <t>100</t>
        </is>
      </c>
      <c r="G31" s="109" t="inlineStr">
        <is>
          <t>100 - 01P501LB (ABBASSAMENTO ASTA K651B)CONTROLLO E RIPRISTINO FUNZIONALITA</t>
        </is>
      </c>
      <c r="H31" s="109" t="n"/>
      <c r="I31" s="109" t="n"/>
      <c r="J31" s="109" t="n"/>
      <c r="K31" s="109" t="n"/>
      <c r="L31" s="109" t="n"/>
      <c r="M31" s="110" t="inlineStr">
        <is>
          <t>DA CHIUDERE</t>
        </is>
      </c>
      <c r="N31" s="110" t="n"/>
      <c r="O31" s="110" t="n"/>
      <c r="P31" s="110" t="n"/>
      <c r="Q31" s="110" t="n"/>
      <c r="R31" s="151" t="n"/>
      <c r="S31" s="110" t="n"/>
      <c r="T31" s="109" t="inlineStr"/>
      <c r="U31" s="147" t="inlineStr"/>
    </row>
    <row r="32" ht="30" customFormat="1" customHeight="1" s="1">
      <c r="A32" s="109" t="n"/>
      <c r="B32" s="109" t="inlineStr">
        <is>
          <t>X</t>
        </is>
      </c>
      <c r="C32" s="109" t="inlineStr"/>
      <c r="D32" s="109" t="inlineStr">
        <is>
          <t>AREA 1</t>
        </is>
      </c>
      <c r="E32" s="109" t="inlineStr">
        <is>
          <t>527836/C</t>
        </is>
      </c>
      <c r="F32" s="109" t="inlineStr">
        <is>
          <t>900</t>
        </is>
      </c>
      <c r="G32" s="109" t="inlineStr">
        <is>
          <t>900  - 09L115LA BASSO LIVELLO TENUTA P115  09P115HA ALTA PRESSIONE TENUTA P115.CONTROLLO E RIPRISTINO FUNZIONALITA.</t>
        </is>
      </c>
      <c r="H32" s="109" t="n"/>
      <c r="I32" s="109" t="n"/>
      <c r="J32" s="109" t="n"/>
      <c r="K32" s="109" t="n"/>
      <c r="L32" s="109" t="n"/>
      <c r="M32" s="109" t="inlineStr">
        <is>
          <t>DA CHIUDERE</t>
        </is>
      </c>
      <c r="N32" s="109" t="n"/>
      <c r="O32" s="109" t="n"/>
      <c r="P32" s="109" t="n"/>
      <c r="Q32" s="109" t="n"/>
      <c r="R32" s="151" t="n"/>
      <c r="S32" s="109" t="n"/>
      <c r="T32" s="109" t="inlineStr"/>
      <c r="U32" s="147" t="inlineStr"/>
    </row>
    <row r="33" customFormat="1" s="1">
      <c r="A33" s="109" t="n"/>
      <c r="B33" s="108" t="inlineStr">
        <is>
          <t>X</t>
        </is>
      </c>
      <c r="C33" s="109" t="inlineStr"/>
      <c r="D33" s="109" t="inlineStr">
        <is>
          <t>AREA 1</t>
        </is>
      </c>
      <c r="E33" s="109" t="inlineStr">
        <is>
          <t>530531/C</t>
        </is>
      </c>
      <c r="F33" s="109" t="inlineStr">
        <is>
          <t>100</t>
        </is>
      </c>
      <c r="G33" s="109" t="inlineStr">
        <is>
          <t>100 - F470I CONTROLLO E RIPRISTINO MISURA</t>
        </is>
      </c>
      <c r="H33" s="109" t="n"/>
      <c r="I33" s="109" t="n"/>
      <c r="J33" s="109" t="n"/>
      <c r="K33" s="109" t="n"/>
      <c r="L33" s="109" t="n"/>
      <c r="M33" s="110" t="inlineStr">
        <is>
          <t>DA CHIUDERE</t>
        </is>
      </c>
      <c r="N33" s="110" t="n"/>
      <c r="O33" s="110" t="n"/>
      <c r="P33" s="110" t="n"/>
      <c r="Q33" s="110" t="n"/>
      <c r="R33" s="151" t="n"/>
      <c r="S33" s="110" t="n"/>
      <c r="T33" s="109" t="inlineStr"/>
      <c r="U33" s="147" t="inlineStr"/>
    </row>
    <row r="34" customFormat="1" s="1">
      <c r="A34" s="109" t="n"/>
      <c r="B34" s="108" t="inlineStr">
        <is>
          <t>X</t>
        </is>
      </c>
      <c r="C34" s="109" t="inlineStr"/>
      <c r="D34" s="109" t="inlineStr">
        <is>
          <t>AREA 1</t>
        </is>
      </c>
      <c r="E34" s="109" t="inlineStr">
        <is>
          <t>530128/C</t>
        </is>
      </c>
      <c r="F34" s="109" t="inlineStr">
        <is>
          <t>900</t>
        </is>
      </c>
      <c r="G34" s="109" t="inlineStr">
        <is>
          <t>900 - L005RC(ACQUA D104) CONTROLLO E RIPRISTINO MISURA</t>
        </is>
      </c>
      <c r="H34" s="109" t="n"/>
      <c r="I34" s="109" t="n"/>
      <c r="J34" s="109" t="n"/>
      <c r="K34" s="109" t="n"/>
      <c r="L34" s="109" t="n"/>
      <c r="M34" s="110" t="inlineStr">
        <is>
          <t>DA CHIUDERE</t>
        </is>
      </c>
      <c r="N34" s="110" t="n"/>
      <c r="O34" s="110" t="n"/>
      <c r="P34" s="110" t="n"/>
      <c r="Q34" s="110" t="n"/>
      <c r="R34" s="151" t="n"/>
      <c r="S34" s="110" t="n"/>
      <c r="T34" s="109" t="inlineStr"/>
      <c r="U34" s="147" t="inlineStr"/>
    </row>
    <row r="35" customFormat="1" s="1">
      <c r="A35" s="109" t="n"/>
      <c r="B35" s="109" t="inlineStr">
        <is>
          <t>X</t>
        </is>
      </c>
      <c r="C35" s="109" t="inlineStr"/>
      <c r="D35" s="109" t="inlineStr">
        <is>
          <t>AREA 1</t>
        </is>
      </c>
      <c r="E35" s="109" t="inlineStr">
        <is>
          <t>527365/C</t>
        </is>
      </c>
      <c r="F35" s="109" t="inlineStr">
        <is>
          <t>100</t>
        </is>
      </c>
      <c r="G35" s="109" t="inlineStr">
        <is>
          <t>100 - 01F023RC montaggio staffa di sostegno su nuovo strumento</t>
        </is>
      </c>
      <c r="H35" s="109" t="n"/>
      <c r="I35" s="109" t="n"/>
      <c r="J35" s="109" t="n"/>
      <c r="K35" s="109" t="n"/>
      <c r="L35" s="109" t="n"/>
      <c r="M35" s="109" t="inlineStr">
        <is>
          <t>DA CHIUDERE</t>
        </is>
      </c>
      <c r="N35" s="109" t="n"/>
      <c r="O35" s="109" t="n"/>
      <c r="P35" s="109" t="n"/>
      <c r="Q35" s="109" t="n"/>
      <c r="R35" s="151" t="n"/>
      <c r="S35" s="109" t="n"/>
      <c r="T35" s="109" t="inlineStr"/>
      <c r="U35" s="109" t="inlineStr"/>
    </row>
    <row r="36" ht="30" customFormat="1" customHeight="1" s="1">
      <c r="A36" s="109" t="n"/>
      <c r="B36" s="108" t="inlineStr">
        <is>
          <t>X</t>
        </is>
      </c>
      <c r="C36" s="109" t="inlineStr"/>
      <c r="D36" s="109" t="inlineStr">
        <is>
          <t>AREA 1</t>
        </is>
      </c>
      <c r="E36" s="109" t="inlineStr">
        <is>
          <t>530718/C</t>
        </is>
      </c>
      <c r="F36" s="109" t="inlineStr">
        <is>
          <t>100</t>
        </is>
      </c>
      <c r="G36" s="109" t="inlineStr">
        <is>
          <t>100 - 01F169Q (CONTATORE SODA )MONTAGGIO NUOVO  CONTATORE E PROVE DI FUNZIONALITA</t>
        </is>
      </c>
      <c r="H36" s="109" t="n"/>
      <c r="I36" s="109" t="n"/>
      <c r="J36" s="109" t="n"/>
      <c r="K36" s="109" t="n"/>
      <c r="L36" s="109" t="n"/>
      <c r="M36" s="110" t="inlineStr">
        <is>
          <t>DA CHIUDERE</t>
        </is>
      </c>
      <c r="N36" s="110" t="n"/>
      <c r="O36" s="110" t="n"/>
      <c r="P36" s="110" t="n"/>
      <c r="Q36" s="110" t="n"/>
      <c r="R36" s="151" t="n"/>
      <c r="S36" s="110" t="n"/>
      <c r="T36" s="109" t="inlineStr"/>
      <c r="U36" s="147" t="inlineStr"/>
    </row>
    <row r="37" customFormat="1" s="1">
      <c r="A37" s="109" t="n"/>
      <c r="B37" s="108" t="inlineStr">
        <is>
          <t>X</t>
        </is>
      </c>
      <c r="C37" s="109" t="inlineStr"/>
      <c r="D37" s="109" t="inlineStr">
        <is>
          <t>AREA 1</t>
        </is>
      </c>
      <c r="E37" s="109" t="inlineStr">
        <is>
          <t>529414/C</t>
        </is>
      </c>
      <c r="F37" s="109" t="inlineStr">
        <is>
          <t>200A</t>
        </is>
      </c>
      <c r="G37" s="109" t="inlineStr">
        <is>
          <t>200A - L353CV (MEA T301)SMONTAGGIO/MONTAGGIO PER REVISIONE VALVOLA</t>
        </is>
      </c>
      <c r="H37" s="109" t="n"/>
      <c r="I37" s="109" t="n"/>
      <c r="J37" s="109" t="n"/>
      <c r="K37" s="109" t="n"/>
      <c r="L37" s="109" t="n"/>
      <c r="M37" s="110" t="inlineStr">
        <is>
          <t>DA CHIUDERE</t>
        </is>
      </c>
      <c r="N37" s="110" t="n"/>
      <c r="O37" s="110" t="n"/>
      <c r="P37" s="110" t="n"/>
      <c r="Q37" s="110" t="n"/>
      <c r="R37" s="151" t="n"/>
      <c r="S37" s="110" t="n"/>
      <c r="T37" s="109" t="inlineStr"/>
      <c r="U37" s="147" t="inlineStr"/>
    </row>
    <row r="38" customFormat="1" s="1">
      <c r="A38" s="109" t="n"/>
      <c r="B38" s="108" t="inlineStr">
        <is>
          <t>X</t>
        </is>
      </c>
      <c r="C38" s="109" t="inlineStr"/>
      <c r="D38" s="109" t="inlineStr">
        <is>
          <t>AREA 1</t>
        </is>
      </c>
      <c r="E38" s="109" t="inlineStr">
        <is>
          <t>530131/C</t>
        </is>
      </c>
      <c r="F38" s="109" t="inlineStr">
        <is>
          <t>200</t>
        </is>
      </c>
      <c r="G38" s="109" t="inlineStr">
        <is>
          <t>200 - T004I(USCITA CARICA TUBI E102A/B) CONTROLLO E RIPRISTINO MISURA</t>
        </is>
      </c>
      <c r="H38" s="109" t="n"/>
      <c r="I38" s="109" t="n"/>
      <c r="J38" s="109" t="n"/>
      <c r="K38" s="109" t="n"/>
      <c r="L38" s="109" t="n"/>
      <c r="M38" s="110" t="inlineStr">
        <is>
          <t>DA CHIUDERE</t>
        </is>
      </c>
      <c r="N38" s="110" t="n"/>
      <c r="O38" s="110" t="n"/>
      <c r="P38" s="110" t="n"/>
      <c r="Q38" s="110" t="n"/>
      <c r="R38" s="151" t="n"/>
      <c r="S38" s="110" t="n"/>
      <c r="T38" s="109" t="inlineStr"/>
      <c r="U38" s="147" t="inlineStr"/>
    </row>
    <row r="39" ht="30" customFormat="1" customHeight="1" s="1">
      <c r="A39" s="109" t="n"/>
      <c r="B39" s="108" t="inlineStr">
        <is>
          <t>X</t>
        </is>
      </c>
      <c r="C39" s="109" t="inlineStr"/>
      <c r="D39" s="109" t="inlineStr">
        <is>
          <t>AREA 1</t>
        </is>
      </c>
      <c r="E39" s="109" t="inlineStr">
        <is>
          <t>529726/C</t>
        </is>
      </c>
      <c r="F39" s="109" t="inlineStr">
        <is>
          <t>100</t>
        </is>
      </c>
      <c r="G39" s="109" t="inlineStr">
        <is>
          <t>100 - E112A/B SCOLLEGAMENTO/COLLE GAMENTO TERMOCOPPIE E  SISTEMAZIONE CAVI PER MANUTENZIONE SCAMBIATORE</t>
        </is>
      </c>
      <c r="H39" s="109" t="n"/>
      <c r="I39" s="109" t="n"/>
      <c r="J39" s="109" t="n"/>
      <c r="K39" s="109" t="n"/>
      <c r="L39" s="109" t="n"/>
      <c r="M39" s="110" t="inlineStr">
        <is>
          <t>DA CHIUDERE</t>
        </is>
      </c>
      <c r="N39" s="110" t="n"/>
      <c r="O39" s="110" t="n"/>
      <c r="P39" s="110" t="n"/>
      <c r="Q39" s="110" t="n"/>
      <c r="R39" s="151" t="n"/>
      <c r="S39" s="110" t="n"/>
      <c r="T39" s="109" t="inlineStr"/>
      <c r="U39" s="147" t="inlineStr"/>
    </row>
    <row r="40" ht="30" customFormat="1" customHeight="1" s="1">
      <c r="A40" s="109" t="n"/>
      <c r="B40" s="108" t="inlineStr">
        <is>
          <t>X</t>
        </is>
      </c>
      <c r="C40" s="109" t="inlineStr"/>
      <c r="D40" s="109" t="inlineStr">
        <is>
          <t>AREA 1</t>
        </is>
      </c>
      <c r="E40" s="109" t="inlineStr">
        <is>
          <t>528658/C</t>
        </is>
      </c>
      <c r="F40" s="109" t="inlineStr">
        <is>
          <t>300</t>
        </is>
      </c>
      <c r="G40" s="109" t="inlineStr">
        <is>
          <t xml:space="preserve">300 - 300X161A  300X161B (TENUTA POMPE P101A/B)CONTROLLO E RIPRISTINO ALLARMI TENUTA POMPE </t>
        </is>
      </c>
      <c r="H40" s="109" t="n"/>
      <c r="I40" s="109" t="n"/>
      <c r="J40" s="109" t="n"/>
      <c r="K40" s="109" t="n"/>
      <c r="L40" s="109" t="n"/>
      <c r="M40" s="110" t="inlineStr">
        <is>
          <t>DA CHIUDERE</t>
        </is>
      </c>
      <c r="N40" s="110" t="n"/>
      <c r="O40" s="110" t="n"/>
      <c r="P40" s="110" t="n"/>
      <c r="Q40" s="110" t="n"/>
      <c r="R40" s="151" t="n"/>
      <c r="S40" s="110" t="n"/>
      <c r="T40" s="109" t="inlineStr"/>
      <c r="U40" s="147" t="inlineStr"/>
    </row>
    <row r="41" ht="30" customFormat="1" customHeight="1" s="1">
      <c r="A41" s="109" t="n"/>
      <c r="B41" s="108" t="inlineStr">
        <is>
          <t>X</t>
        </is>
      </c>
      <c r="C41" s="109" t="inlineStr"/>
      <c r="D41" s="109" t="inlineStr">
        <is>
          <t>AREA 1</t>
        </is>
      </c>
      <c r="E41" s="109" t="inlineStr">
        <is>
          <t>528052/C</t>
        </is>
      </c>
      <c r="F41" s="109" t="inlineStr">
        <is>
          <t>900</t>
        </is>
      </c>
      <c r="G41" s="109" t="inlineStr">
        <is>
          <t>900 - (RIPRISTINI ALLARMI ATTIVI)IMP.900 09L110BL ALLARME TENUTA MP110/B .CONTROLLO E RIPRISTINO FUNZIONALITA.</t>
        </is>
      </c>
      <c r="H41" s="109" t="n"/>
      <c r="I41" s="109" t="n"/>
      <c r="J41" s="109" t="n"/>
      <c r="K41" s="109" t="n"/>
      <c r="L41" s="109" t="n"/>
      <c r="M41" s="110" t="inlineStr">
        <is>
          <t>DA CHIUDERE</t>
        </is>
      </c>
      <c r="N41" s="110" t="n"/>
      <c r="O41" s="110" t="n"/>
      <c r="P41" s="110" t="n"/>
      <c r="Q41" s="110" t="inlineStr">
        <is>
          <t>ESCLUSO LIVELLOSTATO GUASTO, MANCA RICAMBIO. SISTEMA OK</t>
        </is>
      </c>
      <c r="R41" s="151" t="n">
        <v>45720</v>
      </c>
      <c r="S41" s="110" t="inlineStr">
        <is>
          <t>SPINALI/SERRA</t>
        </is>
      </c>
      <c r="T41" s="109" t="inlineStr"/>
      <c r="U41" s="147" t="inlineStr"/>
    </row>
    <row r="42" ht="30" customFormat="1" customHeight="1" s="1">
      <c r="A42" s="109" t="n"/>
      <c r="B42" s="108" t="inlineStr">
        <is>
          <t>X</t>
        </is>
      </c>
      <c r="C42" s="109" t="inlineStr"/>
      <c r="D42" s="109" t="inlineStr">
        <is>
          <t>AREA 1</t>
        </is>
      </c>
      <c r="E42" s="109" t="inlineStr">
        <is>
          <t>528050/C</t>
        </is>
      </c>
      <c r="F42" s="109" t="inlineStr">
        <is>
          <t>900</t>
        </is>
      </c>
      <c r="G42" s="109" t="inlineStr">
        <is>
          <t>900 - (RIPRISTINI ALLARMI ATTIVI)IMP.900 09L106BL ALLARME TENUTA MP106/B .CONTROLLO E RIPRISTINO FUNZIONALITA.</t>
        </is>
      </c>
      <c r="H42" s="109" t="n"/>
      <c r="I42" s="109" t="n"/>
      <c r="J42" s="109" t="n"/>
      <c r="K42" s="109" t="n"/>
      <c r="L42" s="109" t="n"/>
      <c r="M42" s="110" t="inlineStr">
        <is>
          <t>DA CHIUDERE</t>
        </is>
      </c>
      <c r="N42" s="110" t="n"/>
      <c r="O42" s="110" t="n"/>
      <c r="P42" s="110" t="n"/>
      <c r="Q42" s="110" t="inlineStr">
        <is>
          <t>ESCLUSO LIVELLOSTATO GUASTO, MANCA RICAMBIO. SISTEMA OK</t>
        </is>
      </c>
      <c r="R42" s="151" t="n">
        <v>45720</v>
      </c>
      <c r="S42" s="110" t="inlineStr">
        <is>
          <t>SPINALI/SERRA</t>
        </is>
      </c>
      <c r="T42" s="109" t="inlineStr"/>
      <c r="U42" s="147" t="inlineStr"/>
    </row>
    <row r="43" ht="30" customFormat="1" customHeight="1" s="1">
      <c r="A43" s="109" t="n"/>
      <c r="B43" s="108" t="inlineStr">
        <is>
          <t>X</t>
        </is>
      </c>
      <c r="C43" s="109" t="inlineStr"/>
      <c r="D43" s="109" t="inlineStr">
        <is>
          <t>AREA 1</t>
        </is>
      </c>
      <c r="E43" s="109" t="inlineStr">
        <is>
          <t>528047/C</t>
        </is>
      </c>
      <c r="F43" s="109" t="inlineStr">
        <is>
          <t>900</t>
        </is>
      </c>
      <c r="G43" s="109" t="inlineStr">
        <is>
          <t>900 - RIPRISTINI ALLARMI ATTIVI)IMP.900 09L106AL ALLARME TENUTA MP106/A .CONTROLLO E RIPRISTINO FUNZIONALITA.</t>
        </is>
      </c>
      <c r="H43" s="109" t="n"/>
      <c r="I43" s="109" t="n"/>
      <c r="J43" s="109" t="n"/>
      <c r="K43" s="109" t="n"/>
      <c r="L43" s="109" t="n"/>
      <c r="M43" s="110" t="inlineStr">
        <is>
          <t>DA CHIUDERE</t>
        </is>
      </c>
      <c r="N43" s="110" t="n"/>
      <c r="O43" s="110" t="n"/>
      <c r="P43" s="110" t="n"/>
      <c r="Q43" s="110" t="inlineStr">
        <is>
          <t>ESCLUSO LIVELLOSTATO GUASTO, MANCA RICAMBIO. SISTEMA OK</t>
        </is>
      </c>
      <c r="R43" s="151" t="n">
        <v>45720</v>
      </c>
      <c r="S43" s="110" t="inlineStr">
        <is>
          <t>SPINALI/SERRA</t>
        </is>
      </c>
      <c r="T43" s="109" t="inlineStr"/>
      <c r="U43" s="147" t="inlineStr"/>
    </row>
    <row r="44" ht="30" customFormat="1" customHeight="1" s="1">
      <c r="A44" s="109" t="n"/>
      <c r="B44" s="109" t="inlineStr">
        <is>
          <t>X</t>
        </is>
      </c>
      <c r="C44" s="109" t="inlineStr"/>
      <c r="D44" s="109" t="inlineStr">
        <is>
          <t>AREA 1</t>
        </is>
      </c>
      <c r="E44" s="109" t="inlineStr">
        <is>
          <t>533269/C</t>
        </is>
      </c>
      <c r="F44" s="109" t="inlineStr">
        <is>
          <t>200</t>
        </is>
      </c>
      <c r="G44" s="109" t="inlineStr">
        <is>
          <t>200 - F701CV INGRESSO H2 CONTROLLO E RIPRISTINO FUNZIONALITA VALVOLA CON SOSTITUZIONE ACCESSORI A CORREDO</t>
        </is>
      </c>
      <c r="H44" s="109" t="n"/>
      <c r="I44" s="109" t="n"/>
      <c r="J44" s="109" t="n"/>
      <c r="K44" s="109" t="n"/>
      <c r="L44" s="109" t="n"/>
      <c r="M44" s="109" t="inlineStr">
        <is>
          <t>DA CHIUDERE</t>
        </is>
      </c>
      <c r="N44" s="109" t="n"/>
      <c r="O44" s="109" t="n"/>
      <c r="P44" s="109" t="n"/>
      <c r="Q44" s="109" t="inlineStr">
        <is>
          <t>ATTIVITA' IN CORSO PASSATA AD OFFICINA VALVOLE</t>
        </is>
      </c>
      <c r="R44" s="151" t="n">
        <v>45762</v>
      </c>
      <c r="S44" s="109" t="inlineStr">
        <is>
          <t>CIANCHINO/ANDRONICO</t>
        </is>
      </c>
      <c r="T44" s="109" t="inlineStr"/>
      <c r="U44" s="147" t="inlineStr"/>
    </row>
    <row r="45" ht="30" customFormat="1" customHeight="1" s="1">
      <c r="A45" s="109" t="n"/>
      <c r="B45" s="109" t="inlineStr">
        <is>
          <t>X</t>
        </is>
      </c>
      <c r="C45" s="109" t="inlineStr"/>
      <c r="D45" s="109" t="inlineStr">
        <is>
          <t>AREA 1</t>
        </is>
      </c>
      <c r="E45" s="109" t="inlineStr">
        <is>
          <t>532930/C</t>
        </is>
      </c>
      <c r="F45" s="109" t="inlineStr">
        <is>
          <t>900</t>
        </is>
      </c>
      <c r="G45" s="109" t="inlineStr">
        <is>
          <t>900 - F004R SOSTITUZIONE CAVO SECONDARIO E RIFACIMENTO CONDUIT TRA  STRUMENTO E CASSETTA JB E2</t>
        </is>
      </c>
      <c r="H45" s="109" t="n"/>
      <c r="I45" s="109" t="n"/>
      <c r="J45" s="109" t="n"/>
      <c r="K45" s="109" t="n"/>
      <c r="L45" s="109" t="n"/>
      <c r="M45" s="109" t="inlineStr">
        <is>
          <t>DA CHIUDERE</t>
        </is>
      </c>
      <c r="N45" s="109" t="n"/>
      <c r="O45" s="109" t="n"/>
      <c r="P45" s="109" t="n"/>
      <c r="Q45" s="109" t="inlineStr">
        <is>
          <t>COSTRUZIONE E POSA TUBO CONDUIT E PASSAGGIO DOPPINO DA CHIUDERE</t>
        </is>
      </c>
      <c r="R45" s="151" t="n">
        <v>45762</v>
      </c>
      <c r="S45" s="109" t="inlineStr">
        <is>
          <t>CAVAGNACCHI/MANSERVIGI</t>
        </is>
      </c>
      <c r="T45" s="109" t="inlineStr"/>
      <c r="U45" s="147" t="inlineStr"/>
    </row>
    <row r="46" ht="30" customFormat="1" customHeight="1" s="1">
      <c r="A46" s="109" t="n"/>
      <c r="B46" s="108" t="inlineStr">
        <is>
          <t>X</t>
        </is>
      </c>
      <c r="C46" s="109" t="inlineStr"/>
      <c r="D46" s="109" t="inlineStr">
        <is>
          <t>AREA 1</t>
        </is>
      </c>
      <c r="E46" s="109" t="inlineStr">
        <is>
          <t>532822/C</t>
        </is>
      </c>
      <c r="F46" s="109" t="inlineStr">
        <is>
          <t>200</t>
        </is>
      </c>
      <c r="G46" s="109" t="inlineStr">
        <is>
          <t>200 - H261IC(VALVOLA GLOBO IDROGENO) CONTROLLO E RIPRISTINO FUNZIONALITA VALVOLA</t>
        </is>
      </c>
      <c r="H46" s="109" t="n"/>
      <c r="I46" s="109" t="n"/>
      <c r="J46" s="109" t="n"/>
      <c r="K46" s="109" t="n"/>
      <c r="L46" s="109" t="n"/>
      <c r="M46" s="110" t="inlineStr">
        <is>
          <t>DA CHIUDERE</t>
        </is>
      </c>
      <c r="N46" s="110" t="n"/>
      <c r="O46" s="110" t="n"/>
      <c r="P46" s="110" t="n"/>
      <c r="Q46" s="110" t="n"/>
      <c r="R46" s="151" t="n">
        <v>45757</v>
      </c>
      <c r="S46" s="110" t="inlineStr">
        <is>
          <t>GARRO</t>
        </is>
      </c>
      <c r="T46" s="109" t="inlineStr"/>
      <c r="U46" s="147" t="inlineStr"/>
    </row>
    <row r="47" customFormat="1" s="1">
      <c r="A47" s="109" t="n"/>
      <c r="B47" s="108" t="inlineStr">
        <is>
          <t>X</t>
        </is>
      </c>
      <c r="C47" s="109" t="inlineStr"/>
      <c r="D47" s="109" t="inlineStr">
        <is>
          <t>AREA 1</t>
        </is>
      </c>
      <c r="E47" s="109" t="inlineStr">
        <is>
          <t>531429/C</t>
        </is>
      </c>
      <c r="F47" s="109" t="inlineStr">
        <is>
          <t>100</t>
        </is>
      </c>
      <c r="G47" s="109" t="inlineStr">
        <is>
          <t>100 - T316HA CONTROLLO TEMPERATURA OLIO MANOVELLISMI K651A</t>
        </is>
      </c>
      <c r="H47" s="109" t="n"/>
      <c r="I47" s="109" t="n"/>
      <c r="J47" s="109" t="n"/>
      <c r="K47" s="109" t="n"/>
      <c r="L47" s="109" t="n"/>
      <c r="M47" s="110" t="inlineStr">
        <is>
          <t>DA CHIUDERE</t>
        </is>
      </c>
      <c r="N47" s="110" t="n"/>
      <c r="O47" s="110" t="n"/>
      <c r="P47" s="110" t="n"/>
      <c r="Q47" s="110" t="n"/>
      <c r="R47" s="151" t="n">
        <v>45755</v>
      </c>
      <c r="S47" s="110" t="inlineStr">
        <is>
          <t>SPINALI</t>
        </is>
      </c>
      <c r="T47" s="109" t="inlineStr"/>
      <c r="U47" s="147" t="inlineStr"/>
    </row>
    <row r="48" ht="30" customFormat="1" customHeight="1" s="1">
      <c r="A48" s="109" t="n"/>
      <c r="B48" s="108" t="inlineStr">
        <is>
          <t>X</t>
        </is>
      </c>
      <c r="C48" s="109" t="inlineStr"/>
      <c r="D48" s="109" t="inlineStr">
        <is>
          <t>AREA 1</t>
        </is>
      </c>
      <c r="E48" s="109" t="inlineStr">
        <is>
          <t>527841/C</t>
        </is>
      </c>
      <c r="F48" s="109" t="inlineStr">
        <is>
          <t>900</t>
        </is>
      </c>
      <c r="G48" s="109" t="inlineStr">
        <is>
          <t>900 - 09P102AL BASSA PRESSIONE TENUTA P102/A CONTROLLO E RIPRISTINO FUNZIONALITA.</t>
        </is>
      </c>
      <c r="H48" s="109" t="n"/>
      <c r="I48" s="109" t="n"/>
      <c r="J48" s="109" t="n"/>
      <c r="K48" s="109" t="n"/>
      <c r="L48" s="109" t="n"/>
      <c r="M48" s="110" t="inlineStr">
        <is>
          <t>DA CHIUDERE</t>
        </is>
      </c>
      <c r="N48" s="110" t="n"/>
      <c r="O48" s="110" t="n"/>
      <c r="P48" s="110" t="n"/>
      <c r="Q48" s="110" t="inlineStr">
        <is>
          <t>ATTIVITA' CONCLUSA</t>
        </is>
      </c>
      <c r="R48" s="151" t="n">
        <v>45747</v>
      </c>
      <c r="S48" s="110" t="inlineStr">
        <is>
          <t>SPINALI/SERRA</t>
        </is>
      </c>
      <c r="T48" s="109" t="inlineStr"/>
      <c r="U48" s="147" t="inlineStr"/>
    </row>
    <row r="49" ht="30" customFormat="1" customHeight="1" s="1">
      <c r="A49" s="109" t="n"/>
      <c r="B49" s="108" t="inlineStr">
        <is>
          <t>X</t>
        </is>
      </c>
      <c r="C49" s="109" t="inlineStr"/>
      <c r="D49" s="109" t="inlineStr">
        <is>
          <t>AREA 1</t>
        </is>
      </c>
      <c r="E49" s="109" t="inlineStr">
        <is>
          <t>527840/C</t>
        </is>
      </c>
      <c r="F49" s="109" t="inlineStr">
        <is>
          <t>900</t>
        </is>
      </c>
      <c r="G49" s="109" t="inlineStr">
        <is>
          <t>900 - 09P105AL BASSA PRESSIONE  TENUTA P105/A   09P105BL BASSA PRESSIONE  TENUTA P105/B.CONTROLLO E RIPRISTINO FUNZIONALITA.</t>
        </is>
      </c>
      <c r="H49" s="109" t="n"/>
      <c r="I49" s="109" t="n"/>
      <c r="J49" s="109" t="n"/>
      <c r="K49" s="109" t="n"/>
      <c r="L49" s="109" t="n"/>
      <c r="M49" s="110" t="inlineStr">
        <is>
          <t>DA CHIUDERE</t>
        </is>
      </c>
      <c r="N49" s="110" t="n"/>
      <c r="O49" s="110" t="n"/>
      <c r="P49" s="110" t="n"/>
      <c r="Q49" s="110" t="inlineStr">
        <is>
          <t>ATTIVITA' CONCLUSA</t>
        </is>
      </c>
      <c r="R49" s="151" t="n">
        <v>45747</v>
      </c>
      <c r="S49" s="110" t="inlineStr">
        <is>
          <t>SPINALI/SERRA</t>
        </is>
      </c>
      <c r="T49" s="109" t="inlineStr"/>
      <c r="U49" s="147" t="inlineStr"/>
    </row>
    <row r="50" ht="30" customFormat="1" customHeight="1" s="1">
      <c r="A50" s="109" t="n"/>
      <c r="B50" s="108" t="inlineStr">
        <is>
          <t>X</t>
        </is>
      </c>
      <c r="C50" s="109" t="inlineStr"/>
      <c r="D50" s="109" t="inlineStr">
        <is>
          <t>AREA 1</t>
        </is>
      </c>
      <c r="E50" s="109" t="inlineStr">
        <is>
          <t>527838/C</t>
        </is>
      </c>
      <c r="F50" s="109" t="inlineStr">
        <is>
          <t>900</t>
        </is>
      </c>
      <c r="G50" s="109" t="inlineStr">
        <is>
          <t>900 - 09L040LA BASSO LIVELLO TENUTA P107/A  09L041BASSO LIVELLO TENUTA P107/B.CONTROLLO E RIPRISTINO FUNZIONALITA.</t>
        </is>
      </c>
      <c r="H50" s="109" t="n"/>
      <c r="I50" s="109" t="n"/>
      <c r="J50" s="109" t="n"/>
      <c r="K50" s="109" t="n"/>
      <c r="L50" s="109" t="n"/>
      <c r="M50" s="110" t="inlineStr">
        <is>
          <t>DA CHIUDERE</t>
        </is>
      </c>
      <c r="N50" s="110" t="n"/>
      <c r="O50" s="110" t="n"/>
      <c r="P50" s="110" t="n"/>
      <c r="Q50" s="110" t="inlineStr">
        <is>
          <t>ATTIVITA' CONCLUSA</t>
        </is>
      </c>
      <c r="R50" s="151" t="n">
        <v>45747</v>
      </c>
      <c r="S50" s="110" t="inlineStr">
        <is>
          <t>SPINALI/SERRA</t>
        </is>
      </c>
      <c r="T50" s="109" t="inlineStr"/>
      <c r="U50" s="147" t="inlineStr"/>
    </row>
    <row r="51" ht="30" customFormat="1" customHeight="1" s="1">
      <c r="A51" s="109" t="n"/>
      <c r="B51" s="108" t="inlineStr">
        <is>
          <t>X</t>
        </is>
      </c>
      <c r="C51" s="109" t="inlineStr"/>
      <c r="D51" s="109" t="inlineStr">
        <is>
          <t>AREA 1</t>
        </is>
      </c>
      <c r="E51" s="109" t="inlineStr">
        <is>
          <t>528660/C</t>
        </is>
      </c>
      <c r="F51" s="109" t="inlineStr">
        <is>
          <t>200</t>
        </is>
      </c>
      <c r="G51" s="109" t="inlineStr">
        <is>
          <t xml:space="preserve">200 - 200P101AL   200P101BL (AVARIA TENUTA POMPE P101A/B )CONTROLLO E RIPRISTINO ALLARMI TENUTA POMPE </t>
        </is>
      </c>
      <c r="H51" s="109" t="n"/>
      <c r="I51" s="109" t="n"/>
      <c r="J51" s="109" t="n"/>
      <c r="K51" s="109" t="n"/>
      <c r="L51" s="109" t="n"/>
      <c r="M51" s="110" t="inlineStr">
        <is>
          <t>DA CHIUDERE</t>
        </is>
      </c>
      <c r="N51" s="110" t="n"/>
      <c r="O51" s="110" t="n"/>
      <c r="P51" s="110" t="n"/>
      <c r="Q51" s="110" t="n"/>
      <c r="R51" s="151" t="n"/>
      <c r="S51" s="110" t="n"/>
      <c r="T51" s="109" t="inlineStr"/>
      <c r="U51" s="147" t="inlineStr"/>
    </row>
    <row r="52" ht="30" customFormat="1" customHeight="1" s="1">
      <c r="A52" s="109" t="n"/>
      <c r="B52" s="108" t="inlineStr">
        <is>
          <t>X</t>
        </is>
      </c>
      <c r="C52" s="109" t="inlineStr"/>
      <c r="D52" s="109" t="inlineStr">
        <is>
          <t>AREA 1</t>
        </is>
      </c>
      <c r="E52" s="109" t="inlineStr">
        <is>
          <t>528664/C</t>
        </is>
      </c>
      <c r="F52" s="109" t="inlineStr">
        <is>
          <t>200</t>
        </is>
      </c>
      <c r="G52" s="109" t="inlineStr">
        <is>
          <t xml:space="preserve">200 - 200P102BL  (AVARIA TENUTA POMPA P102B )CONTROLLO E RIPRISTINO ALLARMI TENUTA POMPE </t>
        </is>
      </c>
      <c r="H52" s="109" t="n"/>
      <c r="I52" s="109" t="n"/>
      <c r="J52" s="109" t="n"/>
      <c r="K52" s="109" t="n"/>
      <c r="L52" s="109" t="n"/>
      <c r="M52" s="110" t="inlineStr">
        <is>
          <t>DA CHIUDERE</t>
        </is>
      </c>
      <c r="N52" s="110" t="n"/>
      <c r="O52" s="110" t="n"/>
      <c r="P52" s="110" t="n"/>
      <c r="Q52" s="110" t="n"/>
      <c r="R52" s="151" t="n">
        <v>45727</v>
      </c>
      <c r="S52" s="110" t="inlineStr">
        <is>
          <t>SPINALI</t>
        </is>
      </c>
      <c r="T52" s="109" t="inlineStr"/>
      <c r="U52" s="147" t="inlineStr"/>
    </row>
    <row r="53" ht="30" customFormat="1" customHeight="1" s="1">
      <c r="A53" s="109" t="n"/>
      <c r="B53" s="109" t="inlineStr">
        <is>
          <t>X</t>
        </is>
      </c>
      <c r="C53" s="109" t="inlineStr"/>
      <c r="D53" s="109" t="inlineStr">
        <is>
          <t>AREA 1</t>
        </is>
      </c>
      <c r="E53" s="109" t="inlineStr">
        <is>
          <t>528663/C</t>
        </is>
      </c>
      <c r="F53" s="109" t="inlineStr">
        <is>
          <t>200</t>
        </is>
      </c>
      <c r="G53" s="109" t="inlineStr">
        <is>
          <t xml:space="preserve">200 - 200P103AL  (AVARIA TENUTA POMPA P103/A )CONTROLLO E RIPRISTINO ALLARMI TENUTA POMPE </t>
        </is>
      </c>
      <c r="H53" s="109" t="n"/>
      <c r="I53" s="109" t="n"/>
      <c r="J53" s="109" t="n"/>
      <c r="K53" s="109" t="n"/>
      <c r="L53" s="109" t="n"/>
      <c r="M53" s="109" t="inlineStr">
        <is>
          <t>DA CHIUDERE</t>
        </is>
      </c>
      <c r="N53" s="109" t="n"/>
      <c r="O53" s="109" t="n"/>
      <c r="P53" s="109" t="n"/>
      <c r="Q53" s="109" t="inlineStr">
        <is>
          <t>STARATO, CORRETTO</t>
        </is>
      </c>
      <c r="R53" s="151" t="n">
        <v>45727</v>
      </c>
      <c r="S53" s="109" t="inlineStr">
        <is>
          <t>SPINALI</t>
        </is>
      </c>
      <c r="T53" s="109" t="inlineStr"/>
      <c r="U53" s="109" t="inlineStr"/>
    </row>
    <row r="54" ht="30" customFormat="1" customHeight="1" s="1">
      <c r="A54" s="109" t="n"/>
      <c r="B54" s="108" t="inlineStr">
        <is>
          <t>X</t>
        </is>
      </c>
      <c r="C54" s="109" t="inlineStr"/>
      <c r="D54" s="109" t="inlineStr">
        <is>
          <t>AREA 1</t>
        </is>
      </c>
      <c r="E54" s="109" t="inlineStr">
        <is>
          <t>528662/C</t>
        </is>
      </c>
      <c r="F54" s="109" t="inlineStr">
        <is>
          <t>200</t>
        </is>
      </c>
      <c r="G54" s="109" t="inlineStr">
        <is>
          <t xml:space="preserve">200 - P104BL  (AVARIA TENUTA POMPA P104B )CONTROLLO E RIPRISTINO ALLARMI TENUTA POMPE </t>
        </is>
      </c>
      <c r="H54" s="109" t="n"/>
      <c r="I54" s="109" t="n"/>
      <c r="J54" s="109" t="n"/>
      <c r="K54" s="109" t="n"/>
      <c r="L54" s="109" t="n"/>
      <c r="M54" s="110" t="inlineStr">
        <is>
          <t>DA CHIUDERE</t>
        </is>
      </c>
      <c r="N54" s="110" t="n"/>
      <c r="O54" s="110" t="n"/>
      <c r="P54" s="110" t="n"/>
      <c r="Q54" s="110" t="n"/>
      <c r="R54" s="151" t="n">
        <v>45727</v>
      </c>
      <c r="S54" s="110" t="inlineStr">
        <is>
          <t>SPINALI</t>
        </is>
      </c>
      <c r="T54" s="109" t="inlineStr"/>
      <c r="U54" s="147" t="inlineStr"/>
    </row>
    <row r="55" customFormat="1" s="1">
      <c r="A55" s="109" t="n"/>
      <c r="B55" s="108" t="inlineStr">
        <is>
          <t>X</t>
        </is>
      </c>
      <c r="C55" s="109" t="inlineStr"/>
      <c r="D55" s="109" t="inlineStr">
        <is>
          <t>AREA 1</t>
        </is>
      </c>
      <c r="E55" s="109" t="inlineStr">
        <is>
          <t>530129/C</t>
        </is>
      </c>
      <c r="F55" s="109" t="inlineStr">
        <is>
          <t>900</t>
        </is>
      </c>
      <c r="G55" s="109" t="inlineStr">
        <is>
          <t>900 - T006I(CONDENSATO USCITA E101A/B ) CONTROLLO E RIPRISTINO MISURA</t>
        </is>
      </c>
      <c r="H55" s="109" t="n"/>
      <c r="I55" s="109" t="n"/>
      <c r="J55" s="109" t="n"/>
      <c r="K55" s="109" t="n"/>
      <c r="L55" s="109" t="n"/>
      <c r="M55" s="110" t="inlineStr">
        <is>
          <t>DA CHIUDERE</t>
        </is>
      </c>
      <c r="N55" s="110" t="n"/>
      <c r="O55" s="110" t="n"/>
      <c r="P55" s="110" t="n"/>
      <c r="Q55" s="110" t="inlineStr">
        <is>
          <t>RIPRISTINATA FUNZIONALITA' DOPO AVER COLLEGATO</t>
        </is>
      </c>
      <c r="R55" s="151" t="n">
        <v>45736</v>
      </c>
      <c r="S55" s="110" t="inlineStr">
        <is>
          <t>TARASCIO</t>
        </is>
      </c>
      <c r="T55" s="109" t="inlineStr"/>
      <c r="U55" s="147" t="inlineStr"/>
    </row>
    <row r="56" ht="30" customFormat="1" customHeight="1" s="1">
      <c r="A56" s="109" t="n"/>
      <c r="B56" s="109" t="inlineStr">
        <is>
          <t>X</t>
        </is>
      </c>
      <c r="C56" s="109" t="inlineStr"/>
      <c r="D56" s="109" t="inlineStr">
        <is>
          <t>AREA 1</t>
        </is>
      </c>
      <c r="E56" s="109" t="inlineStr">
        <is>
          <t>528180/C</t>
        </is>
      </c>
      <c r="F56" s="109" t="inlineStr">
        <is>
          <t>400</t>
        </is>
      </c>
      <c r="G56" s="109" t="inlineStr">
        <is>
          <t>(RIDUZIONE ALLARMI ATTIVI)400L612AR (D403 BLOCCO  C401 ) CONTROLLO E RIPRISTINO FUNZIONALITA LIVELLO.METTERE I MOS PRIMA DI INIZIARE L'ATTIVITA</t>
        </is>
      </c>
      <c r="H56" s="109" t="n"/>
      <c r="I56" s="109" t="n"/>
      <c r="J56" s="109" t="n"/>
      <c r="K56" s="109" t="n"/>
      <c r="L56" s="109" t="n"/>
      <c r="M56" s="110" t="inlineStr">
        <is>
          <t>DA CHIUDERE</t>
        </is>
      </c>
      <c r="N56" s="110" t="n"/>
      <c r="O56" s="110" t="n"/>
      <c r="P56" s="110" t="n"/>
      <c r="Q56" s="110" t="inlineStr">
        <is>
          <t>ATTESA RICAMBIO TESTINA FOXBORO</t>
        </is>
      </c>
      <c r="R56" s="151" t="n">
        <v>45722</v>
      </c>
      <c r="S56" s="110" t="inlineStr">
        <is>
          <t>SPINALI/SERRA</t>
        </is>
      </c>
      <c r="T56" s="109" t="inlineStr"/>
      <c r="U56" s="147" t="inlineStr"/>
    </row>
    <row r="57" ht="30" customFormat="1" customHeight="1" s="1">
      <c r="A57" s="109" t="n"/>
      <c r="B57" s="108" t="inlineStr">
        <is>
          <t>X</t>
        </is>
      </c>
      <c r="C57" s="109" t="inlineStr"/>
      <c r="D57" s="109" t="inlineStr">
        <is>
          <t>AREA 1</t>
        </is>
      </c>
      <c r="E57" s="109" t="inlineStr">
        <is>
          <t>529765/C</t>
        </is>
      </c>
      <c r="F57" s="109" t="inlineStr">
        <is>
          <t>100</t>
        </is>
      </c>
      <c r="G57" s="109" t="inlineStr">
        <is>
          <t>100 - H101A (B101A) CONTROLLO E RIPRISTINO SERVOMATORE  DOPO AVER BLOCCACCATO MECCANICAMENTE LA SERRANDA</t>
        </is>
      </c>
      <c r="H57" s="109" t="n"/>
      <c r="I57" s="109" t="n"/>
      <c r="J57" s="109" t="n"/>
      <c r="K57" s="109" t="n"/>
      <c r="L57" s="109" t="n"/>
      <c r="M57" s="110" t="inlineStr">
        <is>
          <t>DA CHIUDERE</t>
        </is>
      </c>
      <c r="N57" s="110" t="n"/>
      <c r="O57" s="110" t="n"/>
      <c r="P57" s="110" t="n"/>
      <c r="Q57" s="110" t="n"/>
      <c r="R57" s="151" t="n">
        <v>45734</v>
      </c>
      <c r="S57" s="110" t="inlineStr">
        <is>
          <t>GARRO L.</t>
        </is>
      </c>
      <c r="T57" s="109" t="inlineStr"/>
      <c r="U57" s="147" t="inlineStr"/>
    </row>
    <row r="58" ht="45" customFormat="1" customHeight="1" s="1">
      <c r="A58" s="109" t="n"/>
      <c r="B58" s="108" t="inlineStr">
        <is>
          <t>X</t>
        </is>
      </c>
      <c r="C58" s="109" t="inlineStr"/>
      <c r="D58" s="109" t="inlineStr">
        <is>
          <t>AREA 1</t>
        </is>
      </c>
      <c r="E58" s="109" t="inlineStr">
        <is>
          <t>529041/C</t>
        </is>
      </c>
      <c r="F58" s="109" t="inlineStr">
        <is>
          <t>900</t>
        </is>
      </c>
      <c r="G58" s="109" t="inlineStr">
        <is>
          <t>900 - F019CV CONTROLLO E RIPRISTINO VALVOLA (APRE DOPO IL25% DI OP)</t>
        </is>
      </c>
      <c r="H58" s="109" t="n"/>
      <c r="I58" s="109" t="n"/>
      <c r="J58" s="109" t="n"/>
      <c r="K58" s="109" t="n"/>
      <c r="L58" s="109" t="n"/>
      <c r="M58" s="110" t="inlineStr">
        <is>
          <t>DA CHIUDERE</t>
        </is>
      </c>
      <c r="N58" s="110" t="n"/>
      <c r="O58" s="110" t="n"/>
      <c r="P58" s="110" t="n"/>
      <c r="Q58" s="110" t="inlineStr">
        <is>
          <t>LA VALVOLA RISULTA STARATA CAUSA MANCANZA ALIMENTAZIONE DAL FILTRO RIDUTTORE. AUMENTATA ARIA, ALLINEATA CON SALA CONTROLLO. ATTIVITA' DA CHIUDERE.</t>
        </is>
      </c>
      <c r="R58" s="151" t="n">
        <v>45733</v>
      </c>
      <c r="S58" s="110" t="inlineStr">
        <is>
          <t>GARRO L.</t>
        </is>
      </c>
      <c r="T58" s="109" t="inlineStr"/>
      <c r="U58" s="147" t="inlineStr"/>
    </row>
    <row r="59" customFormat="1" s="1">
      <c r="A59" s="109" t="n"/>
      <c r="B59" s="108" t="inlineStr">
        <is>
          <t>X</t>
        </is>
      </c>
      <c r="C59" s="109" t="inlineStr"/>
      <c r="D59" s="109" t="inlineStr">
        <is>
          <t>AREA 1</t>
        </is>
      </c>
      <c r="E59" s="109" t="inlineStr">
        <is>
          <t>529039/C</t>
        </is>
      </c>
      <c r="F59" s="109" t="inlineStr">
        <is>
          <t>200</t>
        </is>
      </c>
      <c r="G59" s="109" t="inlineStr">
        <is>
          <t>200 - T029I TESTA T101 RIPRISTINO PRESSACAVO E CAVI DI TERMOCOPPIA</t>
        </is>
      </c>
      <c r="H59" s="109" t="n"/>
      <c r="I59" s="109" t="n"/>
      <c r="J59" s="109" t="n"/>
      <c r="K59" s="109" t="n"/>
      <c r="L59" s="109" t="n"/>
      <c r="M59" s="110" t="inlineStr">
        <is>
          <t>DA CHIUDERE</t>
        </is>
      </c>
      <c r="N59" s="110" t="n"/>
      <c r="O59" s="110" t="n"/>
      <c r="P59" s="110" t="n"/>
      <c r="Q59" s="110" t="n"/>
      <c r="R59" s="151" t="n">
        <v>45733</v>
      </c>
      <c r="S59" s="110" t="inlineStr">
        <is>
          <t>SPINALI/SERRA</t>
        </is>
      </c>
      <c r="T59" s="109" t="inlineStr"/>
      <c r="U59" s="147" t="inlineStr"/>
    </row>
    <row r="60" customFormat="1" s="1">
      <c r="A60" s="109" t="n"/>
      <c r="B60" s="108" t="inlineStr">
        <is>
          <t>X</t>
        </is>
      </c>
      <c r="C60" s="109" t="inlineStr"/>
      <c r="D60" s="109" t="inlineStr">
        <is>
          <t>AREA 1</t>
        </is>
      </c>
      <c r="E60" s="109" t="inlineStr">
        <is>
          <t>529037/C</t>
        </is>
      </c>
      <c r="F60" s="109" t="inlineStr">
        <is>
          <t>200</t>
        </is>
      </c>
      <c r="G60" s="109" t="inlineStr">
        <is>
          <t>200 - F015CV(RIFLUSSO DEBUT.)CONTROLLO E RIPRISTINO FUNZIONALITA VALVOLA</t>
        </is>
      </c>
      <c r="H60" s="109" t="n"/>
      <c r="I60" s="109" t="n"/>
      <c r="J60" s="109" t="n"/>
      <c r="K60" s="109" t="n"/>
      <c r="L60" s="109" t="n"/>
      <c r="M60" s="110" t="inlineStr">
        <is>
          <t>DA CHIUDERE</t>
        </is>
      </c>
      <c r="N60" s="110" t="n"/>
      <c r="O60" s="110" t="n"/>
      <c r="P60" s="110" t="n"/>
      <c r="Q60" s="110" t="n"/>
      <c r="R60" s="151" t="n"/>
      <c r="S60" s="110" t="n"/>
      <c r="T60" s="109" t="inlineStr"/>
      <c r="U60" s="147" t="inlineStr"/>
    </row>
    <row r="61" ht="30" customFormat="1" customHeight="1" s="1">
      <c r="A61" s="109" t="n"/>
      <c r="B61" s="108" t="inlineStr">
        <is>
          <t>X</t>
        </is>
      </c>
      <c r="C61" s="109" t="inlineStr"/>
      <c r="D61" s="109" t="inlineStr">
        <is>
          <t>AREA 1</t>
        </is>
      </c>
      <c r="E61" s="109" t="inlineStr">
        <is>
          <t>528659/C</t>
        </is>
      </c>
      <c r="F61" s="109" t="inlineStr">
        <is>
          <t>300</t>
        </is>
      </c>
      <c r="G61" s="109" t="inlineStr">
        <is>
          <t xml:space="preserve">300 - 300X163A  300X163B  300X163C  (TENUTA POMPE MP103A/B/C )CONTROLLO E RIPRISTINO ALLARMI TENUTA POMPE </t>
        </is>
      </c>
      <c r="H61" s="109" t="n"/>
      <c r="I61" s="109" t="n"/>
      <c r="J61" s="109" t="n"/>
      <c r="K61" s="109" t="n"/>
      <c r="L61" s="109" t="n"/>
      <c r="M61" s="110" t="inlineStr">
        <is>
          <t>DA CHIUDERE</t>
        </is>
      </c>
      <c r="N61" s="110" t="n"/>
      <c r="O61" s="110" t="n"/>
      <c r="P61" s="110" t="n"/>
      <c r="Q61" s="110" t="n"/>
      <c r="R61" s="151" t="n"/>
      <c r="S61" s="110" t="n"/>
      <c r="T61" s="109" t="inlineStr"/>
      <c r="U61" s="147" t="inlineStr"/>
    </row>
    <row r="62" customFormat="1" s="1">
      <c r="A62" s="109" t="n"/>
      <c r="B62" s="108" t="inlineStr">
        <is>
          <t>X</t>
        </is>
      </c>
      <c r="C62" s="109" t="inlineStr"/>
      <c r="D62" s="109" t="inlineStr">
        <is>
          <t>AREA 1</t>
        </is>
      </c>
      <c r="E62" s="109" t="inlineStr">
        <is>
          <t>529043/C</t>
        </is>
      </c>
      <c r="F62" s="109" t="inlineStr">
        <is>
          <t>300</t>
        </is>
      </c>
      <c r="G62" s="109" t="inlineStr">
        <is>
          <t>300 - F021CV CONTROLLO E RIPRISTINO CON TARATURA VALVOLA</t>
        </is>
      </c>
      <c r="H62" s="109" t="n"/>
      <c r="I62" s="109" t="n"/>
      <c r="J62" s="109" t="n"/>
      <c r="K62" s="109" t="n"/>
      <c r="L62" s="109" t="n"/>
      <c r="M62" s="110" t="inlineStr">
        <is>
          <t>DA CHIUDERE</t>
        </is>
      </c>
      <c r="N62" s="110" t="n"/>
      <c r="O62" s="110" t="n"/>
      <c r="P62" s="110" t="n"/>
      <c r="Q62" s="110" t="n"/>
      <c r="R62" s="151" t="n"/>
      <c r="S62" s="110" t="n"/>
      <c r="T62" s="109" t="inlineStr"/>
      <c r="U62" s="147" t="inlineStr"/>
    </row>
    <row r="63" customFormat="1" s="1">
      <c r="A63" s="109" t="n"/>
      <c r="B63" s="108" t="inlineStr">
        <is>
          <t>X</t>
        </is>
      </c>
      <c r="C63" s="109" t="inlineStr"/>
      <c r="D63" s="109" t="inlineStr">
        <is>
          <t>AREA 1</t>
        </is>
      </c>
      <c r="E63" s="109" t="inlineStr">
        <is>
          <t>528890/C</t>
        </is>
      </c>
      <c r="F63" s="109" t="inlineStr">
        <is>
          <t>400</t>
        </is>
      </c>
      <c r="G63" s="109" t="inlineStr">
        <is>
          <t>400 - C101A CONTROLLO PARZIALIZZAZIONE COMPRESSORE</t>
        </is>
      </c>
      <c r="H63" s="109" t="n"/>
      <c r="I63" s="109" t="n"/>
      <c r="J63" s="109" t="n"/>
      <c r="K63" s="109" t="n"/>
      <c r="L63" s="109" t="n"/>
      <c r="M63" s="110" t="inlineStr">
        <is>
          <t>DA CHIUDERE</t>
        </is>
      </c>
      <c r="N63" s="110" t="n"/>
      <c r="O63" s="110" t="n"/>
      <c r="P63" s="110" t="n"/>
      <c r="Q63" s="110" t="n"/>
      <c r="R63" s="151" t="n"/>
      <c r="S63" s="110" t="n"/>
      <c r="T63" s="109" t="inlineStr"/>
      <c r="U63" s="147" t="inlineStr"/>
    </row>
    <row r="64" customFormat="1" s="1">
      <c r="A64" s="109" t="n"/>
      <c r="B64" s="108" t="inlineStr">
        <is>
          <t>X</t>
        </is>
      </c>
      <c r="C64" s="109" t="inlineStr"/>
      <c r="D64" s="109" t="inlineStr">
        <is>
          <t>AREA 1</t>
        </is>
      </c>
      <c r="E64" s="109" t="inlineStr">
        <is>
          <t>529044/C</t>
        </is>
      </c>
      <c r="F64" s="109" t="inlineStr">
        <is>
          <t>100</t>
        </is>
      </c>
      <c r="G64" s="109" t="inlineStr">
        <is>
          <t>100 - L120I CONTROLLO E RIPRISTINO LIVELLO</t>
        </is>
      </c>
      <c r="H64" s="109" t="n"/>
      <c r="I64" s="109" t="n"/>
      <c r="J64" s="109" t="n"/>
      <c r="K64" s="109" t="n"/>
      <c r="L64" s="109" t="n"/>
      <c r="M64" s="110" t="inlineStr">
        <is>
          <t>DA CHIUDERE</t>
        </is>
      </c>
      <c r="N64" s="110" t="n"/>
      <c r="O64" s="110" t="n"/>
      <c r="P64" s="110" t="n"/>
      <c r="Q64" s="110" t="inlineStr">
        <is>
          <t>tag errato</t>
        </is>
      </c>
      <c r="R64" s="151" t="n">
        <v>45728</v>
      </c>
      <c r="S64" s="110" t="inlineStr">
        <is>
          <t>SPINALI</t>
        </is>
      </c>
      <c r="T64" s="109" t="inlineStr"/>
      <c r="U64" s="147" t="inlineStr"/>
    </row>
    <row r="65" ht="30" customFormat="1" customHeight="1" s="1">
      <c r="A65" s="109" t="n"/>
      <c r="B65" s="108" t="inlineStr">
        <is>
          <t>X</t>
        </is>
      </c>
      <c r="C65" s="109" t="inlineStr"/>
      <c r="D65" s="109" t="inlineStr">
        <is>
          <t>AREA 1</t>
        </is>
      </c>
      <c r="E65" s="109" t="inlineStr">
        <is>
          <t>528474/C</t>
        </is>
      </c>
      <c r="F65" s="109" t="inlineStr">
        <is>
          <t>200</t>
        </is>
      </c>
      <c r="G65" s="109" t="inlineStr">
        <is>
          <t>200F150R ELIMINAZIONE PERDITA DI VAPORE CON RIFACIMENTO TUBING BARILOTTI DI RIEMPIMENTO IN PROSSIMITA FLANGIA TARATA</t>
        </is>
      </c>
      <c r="H65" s="109" t="n"/>
      <c r="I65" s="109" t="n"/>
      <c r="J65" s="109" t="n"/>
      <c r="K65" s="109" t="n"/>
      <c r="L65" s="109" t="n"/>
      <c r="M65" s="110" t="inlineStr">
        <is>
          <t>DA CHIUDERE</t>
        </is>
      </c>
      <c r="N65" s="110" t="n"/>
      <c r="O65" s="110" t="n"/>
      <c r="P65" s="110" t="n"/>
      <c r="Q65" s="110" t="inlineStr">
        <is>
          <t xml:space="preserve">VALVOLE DI RADICE BLOCCATE. </t>
        </is>
      </c>
      <c r="R65" s="151" t="n">
        <v>45726</v>
      </c>
      <c r="S65" s="110" t="inlineStr">
        <is>
          <t>MILLO/ALLEGRETTI</t>
        </is>
      </c>
      <c r="T65" s="109" t="inlineStr"/>
      <c r="U65" s="147" t="inlineStr"/>
    </row>
    <row r="66" ht="45" customFormat="1" customHeight="1" s="1">
      <c r="A66" s="109" t="n"/>
      <c r="B66" s="108" t="inlineStr">
        <is>
          <t>X</t>
        </is>
      </c>
      <c r="C66" s="109" t="inlineStr"/>
      <c r="D66" s="109" t="inlineStr">
        <is>
          <t>AREA 1</t>
        </is>
      </c>
      <c r="E66" s="109" t="inlineStr">
        <is>
          <t>528714/C</t>
        </is>
      </c>
      <c r="F66" s="109" t="inlineStr">
        <is>
          <t>300</t>
        </is>
      </c>
      <c r="G66" s="109" t="inlineStr">
        <is>
          <t>300T059RC (TESTA T101)  CONTROLLO E RIPRISTINO FUNZIONALITA CON SOSTITUZIONE BARRIERA E ALLINEAMENTO CON SALA CONTROLLO</t>
        </is>
      </c>
      <c r="H66" s="109" t="n"/>
      <c r="I66" s="109" t="n"/>
      <c r="J66" s="109" t="n"/>
      <c r="K66" s="109" t="n"/>
      <c r="L66" s="109" t="n"/>
      <c r="M66" s="110" t="inlineStr">
        <is>
          <t>DA CHIUDERE</t>
        </is>
      </c>
      <c r="N66" s="110" t="n"/>
      <c r="O66" s="110" t="n"/>
      <c r="P66" s="110" t="n"/>
      <c r="Q66" s="110" t="inlineStr">
        <is>
          <t>TERMINNATA, SOSTITUITA LA BARRIERA. SI E' DOVUTO CAMBIARE ANCHE IL DOPPINO SECONDARIO DA J. BOX, PERCHE' ERA IN DISPERSIONE. MULTICACO COMPROMESSO.</t>
        </is>
      </c>
      <c r="R66" s="151" t="n">
        <v>45726</v>
      </c>
      <c r="S66" s="110" t="inlineStr">
        <is>
          <t>SPINALI/SERRA</t>
        </is>
      </c>
      <c r="T66" s="109" t="inlineStr"/>
      <c r="U66" s="147" t="inlineStr"/>
    </row>
    <row r="67" ht="45" customFormat="1" customHeight="1" s="1">
      <c r="A67" s="109" t="n"/>
      <c r="B67" s="108" t="inlineStr">
        <is>
          <t>X</t>
        </is>
      </c>
      <c r="C67" s="109" t="inlineStr"/>
      <c r="D67" s="109" t="inlineStr">
        <is>
          <t>AREA 1</t>
        </is>
      </c>
      <c r="E67" s="109" t="inlineStr">
        <is>
          <t>528181/C</t>
        </is>
      </c>
      <c r="F67" s="109" t="inlineStr">
        <is>
          <t>400</t>
        </is>
      </c>
      <c r="G67" s="109" t="inlineStr">
        <is>
          <t>(RIDUZIONE ALLARMI ATTIVI)400T151I (VAPORE USCITA SURR. F101) CONTROLLO E RIPRISTINO FUNZIONALITA TEMPERATURA</t>
        </is>
      </c>
      <c r="H67" s="109" t="n"/>
      <c r="I67" s="109" t="n"/>
      <c r="J67" s="109" t="n"/>
      <c r="K67" s="109" t="n"/>
      <c r="L67" s="109" t="n"/>
      <c r="M67" s="110" t="inlineStr">
        <is>
          <t>DA CHIUDERE</t>
        </is>
      </c>
      <c r="N67" s="110" t="n"/>
      <c r="O67" s="110" t="n"/>
      <c r="P67" s="110" t="n"/>
      <c r="Q67" s="110" t="inlineStr">
        <is>
          <t>IL DOPPINO SECONDARIO DA TERMOELEMENTO PARTE, MA NON ARRIVA A J.BOX. TAGLIATO IN PASSARELLA INSIEME A QUALCHE ALTRO CHE NON SI CAPISCE NESSUN TAG.</t>
        </is>
      </c>
      <c r="R67" s="151" t="n">
        <v>45722</v>
      </c>
      <c r="S67" s="110" t="inlineStr">
        <is>
          <t>SPINALI/SERRA</t>
        </is>
      </c>
      <c r="T67" s="109" t="inlineStr"/>
      <c r="U67" s="147" t="inlineStr"/>
    </row>
    <row r="68" ht="30" customFormat="1" customHeight="1" s="1">
      <c r="A68" s="109" t="n"/>
      <c r="B68" s="108" t="inlineStr">
        <is>
          <t>X</t>
        </is>
      </c>
      <c r="C68" s="109" t="inlineStr"/>
      <c r="D68" s="109" t="inlineStr">
        <is>
          <t>AREA 1</t>
        </is>
      </c>
      <c r="E68" s="109" t="inlineStr">
        <is>
          <t>527681/C</t>
        </is>
      </c>
      <c r="F68" s="109" t="inlineStr">
        <is>
          <t>300</t>
        </is>
      </c>
      <c r="G68" s="109" t="inlineStr">
        <is>
          <t>300 - P217HA (ALTA PRESSIONE T101)CONTROLLO E RIPRISTINO FUNZIONALITA</t>
        </is>
      </c>
      <c r="H68" s="109" t="n"/>
      <c r="I68" s="109" t="n"/>
      <c r="J68" s="109" t="n"/>
      <c r="K68" s="109" t="n"/>
      <c r="L68" s="109" t="n"/>
      <c r="M68" s="110" t="inlineStr">
        <is>
          <t>DA CHIUDERE</t>
        </is>
      </c>
      <c r="N68" s="110" t="n"/>
      <c r="O68" s="110" t="n"/>
      <c r="P68" s="110" t="n"/>
      <c r="Q68" s="110" t="inlineStr">
        <is>
          <t>VALVOLA DI RADICE BLOCCATA APERTA, RILEVATA PRESSIONE D'ESERCIZIO E AUMENTATO IL SET PER RIENTRARE L'ALLARME</t>
        </is>
      </c>
      <c r="R68" s="151" t="n">
        <v>45716</v>
      </c>
      <c r="S68" s="110" t="inlineStr">
        <is>
          <t>SPINALI/SERRA</t>
        </is>
      </c>
      <c r="T68" s="109" t="inlineStr"/>
      <c r="U68" s="147" t="inlineStr"/>
    </row>
    <row r="69" ht="30" customFormat="1" customHeight="1" s="1">
      <c r="A69" s="109" t="n"/>
      <c r="B69" s="108" t="inlineStr">
        <is>
          <t>X</t>
        </is>
      </c>
      <c r="C69" s="109" t="inlineStr"/>
      <c r="D69" s="109" t="inlineStr">
        <is>
          <t>AREA 1</t>
        </is>
      </c>
      <c r="E69" s="109" t="inlineStr">
        <is>
          <t>527614/C</t>
        </is>
      </c>
      <c r="F69" s="109" t="inlineStr">
        <is>
          <t>400</t>
        </is>
      </c>
      <c r="G69" s="109" t="inlineStr">
        <is>
          <t>400 - F225RC (VIRGIN NAFTA DA TOPPING)CONTROLLO E RIPRISTINO FUNZIONALITA PORTATA</t>
        </is>
      </c>
      <c r="H69" s="109" t="n"/>
      <c r="I69" s="109" t="n"/>
      <c r="J69" s="109" t="n"/>
      <c r="K69" s="109" t="n"/>
      <c r="L69" s="109" t="n"/>
      <c r="M69" s="110" t="inlineStr">
        <is>
          <t>DA CHIUDERE</t>
        </is>
      </c>
      <c r="N69" s="110" t="n"/>
      <c r="O69" s="110" t="n"/>
      <c r="P69" s="110" t="n"/>
      <c r="Q69" s="110" t="inlineStr">
        <is>
          <t>LINEA CIECATA E PORTATA SEGNA ZERO E L'ALLARME DI BASSA PORTATA RISULTA VERITIERA</t>
        </is>
      </c>
      <c r="R69" s="151" t="n">
        <v>45716</v>
      </c>
      <c r="S69" s="110" t="inlineStr">
        <is>
          <t>SPINALI/SERRA</t>
        </is>
      </c>
      <c r="T69" s="109" t="inlineStr"/>
      <c r="U69" s="147" t="inlineStr"/>
    </row>
    <row r="70" ht="30" customFormat="1" customHeight="1" s="1">
      <c r="A70" s="109" t="n"/>
      <c r="B70" s="109" t="inlineStr">
        <is>
          <t>X</t>
        </is>
      </c>
      <c r="C70" s="109" t="inlineStr"/>
      <c r="D70" s="109" t="inlineStr">
        <is>
          <t>AREA 1</t>
        </is>
      </c>
      <c r="E70" s="109" t="inlineStr">
        <is>
          <t>527619/C</t>
        </is>
      </c>
      <c r="F70" s="109" t="inlineStr">
        <is>
          <t>400</t>
        </is>
      </c>
      <c r="G70" s="109" t="inlineStr">
        <is>
          <t>400 - T049IM(USCITA PASSO 1 RADIANTE F101)   400T169IM(USCITA PASSO 2 RADIANTE F101) CONTROLLO E RIPRISTINO FUNZIONALITA TEMPERATURE</t>
        </is>
      </c>
      <c r="H70" s="109" t="n"/>
      <c r="I70" s="109" t="n"/>
      <c r="J70" s="109" t="n"/>
      <c r="K70" s="109" t="n"/>
      <c r="L70" s="109" t="n"/>
      <c r="M70" s="110" t="inlineStr">
        <is>
          <t>DA CHIUDERE</t>
        </is>
      </c>
      <c r="N70" s="110" t="n"/>
      <c r="O70" s="110" t="n"/>
      <c r="P70" s="110" t="n"/>
      <c r="Q70" s="110" t="inlineStr">
        <is>
          <t>GLI STRUMENTI SONO STATI ELIMINATI DOPO IL REVAMPING, NON ESISTONO IN CAMPO E VERRANNO CANCELLATI AL DCS.</t>
        </is>
      </c>
      <c r="R70" s="151" t="n">
        <v>45716</v>
      </c>
      <c r="S70" s="110" t="inlineStr">
        <is>
          <t>SPINALI/SERRA</t>
        </is>
      </c>
      <c r="T70" s="109" t="inlineStr"/>
      <c r="U70" s="147" t="inlineStr"/>
    </row>
    <row r="71" ht="30" customFormat="1" customHeight="1" s="1">
      <c r="A71" s="109" t="n"/>
      <c r="B71" s="108" t="inlineStr">
        <is>
          <t>X</t>
        </is>
      </c>
      <c r="C71" s="109" t="inlineStr"/>
      <c r="D71" s="109" t="inlineStr">
        <is>
          <t>AREA 1</t>
        </is>
      </c>
      <c r="E71" s="109" t="inlineStr">
        <is>
          <t>525249/C</t>
        </is>
      </c>
      <c r="F71" s="109" t="inlineStr">
        <is>
          <t>100</t>
        </is>
      </c>
      <c r="G71" s="109" t="inlineStr">
        <is>
          <t>100 - E1001C/D SCOLLEGAMENTO/RICOLLEGAMENTO TERMOCOPPIE E SISTEMAZIONE CAVI PER MANUTENZIONE SCAMBIATORE</t>
        </is>
      </c>
      <c r="H71" s="109" t="n"/>
      <c r="I71" s="109" t="n"/>
      <c r="J71" s="109" t="n"/>
      <c r="K71" s="109" t="n"/>
      <c r="L71" s="109" t="n"/>
      <c r="M71" s="110" t="inlineStr">
        <is>
          <t>DA CHIUDERE</t>
        </is>
      </c>
      <c r="N71" s="110" t="inlineStr">
        <is>
          <t>X</t>
        </is>
      </c>
      <c r="O71" s="110" t="n"/>
      <c r="P71" s="110" t="n"/>
      <c r="Q71" s="110" t="inlineStr">
        <is>
          <t>ATTIVITA' CONCLUSA</t>
        </is>
      </c>
      <c r="R71" s="151" t="n">
        <v>45715</v>
      </c>
      <c r="S71" s="110" t="inlineStr">
        <is>
          <t>TARASCIO</t>
        </is>
      </c>
      <c r="T71" s="109" t="inlineStr"/>
      <c r="U71" s="147" t="inlineStr"/>
    </row>
    <row r="72" ht="30" customFormat="1" customHeight="1" s="1">
      <c r="A72" s="109" t="n"/>
      <c r="B72" s="108" t="inlineStr">
        <is>
          <t>X</t>
        </is>
      </c>
      <c r="C72" s="109" t="inlineStr"/>
      <c r="D72" s="109" t="inlineStr">
        <is>
          <t>AREA 1</t>
        </is>
      </c>
      <c r="E72" s="109" t="inlineStr">
        <is>
          <t>527380/C</t>
        </is>
      </c>
      <c r="F72" s="109" t="inlineStr">
        <is>
          <t>200</t>
        </is>
      </c>
      <c r="G72" s="109" t="inlineStr">
        <is>
          <t>200 - F152R(VAPORE LS L.B.)CONTROLLO E RIPRISTINO FUNZIONALITA</t>
        </is>
      </c>
      <c r="H72" s="109" t="n"/>
      <c r="I72" s="109" t="n"/>
      <c r="J72" s="109" t="n"/>
      <c r="K72" s="109" t="n"/>
      <c r="L72" s="109" t="n"/>
      <c r="M72" s="110" t="inlineStr">
        <is>
          <t>DA CHIUDERE</t>
        </is>
      </c>
      <c r="N72" s="110" t="n"/>
      <c r="O72" s="110" t="n"/>
      <c r="P72" s="110" t="n"/>
      <c r="Q72" s="110" t="inlineStr">
        <is>
          <t>CONTROLLO FUNZIONALE, TARATURA ED ALLINEAMENTO MISURA A DCS. NESSUNA ANOMALIA</t>
        </is>
      </c>
      <c r="R72" s="151" t="n">
        <v>45715</v>
      </c>
      <c r="S72" s="110" t="inlineStr">
        <is>
          <t>SPINALI/SERRA</t>
        </is>
      </c>
      <c r="T72" s="109" t="inlineStr"/>
      <c r="U72" s="147" t="inlineStr"/>
    </row>
    <row r="73" ht="30" customHeight="1" s="122">
      <c r="A73" s="109" t="n"/>
      <c r="B73" s="108" t="inlineStr">
        <is>
          <t>X</t>
        </is>
      </c>
      <c r="C73" s="109" t="inlineStr"/>
      <c r="D73" s="109" t="inlineStr">
        <is>
          <t>AREA 1</t>
        </is>
      </c>
      <c r="E73" s="109" t="inlineStr">
        <is>
          <t>526843/C</t>
        </is>
      </c>
      <c r="F73" s="109" t="inlineStr">
        <is>
          <t>100</t>
        </is>
      </c>
      <c r="G73" s="109" t="inlineStr">
        <is>
          <t>100 - 01F023RC SOSTITUZIONE STRUMENTO E RIEMPIMENTO BARILOTTI CON GLICERINA</t>
        </is>
      </c>
      <c r="H73" s="109" t="n"/>
      <c r="I73" s="109" t="n"/>
      <c r="J73" s="109" t="n"/>
      <c r="K73" s="109" t="n"/>
      <c r="L73" s="109" t="n"/>
      <c r="M73" s="110" t="inlineStr">
        <is>
          <t>DA CHIUDERE</t>
        </is>
      </c>
      <c r="N73" s="110" t="n"/>
      <c r="O73" s="110" t="n"/>
      <c r="P73" s="110" t="n"/>
      <c r="Q73" s="110" t="inlineStr">
        <is>
          <t>ATTIVITA' CONCLUSA, AGGIUNTO TX E COSTRUITA STAFFA PER ANCORAGGIO</t>
        </is>
      </c>
      <c r="R73" s="151" t="n">
        <v>45713</v>
      </c>
      <c r="S73" s="110" t="inlineStr">
        <is>
          <t>SPINALI/SERRA</t>
        </is>
      </c>
      <c r="T73" s="109" t="inlineStr"/>
      <c r="U73" s="147" t="inlineStr"/>
    </row>
    <row r="74" ht="30" customHeight="1" s="122">
      <c r="A74" s="109" t="n"/>
      <c r="B74" s="108" t="inlineStr">
        <is>
          <t>X</t>
        </is>
      </c>
      <c r="C74" s="109" t="inlineStr"/>
      <c r="D74" s="109" t="inlineStr">
        <is>
          <t>AREA 1</t>
        </is>
      </c>
      <c r="E74" s="109" t="inlineStr">
        <is>
          <t>527062/C</t>
        </is>
      </c>
      <c r="F74" s="109" t="inlineStr">
        <is>
          <t>100</t>
        </is>
      </c>
      <c r="G74" s="109" t="inlineStr">
        <is>
          <t>100 - 100P004LA  (BASSA PRESSIONE B101A/B)CONTROLLO E RIPRISTINO FUNZIONALITA PRESSOSTATO (PIANO RIPRISTINI ALLARMI ATTIVI)</t>
        </is>
      </c>
      <c r="H74" s="109" t="n"/>
      <c r="I74" s="109" t="n"/>
      <c r="J74" s="109" t="n"/>
      <c r="K74" s="109" t="n"/>
      <c r="L74" s="109" t="n"/>
      <c r="M74" s="110" t="inlineStr">
        <is>
          <t>DA CHIUDERE</t>
        </is>
      </c>
      <c r="N74" s="110" t="n"/>
      <c r="O74" s="110" t="n"/>
      <c r="P74" s="110" t="n"/>
      <c r="Q74" s="110" t="inlineStr">
        <is>
          <t>IL PUNTO NON ESISTE A PAGINA GRAFICA, ELIMINATO A CURA TECNICO DCS.</t>
        </is>
      </c>
      <c r="R74" s="151" t="n">
        <v>45714</v>
      </c>
      <c r="S74" s="110" t="inlineStr">
        <is>
          <t>MILLO/ALLEGRETTI</t>
        </is>
      </c>
      <c r="T74" s="109" t="inlineStr"/>
      <c r="U74" s="147" t="inlineStr"/>
    </row>
    <row r="75" ht="30" customHeight="1" s="122">
      <c r="A75" s="109" t="n"/>
      <c r="B75" s="109" t="inlineStr">
        <is>
          <t>X</t>
        </is>
      </c>
      <c r="C75" s="109" t="inlineStr"/>
      <c r="D75" s="109" t="inlineStr">
        <is>
          <t>AREA 1</t>
        </is>
      </c>
      <c r="E75" s="109" t="inlineStr">
        <is>
          <t>527047/C</t>
        </is>
      </c>
      <c r="F75" s="109" t="inlineStr">
        <is>
          <t>100</t>
        </is>
      </c>
      <c r="G75" s="109" t="inlineStr">
        <is>
          <t>100 - 100P003DI (PREVALENZA B101B)CONTROLLO E RIPRISTINO FUNZIONALITA DIFFERENZIALE DI PRESSIONE (PIANO RIPRISTINI ALLARMI ATTIVI)</t>
        </is>
      </c>
      <c r="H75" s="109" t="n"/>
      <c r="I75" s="109" t="n"/>
      <c r="J75" s="109" t="n"/>
      <c r="K75" s="109" t="n"/>
      <c r="L75" s="109" t="n"/>
      <c r="M75" s="109" t="inlineStr">
        <is>
          <t>DA CHIUDERE</t>
        </is>
      </c>
      <c r="N75" s="109" t="n"/>
      <c r="O75" s="109" t="n"/>
      <c r="P75" s="109" t="n"/>
      <c r="Q75" s="109" t="inlineStr">
        <is>
          <t>CONTROLLO TARATURA TX, VERIFICA PRESE, INSERITO. ALLARME RIPRISTINATO.</t>
        </is>
      </c>
      <c r="R75" s="151" t="n">
        <v>45714</v>
      </c>
      <c r="S75" s="109" t="inlineStr">
        <is>
          <t>MILLO/ALLEGRETTI</t>
        </is>
      </c>
      <c r="T75" s="109" t="inlineStr"/>
      <c r="U75" s="109" t="inlineStr"/>
    </row>
    <row r="76" ht="30" customHeight="1" s="122">
      <c r="A76" s="109" t="n"/>
      <c r="B76" s="108" t="inlineStr">
        <is>
          <t>X</t>
        </is>
      </c>
      <c r="C76" s="109" t="inlineStr"/>
      <c r="D76" s="109" t="inlineStr">
        <is>
          <t>AREA 1</t>
        </is>
      </c>
      <c r="E76" s="109" t="inlineStr">
        <is>
          <t>526933/C</t>
        </is>
      </c>
      <c r="F76" s="109" t="inlineStr">
        <is>
          <t>100</t>
        </is>
      </c>
      <c r="G76" s="109" t="inlineStr">
        <is>
          <t>100 - F101 VALVOLA VAPORE DI SOFFIATURA SOSTITUZIONE POSIZIONATORE E RIPRISTINO FUNZIONALITA(CON VAPORE INTERCETTATO)</t>
        </is>
      </c>
      <c r="H76" s="109" t="n"/>
      <c r="I76" s="109" t="n"/>
      <c r="J76" s="109" t="n"/>
      <c r="K76" s="109" t="n"/>
      <c r="L76" s="109" t="n"/>
      <c r="M76" s="110" t="inlineStr">
        <is>
          <t>DA CHIUDERE</t>
        </is>
      </c>
      <c r="N76" s="110" t="n"/>
      <c r="O76" s="110" t="n"/>
      <c r="P76" s="110" t="n"/>
      <c r="Q76" s="110" t="inlineStr">
        <is>
          <t>SOSTITUITO POSIZIONATORE EICARD, SOSTITUITA E.V. CHE NON SCARICAVA. VALVOLA ALLINEATA OK</t>
        </is>
      </c>
      <c r="R76" s="151" t="n">
        <v>45712</v>
      </c>
      <c r="S76" s="110" t="inlineStr">
        <is>
          <t>GARRO L.</t>
        </is>
      </c>
      <c r="T76" s="109" t="inlineStr"/>
      <c r="U76" s="147" t="inlineStr"/>
    </row>
    <row r="77" ht="30" customHeight="1" s="122">
      <c r="A77" s="109" t="n"/>
      <c r="B77" s="108" t="inlineStr">
        <is>
          <t>X</t>
        </is>
      </c>
      <c r="C77" s="109" t="inlineStr"/>
      <c r="D77" s="109" t="inlineStr">
        <is>
          <t>AREA 1</t>
        </is>
      </c>
      <c r="E77" s="109" t="inlineStr">
        <is>
          <t>526431/C</t>
        </is>
      </c>
      <c r="F77" s="109" t="inlineStr">
        <is>
          <t>300</t>
        </is>
      </c>
      <c r="G77" s="109" t="inlineStr">
        <is>
          <t>300 - P218HA(DA D102 A E104)CONTROLLO E RIPRISTINO FUNZIONALITA PRESSOSTATO</t>
        </is>
      </c>
      <c r="H77" s="109" t="n"/>
      <c r="I77" s="109" t="n"/>
      <c r="J77" s="109" t="n"/>
      <c r="K77" s="109" t="n"/>
      <c r="L77" s="109" t="n"/>
      <c r="M77" s="110" t="inlineStr">
        <is>
          <t>DA CHIUDERE</t>
        </is>
      </c>
      <c r="N77" s="110" t="n"/>
      <c r="O77" s="110" t="inlineStr">
        <is>
          <t>X</t>
        </is>
      </c>
      <c r="P77" s="110" t="n"/>
      <c r="Q77" s="110" t="inlineStr">
        <is>
          <t>SOSTITUITO PRESSOSTATO, RIFACIMENTO PRIMARIO IN ACCIAIO CON AGGIUNTA DI T E VALVOLA DI DRENO DA 1/2 POLLICE.</t>
        </is>
      </c>
      <c r="R77" s="151" t="n">
        <v>45712</v>
      </c>
      <c r="S77" s="109" t="inlineStr">
        <is>
          <t>SPINALI/SERRA</t>
        </is>
      </c>
      <c r="T77" s="109" t="inlineStr"/>
      <c r="U77" s="147" t="inlineStr"/>
    </row>
    <row r="78" ht="30" customHeight="1" s="122">
      <c r="A78" s="109" t="n"/>
      <c r="B78" s="108" t="inlineStr">
        <is>
          <t>X</t>
        </is>
      </c>
      <c r="C78" s="109" t="inlineStr"/>
      <c r="D78" s="109" t="inlineStr">
        <is>
          <t>AREA 1</t>
        </is>
      </c>
      <c r="E78" s="109" t="inlineStr">
        <is>
          <t>526779/C</t>
        </is>
      </c>
      <c r="F78" s="109" t="inlineStr">
        <is>
          <t>200</t>
        </is>
      </c>
      <c r="G78" s="109" t="inlineStr">
        <is>
          <t>200 - 200L353CV (T301) RIPRISTINO FUNZIONALITA VALVOLA NON CHIUDE OLTRE IL 30%</t>
        </is>
      </c>
      <c r="H78" s="109" t="n"/>
      <c r="I78" s="109" t="n"/>
      <c r="J78" s="109" t="n"/>
      <c r="K78" s="109" t="n"/>
      <c r="L78" s="109" t="n"/>
      <c r="M78" s="110" t="inlineStr">
        <is>
          <t>DA CHIUDERE</t>
        </is>
      </c>
      <c r="N78" s="110" t="n"/>
      <c r="O78" s="110" t="n"/>
      <c r="P78" s="110" t="n"/>
      <c r="Q78" s="110" t="inlineStr">
        <is>
          <t>SOSTITUITO I/P CONVERTER, SBLOCCATA VALVOLA CHE RIMANEVA AL 20%, TARATA E ALLINEATA CON SALA CONTROLLO.</t>
        </is>
      </c>
      <c r="R78" s="151" t="n">
        <v>45708</v>
      </c>
      <c r="S78" s="110" t="inlineStr">
        <is>
          <t>MILLO/GARRO L.</t>
        </is>
      </c>
      <c r="T78" s="109" t="inlineStr"/>
      <c r="U78" s="147" t="inlineStr"/>
    </row>
    <row r="79" ht="30" customHeight="1" s="122">
      <c r="A79" s="109" t="n"/>
      <c r="B79" s="108" t="inlineStr">
        <is>
          <t>X</t>
        </is>
      </c>
      <c r="C79" s="109" t="inlineStr"/>
      <c r="D79" s="109" t="inlineStr">
        <is>
          <t>AREA 1</t>
        </is>
      </c>
      <c r="E79" s="109" t="inlineStr">
        <is>
          <t>526588/C</t>
        </is>
      </c>
      <c r="F79" s="109" t="inlineStr">
        <is>
          <t>400</t>
        </is>
      </c>
      <c r="G79" s="109" t="inlineStr">
        <is>
          <t>400 - 04F227T_BAD 04F225T_BAD verifica simulazione di portata se rientrano dal BED</t>
        </is>
      </c>
      <c r="H79" s="109" t="n"/>
      <c r="I79" s="109" t="n"/>
      <c r="J79" s="109" t="n"/>
      <c r="K79" s="109" t="n"/>
      <c r="L79" s="109" t="n"/>
      <c r="M79" s="110" t="inlineStr">
        <is>
          <t>DA CHIUDERE</t>
        </is>
      </c>
      <c r="N79" s="110" t="n"/>
      <c r="O79" s="110" t="n"/>
      <c r="P79" s="110" t="n"/>
      <c r="Q79" s="110" t="inlineStr">
        <is>
          <t>ESEGUITO AZZERAMENTO SULLE DUE PORTATE, ALLINEATE A DCS, OK.</t>
        </is>
      </c>
      <c r="R79" s="151" t="n">
        <v>45708</v>
      </c>
      <c r="S79" s="110" t="inlineStr">
        <is>
          <t>TARASCIO/PARTESANO</t>
        </is>
      </c>
      <c r="T79" s="109" t="inlineStr"/>
      <c r="U79" s="147" t="inlineStr"/>
    </row>
    <row r="80" ht="30" customHeight="1" s="122">
      <c r="A80" s="109" t="n"/>
      <c r="B80" s="108" t="inlineStr">
        <is>
          <t>X</t>
        </is>
      </c>
      <c r="C80" s="109" t="inlineStr"/>
      <c r="D80" s="109" t="inlineStr">
        <is>
          <t>AREA 1</t>
        </is>
      </c>
      <c r="E80" s="109" t="inlineStr">
        <is>
          <t>526579/C</t>
        </is>
      </c>
      <c r="F80" s="109" t="inlineStr">
        <is>
          <t>400</t>
        </is>
      </c>
      <c r="G80" s="109" t="inlineStr">
        <is>
          <t>T151 CONTROLLO LOOP DI REGOLAZIONE 04-LIC152 +04-L330A/B/C   E LOGICA DELL'AUTOMATISMO DEI LIVELLI CON CONTROLLO VALVOLA DI BLOCCO 04-XV330</t>
        </is>
      </c>
      <c r="H80" s="109" t="n"/>
      <c r="I80" s="109" t="n"/>
      <c r="J80" s="109" t="n"/>
      <c r="K80" s="109" t="n"/>
      <c r="L80" s="109" t="n"/>
      <c r="M80" s="110" t="inlineStr">
        <is>
          <t>DA CHIUDERE</t>
        </is>
      </c>
      <c r="N80" s="110" t="n"/>
      <c r="O80" s="110" t="n"/>
      <c r="P80" s="110" t="n"/>
      <c r="Q80" s="110" t="inlineStr">
        <is>
          <t>CONTROLLO FUNZIONALE TRASMETTITORI, ESEGUITA TARATURA ED ALLINEATI AL LIVELLO VISIVO. CONTROLLO VALVOLA BLOCCO OK</t>
        </is>
      </c>
      <c r="R80" s="151" t="n">
        <v>45708</v>
      </c>
      <c r="S80" s="110" t="inlineStr">
        <is>
          <t>SPINALI/SERRA</t>
        </is>
      </c>
      <c r="T80" s="109" t="inlineStr"/>
      <c r="U80" s="147" t="inlineStr"/>
    </row>
    <row r="81" ht="30" customHeight="1" s="122">
      <c r="A81" s="109" t="n"/>
      <c r="B81" s="108" t="inlineStr">
        <is>
          <t>X</t>
        </is>
      </c>
      <c r="C81" s="109" t="inlineStr"/>
      <c r="D81" s="109" t="inlineStr">
        <is>
          <t>AREA 1</t>
        </is>
      </c>
      <c r="E81" s="109" t="inlineStr">
        <is>
          <t>526301/C</t>
        </is>
      </c>
      <c r="F81" s="109" t="inlineStr">
        <is>
          <t>300</t>
        </is>
      </c>
      <c r="G81" s="109" t="inlineStr">
        <is>
          <t>300 - F017RC VAPORE STRIPP. T101 CONTROLLO  E TARATURA  PORTATA</t>
        </is>
      </c>
      <c r="H81" s="109" t="n"/>
      <c r="I81" s="109" t="n"/>
      <c r="J81" s="109" t="n"/>
      <c r="K81" s="109" t="n"/>
      <c r="L81" s="109" t="n"/>
      <c r="M81" s="110" t="inlineStr">
        <is>
          <t>DA CHIUDERE</t>
        </is>
      </c>
      <c r="N81" s="110" t="n"/>
      <c r="O81" s="110" t="n"/>
      <c r="P81" s="110" t="n"/>
      <c r="Q81" s="110" t="inlineStr">
        <is>
          <t>POSITIVA PARZIALMENTE TAPPATA, STASATA E BYPASS ROTTO</t>
        </is>
      </c>
      <c r="R81" s="151" t="n">
        <v>45706</v>
      </c>
      <c r="S81" s="110" t="inlineStr">
        <is>
          <t>TARASCIO/PARTESANO</t>
        </is>
      </c>
      <c r="T81" s="109" t="inlineStr"/>
      <c r="U81" s="147" t="inlineStr"/>
    </row>
    <row r="82" ht="30" customHeight="1" s="122">
      <c r="A82" s="109" t="n"/>
      <c r="B82" s="108" t="inlineStr">
        <is>
          <t>X</t>
        </is>
      </c>
      <c r="C82" s="109" t="inlineStr"/>
      <c r="D82" s="109" t="inlineStr">
        <is>
          <t>AREA 1</t>
        </is>
      </c>
      <c r="E82" s="109" t="inlineStr">
        <is>
          <t>526298/C</t>
        </is>
      </c>
      <c r="F82" s="109" t="inlineStr">
        <is>
          <t>300</t>
        </is>
      </c>
      <c r="G82" s="109" t="inlineStr">
        <is>
          <t>300 - F020I(H2O D104)CONTROLLO E TARATURA PORTATA</t>
        </is>
      </c>
      <c r="H82" s="109" t="n"/>
      <c r="I82" s="109" t="n"/>
      <c r="J82" s="109" t="n"/>
      <c r="K82" s="109" t="n"/>
      <c r="L82" s="109" t="n"/>
      <c r="M82" s="110" t="inlineStr">
        <is>
          <t>DA CHIUDERE</t>
        </is>
      </c>
      <c r="N82" s="110" t="n"/>
      <c r="O82" s="110" t="n"/>
      <c r="P82" s="110" t="n"/>
      <c r="Q82" s="110" t="inlineStr">
        <is>
          <t>CORRETTO DI ZERO ED ESEGUITO ALLINEAMENTO.</t>
        </is>
      </c>
      <c r="R82" s="151" t="n">
        <v>45706</v>
      </c>
      <c r="S82" s="110" t="inlineStr">
        <is>
          <t>TARASCIO/PARTESANO</t>
        </is>
      </c>
      <c r="T82" s="109" t="inlineStr"/>
      <c r="U82" s="147" t="inlineStr"/>
    </row>
    <row r="83" ht="30" customHeight="1" s="122">
      <c r="A83" s="109" t="n"/>
      <c r="B83" s="108" t="inlineStr">
        <is>
          <t>X</t>
        </is>
      </c>
      <c r="C83" s="109" t="inlineStr"/>
      <c r="D83" s="109" t="inlineStr">
        <is>
          <t>AREA 1</t>
        </is>
      </c>
      <c r="E83" s="109" t="inlineStr">
        <is>
          <t>525238/C</t>
        </is>
      </c>
      <c r="F83" s="109" t="inlineStr">
        <is>
          <t>100</t>
        </is>
      </c>
      <c r="G83" s="109" t="inlineStr">
        <is>
          <t>100 - E109A/B SCOLLEGAMENTO/RICOLLEGAMENTO TERMOCOPPIE E SISTEMAZIONE CAVI PER MANUTENZIONE SCAMBIATORE</t>
        </is>
      </c>
      <c r="H83" s="109" t="n"/>
      <c r="I83" s="109" t="n"/>
      <c r="J83" s="109" t="n"/>
      <c r="K83" s="109" t="n"/>
      <c r="L83" s="109" t="n"/>
      <c r="M83" s="110" t="inlineStr">
        <is>
          <t>DA CHIUDERE</t>
        </is>
      </c>
      <c r="N83" s="110" t="inlineStr">
        <is>
          <t>X</t>
        </is>
      </c>
      <c r="O83" s="110" t="n"/>
      <c r="P83" s="110" t="n"/>
      <c r="Q83" s="110" t="inlineStr">
        <is>
          <t>ATTIVITA' CONCLUSA</t>
        </is>
      </c>
      <c r="R83" s="151" t="n"/>
      <c r="S83" s="110" t="inlineStr">
        <is>
          <t>TARASCIO</t>
        </is>
      </c>
      <c r="T83" s="109" t="inlineStr"/>
      <c r="U83" s="147" t="inlineStr"/>
    </row>
    <row r="84">
      <c r="A84" s="109" t="n"/>
      <c r="B84" s="108" t="inlineStr">
        <is>
          <t>X</t>
        </is>
      </c>
      <c r="C84" s="109" t="inlineStr"/>
      <c r="D84" s="109" t="inlineStr">
        <is>
          <t>AREA 1</t>
        </is>
      </c>
      <c r="E84" s="109" t="inlineStr">
        <is>
          <t>524894/C</t>
        </is>
      </c>
      <c r="F84" s="109" t="inlineStr">
        <is>
          <t>100</t>
        </is>
      </c>
      <c r="G84" s="109" t="inlineStr">
        <is>
          <t>100 - 01F031RC(GOL A STOCK.)CONTROLLO E TARATURA STRUMENTO DI PORTATA</t>
        </is>
      </c>
      <c r="H84" s="109" t="n"/>
      <c r="I84" s="109" t="n"/>
      <c r="J84" s="109" t="n"/>
      <c r="K84" s="109" t="n"/>
      <c r="L84" s="109" t="n"/>
      <c r="M84" s="110" t="inlineStr">
        <is>
          <t>DA CHIUDERE</t>
        </is>
      </c>
      <c r="N84" s="110" t="n"/>
      <c r="O84" s="110" t="n"/>
      <c r="P84" s="110" t="n"/>
      <c r="Q84" s="110" t="n"/>
      <c r="R84" s="151" t="n"/>
      <c r="S84" s="110" t="inlineStr">
        <is>
          <t>TARASCIO</t>
        </is>
      </c>
      <c r="T84" s="109" t="inlineStr"/>
      <c r="U84" s="147" t="inlineStr"/>
    </row>
    <row r="85" ht="30" customHeight="1" s="122">
      <c r="A85" s="109" t="n"/>
      <c r="B85" s="108" t="inlineStr">
        <is>
          <t>X</t>
        </is>
      </c>
      <c r="C85" s="109" t="inlineStr"/>
      <c r="D85" s="109" t="inlineStr">
        <is>
          <t>AREA 1</t>
        </is>
      </c>
      <c r="E85" s="109" t="inlineStr">
        <is>
          <t>526196/C</t>
        </is>
      </c>
      <c r="F85" s="109" t="inlineStr">
        <is>
          <t>100</t>
        </is>
      </c>
      <c r="G85" s="109" t="inlineStr">
        <is>
          <t>100 - F101 CONTROLLO FUNZIONALITA VALVOLA VAPORE SOFFIATURA(VAPORE INTERCETTATO)-VALVOLA CLYDE-</t>
        </is>
      </c>
      <c r="H85" s="109" t="n"/>
      <c r="I85" s="109" t="n"/>
      <c r="J85" s="109" t="n"/>
      <c r="K85" s="109" t="n"/>
      <c r="L85" s="109" t="n"/>
      <c r="M85" s="110" t="inlineStr">
        <is>
          <t>DA CHIUDERE</t>
        </is>
      </c>
      <c r="N85" s="110" t="n"/>
      <c r="O85" s="110" t="n"/>
      <c r="P85" s="110" t="n"/>
      <c r="Q85" s="110" t="inlineStr">
        <is>
          <t>NESSUNA ANOMALIA</t>
        </is>
      </c>
      <c r="R85" s="151" t="n">
        <v>45705</v>
      </c>
      <c r="S85" s="110" t="inlineStr">
        <is>
          <t>MILLO F.</t>
        </is>
      </c>
      <c r="T85" s="109" t="inlineStr"/>
      <c r="U85" s="147" t="inlineStr"/>
    </row>
    <row r="86">
      <c r="A86" s="109" t="n"/>
      <c r="B86" s="108" t="inlineStr">
        <is>
          <t>X</t>
        </is>
      </c>
      <c r="C86" s="109" t="inlineStr"/>
      <c r="D86" s="109" t="inlineStr">
        <is>
          <t>AREA 1</t>
        </is>
      </c>
      <c r="E86" s="109" t="inlineStr">
        <is>
          <t>523180/C</t>
        </is>
      </c>
      <c r="F86" s="109" t="inlineStr">
        <is>
          <t>400</t>
        </is>
      </c>
      <c r="G86" s="109" t="inlineStr">
        <is>
          <t>400 - F160R VAPORE LB CONTROLLO E RIPRISTINO FUNZIONALITA'</t>
        </is>
      </c>
      <c r="H86" s="109" t="n"/>
      <c r="I86" s="109" t="n"/>
      <c r="J86" s="109" t="n"/>
      <c r="K86" s="109" t="n"/>
      <c r="L86" s="109" t="n"/>
      <c r="M86" s="110" t="inlineStr">
        <is>
          <t>DA CHIUDERE</t>
        </is>
      </c>
      <c r="N86" s="110" t="n"/>
      <c r="O86" s="110" t="n"/>
      <c r="P86" s="110" t="n"/>
      <c r="Q86" s="110" t="inlineStr">
        <is>
          <t>NESSUNA ANOMALIA DA SEGNALARE</t>
        </is>
      </c>
      <c r="R86" s="151" t="n">
        <v>45705</v>
      </c>
      <c r="S86" s="110" t="inlineStr">
        <is>
          <t>SPINALI/SERRA</t>
        </is>
      </c>
      <c r="T86" s="109" t="inlineStr"/>
      <c r="U86" s="147" t="inlineStr"/>
    </row>
    <row r="87" ht="30" customHeight="1" s="122">
      <c r="A87" s="109" t="n"/>
      <c r="B87" s="109" t="inlineStr">
        <is>
          <t>X</t>
        </is>
      </c>
      <c r="C87" s="109" t="inlineStr"/>
      <c r="D87" s="109" t="inlineStr">
        <is>
          <t>AREA 1</t>
        </is>
      </c>
      <c r="E87" s="109" t="inlineStr">
        <is>
          <t>524883/C</t>
        </is>
      </c>
      <c r="F87" s="109" t="inlineStr">
        <is>
          <t>100</t>
        </is>
      </c>
      <c r="G87" s="109" t="inlineStr">
        <is>
          <t>100 - 01F354R(CARICA A STR.301 MANDATA P302A/B)CONTROLLO E TARATURA STRUMENTO DI PORTATA METTERE IL MOS PRIMA DI INIZIARE ATTIVITA</t>
        </is>
      </c>
      <c r="H87" s="109" t="n"/>
      <c r="I87" s="109" t="n"/>
      <c r="J87" s="109" t="n"/>
      <c r="K87" s="109" t="n"/>
      <c r="L87" s="109" t="n"/>
      <c r="M87" s="109" t="inlineStr">
        <is>
          <t>DA CHIUDERE</t>
        </is>
      </c>
      <c r="N87" s="109" t="n"/>
      <c r="O87" s="109" t="n"/>
      <c r="P87" s="109" t="n"/>
      <c r="Q87" s="109" t="inlineStr">
        <is>
          <t>ATTIVITA' CONCLUSA - CHIUSO</t>
        </is>
      </c>
      <c r="R87" s="151" t="n"/>
      <c r="S87" s="109" t="n"/>
      <c r="T87" s="109" t="inlineStr"/>
      <c r="U87" s="147" t="inlineStr"/>
    </row>
    <row r="88" ht="30" customHeight="1" s="122">
      <c r="A88" s="109" t="n"/>
      <c r="B88" s="108" t="inlineStr">
        <is>
          <t>X</t>
        </is>
      </c>
      <c r="C88" s="109" t="inlineStr"/>
      <c r="D88" s="109" t="inlineStr">
        <is>
          <t>AREA 1</t>
        </is>
      </c>
      <c r="E88" s="109" t="inlineStr">
        <is>
          <t>525250/C</t>
        </is>
      </c>
      <c r="F88" s="109" t="inlineStr">
        <is>
          <t>200A</t>
        </is>
      </c>
      <c r="G88" s="109" t="inlineStr">
        <is>
          <t>200A - E302A  SCOLLEGAMENTO/RICOLLEGAMENTO TERMOCOPPIE E SISTEMAZIONE CAVI PER MANUTENZIONE SCAMBIATORE</t>
        </is>
      </c>
      <c r="H88" s="109" t="n"/>
      <c r="I88" s="109" t="n"/>
      <c r="J88" s="109" t="n"/>
      <c r="K88" s="109" t="n"/>
      <c r="L88" s="109" t="n"/>
      <c r="M88" s="110" t="inlineStr">
        <is>
          <t>DA CHIUDERE</t>
        </is>
      </c>
      <c r="N88" s="110" t="n"/>
      <c r="O88" s="110" t="n"/>
      <c r="P88" s="110" t="n"/>
      <c r="Q88" s="110" t="inlineStr">
        <is>
          <t>ATTIVITA' CONCLUSA - CHIUSO</t>
        </is>
      </c>
      <c r="R88" s="151" t="n"/>
      <c r="S88" s="110" t="n"/>
      <c r="T88" s="109" t="inlineStr"/>
      <c r="U88" s="147" t="inlineStr"/>
    </row>
    <row r="89" ht="30" customHeight="1" s="122">
      <c r="A89" s="109" t="n"/>
      <c r="B89" s="108" t="inlineStr">
        <is>
          <t>X</t>
        </is>
      </c>
      <c r="C89" s="109" t="inlineStr"/>
      <c r="D89" s="109" t="inlineStr">
        <is>
          <t>AREA 1</t>
        </is>
      </c>
      <c r="E89" s="109" t="inlineStr">
        <is>
          <t>525236/C</t>
        </is>
      </c>
      <c r="F89" s="109" t="inlineStr">
        <is>
          <t>100</t>
        </is>
      </c>
      <c r="G89" s="109" t="inlineStr">
        <is>
          <t>100 - E105A SCOLLEGAMENTO/RICOLLEGAMENTO TERMOCOPPIE E SISTEMAZIONE CAVI PER MANUTENZIONE SCAMBIATORE</t>
        </is>
      </c>
      <c r="H89" s="109" t="n"/>
      <c r="I89" s="109" t="n"/>
      <c r="J89" s="109" t="n"/>
      <c r="K89" s="109" t="n"/>
      <c r="L89" s="109" t="n"/>
      <c r="M89" s="110" t="inlineStr">
        <is>
          <t>DA CHIUDERE</t>
        </is>
      </c>
      <c r="N89" s="110" t="n"/>
      <c r="O89" s="110" t="n"/>
      <c r="P89" s="110" t="n"/>
      <c r="Q89" s="110" t="inlineStr">
        <is>
          <t>ATTIVITA' CONCLUSA - CHIUSO</t>
        </is>
      </c>
      <c r="R89" s="151" t="n"/>
      <c r="S89" s="110" t="n"/>
      <c r="T89" s="109" t="inlineStr"/>
      <c r="U89" s="147" t="inlineStr"/>
    </row>
    <row r="90" ht="30" customHeight="1" s="122">
      <c r="A90" s="109" t="n"/>
      <c r="B90" s="109" t="inlineStr">
        <is>
          <t>X</t>
        </is>
      </c>
      <c r="C90" s="109" t="inlineStr"/>
      <c r="D90" s="109" t="inlineStr">
        <is>
          <t>AREA 1</t>
        </is>
      </c>
      <c r="E90" s="109" t="inlineStr">
        <is>
          <t>525360/C</t>
        </is>
      </c>
      <c r="F90" s="109" t="inlineStr">
        <is>
          <t>100</t>
        </is>
      </c>
      <c r="G90" s="109" t="inlineStr">
        <is>
          <t>100 - RIPRISTINI STRUMENTALI E RIPRISTINI FUNZIONALITA VALVOLE  PER AVVIAMENTO IMPIANTO IN ACCORDO CON ESERCIZIO</t>
        </is>
      </c>
      <c r="H90" s="109" t="n"/>
      <c r="I90" s="109" t="n"/>
      <c r="J90" s="109" t="n"/>
      <c r="K90" s="109" t="n"/>
      <c r="L90" s="109" t="n"/>
      <c r="M90" s="110" t="inlineStr">
        <is>
          <t>DA CHIUDERE</t>
        </is>
      </c>
      <c r="N90" s="110" t="n"/>
      <c r="O90" s="110" t="n"/>
      <c r="P90" s="110" t="n"/>
      <c r="Q90" s="110" t="n"/>
      <c r="R90" s="151" t="n"/>
      <c r="S90" s="110" t="n"/>
      <c r="T90" s="109" t="inlineStr"/>
      <c r="U90" s="147" t="inlineStr"/>
    </row>
    <row r="91" ht="60" customHeight="1" s="122">
      <c r="A91" s="109" t="n"/>
      <c r="B91" s="108" t="inlineStr">
        <is>
          <t>X</t>
        </is>
      </c>
      <c r="C91" s="109" t="inlineStr"/>
      <c r="D91" s="109" t="inlineStr">
        <is>
          <t>AREA 1</t>
        </is>
      </c>
      <c r="E91" s="109" t="inlineStr">
        <is>
          <t>525048/C</t>
        </is>
      </c>
      <c r="F91" s="109" t="inlineStr">
        <is>
          <t>200</t>
        </is>
      </c>
      <c r="G91" s="109" t="inlineStr">
        <is>
          <t>200A - L361DC(D111)CONTROLLO E RIPRISTINO FUNZIONALITA LIVELLO</t>
        </is>
      </c>
      <c r="H91" s="109" t="n"/>
      <c r="I91" s="109" t="n"/>
      <c r="J91" s="109" t="n"/>
      <c r="K91" s="109" t="n"/>
      <c r="L91" s="109" t="n"/>
      <c r="M91" s="110" t="inlineStr">
        <is>
          <t>DA CHIUDERE</t>
        </is>
      </c>
      <c r="N91" s="110" t="n"/>
      <c r="O91" s="110" t="n"/>
      <c r="P91" s="110" t="n"/>
      <c r="Q91" s="110" t="inlineStr">
        <is>
          <t>PULIZIA CORPO LIVELLO ( TROVATO PIENO DI MORCHIA NELL'EQUIPAGGIO MOBILE ), TARATO ED INSERITO. LA VALVOLA DI REGOLAZIONE E' TOTALMENTE CORROSA DA ACQUA ACIDA, SI CONSIGLIA LA REVISIONE.</t>
        </is>
      </c>
      <c r="R91" s="151" t="n">
        <v>45701</v>
      </c>
      <c r="S91" s="110" t="inlineStr">
        <is>
          <t>MILLO/GARRO</t>
        </is>
      </c>
      <c r="T91" s="109" t="inlineStr"/>
      <c r="U91" s="147" t="inlineStr"/>
    </row>
    <row r="92" ht="90" customHeight="1" s="122">
      <c r="A92" s="109" t="n"/>
      <c r="B92" s="108" t="inlineStr">
        <is>
          <t>X</t>
        </is>
      </c>
      <c r="C92" s="109" t="inlineStr"/>
      <c r="D92" s="109" t="inlineStr">
        <is>
          <t>AREA 1</t>
        </is>
      </c>
      <c r="E92" s="109" t="inlineStr">
        <is>
          <t>535656/C</t>
        </is>
      </c>
      <c r="F92" s="109" t="inlineStr">
        <is>
          <t>300</t>
        </is>
      </c>
      <c r="G92" s="109" t="inlineStr">
        <is>
          <t>300 - L008RC CONTROLLO E TARATURA CON EVENTUALE  RIPRISTINO FUNZIONALITA LIVELLO</t>
        </is>
      </c>
      <c r="H92" s="109" t="n"/>
      <c r="I92" s="109" t="n"/>
      <c r="J92" s="109" t="n"/>
      <c r="K92" s="109" t="n"/>
      <c r="L92" s="109" t="n"/>
      <c r="M92" s="110" t="inlineStr">
        <is>
          <t>DA CHIUDERE</t>
        </is>
      </c>
      <c r="N92" s="110" t="n"/>
      <c r="O92" s="110" t="n"/>
      <c r="P92" s="110" t="n"/>
      <c r="Q92" s="110" t="inlineStr">
        <is>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is>
      </c>
      <c r="R92" s="151" t="n">
        <v>45811</v>
      </c>
      <c r="S92" s="110" t="inlineStr">
        <is>
          <t>MILLO/GARRO L/CIANCHINO</t>
        </is>
      </c>
      <c r="T92" s="109" t="inlineStr"/>
      <c r="U92" s="147" t="inlineStr"/>
    </row>
    <row r="93" ht="30" customHeight="1" s="122">
      <c r="A93" s="109" t="n"/>
      <c r="B93" s="108" t="inlineStr">
        <is>
          <t>X</t>
        </is>
      </c>
      <c r="C93" s="109" t="inlineStr"/>
      <c r="D93" s="109" t="inlineStr">
        <is>
          <t>AREA 1</t>
        </is>
      </c>
      <c r="E93" s="109" t="inlineStr">
        <is>
          <t>524892/C</t>
        </is>
      </c>
      <c r="F93" s="109" t="inlineStr">
        <is>
          <t>200A</t>
        </is>
      </c>
      <c r="G93" s="109" t="inlineStr">
        <is>
          <t>200A - 02F390R(CARICA LIQUIDA PASSO 2)CONTROLLO E TARATURA STRUMENTO DI PORTATA METTERE IL MOS PRIMA DI INIZIARE ATTIVITA</t>
        </is>
      </c>
      <c r="H93" s="109" t="n"/>
      <c r="I93" s="109" t="n"/>
      <c r="J93" s="109" t="n"/>
      <c r="K93" s="109" t="n"/>
      <c r="L93" s="109" t="n"/>
      <c r="M93" s="110" t="inlineStr">
        <is>
          <t>DA CHIUDERE</t>
        </is>
      </c>
      <c r="N93" s="110" t="n"/>
      <c r="O93" s="110" t="n"/>
      <c r="P93" s="110" t="n"/>
      <c r="Q93" s="110" t="n"/>
      <c r="R93" s="151" t="n"/>
      <c r="S93" s="110" t="n"/>
      <c r="T93" s="109" t="inlineStr"/>
      <c r="U93" s="147" t="inlineStr"/>
    </row>
    <row r="94" ht="30" customHeight="1" s="122">
      <c r="A94" s="109" t="n"/>
      <c r="B94" s="108" t="inlineStr">
        <is>
          <t>X</t>
        </is>
      </c>
      <c r="C94" s="109" t="inlineStr"/>
      <c r="D94" s="109" t="inlineStr">
        <is>
          <t>AREA 1</t>
        </is>
      </c>
      <c r="E94" s="109" t="inlineStr">
        <is>
          <t>524888/C</t>
        </is>
      </c>
      <c r="F94" s="109" t="inlineStr">
        <is>
          <t>200A</t>
        </is>
      </c>
      <c r="G94" s="109" t="inlineStr">
        <is>
          <t>200A - 02F379R(CARICA LIQUIDA PASSO 1)CONTROLLO E TARATURA STRUMENTO DI PORTATA METTERE IL MOS PRIMA DI INIZIARE ATTIVITA</t>
        </is>
      </c>
      <c r="H94" s="109" t="n"/>
      <c r="I94" s="109" t="n"/>
      <c r="J94" s="109" t="n"/>
      <c r="K94" s="109" t="n"/>
      <c r="L94" s="109" t="n"/>
      <c r="M94" s="110" t="inlineStr">
        <is>
          <t>DA CHIUDERE</t>
        </is>
      </c>
      <c r="N94" s="110" t="n"/>
      <c r="O94" s="110" t="n"/>
      <c r="P94" s="110" t="n"/>
      <c r="Q94" s="110" t="n"/>
      <c r="R94" s="151" t="n"/>
      <c r="S94" s="110" t="n"/>
      <c r="T94" s="109" t="inlineStr"/>
      <c r="U94" s="147" t="inlineStr"/>
    </row>
    <row r="95" ht="30" customHeight="1" s="122">
      <c r="A95" s="109" t="n"/>
      <c r="B95" s="108" t="inlineStr">
        <is>
          <t>X</t>
        </is>
      </c>
      <c r="C95" s="109" t="inlineStr"/>
      <c r="D95" s="109" t="inlineStr">
        <is>
          <t>AREA 1</t>
        </is>
      </c>
      <c r="E95" s="109" t="inlineStr">
        <is>
          <t>524881/C</t>
        </is>
      </c>
      <c r="F95" s="109" t="inlineStr">
        <is>
          <t>400</t>
        </is>
      </c>
      <c r="G95" s="109" t="inlineStr">
        <is>
          <t>400 - V877SHH(P401B  CUSC.)CONTROLLO E RIPRISTINO SONDA DI VIBRAZIONE METTERE IL MOS PRIMA DI INIZIARE ATTIVITA</t>
        </is>
      </c>
      <c r="H95" s="109" t="n"/>
      <c r="I95" s="109" t="n"/>
      <c r="J95" s="109" t="n"/>
      <c r="K95" s="109" t="n"/>
      <c r="L95" s="109" t="n"/>
      <c r="M95" s="110" t="inlineStr">
        <is>
          <t>DA CHIUDERE</t>
        </is>
      </c>
      <c r="N95" s="110" t="n"/>
      <c r="O95" s="110" t="n"/>
      <c r="P95" s="110" t="n"/>
      <c r="Q95" s="110" t="inlineStr">
        <is>
          <t>TROVATO CAVO SCORTICATO, NASTRATO CON VULCANIZZANTE E RIPRISTINATO.</t>
        </is>
      </c>
      <c r="R95" s="151" t="n">
        <v>45694</v>
      </c>
      <c r="S95" s="110" t="inlineStr">
        <is>
          <t>TARASCIO/PARTESANO</t>
        </is>
      </c>
      <c r="T95" s="109" t="inlineStr"/>
      <c r="U95" s="147" t="inlineStr"/>
    </row>
    <row r="96" ht="30" customHeight="1" s="122">
      <c r="A96" s="109" t="n"/>
      <c r="B96" s="108" t="inlineStr">
        <is>
          <t>X</t>
        </is>
      </c>
      <c r="C96" s="109" t="inlineStr"/>
      <c r="D96" s="109" t="inlineStr">
        <is>
          <t>AREA 1</t>
        </is>
      </c>
      <c r="E96" s="109" t="inlineStr">
        <is>
          <t>524215/C</t>
        </is>
      </c>
      <c r="F96" s="109" t="inlineStr">
        <is>
          <t>200</t>
        </is>
      </c>
      <c r="G96" s="109" t="inlineStr">
        <is>
          <t>200 - L005IC (MAMMELLONE D102) SMONTAGGIO PER REVISIONE LIVELLO (METTERE LE CONTROFLANGIE)</t>
        </is>
      </c>
      <c r="H96" s="109" t="n"/>
      <c r="I96" s="109" t="n"/>
      <c r="J96" s="109" t="n"/>
      <c r="K96" s="109" t="n"/>
      <c r="L96" s="109" t="n"/>
      <c r="M96" s="110" t="inlineStr">
        <is>
          <t>DA CHIUDERE</t>
        </is>
      </c>
      <c r="N96" s="110" t="n"/>
      <c r="O96" s="110" t="n"/>
      <c r="P96" s="110" t="n"/>
      <c r="Q96" s="110" t="inlineStr">
        <is>
          <t>ESEGUITO RIMONTAGGIO LIVELLO.</t>
        </is>
      </c>
      <c r="R96" s="151" t="n">
        <v>45691</v>
      </c>
      <c r="S96" s="110" t="inlineStr">
        <is>
          <t>MILLO/ALLEGRETTI</t>
        </is>
      </c>
      <c r="T96" s="109" t="inlineStr"/>
      <c r="U96" s="147" t="inlineStr"/>
    </row>
    <row r="97" ht="45" customHeight="1" s="122">
      <c r="A97" s="109" t="n"/>
      <c r="B97" s="109" t="inlineStr">
        <is>
          <t>X</t>
        </is>
      </c>
      <c r="C97" s="109" t="inlineStr"/>
      <c r="D97" s="109" t="inlineStr">
        <is>
          <t>AREA 1</t>
        </is>
      </c>
      <c r="E97" s="109" t="inlineStr">
        <is>
          <t>524096/C</t>
        </is>
      </c>
      <c r="F97" s="109" t="inlineStr">
        <is>
          <t>400</t>
        </is>
      </c>
      <c r="G97" s="109" t="inlineStr">
        <is>
          <t xml:space="preserve">400 - L151DRC (D101) CONTROLLO LOOP DI REGOLAZIONE PARTENDO PRIMA DAL TX LIVELLO </t>
        </is>
      </c>
      <c r="H97" s="109" t="n"/>
      <c r="I97" s="109" t="n"/>
      <c r="J97" s="109" t="n"/>
      <c r="K97" s="109" t="n"/>
      <c r="L97" s="109" t="n"/>
      <c r="M97" s="109" t="inlineStr">
        <is>
          <t>DA CHIUDERE</t>
        </is>
      </c>
      <c r="N97" s="109" t="n"/>
      <c r="O97" s="109" t="n"/>
      <c r="P97" s="109" t="n"/>
      <c r="Q97" s="109" t="inlineStr">
        <is>
          <t>CONTROLLATO E AZZERATO TRASMETTITORE DI LIVELLO INTERFASE AD ONDA GUIDATA; CONTROLLATA E TARATA VALVOLA ( STARATA DEL 25% ). LOOP IN REGOLAZIONE _OK</t>
        </is>
      </c>
      <c r="R97" s="151" t="n">
        <v>45692</v>
      </c>
      <c r="S97" s="109" t="inlineStr">
        <is>
          <t>MILLO/SERRA</t>
        </is>
      </c>
      <c r="T97" s="109" t="inlineStr"/>
      <c r="U97" s="109" t="inlineStr"/>
    </row>
    <row r="98" ht="45" customHeight="1" s="122">
      <c r="A98" s="109" t="n"/>
      <c r="B98" s="108" t="inlineStr">
        <is>
          <t>X</t>
        </is>
      </c>
      <c r="C98" s="109" t="inlineStr"/>
      <c r="D98" s="109" t="inlineStr">
        <is>
          <t>AREA 1</t>
        </is>
      </c>
      <c r="E98" s="109" t="inlineStr">
        <is>
          <t>524094/C</t>
        </is>
      </c>
      <c r="F98" s="109" t="inlineStr">
        <is>
          <t>400</t>
        </is>
      </c>
      <c r="G98" s="109" t="inlineStr">
        <is>
          <t xml:space="preserve">400 - L010RC(D104) CONTROLLO LOOP DI REGOLAZIONE PARTENDO PRIMA DAL TX LIVELLO </t>
        </is>
      </c>
      <c r="H98" s="109" t="n"/>
      <c r="I98" s="109" t="n"/>
      <c r="J98" s="109" t="n"/>
      <c r="K98" s="109" t="n"/>
      <c r="L98" s="109" t="n"/>
      <c r="M98" s="110" t="inlineStr">
        <is>
          <t>DA CHIUDERE</t>
        </is>
      </c>
      <c r="N98" s="110" t="n"/>
      <c r="O98" s="110" t="n"/>
      <c r="P98" s="110" t="n"/>
      <c r="Q98" s="110" t="inlineStr">
        <is>
          <t>CONTROLLATO LIVELLO, DRENATO E PROVATE PRESE INFERIORE E SUPERIORE. CONTROLLO VALVOLA REGOLATRICE ( NESSUNA ANOMALIA ).</t>
        </is>
      </c>
      <c r="R98" s="151" t="n">
        <v>45692</v>
      </c>
      <c r="S98" s="110" t="inlineStr">
        <is>
          <t>MILLO/SERRA</t>
        </is>
      </c>
      <c r="T98" s="109" t="inlineStr"/>
      <c r="U98" s="147" t="inlineStr"/>
    </row>
    <row r="99" ht="30" customHeight="1" s="122">
      <c r="A99" s="109" t="n"/>
      <c r="B99" s="108" t="inlineStr">
        <is>
          <t>X</t>
        </is>
      </c>
      <c r="C99" s="109" t="inlineStr"/>
      <c r="D99" s="109" t="inlineStr">
        <is>
          <t>AREA 1</t>
        </is>
      </c>
      <c r="E99" s="109" t="inlineStr">
        <is>
          <t>524414/C</t>
        </is>
      </c>
      <c r="F99" s="109" t="inlineStr">
        <is>
          <t>900</t>
        </is>
      </c>
      <c r="G99" s="109" t="inlineStr">
        <is>
          <t>900 - F014R(FONDO T102 A STOCK)CONTROLLO E RIPRISTINO FUNZIONALITA' PORTATA</t>
        </is>
      </c>
      <c r="H99" s="109" t="n"/>
      <c r="I99" s="109" t="n"/>
      <c r="J99" s="109" t="n"/>
      <c r="K99" s="109" t="n"/>
      <c r="L99" s="109" t="n"/>
      <c r="M99" s="110" t="inlineStr">
        <is>
          <t>DA CHIUDERE</t>
        </is>
      </c>
      <c r="N99" s="110" t="n"/>
      <c r="O99" s="110" t="n"/>
      <c r="P99" s="110" t="n"/>
      <c r="Q99" s="110" t="inlineStr">
        <is>
          <t>STRUMENTO TROVATO CON BY-PASS SPUNTATO. ESEGUITA STASATURA PRESA NEGATIVA. INSERITO_OK</t>
        </is>
      </c>
      <c r="R99" s="151" t="n">
        <v>45692</v>
      </c>
      <c r="S99" s="110" t="inlineStr">
        <is>
          <t>MILLO/SERRA</t>
        </is>
      </c>
      <c r="T99" s="109" t="inlineStr"/>
      <c r="U99" s="147" t="inlineStr"/>
    </row>
    <row r="100" ht="30" customHeight="1" s="122">
      <c r="A100" s="109" t="n"/>
      <c r="B100" s="108" t="inlineStr">
        <is>
          <t>X</t>
        </is>
      </c>
      <c r="C100" s="109" t="inlineStr"/>
      <c r="D100" s="109" t="inlineStr">
        <is>
          <t>AREA 1</t>
        </is>
      </c>
      <c r="E100" s="109" t="inlineStr">
        <is>
          <t>524214/C</t>
        </is>
      </c>
      <c r="F100" s="109" t="inlineStr">
        <is>
          <t>200</t>
        </is>
      </c>
      <c r="G100" s="109" t="inlineStr">
        <is>
          <t>200 - L006RC(E106A)CONTROLLO DI TARATURA TRASMETTITORE DI LIVELLO</t>
        </is>
      </c>
      <c r="H100" s="109" t="n"/>
      <c r="I100" s="109" t="n"/>
      <c r="J100" s="109" t="n"/>
      <c r="K100" s="109" t="n"/>
      <c r="L100" s="109" t="n"/>
      <c r="M100" s="110" t="inlineStr">
        <is>
          <t>DA CHIUDERE</t>
        </is>
      </c>
      <c r="N100" s="110" t="n"/>
      <c r="O100" s="110" t="n"/>
      <c r="P100" s="110" t="n"/>
      <c r="Q100" s="110" t="inlineStr">
        <is>
          <t>ESEGUITO RIEMPIMENTO CON GLICOLE, TARATO ED ALLINEATO A KLINGER.</t>
        </is>
      </c>
      <c r="R100" s="151" t="n">
        <v>45686</v>
      </c>
      <c r="S100" s="110" t="inlineStr">
        <is>
          <t>MILLO/ALLEGRETTI</t>
        </is>
      </c>
      <c r="T100" s="109" t="inlineStr"/>
      <c r="U100" s="147" t="inlineStr"/>
    </row>
    <row r="101" ht="75" customHeight="1" s="122">
      <c r="A101" s="109" t="n"/>
      <c r="B101" s="108" t="inlineStr">
        <is>
          <t>X</t>
        </is>
      </c>
      <c r="C101" s="109" t="inlineStr"/>
      <c r="D101" s="109" t="inlineStr">
        <is>
          <t>AREA 1</t>
        </is>
      </c>
      <c r="E101" s="109" t="inlineStr">
        <is>
          <t>524093/C</t>
        </is>
      </c>
      <c r="F101" s="109" t="inlineStr">
        <is>
          <t>400</t>
        </is>
      </c>
      <c r="G101" s="109" t="inlineStr">
        <is>
          <t>400 - F016R(ACQUA ACIDA DA D104)CONTROLLO E RIPRISTINO FUNZIONALITA' PORTATA</t>
        </is>
      </c>
      <c r="H101" s="109" t="n"/>
      <c r="I101" s="109" t="n"/>
      <c r="J101" s="109" t="n"/>
      <c r="K101" s="109" t="n"/>
      <c r="L101" s="109" t="n"/>
      <c r="M101" s="110" t="inlineStr">
        <is>
          <t>DA CHIUDERE</t>
        </is>
      </c>
      <c r="N101" s="110" t="n"/>
      <c r="O101" s="110" t="n"/>
      <c r="P101" s="110" t="n"/>
      <c r="Q101" s="110" t="inlineStr">
        <is>
          <t>LA REGOLAZIONE NON FUNZIONA DA OLTRE 10 ANNI. LO STRUMENTO CON APERTURA VALVOLA DEL 5% SEGNA 4,5 T/H SU UN F.S. DI 6.7. IN ACCORDO CON TECNOLOGIA E TCL, E' STATO CAMBIATO IL F.S. DI TARATURA TX DA 2500 A 10200mm/H20, IN ATTESA CHE IN FERMATA VENGA ISPEZIONATO IL DISCO CALIBRATO.</t>
        </is>
      </c>
      <c r="R101" s="151" t="n">
        <v>45693</v>
      </c>
      <c r="S101" s="110" t="inlineStr">
        <is>
          <t>MILLO/ALLEGRETTI</t>
        </is>
      </c>
      <c r="T101" s="109" t="inlineStr"/>
      <c r="U101" s="147" t="inlineStr"/>
    </row>
    <row r="102" ht="30" customHeight="1" s="122">
      <c r="A102" s="109" t="n"/>
      <c r="B102" s="108" t="inlineStr">
        <is>
          <t>X</t>
        </is>
      </c>
      <c r="C102" s="109" t="inlineStr"/>
      <c r="D102" s="109" t="inlineStr">
        <is>
          <t>AREA 1</t>
        </is>
      </c>
      <c r="E102" s="109" t="inlineStr">
        <is>
          <t>524092/C</t>
        </is>
      </c>
      <c r="F102" s="109" t="inlineStr">
        <is>
          <t>400</t>
        </is>
      </c>
      <c r="G102" s="109" t="inlineStr">
        <is>
          <t>400 - F014RC(VAPORE DI STRIPPAGGIO A T101)CONTROLLO DI TARATURA PORTATA</t>
        </is>
      </c>
      <c r="H102" s="109" t="n"/>
      <c r="I102" s="109" t="n"/>
      <c r="J102" s="109" t="n"/>
      <c r="K102" s="109" t="n"/>
      <c r="L102" s="109" t="n"/>
      <c r="M102" s="110" t="inlineStr">
        <is>
          <t>DA CHIUDERE</t>
        </is>
      </c>
      <c r="N102" s="110" t="n"/>
      <c r="O102" s="110" t="n"/>
      <c r="P102" s="110" t="n"/>
      <c r="Q102" s="110" t="inlineStr">
        <is>
          <t>NESSUNA ANOMALIA</t>
        </is>
      </c>
      <c r="R102" s="151" t="n">
        <v>45687</v>
      </c>
      <c r="S102" s="110" t="inlineStr">
        <is>
          <t>TARASCIO/PARTESANO</t>
        </is>
      </c>
      <c r="T102" s="109" t="inlineStr"/>
      <c r="U102" s="147" t="inlineStr"/>
    </row>
    <row r="103" ht="45" customHeight="1" s="122">
      <c r="A103" s="109" t="n"/>
      <c r="B103" s="108" t="inlineStr">
        <is>
          <t>X</t>
        </is>
      </c>
      <c r="C103" s="109" t="inlineStr"/>
      <c r="D103" s="109" t="inlineStr">
        <is>
          <t>AREA 1</t>
        </is>
      </c>
      <c r="E103" s="109" t="inlineStr">
        <is>
          <t>523786/C</t>
        </is>
      </c>
      <c r="F103" s="109" t="inlineStr">
        <is>
          <t>200</t>
        </is>
      </c>
      <c r="G103" s="109" t="inlineStr">
        <is>
          <t>200 - F353R(GAS LAVAGGIO)RIPRISTINO O EVENTUALE SOSTITUZIONE STRUMENTO DI PORTATA</t>
        </is>
      </c>
      <c r="H103" s="109" t="n"/>
      <c r="I103" s="109" t="n"/>
      <c r="J103" s="109" t="n"/>
      <c r="K103" s="109" t="n"/>
      <c r="L103" s="109" t="n"/>
      <c r="M103" s="110" t="inlineStr">
        <is>
          <t>DA CHIUDERE</t>
        </is>
      </c>
      <c r="N103" s="110" t="n"/>
      <c r="O103" s="110" t="n"/>
      <c r="P103" s="110" t="n"/>
      <c r="Q103" s="110" t="inlineStr">
        <is>
          <t>LE PRESE DI RADICE NON FANNO TENUTA,RIMONTATO NUOVO STRUMENTO. EMESSO VALVOLE D'INTERCETTO, CHE SI SONO SPEZZATE. IL LAVORO VA COMPLETATO IN FERMATA</t>
        </is>
      </c>
      <c r="R103" s="151" t="n">
        <v>45687</v>
      </c>
      <c r="S103" s="110" t="inlineStr">
        <is>
          <t>MILLO/ALLEGRETTI</t>
        </is>
      </c>
      <c r="T103" s="109" t="inlineStr"/>
      <c r="U103" s="147" t="inlineStr"/>
    </row>
    <row r="104" ht="30" customHeight="1" s="122">
      <c r="A104" s="109" t="n"/>
      <c r="B104" s="108" t="inlineStr">
        <is>
          <t>X</t>
        </is>
      </c>
      <c r="C104" s="109" t="inlineStr"/>
      <c r="D104" s="109" t="inlineStr">
        <is>
          <t>AREA 1</t>
        </is>
      </c>
      <c r="E104" s="109" t="inlineStr">
        <is>
          <t>523747/C</t>
        </is>
      </c>
      <c r="F104" s="109" t="inlineStr">
        <is>
          <t>900</t>
        </is>
      </c>
      <c r="G104" s="109" t="inlineStr">
        <is>
          <t xml:space="preserve">900 - F019RC (C3/C4 A RETE GAS)CONTROLLO E RIPRISTINO LOOP DI REGOLAZIONE </t>
        </is>
      </c>
      <c r="H104" s="109" t="n"/>
      <c r="I104" s="109" t="n"/>
      <c r="J104" s="109" t="n"/>
      <c r="K104" s="109" t="n"/>
      <c r="L104" s="109" t="n"/>
      <c r="M104" s="110" t="inlineStr">
        <is>
          <t>DA CHIUDERE</t>
        </is>
      </c>
      <c r="N104" s="110" t="n"/>
      <c r="O104" s="110" t="n"/>
      <c r="P104" s="110" t="n"/>
      <c r="Q104" s="110" t="inlineStr">
        <is>
          <t xml:space="preserve">TARATA VALVOLA PNEUMATICA ED ESEGUITO ZERO SUL TRASMETTITORE DI PORTATA. </t>
        </is>
      </c>
      <c r="R104" s="151" t="n">
        <v>45687</v>
      </c>
      <c r="S104" s="110" t="inlineStr">
        <is>
          <t>MILLO/ALLEGRETTI</t>
        </is>
      </c>
      <c r="T104" s="109" t="inlineStr"/>
      <c r="U104" s="147" t="inlineStr"/>
    </row>
    <row r="105">
      <c r="A105" s="109" t="n"/>
      <c r="B105" s="108" t="inlineStr">
        <is>
          <t>X</t>
        </is>
      </c>
      <c r="C105" s="109" t="inlineStr"/>
      <c r="D105" s="109" t="inlineStr">
        <is>
          <t>AREA 1</t>
        </is>
      </c>
      <c r="E105" s="109" t="inlineStr">
        <is>
          <t>524052/C</t>
        </is>
      </c>
      <c r="F105" s="109" t="inlineStr">
        <is>
          <t>100</t>
        </is>
      </c>
      <c r="G105" s="109" t="inlineStr">
        <is>
          <t>100 - H351BS(RICICLO NHDS )MONTAGGIO DOPO REVISIONE VOLANTINO VALVOLA</t>
        </is>
      </c>
      <c r="H105" s="109" t="n"/>
      <c r="I105" s="109" t="n"/>
      <c r="J105" s="109" t="n"/>
      <c r="K105" s="109" t="n"/>
      <c r="L105" s="109" t="n"/>
      <c r="M105" s="110" t="inlineStr">
        <is>
          <t>DA CHIUDERE</t>
        </is>
      </c>
      <c r="N105" s="110" t="n"/>
      <c r="O105" s="110" t="n"/>
      <c r="P105" s="110" t="n"/>
      <c r="Q105" s="110" t="inlineStr">
        <is>
          <t>ESEGUITO RIMONTAGGIO VOLANTINO MANUALE</t>
        </is>
      </c>
      <c r="R105" s="151" t="n">
        <v>45686</v>
      </c>
      <c r="S105" s="110" t="inlineStr">
        <is>
          <t>GARRO L.</t>
        </is>
      </c>
      <c r="T105" s="109" t="inlineStr"/>
      <c r="U105" s="147" t="inlineStr"/>
    </row>
    <row r="106" ht="30" customHeight="1" s="122">
      <c r="A106" s="109" t="n"/>
      <c r="B106" s="108" t="inlineStr">
        <is>
          <t>X</t>
        </is>
      </c>
      <c r="C106" s="109" t="inlineStr"/>
      <c r="D106" s="109" t="inlineStr">
        <is>
          <t>AREA 1</t>
        </is>
      </c>
      <c r="E106" s="109" t="inlineStr">
        <is>
          <t>523553/C</t>
        </is>
      </c>
      <c r="F106" s="109" t="inlineStr">
        <is>
          <t>100</t>
        </is>
      </c>
      <c r="G106" s="109" t="inlineStr">
        <is>
          <t>100 - 100P452RC (T301) CONTROLLO E RIPRISTINO PRESSIONE</t>
        </is>
      </c>
      <c r="H106" s="109" t="n"/>
      <c r="I106" s="109" t="n"/>
      <c r="J106" s="109" t="n"/>
      <c r="K106" s="109" t="n"/>
      <c r="L106" s="109" t="n"/>
      <c r="M106" s="110" t="inlineStr">
        <is>
          <t>DA CHIUDERE</t>
        </is>
      </c>
      <c r="N106" s="110" t="n"/>
      <c r="O106" s="110" t="n"/>
      <c r="P106" s="110" t="n"/>
      <c r="Q106" s="110" t="inlineStr">
        <is>
          <t>SOSTITUITO TRASMETTITORE DI PRESSIONE CON RIPRISTINO DELLA FUNZIONALITA'</t>
        </is>
      </c>
      <c r="R106" s="151" t="n">
        <v>45685</v>
      </c>
      <c r="S106" s="110" t="inlineStr">
        <is>
          <t>SPINALI</t>
        </is>
      </c>
      <c r="T106" s="109" t="inlineStr"/>
      <c r="U106" s="147" t="inlineStr"/>
    </row>
    <row r="107" ht="30" customHeight="1" s="122">
      <c r="A107" s="109" t="n"/>
      <c r="B107" s="109" t="inlineStr">
        <is>
          <t>X</t>
        </is>
      </c>
      <c r="C107" s="109" t="inlineStr"/>
      <c r="D107" s="109" t="inlineStr">
        <is>
          <t>AREA 1</t>
        </is>
      </c>
      <c r="E107" s="109" t="inlineStr">
        <is>
          <t>521859/C</t>
        </is>
      </c>
      <c r="F107" s="109" t="inlineStr">
        <is>
          <t>200</t>
        </is>
      </c>
      <c r="G107" s="109" t="inlineStr">
        <is>
          <t xml:space="preserve">200 - F021CV(FONDO T102) SOSTITUZIONE TUBICINI ALIMENTAZIONE ARIA VALVOLA METTERE IN VOLANTINO LA VALVOLA </t>
        </is>
      </c>
      <c r="H107" s="109" t="n"/>
      <c r="I107" s="109" t="n"/>
      <c r="J107" s="109" t="n"/>
      <c r="K107" s="109" t="n"/>
      <c r="L107" s="109" t="n"/>
      <c r="M107" s="109" t="inlineStr">
        <is>
          <t>DA CHIUDERE</t>
        </is>
      </c>
      <c r="N107" s="109" t="n"/>
      <c r="O107" s="109" t="n"/>
      <c r="P107" s="109" t="n"/>
      <c r="Q107" s="109" t="inlineStr">
        <is>
          <t>RIPRISTINATA NUOVA LINEA ALIMENTAZIONE ARIA E USCITA IP-CONVERTER. (RIMESSO IN PROGRAMMA)</t>
        </is>
      </c>
      <c r="R107" s="151" t="n"/>
      <c r="S107" s="109" t="inlineStr">
        <is>
          <t>GARRO L.</t>
        </is>
      </c>
      <c r="T107" s="109" t="inlineStr"/>
      <c r="U107" s="109" t="inlineStr"/>
    </row>
    <row r="108">
      <c r="A108" s="109" t="n"/>
      <c r="B108" s="108" t="inlineStr">
        <is>
          <t>X</t>
        </is>
      </c>
      <c r="C108" s="109" t="inlineStr"/>
      <c r="D108" s="109" t="inlineStr">
        <is>
          <t>AREA 1</t>
        </is>
      </c>
      <c r="E108" s="109" t="inlineStr">
        <is>
          <t>523683/C</t>
        </is>
      </c>
      <c r="F108" s="109" t="inlineStr">
        <is>
          <t>100</t>
        </is>
      </c>
      <c r="G108" s="109" t="inlineStr">
        <is>
          <t>100 - F068I STASATURA BARILOTTI E VALVOLE DI RADICE SU FLANGIA TARATA</t>
        </is>
      </c>
      <c r="H108" s="109" t="n"/>
      <c r="I108" s="109" t="n"/>
      <c r="J108" s="109" t="n"/>
      <c r="K108" s="109" t="n"/>
      <c r="L108" s="109" t="n"/>
      <c r="M108" s="110" t="inlineStr">
        <is>
          <t>DA CHIUDERE</t>
        </is>
      </c>
      <c r="N108" s="110" t="n"/>
      <c r="O108" s="110" t="n"/>
      <c r="P108" s="110" t="n"/>
      <c r="Q108" s="110" t="inlineStr">
        <is>
          <t>ESEGUITA STASATURA CON RIPRISTINO FUNZIONALITA'</t>
        </is>
      </c>
      <c r="R108" s="151" t="n">
        <v>45684</v>
      </c>
      <c r="S108" s="110" t="inlineStr">
        <is>
          <t>TARASCIO</t>
        </is>
      </c>
      <c r="T108" s="109" t="inlineStr"/>
      <c r="U108" s="147" t="inlineStr"/>
    </row>
    <row r="109" ht="45" customHeight="1" s="122">
      <c r="A109" s="109" t="n"/>
      <c r="B109" s="108" t="inlineStr">
        <is>
          <t>X</t>
        </is>
      </c>
      <c r="C109" s="109" t="inlineStr"/>
      <c r="D109" s="109" t="inlineStr">
        <is>
          <t>AREA 1</t>
        </is>
      </c>
      <c r="E109" s="109" t="inlineStr">
        <is>
          <t>523177/C</t>
        </is>
      </c>
      <c r="F109" s="109" t="inlineStr">
        <is>
          <t>400</t>
        </is>
      </c>
      <c r="G109" s="109" t="inlineStr">
        <is>
          <t>400 - T151RC(USCITA VAPORE SURRISCALDATO F101) CONTROLLO E ALLINEAMENTO CON SALA CONTROLLO TEMPERATURA</t>
        </is>
      </c>
      <c r="H109" s="109" t="n"/>
      <c r="I109" s="109" t="n"/>
      <c r="J109" s="109" t="n"/>
      <c r="K109" s="109" t="n"/>
      <c r="L109" s="109" t="n"/>
      <c r="M109" s="110" t="inlineStr">
        <is>
          <t>DA CHIUDERE</t>
        </is>
      </c>
      <c r="N109" s="110" t="n"/>
      <c r="O109" s="110" t="n"/>
      <c r="P109" s="110" t="n"/>
      <c r="Q109" s="110" t="inlineStr">
        <is>
          <t>RIFATTA TESTINA TERMOELEMENTO E PROVATA VALVOLA REGOLATRICE (STRETTO BYPASS); DA ESEGUIRE TUNING REGOLAZIONE ( A CURA AUTOMATION SERVICE)</t>
        </is>
      </c>
      <c r="R109" s="151" t="n"/>
      <c r="S109" s="110" t="n"/>
      <c r="T109" s="109" t="inlineStr"/>
      <c r="U109" s="147" t="inlineStr"/>
    </row>
    <row r="110" ht="30" customHeight="1" s="122">
      <c r="A110" s="109" t="n"/>
      <c r="B110" s="108" t="inlineStr">
        <is>
          <t>X</t>
        </is>
      </c>
      <c r="C110" s="109" t="inlineStr"/>
      <c r="D110" s="109" t="inlineStr">
        <is>
          <t>AREA 1</t>
        </is>
      </c>
      <c r="E110" s="109" t="inlineStr">
        <is>
          <t>522606/C</t>
        </is>
      </c>
      <c r="F110" s="109" t="inlineStr">
        <is>
          <t>200</t>
        </is>
      </c>
      <c r="G110" s="109" t="inlineStr">
        <is>
          <t xml:space="preserve">300T018I(USCITA PASSI F101)CONTROLLO FUNZIONALITA E ALLINEAMENTO CON SALA CONTROLLO </t>
        </is>
      </c>
      <c r="H110" s="109" t="n"/>
      <c r="I110" s="109" t="n"/>
      <c r="J110" s="109" t="n"/>
      <c r="K110" s="109" t="n"/>
      <c r="L110" s="109" t="n"/>
      <c r="M110" s="110" t="inlineStr">
        <is>
          <t>DA CHIUDERE</t>
        </is>
      </c>
      <c r="N110" s="110" t="n"/>
      <c r="O110" s="110" t="n"/>
      <c r="P110" s="110" t="n"/>
      <c r="Q110" s="110" t="inlineStr">
        <is>
          <t>SEGUITO SERRAGGIO FILI IN CAMPO CON RIPRISTINO DELLA FUNZIONALITA'</t>
        </is>
      </c>
      <c r="R110" s="151" t="n">
        <v>45678</v>
      </c>
      <c r="S110" s="110" t="inlineStr">
        <is>
          <t>TARASCIO</t>
        </is>
      </c>
      <c r="T110" s="109" t="inlineStr"/>
      <c r="U110" s="147" t="inlineStr"/>
    </row>
    <row r="111" ht="30" customHeight="1" s="122">
      <c r="A111" s="109" t="n"/>
      <c r="B111" s="108" t="inlineStr">
        <is>
          <t>X</t>
        </is>
      </c>
      <c r="C111" s="109" t="inlineStr"/>
      <c r="D111" s="109" t="inlineStr">
        <is>
          <t>AREA 1</t>
        </is>
      </c>
      <c r="E111" s="109" t="inlineStr">
        <is>
          <t>522598/C</t>
        </is>
      </c>
      <c r="F111" s="109" t="inlineStr">
        <is>
          <t>200</t>
        </is>
      </c>
      <c r="G111" s="109" t="inlineStr">
        <is>
          <t>300T017I (TREAT GAS USCITA F101)RIPRISTINO TEMPERATURA IN BAD</t>
        </is>
      </c>
      <c r="H111" s="109" t="n"/>
      <c r="I111" s="109" t="n"/>
      <c r="J111" s="109" t="n"/>
      <c r="K111" s="109" t="n"/>
      <c r="L111" s="109" t="n"/>
      <c r="M111" s="110" t="inlineStr">
        <is>
          <t>DA CHIUDERE</t>
        </is>
      </c>
      <c r="N111" s="110" t="n"/>
      <c r="O111" s="110" t="n"/>
      <c r="P111" s="110" t="n"/>
      <c r="Q111" s="110" t="inlineStr">
        <is>
          <t>FILO SCOLLEGATO IN CASSETTA, RICOLLEGATO E RIPRISTINATA LA FUNZIONALITA'</t>
        </is>
      </c>
      <c r="R111" s="151" t="n">
        <v>45678</v>
      </c>
      <c r="S111" s="110" t="inlineStr">
        <is>
          <t>TARASCIO</t>
        </is>
      </c>
      <c r="T111" s="109" t="inlineStr"/>
      <c r="U111" s="147" t="inlineStr"/>
    </row>
    <row r="112" ht="30" customHeight="1" s="122">
      <c r="A112" s="109" t="n"/>
      <c r="B112" s="108" t="inlineStr">
        <is>
          <t>X</t>
        </is>
      </c>
      <c r="C112" s="109" t="inlineStr"/>
      <c r="D112" s="109" t="inlineStr">
        <is>
          <t>AREA 1</t>
        </is>
      </c>
      <c r="E112" s="109" t="inlineStr">
        <is>
          <t>522591/C</t>
        </is>
      </c>
      <c r="F112" s="109" t="inlineStr">
        <is>
          <t>200</t>
        </is>
      </c>
      <c r="G112" s="109" t="inlineStr">
        <is>
          <t>200T019IC(E106A A T102)RIPRISTINO TEMPERATURA IN BAD</t>
        </is>
      </c>
      <c r="H112" s="109" t="n"/>
      <c r="I112" s="109" t="n"/>
      <c r="J112" s="109" t="n"/>
      <c r="K112" s="109" t="n"/>
      <c r="L112" s="109" t="n"/>
      <c r="M112" s="110" t="inlineStr">
        <is>
          <t>DA CHIUDERE</t>
        </is>
      </c>
      <c r="N112" s="110" t="n"/>
      <c r="O112" s="110" t="n"/>
      <c r="P112" s="110" t="n"/>
      <c r="Q112" s="110" t="inlineStr">
        <is>
          <t>SOSTITUITO TERMOELEMENTO CON RIPRISTINO DELLA FUNZIONALITA'.</t>
        </is>
      </c>
      <c r="R112" s="151" t="n">
        <v>45677</v>
      </c>
      <c r="S112" s="110" t="inlineStr">
        <is>
          <t>SPINALI</t>
        </is>
      </c>
      <c r="T112" s="109" t="inlineStr"/>
      <c r="U112" s="147" t="inlineStr"/>
    </row>
    <row r="113" ht="30" customHeight="1" s="122">
      <c r="A113" s="109" t="n"/>
      <c r="B113" s="108" t="inlineStr">
        <is>
          <t>X</t>
        </is>
      </c>
      <c r="C113" s="109" t="inlineStr"/>
      <c r="D113" s="109" t="inlineStr">
        <is>
          <t>AREA 1</t>
        </is>
      </c>
      <c r="E113" s="109" t="inlineStr">
        <is>
          <t>522590/C</t>
        </is>
      </c>
      <c r="F113" s="109" t="inlineStr">
        <is>
          <t>200</t>
        </is>
      </c>
      <c r="G113" s="109" t="inlineStr">
        <is>
          <t>02F037R(GPL D104 A U1100)CONTROLLO DI TARATURA ED EVENTUALE CONTROLLO LOOP DI REGOLAZIONE</t>
        </is>
      </c>
      <c r="H113" s="109" t="n"/>
      <c r="I113" s="109" t="n"/>
      <c r="J113" s="109" t="n"/>
      <c r="K113" s="109" t="n"/>
      <c r="L113" s="109" t="n"/>
      <c r="M113" s="110" t="inlineStr">
        <is>
          <t>DA CHIUDERE</t>
        </is>
      </c>
      <c r="N113" s="110" t="n"/>
      <c r="O113" s="110" t="n"/>
      <c r="P113" s="110" t="n"/>
      <c r="Q113" s="110" t="inlineStr">
        <is>
          <t>CORRETTO DI ZERO ED ESEGUITO ALLINEAMENTO.</t>
        </is>
      </c>
      <c r="R113" s="151" t="n">
        <v>45677</v>
      </c>
      <c r="S113" s="110" t="inlineStr">
        <is>
          <t>SPINALI</t>
        </is>
      </c>
      <c r="T113" s="109" t="inlineStr"/>
      <c r="U113" s="147" t="inlineStr"/>
    </row>
    <row r="114" ht="30" customHeight="1" s="122">
      <c r="A114" s="109" t="n"/>
      <c r="B114" s="108" t="inlineStr">
        <is>
          <t>X</t>
        </is>
      </c>
      <c r="C114" s="109" t="inlineStr"/>
      <c r="D114" s="109" t="inlineStr">
        <is>
          <t>AREA 1</t>
        </is>
      </c>
      <c r="E114" s="109" t="inlineStr">
        <is>
          <t>522664/C</t>
        </is>
      </c>
      <c r="F114" s="109" t="inlineStr">
        <is>
          <t>300</t>
        </is>
      </c>
      <c r="G114" s="109" t="inlineStr">
        <is>
          <t>300 - L101CV RIPRISTINO ELETTROVALVOLA DI BLOCCO</t>
        </is>
      </c>
      <c r="H114" s="109" t="n"/>
      <c r="I114" s="109" t="n"/>
      <c r="J114" s="109" t="n"/>
      <c r="K114" s="109" t="n"/>
      <c r="L114" s="109" t="n"/>
      <c r="M114" s="110" t="inlineStr">
        <is>
          <t>DA CHIUDERE</t>
        </is>
      </c>
      <c r="N114" s="110" t="n"/>
      <c r="O114" s="110" t="n"/>
      <c r="P114" s="110" t="n"/>
      <c r="Q114" s="110" t="inlineStr">
        <is>
          <t>SOSTITUITO FUSIBILE SU LOOP ELETTROVALVOLA RIPRISTINANDO LA TENSIONE IN CAMPO.</t>
        </is>
      </c>
      <c r="R114" s="151" t="n">
        <v>45677</v>
      </c>
      <c r="S114" s="110" t="inlineStr">
        <is>
          <t>TARASCIO/PARTESANO</t>
        </is>
      </c>
      <c r="T114" s="109" t="inlineStr"/>
      <c r="U114" s="147" t="inlineStr"/>
    </row>
    <row r="115" ht="30" customHeight="1" s="122">
      <c r="A115" s="109" t="n"/>
      <c r="B115" s="108" t="inlineStr">
        <is>
          <t>X</t>
        </is>
      </c>
      <c r="C115" s="109" t="inlineStr"/>
      <c r="D115" s="109" t="inlineStr">
        <is>
          <t>AREA 1</t>
        </is>
      </c>
      <c r="E115" s="109" t="inlineStr">
        <is>
          <t>520988/C</t>
        </is>
      </c>
      <c r="F115" s="109" t="inlineStr">
        <is>
          <t>100</t>
        </is>
      </c>
      <c r="G115" s="109" t="inlineStr">
        <is>
          <t>100L020HA 100L021LA(D109)CONTROLLO E RIPRISTINO FUNZIONALITA'</t>
        </is>
      </c>
      <c r="H115" s="109" t="n"/>
      <c r="I115" s="109" t="n"/>
      <c r="J115" s="109" t="n"/>
      <c r="K115" s="109" t="n"/>
      <c r="L115" s="109" t="n"/>
      <c r="M115" s="110" t="inlineStr">
        <is>
          <t>DA CHIUDERE</t>
        </is>
      </c>
      <c r="N115" s="110" t="n"/>
      <c r="O115" s="110" t="n"/>
      <c r="P115" s="110" t="n"/>
      <c r="Q115" s="110" t="inlineStr">
        <is>
          <t>VALVOLE DI RADICE NON TENGONO MA INTERCETTANDO E DRENANDO VIENE ALLARMATO ALLARME DI BASSO</t>
        </is>
      </c>
      <c r="R115" s="151" t="n">
        <v>45656</v>
      </c>
      <c r="S115" s="110" t="inlineStr">
        <is>
          <t>SPINALI</t>
        </is>
      </c>
      <c r="T115" s="109" t="inlineStr"/>
      <c r="U115" s="147" t="inlineStr"/>
    </row>
    <row r="116" ht="30" customHeight="1" s="122">
      <c r="A116" s="109" t="n"/>
      <c r="B116" s="108" t="inlineStr">
        <is>
          <t>X</t>
        </is>
      </c>
      <c r="C116" s="109" t="inlineStr"/>
      <c r="D116" s="109" t="inlineStr">
        <is>
          <t>AREA 1</t>
        </is>
      </c>
      <c r="E116" s="109" t="inlineStr">
        <is>
          <t>522265/C</t>
        </is>
      </c>
      <c r="F116" s="109" t="inlineStr">
        <is>
          <t>400</t>
        </is>
      </c>
      <c r="G116" s="109" t="inlineStr">
        <is>
          <t>400T044R (MANDATA 2 STADIO C101A) CONTROLLO E RIPRISTINO TEMPERATURA</t>
        </is>
      </c>
      <c r="H116" s="109" t="n"/>
      <c r="I116" s="109" t="n"/>
      <c r="J116" s="109" t="n"/>
      <c r="K116" s="109" t="n"/>
      <c r="L116" s="109" t="n"/>
      <c r="M116" s="110" t="inlineStr">
        <is>
          <t>DA CHIUDERE</t>
        </is>
      </c>
      <c r="N116" s="110" t="n"/>
      <c r="O116" s="110" t="n"/>
      <c r="P116" s="110" t="n"/>
      <c r="Q116" s="110" t="inlineStr">
        <is>
          <t xml:space="preserve">TERMOELEMENTO ROTTO. SOSTITUITO. </t>
        </is>
      </c>
      <c r="R116" s="151" t="n">
        <v>45672</v>
      </c>
      <c r="S116" s="110" t="inlineStr">
        <is>
          <t>TARASCIO/SERRA</t>
        </is>
      </c>
      <c r="T116" s="109" t="inlineStr"/>
      <c r="U116" s="147" t="inlineStr"/>
    </row>
    <row r="117" ht="45" customHeight="1" s="122">
      <c r="A117" s="109" t="n"/>
      <c r="B117" s="108" t="inlineStr">
        <is>
          <t>X</t>
        </is>
      </c>
      <c r="C117" s="109" t="inlineStr"/>
      <c r="D117" s="109" t="inlineStr">
        <is>
          <t>AREA 1</t>
        </is>
      </c>
      <c r="E117" s="109" t="inlineStr">
        <is>
          <t>522038/C</t>
        </is>
      </c>
      <c r="F117" s="109" t="inlineStr">
        <is>
          <t>100</t>
        </is>
      </c>
      <c r="G117" s="109" t="inlineStr">
        <is>
          <t>100 - L453RC (D302)CONTROLLO E RIPRISTINO FUNZIONALITA' LIVELLO</t>
        </is>
      </c>
      <c r="H117" s="109" t="n"/>
      <c r="I117" s="109" t="n"/>
      <c r="J117" s="109" t="n"/>
      <c r="K117" s="109" t="n"/>
      <c r="L117" s="109" t="n"/>
      <c r="M117" s="110" t="inlineStr">
        <is>
          <t>DA CHIUDERE</t>
        </is>
      </c>
      <c r="N117" s="110" t="n"/>
      <c r="O117" s="110" t="n"/>
      <c r="P117" s="110" t="n"/>
      <c r="Q117" s="110" t="inlineStr">
        <is>
          <t>CONTROLLATO LIVELLO, INTERCETTATO E SCARICATO. PRESE PROVATE. ( IL LIVELLO E' A ZERO PERCHE' E VERITIERO ). NULLA DA SEGNALARE.</t>
        </is>
      </c>
      <c r="R117" s="151" t="n">
        <v>45672</v>
      </c>
      <c r="S117" s="110" t="inlineStr">
        <is>
          <t>MILLO/AMARA</t>
        </is>
      </c>
      <c r="T117" s="109" t="inlineStr"/>
      <c r="U117" s="147" t="inlineStr"/>
    </row>
    <row r="118" ht="30" customHeight="1" s="122">
      <c r="A118" s="109" t="n"/>
      <c r="B118" s="109" t="inlineStr">
        <is>
          <t>X</t>
        </is>
      </c>
      <c r="C118" s="109" t="inlineStr"/>
      <c r="D118" s="109" t="inlineStr">
        <is>
          <t>AREA 1</t>
        </is>
      </c>
      <c r="E118" s="109" t="inlineStr">
        <is>
          <t>522037/C</t>
        </is>
      </c>
      <c r="F118" s="109" t="inlineStr">
        <is>
          <t>100</t>
        </is>
      </c>
      <c r="G118" s="109" t="inlineStr">
        <is>
          <t>100 - L008RC (T104)CONTROLLO E RIPRISTINO FUNZIONALITA' LIVELLO</t>
        </is>
      </c>
      <c r="H118" s="109" t="n"/>
      <c r="I118" s="109" t="n"/>
      <c r="J118" s="109" t="n"/>
      <c r="K118" s="109" t="n"/>
      <c r="L118" s="109" t="n"/>
      <c r="M118" s="110" t="inlineStr">
        <is>
          <t>DA CHIUDERE</t>
        </is>
      </c>
      <c r="N118" s="110" t="n"/>
      <c r="O118" s="110" t="n"/>
      <c r="P118" s="110" t="n"/>
      <c r="Q118" s="110" t="inlineStr">
        <is>
          <t>CONTROLLO FUNZIONALE TRASMETTITORE, VERIFICA RIEMPIMENTO, TARATURA_OK. RIMESSO IN REGOLAZIONE</t>
        </is>
      </c>
      <c r="R118" s="151" t="n">
        <v>45672</v>
      </c>
      <c r="S118" s="110" t="inlineStr">
        <is>
          <t>MILLO/AMARA</t>
        </is>
      </c>
      <c r="T118" s="109" t="inlineStr"/>
      <c r="U118" s="147" t="inlineStr"/>
    </row>
    <row r="119" ht="45" customHeight="1" s="122">
      <c r="A119" s="109" t="n"/>
      <c r="B119" s="109" t="inlineStr">
        <is>
          <t>X</t>
        </is>
      </c>
      <c r="C119" s="109" t="inlineStr"/>
      <c r="D119" s="109" t="inlineStr">
        <is>
          <t>AREA 1</t>
        </is>
      </c>
      <c r="E119" s="109" t="inlineStr">
        <is>
          <t>522162/C</t>
        </is>
      </c>
      <c r="F119" s="109" t="inlineStr">
        <is>
          <t>100</t>
        </is>
      </c>
      <c r="G119" s="109" t="inlineStr">
        <is>
          <t>100 - T263HA(INGRESSO D101A)CONTROLLO E RIPRISTINO FUNZIONALITA TEMPERATURA</t>
        </is>
      </c>
      <c r="H119" s="109" t="n"/>
      <c r="I119" s="109" t="n"/>
      <c r="J119" s="109" t="n"/>
      <c r="K119" s="109" t="n"/>
      <c r="L119" s="109" t="n"/>
      <c r="M119" s="109" t="inlineStr">
        <is>
          <t>DA CHIUDERE</t>
        </is>
      </c>
      <c r="N119" s="109" t="n"/>
      <c r="O119" s="109" t="n"/>
      <c r="P119" s="109" t="n"/>
      <c r="Q119" s="109" t="inlineStr">
        <is>
          <t>CONTROLLATO TERMOELEMENTO, SI NOTA CHE SUL POZZETTO TERMOMETRICO E' PRESENTE ACQUA E FALSA LA MISURA DI 20 GRADI CIRCA. ASCIUGATA ED ALLINEATA A DCS.</t>
        </is>
      </c>
      <c r="R119" s="151" t="n">
        <v>45672</v>
      </c>
      <c r="S119" s="109" t="inlineStr">
        <is>
          <t>TARASCIO/SERRA</t>
        </is>
      </c>
      <c r="T119" s="109" t="inlineStr"/>
      <c r="U119" s="109" t="inlineStr"/>
    </row>
    <row r="120" ht="30" customHeight="1" s="122">
      <c r="A120" s="109" t="n"/>
      <c r="B120" s="108" t="inlineStr">
        <is>
          <t>X</t>
        </is>
      </c>
      <c r="C120" s="109" t="inlineStr"/>
      <c r="D120" s="109" t="inlineStr">
        <is>
          <t>AREA 1</t>
        </is>
      </c>
      <c r="E120" s="109" t="inlineStr">
        <is>
          <t>517609/C</t>
        </is>
      </c>
      <c r="F120" s="109" t="inlineStr">
        <is>
          <t>100</t>
        </is>
      </c>
      <c r="G120" s="109" t="inlineStr">
        <is>
          <t>10211872  - 100 : LCV162 non chiude oltre il 30%. controllo LOOP di regolazione</t>
        </is>
      </c>
      <c r="H120" s="109" t="n"/>
      <c r="I120" s="109" t="n"/>
      <c r="J120" s="109" t="n"/>
      <c r="K120" s="109" t="n"/>
      <c r="L120" s="109" t="n"/>
      <c r="M120" s="110" t="inlineStr">
        <is>
          <t>DA CHIUDERE</t>
        </is>
      </c>
      <c r="N120" s="110" t="n"/>
      <c r="O120" s="110" t="n"/>
      <c r="P120" s="110" t="n"/>
      <c r="Q120" s="110" t="inlineStr">
        <is>
          <t>SBLOCCATA IN CAMPO, TARATA ED INSERITA IN REGOLAZIONE</t>
        </is>
      </c>
      <c r="R120" s="151" t="n">
        <v>45671</v>
      </c>
      <c r="S120" s="110" t="inlineStr">
        <is>
          <t>CIANCHINO/ANDRONICO</t>
        </is>
      </c>
      <c r="T120" s="109" t="inlineStr"/>
      <c r="U120" s="147" t="inlineStr">
        <is>
          <t>10211872</t>
        </is>
      </c>
    </row>
    <row r="121">
      <c r="A121" s="109" t="n"/>
      <c r="B121" s="108" t="inlineStr">
        <is>
          <t>X</t>
        </is>
      </c>
      <c r="C121" s="109" t="inlineStr"/>
      <c r="D121" s="109" t="inlineStr">
        <is>
          <t>AREA 1</t>
        </is>
      </c>
      <c r="E121" s="109" t="inlineStr">
        <is>
          <t>520993/C</t>
        </is>
      </c>
      <c r="F121" s="109" t="inlineStr">
        <is>
          <t>100</t>
        </is>
      </c>
      <c r="G121" s="109" t="inlineStr">
        <is>
          <t>POT DI ASPIRAZIONE  K651A/B (CONTROLLO LIVELLI)</t>
        </is>
      </c>
      <c r="H121" s="109" t="n"/>
      <c r="I121" s="109" t="n"/>
      <c r="J121" s="109" t="n"/>
      <c r="K121" s="109" t="n"/>
      <c r="L121" s="109" t="n"/>
      <c r="M121" s="110" t="inlineStr">
        <is>
          <t>DA CHIUDERE</t>
        </is>
      </c>
      <c r="N121" s="110" t="n"/>
      <c r="O121" s="110" t="n"/>
      <c r="P121" s="110" t="n"/>
      <c r="Q121" s="110" t="n"/>
      <c r="R121" s="151" t="n">
        <v>45656</v>
      </c>
      <c r="S121" s="110" t="inlineStr">
        <is>
          <t>SPINALI</t>
        </is>
      </c>
      <c r="T121" s="109" t="inlineStr"/>
      <c r="U121" s="147" t="inlineStr"/>
    </row>
    <row r="122" ht="30" customHeight="1" s="122">
      <c r="A122" s="109" t="n"/>
      <c r="B122" s="109" t="inlineStr">
        <is>
          <t>X</t>
        </is>
      </c>
      <c r="C122" s="109" t="inlineStr"/>
      <c r="D122" s="109" t="inlineStr">
        <is>
          <t>AREA 1</t>
        </is>
      </c>
      <c r="E122" s="109" t="inlineStr">
        <is>
          <t>520729/C</t>
        </is>
      </c>
      <c r="F122" s="109" t="inlineStr">
        <is>
          <t>400</t>
        </is>
      </c>
      <c r="G122" s="109" t="inlineStr">
        <is>
          <t>400 - F024R(IDROGENO A RETE GAS)CONTROLLO DI TARATURA E ALLINEAMENTO CON SALA CONTROLLO</t>
        </is>
      </c>
      <c r="H122" s="109" t="n"/>
      <c r="I122" s="109" t="n"/>
      <c r="J122" s="109" t="n"/>
      <c r="K122" s="109" t="n"/>
      <c r="L122" s="109" t="n"/>
      <c r="M122" s="109" t="inlineStr">
        <is>
          <t>DA CHIUDERE</t>
        </is>
      </c>
      <c r="N122" s="109" t="n"/>
      <c r="O122" s="109" t="n"/>
      <c r="P122" s="109" t="n"/>
      <c r="Q122" s="109" t="n"/>
      <c r="R122" s="151" t="n">
        <v>45649</v>
      </c>
      <c r="S122" s="109" t="inlineStr">
        <is>
          <t>RICIPUTO</t>
        </is>
      </c>
      <c r="T122" s="109" t="inlineStr"/>
      <c r="U122" s="109" t="inlineStr"/>
    </row>
    <row r="123">
      <c r="A123" s="109" t="n"/>
      <c r="B123" s="108" t="inlineStr">
        <is>
          <t>X</t>
        </is>
      </c>
      <c r="C123" s="109" t="inlineStr"/>
      <c r="D123" s="109" t="inlineStr">
        <is>
          <t>AREA 1</t>
        </is>
      </c>
      <c r="E123" s="109" t="inlineStr">
        <is>
          <t>520422/C</t>
        </is>
      </c>
      <c r="F123" s="109" t="inlineStr">
        <is>
          <t>100</t>
        </is>
      </c>
      <c r="G123" s="109" t="inlineStr">
        <is>
          <t>100 - L038HA RIPRISTINO E CONTROLLO LIVELLOSTATO</t>
        </is>
      </c>
      <c r="H123" s="109" t="n"/>
      <c r="I123" s="109" t="n"/>
      <c r="J123" s="109" t="n"/>
      <c r="K123" s="109" t="n"/>
      <c r="L123" s="109" t="n"/>
      <c r="M123" s="110" t="inlineStr">
        <is>
          <t>DA CHIUDERE</t>
        </is>
      </c>
      <c r="N123" s="110" t="n"/>
      <c r="O123" s="110" t="n"/>
      <c r="P123" s="110" t="n"/>
      <c r="Q123" s="110" t="n"/>
      <c r="R123" s="151" t="n">
        <v>45646</v>
      </c>
      <c r="S123" s="110" t="inlineStr">
        <is>
          <t>SPINALI</t>
        </is>
      </c>
      <c r="T123" s="109" t="inlineStr"/>
      <c r="U123" s="147" t="inlineStr"/>
    </row>
    <row r="124">
      <c r="A124" s="109" t="n"/>
      <c r="B124" s="108" t="inlineStr">
        <is>
          <t>X</t>
        </is>
      </c>
      <c r="C124" s="109" t="inlineStr"/>
      <c r="D124" s="109" t="inlineStr">
        <is>
          <t>AREA 1</t>
        </is>
      </c>
      <c r="E124" s="109" t="inlineStr">
        <is>
          <t>520425/C</t>
        </is>
      </c>
      <c r="F124" s="109" t="inlineStr">
        <is>
          <t>100</t>
        </is>
      </c>
      <c r="G124" s="109" t="inlineStr">
        <is>
          <t>100 - 100L036HA RIPRISTINO E CONTROLLO LIVELLOSTATO</t>
        </is>
      </c>
      <c r="H124" s="109" t="n"/>
      <c r="I124" s="109" t="n"/>
      <c r="J124" s="109" t="n"/>
      <c r="K124" s="109" t="n"/>
      <c r="L124" s="109" t="n"/>
      <c r="M124" s="110" t="inlineStr">
        <is>
          <t>DA CHIUDERE</t>
        </is>
      </c>
      <c r="N124" s="110" t="n"/>
      <c r="O124" s="110" t="n"/>
      <c r="P124" s="110" t="n"/>
      <c r="Q124" s="110" t="n"/>
      <c r="R124" s="151" t="n">
        <v>45646</v>
      </c>
      <c r="S124" s="110" t="inlineStr">
        <is>
          <t>SPINALI</t>
        </is>
      </c>
      <c r="T124" s="109" t="inlineStr"/>
      <c r="U124" s="147" t="inlineStr"/>
    </row>
    <row r="125">
      <c r="A125" s="109" t="n"/>
      <c r="B125" s="108" t="inlineStr">
        <is>
          <t>X</t>
        </is>
      </c>
      <c r="C125" s="109" t="inlineStr"/>
      <c r="D125" s="109" t="inlineStr">
        <is>
          <t>AREA 1</t>
        </is>
      </c>
      <c r="E125" s="109" t="inlineStr">
        <is>
          <t>517135/C</t>
        </is>
      </c>
      <c r="F125" s="109" t="inlineStr">
        <is>
          <t>300</t>
        </is>
      </c>
      <c r="G125" s="109" t="inlineStr">
        <is>
          <t>300F009RC(TREAT GAS A F101)CONTROLLO E TARATURA STRUMENTO</t>
        </is>
      </c>
      <c r="H125" s="109" t="n"/>
      <c r="I125" s="109" t="n"/>
      <c r="J125" s="109" t="n"/>
      <c r="K125" s="109" t="n"/>
      <c r="L125" s="109" t="n"/>
      <c r="M125" s="110" t="inlineStr">
        <is>
          <t>DA CHIUDERE</t>
        </is>
      </c>
      <c r="N125" s="110" t="n"/>
      <c r="O125" s="110" t="n"/>
      <c r="P125" s="110" t="n"/>
      <c r="Q125" s="110" t="n"/>
      <c r="R125" s="151" t="n"/>
      <c r="S125" s="110" t="n"/>
      <c r="T125" s="109" t="inlineStr"/>
      <c r="U125" s="147" t="inlineStr"/>
    </row>
    <row r="126">
      <c r="A126" s="109" t="n"/>
      <c r="B126" s="108" t="inlineStr">
        <is>
          <t>X</t>
        </is>
      </c>
      <c r="C126" s="109" t="inlineStr"/>
      <c r="D126" s="109" t="inlineStr">
        <is>
          <t>AREA 1</t>
        </is>
      </c>
      <c r="E126" s="109" t="inlineStr">
        <is>
          <t>517115/C</t>
        </is>
      </c>
      <c r="F126" s="109" t="inlineStr">
        <is>
          <t>400</t>
        </is>
      </c>
      <c r="G126" s="109" t="inlineStr">
        <is>
          <t>400P625R(R 401B)CONTROLLO E RIPRISTINO FUNZIONALITA'</t>
        </is>
      </c>
      <c r="H126" s="109" t="n"/>
      <c r="I126" s="109" t="n"/>
      <c r="J126" s="109" t="n"/>
      <c r="K126" s="109" t="n"/>
      <c r="L126" s="109" t="n"/>
      <c r="M126" s="110" t="inlineStr">
        <is>
          <t>DA CHIUDERE</t>
        </is>
      </c>
      <c r="N126" s="110" t="n"/>
      <c r="O126" s="110" t="n"/>
      <c r="P126" s="110" t="n"/>
      <c r="Q126" s="110" t="n"/>
      <c r="R126" s="151" t="n"/>
      <c r="S126" s="110" t="n"/>
      <c r="T126" s="109" t="inlineStr"/>
      <c r="U126" s="147" t="inlineStr"/>
    </row>
    <row r="127" ht="30" customHeight="1" s="122">
      <c r="A127" s="109" t="n"/>
      <c r="B127" s="108" t="inlineStr">
        <is>
          <t>X</t>
        </is>
      </c>
      <c r="C127" s="109" t="inlineStr"/>
      <c r="D127" s="109" t="inlineStr">
        <is>
          <t>AREA 1</t>
        </is>
      </c>
      <c r="E127" s="109" t="inlineStr">
        <is>
          <t>515100/C</t>
        </is>
      </c>
      <c r="F127" s="109" t="inlineStr">
        <is>
          <t>900</t>
        </is>
      </c>
      <c r="G127" s="109" t="inlineStr">
        <is>
          <t>P115HA P115LA (TENUTA POMPA 115)</t>
        </is>
      </c>
      <c r="H127" s="109" t="n"/>
      <c r="I127" s="109" t="n"/>
      <c r="J127" s="109" t="n"/>
      <c r="K127" s="109" t="n"/>
      <c r="L127" s="109" t="n"/>
      <c r="M127" s="110" t="inlineStr">
        <is>
          <t>DA CHIUDERE</t>
        </is>
      </c>
      <c r="N127" s="110" t="n"/>
      <c r="O127" s="110" t="n"/>
      <c r="P127" s="110" t="n"/>
      <c r="Q127" s="110" t="n"/>
      <c r="R127" s="151" t="n">
        <v>45609</v>
      </c>
      <c r="S127" s="110" t="inlineStr">
        <is>
          <t>SPINALI/PUGLIARES</t>
        </is>
      </c>
      <c r="T127" s="109" t="inlineStr"/>
      <c r="U127" s="147" t="inlineStr"/>
    </row>
    <row r="128" ht="30" customHeight="1" s="122">
      <c r="A128" s="109" t="n"/>
      <c r="B128" s="109" t="inlineStr">
        <is>
          <t>X</t>
        </is>
      </c>
      <c r="C128" s="109" t="inlineStr"/>
      <c r="D128" s="109" t="inlineStr">
        <is>
          <t>AREA 1</t>
        </is>
      </c>
      <c r="E128" s="109" t="inlineStr">
        <is>
          <t>515104/C</t>
        </is>
      </c>
      <c r="F128" s="109" t="inlineStr">
        <is>
          <t>900</t>
        </is>
      </c>
      <c r="G128" s="109" t="inlineStr">
        <is>
          <t>900P110BL(TENUTA POMPA P110B)</t>
        </is>
      </c>
      <c r="H128" s="109" t="n"/>
      <c r="I128" s="109" t="n"/>
      <c r="J128" s="109" t="n"/>
      <c r="K128" s="109" t="n"/>
      <c r="L128" s="109" t="n"/>
      <c r="M128" s="110" t="inlineStr">
        <is>
          <t>DA CHIUDERE</t>
        </is>
      </c>
      <c r="N128" s="110" t="n"/>
      <c r="O128" s="110" t="n"/>
      <c r="P128" s="110" t="n"/>
      <c r="Q128" s="110" t="n"/>
      <c r="R128" s="151" t="n">
        <v>45609</v>
      </c>
      <c r="S128" s="110" t="inlineStr">
        <is>
          <t>SPINALI/PUGLIARES</t>
        </is>
      </c>
      <c r="T128" s="109" t="inlineStr"/>
      <c r="U128" s="147" t="inlineStr"/>
    </row>
    <row r="129" ht="30" customHeight="1" s="122">
      <c r="A129" s="109" t="n"/>
      <c r="B129" s="109" t="inlineStr">
        <is>
          <t>X</t>
        </is>
      </c>
      <c r="C129" s="109" t="inlineStr"/>
      <c r="D129" s="109" t="inlineStr">
        <is>
          <t>AREA 1</t>
        </is>
      </c>
      <c r="E129" s="109" t="inlineStr">
        <is>
          <t>516428/C</t>
        </is>
      </c>
      <c r="F129" s="109" t="inlineStr">
        <is>
          <t>300</t>
        </is>
      </c>
      <c r="G129" s="109" t="inlineStr">
        <is>
          <t>300F151R(VAPORE BASSA DA LIMITE BATTERIA) 300F151RA(USCITA DSH-102) CONTROLLO E RIPRISTINO FUNZIONALITA'</t>
        </is>
      </c>
      <c r="H129" s="109" t="n"/>
      <c r="I129" s="109" t="n"/>
      <c r="J129" s="109" t="n"/>
      <c r="K129" s="109" t="n"/>
      <c r="L129" s="109" t="n"/>
      <c r="M129" s="109" t="inlineStr">
        <is>
          <t>DA CHIUDERE</t>
        </is>
      </c>
      <c r="N129" s="109" t="n"/>
      <c r="O129" s="109" t="n"/>
      <c r="P129" s="109" t="n"/>
      <c r="Q129" s="109" t="n"/>
      <c r="R129" s="151" t="n"/>
      <c r="S129" s="109" t="n"/>
      <c r="T129" s="109" t="inlineStr"/>
      <c r="U129" s="109" t="inlineStr"/>
    </row>
    <row r="130" ht="30" customHeight="1" s="122">
      <c r="A130" s="109" t="n"/>
      <c r="B130" s="108" t="inlineStr">
        <is>
          <t>X</t>
        </is>
      </c>
      <c r="C130" s="109" t="inlineStr"/>
      <c r="D130" s="109" t="inlineStr">
        <is>
          <t>AREA 1</t>
        </is>
      </c>
      <c r="E130" s="109" t="inlineStr">
        <is>
          <t>516432/C</t>
        </is>
      </c>
      <c r="F130" s="109" t="inlineStr">
        <is>
          <t>100</t>
        </is>
      </c>
      <c r="G130" s="109" t="inlineStr">
        <is>
          <t>100T156I(INGRESSO BUTANO)RIPRISTINO FUNZIONALITA' TEMPERATURA POICHE' SPESSO VA IN BAD</t>
        </is>
      </c>
      <c r="H130" s="109" t="n"/>
      <c r="I130" s="109" t="n"/>
      <c r="J130" s="109" t="n"/>
      <c r="K130" s="109" t="n"/>
      <c r="L130" s="109" t="n"/>
      <c r="M130" s="110" t="inlineStr">
        <is>
          <t>DA CHIUDERE</t>
        </is>
      </c>
      <c r="N130" s="110" t="n"/>
      <c r="O130" s="110" t="n"/>
      <c r="P130" s="110" t="n"/>
      <c r="Q130" s="110" t="n"/>
      <c r="R130" s="151" t="n"/>
      <c r="S130" s="110" t="n"/>
      <c r="T130" s="109" t="inlineStr"/>
      <c r="U130" s="147" t="inlineStr"/>
    </row>
    <row r="131">
      <c r="A131" s="109" t="n"/>
      <c r="B131" s="108" t="inlineStr">
        <is>
          <t>X</t>
        </is>
      </c>
      <c r="C131" s="109" t="inlineStr"/>
      <c r="D131" s="109" t="inlineStr">
        <is>
          <t>AREA 1</t>
        </is>
      </c>
      <c r="E131" s="109" t="inlineStr">
        <is>
          <t>515096/C</t>
        </is>
      </c>
      <c r="F131" s="109" t="inlineStr">
        <is>
          <t>100</t>
        </is>
      </c>
      <c r="G131" s="109" t="inlineStr">
        <is>
          <t>L036HA(ALTO LIVELLO POT LINEA BILANCIO )</t>
        </is>
      </c>
      <c r="H131" s="109" t="n"/>
      <c r="I131" s="109" t="n"/>
      <c r="J131" s="109" t="n"/>
      <c r="K131" s="109" t="n"/>
      <c r="L131" s="109" t="n"/>
      <c r="M131" s="110" t="inlineStr">
        <is>
          <t>DA CHIUDERE</t>
        </is>
      </c>
      <c r="N131" s="110" t="n"/>
      <c r="O131" s="110" t="n"/>
      <c r="P131" s="110" t="n"/>
      <c r="Q131" s="110" t="n"/>
      <c r="R131" s="151" t="n"/>
      <c r="S131" s="110" t="n"/>
      <c r="T131" s="109" t="inlineStr"/>
      <c r="U131" s="147" t="inlineStr"/>
    </row>
    <row r="132">
      <c r="A132" s="109" t="n"/>
      <c r="B132" s="108" t="inlineStr">
        <is>
          <t>X</t>
        </is>
      </c>
      <c r="C132" s="109" t="inlineStr"/>
      <c r="D132" s="109" t="inlineStr">
        <is>
          <t>AREA 1</t>
        </is>
      </c>
      <c r="E132" s="109" t="inlineStr">
        <is>
          <t>515108/C</t>
        </is>
      </c>
      <c r="F132" s="109" t="inlineStr">
        <is>
          <t>900</t>
        </is>
      </c>
      <c r="G132" s="109" t="inlineStr">
        <is>
          <t>P105AL 105BL(TENUTA POMPA 105A P105B)</t>
        </is>
      </c>
      <c r="H132" s="109" t="n"/>
      <c r="I132" s="109" t="n"/>
      <c r="J132" s="109" t="n"/>
      <c r="K132" s="109" t="n"/>
      <c r="L132" s="109" t="n"/>
      <c r="M132" s="110" t="inlineStr">
        <is>
          <t>DA CHIUDERE</t>
        </is>
      </c>
      <c r="N132" s="110" t="n"/>
      <c r="O132" s="110" t="n"/>
      <c r="P132" s="110" t="n"/>
      <c r="Q132" s="110" t="n"/>
      <c r="R132" s="151" t="n"/>
      <c r="S132" s="110" t="n"/>
      <c r="T132" s="109" t="inlineStr"/>
      <c r="U132" s="147" t="inlineStr"/>
    </row>
    <row r="133">
      <c r="A133" s="109" t="n"/>
      <c r="B133" s="108" t="inlineStr">
        <is>
          <t>X</t>
        </is>
      </c>
      <c r="C133" s="109" t="inlineStr"/>
      <c r="D133" s="109" t="inlineStr">
        <is>
          <t>AREA 1</t>
        </is>
      </c>
      <c r="E133" s="109" t="inlineStr">
        <is>
          <t>515109/C</t>
        </is>
      </c>
      <c r="F133" s="109" t="inlineStr">
        <is>
          <t>900</t>
        </is>
      </c>
      <c r="G133" s="109" t="inlineStr">
        <is>
          <t>P102AL (TENUTA POMPA 102A)</t>
        </is>
      </c>
      <c r="H133" s="109" t="n"/>
      <c r="I133" s="109" t="n"/>
      <c r="J133" s="109" t="n"/>
      <c r="K133" s="109" t="n"/>
      <c r="L133" s="109" t="n"/>
      <c r="M133" s="110" t="inlineStr">
        <is>
          <t>DA CHIUDERE</t>
        </is>
      </c>
      <c r="N133" s="110" t="n"/>
      <c r="O133" s="110" t="n"/>
      <c r="P133" s="110" t="n"/>
      <c r="Q133" s="110" t="n"/>
      <c r="R133" s="151" t="n"/>
      <c r="S133" s="110" t="n"/>
      <c r="T133" s="109" t="inlineStr"/>
      <c r="U133" s="147" t="inlineStr"/>
    </row>
    <row r="134">
      <c r="A134" s="109" t="n"/>
      <c r="B134" s="108" t="inlineStr">
        <is>
          <t>X</t>
        </is>
      </c>
      <c r="C134" s="109" t="inlineStr"/>
      <c r="D134" s="109" t="inlineStr">
        <is>
          <t>AREA 1</t>
        </is>
      </c>
      <c r="E134" s="109" t="inlineStr">
        <is>
          <t>515111/C</t>
        </is>
      </c>
      <c r="F134" s="109" t="inlineStr">
        <is>
          <t>900</t>
        </is>
      </c>
      <c r="G134" s="109" t="inlineStr">
        <is>
          <t>L041LA L040LA(BASSO LIVELLO TENUTA POMPA P107A P107B)</t>
        </is>
      </c>
      <c r="H134" s="109" t="n"/>
      <c r="I134" s="109" t="n"/>
      <c r="J134" s="109" t="n"/>
      <c r="K134" s="109" t="n"/>
      <c r="L134" s="109" t="n"/>
      <c r="M134" s="110" t="inlineStr">
        <is>
          <t>DA CHIUDERE</t>
        </is>
      </c>
      <c r="N134" s="110" t="n"/>
      <c r="O134" s="110" t="n"/>
      <c r="P134" s="110" t="n"/>
      <c r="Q134" s="110" t="n"/>
      <c r="R134" s="151" t="n"/>
      <c r="S134" s="110" t="n"/>
      <c r="T134" s="109" t="inlineStr"/>
      <c r="U134" s="147" t="inlineStr"/>
    </row>
    <row r="135">
      <c r="A135" s="109" t="n"/>
      <c r="B135" s="108" t="inlineStr">
        <is>
          <t>X</t>
        </is>
      </c>
      <c r="C135" s="109" t="inlineStr"/>
      <c r="D135" s="109" t="inlineStr">
        <is>
          <t>AREA 1</t>
        </is>
      </c>
      <c r="E135" s="109" t="inlineStr">
        <is>
          <t>515112/C</t>
        </is>
      </c>
      <c r="F135" s="109" t="inlineStr">
        <is>
          <t>900</t>
        </is>
      </c>
      <c r="G135" s="109" t="inlineStr">
        <is>
          <t>L020RC (LIVELLO INTERFASE  D105B)</t>
        </is>
      </c>
      <c r="H135" s="109" t="n"/>
      <c r="I135" s="109" t="n"/>
      <c r="J135" s="109" t="n"/>
      <c r="K135" s="109" t="n"/>
      <c r="L135" s="109" t="n"/>
      <c r="M135" s="110" t="inlineStr">
        <is>
          <t>DA CHIUDERE</t>
        </is>
      </c>
      <c r="N135" s="110" t="n"/>
      <c r="O135" s="110" t="n"/>
      <c r="P135" s="110" t="n"/>
      <c r="Q135" s="110" t="n"/>
      <c r="R135" s="151" t="n"/>
      <c r="S135" s="110" t="n"/>
      <c r="T135" s="109" t="inlineStr"/>
      <c r="U135" s="147" t="inlineStr"/>
    </row>
    <row r="136">
      <c r="A136" s="109" t="n"/>
      <c r="B136" s="108" t="inlineStr">
        <is>
          <t>X</t>
        </is>
      </c>
      <c r="C136" s="109" t="inlineStr"/>
      <c r="D136" s="109" t="inlineStr">
        <is>
          <t>AREA 1</t>
        </is>
      </c>
      <c r="E136" s="109" t="inlineStr">
        <is>
          <t>515116/C</t>
        </is>
      </c>
      <c r="F136" s="109" t="inlineStr">
        <is>
          <t>300</t>
        </is>
      </c>
      <c r="G136" s="109" t="inlineStr">
        <is>
          <t>P218HA(USCITA SEPARATORE D102)</t>
        </is>
      </c>
      <c r="H136" s="109" t="n"/>
      <c r="I136" s="109" t="n"/>
      <c r="J136" s="109" t="n"/>
      <c r="K136" s="109" t="n"/>
      <c r="L136" s="109" t="n"/>
      <c r="M136" s="110" t="inlineStr">
        <is>
          <t>DA CHIUDERE</t>
        </is>
      </c>
      <c r="N136" s="110" t="n"/>
      <c r="O136" s="110" t="n"/>
      <c r="P136" s="110" t="n"/>
      <c r="Q136" s="110" t="n"/>
      <c r="R136" s="151" t="n"/>
      <c r="S136" s="110" t="n"/>
      <c r="T136" s="109" t="inlineStr"/>
      <c r="U136" s="147" t="inlineStr"/>
    </row>
    <row r="137">
      <c r="A137" s="109" t="n"/>
      <c r="B137" s="108" t="inlineStr">
        <is>
          <t>X</t>
        </is>
      </c>
      <c r="C137" s="109" t="inlineStr"/>
      <c r="D137" s="109" t="inlineStr">
        <is>
          <t>AREA 1</t>
        </is>
      </c>
      <c r="E137" s="109" t="inlineStr">
        <is>
          <t>517838/C</t>
        </is>
      </c>
      <c r="F137" s="109" t="inlineStr">
        <is>
          <t>300</t>
        </is>
      </c>
      <c r="G137" s="109" t="inlineStr">
        <is>
          <t>300T064RC(USCITA DSH-101)CONTROLLO E RIPRISTINO TEMPERATURA</t>
        </is>
      </c>
      <c r="H137" s="109" t="n"/>
      <c r="I137" s="109" t="n"/>
      <c r="J137" s="109" t="n"/>
      <c r="K137" s="109" t="n"/>
      <c r="L137" s="109" t="n"/>
      <c r="M137" s="110" t="inlineStr">
        <is>
          <t>DA CHIUDERE</t>
        </is>
      </c>
      <c r="N137" s="110" t="n"/>
      <c r="O137" s="110" t="n"/>
      <c r="P137" s="110" t="n"/>
      <c r="Q137" s="110" t="n"/>
      <c r="R137" s="151" t="n"/>
      <c r="S137" s="110" t="n"/>
      <c r="T137" s="109" t="inlineStr"/>
      <c r="U137" s="147" t="inlineStr"/>
    </row>
    <row r="138" ht="30" customHeight="1" s="122">
      <c r="A138" s="109" t="n"/>
      <c r="B138" s="108" t="inlineStr">
        <is>
          <t>X</t>
        </is>
      </c>
      <c r="C138" s="109" t="inlineStr"/>
      <c r="D138" s="109" t="inlineStr">
        <is>
          <t>AREA 1</t>
        </is>
      </c>
      <c r="E138" s="109" t="inlineStr">
        <is>
          <t>514822/C</t>
        </is>
      </c>
      <c r="F138" s="109" t="inlineStr">
        <is>
          <t>100</t>
        </is>
      </c>
      <c r="G138" s="109" t="inlineStr">
        <is>
          <t>302B - SONDA DI VIBRAZIONE 01V471I</t>
        </is>
      </c>
      <c r="H138" s="109" t="n"/>
      <c r="I138" s="109" t="n"/>
      <c r="J138" s="109" t="n"/>
      <c r="K138" s="109" t="n"/>
      <c r="L138" s="109" t="n"/>
      <c r="M138" s="110" t="inlineStr">
        <is>
          <t>DA CHIUDERE</t>
        </is>
      </c>
      <c r="N138" s="110" t="n"/>
      <c r="O138" s="110" t="n"/>
      <c r="P138" s="110" t="n"/>
      <c r="Q138" s="110" t="inlineStr">
        <is>
          <t>IN ATTESA DI RIMONTAGGIO POMPA P302A PER EFFETTUARE IL CONTROLLO</t>
        </is>
      </c>
      <c r="R138" s="151" t="n"/>
      <c r="S138" s="110" t="n"/>
      <c r="T138" s="109" t="inlineStr"/>
      <c r="U138" s="147" t="inlineStr"/>
    </row>
    <row r="139" ht="30" customHeight="1" s="122">
      <c r="A139" s="109" t="n"/>
      <c r="B139" s="108" t="inlineStr">
        <is>
          <t>X</t>
        </is>
      </c>
      <c r="C139" s="109" t="inlineStr"/>
      <c r="D139" s="109" t="inlineStr">
        <is>
          <t>AREA 1</t>
        </is>
      </c>
      <c r="E139" s="109" t="inlineStr">
        <is>
          <t>515095/C</t>
        </is>
      </c>
      <c r="F139" s="109" t="inlineStr">
        <is>
          <t>100</t>
        </is>
      </c>
      <c r="G139" s="109" t="inlineStr">
        <is>
          <t>L038HA(ALTO LIVELLO POT LINEA 1100)</t>
        </is>
      </c>
      <c r="H139" s="109" t="n"/>
      <c r="I139" s="109" t="n"/>
      <c r="J139" s="109" t="n"/>
      <c r="K139" s="109" t="n"/>
      <c r="L139" s="109" t="n"/>
      <c r="M139" s="110" t="inlineStr">
        <is>
          <t>DA CHIUDERE</t>
        </is>
      </c>
      <c r="N139" s="110" t="n"/>
      <c r="O139" s="110" t="n"/>
      <c r="P139" s="110" t="n"/>
      <c r="Q139" s="110" t="inlineStr">
        <is>
          <t>SERVE PONTEGGIO PER ACCEDERE AL LIVELLO</t>
        </is>
      </c>
      <c r="R139" s="151" t="n">
        <v>45602</v>
      </c>
      <c r="S139" s="110" t="inlineStr">
        <is>
          <t>TARASCIO/PARTESANO</t>
        </is>
      </c>
      <c r="T139" s="109" t="inlineStr"/>
      <c r="U139" s="147" t="inlineStr"/>
    </row>
    <row r="140" ht="30" customHeight="1" s="122">
      <c r="A140" s="109" t="n"/>
      <c r="B140" s="108" t="inlineStr">
        <is>
          <t>X</t>
        </is>
      </c>
      <c r="C140" s="109" t="inlineStr"/>
      <c r="D140" s="109" t="inlineStr">
        <is>
          <t>AREA 1</t>
        </is>
      </c>
      <c r="E140" s="109" t="inlineStr">
        <is>
          <t>518674/C</t>
        </is>
      </c>
      <c r="F140" s="109" t="inlineStr">
        <is>
          <t>100</t>
        </is>
      </c>
      <c r="G140" s="109" t="inlineStr">
        <is>
          <t>100F041R(KERO A U300)CONTROLLO E TARATURA STRUMENTO E CONTROLLO LOOP DI REGOLAZIONE CON RELATIVA VALVOLA</t>
        </is>
      </c>
      <c r="H140" s="109" t="n"/>
      <c r="I140" s="109" t="n"/>
      <c r="J140" s="109" t="n"/>
      <c r="K140" s="109" t="n"/>
      <c r="L140" s="109" t="n"/>
      <c r="M140" s="110" t="inlineStr">
        <is>
          <t>DA CHIUDERE</t>
        </is>
      </c>
      <c r="N140" s="110" t="n"/>
      <c r="O140" s="110" t="n"/>
      <c r="P140" s="110" t="n"/>
      <c r="Q140" s="110" t="n"/>
      <c r="R140" s="151" t="n">
        <v>45629</v>
      </c>
      <c r="S140" s="110" t="inlineStr">
        <is>
          <t>SPINALI</t>
        </is>
      </c>
      <c r="T140" s="109" t="inlineStr"/>
      <c r="U140" s="147" t="inlineStr"/>
    </row>
    <row r="141" ht="30" customHeight="1" s="122">
      <c r="A141" s="109" t="n"/>
      <c r="B141" s="108" t="inlineStr">
        <is>
          <t>X</t>
        </is>
      </c>
      <c r="C141" s="109" t="inlineStr"/>
      <c r="D141" s="109" t="inlineStr">
        <is>
          <t>AREA 1</t>
        </is>
      </c>
      <c r="E141" s="109" t="inlineStr">
        <is>
          <t>518009/C</t>
        </is>
      </c>
      <c r="F141" s="109" t="inlineStr">
        <is>
          <t>300</t>
        </is>
      </c>
      <c r="G141" s="109" t="inlineStr">
        <is>
          <t>300F150R CONTROLLO E RIPRISTINO FUNZIONALITA' PORTATA VAPORE</t>
        </is>
      </c>
      <c r="H141" s="109" t="n"/>
      <c r="I141" s="109" t="n"/>
      <c r="J141" s="109" t="n"/>
      <c r="K141" s="109" t="n"/>
      <c r="L141" s="109" t="n"/>
      <c r="M141" s="110" t="inlineStr">
        <is>
          <t>DA CHIUDERE</t>
        </is>
      </c>
      <c r="N141" s="110" t="n"/>
      <c r="O141" s="110" t="n"/>
      <c r="P141" s="110" t="n"/>
      <c r="Q141" s="110" t="n"/>
      <c r="R141" s="151" t="n">
        <v>45622</v>
      </c>
      <c r="S141" s="110" t="inlineStr">
        <is>
          <t>SPINALI/PUGLIARES</t>
        </is>
      </c>
      <c r="T141" s="109" t="inlineStr"/>
      <c r="U141" s="147" t="inlineStr"/>
    </row>
    <row r="142" ht="30" customHeight="1" s="122">
      <c r="A142" s="109" t="n"/>
      <c r="B142" s="108" t="inlineStr">
        <is>
          <t>X</t>
        </is>
      </c>
      <c r="C142" s="109" t="inlineStr"/>
      <c r="D142" s="109" t="inlineStr">
        <is>
          <t>AREA 1</t>
        </is>
      </c>
      <c r="E142" s="109" t="inlineStr">
        <is>
          <t>518003/C</t>
        </is>
      </c>
      <c r="F142" s="109" t="inlineStr">
        <is>
          <t>100</t>
        </is>
      </c>
      <c r="G142" s="109" t="inlineStr">
        <is>
          <t>100P102RCA CONTROLLO E RIPRISTINO FUNZIONALITA' ALLARME CUMULATIVO</t>
        </is>
      </c>
      <c r="H142" s="109" t="n"/>
      <c r="I142" s="109" t="n"/>
      <c r="J142" s="109" t="n"/>
      <c r="K142" s="109" t="n"/>
      <c r="L142" s="109" t="n"/>
      <c r="M142" s="110" t="inlineStr">
        <is>
          <t>DA CHIUDERE</t>
        </is>
      </c>
      <c r="N142" s="110" t="n"/>
      <c r="O142" s="110" t="n"/>
      <c r="P142" s="110" t="n"/>
      <c r="Q142" s="110" t="n"/>
      <c r="R142" s="151" t="n"/>
      <c r="S142" s="110" t="inlineStr">
        <is>
          <t>SPINALI/PUGLIARES</t>
        </is>
      </c>
      <c r="T142" s="109" t="inlineStr"/>
      <c r="U142" s="147" t="inlineStr"/>
    </row>
    <row r="143" ht="30" customHeight="1" s="122">
      <c r="A143" s="109" t="n"/>
      <c r="B143" s="108" t="inlineStr">
        <is>
          <t>X</t>
        </is>
      </c>
      <c r="C143" s="109" t="inlineStr"/>
      <c r="D143" s="109" t="inlineStr">
        <is>
          <t>AREA 1</t>
        </is>
      </c>
      <c r="E143" s="109" t="inlineStr">
        <is>
          <t>518006/C</t>
        </is>
      </c>
      <c r="F143" s="109" t="inlineStr">
        <is>
          <t>100</t>
        </is>
      </c>
      <c r="G143" s="109" t="inlineStr">
        <is>
          <t>100P101BRA CONTROLLO E RIPRISTINO FUNZIONALITA' ALLARME CUMULATIVO</t>
        </is>
      </c>
      <c r="H143" s="109" t="n"/>
      <c r="I143" s="109" t="n"/>
      <c r="J143" s="109" t="n"/>
      <c r="K143" s="109" t="n"/>
      <c r="L143" s="109" t="n"/>
      <c r="M143" s="110" t="inlineStr">
        <is>
          <t>DA CHIUDERE</t>
        </is>
      </c>
      <c r="N143" s="110" t="n"/>
      <c r="O143" s="110" t="n"/>
      <c r="P143" s="110" t="n"/>
      <c r="Q143" s="110" t="n"/>
      <c r="R143" s="151" t="n"/>
      <c r="S143" s="110" t="inlineStr">
        <is>
          <t>SPINALI/PUGLIARES</t>
        </is>
      </c>
      <c r="T143" s="109" t="inlineStr"/>
      <c r="U143" s="147" t="inlineStr"/>
    </row>
    <row r="144">
      <c r="A144" s="109" t="n"/>
      <c r="B144" s="108" t="inlineStr">
        <is>
          <t>X</t>
        </is>
      </c>
      <c r="C144" s="109" t="inlineStr"/>
      <c r="D144" s="109" t="inlineStr">
        <is>
          <t>AREA 1</t>
        </is>
      </c>
      <c r="E144" s="109" t="inlineStr">
        <is>
          <t>518185/C</t>
        </is>
      </c>
      <c r="F144" s="109" t="inlineStr">
        <is>
          <t>200</t>
        </is>
      </c>
      <c r="G144" s="109" t="inlineStr">
        <is>
          <t>200F041CO(MEA A T103)CONTROLLO E RIPRISTINO FUNZIONALITA'</t>
        </is>
      </c>
      <c r="H144" s="109" t="n"/>
      <c r="I144" s="109" t="n"/>
      <c r="J144" s="109" t="n"/>
      <c r="K144" s="109" t="n"/>
      <c r="L144" s="109" t="n"/>
      <c r="M144" s="110" t="inlineStr">
        <is>
          <t>DA CHIUDERE</t>
        </is>
      </c>
      <c r="N144" s="110" t="n"/>
      <c r="O144" s="110" t="n"/>
      <c r="P144" s="110" t="n"/>
      <c r="Q144" s="110" t="inlineStr">
        <is>
          <t>il problema è sulla valvola</t>
        </is>
      </c>
      <c r="R144" s="151" t="n"/>
      <c r="S144" s="110" t="n"/>
      <c r="T144" s="109" t="inlineStr"/>
      <c r="U144" s="147" t="inlineStr"/>
    </row>
    <row r="145" ht="30" customHeight="1" s="122">
      <c r="A145" s="109" t="n"/>
      <c r="B145" s="108" t="inlineStr">
        <is>
          <t>X</t>
        </is>
      </c>
      <c r="C145" s="109" t="inlineStr"/>
      <c r="D145" s="109" t="inlineStr">
        <is>
          <t>AREA 1</t>
        </is>
      </c>
      <c r="E145" s="109" t="inlineStr">
        <is>
          <t>516709/C</t>
        </is>
      </c>
      <c r="F145" s="109" t="inlineStr">
        <is>
          <t>400</t>
        </is>
      </c>
      <c r="G145" s="109" t="inlineStr">
        <is>
          <t>400V852I(SONDA DI VIBRAZIONE P401A CUSCINETTO)CONTROLLO  ERIPRISTINO FUNZIONALITA'.METTERE IL MOS PRIMA DI INIZIARE ATTIVITA'</t>
        </is>
      </c>
      <c r="H145" s="109" t="n"/>
      <c r="I145" s="109" t="n"/>
      <c r="J145" s="109" t="n"/>
      <c r="K145" s="109" t="n"/>
      <c r="L145" s="109" t="n"/>
      <c r="M145" s="110" t="inlineStr">
        <is>
          <t>DA CHIUDERE</t>
        </is>
      </c>
      <c r="N145" s="110" t="n"/>
      <c r="O145" s="110" t="n"/>
      <c r="P145" s="110" t="n"/>
      <c r="Q145" s="110" t="n"/>
      <c r="R145" s="151" t="n"/>
      <c r="S145" s="110" t="n"/>
      <c r="T145" s="109" t="inlineStr"/>
      <c r="U145" s="147" t="inlineStr"/>
    </row>
    <row r="146" ht="30" customHeight="1" s="122">
      <c r="A146" s="109" t="n"/>
      <c r="B146" s="108" t="inlineStr">
        <is>
          <t>X</t>
        </is>
      </c>
      <c r="C146" s="109" t="inlineStr"/>
      <c r="D146" s="109" t="inlineStr">
        <is>
          <t>AREA 1</t>
        </is>
      </c>
      <c r="E146" s="109" t="inlineStr">
        <is>
          <t>517138/C</t>
        </is>
      </c>
      <c r="F146" s="109" t="inlineStr">
        <is>
          <t>400</t>
        </is>
      </c>
      <c r="G146" s="109" t="inlineStr">
        <is>
          <t>400F611R(H2O LAV. E105)CONTROLLO E RIPRISTINO FUNZIONALITA'.METTERE IL MOS PRIMA DI INIZIARE ATTIVITA'</t>
        </is>
      </c>
      <c r="H146" s="109" t="n"/>
      <c r="I146" s="109" t="n"/>
      <c r="J146" s="109" t="n"/>
      <c r="K146" s="109" t="n"/>
      <c r="L146" s="109" t="n"/>
      <c r="M146" s="110" t="inlineStr">
        <is>
          <t>DA CHIUDERE</t>
        </is>
      </c>
      <c r="N146" s="110" t="n"/>
      <c r="O146" s="110" t="n"/>
      <c r="P146" s="110" t="n"/>
      <c r="Q146" s="110" t="n"/>
      <c r="R146" s="151" t="n">
        <v>45615</v>
      </c>
      <c r="S146" s="110" t="inlineStr">
        <is>
          <t>SPINALI/PUGLIARES</t>
        </is>
      </c>
      <c r="T146" s="109" t="inlineStr"/>
      <c r="U146" s="147" t="inlineStr"/>
    </row>
    <row r="147">
      <c r="A147" s="109" t="n"/>
      <c r="B147" s="109" t="inlineStr">
        <is>
          <t>X</t>
        </is>
      </c>
      <c r="C147" s="109" t="inlineStr"/>
      <c r="D147" s="109" t="inlineStr">
        <is>
          <t>AREA 1</t>
        </is>
      </c>
      <c r="E147" s="109" t="inlineStr">
        <is>
          <t>517136/C</t>
        </is>
      </c>
      <c r="F147" s="109" t="inlineStr">
        <is>
          <t>300</t>
        </is>
      </c>
      <c r="G147" s="109" t="inlineStr">
        <is>
          <t>300F016RC(TREAT GAS A U400)CONTROLLO E TARATURA STRUMENTO</t>
        </is>
      </c>
      <c r="H147" s="109" t="n"/>
      <c r="I147" s="109" t="n"/>
      <c r="J147" s="109" t="n"/>
      <c r="K147" s="109" t="n"/>
      <c r="L147" s="109" t="n"/>
      <c r="M147" s="109" t="inlineStr">
        <is>
          <t>DA CHIUDERE</t>
        </is>
      </c>
      <c r="N147" s="109" t="n"/>
      <c r="O147" s="109" t="n"/>
      <c r="P147" s="109" t="n"/>
      <c r="Q147" s="109" t="n"/>
      <c r="R147" s="151" t="n"/>
      <c r="S147" s="109" t="n"/>
      <c r="T147" s="109" t="inlineStr"/>
      <c r="U147" s="109" t="inlineStr"/>
    </row>
    <row r="148" ht="30" customHeight="1" s="122">
      <c r="A148" s="109" t="n"/>
      <c r="B148" s="109" t="inlineStr">
        <is>
          <t>X</t>
        </is>
      </c>
      <c r="C148" s="109" t="inlineStr"/>
      <c r="D148" s="109" t="inlineStr">
        <is>
          <t>AREA 1</t>
        </is>
      </c>
      <c r="E148" s="109" t="inlineStr">
        <is>
          <t>515105/C</t>
        </is>
      </c>
      <c r="F148" s="109" t="inlineStr">
        <is>
          <t>900</t>
        </is>
      </c>
      <c r="G148" s="109" t="inlineStr">
        <is>
          <t>P106AL 106BL(TENUTA POMPA 106A P106B)</t>
        </is>
      </c>
      <c r="H148" s="109" t="n"/>
      <c r="I148" s="109" t="n"/>
      <c r="J148" s="109" t="n"/>
      <c r="K148" s="109" t="n"/>
      <c r="L148" s="109" t="n"/>
      <c r="M148" s="109" t="inlineStr">
        <is>
          <t>DA CHIUDERE</t>
        </is>
      </c>
      <c r="N148" s="109" t="n"/>
      <c r="O148" s="109" t="n"/>
      <c r="P148" s="109" t="n"/>
      <c r="Q148" s="109" t="inlineStr">
        <is>
          <t>LAVORO IN CORSO</t>
        </is>
      </c>
      <c r="R148" s="151" t="n">
        <v>45609</v>
      </c>
      <c r="S148" s="109" t="inlineStr">
        <is>
          <t>SPINALI/PUGLIARES</t>
        </is>
      </c>
      <c r="T148" s="109" t="inlineStr"/>
      <c r="U148" s="109" t="inlineStr"/>
    </row>
    <row r="149" ht="30" customHeight="1" s="122">
      <c r="A149" s="109" t="n"/>
      <c r="B149" s="108" t="inlineStr">
        <is>
          <t>X</t>
        </is>
      </c>
      <c r="C149" s="109" t="inlineStr"/>
      <c r="D149" s="109" t="inlineStr">
        <is>
          <t>AREA 1</t>
        </is>
      </c>
      <c r="E149" s="109" t="inlineStr">
        <is>
          <t>515090/C</t>
        </is>
      </c>
      <c r="F149" s="109" t="inlineStr">
        <is>
          <t>200</t>
        </is>
      </c>
      <c r="G149" s="109" t="inlineStr">
        <is>
          <t>P102BL (POMPE P102B) RIPRISTINO STRUM. TENUTA</t>
        </is>
      </c>
      <c r="H149" s="109" t="n"/>
      <c r="I149" s="109" t="n"/>
      <c r="J149" s="109" t="n"/>
      <c r="K149" s="109" t="n"/>
      <c r="L149" s="109" t="n"/>
      <c r="M149" s="110" t="inlineStr">
        <is>
          <t>DA CHIUDERE</t>
        </is>
      </c>
      <c r="N149" s="110" t="n"/>
      <c r="O149" s="110" t="n"/>
      <c r="P149" s="110" t="n"/>
      <c r="Q149" s="110" t="inlineStr">
        <is>
          <t>DA CHIUDERE, OK</t>
        </is>
      </c>
      <c r="R149" s="151" t="n">
        <v>45600</v>
      </c>
      <c r="S149" s="110" t="inlineStr">
        <is>
          <t>SPINALI/PUGLIARES</t>
        </is>
      </c>
      <c r="T149" s="109" t="inlineStr"/>
      <c r="U149" s="147" t="inlineStr"/>
    </row>
    <row r="150" ht="30" customHeight="1" s="122">
      <c r="A150" s="109" t="n"/>
      <c r="B150" s="108" t="inlineStr">
        <is>
          <t>X</t>
        </is>
      </c>
      <c r="C150" s="109" t="inlineStr"/>
      <c r="D150" s="109" t="inlineStr">
        <is>
          <t>AREA 1</t>
        </is>
      </c>
      <c r="E150" s="109" t="inlineStr">
        <is>
          <t>515083/C</t>
        </is>
      </c>
      <c r="F150" s="109" t="inlineStr">
        <is>
          <t>200</t>
        </is>
      </c>
      <c r="G150" s="109" t="inlineStr">
        <is>
          <t>P101AL P101BL (POMPE P101A P101B)RIPR. STRUM. TENUTA</t>
        </is>
      </c>
      <c r="H150" s="109" t="n"/>
      <c r="I150" s="109" t="n"/>
      <c r="J150" s="109" t="n"/>
      <c r="K150" s="109" t="n"/>
      <c r="L150" s="109" t="n"/>
      <c r="M150" s="109" t="inlineStr">
        <is>
          <t>DA CHIUDERE</t>
        </is>
      </c>
      <c r="N150" s="110" t="n"/>
      <c r="O150" s="110" t="n"/>
      <c r="P150" s="110" t="n"/>
      <c r="Q150" s="110" t="inlineStr">
        <is>
          <t>DA CHIUDERE, OK</t>
        </is>
      </c>
      <c r="R150" s="151" t="n">
        <v>45600</v>
      </c>
      <c r="S150" s="110" t="inlineStr">
        <is>
          <t>SPINALI/PUGLIARES</t>
        </is>
      </c>
      <c r="T150" s="109" t="inlineStr"/>
      <c r="U150" s="147" t="inlineStr"/>
    </row>
    <row r="151">
      <c r="A151" s="109" t="n"/>
      <c r="B151" s="109" t="inlineStr">
        <is>
          <t>X</t>
        </is>
      </c>
      <c r="C151" s="109" t="inlineStr"/>
      <c r="D151" s="109" t="inlineStr">
        <is>
          <t>AREA 1</t>
        </is>
      </c>
      <c r="E151" s="109" t="inlineStr">
        <is>
          <t>514818/C</t>
        </is>
      </c>
      <c r="F151" s="109" t="inlineStr">
        <is>
          <t>100</t>
        </is>
      </c>
      <c r="G151" s="109" t="inlineStr">
        <is>
          <t>P302A - SONDA DI VIBRAZIONE 01V470I</t>
        </is>
      </c>
      <c r="H151" s="109" t="n"/>
      <c r="I151" s="109" t="n"/>
      <c r="J151" s="109" t="n"/>
      <c r="K151" s="109" t="n"/>
      <c r="L151" s="109" t="n"/>
      <c r="M151" s="109" t="inlineStr">
        <is>
          <t>DA CHIUDERE</t>
        </is>
      </c>
      <c r="N151" s="110" t="n"/>
      <c r="O151" s="110" t="n"/>
      <c r="P151" s="110" t="n"/>
      <c r="Q151" s="110" t="inlineStr">
        <is>
          <t>SOSTITUITA, OK</t>
        </is>
      </c>
      <c r="R151" s="151" t="n"/>
      <c r="S151" s="110" t="n"/>
      <c r="T151" s="109" t="inlineStr"/>
      <c r="U151" s="147" t="inlineStr"/>
    </row>
    <row r="152">
      <c r="A152" s="109" t="n"/>
      <c r="B152" s="108" t="inlineStr">
        <is>
          <t>X</t>
        </is>
      </c>
      <c r="C152" s="109" t="inlineStr"/>
      <c r="D152" s="109" t="inlineStr">
        <is>
          <t>AREA 1</t>
        </is>
      </c>
      <c r="E152" s="109" t="inlineStr">
        <is>
          <t>513657/C</t>
        </is>
      </c>
      <c r="F152" s="109" t="inlineStr">
        <is>
          <t>100</t>
        </is>
      </c>
      <c r="G152" s="109" t="inlineStr">
        <is>
          <t xml:space="preserve">F169Q CONTATORE SODA PER REVISIONE IN OFFICINA </t>
        </is>
      </c>
      <c r="H152" s="109" t="n"/>
      <c r="I152" s="109" t="n"/>
      <c r="J152" s="109" t="n"/>
      <c r="K152" s="109" t="n"/>
      <c r="L152" s="109" t="n"/>
      <c r="M152" s="110" t="inlineStr">
        <is>
          <t>DA CHIUDERE</t>
        </is>
      </c>
      <c r="N152" s="110" t="n"/>
      <c r="O152" s="110" t="n"/>
      <c r="P152" s="110" t="n"/>
      <c r="Q152" s="110" t="inlineStr">
        <is>
          <t>IN ATTESA DI RIMONTAGGIO ( CORPO GUASTO)</t>
        </is>
      </c>
      <c r="R152" s="151" t="n"/>
      <c r="S152" s="110" t="n"/>
      <c r="T152" s="109" t="inlineStr"/>
      <c r="U152" s="147" t="inlineStr"/>
    </row>
    <row r="153" ht="30" customHeight="1" s="122">
      <c r="A153" s="109" t="n"/>
      <c r="B153" s="108" t="inlineStr">
        <is>
          <t>X</t>
        </is>
      </c>
      <c r="C153" s="109" t="inlineStr"/>
      <c r="D153" s="109" t="inlineStr">
        <is>
          <t>AREA 1</t>
        </is>
      </c>
      <c r="E153" s="109" t="inlineStr">
        <is>
          <t>515091/C</t>
        </is>
      </c>
      <c r="F153" s="109" t="inlineStr">
        <is>
          <t>100</t>
        </is>
      </c>
      <c r="G153" s="109" t="inlineStr">
        <is>
          <t>L018DL (BASSO LIVELLO INTERFASE D105)</t>
        </is>
      </c>
      <c r="H153" s="109" t="n"/>
      <c r="I153" s="109" t="n"/>
      <c r="J153" s="109" t="n"/>
      <c r="K153" s="109" t="n"/>
      <c r="L153" s="109" t="n"/>
      <c r="M153" s="110" t="inlineStr">
        <is>
          <t>DA CHIUDERE</t>
        </is>
      </c>
      <c r="N153" s="110" t="n"/>
      <c r="O153" s="110" t="n"/>
      <c r="P153" s="110" t="n"/>
      <c r="Q153" s="110" t="inlineStr">
        <is>
          <t>SOSTITUITO TUBO ALIMENTAZIONE ARIA, OK</t>
        </is>
      </c>
      <c r="R153" s="151" t="n">
        <v>45602</v>
      </c>
      <c r="S153" s="110" t="inlineStr">
        <is>
          <t>TARASCIO/PARTESANO</t>
        </is>
      </c>
      <c r="T153" s="109" t="inlineStr"/>
      <c r="U153" s="147" t="inlineStr"/>
    </row>
    <row r="154" ht="30" customHeight="1" s="122">
      <c r="A154" s="109" t="n"/>
      <c r="B154" s="108" t="inlineStr">
        <is>
          <t>X</t>
        </is>
      </c>
      <c r="C154" s="109" t="inlineStr"/>
      <c r="D154" s="109" t="inlineStr">
        <is>
          <t>AREA 1</t>
        </is>
      </c>
      <c r="E154" s="109" t="inlineStr">
        <is>
          <t>535625/C</t>
        </is>
      </c>
      <c r="F154" s="109" t="inlineStr">
        <is>
          <t>400</t>
        </is>
      </c>
      <c r="G154" s="109" t="inlineStr">
        <is>
          <t>400 - P401A RIPRISTINO SONDA DI VIBRAZIONE 04V852I(METTERE I MOS PRIMA DI INIZIARE ATTIVITA)</t>
        </is>
      </c>
      <c r="H154" s="109" t="n"/>
      <c r="I154" s="109" t="n"/>
      <c r="J154" s="109" t="n"/>
      <c r="K154" s="109" t="n"/>
      <c r="L154" s="109" t="n"/>
      <c r="M154" s="110" t="inlineStr">
        <is>
          <t>DA CHIUDERE</t>
        </is>
      </c>
      <c r="N154" s="110" t="n"/>
      <c r="O154" s="110" t="n"/>
      <c r="P154" s="110" t="n"/>
      <c r="Q154" s="110" t="inlineStr">
        <is>
          <t>SOSTITUITA SONDA VIBRAZIONI. ALLINEATA CON SALA CONTROLLO.</t>
        </is>
      </c>
      <c r="R154" s="151" t="n">
        <v>45788</v>
      </c>
      <c r="S154" s="110" t="inlineStr">
        <is>
          <t>MILLO/CAVAGNACCHI</t>
        </is>
      </c>
      <c r="T154" s="109" t="inlineStr"/>
      <c r="U154" s="147" t="inlineStr"/>
    </row>
    <row r="155" ht="30" customHeight="1" s="122">
      <c r="A155" s="109" t="n"/>
      <c r="B155" s="108" t="n"/>
      <c r="C155" s="109" t="inlineStr"/>
      <c r="D155" s="109" t="inlineStr">
        <is>
          <t>AREA 1</t>
        </is>
      </c>
      <c r="E155" s="109" t="inlineStr">
        <is>
          <t>537496/C</t>
        </is>
      </c>
      <c r="F155" s="109" t="inlineStr">
        <is>
          <t>400</t>
        </is>
      </c>
      <c r="G155" s="109" t="inlineStr">
        <is>
          <t>400 - F401RC (H2 MAKE UP DA IES)CONTROLLO STRUMENTO DI PORTATA</t>
        </is>
      </c>
      <c r="H155" s="109" t="n"/>
      <c r="I155" s="109" t="n"/>
      <c r="J155" s="109" t="n"/>
      <c r="K155" s="109" t="n"/>
      <c r="L155" s="109" t="n"/>
      <c r="M155" s="110" t="inlineStr">
        <is>
          <t>DA CHIUDERE</t>
        </is>
      </c>
      <c r="N155" s="110" t="n"/>
      <c r="O155" s="110" t="n"/>
      <c r="P155" s="110" t="n"/>
      <c r="Q155" s="110" t="inlineStr">
        <is>
          <t>fare zero a retroquadro (NON SI TROVA LOOP)</t>
        </is>
      </c>
      <c r="R155" s="151" t="n"/>
      <c r="S155" s="110" t="inlineStr">
        <is>
          <t>22/05/2025 00:00:00</t>
        </is>
      </c>
      <c r="T155" s="109" t="inlineStr"/>
      <c r="U155" s="147" t="inlineStr"/>
    </row>
    <row r="156">
      <c r="A156" s="109" t="n"/>
      <c r="B156" s="108" t="n"/>
      <c r="C156" s="109" t="inlineStr"/>
      <c r="D156" s="109" t="inlineStr">
        <is>
          <t>AREA 1</t>
        </is>
      </c>
      <c r="E156" s="109" t="inlineStr">
        <is>
          <t>537928/C</t>
        </is>
      </c>
      <c r="F156" s="109" t="inlineStr">
        <is>
          <t>400</t>
        </is>
      </c>
      <c r="G156" s="109" t="inlineStr">
        <is>
          <t>400 - C101B RIPRISTINO TUBING IN ACCIAIO PARZIALIZZAZIONE COMPRESSORE</t>
        </is>
      </c>
      <c r="H156" s="109" t="n"/>
      <c r="I156" s="109" t="n"/>
      <c r="J156" s="109" t="n"/>
      <c r="K156" s="109" t="n"/>
      <c r="L156" s="109" t="n"/>
      <c r="M156" s="110" t="inlineStr">
        <is>
          <t>DA CHIUDERE</t>
        </is>
      </c>
      <c r="N156" s="110" t="n"/>
      <c r="O156" s="110" t="n"/>
      <c r="P156" s="110" t="n"/>
      <c r="Q156" s="110" t="n"/>
      <c r="R156" s="151" t="n"/>
      <c r="S156" s="110" t="n"/>
      <c r="T156" s="109" t="inlineStr"/>
      <c r="U156" s="147" t="inlineStr"/>
    </row>
    <row r="157" ht="30" customHeight="1" s="122">
      <c r="A157" s="109" t="n"/>
      <c r="B157" s="109" t="inlineStr">
        <is>
          <t>X</t>
        </is>
      </c>
      <c r="C157" s="109" t="inlineStr"/>
      <c r="D157" s="109" t="inlineStr">
        <is>
          <t>AREA 1</t>
        </is>
      </c>
      <c r="E157" s="109" t="inlineStr">
        <is>
          <t>534896/C</t>
        </is>
      </c>
      <c r="F157" s="109" t="inlineStr">
        <is>
          <t>100</t>
        </is>
      </c>
      <c r="G157" s="109" t="inlineStr">
        <is>
          <t>100 - F359R (RICICLO IMPIANTO NHDS)CONTROLLO E RIPRISTINO FUNZIONALITA STRUMENTO DI PORTATA</t>
        </is>
      </c>
      <c r="H157" s="109" t="n"/>
      <c r="I157" s="109" t="n"/>
      <c r="J157" s="109" t="n"/>
      <c r="K157" s="109" t="n"/>
      <c r="L157" s="109" t="n"/>
      <c r="M157" s="109" t="inlineStr">
        <is>
          <t>DA CHIUDERE</t>
        </is>
      </c>
      <c r="N157" s="109" t="n"/>
      <c r="O157" s="109" t="n"/>
      <c r="P157" s="109" t="n"/>
      <c r="Q157" s="109" t="n"/>
      <c r="R157" s="151" t="n">
        <v>45800</v>
      </c>
      <c r="S157" s="109" t="inlineStr">
        <is>
          <t>SPINALI/CAVAGNACCHI</t>
        </is>
      </c>
      <c r="T157" s="109" t="inlineStr"/>
      <c r="U157" s="109" t="inlineStr"/>
    </row>
    <row r="158" ht="30" customHeight="1" s="122">
      <c r="A158" s="109" t="n"/>
      <c r="B158" s="109" t="n"/>
      <c r="C158" s="109" t="inlineStr"/>
      <c r="D158" s="109" t="inlineStr">
        <is>
          <t>AREA 1</t>
        </is>
      </c>
      <c r="E158" s="109" t="inlineStr">
        <is>
          <t>538038/C</t>
        </is>
      </c>
      <c r="F158" s="109" t="inlineStr">
        <is>
          <t>300</t>
        </is>
      </c>
      <c r="G158" s="109" t="inlineStr">
        <is>
          <t>300 - T060RC(VAPORE MS A T101)CONTROLLO E RIPRISTINO TEMPERATURA</t>
        </is>
      </c>
      <c r="H158" s="109" t="n"/>
      <c r="I158" s="109" t="n"/>
      <c r="J158" s="109" t="n"/>
      <c r="K158" s="109" t="n"/>
      <c r="L158" s="109" t="n"/>
      <c r="M158" s="110" t="inlineStr">
        <is>
          <t>DA CHIUDERE</t>
        </is>
      </c>
      <c r="N158" s="110" t="n"/>
      <c r="O158" s="110" t="n"/>
      <c r="P158" s="110" t="n"/>
      <c r="Q158" s="110" t="inlineStr">
        <is>
          <t>ATTIVITA' COMPLETATA.</t>
        </is>
      </c>
      <c r="R158" s="151" t="n">
        <v>45803</v>
      </c>
      <c r="S158" s="110" t="inlineStr">
        <is>
          <t>SPINALI/MANSERVIGI</t>
        </is>
      </c>
      <c r="T158" s="109" t="inlineStr"/>
      <c r="U158" s="147" t="inlineStr"/>
    </row>
    <row r="159" ht="30" customHeight="1" s="122">
      <c r="A159" s="109" t="n"/>
      <c r="B159" s="108" t="n"/>
      <c r="C159" s="109" t="inlineStr"/>
      <c r="D159" s="109" t="inlineStr">
        <is>
          <t>AREA 1</t>
        </is>
      </c>
      <c r="E159" s="109" t="inlineStr">
        <is>
          <t>538470/C</t>
        </is>
      </c>
      <c r="F159" s="109" t="inlineStr">
        <is>
          <t>400</t>
        </is>
      </c>
      <c r="G159" s="109" t="inlineStr">
        <is>
          <t>400 - B603V 400B604V SCOLLEGAMENTO/RICOLLEGAMENTO ELETTROPNEUMATICO PER REVISIONE VALVOLE</t>
        </is>
      </c>
      <c r="H159" s="109" t="n"/>
      <c r="I159" s="109" t="n"/>
      <c r="J159" s="109" t="n"/>
      <c r="K159" s="109" t="n"/>
      <c r="L159" s="109" t="n"/>
      <c r="M159" s="110" t="inlineStr">
        <is>
          <t>DA CHIUDERE</t>
        </is>
      </c>
      <c r="N159" s="110" t="n"/>
      <c r="O159" s="110" t="n"/>
      <c r="P159" s="110" t="n"/>
      <c r="Q159" s="110" t="inlineStr">
        <is>
          <t>SCOLLEGAMENTO PER REVISIONE VALVOLE</t>
        </is>
      </c>
      <c r="R159" s="151" t="n">
        <v>45804</v>
      </c>
      <c r="S159" s="110" t="inlineStr">
        <is>
          <t>SPINALI/GARRO S.</t>
        </is>
      </c>
      <c r="T159" s="109" t="inlineStr"/>
      <c r="U159" s="147" t="inlineStr"/>
    </row>
    <row r="160" ht="30" customHeight="1" s="122">
      <c r="A160" s="109" t="n"/>
      <c r="B160" s="109" t="n"/>
      <c r="C160" s="109" t="inlineStr"/>
      <c r="D160" s="109" t="inlineStr">
        <is>
          <t>AREA 1</t>
        </is>
      </c>
      <c r="E160" s="109" t="inlineStr">
        <is>
          <t>538277/C</t>
        </is>
      </c>
      <c r="F160" s="109" t="inlineStr">
        <is>
          <t>400</t>
        </is>
      </c>
      <c r="G160" s="109" t="inlineStr">
        <is>
          <t>400 - P401/A SMONTAGGIO/RIMONTAGGIO SONDE DI TEMPERATURA PER SOSTITUZIONE TENUTE</t>
        </is>
      </c>
      <c r="H160" s="109" t="n"/>
      <c r="I160" s="109" t="n"/>
      <c r="J160" s="109" t="n"/>
      <c r="K160" s="109" t="n"/>
      <c r="L160" s="109" t="n"/>
      <c r="M160" s="109" t="inlineStr">
        <is>
          <t>DA CHIUDERE</t>
        </is>
      </c>
      <c r="N160" s="109" t="n"/>
      <c r="O160" s="109" t="n"/>
      <c r="P160" s="109" t="n"/>
      <c r="Q160" s="109" t="inlineStr">
        <is>
          <t>SMTG SONDE DI TEMPERATURA</t>
        </is>
      </c>
      <c r="R160" s="151" t="n">
        <v>45804</v>
      </c>
      <c r="S160" s="109" t="inlineStr">
        <is>
          <t>SPINALI/GARRO S.</t>
        </is>
      </c>
      <c r="T160" s="109" t="inlineStr"/>
      <c r="U160" s="109" t="inlineStr"/>
    </row>
    <row r="161">
      <c r="A161" s="109" t="n"/>
      <c r="B161" s="108" t="n"/>
      <c r="C161" s="109" t="inlineStr"/>
      <c r="D161" s="109" t="inlineStr">
        <is>
          <t>AREA 1</t>
        </is>
      </c>
      <c r="E161" s="109" t="inlineStr">
        <is>
          <t>538998/C</t>
        </is>
      </c>
      <c r="F161" s="109" t="inlineStr">
        <is>
          <t>100</t>
        </is>
      </c>
      <c r="G161" s="109" t="inlineStr">
        <is>
          <t>100 - F160</t>
        </is>
      </c>
      <c r="H161" s="109" t="n"/>
      <c r="I161" s="109" t="n"/>
      <c r="J161" s="109" t="n"/>
      <c r="K161" s="109" t="n"/>
      <c r="L161" s="109" t="n"/>
      <c r="M161" s="110" t="inlineStr">
        <is>
          <t>DA CHIUDERE</t>
        </is>
      </c>
      <c r="N161" s="110" t="n"/>
      <c r="O161" s="110" t="n"/>
      <c r="P161" s="110" t="n"/>
      <c r="Q161" s="110" t="n"/>
      <c r="R161" s="151" t="n"/>
      <c r="S161" s="110" t="n"/>
      <c r="T161" s="109" t="inlineStr"/>
      <c r="U161" s="147" t="inlineStr"/>
    </row>
    <row r="162" ht="45" customHeight="1" s="122">
      <c r="A162" s="109" t="n"/>
      <c r="B162" s="109" t="n"/>
      <c r="C162" s="109" t="inlineStr"/>
      <c r="D162" s="109" t="inlineStr">
        <is>
          <t>AREA 1</t>
        </is>
      </c>
      <c r="E162" s="109" t="inlineStr">
        <is>
          <t>539133/C</t>
        </is>
      </c>
      <c r="F162" s="109" t="inlineStr">
        <is>
          <t>100</t>
        </is>
      </c>
      <c r="G162" s="109" t="inlineStr">
        <is>
          <t>100 - F012RC (INGRESSO F101 PASSO 12) CONTROLLO E RIPRISTINO FUNZIONALITA PORTATA</t>
        </is>
      </c>
      <c r="H162" s="109" t="n"/>
      <c r="I162" s="109" t="n"/>
      <c r="J162" s="109" t="n"/>
      <c r="K162" s="109" t="n"/>
      <c r="L162" s="109" t="n"/>
      <c r="M162" s="109" t="inlineStr">
        <is>
          <t>DA CHIUDERE</t>
        </is>
      </c>
      <c r="N162" s="109" t="n"/>
      <c r="O162" s="109" t="n"/>
      <c r="P162" s="109" t="n"/>
      <c r="Q162" s="109" t="inlineStr">
        <is>
          <t>TROVATA TRACCIA DI VAPORE FREDDA, NECESSITA PONTEGGIO PER INTERCETTARE. TX CON NESSUNA ANOMALIA DA SEGNALARE, AZZERATA MISURA.</t>
        </is>
      </c>
      <c r="R162" s="151" t="n"/>
      <c r="S162" s="109" t="n"/>
      <c r="T162" s="109" t="inlineStr"/>
      <c r="U162" s="109" t="inlineStr"/>
    </row>
    <row r="163" ht="30" customHeight="1" s="122">
      <c r="A163" s="109" t="n"/>
      <c r="B163" s="109" t="n"/>
      <c r="C163" s="109" t="inlineStr"/>
      <c r="D163" s="109" t="inlineStr">
        <is>
          <t>AREA 1</t>
        </is>
      </c>
      <c r="E163" s="109" t="inlineStr">
        <is>
          <t>541858/C</t>
        </is>
      </c>
      <c r="F163" s="109" t="inlineStr">
        <is>
          <t>100</t>
        </is>
      </c>
      <c r="G163" s="109" t="inlineStr">
        <is>
          <t>01F457RC (RIFLUSSO T301)CONTROLLO FUNZIONALE E RIPRISTINO PERDITA SU RACCORDO GRUPPO BYPASS E PRIMARI</t>
        </is>
      </c>
      <c r="H163" s="109" t="n"/>
      <c r="I163" s="109" t="n"/>
      <c r="J163" s="109" t="n"/>
      <c r="K163" s="109" t="n"/>
      <c r="L163" s="109" t="n"/>
      <c r="M163" s="109" t="inlineStr">
        <is>
          <t>DA CHIUDERE</t>
        </is>
      </c>
      <c r="N163" s="109" t="n"/>
      <c r="O163" s="109" t="n"/>
      <c r="P163" s="109" t="n"/>
      <c r="Q163" s="109" t="inlineStr">
        <is>
          <t>ELIMINATA PERDITA DA GRUPPO BYPASS, E STASATA CON POMPA ALTA PRESSIONE PRESA NEGATIVA. STRUMENTO INSERITO OK</t>
        </is>
      </c>
      <c r="R163" s="151" t="n">
        <v>45831</v>
      </c>
      <c r="S163" s="109" t="inlineStr">
        <is>
          <t>MILLO/LEONE</t>
        </is>
      </c>
      <c r="T163" s="109" t="inlineStr"/>
      <c r="U163" s="109" t="inlineStr"/>
    </row>
    <row r="164" ht="30" customHeight="1" s="122">
      <c r="A164" s="109" t="n"/>
      <c r="B164" s="108" t="n"/>
      <c r="C164" s="109" t="inlineStr"/>
      <c r="D164" s="109" t="inlineStr">
        <is>
          <t>AREA 1</t>
        </is>
      </c>
      <c r="E164" s="109" t="inlineStr">
        <is>
          <t>541859/C</t>
        </is>
      </c>
      <c r="F164" s="109" t="inlineStr">
        <is>
          <t>100</t>
        </is>
      </c>
      <c r="G164" s="109" t="inlineStr">
        <is>
          <t>01T075I 01T076I (USCITA FUMI LATO EST/OVEST) CONTROLLO DI FUNZIONALITA CON ALLINEAMENTO MISURA CON SALA CONTROLLO</t>
        </is>
      </c>
      <c r="H164" s="109" t="n"/>
      <c r="I164" s="109" t="n"/>
      <c r="J164" s="109" t="n"/>
      <c r="K164" s="109" t="n"/>
      <c r="L164" s="109" t="n"/>
      <c r="M164" s="110" t="inlineStr">
        <is>
          <t>DA CHIUDERE</t>
        </is>
      </c>
      <c r="N164" s="110" t="n"/>
      <c r="O164" s="110" t="n"/>
      <c r="P164" s="110" t="n"/>
      <c r="Q164" s="110" t="inlineStr">
        <is>
          <t>CONTROLLATE E ALLINEATE TEMPERATURE (SKIN POINT). NULLA DA SEGNALARE</t>
        </is>
      </c>
      <c r="R164" s="151" t="n">
        <v>45831</v>
      </c>
      <c r="S164" s="110" t="inlineStr">
        <is>
          <t>TARASCIO/PARTESANO</t>
        </is>
      </c>
      <c r="T164" s="109" t="inlineStr"/>
      <c r="U164" s="147" t="inlineStr"/>
    </row>
    <row r="165">
      <c r="A165" s="109" t="n"/>
      <c r="B165" s="108" t="n"/>
      <c r="C165" s="109" t="inlineStr"/>
      <c r="D165" s="109" t="inlineStr">
        <is>
          <t>AREA 1</t>
        </is>
      </c>
      <c r="E165" s="109" t="inlineStr">
        <is>
          <t>541862/C</t>
        </is>
      </c>
      <c r="F165" s="109" t="inlineStr">
        <is>
          <t>100</t>
        </is>
      </c>
      <c r="G165" s="109" t="inlineStr">
        <is>
          <t>01L009RC(STRIPPER T103 KEP)CONTROLLO E RIPRISTINO FUNZIONALITA LIVELLO</t>
        </is>
      </c>
      <c r="H165" s="109" t="n"/>
      <c r="I165" s="109" t="n"/>
      <c r="J165" s="109" t="n"/>
      <c r="K165" s="109" t="n"/>
      <c r="L165" s="109" t="n"/>
      <c r="M165" s="110" t="inlineStr">
        <is>
          <t>DA CHIUDERE</t>
        </is>
      </c>
      <c r="N165" s="110" t="n"/>
      <c r="O165" s="110" t="n"/>
      <c r="P165" s="110" t="n"/>
      <c r="Q165" s="110" t="inlineStr">
        <is>
          <t>LIVELLO TROVATO SPENTO, SOSTITUITA BARRIERA. OK</t>
        </is>
      </c>
      <c r="R165" s="151" t="n">
        <v>45832</v>
      </c>
      <c r="S165" s="110" t="inlineStr">
        <is>
          <t>MILLO</t>
        </is>
      </c>
      <c r="T165" s="109" t="inlineStr"/>
      <c r="U165" s="147" t="inlineStr"/>
    </row>
    <row r="166">
      <c r="A166" s="109" t="n"/>
      <c r="B166" s="108" t="n"/>
      <c r="C166" s="109" t="inlineStr"/>
      <c r="D166" s="109" t="inlineStr">
        <is>
          <t>AREA 1</t>
        </is>
      </c>
      <c r="E166" s="109" t="inlineStr">
        <is>
          <t>543125/C</t>
        </is>
      </c>
      <c r="F166" s="109" t="inlineStr">
        <is>
          <t>400</t>
        </is>
      </c>
      <c r="G166" s="109" t="inlineStr">
        <is>
          <t xml:space="preserve">400- T004RC - T022I CONTROLLO FUNZIONALE (uscita E102 lato prodotto) </t>
        </is>
      </c>
      <c r="H166" s="109" t="n"/>
      <c r="I166" s="109" t="n"/>
      <c r="J166" s="109" t="n"/>
      <c r="K166" s="109" t="n"/>
      <c r="L166" s="109" t="n"/>
      <c r="M166" s="110" t="inlineStr">
        <is>
          <t>DA CHIUDERE</t>
        </is>
      </c>
      <c r="N166" s="110" t="n"/>
      <c r="O166" s="110" t="n"/>
      <c r="P166" s="110" t="n"/>
      <c r="Q166" s="110" t="inlineStr">
        <is>
          <t>BARRIERA STARATA, RIPRISTINATA FUNZIONALITA'</t>
        </is>
      </c>
      <c r="R166" s="151" t="n">
        <v>45841</v>
      </c>
      <c r="S166" s="110" t="inlineStr">
        <is>
          <t>SPINALI</t>
        </is>
      </c>
      <c r="T166" s="109" t="inlineStr"/>
      <c r="U166" s="147" t="inlineStr"/>
    </row>
    <row r="167" ht="30" customHeight="1" s="122">
      <c r="A167" s="109" t="n"/>
      <c r="B167" s="109" t="n"/>
      <c r="C167" s="109" t="inlineStr"/>
      <c r="D167" s="109" t="inlineStr">
        <is>
          <t>AREA 1</t>
        </is>
      </c>
      <c r="E167" s="109" t="inlineStr">
        <is>
          <t>542831/C</t>
        </is>
      </c>
      <c r="F167" s="109" t="inlineStr">
        <is>
          <t>200A</t>
        </is>
      </c>
      <c r="G167" s="109" t="inlineStr">
        <is>
          <t>200A T407HA(CARICA REATTORE)CONTROLLO E RIPRISTINO MISURA DI TEMPERATURA</t>
        </is>
      </c>
      <c r="H167" s="109" t="n"/>
      <c r="I167" s="109" t="n"/>
      <c r="J167" s="109" t="n"/>
      <c r="K167" s="109" t="n"/>
      <c r="L167" s="109" t="n"/>
      <c r="M167" s="109" t="inlineStr">
        <is>
          <t>DA CHIUDERE</t>
        </is>
      </c>
      <c r="N167" s="109" t="n"/>
      <c r="O167" s="109" t="n"/>
      <c r="P167" s="109" t="n"/>
      <c r="Q167" s="109" t="inlineStr">
        <is>
          <t>TROVATA BARRIERA STARATA, CONTROLLATA E TARATA. TEMPERATURE ALLINEATE.</t>
        </is>
      </c>
      <c r="R167" s="151" t="n">
        <v>45841</v>
      </c>
      <c r="S167" s="109" t="inlineStr">
        <is>
          <t>SPINALI/DE LUCA</t>
        </is>
      </c>
      <c r="T167" s="109" t="inlineStr"/>
      <c r="U167" s="147" t="inlineStr"/>
    </row>
    <row r="168" ht="45" customHeight="1" s="122">
      <c r="A168" s="109" t="n"/>
      <c r="B168" s="109" t="n"/>
      <c r="C168" s="109" t="inlineStr"/>
      <c r="D168" s="109" t="inlineStr">
        <is>
          <t>AREA 1</t>
        </is>
      </c>
      <c r="E168" s="109" t="inlineStr">
        <is>
          <t>543905/C</t>
        </is>
      </c>
      <c r="F168" s="109" t="inlineStr">
        <is>
          <t>100</t>
        </is>
      </c>
      <c r="G168" s="109" t="inlineStr">
        <is>
          <t>100L021LA(BASSO LIVELLO D109)CONTROLLO E RIPRISTINO FUNZIONALITA LIVELLOSTATO</t>
        </is>
      </c>
      <c r="H168" s="109" t="n"/>
      <c r="I168" s="109" t="n"/>
      <c r="J168" s="109" t="n"/>
      <c r="K168" s="109" t="n"/>
      <c r="L168" s="109" t="n"/>
      <c r="M168" s="109" t="inlineStr">
        <is>
          <t>DA CHIUDERE</t>
        </is>
      </c>
      <c r="N168" s="109" t="n"/>
      <c r="O168" s="109" t="n"/>
      <c r="P168" s="109" t="n"/>
      <c r="Q168" s="109" t="inlineStr">
        <is>
          <t>VALVOLE D'INTERCETTO NON FANNO PERFETTA TENUTA. EFFETTUATI CONTROLLI FUNZIONALI SU LIVELLOSTATO L021LA NON RISCONTRANDO ANOMALIE (ALLARME INTERVENUTO A DCS).</t>
        </is>
      </c>
      <c r="R168" s="151" t="n">
        <v>45847</v>
      </c>
      <c r="S168" s="109" t="inlineStr">
        <is>
          <t>SPINALI/MANSERVIGI</t>
        </is>
      </c>
      <c r="T168" s="109" t="inlineStr"/>
      <c r="U168" s="109" t="n"/>
    </row>
    <row r="169" ht="30" customHeight="1" s="122">
      <c r="A169" s="109" t="n"/>
      <c r="B169" s="108" t="n"/>
      <c r="C169" s="109" t="inlineStr"/>
      <c r="D169" s="109" t="inlineStr">
        <is>
          <t>AREA 1</t>
        </is>
      </c>
      <c r="E169" s="109" t="inlineStr">
        <is>
          <t>544541/C</t>
        </is>
      </c>
      <c r="F169" s="109" t="inlineStr">
        <is>
          <t>100</t>
        </is>
      </c>
      <c r="G169" s="109" t="inlineStr">
        <is>
          <t xml:space="preserve">100L015CV (H2O DI SCARICO D103)CONTROLLO E RIPRISTINO FUNZIONALITA SE DOVESSE SERVIRE SI PREVEDE LO SMONTAGGIO/MONTAGGIO PER REVISIONE </t>
        </is>
      </c>
      <c r="H169" s="109" t="n"/>
      <c r="I169" s="109" t="n"/>
      <c r="J169" s="109" t="n"/>
      <c r="K169" s="109" t="n"/>
      <c r="L169" s="109" t="n"/>
      <c r="M169" s="110" t="inlineStr">
        <is>
          <t>DA CHIUDERE</t>
        </is>
      </c>
      <c r="N169" s="110" t="n"/>
      <c r="O169" s="110" t="n"/>
      <c r="P169" s="110" t="n"/>
      <c r="Q169" s="110" t="inlineStr">
        <is>
          <t>VALVOLA PORTATA IN OFFICINA PER REVISIONE</t>
        </is>
      </c>
      <c r="R169" s="151" t="n">
        <v>45853</v>
      </c>
      <c r="S169" s="110" t="inlineStr">
        <is>
          <t>GARRO L.</t>
        </is>
      </c>
      <c r="T169" s="109" t="inlineStr"/>
      <c r="U169" s="147" t="n"/>
    </row>
    <row r="170">
      <c r="A170" s="109" t="n"/>
      <c r="B170" s="108" t="n"/>
      <c r="C170" s="109" t="inlineStr"/>
      <c r="D170" s="109" t="inlineStr">
        <is>
          <t>AREA 1</t>
        </is>
      </c>
      <c r="E170" s="109" t="inlineStr">
        <is>
          <t>545215/C</t>
        </is>
      </c>
      <c r="F170" s="109" t="inlineStr">
        <is>
          <t>300</t>
        </is>
      </c>
      <c r="G170" s="109" t="inlineStr">
        <is>
          <t>300P006CV(FUEL GAS F101)RIPRISTINO FUNZIONALITA VALVOLA</t>
        </is>
      </c>
      <c r="H170" s="109" t="n"/>
      <c r="I170" s="109" t="n"/>
      <c r="J170" s="109" t="n"/>
      <c r="K170" s="109" t="n"/>
      <c r="L170" s="109" t="n"/>
      <c r="M170" s="110" t="inlineStr">
        <is>
          <t>DA CHIUDERE</t>
        </is>
      </c>
      <c r="N170" s="110" t="n"/>
      <c r="O170" s="110" t="n"/>
      <c r="P170" s="110" t="n"/>
      <c r="Q170" s="110" t="inlineStr">
        <is>
          <t>NESSUNA ANOMALIA DA SEGNALARE, TCL NASELLI A CONOSCENZA</t>
        </is>
      </c>
      <c r="R170" s="151" t="n">
        <v>45860</v>
      </c>
      <c r="S170" s="110" t="inlineStr">
        <is>
          <t>MILLO</t>
        </is>
      </c>
      <c r="T170" s="109" t="inlineStr"/>
      <c r="U170" s="147" t="n"/>
    </row>
    <row r="171" ht="30" customHeight="1" s="122">
      <c r="A171" s="109" t="n"/>
      <c r="B171" s="108" t="n"/>
      <c r="C171" s="109" t="inlineStr"/>
      <c r="D171" s="109" t="inlineStr">
        <is>
          <t>AREA 1</t>
        </is>
      </c>
      <c r="E171" s="109" t="inlineStr">
        <is>
          <t>545075/C</t>
        </is>
      </c>
      <c r="F171" s="109" t="inlineStr">
        <is>
          <t>200A</t>
        </is>
      </c>
      <c r="G171" s="109" t="inlineStr">
        <is>
          <t>200AL361CV (SCARICO H20 D111)SMONTAGGIO/MONTAGGIO VALVOLA PER  ELIMINAZIONE EVENTUALE OCCLUSIONE</t>
        </is>
      </c>
      <c r="H171" s="109" t="n"/>
      <c r="I171" s="109" t="n"/>
      <c r="J171" s="109" t="n"/>
      <c r="K171" s="109" t="n"/>
      <c r="L171" s="109" t="n"/>
      <c r="M171" s="110" t="inlineStr">
        <is>
          <t>DA CHIUDERE</t>
        </is>
      </c>
      <c r="N171" s="110" t="n"/>
      <c r="O171" s="110" t="n"/>
      <c r="P171" s="110" t="n"/>
      <c r="Q171" s="110" t="inlineStr">
        <is>
          <t>LA VALVOLA E' STATA SMONTATA ED E' A REVISIONE. ESEGUITO RIMONTAGGIO IN CAMPO.</t>
        </is>
      </c>
      <c r="R171" s="151" t="n">
        <v>45856</v>
      </c>
      <c r="S171" s="110" t="inlineStr">
        <is>
          <t>GARRO</t>
        </is>
      </c>
      <c r="T171" s="109" t="inlineStr"/>
      <c r="U171" s="147" t="n"/>
    </row>
    <row r="172">
      <c r="A172" s="109" t="n"/>
      <c r="B172" s="108" t="n"/>
      <c r="C172" s="109" t="inlineStr"/>
      <c r="D172" s="109" t="inlineStr">
        <is>
          <t>AREA 1</t>
        </is>
      </c>
      <c r="E172" s="109" t="inlineStr">
        <is>
          <t>542910/C</t>
        </is>
      </c>
      <c r="F172" s="109" t="inlineStr">
        <is>
          <t>200</t>
        </is>
      </c>
      <c r="G172" s="109" t="inlineStr">
        <is>
          <t>02F211R(H2O MARE A E107N A/B)CONRTOLLO E RIPRISTINO MISURA DI PORTATA</t>
        </is>
      </c>
      <c r="H172" s="109" t="n"/>
      <c r="I172" s="109" t="n"/>
      <c r="J172" s="109" t="n"/>
      <c r="K172" s="109" t="n"/>
      <c r="L172" s="109" t="n"/>
      <c r="M172" s="110" t="inlineStr">
        <is>
          <t>DA CHIUDERE</t>
        </is>
      </c>
      <c r="N172" s="110" t="n"/>
      <c r="O172" s="110" t="n"/>
      <c r="P172" s="110" t="n"/>
      <c r="Q172" s="110" t="inlineStr">
        <is>
          <t>RIPRISTINATA FUNZIONALTA', SOSTITUITO TRASMETTORE.</t>
        </is>
      </c>
      <c r="R172" s="151" t="n">
        <v>45852</v>
      </c>
      <c r="S172" s="110" t="inlineStr">
        <is>
          <t>SPINALI</t>
        </is>
      </c>
      <c r="T172" s="109" t="inlineStr"/>
      <c r="U172" s="147" t="inlineStr"/>
    </row>
    <row r="173">
      <c r="A173" s="109" t="n"/>
      <c r="B173" s="108" t="n"/>
      <c r="C173" s="109" t="inlineStr"/>
      <c r="D173" s="109" t="inlineStr">
        <is>
          <t>AREA 1</t>
        </is>
      </c>
      <c r="E173" s="109" t="inlineStr">
        <is>
          <t>544810/C</t>
        </is>
      </c>
      <c r="F173" s="109" t="inlineStr">
        <is>
          <t>400</t>
        </is>
      </c>
      <c r="G173" s="109" t="inlineStr">
        <is>
          <t>400T679I Effluente reattore a 400-E-404 A/B RIPRISTINO FILETTATURA  TERMOCOPPIA</t>
        </is>
      </c>
      <c r="H173" s="109" t="n"/>
      <c r="I173" s="109" t="n"/>
      <c r="J173" s="109" t="n"/>
      <c r="K173" s="109" t="n"/>
      <c r="L173" s="109" t="n"/>
      <c r="M173" s="110" t="inlineStr">
        <is>
          <t>DA CHIUDERE</t>
        </is>
      </c>
      <c r="N173" s="110" t="n"/>
      <c r="O173" s="110" t="n"/>
      <c r="P173" s="110" t="n"/>
      <c r="Q173" s="110" t="inlineStr">
        <is>
          <t>SOSTITUZIONE NIPPLES SFILETTATO, TERMOCOPPIA RIPRISTINATA.</t>
        </is>
      </c>
      <c r="R173" s="151" t="n">
        <v>45868</v>
      </c>
      <c r="S173" s="110" t="inlineStr">
        <is>
          <t>TARASCIO</t>
        </is>
      </c>
      <c r="T173" s="109" t="inlineStr"/>
      <c r="U173" s="147" t="n"/>
    </row>
    <row r="174" ht="45" customHeight="1" s="122">
      <c r="A174" s="109" t="n"/>
      <c r="B174" s="108" t="n"/>
      <c r="C174" s="109" t="inlineStr"/>
      <c r="D174" s="109" t="inlineStr">
        <is>
          <t>AREA 1</t>
        </is>
      </c>
      <c r="E174" s="109" t="inlineStr">
        <is>
          <t>545833/C</t>
        </is>
      </c>
      <c r="F174" s="109" t="inlineStr">
        <is>
          <t>100</t>
        </is>
      </c>
      <c r="G174" s="109" t="inlineStr">
        <is>
          <t>100L013CV (D103) RIPRISTINO E RIFACIMENTO  PALINA DI SUPPORTO TRASDUTTORE DI SEGNALE VALVOLA(DOPO LE ATTIVITA PROPEDEUTICHE SERVIRA METTERE IN BY PASS LA VALVOLA)</t>
        </is>
      </c>
      <c r="H174" s="109" t="n"/>
      <c r="I174" s="109" t="n"/>
      <c r="J174" s="109" t="n"/>
      <c r="K174" s="109" t="n"/>
      <c r="L174" s="109" t="n"/>
      <c r="M174" s="110" t="inlineStr">
        <is>
          <t>DA CHIUDERE</t>
        </is>
      </c>
      <c r="N174" s="110" t="n"/>
      <c r="O174" s="110" t="n"/>
      <c r="P174" s="110" t="n"/>
      <c r="Q174" s="110" t="inlineStr">
        <is>
          <t>SOSTITUITA PALINA E RILOCATI INDICATORE E IP/CONVERTER</t>
        </is>
      </c>
      <c r="R174" s="151" t="n">
        <v>45882</v>
      </c>
      <c r="S174" s="110" t="inlineStr">
        <is>
          <t>DE LUCA</t>
        </is>
      </c>
      <c r="T174" s="109" t="inlineStr"/>
      <c r="U174" s="147" t="n"/>
    </row>
    <row r="175" ht="30" customHeight="1" s="122">
      <c r="A175" s="109" t="n"/>
      <c r="B175" s="108" t="n"/>
      <c r="C175" s="109" t="inlineStr"/>
      <c r="D175" s="109" t="inlineStr">
        <is>
          <t>AREA 1</t>
        </is>
      </c>
      <c r="E175" s="109" t="inlineStr">
        <is>
          <t>547638/C</t>
        </is>
      </c>
      <c r="F175" s="109" t="inlineStr">
        <is>
          <t>100</t>
        </is>
      </c>
      <c r="G175" s="109" t="inlineStr">
        <is>
          <t>100F016RC(INGRESSO F101 PASSO 4)CONTROLLO E RIPRISTINO MISURA DI PORTATA</t>
        </is>
      </c>
      <c r="H175" s="109" t="n"/>
      <c r="I175" s="109" t="n"/>
      <c r="J175" s="109" t="n"/>
      <c r="K175" s="109" t="n"/>
      <c r="L175" s="109" t="n"/>
      <c r="M175" s="110" t="inlineStr">
        <is>
          <t>DA CHIUDERE</t>
        </is>
      </c>
      <c r="N175" s="110" t="n"/>
      <c r="O175" s="110" t="n"/>
      <c r="P175" s="110" t="n"/>
      <c r="Q175" s="110" t="inlineStr">
        <is>
          <t>ESEGUITO RIEMPIMENTO, STRUMENTO ALLINEATO CON SALA CONTROLLO</t>
        </is>
      </c>
      <c r="R175" s="151" t="n">
        <v>45882</v>
      </c>
      <c r="S175" s="110" t="inlineStr">
        <is>
          <t>SPINALI</t>
        </is>
      </c>
      <c r="T175" s="109" t="inlineStr"/>
      <c r="U175" s="147" t="n"/>
    </row>
    <row r="176">
      <c r="A176" s="109" t="n"/>
      <c r="B176" s="108" t="n"/>
      <c r="C176" s="109" t="inlineStr"/>
      <c r="D176" s="109" t="inlineStr">
        <is>
          <t>AREA 1</t>
        </is>
      </c>
      <c r="E176" s="109" t="inlineStr">
        <is>
          <t>547637/C</t>
        </is>
      </c>
      <c r="F176" s="109" t="inlineStr">
        <is>
          <t>300</t>
        </is>
      </c>
      <c r="G176" s="109" t="inlineStr">
        <is>
          <t>300F016RC(TREAT GAS A U400)CONTROLLO E RIPRISTINO MISURA DI PORTATA</t>
        </is>
      </c>
      <c r="H176" s="109" t="n"/>
      <c r="I176" s="109" t="n"/>
      <c r="J176" s="109" t="n"/>
      <c r="K176" s="109" t="n"/>
      <c r="L176" s="109" t="n"/>
      <c r="M176" s="110" t="inlineStr">
        <is>
          <t>DA CHIUDERE</t>
        </is>
      </c>
      <c r="N176" s="110" t="n"/>
      <c r="O176" s="110" t="n"/>
      <c r="P176" s="110" t="n"/>
      <c r="Q176" s="110" t="inlineStr">
        <is>
          <t>AZZERATO STRUMENTO ED ALLINEATO CON SALA CONTROLLO</t>
        </is>
      </c>
      <c r="R176" s="151" t="n"/>
      <c r="S176" s="110" t="n"/>
      <c r="T176" s="109" t="inlineStr"/>
      <c r="U176" s="147" t="n"/>
    </row>
    <row r="177">
      <c r="A177" s="109" t="n"/>
      <c r="B177" s="108" t="n"/>
      <c r="C177" s="109" t="inlineStr"/>
      <c r="D177" s="109" t="inlineStr">
        <is>
          <t>AREA 1</t>
        </is>
      </c>
      <c r="E177" s="109" t="inlineStr">
        <is>
          <t>547922/C</t>
        </is>
      </c>
      <c r="F177" s="109" t="inlineStr">
        <is>
          <t>400</t>
        </is>
      </c>
      <c r="G177" s="109" t="inlineStr">
        <is>
          <t>IMP.400  FIL 101 CONTROLLO DELTA P MANOMETRI LOCALI</t>
        </is>
      </c>
      <c r="H177" s="109" t="n"/>
      <c r="I177" s="109" t="n"/>
      <c r="J177" s="109" t="n"/>
      <c r="K177" s="109" t="n"/>
      <c r="L177" s="109" t="n"/>
      <c r="M177" s="110" t="inlineStr">
        <is>
          <t>DA CHIUDERE</t>
        </is>
      </c>
      <c r="N177" s="110" t="n"/>
      <c r="O177" s="110" t="n"/>
      <c r="P177" s="110" t="n"/>
      <c r="Q177" s="110" t="inlineStr">
        <is>
          <t>CONTROLLO TARATURA, VERIFICA PRESE, NULLA DA SEGNALARE.</t>
        </is>
      </c>
      <c r="R177" s="151" t="n">
        <v>45888</v>
      </c>
      <c r="S177" s="110" t="inlineStr">
        <is>
          <t>LOMBARDO</t>
        </is>
      </c>
      <c r="T177" s="109" t="inlineStr"/>
      <c r="U177" s="147" t="n"/>
    </row>
    <row r="178" ht="45" customHeight="1" s="122">
      <c r="A178" s="109" t="n"/>
      <c r="B178" s="108" t="n"/>
      <c r="C178" s="109" t="inlineStr"/>
      <c r="D178" s="109" t="inlineStr">
        <is>
          <t>AREA 1</t>
        </is>
      </c>
      <c r="E178" s="109" t="inlineStr">
        <is>
          <t>547928/C</t>
        </is>
      </c>
      <c r="F178" s="109" t="inlineStr">
        <is>
          <t>900</t>
        </is>
      </c>
      <c r="G178" s="109" t="inlineStr">
        <is>
          <t>900T021I RIFLUSSO T103 CONTROLLO E RIPRISTINO TEMPERATURA</t>
        </is>
      </c>
      <c r="H178" s="109" t="n"/>
      <c r="I178" s="109" t="n"/>
      <c r="J178" s="109" t="n"/>
      <c r="K178" s="109" t="n"/>
      <c r="L178" s="109" t="n"/>
      <c r="M178" s="110" t="inlineStr">
        <is>
          <t>DA CHIUDERE</t>
        </is>
      </c>
      <c r="N178" s="110" t="n"/>
      <c r="O178" s="110" t="n"/>
      <c r="P178" s="110" t="n"/>
      <c r="Q178" s="110" t="inlineStr">
        <is>
          <t>CONTROLLATO TERMOELEMENTO E BARRIERA, OK. IL PROBLEMA ERA A QUADRO, DOPO AVER FATTO IL RESET E' RIENTRATA LA TEMPERATURA</t>
        </is>
      </c>
      <c r="R178" s="151" t="n">
        <v>45888</v>
      </c>
      <c r="S178" s="110" t="inlineStr">
        <is>
          <t>LOMBARDO</t>
        </is>
      </c>
      <c r="T178" s="109" t="inlineStr"/>
      <c r="U178" s="147" t="n"/>
    </row>
    <row r="179" ht="30" customHeight="1" s="122">
      <c r="A179" s="109" t="n"/>
      <c r="B179" s="108" t="n"/>
      <c r="C179" s="109" t="inlineStr"/>
      <c r="D179" s="109" t="inlineStr">
        <is>
          <t>AREA 1</t>
        </is>
      </c>
      <c r="E179" s="109" t="inlineStr">
        <is>
          <t>548458/C</t>
        </is>
      </c>
      <c r="F179" s="109" t="inlineStr">
        <is>
          <t>200</t>
        </is>
      </c>
      <c r="G179" s="109" t="inlineStr">
        <is>
          <t>200F358RC(TREAT GAS A E301A/D)CONTROLLO LOOP DI RGOLAZIONE PARTENDO DALLA PORTATA</t>
        </is>
      </c>
      <c r="H179" s="109" t="n"/>
      <c r="I179" s="109" t="n"/>
      <c r="J179" s="109" t="n"/>
      <c r="K179" s="109" t="n"/>
      <c r="L179" s="109" t="n"/>
      <c r="M179" s="110" t="inlineStr">
        <is>
          <t>DA CHIUDERE</t>
        </is>
      </c>
      <c r="N179" s="110" t="n"/>
      <c r="O179" s="110" t="n"/>
      <c r="P179" s="110" t="n"/>
      <c r="Q179" s="110" t="n"/>
      <c r="R179" s="151" t="n"/>
      <c r="S179" s="110" t="n"/>
      <c r="T179" s="109" t="inlineStr"/>
      <c r="U179" s="147" t="n"/>
    </row>
    <row r="180" ht="30" customHeight="1" s="122">
      <c r="A180" s="109" t="n"/>
      <c r="B180" s="108" t="n"/>
      <c r="C180" s="109" t="inlineStr"/>
      <c r="D180" s="109" t="inlineStr">
        <is>
          <t>AREA 1</t>
        </is>
      </c>
      <c r="E180" s="109" t="inlineStr">
        <is>
          <t>548424/C</t>
        </is>
      </c>
      <c r="F180" s="109" t="inlineStr">
        <is>
          <t>200</t>
        </is>
      </c>
      <c r="G180" s="109" t="inlineStr">
        <is>
          <t>200P011CV SMONTAGGIO/MONTAGGIO VALVOLA PER SOSTITUZIONE E RIFACIMENTO TUBING PER COLLEGAMENTO PNEUMATICO CON RELATIVE PROVE DI FUNZIONALITA</t>
        </is>
      </c>
      <c r="H180" s="109" t="n"/>
      <c r="I180" s="109" t="n"/>
      <c r="J180" s="109" t="n"/>
      <c r="K180" s="109" t="n"/>
      <c r="L180" s="109" t="n"/>
      <c r="M180" s="110" t="inlineStr">
        <is>
          <t>DA CHIUDERE</t>
        </is>
      </c>
      <c r="N180" s="110" t="n"/>
      <c r="O180" s="110" t="n"/>
      <c r="P180" s="110" t="n"/>
      <c r="Q180" s="110" t="n"/>
      <c r="R180" s="151" t="n"/>
      <c r="S180" s="110" t="n"/>
      <c r="T180" s="109" t="inlineStr"/>
      <c r="U180" s="147" t="n"/>
    </row>
    <row r="181">
      <c r="A181" s="109" t="n"/>
      <c r="B181" s="108" t="n"/>
      <c r="C181" s="109" t="inlineStr"/>
      <c r="D181" s="109" t="inlineStr">
        <is>
          <t>AREA 1</t>
        </is>
      </c>
      <c r="E181" s="109" t="inlineStr">
        <is>
          <t>548722/C</t>
        </is>
      </c>
      <c r="F181" s="109" t="inlineStr">
        <is>
          <t>100</t>
        </is>
      </c>
      <c r="G181" s="109" t="inlineStr">
        <is>
          <t>100L501LB (ABBASSAMENTO ASTA K651B)CONTROLLO E RIPRISTINO PRESSOSTATO</t>
        </is>
      </c>
      <c r="H181" s="109" t="n"/>
      <c r="I181" s="109" t="n"/>
      <c r="J181" s="109" t="n"/>
      <c r="K181" s="109" t="n"/>
      <c r="L181" s="109" t="n"/>
      <c r="M181" s="110" t="inlineStr">
        <is>
          <t>DA CHIUDERE</t>
        </is>
      </c>
      <c r="N181" s="110" t="n"/>
      <c r="O181" s="110" t="n"/>
      <c r="P181" s="110" t="n"/>
      <c r="Q181" s="110" t="n"/>
      <c r="R181" s="151" t="n">
        <v>45895</v>
      </c>
      <c r="S181" s="110" t="inlineStr">
        <is>
          <t>SPINALI</t>
        </is>
      </c>
      <c r="T181" s="109" t="inlineStr"/>
      <c r="U181" s="147" t="n"/>
    </row>
    <row r="182">
      <c r="A182" s="109" t="n"/>
      <c r="B182" s="108" t="n"/>
      <c r="C182" s="109" t="inlineStr"/>
      <c r="D182" s="109" t="inlineStr">
        <is>
          <t>AREA 1</t>
        </is>
      </c>
      <c r="E182" s="109" t="inlineStr">
        <is>
          <t>548459/C</t>
        </is>
      </c>
      <c r="F182" s="109" t="inlineStr">
        <is>
          <t>300</t>
        </is>
      </c>
      <c r="G182" s="109" t="inlineStr">
        <is>
          <t>300F001R(CARICA DA STOCC.  A D101)CONTROLLO E TARATURA  PORTATA</t>
        </is>
      </c>
      <c r="H182" s="109" t="n"/>
      <c r="I182" s="109" t="n"/>
      <c r="J182" s="109" t="n"/>
      <c r="K182" s="109" t="n"/>
      <c r="L182" s="109" t="n"/>
      <c r="M182" s="110" t="inlineStr">
        <is>
          <t>DA CHIUDERE</t>
        </is>
      </c>
      <c r="N182" s="110" t="n"/>
      <c r="O182" s="110" t="n"/>
      <c r="P182" s="110" t="n"/>
      <c r="Q182" s="110" t="inlineStr">
        <is>
          <t>PRIMARI TAPPATI, ESEGUITA STASATURA E SOSTITUITA BARRIERA</t>
        </is>
      </c>
      <c r="R182" s="151" t="n">
        <v>45896</v>
      </c>
      <c r="S182" s="110" t="inlineStr">
        <is>
          <t>SPINALI</t>
        </is>
      </c>
      <c r="T182" s="109" t="inlineStr"/>
      <c r="U182" s="147" t="n"/>
    </row>
    <row r="183" ht="30" customHeight="1" s="122">
      <c r="A183" s="109" t="n"/>
      <c r="B183" s="109" t="n"/>
      <c r="C183" s="109" t="inlineStr"/>
      <c r="D183" s="109" t="inlineStr">
        <is>
          <t>AREA 1</t>
        </is>
      </c>
      <c r="E183" s="109" t="inlineStr">
        <is>
          <t>548825/C</t>
        </is>
      </c>
      <c r="F183" s="109" t="inlineStr">
        <is>
          <t>300</t>
        </is>
      </c>
      <c r="G183" s="109" t="inlineStr">
        <is>
          <t>300F151R CONTROLLO E RIPRISTINO FUNZIONALITA CON STASAMENTO PRIMARI/RADICI</t>
        </is>
      </c>
      <c r="H183" s="109" t="n"/>
      <c r="I183" s="109" t="n"/>
      <c r="J183" s="109" t="n"/>
      <c r="K183" s="109" t="n"/>
      <c r="L183" s="109" t="n"/>
      <c r="M183" s="110" t="inlineStr">
        <is>
          <t>DA CHIUDERE</t>
        </is>
      </c>
      <c r="N183" s="110" t="n"/>
      <c r="O183" s="110" t="n"/>
      <c r="P183" s="110" t="n"/>
      <c r="Q183" s="110" t="inlineStr">
        <is>
          <t>VALVOLA DI RADICE NEGATIVA BLOCCATA APERTA, PRIMARIO POSITIVO TAPPATO E VALVOLA DI RADICE POSITIVA NON FA' TENUTA</t>
        </is>
      </c>
      <c r="R183" s="151" t="n">
        <v>45896</v>
      </c>
      <c r="S183" s="110" t="inlineStr">
        <is>
          <t>SPINALI</t>
        </is>
      </c>
      <c r="T183" s="109" t="inlineStr"/>
      <c r="U183" s="147" t="n"/>
    </row>
    <row r="184">
      <c r="A184" s="109" t="n"/>
      <c r="B184" s="108" t="n"/>
      <c r="C184" s="109" t="inlineStr"/>
      <c r="D184" s="109" t="inlineStr">
        <is>
          <t>AREA 1</t>
        </is>
      </c>
      <c r="E184" s="109" t="inlineStr">
        <is>
          <t>547934/C</t>
        </is>
      </c>
      <c r="F184" s="109" t="inlineStr">
        <is>
          <t>100</t>
        </is>
      </c>
      <c r="G184" s="109" t="inlineStr">
        <is>
          <t>100T076I (USCITA FUMI LATO OVEST F101) CONTROLLO E RIPRISTINO TEMPERATURA</t>
        </is>
      </c>
      <c r="H184" s="109" t="n"/>
      <c r="I184" s="109" t="n"/>
      <c r="J184" s="109" t="n"/>
      <c r="K184" s="109" t="n"/>
      <c r="L184" s="109" t="n"/>
      <c r="M184" s="110" t="inlineStr">
        <is>
          <t>DA CHIUDERE</t>
        </is>
      </c>
      <c r="N184" s="110" t="n"/>
      <c r="O184" s="110" t="n"/>
      <c r="P184" s="110" t="n"/>
      <c r="Q184" s="110" t="n"/>
      <c r="R184" s="151" t="n">
        <v>45889</v>
      </c>
      <c r="S184" s="110" t="inlineStr">
        <is>
          <t>SPINALI</t>
        </is>
      </c>
      <c r="T184" s="109" t="inlineStr"/>
      <c r="U184" s="147" t="n"/>
    </row>
    <row r="185">
      <c r="A185" s="109" t="n"/>
      <c r="B185" s="108" t="n"/>
      <c r="C185" s="109" t="inlineStr"/>
      <c r="D185" s="109" t="inlineStr">
        <is>
          <t>AREA 1</t>
        </is>
      </c>
      <c r="E185" s="109" t="inlineStr">
        <is>
          <t>548939/C</t>
        </is>
      </c>
      <c r="F185" s="109" t="inlineStr">
        <is>
          <t>100</t>
        </is>
      </c>
      <c r="G185" s="109" t="inlineStr">
        <is>
          <t>100F024rc(residuo a u600)controllo loop di regolazione partendo dalla portata</t>
        </is>
      </c>
      <c r="H185" s="109" t="n"/>
      <c r="I185" s="109" t="n"/>
      <c r="J185" s="109" t="n"/>
      <c r="K185" s="109" t="n"/>
      <c r="L185" s="109" t="n"/>
      <c r="M185" s="110" t="inlineStr">
        <is>
          <t>DA CHIUDERE</t>
        </is>
      </c>
      <c r="N185" s="110" t="n"/>
      <c r="O185" s="110" t="n"/>
      <c r="P185" s="110" t="n"/>
      <c r="Q185" s="110" t="n"/>
      <c r="R185" s="151" t="n">
        <v>45897</v>
      </c>
      <c r="S185" s="110" t="inlineStr">
        <is>
          <t>SPINALI</t>
        </is>
      </c>
      <c r="T185" s="109" t="inlineStr"/>
      <c r="U185" s="147" t="n"/>
    </row>
    <row r="186" ht="30" customHeight="1" s="122">
      <c r="A186" s="109" t="n"/>
      <c r="B186" s="109" t="n"/>
      <c r="C186" s="109" t="inlineStr"/>
      <c r="D186" s="109" t="inlineStr">
        <is>
          <t>AREA 1</t>
        </is>
      </c>
      <c r="E186" s="109" t="inlineStr">
        <is>
          <t>548944/C</t>
        </is>
      </c>
      <c r="F186" s="109" t="inlineStr">
        <is>
          <t>900</t>
        </is>
      </c>
      <c r="G186" s="109" t="inlineStr">
        <is>
          <t>900F003RC(RIFLUSSO T101 SPLITTER C3/C4)controllo loop di regolazione partendo dalla portata</t>
        </is>
      </c>
      <c r="H186" s="109" t="n"/>
      <c r="I186" s="109" t="n"/>
      <c r="J186" s="109" t="n"/>
      <c r="K186" s="109" t="n"/>
      <c r="L186" s="109" t="n"/>
      <c r="M186" s="109" t="inlineStr">
        <is>
          <t>DA CHIUDERE</t>
        </is>
      </c>
      <c r="N186" s="109" t="n"/>
      <c r="O186" s="109" t="n"/>
      <c r="P186" s="109" t="n"/>
      <c r="Q186" s="109" t="inlineStr">
        <is>
          <t>NESSUNA ANOMALIA</t>
        </is>
      </c>
      <c r="R186" s="151" t="n">
        <v>45897</v>
      </c>
      <c r="S186" s="109" t="inlineStr">
        <is>
          <t>TARASCIO</t>
        </is>
      </c>
      <c r="T186" s="109" t="inlineStr"/>
      <c r="U186" s="109" t="n"/>
    </row>
    <row r="187">
      <c r="A187" s="109" t="n"/>
      <c r="B187" s="108" t="n"/>
      <c r="C187" s="109" t="inlineStr"/>
      <c r="D187" s="109" t="inlineStr">
        <is>
          <t>AREA 1</t>
        </is>
      </c>
      <c r="E187" s="109" t="inlineStr">
        <is>
          <t>549105/C</t>
        </is>
      </c>
      <c r="F187" s="109" t="inlineStr">
        <is>
          <t>400</t>
        </is>
      </c>
      <c r="G187" s="109" t="inlineStr">
        <is>
          <t>400L005HA (K.O. DRUM FUEL GAS)CONTROLLO E RIPRISTINO LIVELLOSTATO</t>
        </is>
      </c>
      <c r="H187" s="109" t="n"/>
      <c r="I187" s="109" t="n"/>
      <c r="J187" s="109" t="n"/>
      <c r="K187" s="109" t="n"/>
      <c r="L187" s="109" t="n"/>
      <c r="M187" s="110" t="inlineStr">
        <is>
          <t>DA CHIUDERE</t>
        </is>
      </c>
      <c r="N187" s="110" t="n"/>
      <c r="O187" s="110" t="n"/>
      <c r="P187" s="110" t="n"/>
      <c r="Q187" s="110" t="n"/>
      <c r="R187" s="151" t="n">
        <v>45898</v>
      </c>
      <c r="S187" s="110" t="inlineStr">
        <is>
          <t>SPINALI</t>
        </is>
      </c>
      <c r="T187" s="109" t="inlineStr"/>
      <c r="U187" s="147" t="n"/>
    </row>
    <row r="188" ht="30" customHeight="1" s="122">
      <c r="A188" s="109" t="n"/>
      <c r="B188" s="108" t="n"/>
      <c r="C188" s="109" t="inlineStr"/>
      <c r="D188" s="109" t="inlineStr">
        <is>
          <t>AREA 1</t>
        </is>
      </c>
      <c r="E188" s="109" t="inlineStr">
        <is>
          <t>548947/C</t>
        </is>
      </c>
      <c r="F188" s="109" t="inlineStr">
        <is>
          <t>900</t>
        </is>
      </c>
      <c r="G188" s="109" t="inlineStr">
        <is>
          <t>900F015RC(RIC.FONDO T103))controllo loop di regolazione partendo dalla portata</t>
        </is>
      </c>
      <c r="H188" s="109" t="n"/>
      <c r="I188" s="109" t="n"/>
      <c r="J188" s="109" t="n"/>
      <c r="K188" s="109" t="n"/>
      <c r="L188" s="109" t="n"/>
      <c r="M188" s="110" t="inlineStr">
        <is>
          <t>DA CHIUDERE</t>
        </is>
      </c>
      <c r="N188" s="110" t="n"/>
      <c r="O188" s="110" t="n"/>
      <c r="P188" s="110" t="n"/>
      <c r="Q188" s="110" t="inlineStr">
        <is>
          <t>STRUMENTO SOSTITUITO. VALVOLA D'INTERCETTO POSITIVA NON FA PERFETTA TENUTA.</t>
        </is>
      </c>
      <c r="R188" s="151" t="n">
        <v>45898</v>
      </c>
      <c r="S188" s="110" t="inlineStr">
        <is>
          <t>SPINALI</t>
        </is>
      </c>
      <c r="T188" s="109" t="inlineStr"/>
      <c r="U188" s="147" t="n"/>
    </row>
    <row r="189">
      <c r="A189" s="109" t="n"/>
      <c r="B189" s="109" t="n"/>
      <c r="C189" s="109" t="inlineStr"/>
      <c r="D189" s="109" t="inlineStr">
        <is>
          <t>AREA 1</t>
        </is>
      </c>
      <c r="E189" s="109" t="inlineStr">
        <is>
          <t>549261/C</t>
        </is>
      </c>
      <c r="F189" s="109" t="inlineStr">
        <is>
          <t>900</t>
        </is>
      </c>
      <c r="G189" s="109" t="inlineStr">
        <is>
          <t>IMP.900 TK101 06T007RC RIPRISTINO FUNZIONALITA TEMPERATURA</t>
        </is>
      </c>
      <c r="H189" s="109" t="n"/>
      <c r="I189" s="109" t="n"/>
      <c r="J189" s="109" t="n"/>
      <c r="K189" s="109" t="n"/>
      <c r="L189" s="109" t="n"/>
      <c r="M189" s="109" t="inlineStr">
        <is>
          <t>DA CHIUDERE</t>
        </is>
      </c>
      <c r="N189" s="109" t="n"/>
      <c r="O189" s="109" t="n"/>
      <c r="P189" s="109" t="n"/>
      <c r="Q189" s="109" t="inlineStr">
        <is>
          <t>ESEGUITO RIPRISTINO DELLE FUNZIONALITA'</t>
        </is>
      </c>
      <c r="R189" s="151" t="n">
        <v>45901</v>
      </c>
      <c r="S189" s="109" t="inlineStr">
        <is>
          <t>SPINALI</t>
        </is>
      </c>
      <c r="T189" s="109" t="inlineStr"/>
      <c r="U189" s="109" t="n"/>
    </row>
    <row r="190" ht="15" customHeight="1" s="122">
      <c r="A190" s="109" t="n"/>
      <c r="B190" s="109" t="n"/>
      <c r="C190" s="109" t="inlineStr"/>
      <c r="D190" s="109" t="inlineStr">
        <is>
          <t>AREA 1</t>
        </is>
      </c>
      <c r="E190" s="109" t="inlineStr">
        <is>
          <t>549454/C</t>
        </is>
      </c>
      <c r="F190" s="109" t="inlineStr">
        <is>
          <t>200A</t>
        </is>
      </c>
      <c r="G190" s="109" t="inlineStr">
        <is>
          <t>200F457RC (RIFLUSSO  T301)CONTROLLO E RIPRISTINO PERDITA SU PRIMARI STRUMENTO</t>
        </is>
      </c>
      <c r="H190" s="109" t="n"/>
      <c r="I190" s="109" t="n"/>
      <c r="J190" s="109" t="n"/>
      <c r="K190" s="109" t="n"/>
      <c r="L190" s="109" t="n"/>
      <c r="M190" s="109" t="inlineStr">
        <is>
          <t>DA CHIUDERE</t>
        </is>
      </c>
      <c r="N190" s="109" t="n"/>
      <c r="O190" s="109" t="n"/>
      <c r="P190" s="109" t="n"/>
      <c r="Q190" s="109" t="inlineStr">
        <is>
          <t>ESEGUITO RIFACIMENTO PRIMARI, RIPRISTINATA FUNZIONALITA'</t>
        </is>
      </c>
      <c r="R190" s="151" t="n">
        <v>45903</v>
      </c>
      <c r="S190" s="109" t="inlineStr">
        <is>
          <t>SPINALI</t>
        </is>
      </c>
      <c r="T190" s="109" t="inlineStr"/>
      <c r="U190" s="147" t="n"/>
    </row>
    <row r="191">
      <c r="A191" s="109" t="n"/>
      <c r="B191" s="108" t="n"/>
      <c r="C191" s="109" t="inlineStr"/>
      <c r="D191" s="109" t="inlineStr">
        <is>
          <t>AREA 1</t>
        </is>
      </c>
      <c r="E191" s="109" t="inlineStr">
        <is>
          <t>549268/C</t>
        </is>
      </c>
      <c r="F191" s="109" t="inlineStr">
        <is>
          <t>200</t>
        </is>
      </c>
      <c r="G191" s="109" t="inlineStr">
        <is>
          <t>200L005CV (D102) SMONTAGGIO/MONTAGGIO VALVOLA PER REVISIONE</t>
        </is>
      </c>
      <c r="H191" s="109" t="n"/>
      <c r="I191" s="109" t="n"/>
      <c r="J191" s="109" t="n"/>
      <c r="K191" s="109" t="n"/>
      <c r="L191" s="109" t="n"/>
      <c r="M191" s="110" t="inlineStr">
        <is>
          <t>DA CHIUDERE</t>
        </is>
      </c>
      <c r="N191" s="110" t="n"/>
      <c r="O191" s="110" t="n"/>
      <c r="P191" s="110" t="n"/>
      <c r="Q191" s="110" t="n"/>
      <c r="R191" s="151" t="n"/>
      <c r="S191" s="110" t="n"/>
      <c r="T191" s="109" t="inlineStr"/>
      <c r="U191" s="147" t="n"/>
    </row>
    <row r="192">
      <c r="A192" s="109" t="n"/>
      <c r="B192" s="108" t="n"/>
      <c r="C192" s="109" t="inlineStr"/>
      <c r="D192" s="109" t="inlineStr">
        <is>
          <t>AREA 1</t>
        </is>
      </c>
      <c r="E192" s="109" t="inlineStr">
        <is>
          <t>549816/C</t>
        </is>
      </c>
      <c r="F192" s="109" t="inlineStr">
        <is>
          <t>100</t>
        </is>
      </c>
      <c r="G192" s="109" t="inlineStr">
        <is>
          <t>100F025R(OVERFLASH)CONTROLLO E INSERIMENTO STRUMENTO</t>
        </is>
      </c>
      <c r="H192" s="109" t="n"/>
      <c r="I192" s="109" t="n"/>
      <c r="J192" s="109" t="n"/>
      <c r="K192" s="109" t="n"/>
      <c r="L192" s="109" t="n"/>
      <c r="M192" s="110" t="inlineStr">
        <is>
          <t>DA CHIUDERE</t>
        </is>
      </c>
      <c r="N192" s="110" t="n"/>
      <c r="O192" s="110" t="n"/>
      <c r="P192" s="110" t="n"/>
      <c r="Q192" s="110" t="n"/>
      <c r="R192" s="151" t="n"/>
      <c r="S192" s="110" t="n"/>
      <c r="T192" s="109" t="inlineStr"/>
      <c r="U192" s="147" t="n"/>
    </row>
    <row r="193" ht="30" customHeight="1" s="122">
      <c r="A193" s="109" t="n"/>
      <c r="B193" s="109" t="n"/>
      <c r="C193" s="109" t="inlineStr"/>
      <c r="D193" s="109" t="inlineStr">
        <is>
          <t>AREA 1</t>
        </is>
      </c>
      <c r="E193" s="109" t="inlineStr">
        <is>
          <t>549677/C</t>
        </is>
      </c>
      <c r="F193" s="109" t="inlineStr">
        <is>
          <t>100</t>
        </is>
      </c>
      <c r="G193" s="109" t="inlineStr">
        <is>
          <t>100F083I(VN PRELEVATA DA STOCCAGGIO)CONTROLLO E TARATURA E RIPRISTINO PORTATA</t>
        </is>
      </c>
      <c r="H193" s="109" t="n"/>
      <c r="I193" s="109" t="n"/>
      <c r="J193" s="109" t="n"/>
      <c r="K193" s="109" t="n"/>
      <c r="L193" s="109" t="n"/>
      <c r="M193" s="110" t="inlineStr">
        <is>
          <t>DA CHIUDERE</t>
        </is>
      </c>
      <c r="N193" s="110" t="n"/>
      <c r="O193" s="110" t="n"/>
      <c r="P193" s="110" t="n"/>
      <c r="Q193" s="110" t="n"/>
      <c r="R193" s="151" t="n"/>
      <c r="S193" s="110" t="n"/>
      <c r="T193" s="109" t="inlineStr"/>
      <c r="U193" s="147" t="n"/>
    </row>
    <row r="194">
      <c r="A194" s="109" t="n"/>
      <c r="B194" s="108" t="n"/>
      <c r="C194" s="109" t="inlineStr"/>
      <c r="D194" s="109" t="inlineStr">
        <is>
          <t>AREA 1</t>
        </is>
      </c>
      <c r="E194" s="109" t="inlineStr">
        <is>
          <t>549917/C</t>
        </is>
      </c>
      <c r="F194" s="109" t="inlineStr">
        <is>
          <t>100</t>
        </is>
      </c>
      <c r="G194" s="109" t="inlineStr">
        <is>
          <t>100L651R(D651)CONTROLLO E TARATURA STRUMENTO DI LIVELLO</t>
        </is>
      </c>
      <c r="H194" s="109" t="n"/>
      <c r="I194" s="109" t="n"/>
      <c r="J194" s="109" t="n"/>
      <c r="K194" s="109" t="n"/>
      <c r="L194" s="109" t="n"/>
      <c r="M194" s="110" t="inlineStr">
        <is>
          <t>DA CHIUDERE</t>
        </is>
      </c>
      <c r="N194" s="110" t="n"/>
      <c r="O194" s="110" t="n"/>
      <c r="P194" s="110" t="n"/>
      <c r="Q194" s="110" t="inlineStr">
        <is>
          <t>RIPRISTINATA FUNZIONALITA'</t>
        </is>
      </c>
      <c r="R194" s="151" t="n">
        <v>45905</v>
      </c>
      <c r="S194" s="110" t="inlineStr">
        <is>
          <t>SPINALI</t>
        </is>
      </c>
      <c r="T194" s="109" t="inlineStr"/>
      <c r="U194" s="147" t="n"/>
    </row>
    <row r="195">
      <c r="A195" s="109" t="n"/>
      <c r="B195" s="108" t="n"/>
      <c r="C195" s="109" t="inlineStr"/>
      <c r="D195" s="109" t="inlineStr">
        <is>
          <t>AREA 1</t>
        </is>
      </c>
      <c r="E195" s="109" t="inlineStr">
        <is>
          <t>549920/C</t>
        </is>
      </c>
      <c r="F195" s="109" t="inlineStr">
        <is>
          <t>100</t>
        </is>
      </c>
      <c r="G195" s="109" t="inlineStr">
        <is>
          <t>100T107I(MANDATA P114A/B)CONTROLLO  E ALLINEAMENTO CON SALA CONTROLLO</t>
        </is>
      </c>
      <c r="H195" s="109" t="n"/>
      <c r="I195" s="109" t="n"/>
      <c r="J195" s="109" t="n"/>
      <c r="K195" s="109" t="n"/>
      <c r="L195" s="109" t="n"/>
      <c r="M195" s="110" t="inlineStr">
        <is>
          <t>DA CHIUDERE</t>
        </is>
      </c>
      <c r="N195" s="110" t="n"/>
      <c r="O195" s="110" t="n"/>
      <c r="P195" s="110" t="n"/>
      <c r="Q195" s="110" t="n"/>
      <c r="R195" s="151" t="n">
        <v>45905</v>
      </c>
      <c r="S195" s="110" t="inlineStr">
        <is>
          <t>SPINALI</t>
        </is>
      </c>
      <c r="T195" s="109" t="inlineStr"/>
      <c r="U195" s="147" t="n"/>
    </row>
    <row r="196">
      <c r="A196" s="109" t="n"/>
      <c r="B196" s="108" t="n"/>
      <c r="C196" s="109" t="inlineStr"/>
      <c r="D196" s="109" t="inlineStr">
        <is>
          <t>AREA 1</t>
        </is>
      </c>
      <c r="E196" s="109" t="inlineStr">
        <is>
          <t>550136/C</t>
        </is>
      </c>
      <c r="F196" s="109" t="inlineStr">
        <is>
          <t>100</t>
        </is>
      </c>
      <c r="G196" s="109" t="inlineStr">
        <is>
          <t>100L302HA(D651)CONTROLLO E RIPRISTINO FUNZIONALITA LIVELLOSTATO</t>
        </is>
      </c>
      <c r="H196" s="109" t="n"/>
      <c r="I196" s="109" t="n"/>
      <c r="J196" s="109" t="n"/>
      <c r="K196" s="109" t="n"/>
      <c r="L196" s="109" t="n"/>
      <c r="M196" s="110" t="inlineStr">
        <is>
          <t>DA CHIUDERE</t>
        </is>
      </c>
      <c r="N196" s="110" t="n"/>
      <c r="O196" s="110" t="n"/>
      <c r="P196" s="110" t="n"/>
      <c r="Q196" s="110" t="inlineStr">
        <is>
          <t>RIPRISTINATA FUNZIONALITA'</t>
        </is>
      </c>
      <c r="R196" s="151" t="n">
        <v>45908</v>
      </c>
      <c r="S196" s="110" t="inlineStr">
        <is>
          <t>LOMBARDO</t>
        </is>
      </c>
      <c r="T196" s="109" t="inlineStr"/>
      <c r="U196" s="147" t="n"/>
    </row>
    <row r="197" ht="30" customHeight="1" s="122">
      <c r="A197" s="109" t="n"/>
      <c r="B197" s="108" t="n"/>
      <c r="C197" s="109" t="inlineStr"/>
      <c r="D197" s="109" t="inlineStr">
        <is>
          <t>AREA 1</t>
        </is>
      </c>
      <c r="E197" s="109" t="inlineStr">
        <is>
          <t>550176/C</t>
        </is>
      </c>
      <c r="F197" s="109" t="inlineStr">
        <is>
          <t>100</t>
        </is>
      </c>
      <c r="G197" s="109" t="inlineStr">
        <is>
          <t>100K651A CONTROLLO E RIPRISTINO  PARZIALIZZAZIONE COMPRESSORE PARTE STRUMENTALE</t>
        </is>
      </c>
      <c r="H197" s="109" t="n"/>
      <c r="I197" s="109" t="n"/>
      <c r="J197" s="109" t="n"/>
      <c r="K197" s="109" t="n"/>
      <c r="L197" s="109" t="n"/>
      <c r="M197" s="110" t="inlineStr">
        <is>
          <t>DA CHIUDERE</t>
        </is>
      </c>
      <c r="N197" s="110" t="n"/>
      <c r="O197" s="110" t="n"/>
      <c r="P197" s="110" t="n"/>
      <c r="Q197" s="110" t="n"/>
      <c r="R197" s="151" t="n"/>
      <c r="S197" s="110" t="n"/>
      <c r="T197" s="109" t="inlineStr"/>
      <c r="U197" s="147" t="n"/>
    </row>
    <row r="198" ht="30" customHeight="1" s="122">
      <c r="A198" s="109" t="n"/>
      <c r="B198" s="108" t="n"/>
      <c r="C198" s="109" t="inlineStr"/>
      <c r="D198" s="109" t="inlineStr">
        <is>
          <t>AREA 1</t>
        </is>
      </c>
      <c r="E198" s="109" t="inlineStr">
        <is>
          <t>550665/C</t>
        </is>
      </c>
      <c r="F198" s="109" t="inlineStr">
        <is>
          <t>100</t>
        </is>
      </c>
      <c r="G198" s="109" t="inlineStr">
        <is>
          <t>100P329SD(BASSO DELTA P ASP./MAND. K651A)CONTROLLO E TARATURA STRUMENTO DI PRESSIONE</t>
        </is>
      </c>
      <c r="H198" s="109" t="n"/>
      <c r="I198" s="109" t="n"/>
      <c r="J198" s="109" t="n"/>
      <c r="K198" s="109" t="n"/>
      <c r="L198" s="109" t="n"/>
      <c r="M198" s="110" t="inlineStr">
        <is>
          <t>DA CHIUDERE</t>
        </is>
      </c>
      <c r="N198" s="110" t="n"/>
      <c r="O198" s="110" t="n"/>
      <c r="P198" s="110" t="n"/>
      <c r="Q198" s="110" t="inlineStr">
        <is>
          <t>STRUMENTO PNEUMATICO GUASTO. MONTATO PRESSOSTATO DIFFERENZIALE , ALLINEATO CON SALA CONTROLLO.</t>
        </is>
      </c>
      <c r="R198" s="151" t="n">
        <v>45911</v>
      </c>
      <c r="S198" s="110" t="inlineStr">
        <is>
          <t>SPINALI/LOMBARDO</t>
        </is>
      </c>
      <c r="T198" s="109" t="inlineStr"/>
      <c r="U198" s="147" t="n"/>
    </row>
    <row r="199" ht="30" customHeight="1" s="122">
      <c r="A199" s="109" t="n"/>
      <c r="B199" s="108" t="n"/>
      <c r="C199" s="109" t="inlineStr"/>
      <c r="D199" s="109" t="inlineStr">
        <is>
          <t>AREA 1</t>
        </is>
      </c>
      <c r="E199" s="109" t="inlineStr">
        <is>
          <t>550173/C</t>
        </is>
      </c>
      <c r="F199" s="109" t="inlineStr">
        <is>
          <t>100</t>
        </is>
      </c>
      <c r="G199" s="109" t="inlineStr">
        <is>
          <t>100P3032A_DR DIFFERENZIALE DI PRESSIONE TENUTA K651A CONTROLLO E RIPRISTINO MISURA</t>
        </is>
      </c>
      <c r="H199" s="109" t="n"/>
      <c r="I199" s="109" t="n"/>
      <c r="J199" s="109" t="n"/>
      <c r="K199" s="109" t="n"/>
      <c r="L199" s="109" t="n"/>
      <c r="M199" s="110" t="inlineStr">
        <is>
          <t>DA CHIUDERE</t>
        </is>
      </c>
      <c r="N199" s="110" t="n"/>
      <c r="O199" s="110" t="n"/>
      <c r="P199" s="110" t="n"/>
      <c r="Q199" s="110" t="inlineStr">
        <is>
          <t xml:space="preserve">ATTIVATA TEMINATA IN DATA 15/09/2025. RIPRISTINATA FUNZIONALITÀ </t>
        </is>
      </c>
      <c r="R199" s="151" t="n">
        <v>45915</v>
      </c>
      <c r="S199" s="110" t="inlineStr">
        <is>
          <t>SPINALI</t>
        </is>
      </c>
      <c r="T199" s="109" t="inlineStr"/>
      <c r="U199" s="147" t="n"/>
    </row>
    <row r="200" ht="45" customHeight="1" s="122">
      <c r="A200" s="109" t="n"/>
      <c r="B200" s="108" t="n"/>
      <c r="C200" s="109" t="inlineStr"/>
      <c r="D200" s="109" t="inlineStr">
        <is>
          <t>AREA 1</t>
        </is>
      </c>
      <c r="E200" s="109" t="inlineStr">
        <is>
          <t>550161/C</t>
        </is>
      </c>
      <c r="F200" s="109" t="inlineStr">
        <is>
          <t>100</t>
        </is>
      </c>
      <c r="G200" s="109" t="inlineStr">
        <is>
          <t>01F026RC VAPORE A T105 CONTROLLO E TARATURA STRUMENTO DI PORTATA</t>
        </is>
      </c>
      <c r="H200" s="109" t="n"/>
      <c r="I200" s="109" t="n"/>
      <c r="J200" s="109" t="n"/>
      <c r="K200" s="109" t="n"/>
      <c r="L200" s="109" t="n"/>
      <c r="M200" s="110" t="inlineStr">
        <is>
          <t>DA CHIUDERE</t>
        </is>
      </c>
      <c r="N200" s="110" t="n"/>
      <c r="O200" s="110" t="n"/>
      <c r="P200" s="110" t="n"/>
      <c r="Q200" s="110" t="inlineStr">
        <is>
          <t>PRIMARI TAPPATI, VALVOLE DI RADICI BLOCCATE APERTE. NECESSITA PONTEGGIO X ESEGUIRE ATTIVITÀ., DA PROGRAMMARE A PRIMA FERMATA IMPIANTO</t>
        </is>
      </c>
      <c r="R200" s="151" t="n">
        <v>45916</v>
      </c>
      <c r="S200" s="110" t="inlineStr">
        <is>
          <t>SPINALI</t>
        </is>
      </c>
      <c r="T200" s="109" t="inlineStr"/>
      <c r="U200" s="147" t="n"/>
    </row>
    <row r="201">
      <c r="A201" s="109" t="n"/>
      <c r="B201" s="108" t="n"/>
      <c r="C201" s="109" t="inlineStr"/>
      <c r="D201" s="109" t="inlineStr">
        <is>
          <t>AREA 1</t>
        </is>
      </c>
      <c r="E201" s="109" t="inlineStr">
        <is>
          <t>551966/C</t>
        </is>
      </c>
      <c r="F201" s="109" t="inlineStr">
        <is>
          <t>100</t>
        </is>
      </c>
      <c r="G201" s="109" t="inlineStr">
        <is>
          <t>100P101ARA (ALLARME CUMULATIVO P101A)CONTROLLO E RIPRISTINO FUNZIONALITA</t>
        </is>
      </c>
      <c r="H201" s="109" t="n"/>
      <c r="I201" s="109" t="n"/>
      <c r="J201" s="109" t="n"/>
      <c r="K201" s="109" t="n"/>
      <c r="L201" s="109" t="n"/>
      <c r="M201" s="110" t="inlineStr">
        <is>
          <t>DA CHIUDERE</t>
        </is>
      </c>
      <c r="N201" s="110" t="n"/>
      <c r="O201" s="110" t="n"/>
      <c r="P201" s="110" t="n"/>
      <c r="Q201" s="110" t="inlineStr">
        <is>
          <t>SOSTITUITO PRESSOSTATO POCO RIPETIBILE DI ALLARME E BLOCCO</t>
        </is>
      </c>
      <c r="R201" s="151" t="n">
        <v>45922</v>
      </c>
      <c r="S201" s="110" t="inlineStr">
        <is>
          <t>SPINALI</t>
        </is>
      </c>
      <c r="T201" s="109" t="inlineStr"/>
      <c r="U201" s="147" t="n"/>
    </row>
    <row r="202">
      <c r="A202" s="109" t="n"/>
      <c r="B202" s="108" t="n"/>
      <c r="C202" s="109" t="inlineStr"/>
      <c r="D202" s="109" t="inlineStr">
        <is>
          <t>AREA 1</t>
        </is>
      </c>
      <c r="E202" s="109" t="inlineStr">
        <is>
          <t>550913/C</t>
        </is>
      </c>
      <c r="F202" s="109" t="inlineStr">
        <is>
          <t>400</t>
        </is>
      </c>
      <c r="G202" s="109" t="inlineStr">
        <is>
          <t>400C101B RIPRISTINI STRUMENTALI PER AVVAMENTO COMPRESSORE</t>
        </is>
      </c>
      <c r="H202" s="109" t="n"/>
      <c r="I202" s="109" t="n"/>
      <c r="J202" s="109" t="n"/>
      <c r="K202" s="109" t="n"/>
      <c r="L202" s="109" t="n"/>
      <c r="M202" s="110" t="inlineStr">
        <is>
          <t>EMESSO</t>
        </is>
      </c>
      <c r="N202" s="110" t="n"/>
      <c r="O202" s="110" t="n"/>
      <c r="P202" s="110" t="n"/>
      <c r="Q202" s="110" t="n"/>
      <c r="R202" s="151" t="n"/>
      <c r="S202" s="110" t="n"/>
      <c r="T202" s="109" t="inlineStr"/>
      <c r="U202" s="147" t="n"/>
    </row>
    <row r="203" ht="30" customHeight="1" s="122">
      <c r="A203" s="109" t="n"/>
      <c r="B203" s="109" t="n"/>
      <c r="C203" s="109" t="inlineStr"/>
      <c r="D203" s="109" t="inlineStr">
        <is>
          <t>AREA 1</t>
        </is>
      </c>
      <c r="E203" s="109" t="inlineStr">
        <is>
          <t>545739/C</t>
        </is>
      </c>
      <c r="F203" s="109" t="inlineStr">
        <is>
          <t>400</t>
        </is>
      </c>
      <c r="G203" s="109" t="inlineStr">
        <is>
          <t>400-C401 04L750-G LIVELLO VISIVO MAGNETICO SMONTAGGIO/MONTAGGIO LIVELLO PER RIPRISTINO CRICCHE(CONTROFLANGIARE LE DUE PRESE)</t>
        </is>
      </c>
      <c r="H203" s="109" t="n"/>
      <c r="I203" s="109" t="n"/>
      <c r="J203" s="109" t="n"/>
      <c r="K203" s="109" t="n"/>
      <c r="L203" s="109" t="n"/>
      <c r="M203" s="109" t="inlineStr">
        <is>
          <t>EMESSO</t>
        </is>
      </c>
      <c r="N203" s="109" t="n"/>
      <c r="O203" s="109" t="n"/>
      <c r="P203" s="109" t="n"/>
      <c r="Q203" s="109" t="n"/>
      <c r="R203" s="151" t="n"/>
      <c r="S203" s="109" t="n"/>
      <c r="T203" s="109" t="inlineStr"/>
      <c r="U203" s="109" t="n"/>
    </row>
    <row r="204" ht="30" customHeight="1" s="122">
      <c r="A204" s="109" t="n"/>
      <c r="B204" s="108" t="n"/>
      <c r="C204" s="109" t="inlineStr"/>
      <c r="D204" s="109" t="inlineStr">
        <is>
          <t>AREA 1</t>
        </is>
      </c>
      <c r="E204" s="109" t="inlineStr">
        <is>
          <t>545114/C</t>
        </is>
      </c>
      <c r="F204" s="109" t="inlineStr">
        <is>
          <t>200A</t>
        </is>
      </c>
      <c r="G204" s="109" t="inlineStr">
        <is>
          <t xml:space="preserve">200AL361CV (SCARICO H20 D111)SMONTAGGIO/MONTAGGIO VALVOLA PER  ELIMINAZIONE  OCCLUSIONE O EVENTUALE REVISIONE </t>
        </is>
      </c>
      <c r="H204" s="109" t="n"/>
      <c r="I204" s="109" t="n"/>
      <c r="J204" s="109" t="n"/>
      <c r="K204" s="109" t="n"/>
      <c r="L204" s="109" t="n"/>
      <c r="M204" s="110" t="inlineStr">
        <is>
          <t>EMESSO</t>
        </is>
      </c>
      <c r="N204" s="110" t="n"/>
      <c r="O204" s="110" t="n"/>
      <c r="P204" s="110" t="n"/>
      <c r="Q204" s="110" t="n"/>
      <c r="R204" s="151" t="n"/>
      <c r="S204" s="110" t="n"/>
      <c r="T204" s="109" t="inlineStr"/>
      <c r="U204" s="147" t="n"/>
    </row>
    <row r="205" ht="30" customHeight="1" s="122">
      <c r="A205" s="109" t="n"/>
      <c r="B205" s="109" t="n"/>
      <c r="C205" s="109" t="inlineStr"/>
      <c r="D205" s="109" t="inlineStr">
        <is>
          <t>AREA 1</t>
        </is>
      </c>
      <c r="E205" s="109" t="inlineStr">
        <is>
          <t>544406/C</t>
        </is>
      </c>
      <c r="F205" s="109" t="inlineStr">
        <is>
          <t>400</t>
        </is>
      </c>
      <c r="G205" s="109" t="inlineStr">
        <is>
          <t>400F101 CONTROLLO E RIPRISTINO T605I T606I ED EVENTUALE STRUMENTAZIONE DANNEGGIATA</t>
        </is>
      </c>
      <c r="H205" s="109" t="n"/>
      <c r="I205" s="109" t="n"/>
      <c r="J205" s="109" t="n"/>
      <c r="K205" s="109" t="n"/>
      <c r="L205" s="109" t="n"/>
      <c r="M205" s="109" t="inlineStr">
        <is>
          <t>EMESSO</t>
        </is>
      </c>
      <c r="N205" s="109" t="n"/>
      <c r="O205" s="109" t="n"/>
      <c r="P205" s="109" t="n"/>
      <c r="Q205" s="109" t="n"/>
      <c r="R205" s="151" t="n"/>
      <c r="S205" s="109" t="n"/>
      <c r="T205" s="109" t="inlineStr"/>
      <c r="U205" s="109" t="n"/>
    </row>
    <row r="206" ht="30" customHeight="1" s="122">
      <c r="A206" s="109" t="n"/>
      <c r="B206" s="108" t="n"/>
      <c r="C206" s="109" t="inlineStr"/>
      <c r="D206" s="109" t="inlineStr">
        <is>
          <t>AREA 1</t>
        </is>
      </c>
      <c r="E206" s="109" t="inlineStr">
        <is>
          <t>543478/C</t>
        </is>
      </c>
      <c r="F206" s="109" t="inlineStr">
        <is>
          <t>400</t>
        </is>
      </c>
      <c r="G206" s="109" t="inlineStr">
        <is>
          <t>18000155612  400C401 assistenza macchinisti per montaggio/smontaggio strumentazione a bordo macchina per revisione della stessa</t>
        </is>
      </c>
      <c r="H206" s="109" t="n"/>
      <c r="I206" s="109" t="n"/>
      <c r="J206" s="109" t="n"/>
      <c r="K206" s="109" t="n"/>
      <c r="L206" s="109" t="n"/>
      <c r="M206" s="110" t="inlineStr">
        <is>
          <t>EMESSO</t>
        </is>
      </c>
      <c r="N206" s="110" t="n"/>
      <c r="O206" s="110" t="n"/>
      <c r="P206" s="110" t="n"/>
      <c r="Q206" s="110" t="n"/>
      <c r="R206" s="151" t="n"/>
      <c r="S206" s="110" t="n"/>
      <c r="T206" s="109" t="inlineStr"/>
      <c r="U206" s="147" t="inlineStr">
        <is>
          <t>18000155</t>
        </is>
      </c>
    </row>
    <row r="207" ht="30" customHeight="1" s="122">
      <c r="A207" s="109" t="n"/>
      <c r="B207" s="108" t="n"/>
      <c r="C207" s="109" t="inlineStr"/>
      <c r="D207" s="109" t="inlineStr">
        <is>
          <t>AREA 1</t>
        </is>
      </c>
      <c r="E207" s="109" t="inlineStr">
        <is>
          <t>542240/C</t>
        </is>
      </c>
      <c r="F207" s="109" t="inlineStr">
        <is>
          <t>100</t>
        </is>
      </c>
      <c r="G207" s="109" t="inlineStr">
        <is>
          <t>100P080RC MANDATA P102A/B/C CONTROLLO ED EVENTUALE SOSTITUZIONE STRUMENTO DI PRESSIONE(METTERE I MOS PRIMA DI INIZIARE ATTIVITA)</t>
        </is>
      </c>
      <c r="H207" s="109" t="n"/>
      <c r="I207" s="109" t="n"/>
      <c r="J207" s="109" t="n"/>
      <c r="K207" s="109" t="n"/>
      <c r="L207" s="109" t="n"/>
      <c r="M207" s="110" t="inlineStr">
        <is>
          <t>EMESSO</t>
        </is>
      </c>
      <c r="N207" s="110" t="n"/>
      <c r="O207" s="110" t="n"/>
      <c r="P207" s="110" t="n"/>
      <c r="Q207" s="110" t="inlineStr">
        <is>
          <t>SOSTITUITO STRUMENTO DI PRESSIONE E CONTROLLATA BARRIERA</t>
        </is>
      </c>
      <c r="R207" s="151" t="n">
        <v>45833</v>
      </c>
      <c r="S207" s="110" t="inlineStr">
        <is>
          <t>RICIPUTO/SERRA</t>
        </is>
      </c>
      <c r="T207" s="109" t="inlineStr"/>
      <c r="U207" s="147" t="inlineStr"/>
    </row>
    <row r="208" ht="45" customHeight="1" s="122">
      <c r="A208" s="109" t="n"/>
      <c r="B208" s="108" t="n"/>
      <c r="C208" s="109" t="inlineStr"/>
      <c r="D208" s="109" t="inlineStr">
        <is>
          <t>AREA 1</t>
        </is>
      </c>
      <c r="E208" s="109" t="inlineStr">
        <is>
          <t>540997/C</t>
        </is>
      </c>
      <c r="F208" s="109" t="inlineStr">
        <is>
          <t>100</t>
        </is>
      </c>
      <c r="G208" s="109" t="inlineStr">
        <is>
          <t>100T073I(CAMERA COMBUSTIONE L.EST)100T074I(CAMERA DI COMBUSTIONE L.OVEST)CONTROLLO E RIPRISTINO MISURE DI TEMPERATURE CON ALLINEAMENTO A DCS</t>
        </is>
      </c>
      <c r="H208" s="109" t="n"/>
      <c r="I208" s="109" t="n"/>
      <c r="J208" s="109" t="n"/>
      <c r="K208" s="109" t="n"/>
      <c r="L208" s="109" t="n"/>
      <c r="M208" s="110" t="inlineStr">
        <is>
          <t>EMESSO</t>
        </is>
      </c>
      <c r="N208" s="110" t="n"/>
      <c r="O208" s="110" t="n"/>
      <c r="P208" s="110" t="n"/>
      <c r="Q208" s="110" t="inlineStr">
        <is>
          <t>NESSUNA ANOMALIA RISCONTRATA</t>
        </is>
      </c>
      <c r="R208" s="151" t="n">
        <v>45824</v>
      </c>
      <c r="S208" s="110" t="inlineStr">
        <is>
          <t>SPINALI</t>
        </is>
      </c>
      <c r="T208" s="109" t="inlineStr"/>
      <c r="U208" s="147" t="inlineStr"/>
    </row>
    <row r="209">
      <c r="A209" s="109" t="n"/>
      <c r="B209" s="108" t="n"/>
      <c r="C209" s="109" t="inlineStr"/>
      <c r="D209" s="109" t="inlineStr">
        <is>
          <t>AREA 1</t>
        </is>
      </c>
      <c r="E209" s="109" t="inlineStr">
        <is>
          <t>540858/C</t>
        </is>
      </c>
      <c r="F209" s="109" t="inlineStr">
        <is>
          <t>100</t>
        </is>
      </c>
      <c r="G209" s="109" t="inlineStr">
        <is>
          <t>01T264I(USCITA MANTELLO E109D)CONTROLLO E RIPRISTINO MISURA DI TEMPERATURA</t>
        </is>
      </c>
      <c r="H209" s="109" t="n"/>
      <c r="I209" s="109" t="n"/>
      <c r="J209" s="109" t="n"/>
      <c r="K209" s="109" t="n"/>
      <c r="L209" s="109" t="n"/>
      <c r="M209" s="110" t="inlineStr">
        <is>
          <t>EMESSO</t>
        </is>
      </c>
      <c r="N209" s="110" t="n"/>
      <c r="O209" s="110" t="n"/>
      <c r="P209" s="110" t="n"/>
      <c r="Q209" s="110" t="n"/>
      <c r="R209" s="151" t="n"/>
      <c r="S209" s="110" t="n"/>
      <c r="T209" s="109" t="inlineStr"/>
      <c r="U209" s="147" t="inlineStr"/>
    </row>
    <row r="210">
      <c r="A210" s="109" t="n"/>
      <c r="B210" s="109" t="inlineStr">
        <is>
          <t>X</t>
        </is>
      </c>
      <c r="C210" s="109" t="inlineStr"/>
      <c r="D210" s="109" t="inlineStr">
        <is>
          <t>AREA 1</t>
        </is>
      </c>
      <c r="E210" s="109" t="inlineStr">
        <is>
          <t>540661/C</t>
        </is>
      </c>
      <c r="F210" s="109" t="inlineStr">
        <is>
          <t>200</t>
        </is>
      </c>
      <c r="G210" s="109" t="inlineStr">
        <is>
          <t>200F023RC CONTROLLO E RIPRISTINO FUNZIONALITA PORTATA</t>
        </is>
      </c>
      <c r="H210" s="109" t="n"/>
      <c r="I210" s="109" t="n"/>
      <c r="J210" s="109" t="n"/>
      <c r="K210" s="109" t="n"/>
      <c r="L210" s="109" t="n"/>
      <c r="M210" s="109" t="inlineStr">
        <is>
          <t>EMESSO</t>
        </is>
      </c>
      <c r="N210" s="109" t="n"/>
      <c r="O210" s="109" t="n"/>
      <c r="P210" s="109" t="n"/>
      <c r="Q210" s="109" t="n"/>
      <c r="R210" s="151" t="n"/>
      <c r="S210" s="109" t="n"/>
      <c r="T210" s="109" t="inlineStr"/>
      <c r="U210" s="109" t="inlineStr"/>
    </row>
    <row r="211">
      <c r="A211" s="109" t="n"/>
      <c r="B211" s="108" t="inlineStr">
        <is>
          <t>X</t>
        </is>
      </c>
      <c r="C211" s="109" t="inlineStr"/>
      <c r="D211" s="109" t="inlineStr">
        <is>
          <t>AREA 1</t>
        </is>
      </c>
      <c r="E211" s="109" t="inlineStr">
        <is>
          <t>534413/C</t>
        </is>
      </c>
      <c r="F211" s="109" t="inlineStr">
        <is>
          <t>200A</t>
        </is>
      </c>
      <c r="G211" s="109" t="inlineStr">
        <is>
          <t>200AL352RC RIFACIMENTO STAFFAGGIO SU STRUMENTO</t>
        </is>
      </c>
      <c r="H211" s="109" t="n"/>
      <c r="I211" s="109" t="n"/>
      <c r="J211" s="109" t="n"/>
      <c r="K211" s="109" t="n"/>
      <c r="L211" s="109" t="n"/>
      <c r="M211" s="110" t="inlineStr">
        <is>
          <t>EMESSO</t>
        </is>
      </c>
      <c r="N211" s="110" t="n"/>
      <c r="O211" s="110" t="n"/>
      <c r="P211" s="110" t="n"/>
      <c r="Q211" s="110" t="inlineStr">
        <is>
          <t>RIPRISTINATA FUNZIONALITA'</t>
        </is>
      </c>
      <c r="R211" s="151" t="n">
        <v>45771</v>
      </c>
      <c r="S211" s="110" t="inlineStr">
        <is>
          <t>MILLO</t>
        </is>
      </c>
      <c r="T211" s="109" t="inlineStr"/>
      <c r="U211" s="147" t="inlineStr"/>
    </row>
    <row r="212" ht="30" customHeight="1" s="122">
      <c r="A212" s="109" t="n"/>
      <c r="B212" s="108" t="inlineStr">
        <is>
          <t>X</t>
        </is>
      </c>
      <c r="C212" s="109" t="inlineStr"/>
      <c r="D212" s="109" t="inlineStr">
        <is>
          <t>AREA 1</t>
        </is>
      </c>
      <c r="E212" s="109" t="inlineStr">
        <is>
          <t>537644/C</t>
        </is>
      </c>
      <c r="F212" s="109" t="inlineStr">
        <is>
          <t>200</t>
        </is>
      </c>
      <c r="G212" s="109" t="inlineStr">
        <is>
          <t>200T003RC FONDO T101 CONTROLLO E RIPRISTINO TEMPERATURA</t>
        </is>
      </c>
      <c r="H212" s="109" t="n"/>
      <c r="I212" s="109" t="n"/>
      <c r="J212" s="109" t="n"/>
      <c r="K212" s="109" t="n"/>
      <c r="L212" s="109" t="n"/>
      <c r="M212" s="110" t="inlineStr">
        <is>
          <t>EMESSO</t>
        </is>
      </c>
      <c r="N212" s="110" t="n"/>
      <c r="O212" s="110" t="n"/>
      <c r="P212" s="110" t="n"/>
      <c r="Q212" s="110" t="n"/>
      <c r="R212" s="151" t="n">
        <v>45798</v>
      </c>
      <c r="S212" s="110" t="inlineStr">
        <is>
          <t>SPINALI/MANSERVIGI</t>
        </is>
      </c>
      <c r="T212" s="109" t="inlineStr"/>
      <c r="U212" s="147" t="inlineStr"/>
    </row>
    <row r="213" ht="30" customHeight="1" s="122">
      <c r="A213" s="109" t="n"/>
      <c r="B213" s="108" t="n"/>
      <c r="C213" s="109" t="inlineStr"/>
      <c r="D213" s="109" t="inlineStr">
        <is>
          <t>AREA 1</t>
        </is>
      </c>
      <c r="E213" s="109" t="inlineStr">
        <is>
          <t>537506/C</t>
        </is>
      </c>
      <c r="F213" s="109" t="inlineStr">
        <is>
          <t>900</t>
        </is>
      </c>
      <c r="G213" s="109" t="inlineStr">
        <is>
          <t>900 - F011RC (CARICA A T103)CONTROLLO E RIPRISTINO FUNZIONALITA PORTATA</t>
        </is>
      </c>
      <c r="H213" s="109" t="n"/>
      <c r="I213" s="109" t="n"/>
      <c r="J213" s="109" t="n"/>
      <c r="K213" s="109" t="n"/>
      <c r="L213" s="109" t="n"/>
      <c r="M213" s="110" t="inlineStr">
        <is>
          <t>EMESSO</t>
        </is>
      </c>
      <c r="N213" s="110" t="n"/>
      <c r="O213" s="110" t="n"/>
      <c r="P213" s="110" t="n"/>
      <c r="Q213" s="110" t="n"/>
      <c r="R213" s="151" t="n"/>
      <c r="S213" s="110" t="inlineStr">
        <is>
          <t>22/05/2025 00:00:00</t>
        </is>
      </c>
      <c r="T213" s="109" t="inlineStr"/>
      <c r="U213" s="147" t="inlineStr"/>
    </row>
    <row r="214">
      <c r="A214" s="109" t="n"/>
      <c r="B214" s="109" t="inlineStr">
        <is>
          <t>X</t>
        </is>
      </c>
      <c r="C214" s="109" t="inlineStr"/>
      <c r="D214" s="109" t="inlineStr">
        <is>
          <t>AREA 1</t>
        </is>
      </c>
      <c r="E214" s="109" t="inlineStr">
        <is>
          <t>536445/C</t>
        </is>
      </c>
      <c r="F214" s="109" t="inlineStr">
        <is>
          <t>400</t>
        </is>
      </c>
      <c r="G214" s="109" t="inlineStr">
        <is>
          <t>400 - T700/T703R CONTROLLO TEMPERATURE ED ALLINEAMENTO CON SALA CONTROLLO</t>
        </is>
      </c>
      <c r="H214" s="109" t="n"/>
      <c r="I214" s="109" t="n"/>
      <c r="J214" s="109" t="n"/>
      <c r="K214" s="109" t="n"/>
      <c r="L214" s="109" t="n"/>
      <c r="M214" s="109" t="inlineStr">
        <is>
          <t>EMESSO</t>
        </is>
      </c>
      <c r="N214" s="109" t="n"/>
      <c r="O214" s="109" t="n"/>
      <c r="P214" s="109" t="n"/>
      <c r="Q214" s="109" t="n"/>
      <c r="R214" s="151" t="n"/>
      <c r="S214" s="109" t="n"/>
      <c r="T214" s="109" t="inlineStr"/>
      <c r="U214" s="109" t="inlineStr"/>
    </row>
    <row r="215">
      <c r="A215" s="109" t="n"/>
      <c r="B215" s="108" t="inlineStr">
        <is>
          <t>X</t>
        </is>
      </c>
      <c r="C215" s="109" t="inlineStr"/>
      <c r="D215" s="109" t="inlineStr">
        <is>
          <t>AREA 1</t>
        </is>
      </c>
      <c r="E215" s="109" t="inlineStr">
        <is>
          <t>529745/C</t>
        </is>
      </c>
      <c r="F215" s="109" t="inlineStr">
        <is>
          <t>300</t>
        </is>
      </c>
      <c r="G215" s="109" t="inlineStr">
        <is>
          <t>300 - T011I (TREAT GAS A F101)RIPRISTINO FUNZIONALITA TEMPERATURA</t>
        </is>
      </c>
      <c r="H215" s="109" t="n"/>
      <c r="I215" s="109" t="n"/>
      <c r="J215" s="109" t="n"/>
      <c r="K215" s="109" t="n"/>
      <c r="L215" s="109" t="n"/>
      <c r="M215" s="110" t="inlineStr">
        <is>
          <t>EMESSO</t>
        </is>
      </c>
      <c r="N215" s="110" t="n"/>
      <c r="O215" s="110" t="n"/>
      <c r="P215" s="110" t="n"/>
      <c r="Q215" s="110" t="inlineStr">
        <is>
          <t>NESSUNA LAVORAZIONE, DA FARE</t>
        </is>
      </c>
      <c r="R215" s="151" t="n"/>
      <c r="S215" s="110" t="n"/>
      <c r="T215" s="109" t="inlineStr"/>
      <c r="U215" s="147" t="inlineStr"/>
    </row>
    <row r="216" ht="30" customHeight="1" s="122">
      <c r="A216" s="109" t="n"/>
      <c r="B216" s="108" t="inlineStr">
        <is>
          <t>X</t>
        </is>
      </c>
      <c r="C216" s="109" t="inlineStr"/>
      <c r="D216" s="109" t="inlineStr">
        <is>
          <t>AREA 1</t>
        </is>
      </c>
      <c r="E216" s="109" t="inlineStr">
        <is>
          <t>535720/C</t>
        </is>
      </c>
      <c r="F216" s="109" t="inlineStr">
        <is>
          <t>100</t>
        </is>
      </c>
      <c r="G216" s="109" t="inlineStr">
        <is>
          <t>100 - P103B CONTROLLO DI TARATURA 01T268BHA 01T269BSH ALLARME E BLOCCO ALTA TEMPERATURA OLIO LUBE</t>
        </is>
      </c>
      <c r="H216" s="109" t="n"/>
      <c r="I216" s="109" t="n"/>
      <c r="J216" s="109" t="n"/>
      <c r="K216" s="109" t="n"/>
      <c r="L216" s="109" t="n"/>
      <c r="M216" s="110" t="inlineStr">
        <is>
          <t>EMESSO</t>
        </is>
      </c>
      <c r="N216" s="110" t="n"/>
      <c r="O216" s="110" t="n"/>
      <c r="P216" s="110" t="n"/>
      <c r="Q216" s="110" t="inlineStr">
        <is>
          <t>ESERCIZIO ALLA FINE NON HA VOLUTO IL CONTROLL0</t>
        </is>
      </c>
      <c r="R216" s="151" t="n">
        <v>45785</v>
      </c>
      <c r="S216" s="110" t="n"/>
      <c r="T216" s="109" t="inlineStr"/>
      <c r="U216" s="147" t="inlineStr"/>
    </row>
    <row r="217" ht="30" customHeight="1" s="122">
      <c r="A217" s="109" t="n"/>
      <c r="B217" s="109" t="inlineStr">
        <is>
          <t>X</t>
        </is>
      </c>
      <c r="C217" s="109" t="inlineStr"/>
      <c r="D217" s="109" t="inlineStr">
        <is>
          <t>AREA 1</t>
        </is>
      </c>
      <c r="E217" s="109" t="inlineStr">
        <is>
          <t>535807/C</t>
        </is>
      </c>
      <c r="F217" s="109" t="inlineStr">
        <is>
          <t>100</t>
        </is>
      </c>
      <c r="G217" s="109" t="inlineStr">
        <is>
          <t>100 - F039CV (BENZINA AD E102A/B)CONTROLLO E RIPRISTINO FUNZIONALITA VALVOLA</t>
        </is>
      </c>
      <c r="H217" s="109" t="n"/>
      <c r="I217" s="109" t="n"/>
      <c r="J217" s="109" t="n"/>
      <c r="K217" s="109" t="n"/>
      <c r="L217" s="109" t="n"/>
      <c r="M217" s="109" t="inlineStr">
        <is>
          <t>EMESSO</t>
        </is>
      </c>
      <c r="N217" s="109" t="n"/>
      <c r="O217" s="109" t="n"/>
      <c r="P217" s="109" t="n"/>
      <c r="Q217" s="109" t="n"/>
      <c r="R217" s="151" t="n">
        <v>45788</v>
      </c>
      <c r="S217" s="109" t="inlineStr">
        <is>
          <t>TARASCIO/PARTESANO</t>
        </is>
      </c>
      <c r="T217" s="109" t="inlineStr"/>
      <c r="U217" s="109" t="inlineStr"/>
    </row>
    <row r="218" ht="30" customHeight="1" s="122">
      <c r="A218" s="109" t="n"/>
      <c r="B218" s="109" t="inlineStr">
        <is>
          <t>X</t>
        </is>
      </c>
      <c r="C218" s="109" t="inlineStr"/>
      <c r="D218" s="109" t="inlineStr">
        <is>
          <t>AREA 1</t>
        </is>
      </c>
      <c r="E218" s="109" t="inlineStr">
        <is>
          <t>536439/C</t>
        </is>
      </c>
      <c r="F218" s="109" t="inlineStr">
        <is>
          <t>100</t>
        </is>
      </c>
      <c r="G218" s="109" t="inlineStr">
        <is>
          <t>100 - K651A RIMONTAGGIO E MESSA IN SERVIZIO SONDA DI VIBRAZIONE 01VBMABI(LATO SR)</t>
        </is>
      </c>
      <c r="H218" s="109" t="n"/>
      <c r="I218" s="109" t="n"/>
      <c r="J218" s="109" t="n"/>
      <c r="K218" s="109" t="n"/>
      <c r="L218" s="109" t="n"/>
      <c r="M218" s="109" t="inlineStr">
        <is>
          <t>EMESSO</t>
        </is>
      </c>
      <c r="N218" s="109" t="n"/>
      <c r="O218" s="109" t="n"/>
      <c r="P218" s="109" t="n"/>
      <c r="Q218" s="109" t="inlineStr">
        <is>
          <t>ESEGUITA SOSTITUZIONE SONDA CONNETTORE RIMANE IN FAULT PER PROBLEMA SCHEDA DI ACQUISIZIONE SCHEDA</t>
        </is>
      </c>
      <c r="R218" s="151" t="n">
        <v>45792</v>
      </c>
      <c r="S218" s="109" t="inlineStr">
        <is>
          <t>SPINALI/PARTESANO</t>
        </is>
      </c>
      <c r="T218" s="109" t="inlineStr"/>
      <c r="U218" s="109" t="inlineStr"/>
    </row>
    <row r="219">
      <c r="A219" s="109" t="n"/>
      <c r="B219" s="108" t="inlineStr">
        <is>
          <t>X</t>
        </is>
      </c>
      <c r="C219" s="109" t="inlineStr"/>
      <c r="D219" s="109" t="inlineStr">
        <is>
          <t>AREA 1</t>
        </is>
      </c>
      <c r="E219" s="109" t="inlineStr">
        <is>
          <t>536778/C</t>
        </is>
      </c>
      <c r="F219" s="109" t="inlineStr">
        <is>
          <t>300</t>
        </is>
      </c>
      <c r="G219" s="109" t="inlineStr">
        <is>
          <t>300 - 300P103A SMONTAGGIO STRUMENTAZIONE SU BARILOTTI TENUTA POMPE</t>
        </is>
      </c>
      <c r="H219" s="109" t="n"/>
      <c r="I219" s="109" t="n"/>
      <c r="J219" s="109" t="n"/>
      <c r="K219" s="109" t="n"/>
      <c r="L219" s="109" t="n"/>
      <c r="M219" s="110" t="inlineStr">
        <is>
          <t>EMESSO</t>
        </is>
      </c>
      <c r="N219" s="110" t="n"/>
      <c r="O219" s="110" t="n"/>
      <c r="P219" s="110" t="n"/>
      <c r="Q219" s="110" t="n"/>
      <c r="R219" s="151" t="n"/>
      <c r="S219" s="110" t="n"/>
      <c r="T219" s="109" t="inlineStr"/>
      <c r="U219" s="147" t="inlineStr"/>
    </row>
    <row r="220" ht="30" customHeight="1" s="122">
      <c r="A220" s="109" t="n"/>
      <c r="B220" s="108" t="n"/>
      <c r="C220" s="109" t="inlineStr"/>
      <c r="D220" s="109" t="inlineStr">
        <is>
          <t>AREA 1</t>
        </is>
      </c>
      <c r="E220" s="109" t="inlineStr">
        <is>
          <t>538036/C</t>
        </is>
      </c>
      <c r="F220" s="109" t="inlineStr">
        <is>
          <t>200</t>
        </is>
      </c>
      <c r="G220" s="109" t="inlineStr">
        <is>
          <t>200 - T019HA(USCITA PASSO 2 F102)CONTROLLO E RIPRISTINO TEMPERATURA</t>
        </is>
      </c>
      <c r="H220" s="109" t="n"/>
      <c r="I220" s="109" t="n"/>
      <c r="J220" s="109" t="n"/>
      <c r="K220" s="109" t="n"/>
      <c r="L220" s="109" t="n"/>
      <c r="M220" s="110" t="inlineStr">
        <is>
          <t>EMESSO</t>
        </is>
      </c>
      <c r="N220" s="110" t="n"/>
      <c r="O220" s="110" t="n"/>
      <c r="P220" s="110" t="n"/>
      <c r="Q220" s="110" t="n"/>
      <c r="R220" s="151" t="n">
        <v>45804</v>
      </c>
      <c r="S220" s="110" t="inlineStr">
        <is>
          <t>SPINALI/GARRO S.</t>
        </is>
      </c>
      <c r="T220" s="109" t="inlineStr"/>
      <c r="U220" s="147" t="inlineStr"/>
    </row>
    <row r="221" ht="30" customHeight="1" s="122">
      <c r="A221" s="109" t="n"/>
      <c r="B221" s="109" t="inlineStr">
        <is>
          <t>X</t>
        </is>
      </c>
      <c r="C221" s="109" t="inlineStr"/>
      <c r="D221" s="109" t="inlineStr">
        <is>
          <t>AREA 1</t>
        </is>
      </c>
      <c r="E221" s="109" t="inlineStr">
        <is>
          <t>540210/C</t>
        </is>
      </c>
      <c r="F221" s="109" t="inlineStr">
        <is>
          <t>900</t>
        </is>
      </c>
      <c r="G221" s="109" t="inlineStr">
        <is>
          <t>900P031SH (T101) CONTROLLO E RIPRISTINO FUNZIONALITA PRESSOSTATO(METTERE IL MOS PRIMA DI INIZIARE ATTIVITA)</t>
        </is>
      </c>
      <c r="H221" s="109" t="n"/>
      <c r="I221" s="109" t="n"/>
      <c r="J221" s="109" t="n"/>
      <c r="K221" s="109" t="n"/>
      <c r="L221" s="109" t="n"/>
      <c r="M221" s="109" t="inlineStr">
        <is>
          <t>EMESSO</t>
        </is>
      </c>
      <c r="N221" s="109" t="n"/>
      <c r="O221" s="109" t="n"/>
      <c r="P221" s="109" t="n"/>
      <c r="Q221" s="109" t="n"/>
      <c r="R221" s="151" t="n">
        <v>45818</v>
      </c>
      <c r="S221" s="109" t="inlineStr">
        <is>
          <t>MILLO</t>
        </is>
      </c>
      <c r="T221" s="109" t="inlineStr"/>
      <c r="U221" s="109" t="inlineStr"/>
    </row>
    <row r="222" ht="30" customHeight="1" s="122">
      <c r="A222" s="109" t="n"/>
      <c r="B222" s="109" t="n"/>
      <c r="C222" s="109" t="inlineStr"/>
      <c r="D222" s="109" t="inlineStr">
        <is>
          <t>AREA 1</t>
        </is>
      </c>
      <c r="E222" s="109" t="inlineStr">
        <is>
          <t>539641/C</t>
        </is>
      </c>
      <c r="F222" s="109" t="inlineStr">
        <is>
          <t>200</t>
        </is>
      </c>
      <c r="G222" s="109" t="inlineStr">
        <is>
          <t>200 - T010HA(USCITA PASSO 1 F101)CONTROLLO LOOP DI TEMPERATURA E ALLINEAMENTO CON SALA CONTROLLO</t>
        </is>
      </c>
      <c r="H222" s="109" t="n"/>
      <c r="I222" s="109" t="n"/>
      <c r="J222" s="109" t="n"/>
      <c r="K222" s="109" t="n"/>
      <c r="L222" s="109" t="n"/>
      <c r="M222" s="109" t="inlineStr">
        <is>
          <t>EMESSO</t>
        </is>
      </c>
      <c r="N222" s="109" t="n"/>
      <c r="O222" s="109" t="n"/>
      <c r="P222" s="109" t="n"/>
      <c r="Q222" s="109" t="n"/>
      <c r="R222" s="151" t="n"/>
      <c r="S222" s="109" t="n"/>
      <c r="T222" s="109" t="inlineStr"/>
      <c r="U222" s="109" t="inlineStr"/>
    </row>
    <row r="223" ht="45" customHeight="1" s="122">
      <c r="A223" s="109" t="n"/>
      <c r="B223" s="108" t="n"/>
      <c r="C223" s="109" t="inlineStr"/>
      <c r="D223" s="109" t="inlineStr">
        <is>
          <t>AREA 1</t>
        </is>
      </c>
      <c r="E223" s="109" t="inlineStr">
        <is>
          <t>541863/C</t>
        </is>
      </c>
      <c r="F223" s="109" t="inlineStr">
        <is>
          <t>100</t>
        </is>
      </c>
      <c r="G223" s="109" t="inlineStr">
        <is>
          <t>01F035RC(VAPORE STRIPP. T103)CONTROLLO LOOP DI REGOLAZIONE PER MISURA SOTTOSTIMATA</t>
        </is>
      </c>
      <c r="H223" s="109" t="n"/>
      <c r="I223" s="109" t="n"/>
      <c r="J223" s="109" t="n"/>
      <c r="K223" s="109" t="n"/>
      <c r="L223" s="109" t="n"/>
      <c r="M223" s="110" t="inlineStr">
        <is>
          <t>EMESSO</t>
        </is>
      </c>
      <c r="N223" s="110" t="n"/>
      <c r="O223" s="110" t="n"/>
      <c r="P223" s="110" t="n"/>
      <c r="Q223" s="110" t="inlineStr">
        <is>
          <t>TROVATO CONVERTITORE I/P IN DISPERSIONE. DA SOSTITUIRE.
SOSTITUITO CONVERTITORE ED ALLINEATA REGOLATRICE</t>
        </is>
      </c>
      <c r="R223" s="151" t="n">
        <v>45831</v>
      </c>
      <c r="S223" s="110" t="inlineStr">
        <is>
          <t>TARASCIO/PARTESANO/GARRO</t>
        </is>
      </c>
      <c r="T223" s="109" t="inlineStr"/>
      <c r="U223" s="147" t="inlineStr"/>
    </row>
    <row r="224" ht="30" customHeight="1" s="122">
      <c r="A224" s="109" t="n"/>
      <c r="B224" s="108" t="n"/>
      <c r="C224" s="109" t="inlineStr"/>
      <c r="D224" s="109" t="inlineStr">
        <is>
          <t>AREA 1</t>
        </is>
      </c>
      <c r="E224" s="109" t="inlineStr">
        <is>
          <t>542381/C</t>
        </is>
      </c>
      <c r="F224" s="109" t="inlineStr">
        <is>
          <t>100</t>
        </is>
      </c>
      <c r="G224" s="109" t="inlineStr">
        <is>
          <t>100F101 ASSISTENZA STRUMENTALE CON APERTURA CASSETTE ADF PER SISTEMA SOFFIATURA</t>
        </is>
      </c>
      <c r="H224" s="109" t="n"/>
      <c r="I224" s="109" t="n"/>
      <c r="J224" s="109" t="n"/>
      <c r="K224" s="109" t="n"/>
      <c r="L224" s="109" t="n"/>
      <c r="M224" s="110" t="inlineStr">
        <is>
          <t>EMESSO</t>
        </is>
      </c>
      <c r="N224" s="110" t="n"/>
      <c r="O224" s="110" t="n"/>
      <c r="P224" s="110" t="n"/>
      <c r="Q224" s="110" t="n"/>
      <c r="R224" s="151" t="n"/>
      <c r="S224" s="110" t="n"/>
      <c r="T224" s="109" t="inlineStr"/>
      <c r="U224" s="147" t="inlineStr"/>
    </row>
    <row r="225">
      <c r="A225" s="109" t="n"/>
      <c r="B225" s="108" t="n"/>
      <c r="C225" s="109" t="inlineStr"/>
      <c r="D225" s="109" t="inlineStr">
        <is>
          <t>AREA 1</t>
        </is>
      </c>
      <c r="E225" s="109" t="inlineStr">
        <is>
          <t>542194/C</t>
        </is>
      </c>
      <c r="F225" s="109" t="inlineStr">
        <is>
          <t>400</t>
        </is>
      </c>
      <c r="G225" s="109" t="inlineStr">
        <is>
          <t>400T165RC INGRESSO E164 CONTROLLO E RIPRISTINO MISURA DI TEMPERATURA</t>
        </is>
      </c>
      <c r="H225" s="109" t="n"/>
      <c r="I225" s="109" t="n"/>
      <c r="J225" s="109" t="n"/>
      <c r="K225" s="109" t="n"/>
      <c r="L225" s="109" t="n"/>
      <c r="M225" s="110" t="inlineStr">
        <is>
          <t>EMESSO</t>
        </is>
      </c>
      <c r="N225" s="110" t="n"/>
      <c r="O225" s="110" t="n"/>
      <c r="P225" s="110" t="n"/>
      <c r="Q225" s="110" t="n"/>
      <c r="R225" s="151" t="n"/>
      <c r="S225" s="110" t="n"/>
      <c r="T225" s="109" t="inlineStr"/>
      <c r="U225" s="147" t="inlineStr"/>
    </row>
    <row r="226" ht="30" customHeight="1" s="122">
      <c r="A226" s="109" t="n"/>
      <c r="B226" s="109" t="n"/>
      <c r="C226" s="109" t="inlineStr"/>
      <c r="D226" s="109" t="inlineStr">
        <is>
          <t>AREA 1</t>
        </is>
      </c>
      <c r="E226" s="109" t="inlineStr">
        <is>
          <t>542198/C</t>
        </is>
      </c>
      <c r="F226" s="109" t="inlineStr">
        <is>
          <t>300</t>
        </is>
      </c>
      <c r="G226" s="109" t="inlineStr">
        <is>
          <t>300T009RC FONDO STRIPPER E108 CONTROLLO MISURA DI TEMPERATURA E ALLINEAMENTO CON SALA CONTROLLO</t>
        </is>
      </c>
      <c r="H226" s="109" t="n"/>
      <c r="I226" s="109" t="n"/>
      <c r="J226" s="109" t="n"/>
      <c r="K226" s="109" t="n"/>
      <c r="L226" s="109" t="n"/>
      <c r="M226" s="109" t="inlineStr">
        <is>
          <t>EMESSO</t>
        </is>
      </c>
      <c r="N226" s="109" t="n"/>
      <c r="O226" s="109" t="n"/>
      <c r="P226" s="109" t="n"/>
      <c r="Q226" s="109" t="inlineStr">
        <is>
          <t>ATTESA MODIFICA PONTEGGIO PER POTER ISPEZIONARE IL TERMOELEMENTO</t>
        </is>
      </c>
      <c r="R226" s="151" t="n">
        <v>45841</v>
      </c>
      <c r="S226" s="109" t="inlineStr">
        <is>
          <t>TARASCIO</t>
        </is>
      </c>
      <c r="T226" s="109" t="inlineStr"/>
      <c r="U226" s="147" t="inlineStr"/>
    </row>
    <row r="227" ht="30" customHeight="1" s="122">
      <c r="A227" s="109" t="n"/>
      <c r="B227" s="108" t="n"/>
      <c r="C227" s="109" t="inlineStr"/>
      <c r="D227" s="109" t="inlineStr">
        <is>
          <t>AREA 1</t>
        </is>
      </c>
      <c r="E227" s="109" t="inlineStr">
        <is>
          <t>542834/C</t>
        </is>
      </c>
      <c r="F227" s="109" t="inlineStr">
        <is>
          <t>100</t>
        </is>
      </c>
      <c r="G227" s="109" t="inlineStr">
        <is>
          <t>100P3032A_DR DIFFERENZIALE DI PRESSIONE TENUTA K651A CONTROLLO E RIPRISTINO MISURA</t>
        </is>
      </c>
      <c r="H227" s="109" t="n"/>
      <c r="I227" s="109" t="n"/>
      <c r="J227" s="109" t="n"/>
      <c r="K227" s="109" t="n"/>
      <c r="L227" s="109" t="n"/>
      <c r="M227" s="110" t="inlineStr">
        <is>
          <t>EMESSO</t>
        </is>
      </c>
      <c r="N227" s="110" t="n"/>
      <c r="O227" s="110" t="n"/>
      <c r="P227" s="110" t="n"/>
      <c r="Q227" s="110" t="n"/>
      <c r="R227" s="151" t="n"/>
      <c r="S227" s="110" t="n"/>
      <c r="T227" s="109" t="inlineStr"/>
      <c r="U227" s="147" t="inlineStr"/>
    </row>
    <row r="228" ht="30" customHeight="1" s="122">
      <c r="A228" s="109" t="n"/>
      <c r="B228" s="108" t="n"/>
      <c r="C228" s="109" t="inlineStr"/>
      <c r="D228" s="109" t="inlineStr">
        <is>
          <t>AREA 1</t>
        </is>
      </c>
      <c r="E228" s="109" t="inlineStr">
        <is>
          <t>544276/C</t>
        </is>
      </c>
      <c r="F228" s="109" t="inlineStr">
        <is>
          <t>400</t>
        </is>
      </c>
      <c r="G228" s="109" t="inlineStr">
        <is>
          <t>400C401 RIMONTAGGIO SONDE DI TEMPERATURA E REGOLAZIONE SENSORE  ABBASSAMENTO ASTA</t>
        </is>
      </c>
      <c r="H228" s="109" t="n"/>
      <c r="I228" s="109" t="n"/>
      <c r="J228" s="109" t="n"/>
      <c r="K228" s="109" t="n"/>
      <c r="L228" s="109" t="n"/>
      <c r="M228" s="110" t="inlineStr">
        <is>
          <t>EMESSO</t>
        </is>
      </c>
      <c r="N228" s="110" t="n"/>
      <c r="O228" s="110" t="n"/>
      <c r="P228" s="110" t="n"/>
      <c r="Q228" s="110" t="n"/>
      <c r="R228" s="151" t="n"/>
      <c r="S228" s="110" t="n"/>
      <c r="T228" s="109" t="inlineStr"/>
      <c r="U228" s="147" t="n"/>
    </row>
    <row r="229" ht="30" customHeight="1" s="122">
      <c r="A229" s="109" t="n"/>
      <c r="B229" s="109" t="n"/>
      <c r="C229" s="109" t="inlineStr"/>
      <c r="D229" s="109" t="inlineStr">
        <is>
          <t>AREA 1</t>
        </is>
      </c>
      <c r="E229" s="109" t="inlineStr">
        <is>
          <t>544814/C</t>
        </is>
      </c>
      <c r="F229" s="109" t="inlineStr">
        <is>
          <t>400</t>
        </is>
      </c>
      <c r="G229" s="109" t="inlineStr">
        <is>
          <t>400L325CV( Scarico acqua a unit 1400 da 400-D158 )CONTROLLO E RIPRISTINO VALVOLA SE NECESSITA SI PREVEDE SMONTAGGIO/MONTAGGIO PER REVISIONE</t>
        </is>
      </c>
      <c r="H229" s="109" t="n"/>
      <c r="I229" s="109" t="n"/>
      <c r="J229" s="109" t="n"/>
      <c r="K229" s="109" t="n"/>
      <c r="L229" s="109" t="n"/>
      <c r="M229" s="109" t="inlineStr">
        <is>
          <t>EMESSO</t>
        </is>
      </c>
      <c r="N229" s="109" t="n"/>
      <c r="O229" s="109" t="n"/>
      <c r="P229" s="109" t="n"/>
      <c r="Q229" s="109" t="n"/>
      <c r="R229" s="151" t="n"/>
      <c r="S229" s="109" t="n"/>
      <c r="T229" s="109" t="inlineStr"/>
      <c r="U229" s="109" t="n"/>
    </row>
    <row r="230" ht="30" customHeight="1" s="122">
      <c r="A230" s="109" t="n"/>
      <c r="B230" s="109" t="n"/>
      <c r="C230" s="109" t="inlineStr"/>
      <c r="D230" s="109" t="inlineStr">
        <is>
          <t>AREA 1</t>
        </is>
      </c>
      <c r="E230" s="109" t="inlineStr">
        <is>
          <t>544809/C</t>
        </is>
      </c>
      <c r="F230" s="109" t="inlineStr">
        <is>
          <t>200A</t>
        </is>
      </c>
      <c r="G230" s="109" t="inlineStr">
        <is>
          <t>200AF457RC (RIFLUSSO T301) CONTROLLO ED ELIMINAZIONE PERDITA SU STRUMENTO DI PORTATA</t>
        </is>
      </c>
      <c r="H230" s="109" t="n"/>
      <c r="I230" s="109" t="n"/>
      <c r="J230" s="109" t="n"/>
      <c r="K230" s="109" t="n"/>
      <c r="L230" s="109" t="n"/>
      <c r="M230" s="109" t="inlineStr">
        <is>
          <t>EMESSO</t>
        </is>
      </c>
      <c r="N230" s="109" t="n"/>
      <c r="O230" s="109" t="n"/>
      <c r="P230" s="109" t="n"/>
      <c r="Q230" s="109" t="n"/>
      <c r="R230" s="151" t="n"/>
      <c r="S230" s="109" t="n"/>
      <c r="T230" s="109" t="inlineStr"/>
      <c r="U230" s="147" t="n"/>
    </row>
    <row r="231" ht="30" customHeight="1" s="122">
      <c r="A231" s="109" t="n"/>
      <c r="B231" s="108" t="n"/>
      <c r="C231" s="109" t="inlineStr"/>
      <c r="D231" s="109" t="inlineStr">
        <is>
          <t>AREA 1</t>
        </is>
      </c>
      <c r="E231" s="109" t="inlineStr">
        <is>
          <t>545191/C</t>
        </is>
      </c>
      <c r="F231" s="109" t="inlineStr">
        <is>
          <t>200A</t>
        </is>
      </c>
      <c r="G231" s="109" t="inlineStr">
        <is>
          <t>200AL351IC(SEPARATORE CALDO D301) 200AL352IC(SEPARATORE FREDDO D302)CONTROLLO E RIPRISTINO FUNZIONALITA LIVELLI</t>
        </is>
      </c>
      <c r="H231" s="109" t="n"/>
      <c r="I231" s="109" t="n"/>
      <c r="J231" s="109" t="n"/>
      <c r="K231" s="109" t="n"/>
      <c r="L231" s="109" t="n"/>
      <c r="M231" s="110" t="inlineStr">
        <is>
          <t>EMESSO</t>
        </is>
      </c>
      <c r="N231" s="110" t="n"/>
      <c r="O231" s="110" t="n"/>
      <c r="P231" s="110" t="n"/>
      <c r="Q231" s="110" t="n"/>
      <c r="R231" s="151" t="n"/>
      <c r="S231" s="110" t="n"/>
      <c r="T231" s="109" t="inlineStr"/>
      <c r="U231" s="147" t="n"/>
    </row>
    <row r="232">
      <c r="A232" s="109" t="n"/>
      <c r="B232" s="108" t="n"/>
      <c r="C232" s="109" t="inlineStr"/>
      <c r="D232" s="109" t="inlineStr">
        <is>
          <t>AREA 1</t>
        </is>
      </c>
      <c r="E232" s="109" t="inlineStr">
        <is>
          <t>545172/C</t>
        </is>
      </c>
      <c r="F232" s="109" t="inlineStr">
        <is>
          <t>100</t>
        </is>
      </c>
      <c r="G232" s="109" t="inlineStr">
        <is>
          <t>100F354R (CARICA A STR 301) CONTROLLO DI TARATURA STRUMENTO DI PORTATA</t>
        </is>
      </c>
      <c r="H232" s="109" t="n"/>
      <c r="I232" s="109" t="n"/>
      <c r="J232" s="109" t="n"/>
      <c r="K232" s="109" t="n"/>
      <c r="L232" s="109" t="n"/>
      <c r="M232" s="110" t="inlineStr">
        <is>
          <t>EMESSO</t>
        </is>
      </c>
      <c r="N232" s="110" t="n"/>
      <c r="O232" s="110" t="n"/>
      <c r="P232" s="110" t="n"/>
      <c r="Q232" s="110" t="n"/>
      <c r="R232" s="151" t="n"/>
      <c r="S232" s="110" t="n"/>
      <c r="T232" s="109" t="inlineStr"/>
      <c r="U232" s="147" t="n"/>
    </row>
    <row r="233">
      <c r="A233" s="109" t="n"/>
      <c r="B233" s="109" t="n"/>
      <c r="C233" s="109" t="inlineStr"/>
      <c r="D233" s="109" t="inlineStr">
        <is>
          <t>AREA 1</t>
        </is>
      </c>
      <c r="E233" s="109" t="inlineStr">
        <is>
          <t>545175/C</t>
        </is>
      </c>
      <c r="F233" s="109" t="inlineStr">
        <is>
          <t>100</t>
        </is>
      </c>
      <c r="G233" s="109" t="inlineStr">
        <is>
          <t>100F031RC (GOL A STOCCAGGIO) CONTROLLO DI TARATURA STRUMENTO DI PORTATA</t>
        </is>
      </c>
      <c r="H233" s="109" t="n"/>
      <c r="I233" s="109" t="n"/>
      <c r="J233" s="109" t="n"/>
      <c r="K233" s="109" t="n"/>
      <c r="L233" s="109" t="n"/>
      <c r="M233" s="109" t="inlineStr">
        <is>
          <t>EMESSO</t>
        </is>
      </c>
      <c r="N233" s="109" t="n"/>
      <c r="O233" s="109" t="n"/>
      <c r="P233" s="109" t="n"/>
      <c r="Q233" s="109" t="n"/>
      <c r="R233" s="151" t="n"/>
      <c r="S233" s="109" t="n"/>
      <c r="T233" s="109" t="inlineStr"/>
      <c r="U233" s="109" t="n"/>
    </row>
    <row r="234" ht="30" customHeight="1" s="122">
      <c r="A234" s="109" t="n"/>
      <c r="B234" s="109" t="n"/>
      <c r="C234" s="109" t="inlineStr"/>
      <c r="D234" s="109" t="inlineStr">
        <is>
          <t>AREA 1</t>
        </is>
      </c>
      <c r="E234" s="109" t="inlineStr">
        <is>
          <t>545499/C</t>
        </is>
      </c>
      <c r="F234" s="109" t="inlineStr">
        <is>
          <t>400</t>
        </is>
      </c>
      <c r="G234" s="109" t="inlineStr">
        <is>
          <t>400L011IC LIVELLO T102 CONTROLLO LOOP DI REGOLAZIONE PARTENDO DALLA VALVOLA</t>
        </is>
      </c>
      <c r="H234" s="109" t="n"/>
      <c r="I234" s="109" t="n"/>
      <c r="J234" s="109" t="n"/>
      <c r="K234" s="109" t="n"/>
      <c r="L234" s="109" t="n"/>
      <c r="M234" s="110" t="inlineStr">
        <is>
          <t>EMESSO</t>
        </is>
      </c>
      <c r="N234" s="110" t="n"/>
      <c r="O234" s="110" t="n"/>
      <c r="P234" s="110" t="n"/>
      <c r="Q234" s="110" t="inlineStr">
        <is>
          <t>LA VALVOLA REGOLATRICE AVEVA IL LINK DEL POSIZIONATORE STACCATO. RIPRISTINATO, LOOP IN REGOLAZIONE.</t>
        </is>
      </c>
      <c r="R234" s="151" t="n">
        <v>45861</v>
      </c>
      <c r="S234" s="110" t="inlineStr">
        <is>
          <t>MILLO</t>
        </is>
      </c>
      <c r="T234" s="109" t="inlineStr"/>
      <c r="U234" s="147" t="n"/>
    </row>
    <row r="235" ht="30" customHeight="1" s="122">
      <c r="A235" s="109" t="n"/>
      <c r="B235" s="108" t="n"/>
      <c r="C235" s="109" t="inlineStr"/>
      <c r="D235" s="109" t="inlineStr">
        <is>
          <t>AREA 1</t>
        </is>
      </c>
      <c r="E235" s="109" t="inlineStr">
        <is>
          <t>545173/C</t>
        </is>
      </c>
      <c r="F235" s="109" t="inlineStr">
        <is>
          <t>200A</t>
        </is>
      </c>
      <c r="G235" s="109" t="inlineStr">
        <is>
          <t>200AF390RC (CARICA LIQUIDA A FORNO) CONTROLLO DI TARATURA STRUMENTO DI PORTATA(METTERE MOS PRIMA DI INIZIARE ATTIVITA)</t>
        </is>
      </c>
      <c r="H235" s="109" t="n"/>
      <c r="I235" s="109" t="n"/>
      <c r="J235" s="109" t="n"/>
      <c r="K235" s="109" t="n"/>
      <c r="L235" s="109" t="n"/>
      <c r="M235" s="110" t="inlineStr">
        <is>
          <t>EMESSO</t>
        </is>
      </c>
      <c r="N235" s="110" t="n"/>
      <c r="O235" s="110" t="n"/>
      <c r="P235" s="110" t="n"/>
      <c r="Q235" s="110" t="n"/>
      <c r="R235" s="151" t="n"/>
      <c r="S235" s="110" t="n"/>
      <c r="T235" s="109" t="inlineStr"/>
      <c r="U235" s="147" t="n"/>
    </row>
    <row r="236" ht="30" customHeight="1" s="122">
      <c r="A236" s="109" t="n"/>
      <c r="B236" s="108" t="n"/>
      <c r="C236" s="109" t="inlineStr"/>
      <c r="D236" s="109" t="inlineStr">
        <is>
          <t>AREA 1</t>
        </is>
      </c>
      <c r="E236" s="109" t="inlineStr">
        <is>
          <t>545174/C</t>
        </is>
      </c>
      <c r="F236" s="109" t="inlineStr">
        <is>
          <t>200A</t>
        </is>
      </c>
      <c r="G236" s="109" t="inlineStr">
        <is>
          <t>200AF379RC (CARICA LIQUIDA A FORNO) CONTROLLO DI TARATURA STRUMENTO DI PORTATA(METTERE MOS PRIMA DI INIZIARE ATTIVITA)</t>
        </is>
      </c>
      <c r="H236" s="109" t="n"/>
      <c r="I236" s="109" t="n"/>
      <c r="J236" s="109" t="n"/>
      <c r="K236" s="109" t="n"/>
      <c r="L236" s="109" t="n"/>
      <c r="M236" s="110" t="inlineStr">
        <is>
          <t>EMESSO</t>
        </is>
      </c>
      <c r="N236" s="110" t="n"/>
      <c r="O236" s="110" t="n"/>
      <c r="P236" s="110" t="n"/>
      <c r="Q236" s="110" t="n"/>
      <c r="R236" s="151" t="n"/>
      <c r="S236" s="110" t="n"/>
      <c r="T236" s="109" t="inlineStr"/>
      <c r="U236" s="147" t="n"/>
    </row>
    <row r="237" ht="45" customHeight="1" s="122">
      <c r="A237" s="109" t="n"/>
      <c r="B237" s="108" t="n"/>
      <c r="C237" s="109" t="inlineStr"/>
      <c r="D237" s="109" t="inlineStr">
        <is>
          <t>AREA 1</t>
        </is>
      </c>
      <c r="E237" s="109" t="inlineStr">
        <is>
          <t>544999/C</t>
        </is>
      </c>
      <c r="F237" s="109" t="inlineStr">
        <is>
          <t>200</t>
        </is>
      </c>
      <c r="G237" s="109" t="inlineStr">
        <is>
          <t>200F152BR (VAPORE LS DA IMPIANTO) CONTROLLO E RIPRISTINO FUNZIONALITA PORTATA CON INTERVENTO SU PRESE DI RADICE FLANGIA TARATA</t>
        </is>
      </c>
      <c r="H237" s="109" t="n"/>
      <c r="I237" s="109" t="n"/>
      <c r="J237" s="109" t="n"/>
      <c r="K237" s="109" t="n"/>
      <c r="L237" s="109" t="n"/>
      <c r="M237" s="110" t="inlineStr">
        <is>
          <t>EMESSO</t>
        </is>
      </c>
      <c r="N237" s="110" t="n"/>
      <c r="O237" s="110" t="n"/>
      <c r="P237" s="110" t="n"/>
      <c r="Q237" s="110" t="inlineStr">
        <is>
          <t>VERIFICA PRESE, RIEMPIMENTO CON H20, AZZERAMENTO STRUMENTO ( STRUMENTO IN COMUNE CON 200F152R BIDIREZIONALE )</t>
        </is>
      </c>
      <c r="R237" s="151" t="n">
        <v>45868</v>
      </c>
      <c r="S237" s="110" t="inlineStr">
        <is>
          <t>TARASCIO</t>
        </is>
      </c>
      <c r="T237" s="109" t="inlineStr"/>
      <c r="U237" s="147" t="n"/>
    </row>
    <row r="238">
      <c r="A238" s="109" t="n"/>
      <c r="B238" s="108" t="n"/>
      <c r="C238" s="109" t="inlineStr"/>
      <c r="D238" s="109" t="inlineStr">
        <is>
          <t>AREA 1</t>
        </is>
      </c>
      <c r="E238" s="109" t="inlineStr">
        <is>
          <t>547118/C</t>
        </is>
      </c>
      <c r="F238" s="109" t="inlineStr">
        <is>
          <t>400</t>
        </is>
      </c>
      <c r="G238" s="109" t="inlineStr">
        <is>
          <t>400-T102 RIMONTAGGIO SU PALINA ACCESSORI VALVOLE L 011CV- L020BV</t>
        </is>
      </c>
      <c r="H238" s="109" t="n"/>
      <c r="I238" s="109" t="n"/>
      <c r="J238" s="109" t="n"/>
      <c r="K238" s="109" t="n"/>
      <c r="L238" s="109" t="n"/>
      <c r="M238" s="110" t="inlineStr">
        <is>
          <t>EMESSO</t>
        </is>
      </c>
      <c r="N238" s="110" t="n"/>
      <c r="O238" s="110" t="n"/>
      <c r="P238" s="110" t="n"/>
      <c r="Q238" s="110" t="n"/>
      <c r="R238" s="151" t="n"/>
      <c r="S238" s="110" t="n"/>
      <c r="T238" s="109" t="inlineStr"/>
      <c r="U238" s="147" t="n"/>
    </row>
    <row r="239">
      <c r="A239" s="109" t="n"/>
      <c r="B239" s="108" t="n"/>
      <c r="C239" s="109" t="inlineStr"/>
      <c r="D239" s="109" t="inlineStr">
        <is>
          <t>AREA 1</t>
        </is>
      </c>
      <c r="E239" s="109" t="inlineStr">
        <is>
          <t>547126/C</t>
        </is>
      </c>
      <c r="F239" s="109" t="inlineStr">
        <is>
          <t>100</t>
        </is>
      </c>
      <c r="G239" s="109" t="inlineStr">
        <is>
          <t>10228065     100 FRC 026 controllo e ripristino</t>
        </is>
      </c>
      <c r="H239" s="109" t="n"/>
      <c r="I239" s="109" t="n"/>
      <c r="J239" s="109" t="n"/>
      <c r="K239" s="109" t="n"/>
      <c r="L239" s="109" t="n"/>
      <c r="M239" s="110" t="inlineStr">
        <is>
          <t>EMESSO</t>
        </is>
      </c>
      <c r="N239" s="110" t="n"/>
      <c r="O239" s="110" t="n"/>
      <c r="P239" s="110" t="n"/>
      <c r="Q239" s="110" t="n"/>
      <c r="R239" s="151" t="n"/>
      <c r="S239" s="110" t="n"/>
      <c r="T239" s="109" t="inlineStr"/>
      <c r="U239" s="147" t="n"/>
    </row>
    <row r="240" ht="30" customHeight="1" s="122">
      <c r="A240" s="109" t="n"/>
      <c r="B240" s="108" t="n"/>
      <c r="C240" s="109" t="inlineStr"/>
      <c r="D240" s="109" t="inlineStr">
        <is>
          <t>AREA 1</t>
        </is>
      </c>
      <c r="E240" s="109" t="inlineStr">
        <is>
          <t>550231/C</t>
        </is>
      </c>
      <c r="F240" s="109" t="inlineStr">
        <is>
          <t>100</t>
        </is>
      </c>
      <c r="G240" s="109" t="inlineStr">
        <is>
          <t>100P102C CONTROLLO ALLARME CUMILATIVO BASSA PRESSIONE OLIO DI LUBRIFICAZIONE</t>
        </is>
      </c>
      <c r="H240" s="109" t="n"/>
      <c r="I240" s="109" t="n"/>
      <c r="J240" s="109" t="n"/>
      <c r="K240" s="109" t="n"/>
      <c r="L240" s="109" t="n"/>
      <c r="M240" s="110" t="inlineStr">
        <is>
          <t>EMESSO</t>
        </is>
      </c>
      <c r="N240" s="110" t="n"/>
      <c r="O240" s="110" t="n"/>
      <c r="P240" s="110" t="n"/>
      <c r="Q240" s="110" t="n"/>
      <c r="R240" s="151" t="n"/>
      <c r="S240" s="110" t="n"/>
      <c r="T240" s="109" t="inlineStr"/>
      <c r="U240" s="147" t="n"/>
    </row>
    <row r="241" ht="30" customHeight="1" s="122">
      <c r="A241" s="109" t="n"/>
      <c r="B241" s="109" t="n"/>
      <c r="C241" s="109" t="inlineStr"/>
      <c r="D241" s="109" t="inlineStr">
        <is>
          <t>AREA 1</t>
        </is>
      </c>
      <c r="E241" s="109" t="inlineStr">
        <is>
          <t>550162/C</t>
        </is>
      </c>
      <c r="F241" s="109" t="inlineStr">
        <is>
          <t>900</t>
        </is>
      </c>
      <c r="G241" s="109" t="inlineStr">
        <is>
          <t>900P004CV(TESTA T102)CONTROLLO E RIPRISTINO FUNZIONALITA VALVOLA(SI MUOVE SCATTI)</t>
        </is>
      </c>
      <c r="H241" s="109" t="n"/>
      <c r="I241" s="109" t="n"/>
      <c r="J241" s="109" t="n"/>
      <c r="K241" s="109" t="n"/>
      <c r="L241" s="109" t="n"/>
      <c r="M241" s="109" t="inlineStr">
        <is>
          <t>EMESSO</t>
        </is>
      </c>
      <c r="N241" s="109" t="n"/>
      <c r="O241" s="109" t="n"/>
      <c r="P241" s="109" t="n"/>
      <c r="Q241" s="109" t="n"/>
      <c r="R241" s="151" t="n"/>
      <c r="S241" s="109" t="n"/>
      <c r="T241" s="109" t="inlineStr"/>
      <c r="U241" s="109" t="n"/>
    </row>
    <row r="242" ht="30" customHeight="1" s="122">
      <c r="A242" s="109" t="n"/>
      <c r="B242" s="109" t="n"/>
      <c r="C242" s="109" t="inlineStr"/>
      <c r="D242" s="109" t="inlineStr">
        <is>
          <t>AREA 1</t>
        </is>
      </c>
      <c r="E242" s="109" t="inlineStr">
        <is>
          <t>545495/C</t>
        </is>
      </c>
      <c r="F242" s="109" t="inlineStr">
        <is>
          <t>100</t>
        </is>
      </c>
      <c r="G242" s="109" t="inlineStr">
        <is>
          <t>100F022RC VAPORE STRIPPAGGIO FONDO T101 CONTROLLO E RIPRISTINO FUNZIONALITA PORTATA</t>
        </is>
      </c>
      <c r="H242" s="109" t="n"/>
      <c r="I242" s="109" t="n"/>
      <c r="J242" s="109" t="n"/>
      <c r="K242" s="109" t="n"/>
      <c r="L242" s="109" t="n"/>
      <c r="M242" s="109" t="inlineStr">
        <is>
          <t>EMESSO</t>
        </is>
      </c>
      <c r="N242" s="109" t="n"/>
      <c r="O242" s="109" t="n"/>
      <c r="P242" s="109" t="n"/>
      <c r="Q242" s="109" t="inlineStr">
        <is>
          <t>SOSTITUITO STRUMENTO, SOSTITUITA BARRIERA. LA MISURA CONTINUA AD ESSERE NEGATIVA, BISOGNA TROVARE IL GUASTO.</t>
        </is>
      </c>
      <c r="R242" s="151" t="n">
        <v>45862</v>
      </c>
      <c r="S242" s="109" t="inlineStr">
        <is>
          <t>SPINALI/PARTESANO</t>
        </is>
      </c>
      <c r="T242" s="109" t="inlineStr"/>
      <c r="U242" s="109" t="n"/>
    </row>
    <row r="243">
      <c r="A243" s="109" t="n"/>
      <c r="B243" s="109" t="n"/>
      <c r="C243" s="109" t="inlineStr"/>
      <c r="D243" s="109" t="inlineStr">
        <is>
          <t>AREA 1</t>
        </is>
      </c>
      <c r="E243" s="109" t="inlineStr">
        <is>
          <t>550767/C</t>
        </is>
      </c>
      <c r="F243" s="109" t="inlineStr">
        <is>
          <t>100</t>
        </is>
      </c>
      <c r="G243" s="109" t="inlineStr">
        <is>
          <t>100P317LA(ASP.D1)   100P334LA(ASP. D3) CONTROLLO E TARATURA PRESSOSTATI</t>
        </is>
      </c>
      <c r="H243" s="109" t="n"/>
      <c r="I243" s="109" t="n"/>
      <c r="J243" s="109" t="n"/>
      <c r="K243" s="109" t="n"/>
      <c r="L243" s="109" t="n"/>
      <c r="M243" s="109" t="inlineStr">
        <is>
          <t>EMESSO</t>
        </is>
      </c>
      <c r="N243" s="109" t="n"/>
      <c r="O243" s="109" t="n"/>
      <c r="P243" s="109" t="n"/>
      <c r="Q243" s="109" t="n"/>
      <c r="R243" s="151" t="n"/>
      <c r="S243" s="109" t="n"/>
      <c r="T243" s="109" t="inlineStr"/>
      <c r="U243" s="109" t="n"/>
    </row>
    <row r="244">
      <c r="A244" s="109" t="n"/>
      <c r="B244" s="108" t="n"/>
      <c r="C244" s="109" t="inlineStr"/>
      <c r="D244" s="109" t="inlineStr">
        <is>
          <t>AREA 1</t>
        </is>
      </c>
      <c r="E244" s="109" t="inlineStr">
        <is>
          <t>551957/C</t>
        </is>
      </c>
      <c r="F244" s="109" t="inlineStr">
        <is>
          <t>300</t>
        </is>
      </c>
      <c r="G244" s="109" t="inlineStr">
        <is>
          <t>300P007CV CONTROLLO E RIPRISTINO VALVOLA E LOOP DI REGOLAZIONE LOCALE</t>
        </is>
      </c>
      <c r="H244" s="109" t="n"/>
      <c r="I244" s="109" t="n"/>
      <c r="J244" s="109" t="n"/>
      <c r="K244" s="109" t="n"/>
      <c r="L244" s="109" t="n"/>
      <c r="M244" s="110" t="inlineStr">
        <is>
          <t>EMESSO</t>
        </is>
      </c>
      <c r="N244" s="110" t="n"/>
      <c r="O244" s="110" t="n"/>
      <c r="P244" s="110" t="n"/>
      <c r="Q244" s="110" t="n"/>
      <c r="R244" s="151" t="n"/>
      <c r="S244" s="110" t="n"/>
      <c r="T244" s="109" t="inlineStr"/>
      <c r="U244" s="147" t="n"/>
    </row>
    <row r="245" ht="30" customHeight="1" s="122">
      <c r="A245" s="109" t="n"/>
      <c r="B245" s="108" t="n"/>
      <c r="C245" s="109" t="inlineStr"/>
      <c r="D245" s="109" t="inlineStr">
        <is>
          <t>AREA 1</t>
        </is>
      </c>
      <c r="E245" s="109" t="inlineStr">
        <is>
          <t>551099/C</t>
        </is>
      </c>
      <c r="F245" s="109" t="inlineStr">
        <is>
          <t>400</t>
        </is>
      </c>
      <c r="G245" s="109" t="inlineStr">
        <is>
          <t>400T213I (C101B CUSCINETTI) CONTROLLO E RIPRISTINO LOOP DI TEMPERATURA</t>
        </is>
      </c>
      <c r="H245" s="109" t="n"/>
      <c r="I245" s="109" t="n"/>
      <c r="J245" s="109" t="n"/>
      <c r="K245" s="109" t="n"/>
      <c r="L245" s="109" t="n"/>
      <c r="M245" s="110" t="inlineStr">
        <is>
          <t>EMESSO</t>
        </is>
      </c>
      <c r="N245" s="110" t="n"/>
      <c r="O245" s="110" t="n"/>
      <c r="P245" s="110" t="n"/>
      <c r="Q245" s="110" t="inlineStr">
        <is>
          <t>TERMORESISTENZA NON TROVATA SULL'APPARECCHIATURA, ATTIVITÀ PROGRAMMATA PER DOMANI 18 SETTEMBRE</t>
        </is>
      </c>
      <c r="R245" s="151" t="n">
        <v>45917</v>
      </c>
      <c r="S245" s="110" t="inlineStr">
        <is>
          <t>SPINALI</t>
        </is>
      </c>
      <c r="T245" s="109" t="inlineStr"/>
      <c r="U245" s="147" t="n"/>
    </row>
    <row r="246" ht="30" customHeight="1" s="122">
      <c r="A246" s="109" t="n"/>
      <c r="B246" s="108" t="n"/>
      <c r="C246" s="109" t="inlineStr"/>
      <c r="D246" s="109" t="inlineStr">
        <is>
          <t>AREA 1</t>
        </is>
      </c>
      <c r="E246" s="109" t="inlineStr">
        <is>
          <t>552663/C</t>
        </is>
      </c>
      <c r="F246" s="109" t="inlineStr">
        <is>
          <t>100</t>
        </is>
      </c>
      <c r="G246" s="109" t="inlineStr">
        <is>
          <t>100K651A PASSAGGIO E POSA CAVI CON  CABLAGGIO IN CASSETTA PER RIPRISTINO SISTEMA DI VIBRAZIONI</t>
        </is>
      </c>
      <c r="H246" s="109" t="n"/>
      <c r="I246" s="109" t="n"/>
      <c r="J246" s="109" t="n"/>
      <c r="K246" s="109" t="n"/>
      <c r="L246" s="109" t="n"/>
      <c r="M246" s="110" t="inlineStr">
        <is>
          <t>EMESSO</t>
        </is>
      </c>
      <c r="N246" s="110" t="n"/>
      <c r="O246" s="110" t="n"/>
      <c r="P246" s="110" t="n"/>
      <c r="Q246" s="110" t="n"/>
      <c r="R246" s="151" t="n"/>
      <c r="S246" s="110" t="n"/>
      <c r="T246" s="109" t="inlineStr"/>
      <c r="U246" s="147" t="n"/>
    </row>
    <row r="247" ht="30" customHeight="1" s="122">
      <c r="A247" s="109" t="n"/>
      <c r="B247" s="109" t="n"/>
      <c r="C247" s="109" t="inlineStr">
        <is>
          <t>X</t>
        </is>
      </c>
      <c r="D247" s="109" t="inlineStr">
        <is>
          <t>AREA 1</t>
        </is>
      </c>
      <c r="E247" s="109" t="inlineStr">
        <is>
          <t>552918/C</t>
        </is>
      </c>
      <c r="F247" s="109" t="inlineStr">
        <is>
          <t>200</t>
        </is>
      </c>
      <c r="G247" s="109" t="inlineStr">
        <is>
          <t>200F008R(FUEL GAS F101)  200F033R(FUEL GAS F102)CONTROLLO  E TARATURA STRUMENTI DI PORTATA</t>
        </is>
      </c>
      <c r="H247" s="109" t="inlineStr">
        <is>
          <t>X</t>
        </is>
      </c>
      <c r="I247" s="109" t="inlineStr">
        <is>
          <t>X</t>
        </is>
      </c>
      <c r="J247" s="109" t="n"/>
      <c r="K247" s="109" t="n"/>
      <c r="L247" s="109" t="n"/>
      <c r="M247" s="109" t="inlineStr">
        <is>
          <t>EMESSO</t>
        </is>
      </c>
      <c r="N247" s="109" t="n"/>
      <c r="O247" s="109" t="n"/>
      <c r="P247" s="109" t="n"/>
      <c r="Q247" s="109" t="n"/>
      <c r="R247" s="151" t="n"/>
      <c r="S247" s="109" t="n"/>
      <c r="T247" s="109" t="inlineStr">
        <is>
          <t>X</t>
        </is>
      </c>
      <c r="U247" s="109" t="n"/>
    </row>
    <row r="248">
      <c r="A248" s="109" t="n"/>
      <c r="B248" s="109" t="n"/>
      <c r="C248" s="109" t="inlineStr">
        <is>
          <t>X</t>
        </is>
      </c>
      <c r="D248" s="109" t="inlineStr">
        <is>
          <t>AREA 1</t>
        </is>
      </c>
      <c r="E248" s="109" t="inlineStr">
        <is>
          <t>552930/C</t>
        </is>
      </c>
      <c r="F248" s="109" t="inlineStr">
        <is>
          <t>400</t>
        </is>
      </c>
      <c r="G248" s="109" t="inlineStr">
        <is>
          <t>400L152IC (LIVELLO T151)CONTROLLO E RIPRISTINO LOOP DI REGOLAZIONE</t>
        </is>
      </c>
      <c r="H248" s="109" t="inlineStr">
        <is>
          <t>X</t>
        </is>
      </c>
      <c r="I248" s="109" t="inlineStr">
        <is>
          <t>X</t>
        </is>
      </c>
      <c r="J248" s="109" t="n"/>
      <c r="K248" s="109" t="n"/>
      <c r="L248" s="109" t="n"/>
      <c r="M248" s="109" t="inlineStr">
        <is>
          <t>EMESSO</t>
        </is>
      </c>
      <c r="N248" s="109" t="n"/>
      <c r="O248" s="109" t="n"/>
      <c r="P248" s="109" t="n"/>
      <c r="Q248" s="109" t="n"/>
      <c r="R248" s="151" t="n"/>
      <c r="S248" s="109" t="n"/>
      <c r="T248" s="109" t="inlineStr">
        <is>
          <t>X</t>
        </is>
      </c>
      <c r="U248" s="109" t="n"/>
    </row>
    <row r="249" ht="30" customHeight="1" s="122">
      <c r="A249" s="109" t="n"/>
      <c r="B249" s="109" t="n"/>
      <c r="C249" s="109" t="inlineStr">
        <is>
          <t>X</t>
        </is>
      </c>
      <c r="D249" s="109" t="inlineStr">
        <is>
          <t>AREA 1</t>
        </is>
      </c>
      <c r="E249" s="109" t="inlineStr">
        <is>
          <t>552707/C</t>
        </is>
      </c>
      <c r="F249" s="109" t="inlineStr">
        <is>
          <t>400</t>
        </is>
      </c>
      <c r="G249" s="109" t="inlineStr">
        <is>
          <t xml:space="preserve">FERMATA U400 SCOLLEGAMENTO E SUCCESSIV0 RICOLEGGAMENTO ED EVENTUALI PROVE DI FUNZIONALITA 04F604A/B/C 04F607A/B/C CARICA GASOILIO PASSO 1 E 2 </t>
        </is>
      </c>
      <c r="H249" s="109" t="inlineStr">
        <is>
          <t>X</t>
        </is>
      </c>
      <c r="I249" s="109" t="inlineStr">
        <is>
          <t>X</t>
        </is>
      </c>
      <c r="J249" s="109" t="inlineStr">
        <is>
          <t>X</t>
        </is>
      </c>
      <c r="K249" s="109" t="inlineStr">
        <is>
          <t>X</t>
        </is>
      </c>
      <c r="L249" s="109" t="inlineStr">
        <is>
          <t>X</t>
        </is>
      </c>
      <c r="M249" s="110" t="inlineStr">
        <is>
          <t>EMESSO</t>
        </is>
      </c>
      <c r="N249" s="110" t="n"/>
      <c r="O249" s="110" t="n"/>
      <c r="P249" s="110" t="n"/>
      <c r="Q249" s="110" t="n"/>
      <c r="R249" s="151" t="n"/>
      <c r="S249" s="110" t="n"/>
      <c r="T249" s="109" t="inlineStr">
        <is>
          <t>X</t>
        </is>
      </c>
      <c r="U249" s="147" t="n"/>
    </row>
    <row r="250" ht="45" customHeight="1" s="122">
      <c r="A250" s="109" t="n"/>
      <c r="B250" s="108" t="n"/>
      <c r="C250" s="109" t="inlineStr">
        <is>
          <t>X</t>
        </is>
      </c>
      <c r="D250" s="109" t="inlineStr">
        <is>
          <t>AREA 1</t>
        </is>
      </c>
      <c r="E250" s="109" t="inlineStr">
        <is>
          <t>552712/C</t>
        </is>
      </c>
      <c r="F250" s="109" t="inlineStr">
        <is>
          <t>400</t>
        </is>
      </c>
      <c r="G250" s="109" t="inlineStr">
        <is>
          <t>FERMATA U400 SCOLLEGAMENTO ELETTROPNEUMATICO E SUCCESSIV0 RICOLEGGAMENTO CON ALLINEAMENTO CON SALA CONTROLLO VALVOLE F604CV  F607CV PER REVISIONE.CARICO E SCARICO VALVOLE A BORDO STRADA IMPIANTO</t>
        </is>
      </c>
      <c r="H250" s="109" t="inlineStr">
        <is>
          <t>X</t>
        </is>
      </c>
      <c r="I250" s="109" t="inlineStr">
        <is>
          <t>X</t>
        </is>
      </c>
      <c r="J250" s="109" t="inlineStr">
        <is>
          <t>X</t>
        </is>
      </c>
      <c r="K250" s="109" t="inlineStr">
        <is>
          <t>X</t>
        </is>
      </c>
      <c r="L250" s="109" t="inlineStr">
        <is>
          <t>X</t>
        </is>
      </c>
      <c r="M250" s="110" t="inlineStr">
        <is>
          <t>EMESSO</t>
        </is>
      </c>
      <c r="N250" s="110" t="n"/>
      <c r="O250" s="110" t="n"/>
      <c r="P250" s="110" t="n"/>
      <c r="Q250" s="110" t="n"/>
      <c r="R250" s="151" t="n"/>
      <c r="S250" s="110" t="n"/>
      <c r="T250" s="109" t="inlineStr">
        <is>
          <t>X</t>
        </is>
      </c>
      <c r="U250" s="147" t="n"/>
    </row>
    <row r="251" ht="30" customHeight="1" s="122">
      <c r="A251" s="109" t="n"/>
      <c r="B251" s="109" t="n"/>
      <c r="C251" s="109" t="inlineStr">
        <is>
          <t>X</t>
        </is>
      </c>
      <c r="D251" s="109" t="inlineStr">
        <is>
          <t>AREA 1</t>
        </is>
      </c>
      <c r="E251" s="109" t="inlineStr">
        <is>
          <t>552715/C</t>
        </is>
      </c>
      <c r="F251" s="109" t="inlineStr">
        <is>
          <t>400</t>
        </is>
      </c>
      <c r="G251" s="109" t="inlineStr">
        <is>
          <t>FERMATA U400 SCOLLEGAMENTO E SUCCESSIVO RICOLLEGAMENTO TERMOCOPPIE PER DECOKING SU F101</t>
        </is>
      </c>
      <c r="H251" s="109" t="inlineStr">
        <is>
          <t>X</t>
        </is>
      </c>
      <c r="I251" s="109" t="inlineStr">
        <is>
          <t>X</t>
        </is>
      </c>
      <c r="J251" s="109" t="inlineStr">
        <is>
          <t>X</t>
        </is>
      </c>
      <c r="K251" s="109" t="inlineStr">
        <is>
          <t>X</t>
        </is>
      </c>
      <c r="L251" s="109" t="inlineStr">
        <is>
          <t>X</t>
        </is>
      </c>
      <c r="M251" s="109" t="inlineStr">
        <is>
          <t>EMESSO</t>
        </is>
      </c>
      <c r="N251" s="109" t="n"/>
      <c r="O251" s="109" t="n"/>
      <c r="P251" s="109" t="n"/>
      <c r="Q251" s="109" t="n"/>
      <c r="R251" s="151" t="n"/>
      <c r="S251" s="109" t="n"/>
      <c r="T251" s="109" t="inlineStr">
        <is>
          <t>X</t>
        </is>
      </c>
      <c r="U251" s="109" t="n"/>
    </row>
    <row r="252" ht="30" customHeight="1" s="122">
      <c r="A252" s="109" t="n"/>
      <c r="B252" s="109" t="n"/>
      <c r="C252" s="109" t="inlineStr">
        <is>
          <t>X</t>
        </is>
      </c>
      <c r="D252" s="109" t="inlineStr">
        <is>
          <t>AREA 1</t>
        </is>
      </c>
      <c r="E252" s="109" t="inlineStr">
        <is>
          <t>552781/C</t>
        </is>
      </c>
      <c r="F252" s="109" t="inlineStr">
        <is>
          <t>100</t>
        </is>
      </c>
      <c r="G252" s="109" t="inlineStr">
        <is>
          <t>100K651A PASSAGGIO E POSA CAVI CON  CABLAGGIO IN CASSETTA PER RIPRISTINO SISTEMA DI VIBRAZIONI</t>
        </is>
      </c>
      <c r="H252" s="109" t="inlineStr">
        <is>
          <t>X</t>
        </is>
      </c>
      <c r="I252" s="109" t="inlineStr">
        <is>
          <t>X</t>
        </is>
      </c>
      <c r="J252" s="109" t="n"/>
      <c r="K252" s="109" t="n"/>
      <c r="L252" s="109" t="n"/>
      <c r="M252" s="109" t="inlineStr">
        <is>
          <t>EMESSO</t>
        </is>
      </c>
      <c r="N252" s="109" t="n"/>
      <c r="O252" s="109" t="n"/>
      <c r="P252" s="109" t="n"/>
      <c r="Q252" s="109" t="n"/>
      <c r="R252" s="151" t="n"/>
      <c r="S252" s="109" t="n"/>
      <c r="T252" s="109" t="inlineStr">
        <is>
          <t>X</t>
        </is>
      </c>
      <c r="U252" s="109" t="n"/>
    </row>
    <row r="253" ht="15" customHeight="1" s="122">
      <c r="A253" s="109" t="n"/>
      <c r="B253" s="108" t="n"/>
      <c r="C253" s="109" t="inlineStr"/>
      <c r="D253" s="109" t="inlineStr">
        <is>
          <t>AREA 1</t>
        </is>
      </c>
      <c r="E253" s="109" t="inlineStr">
        <is>
          <t>549263/C</t>
        </is>
      </c>
      <c r="F253" s="109" t="inlineStr">
        <is>
          <t>400</t>
        </is>
      </c>
      <c r="G253" s="109" t="inlineStr">
        <is>
          <t>400F027R(GASOLIO DA STOCCAGGIO)CONTROLLO E TARATURA STRUMENTO DI PORTATA</t>
        </is>
      </c>
      <c r="H253" s="109" t="n"/>
      <c r="I253" s="109" t="n"/>
      <c r="J253" s="109" t="n"/>
      <c r="K253" s="109" t="n"/>
      <c r="L253" s="109" t="n"/>
      <c r="M253" s="110" t="inlineStr">
        <is>
          <t>INTERROTTO</t>
        </is>
      </c>
      <c r="N253" s="110" t="n"/>
      <c r="O253" s="110" t="n"/>
      <c r="P253" s="110" t="n"/>
      <c r="Q253" s="110" t="inlineStr">
        <is>
          <t>SI NECESSITA PONTEGGIO PER CONTROLLO</t>
        </is>
      </c>
      <c r="R253" s="151" t="n">
        <v>45901</v>
      </c>
      <c r="S253" s="110" t="inlineStr">
        <is>
          <t>SPINALI</t>
        </is>
      </c>
      <c r="T253" s="109" t="inlineStr"/>
      <c r="U253" s="147" t="n"/>
    </row>
    <row r="254" ht="30" customHeight="1" s="122">
      <c r="A254" s="109" t="n"/>
      <c r="B254" s="108" t="n"/>
      <c r="C254" s="109" t="inlineStr"/>
      <c r="D254" s="109" t="inlineStr">
        <is>
          <t>AREA 1</t>
        </is>
      </c>
      <c r="E254" s="109" t="inlineStr">
        <is>
          <t>547978/C</t>
        </is>
      </c>
      <c r="F254" s="109" t="inlineStr">
        <is>
          <t>100</t>
        </is>
      </c>
      <c r="G254" s="109" t="inlineStr">
        <is>
          <t>100F354R (CARICA 200A)CONTROLLO E TARATURA STRUMENTO DI PORTATA</t>
        </is>
      </c>
      <c r="H254" s="109" t="n"/>
      <c r="I254" s="109" t="n"/>
      <c r="J254" s="109" t="n"/>
      <c r="K254" s="109" t="n"/>
      <c r="L254" s="109" t="n"/>
      <c r="M254" s="110" t="inlineStr">
        <is>
          <t>INTERROTTO</t>
        </is>
      </c>
      <c r="N254" s="110" t="n"/>
      <c r="O254" s="110" t="n"/>
      <c r="P254" s="110" t="n"/>
      <c r="Q254" s="110" t="inlineStr">
        <is>
          <t>Sostituito strumento guasto, prese parzialmente intasate, da programmare intervento in fermata impianto.</t>
        </is>
      </c>
      <c r="R254" s="151" t="n">
        <v>45889</v>
      </c>
      <c r="S254" s="110" t="inlineStr">
        <is>
          <t>SPINALI</t>
        </is>
      </c>
      <c r="T254" s="109" t="inlineStr"/>
      <c r="U254" s="147" t="n"/>
    </row>
    <row r="255" ht="45" customHeight="1" s="122">
      <c r="A255" s="109" t="n"/>
      <c r="B255" s="108" t="n"/>
      <c r="C255" s="109" t="inlineStr"/>
      <c r="D255" s="109" t="inlineStr">
        <is>
          <t>AREA 1</t>
        </is>
      </c>
      <c r="E255" s="109" t="inlineStr">
        <is>
          <t>545834/C</t>
        </is>
      </c>
      <c r="F255" s="109" t="inlineStr">
        <is>
          <t>200</t>
        </is>
      </c>
      <c r="G255" s="109" t="inlineStr">
        <is>
          <t>200F163(F,G. LIMITE BATTERIA) 200F033R(F.G. A F102) 200F008R (F.G. A F101)CONTROLLO DI TARATURA SU PORTATE</t>
        </is>
      </c>
      <c r="H255" s="109" t="n"/>
      <c r="I255" s="109" t="n"/>
      <c r="J255" s="109" t="n"/>
      <c r="K255" s="109" t="n"/>
      <c r="L255" s="109" t="n"/>
      <c r="M255" s="110" t="inlineStr">
        <is>
          <t>INTERROTTO</t>
        </is>
      </c>
      <c r="N255" s="110" t="n"/>
      <c r="O255" s="110" t="inlineStr">
        <is>
          <t>X</t>
        </is>
      </c>
      <c r="P255" s="110" t="inlineStr">
        <is>
          <t>X</t>
        </is>
      </c>
      <c r="Q255" s="110" t="inlineStr">
        <is>
          <t>200F033R SOSTITUITO PERCHE' GUASTO. OK
200F008R AZZERATO ED ALLINEATO CON SALA CONTROLLO.
200F163R Azzerato ed allineato con sala controllo</t>
        </is>
      </c>
      <c r="R255" s="151" t="n">
        <v>45889</v>
      </c>
      <c r="S255" s="110" t="inlineStr">
        <is>
          <t>LOMBARDO SPINALI</t>
        </is>
      </c>
      <c r="T255" s="109" t="inlineStr"/>
      <c r="U255" s="147" t="n"/>
    </row>
    <row r="256" ht="30" customHeight="1" s="122">
      <c r="A256" s="109" t="n"/>
      <c r="B256" s="108" t="n"/>
      <c r="C256" s="109" t="inlineStr"/>
      <c r="D256" s="109" t="inlineStr">
        <is>
          <t>AREA 1</t>
        </is>
      </c>
      <c r="E256" s="109" t="inlineStr">
        <is>
          <t>547930/C</t>
        </is>
      </c>
      <c r="F256" s="109" t="inlineStr">
        <is>
          <t>900</t>
        </is>
      </c>
      <c r="G256" s="109" t="inlineStr">
        <is>
          <t>900F013I I RIFLUSSO T103 CONTROLLO E RIPRISTINO PORTATA</t>
        </is>
      </c>
      <c r="H256" s="109" t="n"/>
      <c r="I256" s="109" t="n"/>
      <c r="J256" s="109" t="n"/>
      <c r="K256" s="109" t="n"/>
      <c r="L256" s="109" t="n"/>
      <c r="M256" s="110" t="inlineStr">
        <is>
          <t>INTERROTTO</t>
        </is>
      </c>
      <c r="N256" s="110" t="n"/>
      <c r="O256" s="110" t="n"/>
      <c r="P256" s="110" t="n"/>
      <c r="Q256" s="110" t="inlineStr">
        <is>
          <t>LE VALVOLE DI RADICE SONO BLOCCATE APERTE. LO STRUMENTO NON SI PUO' CONTROLLARE.</t>
        </is>
      </c>
      <c r="R256" s="151" t="n">
        <v>45888</v>
      </c>
      <c r="S256" s="110" t="inlineStr">
        <is>
          <t>LOMBARDO</t>
        </is>
      </c>
      <c r="T256" s="109" t="inlineStr"/>
      <c r="U256" s="147" t="n"/>
    </row>
    <row r="257" ht="30" customHeight="1" s="122">
      <c r="A257" s="109" t="n"/>
      <c r="B257" s="108" t="n"/>
      <c r="C257" s="109" t="inlineStr"/>
      <c r="D257" s="109" t="inlineStr">
        <is>
          <t>AREA 1</t>
        </is>
      </c>
      <c r="E257" s="109" t="inlineStr">
        <is>
          <t>547498/C</t>
        </is>
      </c>
      <c r="F257" s="109" t="inlineStr">
        <is>
          <t>300</t>
        </is>
      </c>
      <c r="G257" s="109" t="inlineStr">
        <is>
          <t>300F151RA(VAPORE USCITA DSH-102)CONTROLLO E RIPRISTINO FUNZIONALITA PORTATA</t>
        </is>
      </c>
      <c r="H257" s="109" t="n"/>
      <c r="I257" s="109" t="n"/>
      <c r="J257" s="109" t="n"/>
      <c r="K257" s="109" t="n"/>
      <c r="L257" s="109" t="n"/>
      <c r="M257" s="110" t="inlineStr">
        <is>
          <t>INTERROTTO</t>
        </is>
      </c>
      <c r="N257" s="110" t="n"/>
      <c r="O257" s="110" t="inlineStr">
        <is>
          <t>X</t>
        </is>
      </c>
      <c r="P257" s="110" t="n"/>
      <c r="Q257" s="110" t="inlineStr">
        <is>
          <t>SERVE PONTEGGIO PER CONTROLLARE I BARILOTTI, POSITIVA TAPPATA. STRUMENTO OK</t>
        </is>
      </c>
      <c r="R257" s="151" t="n">
        <v>45881</v>
      </c>
      <c r="S257" s="110" t="inlineStr">
        <is>
          <t>SPINALI/LOMBARDO</t>
        </is>
      </c>
      <c r="T257" s="109" t="inlineStr"/>
      <c r="U257" s="147" t="n"/>
    </row>
    <row r="258">
      <c r="A258" s="109" t="n"/>
      <c r="B258" s="109" t="n"/>
      <c r="C258" s="109" t="inlineStr"/>
      <c r="D258" s="109" t="inlineStr">
        <is>
          <t>AREA 1</t>
        </is>
      </c>
      <c r="E258" s="109" t="inlineStr">
        <is>
          <t>546378/C</t>
        </is>
      </c>
      <c r="F258" s="109" t="inlineStr">
        <is>
          <t>200</t>
        </is>
      </c>
      <c r="G258" s="109" t="inlineStr">
        <is>
          <t>10228176 200 P011CV CONTROLLO E RIPRISTINO FUNZIONALE</t>
        </is>
      </c>
      <c r="H258" s="109" t="n"/>
      <c r="I258" s="109" t="n"/>
      <c r="J258" s="109" t="n"/>
      <c r="K258" s="109" t="n"/>
      <c r="L258" s="109" t="n"/>
      <c r="M258" s="109" t="inlineStr">
        <is>
          <t>INTERROTTO</t>
        </is>
      </c>
      <c r="N258" s="109" t="inlineStr">
        <is>
          <t>X</t>
        </is>
      </c>
      <c r="O258" s="109" t="n"/>
      <c r="P258" s="109" t="n"/>
      <c r="Q258" s="109" t="inlineStr">
        <is>
          <t>LA VALVOLA NON FA TENUTA, DEVE ANDARE A REVISIONE</t>
        </is>
      </c>
      <c r="R258" s="151" t="n">
        <v>45869</v>
      </c>
      <c r="S258" s="109" t="inlineStr">
        <is>
          <t>GARRO</t>
        </is>
      </c>
      <c r="T258" s="109" t="inlineStr"/>
      <c r="U258" s="109" t="n"/>
    </row>
    <row r="259" ht="30" customHeight="1" s="122">
      <c r="A259" s="109" t="n"/>
      <c r="B259" s="109" t="n"/>
      <c r="C259" s="109" t="inlineStr"/>
      <c r="D259" s="109" t="inlineStr">
        <is>
          <t>AREA 1</t>
        </is>
      </c>
      <c r="E259" s="109" t="inlineStr">
        <is>
          <t>545327/C</t>
        </is>
      </c>
      <c r="F259" s="109" t="inlineStr">
        <is>
          <t>200A</t>
        </is>
      </c>
      <c r="G259" s="109" t="inlineStr">
        <is>
          <t>U200A RIPRISTINI DI FUNZIONALITA STRUMENTI DI PROCESSO  E VALVOLE DI REGOLAZIONE  PER AVVIAMENTO IMPIANTO</t>
        </is>
      </c>
      <c r="H259" s="109" t="n"/>
      <c r="I259" s="109" t="n"/>
      <c r="J259" s="109" t="n"/>
      <c r="K259" s="109" t="n"/>
      <c r="L259" s="109" t="n"/>
      <c r="M259" s="109" t="inlineStr">
        <is>
          <t>INTERROTTO</t>
        </is>
      </c>
      <c r="N259" s="109" t="n"/>
      <c r="O259" s="109" t="n"/>
      <c r="P259" s="109" t="n"/>
      <c r="Q259" s="109" t="n"/>
      <c r="R259" s="151" t="n"/>
      <c r="S259" s="109" t="n"/>
      <c r="T259" s="109" t="inlineStr"/>
      <c r="U259" s="109" t="n"/>
    </row>
    <row r="260" ht="45" customHeight="1" s="122">
      <c r="A260" s="109" t="n"/>
      <c r="B260" s="108" t="n"/>
      <c r="C260" s="109" t="inlineStr"/>
      <c r="D260" s="109" t="inlineStr">
        <is>
          <t>AREA 1</t>
        </is>
      </c>
      <c r="E260" s="109" t="inlineStr">
        <is>
          <t>539640/C</t>
        </is>
      </c>
      <c r="F260" s="109" t="inlineStr">
        <is>
          <t>200</t>
        </is>
      </c>
      <c r="G260" s="109" t="inlineStr">
        <is>
          <t>200 - F211R(C.W AD E107A/B)CONTROLLO DI FUNZIONALITA E TARATURA  STRUMENTO DI PORTATA</t>
        </is>
      </c>
      <c r="H260" s="109" t="n"/>
      <c r="I260" s="109" t="n"/>
      <c r="J260" s="109" t="n"/>
      <c r="K260" s="109" t="n"/>
      <c r="L260" s="109" t="n"/>
      <c r="M260" s="110" t="inlineStr">
        <is>
          <t>INTERROTTO</t>
        </is>
      </c>
      <c r="N260" s="110" t="n"/>
      <c r="O260" s="110" t="n"/>
      <c r="P260" s="110" t="n"/>
      <c r="Q260" s="110" t="inlineStr">
        <is>
          <t>STRUMENTO TROVATO INTERCETTATO DALLE VALVOLE DI RADICE. PER POTERVI ACCEDERE SERVE PONTEGGIO DI CIRCA 10MT. SITUATO NEI PRESSI DI FCV016.</t>
        </is>
      </c>
      <c r="R260" s="151" t="n">
        <v>45817</v>
      </c>
      <c r="S260" s="110" t="inlineStr">
        <is>
          <t>MILLO</t>
        </is>
      </c>
      <c r="T260" s="109" t="inlineStr"/>
      <c r="U260" s="147" t="inlineStr"/>
    </row>
    <row r="261" ht="45" customHeight="1" s="122">
      <c r="A261" s="109" t="n"/>
      <c r="B261" s="109" t="n"/>
      <c r="C261" s="109" t="inlineStr"/>
      <c r="D261" s="109" t="inlineStr">
        <is>
          <t>AREA 1</t>
        </is>
      </c>
      <c r="E261" s="109" t="inlineStr">
        <is>
          <t>539639/C</t>
        </is>
      </c>
      <c r="F261" s="109" t="inlineStr">
        <is>
          <t>200</t>
        </is>
      </c>
      <c r="G261" s="109" t="inlineStr">
        <is>
          <t>200 - L013DIC (D103 LIVELLO) CONTROLLO DI  FUNZIONALITA LIVELLO CON RELATIVI ALLARMI L013DL E L013DH(BASSO E ALTO)</t>
        </is>
      </c>
      <c r="H261" s="109" t="n"/>
      <c r="I261" s="109" t="n"/>
      <c r="J261" s="109" t="n"/>
      <c r="K261" s="109" t="n"/>
      <c r="L261" s="109" t="n"/>
      <c r="M261" s="109" t="inlineStr">
        <is>
          <t>INTERROTTO</t>
        </is>
      </c>
      <c r="N261" s="109" t="n"/>
      <c r="O261" s="109" t="n"/>
      <c r="P261" s="109" t="n"/>
      <c r="Q261" s="109" t="inlineStr">
        <is>
          <t>CONTROLLO EFFETTUATO SU TX DI LIVELLO. NULLA DA SEGNALARE, INTERVENGONO REGOLARMENTE GLI ALL. DI BASSO E ALTO LIVELLO. ATTUALMENTE VUOTO, E QUINDI IN BASSO LIVELLO.</t>
        </is>
      </c>
      <c r="R261" s="151" t="n">
        <v>45817</v>
      </c>
      <c r="S261" s="109" t="inlineStr">
        <is>
          <t>MILLO</t>
        </is>
      </c>
      <c r="T261" s="109" t="inlineStr"/>
      <c r="U261" s="109" t="inlineStr"/>
    </row>
    <row r="262" ht="45" customHeight="1" s="122">
      <c r="A262" s="109" t="n"/>
      <c r="B262" s="109" t="inlineStr">
        <is>
          <t>X</t>
        </is>
      </c>
      <c r="C262" s="109" t="inlineStr"/>
      <c r="D262" s="109" t="inlineStr">
        <is>
          <t>AREA 1</t>
        </is>
      </c>
      <c r="E262" s="109" t="inlineStr">
        <is>
          <t>535627/C</t>
        </is>
      </c>
      <c r="F262" s="109" t="inlineStr">
        <is>
          <t>400</t>
        </is>
      </c>
      <c r="G262" s="109" t="inlineStr">
        <is>
          <t>04T700R  04T703R (F101) CONTROLLO TEMPERATURE  E ALLINEAMENTO CON SALA CONTROLLO</t>
        </is>
      </c>
      <c r="H262" s="109" t="n"/>
      <c r="I262" s="109" t="n"/>
      <c r="J262" s="109" t="n"/>
      <c r="K262" s="109" t="n"/>
      <c r="L262" s="109" t="n"/>
      <c r="M262" s="109" t="inlineStr">
        <is>
          <t>INTERROTTO</t>
        </is>
      </c>
      <c r="N262" s="109" t="n"/>
      <c r="O262" s="109" t="n"/>
      <c r="P262" s="109" t="n"/>
      <c r="Q262" s="109" t="inlineStr">
        <is>
          <t>ALLINEATE E CONTROLLATE TEMPERATURE DA J.BOX. NULLA DA SEGNALARE. IL TCL VORREBBE FARE IL CONTROLLO DA TERMOELEMENTO(SKINPOINT), MA SERVE PONTEGGIO</t>
        </is>
      </c>
      <c r="R262" s="151" t="n">
        <v>45788</v>
      </c>
      <c r="S262" s="109" t="inlineStr">
        <is>
          <t>MILLO/CAVAGNACCHI</t>
        </is>
      </c>
      <c r="T262" s="109" t="inlineStr"/>
      <c r="U262" s="109" t="inlineStr"/>
    </row>
    <row r="263" ht="30" customHeight="1" s="122">
      <c r="A263" s="109" t="n"/>
      <c r="B263" s="108" t="inlineStr">
        <is>
          <t>X</t>
        </is>
      </c>
      <c r="C263" s="109" t="inlineStr"/>
      <c r="D263" s="109" t="inlineStr">
        <is>
          <t>AREA 1</t>
        </is>
      </c>
      <c r="E263" s="109" t="inlineStr">
        <is>
          <t>535412/C</t>
        </is>
      </c>
      <c r="F263" s="109" t="inlineStr">
        <is>
          <t>200</t>
        </is>
      </c>
      <c r="G263" s="109" t="inlineStr">
        <is>
          <t>200 - T406HA( EFFLUENTE REATTORE A D 301)CONTROLLO E RIPRISTINO MISURA TEMPERATURA</t>
        </is>
      </c>
      <c r="H263" s="109" t="n"/>
      <c r="I263" s="109" t="n"/>
      <c r="J263" s="109" t="n"/>
      <c r="K263" s="109" t="n"/>
      <c r="L263" s="109" t="n"/>
      <c r="M263" s="110" t="inlineStr">
        <is>
          <t>INTERROTTO</t>
        </is>
      </c>
      <c r="N263" s="110" t="n"/>
      <c r="O263" s="110" t="n"/>
      <c r="P263" s="110" t="n"/>
      <c r="Q263" s="110" t="inlineStr">
        <is>
          <t>LA TEMPERATURA IN CAMPO NON ESISTE</t>
        </is>
      </c>
      <c r="R263" s="151" t="n">
        <v>45784</v>
      </c>
      <c r="S263" s="110" t="inlineStr">
        <is>
          <t>SPINALI/CAVAGNACCHI</t>
        </is>
      </c>
      <c r="T263" s="109" t="inlineStr"/>
      <c r="U263" s="147" t="inlineStr"/>
    </row>
    <row r="264" ht="30" customHeight="1" s="122">
      <c r="A264" s="109" t="n"/>
      <c r="B264" s="108" t="inlineStr">
        <is>
          <t>X</t>
        </is>
      </c>
      <c r="C264" s="109" t="inlineStr"/>
      <c r="D264" s="109" t="inlineStr">
        <is>
          <t>AREA 1</t>
        </is>
      </c>
      <c r="E264" s="109" t="inlineStr">
        <is>
          <t>533917/C</t>
        </is>
      </c>
      <c r="F264" s="109" t="inlineStr">
        <is>
          <t>200A</t>
        </is>
      </c>
      <c r="G264" s="109" t="inlineStr">
        <is>
          <t>200A - L357SL BLOCCO BASSO LIVELLO D302 CONTROLLO E RIPRISTINO FUNZIONALITA LIVELLOSTATO(ATTUARE AZIONI PER NON CHIUDERE B352V)</t>
        </is>
      </c>
      <c r="H264" s="109" t="n"/>
      <c r="I264" s="109" t="n"/>
      <c r="J264" s="109" t="n"/>
      <c r="K264" s="109" t="n"/>
      <c r="L264" s="109" t="n"/>
      <c r="M264" s="110" t="inlineStr">
        <is>
          <t>INTERROTTO</t>
        </is>
      </c>
      <c r="N264" s="110" t="n"/>
      <c r="O264" s="110" t="n"/>
      <c r="P264" s="110" t="n"/>
      <c r="Q264" s="110" t="inlineStr">
        <is>
          <t>VALVOLA DI RADICE POSITIVA CON STELO ROTTO, IMPOSSIBILE DA INTERCETTARE</t>
        </is>
      </c>
      <c r="R264" s="151" t="n">
        <v>45770</v>
      </c>
      <c r="S264" s="110" t="inlineStr">
        <is>
          <t>MILLO</t>
        </is>
      </c>
      <c r="T264" s="109" t="inlineStr"/>
      <c r="U264" s="147" t="inlineStr"/>
    </row>
    <row r="265" ht="30" customHeight="1" s="122">
      <c r="A265" s="109" t="n"/>
      <c r="B265" s="108" t="inlineStr">
        <is>
          <t>X</t>
        </is>
      </c>
      <c r="C265" s="109" t="inlineStr"/>
      <c r="D265" s="109" t="inlineStr">
        <is>
          <t>AREA 1</t>
        </is>
      </c>
      <c r="E265" s="109" t="inlineStr">
        <is>
          <t>532688/C</t>
        </is>
      </c>
      <c r="F265" s="109" t="inlineStr">
        <is>
          <t>100</t>
        </is>
      </c>
      <c r="G265" s="109" t="inlineStr">
        <is>
          <t>100 - 01F026RC VAPORE A T105 CONTROLLO  LOOP DI REGOLAZIONE PARTENDO DALLA MISURA DI PORTATA</t>
        </is>
      </c>
      <c r="H265" s="109" t="n"/>
      <c r="I265" s="109" t="n"/>
      <c r="J265" s="109" t="n"/>
      <c r="K265" s="109" t="n"/>
      <c r="L265" s="109" t="n"/>
      <c r="M265" s="110" t="inlineStr">
        <is>
          <t>INTERROTTO</t>
        </is>
      </c>
      <c r="N265" s="110" t="n"/>
      <c r="O265" s="110" t="n"/>
      <c r="P265" s="110" t="n"/>
      <c r="Q265" s="110" t="inlineStr">
        <is>
          <t>PRESA POSITIVA TAPPATA, LASCIATO CON BYPASS IN CORSO. SERVE PIANO DI LAVORO PER ARRIVARE NEI BARILOTTI</t>
        </is>
      </c>
      <c r="R265" s="151" t="n">
        <v>45762</v>
      </c>
      <c r="S265" s="110" t="inlineStr">
        <is>
          <t>TARASCIO/PARTESANO</t>
        </is>
      </c>
      <c r="T265" s="109" t="inlineStr"/>
      <c r="U265" s="147" t="inlineStr"/>
    </row>
    <row r="266" ht="30" customHeight="1" s="122">
      <c r="A266" s="109" t="n"/>
      <c r="B266" s="109" t="inlineStr">
        <is>
          <t>X</t>
        </is>
      </c>
      <c r="C266" s="109" t="inlineStr"/>
      <c r="D266" s="109" t="inlineStr">
        <is>
          <t>AREA 1</t>
        </is>
      </c>
      <c r="E266" s="109" t="inlineStr">
        <is>
          <t>529218/C</t>
        </is>
      </c>
      <c r="F266" s="109" t="inlineStr">
        <is>
          <t>400</t>
        </is>
      </c>
      <c r="G266" s="109" t="inlineStr">
        <is>
          <t>400 - L612AR (D403) RIPRISTINO MISURA DI LIVELLO METTERE I MOS PRIMA DI INIZIARE ATTIVITA</t>
        </is>
      </c>
      <c r="H266" s="109" t="n"/>
      <c r="I266" s="109" t="n"/>
      <c r="J266" s="109" t="n"/>
      <c r="K266" s="109" t="n"/>
      <c r="L266" s="109" t="n"/>
      <c r="M266" s="109" t="inlineStr">
        <is>
          <t>INTERROTTO</t>
        </is>
      </c>
      <c r="N266" s="109" t="n"/>
      <c r="O266" s="109" t="n"/>
      <c r="P266" s="109" t="n"/>
      <c r="Q266" s="109" t="inlineStr">
        <is>
          <t>ATTESA RICAMBIO TESTINA FOXBORO</t>
        </is>
      </c>
      <c r="R266" s="151" t="n">
        <v>45722</v>
      </c>
      <c r="S266" s="109" t="inlineStr">
        <is>
          <t>SPINALI/SERRA</t>
        </is>
      </c>
      <c r="T266" s="109" t="inlineStr"/>
      <c r="U266" s="109" t="inlineStr"/>
    </row>
    <row r="267" ht="30" customHeight="1" s="122">
      <c r="A267" s="109" t="n"/>
      <c r="B267" s="108" t="inlineStr">
        <is>
          <t>X</t>
        </is>
      </c>
      <c r="C267" s="109" t="inlineStr"/>
      <c r="D267" s="109" t="inlineStr">
        <is>
          <t>AREA 1</t>
        </is>
      </c>
      <c r="E267" s="109" t="inlineStr">
        <is>
          <t>527046/C</t>
        </is>
      </c>
      <c r="F267" s="109" t="inlineStr">
        <is>
          <t>100</t>
        </is>
      </c>
      <c r="G267" s="109" t="inlineStr">
        <is>
          <t>100 - 100F593RC (GAS DA D505 A F101)RIPRISTINO MISURA PORTATA (PIANO RIPRISTINI ALLARMI ATTIVI)</t>
        </is>
      </c>
      <c r="H267" s="109" t="n"/>
      <c r="I267" s="109" t="n"/>
      <c r="J267" s="109" t="n"/>
      <c r="K267" s="109" t="n"/>
      <c r="L267" s="109" t="n"/>
      <c r="M267" s="110" t="inlineStr">
        <is>
          <t>INTERROTTO</t>
        </is>
      </c>
      <c r="N267" s="110" t="n"/>
      <c r="O267" s="110" t="n"/>
      <c r="P267" s="110" t="n"/>
      <c r="Q267" s="110" t="inlineStr">
        <is>
          <t>TROVATO INTERCETTATO, BARRIERA SPENTA. DA PREVEDERE UN RIFACIMENTO TOTALE DOPO OK DEL TCL.</t>
        </is>
      </c>
      <c r="R267" s="151" t="n">
        <v>45714</v>
      </c>
      <c r="S267" s="110" t="inlineStr">
        <is>
          <t>SPINALI/SERRA</t>
        </is>
      </c>
      <c r="T267" s="109" t="inlineStr"/>
      <c r="U267" s="147" t="inlineStr"/>
    </row>
    <row r="268" ht="30" customHeight="1" s="122">
      <c r="A268" s="109" t="n"/>
      <c r="B268" s="109" t="inlineStr">
        <is>
          <t>X</t>
        </is>
      </c>
      <c r="C268" s="109" t="inlineStr"/>
      <c r="D268" s="109" t="inlineStr">
        <is>
          <t>AREA 1</t>
        </is>
      </c>
      <c r="E268" s="109" t="inlineStr">
        <is>
          <t>522595/C</t>
        </is>
      </c>
      <c r="F268" s="109" t="inlineStr">
        <is>
          <t>200</t>
        </is>
      </c>
      <c r="G268" s="109" t="inlineStr">
        <is>
          <t>200A F353R(GAS SPORCO DA D302 A T301)RIPRISTINO MISURA PORTATA IN BAD</t>
        </is>
      </c>
      <c r="H268" s="109" t="n"/>
      <c r="I268" s="109" t="n"/>
      <c r="J268" s="109" t="n"/>
      <c r="K268" s="109" t="n"/>
      <c r="L268" s="109" t="n"/>
      <c r="M268" s="109" t="inlineStr">
        <is>
          <t>INTERROTTO</t>
        </is>
      </c>
      <c r="N268" s="109" t="n"/>
      <c r="O268" s="109" t="inlineStr">
        <is>
          <t>X</t>
        </is>
      </c>
      <c r="P268" s="109" t="n"/>
      <c r="Q268" s="109" t="inlineStr">
        <is>
          <t>SOSTITUITA BARRIERA DA REALIZZARE PONTEGGIO PER CONTROLLO STRUMENTO.</t>
        </is>
      </c>
      <c r="R268" s="151" t="n">
        <v>45680</v>
      </c>
      <c r="S268" s="109" t="inlineStr">
        <is>
          <t>TARASCIO/PARTESANO</t>
        </is>
      </c>
      <c r="T268" s="109" t="inlineStr"/>
      <c r="U268" s="109" t="inlineStr"/>
    </row>
    <row r="269" ht="45" customHeight="1" s="122">
      <c r="A269" s="109" t="n"/>
      <c r="B269" s="109" t="inlineStr">
        <is>
          <t>X</t>
        </is>
      </c>
      <c r="C269" s="109" t="inlineStr"/>
      <c r="D269" s="109" t="inlineStr">
        <is>
          <t>AREA 1</t>
        </is>
      </c>
      <c r="E269" s="109" t="inlineStr">
        <is>
          <t>520325/C</t>
        </is>
      </c>
      <c r="F269" s="109" t="inlineStr">
        <is>
          <t>200</t>
        </is>
      </c>
      <c r="G269" s="109" t="inlineStr">
        <is>
          <t>200F211R CONTROLLO DI TARATURA E RIPRISTINO FUNZIONALITA'</t>
        </is>
      </c>
      <c r="H269" s="109" t="n"/>
      <c r="I269" s="109" t="n"/>
      <c r="J269" s="109" t="n"/>
      <c r="K269" s="109" t="n"/>
      <c r="L269" s="109" t="n"/>
      <c r="M269" s="110" t="inlineStr">
        <is>
          <t>INTERROTTO</t>
        </is>
      </c>
      <c r="N269" s="110" t="n"/>
      <c r="O269" s="110" t="inlineStr">
        <is>
          <t>X</t>
        </is>
      </c>
      <c r="P269" s="110" t="n"/>
      <c r="Q269" s="110" t="inlineStr">
        <is>
          <t>PRIMARI BUCATI E VALVOLA DI RADICE CHIUSA. NECESSITA PONTEGGIO (STRUM. NEI PRESSI DI FCV016). DA VERIFICARE BARRIERA.</t>
        </is>
      </c>
      <c r="R269" s="151" t="n">
        <v>45644</v>
      </c>
      <c r="S269" s="110" t="inlineStr">
        <is>
          <t>RICIPUTO</t>
        </is>
      </c>
      <c r="T269" s="109" t="inlineStr"/>
      <c r="U269" s="147" t="inlineStr"/>
    </row>
    <row r="270" ht="30" customHeight="1" s="122">
      <c r="A270" s="109" t="n"/>
      <c r="B270" s="109" t="n"/>
      <c r="C270" s="109" t="inlineStr">
        <is>
          <t>X</t>
        </is>
      </c>
      <c r="D270" s="109" t="inlineStr">
        <is>
          <t>AREA 1</t>
        </is>
      </c>
      <c r="E270" s="109" t="inlineStr">
        <is>
          <t>552792/C</t>
        </is>
      </c>
      <c r="F270" s="109" t="inlineStr">
        <is>
          <t>400</t>
        </is>
      </c>
      <c r="G270" s="109" t="inlineStr">
        <is>
          <t>400C101A CONTROLLO PARZIALIZZAZIONE STRUMENTALE E SOSTITUZIONE TUBING DI ACCIAIO OLIO DI LUBRIFICAZIONE</t>
        </is>
      </c>
      <c r="H270" s="109" t="inlineStr">
        <is>
          <t>X</t>
        </is>
      </c>
      <c r="I270" s="109" t="inlineStr">
        <is>
          <t>X</t>
        </is>
      </c>
      <c r="J270" s="109" t="n"/>
      <c r="K270" s="109" t="n"/>
      <c r="L270" s="109" t="n"/>
      <c r="M270" s="110" t="inlineStr">
        <is>
          <t>RICHIESTO</t>
        </is>
      </c>
      <c r="N270" s="110" t="n"/>
      <c r="O270" s="110" t="n"/>
      <c r="P270" s="110" t="n"/>
      <c r="Q270" s="110" t="n"/>
      <c r="R270" s="151" t="n"/>
      <c r="S270" s="110" t="n"/>
      <c r="T270" s="109" t="inlineStr">
        <is>
          <t>X</t>
        </is>
      </c>
      <c r="U270" s="147" t="n"/>
    </row>
    <row r="271" ht="60" customHeight="1" s="122">
      <c r="A271" s="109" t="n"/>
      <c r="B271" s="108" t="n"/>
      <c r="C271" s="109" t="inlineStr"/>
      <c r="D271" s="109" t="inlineStr">
        <is>
          <t>AREA 1</t>
        </is>
      </c>
      <c r="E271" s="109" t="inlineStr">
        <is>
          <t>552675/C</t>
        </is>
      </c>
      <c r="F271" s="109" t="inlineStr">
        <is>
          <t>100</t>
        </is>
      </c>
      <c r="G271" s="109" t="inlineStr">
        <is>
          <t>100F024RC(RESIDUO A U600)CONTROLLO E TARATURA STRUMENTO DI PORTATA</t>
        </is>
      </c>
      <c r="H271" s="109" t="n"/>
      <c r="I271" s="109" t="n"/>
      <c r="J271" s="109" t="n"/>
      <c r="K271" s="109" t="n"/>
      <c r="L271" s="109" t="n"/>
      <c r="M271" s="110" t="inlineStr">
        <is>
          <t>TERMINATA</t>
        </is>
      </c>
      <c r="N271" s="110" t="n"/>
      <c r="O271" s="110" t="n"/>
      <c r="P271" s="110" t="n"/>
      <c r="Q271" s="110" t="inlineStr">
        <is>
          <t xml:space="preserve">Attrezzatura: Strumento di Misura
- **Tipo_misura:** Portata
- **Azione_eseguita:** Taratura / Calibrazione
Regolati flussaggi e ripristinata traccia di vapore. </t>
        </is>
      </c>
      <c r="R271" s="151" t="n"/>
      <c r="S271" s="110" t="inlineStr">
        <is>
          <t>SPINALI</t>
        </is>
      </c>
      <c r="T271" s="109" t="inlineStr"/>
      <c r="U271" s="147" t="n"/>
    </row>
    <row r="272" ht="30" customHeight="1" s="122">
      <c r="A272" s="109" t="n"/>
      <c r="B272" s="108" t="n"/>
      <c r="C272" s="109" t="inlineStr"/>
      <c r="D272" s="109" t="inlineStr">
        <is>
          <t>AREA 2</t>
        </is>
      </c>
      <c r="E272" s="109" t="inlineStr">
        <is>
          <t>542133/C</t>
        </is>
      </c>
      <c r="F272" s="109" t="inlineStr">
        <is>
          <t>500</t>
        </is>
      </c>
      <c r="G272" s="109" t="inlineStr">
        <is>
          <t>500L016RC 05L016IC (BENZINA STOCCAGGIO)CONTROLLO DI TARATURA DI ENTRAMBI I LIVELLI PER DISALLINEAMENTO MISURA</t>
        </is>
      </c>
      <c r="H272" s="109" t="n"/>
      <c r="I272" s="109" t="n"/>
      <c r="J272" s="109" t="n"/>
      <c r="K272" s="109" t="n"/>
      <c r="L272" s="109" t="n"/>
      <c r="M272" s="110" t="inlineStr">
        <is>
          <t>DA CHIUDERE</t>
        </is>
      </c>
      <c r="N272" s="110" t="n"/>
      <c r="O272" s="110" t="n"/>
      <c r="P272" s="110" t="n"/>
      <c r="Q272" s="110" t="inlineStr">
        <is>
          <t>ESEGUITO ALLINEAMENTO SULLE MISURE DI LIVELLO, CONSEGNATO A ESE.</t>
        </is>
      </c>
      <c r="R272" s="151" t="n">
        <v>45840</v>
      </c>
      <c r="S272" s="110" t="inlineStr">
        <is>
          <t>MILLO/ALLEGRETTI</t>
        </is>
      </c>
      <c r="T272" s="109" t="inlineStr"/>
      <c r="U272" s="147" t="inlineStr"/>
    </row>
    <row r="273" ht="30" customHeight="1" s="122">
      <c r="A273" s="109" t="n"/>
      <c r="B273" s="108" t="n"/>
      <c r="C273" s="109" t="inlineStr"/>
      <c r="D273" s="109" t="inlineStr">
        <is>
          <t>AREA 2</t>
        </is>
      </c>
      <c r="E273" s="109" t="inlineStr">
        <is>
          <t>547535/C</t>
        </is>
      </c>
      <c r="F273" s="109" t="inlineStr">
        <is>
          <t>600</t>
        </is>
      </c>
      <c r="G273" s="109" t="inlineStr">
        <is>
          <t>600P017CVB CONTROLLO E RIPRISTINO FUNZIONALITA VALVOLA DA ATTENZIONARE L'AZIONE SULLA CHIUSURA</t>
        </is>
      </c>
      <c r="H273" s="109" t="n"/>
      <c r="I273" s="109" t="n"/>
      <c r="J273" s="109" t="n"/>
      <c r="K273" s="109" t="n"/>
      <c r="L273" s="109" t="n"/>
      <c r="M273" s="110" t="inlineStr">
        <is>
          <t>DA CHIUDERE</t>
        </is>
      </c>
      <c r="N273" s="110" t="n"/>
      <c r="O273" s="110" t="n"/>
      <c r="P273" s="110" t="n"/>
      <c r="Q273" s="110" t="inlineStr">
        <is>
          <t>CONTROLLO VALVOLA ESEGUITO.</t>
        </is>
      </c>
      <c r="R273" s="151" t="n">
        <v>45881</v>
      </c>
      <c r="S273" s="110" t="inlineStr">
        <is>
          <t>SAGGIO/OGNISANTI</t>
        </is>
      </c>
      <c r="T273" s="109" t="inlineStr"/>
      <c r="U273" s="147" t="n"/>
    </row>
    <row r="274" ht="30" customHeight="1" s="122">
      <c r="A274" s="109" t="n"/>
      <c r="B274" s="108" t="n"/>
      <c r="C274" s="109" t="inlineStr"/>
      <c r="D274" s="109" t="inlineStr">
        <is>
          <t>AREA 2</t>
        </is>
      </c>
      <c r="E274" s="109" t="inlineStr">
        <is>
          <t>547538/C</t>
        </is>
      </c>
      <c r="F274" s="109" t="inlineStr">
        <is>
          <t>600</t>
        </is>
      </c>
      <c r="G274" s="109" t="inlineStr">
        <is>
          <t>600F006CV (PASSO DI CARICA)CONTROLLO E RIPRISTINO FUNZIONALITA VALVOLA E ALLINEAMENTO CON SALA CONTROLLO</t>
        </is>
      </c>
      <c r="H274" s="109" t="n"/>
      <c r="I274" s="109" t="n"/>
      <c r="J274" s="109" t="n"/>
      <c r="K274" s="109" t="n"/>
      <c r="L274" s="109" t="n"/>
      <c r="M274" s="110" t="inlineStr">
        <is>
          <t>DA CHIUDERE</t>
        </is>
      </c>
      <c r="N274" s="110" t="n"/>
      <c r="O274" s="110" t="n"/>
      <c r="P274" s="110" t="n"/>
      <c r="Q274" s="110" t="inlineStr">
        <is>
          <t>CONTROLLO VALVOLA ESEGUITO.</t>
        </is>
      </c>
      <c r="R274" s="151" t="n">
        <v>45881</v>
      </c>
      <c r="S274" s="110" t="inlineStr">
        <is>
          <t>SAGGIO/OGNISANTI</t>
        </is>
      </c>
      <c r="T274" s="109" t="inlineStr"/>
      <c r="U274" s="147" t="n"/>
    </row>
    <row r="275">
      <c r="A275" s="109" t="n"/>
      <c r="B275" s="108" t="n"/>
      <c r="C275" s="109" t="inlineStr"/>
      <c r="D275" s="109" t="inlineStr">
        <is>
          <t>AREA 2</t>
        </is>
      </c>
      <c r="E275" s="109" t="inlineStr">
        <is>
          <t>543701/C</t>
        </is>
      </c>
      <c r="F275" s="109" t="inlineStr">
        <is>
          <t>1000</t>
        </is>
      </c>
      <c r="G275" s="109" t="inlineStr">
        <is>
          <t>1000F115CV (RIFLUSSO) CONTROLLO E RIPRISTINO FUNZIONALITA VALVOLA</t>
        </is>
      </c>
      <c r="H275" s="109" t="n"/>
      <c r="I275" s="109" t="n"/>
      <c r="J275" s="109" t="n"/>
      <c r="K275" s="109" t="n"/>
      <c r="L275" s="109" t="n"/>
      <c r="M275" s="110" t="inlineStr">
        <is>
          <t>DA CHIUDERE</t>
        </is>
      </c>
      <c r="N275" s="110" t="n"/>
      <c r="O275" s="110" t="n"/>
      <c r="P275" s="110" t="n"/>
      <c r="Q275" s="110" t="inlineStr">
        <is>
          <t>RIPRISTINATA FUNZIONALITA'</t>
        </is>
      </c>
      <c r="R275" s="151" t="n">
        <v>45845</v>
      </c>
      <c r="S275" s="110" t="inlineStr">
        <is>
          <t>GARRO L.</t>
        </is>
      </c>
      <c r="T275" s="109" t="inlineStr"/>
      <c r="U275" s="147" t="n"/>
    </row>
    <row r="276" ht="30" customHeight="1" s="122">
      <c r="A276" s="109" t="n"/>
      <c r="B276" s="109" t="inlineStr">
        <is>
          <t>X</t>
        </is>
      </c>
      <c r="C276" s="109" t="inlineStr"/>
      <c r="D276" s="109" t="inlineStr">
        <is>
          <t>AREA 2</t>
        </is>
      </c>
      <c r="E276" s="109" t="inlineStr">
        <is>
          <t>540759/C</t>
        </is>
      </c>
      <c r="F276" s="109" t="inlineStr">
        <is>
          <t>600</t>
        </is>
      </c>
      <c r="G276" s="109" t="inlineStr">
        <is>
          <t>600F031CV(RESIDUO A QUENCH T101)CONTROLLO E RIPRISTINO FUNZIONALITA VALVOLA</t>
        </is>
      </c>
      <c r="H276" s="109" t="n"/>
      <c r="I276" s="109" t="n"/>
      <c r="J276" s="109" t="n"/>
      <c r="K276" s="109" t="n"/>
      <c r="L276" s="109" t="n"/>
      <c r="M276" s="109" t="inlineStr">
        <is>
          <t>DA CHIUDERE</t>
        </is>
      </c>
      <c r="N276" s="109" t="n"/>
      <c r="O276" s="109" t="n"/>
      <c r="P276" s="109" t="n"/>
      <c r="Q276" s="109" t="inlineStr">
        <is>
          <t>RIPRISTINATA FUNZIONALITA'</t>
        </is>
      </c>
      <c r="R276" s="151" t="n">
        <v>45821</v>
      </c>
      <c r="S276" s="109" t="inlineStr">
        <is>
          <t>GARRO L.</t>
        </is>
      </c>
      <c r="T276" s="109" t="inlineStr"/>
      <c r="U276" s="109" t="inlineStr"/>
    </row>
    <row r="277" ht="30" customHeight="1" s="122">
      <c r="A277" s="109" t="n"/>
      <c r="B277" s="108" t="inlineStr">
        <is>
          <t>X</t>
        </is>
      </c>
      <c r="C277" s="109" t="inlineStr"/>
      <c r="D277" s="109" t="inlineStr">
        <is>
          <t>AREA 2</t>
        </is>
      </c>
      <c r="E277" s="109" t="inlineStr">
        <is>
          <t>538168/C</t>
        </is>
      </c>
      <c r="F277" s="109" t="inlineStr">
        <is>
          <t>500</t>
        </is>
      </c>
      <c r="G277" s="109" t="inlineStr">
        <is>
          <t>500F031RC(GPL PRODOTTO)CONTROLLO E RIPRISTINO FUNZIONALITA PORTATA</t>
        </is>
      </c>
      <c r="H277" s="109" t="n"/>
      <c r="I277" s="109" t="n"/>
      <c r="J277" s="109" t="n"/>
      <c r="K277" s="109" t="n"/>
      <c r="L277" s="109" t="n"/>
      <c r="M277" s="110" t="inlineStr">
        <is>
          <t>DA CHIUDERE</t>
        </is>
      </c>
      <c r="N277" s="110" t="n"/>
      <c r="O277" s="110" t="n"/>
      <c r="P277" s="110" t="n"/>
      <c r="Q277" s="110" t="inlineStr">
        <is>
          <t xml:space="preserve">VALVOLE INTERCETTO DURE NELLA MOVIMENTAZIONE 
VALVOLA BYPASS CON STELO PIEGATO MA FUNZIONANTE </t>
        </is>
      </c>
      <c r="R277" s="151" t="n">
        <v>45803</v>
      </c>
      <c r="S277" s="110" t="inlineStr">
        <is>
          <t>RICIPUTO A. / TARASCIO B.</t>
        </is>
      </c>
      <c r="T277" s="109" t="inlineStr"/>
      <c r="U277" s="147" t="inlineStr"/>
    </row>
    <row r="278">
      <c r="A278" s="109" t="n"/>
      <c r="B278" s="108" t="inlineStr">
        <is>
          <t>X</t>
        </is>
      </c>
      <c r="C278" s="109" t="inlineStr"/>
      <c r="D278" s="109" t="inlineStr">
        <is>
          <t>AREA 2</t>
        </is>
      </c>
      <c r="E278" s="109" t="inlineStr">
        <is>
          <t>540371/C</t>
        </is>
      </c>
      <c r="F278" s="109" t="inlineStr">
        <is>
          <t>1000</t>
        </is>
      </c>
      <c r="G278" s="109" t="inlineStr">
        <is>
          <t>1000C101B SOSTITUZIONE MANOMETRI E TERMOMETRI A CAPILLARE</t>
        </is>
      </c>
      <c r="H278" s="109" t="n"/>
      <c r="I278" s="109" t="n"/>
      <c r="J278" s="109" t="n"/>
      <c r="K278" s="109" t="n"/>
      <c r="L278" s="109" t="n"/>
      <c r="M278" s="110" t="inlineStr">
        <is>
          <t>DA CHIUDERE</t>
        </is>
      </c>
      <c r="N278" s="110" t="n"/>
      <c r="O278" s="110" t="n"/>
      <c r="P278" s="110" t="n"/>
      <c r="Q278" s="110" t="inlineStr">
        <is>
          <t>ESEGUITA SOSTITUZIONE</t>
        </is>
      </c>
      <c r="R278" s="151" t="n">
        <v>45819</v>
      </c>
      <c r="S278" s="110" t="inlineStr">
        <is>
          <t>MILLO</t>
        </is>
      </c>
      <c r="T278" s="109" t="inlineStr"/>
      <c r="U278" s="147" t="inlineStr"/>
    </row>
    <row r="279">
      <c r="A279" s="109" t="n"/>
      <c r="B279" s="108" t="inlineStr">
        <is>
          <t>X</t>
        </is>
      </c>
      <c r="C279" s="109" t="inlineStr"/>
      <c r="D279" s="109" t="inlineStr">
        <is>
          <t>AREA 2</t>
        </is>
      </c>
      <c r="E279" s="109" t="inlineStr">
        <is>
          <t>540164/C</t>
        </is>
      </c>
      <c r="F279" s="109" t="inlineStr">
        <is>
          <t>500</t>
        </is>
      </c>
      <c r="G279" s="109" t="inlineStr">
        <is>
          <t>500 T301 CONTROLLO LIVELLI COLONNA 1-L006RC</t>
        </is>
      </c>
      <c r="H279" s="109" t="n"/>
      <c r="I279" s="109" t="n"/>
      <c r="J279" s="109" t="n"/>
      <c r="K279" s="109" t="n"/>
      <c r="L279" s="109" t="n"/>
      <c r="M279" s="110" t="inlineStr">
        <is>
          <t>DA CHIUDERE</t>
        </is>
      </c>
      <c r="N279" s="110" t="n"/>
      <c r="O279" s="110" t="n"/>
      <c r="P279" s="110" t="n"/>
      <c r="Q279" s="110" t="n"/>
      <c r="R279" s="151" t="n"/>
      <c r="S279" s="110" t="n"/>
      <c r="T279" s="109" t="inlineStr"/>
      <c r="U279" s="147" t="inlineStr"/>
    </row>
    <row r="280">
      <c r="A280" s="109" t="n"/>
      <c r="B280" s="108" t="inlineStr">
        <is>
          <t>X</t>
        </is>
      </c>
      <c r="C280" s="109" t="inlineStr"/>
      <c r="D280" s="109" t="inlineStr">
        <is>
          <t>AREA 2</t>
        </is>
      </c>
      <c r="E280" s="109" t="inlineStr">
        <is>
          <t>536389/C</t>
        </is>
      </c>
      <c r="F280" s="109" t="inlineStr">
        <is>
          <t>500</t>
        </is>
      </c>
      <c r="G280" s="109" t="inlineStr">
        <is>
          <t>500C103C CONTROLLO TEMPERATURE STATORE MOTORE</t>
        </is>
      </c>
      <c r="H280" s="109" t="n"/>
      <c r="I280" s="109" t="n"/>
      <c r="J280" s="109" t="n"/>
      <c r="K280" s="109" t="n"/>
      <c r="L280" s="109" t="n"/>
      <c r="M280" s="110" t="inlineStr">
        <is>
          <t>DA CHIUDERE</t>
        </is>
      </c>
      <c r="N280" s="110" t="n"/>
      <c r="O280" s="110" t="n"/>
      <c r="P280" s="110" t="n"/>
      <c r="Q280" s="110" t="inlineStr">
        <is>
          <t>RIPRISTINATA FUNZIONALITA'</t>
        </is>
      </c>
      <c r="R280" s="151" t="n">
        <v>45790</v>
      </c>
      <c r="S280" s="110" t="inlineStr">
        <is>
          <t>MILLO</t>
        </is>
      </c>
      <c r="T280" s="109" t="inlineStr"/>
      <c r="U280" s="147" t="inlineStr"/>
    </row>
    <row r="281">
      <c r="A281" s="109" t="n"/>
      <c r="B281" s="109" t="inlineStr">
        <is>
          <t>X</t>
        </is>
      </c>
      <c r="C281" s="109" t="inlineStr"/>
      <c r="D281" s="109" t="inlineStr">
        <is>
          <t>AREA 2</t>
        </is>
      </c>
      <c r="E281" s="109" t="inlineStr">
        <is>
          <t>538069/C</t>
        </is>
      </c>
      <c r="F281" s="109" t="inlineStr">
        <is>
          <t>500</t>
        </is>
      </c>
      <c r="G281" s="109" t="inlineStr">
        <is>
          <t>500B301SV RIPRISTINO FUNZIONALITA VALVOLA</t>
        </is>
      </c>
      <c r="H281" s="109" t="n"/>
      <c r="I281" s="109" t="n"/>
      <c r="J281" s="109" t="n"/>
      <c r="K281" s="109" t="n"/>
      <c r="L281" s="109" t="n"/>
      <c r="M281" s="109" t="inlineStr">
        <is>
          <t>DA CHIUDERE</t>
        </is>
      </c>
      <c r="N281" s="109" t="n"/>
      <c r="O281" s="109" t="n"/>
      <c r="P281" s="109" t="n"/>
      <c r="Q281" s="109" t="inlineStr">
        <is>
          <t>RIPRISTINATA FUNZIONALITA'</t>
        </is>
      </c>
      <c r="R281" s="151" t="n">
        <v>45800</v>
      </c>
      <c r="S281" s="109" t="inlineStr">
        <is>
          <t>SPINALI</t>
        </is>
      </c>
      <c r="T281" s="109" t="inlineStr"/>
      <c r="U281" s="109" t="inlineStr"/>
    </row>
    <row r="282">
      <c r="A282" s="109" t="n"/>
      <c r="B282" s="109" t="inlineStr">
        <is>
          <t>X</t>
        </is>
      </c>
      <c r="C282" s="109" t="inlineStr"/>
      <c r="D282" s="109" t="inlineStr">
        <is>
          <t>AREA 2</t>
        </is>
      </c>
      <c r="E282" s="109" t="inlineStr">
        <is>
          <t>539037/C</t>
        </is>
      </c>
      <c r="F282" s="109" t="inlineStr">
        <is>
          <t>1000</t>
        </is>
      </c>
      <c r="G282" s="109" t="inlineStr">
        <is>
          <t>1000P122CV SEPARATORE A.P. D104  CONTROLLO E RIPRISTINO FUNZIONALITA VALVOLA</t>
        </is>
      </c>
      <c r="H282" s="109" t="n"/>
      <c r="I282" s="109" t="n"/>
      <c r="J282" s="109" t="n"/>
      <c r="K282" s="109" t="n"/>
      <c r="L282" s="109" t="n"/>
      <c r="M282" s="109" t="inlineStr">
        <is>
          <t>DA CHIUDERE</t>
        </is>
      </c>
      <c r="N282" s="109" t="n"/>
      <c r="O282" s="109" t="n"/>
      <c r="P282" s="109" t="n"/>
      <c r="Q282" s="109" t="inlineStr">
        <is>
          <t>RIPRISTINATA FUNZIONALITA'</t>
        </is>
      </c>
      <c r="R282" s="151" t="n">
        <v>45807</v>
      </c>
      <c r="S282" s="109" t="inlineStr">
        <is>
          <t>MILLO</t>
        </is>
      </c>
      <c r="T282" s="109" t="inlineStr"/>
      <c r="U282" s="109" t="inlineStr"/>
    </row>
    <row r="283">
      <c r="A283" s="109" t="n"/>
      <c r="B283" s="109" t="inlineStr">
        <is>
          <t>X</t>
        </is>
      </c>
      <c r="C283" s="109" t="inlineStr"/>
      <c r="D283" s="109" t="inlineStr">
        <is>
          <t>AREA 2</t>
        </is>
      </c>
      <c r="E283" s="109" t="inlineStr">
        <is>
          <t>539156/C</t>
        </is>
      </c>
      <c r="F283" s="109" t="inlineStr">
        <is>
          <t>500</t>
        </is>
      </c>
      <c r="G283" s="109" t="inlineStr">
        <is>
          <t>500T019A/BCV CONTROLLO E RIPRISTINO FUNZIONALITA VALVOLE</t>
        </is>
      </c>
      <c r="H283" s="109" t="n"/>
      <c r="I283" s="109" t="n"/>
      <c r="J283" s="109" t="n"/>
      <c r="K283" s="109" t="n"/>
      <c r="L283" s="109" t="n"/>
      <c r="M283" s="109" t="inlineStr">
        <is>
          <t>DA CHIUDERE</t>
        </is>
      </c>
      <c r="N283" s="109" t="n"/>
      <c r="O283" s="109" t="n"/>
      <c r="P283" s="109" t="n"/>
      <c r="Q283" s="109" t="inlineStr">
        <is>
          <t>RIPRISTINATA FUNZIONALITA'</t>
        </is>
      </c>
      <c r="R283" s="151" t="n">
        <v>45808</v>
      </c>
      <c r="S283" s="109" t="inlineStr">
        <is>
          <t>GARRO</t>
        </is>
      </c>
      <c r="T283" s="109" t="inlineStr"/>
      <c r="U283" s="109" t="inlineStr"/>
    </row>
    <row r="284">
      <c r="A284" s="109" t="n"/>
      <c r="B284" s="108" t="inlineStr">
        <is>
          <t>X</t>
        </is>
      </c>
      <c r="C284" s="109" t="inlineStr"/>
      <c r="D284" s="109" t="inlineStr">
        <is>
          <t>AREA 2</t>
        </is>
      </c>
      <c r="E284" s="109" t="inlineStr">
        <is>
          <t>539803/C</t>
        </is>
      </c>
      <c r="F284" s="109" t="inlineStr">
        <is>
          <t>1000</t>
        </is>
      </c>
      <c r="G284" s="109" t="inlineStr">
        <is>
          <t>1000P122CV SEPARATORE A.P. D104  CONTROLLO E RIPRISTINO FUNZIONALITA VALVOLA</t>
        </is>
      </c>
      <c r="H284" s="109" t="n"/>
      <c r="I284" s="109" t="n"/>
      <c r="J284" s="109" t="n"/>
      <c r="K284" s="109" t="n"/>
      <c r="L284" s="109" t="n"/>
      <c r="M284" s="110" t="inlineStr">
        <is>
          <t>DA CHIUDERE</t>
        </is>
      </c>
      <c r="N284" s="110" t="n"/>
      <c r="O284" s="110" t="n"/>
      <c r="P284" s="110" t="n"/>
      <c r="Q284" s="110" t="n"/>
      <c r="R284" s="151" t="n">
        <v>45814</v>
      </c>
      <c r="S284" s="110" t="inlineStr">
        <is>
          <t>GARRO</t>
        </is>
      </c>
      <c r="T284" s="109" t="inlineStr"/>
      <c r="U284" s="147" t="inlineStr"/>
    </row>
    <row r="285" ht="45" customHeight="1" s="122">
      <c r="A285" s="109" t="n"/>
      <c r="B285" s="108" t="inlineStr">
        <is>
          <t>X</t>
        </is>
      </c>
      <c r="C285" s="109" t="inlineStr"/>
      <c r="D285" s="109" t="inlineStr">
        <is>
          <t>AREA 2</t>
        </is>
      </c>
      <c r="E285" s="109" t="inlineStr">
        <is>
          <t>535285/C</t>
        </is>
      </c>
      <c r="F285" s="109" t="inlineStr">
        <is>
          <t>1000</t>
        </is>
      </c>
      <c r="G285" s="109" t="inlineStr">
        <is>
          <t>1000 - L114RC(D111)CONTROLLO DI FUNZIONALITA MISURA DI LIVELLO</t>
        </is>
      </c>
      <c r="H285" s="109" t="n"/>
      <c r="I285" s="109" t="n"/>
      <c r="J285" s="109" t="n"/>
      <c r="K285" s="109" t="n"/>
      <c r="L285" s="109" t="n"/>
      <c r="M285" s="110" t="inlineStr">
        <is>
          <t>DA CHIUDERE</t>
        </is>
      </c>
      <c r="N285" s="110" t="n"/>
      <c r="O285" s="110" t="n"/>
      <c r="P285" s="110" t="n"/>
      <c r="Q285" s="110" t="inlineStr">
        <is>
          <t>IL LIVELLO E' FUNZIONANTE, DRENATO E PROVATO. IL PROBLEMA DERIVAVA DA IMPIANTO BALLERINO, CHE FACEVA SPOSTARE I LIVELLI DA 0 A 100, RISOLTO IN SERATA DA SALVATORE CICCIO, C.T.</t>
        </is>
      </c>
      <c r="R285" s="151" t="n">
        <v>45782</v>
      </c>
      <c r="S285" s="110" t="inlineStr">
        <is>
          <t>MILLO/ALLEGRETTI</t>
        </is>
      </c>
      <c r="T285" s="109" t="inlineStr"/>
      <c r="U285" s="147" t="inlineStr"/>
    </row>
    <row r="286">
      <c r="A286" s="109" t="n"/>
      <c r="B286" s="108" t="inlineStr">
        <is>
          <t>X</t>
        </is>
      </c>
      <c r="C286" s="109" t="inlineStr"/>
      <c r="D286" s="109" t="inlineStr">
        <is>
          <t>AREA 2</t>
        </is>
      </c>
      <c r="E286" s="109" t="inlineStr">
        <is>
          <t>534889/C</t>
        </is>
      </c>
      <c r="F286" s="109" t="inlineStr">
        <is>
          <t>500</t>
        </is>
      </c>
      <c r="G286" s="109" t="inlineStr">
        <is>
          <t>500 - F004RC(MANDATA P101)CONTROLLO DI TARATURA STRUMENTO DI PORTATA</t>
        </is>
      </c>
      <c r="H286" s="109" t="n"/>
      <c r="I286" s="109" t="n"/>
      <c r="J286" s="109" t="n"/>
      <c r="K286" s="109" t="n"/>
      <c r="L286" s="109" t="n"/>
      <c r="M286" s="110" t="inlineStr">
        <is>
          <t>DA CHIUDERE</t>
        </is>
      </c>
      <c r="N286" s="110" t="n"/>
      <c r="O286" s="110" t="n"/>
      <c r="P286" s="110" t="n"/>
      <c r="Q286" s="110" t="inlineStr">
        <is>
          <t>NESSUNA ANOMALIA.</t>
        </is>
      </c>
      <c r="R286" s="151" t="n">
        <v>45782</v>
      </c>
      <c r="S286" s="110" t="inlineStr">
        <is>
          <t>SPINALI</t>
        </is>
      </c>
      <c r="T286" s="109" t="inlineStr"/>
      <c r="U286" s="147" t="inlineStr"/>
    </row>
    <row r="287" ht="30" customHeight="1" s="122">
      <c r="A287" s="109" t="n"/>
      <c r="B287" s="108" t="inlineStr">
        <is>
          <t>X</t>
        </is>
      </c>
      <c r="C287" s="109" t="inlineStr"/>
      <c r="D287" s="109" t="inlineStr">
        <is>
          <t>AREA 2</t>
        </is>
      </c>
      <c r="E287" s="109" t="inlineStr">
        <is>
          <t>534565/C</t>
        </is>
      </c>
      <c r="F287" s="109" t="inlineStr">
        <is>
          <t>600</t>
        </is>
      </c>
      <c r="G287" s="109" t="inlineStr">
        <is>
          <t>600 - 600F152R(L.S. DA LIMITE BATTERIA)CONTROLLO E RIPRISTINO FUNZIONALITA PORTATA</t>
        </is>
      </c>
      <c r="H287" s="109" t="n"/>
      <c r="I287" s="109" t="n"/>
      <c r="J287" s="109" t="n"/>
      <c r="K287" s="109" t="n"/>
      <c r="L287" s="109" t="n"/>
      <c r="M287" s="110" t="inlineStr">
        <is>
          <t>DA CHIUDERE</t>
        </is>
      </c>
      <c r="N287" s="110" t="n"/>
      <c r="O287" s="110" t="n"/>
      <c r="P287" s="110" t="n"/>
      <c r="Q287" s="110" t="inlineStr">
        <is>
          <t>ESEGUITA CORREZIONE DI ZERO CON RIPRISTINO DELLA FUNZIONALITA'</t>
        </is>
      </c>
      <c r="R287" s="151" t="n">
        <v>45779</v>
      </c>
      <c r="S287" s="110" t="inlineStr">
        <is>
          <t>SPINALI</t>
        </is>
      </c>
      <c r="T287" s="109" t="inlineStr"/>
      <c r="U287" s="147" t="inlineStr"/>
    </row>
    <row r="288" ht="30" customHeight="1" s="122">
      <c r="A288" s="109" t="n"/>
      <c r="B288" s="108" t="inlineStr">
        <is>
          <t>X</t>
        </is>
      </c>
      <c r="C288" s="109" t="inlineStr"/>
      <c r="D288" s="109" t="inlineStr">
        <is>
          <t>AREA 2</t>
        </is>
      </c>
      <c r="E288" s="109" t="inlineStr">
        <is>
          <t>533989/C</t>
        </is>
      </c>
      <c r="F288" s="109" t="inlineStr">
        <is>
          <t>1000</t>
        </is>
      </c>
      <c r="G288" s="109" t="inlineStr">
        <is>
          <t>1000 - L114CV SMONTAGGIO/MONTAGGIO VALVOLA PER REVISIONE (CONTROFLANGIARE AGGIUNGEDO DRIP RING)</t>
        </is>
      </c>
      <c r="H288" s="109" t="n"/>
      <c r="I288" s="109" t="n"/>
      <c r="J288" s="109" t="n"/>
      <c r="K288" s="109" t="n"/>
      <c r="L288" s="109" t="n"/>
      <c r="M288" s="110" t="inlineStr">
        <is>
          <t>DA CHIUDERE</t>
        </is>
      </c>
      <c r="N288" s="110" t="n"/>
      <c r="O288" s="110" t="n"/>
      <c r="P288" s="110" t="n"/>
      <c r="Q288" s="110" t="n"/>
      <c r="R288" s="151" t="n"/>
      <c r="S288" s="110" t="n"/>
      <c r="T288" s="109" t="inlineStr"/>
      <c r="U288" s="147" t="inlineStr"/>
    </row>
    <row r="289">
      <c r="A289" s="109" t="n"/>
      <c r="B289" s="109" t="inlineStr">
        <is>
          <t>X</t>
        </is>
      </c>
      <c r="C289" s="109" t="inlineStr"/>
      <c r="D289" s="109" t="inlineStr">
        <is>
          <t>AREA 2</t>
        </is>
      </c>
      <c r="E289" s="109" t="inlineStr">
        <is>
          <t>535631/C</t>
        </is>
      </c>
      <c r="F289" s="109" t="inlineStr">
        <is>
          <t>500</t>
        </is>
      </c>
      <c r="G289" s="109" t="inlineStr">
        <is>
          <t>500 - F003RC CONTROLLO E RIPRISTINO FUNZIONALITA E MISURA</t>
        </is>
      </c>
      <c r="H289" s="109" t="n"/>
      <c r="I289" s="109" t="n"/>
      <c r="J289" s="109" t="n"/>
      <c r="K289" s="109" t="n"/>
      <c r="L289" s="109" t="n"/>
      <c r="M289" s="109" t="inlineStr">
        <is>
          <t>DA CHIUDERE</t>
        </is>
      </c>
      <c r="N289" s="109" t="n"/>
      <c r="O289" s="109" t="n"/>
      <c r="P289" s="109" t="n"/>
      <c r="Q289" s="109" t="inlineStr">
        <is>
          <t>CORRETTO DI ZERO</t>
        </is>
      </c>
      <c r="R289" s="151" t="n">
        <v>45785</v>
      </c>
      <c r="S289" s="109" t="inlineStr">
        <is>
          <t>SPINALI</t>
        </is>
      </c>
      <c r="T289" s="109" t="inlineStr"/>
      <c r="U289" s="109" t="inlineStr"/>
    </row>
    <row r="290" ht="30" customHeight="1" s="122">
      <c r="A290" s="109" t="n"/>
      <c r="B290" s="108" t="inlineStr">
        <is>
          <t>X</t>
        </is>
      </c>
      <c r="C290" s="109" t="inlineStr"/>
      <c r="D290" s="109" t="inlineStr">
        <is>
          <t>AREA 2</t>
        </is>
      </c>
      <c r="E290" s="109" t="inlineStr">
        <is>
          <t>534421/C</t>
        </is>
      </c>
      <c r="F290" s="109" t="inlineStr">
        <is>
          <t>600</t>
        </is>
      </c>
      <c r="G290" s="109" t="inlineStr">
        <is>
          <t>600 - P020BCV(OLIO DI FLUSSAGGIO) CONTROLLO VALVOLA ED EVENTUALE LOOP LOCALE DI REGOLAZIONE 06P020IC</t>
        </is>
      </c>
      <c r="H290" s="109" t="n"/>
      <c r="I290" s="109" t="n"/>
      <c r="J290" s="109" t="n"/>
      <c r="K290" s="109" t="n"/>
      <c r="L290" s="109" t="n"/>
      <c r="M290" s="110" t="inlineStr">
        <is>
          <t>DA CHIUDERE</t>
        </is>
      </c>
      <c r="N290" s="110" t="n"/>
      <c r="O290" s="110" t="n"/>
      <c r="P290" s="110" t="n"/>
      <c r="Q290" s="110" t="inlineStr">
        <is>
          <t>TROVATA VALVOLA MONTATA AL CONTRARIO. SISTEMATA, ALLINEATA OK</t>
        </is>
      </c>
      <c r="R290" s="151" t="n">
        <v>45775</v>
      </c>
      <c r="S290" s="110" t="inlineStr">
        <is>
          <t>CIANCHINO/SAGGIO</t>
        </is>
      </c>
      <c r="T290" s="109" t="inlineStr"/>
      <c r="U290" s="147" t="inlineStr"/>
    </row>
    <row r="291" ht="30" customHeight="1" s="122">
      <c r="A291" s="109" t="n"/>
      <c r="B291" s="108" t="inlineStr">
        <is>
          <t>X</t>
        </is>
      </c>
      <c r="C291" s="109" t="inlineStr"/>
      <c r="D291" s="109" t="inlineStr">
        <is>
          <t>AREA 2</t>
        </is>
      </c>
      <c r="E291" s="109" t="inlineStr">
        <is>
          <t>533766/C</t>
        </is>
      </c>
      <c r="F291" s="109" t="inlineStr">
        <is>
          <t>500</t>
        </is>
      </c>
      <c r="G291" s="109" t="inlineStr">
        <is>
          <t>500 - P027RC  05P028HA FUEL GAS PILOTA F101/4 CONTROLLO DI TARATURA TRASMETTITORE DI PRESSIONE E PRESSOSTATO DI ALTA PRESSIONE</t>
        </is>
      </c>
      <c r="H291" s="109" t="n"/>
      <c r="I291" s="109" t="n"/>
      <c r="J291" s="109" t="n"/>
      <c r="K291" s="109" t="n"/>
      <c r="L291" s="109" t="n"/>
      <c r="M291" s="110" t="inlineStr">
        <is>
          <t>DA CHIUDERE</t>
        </is>
      </c>
      <c r="N291" s="110" t="n"/>
      <c r="O291" s="110" t="n"/>
      <c r="P291" s="110" t="n"/>
      <c r="Q291" s="110" t="n"/>
      <c r="R291" s="151" t="n"/>
      <c r="S291" s="110" t="n"/>
      <c r="T291" s="109" t="inlineStr"/>
      <c r="U291" s="147" t="inlineStr"/>
    </row>
    <row r="292" ht="45" customHeight="1" s="122">
      <c r="A292" s="109" t="n"/>
      <c r="B292" s="109" t="inlineStr">
        <is>
          <t>X</t>
        </is>
      </c>
      <c r="C292" s="109" t="inlineStr"/>
      <c r="D292" s="109" t="inlineStr">
        <is>
          <t>AREA 2</t>
        </is>
      </c>
      <c r="E292" s="109" t="inlineStr">
        <is>
          <t>533704/C</t>
        </is>
      </c>
      <c r="F292" s="109" t="inlineStr">
        <is>
          <t>500</t>
        </is>
      </c>
      <c r="G292" s="109" t="inlineStr">
        <is>
          <t>500 - colonna T103 sostituzione colonna- Sistemazione cavi e passerelle/conduit strumentali propedeutiche per attivita' meccaniche; i segnali al momento non devono essere scollegati, la colonna resta in marcia.</t>
        </is>
      </c>
      <c r="H292" s="109" t="n"/>
      <c r="I292" s="109" t="n"/>
      <c r="J292" s="109" t="n"/>
      <c r="K292" s="109" t="n"/>
      <c r="L292" s="109" t="n"/>
      <c r="M292" s="109" t="inlineStr">
        <is>
          <t>DA CHIUDERE</t>
        </is>
      </c>
      <c r="N292" s="109" t="n"/>
      <c r="O292" s="109" t="n"/>
      <c r="P292" s="109" t="n"/>
      <c r="Q292" s="109" t="n"/>
      <c r="R292" s="151" t="n"/>
      <c r="S292" s="109" t="n"/>
      <c r="T292" s="109" t="inlineStr"/>
      <c r="U292" s="109" t="inlineStr"/>
    </row>
    <row r="293" ht="30" customHeight="1" s="122">
      <c r="A293" s="109" t="n"/>
      <c r="B293" s="108" t="inlineStr">
        <is>
          <t>X</t>
        </is>
      </c>
      <c r="C293" s="109" t="inlineStr"/>
      <c r="D293" s="109" t="inlineStr">
        <is>
          <t>AREA 2</t>
        </is>
      </c>
      <c r="E293" s="109" t="inlineStr">
        <is>
          <t>526264/C</t>
        </is>
      </c>
      <c r="F293" s="109" t="inlineStr">
        <is>
          <t>1000</t>
        </is>
      </c>
      <c r="G293" s="109" t="inlineStr">
        <is>
          <t>1000 - L102B (D105) RIPRISTINO FUNZIONALITA LIVELLO CON EVENTUALE SPOSTAMENTO MEMBRANE SU ALTRE PRESE DI RADICE INDICATE DA ESERCIZIO</t>
        </is>
      </c>
      <c r="H293" s="109" t="n"/>
      <c r="I293" s="109" t="n"/>
      <c r="J293" s="109" t="n"/>
      <c r="K293" s="109" t="n"/>
      <c r="L293" s="109" t="n"/>
      <c r="M293" s="110" t="inlineStr">
        <is>
          <t>DA CHIUDERE</t>
        </is>
      </c>
      <c r="N293" s="110" t="n"/>
      <c r="O293" s="110" t="n"/>
      <c r="P293" s="110" t="n"/>
      <c r="Q293" s="110" t="inlineStr">
        <is>
          <t>LIVELLO TARATO E CONSEGNATO A D ESE</t>
        </is>
      </c>
      <c r="R293" s="151" t="n">
        <v>45707</v>
      </c>
      <c r="S293" s="110" t="inlineStr">
        <is>
          <t>MILLO/ALLEGRETTI</t>
        </is>
      </c>
      <c r="T293" s="109" t="inlineStr"/>
      <c r="U293" s="147" t="inlineStr"/>
    </row>
    <row r="294" ht="30" customHeight="1" s="122">
      <c r="A294" s="109" t="n"/>
      <c r="B294" s="108" t="inlineStr">
        <is>
          <t>X</t>
        </is>
      </c>
      <c r="C294" s="109" t="inlineStr"/>
      <c r="D294" s="109" t="inlineStr">
        <is>
          <t>AREA 2</t>
        </is>
      </c>
      <c r="E294" s="109" t="inlineStr">
        <is>
          <t>525584/C</t>
        </is>
      </c>
      <c r="F294" s="109" t="inlineStr">
        <is>
          <t>500</t>
        </is>
      </c>
      <c r="G294" s="109" t="inlineStr">
        <is>
          <t>500 - F095R(FUELL GAS A F302)CONTROLLO E RIPRISTINO MISURA PORTATA</t>
        </is>
      </c>
      <c r="H294" s="109" t="n"/>
      <c r="I294" s="109" t="n"/>
      <c r="J294" s="109" t="n"/>
      <c r="K294" s="109" t="n"/>
      <c r="L294" s="109" t="n"/>
      <c r="M294" s="110" t="inlineStr">
        <is>
          <t>DA CHIUDERE</t>
        </is>
      </c>
      <c r="N294" s="110" t="n"/>
      <c r="O294" s="110" t="inlineStr">
        <is>
          <t>X</t>
        </is>
      </c>
      <c r="P294" s="110" t="inlineStr">
        <is>
          <t>X</t>
        </is>
      </c>
      <c r="Q294" s="110" t="inlineStr">
        <is>
          <t>STASATA RADICE CON PONTEROSSO STRUMENTO IN SERVIZIO</t>
        </is>
      </c>
      <c r="R294" s="151" t="n">
        <v>45700</v>
      </c>
      <c r="S294" s="110" t="inlineStr">
        <is>
          <t>MILLO/ALLEGRETTI</t>
        </is>
      </c>
      <c r="T294" s="109" t="inlineStr"/>
      <c r="U294" s="147" t="inlineStr"/>
    </row>
    <row r="295" ht="30" customHeight="1" s="122">
      <c r="A295" s="109" t="n"/>
      <c r="B295" s="109" t="inlineStr">
        <is>
          <t>X</t>
        </is>
      </c>
      <c r="C295" s="109" t="inlineStr"/>
      <c r="D295" s="109" t="inlineStr">
        <is>
          <t>AREA 2</t>
        </is>
      </c>
      <c r="E295" s="109" t="inlineStr">
        <is>
          <t>533186/C</t>
        </is>
      </c>
      <c r="F295" s="109" t="inlineStr">
        <is>
          <t>500</t>
        </is>
      </c>
      <c r="G295" s="109" t="inlineStr">
        <is>
          <t>500 - 500F268RC (GPL A IMPIANTO 900) CONTROLLO E RIPRISTINO FUNZIONALITA CON TARATURA STRUMENTO DI PORTATA</t>
        </is>
      </c>
      <c r="H295" s="109" t="n"/>
      <c r="I295" s="109" t="n"/>
      <c r="J295" s="109" t="n"/>
      <c r="K295" s="109" t="n"/>
      <c r="L295" s="109" t="n"/>
      <c r="M295" s="109" t="inlineStr">
        <is>
          <t>DA CHIUDERE</t>
        </is>
      </c>
      <c r="N295" s="109" t="n"/>
      <c r="O295" s="109" t="n"/>
      <c r="P295" s="109" t="n"/>
      <c r="Q295" s="109" t="n"/>
      <c r="R295" s="151" t="n">
        <v>45763</v>
      </c>
      <c r="S295" s="109" t="inlineStr">
        <is>
          <t>TARASCIO</t>
        </is>
      </c>
      <c r="T295" s="109" t="inlineStr"/>
      <c r="U295" s="109" t="inlineStr"/>
    </row>
    <row r="296">
      <c r="A296" s="109" t="n"/>
      <c r="B296" s="108" t="inlineStr">
        <is>
          <t>X</t>
        </is>
      </c>
      <c r="C296" s="109" t="inlineStr"/>
      <c r="D296" s="109" t="inlineStr">
        <is>
          <t>AREA 2</t>
        </is>
      </c>
      <c r="E296" s="109" t="inlineStr">
        <is>
          <t>533160/C</t>
        </is>
      </c>
      <c r="F296" s="109" t="inlineStr">
        <is>
          <t>500</t>
        </is>
      </c>
      <c r="G296" s="109" t="inlineStr">
        <is>
          <t>500 - F030RC (RIFLUSSO T104) CONTROLLO E TARATURA STRUMENTO DI PORTATA</t>
        </is>
      </c>
      <c r="H296" s="109" t="n"/>
      <c r="I296" s="109" t="n"/>
      <c r="J296" s="109" t="n"/>
      <c r="K296" s="109" t="n"/>
      <c r="L296" s="109" t="n"/>
      <c r="M296" s="110" t="inlineStr">
        <is>
          <t>DA CHIUDERE</t>
        </is>
      </c>
      <c r="N296" s="110" t="n"/>
      <c r="O296" s="110" t="n"/>
      <c r="P296" s="110" t="n"/>
      <c r="Q296" s="110" t="n"/>
      <c r="R296" s="151" t="n">
        <v>45763</v>
      </c>
      <c r="S296" s="110" t="inlineStr">
        <is>
          <t>TARASCIO</t>
        </is>
      </c>
      <c r="T296" s="109" t="inlineStr"/>
      <c r="U296" s="147" t="inlineStr"/>
    </row>
    <row r="297">
      <c r="A297" s="109" t="n"/>
      <c r="B297" s="109" t="inlineStr">
        <is>
          <t>X</t>
        </is>
      </c>
      <c r="C297" s="109" t="inlineStr"/>
      <c r="D297" s="109" t="inlineStr">
        <is>
          <t>AREA 2</t>
        </is>
      </c>
      <c r="E297" s="109" t="inlineStr">
        <is>
          <t>528568/C</t>
        </is>
      </c>
      <c r="F297" s="109" t="inlineStr">
        <is>
          <t>600</t>
        </is>
      </c>
      <c r="G297" s="109" t="inlineStr">
        <is>
          <t>600 - L005RC (D103) CONTROLLO E RIPRISTINO LIVELLO</t>
        </is>
      </c>
      <c r="H297" s="109" t="n"/>
      <c r="I297" s="109" t="n"/>
      <c r="J297" s="109" t="n"/>
      <c r="K297" s="109" t="n"/>
      <c r="L297" s="109" t="n"/>
      <c r="M297" s="110" t="inlineStr">
        <is>
          <t>DA CHIUDERE</t>
        </is>
      </c>
      <c r="N297" s="110" t="n"/>
      <c r="O297" s="110" t="n"/>
      <c r="P297" s="110" t="n"/>
      <c r="Q297" s="110" t="n"/>
      <c r="R297" s="151" t="n"/>
      <c r="S297" s="110" t="inlineStr">
        <is>
          <t>SPINALI/SERRA</t>
        </is>
      </c>
      <c r="T297" s="109" t="inlineStr"/>
      <c r="U297" s="147" t="inlineStr"/>
    </row>
    <row r="298" ht="30" customHeight="1" s="122">
      <c r="A298" s="109" t="n"/>
      <c r="B298" s="108" t="inlineStr">
        <is>
          <t>X</t>
        </is>
      </c>
      <c r="C298" s="109" t="inlineStr"/>
      <c r="D298" s="109" t="inlineStr">
        <is>
          <t>AREA 2</t>
        </is>
      </c>
      <c r="E298" s="109" t="inlineStr">
        <is>
          <t>533324/C</t>
        </is>
      </c>
      <c r="F298" s="109" t="inlineStr">
        <is>
          <t>1000</t>
        </is>
      </c>
      <c r="G298" s="109" t="inlineStr">
        <is>
          <t>1000 - L116RC (D112 ACCUMULATORE TESTA T102) CONTROLLO LOOP DI REGOLAZIONE  INIZIANDO DAL TRASMETTITORE DI LIVELLO</t>
        </is>
      </c>
      <c r="H298" s="109" t="n"/>
      <c r="I298" s="109" t="n"/>
      <c r="J298" s="109" t="n"/>
      <c r="K298" s="109" t="n"/>
      <c r="L298" s="109" t="n"/>
      <c r="M298" s="110" t="inlineStr">
        <is>
          <t>DA CHIUDERE</t>
        </is>
      </c>
      <c r="N298" s="110" t="n"/>
      <c r="O298" s="110" t="n"/>
      <c r="P298" s="110" t="n"/>
      <c r="Q298" s="110" t="inlineStr">
        <is>
          <t>RIPRISTINATO BATTENTE SU BARILOTTO, ELIMINATO INDICATORE LOCALE COLLEGATO IN PARALLELO SULL'ALIMENTAZIONE.</t>
        </is>
      </c>
      <c r="R298" s="151" t="n">
        <v>45762</v>
      </c>
      <c r="S298" s="110" t="inlineStr">
        <is>
          <t>MILLO/NOCERA</t>
        </is>
      </c>
      <c r="T298" s="109" t="inlineStr"/>
      <c r="U298" s="147" t="inlineStr"/>
    </row>
    <row r="299">
      <c r="A299" s="109" t="n"/>
      <c r="B299" s="108" t="inlineStr">
        <is>
          <t>X</t>
        </is>
      </c>
      <c r="C299" s="109" t="inlineStr"/>
      <c r="D299" s="109" t="inlineStr">
        <is>
          <t>AREA 2</t>
        </is>
      </c>
      <c r="E299" s="109" t="inlineStr">
        <is>
          <t>533024/C</t>
        </is>
      </c>
      <c r="F299" s="109" t="inlineStr">
        <is>
          <t>1600A</t>
        </is>
      </c>
      <c r="G299" s="109" t="inlineStr">
        <is>
          <t>1600A - TCT592HA TAR DA E518 CONTROLLO E RIPRISTINO FUNZIONALITA TEMPERATURA</t>
        </is>
      </c>
      <c r="H299" s="109" t="n"/>
      <c r="I299" s="109" t="n"/>
      <c r="J299" s="109" t="n"/>
      <c r="K299" s="109" t="n"/>
      <c r="L299" s="109" t="n"/>
      <c r="M299" s="110" t="inlineStr">
        <is>
          <t>DA CHIUDERE</t>
        </is>
      </c>
      <c r="N299" s="110" t="n"/>
      <c r="O299" s="110" t="n"/>
      <c r="P299" s="110" t="n"/>
      <c r="Q299" s="110" t="n"/>
      <c r="R299" s="151" t="n"/>
      <c r="S299" s="110" t="n"/>
      <c r="T299" s="109" t="inlineStr"/>
      <c r="U299" s="147" t="inlineStr"/>
    </row>
    <row r="300" ht="30" customHeight="1" s="122">
      <c r="A300" s="109" t="n"/>
      <c r="B300" s="108" t="inlineStr">
        <is>
          <t>X</t>
        </is>
      </c>
      <c r="C300" s="109" t="inlineStr"/>
      <c r="D300" s="109" t="inlineStr">
        <is>
          <t>AREA 2</t>
        </is>
      </c>
      <c r="E300" s="109" t="inlineStr">
        <is>
          <t>531415/C</t>
        </is>
      </c>
      <c r="F300" s="109" t="inlineStr">
        <is>
          <t>1000</t>
        </is>
      </c>
      <c r="G300" s="109" t="inlineStr">
        <is>
          <t>1000 - L113RC(D110)CONTROLLO E RIPRISTINO  LIVELLO A CAUSA DI OSCILLAZIONI DELLA MISURA DOPO IL 50%</t>
        </is>
      </c>
      <c r="H300" s="109" t="n"/>
      <c r="I300" s="109" t="n"/>
      <c r="J300" s="109" t="n"/>
      <c r="K300" s="109" t="n"/>
      <c r="L300" s="109" t="n"/>
      <c r="M300" s="110" t="inlineStr">
        <is>
          <t>DA CHIUDERE</t>
        </is>
      </c>
      <c r="N300" s="110" t="n"/>
      <c r="O300" s="110" t="n"/>
      <c r="P300" s="110" t="n"/>
      <c r="Q300" s="110" t="n"/>
      <c r="R300" s="151" t="n"/>
      <c r="S300" s="110" t="n"/>
      <c r="T300" s="109" t="inlineStr"/>
      <c r="U300" s="147" t="inlineStr"/>
    </row>
    <row r="301" ht="60" customHeight="1" s="122">
      <c r="A301" s="109" t="n"/>
      <c r="B301" s="108" t="inlineStr">
        <is>
          <t>X</t>
        </is>
      </c>
      <c r="C301" s="109" t="inlineStr"/>
      <c r="D301" s="109" t="inlineStr">
        <is>
          <t>AREA 2</t>
        </is>
      </c>
      <c r="E301" s="109" t="inlineStr">
        <is>
          <t>531642/C</t>
        </is>
      </c>
      <c r="F301" s="109" t="inlineStr">
        <is>
          <t>600</t>
        </is>
      </c>
      <c r="G301" s="109" t="inlineStr">
        <is>
          <t>600 - F016CV( VAPORE SESTO  PASSO F101)CONTROLLO E RIPRISTINO FUNZIONALITA VALVOLA</t>
        </is>
      </c>
      <c r="H301" s="109" t="n"/>
      <c r="I301" s="109" t="n"/>
      <c r="J301" s="109" t="n"/>
      <c r="K301" s="109" t="n"/>
      <c r="L301" s="109" t="n"/>
      <c r="M301" s="110" t="inlineStr">
        <is>
          <t>DA CHIUDERE</t>
        </is>
      </c>
      <c r="N301" s="110" t="n"/>
      <c r="O301" s="110" t="n"/>
      <c r="P301" s="110" t="n"/>
      <c r="Q301" s="110" t="inlineStr">
        <is>
          <t>LA VALVOLA NON CHIUDEVA OLTRE IL 50%, LUBRIFICATA, NON VA OLTRE IL 15% VERSO LA CHIUSURA. PROVATA CON ARIA DI RETE, NESSUN MIGLIORAMENTO. SE SI VUOLE LA TOTALE CHIUSURA, DEVE ANDARE A REVISIONE.</t>
        </is>
      </c>
      <c r="R301" s="151" t="n">
        <v>45747</v>
      </c>
      <c r="S301" s="110" t="inlineStr">
        <is>
          <t>RICIPUTO</t>
        </is>
      </c>
      <c r="T301" s="109" t="inlineStr"/>
      <c r="U301" s="147" t="inlineStr"/>
    </row>
    <row r="302">
      <c r="A302" s="109" t="n"/>
      <c r="B302" s="108" t="inlineStr">
        <is>
          <t>X</t>
        </is>
      </c>
      <c r="C302" s="109" t="inlineStr"/>
      <c r="D302" s="109" t="inlineStr">
        <is>
          <t>AREA 2</t>
        </is>
      </c>
      <c r="E302" s="109" t="inlineStr">
        <is>
          <t>531599/C</t>
        </is>
      </c>
      <c r="F302" s="109" t="inlineStr">
        <is>
          <t>1000</t>
        </is>
      </c>
      <c r="G302" s="109" t="inlineStr">
        <is>
          <t>1000 - L108CV RIPRISTINO FUNZIONALITA VALVOLA</t>
        </is>
      </c>
      <c r="H302" s="109" t="n"/>
      <c r="I302" s="109" t="n"/>
      <c r="J302" s="109" t="n"/>
      <c r="K302" s="109" t="n"/>
      <c r="L302" s="109" t="n"/>
      <c r="M302" s="110" t="inlineStr">
        <is>
          <t>DA CHIUDERE</t>
        </is>
      </c>
      <c r="N302" s="110" t="n"/>
      <c r="O302" s="110" t="n"/>
      <c r="P302" s="110" t="n"/>
      <c r="Q302" s="110" t="n"/>
      <c r="R302" s="151" t="n"/>
      <c r="S302" s="110" t="n"/>
      <c r="T302" s="109" t="inlineStr"/>
      <c r="U302" s="147" t="inlineStr"/>
    </row>
    <row r="303" ht="45" customHeight="1" s="122">
      <c r="A303" s="109" t="n"/>
      <c r="B303" s="108" t="inlineStr">
        <is>
          <t>X</t>
        </is>
      </c>
      <c r="C303" s="109" t="inlineStr"/>
      <c r="D303" s="109" t="inlineStr">
        <is>
          <t>AREA 2</t>
        </is>
      </c>
      <c r="E303" s="109" t="inlineStr">
        <is>
          <t>530799/C</t>
        </is>
      </c>
      <c r="F303" s="109" t="inlineStr">
        <is>
          <t>1000</t>
        </is>
      </c>
      <c r="G303" s="109" t="inlineStr">
        <is>
          <t>1000 - LDAR 4Q24 ELIMINAZIONE PERDITE CON SERRAGGIO PREMITRECCIA(O EVENTUALE RIBADERNATURA)  SULLE SEGUENTI VALVOLE  HOO1CV-T105CV-FCV114/C -F102CV -L116CV -F123CV</t>
        </is>
      </c>
      <c r="H303" s="109" t="n"/>
      <c r="I303" s="109" t="n"/>
      <c r="J303" s="109" t="n"/>
      <c r="K303" s="109" t="n"/>
      <c r="L303" s="109" t="n"/>
      <c r="M303" s="110" t="inlineStr">
        <is>
          <t>DA CHIUDERE</t>
        </is>
      </c>
      <c r="N303" s="110" t="n"/>
      <c r="O303" s="110" t="n"/>
      <c r="P303" s="110" t="n"/>
      <c r="Q303" s="110" t="inlineStr">
        <is>
          <t>LE VALVOLE SONO STATE CONTROLLATE, SI CONSIGLIA LA RIBADERNATURA DI TCV105-FCV114-LCV116.</t>
        </is>
      </c>
      <c r="R303" s="151" t="n"/>
      <c r="S303" s="110" t="n"/>
      <c r="T303" s="109" t="inlineStr"/>
      <c r="U303" s="147" t="inlineStr"/>
    </row>
    <row r="304" ht="30" customHeight="1" s="122">
      <c r="A304" s="109" t="n"/>
      <c r="B304" s="109" t="inlineStr">
        <is>
          <t>X</t>
        </is>
      </c>
      <c r="C304" s="109" t="inlineStr"/>
      <c r="D304" s="109" t="inlineStr">
        <is>
          <t>AREA 2</t>
        </is>
      </c>
      <c r="E304" s="109" t="inlineStr">
        <is>
          <t>522483/C</t>
        </is>
      </c>
      <c r="F304" s="109" t="inlineStr">
        <is>
          <t>500</t>
        </is>
      </c>
      <c r="G304" s="109" t="inlineStr">
        <is>
          <t>500 - C103B SOSTITUZIONE MANOMETRI E TERMOMETRI E RIFACIMENTO TUBING OVE NECESSITA</t>
        </is>
      </c>
      <c r="H304" s="109" t="n"/>
      <c r="I304" s="109" t="n"/>
      <c r="J304" s="109" t="n"/>
      <c r="K304" s="109" t="n"/>
      <c r="L304" s="109" t="n"/>
      <c r="M304" s="110" t="inlineStr">
        <is>
          <t>DA CHIUDERE</t>
        </is>
      </c>
      <c r="N304" s="110" t="n"/>
      <c r="O304" s="110" t="n"/>
      <c r="P304" s="110" t="n"/>
      <c r="Q304" s="110" t="inlineStr">
        <is>
          <t>DA CHIUDERE</t>
        </is>
      </c>
      <c r="R304" s="151" t="n"/>
      <c r="S304" s="110" t="n"/>
      <c r="T304" s="109" t="inlineStr"/>
      <c r="U304" s="147" t="inlineStr"/>
    </row>
    <row r="305" ht="30" customHeight="1" s="122">
      <c r="A305" s="109" t="n"/>
      <c r="B305" s="108" t="inlineStr">
        <is>
          <t>X</t>
        </is>
      </c>
      <c r="C305" s="109" t="inlineStr"/>
      <c r="D305" s="109" t="inlineStr">
        <is>
          <t>AREA 2</t>
        </is>
      </c>
      <c r="E305" s="109" t="inlineStr">
        <is>
          <t>530500/C</t>
        </is>
      </c>
      <c r="F305" s="109" t="inlineStr">
        <is>
          <t>500</t>
        </is>
      </c>
      <c r="G305" s="109" t="inlineStr">
        <is>
          <t xml:space="preserve">500 - F052R - RIPRISTINO TRACCIE DI RAME   PENZOLANTI E SISTEMAZIONE IN PASSARELLA </t>
        </is>
      </c>
      <c r="H305" s="109" t="n"/>
      <c r="I305" s="109" t="n"/>
      <c r="J305" s="109" t="n"/>
      <c r="K305" s="109" t="n"/>
      <c r="L305" s="109" t="n"/>
      <c r="M305" s="110" t="inlineStr">
        <is>
          <t>DA CHIUDERE</t>
        </is>
      </c>
      <c r="N305" s="110" t="n"/>
      <c r="O305" s="110" t="n"/>
      <c r="P305" s="110" t="n"/>
      <c r="Q305" s="110" t="inlineStr">
        <is>
          <t>DA CHIUDERE</t>
        </is>
      </c>
      <c r="R305" s="151" t="n"/>
      <c r="S305" s="110" t="n"/>
      <c r="T305" s="109" t="inlineStr"/>
      <c r="U305" s="147" t="inlineStr"/>
    </row>
    <row r="306">
      <c r="A306" s="109" t="n"/>
      <c r="B306" s="109" t="inlineStr">
        <is>
          <t>X</t>
        </is>
      </c>
      <c r="C306" s="109" t="inlineStr"/>
      <c r="D306" s="109" t="inlineStr">
        <is>
          <t>AREA 2</t>
        </is>
      </c>
      <c r="E306" s="109" t="inlineStr">
        <is>
          <t>528229/C</t>
        </is>
      </c>
      <c r="F306" s="109" t="inlineStr">
        <is>
          <t>500</t>
        </is>
      </c>
      <c r="G306" s="109" t="inlineStr">
        <is>
          <t>500 - Realizzazione nuovo primario su P021LA (BASSA PRESSIONE D-110).</t>
        </is>
      </c>
      <c r="H306" s="109" t="n"/>
      <c r="I306" s="109" t="n"/>
      <c r="J306" s="109" t="n"/>
      <c r="K306" s="109" t="n"/>
      <c r="L306" s="109" t="n"/>
      <c r="M306" s="110" t="inlineStr">
        <is>
          <t>DA CHIUDERE</t>
        </is>
      </c>
      <c r="N306" s="110" t="n"/>
      <c r="O306" s="110" t="n"/>
      <c r="P306" s="110" t="n"/>
      <c r="Q306" s="110" t="inlineStr">
        <is>
          <t>LAVORO TERMINATO.</t>
        </is>
      </c>
      <c r="R306" s="151" t="n"/>
      <c r="S306" s="110" t="n"/>
      <c r="T306" s="109" t="inlineStr"/>
      <c r="U306" s="147" t="inlineStr"/>
    </row>
    <row r="307">
      <c r="A307" s="109" t="n"/>
      <c r="B307" s="108" t="inlineStr">
        <is>
          <t>X</t>
        </is>
      </c>
      <c r="C307" s="109" t="inlineStr"/>
      <c r="D307" s="109" t="inlineStr">
        <is>
          <t>AREA 2</t>
        </is>
      </c>
      <c r="E307" s="109" t="inlineStr">
        <is>
          <t>531227/C</t>
        </is>
      </c>
      <c r="F307" s="109" t="inlineStr">
        <is>
          <t>600</t>
        </is>
      </c>
      <c r="G307" s="109" t="inlineStr">
        <is>
          <t>600 - 600F001CV   600F006CV  SERRAGGIO PREMITRECCIA PER ELIMINAZIONE PERDITA</t>
        </is>
      </c>
      <c r="H307" s="109" t="n"/>
      <c r="I307" s="109" t="n"/>
      <c r="J307" s="109" t="n"/>
      <c r="K307" s="109" t="n"/>
      <c r="L307" s="109" t="n"/>
      <c r="M307" s="110" t="inlineStr">
        <is>
          <t>DA CHIUDERE</t>
        </is>
      </c>
      <c r="N307" s="110" t="n"/>
      <c r="O307" s="110" t="n"/>
      <c r="P307" s="110" t="n"/>
      <c r="Q307" s="110" t="n"/>
      <c r="R307" s="151" t="n"/>
      <c r="S307" s="110" t="n"/>
      <c r="T307" s="109" t="inlineStr"/>
      <c r="U307" s="147" t="inlineStr"/>
    </row>
    <row r="308" ht="30" customHeight="1" s="122">
      <c r="A308" s="109" t="n"/>
      <c r="B308" s="109" t="inlineStr">
        <is>
          <t>X</t>
        </is>
      </c>
      <c r="C308" s="109" t="inlineStr"/>
      <c r="D308" s="109" t="inlineStr">
        <is>
          <t>AREA 2</t>
        </is>
      </c>
      <c r="E308" s="109" t="inlineStr">
        <is>
          <t>530491/C</t>
        </is>
      </c>
      <c r="F308" s="109" t="inlineStr">
        <is>
          <t>500</t>
        </is>
      </c>
      <c r="G308" s="109" t="inlineStr">
        <is>
          <t>500 - L014CV SOSTITUZIONE TRASDUTTORE DI SEGNALE TARATURA VALVOLA  E ALLINEAMENTO  CON SALA CONTROLLO</t>
        </is>
      </c>
      <c r="H308" s="109" t="n"/>
      <c r="I308" s="109" t="n"/>
      <c r="J308" s="109" t="n"/>
      <c r="K308" s="109" t="n"/>
      <c r="L308" s="109" t="n"/>
      <c r="M308" s="109" t="inlineStr">
        <is>
          <t>DA CHIUDERE</t>
        </is>
      </c>
      <c r="N308" s="109" t="n"/>
      <c r="O308" s="109" t="n"/>
      <c r="P308" s="109" t="n"/>
      <c r="Q308" s="109" t="n"/>
      <c r="R308" s="151" t="n"/>
      <c r="S308" s="109" t="n"/>
      <c r="T308" s="109" t="inlineStr"/>
      <c r="U308" s="109" t="inlineStr"/>
    </row>
    <row r="309" ht="30" customHeight="1" s="122">
      <c r="A309" s="109" t="n"/>
      <c r="B309" s="108" t="inlineStr">
        <is>
          <t>X</t>
        </is>
      </c>
      <c r="C309" s="109" t="inlineStr"/>
      <c r="D309" s="109" t="inlineStr">
        <is>
          <t>AREA 2</t>
        </is>
      </c>
      <c r="E309" s="109" t="inlineStr">
        <is>
          <t>529018/C</t>
        </is>
      </c>
      <c r="F309" s="109" t="inlineStr">
        <is>
          <t>1000</t>
        </is>
      </c>
      <c r="G309" s="109" t="inlineStr">
        <is>
          <t>1000 - R109BV RIPRISTINO FINE CORSA DI APERTURA</t>
        </is>
      </c>
      <c r="H309" s="109" t="n"/>
      <c r="I309" s="109" t="n"/>
      <c r="J309" s="109" t="n"/>
      <c r="K309" s="109" t="n"/>
      <c r="L309" s="109" t="n"/>
      <c r="M309" s="110" t="inlineStr">
        <is>
          <t>DA CHIUDERE</t>
        </is>
      </c>
      <c r="N309" s="110" t="inlineStr">
        <is>
          <t>X</t>
        </is>
      </c>
      <c r="O309" s="110" t="n"/>
      <c r="P309" s="110" t="n"/>
      <c r="Q309" s="110" t="inlineStr">
        <is>
          <t>PER ESE LE VALVOLE NON SI POSSONO MOVIMENTARE</t>
        </is>
      </c>
      <c r="R309" s="151" t="n">
        <v>45728</v>
      </c>
      <c r="S309" s="110" t="inlineStr">
        <is>
          <t>MILLO/ALLEGRETTI</t>
        </is>
      </c>
      <c r="T309" s="109" t="inlineStr"/>
      <c r="U309" s="147" t="inlineStr"/>
    </row>
    <row r="310" ht="30" customHeight="1" s="122">
      <c r="A310" s="109" t="n"/>
      <c r="B310" s="108" t="inlineStr">
        <is>
          <t>X</t>
        </is>
      </c>
      <c r="C310" s="109" t="inlineStr"/>
      <c r="D310" s="109" t="inlineStr">
        <is>
          <t>AREA 2</t>
        </is>
      </c>
      <c r="E310" s="109" t="inlineStr">
        <is>
          <t>529017/C</t>
        </is>
      </c>
      <c r="F310" s="109" t="inlineStr">
        <is>
          <t>1000</t>
        </is>
      </c>
      <c r="G310" s="109" t="inlineStr">
        <is>
          <t>1000 - R111BV RIPRISTINO FINE CORSA DI APERTURA</t>
        </is>
      </c>
      <c r="H310" s="109" t="n"/>
      <c r="I310" s="109" t="n"/>
      <c r="J310" s="109" t="n"/>
      <c r="K310" s="109" t="n"/>
      <c r="L310" s="109" t="n"/>
      <c r="M310" s="110" t="inlineStr">
        <is>
          <t>DA CHIUDERE</t>
        </is>
      </c>
      <c r="N310" s="110" t="inlineStr">
        <is>
          <t>X</t>
        </is>
      </c>
      <c r="O310" s="110" t="n"/>
      <c r="P310" s="110" t="n"/>
      <c r="Q310" s="110" t="inlineStr">
        <is>
          <t>PER ESE LE VALVOLE NON SI POSSONO MOVIMENTARE</t>
        </is>
      </c>
      <c r="R310" s="151" t="n">
        <v>45728</v>
      </c>
      <c r="S310" s="110" t="inlineStr">
        <is>
          <t>MILLO/ALLEGRETTI</t>
        </is>
      </c>
      <c r="T310" s="109" t="inlineStr"/>
      <c r="U310" s="147" t="inlineStr"/>
    </row>
    <row r="311" ht="30" customHeight="1" s="122">
      <c r="A311" s="109" t="n"/>
      <c r="B311" s="108" t="inlineStr">
        <is>
          <t>X</t>
        </is>
      </c>
      <c r="C311" s="109" t="inlineStr"/>
      <c r="D311" s="109" t="inlineStr">
        <is>
          <t>AREA 2</t>
        </is>
      </c>
      <c r="E311" s="109" t="inlineStr">
        <is>
          <t>528142/C</t>
        </is>
      </c>
      <c r="F311" s="109" t="inlineStr">
        <is>
          <t>600</t>
        </is>
      </c>
      <c r="G311" s="109" t="inlineStr">
        <is>
          <t>IMPIANTO 600 RIPRISTINO/SOSTITUZIONE  PASSARELLA PASSACAVI C/O D102(HOUSE KEEPING)</t>
        </is>
      </c>
      <c r="H311" s="109" t="n"/>
      <c r="I311" s="109" t="n"/>
      <c r="J311" s="109" t="n"/>
      <c r="K311" s="109" t="n"/>
      <c r="L311" s="109" t="n"/>
      <c r="M311" s="110" t="inlineStr">
        <is>
          <t>DA CHIUDERE</t>
        </is>
      </c>
      <c r="N311" s="110" t="n"/>
      <c r="O311" s="110" t="n"/>
      <c r="P311" s="110" t="n"/>
      <c r="Q311" s="110" t="inlineStr">
        <is>
          <t>RIPRISTINATA PASSARELLA E FASCETTATURA DOPPINI ( MT10 )</t>
        </is>
      </c>
      <c r="R311" s="151" t="n">
        <v>45722</v>
      </c>
      <c r="S311" s="110" t="inlineStr">
        <is>
          <t>CAVAGNACCHI/MANSERVIGI</t>
        </is>
      </c>
      <c r="T311" s="109" t="inlineStr"/>
      <c r="U311" s="147" t="inlineStr"/>
    </row>
    <row r="312" ht="30" customHeight="1" s="122">
      <c r="A312" s="109" t="n"/>
      <c r="B312" s="108" t="inlineStr">
        <is>
          <t>X</t>
        </is>
      </c>
      <c r="C312" s="109" t="inlineStr"/>
      <c r="D312" s="109" t="inlineStr">
        <is>
          <t>AREA 2</t>
        </is>
      </c>
      <c r="E312" s="109" t="inlineStr">
        <is>
          <t>527408/C</t>
        </is>
      </c>
      <c r="F312" s="109" t="inlineStr">
        <is>
          <t>600</t>
        </is>
      </c>
      <c r="G312" s="109" t="inlineStr">
        <is>
          <t>600 - manutenzione skid dosaggio antincrostante acqua CW sostituzione tubing</t>
        </is>
      </c>
      <c r="H312" s="109" t="n"/>
      <c r="I312" s="109" t="n"/>
      <c r="J312" s="109" t="n"/>
      <c r="K312" s="109" t="n"/>
      <c r="L312" s="109" t="n"/>
      <c r="M312" s="110" t="inlineStr">
        <is>
          <t>DA CHIUDERE</t>
        </is>
      </c>
      <c r="N312" s="110" t="n"/>
      <c r="O312" s="110" t="n"/>
      <c r="P312" s="110" t="n"/>
      <c r="Q312" s="110" t="inlineStr">
        <is>
          <t>ATTIVITA' CONCLUSA</t>
        </is>
      </c>
      <c r="R312" s="151" t="n">
        <v>45720</v>
      </c>
      <c r="S312" s="110" t="inlineStr">
        <is>
          <t>DE LUCA/DI BLASI</t>
        </is>
      </c>
      <c r="T312" s="109" t="inlineStr"/>
      <c r="U312" s="147" t="inlineStr"/>
    </row>
    <row r="313" ht="45" customHeight="1" s="122">
      <c r="A313" s="109" t="n"/>
      <c r="B313" s="108" t="inlineStr">
        <is>
          <t>X</t>
        </is>
      </c>
      <c r="C313" s="109" t="inlineStr"/>
      <c r="D313" s="109" t="inlineStr">
        <is>
          <t>AREA 2</t>
        </is>
      </c>
      <c r="E313" s="109" t="inlineStr">
        <is>
          <t>526937/C</t>
        </is>
      </c>
      <c r="F313" s="109" t="inlineStr">
        <is>
          <t>600</t>
        </is>
      </c>
      <c r="G313" s="109" t="inlineStr">
        <is>
          <t>600 - L012I (D112 VENT GAS) RIPRISTINO MISURA DI LIVELLO PREVEDERE IL RIEMPIMENTO PRIMARIO</t>
        </is>
      </c>
      <c r="H313" s="109" t="n"/>
      <c r="I313" s="109" t="n"/>
      <c r="J313" s="109" t="n"/>
      <c r="K313" s="109" t="n"/>
      <c r="L313" s="109" t="n"/>
      <c r="M313" s="110" t="inlineStr">
        <is>
          <t>DA CHIUDERE</t>
        </is>
      </c>
      <c r="N313" s="110" t="n"/>
      <c r="O313" s="110" t="n"/>
      <c r="P313" s="110" t="n"/>
      <c r="Q313" s="110" t="inlineStr">
        <is>
          <t>TROVATO CON BYPASS LEGGERMENTE SPUNTATO, E CON MANICHETTA SU PRESA POSITIVA. RIPRISTINATO BATTENTE, CONTROLLO FUNZIONALE, ALLINEATO CON SALA CONTROLLO.</t>
        </is>
      </c>
      <c r="R313" s="151" t="n">
        <v>45714</v>
      </c>
      <c r="S313" s="110" t="inlineStr">
        <is>
          <t>SPINALI/SERRA</t>
        </is>
      </c>
      <c r="T313" s="109" t="inlineStr"/>
      <c r="U313" s="147" t="inlineStr"/>
    </row>
    <row r="314" ht="45" customHeight="1" s="122">
      <c r="A314" s="109" t="n"/>
      <c r="B314" s="109" t="inlineStr">
        <is>
          <t>X</t>
        </is>
      </c>
      <c r="C314" s="109" t="inlineStr"/>
      <c r="D314" s="109" t="inlineStr">
        <is>
          <t>AREA 2</t>
        </is>
      </c>
      <c r="E314" s="109" t="inlineStr">
        <is>
          <t>526855/C</t>
        </is>
      </c>
      <c r="F314" s="109" t="inlineStr">
        <is>
          <t>600</t>
        </is>
      </c>
      <c r="G314" s="109" t="inlineStr">
        <is>
          <t>600 - manutenzione skid dosaggio antincrostante acqua CW sostituzione tubing</t>
        </is>
      </c>
      <c r="H314" s="109" t="n"/>
      <c r="I314" s="109" t="n"/>
      <c r="J314" s="109" t="n"/>
      <c r="K314" s="109" t="n"/>
      <c r="L314" s="109" t="n"/>
      <c r="M314" s="109" t="inlineStr">
        <is>
          <t>DA CHIUDERE</t>
        </is>
      </c>
      <c r="N314" s="109" t="n"/>
      <c r="O314" s="109" t="n"/>
      <c r="P314" s="109" t="n"/>
      <c r="Q314" s="109" t="inlineStr">
        <is>
          <t>SI PROSEGUE ATTIVITA' CON NUOVO PERMESSO (527408/C) INSERENDO SCALA A NORMA E TRABATTELLO. IN CORSO RIFACIMENTO ACCIAIO DA 12mm.</t>
        </is>
      </c>
      <c r="R314" s="151" t="n">
        <v>45714</v>
      </c>
      <c r="S314" s="109" t="inlineStr">
        <is>
          <t>DE LUCA/DI BLASI</t>
        </is>
      </c>
      <c r="T314" s="109" t="inlineStr"/>
      <c r="U314" s="109" t="inlineStr"/>
    </row>
    <row r="315" ht="30" customHeight="1" s="122">
      <c r="A315" s="109" t="n"/>
      <c r="B315" s="108" t="inlineStr">
        <is>
          <t>X</t>
        </is>
      </c>
      <c r="C315" s="109" t="inlineStr"/>
      <c r="D315" s="109" t="inlineStr">
        <is>
          <t>AREA 2</t>
        </is>
      </c>
      <c r="E315" s="109" t="inlineStr">
        <is>
          <t>526939/C</t>
        </is>
      </c>
      <c r="F315" s="109" t="inlineStr">
        <is>
          <t>600</t>
        </is>
      </c>
      <c r="G315" s="109" t="inlineStr">
        <is>
          <t>600 - L0151HA(D110) CONTROLLO E RIPRISTINO FUNZIONALITA LIVELLOSTATO</t>
        </is>
      </c>
      <c r="H315" s="109" t="n"/>
      <c r="I315" s="109" t="n"/>
      <c r="J315" s="109" t="n"/>
      <c r="K315" s="109" t="n"/>
      <c r="L315" s="109" t="n"/>
      <c r="M315" s="110" t="inlineStr">
        <is>
          <t>DA CHIUDERE</t>
        </is>
      </c>
      <c r="N315" s="110" t="n"/>
      <c r="O315" s="110" t="n"/>
      <c r="P315" s="110" t="n"/>
      <c r="Q315" s="110" t="inlineStr">
        <is>
          <t>SOSTITUITA BARRIERA A RETROQUADRO IN COMUNE CON L015HA</t>
        </is>
      </c>
      <c r="R315" s="151" t="n">
        <v>45713</v>
      </c>
      <c r="S315" s="110" t="inlineStr">
        <is>
          <t>MILLO/ALLEGRETTI</t>
        </is>
      </c>
      <c r="T315" s="109" t="inlineStr"/>
      <c r="U315" s="147" t="inlineStr"/>
    </row>
    <row r="316" ht="30" customHeight="1" s="122">
      <c r="A316" s="109" t="n"/>
      <c r="B316" s="109" t="inlineStr">
        <is>
          <t>X</t>
        </is>
      </c>
      <c r="C316" s="109" t="inlineStr"/>
      <c r="D316" s="109" t="inlineStr">
        <is>
          <t>AREA 2</t>
        </is>
      </c>
      <c r="E316" s="109" t="inlineStr">
        <is>
          <t>526938/C</t>
        </is>
      </c>
      <c r="F316" s="109" t="inlineStr">
        <is>
          <t>600</t>
        </is>
      </c>
      <c r="G316" s="109" t="inlineStr">
        <is>
          <t>600 - L015HA(D107) CONTROLLO E RIPRISTINO FUNZIONALITA LIVELLOSTATO</t>
        </is>
      </c>
      <c r="H316" s="109" t="n"/>
      <c r="I316" s="109" t="n"/>
      <c r="J316" s="109" t="n"/>
      <c r="K316" s="109" t="n"/>
      <c r="L316" s="109" t="n"/>
      <c r="M316" s="109" t="inlineStr">
        <is>
          <t>DA CHIUDERE</t>
        </is>
      </c>
      <c r="N316" s="109" t="n"/>
      <c r="O316" s="109" t="n"/>
      <c r="P316" s="109" t="n"/>
      <c r="Q316" s="109" t="inlineStr">
        <is>
          <t>SOSTITUITA BARRIERA A RETROQUADRO IN COMUNE CON L151HA</t>
        </is>
      </c>
      <c r="R316" s="151" t="n">
        <v>45713</v>
      </c>
      <c r="S316" s="109" t="inlineStr">
        <is>
          <t>MILLO/ALLEGRETTI</t>
        </is>
      </c>
      <c r="T316" s="109" t="inlineStr"/>
      <c r="U316" s="109" t="inlineStr"/>
    </row>
    <row r="317" ht="45" customHeight="1" s="122">
      <c r="A317" s="109" t="n"/>
      <c r="B317" s="108" t="inlineStr">
        <is>
          <t>X</t>
        </is>
      </c>
      <c r="C317" s="109" t="inlineStr"/>
      <c r="D317" s="109" t="inlineStr">
        <is>
          <t>AREA 2</t>
        </is>
      </c>
      <c r="E317" s="109" t="inlineStr">
        <is>
          <t>526845/C</t>
        </is>
      </c>
      <c r="F317" s="109" t="inlineStr">
        <is>
          <t>500</t>
        </is>
      </c>
      <c r="G317" s="109" t="inlineStr">
        <is>
          <t>500 - F095RC RIPRISTINO FUNZIONALITA CON PROVE DI STASAMENTO PRIMARI/RADICE</t>
        </is>
      </c>
      <c r="H317" s="109" t="n"/>
      <c r="I317" s="109" t="n"/>
      <c r="J317" s="109" t="n"/>
      <c r="K317" s="109" t="n"/>
      <c r="L317" s="109" t="n"/>
      <c r="M317" s="110" t="inlineStr">
        <is>
          <t>DA CHIUDERE</t>
        </is>
      </c>
      <c r="N317" s="110" t="n"/>
      <c r="O317" s="110" t="n"/>
      <c r="P317" s="110" t="n"/>
      <c r="Q317" s="110" t="inlineStr">
        <is>
          <t>ISPEZIONATE RADICI DOPO LA COSTRUZIONE DI PONTEGGIO DEDICATO, SI NOTA LA RADICE NEGATIVA INTERCETTATA. INSERITA E CONSEGNATO STRUMENTO A ESE OK</t>
        </is>
      </c>
      <c r="R317" s="151" t="n">
        <v>45712</v>
      </c>
      <c r="S317" s="110" t="inlineStr">
        <is>
          <t>TARASCIO/PARTESANO</t>
        </is>
      </c>
      <c r="T317" s="109" t="inlineStr"/>
      <c r="U317" s="147" t="inlineStr"/>
    </row>
    <row r="318" ht="45" customHeight="1" s="122">
      <c r="A318" s="109" t="n"/>
      <c r="B318" s="108" t="inlineStr">
        <is>
          <t>X</t>
        </is>
      </c>
      <c r="C318" s="109" t="inlineStr"/>
      <c r="D318" s="109" t="inlineStr">
        <is>
          <t>AREA 2</t>
        </is>
      </c>
      <c r="E318" s="109" t="inlineStr">
        <is>
          <t>525899/C</t>
        </is>
      </c>
      <c r="F318" s="109" t="inlineStr">
        <is>
          <t>1000</t>
        </is>
      </c>
      <c r="G318" s="109" t="inlineStr">
        <is>
          <t>1000 - P179CV SERRAGGIO PREMITRECCIA VALVOLA  E CONTROLLO FUNZIONALITA CON ALLINEAMENTO CON SALA CONTROLLO</t>
        </is>
      </c>
      <c r="H318" s="109" t="n"/>
      <c r="I318" s="109" t="n"/>
      <c r="J318" s="109" t="n"/>
      <c r="K318" s="109" t="n"/>
      <c r="L318" s="109" t="n"/>
      <c r="M318" s="110" t="inlineStr">
        <is>
          <t>DA CHIUDERE</t>
        </is>
      </c>
      <c r="N318" s="110" t="n"/>
      <c r="O318" s="110" t="n"/>
      <c r="P318" s="110" t="n"/>
      <c r="Q318" s="110" t="inlineStr">
        <is>
          <t>IL PRESSATRECCIA E' TOTALMENTE CORROSO E SOTTILE, SI NOTANO I DADI COMPLETAMENTE ASSOTTIGLIATI. E' NECESSARIO SMONTARE LA VALVOLA PER REVISIONE. ( A CONOSCENZA TCL NASELLI )</t>
        </is>
      </c>
      <c r="R318" s="151" t="n">
        <v>45705</v>
      </c>
      <c r="S318" s="110" t="inlineStr">
        <is>
          <t>MILLO</t>
        </is>
      </c>
      <c r="T318" s="109" t="inlineStr"/>
      <c r="U318" s="147" t="inlineStr"/>
    </row>
    <row r="319" ht="45" customHeight="1" s="122">
      <c r="A319" s="109" t="n"/>
      <c r="B319" s="108" t="inlineStr">
        <is>
          <t>X</t>
        </is>
      </c>
      <c r="C319" s="109" t="inlineStr"/>
      <c r="D319" s="109" t="inlineStr">
        <is>
          <t>AREA 2</t>
        </is>
      </c>
      <c r="E319" s="109" t="inlineStr">
        <is>
          <t>525259/C</t>
        </is>
      </c>
      <c r="F319" s="109" t="inlineStr">
        <is>
          <t>500</t>
        </is>
      </c>
      <c r="G319" s="109" t="inlineStr">
        <is>
          <t>500 - C103C RICOLLEGAMENTO E CONTROLLO STRUMENTAZIONE(CILINDRI E SNUBBER) A BORDO MACCHINA  PROVE DI FUNZIONALITA PARZIALIZZAZIONE POST REVISIONE MACCHINA</t>
        </is>
      </c>
      <c r="H319" s="109" t="n"/>
      <c r="I319" s="109" t="n"/>
      <c r="J319" s="109" t="n"/>
      <c r="K319" s="109" t="n"/>
      <c r="L319" s="109" t="n"/>
      <c r="M319" s="110" t="inlineStr">
        <is>
          <t>DA CHIUDERE</t>
        </is>
      </c>
      <c r="N319" s="110" t="n"/>
      <c r="O319" s="110" t="n"/>
      <c r="P319" s="110" t="n"/>
      <c r="Q319" s="110" t="inlineStr">
        <is>
          <t>RIFACIMENTO TUBI BUCATI DA PRIMARISTA</t>
        </is>
      </c>
      <c r="R319" s="151" t="n">
        <v>45701</v>
      </c>
      <c r="S319" s="110" t="inlineStr">
        <is>
          <t>CAVAGNACCHI</t>
        </is>
      </c>
      <c r="T319" s="109" t="inlineStr"/>
      <c r="U319" s="147" t="inlineStr"/>
    </row>
    <row r="320" ht="30" customHeight="1" s="122">
      <c r="A320" s="109" t="n"/>
      <c r="B320" s="109" t="inlineStr">
        <is>
          <t>X</t>
        </is>
      </c>
      <c r="C320" s="109" t="inlineStr"/>
      <c r="D320" s="109" t="inlineStr">
        <is>
          <t>AREA 2</t>
        </is>
      </c>
      <c r="E320" s="109" t="inlineStr">
        <is>
          <t>523947/C</t>
        </is>
      </c>
      <c r="F320" s="109" t="inlineStr">
        <is>
          <t>1000</t>
        </is>
      </c>
      <c r="G320" s="109" t="inlineStr">
        <is>
          <t>1000 - R110BV RIPRISTINO VOLANTINO MANUALE VALVOLA</t>
        </is>
      </c>
      <c r="H320" s="109" t="n"/>
      <c r="I320" s="109" t="n"/>
      <c r="J320" s="109" t="n"/>
      <c r="K320" s="109" t="n"/>
      <c r="L320" s="109" t="n"/>
      <c r="M320" s="109" t="inlineStr">
        <is>
          <t>DA CHIUDERE</t>
        </is>
      </c>
      <c r="N320" s="109" t="n"/>
      <c r="O320" s="109" t="n"/>
      <c r="P320" s="109" t="n"/>
      <c r="Q320" s="109" t="inlineStr">
        <is>
          <t>SMONTARE ATTUATORE PER VIA DEL VOLANTINO ROTTO (DA REVISIONARE). DA COORDINARE CON OFFICINA VALVOLE.</t>
        </is>
      </c>
      <c r="R320" s="151" t="n">
        <v>45687</v>
      </c>
      <c r="S320" s="109" t="inlineStr">
        <is>
          <t>GARRO L.</t>
        </is>
      </c>
      <c r="T320" s="109" t="inlineStr"/>
      <c r="U320" s="109" t="inlineStr"/>
    </row>
    <row r="321">
      <c r="A321" s="109" t="n"/>
      <c r="B321" s="108" t="inlineStr">
        <is>
          <t>X</t>
        </is>
      </c>
      <c r="C321" s="109" t="inlineStr"/>
      <c r="D321" s="109" t="inlineStr">
        <is>
          <t>AREA 2</t>
        </is>
      </c>
      <c r="E321" s="109" t="inlineStr">
        <is>
          <t>525050/C</t>
        </is>
      </c>
      <c r="F321" s="109" t="inlineStr">
        <is>
          <t>600</t>
        </is>
      </c>
      <c r="G321" s="109" t="inlineStr">
        <is>
          <t xml:space="preserve">600 - F004CV (PASSO DI CARICA) SERRAGGIO PREMITRECCIA E PROVA DI FUNZIONALITA </t>
        </is>
      </c>
      <c r="H321" s="109" t="n"/>
      <c r="I321" s="109" t="n"/>
      <c r="J321" s="109" t="n"/>
      <c r="K321" s="109" t="n"/>
      <c r="L321" s="109" t="n"/>
      <c r="M321" s="110" t="inlineStr">
        <is>
          <t>DA CHIUDERE</t>
        </is>
      </c>
      <c r="N321" s="110" t="n"/>
      <c r="O321" s="110" t="n"/>
      <c r="P321" s="110" t="n"/>
      <c r="Q321" s="110" t="n"/>
      <c r="R321" s="151" t="n"/>
      <c r="S321" s="110" t="n"/>
      <c r="T321" s="109" t="inlineStr"/>
      <c r="U321" s="147" t="inlineStr"/>
    </row>
    <row r="322" ht="30" customHeight="1" s="122">
      <c r="A322" s="109" t="n"/>
      <c r="B322" s="108" t="inlineStr">
        <is>
          <t>X</t>
        </is>
      </c>
      <c r="C322" s="109" t="inlineStr"/>
      <c r="D322" s="109" t="inlineStr">
        <is>
          <t>AREA 2</t>
        </is>
      </c>
      <c r="E322" s="109" t="inlineStr">
        <is>
          <t>522485/C</t>
        </is>
      </c>
      <c r="F322" s="109" t="inlineStr">
        <is>
          <t>500</t>
        </is>
      </c>
      <c r="G322" s="109" t="inlineStr">
        <is>
          <t>500 - C103C SOSTITUZIONE MANOMETRI E TERMOMETRI E RIFACIMENTO SUPPORTI E STAFFE OVE NECESSITA'</t>
        </is>
      </c>
      <c r="H322" s="109" t="n"/>
      <c r="I322" s="109" t="n"/>
      <c r="J322" s="109" t="n"/>
      <c r="K322" s="109" t="n"/>
      <c r="L322" s="109" t="n"/>
      <c r="M322" s="110" t="inlineStr">
        <is>
          <t>DA CHIUDERE</t>
        </is>
      </c>
      <c r="N322" s="110" t="n"/>
      <c r="O322" s="110" t="n"/>
      <c r="P322" s="110" t="n"/>
      <c r="Q322" s="110" t="inlineStr">
        <is>
          <t>SOSTITUITO TUBING E MANOMETRI</t>
        </is>
      </c>
      <c r="R322" s="151" t="n">
        <v>45694</v>
      </c>
      <c r="S322" s="110" t="inlineStr">
        <is>
          <t>CAVAGNACCHI</t>
        </is>
      </c>
      <c r="T322" s="109" t="inlineStr"/>
      <c r="U322" s="147" t="inlineStr"/>
    </row>
    <row r="323" ht="30" customHeight="1" s="122">
      <c r="A323" s="109" t="n"/>
      <c r="B323" s="108" t="inlineStr">
        <is>
          <t>X</t>
        </is>
      </c>
      <c r="C323" s="109" t="inlineStr"/>
      <c r="D323" s="109" t="inlineStr">
        <is>
          <t>AREA 2</t>
        </is>
      </c>
      <c r="E323" s="109" t="inlineStr">
        <is>
          <t>522916/C</t>
        </is>
      </c>
      <c r="F323" s="109" t="inlineStr">
        <is>
          <t>1000</t>
        </is>
      </c>
      <c r="G323" s="109" t="inlineStr">
        <is>
          <t>1000 - L107CV CONTROLLO VALVOLA EVENTUALMENTE TAPPATA SI PROVVEDE ALLO SMONTAGGIO/MONTAGGIO PER REVISIONE</t>
        </is>
      </c>
      <c r="H323" s="109" t="n"/>
      <c r="I323" s="109" t="n"/>
      <c r="J323" s="109" t="n"/>
      <c r="K323" s="109" t="n"/>
      <c r="L323" s="109" t="n"/>
      <c r="M323" s="110" t="inlineStr">
        <is>
          <t>DA CHIUDERE</t>
        </is>
      </c>
      <c r="N323" s="110" t="n"/>
      <c r="O323" s="110" t="n"/>
      <c r="P323" s="110" t="n"/>
      <c r="Q323" s="110" t="inlineStr">
        <is>
          <t>RIPRISTINATO POSIZIONATORE, E SOSTITUITA BARRIERA.</t>
        </is>
      </c>
      <c r="R323" s="151" t="n">
        <v>45684</v>
      </c>
      <c r="S323" s="110" t="inlineStr">
        <is>
          <t>GARRO/SPINALI</t>
        </is>
      </c>
      <c r="T323" s="109" t="inlineStr"/>
      <c r="U323" s="147" t="inlineStr"/>
    </row>
    <row r="324">
      <c r="A324" s="109" t="n"/>
      <c r="B324" s="108" t="inlineStr">
        <is>
          <t>X</t>
        </is>
      </c>
      <c r="C324" s="109" t="inlineStr"/>
      <c r="D324" s="109" t="inlineStr">
        <is>
          <t>AREA 2</t>
        </is>
      </c>
      <c r="E324" s="109" t="inlineStr">
        <is>
          <t>523833/C</t>
        </is>
      </c>
      <c r="F324" s="109" t="inlineStr">
        <is>
          <t>1000</t>
        </is>
      </c>
      <c r="G324" s="109" t="inlineStr">
        <is>
          <t>1000 - L113RC L113BT (D110) RIPRISTINO FUNZIONALITA' LIVELLI</t>
        </is>
      </c>
      <c r="H324" s="109" t="n"/>
      <c r="I324" s="109" t="n"/>
      <c r="J324" s="109" t="n"/>
      <c r="K324" s="109" t="n"/>
      <c r="L324" s="109" t="n"/>
      <c r="M324" s="110" t="inlineStr">
        <is>
          <t>DA CHIUDERE</t>
        </is>
      </c>
      <c r="N324" s="110" t="n"/>
      <c r="O324" s="110" t="n"/>
      <c r="P324" s="110" t="n"/>
      <c r="Q324" s="110" t="inlineStr">
        <is>
          <t>RIPRISTINATO BATTENTE</t>
        </is>
      </c>
      <c r="R324" s="151" t="n">
        <v>45685</v>
      </c>
      <c r="S324" s="110" t="inlineStr">
        <is>
          <t>TARASCIO</t>
        </is>
      </c>
      <c r="T324" s="109" t="inlineStr"/>
      <c r="U324" s="147" t="inlineStr"/>
    </row>
    <row r="325" ht="15" customHeight="1" s="122">
      <c r="A325" s="109" t="n"/>
      <c r="B325" s="109" t="inlineStr">
        <is>
          <t>X</t>
        </is>
      </c>
      <c r="C325" s="109" t="inlineStr"/>
      <c r="D325" s="109" t="inlineStr">
        <is>
          <t>AREA 2</t>
        </is>
      </c>
      <c r="E325" s="109" t="inlineStr">
        <is>
          <t>523446/C</t>
        </is>
      </c>
      <c r="F325" s="109" t="inlineStr">
        <is>
          <t>1000</t>
        </is>
      </c>
      <c r="G325" s="109" t="inlineStr">
        <is>
          <t>1000 - L114RC(D111)CONTROLLO DI TARATURA LIVELLO(CONTROLLO MENSILE GENNAIO)</t>
        </is>
      </c>
      <c r="H325" s="109" t="n"/>
      <c r="I325" s="109" t="n"/>
      <c r="J325" s="109" t="n"/>
      <c r="K325" s="109" t="n"/>
      <c r="L325" s="109" t="n"/>
      <c r="M325" s="109" t="inlineStr">
        <is>
          <t>DA CHIUDERE</t>
        </is>
      </c>
      <c r="N325" s="109" t="n"/>
      <c r="O325" s="109" t="n"/>
      <c r="P325" s="109" t="n"/>
      <c r="Q325" s="109" t="inlineStr">
        <is>
          <t>ESEGUITO CONTROLLO</t>
        </is>
      </c>
      <c r="R325" s="151" t="n">
        <v>45685</v>
      </c>
      <c r="S325" s="109" t="inlineStr">
        <is>
          <t>TARASCIO</t>
        </is>
      </c>
      <c r="T325" s="109" t="inlineStr"/>
      <c r="U325" s="109" t="inlineStr"/>
    </row>
    <row r="326">
      <c r="A326" s="109" t="n"/>
      <c r="B326" s="108" t="inlineStr">
        <is>
          <t>X</t>
        </is>
      </c>
      <c r="C326" s="109" t="inlineStr"/>
      <c r="D326" s="109" t="inlineStr">
        <is>
          <t>AREA 2</t>
        </is>
      </c>
      <c r="E326" s="109" t="inlineStr">
        <is>
          <t>523744/C</t>
        </is>
      </c>
      <c r="F326" s="109" t="inlineStr">
        <is>
          <t>600</t>
        </is>
      </c>
      <c r="G326" s="109" t="inlineStr">
        <is>
          <t>600 - P105B SOSTITUZIONE MANOMETRO</t>
        </is>
      </c>
      <c r="H326" s="109" t="n"/>
      <c r="I326" s="109" t="n"/>
      <c r="J326" s="109" t="n"/>
      <c r="K326" s="109" t="n"/>
      <c r="L326" s="109" t="n"/>
      <c r="M326" s="110" t="inlineStr">
        <is>
          <t>DA CHIUDERE</t>
        </is>
      </c>
      <c r="N326" s="110" t="n"/>
      <c r="O326" s="110" t="n"/>
      <c r="P326" s="110" t="n"/>
      <c r="Q326" s="110" t="inlineStr">
        <is>
          <t>MANOMETRO SOSTITUITO</t>
        </is>
      </c>
      <c r="R326" s="151" t="n">
        <v>45685</v>
      </c>
      <c r="S326" s="110" t="inlineStr">
        <is>
          <t>TARASCIO</t>
        </is>
      </c>
      <c r="T326" s="109" t="inlineStr"/>
      <c r="U326" s="147" t="inlineStr"/>
    </row>
    <row r="327" ht="30" customHeight="1" s="122">
      <c r="A327" s="109" t="n"/>
      <c r="B327" s="109" t="inlineStr">
        <is>
          <t>X</t>
        </is>
      </c>
      <c r="C327" s="109" t="inlineStr"/>
      <c r="D327" s="109" t="inlineStr">
        <is>
          <t>AREA 2</t>
        </is>
      </c>
      <c r="E327" s="109" t="inlineStr">
        <is>
          <t>522908/C</t>
        </is>
      </c>
      <c r="F327" s="109" t="inlineStr">
        <is>
          <t>600</t>
        </is>
      </c>
      <c r="G327" s="109" t="inlineStr">
        <is>
          <t>600 - T063IM (SKIN POINT PASSO 8) RIPRISTINO MISURA DI TEMPERATURA NON ATTENDIBILE</t>
        </is>
      </c>
      <c r="H327" s="109" t="n"/>
      <c r="I327" s="109" t="n"/>
      <c r="J327" s="109" t="n"/>
      <c r="K327" s="109" t="n"/>
      <c r="L327" s="109" t="n"/>
      <c r="M327" s="109" t="inlineStr">
        <is>
          <t>DA CHIUDERE</t>
        </is>
      </c>
      <c r="N327" s="109" t="n"/>
      <c r="O327" s="109" t="n"/>
      <c r="P327" s="109" t="n"/>
      <c r="Q327" s="109" t="inlineStr">
        <is>
          <t>PRIORITA' ESE: 3</t>
        </is>
      </c>
      <c r="R327" s="151" t="n">
        <v>45680</v>
      </c>
      <c r="S327" s="109" t="inlineStr">
        <is>
          <t>SPINALI</t>
        </is>
      </c>
      <c r="T327" s="109" t="inlineStr"/>
      <c r="U327" s="109" t="inlineStr"/>
    </row>
    <row r="328" ht="30" customHeight="1" s="122">
      <c r="A328" s="109" t="n"/>
      <c r="B328" s="108" t="inlineStr">
        <is>
          <t>X</t>
        </is>
      </c>
      <c r="C328" s="109" t="inlineStr"/>
      <c r="D328" s="109" t="inlineStr">
        <is>
          <t>AREA 2</t>
        </is>
      </c>
      <c r="E328" s="109" t="inlineStr">
        <is>
          <t>522949/C</t>
        </is>
      </c>
      <c r="F328" s="109" t="inlineStr">
        <is>
          <t>500</t>
        </is>
      </c>
      <c r="G328" s="109" t="inlineStr">
        <is>
          <t>500 - F034CV CONTROLLO LOGICA DI BLOCCO ED EVENTUALE RIPRISTINO  ELETTROVALVOLA DI BLOCCO VALVOLA</t>
        </is>
      </c>
      <c r="H328" s="109" t="n"/>
      <c r="I328" s="109" t="n"/>
      <c r="J328" s="109" t="n"/>
      <c r="K328" s="109" t="n"/>
      <c r="L328" s="109" t="n"/>
      <c r="M328" s="110" t="inlineStr">
        <is>
          <t>DA CHIUDERE</t>
        </is>
      </c>
      <c r="N328" s="110" t="n"/>
      <c r="O328" s="110" t="n"/>
      <c r="P328" s="110" t="n"/>
      <c r="Q328" s="110" t="inlineStr">
        <is>
          <t xml:space="preserve">PRIORITA' ESE: 1 </t>
        </is>
      </c>
      <c r="R328" s="151" t="n"/>
      <c r="S328" s="110" t="n"/>
      <c r="T328" s="109" t="inlineStr"/>
      <c r="U328" s="147" t="inlineStr"/>
    </row>
    <row r="329" ht="30" customHeight="1" s="122">
      <c r="A329" s="109" t="n"/>
      <c r="B329" s="109" t="inlineStr">
        <is>
          <t>X</t>
        </is>
      </c>
      <c r="C329" s="109" t="inlineStr"/>
      <c r="D329" s="109" t="inlineStr">
        <is>
          <t>AREA 2</t>
        </is>
      </c>
      <c r="E329" s="109" t="inlineStr">
        <is>
          <t>522883/C</t>
        </is>
      </c>
      <c r="F329" s="109" t="inlineStr">
        <is>
          <t>600</t>
        </is>
      </c>
      <c r="G329" s="109" t="inlineStr">
        <is>
          <t>600 - F008CV (PASSO DI CARICA) RIPRISTINO FUNZIONALITA VALVOLA</t>
        </is>
      </c>
      <c r="H329" s="109" t="n"/>
      <c r="I329" s="109" t="n"/>
      <c r="J329" s="109" t="n"/>
      <c r="K329" s="109" t="n"/>
      <c r="L329" s="109" t="n"/>
      <c r="M329" s="110" t="inlineStr">
        <is>
          <t>DA CHIUDERE</t>
        </is>
      </c>
      <c r="N329" s="110" t="n"/>
      <c r="O329" s="110" t="n"/>
      <c r="P329" s="110" t="n"/>
      <c r="Q329" s="110" t="inlineStr">
        <is>
          <t>STASATA TRACCIA VAPORE</t>
        </is>
      </c>
      <c r="R329" s="151" t="n">
        <v>45678</v>
      </c>
      <c r="S329" s="110" t="inlineStr">
        <is>
          <t>MILLO/MANSERVIGI</t>
        </is>
      </c>
      <c r="T329" s="109" t="inlineStr"/>
      <c r="U329" s="147" t="inlineStr"/>
    </row>
    <row r="330">
      <c r="A330" s="109" t="n"/>
      <c r="B330" s="109" t="inlineStr">
        <is>
          <t>X</t>
        </is>
      </c>
      <c r="C330" s="109" t="inlineStr"/>
      <c r="D330" s="109" t="inlineStr">
        <is>
          <t>AREA 2</t>
        </is>
      </c>
      <c r="E330" s="109" t="inlineStr">
        <is>
          <t>522913/C</t>
        </is>
      </c>
      <c r="F330" s="109" t="inlineStr">
        <is>
          <t>600</t>
        </is>
      </c>
      <c r="G330" s="109" t="inlineStr">
        <is>
          <t>600 - P502B SOSTITUZIONE MANOMETRO</t>
        </is>
      </c>
      <c r="H330" s="109" t="n"/>
      <c r="I330" s="109" t="n"/>
      <c r="J330" s="109" t="n"/>
      <c r="K330" s="109" t="n"/>
      <c r="L330" s="109" t="n"/>
      <c r="M330" s="109" t="inlineStr">
        <is>
          <t>DA CHIUDERE</t>
        </is>
      </c>
      <c r="N330" s="109" t="n"/>
      <c r="O330" s="109" t="n"/>
      <c r="P330" s="109" t="n"/>
      <c r="Q330" s="109" t="inlineStr">
        <is>
          <t>ESEGUITA SOSTITUZIONE MANOMETRO</t>
        </is>
      </c>
      <c r="R330" s="151" t="n">
        <v>45679</v>
      </c>
      <c r="S330" s="109" t="inlineStr">
        <is>
          <t>SPINALI</t>
        </is>
      </c>
      <c r="T330" s="109" t="inlineStr"/>
      <c r="U330" s="109" t="inlineStr"/>
    </row>
    <row r="331">
      <c r="A331" s="109" t="n"/>
      <c r="B331" s="109" t="inlineStr">
        <is>
          <t>X</t>
        </is>
      </c>
      <c r="C331" s="109" t="inlineStr"/>
      <c r="D331" s="109" t="inlineStr">
        <is>
          <t>AREA 2</t>
        </is>
      </c>
      <c r="E331" s="109" t="inlineStr">
        <is>
          <t>522910/C</t>
        </is>
      </c>
      <c r="F331" s="109" t="inlineStr">
        <is>
          <t>600</t>
        </is>
      </c>
      <c r="G331" s="109" t="inlineStr">
        <is>
          <t>600 - P108B SOSTITUZIONE MANOMETRO</t>
        </is>
      </c>
      <c r="H331" s="109" t="n"/>
      <c r="I331" s="109" t="n"/>
      <c r="J331" s="109" t="n"/>
      <c r="K331" s="109" t="n"/>
      <c r="L331" s="109" t="n"/>
      <c r="M331" s="109" t="inlineStr">
        <is>
          <t>DA CHIUDERE</t>
        </is>
      </c>
      <c r="N331" s="109" t="n"/>
      <c r="O331" s="109" t="n"/>
      <c r="P331" s="109" t="n"/>
      <c r="Q331" s="109" t="inlineStr">
        <is>
          <t>ESEGUITA SOSTITUZIONE MANOMETRO</t>
        </is>
      </c>
      <c r="R331" s="151" t="n">
        <v>45679</v>
      </c>
      <c r="S331" s="109" t="inlineStr">
        <is>
          <t>SPINALI</t>
        </is>
      </c>
      <c r="T331" s="109" t="inlineStr"/>
      <c r="U331" s="109" t="inlineStr"/>
    </row>
    <row r="332">
      <c r="A332" s="109" t="n"/>
      <c r="B332" s="108" t="inlineStr">
        <is>
          <t>X</t>
        </is>
      </c>
      <c r="C332" s="109" t="inlineStr"/>
      <c r="D332" s="109" t="inlineStr">
        <is>
          <t>AREA 2</t>
        </is>
      </c>
      <c r="E332" s="109" t="inlineStr">
        <is>
          <t>521513/C</t>
        </is>
      </c>
      <c r="F332" s="109" t="inlineStr">
        <is>
          <t>1000</t>
        </is>
      </c>
      <c r="G332" s="109" t="inlineStr">
        <is>
          <t>1000 - L115RC(FONDO T102) CONTROLLO E RIPRISTINO FUNZIONALITA LIVELLO</t>
        </is>
      </c>
      <c r="H332" s="109" t="n"/>
      <c r="I332" s="109" t="n"/>
      <c r="J332" s="109" t="n"/>
      <c r="K332" s="109" t="n"/>
      <c r="L332" s="109" t="n"/>
      <c r="M332" s="110" t="inlineStr">
        <is>
          <t>DA CHIUDERE</t>
        </is>
      </c>
      <c r="N332" s="110" t="n"/>
      <c r="O332" s="110" t="n"/>
      <c r="P332" s="110" t="n"/>
      <c r="Q332" s="110" t="n"/>
      <c r="R332" s="151" t="n"/>
      <c r="S332" s="110" t="n"/>
      <c r="T332" s="109" t="inlineStr"/>
      <c r="U332" s="147" t="inlineStr"/>
    </row>
    <row r="333">
      <c r="A333" s="109" t="n"/>
      <c r="B333" s="108" t="inlineStr">
        <is>
          <t>X</t>
        </is>
      </c>
      <c r="C333" s="109" t="inlineStr"/>
      <c r="D333" s="109" t="inlineStr">
        <is>
          <t>AREA 2</t>
        </is>
      </c>
      <c r="E333" s="109" t="inlineStr">
        <is>
          <t>521023/C</t>
        </is>
      </c>
      <c r="F333" s="109" t="inlineStr">
        <is>
          <t>1000</t>
        </is>
      </c>
      <c r="G333" s="109" t="inlineStr">
        <is>
          <t>1000R152BV RIPRISTINO FINE CORSA DI CHIUSURA</t>
        </is>
      </c>
      <c r="H333" s="109" t="n"/>
      <c r="I333" s="109" t="n"/>
      <c r="J333" s="109" t="n"/>
      <c r="K333" s="109" t="n"/>
      <c r="L333" s="109" t="n"/>
      <c r="M333" s="110" t="inlineStr">
        <is>
          <t>DA CHIUDERE</t>
        </is>
      </c>
      <c r="N333" s="110" t="n"/>
      <c r="O333" s="110" t="n"/>
      <c r="P333" s="110" t="n"/>
      <c r="Q333" s="110" t="n"/>
      <c r="R333" s="151" t="n"/>
      <c r="S333" s="110" t="n"/>
      <c r="T333" s="109" t="inlineStr"/>
      <c r="U333" s="147" t="inlineStr"/>
    </row>
    <row r="334" ht="30" customHeight="1" s="122">
      <c r="A334" s="109" t="n"/>
      <c r="B334" s="108" t="inlineStr">
        <is>
          <t>X</t>
        </is>
      </c>
      <c r="C334" s="109" t="inlineStr"/>
      <c r="D334" s="109" t="inlineStr">
        <is>
          <t>AREA 2</t>
        </is>
      </c>
      <c r="E334" s="109" t="inlineStr">
        <is>
          <t>520681/C</t>
        </is>
      </c>
      <c r="F334" s="109" t="inlineStr">
        <is>
          <t>1000</t>
        </is>
      </c>
      <c r="G334" s="109" t="inlineStr">
        <is>
          <t>1000 - F124CV RIMONTAGGIO VALVOLA PER REVISIONE</t>
        </is>
      </c>
      <c r="H334" s="109" t="n"/>
      <c r="I334" s="109" t="n"/>
      <c r="J334" s="109" t="n"/>
      <c r="K334" s="109" t="n"/>
      <c r="L334" s="109" t="n"/>
      <c r="M334" s="110" t="inlineStr">
        <is>
          <t>DA CHIUDERE</t>
        </is>
      </c>
      <c r="N334" s="110" t="n"/>
      <c r="O334" s="110" t="n"/>
      <c r="P334" s="110" t="n"/>
      <c r="Q334" s="110" t="inlineStr">
        <is>
          <t>OFF. VALVOLE</t>
        </is>
      </c>
      <c r="R334" s="151" t="n">
        <v>45656</v>
      </c>
      <c r="S334" s="110" t="inlineStr">
        <is>
          <t>BASSETTA / MILARDO</t>
        </is>
      </c>
      <c r="T334" s="109" t="inlineStr"/>
      <c r="U334" s="147" t="inlineStr"/>
    </row>
    <row r="335" ht="30" customHeight="1" s="122">
      <c r="A335" s="109" t="n"/>
      <c r="B335" s="108" t="inlineStr">
        <is>
          <t>X</t>
        </is>
      </c>
      <c r="C335" s="109" t="inlineStr"/>
      <c r="D335" s="109" t="inlineStr">
        <is>
          <t>AREA 2</t>
        </is>
      </c>
      <c r="E335" s="109" t="inlineStr">
        <is>
          <t>520975/C</t>
        </is>
      </c>
      <c r="F335" s="109" t="inlineStr">
        <is>
          <t>1000</t>
        </is>
      </c>
      <c r="G335" s="109" t="inlineStr">
        <is>
          <t>1000 - L263HCO (D107) SOSTITUZIONE GRUPPO BYPASS E RIEMPIMENTO PRIMARI METTERE MOS PRIMA DI INIZIARE ATTIVITA')</t>
        </is>
      </c>
      <c r="H335" s="109" t="n"/>
      <c r="I335" s="109" t="n"/>
      <c r="J335" s="109" t="n"/>
      <c r="K335" s="109" t="n"/>
      <c r="L335" s="109" t="n"/>
      <c r="M335" s="110" t="inlineStr">
        <is>
          <t>DA CHIUDERE</t>
        </is>
      </c>
      <c r="N335" s="110" t="n"/>
      <c r="O335" s="110" t="n"/>
      <c r="P335" s="110" t="n"/>
      <c r="Q335" s="110" t="inlineStr">
        <is>
          <t>SOSTITUITO GRUPPO BYPASS ED ESEGUITO RIEMPIMENTO PRIMARIO CON GLICERINA</t>
        </is>
      </c>
      <c r="R335" s="151" t="n">
        <v>45656</v>
      </c>
      <c r="S335" s="110" t="inlineStr">
        <is>
          <t>MILLO/ALLEGRETTI</t>
        </is>
      </c>
      <c r="T335" s="109" t="inlineStr"/>
      <c r="U335" s="147" t="inlineStr"/>
    </row>
    <row r="336">
      <c r="A336" s="109" t="n"/>
      <c r="B336" s="108" t="inlineStr">
        <is>
          <t>X</t>
        </is>
      </c>
      <c r="C336" s="109" t="inlineStr"/>
      <c r="D336" s="109" t="inlineStr">
        <is>
          <t>AREA 2</t>
        </is>
      </c>
      <c r="E336" s="109" t="inlineStr">
        <is>
          <t>520974/C</t>
        </is>
      </c>
      <c r="F336" s="109" t="inlineStr">
        <is>
          <t>1000</t>
        </is>
      </c>
      <c r="G336" s="109" t="inlineStr">
        <is>
          <t>1000 - P173CV SMONTAGGIO /MONTAGGIO PER REVISIONE VALVOLA</t>
        </is>
      </c>
      <c r="H336" s="109" t="n"/>
      <c r="I336" s="109" t="n"/>
      <c r="J336" s="109" t="n"/>
      <c r="K336" s="109" t="n"/>
      <c r="L336" s="109" t="n"/>
      <c r="M336" s="110" t="inlineStr">
        <is>
          <t>DA CHIUDERE</t>
        </is>
      </c>
      <c r="N336" s="110" t="n"/>
      <c r="O336" s="110" t="n"/>
      <c r="P336" s="110" t="n"/>
      <c r="Q336" s="110" t="inlineStr">
        <is>
          <t>OFF. VALVOLE - PERDITA DALLE TENUTE</t>
        </is>
      </c>
      <c r="R336" s="151" t="n">
        <v>45656</v>
      </c>
      <c r="S336" s="110" t="inlineStr">
        <is>
          <t>OFF.VALVOLE</t>
        </is>
      </c>
      <c r="T336" s="109" t="inlineStr"/>
      <c r="U336" s="147" t="inlineStr"/>
    </row>
    <row r="337" ht="30" customHeight="1" s="122">
      <c r="A337" s="109" t="n"/>
      <c r="B337" s="108" t="inlineStr">
        <is>
          <t>X</t>
        </is>
      </c>
      <c r="C337" s="109" t="inlineStr"/>
      <c r="D337" s="109" t="inlineStr">
        <is>
          <t>AREA 2</t>
        </is>
      </c>
      <c r="E337" s="109" t="inlineStr">
        <is>
          <t>517314/C</t>
        </is>
      </c>
      <c r="F337" s="109" t="inlineStr">
        <is>
          <t>1000</t>
        </is>
      </c>
      <c r="G337" s="109" t="inlineStr">
        <is>
          <t>1000 - L114CV SERRAGGIO PREMITRECCIA</t>
        </is>
      </c>
      <c r="H337" s="109" t="n"/>
      <c r="I337" s="109" t="n"/>
      <c r="J337" s="109" t="n"/>
      <c r="K337" s="109" t="n"/>
      <c r="L337" s="109" t="n"/>
      <c r="M337" s="110" t="inlineStr">
        <is>
          <t>DA CHIUDERE</t>
        </is>
      </c>
      <c r="N337" s="110" t="n"/>
      <c r="O337" s="110" t="n"/>
      <c r="P337" s="110" t="n"/>
      <c r="Q337" s="110" t="n"/>
      <c r="R337" s="151" t="n">
        <v>45610</v>
      </c>
      <c r="S337" s="110" t="inlineStr">
        <is>
          <t>SPINALI/PUGLIARES</t>
        </is>
      </c>
      <c r="T337" s="109" t="inlineStr"/>
      <c r="U337" s="147" t="inlineStr"/>
    </row>
    <row r="338" ht="30" customHeight="1" s="122">
      <c r="A338" s="109" t="n"/>
      <c r="B338" s="108" t="inlineStr">
        <is>
          <t>X</t>
        </is>
      </c>
      <c r="C338" s="109" t="inlineStr"/>
      <c r="D338" s="109" t="inlineStr">
        <is>
          <t>AREA 2</t>
        </is>
      </c>
      <c r="E338" s="109" t="inlineStr">
        <is>
          <t>518012/C</t>
        </is>
      </c>
      <c r="F338" s="109" t="inlineStr">
        <is>
          <t>600</t>
        </is>
      </c>
      <c r="G338" s="109" t="inlineStr">
        <is>
          <t>600P105B SCOLLEGAMENTO E SUCCESSIVO RICOLLEGAMENTO STRUMENTAZIONE BARILOTTO PERDITE TENUTE</t>
        </is>
      </c>
      <c r="H338" s="109" t="n"/>
      <c r="I338" s="109" t="n"/>
      <c r="J338" s="109" t="n"/>
      <c r="K338" s="109" t="n"/>
      <c r="L338" s="109" t="n"/>
      <c r="M338" s="110" t="inlineStr">
        <is>
          <t>DA CHIUDERE</t>
        </is>
      </c>
      <c r="N338" s="110" t="n"/>
      <c r="O338" s="110" t="n"/>
      <c r="P338" s="110" t="n"/>
      <c r="Q338" s="110" t="n"/>
      <c r="R338" s="151" t="n">
        <v>45602</v>
      </c>
      <c r="S338" s="110" t="inlineStr">
        <is>
          <t>TARASCIO/PARTESANO</t>
        </is>
      </c>
      <c r="T338" s="109" t="inlineStr"/>
      <c r="U338" s="147" t="inlineStr"/>
    </row>
    <row r="339" ht="30" customHeight="1" s="122">
      <c r="A339" s="109" t="n"/>
      <c r="B339" s="108" t="inlineStr">
        <is>
          <t>X</t>
        </is>
      </c>
      <c r="C339" s="109" t="inlineStr"/>
      <c r="D339" s="109" t="inlineStr">
        <is>
          <t>AREA 2</t>
        </is>
      </c>
      <c r="E339" s="109" t="inlineStr">
        <is>
          <t>517457/C</t>
        </is>
      </c>
      <c r="F339" s="109" t="inlineStr">
        <is>
          <t>1000</t>
        </is>
      </c>
      <c r="G339" s="109" t="inlineStr">
        <is>
          <t>1000RBV115 RIPRISTINO FUNZIONALITA' VALVOLA</t>
        </is>
      </c>
      <c r="H339" s="109" t="n"/>
      <c r="I339" s="109" t="n"/>
      <c r="J339" s="109" t="n"/>
      <c r="K339" s="109" t="n"/>
      <c r="L339" s="109" t="n"/>
      <c r="M339" s="110" t="inlineStr">
        <is>
          <t>DA CHIUDERE</t>
        </is>
      </c>
      <c r="N339" s="110" t="n"/>
      <c r="O339" s="110" t="n"/>
      <c r="P339" s="110" t="n"/>
      <c r="Q339" s="110" t="inlineStr">
        <is>
          <t>SOSTITUITO FINECORSA</t>
        </is>
      </c>
      <c r="R339" s="151" t="n">
        <v>45602</v>
      </c>
      <c r="S339" s="110" t="inlineStr">
        <is>
          <t>TARASCIO/PARTESANO</t>
        </is>
      </c>
      <c r="T339" s="109" t="inlineStr"/>
      <c r="U339" s="147" t="inlineStr"/>
    </row>
    <row r="340" ht="30" customHeight="1" s="122">
      <c r="A340" s="109" t="n"/>
      <c r="B340" s="109" t="inlineStr">
        <is>
          <t>X</t>
        </is>
      </c>
      <c r="C340" s="109" t="inlineStr"/>
      <c r="D340" s="109" t="inlineStr">
        <is>
          <t>AREA 2</t>
        </is>
      </c>
      <c r="E340" s="109" t="inlineStr">
        <is>
          <t>515766/C</t>
        </is>
      </c>
      <c r="F340" s="109" t="inlineStr">
        <is>
          <t>1000</t>
        </is>
      </c>
      <c r="G340" s="109" t="inlineStr">
        <is>
          <t>Ripristino perdita su accoppiamento flangiato livello a capillare L102BT(SEPAR. ALTA PRESS.D104); interfacciarsi con sala controllo prima di iniziare attivita'.</t>
        </is>
      </c>
      <c r="H340" s="109" t="n"/>
      <c r="I340" s="109" t="n"/>
      <c r="J340" s="109" t="n"/>
      <c r="K340" s="109" t="n"/>
      <c r="L340" s="109" t="n"/>
      <c r="M340" s="109" t="inlineStr">
        <is>
          <t>DA CHIUDERE</t>
        </is>
      </c>
      <c r="N340" s="109" t="n"/>
      <c r="O340" s="109" t="n"/>
      <c r="P340" s="109" t="n"/>
      <c r="Q340" s="109" t="inlineStr">
        <is>
          <t>NONOSTANTE LA FLANGIA E' STATA LAVORATA AL TORNIO E INSERITA GUARNIZIONE, LA PERDITA NON SI RIESCE A FERMARE.</t>
        </is>
      </c>
      <c r="R340" s="151" t="n"/>
      <c r="S340" s="109" t="n"/>
      <c r="T340" s="109" t="inlineStr"/>
      <c r="U340" s="109" t="inlineStr"/>
    </row>
    <row r="341">
      <c r="A341" s="109" t="n"/>
      <c r="B341" s="109" t="inlineStr">
        <is>
          <t>X</t>
        </is>
      </c>
      <c r="C341" s="109" t="inlineStr"/>
      <c r="D341" s="109" t="inlineStr">
        <is>
          <t>AREA 2</t>
        </is>
      </c>
      <c r="E341" s="109" t="inlineStr">
        <is>
          <t>515759/C</t>
        </is>
      </c>
      <c r="F341" s="109" t="inlineStr">
        <is>
          <t>700</t>
        </is>
      </c>
      <c r="G341" s="109" t="inlineStr">
        <is>
          <t>600F001CV 06F006CV 06F008CV (PASSI DI CARICA)</t>
        </is>
      </c>
      <c r="H341" s="109" t="n"/>
      <c r="I341" s="109" t="n"/>
      <c r="J341" s="109" t="n"/>
      <c r="K341" s="109" t="n"/>
      <c r="L341" s="109" t="n"/>
      <c r="M341" s="109" t="inlineStr">
        <is>
          <t>DA CHIUDERE</t>
        </is>
      </c>
      <c r="N341" s="109" t="n"/>
      <c r="O341" s="109" t="n"/>
      <c r="P341" s="109" t="n"/>
      <c r="Q341" s="109" t="inlineStr">
        <is>
          <t>SERRAGGIO PREMITRECCIA, VALVOLE PROVATE CON OPERATORE</t>
        </is>
      </c>
      <c r="R341" s="151" t="n"/>
      <c r="S341" s="109" t="n"/>
      <c r="T341" s="109" t="inlineStr"/>
      <c r="U341" s="109" t="inlineStr"/>
    </row>
    <row r="342" ht="30" customHeight="1" s="122">
      <c r="A342" s="109" t="n"/>
      <c r="B342" s="109" t="inlineStr">
        <is>
          <t>X</t>
        </is>
      </c>
      <c r="C342" s="109" t="inlineStr"/>
      <c r="D342" s="109" t="inlineStr">
        <is>
          <t>AREA 2</t>
        </is>
      </c>
      <c r="E342" s="109" t="inlineStr">
        <is>
          <t>515738/C</t>
        </is>
      </c>
      <c r="F342" s="109" t="inlineStr">
        <is>
          <t>600</t>
        </is>
      </c>
      <c r="G342" s="109" t="inlineStr">
        <is>
          <t>600F013RC (M.S. TERZO PASSO)CONTROLLO E RIPRISTINO FUNZIONALITA'</t>
        </is>
      </c>
      <c r="H342" s="109" t="n"/>
      <c r="I342" s="109" t="n"/>
      <c r="J342" s="109" t="n"/>
      <c r="K342" s="109" t="n"/>
      <c r="L342" s="109" t="n"/>
      <c r="M342" s="109" t="inlineStr">
        <is>
          <t>DA CHIUDERE</t>
        </is>
      </c>
      <c r="N342" s="109" t="n"/>
      <c r="O342" s="109" t="n"/>
      <c r="P342" s="109" t="n"/>
      <c r="Q342" s="109" t="inlineStr">
        <is>
          <t>TROVATA PRESA NEGATIVA TAPPATA, NON SI RIESCE A STASARLA. NECESSITA PONTEGGIO PER CHIUDERE LE VALVOLE DI RADICE.</t>
        </is>
      </c>
      <c r="R342" s="151" t="n"/>
      <c r="S342" s="109" t="n"/>
      <c r="T342" s="109" t="inlineStr"/>
      <c r="U342" s="109" t="inlineStr"/>
    </row>
    <row r="343">
      <c r="A343" s="109" t="n"/>
      <c r="B343" s="109" t="inlineStr">
        <is>
          <t>X</t>
        </is>
      </c>
      <c r="C343" s="109" t="inlineStr"/>
      <c r="D343" s="109" t="inlineStr">
        <is>
          <t>AREA 2</t>
        </is>
      </c>
      <c r="E343" s="109" t="inlineStr">
        <is>
          <t>535630/C</t>
        </is>
      </c>
      <c r="F343" s="109" t="inlineStr">
        <is>
          <t>500</t>
        </is>
      </c>
      <c r="G343" s="109" t="inlineStr">
        <is>
          <t>500 - F002RC(CARICA TOTALE)CONTROLLO DI TARATURA STRUMENTO DI PORTATA</t>
        </is>
      </c>
      <c r="H343" s="109" t="n"/>
      <c r="I343" s="109" t="n"/>
      <c r="J343" s="109" t="n"/>
      <c r="K343" s="109" t="n"/>
      <c r="L343" s="109" t="n"/>
      <c r="M343" s="110" t="inlineStr">
        <is>
          <t>DA CHIUDERE</t>
        </is>
      </c>
      <c r="N343" s="110" t="n"/>
      <c r="O343" s="110" t="n"/>
      <c r="P343" s="110" t="n"/>
      <c r="Q343" s="110" t="inlineStr">
        <is>
          <t>CORRETTO DI ZERO</t>
        </is>
      </c>
      <c r="R343" s="151" t="n">
        <v>45785</v>
      </c>
      <c r="S343" s="110" t="inlineStr">
        <is>
          <t>SPINALI</t>
        </is>
      </c>
      <c r="T343" s="109" t="inlineStr"/>
      <c r="U343" s="147" t="inlineStr"/>
    </row>
    <row r="344" ht="30" customHeight="1" s="122">
      <c r="A344" s="109" t="n"/>
      <c r="B344" s="109" t="inlineStr">
        <is>
          <t>X</t>
        </is>
      </c>
      <c r="C344" s="109" t="inlineStr"/>
      <c r="D344" s="109" t="inlineStr">
        <is>
          <t>AREA 2</t>
        </is>
      </c>
      <c r="E344" s="109" t="inlineStr">
        <is>
          <t>536276/C</t>
        </is>
      </c>
      <c r="F344" s="109" t="inlineStr">
        <is>
          <t>1000</t>
        </is>
      </c>
      <c r="G344" s="109" t="inlineStr">
        <is>
          <t>1000 - F270CV(CARICA DA IMP.500) CONTROLLO DI TARATURA E FUNZIONALITA VALVOLA</t>
        </is>
      </c>
      <c r="H344" s="109" t="n"/>
      <c r="I344" s="109" t="n"/>
      <c r="J344" s="109" t="n"/>
      <c r="K344" s="109" t="n"/>
      <c r="L344" s="109" t="n"/>
      <c r="M344" s="109" t="inlineStr">
        <is>
          <t>DA CHIUDERE</t>
        </is>
      </c>
      <c r="N344" s="109" t="n"/>
      <c r="O344" s="109" t="n"/>
      <c r="P344" s="109" t="n"/>
      <c r="Q344" s="109" t="n"/>
      <c r="R344" s="151" t="n"/>
      <c r="S344" s="110" t="inlineStr">
        <is>
          <t>SAGGIO/GIGLIUTO</t>
        </is>
      </c>
      <c r="T344" s="109" t="inlineStr"/>
      <c r="U344" s="109" t="inlineStr"/>
    </row>
    <row r="345" ht="30" customHeight="1" s="122">
      <c r="A345" s="109" t="n"/>
      <c r="B345" s="108" t="inlineStr">
        <is>
          <t>X</t>
        </is>
      </c>
      <c r="C345" s="109" t="inlineStr"/>
      <c r="D345" s="109" t="inlineStr">
        <is>
          <t>AREA 2</t>
        </is>
      </c>
      <c r="E345" s="109" t="inlineStr">
        <is>
          <t>536113/C</t>
        </is>
      </c>
      <c r="F345" s="109" t="inlineStr">
        <is>
          <t>500</t>
        </is>
      </c>
      <c r="G345" s="109" t="inlineStr">
        <is>
          <t>500 - COLONNA T101 CONTROLLO F352R, L351RC, L352HA, L353SL</t>
        </is>
      </c>
      <c r="H345" s="109" t="n"/>
      <c r="I345" s="109" t="n"/>
      <c r="J345" s="109" t="n"/>
      <c r="K345" s="109" t="n"/>
      <c r="L345" s="109" t="n"/>
      <c r="M345" s="110" t="inlineStr">
        <is>
          <t>DA CHIUDERE</t>
        </is>
      </c>
      <c r="N345" s="110" t="n"/>
      <c r="O345" s="110" t="n"/>
      <c r="P345" s="110" t="n"/>
      <c r="Q345" s="110" t="inlineStr">
        <is>
          <t>LE RADICI NON FANNO TENUTA. ESEGUITO SOLO ALLINEAMENTO CON SALA CONTROLLO.</t>
        </is>
      </c>
      <c r="R345" s="151" t="n"/>
      <c r="S345" s="110" t="inlineStr">
        <is>
          <t>SPINALI/NOCERA</t>
        </is>
      </c>
      <c r="T345" s="109" t="inlineStr"/>
      <c r="U345" s="147" t="inlineStr"/>
    </row>
    <row r="346">
      <c r="A346" s="109" t="n"/>
      <c r="B346" s="108" t="inlineStr">
        <is>
          <t>X</t>
        </is>
      </c>
      <c r="C346" s="109" t="inlineStr"/>
      <c r="D346" s="109" t="inlineStr">
        <is>
          <t>AREA 2</t>
        </is>
      </c>
      <c r="E346" s="109" t="inlineStr">
        <is>
          <t>536115/C</t>
        </is>
      </c>
      <c r="F346" s="109" t="inlineStr">
        <is>
          <t>500</t>
        </is>
      </c>
      <c r="G346" s="109" t="inlineStr">
        <is>
          <t>500 - COLONNA T101 CONTROLLO L311I</t>
        </is>
      </c>
      <c r="H346" s="109" t="n"/>
      <c r="I346" s="109" t="n"/>
      <c r="J346" s="109" t="n"/>
      <c r="K346" s="109" t="n"/>
      <c r="L346" s="109" t="n"/>
      <c r="M346" s="110" t="inlineStr">
        <is>
          <t>DA CHIUDERE</t>
        </is>
      </c>
      <c r="N346" s="110" t="n"/>
      <c r="O346" s="110" t="n"/>
      <c r="P346" s="110" t="n"/>
      <c r="Q346" s="110" t="inlineStr">
        <is>
          <t>ERA IN FAIL SAFE, RIPRISTINATO</t>
        </is>
      </c>
      <c r="R346" s="151" t="n">
        <v>45791</v>
      </c>
      <c r="S346" s="110" t="inlineStr">
        <is>
          <t>SPINALI</t>
        </is>
      </c>
      <c r="T346" s="109" t="inlineStr"/>
      <c r="U346" s="147" t="inlineStr"/>
    </row>
    <row r="347" ht="30" customHeight="1" s="122">
      <c r="A347" s="109" t="n"/>
      <c r="B347" s="108" t="inlineStr">
        <is>
          <t>X</t>
        </is>
      </c>
      <c r="C347" s="109" t="inlineStr"/>
      <c r="D347" s="109" t="inlineStr">
        <is>
          <t>AREA 2</t>
        </is>
      </c>
      <c r="E347" s="109" t="inlineStr">
        <is>
          <t>536447/C</t>
        </is>
      </c>
      <c r="F347" s="109" t="inlineStr">
        <is>
          <t>1000</t>
        </is>
      </c>
      <c r="G347" s="109" t="inlineStr">
        <is>
          <t>1000 - 1000F114BBT STASATURA PRIMARII E BARILOTTI CON POMPA MANUALE STASALINEE(METTERE MOS PRIMA DI INIZIARE ATTIVITA)</t>
        </is>
      </c>
      <c r="H347" s="109" t="n"/>
      <c r="I347" s="109" t="n"/>
      <c r="J347" s="109" t="n"/>
      <c r="K347" s="109" t="n"/>
      <c r="L347" s="109" t="n"/>
      <c r="M347" s="110" t="inlineStr">
        <is>
          <t>DA CHIUDERE</t>
        </is>
      </c>
      <c r="N347" s="110" t="n"/>
      <c r="O347" s="110" t="n"/>
      <c r="P347" s="110" t="n"/>
      <c r="Q347" s="110" t="n"/>
      <c r="R347" s="151" t="n"/>
      <c r="S347" s="110" t="n"/>
      <c r="T347" s="109" t="inlineStr"/>
      <c r="U347" s="147" t="inlineStr"/>
    </row>
    <row r="348">
      <c r="A348" s="109" t="n"/>
      <c r="B348" s="109" t="inlineStr">
        <is>
          <t>X</t>
        </is>
      </c>
      <c r="C348" s="109" t="inlineStr"/>
      <c r="D348" s="109" t="inlineStr">
        <is>
          <t>AREA 2</t>
        </is>
      </c>
      <c r="E348" s="109" t="inlineStr">
        <is>
          <t>536919/C</t>
        </is>
      </c>
      <c r="F348" s="109" t="inlineStr">
        <is>
          <t>1000</t>
        </is>
      </c>
      <c r="G348" s="109" t="inlineStr">
        <is>
          <t>1000 - F119R(FONDO T101)RIPRISTINO MISURA DI PORTATA</t>
        </is>
      </c>
      <c r="H348" s="109" t="n"/>
      <c r="I348" s="109" t="n"/>
      <c r="J348" s="109" t="n"/>
      <c r="K348" s="109" t="n"/>
      <c r="L348" s="109" t="n"/>
      <c r="M348" s="110" t="inlineStr">
        <is>
          <t>DA CHIUDERE</t>
        </is>
      </c>
      <c r="N348" s="110" t="n"/>
      <c r="O348" s="110" t="n"/>
      <c r="P348" s="110" t="n"/>
      <c r="Q348" s="110" t="n"/>
      <c r="R348" s="151" t="n"/>
      <c r="S348" s="110" t="n"/>
      <c r="T348" s="109" t="inlineStr"/>
      <c r="U348" s="109" t="inlineStr"/>
    </row>
    <row r="349" ht="30" customHeight="1" s="122">
      <c r="A349" s="109" t="n"/>
      <c r="B349" s="108" t="n"/>
      <c r="C349" s="109" t="inlineStr"/>
      <c r="D349" s="109" t="inlineStr">
        <is>
          <t>AREA 2</t>
        </is>
      </c>
      <c r="E349" s="109" t="inlineStr">
        <is>
          <t>537253/C</t>
        </is>
      </c>
      <c r="F349" s="109" t="inlineStr">
        <is>
          <t>500</t>
        </is>
      </c>
      <c r="G349" s="109" t="inlineStr">
        <is>
          <t xml:space="preserve">500 - P046SL (BLOCCO  BASSA PRESSIONE PILOTA GAS)CONTROLLO E RIPRISTINO FUNZIONALITA  </t>
        </is>
      </c>
      <c r="H349" s="109" t="n"/>
      <c r="I349" s="109" t="n"/>
      <c r="J349" s="109" t="n"/>
      <c r="K349" s="109" t="n"/>
      <c r="L349" s="109" t="n"/>
      <c r="M349" s="110" t="inlineStr">
        <is>
          <t>DA CHIUDERE</t>
        </is>
      </c>
      <c r="N349" s="110" t="n"/>
      <c r="O349" s="110" t="n"/>
      <c r="P349" s="110" t="n"/>
      <c r="Q349" s="110" t="n"/>
      <c r="R349" s="151" t="n">
        <v>45797</v>
      </c>
      <c r="S349" s="110" t="inlineStr">
        <is>
          <t>SPINALI</t>
        </is>
      </c>
      <c r="T349" s="109" t="inlineStr"/>
      <c r="U349" s="147" t="inlineStr"/>
    </row>
    <row r="350" ht="30" customHeight="1" s="122">
      <c r="A350" s="109" t="n"/>
      <c r="B350" s="108" t="n"/>
      <c r="C350" s="109" t="inlineStr"/>
      <c r="D350" s="109" t="inlineStr">
        <is>
          <t>AREA 2</t>
        </is>
      </c>
      <c r="E350" s="109" t="inlineStr">
        <is>
          <t>537250/C</t>
        </is>
      </c>
      <c r="F350" s="109" t="inlineStr">
        <is>
          <t>1000</t>
        </is>
      </c>
      <c r="G350" s="109" t="inlineStr">
        <is>
          <t>1000 - L105R (LIVELLO SEPARATORE ASP. 1 STADIO D106)CONTROLLO E RIPRISTINO FUNZIONALITA(METTERE I MOS PRIMA DI INIZIARE ATTIVITA)</t>
        </is>
      </c>
      <c r="H350" s="109" t="n"/>
      <c r="I350" s="109" t="n"/>
      <c r="J350" s="109" t="n"/>
      <c r="K350" s="109" t="n"/>
      <c r="L350" s="109" t="n"/>
      <c r="M350" s="110" t="inlineStr">
        <is>
          <t>DA CHIUDERE</t>
        </is>
      </c>
      <c r="N350" s="110" t="n"/>
      <c r="O350" s="110" t="n"/>
      <c r="P350" s="110" t="n"/>
      <c r="Q350" s="110" t="inlineStr">
        <is>
          <t>installata Dp</t>
        </is>
      </c>
      <c r="R350" s="151" t="n">
        <v>45797</v>
      </c>
      <c r="S350" s="110" t="inlineStr">
        <is>
          <t>MILLO</t>
        </is>
      </c>
      <c r="T350" s="109" t="inlineStr"/>
      <c r="U350" s="147" t="inlineStr"/>
    </row>
    <row r="351" ht="30" customHeight="1" s="122">
      <c r="A351" s="109" t="n"/>
      <c r="B351" s="109" t="n"/>
      <c r="C351" s="109" t="inlineStr"/>
      <c r="D351" s="109" t="inlineStr">
        <is>
          <t>AREA 2</t>
        </is>
      </c>
      <c r="E351" s="109" t="inlineStr">
        <is>
          <t>537734/C</t>
        </is>
      </c>
      <c r="F351" s="109" t="inlineStr">
        <is>
          <t>500</t>
        </is>
      </c>
      <c r="G351" s="109" t="inlineStr">
        <is>
          <t>500 - F018RC ANTIPOMPAGGIO C102 MANDATA CONTROLLO E RIPRISTINO FUNZIONALITA</t>
        </is>
      </c>
      <c r="H351" s="109" t="n"/>
      <c r="I351" s="109" t="n"/>
      <c r="J351" s="109" t="n"/>
      <c r="K351" s="109" t="n"/>
      <c r="L351" s="109" t="n"/>
      <c r="M351" s="109" t="inlineStr">
        <is>
          <t>DA CHIUDERE</t>
        </is>
      </c>
      <c r="N351" s="109" t="n"/>
      <c r="O351" s="109" t="n"/>
      <c r="P351" s="109" t="n"/>
      <c r="Q351" s="109" t="inlineStr">
        <is>
          <t>PERMESSO CANCELLATO</t>
        </is>
      </c>
      <c r="R351" s="151" t="n"/>
      <c r="S351" s="109" t="n"/>
      <c r="T351" s="109" t="inlineStr"/>
      <c r="U351" s="109" t="inlineStr"/>
    </row>
    <row r="352">
      <c r="A352" s="109" t="n"/>
      <c r="B352" s="108" t="n"/>
      <c r="C352" s="109" t="inlineStr"/>
      <c r="D352" s="109" t="inlineStr">
        <is>
          <t>AREA 2</t>
        </is>
      </c>
      <c r="E352" s="109" t="inlineStr">
        <is>
          <t>537124/C</t>
        </is>
      </c>
      <c r="F352" s="109" t="inlineStr">
        <is>
          <t>1000</t>
        </is>
      </c>
      <c r="G352" s="109" t="inlineStr">
        <is>
          <t>1000 - Ripristino armadio compressore C101</t>
        </is>
      </c>
      <c r="H352" s="109" t="n"/>
      <c r="I352" s="109" t="n"/>
      <c r="J352" s="109" t="n"/>
      <c r="K352" s="109" t="n"/>
      <c r="L352" s="109" t="n"/>
      <c r="M352" s="110" t="inlineStr">
        <is>
          <t>DA CHIUDERE</t>
        </is>
      </c>
      <c r="N352" s="110" t="n"/>
      <c r="O352" s="110" t="n"/>
      <c r="P352" s="110" t="n"/>
      <c r="Q352" s="110" t="n"/>
      <c r="R352" s="151" t="n"/>
      <c r="S352" s="110" t="n"/>
      <c r="T352" s="109" t="inlineStr"/>
      <c r="U352" s="147" t="inlineStr"/>
    </row>
    <row r="353" ht="30" customHeight="1" s="122">
      <c r="A353" s="109" t="n"/>
      <c r="B353" s="109" t="inlineStr">
        <is>
          <t>X</t>
        </is>
      </c>
      <c r="C353" s="109" t="inlineStr"/>
      <c r="D353" s="109" t="inlineStr">
        <is>
          <t>AREA 2</t>
        </is>
      </c>
      <c r="E353" s="109" t="inlineStr">
        <is>
          <t>539407/C</t>
        </is>
      </c>
      <c r="F353" s="109" t="inlineStr">
        <is>
          <t>500</t>
        </is>
      </c>
      <c r="G353" s="109" t="inlineStr">
        <is>
          <t>500F018RC (ANTIPOMPAGGIO C102)CONTROLLO  E RIPRISTINO FUNZIONALITA PORTATA ED EVENTUALE RIFACIMENTO PRIMARI</t>
        </is>
      </c>
      <c r="H353" s="109" t="n"/>
      <c r="I353" s="109" t="n"/>
      <c r="J353" s="109" t="n"/>
      <c r="K353" s="109" t="n"/>
      <c r="L353" s="109" t="n"/>
      <c r="M353" s="109" t="inlineStr">
        <is>
          <t>DA CHIUDERE</t>
        </is>
      </c>
      <c r="N353" s="109" t="n"/>
      <c r="O353" s="109" t="n"/>
      <c r="P353" s="109" t="n"/>
      <c r="Q353" s="109" t="n"/>
      <c r="R353" s="151" t="n">
        <v>45812</v>
      </c>
      <c r="S353" s="109" t="inlineStr">
        <is>
          <t>SPINALI/BAUDO</t>
        </is>
      </c>
      <c r="T353" s="109" t="inlineStr"/>
      <c r="U353" s="109" t="inlineStr"/>
    </row>
    <row r="354" ht="45" customHeight="1" s="122">
      <c r="A354" s="109" t="n"/>
      <c r="B354" s="108" t="n"/>
      <c r="C354" s="109" t="inlineStr"/>
      <c r="D354" s="109" t="inlineStr">
        <is>
          <t>AREA 2</t>
        </is>
      </c>
      <c r="E354" s="109" t="inlineStr">
        <is>
          <t>537249/C</t>
        </is>
      </c>
      <c r="F354" s="109" t="inlineStr">
        <is>
          <t>500</t>
        </is>
      </c>
      <c r="G354" s="109" t="inlineStr">
        <is>
          <t>500 - F163R(VAPORE MS a L.B.)CONTROLLO DI TARATURA  E RIPRISTINO FUNZIONALITA</t>
        </is>
      </c>
      <c r="H354" s="109" t="n"/>
      <c r="I354" s="109" t="n"/>
      <c r="J354" s="109" t="n"/>
      <c r="K354" s="109" t="n"/>
      <c r="L354" s="109" t="n"/>
      <c r="M354" s="110" t="inlineStr">
        <is>
          <t>DA CHIUDERE</t>
        </is>
      </c>
      <c r="N354" s="110" t="n"/>
      <c r="O354" s="110" t="n"/>
      <c r="P354" s="110" t="n"/>
      <c r="Q354" s="110" t="inlineStr">
        <is>
          <t>AZZERATO STRUMENTO. IL TX E' BIDIREZIONALE CON F161R,. LA MISURA E' NEGATIVA ( mm-50 in riferimento, e mm 50 sul F161R ). CONSEGNATO OK</t>
        </is>
      </c>
      <c r="R354" s="151" t="n">
        <v>45797</v>
      </c>
      <c r="S354" s="110" t="inlineStr">
        <is>
          <t>SPINALI</t>
        </is>
      </c>
      <c r="T354" s="109" t="inlineStr"/>
      <c r="U354" s="147" t="inlineStr"/>
    </row>
    <row r="355">
      <c r="A355" s="109" t="n"/>
      <c r="B355" s="109" t="inlineStr">
        <is>
          <t>X</t>
        </is>
      </c>
      <c r="C355" s="109" t="inlineStr"/>
      <c r="D355" s="109" t="inlineStr">
        <is>
          <t>AREA 2</t>
        </is>
      </c>
      <c r="E355" s="109" t="inlineStr">
        <is>
          <t>539402/C</t>
        </is>
      </c>
      <c r="F355" s="109" t="inlineStr">
        <is>
          <t>500</t>
        </is>
      </c>
      <c r="G355" s="109" t="inlineStr">
        <is>
          <t>500T019A/B CV (E109)CONTROLLO E RIPRISTINO FUNZIONALITA VALVOLE</t>
        </is>
      </c>
      <c r="H355" s="109" t="n"/>
      <c r="I355" s="109" t="n"/>
      <c r="J355" s="109" t="n"/>
      <c r="K355" s="109" t="n"/>
      <c r="L355" s="109" t="n"/>
      <c r="M355" s="109" t="inlineStr">
        <is>
          <t>DA CHIUDERE</t>
        </is>
      </c>
      <c r="N355" s="109" t="n"/>
      <c r="O355" s="109" t="n"/>
      <c r="P355" s="109" t="n"/>
      <c r="Q355" s="109" t="n"/>
      <c r="R355" s="151" t="n">
        <v>45812</v>
      </c>
      <c r="S355" s="109" t="inlineStr">
        <is>
          <t>GARRO</t>
        </is>
      </c>
      <c r="T355" s="109" t="inlineStr"/>
      <c r="U355" s="109" t="inlineStr"/>
    </row>
    <row r="356">
      <c r="A356" s="109" t="n"/>
      <c r="B356" s="108" t="inlineStr">
        <is>
          <t>X</t>
        </is>
      </c>
      <c r="C356" s="109" t="inlineStr"/>
      <c r="D356" s="109" t="inlineStr">
        <is>
          <t>AREA 2</t>
        </is>
      </c>
      <c r="E356" s="109" t="inlineStr">
        <is>
          <t>540012/C</t>
        </is>
      </c>
      <c r="F356" s="109" t="inlineStr">
        <is>
          <t>500</t>
        </is>
      </c>
      <c r="G356" s="109" t="inlineStr">
        <is>
          <t>500P017CV (GAS A C102)CONTROLLO DI FUNZIONALITA VALVOLA</t>
        </is>
      </c>
      <c r="H356" s="109" t="n"/>
      <c r="I356" s="109" t="n"/>
      <c r="J356" s="109" t="n"/>
      <c r="K356" s="109" t="n"/>
      <c r="L356" s="109" t="n"/>
      <c r="M356" s="110" t="inlineStr">
        <is>
          <t>DA CHIUDERE</t>
        </is>
      </c>
      <c r="N356" s="110" t="n"/>
      <c r="O356" s="110" t="n"/>
      <c r="P356" s="110" t="n"/>
      <c r="Q356" s="110" t="inlineStr">
        <is>
          <t>NESSUNA ANOMALIA</t>
        </is>
      </c>
      <c r="R356" s="151" t="n">
        <v>45817</v>
      </c>
      <c r="S356" s="110" t="inlineStr">
        <is>
          <t>MILLO</t>
        </is>
      </c>
      <c r="T356" s="109" t="inlineStr"/>
      <c r="U356" s="147" t="inlineStr"/>
    </row>
    <row r="357" ht="30" customHeight="1" s="122">
      <c r="A357" s="109" t="n"/>
      <c r="B357" s="108" t="n"/>
      <c r="C357" s="109" t="inlineStr"/>
      <c r="D357" s="109" t="inlineStr">
        <is>
          <t>AREA 2</t>
        </is>
      </c>
      <c r="E357" s="109" t="inlineStr">
        <is>
          <t>539313/C</t>
        </is>
      </c>
      <c r="F357" s="109" t="inlineStr">
        <is>
          <t>600</t>
        </is>
      </c>
      <c r="G357" s="109" t="inlineStr">
        <is>
          <t>600 - F026RC (OLIO LAVAGGIO P. A. PASSO) CONTROLLO E RIPRISTINO FUNZIONALITA PORTATA EVENTUALMENTE CON RIFACIMENTO TRACCIA DI VAPORE  SU STRUMENTO</t>
        </is>
      </c>
      <c r="H357" s="109" t="n"/>
      <c r="I357" s="109" t="n"/>
      <c r="J357" s="109" t="n"/>
      <c r="K357" s="109" t="n"/>
      <c r="L357" s="109" t="n"/>
      <c r="M357" s="110" t="inlineStr">
        <is>
          <t>DA CHIUDERE</t>
        </is>
      </c>
      <c r="N357" s="110" t="n"/>
      <c r="O357" s="110" t="n"/>
      <c r="P357" s="110" t="n"/>
      <c r="Q357" s="110" t="n"/>
      <c r="R357" s="151" t="n"/>
      <c r="S357" s="110" t="n"/>
      <c r="T357" s="109" t="inlineStr"/>
      <c r="U357" s="147" t="inlineStr"/>
    </row>
    <row r="358" ht="30" customHeight="1" s="122">
      <c r="A358" s="109" t="n"/>
      <c r="B358" s="108" t="inlineStr">
        <is>
          <t>X</t>
        </is>
      </c>
      <c r="C358" s="109" t="inlineStr"/>
      <c r="D358" s="109" t="inlineStr">
        <is>
          <t>AREA 2</t>
        </is>
      </c>
      <c r="E358" s="109" t="inlineStr">
        <is>
          <t>539817/C</t>
        </is>
      </c>
      <c r="F358" s="109" t="inlineStr">
        <is>
          <t>500</t>
        </is>
      </c>
      <c r="G358" s="109" t="inlineStr">
        <is>
          <t>500C102 SMONTAGGIO/RIMONTAGGIO SONDE DI VIBRAZIONE E STRUMENTAZIONE A CORREDO SU COMPRESSORE</t>
        </is>
      </c>
      <c r="H358" s="109" t="n"/>
      <c r="I358" s="109" t="n"/>
      <c r="J358" s="109" t="n"/>
      <c r="K358" s="109" t="n"/>
      <c r="L358" s="109" t="n"/>
      <c r="M358" s="110" t="inlineStr">
        <is>
          <t>DA CHIUDERE</t>
        </is>
      </c>
      <c r="N358" s="110" t="n"/>
      <c r="O358" s="110" t="n"/>
      <c r="P358" s="110" t="n"/>
      <c r="Q358" s="110" t="n"/>
      <c r="R358" s="151" t="n">
        <v>45817</v>
      </c>
      <c r="S358" s="110" t="inlineStr">
        <is>
          <t>SPINALI</t>
        </is>
      </c>
      <c r="T358" s="109" t="inlineStr"/>
      <c r="U358" s="147" t="inlineStr"/>
    </row>
    <row r="359" ht="45" customHeight="1" s="122">
      <c r="A359" s="109" t="n"/>
      <c r="B359" s="108" t="n"/>
      <c r="C359" s="109" t="inlineStr"/>
      <c r="D359" s="109" t="inlineStr">
        <is>
          <t>AREA 2</t>
        </is>
      </c>
      <c r="E359" s="109" t="inlineStr">
        <is>
          <t>540014/C</t>
        </is>
      </c>
      <c r="F359" s="109" t="inlineStr">
        <is>
          <t>500</t>
        </is>
      </c>
      <c r="G359" s="109" t="inlineStr">
        <is>
          <t>500F011RC RICICLO SODA T103 CONTROLLO LOOP DI REGOLAZIONE (INIZIANDO PRIMA DALLA PORTATA)</t>
        </is>
      </c>
      <c r="H359" s="109" t="n"/>
      <c r="I359" s="109" t="n"/>
      <c r="J359" s="109" t="n"/>
      <c r="K359" s="109" t="n"/>
      <c r="L359" s="109" t="n"/>
      <c r="M359" s="110" t="inlineStr">
        <is>
          <t>DA CHIUDERE</t>
        </is>
      </c>
      <c r="N359" s="110" t="n"/>
      <c r="O359" s="110" t="n"/>
      <c r="P359" s="110" t="n"/>
      <c r="Q359" s="110" t="inlineStr">
        <is>
          <t>CONTROLLATA VALVOLA E PORTATA. LA VALVOLA ERA STARATA DEL 60%, MENTRE LA PORTATA AVEVA LA PRESA NEGATIVA TAPPATA. STASATO PRIMARIO IN CANTIERE. RIPRISTINATE ENTRAMBI.</t>
        </is>
      </c>
      <c r="R359" s="151" t="n">
        <v>45824</v>
      </c>
      <c r="S359" s="110" t="inlineStr">
        <is>
          <t>MILLO/GARRO</t>
        </is>
      </c>
      <c r="T359" s="109" t="inlineStr"/>
      <c r="U359" s="147" t="inlineStr"/>
    </row>
    <row r="360" ht="45" customHeight="1" s="122">
      <c r="A360" s="109" t="n"/>
      <c r="B360" s="108" t="n"/>
      <c r="C360" s="109" t="inlineStr"/>
      <c r="D360" s="109" t="inlineStr">
        <is>
          <t>AREA 2</t>
        </is>
      </c>
      <c r="E360" s="109" t="inlineStr">
        <is>
          <t>541246/C</t>
        </is>
      </c>
      <c r="F360" s="109" t="inlineStr">
        <is>
          <t>1000</t>
        </is>
      </c>
      <c r="G360" s="109" t="inlineStr">
        <is>
          <t>100F005CO 100F056CO CARICA TOTALE F101 CONTROLLO E TARATURA CON RIEMPIMENTO PRIMARI SU STRUMENTI DI PORTATA(METTERE I MOS PRIMA DI INIZIARE ATTIVITA)</t>
        </is>
      </c>
      <c r="H360" s="109" t="n"/>
      <c r="I360" s="109" t="n"/>
      <c r="J360" s="109" t="n"/>
      <c r="K360" s="109" t="n"/>
      <c r="L360" s="109" t="n"/>
      <c r="M360" s="110" t="inlineStr">
        <is>
          <t>DA CHIUDERE</t>
        </is>
      </c>
      <c r="N360" s="110" t="n"/>
      <c r="O360" s="110" t="n"/>
      <c r="P360" s="110" t="n"/>
      <c r="Q360" s="110" t="inlineStr">
        <is>
          <t>ESEGUITO RIEMPIEMENTO SUI BARILOTTI. STRUMENTI ALLINEATI CON SALA CONTROLLO</t>
        </is>
      </c>
      <c r="R360" s="151" t="n">
        <v>45825</v>
      </c>
      <c r="S360" s="110" t="inlineStr">
        <is>
          <t>TARASCIO/PARTESANO</t>
        </is>
      </c>
      <c r="T360" s="109" t="inlineStr"/>
      <c r="U360" s="147" t="inlineStr"/>
    </row>
    <row r="361" ht="45" customHeight="1" s="122">
      <c r="A361" s="109" t="n"/>
      <c r="B361" s="108" t="n"/>
      <c r="C361" s="109" t="inlineStr"/>
      <c r="D361" s="109" t="inlineStr">
        <is>
          <t>AREA 2</t>
        </is>
      </c>
      <c r="E361" s="109" t="inlineStr">
        <is>
          <t>541224/C</t>
        </is>
      </c>
      <c r="F361" s="109" t="inlineStr">
        <is>
          <t>1000</t>
        </is>
      </c>
      <c r="G361" s="109" t="inlineStr">
        <is>
          <t>1000L117RC FONDO T103 CONTROLLO LOOP DI REGOLAZIONE E ALLINEAMENTO CON SALA CONTROLLO</t>
        </is>
      </c>
      <c r="H361" s="109" t="n"/>
      <c r="I361" s="109" t="n"/>
      <c r="J361" s="109" t="n"/>
      <c r="K361" s="109" t="n"/>
      <c r="L361" s="109" t="n"/>
      <c r="M361" s="110" t="inlineStr">
        <is>
          <t>DA CHIUDERE</t>
        </is>
      </c>
      <c r="N361" s="110" t="n"/>
      <c r="O361" s="110" t="n"/>
      <c r="P361" s="110" t="n"/>
      <c r="Q361" s="110" t="inlineStr">
        <is>
          <t>LA VALVOLA IN AUTOMATICO FA ESCURSIONI DEL 10%, IN MANUALE E' FERMA. SI NOTA DAL KLINGER CHE LE OSCILLAZIONI DI LIVELLO SONO VERITIERE, DAL 65 AL 70%. NULLA DA SEGNALARE</t>
        </is>
      </c>
      <c r="R361" s="151" t="n">
        <v>45825</v>
      </c>
      <c r="S361" s="110" t="inlineStr">
        <is>
          <t>MILLO</t>
        </is>
      </c>
      <c r="T361" s="109" t="inlineStr"/>
      <c r="U361" s="147" t="inlineStr"/>
    </row>
    <row r="362" ht="45" customHeight="1" s="122">
      <c r="A362" s="109" t="n"/>
      <c r="B362" s="108" t="n"/>
      <c r="C362" s="109" t="inlineStr"/>
      <c r="D362" s="109" t="inlineStr">
        <is>
          <t>AREA 2</t>
        </is>
      </c>
      <c r="E362" s="109" t="inlineStr">
        <is>
          <t>541605/C</t>
        </is>
      </c>
      <c r="F362" s="109" t="inlineStr">
        <is>
          <t>500</t>
        </is>
      </c>
      <c r="G362" s="109" t="inlineStr">
        <is>
          <t>Imp.500-Controllo funzionalita' T018RC, TI164 (SODA TOTALE A D103); se necessario far mettere in manuale il regolatore.</t>
        </is>
      </c>
      <c r="H362" s="109" t="n"/>
      <c r="I362" s="109" t="n"/>
      <c r="J362" s="109" t="n"/>
      <c r="K362" s="109" t="n"/>
      <c r="L362" s="109" t="n"/>
      <c r="M362" s="110" t="inlineStr">
        <is>
          <t>DA CHIUDERE</t>
        </is>
      </c>
      <c r="N362" s="110" t="n"/>
      <c r="O362" s="110" t="n"/>
      <c r="P362" s="110" t="n"/>
      <c r="Q362" s="110" t="inlineStr">
        <is>
          <t>T018RC SOSTITUITA BARRIERA_ OK; TI156 NESSUNA ANOMALIA RISCONTRATA; TI157 DOPPINO IN DISPERSIONE, UTILIZZATA CALZA PROVVISORIA PER GARANTIRE UNA MISUNA.</t>
        </is>
      </c>
      <c r="R362" s="151" t="n">
        <v>45832</v>
      </c>
      <c r="S362" s="110" t="inlineStr">
        <is>
          <t>SPINALI/LEONE</t>
        </is>
      </c>
      <c r="T362" s="109" t="inlineStr"/>
      <c r="U362" s="147" t="inlineStr"/>
    </row>
    <row r="363" ht="30" customHeight="1" s="122">
      <c r="A363" s="109" t="n"/>
      <c r="B363" s="108" t="inlineStr">
        <is>
          <t>X</t>
        </is>
      </c>
      <c r="C363" s="109" t="inlineStr"/>
      <c r="D363" s="109" t="inlineStr">
        <is>
          <t>AREA 2</t>
        </is>
      </c>
      <c r="E363" s="109" t="inlineStr">
        <is>
          <t>535832/C</t>
        </is>
      </c>
      <c r="F363" s="109" t="inlineStr">
        <is>
          <t>600</t>
        </is>
      </c>
      <c r="G363" s="109" t="inlineStr">
        <is>
          <t>600 - F026RC OLIO DI LAVAGGIO A T101 CONTROLLO E RIPRISTINO FUNZIONALITA PORTATA</t>
        </is>
      </c>
      <c r="H363" s="109" t="n"/>
      <c r="I363" s="109" t="n"/>
      <c r="J363" s="109" t="n"/>
      <c r="K363" s="109" t="n"/>
      <c r="L363" s="109" t="n"/>
      <c r="M363" s="110" t="inlineStr">
        <is>
          <t>DA CHIUDERE</t>
        </is>
      </c>
      <c r="N363" s="110" t="n"/>
      <c r="O363" s="110" t="n"/>
      <c r="P363" s="110" t="n"/>
      <c r="Q363" s="110" t="inlineStr">
        <is>
          <t>NESSUNA ANOMALIA DA SEGNALARE.</t>
        </is>
      </c>
      <c r="R363" s="151" t="n">
        <v>45832</v>
      </c>
      <c r="S363" s="110" t="inlineStr">
        <is>
          <t>SPINALI/LEONE</t>
        </is>
      </c>
      <c r="T363" s="109" t="inlineStr"/>
      <c r="U363" s="147" t="inlineStr"/>
    </row>
    <row r="364" ht="45" customHeight="1" s="122">
      <c r="A364" s="109" t="n"/>
      <c r="B364" s="109" t="n"/>
      <c r="C364" s="109" t="inlineStr"/>
      <c r="D364" s="109" t="inlineStr">
        <is>
          <t>AREA 2</t>
        </is>
      </c>
      <c r="E364" s="109" t="inlineStr">
        <is>
          <t>540507/C</t>
        </is>
      </c>
      <c r="F364" s="109" t="inlineStr">
        <is>
          <t>500</t>
        </is>
      </c>
      <c r="G364" s="109" t="inlineStr">
        <is>
          <t>500F016ARC 05F018RC SOSTITUZIONE STRUMENTI CON GRUPPO BYPASS E RIFACIMENTO PRIMARI CON INSTALLAZIONE NUOVA TRACCIA DI VAPORE PER RISCALDAMENTO PRIMARI</t>
        </is>
      </c>
      <c r="H364" s="109" t="n"/>
      <c r="I364" s="109" t="n"/>
      <c r="J364" s="109" t="n"/>
      <c r="K364" s="109" t="n"/>
      <c r="L364" s="109" t="n"/>
      <c r="M364" s="109" t="inlineStr">
        <is>
          <t>DA CHIUDERE</t>
        </is>
      </c>
      <c r="N364" s="109" t="n"/>
      <c r="O364" s="109" t="n"/>
      <c r="P364" s="109" t="n"/>
      <c r="Q364" s="109" t="inlineStr">
        <is>
          <t>ODC DEDICATO-COSTRUZIONE GRUPPI BYPASS IN CANTIERE PER SUCCESSIVO MONTAGGIO STRUMENTAZIONE IN CAMPO.</t>
        </is>
      </c>
      <c r="R364" s="151" t="n">
        <v>45820</v>
      </c>
      <c r="S364" s="109" t="inlineStr">
        <is>
          <t>SPINALI/DE LUCA</t>
        </is>
      </c>
      <c r="T364" s="109" t="inlineStr"/>
      <c r="U364" s="147" t="inlineStr"/>
    </row>
    <row r="365" ht="30" customHeight="1" s="122">
      <c r="A365" s="109" t="n"/>
      <c r="B365" s="108" t="n"/>
      <c r="C365" s="109" t="inlineStr"/>
      <c r="D365" s="109" t="inlineStr">
        <is>
          <t>AREA 2</t>
        </is>
      </c>
      <c r="E365" s="109" t="inlineStr">
        <is>
          <t>542331/C</t>
        </is>
      </c>
      <c r="F365" s="109" t="inlineStr">
        <is>
          <t>600</t>
        </is>
      </c>
      <c r="G365" s="109" t="inlineStr">
        <is>
          <t>IMP.600F030R(fondo vacuum a stoccaggio)CONTROLLO E RIPRISTINO MSURA DI PORTATA</t>
        </is>
      </c>
      <c r="H365" s="109" t="n"/>
      <c r="I365" s="109" t="n"/>
      <c r="J365" s="109" t="n"/>
      <c r="K365" s="109" t="n"/>
      <c r="L365" s="109" t="n"/>
      <c r="M365" s="110" t="inlineStr">
        <is>
          <t>DA CHIUDERE</t>
        </is>
      </c>
      <c r="N365" s="110" t="n"/>
      <c r="O365" s="110" t="n"/>
      <c r="P365" s="110" t="n"/>
      <c r="Q365" s="110" t="inlineStr">
        <is>
          <t>DA COIBENTARE PARTE DEI PRIMARI. ESEGUITA STASATURA PRIMARI E REGOLATI FLUSSAGGI.</t>
        </is>
      </c>
      <c r="R365" s="151" t="n">
        <v>45839</v>
      </c>
      <c r="S365" s="110" t="inlineStr">
        <is>
          <t>SPINALI</t>
        </is>
      </c>
      <c r="T365" s="109" t="inlineStr"/>
      <c r="U365" s="147" t="inlineStr"/>
    </row>
    <row r="366" ht="30" customHeight="1" s="122">
      <c r="A366" s="109" t="n"/>
      <c r="B366" s="109" t="n"/>
      <c r="C366" s="109" t="inlineStr"/>
      <c r="D366" s="109" t="inlineStr">
        <is>
          <t>AREA 2</t>
        </is>
      </c>
      <c r="E366" s="109" t="inlineStr">
        <is>
          <t>542329/C</t>
        </is>
      </c>
      <c r="F366" s="109" t="inlineStr">
        <is>
          <t>600</t>
        </is>
      </c>
      <c r="G366" s="109" t="inlineStr">
        <is>
          <t>IMP.600F051R(LVGO AD  U700)CONTROLLO E RIPRISTINO MSURA DI PORTATA</t>
        </is>
      </c>
      <c r="H366" s="109" t="n"/>
      <c r="I366" s="109" t="n"/>
      <c r="J366" s="109" t="n"/>
      <c r="K366" s="109" t="n"/>
      <c r="L366" s="109" t="n"/>
      <c r="M366" s="109" t="inlineStr">
        <is>
          <t>DA CHIUDERE</t>
        </is>
      </c>
      <c r="N366" s="109" t="n"/>
      <c r="O366" s="109" t="n"/>
      <c r="P366" s="109" t="n"/>
      <c r="Q366" s="109" t="inlineStr">
        <is>
          <t>ESEGUITA CORREZIONE DI ZERO CON RIPRISTINO DELLA FUNZIONALITA'</t>
        </is>
      </c>
      <c r="R366" s="151" t="n">
        <v>45839</v>
      </c>
      <c r="S366" s="109" t="inlineStr">
        <is>
          <t>SPINALI</t>
        </is>
      </c>
      <c r="T366" s="109" t="inlineStr"/>
      <c r="U366" s="109" t="inlineStr"/>
    </row>
    <row r="367" ht="30" customHeight="1" s="122">
      <c r="A367" s="109" t="n"/>
      <c r="B367" s="108" t="n"/>
      <c r="C367" s="109" t="inlineStr"/>
      <c r="D367" s="109" t="inlineStr">
        <is>
          <t>AREA 2</t>
        </is>
      </c>
      <c r="E367" s="109" t="inlineStr">
        <is>
          <t>543742/C</t>
        </is>
      </c>
      <c r="F367" s="109" t="inlineStr">
        <is>
          <t>500</t>
        </is>
      </c>
      <c r="G367" s="109" t="inlineStr">
        <is>
          <t>500F022CV(IDROGENO A RIGENERAZIONE)CONTROLLO E RIPRISTINO FUNZIONALITA VALVOLA</t>
        </is>
      </c>
      <c r="H367" s="109" t="n"/>
      <c r="I367" s="109" t="n"/>
      <c r="J367" s="109" t="n"/>
      <c r="K367" s="109" t="n"/>
      <c r="L367" s="109" t="n"/>
      <c r="M367" s="110" t="inlineStr">
        <is>
          <t>DA CHIUDERE</t>
        </is>
      </c>
      <c r="N367" s="110" t="n"/>
      <c r="O367" s="110" t="n"/>
      <c r="P367" s="110" t="n"/>
      <c r="Q367" s="110" t="inlineStr">
        <is>
          <t>TROVATA VALVOLA STARATA DEL 15% IN APERTURA, TARATA ED ALLINEATA CON SALA CONTROLLO.</t>
        </is>
      </c>
      <c r="R367" s="151" t="n">
        <v>45847</v>
      </c>
      <c r="S367" s="110" t="inlineStr">
        <is>
          <t>MILLO/ALLEGRETTI</t>
        </is>
      </c>
      <c r="T367" s="109" t="inlineStr"/>
      <c r="U367" s="147" t="n"/>
    </row>
    <row r="368" ht="30" customHeight="1" s="122">
      <c r="A368" s="109" t="n"/>
      <c r="B368" s="109" t="n"/>
      <c r="C368" s="109" t="inlineStr"/>
      <c r="D368" s="109" t="inlineStr">
        <is>
          <t>AREA 2</t>
        </is>
      </c>
      <c r="E368" s="109" t="inlineStr">
        <is>
          <t>544168/C</t>
        </is>
      </c>
      <c r="F368" s="109" t="inlineStr">
        <is>
          <t>1000</t>
        </is>
      </c>
      <c r="G368" s="109" t="inlineStr">
        <is>
          <t>1000R150BV RIPRISTINO E CONTROLLO FINE CORSA DI APERTURA E CHIUSURA</t>
        </is>
      </c>
      <c r="H368" s="109" t="n"/>
      <c r="I368" s="109" t="n"/>
      <c r="J368" s="109" t="n"/>
      <c r="K368" s="109" t="n"/>
      <c r="L368" s="109" t="n"/>
      <c r="M368" s="109" t="inlineStr">
        <is>
          <t>DA CHIUDERE</t>
        </is>
      </c>
      <c r="N368" s="109" t="n"/>
      <c r="O368" s="109" t="n"/>
      <c r="P368" s="109" t="n"/>
      <c r="Q368" s="109" t="inlineStr">
        <is>
          <t>NESSUNA ANOMALIA DA SEGNALARE.</t>
        </is>
      </c>
      <c r="R368" s="151" t="n">
        <v>45852</v>
      </c>
      <c r="S368" s="109" t="inlineStr">
        <is>
          <t>GARRO/PARTESANO</t>
        </is>
      </c>
      <c r="T368" s="109" t="inlineStr"/>
      <c r="U368" s="109" t="n"/>
    </row>
    <row r="369" ht="30" customHeight="1" s="122">
      <c r="A369" s="109" t="n"/>
      <c r="B369" s="109" t="n"/>
      <c r="C369" s="109" t="inlineStr"/>
      <c r="D369" s="109" t="inlineStr">
        <is>
          <t>AREA 2</t>
        </is>
      </c>
      <c r="E369" s="109" t="inlineStr">
        <is>
          <t>544209/C</t>
        </is>
      </c>
      <c r="F369" s="109" t="inlineStr">
        <is>
          <t>500</t>
        </is>
      </c>
      <c r="G369" s="109" t="inlineStr">
        <is>
          <t>500P082RC ( FUEL GAS A F301)CONTROLLO E RIPRISTINO FUNZIONALITA TRASMETTITORE DI PRESSIONE</t>
        </is>
      </c>
      <c r="H369" s="109" t="n"/>
      <c r="I369" s="109" t="n"/>
      <c r="J369" s="109" t="n"/>
      <c r="K369" s="109" t="n"/>
      <c r="L369" s="109" t="n"/>
      <c r="M369" s="109" t="inlineStr">
        <is>
          <t>DA CHIUDERE</t>
        </is>
      </c>
      <c r="N369" s="109" t="n"/>
      <c r="O369" s="109" t="n"/>
      <c r="P369" s="109" t="n"/>
      <c r="Q369" s="109" t="inlineStr">
        <is>
          <t>STRUMENTO SOSTITUITO. LOOP ALLINEATO</t>
        </is>
      </c>
      <c r="R369" s="151" t="n">
        <v>45852</v>
      </c>
      <c r="S369" s="109" t="inlineStr">
        <is>
          <t>MIILO/SERRA</t>
        </is>
      </c>
      <c r="T369" s="109" t="inlineStr"/>
      <c r="U369" s="109" t="n"/>
    </row>
    <row r="370" ht="30" customHeight="1" s="122">
      <c r="A370" s="109" t="n"/>
      <c r="B370" s="109" t="n"/>
      <c r="C370" s="109" t="inlineStr"/>
      <c r="D370" s="109" t="inlineStr">
        <is>
          <t>AREA 2</t>
        </is>
      </c>
      <c r="E370" s="109" t="inlineStr">
        <is>
          <t>544540/C</t>
        </is>
      </c>
      <c r="F370" s="109" t="inlineStr">
        <is>
          <t>1000</t>
        </is>
      </c>
      <c r="G370" s="109" t="inlineStr">
        <is>
          <t>1000R167BV RIPRISTINO E CONTROLLO FINE CORSA DI APERTURA E CHIUSURA</t>
        </is>
      </c>
      <c r="H370" s="109" t="n"/>
      <c r="I370" s="109" t="n"/>
      <c r="J370" s="109" t="n"/>
      <c r="K370" s="109" t="n"/>
      <c r="L370" s="109" t="n"/>
      <c r="M370" s="109" t="inlineStr">
        <is>
          <t>DA CHIUDERE</t>
        </is>
      </c>
      <c r="N370" s="109" t="n"/>
      <c r="O370" s="109" t="n"/>
      <c r="P370" s="109" t="n"/>
      <c r="Q370" s="109" t="inlineStr">
        <is>
          <t>SULL'ATTUATORE DELLA VALVOLA SI E' ROTTA LA GUIDA DEL FINECORSA, PER SISTEMARLO OCCORE SMONTARE L'ATTUATORE.</t>
        </is>
      </c>
      <c r="R370" s="151" t="n">
        <v>45853</v>
      </c>
      <c r="S370" s="109" t="inlineStr">
        <is>
          <t>GARRO</t>
        </is>
      </c>
      <c r="T370" s="109" t="inlineStr"/>
      <c r="U370" s="109" t="n"/>
    </row>
    <row r="371" ht="30" customHeight="1" s="122">
      <c r="A371" s="109" t="n"/>
      <c r="B371" s="109" t="n"/>
      <c r="C371" s="109" t="inlineStr"/>
      <c r="D371" s="109" t="inlineStr">
        <is>
          <t>AREA 2</t>
        </is>
      </c>
      <c r="E371" s="109" t="inlineStr">
        <is>
          <t>544634/C</t>
        </is>
      </c>
      <c r="F371" s="109" t="inlineStr">
        <is>
          <t>500</t>
        </is>
      </c>
      <c r="G371" s="109" t="inlineStr">
        <is>
          <t>500P082CV SMONTAGGIO/MONTAGGIO VALVOLA PER STASATURA DELLA STESSA  O EVENTUALE REVISIONE IN OFFICINA</t>
        </is>
      </c>
      <c r="H371" s="109" t="n"/>
      <c r="I371" s="109" t="n"/>
      <c r="J371" s="109" t="n"/>
      <c r="K371" s="109" t="n"/>
      <c r="L371" s="109" t="n"/>
      <c r="M371" s="109" t="inlineStr">
        <is>
          <t>DA CHIUDERE</t>
        </is>
      </c>
      <c r="N371" s="109" t="n"/>
      <c r="O371" s="109" t="n"/>
      <c r="P371" s="109" t="n"/>
      <c r="Q371" s="109" t="inlineStr">
        <is>
          <t>VALVOLA REVISIONATA IN CAMPO, TRONCHETTI TAPPATI</t>
        </is>
      </c>
      <c r="R371" s="151" t="n">
        <v>45854</v>
      </c>
      <c r="S371" s="109" t="inlineStr">
        <is>
          <t>GARRO</t>
        </is>
      </c>
      <c r="T371" s="109" t="inlineStr"/>
      <c r="U371" s="109" t="n"/>
    </row>
    <row r="372" ht="30" customHeight="1" s="122">
      <c r="A372" s="109" t="n"/>
      <c r="B372" s="108" t="n"/>
      <c r="C372" s="109" t="inlineStr"/>
      <c r="D372" s="109" t="inlineStr">
        <is>
          <t>AREA 2</t>
        </is>
      </c>
      <c r="E372" s="109" t="inlineStr">
        <is>
          <t>544848/C</t>
        </is>
      </c>
      <c r="F372" s="109" t="inlineStr">
        <is>
          <t>1000</t>
        </is>
      </c>
      <c r="G372" s="109" t="inlineStr">
        <is>
          <t>1000F170CV (TAGLIO T102 A D103)CONRTOLLO E RIPRISTINO VALVOLA O EVENTUALE LOOP DI REGOLAZIONE</t>
        </is>
      </c>
      <c r="H372" s="109" t="n"/>
      <c r="I372" s="109" t="n"/>
      <c r="J372" s="109" t="n"/>
      <c r="K372" s="109" t="n"/>
      <c r="L372" s="109" t="n"/>
      <c r="M372" s="110" t="inlineStr">
        <is>
          <t>DA CHIUDERE</t>
        </is>
      </c>
      <c r="N372" s="110" t="n"/>
      <c r="O372" s="110" t="n"/>
      <c r="P372" s="110" t="n"/>
      <c r="Q372" s="110" t="n"/>
      <c r="R372" s="151" t="n"/>
      <c r="S372" s="110" t="n"/>
      <c r="T372" s="109" t="inlineStr"/>
      <c r="U372" s="147" t="n"/>
    </row>
    <row r="373" ht="30" customHeight="1" s="122">
      <c r="A373" s="109" t="n"/>
      <c r="B373" s="108" t="n"/>
      <c r="C373" s="109" t="inlineStr"/>
      <c r="D373" s="109" t="inlineStr">
        <is>
          <t>AREA 2</t>
        </is>
      </c>
      <c r="E373" s="109" t="inlineStr">
        <is>
          <t>544654/C</t>
        </is>
      </c>
      <c r="F373" s="109" t="inlineStr">
        <is>
          <t>600</t>
        </is>
      </c>
      <c r="G373" s="109" t="inlineStr">
        <is>
          <t>600F014CV CONTROLLO E  RIPRISTINO FUNZIONALITA VALVOLA(EVENTUALMENTE CONTROLLARE LOOP DI REGOLAZIONE)</t>
        </is>
      </c>
      <c r="H373" s="109" t="n"/>
      <c r="I373" s="109" t="n"/>
      <c r="J373" s="109" t="n"/>
      <c r="K373" s="109" t="n"/>
      <c r="L373" s="109" t="n"/>
      <c r="M373" s="110" t="inlineStr">
        <is>
          <t>DA CHIUDERE</t>
        </is>
      </c>
      <c r="N373" s="110" t="n"/>
      <c r="O373" s="110" t="n"/>
      <c r="P373" s="110" t="n"/>
      <c r="Q373" s="110" t="inlineStr">
        <is>
          <t>TROVATO LINK DEL POSIZIONATORE SCOLLEGATO DALLE VIBRAZIONI, COLLEGATO E VALVOLA TARATA. CONSEGNATA AD ESE</t>
        </is>
      </c>
      <c r="R373" s="151" t="n">
        <v>45856</v>
      </c>
      <c r="S373" s="110" t="inlineStr">
        <is>
          <t>GARRO</t>
        </is>
      </c>
      <c r="T373" s="109" t="inlineStr"/>
      <c r="U373" s="147" t="n"/>
    </row>
    <row r="374">
      <c r="A374" s="109" t="n"/>
      <c r="B374" s="108" t="n"/>
      <c r="C374" s="109" t="inlineStr"/>
      <c r="D374" s="109" t="inlineStr">
        <is>
          <t>AREA 2</t>
        </is>
      </c>
      <c r="E374" s="109" t="inlineStr">
        <is>
          <t>545446/C</t>
        </is>
      </c>
      <c r="F374" s="109" t="inlineStr">
        <is>
          <t>1000</t>
        </is>
      </c>
      <c r="G374" s="109" t="inlineStr">
        <is>
          <t>U1000: MC101A - Montaggio struttura di raffreddamento da montare elettrico</t>
        </is>
      </c>
      <c r="H374" s="109" t="n"/>
      <c r="I374" s="109" t="n"/>
      <c r="J374" s="109" t="n"/>
      <c r="K374" s="109" t="n"/>
      <c r="L374" s="109" t="n"/>
      <c r="M374" s="110" t="inlineStr">
        <is>
          <t>DA CHIUDERE</t>
        </is>
      </c>
      <c r="N374" s="110" t="n"/>
      <c r="O374" s="110" t="n"/>
      <c r="P374" s="110" t="n"/>
      <c r="Q374" s="110" t="inlineStr">
        <is>
          <t>COSTRUITO ANELLO DI RAFFREDDAMENTO SUL COMPRESSORE</t>
        </is>
      </c>
      <c r="R374" s="151" t="n">
        <v>45862</v>
      </c>
      <c r="S374" s="110" t="inlineStr">
        <is>
          <t>DE LUCA</t>
        </is>
      </c>
      <c r="T374" s="109" t="inlineStr"/>
      <c r="U374" s="147" t="n"/>
    </row>
    <row r="375" ht="30" customHeight="1" s="122">
      <c r="A375" s="109" t="n"/>
      <c r="B375" s="109" t="n"/>
      <c r="C375" s="109" t="inlineStr"/>
      <c r="D375" s="109" t="inlineStr">
        <is>
          <t>AREA 2</t>
        </is>
      </c>
      <c r="E375" s="109" t="inlineStr">
        <is>
          <t>547686/C</t>
        </is>
      </c>
      <c r="F375" s="109" t="inlineStr">
        <is>
          <t>1000</t>
        </is>
      </c>
      <c r="G375" s="109" t="inlineStr">
        <is>
          <t>1000L113RC  ACCUMULATORE TESTA T101 CONTROLLO  E RIPRISTINO MISURA DI LIVELLO</t>
        </is>
      </c>
      <c r="H375" s="109" t="n"/>
      <c r="I375" s="109" t="n"/>
      <c r="J375" s="109" t="n"/>
      <c r="K375" s="109" t="n"/>
      <c r="L375" s="109" t="n"/>
      <c r="M375" s="109" t="inlineStr">
        <is>
          <t>DA CHIUDERE</t>
        </is>
      </c>
      <c r="N375" s="109" t="n"/>
      <c r="O375" s="109" t="n"/>
      <c r="P375" s="109" t="n"/>
      <c r="Q375" s="109" t="inlineStr">
        <is>
          <t>ALZATO ULTERIORMENTE DAMPING STRUMENTO ( 15 SEC) PER LE VARIAZIONI IN SALA C.</t>
        </is>
      </c>
      <c r="R375" s="151" t="n">
        <v>45882</v>
      </c>
      <c r="S375" s="109" t="inlineStr">
        <is>
          <t>SPINALI</t>
        </is>
      </c>
      <c r="T375" s="109" t="inlineStr"/>
      <c r="U375" s="109" t="n"/>
    </row>
    <row r="376">
      <c r="A376" s="109" t="n"/>
      <c r="B376" s="108" t="n"/>
      <c r="C376" s="109" t="inlineStr"/>
      <c r="D376" s="109" t="inlineStr">
        <is>
          <t>AREA 2</t>
        </is>
      </c>
      <c r="E376" s="109" t="inlineStr">
        <is>
          <t>547741/C</t>
        </is>
      </c>
      <c r="F376" s="109" t="inlineStr">
        <is>
          <t>600</t>
        </is>
      </c>
      <c r="G376" s="109" t="inlineStr">
        <is>
          <t>600F157R (MAKE UP ACQUA MARE )CONTROLLO E RIPRISTINO MISURA DI PORTATA</t>
        </is>
      </c>
      <c r="H376" s="109" t="n"/>
      <c r="I376" s="109" t="n"/>
      <c r="J376" s="109" t="n"/>
      <c r="K376" s="109" t="n"/>
      <c r="L376" s="109" t="n"/>
      <c r="M376" s="110" t="inlineStr">
        <is>
          <t>DA CHIUDERE</t>
        </is>
      </c>
      <c r="N376" s="110" t="n"/>
      <c r="O376" s="110" t="n"/>
      <c r="P376" s="110" t="n"/>
      <c r="Q376" s="110" t="inlineStr">
        <is>
          <t>RIPRISTINATA MISURA DOPO SPURGAGGIO TUBO DI PITOT.</t>
        </is>
      </c>
      <c r="R376" s="151" t="n">
        <v>45883</v>
      </c>
      <c r="S376" s="110" t="inlineStr">
        <is>
          <t>SPINALI</t>
        </is>
      </c>
      <c r="T376" s="109" t="inlineStr"/>
      <c r="U376" s="147" t="n"/>
    </row>
    <row r="377">
      <c r="A377" s="109" t="n"/>
      <c r="B377" s="108" t="n"/>
      <c r="C377" s="109" t="inlineStr"/>
      <c r="D377" s="109" t="inlineStr">
        <is>
          <t>AREA 2</t>
        </is>
      </c>
      <c r="E377" s="109" t="inlineStr">
        <is>
          <t>548724/C</t>
        </is>
      </c>
      <c r="F377" s="109" t="inlineStr">
        <is>
          <t>1000</t>
        </is>
      </c>
      <c r="G377" s="109" t="inlineStr">
        <is>
          <t>1000R115BV CONTROLLO E RIPRISTINO FUNZIONALITA DI ENTRAMBI I FINE CORSA</t>
        </is>
      </c>
      <c r="H377" s="109" t="n"/>
      <c r="I377" s="109" t="n"/>
      <c r="J377" s="109" t="n"/>
      <c r="K377" s="109" t="n"/>
      <c r="L377" s="109" t="n"/>
      <c r="M377" s="110" t="inlineStr">
        <is>
          <t>DA CHIUDERE</t>
        </is>
      </c>
      <c r="N377" s="110" t="n"/>
      <c r="O377" s="110" t="n"/>
      <c r="P377" s="110" t="n"/>
      <c r="Q377" s="110" t="inlineStr">
        <is>
          <t>SOSTITUITO FINE CORSA</t>
        </is>
      </c>
      <c r="R377" s="151" t="n">
        <v>45895</v>
      </c>
      <c r="S377" s="110" t="inlineStr">
        <is>
          <t>SPINALI</t>
        </is>
      </c>
      <c r="T377" s="109" t="inlineStr"/>
      <c r="U377" s="147" t="n"/>
    </row>
    <row r="378" ht="30" customHeight="1" s="122">
      <c r="A378" s="109" t="n"/>
      <c r="B378" s="109" t="n"/>
      <c r="C378" s="109" t="inlineStr"/>
      <c r="D378" s="109" t="inlineStr">
        <is>
          <t>AREA 2</t>
        </is>
      </c>
      <c r="E378" s="109" t="inlineStr">
        <is>
          <t>548725/C</t>
        </is>
      </c>
      <c r="F378" s="109" t="inlineStr">
        <is>
          <t>1000</t>
        </is>
      </c>
      <c r="G378" s="109" t="inlineStr">
        <is>
          <t>1000RF123RC (FONDO T102)CONTROLLO DI TARATURA PORTATA(A VALVOLA CHIUSA DA PORTATA)</t>
        </is>
      </c>
      <c r="H378" s="109" t="n"/>
      <c r="I378" s="109" t="n"/>
      <c r="J378" s="109" t="n"/>
      <c r="K378" s="109" t="n"/>
      <c r="L378" s="109" t="n"/>
      <c r="M378" s="109" t="inlineStr">
        <is>
          <t>DA CHIUDERE</t>
        </is>
      </c>
      <c r="N378" s="109" t="n"/>
      <c r="O378" s="109" t="n"/>
      <c r="P378" s="109" t="n"/>
      <c r="Q378" s="109" t="n"/>
      <c r="R378" s="151" t="n">
        <v>45895</v>
      </c>
      <c r="S378" s="109" t="inlineStr">
        <is>
          <t>SPINALI</t>
        </is>
      </c>
      <c r="T378" s="109" t="inlineStr"/>
      <c r="U378" s="109" t="n"/>
    </row>
    <row r="379">
      <c r="A379" s="109" t="n"/>
      <c r="B379" s="108" t="n"/>
      <c r="C379" s="109" t="inlineStr"/>
      <c r="D379" s="109" t="inlineStr">
        <is>
          <t>AREA 2</t>
        </is>
      </c>
      <c r="E379" s="109" t="inlineStr">
        <is>
          <t>548969/C</t>
        </is>
      </c>
      <c r="F379" s="109" t="inlineStr">
        <is>
          <t>1000</t>
        </is>
      </c>
      <c r="G379" s="109" t="inlineStr">
        <is>
          <t>1000L107RC(ACQUA D102)  1000L108RC (SODA D102) CONTROLLO E TARATURA LIVELLI</t>
        </is>
      </c>
      <c r="H379" s="109" t="n"/>
      <c r="I379" s="109" t="n"/>
      <c r="J379" s="109" t="n"/>
      <c r="K379" s="109" t="n"/>
      <c r="L379" s="109" t="n"/>
      <c r="M379" s="110" t="inlineStr">
        <is>
          <t>DA CHIUDERE</t>
        </is>
      </c>
      <c r="N379" s="110" t="n"/>
      <c r="O379" s="110" t="n"/>
      <c r="P379" s="110" t="n"/>
      <c r="Q379" s="110" t="inlineStr">
        <is>
          <t>CORRETTO L108RC. L107RC OTTIMO.</t>
        </is>
      </c>
      <c r="R379" s="151" t="n">
        <v>45897</v>
      </c>
      <c r="S379" s="110" t="inlineStr">
        <is>
          <t>SPINALI</t>
        </is>
      </c>
      <c r="T379" s="109" t="inlineStr"/>
      <c r="U379" s="147" t="n"/>
    </row>
    <row r="380" ht="30" customHeight="1" s="122">
      <c r="A380" s="109" t="n"/>
      <c r="B380" s="108" t="n"/>
      <c r="C380" s="109" t="inlineStr"/>
      <c r="D380" s="109" t="inlineStr">
        <is>
          <t>AREA 2</t>
        </is>
      </c>
      <c r="E380" s="109" t="inlineStr">
        <is>
          <t>549477/C</t>
        </is>
      </c>
      <c r="F380" s="109" t="inlineStr">
        <is>
          <t>500</t>
        </is>
      </c>
      <c r="G380" s="109" t="inlineStr">
        <is>
          <t>500F164R(VAPORE LS DA L.B.)RIPRISTINO FUNZIONALITA PORTATA</t>
        </is>
      </c>
      <c r="H380" s="109" t="n"/>
      <c r="I380" s="109" t="n"/>
      <c r="J380" s="109" t="n"/>
      <c r="K380" s="109" t="n"/>
      <c r="L380" s="109" t="n"/>
      <c r="M380" s="110" t="inlineStr">
        <is>
          <t>DA CHIUDERE</t>
        </is>
      </c>
      <c r="N380" s="110" t="n"/>
      <c r="O380" s="110" t="n"/>
      <c r="P380" s="110" t="n"/>
      <c r="Q380" s="110" t="inlineStr">
        <is>
          <t>ESEGUITA STASATURA BARILOTTO NEGATIVA, VALVOLA DI INTERCETTO NEGATIVA BLOCCATA APERTA</t>
        </is>
      </c>
      <c r="R380" s="151" t="n">
        <v>45903</v>
      </c>
      <c r="S380" s="110" t="inlineStr">
        <is>
          <t>SPINALI</t>
        </is>
      </c>
      <c r="T380" s="109" t="inlineStr"/>
      <c r="U380" s="147" t="n"/>
    </row>
    <row r="381" ht="30" customHeight="1" s="122">
      <c r="A381" s="109" t="n"/>
      <c r="B381" s="108" t="n"/>
      <c r="C381" s="109" t="inlineStr"/>
      <c r="D381" s="109" t="inlineStr">
        <is>
          <t>AREA 2</t>
        </is>
      </c>
      <c r="E381" s="109" t="inlineStr">
        <is>
          <t>549544/C</t>
        </is>
      </c>
      <c r="F381" s="109" t="inlineStr">
        <is>
          <t>500</t>
        </is>
      </c>
      <c r="G381" s="109" t="inlineStr">
        <is>
          <t>500P161R (VAPORE MS)CONTROLLO E TARATURA STRUMENTO DI PRESSIONE</t>
        </is>
      </c>
      <c r="H381" s="109" t="n"/>
      <c r="I381" s="109" t="n"/>
      <c r="J381" s="109" t="n"/>
      <c r="K381" s="109" t="n"/>
      <c r="L381" s="109" t="n"/>
      <c r="M381" s="110" t="inlineStr">
        <is>
          <t>DA CHIUDERE</t>
        </is>
      </c>
      <c r="N381" s="110" t="n"/>
      <c r="O381" s="110" t="n"/>
      <c r="P381" s="110" t="n"/>
      <c r="Q381" s="110" t="inlineStr">
        <is>
          <t>TX OK, PRIMARIO PARZ.TAPPATO VALVOLE D'INTERCETTO BLOCCATE APERTE</t>
        </is>
      </c>
      <c r="R381" s="151" t="n">
        <v>45903</v>
      </c>
      <c r="S381" s="110" t="inlineStr">
        <is>
          <t>SPINALI</t>
        </is>
      </c>
      <c r="T381" s="109" t="inlineStr"/>
      <c r="U381" s="147" t="n"/>
    </row>
    <row r="382">
      <c r="A382" s="109" t="n"/>
      <c r="B382" s="108" t="n"/>
      <c r="C382" s="109" t="inlineStr"/>
      <c r="D382" s="109" t="inlineStr">
        <is>
          <t>AREA 2</t>
        </is>
      </c>
      <c r="E382" s="109" t="inlineStr">
        <is>
          <t>549549/C</t>
        </is>
      </c>
      <c r="F382" s="109" t="inlineStr">
        <is>
          <t>1000</t>
        </is>
      </c>
      <c r="G382" s="109" t="inlineStr">
        <is>
          <t>1000P501LA (OLIO LUBRIFICANTE P102A)CONTROLLO E TARATURA PRESSOSTATO</t>
        </is>
      </c>
      <c r="H382" s="109" t="n"/>
      <c r="I382" s="109" t="n"/>
      <c r="J382" s="109" t="n"/>
      <c r="K382" s="109" t="n"/>
      <c r="L382" s="109" t="n"/>
      <c r="M382" s="110" t="inlineStr">
        <is>
          <t>DA CHIUDERE</t>
        </is>
      </c>
      <c r="N382" s="110" t="n"/>
      <c r="O382" s="110" t="n"/>
      <c r="P382" s="110" t="n"/>
      <c r="Q382" s="110" t="inlineStr">
        <is>
          <t>ALLARME RIENTRATO</t>
        </is>
      </c>
      <c r="R382" s="151" t="n">
        <v>45903</v>
      </c>
      <c r="S382" s="110" t="inlineStr">
        <is>
          <t>SPINALI</t>
        </is>
      </c>
      <c r="T382" s="109" t="inlineStr"/>
      <c r="U382" s="147" t="n"/>
    </row>
    <row r="383" ht="30" customHeight="1" s="122">
      <c r="A383" s="109" t="n"/>
      <c r="B383" s="109" t="n"/>
      <c r="C383" s="109" t="inlineStr"/>
      <c r="D383" s="109" t="inlineStr">
        <is>
          <t>AREA 2</t>
        </is>
      </c>
      <c r="E383" s="109" t="inlineStr">
        <is>
          <t>549872/C</t>
        </is>
      </c>
      <c r="F383" s="109" t="inlineStr">
        <is>
          <t>1000</t>
        </is>
      </c>
      <c r="G383" s="109" t="inlineStr">
        <is>
          <t>1000L116RC(D112)CONTROLLO E RIPRISTINO LIVELLO ED EVENTUALMENTE LOOP DI REGOLAZIONE</t>
        </is>
      </c>
      <c r="H383" s="109" t="n"/>
      <c r="I383" s="109" t="n"/>
      <c r="J383" s="109" t="n"/>
      <c r="K383" s="109" t="n"/>
      <c r="L383" s="109" t="n"/>
      <c r="M383" s="109" t="inlineStr">
        <is>
          <t>DA CHIUDERE</t>
        </is>
      </c>
      <c r="N383" s="109" t="n"/>
      <c r="O383" s="109" t="n"/>
      <c r="P383" s="109" t="n"/>
      <c r="Q383" s="109" t="n"/>
      <c r="R383" s="151" t="n"/>
      <c r="S383" s="109" t="n"/>
      <c r="T383" s="109" t="inlineStr"/>
      <c r="U383" s="147" t="n"/>
    </row>
    <row r="384">
      <c r="A384" s="109" t="n"/>
      <c r="B384" s="109" t="n"/>
      <c r="C384" s="109" t="inlineStr"/>
      <c r="D384" s="109" t="inlineStr">
        <is>
          <t>AREA 2</t>
        </is>
      </c>
      <c r="E384" s="109" t="inlineStr">
        <is>
          <t>549766/C</t>
        </is>
      </c>
      <c r="F384" s="109" t="inlineStr">
        <is>
          <t>1000</t>
        </is>
      </c>
      <c r="G384" s="109" t="inlineStr">
        <is>
          <t>1000R167BV MONTAGGIO ATTUATORE DOPO REVISIONE</t>
        </is>
      </c>
      <c r="H384" s="109" t="n"/>
      <c r="I384" s="109" t="n"/>
      <c r="J384" s="109" t="n"/>
      <c r="K384" s="109" t="n"/>
      <c r="L384" s="109" t="n"/>
      <c r="M384" s="109" t="inlineStr">
        <is>
          <t>DA CHIUDERE</t>
        </is>
      </c>
      <c r="N384" s="109" t="n"/>
      <c r="O384" s="109" t="n"/>
      <c r="P384" s="109" t="n"/>
      <c r="Q384" s="109" t="n"/>
      <c r="R384" s="151" t="n">
        <v>45905</v>
      </c>
      <c r="S384" s="109" t="inlineStr">
        <is>
          <t>GARRO</t>
        </is>
      </c>
      <c r="T384" s="109" t="inlineStr"/>
      <c r="U384" s="147" t="n"/>
    </row>
    <row r="385">
      <c r="A385" s="109" t="n"/>
      <c r="B385" s="109" t="n"/>
      <c r="C385" s="109" t="inlineStr"/>
      <c r="D385" s="109" t="inlineStr">
        <is>
          <t>AREA 2</t>
        </is>
      </c>
      <c r="E385" s="109" t="inlineStr">
        <is>
          <t>550283/C</t>
        </is>
      </c>
      <c r="F385" s="109" t="inlineStr">
        <is>
          <t>500</t>
        </is>
      </c>
      <c r="G385" s="109" t="inlineStr">
        <is>
          <t>500C103A RIPRISTINO PARZIALIZZAZIONE STRUMENTALE IN SALA TECNICA</t>
        </is>
      </c>
      <c r="H385" s="109" t="n"/>
      <c r="I385" s="109" t="n"/>
      <c r="J385" s="109" t="n"/>
      <c r="K385" s="109" t="n"/>
      <c r="L385" s="109" t="n"/>
      <c r="M385" s="109" t="inlineStr">
        <is>
          <t>DA CHIUDERE</t>
        </is>
      </c>
      <c r="N385" s="109" t="n"/>
      <c r="O385" s="109" t="n"/>
      <c r="P385" s="109" t="n"/>
      <c r="Q385" s="109" t="n"/>
      <c r="R385" s="151" t="n"/>
      <c r="S385" s="109" t="n"/>
      <c r="T385" s="109" t="inlineStr"/>
      <c r="U385" s="109" t="n"/>
    </row>
    <row r="386" ht="30" customHeight="1" s="122">
      <c r="A386" s="109" t="n"/>
      <c r="B386" s="109" t="n"/>
      <c r="C386" s="109" t="inlineStr"/>
      <c r="D386" s="109" t="inlineStr">
        <is>
          <t>AREA 2</t>
        </is>
      </c>
      <c r="E386" s="109" t="inlineStr">
        <is>
          <t>551284/C</t>
        </is>
      </c>
      <c r="F386" s="109" t="inlineStr">
        <is>
          <t>600</t>
        </is>
      </c>
      <c r="G386" s="109" t="inlineStr">
        <is>
          <t>600F023I (MANDATA P104 CONDENSATO)CONTROLLO E TARATURA STRUMENTO DI PORTATA</t>
        </is>
      </c>
      <c r="H386" s="109" t="n"/>
      <c r="I386" s="109" t="n"/>
      <c r="J386" s="109" t="n"/>
      <c r="K386" s="109" t="n"/>
      <c r="L386" s="109" t="n"/>
      <c r="M386" s="109" t="inlineStr">
        <is>
          <t>DA CHIUDERE</t>
        </is>
      </c>
      <c r="N386" s="109" t="n"/>
      <c r="O386" s="109" t="n"/>
      <c r="P386" s="109" t="n"/>
      <c r="Q386" s="109" t="inlineStr">
        <is>
          <t xml:space="preserve">EFFETTUATA TARATURA E STASATI PRIMARI PARZIALMENTE TAPPATI </t>
        </is>
      </c>
      <c r="R386" s="151" t="n">
        <v>45916</v>
      </c>
      <c r="S386" s="109" t="inlineStr">
        <is>
          <t>SPINALI</t>
        </is>
      </c>
      <c r="T386" s="109" t="inlineStr"/>
      <c r="U386" s="109" t="n"/>
    </row>
    <row r="387">
      <c r="A387" s="109" t="n"/>
      <c r="B387" s="109" t="n"/>
      <c r="C387" s="109" t="inlineStr"/>
      <c r="D387" s="109" t="inlineStr">
        <is>
          <t>AREA 2</t>
        </is>
      </c>
      <c r="E387" s="109" t="inlineStr">
        <is>
          <t>551219/C</t>
        </is>
      </c>
      <c r="F387" s="109" t="inlineStr">
        <is>
          <t>600</t>
        </is>
      </c>
      <c r="G387" s="109" t="inlineStr">
        <is>
          <t>600L005DIC(H2O D103)  600L006IC(HC D103) CONTROLLO E TARATURA LIVELLI</t>
        </is>
      </c>
      <c r="H387" s="109" t="n"/>
      <c r="I387" s="109" t="n"/>
      <c r="J387" s="109" t="n"/>
      <c r="K387" s="109" t="n"/>
      <c r="L387" s="109" t="n"/>
      <c r="M387" s="109" t="inlineStr">
        <is>
          <t>DA CHIUDERE</t>
        </is>
      </c>
      <c r="N387" s="109" t="n"/>
      <c r="O387" s="109" t="n"/>
      <c r="P387" s="109" t="n"/>
      <c r="Q387" s="109" t="inlineStr">
        <is>
          <t xml:space="preserve">EFFETTUATA TARATURA E PULITA GABBIA. </t>
        </is>
      </c>
      <c r="R387" s="151" t="n">
        <v>45918</v>
      </c>
      <c r="S387" s="109" t="inlineStr">
        <is>
          <t>SPINALI</t>
        </is>
      </c>
      <c r="T387" s="109" t="inlineStr"/>
      <c r="U387" s="109" t="n"/>
    </row>
    <row r="388">
      <c r="A388" s="109" t="n"/>
      <c r="B388" s="109" t="n"/>
      <c r="C388" s="109" t="inlineStr"/>
      <c r="D388" s="109" t="inlineStr">
        <is>
          <t>AREA 2</t>
        </is>
      </c>
      <c r="E388" s="109" t="inlineStr">
        <is>
          <t>551330/C</t>
        </is>
      </c>
      <c r="F388" s="109" t="inlineStr">
        <is>
          <t>1000</t>
        </is>
      </c>
      <c r="G388" s="109" t="inlineStr">
        <is>
          <t>1000F201I(CONDENSA D126)CONTROLLO TARATURA E RIPRISTINO MISURA DI PORTATA</t>
        </is>
      </c>
      <c r="H388" s="109" t="n"/>
      <c r="I388" s="109" t="n"/>
      <c r="J388" s="109" t="n"/>
      <c r="K388" s="109" t="n"/>
      <c r="L388" s="109" t="n"/>
      <c r="M388" s="109" t="inlineStr">
        <is>
          <t>DA CHIUDERE</t>
        </is>
      </c>
      <c r="N388" s="109" t="n"/>
      <c r="O388" s="109" t="n"/>
      <c r="P388" s="109" t="n"/>
      <c r="Q388" s="109" t="inlineStr">
        <is>
          <t xml:space="preserve">EFFETTUATA TARATURA CON ESITO POSITIVO. </t>
        </is>
      </c>
      <c r="R388" s="151" t="n">
        <v>45918</v>
      </c>
      <c r="S388" s="109" t="inlineStr">
        <is>
          <t>SPINALI</t>
        </is>
      </c>
      <c r="T388" s="109" t="inlineStr"/>
      <c r="U388" s="147" t="n"/>
    </row>
    <row r="389" ht="60" customHeight="1" s="122">
      <c r="A389" s="109" t="n"/>
      <c r="B389" s="108" t="n"/>
      <c r="C389" s="109" t="inlineStr"/>
      <c r="D389" s="109" t="inlineStr">
        <is>
          <t>AREA 2</t>
        </is>
      </c>
      <c r="E389" s="109" t="inlineStr">
        <is>
          <t>551655/C</t>
        </is>
      </c>
      <c r="F389" s="109" t="inlineStr">
        <is>
          <t>1000</t>
        </is>
      </c>
      <c r="G389" s="109" t="inlineStr">
        <is>
          <t>1000P179CV RIBADERNATURA IN CAMPO E RIPRISTINO LANTERNA PREMISTOPPA VALVOLA(METTERE VALVOLA IN BYPASS INTERCETTATA E DEPRESSATA)</t>
        </is>
      </c>
      <c r="H389" s="109" t="n"/>
      <c r="I389" s="109" t="n"/>
      <c r="J389" s="109" t="n"/>
      <c r="K389" s="109" t="n"/>
      <c r="L389" s="109" t="n"/>
      <c r="M389" s="110" t="inlineStr">
        <is>
          <t>DA CHIUDERE</t>
        </is>
      </c>
      <c r="N389" s="110" t="n"/>
      <c r="O389" s="110" t="n"/>
      <c r="P389" s="110" t="n"/>
      <c r="Q389" s="110" t="inlineStr">
        <is>
          <t>COSTRUZIONE PRESSATRECCIA CON 2 SEMISFERE IN ACCIAIO ( PROVVISORIE IN ATTESA CHE LA VALVOLA VADA A REVISIONE ), PROVATA E MESSA IN ESERCIZIO A 12 KG SENZA PERDITA DAL PREMITRECCIA.</t>
        </is>
      </c>
      <c r="R389" s="151" t="n">
        <v>45918</v>
      </c>
      <c r="S389" s="110" t="inlineStr">
        <is>
          <t>MILLO</t>
        </is>
      </c>
      <c r="T389" s="109" t="inlineStr"/>
      <c r="U389" s="147" t="n"/>
    </row>
    <row r="390" ht="30" customHeight="1" s="122">
      <c r="A390" s="109" t="n"/>
      <c r="B390" s="108" t="n"/>
      <c r="C390" s="109" t="inlineStr"/>
      <c r="D390" s="109" t="inlineStr">
        <is>
          <t>AREA 2</t>
        </is>
      </c>
      <c r="E390" s="109" t="inlineStr">
        <is>
          <t>551773/C</t>
        </is>
      </c>
      <c r="F390" s="109" t="inlineStr">
        <is>
          <t>500</t>
        </is>
      </c>
      <c r="G390" s="109" t="inlineStr">
        <is>
          <t>500F022CV RIPRISTINO TUBICINO VALVOLA  ARIA STRUMENTI E CONTROLLO FUNZIONALITA</t>
        </is>
      </c>
      <c r="H390" s="109" t="n"/>
      <c r="I390" s="109" t="n"/>
      <c r="J390" s="109" t="n"/>
      <c r="K390" s="109" t="n"/>
      <c r="L390" s="109" t="n"/>
      <c r="M390" s="110" t="inlineStr">
        <is>
          <t>DA CHIUDERE</t>
        </is>
      </c>
      <c r="N390" s="110" t="n"/>
      <c r="O390" s="110" t="n"/>
      <c r="P390" s="110" t="n"/>
      <c r="Q390" s="110" t="inlineStr">
        <is>
          <t xml:space="preserve">SOSTITUITO POSIZIONATORE ED EFFETTUATE PROVE FUNZIONALI CON ESITO POSITIVO. </t>
        </is>
      </c>
      <c r="R390" s="151" t="n">
        <v>45919</v>
      </c>
      <c r="S390" s="110" t="inlineStr">
        <is>
          <t>SPINALI</t>
        </is>
      </c>
      <c r="T390" s="109" t="inlineStr"/>
      <c r="U390" s="147" t="n"/>
    </row>
    <row r="391" ht="45" customHeight="1" s="122">
      <c r="A391" s="109" t="n"/>
      <c r="B391" s="109" t="n"/>
      <c r="C391" s="109" t="inlineStr"/>
      <c r="D391" s="109" t="inlineStr">
        <is>
          <t>AREA 2</t>
        </is>
      </c>
      <c r="E391" s="109" t="inlineStr">
        <is>
          <t>551725/C</t>
        </is>
      </c>
      <c r="F391" s="109" t="inlineStr">
        <is>
          <t>1000</t>
        </is>
      </c>
      <c r="G391" s="109" t="inlineStr">
        <is>
          <t>1000 TESTA T101 10P180SH SOSTITUZIONE PRESSOSTATO DI BLOCCO PER CAMBIO SET DI INTERVENTO ,10P180HA TARATURA PRESSOSTATO DI ALLARME PER CAMBIO SET DI INTERVENTO(INSERIRE MOS PRIMA DI INIZIARE L'ATTIVITA)</t>
        </is>
      </c>
      <c r="H391" s="109" t="n"/>
      <c r="I391" s="109" t="n"/>
      <c r="J391" s="109" t="n"/>
      <c r="K391" s="109" t="n"/>
      <c r="L391" s="109" t="n"/>
      <c r="M391" s="110" t="inlineStr">
        <is>
          <t>DA CHIUDERE</t>
        </is>
      </c>
      <c r="N391" s="110" t="n"/>
      <c r="O391" s="110" t="n"/>
      <c r="P391" s="110" t="n"/>
      <c r="Q391" s="110" t="inlineStr">
        <is>
          <t xml:space="preserve">10P189SH SOSTITUZIONE PRESSOSTATO DI BLOCCO PER CAMBIO SET DI INTERVENTO ,10P180HA TARATURA PRESSOSTATO DI ALLARME PER CAMBIO SET DI INTERVENTO. </t>
        </is>
      </c>
      <c r="R391" s="151" t="n">
        <v>45919</v>
      </c>
      <c r="S391" s="110" t="inlineStr">
        <is>
          <t>SPINALI</t>
        </is>
      </c>
      <c r="T391" s="109" t="inlineStr"/>
      <c r="U391" s="147" t="n"/>
    </row>
    <row r="392" ht="90" customHeight="1" s="122">
      <c r="A392" s="109" t="n"/>
      <c r="B392" s="109" t="n"/>
      <c r="C392" s="109" t="inlineStr"/>
      <c r="D392" s="109" t="inlineStr">
        <is>
          <t>AREA 2</t>
        </is>
      </c>
      <c r="E392" s="109" t="inlineStr">
        <is>
          <t>552003/C</t>
        </is>
      </c>
      <c r="F392" s="109" t="inlineStr">
        <is>
          <t>500</t>
        </is>
      </c>
      <c r="G392" s="109" t="inlineStr">
        <is>
          <t>500F161R (VAPORE MS DA L.B.)CONTROLLO DI TARATURA ED EVENTUALE RIPRISTINO FUNZIONALITA</t>
        </is>
      </c>
      <c r="H392" s="109" t="n"/>
      <c r="I392" s="109" t="n"/>
      <c r="J392" s="109" t="n"/>
      <c r="K392" s="109" t="n"/>
      <c r="L392" s="109" t="n"/>
      <c r="M392" s="109" t="inlineStr">
        <is>
          <t>DA CHIUDERE</t>
        </is>
      </c>
      <c r="N392" s="109" t="n"/>
      <c r="O392" s="109" t="n"/>
      <c r="P392" s="109" t="n"/>
      <c r="Q392" s="109" t="inlineStr">
        <is>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is>
      </c>
      <c r="R392" s="151" t="n">
        <v>45923</v>
      </c>
      <c r="S392" s="109" t="inlineStr">
        <is>
          <t>SPINALI</t>
        </is>
      </c>
      <c r="T392" s="109" t="inlineStr"/>
      <c r="U392" s="109" t="n"/>
    </row>
    <row r="393" ht="30" customHeight="1" s="122">
      <c r="A393" s="109" t="n"/>
      <c r="B393" s="108" t="n"/>
      <c r="C393" s="109" t="inlineStr"/>
      <c r="D393" s="109" t="inlineStr">
        <is>
          <t>AREA 2</t>
        </is>
      </c>
      <c r="E393" s="109" t="inlineStr">
        <is>
          <t>552005/C</t>
        </is>
      </c>
      <c r="F393" s="109" t="inlineStr">
        <is>
          <t>1000</t>
        </is>
      </c>
      <c r="G393" s="109" t="inlineStr">
        <is>
          <t>1000F131R (VAPORE MS  L.B.)CONTROLLO DI TARATURA ED EVENTUALE RIPRISTINO FUNZIONALITA</t>
        </is>
      </c>
      <c r="H393" s="109" t="n"/>
      <c r="I393" s="109" t="n"/>
      <c r="J393" s="109" t="n"/>
      <c r="K393" s="109" t="n"/>
      <c r="L393" s="109" t="n"/>
      <c r="M393" s="110" t="inlineStr">
        <is>
          <t>DA CHIUDERE</t>
        </is>
      </c>
      <c r="N393" s="110" t="n"/>
      <c r="O393" s="110" t="n"/>
      <c r="P393" s="110" t="n"/>
      <c r="Q393" s="110" t="inlineStr">
        <is>
          <t xml:space="preserve">TROVATA PRESA POSITIVA PARZIALMENTE TAPPATA.
EFFETTUATA STASATURA CON ESITO POSITIVO. </t>
        </is>
      </c>
      <c r="R393" s="151" t="n">
        <v>45923</v>
      </c>
      <c r="S393" s="110" t="inlineStr">
        <is>
          <t>TARASCIO</t>
        </is>
      </c>
      <c r="T393" s="109" t="inlineStr"/>
      <c r="U393" s="147" t="n"/>
    </row>
    <row r="394">
      <c r="A394" s="109" t="n"/>
      <c r="B394" s="108" t="n"/>
      <c r="C394" s="109" t="inlineStr"/>
      <c r="D394" s="109" t="inlineStr">
        <is>
          <t>AREA 2</t>
        </is>
      </c>
      <c r="E394" s="109" t="inlineStr">
        <is>
          <t>548570/C</t>
        </is>
      </c>
      <c r="F394" s="109" t="inlineStr">
        <is>
          <t>1000</t>
        </is>
      </c>
      <c r="G394" s="109" t="inlineStr">
        <is>
          <t>1000 assistenza strumentale impianto</t>
        </is>
      </c>
      <c r="H394" s="109" t="n"/>
      <c r="I394" s="109" t="n"/>
      <c r="J394" s="109" t="n"/>
      <c r="K394" s="109" t="n"/>
      <c r="L394" s="109" t="n"/>
      <c r="M394" s="110" t="inlineStr">
        <is>
          <t>EMESSO</t>
        </is>
      </c>
      <c r="N394" s="110" t="n"/>
      <c r="O394" s="110" t="n"/>
      <c r="P394" s="110" t="n"/>
      <c r="Q394" s="110" t="n"/>
      <c r="R394" s="151" t="n"/>
      <c r="S394" s="110" t="n"/>
      <c r="T394" s="109" t="inlineStr"/>
      <c r="U394" s="147" t="n"/>
    </row>
    <row r="395">
      <c r="A395" s="109" t="n"/>
      <c r="B395" s="109" t="n"/>
      <c r="C395" s="109" t="inlineStr"/>
      <c r="D395" s="109" t="inlineStr">
        <is>
          <t>AREA 2</t>
        </is>
      </c>
      <c r="E395" s="109" t="inlineStr">
        <is>
          <t>548415/C</t>
        </is>
      </c>
      <c r="F395" s="109" t="inlineStr">
        <is>
          <t>1000</t>
        </is>
      </c>
      <c r="G395" s="109" t="inlineStr">
        <is>
          <t>1000L114RC (D111) CONTROLLO E RIPRISTINO MISURA  DI LIVELLO</t>
        </is>
      </c>
      <c r="H395" s="109" t="n"/>
      <c r="I395" s="109" t="n"/>
      <c r="J395" s="109" t="n"/>
      <c r="K395" s="109" t="n"/>
      <c r="L395" s="109" t="n"/>
      <c r="M395" s="109" t="inlineStr">
        <is>
          <t>EMESSO</t>
        </is>
      </c>
      <c r="N395" s="109" t="n"/>
      <c r="O395" s="109" t="n"/>
      <c r="P395" s="109" t="n"/>
      <c r="Q395" s="109" t="n"/>
      <c r="R395" s="151" t="n">
        <v>45891</v>
      </c>
      <c r="S395" s="109" t="n"/>
      <c r="T395" s="109" t="inlineStr"/>
      <c r="U395" s="109" t="n"/>
    </row>
    <row r="396" ht="30" customHeight="1" s="122">
      <c r="A396" s="109" t="n"/>
      <c r="B396" s="108" t="n"/>
      <c r="C396" s="109" t="inlineStr"/>
      <c r="D396" s="109" t="inlineStr">
        <is>
          <t>AREA 2</t>
        </is>
      </c>
      <c r="E396" s="109" t="inlineStr">
        <is>
          <t>546213/C</t>
        </is>
      </c>
      <c r="F396" s="109" t="inlineStr">
        <is>
          <t>600</t>
        </is>
      </c>
      <c r="G396" s="109" t="inlineStr">
        <is>
          <t>10228111 - IMP. 600 Si richiede taratura strumenti di pressione per monitoraggio letto di lavaggio: taratura P510R/P521R/P119I/DP513I</t>
        </is>
      </c>
      <c r="H396" s="109" t="n"/>
      <c r="I396" s="109" t="n"/>
      <c r="J396" s="109" t="n"/>
      <c r="K396" s="109" t="n"/>
      <c r="L396" s="109" t="n"/>
      <c r="M396" s="110" t="inlineStr">
        <is>
          <t>EMESSO</t>
        </is>
      </c>
      <c r="N396" s="110" t="n"/>
      <c r="O396" s="110" t="n"/>
      <c r="P396" s="110" t="n"/>
      <c r="Q396" s="110" t="n"/>
      <c r="R396" s="151" t="n"/>
      <c r="S396" s="110" t="n"/>
      <c r="T396" s="109" t="inlineStr"/>
      <c r="U396" s="147" t="n"/>
    </row>
    <row r="397" ht="30" customHeight="1" s="122">
      <c r="A397" s="109" t="n"/>
      <c r="B397" s="109" t="n"/>
      <c r="C397" s="109" t="inlineStr"/>
      <c r="D397" s="109" t="inlineStr">
        <is>
          <t>AREA 2</t>
        </is>
      </c>
      <c r="E397" s="109" t="inlineStr">
        <is>
          <t>545957/C</t>
        </is>
      </c>
      <c r="F397" s="109" t="inlineStr">
        <is>
          <t>600</t>
        </is>
      </c>
      <c r="G397" s="109" t="inlineStr">
        <is>
          <t>600- P108A/B SMONTAGGIO FLUSSIMETRO DA P108B PER REVISIONE E SUCCESSIVO RIMONTAGGIO NELLA P108A</t>
        </is>
      </c>
      <c r="H397" s="109" t="n"/>
      <c r="I397" s="109" t="n"/>
      <c r="J397" s="109" t="n"/>
      <c r="K397" s="109" t="n"/>
      <c r="L397" s="109" t="n"/>
      <c r="M397" s="109" t="inlineStr">
        <is>
          <t>EMESSO</t>
        </is>
      </c>
      <c r="N397" s="109" t="n"/>
      <c r="O397" s="109" t="n"/>
      <c r="P397" s="109" t="n"/>
      <c r="Q397" s="109" t="inlineStr">
        <is>
          <t>ESEGUITO SMONTAGGIO E CONTROFLANGIATURA.</t>
        </is>
      </c>
      <c r="R397" s="151" t="n">
        <v>45866</v>
      </c>
      <c r="S397" s="109" t="inlineStr">
        <is>
          <t>MILLO/ALLEGRETTI</t>
        </is>
      </c>
      <c r="T397" s="109" t="inlineStr"/>
      <c r="U397" s="109" t="n"/>
    </row>
    <row r="398" ht="30" customHeight="1" s="122">
      <c r="A398" s="109" t="n"/>
      <c r="B398" s="108" t="n"/>
      <c r="C398" s="109" t="inlineStr"/>
      <c r="D398" s="109" t="inlineStr">
        <is>
          <t>AREA 2</t>
        </is>
      </c>
      <c r="E398" s="109" t="inlineStr">
        <is>
          <t>545646/C</t>
        </is>
      </c>
      <c r="F398" s="109" t="inlineStr">
        <is>
          <t>1000</t>
        </is>
      </c>
      <c r="G398" s="109" t="inlineStr">
        <is>
          <t>1000VBCB2I  VBCB3I (C101B ) SOSTITUZIONE SONDE DI VIBRAZIONE PRIMO E SECONDO STADIO(METTERE I MOS PRIMA DI INIZIARE ATTIVITA)</t>
        </is>
      </c>
      <c r="H398" s="109" t="n"/>
      <c r="I398" s="109" t="n"/>
      <c r="J398" s="109" t="n"/>
      <c r="K398" s="109" t="n"/>
      <c r="L398" s="109" t="n"/>
      <c r="M398" s="110" t="inlineStr">
        <is>
          <t>EMESSO</t>
        </is>
      </c>
      <c r="N398" s="110" t="n"/>
      <c r="O398" s="110" t="n"/>
      <c r="P398" s="110" t="n"/>
      <c r="Q398" s="110" t="n"/>
      <c r="R398" s="151" t="n"/>
      <c r="S398" s="110" t="n"/>
      <c r="T398" s="109" t="inlineStr"/>
      <c r="U398" s="147" t="n"/>
    </row>
    <row r="399" ht="30" customHeight="1" s="122">
      <c r="A399" s="109" t="n"/>
      <c r="B399" s="108" t="n"/>
      <c r="C399" s="109" t="inlineStr"/>
      <c r="D399" s="109" t="inlineStr">
        <is>
          <t>AREA 2</t>
        </is>
      </c>
      <c r="E399" s="109" t="inlineStr">
        <is>
          <t>544165/C</t>
        </is>
      </c>
      <c r="F399" s="109" t="inlineStr">
        <is>
          <t>1000</t>
        </is>
      </c>
      <c r="G399" s="109" t="inlineStr">
        <is>
          <t>1000C101B RIPRISTINO PERDITA TUBO ACCIAIO PRESA MANOMETRICA ASPIRAZIONE PRIMO STADIO</t>
        </is>
      </c>
      <c r="H399" s="109" t="n"/>
      <c r="I399" s="109" t="n"/>
      <c r="J399" s="109" t="n"/>
      <c r="K399" s="109" t="n"/>
      <c r="L399" s="109" t="n"/>
      <c r="M399" s="110" t="inlineStr">
        <is>
          <t>EMESSO</t>
        </is>
      </c>
      <c r="N399" s="110" t="n"/>
      <c r="O399" s="110" t="n"/>
      <c r="P399" s="110" t="n"/>
      <c r="Q399" s="110" t="n"/>
      <c r="R399" s="151" t="n"/>
      <c r="S399" s="110" t="n"/>
      <c r="T399" s="109" t="inlineStr"/>
      <c r="U399" s="147" t="n"/>
    </row>
    <row r="400">
      <c r="A400" s="109" t="n"/>
      <c r="B400" s="108" t="n"/>
      <c r="C400" s="109" t="inlineStr"/>
      <c r="D400" s="109" t="inlineStr">
        <is>
          <t>AREA 2</t>
        </is>
      </c>
      <c r="E400" s="109" t="inlineStr">
        <is>
          <t>543532/C</t>
        </is>
      </c>
      <c r="F400" s="109" t="inlineStr">
        <is>
          <t>1000</t>
        </is>
      </c>
      <c r="G400" s="109" t="inlineStr">
        <is>
          <t>10226915 controllo funzionale del livello L114RC imp.1000 D111</t>
        </is>
      </c>
      <c r="H400" s="109" t="n"/>
      <c r="I400" s="109" t="n"/>
      <c r="J400" s="109" t="n"/>
      <c r="K400" s="109" t="n"/>
      <c r="L400" s="109" t="n"/>
      <c r="M400" s="110" t="inlineStr">
        <is>
          <t>EMESSO</t>
        </is>
      </c>
      <c r="N400" s="110" t="n"/>
      <c r="O400" s="110" t="n"/>
      <c r="P400" s="110" t="n"/>
      <c r="Q400" s="110" t="inlineStr">
        <is>
          <t>NESSUNA ANOMALIA SUL LIVELLO.</t>
        </is>
      </c>
      <c r="R400" s="151" t="n">
        <v>45754</v>
      </c>
      <c r="S400" s="110" t="inlineStr">
        <is>
          <t>SPINALI</t>
        </is>
      </c>
      <c r="T400" s="109" t="inlineStr"/>
      <c r="U400" s="147" t="n"/>
    </row>
    <row r="401">
      <c r="A401" s="109" t="n"/>
      <c r="B401" s="109" t="n"/>
      <c r="C401" s="109" t="inlineStr"/>
      <c r="D401" s="109" t="inlineStr">
        <is>
          <t>AREA 2</t>
        </is>
      </c>
      <c r="E401" s="109" t="inlineStr">
        <is>
          <t>540512/C</t>
        </is>
      </c>
      <c r="F401" s="109" t="inlineStr">
        <is>
          <t>500</t>
        </is>
      </c>
      <c r="G401" s="109" t="inlineStr">
        <is>
          <t>500F012I SPURGO SODA T103 CONTROLLO E RIPRISTINO FUNZIONALITA PORTAT</t>
        </is>
      </c>
      <c r="H401" s="109" t="n"/>
      <c r="I401" s="109" t="n"/>
      <c r="J401" s="109" t="n"/>
      <c r="K401" s="109" t="n"/>
      <c r="L401" s="109" t="n"/>
      <c r="M401" s="109" t="inlineStr">
        <is>
          <t>EMESSO</t>
        </is>
      </c>
      <c r="N401" s="109" t="n"/>
      <c r="O401" s="109" t="n"/>
      <c r="P401" s="109" t="n"/>
      <c r="Q401" s="109" t="n"/>
      <c r="R401" s="151" t="n">
        <v>45820</v>
      </c>
      <c r="S401" s="109" t="inlineStr">
        <is>
          <t>MILLO/GARRO</t>
        </is>
      </c>
      <c r="T401" s="109" t="inlineStr"/>
      <c r="U401" s="109" t="inlineStr"/>
    </row>
    <row r="402" ht="30" customHeight="1" s="122">
      <c r="A402" s="109" t="n"/>
      <c r="B402" s="108" t="inlineStr">
        <is>
          <t>X</t>
        </is>
      </c>
      <c r="C402" s="109" t="inlineStr"/>
      <c r="D402" s="109" t="inlineStr">
        <is>
          <t>AREA 2</t>
        </is>
      </c>
      <c r="E402" s="109" t="inlineStr">
        <is>
          <t>536759/C</t>
        </is>
      </c>
      <c r="F402" s="109" t="inlineStr">
        <is>
          <t>1000</t>
        </is>
      </c>
      <c r="G402" s="109" t="inlineStr">
        <is>
          <t>1000 - Controllo strumentazione pro lavaggio colonna T101,10L121HA (alto livello interfase D121).interfacciarsi con sala controllo prima di iniziare  attivita'.</t>
        </is>
      </c>
      <c r="H402" s="109" t="n"/>
      <c r="I402" s="109" t="n"/>
      <c r="J402" s="109" t="n"/>
      <c r="K402" s="109" t="n"/>
      <c r="L402" s="109" t="n"/>
      <c r="M402" s="110" t="inlineStr">
        <is>
          <t>EMESSO</t>
        </is>
      </c>
      <c r="N402" s="110" t="n"/>
      <c r="O402" s="110" t="n"/>
      <c r="P402" s="110" t="n"/>
      <c r="Q402" s="110" t="n"/>
      <c r="R402" s="151" t="n"/>
      <c r="S402" s="110" t="n"/>
      <c r="T402" s="109" t="inlineStr"/>
      <c r="U402" s="147" t="inlineStr"/>
    </row>
    <row r="403" ht="45" customHeight="1" s="122">
      <c r="A403" s="109" t="n"/>
      <c r="B403" s="109" t="inlineStr">
        <is>
          <t>X</t>
        </is>
      </c>
      <c r="C403" s="109" t="inlineStr"/>
      <c r="D403" s="109" t="inlineStr">
        <is>
          <t>AREA 2</t>
        </is>
      </c>
      <c r="E403" s="109" t="inlineStr">
        <is>
          <t>534310/C</t>
        </is>
      </c>
      <c r="F403" s="109" t="inlineStr">
        <is>
          <t>500</t>
        </is>
      </c>
      <c r="G403" s="109" t="inlineStr">
        <is>
          <t>500 - P006IC REGOLAZIONE LOCALE CONTROLLO E TARAURA SIA DEL REGOLATORE DI PRESSIONE E SIA DELLA VALVOLA(CONDIZIONE NECESSARIA PER  EFFETTUARE L'ATTIVITA E METTERE IN BYPASS LA VALVOLA)</t>
        </is>
      </c>
      <c r="H403" s="109" t="n"/>
      <c r="I403" s="109" t="n"/>
      <c r="J403" s="109" t="n"/>
      <c r="K403" s="109" t="n"/>
      <c r="L403" s="109" t="n"/>
      <c r="M403" s="109" t="inlineStr">
        <is>
          <t>EMESSO</t>
        </is>
      </c>
      <c r="N403" s="109" t="n"/>
      <c r="O403" s="109" t="n"/>
      <c r="P403" s="109" t="n"/>
      <c r="Q403" s="109" t="n"/>
      <c r="R403" s="151" t="n"/>
      <c r="S403" s="109" t="n"/>
      <c r="T403" s="109" t="inlineStr"/>
      <c r="U403" s="109" t="inlineStr"/>
    </row>
    <row r="404" ht="45" customHeight="1" s="122">
      <c r="A404" s="109" t="n"/>
      <c r="B404" s="108" t="inlineStr">
        <is>
          <t>X</t>
        </is>
      </c>
      <c r="C404" s="109" t="inlineStr"/>
      <c r="D404" s="109" t="inlineStr">
        <is>
          <t>AREA 2</t>
        </is>
      </c>
      <c r="E404" s="109" t="inlineStr">
        <is>
          <t>534308/C</t>
        </is>
      </c>
      <c r="F404" s="109" t="inlineStr">
        <is>
          <t>500</t>
        </is>
      </c>
      <c r="G404" s="109" t="inlineStr">
        <is>
          <t>500 - P005IC REGOLAZIONE LOCALE CONTROLLO E TARAURA SIA DEL REGOLATORE DI PRESSIONE E SIA DELLA VALVOLA(CONDIZIONE NECESSARIA PER  EFFETTUARE L'ATTIVITA E METTERE IN BYPASS LA VALVOLA)</t>
        </is>
      </c>
      <c r="H404" s="109" t="n"/>
      <c r="I404" s="109" t="n"/>
      <c r="J404" s="109" t="n"/>
      <c r="K404" s="109" t="n"/>
      <c r="L404" s="109" t="n"/>
      <c r="M404" s="110" t="inlineStr">
        <is>
          <t>EMESSO</t>
        </is>
      </c>
      <c r="N404" s="110" t="n"/>
      <c r="O404" s="110" t="n"/>
      <c r="P404" s="110" t="n"/>
      <c r="Q404" s="110" t="n"/>
      <c r="R404" s="151" t="n"/>
      <c r="S404" s="110" t="n"/>
      <c r="T404" s="109" t="inlineStr"/>
      <c r="U404" s="147" t="inlineStr"/>
    </row>
    <row r="405">
      <c r="A405" s="109" t="n"/>
      <c r="B405" s="108" t="inlineStr">
        <is>
          <t>X</t>
        </is>
      </c>
      <c r="C405" s="109" t="inlineStr"/>
      <c r="D405" s="109" t="inlineStr">
        <is>
          <t>AREA 2</t>
        </is>
      </c>
      <c r="E405" s="109" t="inlineStr">
        <is>
          <t>533171/C</t>
        </is>
      </c>
      <c r="F405" s="109" t="inlineStr">
        <is>
          <t>500</t>
        </is>
      </c>
      <c r="G405" s="109" t="inlineStr">
        <is>
          <t>500 - F031RC (GPL PRODOTTO) CONTROLLO E TARATURA STRUMENTO DI PORTATA</t>
        </is>
      </c>
      <c r="H405" s="109" t="n"/>
      <c r="I405" s="109" t="n"/>
      <c r="J405" s="109" t="n"/>
      <c r="K405" s="109" t="n"/>
      <c r="L405" s="109" t="n"/>
      <c r="M405" s="110" t="inlineStr">
        <is>
          <t>EMESSO</t>
        </is>
      </c>
      <c r="N405" s="110" t="n"/>
      <c r="O405" s="110" t="n"/>
      <c r="P405" s="110" t="n"/>
      <c r="Q405" s="110" t="n"/>
      <c r="R405" s="151" t="n"/>
      <c r="S405" s="110" t="n"/>
      <c r="T405" s="109" t="inlineStr"/>
      <c r="U405" s="147" t="inlineStr"/>
    </row>
    <row r="406">
      <c r="A406" s="109" t="n"/>
      <c r="B406" s="108" t="inlineStr">
        <is>
          <t>X</t>
        </is>
      </c>
      <c r="C406" s="109" t="inlineStr"/>
      <c r="D406" s="109" t="inlineStr">
        <is>
          <t>AREA 2</t>
        </is>
      </c>
      <c r="E406" s="109" t="inlineStr">
        <is>
          <t>536116/C</t>
        </is>
      </c>
      <c r="F406" s="109" t="inlineStr">
        <is>
          <t>1000</t>
        </is>
      </c>
      <c r="G406" s="109" t="inlineStr">
        <is>
          <t>1000 - COLONNA T101 CONTROLLO L121HA</t>
        </is>
      </c>
      <c r="H406" s="109" t="n"/>
      <c r="I406" s="109" t="n"/>
      <c r="J406" s="109" t="n"/>
      <c r="K406" s="109" t="n"/>
      <c r="L406" s="109" t="n"/>
      <c r="M406" s="110" t="inlineStr">
        <is>
          <t>EMESSO</t>
        </is>
      </c>
      <c r="N406" s="110" t="n"/>
      <c r="O406" s="110" t="n"/>
      <c r="P406" s="110" t="n"/>
      <c r="Q406" s="110" t="inlineStr">
        <is>
          <t>PRIORITARIO</t>
        </is>
      </c>
      <c r="R406" s="151" t="n"/>
      <c r="S406" s="110" t="n"/>
      <c r="T406" s="109" t="inlineStr"/>
      <c r="U406" s="147" t="inlineStr"/>
    </row>
    <row r="407" ht="45" customHeight="1" s="122">
      <c r="A407" s="109" t="n"/>
      <c r="B407" s="109" t="n"/>
      <c r="C407" s="109" t="inlineStr"/>
      <c r="D407" s="109" t="inlineStr">
        <is>
          <t>AREA 2</t>
        </is>
      </c>
      <c r="E407" s="109" t="inlineStr">
        <is>
          <t>536335/C</t>
        </is>
      </c>
      <c r="F407" s="109" t="inlineStr">
        <is>
          <t>500</t>
        </is>
      </c>
      <c r="G407" s="109" t="inlineStr">
        <is>
          <t>500 - T103 sostituzione colonna- Scolleg/smtg strumentazione e revisione in cantiere e rimozione  cavi e passerelle/conduit strumentali per rimozione colonna e successivi rmtg/ricollegamenti dopo posa nuova colonna.</t>
        </is>
      </c>
      <c r="H407" s="109" t="n"/>
      <c r="I407" s="109" t="n"/>
      <c r="J407" s="109" t="n"/>
      <c r="K407" s="109" t="n"/>
      <c r="L407" s="109" t="n"/>
      <c r="M407" s="109" t="inlineStr">
        <is>
          <t>EMESSO</t>
        </is>
      </c>
      <c r="N407" s="109" t="n"/>
      <c r="O407" s="109" t="n"/>
      <c r="P407" s="109" t="n"/>
      <c r="Q407" s="109" t="n"/>
      <c r="R407" s="151" t="n"/>
      <c r="S407" s="109" t="n"/>
      <c r="T407" s="109" t="inlineStr"/>
      <c r="U407" s="109" t="inlineStr"/>
    </row>
    <row r="408" ht="30" customHeight="1" s="122">
      <c r="A408" s="109" t="n"/>
      <c r="B408" s="108" t="n"/>
      <c r="C408" s="109" t="inlineStr"/>
      <c r="D408" s="109" t="inlineStr">
        <is>
          <t>AREA 2</t>
        </is>
      </c>
      <c r="E408" s="109" t="inlineStr">
        <is>
          <t>539501/C</t>
        </is>
      </c>
      <c r="F408" s="109" t="inlineStr">
        <is>
          <t>600</t>
        </is>
      </c>
      <c r="G408" s="109" t="inlineStr">
        <is>
          <t>600 - F026RC (OLIO LAVAGGIO P. A. PASSO) CONTROLLO E RIPRISTINO FUNZIONALITA PORTATA EVENTUALMENTE CON RIFACIMENTO TRACCIA DI VAPORE  SU STRUMENTO</t>
        </is>
      </c>
      <c r="H408" s="109" t="n"/>
      <c r="I408" s="109" t="n"/>
      <c r="J408" s="109" t="n"/>
      <c r="K408" s="109" t="n"/>
      <c r="L408" s="109" t="n"/>
      <c r="M408" s="110" t="inlineStr">
        <is>
          <t>EMESSO</t>
        </is>
      </c>
      <c r="N408" s="110" t="n"/>
      <c r="O408" s="110" t="n"/>
      <c r="P408" s="110" t="n"/>
      <c r="Q408" s="110" t="n"/>
      <c r="R408" s="151" t="n"/>
      <c r="S408" s="110" t="n"/>
      <c r="T408" s="109" t="inlineStr"/>
      <c r="U408" s="147" t="inlineStr"/>
    </row>
    <row r="409" ht="30" customHeight="1" s="122">
      <c r="A409" s="109" t="n"/>
      <c r="B409" s="108" t="n"/>
      <c r="C409" s="109" t="inlineStr"/>
      <c r="D409" s="109" t="inlineStr">
        <is>
          <t>AREA 2</t>
        </is>
      </c>
      <c r="E409" s="109" t="inlineStr">
        <is>
          <t>539413/C</t>
        </is>
      </c>
      <c r="F409" s="109" t="inlineStr">
        <is>
          <t>500</t>
        </is>
      </c>
      <c r="G409" s="109" t="inlineStr">
        <is>
          <t>500 - P009B CV SMONTAGGIO/MONTAGGIO VALVOLA PER REVISIONE</t>
        </is>
      </c>
      <c r="H409" s="109" t="n"/>
      <c r="I409" s="109" t="n"/>
      <c r="J409" s="109" t="n"/>
      <c r="K409" s="109" t="n"/>
      <c r="L409" s="109" t="n"/>
      <c r="M409" s="110" t="inlineStr">
        <is>
          <t>EMESSO</t>
        </is>
      </c>
      <c r="N409" s="110" t="n"/>
      <c r="O409" s="110" t="n"/>
      <c r="P409" s="110" t="n"/>
      <c r="Q409" s="110" t="inlineStr">
        <is>
          <t>VALVOLA SMONTATA, IN REVISIONE</t>
        </is>
      </c>
      <c r="R409" s="151" t="n">
        <v>45813</v>
      </c>
      <c r="S409" s="110" t="inlineStr">
        <is>
          <t>CIANCHINO/BAUDO</t>
        </is>
      </c>
      <c r="T409" s="109" t="inlineStr"/>
      <c r="U409" s="147" t="inlineStr"/>
    </row>
    <row r="410" ht="30" customHeight="1" s="122">
      <c r="A410" s="109" t="n"/>
      <c r="B410" s="109" t="inlineStr">
        <is>
          <t>X</t>
        </is>
      </c>
      <c r="C410" s="109" t="inlineStr"/>
      <c r="D410" s="109" t="inlineStr">
        <is>
          <t>AREA 2</t>
        </is>
      </c>
      <c r="E410" s="109" t="inlineStr">
        <is>
          <t>540194/C</t>
        </is>
      </c>
      <c r="F410" s="109" t="inlineStr">
        <is>
          <t>500</t>
        </is>
      </c>
      <c r="G410" s="109" t="inlineStr">
        <is>
          <t>500F018CV (ANTIPOMPAGGIO C 102) CONTROLLO E RIPRISTINO VALVOLA</t>
        </is>
      </c>
      <c r="H410" s="109" t="n"/>
      <c r="I410" s="109" t="n"/>
      <c r="J410" s="109" t="n"/>
      <c r="K410" s="109" t="n"/>
      <c r="L410" s="109" t="n"/>
      <c r="M410" s="110" t="inlineStr">
        <is>
          <t>EMESSO</t>
        </is>
      </c>
      <c r="N410" s="110" t="n"/>
      <c r="O410" s="110" t="n"/>
      <c r="P410" s="110" t="n"/>
      <c r="Q410" s="110" t="inlineStr">
        <is>
          <t>SCOLLEGATA PNEUMATICAMENTE PER SMONTAGGIO (MECCANICI) E SUCCESSIVA REVISIONE IN OFF.VALVOLE</t>
        </is>
      </c>
      <c r="R410" s="151" t="n">
        <v>45818</v>
      </c>
      <c r="S410" s="110" t="inlineStr">
        <is>
          <t>GARRO</t>
        </is>
      </c>
      <c r="T410" s="109" t="inlineStr"/>
      <c r="U410" s="147" t="inlineStr"/>
    </row>
    <row r="411">
      <c r="A411" s="109" t="n"/>
      <c r="B411" s="108" t="inlineStr">
        <is>
          <t>X</t>
        </is>
      </c>
      <c r="C411" s="109" t="inlineStr"/>
      <c r="D411" s="109" t="inlineStr">
        <is>
          <t>AREA 2</t>
        </is>
      </c>
      <c r="E411" s="109" t="inlineStr">
        <is>
          <t>540242/C</t>
        </is>
      </c>
      <c r="F411" s="109" t="inlineStr">
        <is>
          <t>500</t>
        </is>
      </c>
      <c r="G411" s="109" t="inlineStr">
        <is>
          <t>CONTROLLO LIVELLI T103 IMPIANTO 500 ( L006RC, L301RC, L302RC )</t>
        </is>
      </c>
      <c r="H411" s="109" t="n"/>
      <c r="I411" s="109" t="n"/>
      <c r="J411" s="109" t="n"/>
      <c r="K411" s="109" t="n"/>
      <c r="L411" s="109" t="n"/>
      <c r="M411" s="110" t="inlineStr">
        <is>
          <t>EMESSO</t>
        </is>
      </c>
      <c r="N411" s="110" t="n"/>
      <c r="O411" s="110" t="n"/>
      <c r="P411" s="110" t="n"/>
      <c r="Q411" s="110" t="n"/>
      <c r="R411" s="151" t="n">
        <v>45818</v>
      </c>
      <c r="S411" s="110" t="inlineStr">
        <is>
          <t>MILLO</t>
        </is>
      </c>
      <c r="T411" s="109" t="inlineStr"/>
      <c r="U411" s="147" t="inlineStr"/>
    </row>
    <row r="412" ht="30" customHeight="1" s="122">
      <c r="A412" s="109" t="n"/>
      <c r="B412" s="108" t="inlineStr">
        <is>
          <t>X</t>
        </is>
      </c>
      <c r="C412" s="109" t="inlineStr"/>
      <c r="D412" s="109" t="inlineStr">
        <is>
          <t>AREA 1</t>
        </is>
      </c>
      <c r="E412" s="109" t="inlineStr">
        <is>
          <t>537255/C</t>
        </is>
      </c>
      <c r="F412" s="109" t="inlineStr">
        <is>
          <t>1000</t>
        </is>
      </c>
      <c r="G412" s="109" t="inlineStr">
        <is>
          <t>1000 - P137RC (PRESSIONE SEPARATORE ASP.2 STADIO)CONTROLLO LOOP DI REGOLAZIONE A CAUSA OSCILLAZIONE DELLA MISURA PARTENDO DALLA VALVOLA</t>
        </is>
      </c>
      <c r="H412" s="109" t="n"/>
      <c r="I412" s="109" t="n"/>
      <c r="J412" s="109" t="n"/>
      <c r="K412" s="109" t="n"/>
      <c r="L412" s="109" t="n"/>
      <c r="M412" s="110" t="inlineStr">
        <is>
          <t>EMESSO</t>
        </is>
      </c>
      <c r="N412" s="110" t="n"/>
      <c r="O412" s="110" t="n"/>
      <c r="P412" s="110" t="n"/>
      <c r="Q412" s="110" t="n"/>
      <c r="R412" s="151" t="n"/>
      <c r="S412" s="110" t="n"/>
      <c r="T412" s="109" t="inlineStr"/>
      <c r="U412" s="147" t="inlineStr"/>
    </row>
    <row r="413" ht="30" customHeight="1" s="122">
      <c r="A413" s="109" t="n"/>
      <c r="B413" s="108" t="n"/>
      <c r="C413" s="109" t="inlineStr"/>
      <c r="D413" s="109" t="inlineStr">
        <is>
          <t>AREA 2</t>
        </is>
      </c>
      <c r="E413" s="109" t="inlineStr">
        <is>
          <t>542332/C</t>
        </is>
      </c>
      <c r="F413" s="109" t="inlineStr">
        <is>
          <t>600</t>
        </is>
      </c>
      <c r="G413" s="109" t="inlineStr">
        <is>
          <t>IMP.600F141RC(RICICLO REDIDUO VACUUM)CONTROLLO E RIPRISTINO MSURA DI PORTATA</t>
        </is>
      </c>
      <c r="H413" s="109" t="n"/>
      <c r="I413" s="109" t="n"/>
      <c r="J413" s="109" t="n"/>
      <c r="K413" s="109" t="n"/>
      <c r="L413" s="109" t="n"/>
      <c r="M413" s="110" t="inlineStr">
        <is>
          <t>EMESSO</t>
        </is>
      </c>
      <c r="N413" s="110" t="n"/>
      <c r="O413" s="110" t="n"/>
      <c r="P413" s="110" t="n"/>
      <c r="Q413" s="110" t="n"/>
      <c r="R413" s="151" t="n">
        <v>45834</v>
      </c>
      <c r="S413" s="110" t="inlineStr">
        <is>
          <t>SPINALI/LEONE</t>
        </is>
      </c>
      <c r="T413" s="109" t="inlineStr"/>
      <c r="U413" s="147" t="inlineStr"/>
    </row>
    <row r="414" ht="30" customHeight="1" s="122">
      <c r="A414" s="109" t="n"/>
      <c r="B414" s="108" t="n"/>
      <c r="C414" s="109" t="inlineStr"/>
      <c r="D414" s="109" t="inlineStr">
        <is>
          <t>AREA 2</t>
        </is>
      </c>
      <c r="E414" s="109" t="inlineStr">
        <is>
          <t>542740/C</t>
        </is>
      </c>
      <c r="F414" s="109" t="inlineStr">
        <is>
          <t>600</t>
        </is>
      </c>
      <c r="G414" s="109" t="inlineStr">
        <is>
          <t>600P108A SOSTITUZIONE FLUSSIMETRO CON PRIMARI ANNESSI (GASOLIO DI FLUSSAGGIO ANELLI DI USURA P108A)</t>
        </is>
      </c>
      <c r="H414" s="109" t="n"/>
      <c r="I414" s="109" t="n"/>
      <c r="J414" s="109" t="n"/>
      <c r="K414" s="109" t="n"/>
      <c r="L414" s="109" t="n"/>
      <c r="M414" s="110" t="inlineStr">
        <is>
          <t>EMESSO</t>
        </is>
      </c>
      <c r="N414" s="110" t="n"/>
      <c r="O414" s="110" t="n"/>
      <c r="P414" s="110" t="n"/>
      <c r="Q414" s="110" t="n"/>
      <c r="R414" s="151" t="n"/>
      <c r="S414" s="110" t="n"/>
      <c r="T414" s="109" t="inlineStr"/>
      <c r="U414" s="147" t="inlineStr"/>
    </row>
    <row r="415" ht="30" customHeight="1" s="122">
      <c r="A415" s="109" t="n"/>
      <c r="B415" s="108" t="n"/>
      <c r="C415" s="109" t="inlineStr"/>
      <c r="D415" s="109" t="inlineStr">
        <is>
          <t>AREA 2</t>
        </is>
      </c>
      <c r="E415" s="109" t="inlineStr">
        <is>
          <t>543599/C</t>
        </is>
      </c>
      <c r="F415" s="109" t="inlineStr">
        <is>
          <t>1000</t>
        </is>
      </c>
      <c r="G415" s="109" t="inlineStr">
        <is>
          <t>10226912   1000: 10F119R controllo funzionale</t>
        </is>
      </c>
      <c r="H415" s="109" t="n"/>
      <c r="I415" s="109" t="n"/>
      <c r="J415" s="109" t="n"/>
      <c r="K415" s="109" t="n"/>
      <c r="L415" s="109" t="n"/>
      <c r="M415" s="110" t="inlineStr">
        <is>
          <t>EMESSO</t>
        </is>
      </c>
      <c r="N415" s="110" t="n"/>
      <c r="O415" s="110" t="n"/>
      <c r="P415" s="110" t="n"/>
      <c r="Q415" s="110" t="inlineStr">
        <is>
          <t>IL LAVORO VERRA' FATTO IN FERMATA PERCHE' LE RADICI SONO TAPPATE E SERVE PONTEROSSO</t>
        </is>
      </c>
      <c r="R415" s="151" t="n"/>
      <c r="S415" s="110" t="inlineStr">
        <is>
          <t>08/07/2025 00:00:00</t>
        </is>
      </c>
      <c r="T415" s="109" t="inlineStr"/>
      <c r="U415" s="147" t="n"/>
    </row>
    <row r="416" ht="30" customHeight="1" s="122">
      <c r="A416" s="109" t="n"/>
      <c r="B416" s="108" t="n"/>
      <c r="C416" s="109" t="inlineStr"/>
      <c r="D416" s="109" t="inlineStr">
        <is>
          <t>AREA 2</t>
        </is>
      </c>
      <c r="E416" s="109" t="inlineStr">
        <is>
          <t>543775/C</t>
        </is>
      </c>
      <c r="F416" s="109" t="inlineStr">
        <is>
          <t>500</t>
        </is>
      </c>
      <c r="G416" s="109" t="inlineStr">
        <is>
          <t>500P206SH(VALVOLA DEL.ATTIVATA C103B)05P504SH(VALVOLA DEL. ATTIVATA C101)CONTROLLO ED EVENTUALE RIPRISTINO PRESSOSTATI</t>
        </is>
      </c>
      <c r="H416" s="109" t="n"/>
      <c r="I416" s="109" t="n"/>
      <c r="J416" s="109" t="n"/>
      <c r="K416" s="109" t="n"/>
      <c r="L416" s="109" t="n"/>
      <c r="M416" s="110" t="inlineStr">
        <is>
          <t>EMESSO</t>
        </is>
      </c>
      <c r="N416" s="110" t="n"/>
      <c r="O416" s="110" t="n"/>
      <c r="P416" s="110" t="n"/>
      <c r="Q416" s="110" t="n"/>
      <c r="R416" s="151" t="n"/>
      <c r="S416" s="110" t="n"/>
      <c r="T416" s="109" t="inlineStr"/>
      <c r="U416" s="147" t="n"/>
    </row>
    <row r="417" ht="30" customHeight="1" s="122">
      <c r="A417" s="109" t="n"/>
      <c r="B417" s="109" t="n"/>
      <c r="C417" s="109" t="inlineStr"/>
      <c r="D417" s="109" t="inlineStr">
        <is>
          <t>AREA 2</t>
        </is>
      </c>
      <c r="E417" s="109" t="inlineStr">
        <is>
          <t>543712/C</t>
        </is>
      </c>
      <c r="F417" s="109" t="inlineStr">
        <is>
          <t>600</t>
        </is>
      </c>
      <c r="G417" s="109" t="inlineStr">
        <is>
          <t>10226764   600-ripristino regolatore di pressione nella linea di azoto della pompetta di additivazione antincrostante</t>
        </is>
      </c>
      <c r="H417" s="109" t="n"/>
      <c r="I417" s="109" t="n"/>
      <c r="J417" s="109" t="n"/>
      <c r="K417" s="109" t="n"/>
      <c r="L417" s="109" t="n"/>
      <c r="M417" s="109" t="inlineStr">
        <is>
          <t>EMESSO</t>
        </is>
      </c>
      <c r="N417" s="109" t="n"/>
      <c r="O417" s="109" t="n"/>
      <c r="P417" s="109" t="n"/>
      <c r="Q417" s="109" t="n"/>
      <c r="R417" s="151" t="n"/>
      <c r="S417" s="109" t="n"/>
      <c r="T417" s="109" t="inlineStr"/>
      <c r="U417" s="109" t="n"/>
    </row>
    <row r="418">
      <c r="A418" s="109" t="n"/>
      <c r="B418" s="108" t="n"/>
      <c r="C418" s="109" t="inlineStr"/>
      <c r="D418" s="109" t="inlineStr">
        <is>
          <t>AREA 2</t>
        </is>
      </c>
      <c r="E418" s="109" t="inlineStr">
        <is>
          <t>546017/C</t>
        </is>
      </c>
      <c r="F418" s="109" t="inlineStr">
        <is>
          <t>600</t>
        </is>
      </c>
      <c r="G418" s="109" t="inlineStr">
        <is>
          <t>600- F004CV SMONTAGGIO/RIMONTAGGIO VALVOLA PER REVISIONE</t>
        </is>
      </c>
      <c r="H418" s="109" t="n"/>
      <c r="I418" s="109" t="n"/>
      <c r="J418" s="109" t="n"/>
      <c r="K418" s="109" t="n"/>
      <c r="L418" s="109" t="n"/>
      <c r="M418" s="110" t="inlineStr">
        <is>
          <t>EMESSO</t>
        </is>
      </c>
      <c r="N418" s="110" t="n"/>
      <c r="O418" s="110" t="n"/>
      <c r="P418" s="110" t="n"/>
      <c r="Q418" s="110" t="n"/>
      <c r="R418" s="151" t="n"/>
      <c r="S418" s="110" t="n"/>
      <c r="T418" s="109" t="inlineStr"/>
      <c r="U418" s="147" t="n"/>
    </row>
    <row r="419">
      <c r="A419" s="109" t="n"/>
      <c r="B419" s="108" t="n"/>
      <c r="C419" s="109" t="inlineStr"/>
      <c r="D419" s="109" t="inlineStr">
        <is>
          <t>AREA 2</t>
        </is>
      </c>
      <c r="E419" s="109" t="inlineStr">
        <is>
          <t>546280/C</t>
        </is>
      </c>
      <c r="F419" s="109" t="inlineStr">
        <is>
          <t>600</t>
        </is>
      </c>
      <c r="G419" s="109" t="inlineStr">
        <is>
          <t>600- F006CV SMONTAGGIO/RIMONTAGGIO VALVOLA PER REVISIONE</t>
        </is>
      </c>
      <c r="H419" s="109" t="n"/>
      <c r="I419" s="109" t="n"/>
      <c r="J419" s="109" t="n"/>
      <c r="K419" s="109" t="n"/>
      <c r="L419" s="109" t="n"/>
      <c r="M419" s="110" t="inlineStr">
        <is>
          <t>EMESSO</t>
        </is>
      </c>
      <c r="N419" s="110" t="n"/>
      <c r="O419" s="110" t="n"/>
      <c r="P419" s="110" t="n"/>
      <c r="Q419" s="110" t="n"/>
      <c r="R419" s="151" t="n"/>
      <c r="S419" s="110" t="n"/>
      <c r="T419" s="109" t="inlineStr"/>
      <c r="U419" s="147" t="inlineStr"/>
    </row>
    <row r="420">
      <c r="A420" s="109" t="n"/>
      <c r="B420" s="108" t="n"/>
      <c r="C420" s="109" t="inlineStr"/>
      <c r="D420" s="109" t="inlineStr">
        <is>
          <t>AREA 2</t>
        </is>
      </c>
      <c r="E420" s="109" t="inlineStr">
        <is>
          <t>546584/C</t>
        </is>
      </c>
      <c r="F420" s="109" t="inlineStr">
        <is>
          <t>600</t>
        </is>
      </c>
      <c r="G420" s="109" t="inlineStr">
        <is>
          <t>600- F002CV SMONTAGGIO/RIMONTAGGIO VALVOLA PER REVISIONE</t>
        </is>
      </c>
      <c r="H420" s="109" t="n"/>
      <c r="I420" s="109" t="n"/>
      <c r="J420" s="109" t="n"/>
      <c r="K420" s="109" t="n"/>
      <c r="L420" s="109" t="n"/>
      <c r="M420" s="110" t="inlineStr">
        <is>
          <t>EMESSO</t>
        </is>
      </c>
      <c r="N420" s="110" t="n"/>
      <c r="O420" s="110" t="n"/>
      <c r="P420" s="110" t="n"/>
      <c r="Q420" s="110" t="n"/>
      <c r="R420" s="151" t="n"/>
      <c r="S420" s="110" t="n"/>
      <c r="T420" s="109" t="inlineStr"/>
      <c r="U420" s="147" t="n"/>
    </row>
    <row r="421">
      <c r="A421" s="109" t="n"/>
      <c r="B421" s="109" t="n"/>
      <c r="C421" s="109" t="inlineStr"/>
      <c r="D421" s="109" t="inlineStr">
        <is>
          <t>AREA 2</t>
        </is>
      </c>
      <c r="E421" s="109" t="inlineStr">
        <is>
          <t>547093/C</t>
        </is>
      </c>
      <c r="F421" s="109" t="inlineStr">
        <is>
          <t>600</t>
        </is>
      </c>
      <c r="G421" s="109" t="inlineStr">
        <is>
          <t>600- F001CV SMONTAGGIO/RIMONTAGGIO VALVOLA PER REVISIONE</t>
        </is>
      </c>
      <c r="H421" s="109" t="n"/>
      <c r="I421" s="109" t="n"/>
      <c r="J421" s="109" t="n"/>
      <c r="K421" s="109" t="n"/>
      <c r="L421" s="109" t="n"/>
      <c r="M421" s="109" t="inlineStr">
        <is>
          <t>EMESSO</t>
        </is>
      </c>
      <c r="N421" s="109" t="n"/>
      <c r="O421" s="109" t="n"/>
      <c r="P421" s="109" t="n"/>
      <c r="Q421" s="109" t="inlineStr">
        <is>
          <t>VALVOLA SMONTATA E PORTATA A REVISIONE IN OFFICINA.</t>
        </is>
      </c>
      <c r="R421" s="151" t="n">
        <v>45876</v>
      </c>
      <c r="S421" s="109" t="inlineStr">
        <is>
          <t>SAGGIO</t>
        </is>
      </c>
      <c r="T421" s="109" t="inlineStr"/>
      <c r="U421" s="109" t="n"/>
    </row>
    <row r="422">
      <c r="A422" s="109" t="n"/>
      <c r="B422" s="108" t="n"/>
      <c r="C422" s="109" t="inlineStr"/>
      <c r="D422" s="109" t="inlineStr">
        <is>
          <t>AREA 2</t>
        </is>
      </c>
      <c r="E422" s="109" t="inlineStr">
        <is>
          <t>548414/C</t>
        </is>
      </c>
      <c r="F422" s="109" t="inlineStr">
        <is>
          <t>500</t>
        </is>
      </c>
      <c r="G422" s="109" t="inlineStr">
        <is>
          <t>500F171R CONTROLLO E RIPRISTINO PORTATA</t>
        </is>
      </c>
      <c r="H422" s="109" t="n"/>
      <c r="I422" s="109" t="n"/>
      <c r="J422" s="109" t="n"/>
      <c r="K422" s="109" t="n"/>
      <c r="L422" s="109" t="n"/>
      <c r="M422" s="110" t="inlineStr">
        <is>
          <t>EMESSO</t>
        </is>
      </c>
      <c r="N422" s="110" t="n"/>
      <c r="O422" s="110" t="n"/>
      <c r="P422" s="110" t="n"/>
      <c r="Q422" s="110" t="n"/>
      <c r="R422" s="151" t="n">
        <v>45891</v>
      </c>
      <c r="S422" s="110" t="n"/>
      <c r="T422" s="109" t="inlineStr"/>
      <c r="U422" s="147" t="n"/>
    </row>
    <row r="423" ht="30" customHeight="1" s="122">
      <c r="A423" s="109" t="n"/>
      <c r="B423" s="108" t="n"/>
      <c r="C423" s="109" t="inlineStr"/>
      <c r="D423" s="109" t="inlineStr">
        <is>
          <t>AREA 2</t>
        </is>
      </c>
      <c r="E423" s="109" t="inlineStr">
        <is>
          <t>548544/C</t>
        </is>
      </c>
      <c r="F423" s="109" t="inlineStr">
        <is>
          <t>500</t>
        </is>
      </c>
      <c r="G423" s="109" t="inlineStr">
        <is>
          <t>500F301/302 RILIEVI E MISURAZIONI SU FORNO CON ANALIZZATORE PORTATILE DI OSSIGENO(SU TRE PUNTI INDICATI DA ESERCIZIO)</t>
        </is>
      </c>
      <c r="H423" s="109" t="n"/>
      <c r="I423" s="109" t="n"/>
      <c r="J423" s="109" t="n"/>
      <c r="K423" s="109" t="n"/>
      <c r="L423" s="109" t="n"/>
      <c r="M423" s="110" t="inlineStr">
        <is>
          <t>EMESSO</t>
        </is>
      </c>
      <c r="N423" s="110" t="n"/>
      <c r="O423" s="110" t="n"/>
      <c r="P423" s="110" t="n"/>
      <c r="Q423" s="110" t="n"/>
      <c r="R423" s="151" t="n"/>
      <c r="S423" s="110" t="n"/>
      <c r="T423" s="109" t="inlineStr"/>
      <c r="U423" s="147" t="n"/>
    </row>
    <row r="424" ht="30" customHeight="1" s="122">
      <c r="A424" s="109" t="n"/>
      <c r="B424" s="108" t="n"/>
      <c r="C424" s="109" t="inlineStr"/>
      <c r="D424" s="109" t="inlineStr">
        <is>
          <t>AREA 2</t>
        </is>
      </c>
      <c r="E424" s="109" t="inlineStr">
        <is>
          <t>549468/C</t>
        </is>
      </c>
      <c r="F424" s="109" t="inlineStr">
        <is>
          <t>1000</t>
        </is>
      </c>
      <c r="G424" s="109" t="inlineStr">
        <is>
          <t>1000R167BV SMONTAGGIO ATTUATORE PER REVISIONE E RIPRISTINO SALDATURA  SERVOMOTORE(LA VALVOLA RIMARRA CHIUSA)</t>
        </is>
      </c>
      <c r="H424" s="109" t="n"/>
      <c r="I424" s="109" t="n"/>
      <c r="J424" s="109" t="n"/>
      <c r="K424" s="109" t="n"/>
      <c r="L424" s="109" t="n"/>
      <c r="M424" s="109" t="inlineStr">
        <is>
          <t>EMESSO</t>
        </is>
      </c>
      <c r="N424" s="109" t="n"/>
      <c r="O424" s="109" t="n"/>
      <c r="P424" s="109" t="n"/>
      <c r="Q424" s="109" t="n"/>
      <c r="R424" s="151" t="n"/>
      <c r="S424" s="109" t="n"/>
      <c r="T424" s="109" t="inlineStr"/>
      <c r="U424" s="109" t="n"/>
    </row>
    <row r="425">
      <c r="A425" s="109" t="n"/>
      <c r="B425" s="108" t="n"/>
      <c r="C425" s="109" t="inlineStr">
        <is>
          <t>X</t>
        </is>
      </c>
      <c r="D425" s="109" t="inlineStr">
        <is>
          <t>AREA 2</t>
        </is>
      </c>
      <c r="E425" s="109" t="inlineStr">
        <is>
          <t>552966/C</t>
        </is>
      </c>
      <c r="F425" s="109" t="inlineStr">
        <is>
          <t>1000</t>
        </is>
      </c>
      <c r="G425" s="109" t="inlineStr">
        <is>
          <t>1000L115RC (FONDO T102)CONTOLLO E RIPRISTINO MISURA DI LIVELLO</t>
        </is>
      </c>
      <c r="H425" s="109" t="inlineStr">
        <is>
          <t>X</t>
        </is>
      </c>
      <c r="I425" s="109" t="inlineStr">
        <is>
          <t>X</t>
        </is>
      </c>
      <c r="J425" s="109" t="n"/>
      <c r="K425" s="109" t="n"/>
      <c r="L425" s="109" t="n"/>
      <c r="M425" s="110" t="inlineStr">
        <is>
          <t>EMESSO</t>
        </is>
      </c>
      <c r="N425" s="110" t="n"/>
      <c r="O425" s="110" t="n"/>
      <c r="P425" s="110" t="n"/>
      <c r="Q425" s="110" t="n"/>
      <c r="R425" s="151" t="n"/>
      <c r="S425" s="110" t="n"/>
      <c r="T425" s="109" t="inlineStr">
        <is>
          <t>X</t>
        </is>
      </c>
      <c r="U425" s="147" t="n"/>
    </row>
    <row r="426" ht="30" customHeight="1" s="122">
      <c r="A426" s="109" t="n"/>
      <c r="B426" s="108" t="n"/>
      <c r="C426" s="109" t="inlineStr"/>
      <c r="D426" s="109" t="inlineStr">
        <is>
          <t>AREA 2</t>
        </is>
      </c>
      <c r="E426" s="109" t="inlineStr">
        <is>
          <t>548967/C</t>
        </is>
      </c>
      <c r="F426" s="109" t="inlineStr">
        <is>
          <t>500</t>
        </is>
      </c>
      <c r="G426" s="109" t="inlineStr">
        <is>
          <t>500L151HA (D121)CONTROLLO E RIPRISTINO LIVELLOSTATO</t>
        </is>
      </c>
      <c r="H426" s="109" t="n"/>
      <c r="I426" s="109" t="n"/>
      <c r="J426" s="109" t="n"/>
      <c r="K426" s="109" t="n"/>
      <c r="L426" s="109" t="n"/>
      <c r="M426" s="110" t="inlineStr">
        <is>
          <t>INTERROTTO</t>
        </is>
      </c>
      <c r="N426" s="110" t="n"/>
      <c r="O426" s="110" t="n"/>
      <c r="P426" s="110" t="n"/>
      <c r="Q426" s="110" t="inlineStr">
        <is>
          <t>MANCANZA VALVOLA DI SPURGO IMPOSSIBILE DRENARE ED ESEGUIRE IL CONTROLLO REALE</t>
        </is>
      </c>
      <c r="R426" s="151" t="n">
        <v>45897</v>
      </c>
      <c r="S426" s="110" t="inlineStr">
        <is>
          <t>RICIPUTO</t>
        </is>
      </c>
      <c r="T426" s="109" t="inlineStr"/>
      <c r="U426" s="147" t="n"/>
    </row>
    <row r="427">
      <c r="A427" s="109" t="n"/>
      <c r="B427" s="108" t="n"/>
      <c r="C427" s="109" t="inlineStr"/>
      <c r="D427" s="109" t="inlineStr">
        <is>
          <t>AREA 2</t>
        </is>
      </c>
      <c r="E427" s="109" t="inlineStr">
        <is>
          <t>548410/C</t>
        </is>
      </c>
      <c r="F427" s="109" t="inlineStr">
        <is>
          <t>500</t>
        </is>
      </c>
      <c r="G427" s="109" t="inlineStr">
        <is>
          <t>500F164R (LS LIMITE BATTERIA)CONTROLLO E RIPRISTINO MISURA PORTATA</t>
        </is>
      </c>
      <c r="H427" s="109" t="n"/>
      <c r="I427" s="109" t="n"/>
      <c r="J427" s="109" t="n"/>
      <c r="K427" s="109" t="n"/>
      <c r="L427" s="109" t="n"/>
      <c r="M427" s="110" t="inlineStr">
        <is>
          <t>INTERROTTO</t>
        </is>
      </c>
      <c r="N427" s="110" t="n"/>
      <c r="O427" s="110" t="n"/>
      <c r="P427" s="110" t="n"/>
      <c r="Q427" s="110" t="inlineStr">
        <is>
          <t>NECESSITA PONTEGGIO PER CONTROLLO STRUMENTO</t>
        </is>
      </c>
      <c r="R427" s="151" t="n">
        <v>45891</v>
      </c>
      <c r="S427" s="110" t="inlineStr">
        <is>
          <t>SPINALI</t>
        </is>
      </c>
      <c r="T427" s="109" t="inlineStr"/>
      <c r="U427" s="147" t="n"/>
    </row>
    <row r="428" ht="30" customHeight="1" s="122">
      <c r="A428" s="109" t="n"/>
      <c r="B428" s="108" t="n"/>
      <c r="C428" s="109" t="inlineStr"/>
      <c r="D428" s="109" t="inlineStr">
        <is>
          <t>AREA 2</t>
        </is>
      </c>
      <c r="E428" s="109" t="inlineStr">
        <is>
          <t>547740/C</t>
        </is>
      </c>
      <c r="F428" s="109" t="inlineStr">
        <is>
          <t>600</t>
        </is>
      </c>
      <c r="G428" s="109" t="inlineStr">
        <is>
          <t>600T225I(INCONDENSABILI USCITA D103)CONTROLLO E RIPRISTINO TEMPERATURA CON ALLINEAMENTO CON SALA CONTROLLO</t>
        </is>
      </c>
      <c r="H428" s="109" t="n"/>
      <c r="I428" s="109" t="n"/>
      <c r="J428" s="109" t="n"/>
      <c r="K428" s="109" t="n"/>
      <c r="L428" s="109" t="n"/>
      <c r="M428" s="110" t="inlineStr">
        <is>
          <t>INTERROTTO</t>
        </is>
      </c>
      <c r="N428" s="110" t="n"/>
      <c r="O428" s="110" t="n"/>
      <c r="P428" s="110" t="n"/>
      <c r="Q428" s="110" t="inlineStr">
        <is>
          <t>controllata temperatura da jbox a sala controllo, ok.  PER IL TERMOELEMENTO NECESSITA PONTEGGIO</t>
        </is>
      </c>
      <c r="R428" s="151" t="n">
        <v>45883</v>
      </c>
      <c r="S428" s="110" t="inlineStr">
        <is>
          <t>SPINALI</t>
        </is>
      </c>
      <c r="T428" s="109" t="inlineStr"/>
      <c r="U428" s="147" t="n"/>
    </row>
    <row r="429" ht="30" customHeight="1" s="122">
      <c r="A429" s="109" t="n"/>
      <c r="B429" s="109" t="n"/>
      <c r="C429" s="109" t="inlineStr"/>
      <c r="D429" s="109" t="inlineStr">
        <is>
          <t>AREA 2</t>
        </is>
      </c>
      <c r="E429" s="109" t="inlineStr">
        <is>
          <t>547685/C</t>
        </is>
      </c>
      <c r="F429" s="109" t="inlineStr">
        <is>
          <t>1000</t>
        </is>
      </c>
      <c r="G429" s="109" t="inlineStr">
        <is>
          <t>1000F114BRC(PASSO 2 F102)CONTROLLO E RIPRISTINO MISURA DI PORTATA METTERE I MOS PRIMA DI INIZIARE L'ATTIVITA</t>
        </is>
      </c>
      <c r="H429" s="109" t="n"/>
      <c r="I429" s="109" t="n"/>
      <c r="J429" s="109" t="n"/>
      <c r="K429" s="109" t="n"/>
      <c r="L429" s="109" t="n"/>
      <c r="M429" s="109" t="inlineStr">
        <is>
          <t>INTERROTTO</t>
        </is>
      </c>
      <c r="N429" s="109" t="n"/>
      <c r="O429" s="109" t="inlineStr">
        <is>
          <t>X</t>
        </is>
      </c>
      <c r="P429" s="109" t="inlineStr">
        <is>
          <t>X</t>
        </is>
      </c>
      <c r="Q429" s="109" t="inlineStr">
        <is>
          <t>STRUMENTO OK, SERVE PONTEGGIO PER STASATURA PRESA NEGATIVA</t>
        </is>
      </c>
      <c r="R429" s="151" t="n">
        <v>45888</v>
      </c>
      <c r="S429" s="109" t="inlineStr">
        <is>
          <t>SPINALI</t>
        </is>
      </c>
      <c r="T429" s="109" t="inlineStr"/>
      <c r="U429" s="109" t="n"/>
    </row>
    <row r="430" ht="45" customHeight="1" s="122">
      <c r="A430" s="109" t="n"/>
      <c r="B430" s="109" t="n"/>
      <c r="C430" s="109" t="inlineStr"/>
      <c r="D430" s="109" t="inlineStr">
        <is>
          <t>AREA 2</t>
        </is>
      </c>
      <c r="E430" s="109" t="inlineStr">
        <is>
          <t>544812/C</t>
        </is>
      </c>
      <c r="F430" s="109" t="inlineStr">
        <is>
          <t>500</t>
        </is>
      </c>
      <c r="G430" s="109" t="inlineStr">
        <is>
          <t>500P020RC Mandata c104 a/b CONTROLLO E RIPRISTINO FUNZIONALITA VALVOLA</t>
        </is>
      </c>
      <c r="H430" s="109" t="n"/>
      <c r="I430" s="109" t="n"/>
      <c r="J430" s="109" t="n"/>
      <c r="K430" s="109" t="n"/>
      <c r="L430" s="109" t="n"/>
      <c r="M430" s="109" t="inlineStr">
        <is>
          <t>INTERROTTO</t>
        </is>
      </c>
      <c r="N430" s="109" t="n"/>
      <c r="O430" s="109" t="n"/>
      <c r="P430" s="109" t="n"/>
      <c r="Q430" s="109" t="inlineStr">
        <is>
          <t>LA VALVOLA E' UN DOPPIO SEGGIO, ESSENDO A.C. ANCHE AUMENTANDO IL SEGNALE DELL'ARIA NON VA IN TOTALE CHIUSURA E NON FA TENUTA. SI CONSIGLIA LA REVISIONE.</t>
        </is>
      </c>
      <c r="R430" s="151" t="n">
        <v>45856</v>
      </c>
      <c r="S430" s="109" t="inlineStr">
        <is>
          <t>GARRO</t>
        </is>
      </c>
      <c r="T430" s="109" t="inlineStr"/>
      <c r="U430" s="109" t="n"/>
    </row>
    <row r="431" ht="45" customHeight="1" s="122">
      <c r="A431" s="109" t="n"/>
      <c r="B431" s="108" t="n"/>
      <c r="C431" s="109" t="inlineStr"/>
      <c r="D431" s="109" t="inlineStr">
        <is>
          <t>AREA 2</t>
        </is>
      </c>
      <c r="E431" s="109" t="inlineStr">
        <is>
          <t>542327/C</t>
        </is>
      </c>
      <c r="F431" s="109" t="inlineStr">
        <is>
          <t>600</t>
        </is>
      </c>
      <c r="G431" s="109" t="inlineStr">
        <is>
          <t>IMP.600F033R(CARICA DA STOCCAGGIO)CONTROLLO E RIPRISTINO MSURA DI PORTATA</t>
        </is>
      </c>
      <c r="H431" s="109" t="n"/>
      <c r="I431" s="109" t="n"/>
      <c r="J431" s="109" t="n"/>
      <c r="K431" s="109" t="n"/>
      <c r="L431" s="109" t="n"/>
      <c r="M431" s="110" t="inlineStr">
        <is>
          <t>INTERROTTO</t>
        </is>
      </c>
      <c r="N431" s="110" t="n"/>
      <c r="O431" s="110" t="n"/>
      <c r="P431" s="110" t="n"/>
      <c r="Q431" s="110" t="inlineStr">
        <is>
          <t>SI RISCONTRA VALVOLE DI RADICE E INTERCETTO DP CHIUSI, PROBABILE PERDITA DI PROCESSO SU PRIMARI, NECESSITA PONTEGGIO PER ISPEZIONARE PRIMARI, DA SOSTITUIRE BARRIERA</t>
        </is>
      </c>
      <c r="R431" s="151" t="n">
        <v>45839</v>
      </c>
      <c r="S431" s="110" t="inlineStr">
        <is>
          <t>SPINALI</t>
        </is>
      </c>
      <c r="T431" s="109" t="inlineStr"/>
      <c r="U431" s="147" t="inlineStr"/>
    </row>
    <row r="432" ht="30" customHeight="1" s="122">
      <c r="A432" s="109" t="n"/>
      <c r="B432" s="108" t="n"/>
      <c r="C432" s="109" t="inlineStr"/>
      <c r="D432" s="109" t="inlineStr">
        <is>
          <t>AREA 2</t>
        </is>
      </c>
      <c r="E432" s="109" t="inlineStr">
        <is>
          <t>537248/C</t>
        </is>
      </c>
      <c r="F432" s="109" t="inlineStr">
        <is>
          <t>500</t>
        </is>
      </c>
      <c r="G432" s="109" t="inlineStr">
        <is>
          <t>500 - F161R(VAPORE MS da L.B.)CONTROLLO DI TARATURA  E RIPRISTINO FUNZIONALITA</t>
        </is>
      </c>
      <c r="H432" s="109" t="n"/>
      <c r="I432" s="109" t="n"/>
      <c r="J432" s="109" t="n"/>
      <c r="K432" s="109" t="n"/>
      <c r="L432" s="109" t="n"/>
      <c r="M432" s="110" t="inlineStr">
        <is>
          <t>INTERROTTO</t>
        </is>
      </c>
      <c r="N432" s="110" t="n"/>
      <c r="O432" s="110" t="n"/>
      <c r="P432" s="110" t="n"/>
      <c r="Q432" s="110" t="inlineStr">
        <is>
          <t>PERDITA SU FLANGIA TARATA, NECESSITA PONTEGGIO PER APPROFONDIMENTO</t>
        </is>
      </c>
      <c r="R432" s="151" t="n">
        <v>45797</v>
      </c>
      <c r="S432" s="110" t="inlineStr">
        <is>
          <t>SPINALI</t>
        </is>
      </c>
      <c r="T432" s="109" t="inlineStr"/>
      <c r="U432" s="147" t="inlineStr"/>
    </row>
    <row r="433" ht="30" customHeight="1" s="122">
      <c r="A433" s="109" t="n"/>
      <c r="B433" s="108" t="inlineStr">
        <is>
          <t>X</t>
        </is>
      </c>
      <c r="C433" s="109" t="inlineStr"/>
      <c r="D433" s="109" t="inlineStr">
        <is>
          <t>AREA 2</t>
        </is>
      </c>
      <c r="E433" s="109" t="inlineStr">
        <is>
          <t>536032/C</t>
        </is>
      </c>
      <c r="F433" s="109" t="inlineStr">
        <is>
          <t>500</t>
        </is>
      </c>
      <c r="G433" s="109" t="inlineStr">
        <is>
          <t>500 - 500F016RC (MANDATA GAS DI RIGENERAZIONE C102)CONTROLLO E RIPRISTINO FUNZIONALITA  PORTATA</t>
        </is>
      </c>
      <c r="H433" s="109" t="n"/>
      <c r="I433" s="109" t="n"/>
      <c r="J433" s="109" t="n"/>
      <c r="K433" s="109" t="n"/>
      <c r="L433" s="109" t="n"/>
      <c r="M433" s="110" t="inlineStr">
        <is>
          <t>INTERROTTO</t>
        </is>
      </c>
      <c r="N433" s="110" t="n"/>
      <c r="O433" s="110" t="n"/>
      <c r="P433" s="110" t="n"/>
      <c r="Q433" s="110" t="inlineStr">
        <is>
          <t>STRUMENTO CON RADICI TAPPATI, DA PROGRAMMARE IN FERMATA</t>
        </is>
      </c>
      <c r="R433" s="151" t="n">
        <v>45791</v>
      </c>
      <c r="S433" s="110" t="inlineStr">
        <is>
          <t>SPINALI</t>
        </is>
      </c>
      <c r="T433" s="109" t="inlineStr"/>
      <c r="U433" s="147" t="inlineStr"/>
    </row>
    <row r="434" ht="30" customHeight="1" s="122">
      <c r="A434" s="109" t="n"/>
      <c r="B434" s="109" t="inlineStr">
        <is>
          <t>X</t>
        </is>
      </c>
      <c r="C434" s="109" t="inlineStr"/>
      <c r="D434" s="109" t="inlineStr">
        <is>
          <t>AREA 2</t>
        </is>
      </c>
      <c r="E434" s="109" t="inlineStr">
        <is>
          <t>536114/C</t>
        </is>
      </c>
      <c r="F434" s="109" t="inlineStr">
        <is>
          <t>500</t>
        </is>
      </c>
      <c r="G434" s="109" t="inlineStr">
        <is>
          <t>500 - COLONNA T101 CONTROLLO F351CO</t>
        </is>
      </c>
      <c r="H434" s="109" t="n"/>
      <c r="I434" s="109" t="n"/>
      <c r="J434" s="109" t="n"/>
      <c r="K434" s="109" t="n"/>
      <c r="L434" s="109" t="n"/>
      <c r="M434" s="110" t="inlineStr">
        <is>
          <t>INTERROTTO</t>
        </is>
      </c>
      <c r="N434" s="110" t="n"/>
      <c r="O434" s="110" t="n"/>
      <c r="P434" s="110" t="n"/>
      <c r="Q434" s="110" t="inlineStr">
        <is>
          <t>VALVOLA DI SCARICO ROTTA, TROVATO E LASCIATO INTERCETTATO COME RICHIESTO DA ESE</t>
        </is>
      </c>
      <c r="R434" s="151" t="n">
        <v>45791</v>
      </c>
      <c r="S434" s="110" t="inlineStr">
        <is>
          <t>SPINALI</t>
        </is>
      </c>
      <c r="T434" s="109" t="inlineStr"/>
      <c r="U434" s="147" t="inlineStr"/>
    </row>
    <row r="435" ht="45" customHeight="1" s="122">
      <c r="A435" s="109" t="n"/>
      <c r="B435" s="108" t="inlineStr">
        <is>
          <t>X</t>
        </is>
      </c>
      <c r="C435" s="109" t="inlineStr"/>
      <c r="D435" s="109" t="inlineStr">
        <is>
          <t>AREA 2</t>
        </is>
      </c>
      <c r="E435" s="109" t="inlineStr">
        <is>
          <t>535536/C</t>
        </is>
      </c>
      <c r="F435" s="109" t="inlineStr">
        <is>
          <t>1000</t>
        </is>
      </c>
      <c r="G435" s="109" t="inlineStr">
        <is>
          <t>1000 - F114ARC F114BRC (CARICA PASSO 1 F102)CONTROLLO  E RIPRISTINO FUNZIONALITA (INSERIRE MOS PRIMA DI INIZIARE ATTIVITA</t>
        </is>
      </c>
      <c r="H435" s="109" t="n"/>
      <c r="I435" s="109" t="n"/>
      <c r="J435" s="109" t="n"/>
      <c r="K435" s="109" t="n"/>
      <c r="L435" s="109" t="n"/>
      <c r="M435" s="110" t="inlineStr">
        <is>
          <t>INTERROTTO</t>
        </is>
      </c>
      <c r="N435" s="110" t="n"/>
      <c r="O435" s="110" t="inlineStr">
        <is>
          <t>X</t>
        </is>
      </c>
      <c r="P435" s="110" t="n"/>
      <c r="Q435" s="110" t="inlineStr">
        <is>
          <t>STRUMENTI DI PORTATA TROVATI PARZIALMENTE TAPPATI, PROVA DI STASATURA CON POMPA ALTA PRESSIONE. SERVE PONTEGGIO PER ARRIVARE SULLE RADICI.( IN ATTESA DI COSTRUZIONE SAIT)</t>
        </is>
      </c>
      <c r="R435" s="151" t="n">
        <v>45784</v>
      </c>
      <c r="S435" s="110" t="inlineStr">
        <is>
          <t>TARASCIO/PARTESANO</t>
        </is>
      </c>
      <c r="T435" s="109" t="inlineStr"/>
      <c r="U435" s="147" t="inlineStr"/>
    </row>
    <row r="436" ht="60" customHeight="1" s="122">
      <c r="A436" s="109" t="n"/>
      <c r="B436" s="108" t="inlineStr">
        <is>
          <t>X</t>
        </is>
      </c>
      <c r="C436" s="109" t="inlineStr"/>
      <c r="D436" s="109" t="inlineStr">
        <is>
          <t>AREA 2</t>
        </is>
      </c>
      <c r="E436" s="109" t="inlineStr">
        <is>
          <t>534887/C</t>
        </is>
      </c>
      <c r="F436" s="109" t="inlineStr">
        <is>
          <t>500</t>
        </is>
      </c>
      <c r="G436" s="109" t="inlineStr">
        <is>
          <t>500 - F003RC(CARICA A E-101))CONTROLLO DI TARATURA STRUMENTO DI PORTATA</t>
        </is>
      </c>
      <c r="H436" s="109" t="n"/>
      <c r="I436" s="109" t="n"/>
      <c r="J436" s="109" t="n"/>
      <c r="K436" s="109" t="n"/>
      <c r="L436" s="109" t="n"/>
      <c r="M436" s="110" t="inlineStr">
        <is>
          <t>INTERROTTO</t>
        </is>
      </c>
      <c r="N436" s="110" t="n"/>
      <c r="O436" s="110" t="n"/>
      <c r="P436" s="110" t="n"/>
      <c r="Q436" s="110" t="inlineStr">
        <is>
          <t>VALVOLE DOPPIE D'INTERCETTO NON FANNO TENUTA. LEGGERA PERDITA DI PRODOTTO SU PREMITRECCIA VALVOLA NEGATIVA. NECESSITA PONTEGGIO PER SOSTITUZIONE GRUPPO BYPASS E PRIMARI.</t>
        </is>
      </c>
      <c r="R436" s="151" t="n">
        <v>45782</v>
      </c>
      <c r="S436" s="110" t="inlineStr">
        <is>
          <t>SPINALI</t>
        </is>
      </c>
      <c r="T436" s="109" t="inlineStr"/>
      <c r="U436" s="147" t="inlineStr"/>
    </row>
    <row r="437">
      <c r="A437" s="109" t="n"/>
      <c r="B437" s="108" t="inlineStr">
        <is>
          <t>X</t>
        </is>
      </c>
      <c r="C437" s="109" t="inlineStr"/>
      <c r="D437" s="109" t="inlineStr">
        <is>
          <t>AREA 2</t>
        </is>
      </c>
      <c r="E437" s="109" t="inlineStr">
        <is>
          <t>534885/C</t>
        </is>
      </c>
      <c r="F437" s="109" t="inlineStr">
        <is>
          <t>500</t>
        </is>
      </c>
      <c r="G437" s="109" t="inlineStr">
        <is>
          <t>500 - F002RC(CARICA TOTALE)CONTROLLO DI TARATURA STRUMENTO DI PORTATA</t>
        </is>
      </c>
      <c r="H437" s="109" t="n"/>
      <c r="I437" s="109" t="n"/>
      <c r="J437" s="109" t="n"/>
      <c r="K437" s="109" t="n"/>
      <c r="L437" s="109" t="n"/>
      <c r="M437" s="110" t="inlineStr">
        <is>
          <t>INTERROTTO</t>
        </is>
      </c>
      <c r="N437" s="110" t="n"/>
      <c r="O437" s="110" t="inlineStr">
        <is>
          <t>X</t>
        </is>
      </c>
      <c r="P437" s="110" t="n"/>
      <c r="Q437" s="110" t="inlineStr">
        <is>
          <t>NECESSITA PONTEGGIO PER CONTROLLO STRUMENTO</t>
        </is>
      </c>
      <c r="R437" s="151" t="n">
        <v>45782</v>
      </c>
      <c r="S437" s="110" t="inlineStr">
        <is>
          <t>SPINALI</t>
        </is>
      </c>
      <c r="T437" s="109" t="inlineStr"/>
      <c r="U437" s="147" t="inlineStr"/>
    </row>
    <row r="438" ht="30" customHeight="1" s="122">
      <c r="A438" s="109" t="n"/>
      <c r="B438" s="109" t="inlineStr">
        <is>
          <t>X</t>
        </is>
      </c>
      <c r="C438" s="109" t="inlineStr"/>
      <c r="D438" s="109" t="inlineStr">
        <is>
          <t>AREA 2</t>
        </is>
      </c>
      <c r="E438" s="109" t="inlineStr">
        <is>
          <t>534561/C</t>
        </is>
      </c>
      <c r="F438" s="109" t="inlineStr">
        <is>
          <t>600</t>
        </is>
      </c>
      <c r="G438" s="109" t="inlineStr">
        <is>
          <t>600 - 600F021RC (L.S. STRIPP.T101)CONTROLLO E RIPRISTINO FUNZIONALITA PORTATA</t>
        </is>
      </c>
      <c r="H438" s="109" t="n"/>
      <c r="I438" s="109" t="n"/>
      <c r="J438" s="109" t="n"/>
      <c r="K438" s="109" t="n"/>
      <c r="L438" s="109" t="n"/>
      <c r="M438" s="109" t="inlineStr">
        <is>
          <t>INTERROTTO</t>
        </is>
      </c>
      <c r="N438" s="109" t="n"/>
      <c r="O438" s="109" t="n"/>
      <c r="P438" s="109" t="n"/>
      <c r="Q438" s="109" t="inlineStr">
        <is>
          <t>PROVATA STASATURA CON ESITO NEGATIVO, VALVOLA DI RADICE BLOCCATA APERTA.</t>
        </is>
      </c>
      <c r="R438" s="151" t="n">
        <v>45779</v>
      </c>
      <c r="S438" s="109" t="inlineStr">
        <is>
          <t>SPINALI</t>
        </is>
      </c>
      <c r="T438" s="109" t="inlineStr"/>
      <c r="U438" s="109" t="inlineStr"/>
    </row>
    <row r="439" ht="30" customHeight="1" s="122">
      <c r="A439" s="109" t="n"/>
      <c r="B439" s="108" t="inlineStr">
        <is>
          <t>X</t>
        </is>
      </c>
      <c r="C439" s="109" t="inlineStr"/>
      <c r="D439" s="109" t="inlineStr">
        <is>
          <t>AREA 2</t>
        </is>
      </c>
      <c r="E439" s="109" t="inlineStr">
        <is>
          <t>535091/C</t>
        </is>
      </c>
      <c r="F439" s="109" t="inlineStr">
        <is>
          <t>1000</t>
        </is>
      </c>
      <c r="G439" s="109" t="inlineStr">
        <is>
          <t>1000 - C101A CONTROLLO E RIPRISTINO VIBROSTATO HVS70A  A PANNELLO LOCALE</t>
        </is>
      </c>
      <c r="H439" s="109" t="n"/>
      <c r="I439" s="109" t="n"/>
      <c r="J439" s="109" t="n"/>
      <c r="K439" s="109" t="n"/>
      <c r="L439" s="109" t="n"/>
      <c r="M439" s="110" t="inlineStr">
        <is>
          <t>INTERROTTO</t>
        </is>
      </c>
      <c r="N439" s="110" t="n"/>
      <c r="O439" s="110" t="n"/>
      <c r="P439" s="110" t="n"/>
      <c r="Q439" s="110" t="inlineStr">
        <is>
          <t>PROBLEMA SU PANNELLO LOCALE, DA VERIFICARE CON NASELLI E PREZZAVENTO</t>
        </is>
      </c>
      <c r="R439" s="151" t="n">
        <v>45782</v>
      </c>
      <c r="S439" s="110" t="inlineStr">
        <is>
          <t>PARTESANO</t>
        </is>
      </c>
      <c r="T439" s="109" t="inlineStr"/>
      <c r="U439" s="147" t="inlineStr"/>
    </row>
    <row r="440" ht="30" customHeight="1" s="122">
      <c r="A440" s="109" t="n"/>
      <c r="B440" s="109" t="inlineStr">
        <is>
          <t>X</t>
        </is>
      </c>
      <c r="C440" s="109" t="inlineStr"/>
      <c r="D440" s="109" t="inlineStr">
        <is>
          <t>AREA 2</t>
        </is>
      </c>
      <c r="E440" s="109" t="inlineStr">
        <is>
          <t>527373/C</t>
        </is>
      </c>
      <c r="F440" s="109" t="inlineStr">
        <is>
          <t>600</t>
        </is>
      </c>
      <c r="G440" s="109" t="inlineStr">
        <is>
          <t>600 - RIPRISTINO PERDITA TRACCIA DI RAME C/O 06F007RC</t>
        </is>
      </c>
      <c r="H440" s="109" t="n"/>
      <c r="I440" s="109" t="n"/>
      <c r="J440" s="109" t="n"/>
      <c r="K440" s="109" t="n"/>
      <c r="L440" s="109" t="n"/>
      <c r="M440" s="109" t="inlineStr">
        <is>
          <t>INTERROTTO</t>
        </is>
      </c>
      <c r="N440" s="109" t="n"/>
      <c r="O440" s="109" t="n"/>
      <c r="P440" s="109" t="n"/>
      <c r="Q440" s="109" t="inlineStr">
        <is>
          <t>LA PERDITA DI VAPORE E' SULLO SCARICO DEL FLUSSAGGIO DI RAME DEL TX DI PORTATA, DA MONTARE UN CONDENSINO.</t>
        </is>
      </c>
      <c r="R440" s="151" t="n">
        <v>45715</v>
      </c>
      <c r="S440" s="109" t="inlineStr">
        <is>
          <t>TARASCIO/PARTESANO</t>
        </is>
      </c>
      <c r="T440" s="109" t="inlineStr"/>
      <c r="U440" s="109" t="inlineStr"/>
    </row>
    <row r="441">
      <c r="A441" s="109" t="n"/>
      <c r="B441" s="108" t="inlineStr">
        <is>
          <t>X</t>
        </is>
      </c>
      <c r="C441" s="109" t="inlineStr"/>
      <c r="D441" s="109" t="inlineStr">
        <is>
          <t>AREA 2</t>
        </is>
      </c>
      <c r="E441" s="109" t="inlineStr">
        <is>
          <t>527371/C</t>
        </is>
      </c>
      <c r="F441" s="109" t="inlineStr">
        <is>
          <t>600</t>
        </is>
      </c>
      <c r="G441" s="109" t="inlineStr">
        <is>
          <t>600 - RIPRISTINO PASSARELLA PASSACAVI C/O D102</t>
        </is>
      </c>
      <c r="H441" s="109" t="n"/>
      <c r="I441" s="109" t="n"/>
      <c r="J441" s="109" t="n"/>
      <c r="K441" s="109" t="n"/>
      <c r="L441" s="109" t="n"/>
      <c r="M441" s="110" t="inlineStr">
        <is>
          <t>INTERROTTO</t>
        </is>
      </c>
      <c r="N441" s="110" t="n"/>
      <c r="O441" s="110" t="n"/>
      <c r="P441" s="110" t="n"/>
      <c r="Q441" s="110" t="inlineStr">
        <is>
          <t>PER POTER LAVORARE OCCORRE PONTEGGIO, A CONOSCENZA TCL.</t>
        </is>
      </c>
      <c r="R441" s="151" t="n">
        <v>45715</v>
      </c>
      <c r="S441" s="110" t="inlineStr">
        <is>
          <t>MILLO/GARRO</t>
        </is>
      </c>
      <c r="T441" s="109" t="inlineStr"/>
      <c r="U441" s="147" t="inlineStr"/>
    </row>
    <row r="442" ht="30" customHeight="1" s="122">
      <c r="A442" s="109" t="n"/>
      <c r="B442" s="108" t="inlineStr">
        <is>
          <t>X</t>
        </is>
      </c>
      <c r="C442" s="109" t="inlineStr"/>
      <c r="D442" s="109" t="inlineStr">
        <is>
          <t>AREA 2</t>
        </is>
      </c>
      <c r="E442" s="109" t="inlineStr">
        <is>
          <t>526397/C</t>
        </is>
      </c>
      <c r="F442" s="109" t="inlineStr">
        <is>
          <t>1000</t>
        </is>
      </c>
      <c r="G442" s="109" t="inlineStr">
        <is>
          <t>1000 - T197BR RIPRISTINO TEMPERATURA</t>
        </is>
      </c>
      <c r="H442" s="109" t="n"/>
      <c r="I442" s="109" t="n"/>
      <c r="J442" s="109" t="n"/>
      <c r="K442" s="109" t="n"/>
      <c r="L442" s="109" t="n"/>
      <c r="M442" s="110" t="inlineStr">
        <is>
          <t>INTERROTTO</t>
        </is>
      </c>
      <c r="N442" s="110" t="n"/>
      <c r="O442" s="110" t="n"/>
      <c r="P442" s="110" t="n"/>
      <c r="Q442" s="110" t="inlineStr">
        <is>
          <t>PT 100 DA CONTROLLARE IN TESTINA ( ARRIVA APERTA, IN TESTA ALLA T103), ESEGUITO ALLINEAMENTO DA JBOX A SALA CONTROLLO, OK</t>
        </is>
      </c>
      <c r="R442" s="151" t="n">
        <v>45707</v>
      </c>
      <c r="S442" s="110" t="inlineStr">
        <is>
          <t>TARASCIO/PARTESANO</t>
        </is>
      </c>
      <c r="T442" s="109" t="inlineStr"/>
      <c r="U442" s="147" t="inlineStr"/>
    </row>
    <row r="443" ht="30" customHeight="1" s="122">
      <c r="A443" s="109" t="n"/>
      <c r="B443" s="109" t="inlineStr">
        <is>
          <t>X</t>
        </is>
      </c>
      <c r="C443" s="109" t="inlineStr"/>
      <c r="D443" s="109" t="inlineStr">
        <is>
          <t>AREA 2</t>
        </is>
      </c>
      <c r="E443" s="109" t="inlineStr">
        <is>
          <t>525903/C</t>
        </is>
      </c>
      <c r="F443" s="109" t="inlineStr">
        <is>
          <t>500</t>
        </is>
      </c>
      <c r="G443" s="109" t="inlineStr">
        <is>
          <t>500 - L014RC (E114) E CONTROLLO FUNZIONALITA E TARATURA LIVELLO CON ALLINEAMENTO  SALA CONTROLLO</t>
        </is>
      </c>
      <c r="H443" s="109" t="n"/>
      <c r="I443" s="109" t="n"/>
      <c r="J443" s="109" t="n"/>
      <c r="K443" s="109" t="n"/>
      <c r="L443" s="109" t="n"/>
      <c r="M443" s="109" t="inlineStr">
        <is>
          <t>INTERROTTO</t>
        </is>
      </c>
      <c r="N443" s="109" t="n"/>
      <c r="O443" s="109" t="inlineStr">
        <is>
          <t>X</t>
        </is>
      </c>
      <c r="P443" s="109" t="n"/>
      <c r="Q443" s="109" t="inlineStr">
        <is>
          <t>SERVE PONTEGGIO PER ACCEDERE ALLA TESTINA DI LIVELLO ( CIRCA 3MT)</t>
        </is>
      </c>
      <c r="R443" s="151" t="n">
        <v>45705</v>
      </c>
      <c r="S443" s="109" t="inlineStr">
        <is>
          <t>MILLO/TARASCIO</t>
        </is>
      </c>
      <c r="T443" s="109" t="inlineStr"/>
      <c r="U443" s="109" t="inlineStr"/>
    </row>
    <row r="444" ht="30" customHeight="1" s="122">
      <c r="A444" s="109" t="n"/>
      <c r="B444" s="108" t="inlineStr">
        <is>
          <t>X</t>
        </is>
      </c>
      <c r="C444" s="109" t="inlineStr"/>
      <c r="D444" s="109" t="inlineStr">
        <is>
          <t>AREA 2</t>
        </is>
      </c>
      <c r="E444" s="109" t="inlineStr">
        <is>
          <t>523951/C</t>
        </is>
      </c>
      <c r="F444" s="109" t="inlineStr">
        <is>
          <t>600</t>
        </is>
      </c>
      <c r="G444" s="109" t="inlineStr">
        <is>
          <t>600 - T002R(ZONA FLASH T101)CONTROLLO E RIPRISTINO TEMPERATURA</t>
        </is>
      </c>
      <c r="H444" s="109" t="n"/>
      <c r="I444" s="109" t="n"/>
      <c r="J444" s="109" t="n"/>
      <c r="K444" s="109" t="n"/>
      <c r="L444" s="109" t="n"/>
      <c r="M444" s="110" t="inlineStr">
        <is>
          <t>INTERROTTO</t>
        </is>
      </c>
      <c r="N444" s="110" t="n"/>
      <c r="O444" s="110" t="inlineStr">
        <is>
          <t>X</t>
        </is>
      </c>
      <c r="P444" s="110" t="n"/>
      <c r="Q444" s="110" t="inlineStr">
        <is>
          <t>DOPPINO O TERMOELEMENTO IN CORSO. SI NECESSITA PONTEGGIO CIRCA 20 MT PER TERMOELEMENTO.</t>
        </is>
      </c>
      <c r="R444" s="151" t="n">
        <v>45687</v>
      </c>
      <c r="S444" s="110" t="inlineStr">
        <is>
          <t>TARASCIO</t>
        </is>
      </c>
      <c r="T444" s="109" t="inlineStr"/>
      <c r="U444" s="147" t="inlineStr"/>
    </row>
    <row r="445">
      <c r="A445" s="109" t="n"/>
      <c r="B445" s="109" t="n"/>
      <c r="C445" s="109" t="inlineStr"/>
      <c r="D445" s="109" t="inlineStr">
        <is>
          <t>AREA 2</t>
        </is>
      </c>
      <c r="E445" s="109" t="inlineStr">
        <is>
          <t>549160/C</t>
        </is>
      </c>
      <c r="F445" s="109" t="inlineStr">
        <is>
          <t>1000</t>
        </is>
      </c>
      <c r="G445" s="109" t="inlineStr">
        <is>
          <t>1000R167BV CONTROLLO E RIPRISTINO FUNZIONALITA VALVOLA (NON VA OLTRE IL 30%)</t>
        </is>
      </c>
      <c r="H445" s="109" t="n"/>
      <c r="I445" s="109" t="n"/>
      <c r="J445" s="109" t="n"/>
      <c r="K445" s="109" t="n"/>
      <c r="L445" s="109" t="n"/>
      <c r="M445" s="109" t="inlineStr">
        <is>
          <t>INTERROTTO</t>
        </is>
      </c>
      <c r="N445" s="109" t="n"/>
      <c r="O445" s="109" t="n"/>
      <c r="P445" s="109" t="n"/>
      <c r="Q445" s="109" t="inlineStr">
        <is>
          <t>DA SMONTARE VALVOLA PER REVISIONE</t>
        </is>
      </c>
      <c r="R445" s="151" t="n">
        <v>45898</v>
      </c>
      <c r="S445" s="109" t="inlineStr">
        <is>
          <t>GARRO</t>
        </is>
      </c>
      <c r="T445" s="109" t="inlineStr"/>
      <c r="U445" s="109" t="n"/>
    </row>
    <row r="446">
      <c r="A446" s="109" t="n"/>
      <c r="B446" s="109" t="n"/>
      <c r="C446" s="109" t="inlineStr"/>
      <c r="D446" s="109" t="inlineStr">
        <is>
          <t>AREA 2</t>
        </is>
      </c>
      <c r="E446" s="109" t="inlineStr">
        <is>
          <t>549546/C</t>
        </is>
      </c>
      <c r="F446" s="109" t="inlineStr">
        <is>
          <t>1000</t>
        </is>
      </c>
      <c r="G446" s="109" t="inlineStr">
        <is>
          <t>1000L252HA (D119) CONTROLLO E RIPRISTINO LIVELLOSTATO</t>
        </is>
      </c>
      <c r="H446" s="109" t="n"/>
      <c r="I446" s="109" t="n"/>
      <c r="J446" s="109" t="n"/>
      <c r="K446" s="109" t="n"/>
      <c r="L446" s="109" t="n"/>
      <c r="M446" s="109" t="inlineStr">
        <is>
          <t>INTERROTTO</t>
        </is>
      </c>
      <c r="N446" s="109" t="n"/>
      <c r="O446" s="109" t="n"/>
      <c r="P446" s="109" t="n"/>
      <c r="Q446" s="109" t="inlineStr">
        <is>
          <t>NECESSITA PONTEGGIO PER INTERCETTARE RADICI</t>
        </is>
      </c>
      <c r="R446" s="151" t="n">
        <v>45903</v>
      </c>
      <c r="S446" s="109" t="inlineStr">
        <is>
          <t>SPINALI</t>
        </is>
      </c>
      <c r="T446" s="109" t="inlineStr"/>
      <c r="U446" s="147" t="n"/>
    </row>
    <row r="447" ht="30" customHeight="1" s="122">
      <c r="A447" s="109" t="n"/>
      <c r="B447" s="108" t="n"/>
      <c r="C447" s="109" t="inlineStr"/>
      <c r="D447" s="109" t="inlineStr">
        <is>
          <t>AREA 3</t>
        </is>
      </c>
      <c r="E447" s="109" t="inlineStr">
        <is>
          <t>551435/C</t>
        </is>
      </c>
      <c r="F447" s="109" t="inlineStr">
        <is>
          <t>800</t>
        </is>
      </c>
      <c r="G447" s="109" t="inlineStr">
        <is>
          <t xml:space="preserve">10230468   1200/3:  PER RIPRISTINO funzionale LCV401 </t>
        </is>
      </c>
      <c r="H447" s="109" t="n"/>
      <c r="I447" s="109" t="n"/>
      <c r="J447" s="109" t="n"/>
      <c r="K447" s="109" t="n"/>
      <c r="L447" s="109" t="n"/>
      <c r="M447" s="110" t="inlineStr">
        <is>
          <t>DA CHIUDERE</t>
        </is>
      </c>
      <c r="N447" s="110" t="n"/>
      <c r="O447" s="110" t="n"/>
      <c r="P447" s="110" t="n"/>
      <c r="Q447" s="110" t="inlineStr">
        <is>
          <t>SOSTITUITO FILTRO RIDUTTORE E IP-CONVERTER PERCHE' GUASTI. VALVOLA ALLINEATA ED INSERITA IN REGOLAZIONE CON ESE.</t>
        </is>
      </c>
      <c r="R447" s="151" t="n">
        <v>45917</v>
      </c>
      <c r="S447" s="110" t="inlineStr">
        <is>
          <t>MILLO</t>
        </is>
      </c>
      <c r="T447" s="109" t="inlineStr"/>
      <c r="U447" s="147" t="n"/>
    </row>
    <row r="448" ht="15" customHeight="1" s="122">
      <c r="A448" s="109" t="n"/>
      <c r="B448" s="108" t="n"/>
      <c r="C448" s="109" t="inlineStr"/>
      <c r="D448" s="109" t="inlineStr">
        <is>
          <t>AREA 3</t>
        </is>
      </c>
      <c r="E448" s="109" t="inlineStr">
        <is>
          <t>546730/C</t>
        </is>
      </c>
      <c r="F448" s="109" t="inlineStr">
        <is>
          <t>1800</t>
        </is>
      </c>
      <c r="G448" s="109" t="inlineStr">
        <is>
          <t>1800-P102C-ASSISTENZA STRUMENTALE A MACCHINE RIMONTAGGIO STRUMENTAZIONE</t>
        </is>
      </c>
      <c r="H448" s="109" t="n"/>
      <c r="I448" s="109" t="n"/>
      <c r="J448" s="109" t="n"/>
      <c r="K448" s="109" t="n"/>
      <c r="L448" s="109" t="n"/>
      <c r="M448" s="110" t="inlineStr">
        <is>
          <t>DA CHIUDERE</t>
        </is>
      </c>
      <c r="N448" s="110" t="n"/>
      <c r="O448" s="110" t="n"/>
      <c r="P448" s="110" t="n"/>
      <c r="Q448" s="110" t="inlineStr">
        <is>
          <t>RIMONTAGGIO SONDE</t>
        </is>
      </c>
      <c r="R448" s="151" t="n">
        <v>45873</v>
      </c>
      <c r="S448" s="110" t="n"/>
      <c r="T448" s="109" t="inlineStr"/>
      <c r="U448" s="147" t="inlineStr"/>
    </row>
    <row r="449" ht="30" customHeight="1" s="122">
      <c r="A449" s="109" t="n"/>
      <c r="B449" s="108" t="n"/>
      <c r="C449" s="109" t="inlineStr"/>
      <c r="D449" s="109" t="inlineStr">
        <is>
          <t>AREA 3</t>
        </is>
      </c>
      <c r="E449" s="109" t="inlineStr">
        <is>
          <t>547729/C</t>
        </is>
      </c>
      <c r="F449" s="109" t="inlineStr">
        <is>
          <t>1800</t>
        </is>
      </c>
      <c r="G449" s="109" t="inlineStr">
        <is>
          <t>10227289 P102A RIMONTAGGIO FR IN MANDATA POMPA</t>
        </is>
      </c>
      <c r="H449" s="109" t="n"/>
      <c r="I449" s="109" t="n"/>
      <c r="J449" s="109" t="n"/>
      <c r="K449" s="109" t="n"/>
      <c r="L449" s="109" t="n"/>
      <c r="M449" s="110" t="inlineStr">
        <is>
          <t>DA CHIUDERE</t>
        </is>
      </c>
      <c r="N449" s="110" t="n"/>
      <c r="O449" s="110" t="n"/>
      <c r="P449" s="110" t="n"/>
      <c r="Q449" s="110" t="inlineStr">
        <is>
          <t>RIMONTAGGIO STRUMENTI DOPO RIFACIMENTO PIPING A CURA MECCANICI</t>
        </is>
      </c>
      <c r="R449" s="151" t="n">
        <v>45883</v>
      </c>
      <c r="S449" s="110" t="inlineStr">
        <is>
          <t>LOMBARDO/SERRA</t>
        </is>
      </c>
      <c r="T449" s="109" t="inlineStr"/>
      <c r="U449" s="147" t="inlineStr">
        <is>
          <t>10227289</t>
        </is>
      </c>
    </row>
    <row r="450" ht="30" customHeight="1" s="122">
      <c r="A450" s="109" t="n"/>
      <c r="B450" s="109" t="n"/>
      <c r="C450" s="109" t="inlineStr"/>
      <c r="D450" s="109" t="inlineStr">
        <is>
          <t>AREA 3</t>
        </is>
      </c>
      <c r="E450" s="109" t="inlineStr">
        <is>
          <t>548050/C</t>
        </is>
      </c>
      <c r="F450" s="109" t="inlineStr">
        <is>
          <t>700A</t>
        </is>
      </c>
      <c r="G450" s="109" t="inlineStr">
        <is>
          <t>10229081  700: SERRAGGIO PRESSATRECCIA PCV323A</t>
        </is>
      </c>
      <c r="H450" s="109" t="n"/>
      <c r="I450" s="109" t="n"/>
      <c r="J450" s="109" t="n"/>
      <c r="K450" s="109" t="n"/>
      <c r="L450" s="109" t="n"/>
      <c r="M450" s="109" t="inlineStr">
        <is>
          <t>DA CHIUDERE</t>
        </is>
      </c>
      <c r="N450" s="109" t="n"/>
      <c r="O450" s="109" t="n"/>
      <c r="P450" s="109" t="n"/>
      <c r="Q450" s="109" t="inlineStr">
        <is>
          <t>SERRATO PRESSATRECCIA, PROVA MOVIMENTAZIONE VALVOLA, OK. LA PERDITA E' STATA ELIMINATA.</t>
        </is>
      </c>
      <c r="R450" s="151" t="n">
        <v>45888</v>
      </c>
      <c r="S450" s="109" t="inlineStr">
        <is>
          <t>MILLO</t>
        </is>
      </c>
      <c r="T450" s="109" t="inlineStr"/>
      <c r="U450" s="147" t="inlineStr">
        <is>
          <t>10229081</t>
        </is>
      </c>
    </row>
    <row r="451" ht="30" customHeight="1" s="122">
      <c r="A451" s="109" t="n"/>
      <c r="B451" s="108" t="n"/>
      <c r="C451" s="109" t="inlineStr"/>
      <c r="D451" s="109" t="inlineStr">
        <is>
          <t>AREA 3</t>
        </is>
      </c>
      <c r="E451" s="109" t="inlineStr">
        <is>
          <t>547592/C</t>
        </is>
      </c>
      <c r="F451" s="109" t="inlineStr">
        <is>
          <t>1200</t>
        </is>
      </c>
      <c r="G451" s="109" t="inlineStr">
        <is>
          <t>1200  Z3 F302 1200  Z3 F306 controllo e ripristino</t>
        </is>
      </c>
      <c r="H451" s="109" t="n"/>
      <c r="I451" s="109" t="n"/>
      <c r="J451" s="109" t="n"/>
      <c r="K451" s="109" t="n"/>
      <c r="L451" s="109" t="n"/>
      <c r="M451" s="110" t="inlineStr">
        <is>
          <t>DA CHIUDERE</t>
        </is>
      </c>
      <c r="N451" s="110" t="n"/>
      <c r="O451" s="110" t="n"/>
      <c r="P451" s="110" t="n"/>
      <c r="Q451" s="110" t="inlineStr">
        <is>
          <t>REGOLATI I FLUSSAGGI ED AZZERAMENTO STRUMENTI.</t>
        </is>
      </c>
      <c r="R451" s="151" t="n">
        <v>45881</v>
      </c>
      <c r="S451" s="110" t="inlineStr">
        <is>
          <t>SPINALI/LOMBARDO</t>
        </is>
      </c>
      <c r="T451" s="109" t="inlineStr"/>
      <c r="U451" s="147" t="inlineStr"/>
    </row>
    <row r="452" ht="45" customHeight="1" s="122">
      <c r="A452" s="109" t="n"/>
      <c r="B452" s="109" t="n"/>
      <c r="C452" s="109" t="inlineStr"/>
      <c r="D452" s="109" t="inlineStr">
        <is>
          <t>AREA 3</t>
        </is>
      </c>
      <c r="E452" s="109" t="inlineStr">
        <is>
          <t>547491/C</t>
        </is>
      </c>
      <c r="F452" s="109" t="inlineStr">
        <is>
          <t>800</t>
        </is>
      </c>
      <c r="G452" s="109" t="inlineStr">
        <is>
          <t>10228738   800: PCV122 ripristino PIC locale</t>
        </is>
      </c>
      <c r="H452" s="109" t="n"/>
      <c r="I452" s="109" t="n"/>
      <c r="J452" s="109" t="n"/>
      <c r="K452" s="109" t="n"/>
      <c r="L452" s="109" t="n"/>
      <c r="M452" s="109" t="inlineStr">
        <is>
          <t>DA CHIUDERE</t>
        </is>
      </c>
      <c r="N452" s="109" t="n"/>
      <c r="O452" s="109" t="n"/>
      <c r="P452" s="109" t="n"/>
      <c r="Q452" s="109" t="inlineStr">
        <is>
          <t>TROVATO TUBO ALIMENTAZIONE REGOLATORE SPEZZATO, SOSTITUITI MT 3 TUBO RAME 6mm, FILTRO RIDUTTORE E CONTROLLO DI TARATUTA VALVOLA/REGOLATORE. LOOP OK</t>
        </is>
      </c>
      <c r="R452" s="151" t="n">
        <v>45881</v>
      </c>
      <c r="S452" s="109" t="inlineStr">
        <is>
          <t>MILLO</t>
        </is>
      </c>
      <c r="T452" s="109" t="inlineStr"/>
      <c r="U452" s="109" t="inlineStr">
        <is>
          <t>10228738</t>
        </is>
      </c>
    </row>
    <row r="453">
      <c r="A453" s="109" t="n"/>
      <c r="B453" s="108" t="n"/>
      <c r="C453" s="109" t="inlineStr"/>
      <c r="D453" s="109" t="inlineStr">
        <is>
          <t>AREA 3</t>
        </is>
      </c>
      <c r="E453" s="109" t="inlineStr">
        <is>
          <t>546433/C</t>
        </is>
      </c>
      <c r="F453" s="109" t="inlineStr">
        <is>
          <t>1100</t>
        </is>
      </c>
      <c r="G453" s="109" t="inlineStr">
        <is>
          <t>10228192 1100 LCV016- controllo e ripristino funzionale valvola</t>
        </is>
      </c>
      <c r="H453" s="109" t="n"/>
      <c r="I453" s="109" t="n"/>
      <c r="J453" s="109" t="n"/>
      <c r="K453" s="109" t="n"/>
      <c r="L453" s="109" t="n"/>
      <c r="M453" s="110" t="inlineStr">
        <is>
          <t>DA CHIUDERE</t>
        </is>
      </c>
      <c r="N453" s="110" t="n"/>
      <c r="O453" s="110" t="n"/>
      <c r="P453" s="110" t="n"/>
      <c r="Q453" s="110" t="inlineStr">
        <is>
          <t>VALVOLA DA REVISIONARE PERCHE' IN PESSIME CONDIZIONI.</t>
        </is>
      </c>
      <c r="R453" s="151" t="n">
        <v>45869</v>
      </c>
      <c r="S453" s="110" t="inlineStr">
        <is>
          <t>GARRO</t>
        </is>
      </c>
      <c r="T453" s="109" t="inlineStr"/>
      <c r="U453" s="147" t="inlineStr">
        <is>
          <t>10228192</t>
        </is>
      </c>
    </row>
    <row r="454">
      <c r="A454" s="109" t="n"/>
      <c r="B454" s="109" t="n">
        <v>3</v>
      </c>
      <c r="C454" s="109" t="inlineStr"/>
      <c r="D454" s="109" t="inlineStr">
        <is>
          <t>AREA 3</t>
        </is>
      </c>
      <c r="E454" s="109" t="inlineStr">
        <is>
          <t>539521/C</t>
        </is>
      </c>
      <c r="F454" s="109" t="inlineStr">
        <is>
          <t>1200/3</t>
        </is>
      </c>
      <c r="G454" s="109" t="inlineStr">
        <is>
          <t xml:space="preserve"> 1200/3 - F302RC RIPRISTINO PRIMARIO</t>
        </is>
      </c>
      <c r="H454" s="109" t="n"/>
      <c r="I454" s="109" t="n"/>
      <c r="J454" s="109" t="n"/>
      <c r="K454" s="109" t="n"/>
      <c r="L454" s="109" t="n"/>
      <c r="M454" s="109" t="inlineStr">
        <is>
          <t>DA CHIUDERE</t>
        </is>
      </c>
      <c r="N454" s="109" t="n"/>
      <c r="O454" s="109" t="n"/>
      <c r="P454" s="109" t="n"/>
      <c r="Q454" s="109" t="inlineStr">
        <is>
          <t>RIPRISTINATO PRIMARIO SU F302R</t>
        </is>
      </c>
      <c r="R454" s="151" t="n">
        <v>45812</v>
      </c>
      <c r="S454" s="109" t="inlineStr">
        <is>
          <t>DE LUCA</t>
        </is>
      </c>
      <c r="T454" s="109" t="inlineStr"/>
      <c r="U454" s="109" t="inlineStr"/>
    </row>
    <row r="455" ht="30" customHeight="1" s="122">
      <c r="A455" s="109" t="n"/>
      <c r="B455" s="108" t="n">
        <v>3</v>
      </c>
      <c r="C455" s="109" t="inlineStr"/>
      <c r="D455" s="109" t="inlineStr">
        <is>
          <t>AREA 3</t>
        </is>
      </c>
      <c r="E455" s="109" t="inlineStr">
        <is>
          <t>538116/C</t>
        </is>
      </c>
      <c r="F455" s="109" t="inlineStr">
        <is>
          <t>800</t>
        </is>
      </c>
      <c r="G455" s="109" t="inlineStr">
        <is>
          <t xml:space="preserve"> 10222780 800 - L109CV CONTROLLO LOOP DI REGOLAZIONE ED EVENTUALE SMONTAGGIO PER REVISIONE VALVOLA</t>
        </is>
      </c>
      <c r="H455" s="109" t="n"/>
      <c r="I455" s="109" t="n"/>
      <c r="J455" s="109" t="n"/>
      <c r="K455" s="109" t="n"/>
      <c r="L455" s="109" t="n"/>
      <c r="M455" s="110" t="inlineStr">
        <is>
          <t>DA CHIUDERE</t>
        </is>
      </c>
      <c r="N455" s="110" t="n"/>
      <c r="O455" s="110" t="n"/>
      <c r="P455" s="110" t="n"/>
      <c r="Q455" s="110" t="inlineStr">
        <is>
          <t>VALVOLA RIMONTATA IN CAMPO</t>
        </is>
      </c>
      <c r="R455" s="151" t="n">
        <v>45825</v>
      </c>
      <c r="S455" s="110" t="inlineStr">
        <is>
          <t>SAGGIO</t>
        </is>
      </c>
      <c r="T455" s="109" t="inlineStr"/>
      <c r="U455" s="147" t="inlineStr">
        <is>
          <t xml:space="preserve"> 1022278</t>
        </is>
      </c>
    </row>
    <row r="456" ht="30" customHeight="1" s="122">
      <c r="A456" s="109" t="n"/>
      <c r="B456" s="108" t="inlineStr">
        <is>
          <t>X</t>
        </is>
      </c>
      <c r="C456" s="109" t="inlineStr"/>
      <c r="D456" s="109" t="inlineStr">
        <is>
          <t>AREA 3</t>
        </is>
      </c>
      <c r="E456" s="109" t="inlineStr">
        <is>
          <t>533445/C</t>
        </is>
      </c>
      <c r="F456" s="109" t="inlineStr">
        <is>
          <t>1200</t>
        </is>
      </c>
      <c r="G456" s="109" t="inlineStr">
        <is>
          <t xml:space="preserve"> 1200/0 F901/A RIPRISTINO FUNZIONALITA ACCENDITORE E PROVE  DI ACCENSIONE CON SALA CONTROLLO</t>
        </is>
      </c>
      <c r="H456" s="109" t="n"/>
      <c r="I456" s="109" t="n"/>
      <c r="J456" s="109" t="n"/>
      <c r="K456" s="109" t="n"/>
      <c r="L456" s="109" t="n"/>
      <c r="M456" s="110" t="inlineStr">
        <is>
          <t>DA CHIUDERE</t>
        </is>
      </c>
      <c r="N456" s="110" t="n"/>
      <c r="O456" s="110" t="n"/>
      <c r="P456" s="110" t="n"/>
      <c r="Q456" s="110" t="inlineStr">
        <is>
          <t>RIPRISTINATA FUNZIONALITA'</t>
        </is>
      </c>
      <c r="R456" s="151" t="n">
        <v>45763</v>
      </c>
      <c r="S456" s="110" t="inlineStr">
        <is>
          <t>TARASCIO</t>
        </is>
      </c>
      <c r="T456" s="109" t="inlineStr"/>
      <c r="U456" s="147" t="inlineStr"/>
    </row>
    <row r="457">
      <c r="A457" s="109" t="n"/>
      <c r="B457" s="108" t="inlineStr">
        <is>
          <t>X</t>
        </is>
      </c>
      <c r="C457" s="109" t="inlineStr"/>
      <c r="D457" s="109" t="inlineStr">
        <is>
          <t>AREA 3</t>
        </is>
      </c>
      <c r="E457" s="109" t="inlineStr">
        <is>
          <t>533488/C</t>
        </is>
      </c>
      <c r="F457" s="109" t="inlineStr">
        <is>
          <t>1200</t>
        </is>
      </c>
      <c r="G457" s="109" t="inlineStr">
        <is>
          <t xml:space="preserve"> ZO BM901B SOFFIANTE RIPRISTINO TEMPERATURA ZOT934I</t>
        </is>
      </c>
      <c r="H457" s="109" t="n"/>
      <c r="I457" s="109" t="n"/>
      <c r="J457" s="109" t="n"/>
      <c r="K457" s="109" t="n"/>
      <c r="L457" s="109" t="n"/>
      <c r="M457" s="110" t="inlineStr">
        <is>
          <t>DA CHIUDERE</t>
        </is>
      </c>
      <c r="N457" s="110" t="n"/>
      <c r="O457" s="110" t="n"/>
      <c r="P457" s="110" t="n"/>
      <c r="Q457" s="110" t="inlineStr">
        <is>
          <t>RIPRISTINATA FUNZIONALITA'</t>
        </is>
      </c>
      <c r="R457" s="151" t="n">
        <v>45763</v>
      </c>
      <c r="S457" s="110" t="inlineStr">
        <is>
          <t>TARASCIO</t>
        </is>
      </c>
      <c r="T457" s="109" t="inlineStr"/>
      <c r="U457" s="147" t="inlineStr"/>
    </row>
    <row r="458">
      <c r="A458" s="109" t="n"/>
      <c r="B458" s="109" t="inlineStr">
        <is>
          <t>X</t>
        </is>
      </c>
      <c r="C458" s="109" t="inlineStr"/>
      <c r="D458" s="109" t="inlineStr">
        <is>
          <t>AREA 3</t>
        </is>
      </c>
      <c r="E458" s="109" t="inlineStr">
        <is>
          <t>533804/C</t>
        </is>
      </c>
      <c r="F458" s="109" t="inlineStr">
        <is>
          <t>2200 BD</t>
        </is>
      </c>
      <c r="G458" s="109" t="inlineStr">
        <is>
          <t xml:space="preserve"> 18000153620    2200 C201S Scollegamento sonde per rimozione compressore</t>
        </is>
      </c>
      <c r="H458" s="109" t="n"/>
      <c r="I458" s="109" t="n"/>
      <c r="J458" s="109" t="n"/>
      <c r="K458" s="109" t="n"/>
      <c r="L458" s="109" t="n"/>
      <c r="M458" s="109" t="inlineStr">
        <is>
          <t>DA CHIUDERE</t>
        </is>
      </c>
      <c r="N458" s="109" t="n"/>
      <c r="O458" s="109" t="n"/>
      <c r="P458" s="109" t="n"/>
      <c r="Q458" s="109" t="inlineStr">
        <is>
          <t>RIPRISTINATA FUNZIONALITA'</t>
        </is>
      </c>
      <c r="R458" s="151" t="n">
        <v>45765</v>
      </c>
      <c r="S458" s="109" t="inlineStr">
        <is>
          <t>MILLO</t>
        </is>
      </c>
      <c r="T458" s="109" t="inlineStr"/>
      <c r="U458" s="109" t="inlineStr">
        <is>
          <t xml:space="preserve"> 1800015</t>
        </is>
      </c>
    </row>
    <row r="459" ht="30" customHeight="1" s="122">
      <c r="A459" s="109" t="n"/>
      <c r="B459" s="109" t="inlineStr">
        <is>
          <t>X</t>
        </is>
      </c>
      <c r="C459" s="109" t="inlineStr"/>
      <c r="D459" s="109" t="inlineStr">
        <is>
          <t>AREA 3</t>
        </is>
      </c>
      <c r="E459" s="109" t="inlineStr">
        <is>
          <t>537305/C</t>
        </is>
      </c>
      <c r="F459" s="109" t="inlineStr">
        <is>
          <t>1200</t>
        </is>
      </c>
      <c r="G459" s="109" t="inlineStr">
        <is>
          <t xml:space="preserve"> 1200/2  assistenza accensione ed eventuale scollegamento/ricollegamento pilota per revisione</t>
        </is>
      </c>
      <c r="H459" s="109" t="n"/>
      <c r="I459" s="109" t="n"/>
      <c r="J459" s="109" t="n"/>
      <c r="K459" s="109" t="n"/>
      <c r="L459" s="109" t="n"/>
      <c r="M459" s="109" t="inlineStr">
        <is>
          <t>DA CHIUDERE</t>
        </is>
      </c>
      <c r="N459" s="109" t="n"/>
      <c r="O459" s="109" t="n"/>
      <c r="P459" s="109" t="n"/>
      <c r="Q459" s="109" t="inlineStr">
        <is>
          <t>RIPRISTINATA FUNZIONALITA'</t>
        </is>
      </c>
      <c r="R459" s="151" t="n">
        <v>45796</v>
      </c>
      <c r="S459" s="109" t="inlineStr">
        <is>
          <t>RICIPUTO</t>
        </is>
      </c>
      <c r="T459" s="109" t="inlineStr"/>
      <c r="U459" s="109" t="inlineStr"/>
    </row>
    <row r="460">
      <c r="A460" s="109" t="n"/>
      <c r="B460" s="108" t="inlineStr">
        <is>
          <t>X</t>
        </is>
      </c>
      <c r="C460" s="109" t="inlineStr"/>
      <c r="D460" s="109" t="inlineStr">
        <is>
          <t>AREA 3</t>
        </is>
      </c>
      <c r="E460" s="109" t="inlineStr">
        <is>
          <t>537662/C</t>
        </is>
      </c>
      <c r="F460" s="109" t="inlineStr">
        <is>
          <t>1200</t>
        </is>
      </c>
      <c r="G460" s="109" t="inlineStr">
        <is>
          <t xml:space="preserve"> 1200/1 P10SL CONTROLLO E RIPRISTINO</t>
        </is>
      </c>
      <c r="H460" s="109" t="n"/>
      <c r="I460" s="109" t="n"/>
      <c r="J460" s="109" t="n"/>
      <c r="K460" s="109" t="n"/>
      <c r="L460" s="109" t="n"/>
      <c r="M460" s="110" t="inlineStr">
        <is>
          <t>DA CHIUDERE</t>
        </is>
      </c>
      <c r="N460" s="110" t="n"/>
      <c r="O460" s="110" t="n"/>
      <c r="P460" s="110" t="n"/>
      <c r="Q460" s="110" t="inlineStr">
        <is>
          <t>RIPRISTINATA FUNZIONALITA'</t>
        </is>
      </c>
      <c r="R460" s="151" t="n">
        <v>45798</v>
      </c>
      <c r="S460" s="110" t="inlineStr">
        <is>
          <t>MILLO</t>
        </is>
      </c>
      <c r="T460" s="109" t="inlineStr"/>
      <c r="U460" s="147" t="inlineStr"/>
    </row>
    <row r="461">
      <c r="A461" s="109" t="n"/>
      <c r="B461" s="109" t="inlineStr">
        <is>
          <t>X</t>
        </is>
      </c>
      <c r="C461" s="109" t="inlineStr"/>
      <c r="D461" s="109" t="inlineStr">
        <is>
          <t>AREA 3</t>
        </is>
      </c>
      <c r="E461" s="109" t="inlineStr">
        <is>
          <t>539114/C</t>
        </is>
      </c>
      <c r="F461" s="109" t="inlineStr">
        <is>
          <t>1200</t>
        </is>
      </c>
      <c r="G461" s="109" t="inlineStr">
        <is>
          <t xml:space="preserve"> 1200/1 F306 sostituzione trasmettitore di portata</t>
        </is>
      </c>
      <c r="H461" s="109" t="n"/>
      <c r="I461" s="109" t="n"/>
      <c r="J461" s="109" t="n"/>
      <c r="K461" s="109" t="n"/>
      <c r="L461" s="109" t="n"/>
      <c r="M461" s="109" t="inlineStr">
        <is>
          <t>DA CHIUDERE</t>
        </is>
      </c>
      <c r="N461" s="109" t="n"/>
      <c r="O461" s="109" t="n"/>
      <c r="P461" s="109" t="n"/>
      <c r="Q461" s="109" t="inlineStr">
        <is>
          <t>RIPRISTINATA FUNZIONALITA'</t>
        </is>
      </c>
      <c r="R461" s="151" t="n">
        <v>45807</v>
      </c>
      <c r="S461" s="109" t="inlineStr">
        <is>
          <t>MILLO</t>
        </is>
      </c>
      <c r="T461" s="109" t="inlineStr"/>
      <c r="U461" s="147" t="inlineStr"/>
    </row>
    <row r="462" ht="30" customHeight="1" s="122">
      <c r="A462" s="109" t="n"/>
      <c r="B462" s="108" t="n">
        <v>3</v>
      </c>
      <c r="C462" s="109" t="inlineStr"/>
      <c r="D462" s="109" t="inlineStr">
        <is>
          <t>AREA 3</t>
        </is>
      </c>
      <c r="E462" s="109" t="inlineStr">
        <is>
          <t>539322/C</t>
        </is>
      </c>
      <c r="F462" s="109" t="inlineStr">
        <is>
          <t>700</t>
        </is>
      </c>
      <c r="G462" s="109" t="inlineStr">
        <is>
          <t xml:space="preserve"> 700 - F101N: ASSISTENZA PER RIPRISTINO BRUCIATORE D</t>
        </is>
      </c>
      <c r="H462" s="109" t="n"/>
      <c r="I462" s="109" t="n"/>
      <c r="J462" s="109" t="n"/>
      <c r="K462" s="109" t="n"/>
      <c r="L462" s="109" t="n"/>
      <c r="M462" s="110" t="inlineStr">
        <is>
          <t>DA CHIUDERE</t>
        </is>
      </c>
      <c r="N462" s="110" t="n"/>
      <c r="O462" s="110" t="n"/>
      <c r="P462" s="110" t="n"/>
      <c r="Q462" s="110" t="inlineStr">
        <is>
          <t>RIPRISTINATA FUNZIONALITA'</t>
        </is>
      </c>
      <c r="R462" s="151" t="n">
        <v>45811</v>
      </c>
      <c r="S462" s="110" t="inlineStr">
        <is>
          <t>SPINALI/BAUDO</t>
        </is>
      </c>
      <c r="T462" s="109" t="inlineStr"/>
      <c r="U462" s="147" t="inlineStr"/>
    </row>
    <row r="463" ht="30" customHeight="1" s="122">
      <c r="A463" s="109" t="n"/>
      <c r="B463" s="108" t="inlineStr">
        <is>
          <t>X</t>
        </is>
      </c>
      <c r="C463" s="109" t="inlineStr"/>
      <c r="D463" s="109" t="inlineStr">
        <is>
          <t>AREA 3</t>
        </is>
      </c>
      <c r="E463" s="109" t="inlineStr">
        <is>
          <t>532170/C</t>
        </is>
      </c>
      <c r="F463" s="109" t="inlineStr">
        <is>
          <t>1200/M</t>
        </is>
      </c>
      <c r="G463" s="109" t="inlineStr">
        <is>
          <t xml:space="preserve"> 10215992 1200/M - ZMF716R.PV (Vapore bassa maxi)  controllo funzionale</t>
        </is>
      </c>
      <c r="H463" s="109" t="n"/>
      <c r="I463" s="109" t="n"/>
      <c r="J463" s="109" t="n"/>
      <c r="K463" s="109" t="n"/>
      <c r="L463" s="109" t="n"/>
      <c r="M463" s="110" t="inlineStr">
        <is>
          <t>DA CHIUDERE</t>
        </is>
      </c>
      <c r="N463" s="110" t="n"/>
      <c r="O463" s="110" t="n"/>
      <c r="P463" s="110" t="n"/>
      <c r="Q463" s="110" t="inlineStr">
        <is>
          <t>STASATA T DEL BARILOTTO. INSERITO, OK.</t>
        </is>
      </c>
      <c r="R463" s="151" t="n">
        <v>45803</v>
      </c>
      <c r="S463" s="110" t="inlineStr">
        <is>
          <t>TARASCIO/PARTESANO</t>
        </is>
      </c>
      <c r="T463" s="109" t="inlineStr"/>
      <c r="U463" s="147" t="inlineStr">
        <is>
          <t xml:space="preserve"> 1021599</t>
        </is>
      </c>
    </row>
    <row r="464">
      <c r="A464" s="109" t="n"/>
      <c r="B464" s="109" t="inlineStr">
        <is>
          <t>X</t>
        </is>
      </c>
      <c r="C464" s="109" t="inlineStr"/>
      <c r="D464" s="109" t="inlineStr">
        <is>
          <t>AREA 3</t>
        </is>
      </c>
      <c r="E464" s="109" t="inlineStr">
        <is>
          <t>537470/C</t>
        </is>
      </c>
      <c r="F464" s="109" t="inlineStr">
        <is>
          <t>1400</t>
        </is>
      </c>
      <c r="G464" s="109" t="inlineStr">
        <is>
          <t xml:space="preserve"> 1400 - F201R CONTROLLO FUNZIONALE</t>
        </is>
      </c>
      <c r="H464" s="109" t="n"/>
      <c r="I464" s="109" t="n"/>
      <c r="J464" s="109" t="n"/>
      <c r="K464" s="109" t="n"/>
      <c r="L464" s="109" t="n"/>
      <c r="M464" s="109" t="inlineStr">
        <is>
          <t>DA CHIUDERE</t>
        </is>
      </c>
      <c r="N464" s="109" t="n"/>
      <c r="O464" s="109" t="n"/>
      <c r="P464" s="109" t="n"/>
      <c r="Q464" s="109" t="inlineStr">
        <is>
          <t>CORETTO DI ZERO, RIPRISTINATA LA FUNZIONALITA'</t>
        </is>
      </c>
      <c r="R464" s="151" t="n">
        <v>45797</v>
      </c>
      <c r="S464" s="109" t="inlineStr">
        <is>
          <t>TARASCIO</t>
        </is>
      </c>
      <c r="T464" s="109" t="inlineStr"/>
      <c r="U464" s="109" t="inlineStr"/>
    </row>
    <row r="465">
      <c r="A465" s="109" t="n"/>
      <c r="B465" s="108" t="inlineStr">
        <is>
          <t>X</t>
        </is>
      </c>
      <c r="C465" s="109" t="inlineStr"/>
      <c r="D465" s="109" t="inlineStr">
        <is>
          <t>AREA 3</t>
        </is>
      </c>
      <c r="E465" s="109" t="inlineStr">
        <is>
          <t>536849/C</t>
        </is>
      </c>
      <c r="F465" s="109" t="inlineStr">
        <is>
          <t>1400</t>
        </is>
      </c>
      <c r="G465" s="109" t="inlineStr">
        <is>
          <t xml:space="preserve"> 1400 - D105 CONTROLLO LIVELLI ACCUMULATORE</t>
        </is>
      </c>
      <c r="H465" s="109" t="n"/>
      <c r="I465" s="109" t="n"/>
      <c r="J465" s="109" t="n"/>
      <c r="K465" s="109" t="n"/>
      <c r="L465" s="109" t="n"/>
      <c r="M465" s="110" t="inlineStr">
        <is>
          <t>DA CHIUDERE</t>
        </is>
      </c>
      <c r="N465" s="110" t="n"/>
      <c r="O465" s="110" t="n"/>
      <c r="P465" s="110" t="n"/>
      <c r="Q465" s="110" t="inlineStr">
        <is>
          <t>ESEGUITA SOSTITUZIONE STRUMENTO (L006R)</t>
        </is>
      </c>
      <c r="R465" s="151" t="n">
        <v>45797</v>
      </c>
      <c r="S465" s="110" t="inlineStr">
        <is>
          <t>SPINALI</t>
        </is>
      </c>
      <c r="T465" s="109" t="inlineStr"/>
      <c r="U465" s="147" t="inlineStr"/>
    </row>
    <row r="466" ht="45" customHeight="1" s="122">
      <c r="A466" s="109" t="n"/>
      <c r="B466" s="108" t="inlineStr">
        <is>
          <t>X</t>
        </is>
      </c>
      <c r="C466" s="109" t="inlineStr"/>
      <c r="D466" s="109" t="inlineStr">
        <is>
          <t>AREA 3</t>
        </is>
      </c>
      <c r="E466" s="109" t="inlineStr">
        <is>
          <t>536522/C</t>
        </is>
      </c>
      <c r="F466" s="109" t="inlineStr">
        <is>
          <t>1200/3</t>
        </is>
      </c>
      <c r="G466" s="109" t="inlineStr">
        <is>
          <t xml:space="preserve"> 10213685 1200/3 - B204V SMONTAGGIO/RIMONTAGGIO VALVOLA E RIDUTTORE PER REVISIONE  SMONTAGGIO E SOSTITUZIONE TUBI AMMOLORATIE SOSTITUZIONE VS DI INTERCETTO</t>
        </is>
      </c>
      <c r="H466" s="109" t="n"/>
      <c r="I466" s="109" t="n"/>
      <c r="J466" s="109" t="n"/>
      <c r="K466" s="109" t="n"/>
      <c r="L466" s="109" t="n"/>
      <c r="M466" s="110" t="inlineStr">
        <is>
          <t>DA CHIUDERE</t>
        </is>
      </c>
      <c r="N466" s="110" t="n"/>
      <c r="O466" s="110" t="n"/>
      <c r="P466" s="110" t="n"/>
      <c r="Q466" s="110" t="inlineStr">
        <is>
          <t>ESEGUITO RIMONTAGGIO IN CAMPO.</t>
        </is>
      </c>
      <c r="R466" s="151" t="n">
        <v>45791</v>
      </c>
      <c r="S466" s="110" t="inlineStr">
        <is>
          <t>GARRO</t>
        </is>
      </c>
      <c r="T466" s="109" t="inlineStr"/>
      <c r="U466" s="147" t="inlineStr">
        <is>
          <t xml:space="preserve"> 1021368</t>
        </is>
      </c>
    </row>
    <row r="467" ht="30" customHeight="1" s="122">
      <c r="A467" s="109" t="n"/>
      <c r="B467" s="108" t="n">
        <v>1</v>
      </c>
      <c r="C467" s="109" t="inlineStr"/>
      <c r="D467" s="109" t="inlineStr">
        <is>
          <t>AREA 3</t>
        </is>
      </c>
      <c r="E467" s="109" t="inlineStr">
        <is>
          <t>537401/C</t>
        </is>
      </c>
      <c r="F467" s="109" t="inlineStr">
        <is>
          <t>1400</t>
        </is>
      </c>
      <c r="G467" s="109" t="inlineStr">
        <is>
          <t xml:space="preserve"> 1400 - F009R D-106/7 GAS A RECUPERO CONTROLLO E RIPRISTINO FUNZIONALITA PORTATA</t>
        </is>
      </c>
      <c r="H467" s="109" t="n"/>
      <c r="I467" s="109" t="n"/>
      <c r="J467" s="109" t="n"/>
      <c r="K467" s="109" t="n"/>
      <c r="L467" s="109" t="n"/>
      <c r="M467" s="110" t="inlineStr">
        <is>
          <t>DA CHIUDERE</t>
        </is>
      </c>
      <c r="N467" s="110" t="n"/>
      <c r="O467" s="110" t="n"/>
      <c r="P467" s="110" t="n"/>
      <c r="Q467" s="110" t="inlineStr">
        <is>
          <t>RIPRISTINATA FUNZIONALITA'.</t>
        </is>
      </c>
      <c r="R467" s="151" t="n">
        <v>45797</v>
      </c>
      <c r="S467" s="110" t="inlineStr">
        <is>
          <t>TARASCIO</t>
        </is>
      </c>
      <c r="T467" s="109" t="inlineStr"/>
      <c r="U467" s="147" t="inlineStr"/>
    </row>
    <row r="468">
      <c r="A468" s="109" t="n"/>
      <c r="B468" s="109" t="inlineStr">
        <is>
          <t>X</t>
        </is>
      </c>
      <c r="C468" s="109" t="inlineStr"/>
      <c r="D468" s="109" t="inlineStr">
        <is>
          <t>AREA 3</t>
        </is>
      </c>
      <c r="E468" s="109" t="inlineStr">
        <is>
          <t>537396/C</t>
        </is>
      </c>
      <c r="F468" s="109" t="inlineStr">
        <is>
          <t>1400</t>
        </is>
      </c>
      <c r="G468" s="109" t="inlineStr">
        <is>
          <t xml:space="preserve"> 1400 - L008R SERRAGGIO RACCORDERIA IN ACCIAIO LINEA FLUSSAGGIO LIVELLO D106</t>
        </is>
      </c>
      <c r="H468" s="109" t="n"/>
      <c r="I468" s="109" t="n"/>
      <c r="J468" s="109" t="n"/>
      <c r="K468" s="109" t="n"/>
      <c r="L468" s="109" t="n"/>
      <c r="M468" s="109" t="inlineStr">
        <is>
          <t>DA CHIUDERE</t>
        </is>
      </c>
      <c r="N468" s="109" t="n"/>
      <c r="O468" s="109" t="n"/>
      <c r="P468" s="109" t="n"/>
      <c r="Q468" s="109" t="inlineStr">
        <is>
          <t>ESEGUITO SERRAGGIO</t>
        </is>
      </c>
      <c r="R468" s="151" t="n">
        <v>45797</v>
      </c>
      <c r="S468" s="109" t="inlineStr">
        <is>
          <t>TARASCIO</t>
        </is>
      </c>
      <c r="T468" s="109" t="inlineStr"/>
      <c r="U468" s="109" t="inlineStr"/>
    </row>
    <row r="469" ht="30" customHeight="1" s="122">
      <c r="A469" s="109" t="n"/>
      <c r="B469" s="108" t="inlineStr">
        <is>
          <t>X</t>
        </is>
      </c>
      <c r="C469" s="109" t="inlineStr"/>
      <c r="D469" s="109" t="inlineStr">
        <is>
          <t>AREA 3</t>
        </is>
      </c>
      <c r="E469" s="109" t="inlineStr">
        <is>
          <t>528162/C</t>
        </is>
      </c>
      <c r="F469" s="109" t="inlineStr">
        <is>
          <t>1200/3</t>
        </is>
      </c>
      <c r="G469" s="109" t="inlineStr">
        <is>
          <t xml:space="preserve"> 1200/3 - T405CV SCOLLEGAMENTO/RICOLLEGAMENTO ELETTROPNEUMATICO VALVOLA  PER REVISIONE E PROVE FUNZIONALI</t>
        </is>
      </c>
      <c r="H469" s="109" t="n"/>
      <c r="I469" s="109" t="n"/>
      <c r="J469" s="109" t="n"/>
      <c r="K469" s="109" t="n"/>
      <c r="L469" s="109" t="n"/>
      <c r="M469" s="110" t="inlineStr">
        <is>
          <t>DA CHIUDERE</t>
        </is>
      </c>
      <c r="N469" s="110" t="n"/>
      <c r="O469" s="110" t="n"/>
      <c r="P469" s="110" t="n"/>
      <c r="Q469" s="110" t="n"/>
      <c r="R469" s="151" t="n"/>
      <c r="S469" s="110" t="n"/>
      <c r="T469" s="109" t="inlineStr"/>
      <c r="U469" s="147" t="inlineStr"/>
    </row>
    <row r="470" ht="30" customHeight="1" s="122">
      <c r="A470" s="109" t="n"/>
      <c r="B470" s="109" t="inlineStr">
        <is>
          <t>X</t>
        </is>
      </c>
      <c r="C470" s="109" t="inlineStr"/>
      <c r="D470" s="109" t="inlineStr">
        <is>
          <t>AREA 3</t>
        </is>
      </c>
      <c r="E470" s="109" t="inlineStr">
        <is>
          <t>532022/C</t>
        </is>
      </c>
      <c r="F470" s="109" t="inlineStr">
        <is>
          <t>1200/3</t>
        </is>
      </c>
      <c r="G470" s="109" t="inlineStr">
        <is>
          <t xml:space="preserve"> 1200/3 - SMONTAGGIO N4 STAZIONCINE MANUALI f101/102 ed adattamento e modifiche di adattamento nuovi PIC locali</t>
        </is>
      </c>
      <c r="H470" s="109" t="n"/>
      <c r="I470" s="109" t="n"/>
      <c r="J470" s="109" t="n"/>
      <c r="K470" s="109" t="n"/>
      <c r="L470" s="109" t="n"/>
      <c r="M470" s="109" t="inlineStr">
        <is>
          <t>DA CHIUDERE</t>
        </is>
      </c>
      <c r="N470" s="109" t="n"/>
      <c r="O470" s="109" t="n"/>
      <c r="P470" s="109" t="n"/>
      <c r="Q470" s="109" t="inlineStr">
        <is>
          <t>RIMONTATI PIC TARATI</t>
        </is>
      </c>
      <c r="R470" s="151" t="n">
        <v>45754</v>
      </c>
      <c r="S470" s="109" t="inlineStr">
        <is>
          <t>MILLO/CAVAGNACCHI</t>
        </is>
      </c>
      <c r="T470" s="109" t="inlineStr"/>
      <c r="U470" s="109" t="inlineStr"/>
    </row>
    <row r="471" ht="30" customHeight="1" s="122">
      <c r="A471" s="109" t="n"/>
      <c r="B471" s="108" t="inlineStr">
        <is>
          <t>X</t>
        </is>
      </c>
      <c r="C471" s="109" t="inlineStr"/>
      <c r="D471" s="109" t="inlineStr">
        <is>
          <t>AREA 3</t>
        </is>
      </c>
      <c r="E471" s="109" t="inlineStr">
        <is>
          <t>528641/C</t>
        </is>
      </c>
      <c r="F471" s="109" t="inlineStr">
        <is>
          <t>1400</t>
        </is>
      </c>
      <c r="G471" s="109" t="inlineStr">
        <is>
          <t xml:space="preserve"> 1400 - RIPRISTINO TRACCIATURA DI VAPORE  SU TUTTI I TRAMETTITORI OVE LA TRACCIATURA  AMMALORATA</t>
        </is>
      </c>
      <c r="H471" s="109" t="n"/>
      <c r="I471" s="109" t="n"/>
      <c r="J471" s="109" t="n"/>
      <c r="K471" s="109" t="n"/>
      <c r="L471" s="109" t="n"/>
      <c r="M471" s="110" t="inlineStr">
        <is>
          <t>DA CHIUDERE</t>
        </is>
      </c>
      <c r="N471" s="110" t="n"/>
      <c r="O471" s="110" t="n"/>
      <c r="P471" s="110" t="n"/>
      <c r="Q471" s="110" t="n"/>
      <c r="R471" s="151" t="n"/>
      <c r="S471" s="110" t="n"/>
      <c r="T471" s="109" t="inlineStr"/>
      <c r="U471" s="147" t="inlineStr"/>
    </row>
    <row r="472">
      <c r="A472" s="109" t="n"/>
      <c r="B472" s="109" t="inlineStr">
        <is>
          <t>X</t>
        </is>
      </c>
      <c r="C472" s="109" t="inlineStr"/>
      <c r="D472" s="109" t="inlineStr">
        <is>
          <t>AREA 3</t>
        </is>
      </c>
      <c r="E472" s="109" t="inlineStr">
        <is>
          <t>524456/C</t>
        </is>
      </c>
      <c r="F472" s="109" t="inlineStr">
        <is>
          <t>1400</t>
        </is>
      </c>
      <c r="G472" s="109" t="inlineStr">
        <is>
          <t xml:space="preserve"> 1400 - 14F009RC  2)Ripristino traccia vapore dello strumento e  ripristino funzionalit</t>
        </is>
      </c>
      <c r="H472" s="109" t="n"/>
      <c r="I472" s="109" t="n"/>
      <c r="J472" s="109" t="n"/>
      <c r="K472" s="109" t="n"/>
      <c r="L472" s="109" t="n"/>
      <c r="M472" s="109" t="inlineStr">
        <is>
          <t>DA CHIUDERE</t>
        </is>
      </c>
      <c r="N472" s="109" t="n"/>
      <c r="O472" s="109" t="n"/>
      <c r="P472" s="109" t="n"/>
      <c r="Q472" s="109" t="inlineStr">
        <is>
          <t>RICOLLEGARE TRACCIATURA E FARE COIBENTAZIONE (CAVALLI)</t>
        </is>
      </c>
      <c r="R472" s="151" t="n">
        <v>45729</v>
      </c>
      <c r="S472" s="109" t="inlineStr">
        <is>
          <t>RICIPUTO</t>
        </is>
      </c>
      <c r="T472" s="109" t="inlineStr"/>
      <c r="U472" s="109" t="inlineStr"/>
    </row>
    <row r="473">
      <c r="A473" s="109" t="n"/>
      <c r="B473" s="109" t="inlineStr">
        <is>
          <t>X</t>
        </is>
      </c>
      <c r="C473" s="109" t="inlineStr"/>
      <c r="D473" s="109" t="inlineStr">
        <is>
          <t>AREA 3</t>
        </is>
      </c>
      <c r="E473" s="109" t="inlineStr">
        <is>
          <t>528547/C</t>
        </is>
      </c>
      <c r="F473" s="109" t="inlineStr">
        <is>
          <t>1400</t>
        </is>
      </c>
      <c r="G473" s="109" t="inlineStr">
        <is>
          <t xml:space="preserve"> 1400 - 14 F009RC  CONTROLLO E VERIFICA PRIMARI GAS AD U1200</t>
        </is>
      </c>
      <c r="H473" s="109" t="n"/>
      <c r="I473" s="109" t="n"/>
      <c r="J473" s="109" t="n"/>
      <c r="K473" s="109" t="n"/>
      <c r="L473" s="109" t="n"/>
      <c r="M473" s="109" t="inlineStr">
        <is>
          <t>DA CHIUDERE</t>
        </is>
      </c>
      <c r="N473" s="109" t="n"/>
      <c r="O473" s="109" t="n"/>
      <c r="P473" s="109" t="n"/>
      <c r="Q473" s="109" t="inlineStr">
        <is>
          <t>RICOLLEGARE TRACCIATURA E FARE COIBENTAZIONE (CAVALLI)</t>
        </is>
      </c>
      <c r="R473" s="151" t="n">
        <v>45729</v>
      </c>
      <c r="S473" s="109" t="inlineStr">
        <is>
          <t>RICIPUTO</t>
        </is>
      </c>
      <c r="T473" s="109" t="inlineStr"/>
      <c r="U473" s="109" t="inlineStr"/>
    </row>
    <row r="474" ht="30" customHeight="1" s="122">
      <c r="A474" s="109" t="n"/>
      <c r="B474" s="108" t="inlineStr">
        <is>
          <t>X</t>
        </is>
      </c>
      <c r="C474" s="109" t="inlineStr"/>
      <c r="D474" s="109" t="inlineStr">
        <is>
          <t>AREA 3</t>
        </is>
      </c>
      <c r="E474" s="109" t="inlineStr">
        <is>
          <t>529540/C</t>
        </is>
      </c>
      <c r="F474" s="109" t="inlineStr">
        <is>
          <t>1400</t>
        </is>
      </c>
      <c r="G474" s="109" t="inlineStr">
        <is>
          <t xml:space="preserve"> 1400 - 14F016  PDL A CALDO SMOTAGGIO/RIMONTAGGI PER REVISIONE TAGLIO TIRANTI SPILLAGGI DA D106A D105B</t>
        </is>
      </c>
      <c r="H474" s="109" t="n"/>
      <c r="I474" s="109" t="n"/>
      <c r="J474" s="109" t="n"/>
      <c r="K474" s="109" t="n"/>
      <c r="L474" s="109" t="n"/>
      <c r="M474" s="110" t="inlineStr">
        <is>
          <t>DA CHIUDERE</t>
        </is>
      </c>
      <c r="N474" s="110" t="n"/>
      <c r="O474" s="110" t="n"/>
      <c r="P474" s="110" t="n"/>
      <c r="Q474" s="110" t="inlineStr">
        <is>
          <t>NESSUNA ANOMALIA</t>
        </is>
      </c>
      <c r="R474" s="151" t="n">
        <v>45728</v>
      </c>
      <c r="S474" s="110" t="inlineStr">
        <is>
          <t>RICIPUTO</t>
        </is>
      </c>
      <c r="T474" s="109" t="inlineStr"/>
      <c r="U474" s="147" t="inlineStr"/>
    </row>
    <row r="475">
      <c r="A475" s="109" t="n"/>
      <c r="B475" s="108" t="inlineStr">
        <is>
          <t>X</t>
        </is>
      </c>
      <c r="C475" s="109" t="inlineStr"/>
      <c r="D475" s="109" t="inlineStr">
        <is>
          <t>AREA 3</t>
        </is>
      </c>
      <c r="E475" s="109" t="inlineStr">
        <is>
          <t>528553/C</t>
        </is>
      </c>
      <c r="F475" s="109" t="inlineStr">
        <is>
          <t>1400</t>
        </is>
      </c>
      <c r="G475" s="109" t="inlineStr">
        <is>
          <t xml:space="preserve"> 1400 - 14 L008RC  CONTROLLO E VERIFICA PRIMARI LIVELLO D106</t>
        </is>
      </c>
      <c r="H475" s="109" t="n"/>
      <c r="I475" s="109" t="n"/>
      <c r="J475" s="109" t="n"/>
      <c r="K475" s="109" t="n"/>
      <c r="L475" s="109" t="n"/>
      <c r="M475" s="110" t="inlineStr">
        <is>
          <t>DA CHIUDERE</t>
        </is>
      </c>
      <c r="N475" s="110" t="n"/>
      <c r="O475" s="110" t="n"/>
      <c r="P475" s="110" t="n"/>
      <c r="Q475" s="110" t="inlineStr">
        <is>
          <t>NESSUNA ANOMALIA</t>
        </is>
      </c>
      <c r="R475" s="151" t="n">
        <v>45728</v>
      </c>
      <c r="S475" s="110" t="inlineStr">
        <is>
          <t>RICIPUTO</t>
        </is>
      </c>
      <c r="T475" s="109" t="inlineStr"/>
      <c r="U475" s="147" t="inlineStr"/>
    </row>
    <row r="476">
      <c r="A476" s="109" t="n"/>
      <c r="B476" s="108" t="inlineStr">
        <is>
          <t>X</t>
        </is>
      </c>
      <c r="C476" s="109" t="inlineStr"/>
      <c r="D476" s="109" t="inlineStr">
        <is>
          <t>AREA 3</t>
        </is>
      </c>
      <c r="E476" s="109" t="inlineStr">
        <is>
          <t>528556/C</t>
        </is>
      </c>
      <c r="F476" s="109" t="inlineStr">
        <is>
          <t>1400</t>
        </is>
      </c>
      <c r="G476" s="109" t="inlineStr">
        <is>
          <t xml:space="preserve"> 1400 - 14 L007RC  CONTROLLO E VERIFICA PRIMARI LIVELLO T103</t>
        </is>
      </c>
      <c r="H476" s="109" t="n"/>
      <c r="I476" s="109" t="n"/>
      <c r="J476" s="109" t="n"/>
      <c r="K476" s="109" t="n"/>
      <c r="L476" s="109" t="n"/>
      <c r="M476" s="110" t="inlineStr">
        <is>
          <t>DA CHIUDERE</t>
        </is>
      </c>
      <c r="N476" s="110" t="n"/>
      <c r="O476" s="110" t="n"/>
      <c r="P476" s="110" t="n"/>
      <c r="Q476" s="110" t="inlineStr">
        <is>
          <t>NESSUNA ANOMALIA</t>
        </is>
      </c>
      <c r="R476" s="151" t="n">
        <v>45728</v>
      </c>
      <c r="S476" s="110" t="inlineStr">
        <is>
          <t>RICIPUTO</t>
        </is>
      </c>
      <c r="T476" s="109" t="inlineStr"/>
      <c r="U476" s="147" t="inlineStr"/>
    </row>
    <row r="477">
      <c r="A477" s="109" t="n"/>
      <c r="B477" s="109" t="inlineStr">
        <is>
          <t>X</t>
        </is>
      </c>
      <c r="C477" s="109" t="inlineStr"/>
      <c r="D477" s="109" t="inlineStr">
        <is>
          <t>AREA 3</t>
        </is>
      </c>
      <c r="E477" s="109" t="inlineStr">
        <is>
          <t>528545/C</t>
        </is>
      </c>
      <c r="F477" s="109" t="inlineStr">
        <is>
          <t>1400</t>
        </is>
      </c>
      <c r="G477" s="109" t="inlineStr">
        <is>
          <t xml:space="preserve"> 1400 - 14F016 CONTROLLO E VERIFICA PROMARI SPILLAGGI DAD106A D105B</t>
        </is>
      </c>
      <c r="H477" s="109" t="n"/>
      <c r="I477" s="109" t="n"/>
      <c r="J477" s="109" t="n"/>
      <c r="K477" s="109" t="n"/>
      <c r="L477" s="109" t="n"/>
      <c r="M477" s="110" t="inlineStr">
        <is>
          <t>DA CHIUDERE</t>
        </is>
      </c>
      <c r="N477" s="110" t="n"/>
      <c r="O477" s="110" t="n"/>
      <c r="P477" s="110" t="n"/>
      <c r="Q477" s="110" t="inlineStr">
        <is>
          <t>NON ESISTE IN CAMPO E AL DCS</t>
        </is>
      </c>
      <c r="R477" s="151" t="n">
        <v>45728</v>
      </c>
      <c r="S477" s="110" t="inlineStr">
        <is>
          <t>RICIPUTO</t>
        </is>
      </c>
      <c r="T477" s="109" t="inlineStr"/>
      <c r="U477" s="147" t="inlineStr"/>
    </row>
    <row r="478">
      <c r="A478" s="109" t="n"/>
      <c r="B478" s="108" t="inlineStr">
        <is>
          <t>X</t>
        </is>
      </c>
      <c r="C478" s="109" t="inlineStr"/>
      <c r="D478" s="109" t="inlineStr">
        <is>
          <t>AREA 3</t>
        </is>
      </c>
      <c r="E478" s="109" t="inlineStr">
        <is>
          <t>528552/C</t>
        </is>
      </c>
      <c r="F478" s="109" t="inlineStr">
        <is>
          <t>1400</t>
        </is>
      </c>
      <c r="G478" s="109" t="inlineStr">
        <is>
          <t xml:space="preserve"> 1400 - 14 F008RC  CONTROLLO E VERIFICA PRIMARI VAPORE</t>
        </is>
      </c>
      <c r="H478" s="109" t="n"/>
      <c r="I478" s="109" t="n"/>
      <c r="J478" s="109" t="n"/>
      <c r="K478" s="109" t="n"/>
      <c r="L478" s="109" t="n"/>
      <c r="M478" s="110" t="inlineStr">
        <is>
          <t>DA CHIUDERE</t>
        </is>
      </c>
      <c r="N478" s="110" t="n"/>
      <c r="O478" s="110" t="n"/>
      <c r="P478" s="110" t="n"/>
      <c r="Q478" s="110" t="inlineStr">
        <is>
          <t>NESSUNA ANOMALIA</t>
        </is>
      </c>
      <c r="R478" s="151" t="n">
        <v>45728</v>
      </c>
      <c r="S478" s="110" t="inlineStr">
        <is>
          <t>RICIPUTO</t>
        </is>
      </c>
      <c r="T478" s="109" t="inlineStr"/>
      <c r="U478" s="147" t="inlineStr"/>
    </row>
    <row r="479">
      <c r="A479" s="109" t="n"/>
      <c r="B479" s="109" t="inlineStr">
        <is>
          <t>X</t>
        </is>
      </c>
      <c r="C479" s="109" t="inlineStr"/>
      <c r="D479" s="109" t="inlineStr">
        <is>
          <t>AREA 3</t>
        </is>
      </c>
      <c r="E479" s="109" t="inlineStr">
        <is>
          <t>528558/C</t>
        </is>
      </c>
      <c r="F479" s="109" t="inlineStr">
        <is>
          <t>1400</t>
        </is>
      </c>
      <c r="G479" s="109" t="inlineStr">
        <is>
          <t xml:space="preserve"> 1400 - 14 F201RC-L201RC  CONTROLLO E VERIFICA PRIMARI STRUMENTAZIONE E203</t>
        </is>
      </c>
      <c r="H479" s="109" t="n"/>
      <c r="I479" s="109" t="n"/>
      <c r="J479" s="109" t="n"/>
      <c r="K479" s="109" t="n"/>
      <c r="L479" s="109" t="n"/>
      <c r="M479" s="109" t="inlineStr">
        <is>
          <t>DA CHIUDERE</t>
        </is>
      </c>
      <c r="N479" s="109" t="n"/>
      <c r="O479" s="109" t="n"/>
      <c r="P479" s="109" t="n"/>
      <c r="Q479" s="109" t="inlineStr">
        <is>
          <t>NESSUNA ANOMALIA</t>
        </is>
      </c>
      <c r="R479" s="151" t="n">
        <v>45729</v>
      </c>
      <c r="S479" s="109" t="inlineStr">
        <is>
          <t>RICIPUTO</t>
        </is>
      </c>
      <c r="T479" s="109" t="inlineStr"/>
      <c r="U479" s="109" t="inlineStr"/>
    </row>
    <row r="480" ht="45" customHeight="1" s="122">
      <c r="A480" s="109" t="n"/>
      <c r="B480" s="109" t="inlineStr">
        <is>
          <t>X</t>
        </is>
      </c>
      <c r="C480" s="109" t="inlineStr"/>
      <c r="D480" s="109" t="inlineStr">
        <is>
          <t>AREA 3</t>
        </is>
      </c>
      <c r="E480" s="109" t="inlineStr">
        <is>
          <t>535528/C</t>
        </is>
      </c>
      <c r="F480" s="109" t="inlineStr">
        <is>
          <t>1200/3</t>
        </is>
      </c>
      <c r="G480" s="109" t="inlineStr">
        <is>
          <t xml:space="preserve"> 1200/3 - SCOLLEGAMENTO/RICOLLEGAMENTO  TERMOCOPPIE E PIROMETRI OTTICI ED EVENTUALE SOSTITUZIONE DEI TERMOELEMENTI E PROVE DI ALLINEAMENTO CON SALA CONTROLLO</t>
        </is>
      </c>
      <c r="H480" s="109" t="n"/>
      <c r="I480" s="109" t="n"/>
      <c r="J480" s="109" t="n"/>
      <c r="K480" s="109" t="n"/>
      <c r="L480" s="109" t="n"/>
      <c r="M480" s="109" t="inlineStr">
        <is>
          <t>DA CHIUDERE</t>
        </is>
      </c>
      <c r="N480" s="109" t="n"/>
      <c r="O480" s="109" t="n"/>
      <c r="P480" s="109" t="n"/>
      <c r="Q480" s="109" t="inlineStr">
        <is>
          <t>DA SOSTITUIRE BARRIERA T401B</t>
        </is>
      </c>
      <c r="R480" s="151" t="n"/>
      <c r="S480" s="109" t="n"/>
      <c r="T480" s="109" t="inlineStr"/>
      <c r="U480" s="109" t="inlineStr"/>
    </row>
    <row r="481" ht="45" customHeight="1" s="122">
      <c r="A481" s="109" t="n"/>
      <c r="B481" s="108" t="inlineStr">
        <is>
          <t>X</t>
        </is>
      </c>
      <c r="C481" s="109" t="inlineStr"/>
      <c r="D481" s="109" t="inlineStr">
        <is>
          <t>AREA 3</t>
        </is>
      </c>
      <c r="E481" s="109" t="inlineStr">
        <is>
          <t>536170/C</t>
        </is>
      </c>
      <c r="F481" s="109" t="inlineStr">
        <is>
          <t>1200/1</t>
        </is>
      </c>
      <c r="G481" s="109" t="inlineStr">
        <is>
          <t xml:space="preserve"> 10223575 1200/1: RIPRISTINO FOTOCELLULA F101 Z1B401U2</t>
        </is>
      </c>
      <c r="H481" s="109" t="n"/>
      <c r="I481" s="109" t="n"/>
      <c r="J481" s="109" t="n"/>
      <c r="K481" s="109" t="n"/>
      <c r="L481" s="109" t="n"/>
      <c r="M481" s="110" t="inlineStr">
        <is>
          <t>DA CHIUDERE</t>
        </is>
      </c>
      <c r="N481" s="110" t="n"/>
      <c r="O481" s="110" t="n"/>
      <c r="P481" s="110" t="n"/>
      <c r="Q481" s="110" t="inlineStr">
        <is>
          <t>IL TCL CALDARELLA HA RITENUTO OPPORTUNO SCOLLEGARE IL FILO DI SCHERMO ED IL SEGNALE DELLA FOTOCELLULA E' ANDATO A FONDO SCALA</t>
        </is>
      </c>
      <c r="R481" s="151" t="n">
        <v>45790</v>
      </c>
      <c r="S481" s="110" t="inlineStr">
        <is>
          <t>TARASCIO</t>
        </is>
      </c>
      <c r="T481" s="109" t="inlineStr"/>
      <c r="U481" s="147" t="inlineStr">
        <is>
          <t xml:space="preserve"> 1022357</t>
        </is>
      </c>
    </row>
    <row r="482">
      <c r="A482" s="109" t="n"/>
      <c r="B482" s="108" t="inlineStr">
        <is>
          <t>X</t>
        </is>
      </c>
      <c r="C482" s="109" t="inlineStr"/>
      <c r="D482" s="109" t="inlineStr">
        <is>
          <t>AREA 3</t>
        </is>
      </c>
      <c r="E482" s="109" t="inlineStr">
        <is>
          <t>535768/C</t>
        </is>
      </c>
      <c r="F482" s="109" t="inlineStr">
        <is>
          <t>2200</t>
        </is>
      </c>
      <c r="G482" s="109" t="inlineStr">
        <is>
          <t xml:space="preserve"> 2200 - D302 CONTROLLO E RIPRISTINO STRUMENTAZIONE L310I - L310AL - P310AL</t>
        </is>
      </c>
      <c r="H482" s="109" t="n"/>
      <c r="I482" s="109" t="n"/>
      <c r="J482" s="109" t="n"/>
      <c r="K482" s="109" t="n"/>
      <c r="L482" s="109" t="n"/>
      <c r="M482" s="110" t="inlineStr">
        <is>
          <t>DA CHIUDERE</t>
        </is>
      </c>
      <c r="N482" s="110" t="n"/>
      <c r="O482" s="110" t="n"/>
      <c r="P482" s="110" t="n"/>
      <c r="Q482" s="110" t="inlineStr">
        <is>
          <t>PERDITA DI BATTENTE, RIPRISTINATA FUNZIONALITA'</t>
        </is>
      </c>
      <c r="R482" s="151" t="n">
        <v>45874</v>
      </c>
      <c r="S482" s="110" t="inlineStr">
        <is>
          <t>TARASCIO</t>
        </is>
      </c>
      <c r="T482" s="109" t="inlineStr"/>
      <c r="U482" s="147" t="inlineStr"/>
    </row>
    <row r="483" ht="30" customHeight="1" s="122">
      <c r="A483" s="109" t="n"/>
      <c r="B483" s="108" t="inlineStr">
        <is>
          <t>X</t>
        </is>
      </c>
      <c r="C483" s="109" t="inlineStr"/>
      <c r="D483" s="109" t="inlineStr">
        <is>
          <t>AREA 3</t>
        </is>
      </c>
      <c r="E483" s="109" t="inlineStr">
        <is>
          <t>535313/C</t>
        </is>
      </c>
      <c r="F483" s="109" t="inlineStr">
        <is>
          <t>1100</t>
        </is>
      </c>
      <c r="G483" s="109" t="inlineStr">
        <is>
          <t xml:space="preserve"> 10222781 1100 - L201R CONTROLLO</t>
        </is>
      </c>
      <c r="H483" s="109" t="n"/>
      <c r="I483" s="109" t="n"/>
      <c r="J483" s="109" t="n"/>
      <c r="K483" s="109" t="n"/>
      <c r="L483" s="109" t="n"/>
      <c r="M483" s="110" t="inlineStr">
        <is>
          <t>DA CHIUDERE</t>
        </is>
      </c>
      <c r="N483" s="110" t="n"/>
      <c r="O483" s="110" t="n"/>
      <c r="P483" s="110" t="n"/>
      <c r="Q483" s="110" t="inlineStr">
        <is>
          <t>ESEGUITA SOSTITUZIONE BARRIERA L201HCO CON RIPRISTINO DELLA FUNZIONALITA'</t>
        </is>
      </c>
      <c r="R483" s="151" t="n">
        <v>45813</v>
      </c>
      <c r="S483" s="110" t="inlineStr">
        <is>
          <t>SPINALI/ALLEGRETTI</t>
        </is>
      </c>
      <c r="T483" s="109" t="inlineStr"/>
      <c r="U483" s="147" t="inlineStr">
        <is>
          <t xml:space="preserve"> 1022278</t>
        </is>
      </c>
    </row>
    <row r="484" ht="30" customHeight="1" s="122">
      <c r="A484" s="109" t="n"/>
      <c r="B484" s="108" t="inlineStr">
        <is>
          <t>X</t>
        </is>
      </c>
      <c r="C484" s="109" t="inlineStr"/>
      <c r="D484" s="109" t="inlineStr">
        <is>
          <t>AREA 3</t>
        </is>
      </c>
      <c r="E484" s="109" t="inlineStr">
        <is>
          <t>534689/C</t>
        </is>
      </c>
      <c r="F484" s="109" t="inlineStr">
        <is>
          <t>1200/1</t>
        </is>
      </c>
      <c r="G484" s="109" t="inlineStr">
        <is>
          <t xml:space="preserve"> 1200/1 -  F101 SOSTITUZIONE E MODIFICHE PER ADATTAMENTO NUOVA FOTOCELLULA CON POSA CAVI E CONDUIT</t>
        </is>
      </c>
      <c r="H484" s="109" t="n"/>
      <c r="I484" s="109" t="n"/>
      <c r="J484" s="109" t="n"/>
      <c r="K484" s="109" t="n"/>
      <c r="L484" s="109" t="n"/>
      <c r="M484" s="110" t="inlineStr">
        <is>
          <t>DA CHIUDERE</t>
        </is>
      </c>
      <c r="N484" s="110" t="n"/>
      <c r="O484" s="110" t="n"/>
      <c r="P484" s="110" t="n"/>
      <c r="Q484" s="110" t="inlineStr">
        <is>
          <t>ADATTATA NUOVA FOTOCELLULA F101 1200/1</t>
        </is>
      </c>
      <c r="R484" s="151" t="n">
        <v>45779</v>
      </c>
      <c r="S484" s="110" t="inlineStr">
        <is>
          <t>CAVALIERE</t>
        </is>
      </c>
      <c r="T484" s="109" t="inlineStr"/>
      <c r="U484" s="147" t="inlineStr"/>
    </row>
    <row r="485" ht="30" customHeight="1" s="122">
      <c r="A485" s="109" t="n"/>
      <c r="B485" s="108" t="inlineStr">
        <is>
          <t>X</t>
        </is>
      </c>
      <c r="C485" s="109" t="inlineStr"/>
      <c r="D485" s="109" t="inlineStr">
        <is>
          <t>AREA 3</t>
        </is>
      </c>
      <c r="E485" s="109" t="inlineStr">
        <is>
          <t>528549/C</t>
        </is>
      </c>
      <c r="F485" s="109" t="inlineStr">
        <is>
          <t>1400</t>
        </is>
      </c>
      <c r="G485" s="109" t="inlineStr">
        <is>
          <t xml:space="preserve"> 1400 -  L006RC  CONTROLLO E VERIFICA PRIMARI LIVELLO ACCUMULATORE DI CARICA</t>
        </is>
      </c>
      <c r="H485" s="109" t="n"/>
      <c r="I485" s="109" t="n"/>
      <c r="J485" s="109" t="n"/>
      <c r="K485" s="109" t="n"/>
      <c r="L485" s="109" t="n"/>
      <c r="M485" s="110" t="inlineStr">
        <is>
          <t>DA CHIUDERE</t>
        </is>
      </c>
      <c r="N485" s="110" t="n"/>
      <c r="O485" s="110" t="n"/>
      <c r="P485" s="110" t="n"/>
      <c r="Q485" s="110" t="inlineStr">
        <is>
          <t>L006R - RIPRISTINATO
L006RC - REVISIONATO IN CANTIERE E RIMONTATO</t>
        </is>
      </c>
      <c r="R485" s="151" t="n">
        <v>45756</v>
      </c>
      <c r="S485" s="110" t="inlineStr">
        <is>
          <t>MILLO</t>
        </is>
      </c>
      <c r="T485" s="109" t="inlineStr"/>
      <c r="U485" s="147" t="inlineStr"/>
    </row>
    <row r="486">
      <c r="A486" s="109" t="n"/>
      <c r="B486" s="109" t="inlineStr">
        <is>
          <t>X</t>
        </is>
      </c>
      <c r="C486" s="109" t="inlineStr"/>
      <c r="D486" s="109" t="inlineStr">
        <is>
          <t>AREA 3</t>
        </is>
      </c>
      <c r="E486" s="109" t="inlineStr">
        <is>
          <t>535029/C</t>
        </is>
      </c>
      <c r="F486" s="109" t="inlineStr">
        <is>
          <t>1200/2</t>
        </is>
      </c>
      <c r="G486" s="109" t="inlineStr">
        <is>
          <t xml:space="preserve"> 10223031 1200/2 - CONTROLLO Z2F301RC controllo funzionale</t>
        </is>
      </c>
      <c r="H486" s="109" t="n"/>
      <c r="I486" s="109" t="n"/>
      <c r="J486" s="109" t="n"/>
      <c r="K486" s="109" t="n"/>
      <c r="L486" s="109" t="n"/>
      <c r="M486" s="109" t="inlineStr">
        <is>
          <t>DA CHIUDERE</t>
        </is>
      </c>
      <c r="N486" s="109" t="n"/>
      <c r="O486" s="109" t="n"/>
      <c r="P486" s="109" t="n"/>
      <c r="Q486" s="109" t="n"/>
      <c r="R486" s="151" t="n">
        <v>45779</v>
      </c>
      <c r="S486" s="109" t="n"/>
      <c r="T486" s="109" t="inlineStr"/>
      <c r="U486" s="109" t="inlineStr">
        <is>
          <t xml:space="preserve"> 1022303</t>
        </is>
      </c>
    </row>
    <row r="487">
      <c r="A487" s="109" t="n"/>
      <c r="B487" s="109" t="inlineStr">
        <is>
          <t>X</t>
        </is>
      </c>
      <c r="C487" s="109" t="inlineStr"/>
      <c r="D487" s="109" t="inlineStr">
        <is>
          <t>AREA 3</t>
        </is>
      </c>
      <c r="E487" s="109" t="inlineStr">
        <is>
          <t>535081/C</t>
        </is>
      </c>
      <c r="F487" s="109" t="inlineStr">
        <is>
          <t>2200</t>
        </is>
      </c>
      <c r="G487" s="109" t="inlineStr">
        <is>
          <t xml:space="preserve"> 2200 - L522R CONTROLLO FUNZIONALE</t>
        </is>
      </c>
      <c r="H487" s="109" t="n"/>
      <c r="I487" s="109" t="n"/>
      <c r="J487" s="109" t="n"/>
      <c r="K487" s="109" t="n"/>
      <c r="L487" s="109" t="n"/>
      <c r="M487" s="109" t="inlineStr">
        <is>
          <t>DA CHIUDERE</t>
        </is>
      </c>
      <c r="N487" s="109" t="n"/>
      <c r="O487" s="109" t="n"/>
      <c r="P487" s="109" t="n"/>
      <c r="Q487" s="109" t="inlineStr">
        <is>
          <t>ESEGUITO SPURGO CON RIPRISTINO DELLA FUNZIONALITA'</t>
        </is>
      </c>
      <c r="R487" s="151" t="n">
        <v>45779</v>
      </c>
      <c r="S487" s="109" t="inlineStr">
        <is>
          <t>SPINALI</t>
        </is>
      </c>
      <c r="T487" s="109" t="inlineStr"/>
      <c r="U487" s="109" t="inlineStr"/>
    </row>
    <row r="488" ht="30" customHeight="1" s="122">
      <c r="A488" s="109" t="n"/>
      <c r="B488" s="108" t="inlineStr">
        <is>
          <t>X</t>
        </is>
      </c>
      <c r="C488" s="109" t="inlineStr"/>
      <c r="D488" s="109" t="inlineStr">
        <is>
          <t>AREA 3</t>
        </is>
      </c>
      <c r="E488" s="109" t="inlineStr">
        <is>
          <t>534564/C</t>
        </is>
      </c>
      <c r="F488" s="109" t="inlineStr">
        <is>
          <t>1200/1</t>
        </is>
      </c>
      <c r="G488" s="109" t="inlineStr">
        <is>
          <t xml:space="preserve"> 10222781 1200/1 - CONTROLLO FOTOCELLULA F101</t>
        </is>
      </c>
      <c r="H488" s="109" t="n"/>
      <c r="I488" s="109" t="n"/>
      <c r="J488" s="109" t="n"/>
      <c r="K488" s="109" t="n"/>
      <c r="L488" s="109" t="n"/>
      <c r="M488" s="110" t="inlineStr">
        <is>
          <t>DA CHIUDERE</t>
        </is>
      </c>
      <c r="N488" s="110" t="n"/>
      <c r="O488" s="110" t="n"/>
      <c r="P488" s="110" t="n"/>
      <c r="Q488" s="110" t="inlineStr">
        <is>
          <t>SI PROSEGUE CON IL MONTAGGIO DI NUOVA FOTOCELLULA DURAG A CURA CAVALIERI</t>
        </is>
      </c>
      <c r="R488" s="151" t="n">
        <v>45775</v>
      </c>
      <c r="S488" s="110" t="inlineStr">
        <is>
          <t>MILLO/ALLEGRETTI</t>
        </is>
      </c>
      <c r="T488" s="109" t="inlineStr"/>
      <c r="U488" s="147" t="inlineStr">
        <is>
          <t xml:space="preserve"> 1022278</t>
        </is>
      </c>
    </row>
    <row r="489" ht="30" customHeight="1" s="122">
      <c r="A489" s="109" t="n"/>
      <c r="B489" s="109" t="inlineStr">
        <is>
          <t>X</t>
        </is>
      </c>
      <c r="C489" s="109" t="inlineStr"/>
      <c r="D489" s="109" t="inlineStr">
        <is>
          <t>AREA 3</t>
        </is>
      </c>
      <c r="E489" s="109" t="inlineStr">
        <is>
          <t>534534/C</t>
        </is>
      </c>
      <c r="F489" s="109" t="inlineStr">
        <is>
          <t>800</t>
        </is>
      </c>
      <c r="G489" s="109" t="inlineStr">
        <is>
          <t xml:space="preserve"> 10222780 800 - RIPRISTINO LCV109 loop di regolazione</t>
        </is>
      </c>
      <c r="H489" s="109" t="n"/>
      <c r="I489" s="109" t="n"/>
      <c r="J489" s="109" t="n"/>
      <c r="K489" s="109" t="n"/>
      <c r="L489" s="109" t="n"/>
      <c r="M489" s="110" t="inlineStr">
        <is>
          <t>DA CHIUDERE</t>
        </is>
      </c>
      <c r="N489" s="110" t="n"/>
      <c r="O489" s="110" t="n"/>
      <c r="P489" s="110" t="n"/>
      <c r="Q489" s="110" t="inlineStr">
        <is>
          <t>RIPRISTINATO LOOP, VALVOLA OK</t>
        </is>
      </c>
      <c r="R489" s="151" t="n">
        <v>45775</v>
      </c>
      <c r="S489" s="110" t="inlineStr">
        <is>
          <t>GIGLIUTO/OGNISANTI</t>
        </is>
      </c>
      <c r="T489" s="109" t="inlineStr"/>
      <c r="U489" s="147" t="inlineStr">
        <is>
          <t xml:space="preserve"> 1022278</t>
        </is>
      </c>
    </row>
    <row r="490" ht="30" customHeight="1" s="122">
      <c r="A490" s="109" t="n"/>
      <c r="B490" s="108" t="inlineStr">
        <is>
          <t>X</t>
        </is>
      </c>
      <c r="C490" s="109" t="inlineStr"/>
      <c r="D490" s="109" t="inlineStr">
        <is>
          <t>AREA 3</t>
        </is>
      </c>
      <c r="E490" s="109" t="inlineStr">
        <is>
          <t>528848/C</t>
        </is>
      </c>
      <c r="F490" s="109" t="inlineStr">
        <is>
          <t>1800</t>
        </is>
      </c>
      <c r="G490" s="109" t="inlineStr">
        <is>
          <t xml:space="preserve"> 10219418 1800 - VERIFICA FCV451</t>
        </is>
      </c>
      <c r="H490" s="109" t="n"/>
      <c r="I490" s="109" t="n"/>
      <c r="J490" s="109" t="n"/>
      <c r="K490" s="109" t="n"/>
      <c r="L490" s="109" t="n"/>
      <c r="M490" s="110" t="inlineStr">
        <is>
          <t>DA CHIUDERE</t>
        </is>
      </c>
      <c r="N490" s="110" t="n"/>
      <c r="O490" s="110" t="n"/>
      <c r="P490" s="110" t="n"/>
      <c r="Q490" s="110" t="inlineStr">
        <is>
          <t>INTERCETTI VALVOLA DA REVISIONARE, LA PNEUMATICA E' OK</t>
        </is>
      </c>
      <c r="R490" s="151" t="n">
        <v>45775</v>
      </c>
      <c r="S490" s="110" t="inlineStr">
        <is>
          <t>CIANCHINO/SAGGIO</t>
        </is>
      </c>
      <c r="T490" s="109" t="inlineStr"/>
      <c r="U490" s="147" t="inlineStr">
        <is>
          <t xml:space="preserve"> 1021941</t>
        </is>
      </c>
    </row>
    <row r="491">
      <c r="A491" s="109" t="n"/>
      <c r="B491" s="108" t="inlineStr">
        <is>
          <t>X</t>
        </is>
      </c>
      <c r="C491" s="109" t="inlineStr"/>
      <c r="D491" s="109" t="inlineStr">
        <is>
          <t>AREA 3</t>
        </is>
      </c>
      <c r="E491" s="109" t="inlineStr">
        <is>
          <t>534438/C</t>
        </is>
      </c>
      <c r="F491" s="109" t="inlineStr">
        <is>
          <t>1800</t>
        </is>
      </c>
      <c r="G491" s="109" t="inlineStr">
        <is>
          <t xml:space="preserve"> 1800 - TARATURA 18FR003RC (VAPORE AD E102) CONTROLLO LOOP DI REGOLAZIONE</t>
        </is>
      </c>
      <c r="H491" s="109" t="n"/>
      <c r="I491" s="109" t="n"/>
      <c r="J491" s="109" t="n"/>
      <c r="K491" s="109" t="n"/>
      <c r="L491" s="109" t="n"/>
      <c r="M491" s="110" t="inlineStr">
        <is>
          <t>DA CHIUDERE</t>
        </is>
      </c>
      <c r="N491" s="110" t="n"/>
      <c r="O491" s="110" t="n"/>
      <c r="P491" s="110" t="n"/>
      <c r="Q491" s="110" t="inlineStr">
        <is>
          <t>STARATO DI ZERO, CORRETTO E RIPRISTINATA LA FUNZIONALITA'</t>
        </is>
      </c>
      <c r="R491" s="151" t="n">
        <v>45771</v>
      </c>
      <c r="S491" s="110" t="inlineStr">
        <is>
          <t>SPINALI</t>
        </is>
      </c>
      <c r="T491" s="109" t="inlineStr"/>
      <c r="U491" s="147" t="inlineStr"/>
    </row>
    <row r="492">
      <c r="A492" s="109" t="n"/>
      <c r="B492" s="108" t="inlineStr">
        <is>
          <t>X</t>
        </is>
      </c>
      <c r="C492" s="109" t="inlineStr"/>
      <c r="D492" s="109" t="inlineStr">
        <is>
          <t>AREA 3</t>
        </is>
      </c>
      <c r="E492" s="109" t="inlineStr">
        <is>
          <t>529828/C</t>
        </is>
      </c>
      <c r="F492" s="109" t="inlineStr">
        <is>
          <t>700</t>
        </is>
      </c>
      <c r="G492" s="109" t="inlineStr">
        <is>
          <t xml:space="preserve"> 10218699 700 - FCV189 controllo funzionale valvola</t>
        </is>
      </c>
      <c r="H492" s="109" t="n"/>
      <c r="I492" s="109" t="n"/>
      <c r="J492" s="109" t="n"/>
      <c r="K492" s="109" t="n"/>
      <c r="L492" s="109" t="n"/>
      <c r="M492" s="110" t="inlineStr">
        <is>
          <t>DA CHIUDERE</t>
        </is>
      </c>
      <c r="N492" s="110" t="n"/>
      <c r="O492" s="110" t="n"/>
      <c r="P492" s="110" t="n"/>
      <c r="Q492" s="110" t="inlineStr">
        <is>
          <t xml:space="preserve">ESEGUITO CONTROLLO FUNZIONALE </t>
        </is>
      </c>
      <c r="R492" s="151" t="n">
        <v>45771</v>
      </c>
      <c r="S492" s="110" t="inlineStr">
        <is>
          <t>OGNISANTI</t>
        </is>
      </c>
      <c r="T492" s="109" t="inlineStr"/>
      <c r="U492" s="147" t="inlineStr">
        <is>
          <t xml:space="preserve"> 1021869</t>
        </is>
      </c>
    </row>
    <row r="493" ht="30" customHeight="1" s="122">
      <c r="A493" s="109" t="n"/>
      <c r="B493" s="108" t="inlineStr">
        <is>
          <t>X</t>
        </is>
      </c>
      <c r="C493" s="109" t="inlineStr"/>
      <c r="D493" s="109" t="inlineStr">
        <is>
          <t>AREA 3</t>
        </is>
      </c>
      <c r="E493" s="109" t="inlineStr">
        <is>
          <t>533929/C</t>
        </is>
      </c>
      <c r="F493" s="109" t="inlineStr">
        <is>
          <t>1200/1</t>
        </is>
      </c>
      <c r="G493" s="109" t="inlineStr">
        <is>
          <t xml:space="preserve"> 1200/1 - P402R  CONTROLLO FUNZIONALE</t>
        </is>
      </c>
      <c r="H493" s="109" t="n"/>
      <c r="I493" s="109" t="n"/>
      <c r="J493" s="109" t="n"/>
      <c r="K493" s="109" t="n"/>
      <c r="L493" s="109" t="n"/>
      <c r="M493" s="110" t="inlineStr">
        <is>
          <t>DA CHIUDERE</t>
        </is>
      </c>
      <c r="N493" s="110" t="n"/>
      <c r="O493" s="110" t="n"/>
      <c r="P493" s="110" t="n"/>
      <c r="Q493" s="110" t="inlineStr">
        <is>
          <t>CASSETTA JB PIENA D'ACQUA, ASCIUGATA CON RIPRISTINO DELLA FUNZINALITA'</t>
        </is>
      </c>
      <c r="R493" s="151" t="n">
        <v>45770</v>
      </c>
      <c r="S493" s="110" t="inlineStr">
        <is>
          <t>TARASCIO</t>
        </is>
      </c>
      <c r="T493" s="109" t="inlineStr"/>
      <c r="U493" s="147" t="inlineStr"/>
    </row>
    <row r="494">
      <c r="A494" s="109" t="n"/>
      <c r="B494" s="109" t="inlineStr">
        <is>
          <t>X</t>
        </is>
      </c>
      <c r="C494" s="109" t="inlineStr"/>
      <c r="D494" s="109" t="inlineStr">
        <is>
          <t>AREA 3</t>
        </is>
      </c>
      <c r="E494" s="109" t="inlineStr">
        <is>
          <t>522335/C</t>
        </is>
      </c>
      <c r="F494" s="109" t="inlineStr">
        <is>
          <t>1200/0</t>
        </is>
      </c>
      <c r="G494" s="109" t="inlineStr">
        <is>
          <t xml:space="preserve"> 1200/0 - H967BIC -sblocco  valvola carica F901/B </t>
        </is>
      </c>
      <c r="H494" s="109" t="n"/>
      <c r="I494" s="109" t="n"/>
      <c r="J494" s="109" t="n"/>
      <c r="K494" s="109" t="n"/>
      <c r="L494" s="109" t="n"/>
      <c r="M494" s="110" t="inlineStr">
        <is>
          <t>DA CHIUDERE</t>
        </is>
      </c>
      <c r="N494" s="110" t="n"/>
      <c r="O494" s="110" t="n"/>
      <c r="P494" s="110" t="n"/>
      <c r="Q494" s="110" t="n"/>
      <c r="R494" s="151" t="n"/>
      <c r="S494" s="110" t="n"/>
      <c r="T494" s="109" t="inlineStr"/>
      <c r="U494" s="147" t="inlineStr"/>
    </row>
    <row r="495">
      <c r="A495" s="109" t="n"/>
      <c r="B495" s="108" t="inlineStr">
        <is>
          <t>X</t>
        </is>
      </c>
      <c r="C495" s="109" t="inlineStr"/>
      <c r="D495" s="109" t="inlineStr">
        <is>
          <t>AREA 3</t>
        </is>
      </c>
      <c r="E495" s="109" t="inlineStr">
        <is>
          <t>532166/C</t>
        </is>
      </c>
      <c r="F495" s="109" t="inlineStr">
        <is>
          <t>700A</t>
        </is>
      </c>
      <c r="G495" s="109" t="inlineStr">
        <is>
          <t xml:space="preserve"> 10215242 700A - 07P210RC taratura</t>
        </is>
      </c>
      <c r="H495" s="109" t="n"/>
      <c r="I495" s="109" t="n"/>
      <c r="J495" s="109" t="n"/>
      <c r="K495" s="109" t="n"/>
      <c r="L495" s="109" t="n"/>
      <c r="M495" s="110" t="inlineStr">
        <is>
          <t>DA CHIUDERE</t>
        </is>
      </c>
      <c r="N495" s="110" t="n"/>
      <c r="O495" s="110" t="n"/>
      <c r="P495" s="110" t="n"/>
      <c r="Q495" s="110" t="inlineStr">
        <is>
          <t>STASATO CON RIPRISTINO DELLA FUNZIONALITA'</t>
        </is>
      </c>
      <c r="R495" s="151" t="n">
        <v>45761</v>
      </c>
      <c r="S495" s="110" t="inlineStr">
        <is>
          <t>TARASCIO</t>
        </is>
      </c>
      <c r="T495" s="109" t="inlineStr"/>
      <c r="U495" s="147" t="inlineStr">
        <is>
          <t xml:space="preserve"> 1021524</t>
        </is>
      </c>
    </row>
    <row r="496" ht="30" customHeight="1" s="122">
      <c r="A496" s="109" t="n"/>
      <c r="B496" s="109" t="inlineStr">
        <is>
          <t>X</t>
        </is>
      </c>
      <c r="C496" s="109" t="inlineStr"/>
      <c r="D496" s="109" t="inlineStr">
        <is>
          <t>AREA 3</t>
        </is>
      </c>
      <c r="E496" s="109" t="inlineStr">
        <is>
          <t>532249/C</t>
        </is>
      </c>
      <c r="F496" s="109" t="inlineStr">
        <is>
          <t>1200/M</t>
        </is>
      </c>
      <c r="G496" s="109" t="inlineStr">
        <is>
          <t xml:space="preserve"> 10215992 1200/M - Misuratori pressione In/OUT R201 ZMP781R/ZMP780R/ZMP708DI  controllo funzionale</t>
        </is>
      </c>
      <c r="H496" s="109" t="n"/>
      <c r="I496" s="109" t="n"/>
      <c r="J496" s="109" t="n"/>
      <c r="K496" s="109" t="n"/>
      <c r="L496" s="109" t="n"/>
      <c r="M496" s="109" t="inlineStr">
        <is>
          <t>DA CHIUDERE</t>
        </is>
      </c>
      <c r="N496" s="109" t="n"/>
      <c r="O496" s="109" t="n"/>
      <c r="P496" s="109" t="n"/>
      <c r="Q496" s="109" t="inlineStr">
        <is>
          <t>CAMBIARE RANGE A DCS</t>
        </is>
      </c>
      <c r="R496" s="151" t="n">
        <v>45758</v>
      </c>
      <c r="S496" s="109" t="inlineStr">
        <is>
          <t>SPINALI</t>
        </is>
      </c>
      <c r="T496" s="109" t="inlineStr"/>
      <c r="U496" s="109" t="inlineStr">
        <is>
          <t xml:space="preserve"> 1021599</t>
        </is>
      </c>
    </row>
    <row r="497">
      <c r="A497" s="109" t="n"/>
      <c r="B497" s="109" t="inlineStr">
        <is>
          <t>X</t>
        </is>
      </c>
      <c r="C497" s="109" t="inlineStr"/>
      <c r="D497" s="109" t="inlineStr">
        <is>
          <t>AREA 3</t>
        </is>
      </c>
      <c r="E497" s="109" t="inlineStr">
        <is>
          <t>532875/C</t>
        </is>
      </c>
      <c r="F497" s="109" t="inlineStr">
        <is>
          <t>800</t>
        </is>
      </c>
      <c r="G497" s="109" t="inlineStr">
        <is>
          <t xml:space="preserve"> 800 - PCV121 RIPRISTINO FUNZIONALE VALVOLA</t>
        </is>
      </c>
      <c r="H497" s="109" t="n"/>
      <c r="I497" s="109" t="n"/>
      <c r="J497" s="109" t="n"/>
      <c r="K497" s="109" t="n"/>
      <c r="L497" s="109" t="n"/>
      <c r="M497" s="109" t="inlineStr">
        <is>
          <t>DA CHIUDERE</t>
        </is>
      </c>
      <c r="N497" s="109" t="n"/>
      <c r="O497" s="109" t="n"/>
      <c r="P497" s="109" t="n"/>
      <c r="Q497" s="109" t="inlineStr">
        <is>
          <t>SOSTITUITO FILTRO RIDUTTORE E POSIZIONATORE</t>
        </is>
      </c>
      <c r="R497" s="151" t="n">
        <v>45757</v>
      </c>
      <c r="S497" s="109" t="inlineStr">
        <is>
          <t>GARRO</t>
        </is>
      </c>
      <c r="T497" s="109" t="inlineStr"/>
      <c r="U497" s="109" t="inlineStr"/>
    </row>
    <row r="498">
      <c r="A498" s="109" t="n"/>
      <c r="B498" s="109" t="inlineStr">
        <is>
          <t>X</t>
        </is>
      </c>
      <c r="C498" s="109" t="inlineStr"/>
      <c r="D498" s="109" t="inlineStr">
        <is>
          <t>AREA 3</t>
        </is>
      </c>
      <c r="E498" s="109" t="inlineStr">
        <is>
          <t>532368/C</t>
        </is>
      </c>
      <c r="F498" s="109" t="inlineStr">
        <is>
          <t>1200/M</t>
        </is>
      </c>
      <c r="G498" s="109" t="inlineStr">
        <is>
          <t xml:space="preserve"> 1200/M - F201 RIPRISTINO FOTOCELLULA ZM717SL</t>
        </is>
      </c>
      <c r="H498" s="109" t="n"/>
      <c r="I498" s="109" t="n"/>
      <c r="J498" s="109" t="n"/>
      <c r="K498" s="109" t="n"/>
      <c r="L498" s="109" t="n"/>
      <c r="M498" s="109" t="inlineStr">
        <is>
          <t>DA CHIUDERE</t>
        </is>
      </c>
      <c r="N498" s="109" t="n"/>
      <c r="O498" s="109" t="n"/>
      <c r="P498" s="109" t="n"/>
      <c r="Q498" s="109" t="n"/>
      <c r="R498" s="151" t="n">
        <v>45755</v>
      </c>
      <c r="S498" s="109" t="inlineStr">
        <is>
          <t>PARTESANO</t>
        </is>
      </c>
      <c r="T498" s="109" t="inlineStr"/>
      <c r="U498" s="109" t="inlineStr"/>
    </row>
    <row r="499" ht="30" customHeight="1" s="122">
      <c r="A499" s="109" t="n"/>
      <c r="B499" s="109" t="inlineStr">
        <is>
          <t>X</t>
        </is>
      </c>
      <c r="C499" s="109" t="inlineStr"/>
      <c r="D499" s="109" t="inlineStr">
        <is>
          <t>AREA 3</t>
        </is>
      </c>
      <c r="E499" s="109" t="inlineStr">
        <is>
          <t>532254/C</t>
        </is>
      </c>
      <c r="F499" s="109" t="inlineStr">
        <is>
          <t>700</t>
        </is>
      </c>
      <c r="G499" s="109" t="inlineStr">
        <is>
          <t xml:space="preserve"> 10221627 700 - L011I (Livello HC D104)   controllo e ripristino</t>
        </is>
      </c>
      <c r="H499" s="109" t="n"/>
      <c r="I499" s="109" t="n"/>
      <c r="J499" s="109" t="n"/>
      <c r="K499" s="109" t="n"/>
      <c r="L499" s="109" t="n"/>
      <c r="M499" s="109" t="inlineStr">
        <is>
          <t>DA CHIUDERE</t>
        </is>
      </c>
      <c r="N499" s="109" t="n"/>
      <c r="O499" s="109" t="n"/>
      <c r="P499" s="109" t="n"/>
      <c r="Q499" s="109" t="inlineStr">
        <is>
          <t>TARATO LIVELLO LOCALE</t>
        </is>
      </c>
      <c r="R499" s="151" t="n">
        <v>45755</v>
      </c>
      <c r="S499" s="109" t="inlineStr">
        <is>
          <t>MILLO/ALLEGRETTI</t>
        </is>
      </c>
      <c r="T499" s="109" t="inlineStr"/>
      <c r="U499" s="109" t="inlineStr">
        <is>
          <t xml:space="preserve"> 1022162</t>
        </is>
      </c>
    </row>
    <row r="500" ht="30" customHeight="1" s="122">
      <c r="A500" s="109" t="n"/>
      <c r="B500" s="109" t="inlineStr">
        <is>
          <t>X</t>
        </is>
      </c>
      <c r="C500" s="109" t="inlineStr"/>
      <c r="D500" s="109" t="inlineStr">
        <is>
          <t>AREA 3</t>
        </is>
      </c>
      <c r="E500" s="109" t="inlineStr">
        <is>
          <t>532194/C</t>
        </is>
      </c>
      <c r="F500" s="109" t="inlineStr">
        <is>
          <t>700A</t>
        </is>
      </c>
      <c r="G500" s="109" t="inlineStr">
        <is>
          <t xml:space="preserve"> 700A - 7T20018I.PV: temperatura del taglio laterale    7T20018I.PV: temperatura gofinato stabilizzato in mandata P201.</t>
        </is>
      </c>
      <c r="H500" s="109" t="n"/>
      <c r="I500" s="109" t="n"/>
      <c r="J500" s="109" t="n"/>
      <c r="K500" s="109" t="n"/>
      <c r="L500" s="109" t="n"/>
      <c r="M500" s="109" t="inlineStr">
        <is>
          <t>DA CHIUDERE</t>
        </is>
      </c>
      <c r="N500" s="109" t="n"/>
      <c r="O500" s="109" t="n"/>
      <c r="P500" s="109" t="n"/>
      <c r="Q500" s="109" t="inlineStr">
        <is>
          <t>SI CONTINUA CON 532857 PER ATTIVITA' ELETTRICA</t>
        </is>
      </c>
      <c r="R500" s="151" t="n">
        <v>45755</v>
      </c>
      <c r="S500" s="109" t="inlineStr">
        <is>
          <t>PARTESANO</t>
        </is>
      </c>
      <c r="T500" s="109" t="inlineStr"/>
      <c r="U500" s="109" t="inlineStr"/>
    </row>
    <row r="501">
      <c r="A501" s="109" t="n"/>
      <c r="B501" s="109" t="inlineStr">
        <is>
          <t>X</t>
        </is>
      </c>
      <c r="C501" s="109" t="inlineStr"/>
      <c r="D501" s="109" t="inlineStr">
        <is>
          <t>AREA 3</t>
        </is>
      </c>
      <c r="E501" s="109" t="inlineStr">
        <is>
          <t>526764/C</t>
        </is>
      </c>
      <c r="F501" s="109" t="inlineStr">
        <is>
          <t>1200/1</t>
        </is>
      </c>
      <c r="G501" s="109" t="inlineStr">
        <is>
          <t xml:space="preserve"> 10218174 1200/1 - TARATURA FIC204 controllo LOOP di regolazione</t>
        </is>
      </c>
      <c r="H501" s="109" t="n"/>
      <c r="I501" s="109" t="n"/>
      <c r="J501" s="109" t="n"/>
      <c r="K501" s="109" t="n"/>
      <c r="L501" s="109" t="n"/>
      <c r="M501" s="109" t="inlineStr">
        <is>
          <t>DA CHIUDERE</t>
        </is>
      </c>
      <c r="N501" s="109" t="n"/>
      <c r="O501" s="109" t="n"/>
      <c r="P501" s="109" t="n"/>
      <c r="Q501" s="109" t="n"/>
      <c r="R501" s="151" t="n">
        <v>45756</v>
      </c>
      <c r="S501" s="109" t="n"/>
      <c r="T501" s="109" t="inlineStr"/>
      <c r="U501" s="109" t="inlineStr">
        <is>
          <t xml:space="preserve"> 1021817</t>
        </is>
      </c>
    </row>
    <row r="502" ht="30" customHeight="1" s="122">
      <c r="A502" s="109" t="n"/>
      <c r="B502" s="108" t="inlineStr">
        <is>
          <t>X</t>
        </is>
      </c>
      <c r="C502" s="109" t="inlineStr"/>
      <c r="D502" s="109" t="inlineStr">
        <is>
          <t>AREA 3</t>
        </is>
      </c>
      <c r="E502" s="109" t="inlineStr">
        <is>
          <t>531044/C</t>
        </is>
      </c>
      <c r="F502" s="109" t="inlineStr">
        <is>
          <t>700</t>
        </is>
      </c>
      <c r="G502" s="109" t="inlineStr">
        <is>
          <t xml:space="preserve"> 700 - L204RC.PV: livello piatto di estrazione del taglio laterale</t>
        </is>
      </c>
      <c r="H502" s="109" t="n"/>
      <c r="I502" s="109" t="n"/>
      <c r="J502" s="109" t="n"/>
      <c r="K502" s="109" t="n"/>
      <c r="L502" s="109" t="n"/>
      <c r="M502" s="110" t="inlineStr">
        <is>
          <t>DA CHIUDERE</t>
        </is>
      </c>
      <c r="N502" s="110" t="n"/>
      <c r="O502" s="110" t="n"/>
      <c r="P502" s="110" t="n"/>
      <c r="Q502" s="110" t="inlineStr">
        <is>
          <t>REVISIONATO IN CANTIERE, SOSTITUITA TESTINA DA PNEUMATICA A ELETTRONICA</t>
        </is>
      </c>
      <c r="R502" s="151" t="n">
        <v>45718</v>
      </c>
      <c r="S502" s="110" t="inlineStr">
        <is>
          <t>MILLO</t>
        </is>
      </c>
      <c r="T502" s="109" t="inlineStr"/>
      <c r="U502" s="147" t="inlineStr"/>
    </row>
    <row r="503">
      <c r="A503" s="109" t="n"/>
      <c r="B503" s="109" t="inlineStr">
        <is>
          <t>X</t>
        </is>
      </c>
      <c r="C503" s="109" t="inlineStr"/>
      <c r="D503" s="109" t="inlineStr">
        <is>
          <t>AREA 3</t>
        </is>
      </c>
      <c r="E503" s="109" t="inlineStr">
        <is>
          <t>528622/C</t>
        </is>
      </c>
      <c r="F503" s="109" t="inlineStr">
        <is>
          <t>2400</t>
        </is>
      </c>
      <c r="G503" s="109" t="inlineStr">
        <is>
          <t xml:space="preserve"> 10219227 2400 - VERIFICA E TARATURA 24F603R</t>
        </is>
      </c>
      <c r="H503" s="109" t="n"/>
      <c r="I503" s="109" t="n"/>
      <c r="J503" s="109" t="n"/>
      <c r="K503" s="109" t="n"/>
      <c r="L503" s="109" t="n"/>
      <c r="M503" s="110" t="inlineStr">
        <is>
          <t>DA CHIUDERE</t>
        </is>
      </c>
      <c r="N503" s="110" t="n"/>
      <c r="O503" s="110" t="n"/>
      <c r="P503" s="110" t="n"/>
      <c r="Q503" s="110" t="inlineStr">
        <is>
          <t>ATTIVITA' SEGUITA DA SARIND</t>
        </is>
      </c>
      <c r="R503" s="151" t="n"/>
      <c r="S503" s="110" t="n"/>
      <c r="T503" s="109" t="inlineStr"/>
      <c r="U503" s="147" t="inlineStr">
        <is>
          <t xml:space="preserve"> 1021922</t>
        </is>
      </c>
    </row>
    <row r="504">
      <c r="A504" s="109" t="n"/>
      <c r="B504" s="109" t="inlineStr">
        <is>
          <t>X</t>
        </is>
      </c>
      <c r="C504" s="109" t="inlineStr"/>
      <c r="D504" s="109" t="inlineStr">
        <is>
          <t>AREA 3</t>
        </is>
      </c>
      <c r="E504" s="109" t="inlineStr">
        <is>
          <t>528949/C</t>
        </is>
      </c>
      <c r="F504" s="109" t="inlineStr">
        <is>
          <t>1200/1</t>
        </is>
      </c>
      <c r="G504" s="109" t="inlineStr">
        <is>
          <t xml:space="preserve"> 1200/1 - Z1L501IS   /  Z1L502IS     CONTROLLO FUNZIONALE</t>
        </is>
      </c>
      <c r="H504" s="109" t="n"/>
      <c r="I504" s="109" t="n"/>
      <c r="J504" s="109" t="n"/>
      <c r="K504" s="109" t="n"/>
      <c r="L504" s="109" t="n"/>
      <c r="M504" s="109" t="inlineStr">
        <is>
          <t>DA CHIUDERE</t>
        </is>
      </c>
      <c r="N504" s="109" t="n"/>
      <c r="O504" s="109" t="n"/>
      <c r="P504" s="109" t="n"/>
      <c r="Q504" s="109" t="inlineStr">
        <is>
          <t>LIVELLI ENTRAMBI TAPPATI. STASATI</t>
        </is>
      </c>
      <c r="R504" s="151" t="n">
        <v>45729</v>
      </c>
      <c r="S504" s="109" t="inlineStr">
        <is>
          <t>TARASCIO</t>
        </is>
      </c>
      <c r="T504" s="109" t="inlineStr"/>
      <c r="U504" s="109" t="inlineStr"/>
    </row>
    <row r="505" ht="45" customHeight="1" s="122">
      <c r="A505" s="109" t="n"/>
      <c r="B505" s="108" t="inlineStr">
        <is>
          <t>X</t>
        </is>
      </c>
      <c r="C505" s="109" t="inlineStr"/>
      <c r="D505" s="109" t="inlineStr">
        <is>
          <t>AREA 3</t>
        </is>
      </c>
      <c r="E505" s="109" t="inlineStr">
        <is>
          <t>529503/C</t>
        </is>
      </c>
      <c r="F505" s="109" t="inlineStr">
        <is>
          <t>1200/4</t>
        </is>
      </c>
      <c r="G505" s="109" t="inlineStr">
        <is>
          <t xml:space="preserve"> 1200/4 - (linee degasaggio)-Controllo funzionalita' F901T(Port vap eiet CLAUS L 4),F902T('Port SW gas da CLAUS L4),X901V(Valvola CLAUS L4); interfacciarsi con sala controllo prima della taratura</t>
        </is>
      </c>
      <c r="H505" s="109" t="n"/>
      <c r="I505" s="109" t="n"/>
      <c r="J505" s="109" t="n"/>
      <c r="K505" s="109" t="n"/>
      <c r="L505" s="109" t="n"/>
      <c r="M505" s="110" t="inlineStr">
        <is>
          <t>DA CHIUDERE</t>
        </is>
      </c>
      <c r="N505" s="110" t="n"/>
      <c r="O505" s="110" t="n"/>
      <c r="P505" s="110" t="n"/>
      <c r="Q505" s="110" t="n"/>
      <c r="R505" s="151" t="n"/>
      <c r="S505" s="110" t="n"/>
      <c r="T505" s="109" t="inlineStr"/>
      <c r="U505" s="147" t="inlineStr"/>
    </row>
    <row r="506">
      <c r="A506" s="109" t="n"/>
      <c r="B506" s="109" t="inlineStr">
        <is>
          <t>X</t>
        </is>
      </c>
      <c r="C506" s="109" t="inlineStr"/>
      <c r="D506" s="109" t="inlineStr">
        <is>
          <t>AREA 3</t>
        </is>
      </c>
      <c r="E506" s="109" t="inlineStr">
        <is>
          <t>531724/C</t>
        </is>
      </c>
      <c r="F506" s="109" t="inlineStr">
        <is>
          <t>1200/1</t>
        </is>
      </c>
      <c r="G506" s="109" t="inlineStr">
        <is>
          <t xml:space="preserve"> 10221383 1200/1 - AVVISO PR1- SOSTITUZIONE PRIMARIO FT301</t>
        </is>
      </c>
      <c r="H506" s="109" t="n"/>
      <c r="I506" s="109" t="n"/>
      <c r="J506" s="109" t="n"/>
      <c r="K506" s="109" t="n"/>
      <c r="L506" s="109" t="n"/>
      <c r="M506" s="109" t="inlineStr">
        <is>
          <t>DA CHIUDERE</t>
        </is>
      </c>
      <c r="N506" s="109" t="n"/>
      <c r="O506" s="109" t="n"/>
      <c r="P506" s="109" t="n"/>
      <c r="Q506" s="109" t="n"/>
      <c r="R506" s="151" t="n"/>
      <c r="S506" s="109" t="n"/>
      <c r="T506" s="109" t="inlineStr"/>
      <c r="U506" s="147" t="inlineStr">
        <is>
          <t xml:space="preserve"> 1022138</t>
        </is>
      </c>
    </row>
    <row r="507" ht="30" customHeight="1" s="122">
      <c r="A507" s="109" t="n"/>
      <c r="B507" s="109" t="inlineStr">
        <is>
          <t>X</t>
        </is>
      </c>
      <c r="C507" s="109" t="inlineStr"/>
      <c r="D507" s="109" t="inlineStr">
        <is>
          <t>AREA 3</t>
        </is>
      </c>
      <c r="E507" s="109" t="inlineStr">
        <is>
          <t>530585/C</t>
        </is>
      </c>
      <c r="F507" s="109" t="inlineStr">
        <is>
          <t>1200/1</t>
        </is>
      </c>
      <c r="G507" s="109" t="inlineStr">
        <is>
          <t xml:space="preserve"> 1200/1 - F302RC CONTROLLO FUNZIONALE</t>
        </is>
      </c>
      <c r="H507" s="109" t="n"/>
      <c r="I507" s="109" t="n"/>
      <c r="J507" s="109" t="n"/>
      <c r="K507" s="109" t="n"/>
      <c r="L507" s="109" t="n"/>
      <c r="M507" s="109" t="inlineStr">
        <is>
          <t>DA CHIUDERE</t>
        </is>
      </c>
      <c r="N507" s="109" t="n"/>
      <c r="O507" s="109" t="n"/>
      <c r="P507" s="109" t="n"/>
      <c r="Q507" s="109" t="inlineStr">
        <is>
          <t>INSERITO A PROCESSO IL DP FLUSSATO DI AZOTO.</t>
        </is>
      </c>
      <c r="R507" s="151" t="n"/>
      <c r="S507" s="186" t="inlineStr">
        <is>
          <t>04/03/2025 00:00:00</t>
        </is>
      </c>
      <c r="T507" s="109" t="inlineStr"/>
      <c r="U507" s="109" t="inlineStr"/>
    </row>
    <row r="508">
      <c r="A508" s="109" t="n"/>
      <c r="B508" s="108" t="inlineStr">
        <is>
          <t>X</t>
        </is>
      </c>
      <c r="C508" s="109" t="inlineStr"/>
      <c r="D508" s="109" t="inlineStr">
        <is>
          <t>AREA 3</t>
        </is>
      </c>
      <c r="E508" s="109" t="inlineStr">
        <is>
          <t>530884/C</t>
        </is>
      </c>
      <c r="F508" s="109" t="inlineStr">
        <is>
          <t>800</t>
        </is>
      </c>
      <c r="G508" s="109" t="inlineStr">
        <is>
          <t xml:space="preserve"> 800 C101B - verifica funzionalit parzializzazione</t>
        </is>
      </c>
      <c r="H508" s="109" t="n"/>
      <c r="I508" s="109" t="n"/>
      <c r="J508" s="109" t="n"/>
      <c r="K508" s="109" t="n"/>
      <c r="L508" s="109" t="n"/>
      <c r="M508" s="110" t="inlineStr">
        <is>
          <t>DA CHIUDERE</t>
        </is>
      </c>
      <c r="N508" s="110" t="n"/>
      <c r="O508" s="110" t="n"/>
      <c r="P508" s="110" t="n"/>
      <c r="Q508" s="110" t="n"/>
      <c r="R508" s="151" t="n"/>
      <c r="S508" s="110" t="n"/>
      <c r="T508" s="109" t="inlineStr"/>
      <c r="U508" s="147" t="inlineStr"/>
    </row>
    <row r="509" ht="30" customHeight="1" s="122">
      <c r="A509" s="109" t="n"/>
      <c r="B509" s="108" t="inlineStr">
        <is>
          <t>X</t>
        </is>
      </c>
      <c r="C509" s="109" t="inlineStr"/>
      <c r="D509" s="109" t="inlineStr">
        <is>
          <t>AREA 3</t>
        </is>
      </c>
      <c r="E509" s="109" t="inlineStr">
        <is>
          <t>530254/C</t>
        </is>
      </c>
      <c r="F509" s="109" t="inlineStr">
        <is>
          <t>1800</t>
        </is>
      </c>
      <c r="G509" s="109" t="inlineStr">
        <is>
          <t xml:space="preserve"> 10220524 1800 - FCV025 eliminazione perde dal premi treccia E VERIFICA FUNZIONALITA'</t>
        </is>
      </c>
      <c r="H509" s="109" t="n"/>
      <c r="I509" s="109" t="n"/>
      <c r="J509" s="109" t="n"/>
      <c r="K509" s="109" t="n"/>
      <c r="L509" s="109" t="n"/>
      <c r="M509" s="110" t="inlineStr">
        <is>
          <t>DA CHIUDERE</t>
        </is>
      </c>
      <c r="N509" s="110" t="n"/>
      <c r="O509" s="110" t="n"/>
      <c r="P509" s="110" t="n"/>
      <c r="Q509" s="110" t="n"/>
      <c r="R509" s="151" t="n"/>
      <c r="S509" s="110" t="n"/>
      <c r="T509" s="109" t="inlineStr"/>
      <c r="U509" s="147" t="inlineStr">
        <is>
          <t xml:space="preserve"> 1022052</t>
        </is>
      </c>
    </row>
    <row r="510">
      <c r="A510" s="109" t="n"/>
      <c r="B510" s="108" t="inlineStr">
        <is>
          <t>X</t>
        </is>
      </c>
      <c r="C510" s="109" t="inlineStr"/>
      <c r="D510" s="109" t="inlineStr">
        <is>
          <t>AREA 3</t>
        </is>
      </c>
      <c r="E510" s="109" t="inlineStr">
        <is>
          <t>530250/C</t>
        </is>
      </c>
      <c r="F510" s="109" t="inlineStr">
        <is>
          <t>1200/M</t>
        </is>
      </c>
      <c r="G510" s="109" t="inlineStr">
        <is>
          <t xml:space="preserve"> 10220499 1200/M - RIPR FOTOCELLULA F201 MAXI-</t>
        </is>
      </c>
      <c r="H510" s="109" t="n"/>
      <c r="I510" s="109" t="n"/>
      <c r="J510" s="109" t="n"/>
      <c r="K510" s="109" t="n"/>
      <c r="L510" s="109" t="n"/>
      <c r="M510" s="110" t="inlineStr">
        <is>
          <t>DA CHIUDERE</t>
        </is>
      </c>
      <c r="N510" s="110" t="n"/>
      <c r="O510" s="110" t="n"/>
      <c r="P510" s="110" t="n"/>
      <c r="Q510" s="110" t="inlineStr">
        <is>
          <t xml:space="preserve"> </t>
        </is>
      </c>
      <c r="R510" s="151" t="n"/>
      <c r="S510" s="110" t="n"/>
      <c r="T510" s="109" t="inlineStr"/>
      <c r="U510" s="147" t="inlineStr">
        <is>
          <t xml:space="preserve"> 1022049</t>
        </is>
      </c>
    </row>
    <row r="511" ht="15" customHeight="1" s="122">
      <c r="A511" s="109" t="n"/>
      <c r="B511" s="108" t="inlineStr">
        <is>
          <t>X</t>
        </is>
      </c>
      <c r="C511" s="109" t="inlineStr"/>
      <c r="D511" s="109" t="inlineStr">
        <is>
          <t>AREA 3</t>
        </is>
      </c>
      <c r="E511" s="109" t="inlineStr">
        <is>
          <t>525783/C</t>
        </is>
      </c>
      <c r="F511" s="109" t="inlineStr">
        <is>
          <t>1200/M</t>
        </is>
      </c>
      <c r="G511" s="109" t="inlineStr">
        <is>
          <t xml:space="preserve"> 1200/M - ZM-F718R verifica loop e controllo funzionale</t>
        </is>
      </c>
      <c r="H511" s="109" t="n"/>
      <c r="I511" s="109" t="n"/>
      <c r="J511" s="109" t="n"/>
      <c r="K511" s="109" t="n"/>
      <c r="L511" s="109" t="n"/>
      <c r="M511" s="110" t="inlineStr">
        <is>
          <t>DA CHIUDERE</t>
        </is>
      </c>
      <c r="N511" s="110" t="n"/>
      <c r="O511" s="110" t="n"/>
      <c r="P511" s="110" t="n"/>
      <c r="Q511" s="110" t="n"/>
      <c r="R511" s="151" t="n"/>
      <c r="S511" s="110" t="n"/>
      <c r="T511" s="109" t="inlineStr"/>
      <c r="U511" s="147" t="inlineStr"/>
    </row>
    <row r="512">
      <c r="A512" s="109" t="n"/>
      <c r="B512" s="108" t="inlineStr">
        <is>
          <t>X</t>
        </is>
      </c>
      <c r="C512" s="109" t="inlineStr"/>
      <c r="D512" s="109" t="inlineStr">
        <is>
          <t>AREA 3</t>
        </is>
      </c>
      <c r="E512" s="109" t="inlineStr">
        <is>
          <t>528997/C</t>
        </is>
      </c>
      <c r="F512" s="109" t="inlineStr">
        <is>
          <t>1200/1</t>
        </is>
      </c>
      <c r="G512" s="109" t="inlineStr">
        <is>
          <t xml:space="preserve"> 1200/1 - L401RC CONTROLLO E RIPRISTINO STRUMENTAZIONE</t>
        </is>
      </c>
      <c r="H512" s="109" t="n"/>
      <c r="I512" s="109" t="n"/>
      <c r="J512" s="109" t="n"/>
      <c r="K512" s="109" t="n"/>
      <c r="L512" s="109" t="n"/>
      <c r="M512" s="110" t="inlineStr">
        <is>
          <t>DA CHIUDERE</t>
        </is>
      </c>
      <c r="N512" s="110" t="n"/>
      <c r="O512" s="110" t="n"/>
      <c r="P512" s="110" t="n"/>
      <c r="Q512" s="110" t="inlineStr">
        <is>
          <t>IL PROBLEMA E' SULLA VALVOLA</t>
        </is>
      </c>
      <c r="R512" s="151" t="n">
        <v>45727</v>
      </c>
      <c r="S512" s="110" t="inlineStr">
        <is>
          <t>SPINALI</t>
        </is>
      </c>
      <c r="T512" s="109" t="inlineStr"/>
      <c r="U512" s="147" t="inlineStr"/>
    </row>
    <row r="513">
      <c r="A513" s="109" t="n"/>
      <c r="B513" s="108" t="inlineStr">
        <is>
          <t>X</t>
        </is>
      </c>
      <c r="C513" s="109" t="inlineStr"/>
      <c r="D513" s="109" t="inlineStr">
        <is>
          <t>AREA 3</t>
        </is>
      </c>
      <c r="E513" s="109" t="inlineStr">
        <is>
          <t>528945/C</t>
        </is>
      </c>
      <c r="F513" s="109" t="inlineStr">
        <is>
          <t>1200/1</t>
        </is>
      </c>
      <c r="G513" s="109" t="inlineStr">
        <is>
          <t xml:space="preserve"> 1200/1 - P405R CONTROLLO FUNZIONALE</t>
        </is>
      </c>
      <c r="H513" s="109" t="n"/>
      <c r="I513" s="109" t="n"/>
      <c r="J513" s="109" t="n"/>
      <c r="K513" s="109" t="n"/>
      <c r="L513" s="109" t="n"/>
      <c r="M513" s="110" t="inlineStr">
        <is>
          <t>DA CHIUDERE</t>
        </is>
      </c>
      <c r="N513" s="110" t="n"/>
      <c r="O513" s="110" t="n"/>
      <c r="P513" s="110" t="n"/>
      <c r="Q513" s="110" t="n"/>
      <c r="R513" s="151" t="n">
        <v>45728</v>
      </c>
      <c r="S513" s="110" t="inlineStr">
        <is>
          <t>RICIPUTO</t>
        </is>
      </c>
      <c r="T513" s="109" t="inlineStr"/>
      <c r="U513" s="147" t="inlineStr"/>
    </row>
    <row r="514">
      <c r="A514" s="109" t="n"/>
      <c r="B514" s="108" t="inlineStr">
        <is>
          <t>X</t>
        </is>
      </c>
      <c r="C514" s="109" t="inlineStr"/>
      <c r="D514" s="109" t="inlineStr">
        <is>
          <t>AREA 3</t>
        </is>
      </c>
      <c r="E514" s="109" t="inlineStr">
        <is>
          <t>528954/C</t>
        </is>
      </c>
      <c r="F514" s="109" t="inlineStr">
        <is>
          <t>1200/1</t>
        </is>
      </c>
      <c r="G514" s="109" t="inlineStr">
        <is>
          <t xml:space="preserve"> 1200/1 - Z1t406A(camera MEA)   Z1t406B( camera MEA)   Z1t407A (camera SWS)</t>
        </is>
      </c>
      <c r="H514" s="109" t="n"/>
      <c r="I514" s="109" t="n"/>
      <c r="J514" s="109" t="n"/>
      <c r="K514" s="109" t="n"/>
      <c r="L514" s="109" t="n"/>
      <c r="M514" s="110" t="inlineStr">
        <is>
          <t>DA CHIUDERE</t>
        </is>
      </c>
      <c r="N514" s="110" t="n"/>
      <c r="O514" s="110" t="n"/>
      <c r="P514" s="110" t="n"/>
      <c r="Q514" s="110" t="n"/>
      <c r="R514" s="151" t="n">
        <v>45727</v>
      </c>
      <c r="S514" s="110" t="inlineStr">
        <is>
          <t>TARASCIO</t>
        </is>
      </c>
      <c r="T514" s="109" t="inlineStr"/>
      <c r="U514" s="147" t="inlineStr"/>
    </row>
    <row r="515">
      <c r="A515" s="109" t="n"/>
      <c r="B515" s="108" t="inlineStr">
        <is>
          <t>X</t>
        </is>
      </c>
      <c r="C515" s="109" t="inlineStr"/>
      <c r="D515" s="109" t="inlineStr">
        <is>
          <t>AREA 3</t>
        </is>
      </c>
      <c r="E515" s="109" t="inlineStr">
        <is>
          <t>528801/C</t>
        </is>
      </c>
      <c r="F515" s="109" t="inlineStr">
        <is>
          <t>1100</t>
        </is>
      </c>
      <c r="G515" s="109" t="inlineStr">
        <is>
          <t xml:space="preserve"> 1100 - F160R  FUNZIONALE CON SALE CONTROLLO</t>
        </is>
      </c>
      <c r="H515" s="109" t="n"/>
      <c r="I515" s="109" t="n"/>
      <c r="J515" s="109" t="n"/>
      <c r="K515" s="109" t="n"/>
      <c r="L515" s="109" t="n"/>
      <c r="M515" s="110" t="inlineStr">
        <is>
          <t>DA CHIUDERE</t>
        </is>
      </c>
      <c r="N515" s="110" t="n"/>
      <c r="O515" s="110" t="n"/>
      <c r="P515" s="110" t="n"/>
      <c r="Q515" s="110" t="n"/>
      <c r="R515" s="151" t="n"/>
      <c r="S515" s="110" t="n"/>
      <c r="T515" s="109" t="inlineStr"/>
      <c r="U515" s="147" t="inlineStr"/>
    </row>
    <row r="516">
      <c r="A516" s="109" t="n"/>
      <c r="B516" s="108" t="inlineStr">
        <is>
          <t>X</t>
        </is>
      </c>
      <c r="C516" s="109" t="inlineStr"/>
      <c r="D516" s="109" t="inlineStr">
        <is>
          <t>AREA 3</t>
        </is>
      </c>
      <c r="E516" s="109" t="inlineStr">
        <is>
          <t>528799/C</t>
        </is>
      </c>
      <c r="F516" s="109" t="inlineStr">
        <is>
          <t>700A</t>
        </is>
      </c>
      <c r="G516" s="109" t="inlineStr">
        <is>
          <t xml:space="preserve"> 700A - FCV201 SERRAGGIO PREMITRECCIA E PROVE FUNZIONALE CON SALE CONTROLLO</t>
        </is>
      </c>
      <c r="H516" s="109" t="n"/>
      <c r="I516" s="109" t="n"/>
      <c r="J516" s="109" t="n"/>
      <c r="K516" s="109" t="n"/>
      <c r="L516" s="109" t="n"/>
      <c r="M516" s="110" t="inlineStr">
        <is>
          <t>DA CHIUDERE</t>
        </is>
      </c>
      <c r="N516" s="110" t="n"/>
      <c r="O516" s="110" t="n"/>
      <c r="P516" s="110" t="n"/>
      <c r="Q516" s="110" t="n"/>
      <c r="R516" s="151" t="n"/>
      <c r="S516" s="110" t="n"/>
      <c r="T516" s="109" t="inlineStr"/>
      <c r="U516" s="147" t="inlineStr"/>
    </row>
    <row r="517" ht="30" customHeight="1" s="122">
      <c r="A517" s="109" t="n"/>
      <c r="B517" s="109" t="inlineStr">
        <is>
          <t>X</t>
        </is>
      </c>
      <c r="C517" s="109" t="inlineStr"/>
      <c r="D517" s="109" t="inlineStr">
        <is>
          <t>AREA 3</t>
        </is>
      </c>
      <c r="E517" s="109" t="inlineStr">
        <is>
          <t>528867/C</t>
        </is>
      </c>
      <c r="F517" s="109" t="inlineStr">
        <is>
          <t>1200/1</t>
        </is>
      </c>
      <c r="G517" s="109" t="inlineStr">
        <is>
          <t xml:space="preserve"> 1200/1 F204IC CONTROLLO FUNZIONALE CONTROLLO LOOP DI REGOLAZIONE</t>
        </is>
      </c>
      <c r="H517" s="109" t="n"/>
      <c r="I517" s="109" t="n"/>
      <c r="J517" s="109" t="n"/>
      <c r="K517" s="109" t="n"/>
      <c r="L517" s="109" t="n"/>
      <c r="M517" s="109" t="inlineStr">
        <is>
          <t>DA CHIUDERE</t>
        </is>
      </c>
      <c r="N517" s="109" t="n"/>
      <c r="O517" s="109" t="n"/>
      <c r="P517" s="109" t="n"/>
      <c r="Q517" s="109" t="inlineStr">
        <is>
          <t>TROVATA ACQUA NEL PROCESSO, DRENATA, MISURA OK, RIPRISTINATA.</t>
        </is>
      </c>
      <c r="R517" s="151" t="n">
        <v>45726</v>
      </c>
      <c r="S517" s="109" t="inlineStr">
        <is>
          <t>TARASCIO/NOCERA</t>
        </is>
      </c>
      <c r="T517" s="109" t="inlineStr"/>
      <c r="U517" s="109" t="inlineStr"/>
    </row>
    <row r="518" ht="30" customHeight="1" s="122">
      <c r="A518" s="109" t="n"/>
      <c r="B518" s="109" t="inlineStr">
        <is>
          <t>X</t>
        </is>
      </c>
      <c r="C518" s="109" t="inlineStr"/>
      <c r="D518" s="109" t="inlineStr">
        <is>
          <t>AREA 3</t>
        </is>
      </c>
      <c r="E518" s="109" t="inlineStr">
        <is>
          <t>523487/C</t>
        </is>
      </c>
      <c r="F518" s="109" t="inlineStr">
        <is>
          <t>1200/3</t>
        </is>
      </c>
      <c r="G518" s="109" t="inlineStr">
        <is>
          <t xml:space="preserve">  Z3F401R.PV(LS linea 3 )  controllo funzionale</t>
        </is>
      </c>
      <c r="H518" s="109" t="n"/>
      <c r="I518" s="109" t="n"/>
      <c r="J518" s="109" t="n"/>
      <c r="K518" s="109" t="n"/>
      <c r="L518" s="109" t="n"/>
      <c r="M518" s="109" t="inlineStr">
        <is>
          <t>DA CHIUDERE</t>
        </is>
      </c>
      <c r="N518" s="109" t="n"/>
      <c r="O518" s="109" t="n"/>
      <c r="P518" s="109" t="n"/>
      <c r="Q518" s="109" t="inlineStr">
        <is>
          <t>IL TX VERRA' CONTROLLATO IN FERMATA ( INIZIA DOMANI )</t>
        </is>
      </c>
      <c r="R518" s="151" t="n">
        <v>45720</v>
      </c>
      <c r="S518" s="109" t="inlineStr">
        <is>
          <t>TARASCIO/GARRO S.</t>
        </is>
      </c>
      <c r="T518" s="109" t="inlineStr"/>
      <c r="U518" s="109" t="inlineStr"/>
    </row>
    <row r="519" ht="30" customHeight="1" s="122">
      <c r="A519" s="109" t="n"/>
      <c r="B519" s="108" t="inlineStr">
        <is>
          <t>X</t>
        </is>
      </c>
      <c r="C519" s="109" t="inlineStr"/>
      <c r="D519" s="109" t="inlineStr">
        <is>
          <t>AREA 3</t>
        </is>
      </c>
      <c r="E519" s="109" t="inlineStr">
        <is>
          <t>528080/C</t>
        </is>
      </c>
      <c r="F519" s="109" t="inlineStr">
        <is>
          <t>1200/M</t>
        </is>
      </c>
      <c r="G519" s="109" t="inlineStr">
        <is>
          <t xml:space="preserve"> Z1F301RC (carica MEA)  302 (Carica SWS)  303 (Aria MEA)  304 (Aria SWS)  305 (Aria secondaria)</t>
        </is>
      </c>
      <c r="H519" s="109" t="n"/>
      <c r="I519" s="109" t="n"/>
      <c r="J519" s="109" t="n"/>
      <c r="K519" s="109" t="n"/>
      <c r="L519" s="109" t="n"/>
      <c r="M519" s="110" t="inlineStr">
        <is>
          <t>DA CHIUDERE</t>
        </is>
      </c>
      <c r="N519" s="110" t="n"/>
      <c r="O519" s="110" t="n"/>
      <c r="P519" s="110" t="n"/>
      <c r="Q519" s="110" t="inlineStr">
        <is>
          <t>F303/304/305 NECESSITA PONTEGGIO PER IL CONTROLLO. F301,302 AZZERATI OK</t>
        </is>
      </c>
      <c r="R519" s="151" t="n">
        <v>45720</v>
      </c>
      <c r="S519" s="110" t="inlineStr">
        <is>
          <t>TARASCIO/NOCERA</t>
        </is>
      </c>
      <c r="T519" s="109" t="inlineStr"/>
      <c r="U519" s="147" t="inlineStr"/>
    </row>
    <row r="520" ht="30" customHeight="1" s="122">
      <c r="A520" s="109" t="n"/>
      <c r="B520" s="108" t="inlineStr">
        <is>
          <t>X</t>
        </is>
      </c>
      <c r="C520" s="109" t="inlineStr"/>
      <c r="D520" s="109" t="inlineStr">
        <is>
          <t>AREA 3</t>
        </is>
      </c>
      <c r="E520" s="109" t="inlineStr">
        <is>
          <t>527945/C</t>
        </is>
      </c>
      <c r="F520" s="109" t="inlineStr">
        <is>
          <t>1200/1</t>
        </is>
      </c>
      <c r="G520" s="109" t="inlineStr">
        <is>
          <t xml:space="preserve"> 1200/1: ELIMINAZIONE PERDITA VAPORE DA TRACCIA E SOSTITUZIONE CONDENSINO D101</t>
        </is>
      </c>
      <c r="H520" s="109" t="n"/>
      <c r="I520" s="109" t="n"/>
      <c r="J520" s="109" t="n"/>
      <c r="K520" s="109" t="n"/>
      <c r="L520" s="109" t="n"/>
      <c r="M520" s="110" t="inlineStr">
        <is>
          <t>DA CHIUDERE</t>
        </is>
      </c>
      <c r="N520" s="110" t="n"/>
      <c r="O520" s="110" t="n"/>
      <c r="P520" s="110" t="n"/>
      <c r="Q520" s="110" t="inlineStr">
        <is>
          <t>ELIMINATA PERDITA</t>
        </is>
      </c>
      <c r="R520" s="151" t="n">
        <v>45719</v>
      </c>
      <c r="S520" s="110" t="inlineStr">
        <is>
          <t>MILLO/TARASCIO</t>
        </is>
      </c>
      <c r="T520" s="109" t="inlineStr"/>
      <c r="U520" s="147" t="inlineStr"/>
    </row>
    <row r="521" ht="30" customHeight="1" s="122">
      <c r="A521" s="109" t="n"/>
      <c r="B521" s="109" t="inlineStr">
        <is>
          <t>X</t>
        </is>
      </c>
      <c r="C521" s="109" t="inlineStr"/>
      <c r="D521" s="109" t="inlineStr">
        <is>
          <t>AREA 3</t>
        </is>
      </c>
      <c r="E521" s="109" t="inlineStr">
        <is>
          <t>527701/C</t>
        </is>
      </c>
      <c r="F521" s="109" t="inlineStr">
        <is>
          <t>1200/1</t>
        </is>
      </c>
      <c r="G521" s="109" t="inlineStr">
        <is>
          <t xml:space="preserve"> 1200/1 L502 ripristino funzionale livello vasca</t>
        </is>
      </c>
      <c r="H521" s="109" t="n"/>
      <c r="I521" s="109" t="n"/>
      <c r="J521" s="109" t="n"/>
      <c r="K521" s="109" t="n"/>
      <c r="L521" s="109" t="n"/>
      <c r="M521" s="109" t="inlineStr">
        <is>
          <t>DA CHIUDERE</t>
        </is>
      </c>
      <c r="N521" s="109" t="n"/>
      <c r="O521" s="109" t="n"/>
      <c r="P521" s="109" t="n"/>
      <c r="Q521" s="109" t="inlineStr">
        <is>
          <t>SI E' PROVATO A STASARE CON POMPA ALTA PRESSIONE, ESITO NEGATIVO. LE PRESE RIMANGONO INTASATE. TX FUORI SERVIZIO.</t>
        </is>
      </c>
      <c r="R521" s="151" t="n">
        <v>45716</v>
      </c>
      <c r="S521" s="109" t="inlineStr">
        <is>
          <t>TARASCIO/PARTESANO</t>
        </is>
      </c>
      <c r="T521" s="109" t="inlineStr"/>
      <c r="U521" s="109" t="inlineStr"/>
    </row>
    <row r="522" ht="60" customHeight="1" s="122">
      <c r="A522" s="109" t="n"/>
      <c r="B522" s="108" t="inlineStr">
        <is>
          <t>X</t>
        </is>
      </c>
      <c r="C522" s="109" t="inlineStr"/>
      <c r="D522" s="109" t="inlineStr">
        <is>
          <t>AREA 3</t>
        </is>
      </c>
      <c r="E522" s="109" t="inlineStr">
        <is>
          <t>526911/C</t>
        </is>
      </c>
      <c r="F522" s="109" t="inlineStr">
        <is>
          <t>700</t>
        </is>
      </c>
      <c r="G522" s="109" t="inlineStr">
        <is>
          <t xml:space="preserve"> 10218262 700 - attivit di ripristino allarmi e controllo funzionale su F026RC - T3_5R - T036I - XS101 (ALLARME GUASTO ALIMENTATORE)</t>
        </is>
      </c>
      <c r="H522" s="109" t="n"/>
      <c r="I522" s="109" t="n"/>
      <c r="J522" s="109" t="n"/>
      <c r="K522" s="109" t="n"/>
      <c r="L522" s="109" t="n"/>
      <c r="M522" s="110" t="inlineStr">
        <is>
          <t>DA CHIUDERE</t>
        </is>
      </c>
      <c r="N522" s="110" t="n"/>
      <c r="O522" s="110" t="n"/>
      <c r="P522" s="110" t="n"/>
      <c r="Q522" s="110" t="inlineStr">
        <is>
          <t>FR 026 CORRETTO DI 0, IN ALL. DI BASSA PORTATA PERCHE' COMPRESSORE FERMO, T036I CAVO INTERROTTTO DA TC A JBOX T2, T3_5 RIPRISTINATO CAVO AMMALORATO. ALLARME ALIMENTATORE A CURA DI ELETTROSTRUM.</t>
        </is>
      </c>
      <c r="R522" s="151" t="n">
        <v>45719</v>
      </c>
      <c r="S522" s="110" t="inlineStr">
        <is>
          <t>SPINALI/SERRA</t>
        </is>
      </c>
      <c r="T522" s="109" t="inlineStr"/>
      <c r="U522" s="147" t="inlineStr">
        <is>
          <t xml:space="preserve"> 1021826</t>
        </is>
      </c>
    </row>
    <row r="523" ht="30" customHeight="1" s="122">
      <c r="A523" s="109" t="n"/>
      <c r="B523" s="108" t="inlineStr">
        <is>
          <t>X</t>
        </is>
      </c>
      <c r="C523" s="109" t="inlineStr"/>
      <c r="D523" s="109" t="inlineStr">
        <is>
          <t>AREA 3</t>
        </is>
      </c>
      <c r="E523" s="109" t="inlineStr">
        <is>
          <t>525748/C</t>
        </is>
      </c>
      <c r="F523" s="109" t="inlineStr">
        <is>
          <t>1200/1</t>
        </is>
      </c>
      <c r="G523" s="109" t="inlineStr">
        <is>
          <t xml:space="preserve"> 1200/1 - Z1F301RC Z2F302RC Z1F306RC CONTROLLO E TARATURA CON ALLINEAMENTO CON SALA CONTROLLO</t>
        </is>
      </c>
      <c r="H523" s="109" t="n"/>
      <c r="I523" s="109" t="n"/>
      <c r="J523" s="109" t="n"/>
      <c r="K523" s="109" t="n"/>
      <c r="L523" s="109" t="n"/>
      <c r="M523" s="110" t="inlineStr">
        <is>
          <t>DA CHIUDERE</t>
        </is>
      </c>
      <c r="N523" s="110" t="n"/>
      <c r="O523" s="110" t="n"/>
      <c r="P523" s="110" t="n"/>
      <c r="Q523" s="110" t="inlineStr">
        <is>
          <t>F301RC E' LA DIFFERENZA TRA F301T E F306T.</t>
        </is>
      </c>
      <c r="R523" s="151" t="n">
        <v>45701</v>
      </c>
      <c r="S523" s="110" t="inlineStr">
        <is>
          <t>TARASCIO</t>
        </is>
      </c>
      <c r="T523" s="109" t="inlineStr"/>
      <c r="U523" s="147" t="inlineStr"/>
    </row>
    <row r="524" ht="30" customHeight="1" s="122">
      <c r="A524" s="109" t="n"/>
      <c r="B524" s="108" t="inlineStr">
        <is>
          <t>X</t>
        </is>
      </c>
      <c r="C524" s="109" t="inlineStr"/>
      <c r="D524" s="109" t="inlineStr">
        <is>
          <t>AREA 3</t>
        </is>
      </c>
      <c r="E524" s="109" t="inlineStr">
        <is>
          <t>519473/C</t>
        </is>
      </c>
      <c r="F524" s="109" t="inlineStr">
        <is>
          <t>2400</t>
        </is>
      </c>
      <c r="G524" s="109" t="inlineStr">
        <is>
          <t xml:space="preserve"> 2400 - L606RCV smontaggio/rimontaggio per revisione valvola</t>
        </is>
      </c>
      <c r="H524" s="109" t="n"/>
      <c r="I524" s="109" t="n"/>
      <c r="J524" s="109" t="n"/>
      <c r="K524" s="109" t="n"/>
      <c r="L524" s="109" t="n"/>
      <c r="M524" s="110" t="inlineStr">
        <is>
          <t>DA CHIUDERE</t>
        </is>
      </c>
      <c r="N524" s="110" t="inlineStr">
        <is>
          <t>X</t>
        </is>
      </c>
      <c r="O524" s="110" t="n"/>
      <c r="P524" s="110" t="n"/>
      <c r="Q524" s="110" t="inlineStr">
        <is>
          <t>L'ATTIVITA' E' SOSPESA IN ATTESA CHE ESE POSSA CONSEGNARE A MAN LA VALVOLA.</t>
        </is>
      </c>
      <c r="R524" s="151" t="n">
        <v>45635</v>
      </c>
      <c r="S524" s="110" t="n"/>
      <c r="T524" s="109" t="inlineStr"/>
      <c r="U524" s="147" t="inlineStr"/>
    </row>
    <row r="525" ht="30" customHeight="1" s="122">
      <c r="A525" s="109" t="n"/>
      <c r="B525" s="108" t="inlineStr">
        <is>
          <t>X</t>
        </is>
      </c>
      <c r="C525" s="109" t="inlineStr"/>
      <c r="D525" s="109" t="inlineStr">
        <is>
          <t>AREA 3</t>
        </is>
      </c>
      <c r="E525" s="109" t="inlineStr">
        <is>
          <t>527149/C</t>
        </is>
      </c>
      <c r="F525" s="109" t="inlineStr">
        <is>
          <t>1800</t>
        </is>
      </c>
      <c r="G525" s="109" t="inlineStr">
        <is>
          <t xml:space="preserve"> 1800 - TCV016 controllo funzionale LOOP DI REGOLAZIONE</t>
        </is>
      </c>
      <c r="H525" s="109" t="n"/>
      <c r="I525" s="109" t="n"/>
      <c r="J525" s="109" t="n"/>
      <c r="K525" s="109" t="n"/>
      <c r="L525" s="109" t="n"/>
      <c r="M525" s="110" t="inlineStr">
        <is>
          <t>DA CHIUDERE</t>
        </is>
      </c>
      <c r="N525" s="110" t="n"/>
      <c r="O525" s="110" t="n"/>
      <c r="P525" s="110" t="n"/>
      <c r="Q525" s="110" t="inlineStr">
        <is>
          <t>SOSTITUZIONE POSIZIONATORE GUASTO PERCHE' PIENO DI H20. ALLINEATA VALVOLA CON SALA CONTROLLO.</t>
        </is>
      </c>
      <c r="R525" s="151" t="n">
        <v>45714</v>
      </c>
      <c r="S525" s="110" t="inlineStr">
        <is>
          <t>GARRO L/ GARRO S.</t>
        </is>
      </c>
      <c r="T525" s="109" t="inlineStr"/>
      <c r="U525" s="147" t="inlineStr"/>
    </row>
    <row r="526" ht="45" customHeight="1" s="122">
      <c r="A526" s="109" t="n"/>
      <c r="B526" s="109" t="inlineStr">
        <is>
          <t>X</t>
        </is>
      </c>
      <c r="C526" s="109" t="inlineStr"/>
      <c r="D526" s="109" t="inlineStr">
        <is>
          <t>AREA 3</t>
        </is>
      </c>
      <c r="E526" s="109" t="inlineStr">
        <is>
          <t>524001/C</t>
        </is>
      </c>
      <c r="F526" s="109" t="inlineStr">
        <is>
          <t>700A</t>
        </is>
      </c>
      <c r="G526" s="109" t="inlineStr">
        <is>
          <t xml:space="preserve"> 700 - F224R  RIFACIMENTO PRIMARI E CONTROLLO E RIPRISTINO MISURATORE DI PORTATA</t>
        </is>
      </c>
      <c r="H526" s="109" t="n"/>
      <c r="I526" s="109" t="n"/>
      <c r="J526" s="109" t="n"/>
      <c r="K526" s="109" t="n"/>
      <c r="L526" s="109" t="n"/>
      <c r="M526" s="109" t="inlineStr">
        <is>
          <t>DA CHIUDERE</t>
        </is>
      </c>
      <c r="N526" s="109" t="n"/>
      <c r="O526" s="109" t="n"/>
      <c r="P526" s="109" t="n"/>
      <c r="Q526" s="109" t="inlineStr">
        <is>
          <t>ESEGUITA RILOCAZIONE NUOVO STRUMENTO CON RIFACIMENTO PRIMARI (ESEGUIRE SMONTAGGIO PRIMARI VECCHI) SI PROSEGUE CON PDL 525806/C</t>
        </is>
      </c>
      <c r="R526" s="151" t="n">
        <v>45700</v>
      </c>
      <c r="S526" s="109" t="inlineStr">
        <is>
          <t>MILLO/CAVAGNACCHI</t>
        </is>
      </c>
      <c r="T526" s="109" t="inlineStr"/>
      <c r="U526" s="109" t="inlineStr"/>
    </row>
    <row r="527">
      <c r="A527" s="109" t="n"/>
      <c r="B527" s="109" t="inlineStr">
        <is>
          <t>X</t>
        </is>
      </c>
      <c r="C527" s="109" t="inlineStr"/>
      <c r="D527" s="109" t="inlineStr">
        <is>
          <t>AREA 3</t>
        </is>
      </c>
      <c r="E527" s="109" t="inlineStr">
        <is>
          <t>525806/C</t>
        </is>
      </c>
      <c r="F527" s="109" t="inlineStr">
        <is>
          <t>700A</t>
        </is>
      </c>
      <c r="G527" s="109" t="inlineStr">
        <is>
          <t xml:space="preserve"> 700A - F224R recupero primari ammalorati ed abbandonati</t>
        </is>
      </c>
      <c r="H527" s="109" t="n"/>
      <c r="I527" s="109" t="n"/>
      <c r="J527" s="109" t="n"/>
      <c r="K527" s="109" t="n"/>
      <c r="L527" s="109" t="n"/>
      <c r="M527" s="109" t="inlineStr">
        <is>
          <t>DA CHIUDERE</t>
        </is>
      </c>
      <c r="N527" s="109" t="n"/>
      <c r="O527" s="109" t="n"/>
      <c r="P527" s="109" t="n"/>
      <c r="Q527" s="109" t="inlineStr">
        <is>
          <t>CREATO PDL A CALDO PER SMONTAGGIO PRIMARI VECCHI</t>
        </is>
      </c>
      <c r="R527" s="151" t="n"/>
      <c r="S527" s="109" t="n"/>
      <c r="T527" s="109" t="inlineStr"/>
      <c r="U527" s="109" t="inlineStr"/>
    </row>
    <row r="528">
      <c r="A528" s="109" t="n"/>
      <c r="B528" s="108" t="inlineStr">
        <is>
          <t>X</t>
        </is>
      </c>
      <c r="C528" s="109" t="inlineStr"/>
      <c r="D528" s="109" t="inlineStr">
        <is>
          <t>AREA 3</t>
        </is>
      </c>
      <c r="E528" s="109" t="inlineStr">
        <is>
          <t>525509/C</t>
        </is>
      </c>
      <c r="F528" s="109" t="inlineStr">
        <is>
          <t>1800</t>
        </is>
      </c>
      <c r="G528" s="109" t="inlineStr">
        <is>
          <t xml:space="preserve"> 10217394 1800 - VERIFICA 18T403AHH</t>
        </is>
      </c>
      <c r="H528" s="109" t="n"/>
      <c r="I528" s="109" t="n"/>
      <c r="J528" s="109" t="n"/>
      <c r="K528" s="109" t="n"/>
      <c r="L528" s="109" t="n"/>
      <c r="M528" s="110" t="inlineStr">
        <is>
          <t>DA CHIUDERE</t>
        </is>
      </c>
      <c r="N528" s="110" t="n"/>
      <c r="O528" s="110" t="n"/>
      <c r="P528" s="110" t="n"/>
      <c r="Q528" s="110" t="n"/>
      <c r="R528" s="151" t="n"/>
      <c r="S528" s="110" t="n"/>
      <c r="T528" s="109" t="inlineStr"/>
      <c r="U528" s="147" t="inlineStr">
        <is>
          <t xml:space="preserve"> 1021739</t>
        </is>
      </c>
    </row>
    <row r="529">
      <c r="A529" s="109" t="n"/>
      <c r="B529" s="108" t="inlineStr">
        <is>
          <t>X</t>
        </is>
      </c>
      <c r="C529" s="109" t="inlineStr"/>
      <c r="D529" s="109" t="inlineStr">
        <is>
          <t>AREA 3</t>
        </is>
      </c>
      <c r="E529" s="109" t="inlineStr">
        <is>
          <t>525784/C</t>
        </is>
      </c>
      <c r="F529" s="109" t="inlineStr">
        <is>
          <t>1200/1</t>
        </is>
      </c>
      <c r="G529" s="109" t="inlineStr">
        <is>
          <t xml:space="preserve"> 1200/1 - T502R  controllo funzionale</t>
        </is>
      </c>
      <c r="H529" s="109" t="n"/>
      <c r="I529" s="109" t="n"/>
      <c r="J529" s="109" t="n"/>
      <c r="K529" s="109" t="n"/>
      <c r="L529" s="109" t="n"/>
      <c r="M529" s="110" t="inlineStr">
        <is>
          <t>DA CHIUDERE</t>
        </is>
      </c>
      <c r="N529" s="110" t="n"/>
      <c r="O529" s="110" t="n"/>
      <c r="P529" s="110" t="n"/>
      <c r="Q529" s="110" t="inlineStr">
        <is>
          <t>CONTROLLO ESEGUITO NON SI RISCONTRA NESSUNA NOAMLIA</t>
        </is>
      </c>
      <c r="R529" s="151" t="n">
        <v>45701</v>
      </c>
      <c r="S529" s="110" t="inlineStr">
        <is>
          <t>TARASCIO</t>
        </is>
      </c>
      <c r="T529" s="109" t="inlineStr"/>
      <c r="U529" s="147" t="inlineStr"/>
    </row>
    <row r="530" ht="30" customHeight="1" s="122">
      <c r="A530" s="109" t="n"/>
      <c r="B530" s="109" t="inlineStr">
        <is>
          <t>X</t>
        </is>
      </c>
      <c r="C530" s="109" t="inlineStr"/>
      <c r="D530" s="109" t="inlineStr">
        <is>
          <t>AREA 3</t>
        </is>
      </c>
      <c r="E530" s="109" t="inlineStr">
        <is>
          <t>518171/C</t>
        </is>
      </c>
      <c r="F530" s="109" t="inlineStr">
        <is>
          <t>1100</t>
        </is>
      </c>
      <c r="G530" s="109" t="inlineStr">
        <is>
          <t xml:space="preserve"> 10200944   11P211I.PV  controllo funzionale</t>
        </is>
      </c>
      <c r="H530" s="109" t="n"/>
      <c r="I530" s="109" t="n"/>
      <c r="J530" s="109" t="n"/>
      <c r="K530" s="109" t="n"/>
      <c r="L530" s="109" t="n"/>
      <c r="M530" s="109" t="inlineStr">
        <is>
          <t>DA CHIUDERE</t>
        </is>
      </c>
      <c r="N530" s="109" t="n"/>
      <c r="O530" s="109" t="n"/>
      <c r="P530" s="109" t="n"/>
      <c r="Q530" s="109" t="inlineStr">
        <is>
          <t>PRIMARIO SFLANGIATO A CIRCA 6 mt DI ALTEZZA PER TRONCHETTO (PRESA) DA FARE (RIF.CAVALLI)</t>
        </is>
      </c>
      <c r="R530" s="151" t="n">
        <v>45637</v>
      </c>
      <c r="S530" s="109" t="inlineStr">
        <is>
          <t>RICIPUTO/MARINO</t>
        </is>
      </c>
      <c r="T530" s="109" t="inlineStr"/>
      <c r="U530" s="109" t="inlineStr">
        <is>
          <t xml:space="preserve"> 1020094</t>
        </is>
      </c>
    </row>
    <row r="531" ht="30" customHeight="1" s="122">
      <c r="A531" s="109" t="n"/>
      <c r="B531" s="109" t="inlineStr">
        <is>
          <t>X</t>
        </is>
      </c>
      <c r="C531" s="109" t="inlineStr"/>
      <c r="D531" s="109" t="inlineStr">
        <is>
          <t>AREA 3</t>
        </is>
      </c>
      <c r="E531" s="109" t="inlineStr">
        <is>
          <t>518172/C</t>
        </is>
      </c>
      <c r="F531" s="109" t="inlineStr">
        <is>
          <t>1100</t>
        </is>
      </c>
      <c r="G531" s="109" t="inlineStr">
        <is>
          <t xml:space="preserve"> 10200945  11T253I.PV + 11T254I.PV   controllo funzionale</t>
        </is>
      </c>
      <c r="H531" s="109" t="n"/>
      <c r="I531" s="109" t="n"/>
      <c r="J531" s="109" t="n"/>
      <c r="K531" s="109" t="n"/>
      <c r="L531" s="109" t="n"/>
      <c r="M531" s="109" t="inlineStr">
        <is>
          <t>DA CHIUDERE</t>
        </is>
      </c>
      <c r="N531" s="109" t="n"/>
      <c r="O531" s="109" t="n"/>
      <c r="P531" s="109" t="n"/>
      <c r="Q531" s="109" t="inlineStr">
        <is>
          <t>TEMPERATURE FUORI DA GUAINA TERMOMETRICA (ASSENZA POZZETTO TERMOMETRICO RIF.CAVALLI)</t>
        </is>
      </c>
      <c r="R531" s="151" t="n">
        <v>45637</v>
      </c>
      <c r="S531" s="109" t="inlineStr">
        <is>
          <t>RICIPUTO/MARINO</t>
        </is>
      </c>
      <c r="T531" s="109" t="inlineStr"/>
      <c r="U531" s="109" t="inlineStr">
        <is>
          <t xml:space="preserve"> 1020094</t>
        </is>
      </c>
    </row>
    <row r="532">
      <c r="A532" s="109" t="n"/>
      <c r="B532" s="109" t="inlineStr">
        <is>
          <t>X</t>
        </is>
      </c>
      <c r="C532" s="109" t="inlineStr"/>
      <c r="D532" s="109" t="inlineStr">
        <is>
          <t>AREA 3</t>
        </is>
      </c>
      <c r="E532" s="109" t="inlineStr">
        <is>
          <t>522091/C</t>
        </is>
      </c>
      <c r="F532" s="109" t="inlineStr">
        <is>
          <t>1200/3</t>
        </is>
      </c>
      <c r="G532" s="109" t="inlineStr">
        <is>
          <t xml:space="preserve"> 1200/3 - controllo funzionale FR401</t>
        </is>
      </c>
      <c r="H532" s="109" t="n"/>
      <c r="I532" s="109" t="n"/>
      <c r="J532" s="109" t="n"/>
      <c r="K532" s="109" t="n"/>
      <c r="L532" s="109" t="n"/>
      <c r="M532" s="109" t="inlineStr">
        <is>
          <t>DA CHIUDERE</t>
        </is>
      </c>
      <c r="N532" s="109" t="n"/>
      <c r="O532" s="109" t="n"/>
      <c r="P532" s="109" t="n"/>
      <c r="Q532" s="109" t="inlineStr">
        <is>
          <t>ESEGUITO CONTROLLO</t>
        </is>
      </c>
      <c r="R532" s="151" t="n">
        <v>45681</v>
      </c>
      <c r="S532" s="109" t="inlineStr">
        <is>
          <t>TARASCIO</t>
        </is>
      </c>
      <c r="T532" s="109" t="inlineStr"/>
      <c r="U532" s="147" t="inlineStr"/>
    </row>
    <row r="533" ht="30" customHeight="1" s="122">
      <c r="A533" s="109" t="n"/>
      <c r="B533" s="108" t="inlineStr">
        <is>
          <t>X</t>
        </is>
      </c>
      <c r="C533" s="109" t="inlineStr"/>
      <c r="D533" s="109" t="inlineStr">
        <is>
          <t>AREA 3</t>
        </is>
      </c>
      <c r="E533" s="109" t="inlineStr">
        <is>
          <t>513705/C</t>
        </is>
      </c>
      <c r="F533" s="109" t="inlineStr">
        <is>
          <t>1400</t>
        </is>
      </c>
      <c r="G533" s="109" t="inlineStr">
        <is>
          <t xml:space="preserve"> POMPA P110 - RIPRSTINO SISTEMA FLUSSAGGIO TENUTE CON AZOTO </t>
        </is>
      </c>
      <c r="H533" s="109" t="n"/>
      <c r="I533" s="109" t="n"/>
      <c r="J533" s="109" t="n"/>
      <c r="K533" s="109" t="n"/>
      <c r="L533" s="109" t="n"/>
      <c r="M533" s="110" t="inlineStr">
        <is>
          <t>DA CHIUDERE</t>
        </is>
      </c>
      <c r="N533" s="110" t="n"/>
      <c r="O533" s="110" t="n"/>
      <c r="P533" s="110" t="n"/>
      <c r="Q533" s="110" t="inlineStr">
        <is>
          <t>SISTEMA DI TENUTA APPARTIENE AI NUOVI INVESTIMENTI, NON SI HANNO RISCONTRI DI RICAMBISTICA</t>
        </is>
      </c>
      <c r="R533" s="151" t="n">
        <v>45590</v>
      </c>
      <c r="S533" s="110" t="inlineStr">
        <is>
          <t>MILLO/ALLEGRETTI</t>
        </is>
      </c>
      <c r="T533" s="109" t="inlineStr"/>
      <c r="U533" s="147" t="inlineStr"/>
    </row>
    <row r="534" ht="30" customHeight="1" s="122">
      <c r="A534" s="109" t="n"/>
      <c r="B534" s="108" t="inlineStr">
        <is>
          <t>X</t>
        </is>
      </c>
      <c r="C534" s="109" t="inlineStr"/>
      <c r="D534" s="109" t="inlineStr">
        <is>
          <t>AREA 3</t>
        </is>
      </c>
      <c r="E534" s="109" t="inlineStr">
        <is>
          <t>513706/C</t>
        </is>
      </c>
      <c r="F534" s="109" t="inlineStr">
        <is>
          <t>1400</t>
        </is>
      </c>
      <c r="G534" s="109" t="inlineStr">
        <is>
          <t xml:space="preserve"> POMPA P111 - RIPRSTINO SISTEMA FLUSSAGGIO TENUTE CON AZOTO </t>
        </is>
      </c>
      <c r="H534" s="109" t="n"/>
      <c r="I534" s="109" t="n"/>
      <c r="J534" s="109" t="n"/>
      <c r="K534" s="109" t="n"/>
      <c r="L534" s="109" t="n"/>
      <c r="M534" s="110" t="inlineStr">
        <is>
          <t>DA CHIUDERE</t>
        </is>
      </c>
      <c r="N534" s="110" t="n"/>
      <c r="O534" s="110" t="n"/>
      <c r="P534" s="110" t="n"/>
      <c r="Q534" s="110" t="inlineStr">
        <is>
          <t>SISTEMA DI TENUTA APPARTIENE AI NUOVI INVESTIMENTI, NON SI HANNO RISCONTRI DI RICAMBISTICA</t>
        </is>
      </c>
      <c r="R534" s="151" t="n">
        <v>45590</v>
      </c>
      <c r="S534" s="110" t="inlineStr">
        <is>
          <t>MILLO/ALLEGRETTI</t>
        </is>
      </c>
      <c r="T534" s="109" t="inlineStr"/>
      <c r="U534" s="147" t="inlineStr"/>
    </row>
    <row r="535" ht="45" customHeight="1" s="122">
      <c r="A535" s="109" t="n"/>
      <c r="B535" s="108" t="inlineStr">
        <is>
          <t>X</t>
        </is>
      </c>
      <c r="C535" s="109" t="inlineStr"/>
      <c r="D535" s="109" t="inlineStr">
        <is>
          <t>AREA 3</t>
        </is>
      </c>
      <c r="E535" s="109" t="inlineStr">
        <is>
          <t>524476/C</t>
        </is>
      </c>
      <c r="F535" s="109" t="inlineStr">
        <is>
          <t>700A</t>
        </is>
      </c>
      <c r="G535" s="109" t="inlineStr">
        <is>
          <t xml:space="preserve"> 700A - F221RC Ripristino traccia vapore dello strumento e  ripristino funzionali </t>
        </is>
      </c>
      <c r="H535" s="109" t="n"/>
      <c r="I535" s="109" t="n"/>
      <c r="J535" s="109" t="n"/>
      <c r="K535" s="109" t="n"/>
      <c r="L535" s="109" t="n"/>
      <c r="M535" s="110" t="inlineStr">
        <is>
          <t>DA CHIUDERE</t>
        </is>
      </c>
      <c r="N535" s="110" t="n"/>
      <c r="O535" s="110" t="n"/>
      <c r="P535" s="110" t="n"/>
      <c r="Q535" s="110" t="inlineStr">
        <is>
          <t>SI RISCONTRA TRACCIATURA FREDDA POICHE' INTERCETTATA E MANCA PARTE PER RICOLLEGARLA. PONTEGGIO REALIZZATO. ATTIVITA' DA CHIUDERE RIPRISTINANDO PARTE MANCANTE.</t>
        </is>
      </c>
      <c r="R535" s="151" t="n">
        <v>45694</v>
      </c>
      <c r="S535" s="110" t="inlineStr">
        <is>
          <t>TARASCIO/PARTESANO</t>
        </is>
      </c>
      <c r="T535" s="109" t="inlineStr"/>
      <c r="U535" s="147" t="inlineStr"/>
    </row>
    <row r="536" ht="30" customHeight="1" s="122">
      <c r="A536" s="109" t="n"/>
      <c r="B536" s="108" t="inlineStr">
        <is>
          <t>X</t>
        </is>
      </c>
      <c r="C536" s="109" t="inlineStr"/>
      <c r="D536" s="109" t="inlineStr">
        <is>
          <t>AREA 3</t>
        </is>
      </c>
      <c r="E536" s="109" t="inlineStr">
        <is>
          <t>525451/C</t>
        </is>
      </c>
      <c r="F536" s="109" t="inlineStr">
        <is>
          <t>1400</t>
        </is>
      </c>
      <c r="G536" s="109" t="inlineStr">
        <is>
          <t xml:space="preserve"> 10217184 1400 - L004IC controllo LOOP DI REGOLAZIONE</t>
        </is>
      </c>
      <c r="H536" s="109" t="n"/>
      <c r="I536" s="109" t="n"/>
      <c r="J536" s="109" t="n"/>
      <c r="K536" s="109" t="n"/>
      <c r="L536" s="109" t="n"/>
      <c r="M536" s="110" t="inlineStr">
        <is>
          <t>DA CHIUDERE</t>
        </is>
      </c>
      <c r="N536" s="110" t="n"/>
      <c r="O536" s="110" t="n"/>
      <c r="P536" s="110" t="n"/>
      <c r="Q536" s="110" t="inlineStr">
        <is>
          <t>IL LIVELLO RISULTA FUNZIONANTE DA ESE, INTERROTTA RICHIESTA INTERVENTO COEMI</t>
        </is>
      </c>
      <c r="R536" s="151" t="n">
        <v>45700</v>
      </c>
      <c r="S536" s="110" t="n"/>
      <c r="T536" s="109" t="inlineStr"/>
      <c r="U536" s="147" t="inlineStr">
        <is>
          <t xml:space="preserve"> 1021718</t>
        </is>
      </c>
    </row>
    <row r="537" ht="30" customHeight="1" s="122">
      <c r="A537" s="109" t="n"/>
      <c r="B537" s="108" t="inlineStr">
        <is>
          <t>X</t>
        </is>
      </c>
      <c r="C537" s="109" t="inlineStr"/>
      <c r="D537" s="109" t="inlineStr">
        <is>
          <t>AREA 3</t>
        </is>
      </c>
      <c r="E537" s="109" t="inlineStr">
        <is>
          <t>525663/C</t>
        </is>
      </c>
      <c r="F537" s="109" t="inlineStr">
        <is>
          <t>1800</t>
        </is>
      </c>
      <c r="G537" s="109" t="inlineStr">
        <is>
          <t xml:space="preserve"> 1800 - L003RC (D102)CONTROLLO TARATURA E RIPRISTINO FUNZIONALITA</t>
        </is>
      </c>
      <c r="H537" s="109" t="n"/>
      <c r="I537" s="109" t="n"/>
      <c r="J537" s="109" t="n"/>
      <c r="K537" s="109" t="n"/>
      <c r="L537" s="109" t="n"/>
      <c r="M537" s="110" t="inlineStr">
        <is>
          <t>DA CHIUDERE</t>
        </is>
      </c>
      <c r="N537" s="110" t="n"/>
      <c r="O537" s="110" t="n"/>
      <c r="P537" s="110" t="n"/>
      <c r="Q537" s="110" t="inlineStr">
        <is>
          <t>PERDITA DI BATTENTE SU NEGATIVA. RIEMPITO CON GLICERINA RIPRISTINANDO LA FUNZIONALITA'</t>
        </is>
      </c>
      <c r="R537" s="151" t="n">
        <v>45628</v>
      </c>
      <c r="S537" s="110" t="inlineStr">
        <is>
          <t>MILLO/ALLEGRETTI</t>
        </is>
      </c>
      <c r="T537" s="109" t="inlineStr"/>
      <c r="U537" s="147" t="inlineStr"/>
    </row>
    <row r="538" ht="30" customHeight="1" s="122">
      <c r="A538" s="109" t="n"/>
      <c r="B538" s="108" t="inlineStr">
        <is>
          <t>X</t>
        </is>
      </c>
      <c r="C538" s="109" t="inlineStr"/>
      <c r="D538" s="109" t="inlineStr">
        <is>
          <t>AREA 3</t>
        </is>
      </c>
      <c r="E538" s="109" t="inlineStr">
        <is>
          <t>525282/C</t>
        </is>
      </c>
      <c r="F538" s="109" t="inlineStr">
        <is>
          <t>700</t>
        </is>
      </c>
      <c r="G538" s="109" t="inlineStr">
        <is>
          <t xml:space="preserve"> 700 - RIPRISTINO BV617</t>
        </is>
      </c>
      <c r="H538" s="109" t="n"/>
      <c r="I538" s="109" t="n"/>
      <c r="J538" s="109" t="n"/>
      <c r="K538" s="109" t="n"/>
      <c r="L538" s="109" t="n"/>
      <c r="M538" s="110" t="inlineStr">
        <is>
          <t>DA CHIUDERE</t>
        </is>
      </c>
      <c r="N538" s="110" t="n"/>
      <c r="O538" s="110" t="n"/>
      <c r="P538" s="110" t="n"/>
      <c r="Q538" s="110" t="inlineStr">
        <is>
          <t>LA VALVOLA NON PRESENTA ANOMALIE, SI RISCONTRANO SENSORI CO DA CONTROLLARE</t>
        </is>
      </c>
      <c r="R538" s="151" t="n">
        <v>45698</v>
      </c>
      <c r="S538" s="110" t="inlineStr">
        <is>
          <t>GARRO L./GARRO S.</t>
        </is>
      </c>
      <c r="T538" s="109" t="inlineStr"/>
      <c r="U538" s="147" t="inlineStr"/>
    </row>
    <row r="539" ht="30" customHeight="1" s="122">
      <c r="A539" s="109" t="n"/>
      <c r="B539" s="108" t="inlineStr">
        <is>
          <t>X</t>
        </is>
      </c>
      <c r="C539" s="109" t="inlineStr"/>
      <c r="D539" s="109" t="inlineStr">
        <is>
          <t>AREA 3</t>
        </is>
      </c>
      <c r="E539" s="109" t="inlineStr">
        <is>
          <t>524632/C</t>
        </is>
      </c>
      <c r="F539" s="109" t="inlineStr">
        <is>
          <t>1800</t>
        </is>
      </c>
      <c r="G539" s="109" t="inlineStr">
        <is>
          <t xml:space="preserve"> 10224040 1800 - T016RC CONTROLLO E RIPRISTINO LOOP DI REGOLAZIONE</t>
        </is>
      </c>
      <c r="H539" s="109" t="n"/>
      <c r="I539" s="109" t="n"/>
      <c r="J539" s="109" t="n"/>
      <c r="K539" s="109" t="n"/>
      <c r="L539" s="109" t="n"/>
      <c r="M539" s="110" t="inlineStr">
        <is>
          <t>DA CHIUDERE</t>
        </is>
      </c>
      <c r="N539" s="110" t="n"/>
      <c r="O539" s="110" t="n"/>
      <c r="P539" s="110" t="n"/>
      <c r="Q539" s="110" t="inlineStr">
        <is>
          <t>SOSTITUITO POSIZIONATORE CON RIPRISTINO DELLA FUNZIONALITA'.</t>
        </is>
      </c>
      <c r="R539" s="151" t="n">
        <v>45692</v>
      </c>
      <c r="S539" s="110" t="inlineStr">
        <is>
          <t>GARRO L./GARRO S.</t>
        </is>
      </c>
      <c r="T539" s="109" t="inlineStr"/>
      <c r="U539" s="147" t="inlineStr">
        <is>
          <t xml:space="preserve"> 1022404</t>
        </is>
      </c>
    </row>
    <row r="540" ht="30" customHeight="1" s="122">
      <c r="A540" s="109" t="n"/>
      <c r="B540" s="109" t="inlineStr">
        <is>
          <t>X</t>
        </is>
      </c>
      <c r="C540" s="109" t="inlineStr"/>
      <c r="D540" s="109" t="inlineStr">
        <is>
          <t>AREA 3</t>
        </is>
      </c>
      <c r="E540" s="109" t="inlineStr">
        <is>
          <t>522471/C</t>
        </is>
      </c>
      <c r="F540" s="109" t="inlineStr">
        <is>
          <t>800</t>
        </is>
      </c>
      <c r="G540" s="109" t="inlineStr">
        <is>
          <t xml:space="preserve"> 800 - verifica dei misuratore 08F160R (VAPORE BP DA L.B.)</t>
        </is>
      </c>
      <c r="H540" s="109" t="n"/>
      <c r="I540" s="109" t="n"/>
      <c r="J540" s="109" t="n"/>
      <c r="K540" s="109" t="n"/>
      <c r="L540" s="109" t="n"/>
      <c r="M540" s="109" t="inlineStr">
        <is>
          <t>DA CHIUDERE</t>
        </is>
      </c>
      <c r="N540" s="109" t="n"/>
      <c r="O540" s="109" t="n"/>
      <c r="P540" s="109" t="n"/>
      <c r="Q540" s="109" t="inlineStr">
        <is>
          <t>ESEGUITO CONTROLLO.</t>
        </is>
      </c>
      <c r="R540" s="151" t="n">
        <v>45692</v>
      </c>
      <c r="S540" s="109" t="inlineStr">
        <is>
          <t>TARASCIO/PARTESANO</t>
        </is>
      </c>
      <c r="T540" s="109" t="inlineStr"/>
      <c r="U540" s="147" t="inlineStr"/>
    </row>
    <row r="541" ht="30" customHeight="1" s="122">
      <c r="A541" s="109" t="n"/>
      <c r="B541" s="108" t="inlineStr">
        <is>
          <t>X</t>
        </is>
      </c>
      <c r="C541" s="109" t="inlineStr"/>
      <c r="D541" s="109" t="inlineStr">
        <is>
          <t>AREA 3</t>
        </is>
      </c>
      <c r="E541" s="109" t="inlineStr">
        <is>
          <t>522469/C</t>
        </is>
      </c>
      <c r="F541" s="109" t="inlineStr">
        <is>
          <t>800</t>
        </is>
      </c>
      <c r="G541" s="109" t="inlineStr">
        <is>
          <t xml:space="preserve"> 800 - verifica dei misuratore 08F162R (VAP.MED.PRESS. LIM.BATT.)</t>
        </is>
      </c>
      <c r="H541" s="109" t="n"/>
      <c r="I541" s="109" t="n"/>
      <c r="J541" s="109" t="n"/>
      <c r="K541" s="109" t="n"/>
      <c r="L541" s="109" t="n"/>
      <c r="M541" s="110" t="inlineStr">
        <is>
          <t>DA CHIUDERE</t>
        </is>
      </c>
      <c r="N541" s="110" t="n"/>
      <c r="O541" s="110" t="n"/>
      <c r="P541" s="110" t="n"/>
      <c r="Q541" s="110" t="inlineStr">
        <is>
          <t>ESEGUITO CONTROLLO.</t>
        </is>
      </c>
      <c r="R541" s="151" t="n">
        <v>45692</v>
      </c>
      <c r="S541" s="110" t="inlineStr">
        <is>
          <t>TARASCIO/PARTESANO</t>
        </is>
      </c>
      <c r="T541" s="109" t="inlineStr"/>
      <c r="U541" s="147" t="inlineStr"/>
    </row>
    <row r="542" ht="30" customHeight="1" s="122">
      <c r="A542" s="109" t="n"/>
      <c r="B542" s="108" t="inlineStr">
        <is>
          <t>X</t>
        </is>
      </c>
      <c r="C542" s="109" t="inlineStr"/>
      <c r="D542" s="109" t="inlineStr">
        <is>
          <t>AREA 3</t>
        </is>
      </c>
      <c r="E542" s="109" t="inlineStr">
        <is>
          <t>522466/C</t>
        </is>
      </c>
      <c r="F542" s="109" t="inlineStr">
        <is>
          <t>800</t>
        </is>
      </c>
      <c r="G542" s="109" t="inlineStr">
        <is>
          <t xml:space="preserve"> 800 - verifica dei misuratore 08F158BR (VAP.ALT.PRESS. DA L.B.)</t>
        </is>
      </c>
      <c r="H542" s="109" t="n"/>
      <c r="I542" s="109" t="n"/>
      <c r="J542" s="109" t="n"/>
      <c r="K542" s="109" t="n"/>
      <c r="L542" s="109" t="n"/>
      <c r="M542" s="110" t="inlineStr">
        <is>
          <t>DA CHIUDERE</t>
        </is>
      </c>
      <c r="N542" s="110" t="n"/>
      <c r="O542" s="110" t="n"/>
      <c r="P542" s="110" t="n"/>
      <c r="Q542" s="110" t="inlineStr">
        <is>
          <t>ESEGUITO CONTROLLO.</t>
        </is>
      </c>
      <c r="R542" s="151" t="n">
        <v>45692</v>
      </c>
      <c r="S542" s="110" t="inlineStr">
        <is>
          <t>TARASCIO/PARTESANO</t>
        </is>
      </c>
      <c r="T542" s="109" t="inlineStr"/>
      <c r="U542" s="147" t="inlineStr"/>
    </row>
    <row r="543">
      <c r="A543" s="109" t="n"/>
      <c r="B543" s="108" t="inlineStr">
        <is>
          <t>X</t>
        </is>
      </c>
      <c r="C543" s="109" t="inlineStr"/>
      <c r="D543" s="109" t="inlineStr">
        <is>
          <t>AREA 3</t>
        </is>
      </c>
      <c r="E543" s="109" t="inlineStr">
        <is>
          <t>521569/C</t>
        </is>
      </c>
      <c r="F543" s="109" t="inlineStr">
        <is>
          <t>700</t>
        </is>
      </c>
      <c r="G543" s="109" t="inlineStr">
        <is>
          <t xml:space="preserve"> 700: L006LA (livello locale T02) ripristino livello e loop di regolazione</t>
        </is>
      </c>
      <c r="H543" s="109" t="n"/>
      <c r="I543" s="109" t="n"/>
      <c r="J543" s="109" t="n"/>
      <c r="K543" s="109" t="n"/>
      <c r="L543" s="109" t="n"/>
      <c r="M543" s="110" t="inlineStr">
        <is>
          <t>DA CHIUDERE</t>
        </is>
      </c>
      <c r="N543" s="110" t="n"/>
      <c r="O543" s="110" t="n"/>
      <c r="P543" s="110" t="n"/>
      <c r="Q543" s="110" t="inlineStr">
        <is>
          <t>CONTROLLO ESEGUITO, SI RISCONTRAVA SPORCIZIA ALL'INTERNO.</t>
        </is>
      </c>
      <c r="R543" s="151" t="n">
        <v>45674</v>
      </c>
      <c r="S543" s="110" t="inlineStr">
        <is>
          <t>TARASCIO</t>
        </is>
      </c>
      <c r="T543" s="109" t="inlineStr"/>
      <c r="U543" s="147" t="inlineStr"/>
    </row>
    <row r="544" ht="45" customHeight="1" s="122">
      <c r="A544" s="109" t="n"/>
      <c r="B544" s="108" t="inlineStr">
        <is>
          <t>X</t>
        </is>
      </c>
      <c r="C544" s="109" t="inlineStr"/>
      <c r="D544" s="109" t="inlineStr">
        <is>
          <t>AREA 3</t>
        </is>
      </c>
      <c r="E544" s="109" t="inlineStr">
        <is>
          <t>520840/C</t>
        </is>
      </c>
      <c r="F544" s="109" t="inlineStr">
        <is>
          <t>800</t>
        </is>
      </c>
      <c r="G544" s="109" t="inlineStr">
        <is>
          <t xml:space="preserve"> 800 - F166I (SCARICO A BD) VERIFICA FUNZIONAMENTO</t>
        </is>
      </c>
      <c r="H544" s="109" t="n"/>
      <c r="I544" s="109" t="n"/>
      <c r="J544" s="109" t="n"/>
      <c r="K544" s="109" t="n"/>
      <c r="L544" s="109" t="n"/>
      <c r="M544" s="110" t="inlineStr">
        <is>
          <t>DA CHIUDERE</t>
        </is>
      </c>
      <c r="N544" s="110" t="n"/>
      <c r="O544" s="110" t="n"/>
      <c r="P544" s="110" t="n"/>
      <c r="Q544" s="110" t="inlineStr">
        <is>
          <t>PER ESEGUIRE IL CONTROLLO SI NECESSITA DEL PONTEGGIO. LO STRUMENTO E' UNA TURBINETTA, DA SMONTARE E PULIRE/CONTROLLARE IN OFFICINA</t>
        </is>
      </c>
      <c r="R544" s="151" t="n">
        <v>45693</v>
      </c>
      <c r="S544" s="110" t="inlineStr">
        <is>
          <t>TARASCIO/GARRO S.</t>
        </is>
      </c>
      <c r="T544" s="109" t="inlineStr"/>
      <c r="U544" s="147" t="inlineStr"/>
    </row>
    <row r="545" ht="30" customHeight="1" s="122">
      <c r="A545" s="109" t="n"/>
      <c r="B545" s="108" t="inlineStr">
        <is>
          <t>X</t>
        </is>
      </c>
      <c r="C545" s="109" t="inlineStr"/>
      <c r="D545" s="109" t="inlineStr">
        <is>
          <t>AREA 3</t>
        </is>
      </c>
      <c r="E545" s="109" t="inlineStr">
        <is>
          <t>523504/C</t>
        </is>
      </c>
      <c r="F545" s="109" t="inlineStr">
        <is>
          <t>1200/0</t>
        </is>
      </c>
      <c r="G545" s="109" t="inlineStr">
        <is>
          <t xml:space="preserve"> Z0F905BI (VAPORE PRODOTTO MAXI)  controllo funzionale</t>
        </is>
      </c>
      <c r="H545" s="109" t="n"/>
      <c r="I545" s="109" t="n"/>
      <c r="J545" s="109" t="n"/>
      <c r="K545" s="109" t="n"/>
      <c r="L545" s="109" t="n"/>
      <c r="M545" s="110" t="inlineStr">
        <is>
          <t>DA CHIUDERE</t>
        </is>
      </c>
      <c r="N545" s="110" t="n"/>
      <c r="O545" s="110" t="n"/>
      <c r="P545" s="110" t="n"/>
      <c r="Q545" s="110" t="inlineStr">
        <is>
          <t>CONTROLLATO TRASMETTITORE, AZZERAMENTO, CONTOLLO TARAT. LOOP_ NESSUNA ANOMALIA</t>
        </is>
      </c>
      <c r="R545" s="151" t="n">
        <v>45693</v>
      </c>
      <c r="S545" s="110" t="inlineStr">
        <is>
          <t>SPINALI/SERRA</t>
        </is>
      </c>
      <c r="T545" s="109" t="inlineStr"/>
      <c r="U545" s="147" t="inlineStr"/>
    </row>
    <row r="546" ht="30" customHeight="1" s="122">
      <c r="A546" s="109" t="n"/>
      <c r="B546" s="109" t="inlineStr">
        <is>
          <t>X</t>
        </is>
      </c>
      <c r="C546" s="109" t="inlineStr"/>
      <c r="D546" s="109" t="inlineStr">
        <is>
          <t>AREA 3</t>
        </is>
      </c>
      <c r="E546" s="109" t="inlineStr">
        <is>
          <t>523502/C</t>
        </is>
      </c>
      <c r="F546" s="109" t="inlineStr">
        <is>
          <t>1200/0</t>
        </is>
      </c>
      <c r="G546" s="109" t="inlineStr">
        <is>
          <t xml:space="preserve"> Z0F905AI(VAPORE PRODOTTO MAXI)  controllo funzionale</t>
        </is>
      </c>
      <c r="H546" s="109" t="n"/>
      <c r="I546" s="109" t="n"/>
      <c r="J546" s="109" t="n"/>
      <c r="K546" s="109" t="n"/>
      <c r="L546" s="109" t="n"/>
      <c r="M546" s="109" t="inlineStr">
        <is>
          <t>DA CHIUDERE</t>
        </is>
      </c>
      <c r="N546" s="109" t="n"/>
      <c r="O546" s="109" t="n"/>
      <c r="P546" s="109" t="n"/>
      <c r="Q546" s="109" t="inlineStr">
        <is>
          <t>TX CORRETTO DI ZERO, ALLINEATO CON SALA CONTROLLO.</t>
        </is>
      </c>
      <c r="R546" s="151" t="n">
        <v>45693</v>
      </c>
      <c r="S546" s="109" t="inlineStr">
        <is>
          <t>TARASCIO/PARTESANO</t>
        </is>
      </c>
      <c r="T546" s="109" t="inlineStr"/>
      <c r="U546" s="109" t="inlineStr"/>
    </row>
    <row r="547" ht="30" customHeight="1" s="122">
      <c r="A547" s="109" t="n"/>
      <c r="B547" s="108" t="inlineStr">
        <is>
          <t>X</t>
        </is>
      </c>
      <c r="C547" s="109" t="inlineStr"/>
      <c r="D547" s="109" t="inlineStr">
        <is>
          <t>AREA 3</t>
        </is>
      </c>
      <c r="E547" s="109" t="inlineStr">
        <is>
          <t>524347/C</t>
        </is>
      </c>
      <c r="F547" s="109" t="inlineStr">
        <is>
          <t>1200/1</t>
        </is>
      </c>
      <c r="G547" s="109" t="inlineStr">
        <is>
          <t xml:space="preserve"> 1200/1 - Z1-F301RC  Z1-F302RC  Z1-F306RC CONTROLLO FUNZIONALE</t>
        </is>
      </c>
      <c r="H547" s="109" t="n"/>
      <c r="I547" s="109" t="n"/>
      <c r="J547" s="109" t="n"/>
      <c r="K547" s="109" t="n"/>
      <c r="L547" s="109" t="n"/>
      <c r="M547" s="110" t="inlineStr">
        <is>
          <t>DA CHIUDERE</t>
        </is>
      </c>
      <c r="N547" s="110" t="n"/>
      <c r="O547" s="110" t="n"/>
      <c r="P547" s="110" t="n"/>
      <c r="Q547" s="110" t="n"/>
      <c r="R547" s="151" t="n">
        <v>45691</v>
      </c>
      <c r="S547" s="110" t="inlineStr">
        <is>
          <t>TARASCIO/PARTESANO</t>
        </is>
      </c>
      <c r="T547" s="109" t="inlineStr"/>
      <c r="U547" s="147" t="inlineStr"/>
    </row>
    <row r="548">
      <c r="A548" s="109" t="n"/>
      <c r="B548" s="109" t="inlineStr">
        <is>
          <t>X</t>
        </is>
      </c>
      <c r="C548" s="109" t="inlineStr"/>
      <c r="D548" s="109" t="inlineStr">
        <is>
          <t>AREA 3</t>
        </is>
      </c>
      <c r="E548" s="109" t="inlineStr">
        <is>
          <t>512354/C</t>
        </is>
      </c>
      <c r="F548" s="109" t="inlineStr">
        <is>
          <t>700A</t>
        </is>
      </c>
      <c r="G548" s="109" t="inlineStr">
        <is>
          <t xml:space="preserve"> F221RC -TARATURA </t>
        </is>
      </c>
      <c r="H548" s="109" t="n"/>
      <c r="I548" s="109" t="n"/>
      <c r="J548" s="109" t="n"/>
      <c r="K548" s="109" t="n"/>
      <c r="L548" s="109" t="n"/>
      <c r="M548" s="109" t="inlineStr">
        <is>
          <t>DA CHIUDERE</t>
        </is>
      </c>
      <c r="N548" s="109" t="n"/>
      <c r="O548" s="109" t="n"/>
      <c r="P548" s="109" t="n"/>
      <c r="Q548" s="109" t="inlineStr">
        <is>
          <t>Necessita piano lavoro per il controllo del trasmettitore.</t>
        </is>
      </c>
      <c r="R548" s="151" t="n">
        <v>45574</v>
      </c>
      <c r="S548" s="109" t="n"/>
      <c r="T548" s="109" t="inlineStr"/>
      <c r="U548" s="109" t="inlineStr"/>
    </row>
    <row r="549">
      <c r="A549" s="109" t="n"/>
      <c r="B549" s="108" t="inlineStr">
        <is>
          <t>X</t>
        </is>
      </c>
      <c r="C549" s="109" t="inlineStr"/>
      <c r="D549" s="109" t="inlineStr">
        <is>
          <t>AREA 3</t>
        </is>
      </c>
      <c r="E549" s="109" t="inlineStr">
        <is>
          <t>522702/C</t>
        </is>
      </c>
      <c r="F549" s="109" t="inlineStr">
        <is>
          <t>1200/M</t>
        </is>
      </c>
      <c r="G549" s="109" t="inlineStr">
        <is>
          <t xml:space="preserve"> 1200/M - OFF-SIDE RIPRISTINO PASSERELLE E FASCETTATURA CAVI ZONA KV HIC</t>
        </is>
      </c>
      <c r="H549" s="109" t="n"/>
      <c r="I549" s="109" t="n"/>
      <c r="J549" s="109" t="n"/>
      <c r="K549" s="109" t="n"/>
      <c r="L549" s="109" t="n"/>
      <c r="M549" s="110" t="inlineStr">
        <is>
          <t>DA CHIUDERE</t>
        </is>
      </c>
      <c r="N549" s="110" t="n"/>
      <c r="O549" s="110" t="n"/>
      <c r="P549" s="110" t="n"/>
      <c r="Q549" s="110" t="inlineStr">
        <is>
          <t>DA CHIUDERE (CAVALLI)</t>
        </is>
      </c>
      <c r="R549" s="151" t="n"/>
      <c r="S549" s="110" t="n"/>
      <c r="T549" s="109" t="inlineStr"/>
      <c r="U549" s="147" t="inlineStr"/>
    </row>
    <row r="550" ht="30" customHeight="1" s="122">
      <c r="A550" s="109" t="n"/>
      <c r="B550" s="108" t="inlineStr">
        <is>
          <t>X</t>
        </is>
      </c>
      <c r="C550" s="109" t="inlineStr"/>
      <c r="D550" s="109" t="inlineStr">
        <is>
          <t>AREA 3</t>
        </is>
      </c>
      <c r="E550" s="109" t="inlineStr">
        <is>
          <t>523805/C</t>
        </is>
      </c>
      <c r="F550" s="109" t="inlineStr">
        <is>
          <t>1800</t>
        </is>
      </c>
      <c r="G550" s="109" t="inlineStr">
        <is>
          <t xml:space="preserve"> 1800 - LCV029B controllo funzionale</t>
        </is>
      </c>
      <c r="H550" s="109" t="n"/>
      <c r="I550" s="109" t="n"/>
      <c r="J550" s="109" t="n"/>
      <c r="K550" s="109" t="n"/>
      <c r="L550" s="109" t="n"/>
      <c r="M550" s="110" t="inlineStr">
        <is>
          <t>DA CHIUDERE</t>
        </is>
      </c>
      <c r="N550" s="110" t="n"/>
      <c r="O550" s="110" t="n"/>
      <c r="P550" s="110" t="n"/>
      <c r="Q550" s="110" t="inlineStr">
        <is>
          <t>ACQUA NEL POSIZIONATORE, RIPRISTINATA LA FUNZIONALITA'</t>
        </is>
      </c>
      <c r="R550" s="151" t="n">
        <v>45688</v>
      </c>
      <c r="S550" s="110" t="inlineStr">
        <is>
          <t>GARRO L./GARRO S.</t>
        </is>
      </c>
      <c r="T550" s="109" t="inlineStr"/>
      <c r="U550" s="147" t="inlineStr"/>
    </row>
    <row r="551" ht="30" customHeight="1" s="122">
      <c r="A551" s="109" t="n"/>
      <c r="B551" s="108" t="inlineStr">
        <is>
          <t>X</t>
        </is>
      </c>
      <c r="C551" s="109" t="inlineStr"/>
      <c r="D551" s="109" t="inlineStr">
        <is>
          <t>AREA 3</t>
        </is>
      </c>
      <c r="E551" s="109" t="inlineStr">
        <is>
          <t>520841/C</t>
        </is>
      </c>
      <c r="F551" s="109" t="inlineStr">
        <is>
          <t>700</t>
        </is>
      </c>
      <c r="G551" s="109" t="inlineStr">
        <is>
          <t xml:space="preserve"> 700 - MONSANTO: MTZ TCV031 VERIFICA FUNZIONAMENTO </t>
        </is>
      </c>
      <c r="H551" s="109" t="n"/>
      <c r="I551" s="109" t="n"/>
      <c r="J551" s="109" t="n"/>
      <c r="K551" s="109" t="n"/>
      <c r="L551" s="109" t="n"/>
      <c r="M551" s="110" t="inlineStr">
        <is>
          <t>DA CHIUDERE</t>
        </is>
      </c>
      <c r="N551" s="110" t="n"/>
      <c r="O551" s="110" t="n"/>
      <c r="P551" s="110" t="n"/>
      <c r="Q551" s="110" t="n"/>
      <c r="R551" s="151" t="n">
        <v>45687</v>
      </c>
      <c r="S551" s="110" t="inlineStr">
        <is>
          <t>GARRO L./GARRO S.</t>
        </is>
      </c>
      <c r="T551" s="109" t="inlineStr"/>
      <c r="U551" s="147" t="inlineStr"/>
    </row>
    <row r="552">
      <c r="A552" s="109" t="n"/>
      <c r="B552" s="109" t="inlineStr">
        <is>
          <t>X</t>
        </is>
      </c>
      <c r="C552" s="109" t="inlineStr"/>
      <c r="D552" s="109" t="inlineStr">
        <is>
          <t>AREA 3</t>
        </is>
      </c>
      <c r="E552" s="109" t="inlineStr">
        <is>
          <t>523440/C</t>
        </is>
      </c>
      <c r="F552" s="109" t="inlineStr">
        <is>
          <t>1800</t>
        </is>
      </c>
      <c r="G552" s="109" t="inlineStr">
        <is>
          <t xml:space="preserve"> 1800 - P021CV SMONTAGGIO/RIMONTAGGIO PER REVISIONE</t>
        </is>
      </c>
      <c r="H552" s="109" t="n"/>
      <c r="I552" s="109" t="n"/>
      <c r="J552" s="109" t="n"/>
      <c r="K552" s="109" t="n"/>
      <c r="L552" s="109" t="n"/>
      <c r="M552" s="109" t="inlineStr">
        <is>
          <t>DA CHIUDERE</t>
        </is>
      </c>
      <c r="N552" s="109" t="n"/>
      <c r="O552" s="109" t="n"/>
      <c r="P552" s="109" t="n"/>
      <c r="Q552" s="109" t="inlineStr">
        <is>
          <t>ESEGUITO RIMONTAGGIO IN CAMPO.</t>
        </is>
      </c>
      <c r="R552" s="151" t="n">
        <v>45682</v>
      </c>
      <c r="S552" s="110" t="inlineStr">
        <is>
          <t>OFF.VALVOLE</t>
        </is>
      </c>
      <c r="T552" s="109" t="inlineStr"/>
      <c r="U552" s="109" t="inlineStr"/>
    </row>
    <row r="553">
      <c r="A553" s="109" t="n"/>
      <c r="B553" s="108" t="inlineStr">
        <is>
          <t>X</t>
        </is>
      </c>
      <c r="C553" s="109" t="inlineStr"/>
      <c r="D553" s="109" t="inlineStr">
        <is>
          <t>AREA 3</t>
        </is>
      </c>
      <c r="E553" s="109" t="inlineStr">
        <is>
          <t>522677/C</t>
        </is>
      </c>
      <c r="F553" s="109" t="inlineStr">
        <is>
          <t>1800</t>
        </is>
      </c>
      <c r="G553" s="109" t="inlineStr">
        <is>
          <t xml:space="preserve"> 10215413.   18-F003RC CONDENSA DA 1800_E102</t>
        </is>
      </c>
      <c r="H553" s="109" t="n"/>
      <c r="I553" s="109" t="n"/>
      <c r="J553" s="109" t="n"/>
      <c r="K553" s="109" t="n"/>
      <c r="L553" s="109" t="n"/>
      <c r="M553" s="110" t="inlineStr">
        <is>
          <t>DA CHIUDERE</t>
        </is>
      </c>
      <c r="N553" s="110" t="n"/>
      <c r="O553" s="110" t="n"/>
      <c r="P553" s="110" t="n"/>
      <c r="Q553" s="110" t="inlineStr">
        <is>
          <t>ESEGUITO ZERO.</t>
        </is>
      </c>
      <c r="R553" s="151" t="n">
        <v>45686</v>
      </c>
      <c r="S553" s="110" t="inlineStr">
        <is>
          <t>TARASCIO</t>
        </is>
      </c>
      <c r="T553" s="109" t="inlineStr"/>
      <c r="U553" s="147" t="inlineStr">
        <is>
          <t xml:space="preserve"> 1021541</t>
        </is>
      </c>
    </row>
    <row r="554" ht="30" customHeight="1" s="122">
      <c r="A554" s="109" t="n"/>
      <c r="B554" s="109" t="inlineStr">
        <is>
          <t>X</t>
        </is>
      </c>
      <c r="C554" s="109" t="inlineStr"/>
      <c r="D554" s="109" t="inlineStr">
        <is>
          <t>AREA 3</t>
        </is>
      </c>
      <c r="E554" s="109" t="inlineStr">
        <is>
          <t>522550/C</t>
        </is>
      </c>
      <c r="F554" s="109" t="inlineStr">
        <is>
          <t>700A</t>
        </is>
      </c>
      <c r="G554" s="109" t="inlineStr">
        <is>
          <t xml:space="preserve"> 700AF221RC MANDATA P201A-B-C</t>
        </is>
      </c>
      <c r="H554" s="109" t="n"/>
      <c r="I554" s="109" t="n"/>
      <c r="J554" s="109" t="n"/>
      <c r="K554" s="109" t="n"/>
      <c r="L554" s="109" t="n"/>
      <c r="M554" s="109" t="inlineStr">
        <is>
          <t>DA CHIUDERE</t>
        </is>
      </c>
      <c r="N554" s="109" t="n"/>
      <c r="O554" s="109" t="n"/>
      <c r="P554" s="109" t="n"/>
      <c r="Q554" s="109" t="inlineStr">
        <is>
          <t>SI RISCONTRA TRACCIATURA FREDDA POICHE' INTERCETTATA E MANCA PARTE PER RICOLLEGARLA.</t>
        </is>
      </c>
      <c r="R554" s="151" t="n">
        <v>45685</v>
      </c>
      <c r="S554" s="109" t="inlineStr">
        <is>
          <t>TARASCIO</t>
        </is>
      </c>
      <c r="T554" s="109" t="inlineStr"/>
      <c r="U554" s="147" t="inlineStr"/>
    </row>
    <row r="555" ht="60" customHeight="1" s="122">
      <c r="A555" s="109" t="n"/>
      <c r="B555" s="108" t="inlineStr">
        <is>
          <t>X</t>
        </is>
      </c>
      <c r="C555" s="109" t="inlineStr"/>
      <c r="D555" s="109" t="inlineStr">
        <is>
          <t>AREA 3</t>
        </is>
      </c>
      <c r="E555" s="109" t="inlineStr">
        <is>
          <t>521031/C</t>
        </is>
      </c>
      <c r="F555" s="109" t="inlineStr">
        <is>
          <t>700</t>
        </is>
      </c>
      <c r="G555" s="109" t="inlineStr">
        <is>
          <t xml:space="preserve"> 10213946   07F224R  CONTROLLO E RIPRISTINO</t>
        </is>
      </c>
      <c r="H555" s="109" t="n"/>
      <c r="I555" s="109" t="n"/>
      <c r="J555" s="109" t="n"/>
      <c r="K555" s="109" t="n"/>
      <c r="L555" s="109" t="n"/>
      <c r="M555" s="110" t="inlineStr">
        <is>
          <t>DA CHIUDERE</t>
        </is>
      </c>
      <c r="N555" s="110" t="n"/>
      <c r="O555" s="110" t="n"/>
      <c r="P555" s="110" t="n"/>
      <c r="Q555" s="110" t="inlineStr">
        <is>
          <t>PRIMARI INCEMENTATI E BUCATI, DA RIFARE EXNOVO (DA FARE SOPRALLUOGO CON CAVALLI PER RIPRISTINARE LA FUNZIONALITA') QUANDO SI COMPLETERANNO I PONTEGGI SI PROSEGUIRA' CON PDL 524001/C</t>
        </is>
      </c>
      <c r="R555" s="151" t="n">
        <v>45673</v>
      </c>
      <c r="S555" s="110" t="inlineStr">
        <is>
          <t>TARASCIO</t>
        </is>
      </c>
      <c r="T555" s="109" t="inlineStr"/>
      <c r="U555" s="147" t="inlineStr">
        <is>
          <t xml:space="preserve"> 1021394</t>
        </is>
      </c>
    </row>
    <row r="556">
      <c r="A556" s="109" t="n"/>
      <c r="B556" s="108" t="inlineStr">
        <is>
          <t>X</t>
        </is>
      </c>
      <c r="C556" s="109" t="inlineStr"/>
      <c r="D556" s="109" t="inlineStr">
        <is>
          <t>AREA 3</t>
        </is>
      </c>
      <c r="E556" s="109" t="inlineStr">
        <is>
          <t>523448/C</t>
        </is>
      </c>
      <c r="F556" s="109" t="inlineStr">
        <is>
          <t>1400</t>
        </is>
      </c>
      <c r="G556" s="109" t="inlineStr">
        <is>
          <t xml:space="preserve"> 1400 - F004R(SWS A U1200 da T105/T101/T102) controllo funzionale</t>
        </is>
      </c>
      <c r="H556" s="109" t="n"/>
      <c r="I556" s="109" t="n"/>
      <c r="J556" s="109" t="n"/>
      <c r="K556" s="109" t="n"/>
      <c r="L556" s="109" t="n"/>
      <c r="M556" s="110" t="inlineStr">
        <is>
          <t>DA CHIUDERE</t>
        </is>
      </c>
      <c r="N556" s="110" t="n"/>
      <c r="O556" s="110" t="n"/>
      <c r="P556" s="110" t="n"/>
      <c r="Q556" s="110" t="inlineStr">
        <is>
          <t>CONTROLLO ESEGUITO</t>
        </is>
      </c>
      <c r="R556" s="151" t="n">
        <v>45686</v>
      </c>
      <c r="S556" s="110" t="inlineStr">
        <is>
          <t>TARASCIO</t>
        </is>
      </c>
      <c r="T556" s="109" t="inlineStr"/>
      <c r="U556" s="147" t="inlineStr"/>
    </row>
    <row r="557" ht="30" customHeight="1" s="122">
      <c r="A557" s="109" t="n"/>
      <c r="B557" s="109" t="inlineStr">
        <is>
          <t>X</t>
        </is>
      </c>
      <c r="C557" s="109" t="inlineStr"/>
      <c r="D557" s="109" t="inlineStr">
        <is>
          <t>AREA 3</t>
        </is>
      </c>
      <c r="E557" s="109" t="inlineStr">
        <is>
          <t>523625/C</t>
        </is>
      </c>
      <c r="F557" s="109" t="inlineStr">
        <is>
          <t>700</t>
        </is>
      </c>
      <c r="G557" s="109" t="inlineStr">
        <is>
          <t xml:space="preserve"> 700 - T614I CONTROLLO FUNZIONALE</t>
        </is>
      </c>
      <c r="H557" s="109" t="n"/>
      <c r="I557" s="109" t="n"/>
      <c r="J557" s="109" t="n"/>
      <c r="K557" s="109" t="n"/>
      <c r="L557" s="109" t="n"/>
      <c r="M557" s="109" t="inlineStr">
        <is>
          <t>DA CHIUDERE</t>
        </is>
      </c>
      <c r="N557" s="109" t="n"/>
      <c r="O557" s="109" t="n"/>
      <c r="P557" s="109" t="n"/>
      <c r="Q557" s="109" t="inlineStr">
        <is>
          <t>SKIPOINT GUASTA ALL'INTERNO DEL FORNO, DA SOSTITUIRE IN FERMATA.</t>
        </is>
      </c>
      <c r="R557" s="151" t="n">
        <v>45684</v>
      </c>
      <c r="S557" s="109" t="inlineStr">
        <is>
          <t>TARASCIO</t>
        </is>
      </c>
      <c r="T557" s="109" t="inlineStr"/>
      <c r="U557" s="109" t="inlineStr"/>
    </row>
    <row r="558">
      <c r="A558" s="109" t="n"/>
      <c r="B558" s="109" t="inlineStr">
        <is>
          <t>X</t>
        </is>
      </c>
      <c r="C558" s="109" t="inlineStr"/>
      <c r="D558" s="109" t="inlineStr">
        <is>
          <t>AREA 3</t>
        </is>
      </c>
      <c r="E558" s="109" t="inlineStr">
        <is>
          <t>521249/C</t>
        </is>
      </c>
      <c r="F558" s="109" t="inlineStr">
        <is>
          <t>1400</t>
        </is>
      </c>
      <c r="G558" s="109" t="inlineStr">
        <is>
          <t xml:space="preserve"> 1400: 14F008RC controllo funzionale</t>
        </is>
      </c>
      <c r="H558" s="109" t="n"/>
      <c r="I558" s="109" t="n"/>
      <c r="J558" s="109" t="n"/>
      <c r="K558" s="109" t="n"/>
      <c r="L558" s="109" t="n"/>
      <c r="M558" s="109" t="inlineStr">
        <is>
          <t>DA CHIUDERE</t>
        </is>
      </c>
      <c r="N558" s="109" t="n"/>
      <c r="O558" s="109" t="n"/>
      <c r="P558" s="109" t="n"/>
      <c r="Q558" s="109" t="inlineStr">
        <is>
          <t>ESEGUITO CONTROLLO</t>
        </is>
      </c>
      <c r="R558" s="151" t="n">
        <v>45681</v>
      </c>
      <c r="S558" s="109" t="inlineStr">
        <is>
          <t>TARASCIO</t>
        </is>
      </c>
      <c r="T558" s="109" t="inlineStr"/>
      <c r="U558" s="109" t="inlineStr">
        <is>
          <t>1400: 14</t>
        </is>
      </c>
    </row>
    <row r="559" ht="30" customHeight="1" s="122">
      <c r="A559" s="109" t="n"/>
      <c r="B559" s="108" t="inlineStr">
        <is>
          <t>X</t>
        </is>
      </c>
      <c r="C559" s="109" t="inlineStr"/>
      <c r="D559" s="109" t="inlineStr">
        <is>
          <t>AREA 3</t>
        </is>
      </c>
      <c r="E559" s="109" t="inlineStr">
        <is>
          <t>521576/C</t>
        </is>
      </c>
      <c r="F559" s="109" t="inlineStr">
        <is>
          <t>1800</t>
        </is>
      </c>
      <c r="G559" s="109" t="inlineStr">
        <is>
          <t xml:space="preserve"> 1800 - C102A Smontaggio strumenti compressore scollegamento HYDROCOMM SOLO TUBICINI DI COLLEGAMENTO OLIODINAMICO</t>
        </is>
      </c>
      <c r="H559" s="109" t="n"/>
      <c r="I559" s="109" t="n"/>
      <c r="J559" s="109" t="n"/>
      <c r="K559" s="109" t="n"/>
      <c r="L559" s="109" t="n"/>
      <c r="M559" s="110" t="inlineStr">
        <is>
          <t>DA CHIUDERE</t>
        </is>
      </c>
      <c r="N559" s="110" t="n"/>
      <c r="O559" s="110" t="n"/>
      <c r="P559" s="110" t="n"/>
      <c r="Q559" s="110" t="n"/>
      <c r="R559" s="151" t="n">
        <v>45680</v>
      </c>
      <c r="S559" s="110" t="inlineStr">
        <is>
          <t>SPINALI</t>
        </is>
      </c>
      <c r="T559" s="109" t="inlineStr"/>
      <c r="U559" s="147" t="inlineStr"/>
    </row>
    <row r="560">
      <c r="A560" s="109" t="n"/>
      <c r="B560" s="109" t="inlineStr">
        <is>
          <t>X</t>
        </is>
      </c>
      <c r="C560" s="109" t="inlineStr"/>
      <c r="D560" s="109" t="inlineStr">
        <is>
          <t>AREA 3</t>
        </is>
      </c>
      <c r="E560" s="109" t="inlineStr">
        <is>
          <t>522395/C</t>
        </is>
      </c>
      <c r="F560" s="109" t="inlineStr">
        <is>
          <t>1200/4</t>
        </is>
      </c>
      <c r="G560" s="109" t="inlineStr">
        <is>
          <t xml:space="preserve"> 1200/4 - Controllo e ripristino funzionalita' F302RC(GAS SWS A B103)</t>
        </is>
      </c>
      <c r="H560" s="109" t="n"/>
      <c r="I560" s="109" t="n"/>
      <c r="J560" s="109" t="n"/>
      <c r="K560" s="109" t="n"/>
      <c r="L560" s="109" t="n"/>
      <c r="M560" s="109" t="inlineStr">
        <is>
          <t>DA CHIUDERE</t>
        </is>
      </c>
      <c r="N560" s="109" t="n"/>
      <c r="O560" s="109" t="n"/>
      <c r="P560" s="109" t="n"/>
      <c r="Q560" s="109" t="inlineStr">
        <is>
          <t>FLUSSATI CON AZOTO E PULITI, RIPRISTINATA FUNZIONALITA'</t>
        </is>
      </c>
      <c r="R560" s="151" t="n">
        <v>45680</v>
      </c>
      <c r="S560" s="109" t="inlineStr">
        <is>
          <t>TARASCIO</t>
        </is>
      </c>
      <c r="T560" s="109" t="inlineStr"/>
      <c r="U560" s="147" t="inlineStr"/>
    </row>
    <row r="561" ht="30" customHeight="1" s="122">
      <c r="A561" s="109" t="n"/>
      <c r="B561" s="108" t="inlineStr">
        <is>
          <t>X</t>
        </is>
      </c>
      <c r="C561" s="109" t="inlineStr"/>
      <c r="D561" s="109" t="inlineStr">
        <is>
          <t>AREA 3</t>
        </is>
      </c>
      <c r="E561" s="109" t="inlineStr">
        <is>
          <t>523257/C</t>
        </is>
      </c>
      <c r="F561" s="109" t="inlineStr">
        <is>
          <t>2200</t>
        </is>
      </c>
      <c r="G561" s="109" t="inlineStr">
        <is>
          <t xml:space="preserve"> 2200 - F203I CONTROLLO FUNZIONALE</t>
        </is>
      </c>
      <c r="H561" s="109" t="n"/>
      <c r="I561" s="109" t="n"/>
      <c r="J561" s="109" t="n"/>
      <c r="K561" s="109" t="n"/>
      <c r="L561" s="109" t="n"/>
      <c r="M561" s="110" t="inlineStr">
        <is>
          <t>DA CHIUDERE</t>
        </is>
      </c>
      <c r="N561" s="110" t="n"/>
      <c r="O561" s="110" t="n"/>
      <c r="P561" s="110" t="n"/>
      <c r="Q561" s="110" t="inlineStr">
        <is>
          <t>VALV.RADICE POSITIVA CHIUSA: APERTA E RIPRISTINATA FUNZIONALITA'.</t>
        </is>
      </c>
      <c r="R561" s="151" t="n">
        <v>45680</v>
      </c>
      <c r="S561" s="110" t="inlineStr">
        <is>
          <t>TARASCIO</t>
        </is>
      </c>
      <c r="T561" s="109" t="inlineStr"/>
      <c r="U561" s="147" t="inlineStr"/>
    </row>
    <row r="562">
      <c r="A562" s="109" t="n"/>
      <c r="B562" s="108" t="inlineStr">
        <is>
          <t>X</t>
        </is>
      </c>
      <c r="C562" s="109" t="inlineStr"/>
      <c r="D562" s="109" t="inlineStr">
        <is>
          <t>AREA 3</t>
        </is>
      </c>
      <c r="E562" s="109" t="inlineStr">
        <is>
          <t>522864/C</t>
        </is>
      </c>
      <c r="F562" s="109" t="inlineStr">
        <is>
          <t>1400</t>
        </is>
      </c>
      <c r="G562" s="109" t="inlineStr">
        <is>
          <t xml:space="preserve"> 1400 - PRC 003 della T105 CONTROLLO LOOP DI REGOLAZIONE</t>
        </is>
      </c>
      <c r="H562" s="109" t="n"/>
      <c r="I562" s="109" t="n"/>
      <c r="J562" s="109" t="n"/>
      <c r="K562" s="109" t="n"/>
      <c r="L562" s="109" t="n"/>
      <c r="M562" s="110" t="inlineStr">
        <is>
          <t>DA CHIUDERE</t>
        </is>
      </c>
      <c r="N562" s="110" t="n"/>
      <c r="O562" s="110" t="n"/>
      <c r="P562" s="110" t="n"/>
      <c r="Q562" s="110" t="inlineStr">
        <is>
          <t>PRESSACAVO PCV003 MALANDATO.</t>
        </is>
      </c>
      <c r="R562" s="151" t="n">
        <v>45678</v>
      </c>
      <c r="S562" s="110" t="inlineStr">
        <is>
          <t>SPINALI</t>
        </is>
      </c>
      <c r="T562" s="109" t="inlineStr"/>
      <c r="U562" s="147" t="inlineStr"/>
    </row>
    <row r="563" ht="30" customHeight="1" s="122">
      <c r="A563" s="109" t="n"/>
      <c r="B563" s="109" t="inlineStr">
        <is>
          <t>X</t>
        </is>
      </c>
      <c r="C563" s="109" t="inlineStr"/>
      <c r="D563" s="109" t="inlineStr">
        <is>
          <t>AREA 3</t>
        </is>
      </c>
      <c r="E563" s="109" t="inlineStr">
        <is>
          <t>522863/C</t>
        </is>
      </c>
      <c r="F563" s="109" t="inlineStr">
        <is>
          <t>1400</t>
        </is>
      </c>
      <c r="G563" s="109" t="inlineStr">
        <is>
          <t xml:space="preserve"> 1400 - PRC 001 della T103 CONTROLLO LOOP DI REGOLAZIONE</t>
        </is>
      </c>
      <c r="H563" s="109" t="n"/>
      <c r="I563" s="109" t="n"/>
      <c r="J563" s="109" t="n"/>
      <c r="K563" s="109" t="n"/>
      <c r="L563" s="109" t="n"/>
      <c r="M563" s="109" t="inlineStr">
        <is>
          <t>DA CHIUDERE</t>
        </is>
      </c>
      <c r="N563" s="109" t="n"/>
      <c r="O563" s="109" t="n"/>
      <c r="P563" s="109" t="n"/>
      <c r="Q563" s="109" t="inlineStr">
        <is>
          <t>PRIMARIO TAPPATO QUINDI STASATO E RIPRISTINATA LA FUNZIONALITA'</t>
        </is>
      </c>
      <c r="R563" s="151" t="n">
        <v>45678</v>
      </c>
      <c r="S563" s="109" t="inlineStr">
        <is>
          <t>SPINALI</t>
        </is>
      </c>
      <c r="T563" s="109" t="inlineStr"/>
      <c r="U563" s="109" t="inlineStr"/>
    </row>
    <row r="564" ht="30" customHeight="1" s="122">
      <c r="A564" s="109" t="n"/>
      <c r="B564" s="109" t="inlineStr">
        <is>
          <t>X</t>
        </is>
      </c>
      <c r="C564" s="109" t="inlineStr"/>
      <c r="D564" s="109" t="inlineStr">
        <is>
          <t>AREA 3</t>
        </is>
      </c>
      <c r="E564" s="109" t="inlineStr">
        <is>
          <t>522090/C</t>
        </is>
      </c>
      <c r="F564" s="109" t="inlineStr">
        <is>
          <t>1200/4</t>
        </is>
      </c>
      <c r="G564" s="109" t="inlineStr">
        <is>
          <t xml:space="preserve"> 1200/4 - controllo funzionale FRC 302/306</t>
        </is>
      </c>
      <c r="H564" s="109" t="n"/>
      <c r="I564" s="109" t="n"/>
      <c r="J564" s="109" t="n"/>
      <c r="K564" s="109" t="n"/>
      <c r="L564" s="109" t="n"/>
      <c r="M564" s="109" t="inlineStr">
        <is>
          <t>DA CHIUDERE</t>
        </is>
      </c>
      <c r="N564" s="109" t="n"/>
      <c r="O564" s="109" t="n"/>
      <c r="P564" s="109" t="n"/>
      <c r="Q564" s="109" t="inlineStr">
        <is>
          <t>ESEGUITA REGOLAZIONE FLUSSAGGI ED INSERITI A PROCESSO.</t>
        </is>
      </c>
      <c r="R564" s="151" t="n">
        <v>45311</v>
      </c>
      <c r="S564" s="109" t="inlineStr">
        <is>
          <t>PARTESANO/TARASCIO</t>
        </is>
      </c>
      <c r="T564" s="109" t="inlineStr"/>
      <c r="U564" s="109" t="inlineStr"/>
    </row>
    <row r="565" ht="30" customHeight="1" s="122">
      <c r="A565" s="109" t="n"/>
      <c r="B565" s="108" t="inlineStr">
        <is>
          <t>X</t>
        </is>
      </c>
      <c r="C565" s="109" t="inlineStr"/>
      <c r="D565" s="109" t="inlineStr">
        <is>
          <t>AREA 3</t>
        </is>
      </c>
      <c r="E565" s="109" t="inlineStr">
        <is>
          <t>522539/C</t>
        </is>
      </c>
      <c r="F565" s="109" t="inlineStr">
        <is>
          <t>1200/2</t>
        </is>
      </c>
      <c r="G565" s="109" t="inlineStr">
        <is>
          <t xml:space="preserve"> 1200/2 f102 assistenza accensione ed eventuale smontaggio/rimontaggio per revisione pilota</t>
        </is>
      </c>
      <c r="H565" s="109" t="n"/>
      <c r="I565" s="109" t="n"/>
      <c r="J565" s="109" t="n"/>
      <c r="K565" s="109" t="n"/>
      <c r="L565" s="109" t="n"/>
      <c r="M565" s="110" t="inlineStr">
        <is>
          <t>DA CHIUDERE</t>
        </is>
      </c>
      <c r="N565" s="110" t="n"/>
      <c r="O565" s="110" t="n"/>
      <c r="P565" s="110" t="n"/>
      <c r="Q565" s="110" t="n"/>
      <c r="R565" s="151" t="n"/>
      <c r="S565" s="110" t="n"/>
      <c r="T565" s="109" t="inlineStr"/>
      <c r="U565" s="147" t="inlineStr"/>
    </row>
    <row r="566">
      <c r="A566" s="109" t="n"/>
      <c r="B566" s="109" t="inlineStr">
        <is>
          <t>X</t>
        </is>
      </c>
      <c r="C566" s="109" t="inlineStr"/>
      <c r="D566" s="109" t="inlineStr">
        <is>
          <t>AREA 3</t>
        </is>
      </c>
      <c r="E566" s="109" t="inlineStr">
        <is>
          <t>519184/C</t>
        </is>
      </c>
      <c r="F566" s="109" t="inlineStr">
        <is>
          <t>1200/4</t>
        </is>
      </c>
      <c r="G566" s="109" t="inlineStr">
        <is>
          <t xml:space="preserve"> Z4F401R-(Vapore prodotto da linea 4), controllo funzionale</t>
        </is>
      </c>
      <c r="H566" s="109" t="n"/>
      <c r="I566" s="109" t="n"/>
      <c r="J566" s="109" t="n"/>
      <c r="K566" s="109" t="n"/>
      <c r="L566" s="109" t="n"/>
      <c r="M566" s="110" t="inlineStr">
        <is>
          <t>DA CHIUDERE</t>
        </is>
      </c>
      <c r="N566" s="110" t="n"/>
      <c r="O566" s="110" t="n"/>
      <c r="P566" s="110" t="n"/>
      <c r="Q566" s="110" t="inlineStr">
        <is>
          <t>NEGATIVA TAPPATA: STASATA</t>
        </is>
      </c>
      <c r="R566" s="151" t="n">
        <v>45308</v>
      </c>
      <c r="S566" s="110" t="inlineStr">
        <is>
          <t>TARASCIO</t>
        </is>
      </c>
      <c r="T566" s="109" t="inlineStr"/>
      <c r="U566" s="147" t="inlineStr"/>
    </row>
    <row r="567">
      <c r="A567" s="109" t="n"/>
      <c r="B567" s="109" t="inlineStr">
        <is>
          <t>X</t>
        </is>
      </c>
      <c r="C567" s="109" t="inlineStr"/>
      <c r="D567" s="109" t="inlineStr">
        <is>
          <t>AREA 3</t>
        </is>
      </c>
      <c r="E567" s="109" t="inlineStr">
        <is>
          <t>521118/C</t>
        </is>
      </c>
      <c r="F567" s="109" t="inlineStr">
        <is>
          <t>1800</t>
        </is>
      </c>
      <c r="G567" s="109" t="inlineStr">
        <is>
          <t xml:space="preserve"> 1800 - D111 - L042R CONTROLLO E RIPRISTINO LIVELLO</t>
        </is>
      </c>
      <c r="H567" s="109" t="n"/>
      <c r="I567" s="109" t="n"/>
      <c r="J567" s="109" t="n"/>
      <c r="K567" s="109" t="n"/>
      <c r="L567" s="109" t="n"/>
      <c r="M567" s="109" t="inlineStr">
        <is>
          <t>DA CHIUDERE</t>
        </is>
      </c>
      <c r="N567" s="109" t="n"/>
      <c r="O567" s="109" t="n"/>
      <c r="P567" s="109" t="n"/>
      <c r="Q567" s="109" t="inlineStr">
        <is>
          <t>VERIFICARE ANDAMENTO P&amp;I</t>
        </is>
      </c>
      <c r="R567" s="151" t="n">
        <v>45307</v>
      </c>
      <c r="S567" s="109" t="inlineStr">
        <is>
          <t>SPINALI /MILLO</t>
        </is>
      </c>
      <c r="T567" s="109" t="inlineStr"/>
      <c r="U567" s="109" t="inlineStr"/>
    </row>
    <row r="568" ht="60" customHeight="1" s="122">
      <c r="A568" s="109" t="n"/>
      <c r="B568" s="109" t="inlineStr">
        <is>
          <t>X</t>
        </is>
      </c>
      <c r="C568" s="109" t="inlineStr"/>
      <c r="D568" s="109" t="inlineStr">
        <is>
          <t>AREA 3</t>
        </is>
      </c>
      <c r="E568" s="109" t="inlineStr">
        <is>
          <t>519097/C</t>
        </is>
      </c>
      <c r="F568" s="109" t="inlineStr">
        <is>
          <t>2200</t>
        </is>
      </c>
      <c r="G568" s="109" t="inlineStr">
        <is>
          <t xml:space="preserve"> 2200-D301 CONTROLLO E RIPRITINO CON EVENTUALE SMONTAGGIO LIVELLI  L 301/302/303 /305</t>
        </is>
      </c>
      <c r="H568" s="109" t="n"/>
      <c r="I568" s="109" t="n"/>
      <c r="J568" s="109" t="n"/>
      <c r="K568" s="109" t="n"/>
      <c r="L568" s="109" t="n"/>
      <c r="M568" s="109" t="inlineStr">
        <is>
          <t>DA CHIUDERE</t>
        </is>
      </c>
      <c r="N568" s="109" t="n"/>
      <c r="O568" s="109" t="n"/>
      <c r="P568" s="109" t="n"/>
      <c r="Q568" s="109" t="inlineStr">
        <is>
          <t>SU L303T ( Lato idrocarburi ) E' STATO INSERITO DP: ANDAMENTO P&amp;I NELLA NORMA
SU L305T ( Lato H2O ) E' STATO INSERITO DP: ANDAMENTO P&amp;I NELLA NORMA</t>
        </is>
      </c>
      <c r="R568" s="151" t="n">
        <v>45659</v>
      </c>
      <c r="S568" s="109" t="inlineStr">
        <is>
          <t>MILLO/ALLEGRETTI</t>
        </is>
      </c>
      <c r="T568" s="109" t="inlineStr"/>
      <c r="U568" s="109" t="inlineStr"/>
    </row>
    <row r="569">
      <c r="A569" s="109" t="n"/>
      <c r="B569" s="109" t="inlineStr">
        <is>
          <t>X</t>
        </is>
      </c>
      <c r="C569" s="109" t="inlineStr"/>
      <c r="D569" s="109" t="inlineStr">
        <is>
          <t>AREA 3</t>
        </is>
      </c>
      <c r="E569" s="109" t="inlineStr">
        <is>
          <t>520837/C</t>
        </is>
      </c>
      <c r="F569" s="109" t="inlineStr">
        <is>
          <t>800</t>
        </is>
      </c>
      <c r="G569" s="109" t="inlineStr">
        <is>
          <t xml:space="preserve"> 800 - LR115 (LIVELLO T102)  VERIFICA FUNZIONAMENTO </t>
        </is>
      </c>
      <c r="H569" s="109" t="n"/>
      <c r="I569" s="109" t="n"/>
      <c r="J569" s="109" t="n"/>
      <c r="K569" s="109" t="n"/>
      <c r="L569" s="109" t="n"/>
      <c r="M569" s="109" t="inlineStr">
        <is>
          <t>DA CHIUDERE</t>
        </is>
      </c>
      <c r="N569" s="109" t="n"/>
      <c r="O569" s="109" t="n"/>
      <c r="P569" s="109" t="n"/>
      <c r="Q569" s="109" t="inlineStr">
        <is>
          <t>FATTO RIEMPIMENTO ED INSERITO A PROCESSO</t>
        </is>
      </c>
      <c r="R569" s="151" t="n">
        <v>45673</v>
      </c>
      <c r="S569" s="109" t="inlineStr">
        <is>
          <t>SPINALI D.</t>
        </is>
      </c>
      <c r="T569" s="109" t="inlineStr"/>
      <c r="U569" s="109" t="inlineStr"/>
    </row>
    <row r="570" ht="30" customHeight="1" s="122">
      <c r="A570" s="109" t="n"/>
      <c r="B570" s="108" t="inlineStr">
        <is>
          <t>X</t>
        </is>
      </c>
      <c r="C570" s="109" t="inlineStr"/>
      <c r="D570" s="109" t="inlineStr">
        <is>
          <t>AREA 3</t>
        </is>
      </c>
      <c r="E570" s="109" t="inlineStr">
        <is>
          <t>519187/C</t>
        </is>
      </c>
      <c r="F570" s="109" t="inlineStr">
        <is>
          <t>1200/M</t>
        </is>
      </c>
      <c r="G570" s="109" t="inlineStr">
        <is>
          <t xml:space="preserve"> Zmf728I(azoto off-site)controllo funzionale</t>
        </is>
      </c>
      <c r="H570" s="109" t="n"/>
      <c r="I570" s="109" t="n"/>
      <c r="J570" s="109" t="n"/>
      <c r="K570" s="109" t="n"/>
      <c r="L570" s="109" t="n"/>
      <c r="M570" s="110" t="inlineStr">
        <is>
          <t>DA CHIUDERE</t>
        </is>
      </c>
      <c r="N570" s="110" t="n"/>
      <c r="O570" s="110" t="n"/>
      <c r="P570" s="110" t="n"/>
      <c r="Q570" s="110" t="inlineStr">
        <is>
          <t>STRUMENTO IN PESSIME CONDIZIONI CON CAVO BRUCIATO E GRUPPO BYPASS DA RIFARE EXNOVO.  PONTEGGIO REALIZZATO</t>
        </is>
      </c>
      <c r="R570" s="151" t="n">
        <v>45644</v>
      </c>
      <c r="S570" s="110" t="inlineStr">
        <is>
          <t>SPINALI</t>
        </is>
      </c>
      <c r="T570" s="109" t="inlineStr"/>
      <c r="U570" s="147" t="inlineStr"/>
    </row>
    <row r="571">
      <c r="A571" s="109" t="n"/>
      <c r="B571" s="108" t="inlineStr">
        <is>
          <t>X</t>
        </is>
      </c>
      <c r="C571" s="109" t="inlineStr"/>
      <c r="D571" s="109" t="inlineStr">
        <is>
          <t>AREA 3</t>
        </is>
      </c>
      <c r="E571" s="109" t="inlineStr">
        <is>
          <t>522103/C</t>
        </is>
      </c>
      <c r="F571" s="109" t="inlineStr">
        <is>
          <t>100</t>
        </is>
      </c>
      <c r="G571" s="109" t="inlineStr">
        <is>
          <t xml:space="preserve"> 100 - L162CV  smontaggio /rimontaggio per revisione</t>
        </is>
      </c>
      <c r="H571" s="109" t="n"/>
      <c r="I571" s="109" t="n"/>
      <c r="J571" s="109" t="n"/>
      <c r="K571" s="109" t="n"/>
      <c r="L571" s="109" t="n"/>
      <c r="M571" s="110" t="inlineStr">
        <is>
          <t>DA CHIUDERE</t>
        </is>
      </c>
      <c r="N571" s="110" t="n"/>
      <c r="O571" s="110" t="n"/>
      <c r="P571" s="110" t="n"/>
      <c r="Q571" s="110" t="inlineStr">
        <is>
          <t>VALVOLA SBLOCCATA IN CAMPO.</t>
        </is>
      </c>
      <c r="R571" s="151" t="n">
        <v>45671</v>
      </c>
      <c r="S571" s="110" t="inlineStr">
        <is>
          <t>CIANCHINO</t>
        </is>
      </c>
      <c r="T571" s="109" t="inlineStr"/>
      <c r="U571" s="147" t="inlineStr"/>
    </row>
    <row r="572">
      <c r="A572" s="109" t="n"/>
      <c r="B572" s="109" t="inlineStr">
        <is>
          <t>X</t>
        </is>
      </c>
      <c r="C572" s="109" t="inlineStr"/>
      <c r="D572" s="109" t="inlineStr">
        <is>
          <t>AREA 3</t>
        </is>
      </c>
      <c r="E572" s="109" t="inlineStr">
        <is>
          <t>521609/C</t>
        </is>
      </c>
      <c r="F572" s="109" t="inlineStr">
        <is>
          <t>1200/1</t>
        </is>
      </c>
      <c r="G572" s="109" t="inlineStr">
        <is>
          <t xml:space="preserve"> 10214536    1200: Linea 1 F101 inserimento termocoppia sacrificio</t>
        </is>
      </c>
      <c r="H572" s="109" t="n"/>
      <c r="I572" s="109" t="n"/>
      <c r="J572" s="109" t="n"/>
      <c r="K572" s="109" t="n"/>
      <c r="L572" s="109" t="n"/>
      <c r="M572" s="110" t="inlineStr">
        <is>
          <t>DA CHIUDERE</t>
        </is>
      </c>
      <c r="N572" s="109" t="n"/>
      <c r="O572" s="109" t="n"/>
      <c r="P572" s="109" t="n"/>
      <c r="Q572" s="109" t="n"/>
      <c r="R572" s="151" t="n">
        <v>45667</v>
      </c>
      <c r="S572" s="109" t="inlineStr">
        <is>
          <t>SPINALI</t>
        </is>
      </c>
      <c r="T572" s="109" t="inlineStr"/>
      <c r="U572" s="147" t="inlineStr">
        <is>
          <t xml:space="preserve"> 1021453</t>
        </is>
      </c>
    </row>
    <row r="573" ht="105" customHeight="1" s="122">
      <c r="A573" s="109" t="n"/>
      <c r="B573" s="108" t="inlineStr">
        <is>
          <t>X</t>
        </is>
      </c>
      <c r="C573" s="109" t="inlineStr"/>
      <c r="D573" s="109" t="inlineStr">
        <is>
          <t>AREA 3</t>
        </is>
      </c>
      <c r="E573" s="109" t="inlineStr">
        <is>
          <t>519496/C</t>
        </is>
      </c>
      <c r="F573" s="109" t="inlineStr">
        <is>
          <t>700A</t>
        </is>
      </c>
      <c r="G573" s="109" t="inlineStr">
        <is>
          <t xml:space="preserve"> Vapore ai crossover: -Controllo funzionale 07F207RC- 07F208RC- 07F209RC- 07F210RC</t>
        </is>
      </c>
      <c r="H573" s="109" t="n"/>
      <c r="I573" s="109" t="n"/>
      <c r="J573" s="109" t="n"/>
      <c r="K573" s="109" t="n"/>
      <c r="L573" s="109" t="n"/>
      <c r="M573" s="110" t="inlineStr">
        <is>
          <t>DA CHIUDERE</t>
        </is>
      </c>
      <c r="N573" s="110" t="n"/>
      <c r="O573" s="110" t="n"/>
      <c r="P573" s="110" t="n"/>
      <c r="Q573" s="110" t="inlineStr">
        <is>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is>
      </c>
      <c r="R573" s="151" t="n">
        <v>45638</v>
      </c>
      <c r="S573" s="110" t="inlineStr">
        <is>
          <t>SPINALI</t>
        </is>
      </c>
      <c r="T573" s="109" t="inlineStr"/>
      <c r="U573" s="147" t="inlineStr"/>
    </row>
    <row r="574">
      <c r="A574" s="109" t="n"/>
      <c r="B574" s="108" t="inlineStr">
        <is>
          <t>X</t>
        </is>
      </c>
      <c r="C574" s="109" t="inlineStr"/>
      <c r="D574" s="109" t="inlineStr">
        <is>
          <t>AREA 3</t>
        </is>
      </c>
      <c r="E574" s="109" t="inlineStr">
        <is>
          <t>520694/C</t>
        </is>
      </c>
      <c r="F574" s="109" t="inlineStr">
        <is>
          <t>1800</t>
        </is>
      </c>
      <c r="G574" s="109" t="inlineStr">
        <is>
          <t xml:space="preserve"> 1800 E110B verifica funzionale vibrostato</t>
        </is>
      </c>
      <c r="H574" s="109" t="n"/>
      <c r="I574" s="109" t="n"/>
      <c r="J574" s="109" t="n"/>
      <c r="K574" s="109" t="n"/>
      <c r="L574" s="109" t="n"/>
      <c r="M574" s="110" t="inlineStr">
        <is>
          <t>DA CHIUDERE</t>
        </is>
      </c>
      <c r="N574" s="110" t="n"/>
      <c r="O574" s="110" t="n"/>
      <c r="P574" s="110" t="n"/>
      <c r="Q574" s="110" t="n"/>
      <c r="R574" s="151" t="n">
        <v>45656</v>
      </c>
      <c r="S574" s="110" t="inlineStr">
        <is>
          <t>MILLO F.</t>
        </is>
      </c>
      <c r="T574" s="109" t="inlineStr"/>
      <c r="U574" s="147" t="inlineStr"/>
    </row>
    <row r="575" ht="60" customHeight="1" s="122">
      <c r="A575" s="109" t="n"/>
      <c r="B575" s="108" t="inlineStr">
        <is>
          <t>X</t>
        </is>
      </c>
      <c r="C575" s="109" t="inlineStr"/>
      <c r="D575" s="109" t="inlineStr">
        <is>
          <t>AREA 3</t>
        </is>
      </c>
      <c r="E575" s="109" t="inlineStr">
        <is>
          <t>519489/C</t>
        </is>
      </c>
      <c r="F575" s="109" t="inlineStr">
        <is>
          <t>700A</t>
        </is>
      </c>
      <c r="G575" s="109" t="inlineStr">
        <is>
          <t xml:space="preserve"> 700A Controllo  Passi di carica: - 07F202RC- 07F203RC- 07F204RC- 07F205RC</t>
        </is>
      </c>
      <c r="H575" s="109" t="n"/>
      <c r="I575" s="109" t="n"/>
      <c r="J575" s="109" t="n"/>
      <c r="K575" s="109" t="n"/>
      <c r="L575" s="109" t="n"/>
      <c r="M575" s="110" t="inlineStr">
        <is>
          <t>DA CHIUDERE</t>
        </is>
      </c>
      <c r="N575" s="110" t="n"/>
      <c r="O575" s="110" t="n"/>
      <c r="P575" s="110" t="n"/>
      <c r="Q575" s="110" t="inlineStr">
        <is>
          <t>IN DATA 08/01/2025 CI E' STATO RIFERITO CHE PER LE ALTE TEMPERATURE E PRESSIONI, QUESTO LAVORO VERRA' SPOSTATO IN FERMATA. ( A CONOSCENZA SIG. TRINGALI ENZO C.T. E TCL CALDARELLA)</t>
        </is>
      </c>
      <c r="R575" s="151" t="n">
        <v>45665</v>
      </c>
      <c r="S575" s="110" t="inlineStr">
        <is>
          <t>TARASCIO/PARTESANO/SPINALI/MILLO</t>
        </is>
      </c>
      <c r="T575" s="109" t="inlineStr"/>
      <c r="U575" s="147" t="inlineStr"/>
    </row>
    <row r="576" ht="30" customHeight="1" s="122">
      <c r="A576" s="109" t="n"/>
      <c r="B576" s="108" t="inlineStr">
        <is>
          <t>X</t>
        </is>
      </c>
      <c r="C576" s="109" t="inlineStr"/>
      <c r="D576" s="109" t="inlineStr">
        <is>
          <t>AREA 3</t>
        </is>
      </c>
      <c r="E576" s="109" t="inlineStr">
        <is>
          <t>521427/C</t>
        </is>
      </c>
      <c r="F576" s="109" t="inlineStr">
        <is>
          <t>700</t>
        </is>
      </c>
      <c r="G576" s="109" t="inlineStr">
        <is>
          <t xml:space="preserve">  700 - MONSANTO: Smontaggio/rimontaggio MTZ TCV031 e prove funzionali dopo il rimontaggio</t>
        </is>
      </c>
      <c r="H576" s="109" t="n"/>
      <c r="I576" s="109" t="n"/>
      <c r="J576" s="109" t="n"/>
      <c r="K576" s="109" t="n"/>
      <c r="L576" s="109" t="n"/>
      <c r="M576" s="110" t="inlineStr">
        <is>
          <t>DA CHIUDERE</t>
        </is>
      </c>
      <c r="N576" s="110" t="n"/>
      <c r="O576" s="110" t="n"/>
      <c r="P576" s="110" t="n"/>
      <c r="Q576" s="110" t="inlineStr">
        <is>
          <t xml:space="preserve">PASSATA AD OFF.VALVOLE REVISIONE IN OFFICINA </t>
        </is>
      </c>
      <c r="R576" s="151" t="n"/>
      <c r="S576" s="110" t="n"/>
      <c r="T576" s="109" t="inlineStr"/>
      <c r="U576" s="147" t="inlineStr"/>
    </row>
    <row r="577" ht="30" customHeight="1" s="122">
      <c r="A577" s="109" t="n"/>
      <c r="B577" s="109" t="inlineStr">
        <is>
          <t>X</t>
        </is>
      </c>
      <c r="C577" s="109" t="inlineStr"/>
      <c r="D577" s="109" t="inlineStr">
        <is>
          <t>AREA 3</t>
        </is>
      </c>
      <c r="E577" s="109" t="inlineStr">
        <is>
          <t>520290/C</t>
        </is>
      </c>
      <c r="F577" s="109" t="inlineStr">
        <is>
          <t>1100</t>
        </is>
      </c>
      <c r="G577" s="109" t="inlineStr">
        <is>
          <t xml:space="preserve"> 1100-P150B: RIPRISTINO STRUMENTAZIONE MACCHINA   11V667I -11T653I-11T655I-11L617LA</t>
        </is>
      </c>
      <c r="H577" s="109" t="n"/>
      <c r="I577" s="109" t="n"/>
      <c r="J577" s="109" t="n"/>
      <c r="K577" s="109" t="n"/>
      <c r="L577" s="109" t="n"/>
      <c r="M577" s="109" t="inlineStr">
        <is>
          <t>DA CHIUDERE</t>
        </is>
      </c>
      <c r="N577" s="109" t="n"/>
      <c r="O577" s="109" t="n"/>
      <c r="P577" s="109" t="n"/>
      <c r="Q577" s="109" t="inlineStr">
        <is>
          <t>TUTTA LA STRUMENTAZIONE IN ELENCO E' STATA RIPRISTINATA.</t>
        </is>
      </c>
      <c r="R577" s="151" t="n">
        <v>45664</v>
      </c>
      <c r="S577" s="109" t="inlineStr">
        <is>
          <t>RICIPUTO/TARASCIO</t>
        </is>
      </c>
      <c r="T577" s="109" t="inlineStr"/>
      <c r="U577" s="109" t="inlineStr"/>
    </row>
    <row r="578">
      <c r="A578" s="109" t="n"/>
      <c r="B578" s="109" t="inlineStr">
        <is>
          <t>X</t>
        </is>
      </c>
      <c r="C578" s="109" t="inlineStr"/>
      <c r="D578" s="109" t="inlineStr">
        <is>
          <t>AREA 3</t>
        </is>
      </c>
      <c r="E578" s="109" t="inlineStr">
        <is>
          <t>521244/C</t>
        </is>
      </c>
      <c r="F578" s="109" t="inlineStr">
        <is>
          <t>1200/3</t>
        </is>
      </c>
      <c r="G578" s="109" t="inlineStr">
        <is>
          <t xml:space="preserve"> 1200/3 - TCV405</t>
        </is>
      </c>
      <c r="H578" s="109" t="n"/>
      <c r="I578" s="109" t="n"/>
      <c r="J578" s="109" t="n"/>
      <c r="K578" s="109" t="n"/>
      <c r="L578" s="109" t="n"/>
      <c r="M578" s="109" t="inlineStr">
        <is>
          <t>DA CHIUDERE</t>
        </is>
      </c>
      <c r="N578" s="109" t="n"/>
      <c r="O578" s="109" t="n"/>
      <c r="P578" s="109" t="n"/>
      <c r="Q578" s="109" t="n"/>
      <c r="R578" s="151" t="n">
        <v>45659</v>
      </c>
      <c r="S578" s="109" t="inlineStr">
        <is>
          <t>SPINALI</t>
        </is>
      </c>
      <c r="T578" s="109" t="inlineStr"/>
      <c r="U578" s="109" t="inlineStr"/>
    </row>
    <row r="579" ht="45" customHeight="1" s="122">
      <c r="A579" s="109" t="n"/>
      <c r="B579" s="108" t="inlineStr">
        <is>
          <t>X</t>
        </is>
      </c>
      <c r="C579" s="109" t="inlineStr"/>
      <c r="D579" s="109" t="inlineStr">
        <is>
          <t>AREA 3</t>
        </is>
      </c>
      <c r="E579" s="109" t="inlineStr">
        <is>
          <t>520287/C</t>
        </is>
      </c>
      <c r="F579" s="109" t="inlineStr">
        <is>
          <t>1400</t>
        </is>
      </c>
      <c r="G579" s="109" t="inlineStr">
        <is>
          <t xml:space="preserve"> 1400: VERIFICA E TARATURA- 14F202BRC </t>
        </is>
      </c>
      <c r="H579" s="109" t="n"/>
      <c r="I579" s="109" t="n"/>
      <c r="J579" s="109" t="n"/>
      <c r="K579" s="109" t="n"/>
      <c r="L579" s="109" t="n"/>
      <c r="M579" s="110" t="inlineStr">
        <is>
          <t>DA CHIUDERE</t>
        </is>
      </c>
      <c r="N579" s="110" t="n"/>
      <c r="O579" s="110" t="n"/>
      <c r="P579" s="110" t="n"/>
      <c r="Q579" s="110" t="inlineStr">
        <is>
          <t>CONTROLLO TARATURA, PROVATE PRESE (OK). SI NOTA CHE GENERANDO UN SEGNALE 3.99 mA il valore letto è -80, generando invece 4 mA il valore letto è 80 kg/h, su un F.S. di 13.000</t>
        </is>
      </c>
      <c r="R579" s="151" t="n">
        <v>45659</v>
      </c>
      <c r="S579" s="110" t="inlineStr">
        <is>
          <t>TARASCIO/PARTESANO</t>
        </is>
      </c>
      <c r="T579" s="109" t="inlineStr"/>
      <c r="U579" s="147" t="inlineStr"/>
    </row>
    <row r="580" ht="30" customHeight="1" s="122">
      <c r="A580" s="109" t="n"/>
      <c r="B580" s="108" t="inlineStr">
        <is>
          <t>X</t>
        </is>
      </c>
      <c r="C580" s="109" t="inlineStr"/>
      <c r="D580" s="109" t="inlineStr">
        <is>
          <t>AREA 3</t>
        </is>
      </c>
      <c r="E580" s="109" t="inlineStr">
        <is>
          <t>520286/C</t>
        </is>
      </c>
      <c r="F580" s="109" t="inlineStr">
        <is>
          <t>1400</t>
        </is>
      </c>
      <c r="G580" s="109" t="inlineStr">
        <is>
          <t xml:space="preserve"> 1400: VERIFICA E TARATURA- 14P202I </t>
        </is>
      </c>
      <c r="H580" s="109" t="n"/>
      <c r="I580" s="109" t="n"/>
      <c r="J580" s="109" t="n"/>
      <c r="K580" s="109" t="n"/>
      <c r="L580" s="109" t="n"/>
      <c r="M580" s="110" t="inlineStr">
        <is>
          <t>DA CHIUDERE</t>
        </is>
      </c>
      <c r="N580" s="110" t="n"/>
      <c r="O580" s="110" t="n"/>
      <c r="P580" s="110" t="n"/>
      <c r="Q580" s="110" t="inlineStr">
        <is>
          <t>CONTROLLO DI TARATURA, SI NOTA CHE IL F.S. AL DCS ERA INCONGRUENTE CON IL TX. SISTEMATA LA TARATURA</t>
        </is>
      </c>
      <c r="R580" s="151" t="n">
        <v>45659</v>
      </c>
      <c r="S580" s="110" t="inlineStr">
        <is>
          <t>SPINALI/AMARA</t>
        </is>
      </c>
      <c r="T580" s="109" t="inlineStr"/>
      <c r="U580" s="147" t="inlineStr"/>
    </row>
    <row r="581" ht="30" customHeight="1" s="122">
      <c r="A581" s="109" t="n"/>
      <c r="B581" s="108" t="inlineStr">
        <is>
          <t>X</t>
        </is>
      </c>
      <c r="C581" s="109" t="inlineStr"/>
      <c r="D581" s="109" t="inlineStr">
        <is>
          <t>AREA 3</t>
        </is>
      </c>
      <c r="E581" s="109" t="inlineStr">
        <is>
          <t>520285/C</t>
        </is>
      </c>
      <c r="F581" s="109" t="inlineStr">
        <is>
          <t>1400</t>
        </is>
      </c>
      <c r="G581" s="109" t="inlineStr">
        <is>
          <t xml:space="preserve"> 1400 - VERIFICA E TARATURA - 14P201I </t>
        </is>
      </c>
      <c r="H581" s="109" t="n"/>
      <c r="I581" s="109" t="n"/>
      <c r="J581" s="109" t="n"/>
      <c r="K581" s="109" t="n"/>
      <c r="L581" s="109" t="n"/>
      <c r="M581" s="110" t="inlineStr">
        <is>
          <t>DA CHIUDERE</t>
        </is>
      </c>
      <c r="N581" s="110" t="n"/>
      <c r="O581" s="110" t="n"/>
      <c r="P581" s="110" t="n"/>
      <c r="Q581" s="110" t="inlineStr">
        <is>
          <t>CONTROLLO DI TARATURA, SI NOTA CHE IL F.S. AL DCS ERA INCONGRUENTE CON IL TX. SISTEMATA LA TARATURA</t>
        </is>
      </c>
      <c r="R581" s="151" t="n">
        <v>45659</v>
      </c>
      <c r="S581" s="110" t="inlineStr">
        <is>
          <t>SPINALI/AMARA</t>
        </is>
      </c>
      <c r="T581" s="109" t="inlineStr"/>
      <c r="U581" s="147" t="inlineStr"/>
    </row>
    <row r="582" ht="30" customHeight="1" s="122">
      <c r="A582" s="109" t="n"/>
      <c r="B582" s="108" t="inlineStr">
        <is>
          <t>X</t>
        </is>
      </c>
      <c r="C582" s="109" t="inlineStr"/>
      <c r="D582" s="109" t="inlineStr">
        <is>
          <t>AREA 3</t>
        </is>
      </c>
      <c r="E582" s="109" t="inlineStr">
        <is>
          <t>520834/C</t>
        </is>
      </c>
      <c r="F582" s="109" t="inlineStr">
        <is>
          <t>2200</t>
        </is>
      </c>
      <c r="G582" s="109" t="inlineStr">
        <is>
          <t xml:space="preserve"> 2200 - VERIFICA FUNZIONAMENTO L541SH</t>
        </is>
      </c>
      <c r="H582" s="109" t="n"/>
      <c r="I582" s="109" t="n"/>
      <c r="J582" s="109" t="n"/>
      <c r="K582" s="109" t="n"/>
      <c r="L582" s="109" t="n"/>
      <c r="M582" s="110" t="inlineStr">
        <is>
          <t>DA CHIUDERE</t>
        </is>
      </c>
      <c r="N582" s="110" t="n"/>
      <c r="O582" s="110" t="n"/>
      <c r="P582" s="110" t="n"/>
      <c r="Q582" s="110" t="inlineStr">
        <is>
          <t>TROVATO INTERCETTATO DALLA RADICE, INSERITO E FUNZIONANTE.</t>
        </is>
      </c>
      <c r="R582" s="151" t="n">
        <v>45659</v>
      </c>
      <c r="S582" s="110" t="inlineStr">
        <is>
          <t>SPINALI/AMARA</t>
        </is>
      </c>
      <c r="T582" s="109" t="inlineStr"/>
      <c r="U582" s="147" t="inlineStr"/>
    </row>
    <row r="583">
      <c r="A583" s="109" t="n"/>
      <c r="B583" s="108" t="inlineStr">
        <is>
          <t>X</t>
        </is>
      </c>
      <c r="C583" s="109" t="inlineStr"/>
      <c r="D583" s="109" t="inlineStr">
        <is>
          <t>AREA 3</t>
        </is>
      </c>
      <c r="E583" s="109" t="inlineStr">
        <is>
          <t>520578/C</t>
        </is>
      </c>
      <c r="F583" s="109" t="inlineStr">
        <is>
          <t>1800</t>
        </is>
      </c>
      <c r="G583" s="109" t="inlineStr">
        <is>
          <t xml:space="preserve"> 1800: 18L034R controllo funzionale</t>
        </is>
      </c>
      <c r="H583" s="109" t="n"/>
      <c r="I583" s="109" t="n"/>
      <c r="J583" s="109" t="n"/>
      <c r="K583" s="109" t="n"/>
      <c r="L583" s="109" t="n"/>
      <c r="M583" s="110" t="inlineStr">
        <is>
          <t>DA CHIUDERE</t>
        </is>
      </c>
      <c r="N583" s="110" t="n"/>
      <c r="O583" s="110" t="n"/>
      <c r="P583" s="110" t="n"/>
      <c r="Q583" s="110" t="n"/>
      <c r="R583" s="151" t="n">
        <v>45656</v>
      </c>
      <c r="S583" s="110" t="inlineStr">
        <is>
          <t>TARASCIO</t>
        </is>
      </c>
      <c r="T583" s="109" t="inlineStr"/>
      <c r="U583" s="147" t="inlineStr">
        <is>
          <t>1800: 18</t>
        </is>
      </c>
    </row>
    <row r="584">
      <c r="A584" s="109" t="n"/>
      <c r="B584" s="108" t="inlineStr">
        <is>
          <t>X</t>
        </is>
      </c>
      <c r="C584" s="109" t="inlineStr"/>
      <c r="D584" s="109" t="inlineStr">
        <is>
          <t>AREA 3</t>
        </is>
      </c>
      <c r="E584" s="109" t="inlineStr">
        <is>
          <t>521030/C</t>
        </is>
      </c>
      <c r="F584" s="109" t="inlineStr">
        <is>
          <t>1200/3</t>
        </is>
      </c>
      <c r="G584" s="109" t="inlineStr">
        <is>
          <t xml:space="preserve"> 1200/3 F301/303/305RC CONTROLLO E RIPRISTINO</t>
        </is>
      </c>
      <c r="H584" s="109" t="n"/>
      <c r="I584" s="109" t="n"/>
      <c r="J584" s="109" t="n"/>
      <c r="K584" s="109" t="n"/>
      <c r="L584" s="109" t="n"/>
      <c r="M584" s="110" t="inlineStr">
        <is>
          <t>DA CHIUDERE</t>
        </is>
      </c>
      <c r="N584" s="110" t="n"/>
      <c r="O584" s="110" t="n"/>
      <c r="P584" s="110" t="n"/>
      <c r="Q584" s="110" t="inlineStr">
        <is>
          <t>CORRETTI DI ZERO</t>
        </is>
      </c>
      <c r="R584" s="151" t="n">
        <v>45656</v>
      </c>
      <c r="S584" s="110" t="inlineStr">
        <is>
          <t>TARASCIO</t>
        </is>
      </c>
      <c r="T584" s="109" t="inlineStr"/>
      <c r="U584" s="147" t="inlineStr"/>
    </row>
    <row r="585">
      <c r="A585" s="109" t="n"/>
      <c r="B585" s="108" t="inlineStr">
        <is>
          <t>X</t>
        </is>
      </c>
      <c r="C585" s="109" t="inlineStr"/>
      <c r="D585" s="109" t="inlineStr">
        <is>
          <t>AREA 3</t>
        </is>
      </c>
      <c r="E585" s="109" t="inlineStr">
        <is>
          <t>520563/C</t>
        </is>
      </c>
      <c r="F585" s="109" t="inlineStr">
        <is>
          <t>1400</t>
        </is>
      </c>
      <c r="G585" s="109" t="inlineStr">
        <is>
          <t xml:space="preserve"> 1400: TARATURA 14F150R</t>
        </is>
      </c>
      <c r="H585" s="109" t="n"/>
      <c r="I585" s="109" t="n"/>
      <c r="J585" s="109" t="n"/>
      <c r="K585" s="109" t="n"/>
      <c r="L585" s="109" t="n"/>
      <c r="M585" s="110" t="inlineStr">
        <is>
          <t>DA CHIUDERE</t>
        </is>
      </c>
      <c r="N585" s="110" t="n"/>
      <c r="O585" s="110" t="n"/>
      <c r="P585" s="110" t="n"/>
      <c r="Q585" s="110" t="n"/>
      <c r="R585" s="151" t="n"/>
      <c r="S585" s="110" t="inlineStr">
        <is>
          <t>RICIPUTO</t>
        </is>
      </c>
      <c r="T585" s="109" t="inlineStr"/>
      <c r="U585" s="147" t="inlineStr"/>
    </row>
    <row r="586" ht="60" customHeight="1" s="122">
      <c r="A586" s="109" t="n"/>
      <c r="B586" s="109" t="inlineStr">
        <is>
          <t>X</t>
        </is>
      </c>
      <c r="C586" s="109" t="inlineStr"/>
      <c r="D586" s="109" t="inlineStr">
        <is>
          <t>AREA 3</t>
        </is>
      </c>
      <c r="E586" s="109" t="inlineStr">
        <is>
          <t>517303/C</t>
        </is>
      </c>
      <c r="F586" s="109" t="inlineStr">
        <is>
          <t>1200/4</t>
        </is>
      </c>
      <c r="G586" s="109" t="inlineStr">
        <is>
          <t xml:space="preserve"> 1200/4 F305CV (MTZ 21/11) SMONTAGGIO/RIMONTAGGIO PER REVISIONE VALVOLA</t>
        </is>
      </c>
      <c r="H586" s="109" t="n"/>
      <c r="I586" s="109" t="n"/>
      <c r="J586" s="109" t="n"/>
      <c r="K586" s="109" t="n"/>
      <c r="L586" s="109" t="n"/>
      <c r="M586" s="109" t="inlineStr">
        <is>
          <t>DA CHIUDERE</t>
        </is>
      </c>
      <c r="N586" s="109" t="n"/>
      <c r="O586" s="109" t="n"/>
      <c r="P586" s="109" t="n"/>
      <c r="Q586" s="109" t="inlineStr">
        <is>
          <t>NON ARRIVA TENSIONE ALL'ELETTROVALVOLA.
VIENE BYPASSATA IN ATTESA DI RICERCA GUASTO STRUMENTALE. (NON APERTO DA CAPOTURNO L'11/12 PERCHE' PENSAVA CHE SI DOVESSE SMONTARE LA VALVOLA)</t>
        </is>
      </c>
      <c r="R586" s="151" t="n">
        <v>45623</v>
      </c>
      <c r="S586" s="109" t="inlineStr">
        <is>
          <t>GARRO L./GARRO S.</t>
        </is>
      </c>
      <c r="T586" s="109" t="inlineStr"/>
      <c r="U586" s="109" t="inlineStr"/>
    </row>
    <row r="587">
      <c r="A587" s="109" t="n"/>
      <c r="B587" s="109" t="inlineStr">
        <is>
          <t>X</t>
        </is>
      </c>
      <c r="C587" s="109" t="inlineStr"/>
      <c r="D587" s="109" t="inlineStr">
        <is>
          <t>AREA 3</t>
        </is>
      </c>
      <c r="E587" s="109" t="inlineStr">
        <is>
          <t>520508/C</t>
        </is>
      </c>
      <c r="F587" s="109" t="inlineStr">
        <is>
          <t>1200/1</t>
        </is>
      </c>
      <c r="G587" s="109" t="inlineStr">
        <is>
          <t xml:space="preserve"> 1200/1 L301SH RIPRISTINO FUNZIONALITA'</t>
        </is>
      </c>
      <c r="H587" s="109" t="n"/>
      <c r="I587" s="109" t="n"/>
      <c r="J587" s="109" t="n"/>
      <c r="K587" s="109" t="n"/>
      <c r="L587" s="109" t="n"/>
      <c r="M587" s="109" t="inlineStr">
        <is>
          <t>DA CHIUDERE</t>
        </is>
      </c>
      <c r="N587" s="109" t="n"/>
      <c r="O587" s="109" t="n"/>
      <c r="P587" s="109" t="n"/>
      <c r="Q587" s="109" t="inlineStr">
        <is>
          <t>NECESSITA PONTEGGIO (REALIZZATO PONTEGGIO)</t>
        </is>
      </c>
      <c r="R587" s="151" t="n">
        <v>45646</v>
      </c>
      <c r="S587" s="109" t="inlineStr">
        <is>
          <t>TARASCIO</t>
        </is>
      </c>
      <c r="T587" s="109" t="inlineStr"/>
      <c r="U587" s="109" t="inlineStr"/>
    </row>
    <row r="588">
      <c r="A588" s="109" t="n"/>
      <c r="B588" s="109" t="inlineStr">
        <is>
          <t>X</t>
        </is>
      </c>
      <c r="C588" s="109" t="inlineStr"/>
      <c r="D588" s="109" t="inlineStr">
        <is>
          <t>AREA 3</t>
        </is>
      </c>
      <c r="E588" s="109" t="inlineStr">
        <is>
          <t>519722/C</t>
        </is>
      </c>
      <c r="F588" s="109" t="inlineStr">
        <is>
          <t>1800</t>
        </is>
      </c>
      <c r="G588" s="109" t="inlineStr">
        <is>
          <t xml:space="preserve"> 1800 - VERIFICA E TARATURA 18F003RC (CONDENSA DA E102)</t>
        </is>
      </c>
      <c r="H588" s="109" t="n"/>
      <c r="I588" s="109" t="n"/>
      <c r="J588" s="109" t="n"/>
      <c r="K588" s="109" t="n"/>
      <c r="L588" s="109" t="n"/>
      <c r="M588" s="109" t="inlineStr">
        <is>
          <t>DA CHIUDERE</t>
        </is>
      </c>
      <c r="N588" s="109" t="n"/>
      <c r="O588" s="109" t="n"/>
      <c r="P588" s="109" t="n"/>
      <c r="Q588" s="109" t="inlineStr">
        <is>
          <t>EFFETTUATO ZERO, RIPRISTINATA FUNZIONALITA'</t>
        </is>
      </c>
      <c r="R588" s="151" t="n">
        <v>45649</v>
      </c>
      <c r="S588" s="109" t="inlineStr">
        <is>
          <t>RICIPUTO</t>
        </is>
      </c>
      <c r="T588" s="109" t="inlineStr"/>
      <c r="U588" s="109" t="inlineStr"/>
    </row>
    <row r="589">
      <c r="A589" s="109" t="n"/>
      <c r="B589" s="108" t="inlineStr">
        <is>
          <t>X</t>
        </is>
      </c>
      <c r="C589" s="109" t="inlineStr"/>
      <c r="D589" s="109" t="inlineStr">
        <is>
          <t>AREA 3</t>
        </is>
      </c>
      <c r="E589" s="109" t="inlineStr">
        <is>
          <t>520843/C</t>
        </is>
      </c>
      <c r="F589" s="109" t="inlineStr">
        <is>
          <t>800</t>
        </is>
      </c>
      <c r="G589" s="109" t="inlineStr">
        <is>
          <t xml:space="preserve"> 800-1-P112CV controllo LOOP di regolazione locale</t>
        </is>
      </c>
      <c r="H589" s="109" t="n"/>
      <c r="I589" s="109" t="n"/>
      <c r="J589" s="109" t="n"/>
      <c r="K589" s="109" t="n"/>
      <c r="L589" s="109" t="n"/>
      <c r="M589" s="110" t="inlineStr">
        <is>
          <t>DA CHIUDERE</t>
        </is>
      </c>
      <c r="N589" s="110" t="n"/>
      <c r="O589" s="110" t="n"/>
      <c r="P589" s="110" t="n"/>
      <c r="Q589" s="110" t="n"/>
      <c r="R589" s="151" t="n"/>
      <c r="S589" s="110" t="n"/>
      <c r="T589" s="109" t="inlineStr"/>
      <c r="U589" s="147" t="inlineStr"/>
    </row>
    <row r="590" ht="30" customHeight="1" s="122">
      <c r="A590" s="109" t="n"/>
      <c r="B590" s="109" t="inlineStr">
        <is>
          <t>X</t>
        </is>
      </c>
      <c r="C590" s="109" t="inlineStr"/>
      <c r="D590" s="109" t="inlineStr">
        <is>
          <t>AREA 3</t>
        </is>
      </c>
      <c r="E590" s="109" t="inlineStr">
        <is>
          <t>515580/C</t>
        </is>
      </c>
      <c r="F590" s="109" t="inlineStr">
        <is>
          <t>1100</t>
        </is>
      </c>
      <c r="G590" s="109" t="inlineStr">
        <is>
          <t xml:space="preserve"> F160R VERIFICA MISURATORE PORTATA VAPORE MS 11F160R</t>
        </is>
      </c>
      <c r="H590" s="109" t="n"/>
      <c r="I590" s="109" t="n"/>
      <c r="J590" s="109" t="n"/>
      <c r="K590" s="109" t="n"/>
      <c r="L590" s="109" t="n"/>
      <c r="M590" s="109" t="inlineStr">
        <is>
          <t>DA CHIUDERE</t>
        </is>
      </c>
      <c r="N590" s="109" t="n"/>
      <c r="O590" s="109" t="n"/>
      <c r="P590" s="109" t="n"/>
      <c r="Q590" s="109" t="inlineStr">
        <is>
          <t xml:space="preserve">NESSUNA ANOMALIA SUL TRASMETTITORE. NESSUNA PERDITA DI VAPORE VICINO AL DISCO CALIBRATO. </t>
        </is>
      </c>
      <c r="R590" s="151" t="n">
        <v>45646</v>
      </c>
      <c r="S590" s="109" t="inlineStr">
        <is>
          <t>RICIPUTO</t>
        </is>
      </c>
      <c r="T590" s="109" t="inlineStr"/>
      <c r="U590" s="109" t="inlineStr"/>
    </row>
    <row r="591" ht="30" customHeight="1" s="122">
      <c r="A591" s="109" t="n"/>
      <c r="B591" s="108" t="inlineStr">
        <is>
          <t>X</t>
        </is>
      </c>
      <c r="C591" s="109" t="inlineStr"/>
      <c r="D591" s="109" t="inlineStr">
        <is>
          <t>AREA 3</t>
        </is>
      </c>
      <c r="E591" s="109" t="inlineStr">
        <is>
          <t>520569/C</t>
        </is>
      </c>
      <c r="F591" s="109" t="inlineStr">
        <is>
          <t>1800</t>
        </is>
      </c>
      <c r="G591" s="109" t="inlineStr">
        <is>
          <t xml:space="preserve"> F046V SMONTAGGIO/RIMONTAGGIO PER REVISIONE</t>
        </is>
      </c>
      <c r="H591" s="109" t="n"/>
      <c r="I591" s="109" t="n"/>
      <c r="J591" s="109" t="n"/>
      <c r="K591" s="109" t="n"/>
      <c r="L591" s="109" t="n"/>
      <c r="M591" s="110" t="inlineStr">
        <is>
          <t>DA CHIUDERE</t>
        </is>
      </c>
      <c r="N591" s="110" t="n"/>
      <c r="O591" s="110" t="n"/>
      <c r="P591" s="110" t="n"/>
      <c r="Q591" s="110" t="inlineStr">
        <is>
          <t>VALVOLA SMONTATA E PORTATA IN OFFICINA ESTERNA COEMI IL 20/12/24</t>
        </is>
      </c>
      <c r="R591" s="151" t="n"/>
      <c r="S591" s="110" t="n"/>
      <c r="T591" s="109" t="inlineStr"/>
      <c r="U591" s="147" t="inlineStr"/>
    </row>
    <row r="592" ht="30" customHeight="1" s="122">
      <c r="A592" s="109" t="n"/>
      <c r="B592" s="108" t="inlineStr">
        <is>
          <t>X</t>
        </is>
      </c>
      <c r="C592" s="109" t="inlineStr"/>
      <c r="D592" s="109" t="inlineStr">
        <is>
          <t>AREA 3</t>
        </is>
      </c>
      <c r="E592" s="109" t="inlineStr">
        <is>
          <t>520496/C</t>
        </is>
      </c>
      <c r="F592" s="109" t="inlineStr">
        <is>
          <t>700</t>
        </is>
      </c>
      <c r="G592" s="109" t="inlineStr">
        <is>
          <t xml:space="preserve"> 700-1-APH100-F101N smontaggio/rimontaggio pilota D per revisione e prove di accensione</t>
        </is>
      </c>
      <c r="H592" s="109" t="n"/>
      <c r="I592" s="109" t="n"/>
      <c r="J592" s="109" t="n"/>
      <c r="K592" s="109" t="n"/>
      <c r="L592" s="109" t="n"/>
      <c r="M592" s="110" t="inlineStr">
        <is>
          <t>DA CHIUDERE</t>
        </is>
      </c>
      <c r="N592" s="110" t="n"/>
      <c r="O592" s="110" t="n"/>
      <c r="P592" s="110" t="n"/>
      <c r="Q592" s="110" t="n"/>
      <c r="R592" s="151" t="n"/>
      <c r="S592" s="110" t="n"/>
      <c r="T592" s="109" t="inlineStr"/>
      <c r="U592" s="147" t="inlineStr"/>
    </row>
    <row r="593" ht="30" customHeight="1" s="122">
      <c r="A593" s="109" t="n"/>
      <c r="B593" s="108" t="inlineStr">
        <is>
          <t>X</t>
        </is>
      </c>
      <c r="C593" s="109" t="inlineStr"/>
      <c r="D593" s="109" t="inlineStr">
        <is>
          <t>AREA 3</t>
        </is>
      </c>
      <c r="E593" s="109" t="inlineStr">
        <is>
          <t>519526/C</t>
        </is>
      </c>
      <c r="F593" s="109" t="inlineStr">
        <is>
          <t>700A</t>
        </is>
      </c>
      <c r="G593" s="109" t="inlineStr">
        <is>
          <t xml:space="preserve"> 700A  PCV212 che  rimasta bloccata aperta (da quadro risulta chiusa). controllo LOOP DI REGOLAZIONE</t>
        </is>
      </c>
      <c r="H593" s="109" t="n"/>
      <c r="I593" s="109" t="n"/>
      <c r="J593" s="109" t="n"/>
      <c r="K593" s="109" t="n"/>
      <c r="L593" s="109" t="n"/>
      <c r="M593" s="110" t="inlineStr">
        <is>
          <t>DA CHIUDERE</t>
        </is>
      </c>
      <c r="N593" s="110" t="n"/>
      <c r="O593" s="110" t="n"/>
      <c r="P593" s="110" t="n"/>
      <c r="Q593" s="110" t="inlineStr">
        <is>
          <t>POSIZIONATORE GUASTO. SOSTITUITO</t>
        </is>
      </c>
      <c r="R593" s="151" t="n">
        <v>45644</v>
      </c>
      <c r="S593" s="110" t="inlineStr">
        <is>
          <t>GARRO L./GARRO S.</t>
        </is>
      </c>
      <c r="T593" s="109" t="inlineStr"/>
      <c r="U593" s="147" t="inlineStr"/>
    </row>
    <row r="594">
      <c r="A594" s="109" t="n"/>
      <c r="B594" s="109" t="inlineStr">
        <is>
          <t>X</t>
        </is>
      </c>
      <c r="C594" s="109" t="inlineStr"/>
      <c r="D594" s="109" t="inlineStr">
        <is>
          <t>AREA 3</t>
        </is>
      </c>
      <c r="E594" s="109" t="inlineStr">
        <is>
          <t>519471/C</t>
        </is>
      </c>
      <c r="F594" s="109" t="inlineStr">
        <is>
          <t>800</t>
        </is>
      </c>
      <c r="G594" s="109" t="inlineStr">
        <is>
          <t xml:space="preserve"> 800 - VERIFICA FUNZIONAMENTO VALVOLE PARZIALIZZATRICI C101A</t>
        </is>
      </c>
      <c r="H594" s="109" t="n"/>
      <c r="I594" s="109" t="n"/>
      <c r="J594" s="109" t="n"/>
      <c r="K594" s="109" t="n"/>
      <c r="L594" s="109" t="n"/>
      <c r="M594" s="109" t="inlineStr">
        <is>
          <t>DA CHIUDERE</t>
        </is>
      </c>
      <c r="N594" s="109" t="n"/>
      <c r="O594" s="109" t="n"/>
      <c r="P594" s="109" t="n"/>
      <c r="Q594" s="109" t="n"/>
      <c r="R594" s="151" t="n">
        <v>45642</v>
      </c>
      <c r="S594" s="109" t="inlineStr">
        <is>
          <t>TARASCIO</t>
        </is>
      </c>
      <c r="T594" s="109" t="inlineStr"/>
      <c r="U594" s="109" t="inlineStr"/>
    </row>
    <row r="595">
      <c r="A595" s="109" t="n"/>
      <c r="B595" s="108" t="inlineStr">
        <is>
          <t>X</t>
        </is>
      </c>
      <c r="C595" s="109" t="inlineStr"/>
      <c r="D595" s="109" t="inlineStr">
        <is>
          <t>AREA 3</t>
        </is>
      </c>
      <c r="E595" s="109" t="inlineStr">
        <is>
          <t>519294/C</t>
        </is>
      </c>
      <c r="F595" s="109" t="inlineStr">
        <is>
          <t>700</t>
        </is>
      </c>
      <c r="G595" s="109" t="inlineStr">
        <is>
          <t xml:space="preserve"> 700- PCV323A SERRAGGIO PREMITRECCIA</t>
        </is>
      </c>
      <c r="H595" s="109" t="n"/>
      <c r="I595" s="109" t="n"/>
      <c r="J595" s="109" t="n"/>
      <c r="K595" s="109" t="n"/>
      <c r="L595" s="109" t="n"/>
      <c r="M595" s="110" t="inlineStr">
        <is>
          <t>DA CHIUDERE</t>
        </is>
      </c>
      <c r="N595" s="110" t="n"/>
      <c r="O595" s="110" t="n"/>
      <c r="P595" s="110" t="n"/>
      <c r="Q595" s="110" t="n"/>
      <c r="R595" s="151" t="n"/>
      <c r="S595" s="110" t="n"/>
      <c r="T595" s="109" t="inlineStr"/>
      <c r="U595" s="147" t="inlineStr"/>
    </row>
    <row r="596">
      <c r="A596" s="109" t="n"/>
      <c r="B596" s="108" t="inlineStr">
        <is>
          <t>X</t>
        </is>
      </c>
      <c r="C596" s="109" t="inlineStr"/>
      <c r="D596" s="109" t="inlineStr">
        <is>
          <t>AREA 3</t>
        </is>
      </c>
      <c r="E596" s="109" t="inlineStr">
        <is>
          <t>520358/C</t>
        </is>
      </c>
      <c r="F596" s="109" t="inlineStr">
        <is>
          <t>800</t>
        </is>
      </c>
      <c r="G596" s="109" t="inlineStr">
        <is>
          <t xml:space="preserve"> Ripristino funzionalita' 08T116I (Ingresso R-103) Imp. 800</t>
        </is>
      </c>
      <c r="H596" s="109" t="n"/>
      <c r="I596" s="109" t="n"/>
      <c r="J596" s="109" t="n"/>
      <c r="K596" s="109" t="n"/>
      <c r="L596" s="109" t="n"/>
      <c r="M596" s="110" t="inlineStr">
        <is>
          <t>DA CHIUDERE</t>
        </is>
      </c>
      <c r="N596" s="110" t="n"/>
      <c r="O596" s="110" t="n"/>
      <c r="P596" s="110" t="n"/>
      <c r="Q596" s="110" t="n"/>
      <c r="R596" s="151" t="n"/>
      <c r="S596" s="110" t="n"/>
      <c r="T596" s="109" t="inlineStr"/>
      <c r="U596" s="147" t="inlineStr"/>
    </row>
    <row r="597">
      <c r="A597" s="109" t="n"/>
      <c r="B597" s="109" t="inlineStr">
        <is>
          <t>X</t>
        </is>
      </c>
      <c r="C597" s="109" t="inlineStr"/>
      <c r="D597" s="109" t="inlineStr">
        <is>
          <t>AREA 3</t>
        </is>
      </c>
      <c r="E597" s="109" t="inlineStr">
        <is>
          <t>520495/C</t>
        </is>
      </c>
      <c r="F597" s="109" t="inlineStr">
        <is>
          <t>1800</t>
        </is>
      </c>
      <c r="G597" s="109" t="inlineStr">
        <is>
          <t xml:space="preserve"> 1800 - FCV046 VERIFUCA PERFETTA CHIUSURA E PROVE FUNZIONALI</t>
        </is>
      </c>
      <c r="H597" s="109" t="n"/>
      <c r="I597" s="109" t="n"/>
      <c r="J597" s="109" t="n"/>
      <c r="K597" s="109" t="n"/>
      <c r="L597" s="109" t="n"/>
      <c r="M597" s="109" t="inlineStr">
        <is>
          <t>DA CHIUDERE</t>
        </is>
      </c>
      <c r="N597" s="109" t="n"/>
      <c r="O597" s="109" t="n"/>
      <c r="P597" s="109" t="n"/>
      <c r="Q597" s="109" t="inlineStr">
        <is>
          <t>LA VALVOLA NON FA TENUTA E SE NE CONSIGLIA LA REVISIONE</t>
        </is>
      </c>
      <c r="R597" s="151" t="n"/>
      <c r="S597" s="109" t="n"/>
      <c r="T597" s="109" t="inlineStr"/>
      <c r="U597" s="109" t="inlineStr"/>
    </row>
    <row r="598">
      <c r="A598" s="109" t="n"/>
      <c r="B598" s="108" t="inlineStr">
        <is>
          <t>X</t>
        </is>
      </c>
      <c r="C598" s="109" t="inlineStr"/>
      <c r="D598" s="109" t="inlineStr">
        <is>
          <t>AREA 3</t>
        </is>
      </c>
      <c r="E598" s="109" t="inlineStr">
        <is>
          <t>518100/C</t>
        </is>
      </c>
      <c r="F598" s="109" t="inlineStr">
        <is>
          <t>1200/0</t>
        </is>
      </c>
      <c r="G598" s="109" t="inlineStr">
        <is>
          <t xml:space="preserve"> 10206926 - 1200: Z0T960 ripristino funzionalit</t>
        </is>
      </c>
      <c r="H598" s="109" t="n"/>
      <c r="I598" s="109" t="n"/>
      <c r="J598" s="109" t="n"/>
      <c r="K598" s="109" t="n"/>
      <c r="L598" s="109" t="n"/>
      <c r="M598" s="110" t="inlineStr">
        <is>
          <t>DA CHIUDERE</t>
        </is>
      </c>
      <c r="N598" s="110" t="n"/>
      <c r="O598" s="110" t="n"/>
      <c r="P598" s="110" t="n"/>
      <c r="Q598" s="110" t="inlineStr">
        <is>
          <t>STRUMENTO FUNZIONANTE.</t>
        </is>
      </c>
      <c r="R598" s="151" t="n">
        <v>45645</v>
      </c>
      <c r="S598" s="110" t="inlineStr">
        <is>
          <t>SPINALI</t>
        </is>
      </c>
      <c r="T598" s="109" t="inlineStr"/>
      <c r="U598" s="147" t="inlineStr">
        <is>
          <t xml:space="preserve"> 1020692</t>
        </is>
      </c>
    </row>
    <row r="599">
      <c r="A599" s="109" t="n"/>
      <c r="B599" s="108" t="inlineStr">
        <is>
          <t>X</t>
        </is>
      </c>
      <c r="C599" s="109" t="inlineStr"/>
      <c r="D599" s="109" t="inlineStr">
        <is>
          <t>AREA 3</t>
        </is>
      </c>
      <c r="E599" s="109" t="inlineStr">
        <is>
          <t>520054/C</t>
        </is>
      </c>
      <c r="F599" s="109" t="inlineStr">
        <is>
          <t>1200/4</t>
        </is>
      </c>
      <c r="G599" s="109" t="inlineStr">
        <is>
          <t xml:space="preserve"> 1200/4 Spilling MEA  F306RC CONTROLLO FUNZIONALE</t>
        </is>
      </c>
      <c r="H599" s="109" t="n"/>
      <c r="I599" s="109" t="n"/>
      <c r="J599" s="109" t="n"/>
      <c r="K599" s="109" t="n"/>
      <c r="L599" s="109" t="n"/>
      <c r="M599" s="110" t="inlineStr">
        <is>
          <t>DA CHIUDERE</t>
        </is>
      </c>
      <c r="N599" s="110" t="n"/>
      <c r="O599" s="110" t="n"/>
      <c r="P599" s="110" t="n"/>
      <c r="Q599" s="110" t="inlineStr">
        <is>
          <t>REGOLATI FLUSSAGGI.</t>
        </is>
      </c>
      <c r="R599" s="151" t="n">
        <v>45644</v>
      </c>
      <c r="S599" s="110" t="inlineStr">
        <is>
          <t>SPINALI</t>
        </is>
      </c>
      <c r="T599" s="109" t="inlineStr"/>
      <c r="U599" s="147" t="inlineStr"/>
    </row>
    <row r="600">
      <c r="A600" s="109" t="n"/>
      <c r="B600" s="108" t="inlineStr">
        <is>
          <t>X</t>
        </is>
      </c>
      <c r="C600" s="109" t="inlineStr"/>
      <c r="D600" s="109" t="inlineStr">
        <is>
          <t>AREA 3</t>
        </is>
      </c>
      <c r="E600" s="109" t="inlineStr">
        <is>
          <t>520329/C</t>
        </is>
      </c>
      <c r="F600" s="109" t="inlineStr">
        <is>
          <t>800</t>
        </is>
      </c>
      <c r="G600" s="109" t="inlineStr">
        <is>
          <t xml:space="preserve"> 08L106SL (blocco basso livello D103 attualmente attivo)., da ripristinare</t>
        </is>
      </c>
      <c r="H600" s="109" t="n"/>
      <c r="I600" s="109" t="n"/>
      <c r="J600" s="109" t="n"/>
      <c r="K600" s="109" t="n"/>
      <c r="L600" s="109" t="n"/>
      <c r="M600" s="110" t="inlineStr">
        <is>
          <t>DA CHIUDERE</t>
        </is>
      </c>
      <c r="N600" s="110" t="n"/>
      <c r="O600" s="110" t="n"/>
      <c r="P600" s="110" t="n"/>
      <c r="Q600" s="110" t="inlineStr">
        <is>
          <t>SOSTITUITO EQUIPAGGIO MOBILE E FLESSIBILE.</t>
        </is>
      </c>
      <c r="R600" s="151" t="n">
        <v>45644</v>
      </c>
      <c r="S600" s="110" t="inlineStr">
        <is>
          <t>SPINALI</t>
        </is>
      </c>
      <c r="T600" s="109" t="inlineStr"/>
      <c r="U600" s="147" t="inlineStr"/>
    </row>
    <row r="601">
      <c r="A601" s="109" t="n"/>
      <c r="B601" s="109" t="inlineStr">
        <is>
          <t>X</t>
        </is>
      </c>
      <c r="C601" s="109" t="inlineStr"/>
      <c r="D601" s="109" t="inlineStr">
        <is>
          <t>AREA 3</t>
        </is>
      </c>
      <c r="E601" s="109" t="inlineStr">
        <is>
          <t>520331/C</t>
        </is>
      </c>
      <c r="F601" s="109" t="inlineStr">
        <is>
          <t>800</t>
        </is>
      </c>
      <c r="G601" s="109" t="inlineStr">
        <is>
          <t xml:space="preserve"> 800: PCV102 (F.G. ai piloti) si muove a scatti. </t>
        </is>
      </c>
      <c r="H601" s="109" t="n"/>
      <c r="I601" s="109" t="n"/>
      <c r="J601" s="109" t="n"/>
      <c r="K601" s="109" t="n"/>
      <c r="L601" s="109" t="n"/>
      <c r="M601" s="110" t="inlineStr">
        <is>
          <t>DA CHIUDERE</t>
        </is>
      </c>
      <c r="N601" s="110" t="n"/>
      <c r="O601" s="110" t="n"/>
      <c r="P601" s="110" t="n"/>
      <c r="Q601" s="110" t="inlineStr">
        <is>
          <t>TARATO REGOLATORE E CONSEGNATO AD ESERCIZIO</t>
        </is>
      </c>
      <c r="R601" s="151" t="n">
        <v>45643</v>
      </c>
      <c r="S601" s="110" t="inlineStr">
        <is>
          <t>MILLO</t>
        </is>
      </c>
      <c r="T601" s="109" t="inlineStr"/>
      <c r="U601" s="147" t="inlineStr"/>
    </row>
    <row r="602">
      <c r="A602" s="109" t="n"/>
      <c r="B602" s="109" t="inlineStr">
        <is>
          <t>X</t>
        </is>
      </c>
      <c r="C602" s="109" t="inlineStr"/>
      <c r="D602" s="109" t="inlineStr">
        <is>
          <t>AREA 3</t>
        </is>
      </c>
      <c r="E602" s="109" t="inlineStr">
        <is>
          <t>520289/C</t>
        </is>
      </c>
      <c r="F602" s="109" t="inlineStr">
        <is>
          <t>1800</t>
        </is>
      </c>
      <c r="G602" s="109" t="inlineStr">
        <is>
          <t xml:space="preserve"> 1800: VERIFICA 18PD600I</t>
        </is>
      </c>
      <c r="H602" s="109" t="n"/>
      <c r="I602" s="109" t="n"/>
      <c r="J602" s="109" t="n"/>
      <c r="K602" s="109" t="n"/>
      <c r="L602" s="109" t="n"/>
      <c r="M602" s="109" t="inlineStr">
        <is>
          <t>DA CHIUDERE</t>
        </is>
      </c>
      <c r="N602" s="109" t="n"/>
      <c r="O602" s="109" t="n"/>
      <c r="P602" s="109" t="n"/>
      <c r="Q602" s="109" t="n"/>
      <c r="R602" s="151" t="n">
        <v>45643</v>
      </c>
      <c r="S602" s="109" t="inlineStr">
        <is>
          <t>TARASCIO</t>
        </is>
      </c>
      <c r="T602" s="109" t="inlineStr"/>
      <c r="U602" s="109" t="inlineStr"/>
    </row>
    <row r="603" ht="30" customHeight="1" s="122">
      <c r="A603" s="109" t="n"/>
      <c r="B603" s="109" t="inlineStr">
        <is>
          <t>X</t>
        </is>
      </c>
      <c r="C603" s="109" t="inlineStr"/>
      <c r="D603" s="109" t="inlineStr">
        <is>
          <t>AREA 3</t>
        </is>
      </c>
      <c r="E603" s="109" t="inlineStr">
        <is>
          <t>517463/C</t>
        </is>
      </c>
      <c r="F603" s="109" t="inlineStr">
        <is>
          <t>800</t>
        </is>
      </c>
      <c r="G603" s="109" t="inlineStr">
        <is>
          <t xml:space="preserve"> Ripristino funzionalita' 08T116I (Ingresso R-103) Imp. 800</t>
        </is>
      </c>
      <c r="H603" s="109" t="n"/>
      <c r="I603" s="109" t="n"/>
      <c r="J603" s="109" t="n"/>
      <c r="K603" s="109" t="n"/>
      <c r="L603" s="109" t="n"/>
      <c r="M603" s="109" t="inlineStr">
        <is>
          <t>DA CHIUDERE</t>
        </is>
      </c>
      <c r="N603" s="109" t="n"/>
      <c r="O603" s="109" t="n"/>
      <c r="P603" s="109" t="n"/>
      <c r="Q603" s="109" t="inlineStr">
        <is>
          <t>ATTIVITA' CHE SI PROSEGUE CON PDL 520358/C (ALLEGATO PONTEGGIO)</t>
        </is>
      </c>
      <c r="R603" s="151" t="n"/>
      <c r="S603" s="109" t="n"/>
      <c r="T603" s="109" t="inlineStr"/>
      <c r="U603" s="109" t="inlineStr"/>
    </row>
    <row r="604">
      <c r="A604" s="109" t="n"/>
      <c r="B604" s="108" t="inlineStr">
        <is>
          <t>X</t>
        </is>
      </c>
      <c r="C604" s="109" t="inlineStr"/>
      <c r="D604" s="109" t="inlineStr">
        <is>
          <t>AREA 3</t>
        </is>
      </c>
      <c r="E604" s="109" t="inlineStr">
        <is>
          <t>520155/C</t>
        </is>
      </c>
      <c r="F604" s="109" t="inlineStr">
        <is>
          <t>1200/2</t>
        </is>
      </c>
      <c r="G604" s="109" t="inlineStr">
        <is>
          <t xml:space="preserve"> 1200/2 - F101 CONTROLLO FUNZIONALE  FOTOCELLULA </t>
        </is>
      </c>
      <c r="H604" s="109" t="n"/>
      <c r="I604" s="109" t="n"/>
      <c r="J604" s="109" t="n"/>
      <c r="K604" s="109" t="n"/>
      <c r="L604" s="109" t="n"/>
      <c r="M604" s="110" t="inlineStr">
        <is>
          <t>DA CHIUDERE</t>
        </is>
      </c>
      <c r="N604" s="110" t="n"/>
      <c r="O604" s="110" t="n"/>
      <c r="P604" s="110" t="n"/>
      <c r="Q604" s="110" t="inlineStr">
        <is>
          <t>RIPRISTINATA FUNZIONALITA'.</t>
        </is>
      </c>
      <c r="R604" s="151" t="n">
        <v>45642</v>
      </c>
      <c r="S604" s="110" t="inlineStr">
        <is>
          <t>SPINALI D.</t>
        </is>
      </c>
      <c r="T604" s="109" t="inlineStr"/>
      <c r="U604" s="147" t="inlineStr"/>
    </row>
    <row r="605">
      <c r="A605" s="109" t="n"/>
      <c r="B605" s="109" t="inlineStr">
        <is>
          <t>X</t>
        </is>
      </c>
      <c r="C605" s="109" t="inlineStr"/>
      <c r="D605" s="109" t="inlineStr">
        <is>
          <t>AREA 3</t>
        </is>
      </c>
      <c r="E605" s="109" t="inlineStr">
        <is>
          <t>519589/C</t>
        </is>
      </c>
      <c r="F605" s="109" t="inlineStr">
        <is>
          <t>1800</t>
        </is>
      </c>
      <c r="G605" s="109" t="inlineStr">
        <is>
          <t xml:space="preserve"> 1800: controllo termocoppie flussaggio compressore (18T436A e 18T436B). C101</t>
        </is>
      </c>
      <c r="H605" s="109" t="n"/>
      <c r="I605" s="109" t="n"/>
      <c r="J605" s="109" t="n"/>
      <c r="K605" s="109" t="n"/>
      <c r="L605" s="109" t="n"/>
      <c r="M605" s="109" t="inlineStr">
        <is>
          <t>DA CHIUDERE</t>
        </is>
      </c>
      <c r="N605" s="109" t="n"/>
      <c r="O605" s="109" t="n"/>
      <c r="P605" s="109" t="n"/>
      <c r="Q605" s="109" t="inlineStr">
        <is>
          <t>NESSUNA ANOMALIA</t>
        </is>
      </c>
      <c r="R605" s="151" t="n">
        <v>45642</v>
      </c>
      <c r="S605" s="109" t="inlineStr">
        <is>
          <t>TARASCIO</t>
        </is>
      </c>
      <c r="T605" s="109" t="inlineStr"/>
      <c r="U605" s="109" t="inlineStr"/>
    </row>
    <row r="606" ht="30" customHeight="1" s="122">
      <c r="A606" s="109" t="n"/>
      <c r="B606" s="108" t="inlineStr">
        <is>
          <t>X</t>
        </is>
      </c>
      <c r="C606" s="109" t="inlineStr"/>
      <c r="D606" s="109" t="inlineStr">
        <is>
          <t>AREA 3</t>
        </is>
      </c>
      <c r="E606" s="109" t="inlineStr">
        <is>
          <t>520058/C</t>
        </is>
      </c>
      <c r="F606" s="109" t="inlineStr">
        <is>
          <t>1200/1</t>
        </is>
      </c>
      <c r="G606" s="109" t="inlineStr">
        <is>
          <t xml:space="preserve"> 1200-1-F101 CONTROLLO FUNZIONALE  FOTOCELLULA e Z1L301SH risulta essere in allarme.</t>
        </is>
      </c>
      <c r="H606" s="109" t="n"/>
      <c r="I606" s="109" t="n"/>
      <c r="J606" s="109" t="n"/>
      <c r="K606" s="109" t="n"/>
      <c r="L606" s="109" t="n"/>
      <c r="M606" s="110" t="inlineStr">
        <is>
          <t>DA CHIUDERE</t>
        </is>
      </c>
      <c r="N606" s="110" t="n"/>
      <c r="O606" s="110" t="n"/>
      <c r="P606" s="110" t="n"/>
      <c r="Q606" s="110" t="inlineStr">
        <is>
          <t>SI PROSEGUE ATTIVITA' CON PDL SPECIFICI: 520152/C E 520153/C</t>
        </is>
      </c>
      <c r="R606" s="151" t="n">
        <v>45642</v>
      </c>
      <c r="S606" s="110" t="inlineStr">
        <is>
          <t>PARTESANO</t>
        </is>
      </c>
      <c r="T606" s="109" t="inlineStr"/>
      <c r="U606" s="147" t="inlineStr"/>
    </row>
    <row r="607" ht="30" customHeight="1" s="122">
      <c r="A607" s="109" t="n"/>
      <c r="B607" s="109" t="inlineStr">
        <is>
          <t>X</t>
        </is>
      </c>
      <c r="C607" s="109" t="inlineStr"/>
      <c r="D607" s="109" t="inlineStr">
        <is>
          <t>AREA 3</t>
        </is>
      </c>
      <c r="E607" s="109" t="inlineStr">
        <is>
          <t>518096/C</t>
        </is>
      </c>
      <c r="F607" s="109" t="inlineStr">
        <is>
          <t>1200/4</t>
        </is>
      </c>
      <c r="G607" s="109" t="inlineStr">
        <is>
          <t xml:space="preserve"> 10210892  - 1200: Z4B301SV ripr. Finecorsa.</t>
        </is>
      </c>
      <c r="H607" s="109" t="n"/>
      <c r="I607" s="109" t="n"/>
      <c r="J607" s="109" t="n"/>
      <c r="K607" s="109" t="n"/>
      <c r="L607" s="109" t="n"/>
      <c r="M607" s="109" t="inlineStr">
        <is>
          <t>DA CHIUDERE</t>
        </is>
      </c>
      <c r="N607" s="109" t="n"/>
      <c r="O607" s="109" t="n"/>
      <c r="P607" s="109" t="n"/>
      <c r="Q607" s="109" t="n"/>
      <c r="R607" s="151" t="n">
        <v>45638</v>
      </c>
      <c r="S607" s="109" t="inlineStr">
        <is>
          <t>TARASCIO/PARTESANO</t>
        </is>
      </c>
      <c r="T607" s="109" t="inlineStr"/>
      <c r="U607" s="109" t="inlineStr">
        <is>
          <t xml:space="preserve"> 1021089</t>
        </is>
      </c>
    </row>
    <row r="608">
      <c r="A608" s="109" t="n"/>
      <c r="B608" s="108" t="inlineStr">
        <is>
          <t>X</t>
        </is>
      </c>
      <c r="C608" s="109" t="inlineStr"/>
      <c r="D608" s="109" t="inlineStr">
        <is>
          <t>AREA 3</t>
        </is>
      </c>
      <c r="E608" s="109" t="inlineStr">
        <is>
          <t>518166/C</t>
        </is>
      </c>
      <c r="F608" s="109" t="inlineStr">
        <is>
          <t>1200/3</t>
        </is>
      </c>
      <c r="G608" s="109" t="inlineStr">
        <is>
          <t xml:space="preserve"> 10212202    Ripristino FR carica SWS L3 Z3F302RC</t>
        </is>
      </c>
      <c r="H608" s="109" t="n"/>
      <c r="I608" s="109" t="n"/>
      <c r="J608" s="109" t="n"/>
      <c r="K608" s="109" t="n"/>
      <c r="L608" s="109" t="n"/>
      <c r="M608" s="110" t="inlineStr">
        <is>
          <t>DA CHIUDERE</t>
        </is>
      </c>
      <c r="N608" s="110" t="n"/>
      <c r="O608" s="110" t="n"/>
      <c r="P608" s="110" t="n"/>
      <c r="Q608" s="110" t="inlineStr">
        <is>
          <t>POSITIVA SPORCA, SPURGATA E RIPRISTINATA LA FUNZIONALITA'</t>
        </is>
      </c>
      <c r="R608" s="151" t="n">
        <v>45636</v>
      </c>
      <c r="S608" s="110" t="inlineStr">
        <is>
          <t>TARASCIO</t>
        </is>
      </c>
      <c r="T608" s="109" t="inlineStr"/>
      <c r="U608" s="147" t="inlineStr">
        <is>
          <t xml:space="preserve"> 1021220</t>
        </is>
      </c>
    </row>
    <row r="609">
      <c r="A609" s="109" t="n"/>
      <c r="B609" s="108" t="inlineStr">
        <is>
          <t>X</t>
        </is>
      </c>
      <c r="C609" s="109" t="inlineStr"/>
      <c r="D609" s="109" t="inlineStr">
        <is>
          <t>AREA 3</t>
        </is>
      </c>
      <c r="E609" s="109" t="inlineStr">
        <is>
          <t>517954/C</t>
        </is>
      </c>
      <c r="F609" s="109" t="inlineStr">
        <is>
          <t>1200/4</t>
        </is>
      </c>
      <c r="G609" s="109" t="inlineStr">
        <is>
          <t xml:space="preserve"> 1200/4  Ripristino strumentazione Linea 4  FR 306 spilling</t>
        </is>
      </c>
      <c r="H609" s="109" t="n"/>
      <c r="I609" s="109" t="n"/>
      <c r="J609" s="109" t="n"/>
      <c r="K609" s="109" t="n"/>
      <c r="L609" s="109" t="n"/>
      <c r="M609" s="110" t="inlineStr">
        <is>
          <t>DA CHIUDERE</t>
        </is>
      </c>
      <c r="N609" s="110" t="n"/>
      <c r="O609" s="110" t="n"/>
      <c r="P609" s="110" t="n"/>
      <c r="Q609" s="110" t="n"/>
      <c r="R609" s="151" t="n">
        <v>45632</v>
      </c>
      <c r="S609" s="110" t="n"/>
      <c r="T609" s="109" t="inlineStr"/>
      <c r="U609" s="147" t="inlineStr"/>
    </row>
    <row r="610">
      <c r="A610" s="109" t="n"/>
      <c r="B610" s="109" t="inlineStr">
        <is>
          <t>X</t>
        </is>
      </c>
      <c r="C610" s="109" t="inlineStr"/>
      <c r="D610" s="109" t="inlineStr">
        <is>
          <t>AREA 3</t>
        </is>
      </c>
      <c r="E610" s="109" t="inlineStr">
        <is>
          <t>517957/C</t>
        </is>
      </c>
      <c r="F610" s="109" t="inlineStr">
        <is>
          <t>1200/2</t>
        </is>
      </c>
      <c r="G610" s="109" t="inlineStr">
        <is>
          <t xml:space="preserve"> 1200/2  Ripristino strumentazione Linea 2  FR 306 spilling</t>
        </is>
      </c>
      <c r="H610" s="109" t="n"/>
      <c r="I610" s="109" t="n"/>
      <c r="J610" s="109" t="n"/>
      <c r="K610" s="109" t="n"/>
      <c r="L610" s="109" t="n"/>
      <c r="M610" s="110" t="inlineStr">
        <is>
          <t>DA CHIUDERE</t>
        </is>
      </c>
      <c r="N610" s="109" t="n"/>
      <c r="O610" s="109" t="n"/>
      <c r="P610" s="109" t="n"/>
      <c r="Q610" s="109" t="n"/>
      <c r="R610" s="151" t="n">
        <v>45632</v>
      </c>
      <c r="S610" s="110" t="n"/>
      <c r="T610" s="109" t="inlineStr"/>
      <c r="U610" s="109" t="inlineStr"/>
    </row>
    <row r="611">
      <c r="A611" s="109" t="n"/>
      <c r="B611" s="108" t="inlineStr">
        <is>
          <t>X</t>
        </is>
      </c>
      <c r="C611" s="109" t="inlineStr"/>
      <c r="D611" s="109" t="inlineStr">
        <is>
          <t>AREA 3</t>
        </is>
      </c>
      <c r="E611" s="109" t="inlineStr">
        <is>
          <t>517011/C</t>
        </is>
      </c>
      <c r="F611" s="109" t="inlineStr">
        <is>
          <t>2200</t>
        </is>
      </c>
      <c r="G611" s="109" t="inlineStr">
        <is>
          <t xml:space="preserve"> 2200 MTZ FERMO POMPA P105 controllo start stop</t>
        </is>
      </c>
      <c r="H611" s="109" t="n"/>
      <c r="I611" s="109" t="n"/>
      <c r="J611" s="109" t="n"/>
      <c r="K611" s="109" t="n"/>
      <c r="L611" s="109" t="n"/>
      <c r="M611" s="110" t="inlineStr">
        <is>
          <t>DA CHIUDERE</t>
        </is>
      </c>
      <c r="N611" s="110" t="n"/>
      <c r="O611" s="110" t="n"/>
      <c r="P611" s="110" t="n"/>
      <c r="Q611" s="110" t="n"/>
      <c r="R611" s="151" t="n">
        <v>45623</v>
      </c>
      <c r="S611" s="110" t="inlineStr">
        <is>
          <t>TARASCIO</t>
        </is>
      </c>
      <c r="T611" s="109" t="inlineStr"/>
      <c r="U611" s="147" t="inlineStr"/>
    </row>
    <row r="612" ht="30" customHeight="1" s="122">
      <c r="A612" s="109" t="n"/>
      <c r="B612" s="109" t="inlineStr">
        <is>
          <t>X</t>
        </is>
      </c>
      <c r="C612" s="109" t="inlineStr"/>
      <c r="D612" s="109" t="inlineStr">
        <is>
          <t>AREA 3</t>
        </is>
      </c>
      <c r="E612" s="109" t="inlineStr">
        <is>
          <t>518734/C</t>
        </is>
      </c>
      <c r="F612" s="109" t="inlineStr">
        <is>
          <t>2400</t>
        </is>
      </c>
      <c r="G612" s="109" t="inlineStr">
        <is>
          <t xml:space="preserve"> 2400 - L606CV ELIMINAZIONE PERDITA CIRCUITO PNEUMATICO E PROVE FUNZIONALI CON SALA CONTROLLO</t>
        </is>
      </c>
      <c r="H612" s="109" t="n"/>
      <c r="I612" s="109" t="n"/>
      <c r="J612" s="109" t="n"/>
      <c r="K612" s="109" t="n"/>
      <c r="L612" s="109" t="n"/>
      <c r="M612" s="109" t="inlineStr">
        <is>
          <t>DA CHIUDERE</t>
        </is>
      </c>
      <c r="N612" s="109" t="n"/>
      <c r="O612" s="109" t="n"/>
      <c r="P612" s="109" t="n"/>
      <c r="Q612" s="109" t="inlineStr">
        <is>
          <t>SI CONTINUA L'ATTIVITA' CON NUOVO PERMESSO: 519473/C PER LA REVISIONE IN OFFICINA.</t>
        </is>
      </c>
      <c r="R612" s="151" t="n">
        <v>45635</v>
      </c>
      <c r="S612" s="109" t="inlineStr">
        <is>
          <t>SPINALI</t>
        </is>
      </c>
      <c r="T612" s="109" t="inlineStr"/>
      <c r="U612" s="147" t="inlineStr"/>
    </row>
    <row r="613" ht="30" customHeight="1" s="122">
      <c r="A613" s="109" t="n"/>
      <c r="B613" s="108" t="inlineStr">
        <is>
          <t>X</t>
        </is>
      </c>
      <c r="C613" s="109" t="inlineStr"/>
      <c r="D613" s="109" t="inlineStr">
        <is>
          <t>AREA 3</t>
        </is>
      </c>
      <c r="E613" s="109" t="inlineStr">
        <is>
          <t>517744/C</t>
        </is>
      </c>
      <c r="F613" s="109" t="inlineStr">
        <is>
          <t>700</t>
        </is>
      </c>
      <c r="G613" s="109" t="inlineStr">
        <is>
          <t xml:space="preserve"> 700: ripristino PCV211 la pneumatica on off rimane aperta/chiusa</t>
        </is>
      </c>
      <c r="H613" s="109" t="n"/>
      <c r="I613" s="109" t="n"/>
      <c r="J613" s="109" t="n"/>
      <c r="K613" s="109" t="n"/>
      <c r="L613" s="109" t="n"/>
      <c r="M613" s="110" t="inlineStr">
        <is>
          <t>DA CHIUDERE</t>
        </is>
      </c>
      <c r="N613" s="110" t="n"/>
      <c r="O613" s="110" t="n"/>
      <c r="P613" s="110" t="n"/>
      <c r="Q613" s="110" t="inlineStr">
        <is>
          <t>NON ARRIVA TENSIONE ALL'ELETTROVALVOLA. SOSTITUITA ELETTROVALVOLA E STAFFATA.</t>
        </is>
      </c>
      <c r="R613" s="151" t="n">
        <v>45635</v>
      </c>
      <c r="S613" s="110" t="inlineStr">
        <is>
          <t>RICIPUTO</t>
        </is>
      </c>
      <c r="T613" s="109" t="inlineStr"/>
      <c r="U613" s="147" t="inlineStr"/>
    </row>
    <row r="614" ht="30" customHeight="1" s="122">
      <c r="A614" s="109" t="n"/>
      <c r="B614" s="109" t="inlineStr">
        <is>
          <t>X</t>
        </is>
      </c>
      <c r="C614" s="109" t="inlineStr"/>
      <c r="D614" s="109" t="inlineStr">
        <is>
          <t>AREA 3</t>
        </is>
      </c>
      <c r="E614" s="109" t="inlineStr">
        <is>
          <t>517951/C</t>
        </is>
      </c>
      <c r="F614" s="109" t="inlineStr">
        <is>
          <t>1100</t>
        </is>
      </c>
      <c r="G614" s="109" t="inlineStr">
        <is>
          <t xml:space="preserve"> 1100 P008DI CONTROLLO FUNZIONALE</t>
        </is>
      </c>
      <c r="H614" s="109" t="n"/>
      <c r="I614" s="109" t="n"/>
      <c r="J614" s="109" t="n"/>
      <c r="K614" s="109" t="n"/>
      <c r="L614" s="109" t="n"/>
      <c r="M614" s="109" t="inlineStr">
        <is>
          <t>DA CHIUDERE</t>
        </is>
      </c>
      <c r="N614" s="109" t="n"/>
      <c r="O614" s="109" t="n"/>
      <c r="P614" s="109" t="n"/>
      <c r="Q614" s="109" t="inlineStr">
        <is>
          <t>POSITIVA TAPPATA, QUINDI STASATA CON ESITO POSITIVO.</t>
        </is>
      </c>
      <c r="R614" s="151" t="n">
        <v>45635</v>
      </c>
      <c r="S614" s="109" t="inlineStr">
        <is>
          <t>TARASCIO/PARTESANO</t>
        </is>
      </c>
      <c r="T614" s="109" t="inlineStr"/>
      <c r="U614" s="109" t="inlineStr"/>
    </row>
    <row r="615">
      <c r="A615" s="109" t="n"/>
      <c r="B615" s="108" t="inlineStr">
        <is>
          <t>X</t>
        </is>
      </c>
      <c r="C615" s="109" t="inlineStr"/>
      <c r="D615" s="109" t="inlineStr">
        <is>
          <t>AREA 3</t>
        </is>
      </c>
      <c r="E615" s="109" t="inlineStr">
        <is>
          <t>519128/C</t>
        </is>
      </c>
      <c r="F615" s="109" t="inlineStr">
        <is>
          <t>2200</t>
        </is>
      </c>
      <c r="G615" s="109" t="inlineStr">
        <is>
          <t xml:space="preserve"> 2200 D101A - L522R CONTROLLO LIVELLO RIMANE A FONDO SCALA</t>
        </is>
      </c>
      <c r="H615" s="109" t="n"/>
      <c r="I615" s="109" t="n"/>
      <c r="J615" s="109" t="n"/>
      <c r="K615" s="109" t="n"/>
      <c r="L615" s="109" t="n"/>
      <c r="M615" s="110" t="inlineStr">
        <is>
          <t>DA CHIUDERE</t>
        </is>
      </c>
      <c r="N615" s="110" t="n"/>
      <c r="O615" s="110" t="n"/>
      <c r="P615" s="110" t="n"/>
      <c r="Q615" s="110" t="n"/>
      <c r="R615" s="151" t="n">
        <v>45631</v>
      </c>
      <c r="S615" s="110" t="n"/>
      <c r="T615" s="109" t="inlineStr"/>
      <c r="U615" s="147" t="inlineStr"/>
    </row>
    <row r="616">
      <c r="A616" s="109" t="n"/>
      <c r="B616" s="108" t="inlineStr">
        <is>
          <t>X</t>
        </is>
      </c>
      <c r="C616" s="109" t="inlineStr"/>
      <c r="D616" s="109" t="inlineStr">
        <is>
          <t>AREA 3</t>
        </is>
      </c>
      <c r="E616" s="109" t="inlineStr">
        <is>
          <t>519123/C</t>
        </is>
      </c>
      <c r="F616" s="109" t="inlineStr">
        <is>
          <t>2200</t>
        </is>
      </c>
      <c r="G616" s="109" t="inlineStr">
        <is>
          <t xml:space="preserve"> 2200 D101A - L518R CONTROLLO INTERVENTO CUT-OFF</t>
        </is>
      </c>
      <c r="H616" s="109" t="n"/>
      <c r="I616" s="109" t="n"/>
      <c r="J616" s="109" t="n"/>
      <c r="K616" s="109" t="n"/>
      <c r="L616" s="109" t="n"/>
      <c r="M616" s="110" t="inlineStr">
        <is>
          <t>DA CHIUDERE</t>
        </is>
      </c>
      <c r="N616" s="110" t="n"/>
      <c r="O616" s="110" t="n"/>
      <c r="P616" s="110" t="n"/>
      <c r="Q616" s="110" t="n"/>
      <c r="R616" s="151" t="n">
        <v>45631</v>
      </c>
      <c r="S616" s="110" t="n"/>
      <c r="T616" s="109" t="inlineStr"/>
      <c r="U616" s="147" t="inlineStr"/>
    </row>
    <row r="617" ht="30" customHeight="1" s="122">
      <c r="A617" s="109" t="n"/>
      <c r="B617" s="108" t="inlineStr">
        <is>
          <t>X</t>
        </is>
      </c>
      <c r="C617" s="109" t="inlineStr"/>
      <c r="D617" s="109" t="inlineStr">
        <is>
          <t>AREA 3</t>
        </is>
      </c>
      <c r="E617" s="109" t="inlineStr">
        <is>
          <t>516584/C</t>
        </is>
      </c>
      <c r="F617" s="109" t="inlineStr">
        <is>
          <t>1200/1</t>
        </is>
      </c>
      <c r="G617" s="109" t="inlineStr">
        <is>
          <t xml:space="preserve"> CONTROLLI STRUMENTALI PER AVVIAMENTO LINEA -F301RC-F303RC-F305RC-F307RC-F304RC-F306RC-F302RC</t>
        </is>
      </c>
      <c r="H617" s="109" t="n"/>
      <c r="I617" s="109" t="n"/>
      <c r="J617" s="109" t="n"/>
      <c r="K617" s="109" t="n"/>
      <c r="L617" s="109" t="n"/>
      <c r="M617" s="110" t="inlineStr">
        <is>
          <t>DA CHIUDERE</t>
        </is>
      </c>
      <c r="N617" s="110" t="n"/>
      <c r="O617" s="110" t="n"/>
      <c r="P617" s="110" t="n"/>
      <c r="Q617" s="110" t="inlineStr">
        <is>
          <t>FATTO CONDENSINO CAVALLI SU F306RC</t>
        </is>
      </c>
      <c r="R617" s="151" t="n">
        <v>45628</v>
      </c>
      <c r="S617" s="110" t="inlineStr">
        <is>
          <t>CAVAGNACCHI</t>
        </is>
      </c>
      <c r="T617" s="109" t="inlineStr"/>
      <c r="U617" s="147" t="inlineStr"/>
    </row>
    <row r="618" ht="30" customHeight="1" s="122">
      <c r="A618" s="109" t="n"/>
      <c r="B618" s="108" t="inlineStr">
        <is>
          <t>X</t>
        </is>
      </c>
      <c r="C618" s="109" t="inlineStr"/>
      <c r="D618" s="109" t="inlineStr">
        <is>
          <t>AREA 3</t>
        </is>
      </c>
      <c r="E618" s="109" t="inlineStr">
        <is>
          <t>517895/C</t>
        </is>
      </c>
      <c r="F618" s="109" t="inlineStr">
        <is>
          <t>1800</t>
        </is>
      </c>
      <c r="G618" s="109" t="inlineStr">
        <is>
          <t xml:space="preserve"> 1800-D111 L042R CONTROLLO E RIPRISTINO FUNZIONALITA (TRIPLICE MISURA)</t>
        </is>
      </c>
      <c r="H618" s="109" t="n"/>
      <c r="I618" s="109" t="n"/>
      <c r="J618" s="109" t="n"/>
      <c r="K618" s="109" t="n"/>
      <c r="L618" s="109" t="n"/>
      <c r="M618" s="110" t="inlineStr">
        <is>
          <t>DA CHIUDERE</t>
        </is>
      </c>
      <c r="N618" s="110" t="n"/>
      <c r="O618" s="110" t="n"/>
      <c r="P618" s="110" t="n"/>
      <c r="Q618" s="110" t="inlineStr">
        <is>
          <t>SOSTITUITO LIVELLO, OK</t>
        </is>
      </c>
      <c r="R618" s="151" t="n">
        <v>45624</v>
      </c>
      <c r="S618" s="110" t="inlineStr">
        <is>
          <t>TARASCIO/PARTESANO</t>
        </is>
      </c>
      <c r="T618" s="109" t="inlineStr"/>
      <c r="U618" s="147" t="inlineStr"/>
    </row>
    <row r="619" ht="60" customHeight="1" s="122">
      <c r="A619" s="109" t="n"/>
      <c r="B619" s="109" t="inlineStr">
        <is>
          <t>X</t>
        </is>
      </c>
      <c r="C619" s="109" t="inlineStr"/>
      <c r="D619" s="109" t="inlineStr">
        <is>
          <t>AREA 3</t>
        </is>
      </c>
      <c r="E619" s="109" t="inlineStr">
        <is>
          <t>516587/C</t>
        </is>
      </c>
      <c r="F619" s="109" t="inlineStr">
        <is>
          <t>1200/1</t>
        </is>
      </c>
      <c r="G619" s="109" t="inlineStr">
        <is>
          <t xml:space="preserve"> CONTROLLI STRUMENTALI PER AVVIAMENTO LINEA -T401B-T402A-T402B</t>
        </is>
      </c>
      <c r="H619" s="109" t="n"/>
      <c r="I619" s="109" t="n"/>
      <c r="J619" s="109" t="n"/>
      <c r="K619" s="109" t="n"/>
      <c r="L619" s="109" t="n"/>
      <c r="M619" s="109" t="inlineStr">
        <is>
          <t>DA CHIUDERE</t>
        </is>
      </c>
      <c r="N619" s="109" t="n"/>
      <c r="O619" s="109" t="n"/>
      <c r="P619" s="109" t="n"/>
      <c r="Q619" s="109" t="inlineStr">
        <is>
          <t>ESEGUITO CONTROLLO STRUMENTAZIONE.</t>
        </is>
      </c>
      <c r="R619" s="151" t="n">
        <v>45614</v>
      </c>
      <c r="S619" s="109" t="inlineStr">
        <is>
          <t>TARASCIO/PARTESANO
MILLO/ALLEGRETTI</t>
        </is>
      </c>
      <c r="T619" s="109" t="inlineStr"/>
      <c r="U619" s="109" t="inlineStr"/>
    </row>
    <row r="620">
      <c r="A620" s="109" t="n"/>
      <c r="B620" s="109" t="inlineStr">
        <is>
          <t>X</t>
        </is>
      </c>
      <c r="C620" s="109" t="inlineStr"/>
      <c r="D620" s="109" t="inlineStr">
        <is>
          <t>AREA 3</t>
        </is>
      </c>
      <c r="E620" s="109" t="inlineStr">
        <is>
          <t>518163/C</t>
        </is>
      </c>
      <c r="F620" s="109" t="inlineStr">
        <is>
          <t>1200M</t>
        </is>
      </c>
      <c r="G620" s="109" t="inlineStr">
        <is>
          <t xml:space="preserve"> 1200M-Necessita il solo ripristino del sistema di flussaggio off-site PSVcon azoto</t>
        </is>
      </c>
      <c r="H620" s="109" t="n"/>
      <c r="I620" s="109" t="n"/>
      <c r="J620" s="109" t="n"/>
      <c r="K620" s="109" t="n"/>
      <c r="L620" s="109" t="n"/>
      <c r="M620" s="109" t="inlineStr">
        <is>
          <t>DA CHIUDERE</t>
        </is>
      </c>
      <c r="N620" s="109" t="n"/>
      <c r="O620" s="109" t="n"/>
      <c r="P620" s="109" t="n"/>
      <c r="Q620" s="109" t="n"/>
      <c r="R620" s="151" t="n">
        <v>45623</v>
      </c>
      <c r="S620" s="109" t="n"/>
      <c r="T620" s="109" t="inlineStr"/>
      <c r="U620" s="109" t="inlineStr"/>
    </row>
    <row r="621">
      <c r="A621" s="109" t="n"/>
      <c r="B621" s="109" t="inlineStr">
        <is>
          <t>X</t>
        </is>
      </c>
      <c r="C621" s="109" t="inlineStr"/>
      <c r="D621" s="109" t="inlineStr">
        <is>
          <t>AREA 3</t>
        </is>
      </c>
      <c r="E621" s="109" t="inlineStr">
        <is>
          <t>517640/C</t>
        </is>
      </c>
      <c r="F621" s="109" t="inlineStr">
        <is>
          <t>1200/0</t>
        </is>
      </c>
      <c r="G621" s="109" t="inlineStr">
        <is>
          <t xml:space="preserve"> 10211741 1200/0: VERIFICA FUNZIONAM Z0A960BIC           </t>
        </is>
      </c>
      <c r="H621" s="109" t="n"/>
      <c r="I621" s="109" t="n"/>
      <c r="J621" s="109" t="n"/>
      <c r="K621" s="109" t="n"/>
      <c r="L621" s="109" t="n"/>
      <c r="M621" s="109" t="inlineStr">
        <is>
          <t>DA CHIUDERE</t>
        </is>
      </c>
      <c r="N621" s="109" t="n"/>
      <c r="O621" s="109" t="n"/>
      <c r="P621" s="109" t="n"/>
      <c r="Q621" s="109" t="inlineStr">
        <is>
          <t>CONTROLLATI DA STEA, ANNULLATA RICHIESTA INTERVENTO COEMI</t>
        </is>
      </c>
      <c r="R621" s="151" t="n">
        <v>45617</v>
      </c>
      <c r="S621" s="109" t="n"/>
      <c r="T621" s="109" t="inlineStr"/>
      <c r="U621" s="109" t="inlineStr">
        <is>
          <t xml:space="preserve"> 1021174</t>
        </is>
      </c>
    </row>
    <row r="622">
      <c r="A622" s="109" t="n"/>
      <c r="B622" s="108" t="inlineStr">
        <is>
          <t>X</t>
        </is>
      </c>
      <c r="C622" s="109" t="inlineStr"/>
      <c r="D622" s="109" t="inlineStr">
        <is>
          <t>AREA 3</t>
        </is>
      </c>
      <c r="E622" s="109" t="inlineStr">
        <is>
          <t>517641/C</t>
        </is>
      </c>
      <c r="F622" s="109" t="inlineStr">
        <is>
          <t>1200/0</t>
        </is>
      </c>
      <c r="G622" s="109" t="inlineStr">
        <is>
          <t xml:space="preserve"> 1200/0: VERIFICA FUNZIONAM Z0A960AIC      </t>
        </is>
      </c>
      <c r="H622" s="109" t="n"/>
      <c r="I622" s="109" t="n"/>
      <c r="J622" s="109" t="n"/>
      <c r="K622" s="109" t="n"/>
      <c r="L622" s="109" t="n"/>
      <c r="M622" s="110" t="inlineStr">
        <is>
          <t>DA CHIUDERE</t>
        </is>
      </c>
      <c r="N622" s="110" t="n"/>
      <c r="O622" s="110" t="n"/>
      <c r="P622" s="110" t="n"/>
      <c r="Q622" s="110" t="inlineStr">
        <is>
          <t>CONTROLLATI DA STEA, ANNULLATA RICHIESTA INTERVENTO COEMI</t>
        </is>
      </c>
      <c r="R622" s="151" t="n">
        <v>45617</v>
      </c>
      <c r="S622" s="110" t="n"/>
      <c r="T622" s="109" t="inlineStr"/>
      <c r="U622" s="147" t="inlineStr"/>
    </row>
    <row r="623" ht="30" customHeight="1" s="122">
      <c r="A623" s="109" t="n"/>
      <c r="B623" s="108" t="inlineStr">
        <is>
          <t>X</t>
        </is>
      </c>
      <c r="C623" s="109" t="inlineStr"/>
      <c r="D623" s="109" t="inlineStr">
        <is>
          <t>AREA 3</t>
        </is>
      </c>
      <c r="E623" s="109" t="inlineStr">
        <is>
          <t>516583/C</t>
        </is>
      </c>
      <c r="F623" s="109" t="inlineStr">
        <is>
          <t>1200/1</t>
        </is>
      </c>
      <c r="G623" s="109" t="inlineStr">
        <is>
          <t xml:space="preserve"> CONTROLLI STRUMENTALI PER AVVIAMENTO LINEA Z1L301HA -Z1L301SH -Z1301LA -Z1L303HA -Z1L303SH -Z1L303LA</t>
        </is>
      </c>
      <c r="H623" s="109" t="n"/>
      <c r="I623" s="109" t="n"/>
      <c r="J623" s="109" t="n"/>
      <c r="K623" s="109" t="n"/>
      <c r="L623" s="109" t="n"/>
      <c r="M623" s="110" t="inlineStr">
        <is>
          <t>DA CHIUDERE</t>
        </is>
      </c>
      <c r="N623" s="110" t="n"/>
      <c r="O623" s="110" t="n"/>
      <c r="P623" s="110" t="n"/>
      <c r="Q623" s="110" t="inlineStr">
        <is>
          <t>ALLINEAMENTO SEGNALI CON SALA CONTROLLO</t>
        </is>
      </c>
      <c r="R623" s="151" t="n">
        <v>45610</v>
      </c>
      <c r="S623" s="110" t="inlineStr">
        <is>
          <t>TARASCIO/PARTESANO</t>
        </is>
      </c>
      <c r="T623" s="109" t="inlineStr"/>
      <c r="U623" s="147" t="inlineStr"/>
    </row>
    <row r="624" ht="60" customHeight="1" s="122">
      <c r="A624" s="109" t="n"/>
      <c r="B624" s="108" t="inlineStr">
        <is>
          <t>X</t>
        </is>
      </c>
      <c r="C624" s="109" t="inlineStr"/>
      <c r="D624" s="109" t="inlineStr">
        <is>
          <t>AREA 3</t>
        </is>
      </c>
      <c r="E624" s="109" t="inlineStr">
        <is>
          <t>516391/C</t>
        </is>
      </c>
      <c r="F624" s="109" t="inlineStr">
        <is>
          <t>1200/M</t>
        </is>
      </c>
      <c r="G624" s="109" t="inlineStr">
        <is>
          <t xml:space="preserve"> VERIFICA ZMP801DI  </t>
        </is>
      </c>
      <c r="H624" s="109" t="n"/>
      <c r="I624" s="109" t="n"/>
      <c r="J624" s="109" t="n"/>
      <c r="K624" s="109" t="n"/>
      <c r="L624" s="109" t="n"/>
      <c r="M624" s="110" t="inlineStr">
        <is>
          <t>DA CHIUDERE</t>
        </is>
      </c>
      <c r="N624" s="110" t="n"/>
      <c r="O624" s="110" t="n"/>
      <c r="P624" s="110" t="n"/>
      <c r="Q624" s="110" t="inlineStr">
        <is>
          <t>CAPILLARE SPROVVISTO DI DP_RING.
PRESA POSITIVA TAPPATA.
PROVATA STASATURA CON ESITO NEGATIVO. SI NECESSITA INTERVENTO DA PARTE DI PONTEROSSO.</t>
        </is>
      </c>
      <c r="R624" s="151" t="n">
        <v>45615</v>
      </c>
      <c r="S624" s="110" t="inlineStr">
        <is>
          <t>TARASCIO/PARTESANO</t>
        </is>
      </c>
      <c r="T624" s="109" t="inlineStr"/>
      <c r="U624" s="147" t="inlineStr"/>
    </row>
    <row r="625" ht="30" customHeight="1" s="122">
      <c r="A625" s="109" t="n"/>
      <c r="B625" s="108" t="inlineStr">
        <is>
          <t>X</t>
        </is>
      </c>
      <c r="C625" s="109" t="inlineStr"/>
      <c r="D625" s="109" t="inlineStr">
        <is>
          <t>AREA 3</t>
        </is>
      </c>
      <c r="E625" s="109" t="inlineStr">
        <is>
          <t>517466/C</t>
        </is>
      </c>
      <c r="F625" s="109" t="inlineStr">
        <is>
          <t>700</t>
        </is>
      </c>
      <c r="G625" s="109" t="inlineStr">
        <is>
          <t xml:space="preserve"> 07T1_2AI   CASSA COMPRESSORE controllo e ripristino</t>
        </is>
      </c>
      <c r="H625" s="109" t="n"/>
      <c r="I625" s="109" t="n"/>
      <c r="J625" s="109" t="n"/>
      <c r="K625" s="109" t="n"/>
      <c r="L625" s="109" t="n"/>
      <c r="M625" s="110" t="inlineStr">
        <is>
          <t>DA CHIUDERE</t>
        </is>
      </c>
      <c r="N625" s="110" t="n"/>
      <c r="O625" s="110" t="n"/>
      <c r="P625" s="110" t="n"/>
      <c r="Q625" s="110" t="inlineStr">
        <is>
          <t>MULTICAVO DA JB A BARRIERA APERTO.</t>
        </is>
      </c>
      <c r="R625" s="151" t="n">
        <v>45617</v>
      </c>
      <c r="S625" s="110" t="inlineStr">
        <is>
          <t>TARASCIO/PARTESANO</t>
        </is>
      </c>
      <c r="T625" s="109" t="inlineStr"/>
      <c r="U625" s="147" t="inlineStr"/>
    </row>
    <row r="626" ht="30" customHeight="1" s="122">
      <c r="A626" s="109" t="n"/>
      <c r="B626" s="108" t="inlineStr">
        <is>
          <t>X</t>
        </is>
      </c>
      <c r="C626" s="109" t="inlineStr"/>
      <c r="D626" s="109" t="inlineStr">
        <is>
          <t>AREA 3</t>
        </is>
      </c>
      <c r="E626" s="109" t="inlineStr">
        <is>
          <t>511628/C</t>
        </is>
      </c>
      <c r="F626" s="109" t="inlineStr">
        <is>
          <t>700</t>
        </is>
      </c>
      <c r="G626" s="109" t="inlineStr">
        <is>
          <t xml:space="preserve">  10208986  07T119I.PV Ripristino funzionalit misuratore di temperatura</t>
        </is>
      </c>
      <c r="H626" s="109" t="n"/>
      <c r="I626" s="109" t="n"/>
      <c r="J626" s="109" t="n"/>
      <c r="K626" s="109" t="n"/>
      <c r="L626" s="109" t="n"/>
      <c r="M626" s="110" t="inlineStr">
        <is>
          <t>DA CHIUDERE</t>
        </is>
      </c>
      <c r="N626" s="110" t="n"/>
      <c r="O626" s="110" t="n"/>
      <c r="P626" s="110" t="n"/>
      <c r="Q626" s="110" t="inlineStr">
        <is>
          <t>SOSTITUITO TERMOELEMENTO, OK</t>
        </is>
      </c>
      <c r="R626" s="151" t="n">
        <v>45617</v>
      </c>
      <c r="S626" s="110" t="inlineStr">
        <is>
          <t>TARASCIO/PARTESANO</t>
        </is>
      </c>
      <c r="T626" s="109" t="inlineStr"/>
      <c r="U626" s="147" t="inlineStr">
        <is>
          <t xml:space="preserve">  102089</t>
        </is>
      </c>
    </row>
    <row r="627" ht="30" customHeight="1" s="122">
      <c r="A627" s="109" t="n"/>
      <c r="B627" s="108" t="inlineStr">
        <is>
          <t>X</t>
        </is>
      </c>
      <c r="C627" s="109" t="inlineStr"/>
      <c r="D627" s="109" t="inlineStr">
        <is>
          <t>AREA 3</t>
        </is>
      </c>
      <c r="E627" s="109" t="inlineStr">
        <is>
          <t>514368/C</t>
        </is>
      </c>
      <c r="F627" s="109" t="inlineStr">
        <is>
          <t>700</t>
        </is>
      </c>
      <c r="G627" s="109" t="inlineStr">
        <is>
          <t xml:space="preserve"> 700 Ripristino termocoppia 07T040I uscita fondo D102 </t>
        </is>
      </c>
      <c r="H627" s="109" t="n"/>
      <c r="I627" s="109" t="n"/>
      <c r="J627" s="109" t="n"/>
      <c r="K627" s="109" t="n"/>
      <c r="L627" s="109" t="n"/>
      <c r="M627" s="110" t="inlineStr">
        <is>
          <t>DA CHIUDERE</t>
        </is>
      </c>
      <c r="N627" s="110" t="n"/>
      <c r="O627" s="110" t="n"/>
      <c r="P627" s="110" t="n"/>
      <c r="Q627" s="110" t="inlineStr">
        <is>
          <t>ESEGUITO SERRAGGIO FILI IN CAMPO.</t>
        </is>
      </c>
      <c r="R627" s="151" t="n">
        <v>45617</v>
      </c>
      <c r="S627" s="110" t="inlineStr">
        <is>
          <t>TARASCIO/PARTESANO</t>
        </is>
      </c>
      <c r="T627" s="109" t="inlineStr"/>
      <c r="U627" s="147" t="inlineStr"/>
    </row>
    <row r="628" ht="45" customHeight="1" s="122">
      <c r="A628" s="109" t="n"/>
      <c r="B628" s="108" t="inlineStr">
        <is>
          <t>X</t>
        </is>
      </c>
      <c r="C628" s="109" t="inlineStr"/>
      <c r="D628" s="109" t="inlineStr">
        <is>
          <t>AREA 3</t>
        </is>
      </c>
      <c r="E628" s="109" t="inlineStr">
        <is>
          <t>516697/C</t>
        </is>
      </c>
      <c r="F628" s="109" t="inlineStr">
        <is>
          <t>1100</t>
        </is>
      </c>
      <c r="G628" s="109" t="inlineStr">
        <is>
          <t xml:space="preserve"> 1100/D105 (11L013R), controllo e ripristino</t>
        </is>
      </c>
      <c r="H628" s="109" t="n"/>
      <c r="I628" s="109" t="n"/>
      <c r="J628" s="109" t="n"/>
      <c r="K628" s="109" t="n"/>
      <c r="L628" s="109" t="n"/>
      <c r="M628" s="110" t="inlineStr">
        <is>
          <t>DA CHIUDERE</t>
        </is>
      </c>
      <c r="N628" s="110" t="n"/>
      <c r="O628" s="110" t="n"/>
      <c r="P628" s="110" t="n"/>
      <c r="Q628" s="110" t="inlineStr">
        <is>
          <t>CONTROLLO FUNZIONE LIVELLO, NESSUNA ANOMALIA. CONTROLLATA VALVOLA (NON SI MUOVE). SOSTITUITO IPCONVERTER E FILTRO RIDUTTORE. ALLINEATA CON S.C.</t>
        </is>
      </c>
      <c r="R628" s="151" t="n">
        <v>45617</v>
      </c>
      <c r="S628" s="110" t="inlineStr">
        <is>
          <t>MILLO/ALLEGRETTI</t>
        </is>
      </c>
      <c r="T628" s="109" t="inlineStr"/>
      <c r="U628" s="147" t="inlineStr"/>
    </row>
    <row r="629" ht="30" customHeight="1" s="122">
      <c r="A629" s="109" t="n"/>
      <c r="B629" s="108" t="inlineStr">
        <is>
          <t>X</t>
        </is>
      </c>
      <c r="C629" s="109" t="inlineStr"/>
      <c r="D629" s="109" t="inlineStr">
        <is>
          <t>AREA 3</t>
        </is>
      </c>
      <c r="E629" s="109" t="inlineStr">
        <is>
          <t>515411/C</t>
        </is>
      </c>
      <c r="F629" s="109" t="inlineStr">
        <is>
          <t>800</t>
        </is>
      </c>
      <c r="G629" s="109" t="inlineStr">
        <is>
          <t xml:space="preserve"> 800 FR158   TARATURA MISURATORE VAPORE HS</t>
        </is>
      </c>
      <c r="H629" s="109" t="n"/>
      <c r="I629" s="109" t="n"/>
      <c r="J629" s="109" t="n"/>
      <c r="K629" s="109" t="n"/>
      <c r="L629" s="109" t="n"/>
      <c r="M629" s="110" t="inlineStr">
        <is>
          <t>DA CHIUDERE</t>
        </is>
      </c>
      <c r="N629" s="110" t="n"/>
      <c r="O629" s="110" t="n"/>
      <c r="P629" s="110" t="n"/>
      <c r="Q629" s="110" t="inlineStr">
        <is>
          <t>CONTROLLATI F158RA E F158BR, NESSUNA ANOMALIA</t>
        </is>
      </c>
      <c r="R629" s="151" t="n">
        <v>45614</v>
      </c>
      <c r="S629" s="110" t="inlineStr">
        <is>
          <t>SPINALI/ALLEGRETTI</t>
        </is>
      </c>
      <c r="T629" s="109" t="inlineStr"/>
      <c r="U629" s="147" t="inlineStr"/>
    </row>
    <row r="630" ht="30" customHeight="1" s="122">
      <c r="A630" s="109" t="n"/>
      <c r="B630" s="108" t="inlineStr">
        <is>
          <t>X</t>
        </is>
      </c>
      <c r="C630" s="109" t="inlineStr"/>
      <c r="D630" s="109" t="inlineStr">
        <is>
          <t>AREA 3</t>
        </is>
      </c>
      <c r="E630" s="109" t="inlineStr">
        <is>
          <t>516589/C</t>
        </is>
      </c>
      <c r="F630" s="109" t="inlineStr">
        <is>
          <t>1200/1</t>
        </is>
      </c>
      <c r="G630" s="109" t="inlineStr">
        <is>
          <t xml:space="preserve"> CONTROLLI STRUMENTALI PER AVVIAMENTO LINEA -T405CV CONTROLLO FUNZIONALITA ED ALLINEAMENTO CON SALA CONTROLLO</t>
        </is>
      </c>
      <c r="H630" s="109" t="n"/>
      <c r="I630" s="109" t="n"/>
      <c r="J630" s="109" t="n"/>
      <c r="K630" s="109" t="n"/>
      <c r="L630" s="109" t="n"/>
      <c r="M630" s="110" t="inlineStr">
        <is>
          <t>DA CHIUDERE</t>
        </is>
      </c>
      <c r="N630" s="110" t="n"/>
      <c r="O630" s="110" t="n"/>
      <c r="P630" s="110" t="n"/>
      <c r="Q630" s="110" t="inlineStr">
        <is>
          <t>NON VIENE RISCONTRATA ALCUNA ANOMALIA</t>
        </is>
      </c>
      <c r="R630" s="151" t="n">
        <v>45610</v>
      </c>
      <c r="S630" s="110" t="inlineStr">
        <is>
          <t>SAGGIO / GIGLIUTO</t>
        </is>
      </c>
      <c r="T630" s="109" t="inlineStr"/>
      <c r="U630" s="147" t="inlineStr"/>
    </row>
    <row r="631" ht="30" customHeight="1" s="122">
      <c r="A631" s="109" t="n"/>
      <c r="B631" s="108" t="inlineStr">
        <is>
          <t>X</t>
        </is>
      </c>
      <c r="C631" s="109" t="inlineStr"/>
      <c r="D631" s="109" t="inlineStr">
        <is>
          <t>AREA 3</t>
        </is>
      </c>
      <c r="E631" s="109" t="inlineStr">
        <is>
          <t>515365/C</t>
        </is>
      </c>
      <c r="F631" s="109" t="inlineStr">
        <is>
          <t>700</t>
        </is>
      </c>
      <c r="G631" s="109" t="inlineStr">
        <is>
          <t xml:space="preserve"> Controllo strumenti su compressore C102A dell'impianto monsanto</t>
        </is>
      </c>
      <c r="H631" s="109" t="n"/>
      <c r="I631" s="109" t="n"/>
      <c r="J631" s="109" t="n"/>
      <c r="K631" s="109" t="n"/>
      <c r="L631" s="109" t="n"/>
      <c r="M631" s="110" t="inlineStr">
        <is>
          <t>DA CHIUDERE</t>
        </is>
      </c>
      <c r="N631" s="110" t="n"/>
      <c r="O631" s="110" t="n"/>
      <c r="P631" s="110" t="n"/>
      <c r="Q631" s="110" t="inlineStr">
        <is>
          <t>ATTIVITA' DA CHIUDERE</t>
        </is>
      </c>
      <c r="R631" s="151" t="n">
        <v>45603</v>
      </c>
      <c r="S631" s="110" t="inlineStr">
        <is>
          <t>SPINALI/PUGLIARES</t>
        </is>
      </c>
      <c r="T631" s="109" t="inlineStr"/>
      <c r="U631" s="147" t="inlineStr"/>
    </row>
    <row r="632" ht="30" customHeight="1" s="122">
      <c r="A632" s="109" t="n"/>
      <c r="B632" s="109" t="inlineStr">
        <is>
          <t>X</t>
        </is>
      </c>
      <c r="C632" s="109" t="inlineStr"/>
      <c r="D632" s="109" t="inlineStr">
        <is>
          <t>AREA 3</t>
        </is>
      </c>
      <c r="E632" s="109" t="inlineStr">
        <is>
          <t>515054/C</t>
        </is>
      </c>
      <c r="F632" s="109" t="inlineStr">
        <is>
          <t>1800</t>
        </is>
      </c>
      <c r="G632" s="109" t="inlineStr">
        <is>
          <t xml:space="preserve"> P102B scoll/ricoll strum. supporto cuscinetti</t>
        </is>
      </c>
      <c r="H632" s="109" t="n"/>
      <c r="I632" s="109" t="n"/>
      <c r="J632" s="109" t="n"/>
      <c r="K632" s="109" t="n"/>
      <c r="L632" s="109" t="n"/>
      <c r="M632" s="109" t="inlineStr">
        <is>
          <t>DA CHIUDERE</t>
        </is>
      </c>
      <c r="N632" s="109" t="n"/>
      <c r="O632" s="109" t="n"/>
      <c r="P632" s="109" t="n"/>
      <c r="Q632" s="109" t="inlineStr">
        <is>
          <t>ATTIVITA' DA CHIUDERE</t>
        </is>
      </c>
      <c r="R632" s="151" t="n">
        <v>45600</v>
      </c>
      <c r="S632" s="109" t="inlineStr">
        <is>
          <t>MILLO/ALLEGRETTI</t>
        </is>
      </c>
      <c r="T632" s="109" t="inlineStr"/>
      <c r="U632" s="109" t="inlineStr"/>
    </row>
    <row r="633" ht="30" customHeight="1" s="122">
      <c r="A633" s="109" t="n"/>
      <c r="B633" s="109" t="inlineStr">
        <is>
          <t>X</t>
        </is>
      </c>
      <c r="C633" s="109" t="inlineStr"/>
      <c r="D633" s="109" t="inlineStr">
        <is>
          <t>AREA 3</t>
        </is>
      </c>
      <c r="E633" s="109" t="inlineStr">
        <is>
          <t>515577/C</t>
        </is>
      </c>
      <c r="F633" s="109" t="inlineStr">
        <is>
          <t>700</t>
        </is>
      </c>
      <c r="G633" s="109" t="inlineStr">
        <is>
          <t xml:space="preserve"> 07F186R Verifica funzionalità</t>
        </is>
      </c>
      <c r="H633" s="109" t="n"/>
      <c r="I633" s="109" t="n"/>
      <c r="J633" s="109" t="n"/>
      <c r="K633" s="109" t="n"/>
      <c r="L633" s="109" t="n"/>
      <c r="M633" s="109" t="inlineStr">
        <is>
          <t>DA CHIUDERE</t>
        </is>
      </c>
      <c r="N633" s="109" t="n"/>
      <c r="O633" s="109" t="n"/>
      <c r="P633" s="109" t="n"/>
      <c r="Q633" s="109" t="inlineStr">
        <is>
          <t>TARATO, ED ALLINEATO, OK.</t>
        </is>
      </c>
      <c r="R633" s="151" t="n">
        <v>45600</v>
      </c>
      <c r="S633" s="109" t="inlineStr">
        <is>
          <t>MILLO/ALLEGRETTI</t>
        </is>
      </c>
      <c r="T633" s="109" t="inlineStr"/>
      <c r="U633" s="109" t="inlineStr"/>
    </row>
    <row r="634" ht="15" customHeight="1" s="122">
      <c r="A634" s="109" t="n"/>
      <c r="B634" s="109" t="inlineStr">
        <is>
          <t>X</t>
        </is>
      </c>
      <c r="C634" s="109" t="inlineStr"/>
      <c r="D634" s="109" t="inlineStr">
        <is>
          <t>AREA 3</t>
        </is>
      </c>
      <c r="E634" s="109" t="inlineStr">
        <is>
          <t>515563/C</t>
        </is>
      </c>
      <c r="F634" s="109" t="inlineStr">
        <is>
          <t>700</t>
        </is>
      </c>
      <c r="G634" s="109" t="inlineStr">
        <is>
          <t xml:space="preserve"> RIPR.GRUPPO MANOM. P102A</t>
        </is>
      </c>
      <c r="H634" s="109" t="n"/>
      <c r="I634" s="109" t="n"/>
      <c r="J634" s="109" t="n"/>
      <c r="K634" s="109" t="n"/>
      <c r="L634" s="109" t="n"/>
      <c r="M634" s="109" t="inlineStr">
        <is>
          <t>DA CHIUDERE</t>
        </is>
      </c>
      <c r="N634" s="109" t="n"/>
      <c r="O634" s="109" t="n"/>
      <c r="P634" s="109" t="n"/>
      <c r="Q634" s="109" t="inlineStr">
        <is>
          <t>RIFACIMENTO GRUPPO MANIFOLD, MONTATO MANOMETRO 25 BAR.</t>
        </is>
      </c>
      <c r="R634" s="151" t="n">
        <v>45598</v>
      </c>
      <c r="S634" s="109" t="inlineStr">
        <is>
          <t>TARASCIO B.</t>
        </is>
      </c>
      <c r="T634" s="109" t="inlineStr"/>
      <c r="U634" s="109" t="inlineStr"/>
    </row>
    <row r="635" ht="30" customHeight="1" s="122">
      <c r="A635" s="109" t="n"/>
      <c r="B635" s="108" t="inlineStr">
        <is>
          <t>X</t>
        </is>
      </c>
      <c r="C635" s="109" t="inlineStr"/>
      <c r="D635" s="109" t="inlineStr">
        <is>
          <t>AREA 3</t>
        </is>
      </c>
      <c r="E635" s="109" t="inlineStr">
        <is>
          <t>514367/C</t>
        </is>
      </c>
      <c r="F635" s="109" t="inlineStr">
        <is>
          <t>700</t>
        </is>
      </c>
      <c r="G635" s="109" t="inlineStr">
        <is>
          <t xml:space="preserve"> PCV202 la pneumatica on off rimane aperta/chiusa</t>
        </is>
      </c>
      <c r="H635" s="109" t="n"/>
      <c r="I635" s="109" t="n"/>
      <c r="J635" s="109" t="n"/>
      <c r="K635" s="109" t="n"/>
      <c r="L635" s="109" t="n"/>
      <c r="M635" s="110" t="inlineStr">
        <is>
          <t>DA CHIUDERE</t>
        </is>
      </c>
      <c r="N635" s="110" t="n"/>
      <c r="O635" s="110" t="n"/>
      <c r="P635" s="110" t="n"/>
      <c r="Q635" s="110" t="inlineStr">
        <is>
          <t>NESSUNA ANOMALIA</t>
        </is>
      </c>
      <c r="R635" s="151" t="n">
        <v>45593</v>
      </c>
      <c r="S635" s="110" t="inlineStr">
        <is>
          <t>GARRO L./GARRO S.</t>
        </is>
      </c>
      <c r="T635" s="109" t="inlineStr"/>
      <c r="U635" s="147" t="inlineStr"/>
    </row>
    <row r="636" ht="30" customHeight="1" s="122">
      <c r="A636" s="109" t="n"/>
      <c r="B636" s="108" t="inlineStr">
        <is>
          <t>X</t>
        </is>
      </c>
      <c r="C636" s="109" t="inlineStr"/>
      <c r="D636" s="109" t="inlineStr">
        <is>
          <t>AREA 3</t>
        </is>
      </c>
      <c r="E636" s="109" t="inlineStr">
        <is>
          <t>514731/C</t>
        </is>
      </c>
      <c r="F636" s="109" t="inlineStr">
        <is>
          <t>1400</t>
        </is>
      </c>
      <c r="G636" s="109" t="inlineStr">
        <is>
          <t xml:space="preserve"> 1400 T016I CONTROLLO E RIPRISTINO</t>
        </is>
      </c>
      <c r="H636" s="109" t="n"/>
      <c r="I636" s="109" t="n"/>
      <c r="J636" s="109" t="n"/>
      <c r="K636" s="109" t="n"/>
      <c r="L636" s="109" t="n"/>
      <c r="M636" s="110" t="inlineStr">
        <is>
          <t>DA CHIUDERE</t>
        </is>
      </c>
      <c r="N636" s="110" t="n"/>
      <c r="O636" s="110" t="n"/>
      <c r="P636" s="110" t="n"/>
      <c r="Q636" s="110" t="inlineStr">
        <is>
          <t>RIFACIMENTO TESTINA E RIPRISTINATA TEMPERATURA</t>
        </is>
      </c>
      <c r="R636" s="151" t="n">
        <v>45600</v>
      </c>
      <c r="S636" s="110" t="inlineStr">
        <is>
          <t>TARASCIO/PARTESANO</t>
        </is>
      </c>
      <c r="T636" s="109" t="inlineStr"/>
      <c r="U636" s="147" t="inlineStr"/>
    </row>
    <row r="637" ht="30" customHeight="1" s="122">
      <c r="A637" s="109" t="n"/>
      <c r="B637" s="109" t="inlineStr">
        <is>
          <t>X</t>
        </is>
      </c>
      <c r="C637" s="109" t="inlineStr"/>
      <c r="D637" s="109" t="inlineStr">
        <is>
          <t>AREA 3</t>
        </is>
      </c>
      <c r="E637" s="109" t="inlineStr">
        <is>
          <t>514372/C</t>
        </is>
      </c>
      <c r="F637" s="109" t="inlineStr">
        <is>
          <t>1800</t>
        </is>
      </c>
      <c r="G637" s="109" t="inlineStr">
        <is>
          <t xml:space="preserve"> 18T005I ripristino vapore MS in ingresso 1800/E102</t>
        </is>
      </c>
      <c r="H637" s="109" t="n"/>
      <c r="I637" s="109" t="n"/>
      <c r="J637" s="109" t="n"/>
      <c r="K637" s="109" t="n"/>
      <c r="L637" s="109" t="n"/>
      <c r="M637" s="109" t="inlineStr">
        <is>
          <t>DA CHIUDERE</t>
        </is>
      </c>
      <c r="N637" s="109" t="n"/>
      <c r="O637" s="109" t="n"/>
      <c r="P637" s="109" t="n"/>
      <c r="Q637" s="109" t="inlineStr">
        <is>
          <t>CAVO SPEZZATO, RIFATTA TESTINA, OK</t>
        </is>
      </c>
      <c r="R637" s="151" t="n">
        <v>45600</v>
      </c>
      <c r="S637" s="109" t="inlineStr">
        <is>
          <t>TARASCIO/PARTESANO</t>
        </is>
      </c>
      <c r="T637" s="109" t="inlineStr"/>
      <c r="U637" s="109" t="inlineStr"/>
    </row>
    <row r="638" ht="30" customHeight="1" s="122">
      <c r="A638" s="109" t="n"/>
      <c r="B638" s="109" t="inlineStr">
        <is>
          <t>X</t>
        </is>
      </c>
      <c r="C638" s="109" t="inlineStr"/>
      <c r="D638" s="109" t="inlineStr">
        <is>
          <t>AREA 3</t>
        </is>
      </c>
      <c r="E638" s="109" t="inlineStr">
        <is>
          <t>515582/C</t>
        </is>
      </c>
      <c r="F638" s="109" t="inlineStr">
        <is>
          <t>1100</t>
        </is>
      </c>
      <c r="G638" s="109" t="inlineStr">
        <is>
          <t xml:space="preserve"> MTZ 11FCV001 (MDEA A T101B)</t>
        </is>
      </c>
      <c r="H638" s="109" t="n"/>
      <c r="I638" s="109" t="n"/>
      <c r="J638" s="109" t="n"/>
      <c r="K638" s="109" t="n"/>
      <c r="L638" s="109" t="n"/>
      <c r="M638" s="109" t="inlineStr">
        <is>
          <t>DA CHIUDERE</t>
        </is>
      </c>
      <c r="N638" s="109" t="n"/>
      <c r="O638" s="109" t="n"/>
      <c r="P638" s="109" t="n"/>
      <c r="Q638" s="109" t="inlineStr">
        <is>
          <t>VALVOLA STRUMENTALMENTE OK, TUTTA CHIUSA NON FA TENUTA. SI CONSIGLIA LA REVISIONE.</t>
        </is>
      </c>
      <c r="R638" s="151" t="n">
        <v>45601</v>
      </c>
      <c r="S638" s="109" t="inlineStr">
        <is>
          <t>MILLO/ALLEGRETTI</t>
        </is>
      </c>
      <c r="T638" s="109" t="inlineStr"/>
      <c r="U638" s="109" t="inlineStr"/>
    </row>
    <row r="639" ht="30" customHeight="1" s="122">
      <c r="A639" s="109" t="n"/>
      <c r="B639" s="108" t="inlineStr">
        <is>
          <t>X</t>
        </is>
      </c>
      <c r="C639" s="109" t="inlineStr"/>
      <c r="D639" s="109" t="inlineStr">
        <is>
          <t>AREA 3</t>
        </is>
      </c>
      <c r="E639" s="109" t="inlineStr">
        <is>
          <t>515564/C</t>
        </is>
      </c>
      <c r="F639" s="109" t="inlineStr">
        <is>
          <t>1200/M</t>
        </is>
      </c>
      <c r="G639" s="109" t="inlineStr">
        <is>
          <t xml:space="preserve"> KV805 SMONTAGGIO - RIMONTAGGIO SERVOMOTORE</t>
        </is>
      </c>
      <c r="H639" s="109" t="n"/>
      <c r="I639" s="109" t="n"/>
      <c r="J639" s="109" t="n"/>
      <c r="K639" s="109" t="n"/>
      <c r="L639" s="109" t="n"/>
      <c r="M639" s="110" t="inlineStr">
        <is>
          <t>DA CHIUDERE</t>
        </is>
      </c>
      <c r="N639" s="110" t="n"/>
      <c r="O639" s="110" t="n"/>
      <c r="P639" s="110" t="n"/>
      <c r="Q639" s="110" t="inlineStr">
        <is>
          <t>ATTIVITA' DA CHIUDERE</t>
        </is>
      </c>
      <c r="R639" s="151" t="n">
        <v>45598</v>
      </c>
      <c r="S639" s="110" t="inlineStr">
        <is>
          <t>GARRO L./GARRO S.</t>
        </is>
      </c>
      <c r="T639" s="109" t="inlineStr"/>
      <c r="U639" s="147" t="inlineStr"/>
    </row>
    <row r="640">
      <c r="A640" s="109" t="n"/>
      <c r="B640" s="108" t="inlineStr">
        <is>
          <t>X</t>
        </is>
      </c>
      <c r="C640" s="109" t="inlineStr"/>
      <c r="D640" s="109" t="inlineStr">
        <is>
          <t>AREA 3</t>
        </is>
      </c>
      <c r="E640" s="109" t="inlineStr">
        <is>
          <t>531045/C</t>
        </is>
      </c>
      <c r="F640" s="109" t="inlineStr">
        <is>
          <t>700A</t>
        </is>
      </c>
      <c r="G640" s="109" t="inlineStr">
        <is>
          <t xml:space="preserve"> 700A - 07F216R.PV: portata riflusso del piatto 19 della T201</t>
        </is>
      </c>
      <c r="H640" s="109" t="n"/>
      <c r="I640" s="109" t="n"/>
      <c r="J640" s="109" t="n"/>
      <c r="K640" s="109" t="n"/>
      <c r="L640" s="109" t="n"/>
      <c r="M640" s="110" t="inlineStr">
        <is>
          <t>DA CHIUDERE</t>
        </is>
      </c>
      <c r="N640" s="110" t="n"/>
      <c r="O640" s="110" t="n"/>
      <c r="P640" s="110" t="n"/>
      <c r="Q640" s="110" t="inlineStr">
        <is>
          <t>SOSTITUITO STRUMENTO CON RIPRISTINO DELLA FUNZIONALITA'</t>
        </is>
      </c>
      <c r="R640" s="151" t="n">
        <v>45743</v>
      </c>
      <c r="S640" s="110" t="inlineStr">
        <is>
          <t>SPINALI</t>
        </is>
      </c>
      <c r="T640" s="109" t="inlineStr"/>
      <c r="U640" s="147" t="inlineStr"/>
    </row>
    <row r="641" ht="60" customHeight="1" s="122">
      <c r="A641" s="109" t="n"/>
      <c r="B641" s="108" t="inlineStr">
        <is>
          <t>X</t>
        </is>
      </c>
      <c r="C641" s="109" t="inlineStr"/>
      <c r="D641" s="109" t="inlineStr">
        <is>
          <t>AREA 3</t>
        </is>
      </c>
      <c r="E641" s="109" t="inlineStr">
        <is>
          <t>533551/C</t>
        </is>
      </c>
      <c r="F641" s="109" t="inlineStr">
        <is>
          <t>1200/M</t>
        </is>
      </c>
      <c r="G641" s="109" t="inlineStr">
        <is>
          <t xml:space="preserve"> 10222217 1200/M - ZMF705R  ripristino funzionale</t>
        </is>
      </c>
      <c r="H641" s="109" t="n"/>
      <c r="I641" s="109" t="n"/>
      <c r="J641" s="109" t="n"/>
      <c r="K641" s="109" t="n"/>
      <c r="L641" s="109" t="n"/>
      <c r="M641" s="110" t="inlineStr">
        <is>
          <t>DA CHIUDERE</t>
        </is>
      </c>
      <c r="N641" s="110" t="n"/>
      <c r="O641" s="110" t="n"/>
      <c r="P641" s="110" t="n"/>
      <c r="Q641" s="110" t="inlineStr">
        <is>
          <t>EFFETTUATO ALLINEAMENTO CAMPO/SALA CONTROLLO, CAUSA VALVOLE DI  INTERCETTO STRUMENTO INUTILIZZABILI. NECESSITA PONTEGGIO PER CHIUSURA VALVOLE DI RADICE. D'ACCORDO CON TCL CALDARELLA VERRA' FATTO TUTTO NUOVO.</t>
        </is>
      </c>
      <c r="R641" s="151" t="n">
        <v>45784</v>
      </c>
      <c r="S641" s="110" t="inlineStr">
        <is>
          <t>TARASCIO/PARTESANO</t>
        </is>
      </c>
      <c r="T641" s="109" t="inlineStr"/>
      <c r="U641" s="147" t="inlineStr">
        <is>
          <t xml:space="preserve"> 1022221</t>
        </is>
      </c>
    </row>
    <row r="642">
      <c r="A642" s="109" t="n"/>
      <c r="B642" s="109" t="inlineStr">
        <is>
          <t>X</t>
        </is>
      </c>
      <c r="C642" s="109" t="inlineStr"/>
      <c r="D642" s="109" t="inlineStr">
        <is>
          <t>AREA 3</t>
        </is>
      </c>
      <c r="E642" s="109" t="inlineStr">
        <is>
          <t>536118/C</t>
        </is>
      </c>
      <c r="F642" s="109" t="inlineStr">
        <is>
          <t>700A</t>
        </is>
      </c>
      <c r="G642" s="109" t="inlineStr">
        <is>
          <t xml:space="preserve"> 700A REVISIONE JB TH-6 SOLO SEGNALI DI TEMPERATURA GIA VERIFICATI</t>
        </is>
      </c>
      <c r="H642" s="109" t="n"/>
      <c r="I642" s="109" t="n"/>
      <c r="J642" s="109" t="n"/>
      <c r="K642" s="109" t="n"/>
      <c r="L642" s="109" t="n"/>
      <c r="M642" s="109" t="inlineStr">
        <is>
          <t>DA CHIUDERE</t>
        </is>
      </c>
      <c r="N642" s="109" t="n"/>
      <c r="O642" s="109" t="n"/>
      <c r="P642" s="109" t="n"/>
      <c r="Q642" s="109" t="n"/>
      <c r="R642" s="151" t="n"/>
      <c r="S642" s="109" t="n"/>
      <c r="T642" s="109" t="inlineStr"/>
      <c r="U642" s="109" t="inlineStr"/>
    </row>
    <row r="643" ht="30" customHeight="1" s="122">
      <c r="A643" s="109" t="n"/>
      <c r="B643" s="109" t="inlineStr">
        <is>
          <t>X</t>
        </is>
      </c>
      <c r="C643" s="109" t="inlineStr"/>
      <c r="D643" s="109" t="inlineStr">
        <is>
          <t>AREA 3</t>
        </is>
      </c>
      <c r="E643" s="109" t="inlineStr">
        <is>
          <t>529829/C</t>
        </is>
      </c>
      <c r="F643" s="109" t="inlineStr">
        <is>
          <t>1100</t>
        </is>
      </c>
      <c r="G643" s="109" t="inlineStr">
        <is>
          <t xml:space="preserve"> 10218011 1100 - controllo funzionale ed eventuale smontaggio/rimontaggio per revisione LCV020. valvola</t>
        </is>
      </c>
      <c r="H643" s="109" t="n"/>
      <c r="I643" s="109" t="n"/>
      <c r="J643" s="109" t="n"/>
      <c r="K643" s="109" t="n"/>
      <c r="L643" s="109" t="n"/>
      <c r="M643" s="110" t="inlineStr">
        <is>
          <t>DA CHIUDERE</t>
        </is>
      </c>
      <c r="N643" s="110" t="n"/>
      <c r="O643" s="110" t="n"/>
      <c r="P643" s="110" t="n"/>
      <c r="Q643" s="110" t="inlineStr">
        <is>
          <t>RIMONTATA VALVOLA IN CAMPO</t>
        </is>
      </c>
      <c r="R643" s="151" t="n">
        <v>45775</v>
      </c>
      <c r="S643" s="110" t="inlineStr">
        <is>
          <t>GIGLIUTO/OGNISANTI</t>
        </is>
      </c>
      <c r="T643" s="109" t="inlineStr"/>
      <c r="U643" s="147" t="inlineStr">
        <is>
          <t xml:space="preserve"> 1021801</t>
        </is>
      </c>
    </row>
    <row r="644" ht="45" customHeight="1" s="122">
      <c r="A644" s="109" t="n"/>
      <c r="B644" s="108" t="inlineStr">
        <is>
          <t>X</t>
        </is>
      </c>
      <c r="C644" s="109" t="inlineStr"/>
      <c r="D644" s="109" t="inlineStr">
        <is>
          <t>AREA 3</t>
        </is>
      </c>
      <c r="E644" s="109" t="inlineStr">
        <is>
          <t>535898/C</t>
        </is>
      </c>
      <c r="F644" s="109" t="inlineStr">
        <is>
          <t>1800</t>
        </is>
      </c>
      <c r="G644" s="109" t="inlineStr">
        <is>
          <t>10218265 1800 - Misuratore di portata di vapore allE102 dellU1800, 18F003BI (il misuratore in questione riporta un valore di portata diverso rispetto al misuratore 18F003RC).  Quindi verifichiamo entrambi i trasmettitori</t>
        </is>
      </c>
      <c r="H644" s="109" t="n"/>
      <c r="I644" s="109" t="n"/>
      <c r="J644" s="109" t="n"/>
      <c r="K644" s="109" t="n"/>
      <c r="L644" s="109" t="n"/>
      <c r="M644" s="110" t="inlineStr">
        <is>
          <t>DA CHIUDERE</t>
        </is>
      </c>
      <c r="N644" s="110" t="n"/>
      <c r="O644" s="110" t="n"/>
      <c r="P644" s="110" t="n"/>
      <c r="Q644" s="110" t="inlineStr">
        <is>
          <t>ESEGUITA CORREZIONE DI ZERO</t>
        </is>
      </c>
      <c r="R644" s="151" t="n">
        <v>45791</v>
      </c>
      <c r="S644" s="110" t="inlineStr">
        <is>
          <t>MILLO</t>
        </is>
      </c>
      <c r="T644" s="109" t="inlineStr"/>
      <c r="U644" s="147" t="inlineStr">
        <is>
          <t>10218265</t>
        </is>
      </c>
    </row>
    <row r="645">
      <c r="A645" s="109" t="n"/>
      <c r="B645" s="108" t="inlineStr">
        <is>
          <t>X</t>
        </is>
      </c>
      <c r="C645" s="109" t="inlineStr"/>
      <c r="D645" s="109" t="inlineStr">
        <is>
          <t>AREA 3</t>
        </is>
      </c>
      <c r="E645" s="109" t="inlineStr">
        <is>
          <t>536150/C</t>
        </is>
      </c>
      <c r="F645" s="109" t="inlineStr">
        <is>
          <t>800</t>
        </is>
      </c>
      <c r="G645" s="109" t="inlineStr">
        <is>
          <t xml:space="preserve"> 800 - MC101B CONTROLLO RTD 08-T207/208/209/210/211</t>
        </is>
      </c>
      <c r="H645" s="109" t="n"/>
      <c r="I645" s="109" t="n"/>
      <c r="J645" s="109" t="n"/>
      <c r="K645" s="109" t="n"/>
      <c r="L645" s="109" t="n"/>
      <c r="M645" s="110" t="inlineStr">
        <is>
          <t>DA CHIUDERE</t>
        </is>
      </c>
      <c r="N645" s="110" t="n"/>
      <c r="O645" s="110" t="n"/>
      <c r="P645" s="110" t="n"/>
      <c r="Q645" s="110" t="inlineStr">
        <is>
          <t>TEMPERATURE RIPRISTINATE</t>
        </is>
      </c>
      <c r="R645" s="151" t="n">
        <v>45790</v>
      </c>
      <c r="S645" s="110" t="inlineStr">
        <is>
          <t>TARASCIO</t>
        </is>
      </c>
      <c r="T645" s="109" t="inlineStr"/>
      <c r="U645" s="147" t="inlineStr"/>
    </row>
    <row r="646">
      <c r="A646" s="109" t="n"/>
      <c r="B646" s="109" t="inlineStr">
        <is>
          <t>X</t>
        </is>
      </c>
      <c r="C646" s="109" t="inlineStr"/>
      <c r="D646" s="109" t="inlineStr">
        <is>
          <t>AREA 3</t>
        </is>
      </c>
      <c r="E646" s="109" t="inlineStr">
        <is>
          <t>536648/C</t>
        </is>
      </c>
      <c r="F646" s="109" t="inlineStr">
        <is>
          <t>700A</t>
        </is>
      </c>
      <c r="G646" s="109" t="inlineStr">
        <is>
          <t>10223752 700A - 07F219RC controllo e ripristino funzionalit</t>
        </is>
      </c>
      <c r="H646" s="109" t="n"/>
      <c r="I646" s="109" t="n"/>
      <c r="J646" s="109" t="n"/>
      <c r="K646" s="109" t="n"/>
      <c r="L646" s="109" t="n"/>
      <c r="M646" s="109" t="inlineStr">
        <is>
          <t>DA CHIUDERE</t>
        </is>
      </c>
      <c r="N646" s="109" t="n"/>
      <c r="O646" s="109" t="n"/>
      <c r="P646" s="109" t="n"/>
      <c r="Q646" s="109" t="inlineStr">
        <is>
          <t>ESEGUITA CORREZIONE DI ZERO</t>
        </is>
      </c>
      <c r="R646" s="151" t="n">
        <v>45791</v>
      </c>
      <c r="S646" s="109" t="inlineStr">
        <is>
          <t>MILLO</t>
        </is>
      </c>
      <c r="T646" s="109" t="inlineStr"/>
      <c r="U646" s="109" t="inlineStr">
        <is>
          <t>10223752</t>
        </is>
      </c>
    </row>
    <row r="647">
      <c r="A647" s="109" t="n"/>
      <c r="B647" s="108" t="inlineStr">
        <is>
          <t>X</t>
        </is>
      </c>
      <c r="C647" s="109" t="inlineStr"/>
      <c r="D647" s="109" t="inlineStr">
        <is>
          <t>AREA 3</t>
        </is>
      </c>
      <c r="E647" s="109" t="inlineStr">
        <is>
          <t>536646/C</t>
        </is>
      </c>
      <c r="F647" s="109" t="inlineStr">
        <is>
          <t>700A</t>
        </is>
      </c>
      <c r="G647" s="109" t="inlineStr">
        <is>
          <t>10223751 700A - 07F220AR controllo e ripristino funzionalit</t>
        </is>
      </c>
      <c r="H647" s="109" t="n"/>
      <c r="I647" s="109" t="n"/>
      <c r="J647" s="109" t="n"/>
      <c r="K647" s="109" t="n"/>
      <c r="L647" s="109" t="n"/>
      <c r="M647" s="110" t="inlineStr">
        <is>
          <t>DA CHIUDERE</t>
        </is>
      </c>
      <c r="N647" s="110" t="n"/>
      <c r="O647" s="110" t="n"/>
      <c r="P647" s="110" t="n"/>
      <c r="Q647" s="110" t="inlineStr">
        <is>
          <t>ESEGUITA CORREZIONE DI ZERO</t>
        </is>
      </c>
      <c r="R647" s="151" t="n">
        <v>45791</v>
      </c>
      <c r="S647" s="110" t="inlineStr">
        <is>
          <t>MILLO</t>
        </is>
      </c>
      <c r="T647" s="109" t="inlineStr"/>
      <c r="U647" s="147" t="inlineStr">
        <is>
          <t>10223751</t>
        </is>
      </c>
    </row>
    <row r="648">
      <c r="A648" s="109" t="n"/>
      <c r="B648" s="108" t="inlineStr">
        <is>
          <t>X</t>
        </is>
      </c>
      <c r="C648" s="109" t="inlineStr"/>
      <c r="D648" s="109" t="inlineStr">
        <is>
          <t>AREA 3</t>
        </is>
      </c>
      <c r="E648" s="109" t="inlineStr">
        <is>
          <t>536643/C</t>
        </is>
      </c>
      <c r="F648" s="109" t="inlineStr">
        <is>
          <t>700A</t>
        </is>
      </c>
      <c r="G648" s="109" t="inlineStr">
        <is>
          <t>10223749 700A - MTZ CONTROLLO LIVELLOSTATO BLOCCO T201-07L211SH</t>
        </is>
      </c>
      <c r="H648" s="109" t="n"/>
      <c r="I648" s="109" t="n"/>
      <c r="J648" s="109" t="n"/>
      <c r="K648" s="109" t="n"/>
      <c r="L648" s="109" t="n"/>
      <c r="M648" s="110" t="inlineStr">
        <is>
          <t>DA CHIUDERE</t>
        </is>
      </c>
      <c r="N648" s="110" t="n"/>
      <c r="O648" s="110" t="n"/>
      <c r="P648" s="110" t="n"/>
      <c r="Q648" s="110" t="inlineStr">
        <is>
          <t>ESEGUITA CORREZIONE DI ZERO</t>
        </is>
      </c>
      <c r="R648" s="151" t="n">
        <v>45791</v>
      </c>
      <c r="S648" s="110" t="inlineStr">
        <is>
          <t>MILLO</t>
        </is>
      </c>
      <c r="T648" s="109" t="inlineStr"/>
      <c r="U648" s="147" t="inlineStr">
        <is>
          <t>10223749</t>
        </is>
      </c>
    </row>
    <row r="649" ht="30" customHeight="1" s="122">
      <c r="A649" s="109" t="n"/>
      <c r="B649" s="108" t="inlineStr">
        <is>
          <t>X</t>
        </is>
      </c>
      <c r="C649" s="109" t="inlineStr"/>
      <c r="D649" s="109" t="inlineStr">
        <is>
          <t>AREA 3</t>
        </is>
      </c>
      <c r="E649" s="109" t="inlineStr">
        <is>
          <t>535524/C</t>
        </is>
      </c>
      <c r="F649" s="109" t="inlineStr">
        <is>
          <t>1200/3</t>
        </is>
      </c>
      <c r="G649" s="109" t="inlineStr">
        <is>
          <t xml:space="preserve"> 1200/3 - SCOLLEGAMENTO/RICOLLEGAMENTO  ELETTRICO LIVELLOSTATI PER REVISIONE E PROVE DI ALLINEAMENTO CON SALA CONTROLLO</t>
        </is>
      </c>
      <c r="H649" s="109" t="n"/>
      <c r="I649" s="109" t="n"/>
      <c r="J649" s="109" t="n"/>
      <c r="K649" s="109" t="n"/>
      <c r="L649" s="109" t="n"/>
      <c r="M649" s="110" t="inlineStr">
        <is>
          <t>DA CHIUDERE</t>
        </is>
      </c>
      <c r="N649" s="110" t="n"/>
      <c r="O649" s="110" t="n"/>
      <c r="P649" s="110" t="n"/>
      <c r="Q649" s="110" t="n"/>
      <c r="R649" s="151" t="n">
        <v>45785</v>
      </c>
      <c r="S649" s="110" t="inlineStr">
        <is>
          <t>MILLO</t>
        </is>
      </c>
      <c r="T649" s="109" t="inlineStr"/>
      <c r="U649" s="147" t="inlineStr"/>
    </row>
    <row r="650" ht="30" customHeight="1" s="122">
      <c r="A650" s="109" t="n"/>
      <c r="B650" s="109" t="inlineStr">
        <is>
          <t>X</t>
        </is>
      </c>
      <c r="C650" s="109" t="inlineStr"/>
      <c r="D650" s="109" t="inlineStr">
        <is>
          <t>AREA 3</t>
        </is>
      </c>
      <c r="E650" s="109" t="inlineStr">
        <is>
          <t>535517/C</t>
        </is>
      </c>
      <c r="F650" s="109" t="inlineStr">
        <is>
          <t>1200/3</t>
        </is>
      </c>
      <c r="G650" s="109" t="inlineStr">
        <is>
          <t xml:space="preserve"> 1200/3 - NUOVA ISTALLAZIONE TRASMETTITORI DI LIVELLO SU D101/102 E PROVE FUNZIONALI CON ALLINEAMENTO IN SALA CONTROLLO</t>
        </is>
      </c>
      <c r="H650" s="109" t="n"/>
      <c r="I650" s="109" t="n"/>
      <c r="J650" s="109" t="n"/>
      <c r="K650" s="109" t="n"/>
      <c r="L650" s="109" t="n"/>
      <c r="M650" s="109" t="inlineStr">
        <is>
          <t>DA CHIUDERE</t>
        </is>
      </c>
      <c r="N650" s="109" t="n"/>
      <c r="O650" s="109" t="n"/>
      <c r="P650" s="109" t="n"/>
      <c r="Q650" s="109" t="n"/>
      <c r="R650" s="151" t="n">
        <v>45785</v>
      </c>
      <c r="S650" s="109" t="inlineStr">
        <is>
          <t>MILLO</t>
        </is>
      </c>
      <c r="T650" s="109" t="inlineStr"/>
      <c r="U650" s="109" t="inlineStr"/>
    </row>
    <row r="651" ht="45" customHeight="1" s="122">
      <c r="A651" s="109" t="n"/>
      <c r="B651" s="108" t="inlineStr">
        <is>
          <t>X</t>
        </is>
      </c>
      <c r="C651" s="109" t="inlineStr"/>
      <c r="D651" s="109" t="inlineStr">
        <is>
          <t>AREA 3</t>
        </is>
      </c>
      <c r="E651" s="109" t="inlineStr">
        <is>
          <t>529962/C</t>
        </is>
      </c>
      <c r="F651" s="109" t="inlineStr">
        <is>
          <t>1200/3</t>
        </is>
      </c>
      <c r="G651" s="109" t="inlineStr">
        <is>
          <t xml:space="preserve"> 1200/3 - ripristino  batteria quadro locale, compresa sostituzione  pulsante di emergenza, apertura cassette per sostituzione lampade e pulizia, ripristino passerelle e fascettatura cavi con Piastre metalliche, e rifacimento tettoia della stessa.  </t>
        </is>
      </c>
      <c r="H651" s="109" t="n"/>
      <c r="I651" s="109" t="n"/>
      <c r="J651" s="109" t="n"/>
      <c r="K651" s="109" t="n"/>
      <c r="L651" s="109" t="n"/>
      <c r="M651" s="110" t="inlineStr">
        <is>
          <t>DA CHIUDERE</t>
        </is>
      </c>
      <c r="N651" s="110" t="n"/>
      <c r="O651" s="110" t="n"/>
      <c r="P651" s="110" t="n"/>
      <c r="Q651" s="110" t="inlineStr">
        <is>
          <t>PITTURATA INTERA STRUTTURA, APERTE CASSETTE PER SOSTITUZIONE LAMPADE E PORTALAMPADE GUASTE</t>
        </is>
      </c>
      <c r="R651" s="151" t="n">
        <v>45762</v>
      </c>
      <c r="S651" s="110" t="inlineStr">
        <is>
          <t>GUARINO/CAVAGNACCHI</t>
        </is>
      </c>
      <c r="T651" s="109" t="inlineStr"/>
      <c r="U651" s="147" t="inlineStr"/>
    </row>
    <row r="652">
      <c r="A652" s="109" t="n"/>
      <c r="B652" s="108" t="inlineStr">
        <is>
          <t>X</t>
        </is>
      </c>
      <c r="C652" s="109" t="inlineStr"/>
      <c r="D652" s="109" t="inlineStr">
        <is>
          <t>AREA 3</t>
        </is>
      </c>
      <c r="E652" s="109" t="inlineStr">
        <is>
          <t>536846/C</t>
        </is>
      </c>
      <c r="F652" s="109" t="inlineStr">
        <is>
          <t>1200/1</t>
        </is>
      </c>
      <c r="G652" s="109" t="inlineStr">
        <is>
          <t xml:space="preserve"> 1200/1 - costruzione e montaggio tettoie per riparo JB A1-E5-B2</t>
        </is>
      </c>
      <c r="H652" s="109" t="n"/>
      <c r="I652" s="109" t="n"/>
      <c r="J652" s="109" t="n"/>
      <c r="K652" s="109" t="n"/>
      <c r="L652" s="109" t="n"/>
      <c r="M652" s="110" t="inlineStr">
        <is>
          <t>DA CHIUDERE</t>
        </is>
      </c>
      <c r="N652" s="110" t="n"/>
      <c r="O652" s="110" t="n"/>
      <c r="P652" s="110" t="n"/>
      <c r="Q652" s="110" t="inlineStr">
        <is>
          <t>ESEGUITO RIMONTAGGIO IN CAMPO.</t>
        </is>
      </c>
      <c r="R652" s="151" t="n">
        <v>45798</v>
      </c>
      <c r="S652" s="110" t="inlineStr">
        <is>
          <t>CAVAGNACCHI</t>
        </is>
      </c>
      <c r="T652" s="109" t="inlineStr"/>
      <c r="U652" s="147" t="inlineStr"/>
    </row>
    <row r="653" ht="30" customHeight="1" s="122">
      <c r="A653" s="109" t="n"/>
      <c r="B653" s="108" t="n">
        <v>1</v>
      </c>
      <c r="C653" s="109" t="inlineStr"/>
      <c r="D653" s="109" t="inlineStr">
        <is>
          <t>AREA 3</t>
        </is>
      </c>
      <c r="E653" s="109" t="inlineStr">
        <is>
          <t>533090/C</t>
        </is>
      </c>
      <c r="F653" s="109" t="inlineStr">
        <is>
          <t>700A</t>
        </is>
      </c>
      <c r="G653" s="109" t="inlineStr">
        <is>
          <t>10221653 700A - MTZ P202RC controllo funzionale</t>
        </is>
      </c>
      <c r="H653" s="109" t="n"/>
      <c r="I653" s="109" t="n"/>
      <c r="J653" s="109" t="n"/>
      <c r="K653" s="109" t="n"/>
      <c r="L653" s="109" t="n"/>
      <c r="M653" s="110" t="inlineStr">
        <is>
          <t>DA CHIUDERE</t>
        </is>
      </c>
      <c r="N653" s="110" t="n"/>
      <c r="O653" s="110" t="n"/>
      <c r="P653" s="110" t="n"/>
      <c r="Q653" s="110" t="inlineStr">
        <is>
          <t xml:space="preserve">NESSUNA ANOMALIA. SI RISCONTRAVA LINEA INTERCETTATA DURANTE IL CONTROLLO </t>
        </is>
      </c>
      <c r="R653" s="151" t="n">
        <v>45800</v>
      </c>
      <c r="S653" s="110" t="inlineStr">
        <is>
          <t>RICIPUTO A. / SERRA G.</t>
        </is>
      </c>
      <c r="T653" s="109" t="inlineStr"/>
      <c r="U653" s="147" t="inlineStr">
        <is>
          <t>10221653</t>
        </is>
      </c>
    </row>
    <row r="654" ht="30" customHeight="1" s="122">
      <c r="A654" s="109" t="n"/>
      <c r="B654" s="108" t="n">
        <v>4</v>
      </c>
      <c r="C654" s="109" t="inlineStr"/>
      <c r="D654" s="109" t="inlineStr">
        <is>
          <t>AREA 3</t>
        </is>
      </c>
      <c r="E654" s="109" t="inlineStr">
        <is>
          <t>536796/C</t>
        </is>
      </c>
      <c r="F654" s="109" t="inlineStr">
        <is>
          <t>1200/1</t>
        </is>
      </c>
      <c r="G654" s="109" t="inlineStr">
        <is>
          <t xml:space="preserve"> 1200/1-F101 assistenza strumentale</t>
        </is>
      </c>
      <c r="H654" s="109" t="n"/>
      <c r="I654" s="109" t="n"/>
      <c r="J654" s="109" t="n"/>
      <c r="K654" s="109" t="n"/>
      <c r="L654" s="109" t="n"/>
      <c r="M654" s="110" t="inlineStr">
        <is>
          <t>DA CHIUDERE</t>
        </is>
      </c>
      <c r="N654" s="110" t="n"/>
      <c r="O654" s="110" t="n"/>
      <c r="P654" s="110" t="n"/>
      <c r="Q654" s="110" t="inlineStr">
        <is>
          <t>ASSISTENZA STRUMENTALE A F101</t>
        </is>
      </c>
      <c r="R654" s="151" t="n">
        <v>45792</v>
      </c>
      <c r="S654" s="110" t="inlineStr">
        <is>
          <t>MILLO/TARASCIO</t>
        </is>
      </c>
      <c r="T654" s="109" t="inlineStr"/>
      <c r="U654" s="147" t="inlineStr"/>
    </row>
    <row r="655">
      <c r="A655" s="109" t="n"/>
      <c r="B655" s="109" t="n">
        <v>1</v>
      </c>
      <c r="C655" s="109" t="inlineStr"/>
      <c r="D655" s="109" t="inlineStr">
        <is>
          <t>AREA 3</t>
        </is>
      </c>
      <c r="E655" s="109" t="inlineStr">
        <is>
          <t>535903/C</t>
        </is>
      </c>
      <c r="F655" s="109" t="inlineStr">
        <is>
          <t>1200/3</t>
        </is>
      </c>
      <c r="G655" s="109" t="inlineStr">
        <is>
          <t xml:space="preserve"> 1200/3 - controllo funzionale in campo delle valvole pneumatiche della linea 3</t>
        </is>
      </c>
      <c r="H655" s="109" t="n"/>
      <c r="I655" s="109" t="n"/>
      <c r="J655" s="109" t="n"/>
      <c r="K655" s="109" t="n"/>
      <c r="L655" s="109" t="n"/>
      <c r="M655" s="110" t="inlineStr">
        <is>
          <t>DA CHIUDERE</t>
        </is>
      </c>
      <c r="N655" s="110" t="n"/>
      <c r="O655" s="110" t="n"/>
      <c r="P655" s="110" t="n"/>
      <c r="Q655" s="110" t="n"/>
      <c r="R655" s="151" t="n"/>
      <c r="S655" s="110" t="n"/>
      <c r="T655" s="109" t="inlineStr"/>
      <c r="U655" s="147" t="inlineStr"/>
    </row>
    <row r="656" ht="30" customHeight="1" s="122">
      <c r="A656" s="109" t="n"/>
      <c r="B656" s="108" t="n">
        <v>1</v>
      </c>
      <c r="C656" s="109" t="inlineStr"/>
      <c r="D656" s="109" t="inlineStr">
        <is>
          <t>AREA 3</t>
        </is>
      </c>
      <c r="E656" s="109" t="inlineStr">
        <is>
          <t>537268/C</t>
        </is>
      </c>
      <c r="F656" s="109" t="inlineStr">
        <is>
          <t>1200/3</t>
        </is>
      </c>
      <c r="G656" s="109" t="inlineStr">
        <is>
          <t xml:space="preserve"> 1200/3 - SMONTAGGIO/RIMONTAGGIO PILOTI F101/102 PER REVISIONE E VERIFICA FOTOCELLULE</t>
        </is>
      </c>
      <c r="H656" s="109" t="n"/>
      <c r="I656" s="109" t="n"/>
      <c r="J656" s="109" t="n"/>
      <c r="K656" s="109" t="n"/>
      <c r="L656" s="109" t="n"/>
      <c r="M656" s="110" t="inlineStr">
        <is>
          <t>DA CHIUDERE</t>
        </is>
      </c>
      <c r="N656" s="110" t="n"/>
      <c r="O656" s="110" t="n"/>
      <c r="P656" s="110" t="n"/>
      <c r="Q656" s="110" t="inlineStr">
        <is>
          <t>RIMONTATE TUTTE LE FOTOCELLULE E PILOTA F101. RIMANE PILOTA F102 E PIROMETRO SU F101</t>
        </is>
      </c>
      <c r="R656" s="151" t="n">
        <v>45797</v>
      </c>
      <c r="S656" s="110" t="inlineStr">
        <is>
          <t>TARASCIO</t>
        </is>
      </c>
      <c r="T656" s="109" t="inlineStr"/>
      <c r="U656" s="147" t="inlineStr"/>
    </row>
    <row r="657" ht="60" customHeight="1" s="122">
      <c r="A657" s="109" t="n"/>
      <c r="B657" s="109" t="inlineStr">
        <is>
          <t>X</t>
        </is>
      </c>
      <c r="C657" s="109" t="inlineStr"/>
      <c r="D657" s="109" t="inlineStr">
        <is>
          <t>AREA 3</t>
        </is>
      </c>
      <c r="E657" s="109" t="inlineStr">
        <is>
          <t>538357/C</t>
        </is>
      </c>
      <c r="F657" s="109" t="inlineStr">
        <is>
          <t>1200/2</t>
        </is>
      </c>
      <c r="G657" s="109" t="inlineStr">
        <is>
          <t xml:space="preserve"> 1200/2 - Z2F303RC controllo funzionale</t>
        </is>
      </c>
      <c r="H657" s="109" t="n"/>
      <c r="I657" s="109" t="n"/>
      <c r="J657" s="109" t="n"/>
      <c r="K657" s="109" t="n"/>
      <c r="L657" s="109" t="n"/>
      <c r="M657" s="109" t="inlineStr">
        <is>
          <t>DA CHIUDERE</t>
        </is>
      </c>
      <c r="N657" s="109" t="n"/>
      <c r="O657" s="109" t="n"/>
      <c r="P657" s="109" t="n"/>
      <c r="Q657" s="109" t="inlineStr">
        <is>
          <t>AZZERAMENTO TRASMETTITORE ED ALLINEAMENTO MISURA CON SALA CONTROLLO. N.B.: LA VALVOA , FCV 303 E' ARIA A., SENZA ARIA RIMANE BLOCCATA AL 25% DI APERTURA, NON VA' IN CHIUSURA. SI CONSIGLIA LA REVISIONE.</t>
        </is>
      </c>
      <c r="R657" s="151" t="n">
        <v>45804</v>
      </c>
      <c r="S657" s="109" t="inlineStr">
        <is>
          <t>TARASCIO/PARTESANO/OGNISANTI</t>
        </is>
      </c>
      <c r="T657" s="109" t="inlineStr"/>
      <c r="U657" s="109" t="inlineStr"/>
    </row>
    <row r="658" ht="30" customHeight="1" s="122">
      <c r="A658" s="109" t="n"/>
      <c r="B658" s="108" t="inlineStr">
        <is>
          <t>X</t>
        </is>
      </c>
      <c r="C658" s="109" t="inlineStr"/>
      <c r="D658" s="109" t="inlineStr">
        <is>
          <t>AREA 3</t>
        </is>
      </c>
      <c r="E658" s="109" t="inlineStr">
        <is>
          <t>538358/C</t>
        </is>
      </c>
      <c r="F658" s="109" t="inlineStr">
        <is>
          <t>1200/2</t>
        </is>
      </c>
      <c r="G658" s="109" t="inlineStr">
        <is>
          <t xml:space="preserve"> 1200/2 - Z2F304RC controllo funzionale</t>
        </is>
      </c>
      <c r="H658" s="109" t="n"/>
      <c r="I658" s="109" t="n"/>
      <c r="J658" s="109" t="n"/>
      <c r="K658" s="109" t="n"/>
      <c r="L658" s="109" t="n"/>
      <c r="M658" s="110" t="inlineStr">
        <is>
          <t>DA CHIUDERE</t>
        </is>
      </c>
      <c r="N658" s="110" t="n"/>
      <c r="O658" s="110" t="n"/>
      <c r="P658" s="110" t="n"/>
      <c r="Q658" s="110" t="inlineStr">
        <is>
          <t>AZZERAMENTO TRASMETTITORE ED ALLINEAMENTO MISURA CON SALA CONTROLLO</t>
        </is>
      </c>
      <c r="R658" s="151" t="n">
        <v>45804</v>
      </c>
      <c r="S658" s="110" t="inlineStr">
        <is>
          <t>TARASCIO/PARTESANO</t>
        </is>
      </c>
      <c r="T658" s="109" t="inlineStr"/>
      <c r="U658" s="147" t="inlineStr"/>
    </row>
    <row r="659" ht="30" customHeight="1" s="122">
      <c r="A659" s="109" t="n"/>
      <c r="B659" s="108" t="inlineStr">
        <is>
          <t>X</t>
        </is>
      </c>
      <c r="C659" s="109" t="inlineStr"/>
      <c r="D659" s="109" t="inlineStr">
        <is>
          <t>AREA 3</t>
        </is>
      </c>
      <c r="E659" s="109" t="inlineStr">
        <is>
          <t>537766/C</t>
        </is>
      </c>
      <c r="F659" s="109" t="inlineStr">
        <is>
          <t>700A</t>
        </is>
      </c>
      <c r="G659" s="109" t="inlineStr">
        <is>
          <t>10224188 700A - D202   controllo funzionale LIVELLI ACCUMULATORE</t>
        </is>
      </c>
      <c r="H659" s="109" t="n"/>
      <c r="I659" s="109" t="n"/>
      <c r="J659" s="109" t="n"/>
      <c r="K659" s="109" t="n"/>
      <c r="L659" s="109" t="n"/>
      <c r="M659" s="110" t="inlineStr">
        <is>
          <t>DA CHIUDERE</t>
        </is>
      </c>
      <c r="N659" s="110" t="n"/>
      <c r="O659" s="110" t="n"/>
      <c r="P659" s="110" t="n"/>
      <c r="Q659" s="110" t="inlineStr">
        <is>
          <t>LIVELLI CONTROLLATI, NULLA DA SEGNALARE.</t>
        </is>
      </c>
      <c r="R659" s="151" t="n">
        <v>45805</v>
      </c>
      <c r="S659" s="110" t="inlineStr">
        <is>
          <t>SPINALI/BAUDO</t>
        </is>
      </c>
      <c r="T659" s="109" t="inlineStr"/>
      <c r="U659" s="147" t="inlineStr">
        <is>
          <t>10224188</t>
        </is>
      </c>
    </row>
    <row r="660" ht="30" customHeight="1" s="122">
      <c r="A660" s="109" t="n"/>
      <c r="B660" s="109" t="n">
        <v>1</v>
      </c>
      <c r="C660" s="109" t="inlineStr"/>
      <c r="D660" s="109" t="inlineStr">
        <is>
          <t>AREA 3</t>
        </is>
      </c>
      <c r="E660" s="109" t="inlineStr">
        <is>
          <t>535881/C</t>
        </is>
      </c>
      <c r="F660" s="109" t="inlineStr">
        <is>
          <t>1200/M</t>
        </is>
      </c>
      <c r="G660" s="109" t="inlineStr">
        <is>
          <t xml:space="preserve"> 1200 - ZMF705R  - ZMF728I  RIFACIMENTO PRIMARI GRUPPO BY_PASS E SOSTITUZIONE STRUMENTI</t>
        </is>
      </c>
      <c r="H660" s="109" t="n"/>
      <c r="I660" s="109" t="n"/>
      <c r="J660" s="109" t="n"/>
      <c r="K660" s="109" t="n"/>
      <c r="L660" s="109" t="n"/>
      <c r="M660" s="109" t="inlineStr">
        <is>
          <t>DA CHIUDERE</t>
        </is>
      </c>
      <c r="N660" s="109" t="n"/>
      <c r="O660" s="109" t="n"/>
      <c r="P660" s="109" t="n"/>
      <c r="Q660" s="109" t="inlineStr">
        <is>
          <t xml:space="preserve">ODC DEDICATO: 5400253364 TERMINATE LAVORAZIONI </t>
        </is>
      </c>
      <c r="R660" s="151" t="n">
        <v>45805</v>
      </c>
      <c r="S660" s="109" t="inlineStr">
        <is>
          <t>MILLO/DE LUCA</t>
        </is>
      </c>
      <c r="T660" s="109" t="inlineStr"/>
      <c r="U660" s="147" t="inlineStr"/>
    </row>
    <row r="661">
      <c r="A661" s="109" t="n"/>
      <c r="B661" s="109" t="inlineStr">
        <is>
          <t>X</t>
        </is>
      </c>
      <c r="C661" s="109" t="inlineStr"/>
      <c r="D661" s="109" t="inlineStr">
        <is>
          <t>AREA 3</t>
        </is>
      </c>
      <c r="E661" s="109" t="inlineStr">
        <is>
          <t>538500/C</t>
        </is>
      </c>
      <c r="F661" s="109" t="inlineStr">
        <is>
          <t>2200</t>
        </is>
      </c>
      <c r="G661" s="109" t="inlineStr">
        <is>
          <t xml:space="preserve"> 2200 adeguamento nuova linea di AZOTO PER ANALIZZATORI</t>
        </is>
      </c>
      <c r="H661" s="109" t="n"/>
      <c r="I661" s="109" t="n"/>
      <c r="J661" s="109" t="n"/>
      <c r="K661" s="109" t="n"/>
      <c r="L661" s="109" t="n"/>
      <c r="M661" s="109" t="inlineStr">
        <is>
          <t>DA CHIUDERE</t>
        </is>
      </c>
      <c r="N661" s="109" t="n"/>
      <c r="O661" s="109" t="n"/>
      <c r="P661" s="109" t="n"/>
      <c r="Q661" s="109" t="inlineStr">
        <is>
          <t>COSTRUZIONE E POSA MT 20 ACCIAIO DA 12mm</t>
        </is>
      </c>
      <c r="R661" s="151" t="n">
        <v>45805</v>
      </c>
      <c r="S661" s="109" t="inlineStr">
        <is>
          <t>DE LUCA/MILLO</t>
        </is>
      </c>
      <c r="T661" s="109" t="inlineStr"/>
      <c r="U661" s="109" t="inlineStr"/>
    </row>
    <row r="662" ht="45" customHeight="1" s="122">
      <c r="A662" s="109" t="n"/>
      <c r="B662" s="108" t="inlineStr">
        <is>
          <t>X</t>
        </is>
      </c>
      <c r="C662" s="109" t="inlineStr"/>
      <c r="D662" s="109" t="inlineStr">
        <is>
          <t>AREA 3</t>
        </is>
      </c>
      <c r="E662" s="109" t="inlineStr">
        <is>
          <t>535902/C</t>
        </is>
      </c>
      <c r="F662" s="109" t="inlineStr">
        <is>
          <t>1200/3</t>
        </is>
      </c>
      <c r="G662" s="109" t="inlineStr">
        <is>
          <t xml:space="preserve"> 1200/3 - CONTROLLO TRASMETTITORI DI PORTATA E PRESSIONE CON VERIFICA PRIMARI CHE SIANO STASATI Taratura FR di carica (FR 301 - FR 302 - FR 306 - FR 303 - FR 305 - FR 307 - FR304) </t>
        </is>
      </c>
      <c r="H662" s="109" t="n"/>
      <c r="I662" s="109" t="n"/>
      <c r="J662" s="109" t="n"/>
      <c r="K662" s="109" t="n"/>
      <c r="L662" s="109" t="n"/>
      <c r="M662" s="110" t="inlineStr">
        <is>
          <t>DA CHIUDERE</t>
        </is>
      </c>
      <c r="N662" s="110" t="n"/>
      <c r="O662" s="110" t="n"/>
      <c r="P662" s="110" t="n"/>
      <c r="Q662" s="110" t="inlineStr">
        <is>
          <t>F301RC stasata da Ponterosso
F302RC - F306RC  provato con tondino da 6mm e martello, positiva non si stasa, è murata ( Riferimento De Luca )</t>
        </is>
      </c>
      <c r="R662" s="151" t="n">
        <v>45785</v>
      </c>
      <c r="S662" s="110" t="inlineStr">
        <is>
          <t>MILLO</t>
        </is>
      </c>
      <c r="T662" s="109" t="inlineStr"/>
      <c r="U662" s="147" t="inlineStr"/>
    </row>
    <row r="663">
      <c r="A663" s="109" t="n"/>
      <c r="B663" s="109" t="inlineStr">
        <is>
          <t>X</t>
        </is>
      </c>
      <c r="C663" s="109" t="inlineStr"/>
      <c r="D663" s="109" t="inlineStr">
        <is>
          <t>AREA 3</t>
        </is>
      </c>
      <c r="E663" s="109" t="inlineStr">
        <is>
          <t>538692/C</t>
        </is>
      </c>
      <c r="F663" s="109" t="inlineStr">
        <is>
          <t>1200/2</t>
        </is>
      </c>
      <c r="G663" s="109" t="inlineStr">
        <is>
          <t xml:space="preserve"> 1200/2 - SCOLLEGAMENTO/RICOLLEGAMENTO ELETTROPNEUMATICO  FCV 302/303</t>
        </is>
      </c>
      <c r="H663" s="109" t="n"/>
      <c r="I663" s="109" t="n"/>
      <c r="J663" s="109" t="n"/>
      <c r="K663" s="109" t="n"/>
      <c r="L663" s="109" t="n"/>
      <c r="M663" s="109" t="inlineStr">
        <is>
          <t>DA CHIUDERE</t>
        </is>
      </c>
      <c r="N663" s="109" t="n"/>
      <c r="O663" s="109" t="n"/>
      <c r="P663" s="109" t="n"/>
      <c r="Q663" s="109" t="n"/>
      <c r="R663" s="151" t="n"/>
      <c r="S663" s="109" t="n"/>
      <c r="T663" s="109" t="inlineStr"/>
      <c r="U663" s="109" t="inlineStr"/>
    </row>
    <row r="664">
      <c r="A664" s="109" t="n"/>
      <c r="B664" s="108" t="n">
        <v>1</v>
      </c>
      <c r="C664" s="109" t="inlineStr"/>
      <c r="D664" s="109" t="inlineStr">
        <is>
          <t>AREA 3</t>
        </is>
      </c>
      <c r="E664" s="109" t="inlineStr">
        <is>
          <t>535626/C</t>
        </is>
      </c>
      <c r="F664" s="109" t="inlineStr">
        <is>
          <t>700</t>
        </is>
      </c>
      <c r="G664" s="109" t="inlineStr">
        <is>
          <t>10220464 700 - VERIFICA 07F029R</t>
        </is>
      </c>
      <c r="H664" s="109" t="n"/>
      <c r="I664" s="109" t="n"/>
      <c r="J664" s="109" t="n"/>
      <c r="K664" s="109" t="n"/>
      <c r="L664" s="109" t="n"/>
      <c r="M664" s="110" t="inlineStr">
        <is>
          <t>DA CHIUDERE</t>
        </is>
      </c>
      <c r="N664" s="110" t="n"/>
      <c r="O664" s="110" t="n"/>
      <c r="P664" s="110" t="n"/>
      <c r="Q664" s="110" t="n"/>
      <c r="R664" s="151" t="n"/>
      <c r="S664" s="110" t="n"/>
      <c r="T664" s="109" t="inlineStr"/>
      <c r="U664" s="147" t="inlineStr">
        <is>
          <t>10220464</t>
        </is>
      </c>
    </row>
    <row r="665" ht="45" customHeight="1" s="122">
      <c r="A665" s="109" t="n"/>
      <c r="B665" s="108" t="n">
        <v>2</v>
      </c>
      <c r="C665" s="109" t="inlineStr"/>
      <c r="D665" s="109" t="inlineStr">
        <is>
          <t>AREA 3</t>
        </is>
      </c>
      <c r="E665" s="109" t="inlineStr">
        <is>
          <t>539111/C</t>
        </is>
      </c>
      <c r="F665" s="109" t="inlineStr">
        <is>
          <t>800</t>
        </is>
      </c>
      <c r="G665" s="109" t="inlineStr">
        <is>
          <t>10218060 800 - ripr. Funzionalit LCV150 VALVOLA SPURGHI CONTINUI CALDAIA</t>
        </is>
      </c>
      <c r="H665" s="109" t="n"/>
      <c r="I665" s="109" t="n"/>
      <c r="J665" s="109" t="n"/>
      <c r="K665" s="109" t="n"/>
      <c r="L665" s="109" t="n"/>
      <c r="M665" s="110" t="inlineStr">
        <is>
          <t>DA CHIUDERE</t>
        </is>
      </c>
      <c r="N665" s="110" t="n"/>
      <c r="O665" s="110" t="n"/>
      <c r="P665" s="110" t="n"/>
      <c r="Q665" s="110" t="inlineStr">
        <is>
          <t>SOSTITUITI RELE' PNEUMATICI SU REGOLAZIONE LIVELLO/VALVOLA, SOSTITUITO RICEVITORE 3-15 PSI, SOSTITUITI MANOMETRINI FILTRI RIDUTTORI VALVOLA/LIVELLO. LA REGOLAZIONE E' IN AUTOMATICO.</t>
        </is>
      </c>
      <c r="R665" s="151" t="n">
        <v>45770</v>
      </c>
      <c r="S665" s="110" t="inlineStr">
        <is>
          <t>OGNISANTI</t>
        </is>
      </c>
      <c r="T665" s="109" t="inlineStr"/>
      <c r="U665" s="147" t="inlineStr">
        <is>
          <t>10218060</t>
        </is>
      </c>
    </row>
    <row r="666" ht="30" customHeight="1" s="122">
      <c r="A666" s="109" t="n"/>
      <c r="B666" s="109" t="n">
        <v>3</v>
      </c>
      <c r="C666" s="109" t="inlineStr"/>
      <c r="D666" s="109" t="inlineStr">
        <is>
          <t>AREA 3</t>
        </is>
      </c>
      <c r="E666" s="109" t="inlineStr">
        <is>
          <t>539543/C</t>
        </is>
      </c>
      <c r="F666" s="109" t="inlineStr">
        <is>
          <t>1400</t>
        </is>
      </c>
      <c r="G666" s="109" t="inlineStr">
        <is>
          <t>10225267 1400 - F010RC- controllo funzionale LOOP DI REGOLAZIONE</t>
        </is>
      </c>
      <c r="H666" s="109" t="n"/>
      <c r="I666" s="109" t="n"/>
      <c r="J666" s="109" t="n"/>
      <c r="K666" s="109" t="n"/>
      <c r="L666" s="109" t="n"/>
      <c r="M666" s="109" t="inlineStr">
        <is>
          <t>DA CHIUDERE</t>
        </is>
      </c>
      <c r="N666" s="109" t="n"/>
      <c r="O666" s="109" t="n"/>
      <c r="P666" s="109" t="n"/>
      <c r="Q666" s="109" t="inlineStr">
        <is>
          <t xml:space="preserve">SOSTITUITO STRUMENTO VECCHIO HB CON NUOVO ROSEMOUNT, ALLINEATO CON SALA CONTROLLO. </t>
        </is>
      </c>
      <c r="R666" s="151" t="n">
        <v>45812</v>
      </c>
      <c r="S666" s="109" t="inlineStr">
        <is>
          <t>SPINALI/GNOCCO</t>
        </is>
      </c>
      <c r="T666" s="109" t="inlineStr"/>
      <c r="U666" s="109" t="inlineStr">
        <is>
          <t>10225267</t>
        </is>
      </c>
    </row>
    <row r="667">
      <c r="A667" s="109" t="n"/>
      <c r="B667" s="108" t="n">
        <v>4</v>
      </c>
      <c r="C667" s="109" t="inlineStr"/>
      <c r="D667" s="109" t="inlineStr">
        <is>
          <t>AREA 3</t>
        </is>
      </c>
      <c r="E667" s="109" t="inlineStr">
        <is>
          <t>537191/C</t>
        </is>
      </c>
      <c r="F667" s="109" t="inlineStr">
        <is>
          <t>1200/2</t>
        </is>
      </c>
      <c r="G667" s="109" t="inlineStr">
        <is>
          <t>10224035 1200/2 - Z2F302RC controllo</t>
        </is>
      </c>
      <c r="H667" s="109" t="n"/>
      <c r="I667" s="109" t="n"/>
      <c r="J667" s="109" t="n"/>
      <c r="K667" s="109" t="n"/>
      <c r="L667" s="109" t="n"/>
      <c r="M667" s="110" t="inlineStr">
        <is>
          <t>DA CHIUDERE</t>
        </is>
      </c>
      <c r="N667" s="110" t="n"/>
      <c r="O667" s="110" t="n"/>
      <c r="P667" s="110" t="n"/>
      <c r="Q667" s="110" t="n"/>
      <c r="R667" s="151" t="n"/>
      <c r="S667" s="110" t="n"/>
      <c r="T667" s="109" t="inlineStr"/>
      <c r="U667" s="147" t="inlineStr">
        <is>
          <t>10224035</t>
        </is>
      </c>
    </row>
    <row r="668">
      <c r="A668" s="109" t="n"/>
      <c r="B668" s="109" t="n">
        <v>4</v>
      </c>
      <c r="C668" s="109" t="inlineStr"/>
      <c r="D668" s="109" t="inlineStr">
        <is>
          <t>AREA 3</t>
        </is>
      </c>
      <c r="E668" s="109" t="inlineStr">
        <is>
          <t>535628/C</t>
        </is>
      </c>
      <c r="F668" s="109" t="inlineStr">
        <is>
          <t>700</t>
        </is>
      </c>
      <c r="G668" s="109" t="inlineStr">
        <is>
          <t xml:space="preserve">10220465 700 - VERIFICA 07F051R </t>
        </is>
      </c>
      <c r="H668" s="109" t="n"/>
      <c r="I668" s="109" t="n"/>
      <c r="J668" s="109" t="n"/>
      <c r="K668" s="109" t="n"/>
      <c r="L668" s="109" t="n"/>
      <c r="M668" s="109" t="inlineStr">
        <is>
          <t>DA CHIUDERE</t>
        </is>
      </c>
      <c r="N668" s="109" t="n"/>
      <c r="O668" s="109" t="n"/>
      <c r="P668" s="109" t="n"/>
      <c r="Q668" s="109" t="n"/>
      <c r="R668" s="151" t="n"/>
      <c r="S668" s="109" t="n"/>
      <c r="T668" s="109" t="inlineStr"/>
      <c r="U668" s="109" t="inlineStr">
        <is>
          <t>10220465</t>
        </is>
      </c>
    </row>
    <row r="669">
      <c r="A669" s="109" t="n"/>
      <c r="B669" s="109" t="n">
        <v>4</v>
      </c>
      <c r="C669" s="109" t="inlineStr"/>
      <c r="D669" s="109" t="inlineStr">
        <is>
          <t>AREA 3</t>
        </is>
      </c>
      <c r="E669" s="109" t="inlineStr">
        <is>
          <t>530462/C</t>
        </is>
      </c>
      <c r="F669" s="109" t="inlineStr">
        <is>
          <t>1800</t>
        </is>
      </c>
      <c r="G669" s="109" t="inlineStr">
        <is>
          <t>10220619 1800 - VERIFICA FR VAPORE MS LIMITE BATTERIA 18F203R</t>
        </is>
      </c>
      <c r="H669" s="109" t="n"/>
      <c r="I669" s="109" t="n"/>
      <c r="J669" s="109" t="n"/>
      <c r="K669" s="109" t="n"/>
      <c r="L669" s="109" t="n"/>
      <c r="M669" s="109" t="inlineStr">
        <is>
          <t>DA CHIUDERE</t>
        </is>
      </c>
      <c r="N669" s="109" t="n"/>
      <c r="O669" s="109" t="n"/>
      <c r="P669" s="109" t="n"/>
      <c r="Q669" s="109" t="n"/>
      <c r="R669" s="151" t="n"/>
      <c r="S669" s="109" t="n"/>
      <c r="T669" s="109" t="inlineStr"/>
      <c r="U669" s="109" t="inlineStr">
        <is>
          <t>10220619</t>
        </is>
      </c>
    </row>
    <row r="670">
      <c r="A670" s="109" t="n"/>
      <c r="B670" s="109" t="n">
        <v>4</v>
      </c>
      <c r="C670" s="109" t="inlineStr"/>
      <c r="D670" s="109" t="inlineStr">
        <is>
          <t>AREA 3</t>
        </is>
      </c>
      <c r="E670" s="109" t="inlineStr">
        <is>
          <t>534045/C</t>
        </is>
      </c>
      <c r="F670" s="109" t="inlineStr">
        <is>
          <t>2200</t>
        </is>
      </c>
      <c r="G670" s="109" t="inlineStr">
        <is>
          <t>10222453 2200 - MTZ MISURATORE DI PORTATA F502IC</t>
        </is>
      </c>
      <c r="H670" s="109" t="n"/>
      <c r="I670" s="109" t="n"/>
      <c r="J670" s="109" t="n"/>
      <c r="K670" s="109" t="n"/>
      <c r="L670" s="109" t="n"/>
      <c r="M670" s="109" t="inlineStr">
        <is>
          <t>DA CHIUDERE</t>
        </is>
      </c>
      <c r="N670" s="109" t="n"/>
      <c r="O670" s="109" t="n"/>
      <c r="P670" s="109" t="n"/>
      <c r="Q670" s="109" t="n"/>
      <c r="R670" s="151" t="n"/>
      <c r="S670" s="109" t="n"/>
      <c r="T670" s="109" t="inlineStr"/>
      <c r="U670" s="109" t="inlineStr">
        <is>
          <t>10222453</t>
        </is>
      </c>
    </row>
    <row r="671">
      <c r="A671" s="109" t="n"/>
      <c r="B671" s="108" t="n">
        <v>4</v>
      </c>
      <c r="C671" s="109" t="inlineStr"/>
      <c r="D671" s="109" t="inlineStr">
        <is>
          <t>AREA 3</t>
        </is>
      </c>
      <c r="E671" s="109" t="inlineStr">
        <is>
          <t>533552/C</t>
        </is>
      </c>
      <c r="F671" s="109" t="inlineStr">
        <is>
          <t>700A</t>
        </is>
      </c>
      <c r="G671" s="109" t="inlineStr">
        <is>
          <t>10222225 700A - VERIFICA LIVELLI D202</t>
        </is>
      </c>
      <c r="H671" s="109" t="n"/>
      <c r="I671" s="109" t="n"/>
      <c r="J671" s="109" t="n"/>
      <c r="K671" s="109" t="n"/>
      <c r="L671" s="109" t="n"/>
      <c r="M671" s="110" t="inlineStr">
        <is>
          <t>DA CHIUDERE</t>
        </is>
      </c>
      <c r="N671" s="110" t="n"/>
      <c r="O671" s="110" t="n"/>
      <c r="P671" s="110" t="n"/>
      <c r="Q671" s="110" t="n"/>
      <c r="R671" s="151" t="n"/>
      <c r="S671" s="110" t="n"/>
      <c r="T671" s="109" t="inlineStr"/>
      <c r="U671" s="147" t="inlineStr">
        <is>
          <t>10222225</t>
        </is>
      </c>
    </row>
    <row r="672">
      <c r="A672" s="109" t="n"/>
      <c r="B672" s="108" t="n">
        <v>4</v>
      </c>
      <c r="C672" s="109" t="inlineStr"/>
      <c r="D672" s="109" t="inlineStr">
        <is>
          <t>AREA 3</t>
        </is>
      </c>
      <c r="E672" s="109" t="inlineStr">
        <is>
          <t>523468/C</t>
        </is>
      </c>
      <c r="F672" s="109" t="inlineStr">
        <is>
          <t>1100</t>
        </is>
      </c>
      <c r="G672" s="109" t="inlineStr">
        <is>
          <t>10215991 1100 - P251DI.PV(DP scambiatore carica-fondo E201) controllo funzionale</t>
        </is>
      </c>
      <c r="H672" s="109" t="n"/>
      <c r="I672" s="109" t="n"/>
      <c r="J672" s="109" t="n"/>
      <c r="K672" s="109" t="n"/>
      <c r="L672" s="109" t="n"/>
      <c r="M672" s="110" t="inlineStr">
        <is>
          <t>DA CHIUDERE</t>
        </is>
      </c>
      <c r="N672" s="110" t="n"/>
      <c r="O672" s="110" t="n"/>
      <c r="P672" s="110" t="n"/>
      <c r="Q672" s="110" t="n"/>
      <c r="R672" s="151" t="n"/>
      <c r="S672" s="110" t="n"/>
      <c r="T672" s="109" t="inlineStr"/>
      <c r="U672" s="147" t="inlineStr">
        <is>
          <t>10215991</t>
        </is>
      </c>
    </row>
    <row r="673">
      <c r="A673" s="109" t="n"/>
      <c r="B673" s="108" t="n">
        <v>4</v>
      </c>
      <c r="C673" s="109" t="inlineStr"/>
      <c r="D673" s="109" t="inlineStr">
        <is>
          <t>AREA 3</t>
        </is>
      </c>
      <c r="E673" s="109" t="inlineStr">
        <is>
          <t>532258/C</t>
        </is>
      </c>
      <c r="F673" s="109" t="inlineStr">
        <is>
          <t>700</t>
        </is>
      </c>
      <c r="G673" s="109" t="inlineStr">
        <is>
          <t xml:space="preserve">10221625 700 - 07F031 ripristino funzionalit </t>
        </is>
      </c>
      <c r="H673" s="109" t="n"/>
      <c r="I673" s="109" t="n"/>
      <c r="J673" s="109" t="n"/>
      <c r="K673" s="109" t="n"/>
      <c r="L673" s="109" t="n"/>
      <c r="M673" s="110" t="inlineStr">
        <is>
          <t>DA CHIUDERE</t>
        </is>
      </c>
      <c r="N673" s="110" t="n"/>
      <c r="O673" s="110" t="n"/>
      <c r="P673" s="110" t="n"/>
      <c r="Q673" s="110" t="n"/>
      <c r="R673" s="151" t="n"/>
      <c r="S673" s="110" t="n"/>
      <c r="T673" s="109" t="inlineStr"/>
      <c r="U673" s="147" t="inlineStr">
        <is>
          <t>10221625</t>
        </is>
      </c>
    </row>
    <row r="674">
      <c r="A674" s="109" t="n"/>
      <c r="B674" s="109" t="n">
        <v>4</v>
      </c>
      <c r="C674" s="109" t="inlineStr"/>
      <c r="D674" s="109" t="inlineStr">
        <is>
          <t>AREA 3</t>
        </is>
      </c>
      <c r="E674" s="109" t="inlineStr">
        <is>
          <t>532176/C</t>
        </is>
      </c>
      <c r="F674" s="109" t="inlineStr">
        <is>
          <t>1400</t>
        </is>
      </c>
      <c r="G674" s="109" t="inlineStr">
        <is>
          <t>10215990 1400 - T207I(temperatura ingresso E109 termocoppia non collegata)</t>
        </is>
      </c>
      <c r="H674" s="109" t="n"/>
      <c r="I674" s="109" t="n"/>
      <c r="J674" s="109" t="n"/>
      <c r="K674" s="109" t="n"/>
      <c r="L674" s="109" t="n"/>
      <c r="M674" s="110" t="inlineStr">
        <is>
          <t>DA CHIUDERE</t>
        </is>
      </c>
      <c r="N674" s="110" t="n"/>
      <c r="O674" s="110" t="n"/>
      <c r="P674" s="110" t="n"/>
      <c r="Q674" s="110" t="n"/>
      <c r="R674" s="151" t="n"/>
      <c r="S674" s="110" t="n"/>
      <c r="T674" s="109" t="inlineStr"/>
      <c r="U674" s="147" t="inlineStr">
        <is>
          <t>10215990</t>
        </is>
      </c>
    </row>
    <row r="675">
      <c r="A675" s="109" t="n"/>
      <c r="B675" s="108" t="n">
        <v>4</v>
      </c>
      <c r="C675" s="109" t="inlineStr"/>
      <c r="D675" s="109" t="inlineStr">
        <is>
          <t>AREA 3</t>
        </is>
      </c>
      <c r="E675" s="109" t="inlineStr">
        <is>
          <t>524769/C</t>
        </is>
      </c>
      <c r="F675" s="109" t="inlineStr">
        <is>
          <t>1200/2</t>
        </is>
      </c>
      <c r="G675" s="109" t="inlineStr">
        <is>
          <t>10216874 1200/2 - controllo Livellostati D101 e D102 Linea 2</t>
        </is>
      </c>
      <c r="H675" s="109" t="n"/>
      <c r="I675" s="109" t="n"/>
      <c r="J675" s="109" t="n"/>
      <c r="K675" s="109" t="n"/>
      <c r="L675" s="109" t="n"/>
      <c r="M675" s="110" t="inlineStr">
        <is>
          <t>DA CHIUDERE</t>
        </is>
      </c>
      <c r="N675" s="110" t="n"/>
      <c r="O675" s="110" t="n"/>
      <c r="P675" s="110" t="n"/>
      <c r="Q675" s="110" t="n"/>
      <c r="R675" s="151" t="n"/>
      <c r="S675" s="110" t="n"/>
      <c r="T675" s="109" t="inlineStr"/>
      <c r="U675" s="147" t="inlineStr">
        <is>
          <t>10216874</t>
        </is>
      </c>
    </row>
    <row r="676">
      <c r="A676" s="109" t="n"/>
      <c r="B676" s="108" t="n">
        <v>4</v>
      </c>
      <c r="C676" s="109" t="inlineStr"/>
      <c r="D676" s="109" t="inlineStr">
        <is>
          <t>AREA 3</t>
        </is>
      </c>
      <c r="E676" s="109" t="inlineStr">
        <is>
          <t>522556/C</t>
        </is>
      </c>
      <c r="F676" s="109" t="inlineStr">
        <is>
          <t>700A</t>
        </is>
      </c>
      <c r="G676" s="109" t="inlineStr">
        <is>
          <t>10215297 07P620V controllo funzionale</t>
        </is>
      </c>
      <c r="H676" s="109" t="n"/>
      <c r="I676" s="109" t="n"/>
      <c r="J676" s="109" t="n"/>
      <c r="K676" s="109" t="n"/>
      <c r="L676" s="109" t="n"/>
      <c r="M676" s="110" t="inlineStr">
        <is>
          <t>DA CHIUDERE</t>
        </is>
      </c>
      <c r="N676" s="110" t="n"/>
      <c r="O676" s="110" t="n"/>
      <c r="P676" s="110" t="n"/>
      <c r="Q676" s="110" t="n"/>
      <c r="R676" s="151" t="n"/>
      <c r="S676" s="110" t="n"/>
      <c r="T676" s="109" t="inlineStr"/>
      <c r="U676" s="147" t="inlineStr">
        <is>
          <t>10215297</t>
        </is>
      </c>
    </row>
    <row r="677">
      <c r="A677" s="109" t="n"/>
      <c r="B677" s="108" t="n">
        <v>4</v>
      </c>
      <c r="C677" s="109" t="inlineStr"/>
      <c r="D677" s="109" t="inlineStr">
        <is>
          <t>AREA 3</t>
        </is>
      </c>
      <c r="E677" s="109" t="inlineStr">
        <is>
          <t>522545/C</t>
        </is>
      </c>
      <c r="F677" s="109" t="inlineStr">
        <is>
          <t>700A</t>
        </is>
      </c>
      <c r="G677" s="109" t="inlineStr">
        <is>
          <t xml:space="preserve"> 700A F201AT/BT CONTROLLO E RIPRISTINO FUNZIONALE</t>
        </is>
      </c>
      <c r="H677" s="109" t="n"/>
      <c r="I677" s="109" t="n"/>
      <c r="J677" s="109" t="n"/>
      <c r="K677" s="109" t="n"/>
      <c r="L677" s="109" t="n"/>
      <c r="M677" s="110" t="inlineStr">
        <is>
          <t>DA CHIUDERE</t>
        </is>
      </c>
      <c r="N677" s="110" t="n"/>
      <c r="O677" s="110" t="n"/>
      <c r="P677" s="110" t="n"/>
      <c r="Q677" s="110" t="n"/>
      <c r="R677" s="151" t="n"/>
      <c r="S677" s="110" t="n"/>
      <c r="T677" s="109" t="inlineStr"/>
      <c r="U677" s="147" t="inlineStr"/>
    </row>
    <row r="678">
      <c r="A678" s="109" t="n"/>
      <c r="B678" s="108" t="n">
        <v>4</v>
      </c>
      <c r="C678" s="109" t="inlineStr"/>
      <c r="D678" s="109" t="inlineStr">
        <is>
          <t>AREA 3</t>
        </is>
      </c>
      <c r="E678" s="109" t="inlineStr">
        <is>
          <t>521572/C</t>
        </is>
      </c>
      <c r="F678" s="109" t="inlineStr">
        <is>
          <t>700A</t>
        </is>
      </c>
      <c r="G678" s="109" t="inlineStr">
        <is>
          <t xml:space="preserve">10214483 700A - 07F216R riflusso T201 ripristino funzionale. </t>
        </is>
      </c>
      <c r="H678" s="109" t="n"/>
      <c r="I678" s="109" t="n"/>
      <c r="J678" s="109" t="n"/>
      <c r="K678" s="109" t="n"/>
      <c r="L678" s="109" t="n"/>
      <c r="M678" s="110" t="inlineStr">
        <is>
          <t>DA CHIUDERE</t>
        </is>
      </c>
      <c r="N678" s="110" t="n"/>
      <c r="O678" s="110" t="n"/>
      <c r="P678" s="110" t="n"/>
      <c r="Q678" s="110" t="n"/>
      <c r="R678" s="151" t="n"/>
      <c r="S678" s="110" t="n"/>
      <c r="T678" s="109" t="inlineStr"/>
      <c r="U678" s="147" t="inlineStr">
        <is>
          <t>10214483</t>
        </is>
      </c>
    </row>
    <row r="679">
      <c r="A679" s="109" t="n"/>
      <c r="B679" s="108" t="n">
        <v>4</v>
      </c>
      <c r="C679" s="109" t="inlineStr"/>
      <c r="D679" s="109" t="inlineStr">
        <is>
          <t>AREA 3</t>
        </is>
      </c>
      <c r="E679" s="109" t="inlineStr">
        <is>
          <t>521630/C</t>
        </is>
      </c>
      <c r="F679" s="109" t="inlineStr">
        <is>
          <t>700</t>
        </is>
      </c>
      <c r="G679" s="109" t="inlineStr">
        <is>
          <t>10214556 700 - P101ASL CONTROLLO PRESSOSTATO</t>
        </is>
      </c>
      <c r="H679" s="109" t="n"/>
      <c r="I679" s="109" t="n"/>
      <c r="J679" s="109" t="n"/>
      <c r="K679" s="109" t="n"/>
      <c r="L679" s="109" t="n"/>
      <c r="M679" s="110" t="inlineStr">
        <is>
          <t>DA CHIUDERE</t>
        </is>
      </c>
      <c r="N679" s="110" t="n"/>
      <c r="O679" s="110" t="n"/>
      <c r="P679" s="110" t="n"/>
      <c r="Q679" s="110" t="n"/>
      <c r="R679" s="151" t="n"/>
      <c r="S679" s="110" t="n"/>
      <c r="T679" s="109" t="inlineStr"/>
      <c r="U679" s="147" t="inlineStr">
        <is>
          <t>10214556</t>
        </is>
      </c>
    </row>
    <row r="680">
      <c r="A680" s="109" t="n"/>
      <c r="B680" s="109" t="n">
        <v>4</v>
      </c>
      <c r="C680" s="109" t="inlineStr"/>
      <c r="D680" s="109" t="inlineStr">
        <is>
          <t>AREA 3</t>
        </is>
      </c>
      <c r="E680" s="109" t="inlineStr">
        <is>
          <t>522680/C</t>
        </is>
      </c>
      <c r="F680" s="109" t="inlineStr">
        <is>
          <t>700</t>
        </is>
      </c>
      <c r="G680" s="109" t="inlineStr">
        <is>
          <t xml:space="preserve">10215414 700 - 07-F034AR ripristino misura </t>
        </is>
      </c>
      <c r="H680" s="109" t="n"/>
      <c r="I680" s="109" t="n"/>
      <c r="J680" s="109" t="n"/>
      <c r="K680" s="109" t="n"/>
      <c r="L680" s="109" t="n"/>
      <c r="M680" s="109" t="inlineStr">
        <is>
          <t>DA CHIUDERE</t>
        </is>
      </c>
      <c r="N680" s="109" t="n"/>
      <c r="O680" s="109" t="n"/>
      <c r="P680" s="109" t="n"/>
      <c r="Q680" s="109" t="n"/>
      <c r="R680" s="151" t="n"/>
      <c r="S680" s="109" t="n"/>
      <c r="T680" s="109" t="inlineStr"/>
      <c r="U680" s="109" t="inlineStr">
        <is>
          <t>10215414</t>
        </is>
      </c>
    </row>
    <row r="681">
      <c r="A681" s="109" t="n"/>
      <c r="B681" s="109" t="n">
        <v>4</v>
      </c>
      <c r="C681" s="109" t="inlineStr"/>
      <c r="D681" s="109" t="inlineStr">
        <is>
          <t>AREA 3</t>
        </is>
      </c>
      <c r="E681" s="109" t="inlineStr">
        <is>
          <t>523491/C</t>
        </is>
      </c>
      <c r="F681" s="109" t="inlineStr">
        <is>
          <t>1200/M</t>
        </is>
      </c>
      <c r="G681" s="109" t="inlineStr">
        <is>
          <t>10215992 ZMF704RC carica Tail in assorbimento  controllo funzionale</t>
        </is>
      </c>
      <c r="H681" s="109" t="n"/>
      <c r="I681" s="109" t="n"/>
      <c r="J681" s="109" t="n"/>
      <c r="K681" s="109" t="n"/>
      <c r="L681" s="109" t="n"/>
      <c r="M681" s="109" t="inlineStr">
        <is>
          <t>DA CHIUDERE</t>
        </is>
      </c>
      <c r="N681" s="109" t="n"/>
      <c r="O681" s="109" t="n"/>
      <c r="P681" s="109" t="n"/>
      <c r="Q681" s="109" t="n"/>
      <c r="R681" s="151" t="n"/>
      <c r="S681" s="109" t="n"/>
      <c r="T681" s="109" t="inlineStr"/>
      <c r="U681" s="109" t="inlineStr">
        <is>
          <t>10215992</t>
        </is>
      </c>
    </row>
    <row r="682">
      <c r="A682" s="109" t="n"/>
      <c r="B682" s="108" t="n">
        <v>4</v>
      </c>
      <c r="C682" s="109" t="inlineStr"/>
      <c r="D682" s="109" t="inlineStr">
        <is>
          <t>AREA 3</t>
        </is>
      </c>
      <c r="E682" s="109" t="inlineStr">
        <is>
          <t>523483/C</t>
        </is>
      </c>
      <c r="F682" s="109" t="inlineStr">
        <is>
          <t>1200/0</t>
        </is>
      </c>
      <c r="G682" s="109" t="inlineStr">
        <is>
          <t>10215992 1200/0 - Z0F150R(VAPORE BASSA PRESSIONE L1-L2-L3)   controllo funzionale</t>
        </is>
      </c>
      <c r="H682" s="109" t="n"/>
      <c r="I682" s="109" t="n"/>
      <c r="J682" s="109" t="n"/>
      <c r="K682" s="109" t="n"/>
      <c r="L682" s="109" t="n"/>
      <c r="M682" s="110" t="inlineStr">
        <is>
          <t>DA CHIUDERE</t>
        </is>
      </c>
      <c r="N682" s="110" t="n"/>
      <c r="O682" s="110" t="n"/>
      <c r="P682" s="110" t="n"/>
      <c r="Q682" s="110" t="n"/>
      <c r="R682" s="151" t="n"/>
      <c r="S682" s="110" t="n"/>
      <c r="T682" s="109" t="inlineStr"/>
      <c r="U682" s="147" t="inlineStr">
        <is>
          <t>10215992</t>
        </is>
      </c>
    </row>
    <row r="683">
      <c r="A683" s="109" t="n"/>
      <c r="B683" s="108" t="n">
        <v>4</v>
      </c>
      <c r="C683" s="109" t="inlineStr"/>
      <c r="D683" s="109" t="inlineStr">
        <is>
          <t>AREA 3</t>
        </is>
      </c>
      <c r="E683" s="109" t="inlineStr">
        <is>
          <t>523481/C</t>
        </is>
      </c>
      <c r="F683" s="109" t="inlineStr">
        <is>
          <t>1200/0</t>
        </is>
      </c>
      <c r="G683" s="109" t="inlineStr">
        <is>
          <t>10215992 1200/0 - Z0F157R(FG A L.B U1200) controllo funzionale</t>
        </is>
      </c>
      <c r="H683" s="109" t="n"/>
      <c r="I683" s="109" t="n"/>
      <c r="J683" s="109" t="n"/>
      <c r="K683" s="109" t="n"/>
      <c r="L683" s="109" t="n"/>
      <c r="M683" s="110" t="inlineStr">
        <is>
          <t>DA CHIUDERE</t>
        </is>
      </c>
      <c r="N683" s="110" t="n"/>
      <c r="O683" s="110" t="n"/>
      <c r="P683" s="110" t="n"/>
      <c r="Q683" s="110" t="n"/>
      <c r="R683" s="151" t="n"/>
      <c r="S683" s="110" t="n"/>
      <c r="T683" s="109" t="inlineStr"/>
      <c r="U683" s="147" t="inlineStr">
        <is>
          <t>10215992</t>
        </is>
      </c>
    </row>
    <row r="684">
      <c r="A684" s="109" t="n"/>
      <c r="B684" s="108" t="n">
        <v>4</v>
      </c>
      <c r="C684" s="109" t="inlineStr"/>
      <c r="D684" s="109" t="inlineStr">
        <is>
          <t>AREA 3</t>
        </is>
      </c>
      <c r="E684" s="109" t="inlineStr">
        <is>
          <t>523480/C</t>
        </is>
      </c>
      <c r="F684" s="109" t="inlineStr">
        <is>
          <t>1200/3</t>
        </is>
      </c>
      <c r="G684" s="109" t="inlineStr">
        <is>
          <t>10215992 1200/3 - Z3T502R.PV(1 letto catalitico R101 L3)  controllo funzionale</t>
        </is>
      </c>
      <c r="H684" s="109" t="n"/>
      <c r="I684" s="109" t="n"/>
      <c r="J684" s="109" t="n"/>
      <c r="K684" s="109" t="n"/>
      <c r="L684" s="109" t="n"/>
      <c r="M684" s="110" t="inlineStr">
        <is>
          <t>DA CHIUDERE</t>
        </is>
      </c>
      <c r="N684" s="110" t="n"/>
      <c r="O684" s="110" t="n"/>
      <c r="P684" s="110" t="n"/>
      <c r="Q684" s="110" t="n"/>
      <c r="R684" s="151" t="n"/>
      <c r="S684" s="110" t="n"/>
      <c r="T684" s="109" t="inlineStr"/>
      <c r="U684" s="147" t="inlineStr">
        <is>
          <t>10215992</t>
        </is>
      </c>
    </row>
    <row r="685">
      <c r="A685" s="109" t="n"/>
      <c r="B685" s="109" t="n">
        <v>4</v>
      </c>
      <c r="C685" s="109" t="inlineStr"/>
      <c r="D685" s="109" t="inlineStr">
        <is>
          <t>AREA 3</t>
        </is>
      </c>
      <c r="E685" s="109" t="inlineStr">
        <is>
          <t>523479/C</t>
        </is>
      </c>
      <c r="F685" s="109" t="inlineStr">
        <is>
          <t>1200/2</t>
        </is>
      </c>
      <c r="G685" s="109" t="inlineStr">
        <is>
          <t>10215992 1200/2 - Z2F201RC.PV(metano a F101 L2)    controllo funzionale</t>
        </is>
      </c>
      <c r="H685" s="109" t="n"/>
      <c r="I685" s="109" t="n"/>
      <c r="J685" s="109" t="n"/>
      <c r="K685" s="109" t="n"/>
      <c r="L685" s="109" t="n"/>
      <c r="M685" s="109" t="inlineStr">
        <is>
          <t>DA CHIUDERE</t>
        </is>
      </c>
      <c r="N685" s="109" t="n"/>
      <c r="O685" s="109" t="n"/>
      <c r="P685" s="109" t="n"/>
      <c r="Q685" s="109" t="n"/>
      <c r="R685" s="151" t="n"/>
      <c r="S685" s="109" t="n"/>
      <c r="T685" s="109" t="inlineStr"/>
      <c r="U685" s="109" t="inlineStr">
        <is>
          <t>10215992</t>
        </is>
      </c>
    </row>
    <row r="686">
      <c r="A686" s="109" t="n"/>
      <c r="B686" s="108" t="n">
        <v>4</v>
      </c>
      <c r="C686" s="109" t="inlineStr"/>
      <c r="D686" s="109" t="inlineStr">
        <is>
          <t>AREA 3</t>
        </is>
      </c>
      <c r="E686" s="109" t="inlineStr">
        <is>
          <t>523471/C</t>
        </is>
      </c>
      <c r="F686" s="109" t="inlineStr">
        <is>
          <t>1100</t>
        </is>
      </c>
      <c r="G686" s="109" t="inlineStr">
        <is>
          <t>10215991 1100 - P101DR.PV(DP FIL104) controllo funzionale</t>
        </is>
      </c>
      <c r="H686" s="109" t="n"/>
      <c r="I686" s="109" t="n"/>
      <c r="J686" s="109" t="n"/>
      <c r="K686" s="109" t="n"/>
      <c r="L686" s="109" t="n"/>
      <c r="M686" s="110" t="inlineStr">
        <is>
          <t>DA CHIUDERE</t>
        </is>
      </c>
      <c r="N686" s="110" t="n"/>
      <c r="O686" s="110" t="n"/>
      <c r="P686" s="110" t="n"/>
      <c r="Q686" s="110" t="n"/>
      <c r="R686" s="151" t="n"/>
      <c r="S686" s="110" t="n"/>
      <c r="T686" s="109" t="inlineStr"/>
      <c r="U686" s="147" t="inlineStr">
        <is>
          <t>10215991</t>
        </is>
      </c>
    </row>
    <row r="687">
      <c r="A687" s="109" t="n"/>
      <c r="B687" s="109" t="n">
        <v>4</v>
      </c>
      <c r="C687" s="109" t="inlineStr"/>
      <c r="D687" s="109" t="inlineStr">
        <is>
          <t>AREA 3</t>
        </is>
      </c>
      <c r="E687" s="109" t="inlineStr">
        <is>
          <t>523467/C</t>
        </is>
      </c>
      <c r="F687" s="109" t="inlineStr">
        <is>
          <t>1100</t>
        </is>
      </c>
      <c r="G687" s="109" t="inlineStr">
        <is>
          <t>10215991 1100 - F003R(MDEA DA U700 A D104) controllo funzionale</t>
        </is>
      </c>
      <c r="H687" s="109" t="n"/>
      <c r="I687" s="109" t="n"/>
      <c r="J687" s="109" t="n"/>
      <c r="K687" s="109" t="n"/>
      <c r="L687" s="109" t="n"/>
      <c r="M687" s="109" t="inlineStr">
        <is>
          <t>DA CHIUDERE</t>
        </is>
      </c>
      <c r="N687" s="109" t="n"/>
      <c r="O687" s="109" t="n"/>
      <c r="P687" s="109" t="n"/>
      <c r="Q687" s="109" t="n"/>
      <c r="R687" s="151" t="n"/>
      <c r="S687" s="109" t="n"/>
      <c r="T687" s="109" t="inlineStr"/>
      <c r="U687" s="109" t="inlineStr">
        <is>
          <t>10215991</t>
        </is>
      </c>
    </row>
    <row r="688">
      <c r="A688" s="109" t="n"/>
      <c r="B688" s="109" t="n">
        <v>4</v>
      </c>
      <c r="C688" s="109" t="inlineStr"/>
      <c r="D688" s="109" t="inlineStr">
        <is>
          <t>AREA 3</t>
        </is>
      </c>
      <c r="E688" s="109" t="inlineStr">
        <is>
          <t>523113/C</t>
        </is>
      </c>
      <c r="F688" s="109" t="inlineStr">
        <is>
          <t>700A</t>
        </is>
      </c>
      <c r="G688" s="109" t="inlineStr">
        <is>
          <t>10215761 700 - 07F320RC - U700A  Verifica funzionalit misuratore di portata riciclo</t>
        </is>
      </c>
      <c r="H688" s="109" t="n"/>
      <c r="I688" s="109" t="n"/>
      <c r="J688" s="109" t="n"/>
      <c r="K688" s="109" t="n"/>
      <c r="L688" s="109" t="n"/>
      <c r="M688" s="109" t="inlineStr">
        <is>
          <t>DA CHIUDERE</t>
        </is>
      </c>
      <c r="N688" s="109" t="n"/>
      <c r="O688" s="109" t="n"/>
      <c r="P688" s="109" t="n"/>
      <c r="Q688" s="109" t="n"/>
      <c r="R688" s="151" t="n"/>
      <c r="S688" s="109" t="n"/>
      <c r="T688" s="109" t="inlineStr"/>
      <c r="U688" s="109" t="inlineStr">
        <is>
          <t>10215761</t>
        </is>
      </c>
    </row>
    <row r="689">
      <c r="A689" s="109" t="n"/>
      <c r="B689" s="109" t="n">
        <v>4</v>
      </c>
      <c r="C689" s="109" t="inlineStr"/>
      <c r="D689" s="109" t="inlineStr">
        <is>
          <t>AREA 3</t>
        </is>
      </c>
      <c r="E689" s="109" t="inlineStr">
        <is>
          <t>525258/C</t>
        </is>
      </c>
      <c r="F689" s="109" t="inlineStr">
        <is>
          <t>700</t>
        </is>
      </c>
      <c r="G689" s="109" t="inlineStr">
        <is>
          <t xml:space="preserve">10209347 700 - F300RC -TARATURA </t>
        </is>
      </c>
      <c r="H689" s="109" t="n"/>
      <c r="I689" s="109" t="n"/>
      <c r="J689" s="109" t="n"/>
      <c r="K689" s="109" t="n"/>
      <c r="L689" s="109" t="n"/>
      <c r="M689" s="109" t="inlineStr">
        <is>
          <t>DA CHIUDERE</t>
        </is>
      </c>
      <c r="N689" s="109" t="n"/>
      <c r="O689" s="109" t="n"/>
      <c r="P689" s="109" t="n"/>
      <c r="Q689" s="109" t="n"/>
      <c r="R689" s="151" t="n"/>
      <c r="S689" s="109" t="n"/>
      <c r="T689" s="109" t="inlineStr"/>
      <c r="U689" s="109" t="inlineStr">
        <is>
          <t>10209347</t>
        </is>
      </c>
    </row>
    <row r="690">
      <c r="A690" s="109" t="n"/>
      <c r="B690" s="109" t="n">
        <v>4</v>
      </c>
      <c r="C690" s="109" t="inlineStr"/>
      <c r="D690" s="109" t="inlineStr">
        <is>
          <t>AREA 3</t>
        </is>
      </c>
      <c r="E690" s="109" t="inlineStr">
        <is>
          <t>525380/C</t>
        </is>
      </c>
      <c r="F690" s="109" t="inlineStr">
        <is>
          <t>1100</t>
        </is>
      </c>
      <c r="G690" s="109" t="inlineStr">
        <is>
          <t xml:space="preserve"> 1100 - D102 controllo allarmi alto e altissimo livello   (11L004SH  11L005HA)</t>
        </is>
      </c>
      <c r="H690" s="109" t="n"/>
      <c r="I690" s="109" t="n"/>
      <c r="J690" s="109" t="n"/>
      <c r="K690" s="109" t="n"/>
      <c r="L690" s="109" t="n"/>
      <c r="M690" s="110" t="inlineStr">
        <is>
          <t>DA CHIUDERE</t>
        </is>
      </c>
      <c r="N690" s="110" t="n"/>
      <c r="O690" s="110" t="n"/>
      <c r="P690" s="110" t="n"/>
      <c r="Q690" s="110" t="n"/>
      <c r="R690" s="151" t="n"/>
      <c r="S690" s="110" t="n"/>
      <c r="T690" s="109" t="inlineStr"/>
      <c r="U690" s="147" t="inlineStr"/>
    </row>
    <row r="691">
      <c r="A691" s="109" t="n"/>
      <c r="B691" s="108" t="n">
        <v>4</v>
      </c>
      <c r="C691" s="109" t="inlineStr"/>
      <c r="D691" s="109" t="inlineStr">
        <is>
          <t>AREA 3</t>
        </is>
      </c>
      <c r="E691" s="109" t="inlineStr">
        <is>
          <t>528881/C</t>
        </is>
      </c>
      <c r="F691" s="109" t="inlineStr">
        <is>
          <t>1800</t>
        </is>
      </c>
      <c r="G691" s="109" t="inlineStr">
        <is>
          <t xml:space="preserve">10219447 700A - VERIFICA PRC210 </t>
        </is>
      </c>
      <c r="H691" s="109" t="n"/>
      <c r="I691" s="109" t="n"/>
      <c r="J691" s="109" t="n"/>
      <c r="K691" s="109" t="n"/>
      <c r="L691" s="109" t="n"/>
      <c r="M691" s="110" t="inlineStr">
        <is>
          <t>DA CHIUDERE</t>
        </is>
      </c>
      <c r="N691" s="110" t="n"/>
      <c r="O691" s="110" t="n"/>
      <c r="P691" s="110" t="n"/>
      <c r="Q691" s="110" t="n"/>
      <c r="R691" s="151" t="n"/>
      <c r="S691" s="110" t="n"/>
      <c r="T691" s="109" t="inlineStr"/>
      <c r="U691" s="147" t="inlineStr">
        <is>
          <t>10219447</t>
        </is>
      </c>
    </row>
    <row r="692" ht="30" customHeight="1" s="122">
      <c r="A692" s="109" t="n"/>
      <c r="B692" s="109" t="n">
        <v>4</v>
      </c>
      <c r="C692" s="109" t="inlineStr"/>
      <c r="D692" s="109" t="inlineStr">
        <is>
          <t>AREA 3</t>
        </is>
      </c>
      <c r="E692" s="109" t="inlineStr">
        <is>
          <t>528903/C</t>
        </is>
      </c>
      <c r="F692" s="109" t="inlineStr">
        <is>
          <t>700</t>
        </is>
      </c>
      <c r="G692" s="109" t="inlineStr">
        <is>
          <t>10219474 700 - controllo termocoppie 07T196I -07T195I -07T171R -07T052AI -07T170I -07T301I -07T045I</t>
        </is>
      </c>
      <c r="H692" s="109" t="n"/>
      <c r="I692" s="109" t="n"/>
      <c r="J692" s="109" t="n"/>
      <c r="K692" s="109" t="n"/>
      <c r="L692" s="109" t="n"/>
      <c r="M692" s="109" t="inlineStr">
        <is>
          <t>DA CHIUDERE</t>
        </is>
      </c>
      <c r="N692" s="109" t="n"/>
      <c r="O692" s="109" t="n"/>
      <c r="P692" s="109" t="n"/>
      <c r="Q692" s="109" t="n"/>
      <c r="R692" s="151" t="n"/>
      <c r="S692" s="109" t="n"/>
      <c r="T692" s="109" t="inlineStr"/>
      <c r="U692" s="109" t="inlineStr">
        <is>
          <t>10219474</t>
        </is>
      </c>
    </row>
    <row r="693">
      <c r="A693" s="109" t="n"/>
      <c r="B693" s="108" t="n">
        <v>4</v>
      </c>
      <c r="C693" s="109" t="inlineStr"/>
      <c r="D693" s="109" t="inlineStr">
        <is>
          <t>AREA 3</t>
        </is>
      </c>
      <c r="E693" s="109" t="inlineStr">
        <is>
          <t>531035/C</t>
        </is>
      </c>
      <c r="F693" s="109" t="inlineStr">
        <is>
          <t>700</t>
        </is>
      </c>
      <c r="G693" s="109" t="inlineStr">
        <is>
          <t xml:space="preserve"> 700 - 07P101CLA ripristino funzionamento del pressostato</t>
        </is>
      </c>
      <c r="H693" s="109" t="n"/>
      <c r="I693" s="109" t="n"/>
      <c r="J693" s="109" t="n"/>
      <c r="K693" s="109" t="n"/>
      <c r="L693" s="109" t="n"/>
      <c r="M693" s="110" t="inlineStr">
        <is>
          <t>DA CHIUDERE</t>
        </is>
      </c>
      <c r="N693" s="110" t="n"/>
      <c r="O693" s="110" t="n"/>
      <c r="P693" s="110" t="n"/>
      <c r="Q693" s="110" t="n"/>
      <c r="R693" s="151" t="n"/>
      <c r="S693" s="110" t="n"/>
      <c r="T693" s="109" t="inlineStr"/>
      <c r="U693" s="147" t="inlineStr"/>
    </row>
    <row r="694">
      <c r="A694" s="109" t="n"/>
      <c r="B694" s="109" t="n">
        <v>4</v>
      </c>
      <c r="C694" s="109" t="inlineStr"/>
      <c r="D694" s="109" t="inlineStr">
        <is>
          <t>AREA 3</t>
        </is>
      </c>
      <c r="E694" s="109" t="inlineStr">
        <is>
          <t>531790/C</t>
        </is>
      </c>
      <c r="F694" s="109" t="inlineStr">
        <is>
          <t>2200</t>
        </is>
      </c>
      <c r="G694" s="109" t="inlineStr">
        <is>
          <t>10221416 2200 - RIPRISTINO LIVELLI (SE POSSIBILE PER DOMANI)-22L303I / 22L301I</t>
        </is>
      </c>
      <c r="H694" s="109" t="n"/>
      <c r="I694" s="109" t="n"/>
      <c r="J694" s="109" t="n"/>
      <c r="K694" s="109" t="n"/>
      <c r="L694" s="109" t="n"/>
      <c r="M694" s="109" t="inlineStr">
        <is>
          <t>DA CHIUDERE</t>
        </is>
      </c>
      <c r="N694" s="109" t="n"/>
      <c r="O694" s="109" t="n"/>
      <c r="P694" s="109" t="n"/>
      <c r="Q694" s="109" t="n"/>
      <c r="R694" s="151" t="n"/>
      <c r="S694" s="109" t="n"/>
      <c r="T694" s="109" t="inlineStr"/>
      <c r="U694" s="109" t="inlineStr">
        <is>
          <t>10221416</t>
        </is>
      </c>
    </row>
    <row r="695">
      <c r="A695" s="109" t="n"/>
      <c r="B695" s="109" t="n">
        <v>4</v>
      </c>
      <c r="C695" s="109" t="inlineStr"/>
      <c r="D695" s="109" t="inlineStr">
        <is>
          <t>AREA 3</t>
        </is>
      </c>
      <c r="E695" s="109" t="inlineStr">
        <is>
          <t>533105/C</t>
        </is>
      </c>
      <c r="F695" s="109" t="inlineStr">
        <is>
          <t>1800</t>
        </is>
      </c>
      <c r="G695" s="109" t="inlineStr">
        <is>
          <t>10222033 1800 - VERIFICA LIVELLO 18L109R</t>
        </is>
      </c>
      <c r="H695" s="109" t="n"/>
      <c r="I695" s="109" t="n"/>
      <c r="J695" s="109" t="n"/>
      <c r="K695" s="109" t="n"/>
      <c r="L695" s="109" t="n"/>
      <c r="M695" s="109" t="inlineStr">
        <is>
          <t>DA CHIUDERE</t>
        </is>
      </c>
      <c r="N695" s="109" t="n"/>
      <c r="O695" s="109" t="n"/>
      <c r="P695" s="109" t="n"/>
      <c r="Q695" s="109" t="n"/>
      <c r="R695" s="151" t="n"/>
      <c r="S695" s="109" t="n"/>
      <c r="T695" s="109" t="inlineStr"/>
      <c r="U695" s="109" t="inlineStr">
        <is>
          <t>10222033</t>
        </is>
      </c>
    </row>
    <row r="696" ht="30" customHeight="1" s="122">
      <c r="A696" s="109" t="n"/>
      <c r="B696" s="109" t="n">
        <v>4</v>
      </c>
      <c r="C696" s="109" t="inlineStr"/>
      <c r="D696" s="109" t="inlineStr">
        <is>
          <t>AREA 3</t>
        </is>
      </c>
      <c r="E696" s="109" t="inlineStr">
        <is>
          <t>533216/C</t>
        </is>
      </c>
      <c r="F696" s="109" t="inlineStr">
        <is>
          <t>700A</t>
        </is>
      </c>
      <c r="G696" s="109" t="inlineStr">
        <is>
          <t xml:space="preserve"> 700A - VERIFICA SEGNALI DI TEMPERATURA DALLA JB TH6 IN SALA CONTROLLO  07TRIS20 T305I T303I T304I</t>
        </is>
      </c>
      <c r="H696" s="109" t="n"/>
      <c r="I696" s="109" t="n"/>
      <c r="J696" s="109" t="n"/>
      <c r="K696" s="109" t="n"/>
      <c r="L696" s="109" t="n"/>
      <c r="M696" s="110" t="inlineStr">
        <is>
          <t>DA CHIUDERE</t>
        </is>
      </c>
      <c r="N696" s="110" t="n"/>
      <c r="O696" s="110" t="n"/>
      <c r="P696" s="110" t="n"/>
      <c r="Q696" s="110" t="n"/>
      <c r="R696" s="151" t="n"/>
      <c r="S696" s="110" t="n"/>
      <c r="T696" s="109" t="inlineStr"/>
      <c r="U696" s="147" t="inlineStr"/>
    </row>
    <row r="697">
      <c r="A697" s="109" t="n"/>
      <c r="B697" s="108" t="n">
        <v>4</v>
      </c>
      <c r="C697" s="109" t="inlineStr"/>
      <c r="D697" s="109" t="inlineStr">
        <is>
          <t>AREA 3</t>
        </is>
      </c>
      <c r="E697" s="109" t="inlineStr">
        <is>
          <t>534058/C</t>
        </is>
      </c>
      <c r="F697" s="109" t="inlineStr">
        <is>
          <t>700A</t>
        </is>
      </c>
      <c r="G697" s="109" t="inlineStr">
        <is>
          <t>10215887 700A - PCV212 non apre oltre il 20%  ripristino funzionalit LOOP di regolazione</t>
        </is>
      </c>
      <c r="H697" s="109" t="n"/>
      <c r="I697" s="109" t="n"/>
      <c r="J697" s="109" t="n"/>
      <c r="K697" s="109" t="n"/>
      <c r="L697" s="109" t="n"/>
      <c r="M697" s="110" t="inlineStr">
        <is>
          <t>DA CHIUDERE</t>
        </is>
      </c>
      <c r="N697" s="110" t="inlineStr">
        <is>
          <t>X</t>
        </is>
      </c>
      <c r="O697" s="110" t="n"/>
      <c r="P697" s="110" t="n"/>
      <c r="Q697" s="110" t="inlineStr">
        <is>
          <t>ELIMINATA DALLA PROGRAMMAZIONE</t>
        </is>
      </c>
      <c r="R697" s="151" t="n"/>
      <c r="S697" s="110" t="n"/>
      <c r="T697" s="109" t="inlineStr"/>
      <c r="U697" s="147" t="inlineStr">
        <is>
          <t>10215887</t>
        </is>
      </c>
    </row>
    <row r="698">
      <c r="A698" s="109" t="n"/>
      <c r="B698" s="108" t="n">
        <v>4</v>
      </c>
      <c r="C698" s="109" t="inlineStr"/>
      <c r="D698" s="109" t="inlineStr">
        <is>
          <t>AREA 3</t>
        </is>
      </c>
      <c r="E698" s="109" t="inlineStr">
        <is>
          <t>532174/C</t>
        </is>
      </c>
      <c r="F698" s="109" t="inlineStr">
        <is>
          <t>1100</t>
        </is>
      </c>
      <c r="G698" s="109" t="inlineStr">
        <is>
          <t>10215991 1100 - T007R(TEMPERATURA ME108) controllo funzionale</t>
        </is>
      </c>
      <c r="H698" s="109" t="n"/>
      <c r="I698" s="109" t="n"/>
      <c r="J698" s="109" t="n"/>
      <c r="K698" s="109" t="n"/>
      <c r="L698" s="109" t="n"/>
      <c r="M698" s="110" t="inlineStr">
        <is>
          <t>DA CHIUDERE</t>
        </is>
      </c>
      <c r="N698" s="110" t="n"/>
      <c r="O698" s="110" t="n"/>
      <c r="P698" s="110" t="n"/>
      <c r="Q698" s="110" t="n"/>
      <c r="R698" s="151" t="n"/>
      <c r="S698" s="110" t="n"/>
      <c r="T698" s="109" t="inlineStr"/>
      <c r="U698" s="147" t="inlineStr">
        <is>
          <t>10215991</t>
        </is>
      </c>
    </row>
    <row r="699" ht="45" customHeight="1" s="122">
      <c r="A699" s="109" t="n"/>
      <c r="B699" s="108" t="n">
        <v>4</v>
      </c>
      <c r="C699" s="109" t="inlineStr"/>
      <c r="D699" s="109" t="inlineStr">
        <is>
          <t>AREA 3</t>
        </is>
      </c>
      <c r="E699" s="109" t="inlineStr">
        <is>
          <t>535531/C</t>
        </is>
      </c>
      <c r="F699" s="109" t="inlineStr">
        <is>
          <t>1200/M</t>
        </is>
      </c>
      <c r="G699" s="109" t="inlineStr">
        <is>
          <t>10215992 1200/M - ZMF728(azoto di flussaggio off-site)controllo funzionale</t>
        </is>
      </c>
      <c r="H699" s="109" t="n"/>
      <c r="I699" s="109" t="n"/>
      <c r="J699" s="109" t="n"/>
      <c r="K699" s="109" t="n"/>
      <c r="L699" s="109" t="n"/>
      <c r="M699" s="110" t="inlineStr">
        <is>
          <t>DA CHIUDERE</t>
        </is>
      </c>
      <c r="N699" s="110" t="n"/>
      <c r="O699" s="110" t="n"/>
      <c r="P699" s="110" t="n"/>
      <c r="Q699" s="110" t="inlineStr">
        <is>
          <t>STRUMENTO IN PESSIME CONDIZIONI CON CAVO BRUCIATO E GRUPPO BYPASS DA RIFARE EXNOVO.
PER VALVOLE DI RADICE SI NECESSITA DEL PONTEGGIO.</t>
        </is>
      </c>
      <c r="R699" s="151" t="n">
        <v>45641</v>
      </c>
      <c r="S699" s="110" t="inlineStr">
        <is>
          <t>SPINALI/PARTESANO</t>
        </is>
      </c>
      <c r="T699" s="109" t="inlineStr"/>
      <c r="U699" s="147" t="inlineStr">
        <is>
          <t>10215992</t>
        </is>
      </c>
    </row>
    <row r="700">
      <c r="A700" s="109" t="n"/>
      <c r="B700" s="108" t="n">
        <v>4</v>
      </c>
      <c r="C700" s="109" t="inlineStr"/>
      <c r="D700" s="109" t="inlineStr">
        <is>
          <t>AREA 3</t>
        </is>
      </c>
      <c r="E700" s="109" t="inlineStr">
        <is>
          <t>536941/C</t>
        </is>
      </c>
      <c r="F700" s="109" t="inlineStr">
        <is>
          <t>700A</t>
        </is>
      </c>
      <c r="G700" s="109" t="inlineStr">
        <is>
          <t xml:space="preserve"> 700A - F223R CONTROLLO FUNZIONALE</t>
        </is>
      </c>
      <c r="H700" s="109" t="n"/>
      <c r="I700" s="109" t="n"/>
      <c r="J700" s="109" t="n"/>
      <c r="K700" s="109" t="n"/>
      <c r="L700" s="109" t="n"/>
      <c r="M700" s="110" t="inlineStr">
        <is>
          <t>DA CHIUDERE</t>
        </is>
      </c>
      <c r="N700" s="110" t="n"/>
      <c r="O700" s="110" t="n"/>
      <c r="P700" s="110" t="n"/>
      <c r="Q700" s="110" t="n"/>
      <c r="R700" s="151" t="n"/>
      <c r="S700" s="110" t="n"/>
      <c r="T700" s="109" t="inlineStr"/>
      <c r="U700" s="147" t="inlineStr"/>
    </row>
    <row r="701" ht="30" customHeight="1" s="122">
      <c r="A701" s="109" t="n"/>
      <c r="B701" s="108" t="n">
        <v>1</v>
      </c>
      <c r="C701" s="109" t="inlineStr"/>
      <c r="D701" s="109" t="inlineStr">
        <is>
          <t>AREA 3</t>
        </is>
      </c>
      <c r="E701" s="109" t="inlineStr">
        <is>
          <t>538075/C</t>
        </is>
      </c>
      <c r="F701" s="109" t="inlineStr">
        <is>
          <t>1200/3</t>
        </is>
      </c>
      <c r="G701" s="109" t="inlineStr">
        <is>
          <t>10225931 1200/3 - assistenza strumentale avviamento. controllo liv II vasca e pressostato Z3L501I e Z3P405R</t>
        </is>
      </c>
      <c r="H701" s="109" t="n"/>
      <c r="I701" s="109" t="n"/>
      <c r="J701" s="109" t="n"/>
      <c r="K701" s="109" t="n"/>
      <c r="L701" s="109" t="n"/>
      <c r="M701" s="110" t="inlineStr">
        <is>
          <t>DA CHIUDERE</t>
        </is>
      </c>
      <c r="N701" s="110" t="n"/>
      <c r="O701" s="110" t="n"/>
      <c r="P701" s="110" t="n"/>
      <c r="Q701" s="110" t="inlineStr">
        <is>
          <t xml:space="preserve">ESEGUITI CONTROLLI RIPRISTINANDO FUNZIONALITA' SU LIVELLO </t>
        </is>
      </c>
      <c r="R701" s="151" t="n">
        <v>45826</v>
      </c>
      <c r="S701" s="110" t="inlineStr">
        <is>
          <t>TARASCIO</t>
        </is>
      </c>
      <c r="T701" s="109" t="inlineStr"/>
      <c r="U701" s="147" t="inlineStr">
        <is>
          <t>10225931</t>
        </is>
      </c>
    </row>
    <row r="702">
      <c r="A702" s="109" t="n"/>
      <c r="B702" s="108" t="n">
        <v>3</v>
      </c>
      <c r="C702" s="109" t="inlineStr"/>
      <c r="D702" s="109" t="inlineStr">
        <is>
          <t>AREA 3</t>
        </is>
      </c>
      <c r="E702" s="109" t="inlineStr">
        <is>
          <t>541557/C</t>
        </is>
      </c>
      <c r="F702" s="109" t="inlineStr">
        <is>
          <t>1200</t>
        </is>
      </c>
      <c r="G702" s="109" t="inlineStr">
        <is>
          <t xml:space="preserve"> Z1B401U1  RIPRISTINO FUNZIONALITA FOTOCELLULA</t>
        </is>
      </c>
      <c r="H702" s="109" t="n"/>
      <c r="I702" s="109" t="n"/>
      <c r="J702" s="109" t="n"/>
      <c r="K702" s="109" t="n"/>
      <c r="L702" s="109" t="n"/>
      <c r="M702" s="110" t="inlineStr">
        <is>
          <t>DA CHIUDERE</t>
        </is>
      </c>
      <c r="N702" s="110" t="n"/>
      <c r="O702" s="110" t="n"/>
      <c r="P702" s="110" t="n"/>
      <c r="Q702" s="110" t="n"/>
      <c r="R702" s="151" t="n"/>
      <c r="S702" s="110" t="n"/>
      <c r="T702" s="109" t="inlineStr"/>
      <c r="U702" s="147" t="inlineStr"/>
    </row>
    <row r="703">
      <c r="A703" s="109" t="n"/>
      <c r="B703" s="108" t="n">
        <v>3</v>
      </c>
      <c r="C703" s="109" t="inlineStr"/>
      <c r="D703" s="109" t="inlineStr">
        <is>
          <t>AREA 3</t>
        </is>
      </c>
      <c r="E703" s="109" t="inlineStr">
        <is>
          <t>541559/C</t>
        </is>
      </c>
      <c r="F703" s="109" t="inlineStr">
        <is>
          <t>1200</t>
        </is>
      </c>
      <c r="G703" s="109" t="inlineStr">
        <is>
          <t xml:space="preserve"> Z3B401U1  RIPRISTINO FUNZIONALITA FOTOCELLULA</t>
        </is>
      </c>
      <c r="H703" s="109" t="n"/>
      <c r="I703" s="109" t="n"/>
      <c r="J703" s="109" t="n"/>
      <c r="K703" s="109" t="n"/>
      <c r="L703" s="109" t="n"/>
      <c r="M703" s="110" t="inlineStr">
        <is>
          <t>DA CHIUDERE</t>
        </is>
      </c>
      <c r="N703" s="110" t="n"/>
      <c r="O703" s="110" t="n"/>
      <c r="P703" s="110" t="n"/>
      <c r="Q703" s="110" t="n"/>
      <c r="R703" s="151" t="n"/>
      <c r="S703" s="110" t="n"/>
      <c r="T703" s="109" t="inlineStr"/>
      <c r="U703" s="147" t="inlineStr"/>
    </row>
    <row r="704">
      <c r="A704" s="109" t="n"/>
      <c r="B704" s="108" t="n"/>
      <c r="C704" s="109" t="inlineStr"/>
      <c r="D704" s="109" t="inlineStr">
        <is>
          <t>AREA 3</t>
        </is>
      </c>
      <c r="E704" s="109" t="inlineStr">
        <is>
          <t>542498/C</t>
        </is>
      </c>
      <c r="F704" s="109" t="inlineStr">
        <is>
          <t>1200</t>
        </is>
      </c>
      <c r="G704" s="109" t="inlineStr">
        <is>
          <t>10226491 1200M F705R CONTROLLO FUNZIONALE</t>
        </is>
      </c>
      <c r="H704" s="109" t="n"/>
      <c r="I704" s="109" t="n"/>
      <c r="J704" s="109" t="n"/>
      <c r="K704" s="109" t="n"/>
      <c r="L704" s="109" t="n"/>
      <c r="M704" s="110" t="inlineStr">
        <is>
          <t>DA CHIUDERE</t>
        </is>
      </c>
      <c r="N704" s="110" t="n"/>
      <c r="O704" s="110" t="n"/>
      <c r="P704" s="110" t="n"/>
      <c r="Q704" s="110" t="n"/>
      <c r="R704" s="151" t="n"/>
      <c r="S704" s="110" t="n"/>
      <c r="T704" s="109" t="inlineStr"/>
      <c r="U704" s="147" t="inlineStr">
        <is>
          <t>10226491</t>
        </is>
      </c>
    </row>
    <row r="705">
      <c r="A705" s="109" t="n"/>
      <c r="B705" s="108" t="inlineStr">
        <is>
          <t>X</t>
        </is>
      </c>
      <c r="C705" s="109" t="inlineStr"/>
      <c r="D705" s="109" t="inlineStr">
        <is>
          <t>AREA 3</t>
        </is>
      </c>
      <c r="E705" s="109" t="inlineStr">
        <is>
          <t>540025/C</t>
        </is>
      </c>
      <c r="F705" s="109" t="inlineStr">
        <is>
          <t>1400</t>
        </is>
      </c>
      <c r="G705" s="109" t="inlineStr">
        <is>
          <t>10225475 1400: RIPRISTINO LOOP DI REGOLAZIONE LRC-201</t>
        </is>
      </c>
      <c r="H705" s="109" t="n"/>
      <c r="I705" s="109" t="n"/>
      <c r="J705" s="109" t="n"/>
      <c r="K705" s="109" t="n"/>
      <c r="L705" s="109" t="n"/>
      <c r="M705" s="110" t="inlineStr">
        <is>
          <t>DA CHIUDERE</t>
        </is>
      </c>
      <c r="N705" s="110" t="n"/>
      <c r="O705" s="110" t="n"/>
      <c r="P705" s="110" t="n"/>
      <c r="Q705" s="110" t="inlineStr">
        <is>
          <t>RIPRISTINATA FUNZIONALITA'.</t>
        </is>
      </c>
      <c r="R705" s="151" t="n">
        <v>45835</v>
      </c>
      <c r="S705" s="110" t="inlineStr">
        <is>
          <t>TARASCIO</t>
        </is>
      </c>
      <c r="T705" s="109" t="inlineStr"/>
      <c r="U705" s="147" t="inlineStr">
        <is>
          <t>10225475</t>
        </is>
      </c>
    </row>
    <row r="706" ht="30" customHeight="1" s="122">
      <c r="A706" s="109" t="n"/>
      <c r="B706" s="109" t="inlineStr">
        <is>
          <t>X</t>
        </is>
      </c>
      <c r="C706" s="109" t="inlineStr"/>
      <c r="D706" s="109" t="inlineStr">
        <is>
          <t>AREA 3</t>
        </is>
      </c>
      <c r="E706" s="109" t="inlineStr">
        <is>
          <t>536404/C</t>
        </is>
      </c>
      <c r="F706" s="109" t="inlineStr">
        <is>
          <t>1200</t>
        </is>
      </c>
      <c r="G706" s="109" t="inlineStr">
        <is>
          <t>10222966 10222966 1200: Z0P902I controllo funzionale</t>
        </is>
      </c>
      <c r="H706" s="109" t="n"/>
      <c r="I706" s="109" t="n"/>
      <c r="J706" s="109" t="n"/>
      <c r="K706" s="109" t="n"/>
      <c r="L706" s="109" t="n"/>
      <c r="M706" s="109" t="inlineStr">
        <is>
          <t>DA CHIUDERE</t>
        </is>
      </c>
      <c r="N706" s="109" t="n"/>
      <c r="O706" s="109" t="n"/>
      <c r="P706" s="109" t="n"/>
      <c r="Q706" s="109" t="inlineStr">
        <is>
          <t>PULITO E SCARICATO STRUMENTO DI PRESSIONE, INSERITO E CONSEGNATO A ESE.</t>
        </is>
      </c>
      <c r="R706" s="151" t="n">
        <v>45838</v>
      </c>
      <c r="S706" s="109" t="inlineStr">
        <is>
          <t>TARASCIO/PARTESANO</t>
        </is>
      </c>
      <c r="T706" s="109" t="inlineStr"/>
      <c r="U706" s="109" t="inlineStr">
        <is>
          <t>10222966</t>
        </is>
      </c>
    </row>
    <row r="707" ht="30" customHeight="1" s="122">
      <c r="A707" s="109" t="n"/>
      <c r="B707" s="108" t="n">
        <v>3</v>
      </c>
      <c r="C707" s="109" t="inlineStr"/>
      <c r="D707" s="109" t="inlineStr">
        <is>
          <t>AREA 3</t>
        </is>
      </c>
      <c r="E707" s="109" t="inlineStr">
        <is>
          <t>539634/C</t>
        </is>
      </c>
      <c r="F707" s="109" t="inlineStr">
        <is>
          <t>1100</t>
        </is>
      </c>
      <c r="G707" s="109" t="inlineStr">
        <is>
          <t>10224034 1100 - verifica DP FIL102-F103 (testo esteso).</t>
        </is>
      </c>
      <c r="H707" s="109" t="n"/>
      <c r="I707" s="109" t="n"/>
      <c r="J707" s="109" t="n"/>
      <c r="K707" s="109" t="n"/>
      <c r="L707" s="109" t="n"/>
      <c r="M707" s="110" t="inlineStr">
        <is>
          <t>DA CHIUDERE</t>
        </is>
      </c>
      <c r="N707" s="110" t="n"/>
      <c r="O707" s="110" t="n"/>
      <c r="P707" s="110" t="n"/>
      <c r="Q707" s="110" t="inlineStr">
        <is>
          <t>SPURGATI NUOVAMENTE LE PRESE SUL FIL-102.MISURA ATTENDIBILE, CONSEGNATO A ESE.</t>
        </is>
      </c>
      <c r="R707" s="151" t="n">
        <v>45838</v>
      </c>
      <c r="S707" s="110" t="inlineStr">
        <is>
          <t>PARTESANO/TARASCIO</t>
        </is>
      </c>
      <c r="T707" s="109" t="inlineStr"/>
      <c r="U707" s="147" t="inlineStr">
        <is>
          <t>10224034</t>
        </is>
      </c>
    </row>
    <row r="708" ht="30" customHeight="1" s="122">
      <c r="A708" s="109" t="n"/>
      <c r="B708" s="108" t="n">
        <v>3</v>
      </c>
      <c r="C708" s="109" t="inlineStr"/>
      <c r="D708" s="109" t="inlineStr">
        <is>
          <t>AREA 3</t>
        </is>
      </c>
      <c r="E708" s="109" t="inlineStr">
        <is>
          <t>541150/C</t>
        </is>
      </c>
      <c r="F708" s="109" t="inlineStr">
        <is>
          <t>1200/4</t>
        </is>
      </c>
      <c r="G708" s="109" t="inlineStr">
        <is>
          <t>10225850 1200/4 - Z4F175R (AZOTO DA LIMITE BATTERIA)CONTROLLO E RIPRISTINO FUNZIONALITA PORTATA</t>
        </is>
      </c>
      <c r="H708" s="109" t="n"/>
      <c r="I708" s="109" t="n"/>
      <c r="J708" s="109" t="n"/>
      <c r="K708" s="109" t="n"/>
      <c r="L708" s="109" t="n"/>
      <c r="M708" s="110" t="inlineStr">
        <is>
          <t>DA CHIUDERE</t>
        </is>
      </c>
      <c r="N708" s="110" t="n"/>
      <c r="O708" s="110" t="n"/>
      <c r="P708" s="110" t="n"/>
      <c r="Q708" s="110" t="inlineStr">
        <is>
          <t>SOSTITUITO STRUMENTO, TARATO ED ALLINEATO CON SALA CONTROLLO</t>
        </is>
      </c>
      <c r="R708" s="151" t="n">
        <v>45840</v>
      </c>
      <c r="S708" s="110" t="inlineStr">
        <is>
          <t>SPINALI/ DE LUCA</t>
        </is>
      </c>
      <c r="T708" s="109" t="inlineStr"/>
      <c r="U708" s="147" t="inlineStr">
        <is>
          <t>10225850</t>
        </is>
      </c>
    </row>
    <row r="709" ht="30" customHeight="1" s="122">
      <c r="A709" s="109" t="n"/>
      <c r="B709" s="108" t="n">
        <v>3</v>
      </c>
      <c r="C709" s="109" t="inlineStr"/>
      <c r="D709" s="109" t="inlineStr">
        <is>
          <t>AREA 3</t>
        </is>
      </c>
      <c r="E709" s="109" t="inlineStr">
        <is>
          <t>540947/C</t>
        </is>
      </c>
      <c r="F709" s="109" t="inlineStr">
        <is>
          <t>1200/1</t>
        </is>
      </c>
      <c r="G709" s="109" t="inlineStr">
        <is>
          <t>10225816 IMP.1200/1 RIPRISTINO PALINA RIPETITORE INDICATO F306RC CON COSTRUZIONE STAFFA MECCANICA</t>
        </is>
      </c>
      <c r="H709" s="109" t="n"/>
      <c r="I709" s="109" t="n"/>
      <c r="J709" s="109" t="n"/>
      <c r="K709" s="109" t="n"/>
      <c r="L709" s="109" t="n"/>
      <c r="M709" s="110" t="inlineStr">
        <is>
          <t>DA CHIUDERE</t>
        </is>
      </c>
      <c r="N709" s="110" t="n"/>
      <c r="O709" s="110" t="n"/>
      <c r="P709" s="110" t="n"/>
      <c r="Q709" s="110" t="inlineStr">
        <is>
          <t>SOSTITUITA PALINA E RIPRISTINATO RIPETITORE LOCALE.</t>
        </is>
      </c>
      <c r="R709" s="151" t="n">
        <v>45840</v>
      </c>
      <c r="S709" s="110" t="inlineStr">
        <is>
          <t>SPINALI/ DE LUCA</t>
        </is>
      </c>
      <c r="T709" s="109" t="inlineStr"/>
      <c r="U709" s="147" t="inlineStr">
        <is>
          <t>10225816</t>
        </is>
      </c>
    </row>
    <row r="710" ht="30" customHeight="1" s="122">
      <c r="A710" s="109" t="n"/>
      <c r="B710" s="108" t="n"/>
      <c r="C710" s="109" t="inlineStr"/>
      <c r="D710" s="109" t="inlineStr">
        <is>
          <t>AREA 3</t>
        </is>
      </c>
      <c r="E710" s="109" t="inlineStr">
        <is>
          <t>542718/C</t>
        </is>
      </c>
      <c r="F710" s="109" t="inlineStr">
        <is>
          <t>1200/0</t>
        </is>
      </c>
      <c r="G710" s="109" t="inlineStr">
        <is>
          <t>10226540  1200/0: mtz Z0T976BBI</t>
        </is>
      </c>
      <c r="H710" s="109" t="n"/>
      <c r="I710" s="109" t="n"/>
      <c r="J710" s="109" t="n"/>
      <c r="K710" s="109" t="n"/>
      <c r="L710" s="109" t="n"/>
      <c r="M710" s="110" t="inlineStr">
        <is>
          <t>DA CHIUDERE</t>
        </is>
      </c>
      <c r="N710" s="110" t="n"/>
      <c r="O710" s="110" t="n"/>
      <c r="P710" s="110" t="n"/>
      <c r="Q710" s="110" t="inlineStr">
        <is>
          <t>NUSSUNA ANOMALIA DA SEGNALARE</t>
        </is>
      </c>
      <c r="R710" s="151" t="n">
        <v>45840</v>
      </c>
      <c r="S710" s="110" t="inlineStr">
        <is>
          <t>SPINALI/BAUDO</t>
        </is>
      </c>
      <c r="T710" s="109" t="inlineStr"/>
      <c r="U710" s="147" t="inlineStr">
        <is>
          <t>10226540</t>
        </is>
      </c>
    </row>
    <row r="711" ht="30" customHeight="1" s="122">
      <c r="A711" s="109" t="n"/>
      <c r="B711" s="108" t="n"/>
      <c r="C711" s="109" t="inlineStr"/>
      <c r="D711" s="109" t="inlineStr">
        <is>
          <t>AREA 3</t>
        </is>
      </c>
      <c r="E711" s="109" t="inlineStr">
        <is>
          <t>542717/C</t>
        </is>
      </c>
      <c r="F711" s="109" t="inlineStr">
        <is>
          <t>1200/0</t>
        </is>
      </c>
      <c r="G711" s="109" t="inlineStr">
        <is>
          <t>10226539  1200/0: mtz Z0T976BAI</t>
        </is>
      </c>
      <c r="H711" s="109" t="n"/>
      <c r="I711" s="109" t="n"/>
      <c r="J711" s="109" t="n"/>
      <c r="K711" s="109" t="n"/>
      <c r="L711" s="109" t="n"/>
      <c r="M711" s="110" t="inlineStr">
        <is>
          <t>DA CHIUDERE</t>
        </is>
      </c>
      <c r="N711" s="110" t="n"/>
      <c r="O711" s="110" t="n"/>
      <c r="P711" s="110" t="n"/>
      <c r="Q711" s="110" t="inlineStr">
        <is>
          <t>NUSSUNA ANOMALIA DA SEGNALARE</t>
        </is>
      </c>
      <c r="R711" s="151" t="n">
        <v>45840</v>
      </c>
      <c r="S711" s="110" t="inlineStr">
        <is>
          <t>SPINALI/BAUDO</t>
        </is>
      </c>
      <c r="T711" s="109" t="inlineStr"/>
      <c r="U711" s="147" t="inlineStr">
        <is>
          <t>10226539</t>
        </is>
      </c>
    </row>
    <row r="712" ht="30" customHeight="1" s="122">
      <c r="A712" s="109" t="n"/>
      <c r="B712" s="108" t="n"/>
      <c r="C712" s="109" t="inlineStr"/>
      <c r="D712" s="109" t="inlineStr">
        <is>
          <t>AREA 3</t>
        </is>
      </c>
      <c r="E712" s="109" t="inlineStr">
        <is>
          <t>542052/C</t>
        </is>
      </c>
      <c r="F712" s="109" t="inlineStr">
        <is>
          <t>1200</t>
        </is>
      </c>
      <c r="G712" s="109" t="inlineStr">
        <is>
          <t>10226371 1200/2: RIPRISTINO PALINA DI SUPPORTO RIPETITORI DI PORTATA NEI PRESSI DELLA PCV 305 LOCALI</t>
        </is>
      </c>
      <c r="H712" s="109" t="n"/>
      <c r="I712" s="109" t="n"/>
      <c r="J712" s="109" t="n"/>
      <c r="K712" s="109" t="n"/>
      <c r="L712" s="109" t="n"/>
      <c r="M712" s="110" t="inlineStr">
        <is>
          <t>DA CHIUDERE</t>
        </is>
      </c>
      <c r="N712" s="110" t="n"/>
      <c r="O712" s="110" t="n"/>
      <c r="P712" s="110" t="n"/>
      <c r="Q712" s="110" t="inlineStr">
        <is>
          <t>RIPRISTINATA PALINA</t>
        </is>
      </c>
      <c r="R712" s="151" t="n">
        <v>45841</v>
      </c>
      <c r="S712" s="110" t="inlineStr">
        <is>
          <t>DE LUCA</t>
        </is>
      </c>
      <c r="T712" s="109" t="inlineStr"/>
      <c r="U712" s="147" t="inlineStr">
        <is>
          <t>10226371</t>
        </is>
      </c>
    </row>
    <row r="713">
      <c r="A713" s="109" t="n"/>
      <c r="B713" s="108" t="n"/>
      <c r="C713" s="109" t="inlineStr"/>
      <c r="D713" s="109" t="inlineStr">
        <is>
          <t>AREA 3</t>
        </is>
      </c>
      <c r="E713" s="109" t="inlineStr">
        <is>
          <t>543275/C</t>
        </is>
      </c>
      <c r="F713" s="109" t="inlineStr">
        <is>
          <t>1200</t>
        </is>
      </c>
      <c r="G713" s="109" t="inlineStr">
        <is>
          <t>10226804 Z1f303RC linea 1 (aria primaria a Mea gas).CONTROLLO FUNZIONALE</t>
        </is>
      </c>
      <c r="H713" s="109" t="n"/>
      <c r="I713" s="109" t="n"/>
      <c r="J713" s="109" t="n"/>
      <c r="K713" s="109" t="n"/>
      <c r="L713" s="109" t="n"/>
      <c r="M713" s="110" t="inlineStr">
        <is>
          <t>DA CHIUDERE</t>
        </is>
      </c>
      <c r="N713" s="110" t="n"/>
      <c r="O713" s="110" t="n"/>
      <c r="P713" s="110" t="n"/>
      <c r="Q713" s="110" t="inlineStr">
        <is>
          <t>ESEGUITA STASATURA CON ESITO POSITIVO.</t>
        </is>
      </c>
      <c r="R713" s="151" t="n">
        <v>45845</v>
      </c>
      <c r="S713" s="110" t="inlineStr">
        <is>
          <t>TARASCIO</t>
        </is>
      </c>
      <c r="T713" s="109" t="inlineStr"/>
      <c r="U713" s="147" t="inlineStr">
        <is>
          <t>10226804</t>
        </is>
      </c>
    </row>
    <row r="714">
      <c r="A714" s="109" t="n"/>
      <c r="B714" s="109" t="n"/>
      <c r="C714" s="109" t="inlineStr"/>
      <c r="D714" s="109" t="inlineStr">
        <is>
          <t>AREA 3</t>
        </is>
      </c>
      <c r="E714" s="109" t="inlineStr">
        <is>
          <t>543808/C</t>
        </is>
      </c>
      <c r="F714" s="109" t="inlineStr">
        <is>
          <t>2200 BD</t>
        </is>
      </c>
      <c r="G714" s="109" t="inlineStr">
        <is>
          <t>10227021  2200: 22L518R ripristino</t>
        </is>
      </c>
      <c r="H714" s="109" t="n"/>
      <c r="I714" s="109" t="n"/>
      <c r="J714" s="109" t="n"/>
      <c r="K714" s="109" t="n"/>
      <c r="L714" s="109" t="n"/>
      <c r="M714" s="109" t="inlineStr">
        <is>
          <t>DA CHIUDERE</t>
        </is>
      </c>
      <c r="N714" s="109" t="n"/>
      <c r="O714" s="109" t="n"/>
      <c r="P714" s="109" t="n"/>
      <c r="Q714" s="109" t="inlineStr">
        <is>
          <t>NESSUN INTERVENTO, ANNULLATA RICHIESTA INTERVENTO</t>
        </is>
      </c>
      <c r="R714" s="151" t="n"/>
      <c r="S714" s="109" t="n"/>
      <c r="T714" s="109" t="inlineStr"/>
      <c r="U714" s="147" t="inlineStr">
        <is>
          <t>10227021</t>
        </is>
      </c>
    </row>
    <row r="715" ht="45" customHeight="1" s="122">
      <c r="A715" s="109" t="n"/>
      <c r="B715" s="108" t="n"/>
      <c r="C715" s="109" t="inlineStr"/>
      <c r="D715" s="109" t="inlineStr">
        <is>
          <t>AREA 3</t>
        </is>
      </c>
      <c r="E715" s="109" t="inlineStr">
        <is>
          <t>543685/C</t>
        </is>
      </c>
      <c r="F715" s="109" t="inlineStr">
        <is>
          <t>2200 BD</t>
        </is>
      </c>
      <c r="G715" s="109" t="inlineStr">
        <is>
          <t>10226981  22L301RC controllo funzionale</t>
        </is>
      </c>
      <c r="H715" s="109" t="n"/>
      <c r="I715" s="109" t="n"/>
      <c r="J715" s="109" t="n"/>
      <c r="K715" s="109" t="n"/>
      <c r="L715" s="109" t="n"/>
      <c r="M715" s="110" t="inlineStr">
        <is>
          <t>DA CHIUDERE</t>
        </is>
      </c>
      <c r="N715" s="110" t="n"/>
      <c r="O715" s="110" t="n"/>
      <c r="P715" s="110" t="n"/>
      <c r="Q715" s="110" t="inlineStr">
        <is>
          <t>ESEGUITA PULIZIA CANDELIERE CON RIPRISTINO DELLA FUNZIONALITA'. SI CONSIGLIA NUOVA INSTALLAZIONE DP (IN SOSTITUZIONE ONDA GUIDATA).</t>
        </is>
      </c>
      <c r="R715" s="151" t="n">
        <v>45847</v>
      </c>
      <c r="S715" s="110" t="inlineStr">
        <is>
          <t>TARASCIO/ALLEGRETTI</t>
        </is>
      </c>
      <c r="T715" s="109" t="inlineStr"/>
      <c r="U715" s="147" t="inlineStr">
        <is>
          <t>10226981</t>
        </is>
      </c>
    </row>
    <row r="716" ht="30" customHeight="1" s="122">
      <c r="A716" s="109" t="n"/>
      <c r="B716" s="108" t="n"/>
      <c r="C716" s="109" t="inlineStr"/>
      <c r="D716" s="109" t="inlineStr">
        <is>
          <t>AREA 3</t>
        </is>
      </c>
      <c r="E716" s="109" t="inlineStr">
        <is>
          <t>543287/C</t>
        </is>
      </c>
      <c r="F716" s="109" t="inlineStr">
        <is>
          <t>700</t>
        </is>
      </c>
      <c r="G716" s="109" t="inlineStr">
        <is>
          <t>10226805- 07T113I.PV: uscita E101 A/B lato gas D154 (strumento in bad)</t>
        </is>
      </c>
      <c r="H716" s="109" t="n"/>
      <c r="I716" s="109" t="n"/>
      <c r="J716" s="109" t="n"/>
      <c r="K716" s="109" t="n"/>
      <c r="L716" s="109" t="n"/>
      <c r="M716" s="110" t="inlineStr">
        <is>
          <t>DA CHIUDERE</t>
        </is>
      </c>
      <c r="N716" s="110" t="n"/>
      <c r="O716" s="110" t="n"/>
      <c r="P716" s="110" t="n"/>
      <c r="Q716" s="110" t="inlineStr">
        <is>
          <t>SERRAGGIO MORSETTI, LA MISURA SI E' RIPRISTINATA A DCS.</t>
        </is>
      </c>
      <c r="R716" s="151" t="n">
        <v>45847</v>
      </c>
      <c r="S716" s="110" t="inlineStr">
        <is>
          <t>TARASCIO/PARTESANO</t>
        </is>
      </c>
      <c r="T716" s="109" t="inlineStr"/>
      <c r="U716" s="147" t="inlineStr">
        <is>
          <t>10226805</t>
        </is>
      </c>
    </row>
    <row r="717" ht="30" customHeight="1" s="122">
      <c r="A717" s="109" t="n"/>
      <c r="B717" s="108" t="n"/>
      <c r="C717" s="109" t="inlineStr"/>
      <c r="D717" s="109" t="inlineStr">
        <is>
          <t>AREA 3</t>
        </is>
      </c>
      <c r="E717" s="109" t="inlineStr">
        <is>
          <t>543291/C</t>
        </is>
      </c>
      <c r="F717" s="109" t="inlineStr">
        <is>
          <t>700</t>
        </is>
      </c>
      <c r="G717" s="109" t="inlineStr">
        <is>
          <t>10226806- 07T114I.PV: uscita E101 C/D lato gas D154 (strumento in bad)</t>
        </is>
      </c>
      <c r="H717" s="109" t="n"/>
      <c r="I717" s="109" t="n"/>
      <c r="J717" s="109" t="n"/>
      <c r="K717" s="109" t="n"/>
      <c r="L717" s="109" t="n"/>
      <c r="M717" s="110" t="inlineStr">
        <is>
          <t>DA CHIUDERE</t>
        </is>
      </c>
      <c r="N717" s="110" t="n"/>
      <c r="O717" s="110" t="n"/>
      <c r="P717" s="110" t="n"/>
      <c r="Q717" s="110" t="inlineStr">
        <is>
          <t>SERRAGGIO MORSETTI, LA MISURA SI E' RIPRISTINATA A DCS.</t>
        </is>
      </c>
      <c r="R717" s="151" t="n">
        <v>45847</v>
      </c>
      <c r="S717" s="110" t="inlineStr">
        <is>
          <t>TARASCIO/PARTESANO</t>
        </is>
      </c>
      <c r="T717" s="109" t="inlineStr"/>
      <c r="U717" s="147" t="inlineStr">
        <is>
          <t>10226806</t>
        </is>
      </c>
    </row>
    <row r="718" ht="30" customHeight="1" s="122">
      <c r="A718" s="109" t="n"/>
      <c r="B718" s="109" t="n">
        <v>2</v>
      </c>
      <c r="C718" s="109" t="inlineStr"/>
      <c r="D718" s="109" t="inlineStr">
        <is>
          <t>AREA 3</t>
        </is>
      </c>
      <c r="E718" s="109" t="inlineStr">
        <is>
          <t>544286/C</t>
        </is>
      </c>
      <c r="F718" s="109" t="inlineStr">
        <is>
          <t>700A</t>
        </is>
      </c>
      <c r="G718" s="109" t="inlineStr">
        <is>
          <t>10222849 700A - MTZ 07L212RC controllo funzionale E210</t>
        </is>
      </c>
      <c r="H718" s="109" t="n"/>
      <c r="I718" s="109" t="n"/>
      <c r="J718" s="109" t="n"/>
      <c r="K718" s="109" t="n"/>
      <c r="L718" s="109" t="n"/>
      <c r="M718" s="110" t="inlineStr">
        <is>
          <t>DA CHIUDERE</t>
        </is>
      </c>
      <c r="N718" s="110" t="n"/>
      <c r="O718" s="110" t="n"/>
      <c r="P718" s="110" t="n"/>
      <c r="Q718" s="110" t="inlineStr">
        <is>
          <t>LIVELLO FUNZIONANTE, VALVOLA STARATA DEL 30% E RIPRISTINATA LA FUNZIONALITA'</t>
        </is>
      </c>
      <c r="R718" s="151" t="n">
        <v>45852</v>
      </c>
      <c r="S718" s="110" t="inlineStr">
        <is>
          <t>GARRO L.</t>
        </is>
      </c>
      <c r="T718" s="109" t="inlineStr"/>
      <c r="U718" s="109" t="inlineStr">
        <is>
          <t>10222849</t>
        </is>
      </c>
    </row>
    <row r="719" ht="30" customHeight="1" s="122">
      <c r="A719" s="109" t="n"/>
      <c r="B719" s="109" t="n">
        <v>2</v>
      </c>
      <c r="C719" s="109" t="inlineStr"/>
      <c r="D719" s="109" t="inlineStr">
        <is>
          <t>AREA 3</t>
        </is>
      </c>
      <c r="E719" s="109" t="inlineStr">
        <is>
          <t>544285/C</t>
        </is>
      </c>
      <c r="F719" s="109" t="inlineStr">
        <is>
          <t>2200</t>
        </is>
      </c>
      <c r="G719" s="109" t="inlineStr">
        <is>
          <t xml:space="preserve">10211871 2200 - 22F301RC controllo funzionale </t>
        </is>
      </c>
      <c r="H719" s="109" t="n"/>
      <c r="I719" s="109" t="n"/>
      <c r="J719" s="109" t="n"/>
      <c r="K719" s="109" t="n"/>
      <c r="L719" s="109" t="n"/>
      <c r="M719" s="110" t="inlineStr">
        <is>
          <t>DA CHIUDERE</t>
        </is>
      </c>
      <c r="N719" s="110" t="n"/>
      <c r="O719" s="110" t="n"/>
      <c r="P719" s="110" t="n"/>
      <c r="Q719" s="110" t="inlineStr">
        <is>
          <t>NESSUNA ANOMALIA DA SEGNALARE. STRUMENTO DOPPIO CON F302I, TRASMETTONO LA STESSA IDENTICA MISURA.</t>
        </is>
      </c>
      <c r="R719" s="151" t="n">
        <v>45853</v>
      </c>
      <c r="S719" s="110" t="inlineStr">
        <is>
          <t>MILLO/ALLEGRETTI</t>
        </is>
      </c>
      <c r="T719" s="109" t="inlineStr"/>
      <c r="U719" s="109" t="inlineStr">
        <is>
          <t>10211871</t>
        </is>
      </c>
    </row>
    <row r="720" ht="30" customHeight="1" s="122">
      <c r="A720" s="109" t="n"/>
      <c r="B720" s="108" t="n"/>
      <c r="C720" s="109" t="inlineStr"/>
      <c r="D720" s="109" t="inlineStr">
        <is>
          <t>AREA 3</t>
        </is>
      </c>
      <c r="E720" s="109" t="inlineStr">
        <is>
          <t>542283/C</t>
        </is>
      </c>
      <c r="F720" s="109" t="inlineStr">
        <is>
          <t>1400</t>
        </is>
      </c>
      <c r="G720" s="109" t="inlineStr">
        <is>
          <t>00000001 1400- D102N L102AT/BT CONTROLLO LIVELLI ACCUMULATORE ED EVENTUALI SMONTAGGI/RIMONTAGGI</t>
        </is>
      </c>
      <c r="H720" s="109" t="n"/>
      <c r="I720" s="109" t="n"/>
      <c r="J720" s="109" t="n"/>
      <c r="K720" s="109" t="n"/>
      <c r="L720" s="109" t="n"/>
      <c r="M720" s="110" t="inlineStr">
        <is>
          <t>DA CHIUDERE</t>
        </is>
      </c>
      <c r="N720" s="110" t="n"/>
      <c r="O720" s="110" t="inlineStr">
        <is>
          <t>X</t>
        </is>
      </c>
      <c r="P720" s="110" t="n"/>
      <c r="Q720" s="110" t="inlineStr">
        <is>
          <t>INSTALLATA NUOVA DP</t>
        </is>
      </c>
      <c r="R720" s="151" t="n">
        <v>45840</v>
      </c>
      <c r="S720" s="110" t="inlineStr">
        <is>
          <t>MILLO/ALLEGRETTI</t>
        </is>
      </c>
      <c r="T720" s="109" t="inlineStr"/>
      <c r="U720" s="147" t="inlineStr">
        <is>
          <t>00000001</t>
        </is>
      </c>
    </row>
    <row r="721" ht="30" customHeight="1" s="122">
      <c r="A721" s="109" t="n"/>
      <c r="B721" s="109" t="n"/>
      <c r="C721" s="109" t="inlineStr"/>
      <c r="D721" s="109" t="inlineStr">
        <is>
          <t>AREA 3</t>
        </is>
      </c>
      <c r="E721" s="109" t="inlineStr">
        <is>
          <t>544772/C</t>
        </is>
      </c>
      <c r="F721" s="109" t="inlineStr">
        <is>
          <t>1400</t>
        </is>
      </c>
      <c r="G721" s="109" t="inlineStr">
        <is>
          <t>1400L201RC (LIV.CONDENSATO A E203)CONTROLLO E RIPRISTINO FUNZIONALITA LIVELLO</t>
        </is>
      </c>
      <c r="H721" s="109" t="n"/>
      <c r="I721" s="109" t="n"/>
      <c r="J721" s="109" t="n"/>
      <c r="K721" s="109" t="n"/>
      <c r="L721" s="109" t="n"/>
      <c r="M721" s="109" t="inlineStr">
        <is>
          <t>DA CHIUDERE</t>
        </is>
      </c>
      <c r="N721" s="109" t="n"/>
      <c r="O721" s="109" t="n"/>
      <c r="P721" s="109" t="n"/>
      <c r="Q721" s="109" t="inlineStr">
        <is>
          <t>SOSTITUITO STRUMENTO</t>
        </is>
      </c>
      <c r="R721" s="151" t="n">
        <v>45855</v>
      </c>
      <c r="S721" s="109" t="inlineStr">
        <is>
          <t>MILLO/ALLEGRETTI</t>
        </is>
      </c>
      <c r="T721" s="109" t="inlineStr"/>
      <c r="U721" s="109" t="inlineStr"/>
    </row>
    <row r="722" ht="30" customHeight="1" s="122">
      <c r="A722" s="109" t="n"/>
      <c r="B722" s="108" t="n"/>
      <c r="C722" s="109" t="inlineStr"/>
      <c r="D722" s="109" t="inlineStr">
        <is>
          <t>AREA 3</t>
        </is>
      </c>
      <c r="E722" s="109" t="inlineStr">
        <is>
          <t>544806/C</t>
        </is>
      </c>
      <c r="F722" s="109" t="inlineStr">
        <is>
          <t>700</t>
        </is>
      </c>
      <c r="G722" s="109" t="inlineStr">
        <is>
          <t>700P101CSL (BASSA PRESSIONE OLIO LUBE P101C)CONTROLLO E RIPRISTINO FUNZIONALITA PRESSOSTATO</t>
        </is>
      </c>
      <c r="H722" s="109" t="n"/>
      <c r="I722" s="109" t="n"/>
      <c r="J722" s="109" t="n"/>
      <c r="K722" s="109" t="n"/>
      <c r="L722" s="109" t="n"/>
      <c r="M722" s="110" t="inlineStr">
        <is>
          <t>DA CHIUDERE</t>
        </is>
      </c>
      <c r="N722" s="110" t="n"/>
      <c r="O722" s="110" t="n"/>
      <c r="P722" s="110" t="n"/>
      <c r="Q722" s="110" t="inlineStr">
        <is>
          <t>STARATO DI ZERO, CORRETTO E RIPRISTINATA LA FUNZIONALITA'</t>
        </is>
      </c>
      <c r="R722" s="151" t="n">
        <v>45855</v>
      </c>
      <c r="S722" s="110" t="inlineStr">
        <is>
          <t>SPINALI</t>
        </is>
      </c>
      <c r="T722" s="109" t="inlineStr"/>
      <c r="U722" s="147" t="inlineStr"/>
    </row>
    <row r="723" ht="45" customHeight="1" s="122">
      <c r="A723" s="109" t="n"/>
      <c r="B723" s="108" t="n"/>
      <c r="C723" s="109" t="inlineStr"/>
      <c r="D723" s="109" t="inlineStr">
        <is>
          <t>AREA 3</t>
        </is>
      </c>
      <c r="E723" s="109" t="inlineStr">
        <is>
          <t>545204/C</t>
        </is>
      </c>
      <c r="F723" s="109" t="inlineStr">
        <is>
          <t>2400</t>
        </is>
      </c>
      <c r="G723" s="109" t="inlineStr">
        <is>
          <t>10227611  2400:  VERIFICA E TARATURA 24L606RC</t>
        </is>
      </c>
      <c r="H723" s="109" t="n"/>
      <c r="I723" s="109" t="n"/>
      <c r="J723" s="109" t="n"/>
      <c r="K723" s="109" t="n"/>
      <c r="L723" s="109" t="n"/>
      <c r="M723" s="110" t="inlineStr">
        <is>
          <t>DA CHIUDERE</t>
        </is>
      </c>
      <c r="N723" s="110" t="n"/>
      <c r="O723" s="110" t="n"/>
      <c r="P723" s="110" t="n"/>
      <c r="Q723" s="110" t="inlineStr">
        <is>
          <t>NULLA DA SEGNALARE SUL LIVELLO TRASMESSO, FUNZIONANTE ED ALLINEATO AL VISIVO. IL LIVELLOSTATO DI ALTO L-607HA ERA IN ALLARME NON VERITIERO, CONTROLLATO E SISTEMATO.</t>
        </is>
      </c>
      <c r="R723" s="151" t="n">
        <v>45859</v>
      </c>
      <c r="S723" s="110" t="inlineStr">
        <is>
          <t>MILLO</t>
        </is>
      </c>
      <c r="T723" s="109" t="inlineStr"/>
      <c r="U723" s="147" t="inlineStr">
        <is>
          <t>10227611</t>
        </is>
      </c>
    </row>
    <row r="724" ht="45" customHeight="1" s="122">
      <c r="A724" s="109" t="inlineStr">
        <is>
          <t>X</t>
        </is>
      </c>
      <c r="B724" s="108" t="n"/>
      <c r="C724" s="109" t="inlineStr"/>
      <c r="D724" s="109" t="inlineStr">
        <is>
          <t>AREA 3</t>
        </is>
      </c>
      <c r="E724" s="109" t="inlineStr">
        <is>
          <t>544100/C</t>
        </is>
      </c>
      <c r="F724" s="109" t="inlineStr">
        <is>
          <t>1200</t>
        </is>
      </c>
      <c r="G724" s="109" t="inlineStr">
        <is>
          <t>SD 1200/4 - SOSTITUZIONE TERMOMETRI (0-200c) E MANOMETRI (0-6 BAR) D101-102 E CIRCUITI UTILITIES PRESSO LIMITE BATTERIA. (N3 TERMOMETRI 0-250C)-(N3 MANOMETRI 0-10,n3 0-25, N3 0-60 BAR)</t>
        </is>
      </c>
      <c r="H724" s="109" t="n"/>
      <c r="I724" s="109" t="n"/>
      <c r="J724" s="109" t="n"/>
      <c r="K724" s="109" t="n"/>
      <c r="L724" s="109" t="n"/>
      <c r="M724" s="110" t="inlineStr">
        <is>
          <t>DA CHIUDERE</t>
        </is>
      </c>
      <c r="N724" s="110" t="n"/>
      <c r="O724" s="110" t="n"/>
      <c r="P724" s="110" t="n"/>
      <c r="Q724" s="110" t="n"/>
      <c r="R724" s="151" t="n"/>
      <c r="S724" s="110" t="n"/>
      <c r="T724" s="109" t="inlineStr"/>
      <c r="U724" s="147" t="inlineStr"/>
    </row>
    <row r="725" ht="45" customHeight="1" s="122">
      <c r="A725" s="109" t="n"/>
      <c r="B725" s="108" t="n"/>
      <c r="C725" s="109" t="inlineStr"/>
      <c r="D725" s="109" t="inlineStr">
        <is>
          <t>AREA 3</t>
        </is>
      </c>
      <c r="E725" s="109" t="inlineStr">
        <is>
          <t>544667/C</t>
        </is>
      </c>
      <c r="F725" s="109" t="inlineStr">
        <is>
          <t>1800</t>
        </is>
      </c>
      <c r="G725" s="109" t="inlineStr">
        <is>
          <t>10227342 1800/P102C  18T330I necessita controllo ed eventuale ripristino</t>
        </is>
      </c>
      <c r="H725" s="109" t="n"/>
      <c r="I725" s="109" t="n"/>
      <c r="J725" s="109" t="n"/>
      <c r="K725" s="109" t="n"/>
      <c r="L725" s="109" t="n"/>
      <c r="M725" s="110" t="inlineStr">
        <is>
          <t>DA CHIUDERE</t>
        </is>
      </c>
      <c r="N725" s="110" t="n"/>
      <c r="O725" s="110" t="n"/>
      <c r="P725" s="110" t="n"/>
      <c r="Q725" s="110" t="inlineStr">
        <is>
          <t>TROVATO FILO LENTO SULLA TESTINA, RIPRISTINATO E STAFFATA TERMORESISTENZA. ALLINEATA MISURA CON SALA CONTROLLO. IN CAMPO IL TAG E' TI339E.</t>
        </is>
      </c>
      <c r="R725" s="151" t="n">
        <v>45861</v>
      </c>
      <c r="S725" s="110" t="inlineStr">
        <is>
          <t>MILLO</t>
        </is>
      </c>
      <c r="T725" s="109" t="inlineStr"/>
      <c r="U725" s="147" t="inlineStr">
        <is>
          <t>10227342</t>
        </is>
      </c>
    </row>
    <row r="726">
      <c r="A726" s="109" t="n"/>
      <c r="B726" s="109" t="n"/>
      <c r="C726" s="109" t="inlineStr"/>
      <c r="D726" s="109" t="inlineStr">
        <is>
          <t>AREA 3</t>
        </is>
      </c>
      <c r="E726" s="109" t="inlineStr">
        <is>
          <t>543688/C</t>
        </is>
      </c>
      <c r="F726" s="109" t="inlineStr">
        <is>
          <t>2400</t>
        </is>
      </c>
      <c r="G726" s="109" t="inlineStr">
        <is>
          <t>10226982   2400-1-F606R controllo funzionale</t>
        </is>
      </c>
      <c r="H726" s="109" t="n"/>
      <c r="I726" s="109" t="n"/>
      <c r="J726" s="109" t="n"/>
      <c r="K726" s="109" t="n"/>
      <c r="L726" s="109" t="n"/>
      <c r="M726" s="109" t="inlineStr">
        <is>
          <t>DA CHIUDERE</t>
        </is>
      </c>
      <c r="N726" s="109" t="n"/>
      <c r="O726" s="109" t="n"/>
      <c r="P726" s="109" t="n"/>
      <c r="Q726" s="109" t="inlineStr">
        <is>
          <t xml:space="preserve">ESEGUITO CONTROLLO FUNZIONALE </t>
        </is>
      </c>
      <c r="R726" s="151" t="n">
        <v>45855</v>
      </c>
      <c r="S726" s="109" t="inlineStr">
        <is>
          <t>MILLO</t>
        </is>
      </c>
      <c r="T726" s="109" t="inlineStr"/>
      <c r="U726" s="109" t="inlineStr">
        <is>
          <t>10226982</t>
        </is>
      </c>
    </row>
    <row r="727" ht="30" customHeight="1" s="122">
      <c r="A727" s="109" t="n"/>
      <c r="B727" s="108" t="n"/>
      <c r="C727" s="109" t="inlineStr"/>
      <c r="D727" s="109" t="inlineStr">
        <is>
          <t>AREA 3</t>
        </is>
      </c>
      <c r="E727" s="109" t="inlineStr">
        <is>
          <t>545796/C</t>
        </is>
      </c>
      <c r="F727" s="109" t="inlineStr">
        <is>
          <t>1800</t>
        </is>
      </c>
      <c r="G727" s="109" t="inlineStr">
        <is>
          <t>10227903  1800: MTZ FCV045 controllo e ripristino funzionalit</t>
        </is>
      </c>
      <c r="H727" s="109" t="n"/>
      <c r="I727" s="109" t="n"/>
      <c r="J727" s="109" t="n"/>
      <c r="K727" s="109" t="n"/>
      <c r="L727" s="109" t="n"/>
      <c r="M727" s="110" t="inlineStr">
        <is>
          <t>DA CHIUDERE</t>
        </is>
      </c>
      <c r="N727" s="110" t="n"/>
      <c r="O727" s="110" t="n"/>
      <c r="P727" s="110" t="n"/>
      <c r="Q727" s="110" t="inlineStr">
        <is>
          <t>TIRATO PRESSATRECCIA VALVOLA PER PERDITA PRODOTTO. CONTROLLO FUNZIONALE, OK. VALVOLA CONSEGNATA</t>
        </is>
      </c>
      <c r="R727" s="151" t="n">
        <v>45867</v>
      </c>
      <c r="S727" s="110" t="inlineStr">
        <is>
          <t>GARRO/MILLO</t>
        </is>
      </c>
      <c r="T727" s="109" t="inlineStr"/>
      <c r="U727" s="147" t="inlineStr">
        <is>
          <t>10227903</t>
        </is>
      </c>
    </row>
    <row r="728" ht="30" customHeight="1" s="122">
      <c r="A728" s="109" t="n"/>
      <c r="B728" s="109" t="n"/>
      <c r="C728" s="109" t="inlineStr"/>
      <c r="D728" s="109" t="inlineStr">
        <is>
          <t>AREA 3</t>
        </is>
      </c>
      <c r="E728" s="109" t="inlineStr">
        <is>
          <t>545703/C</t>
        </is>
      </c>
      <c r="F728" s="109" t="inlineStr">
        <is>
          <t>1800</t>
        </is>
      </c>
      <c r="G728" s="109" t="inlineStr">
        <is>
          <t>18000155950  1800 - P102A Smontaggio/Rimontaggio sonda supporto cuscinetto LOG</t>
        </is>
      </c>
      <c r="H728" s="109" t="n"/>
      <c r="I728" s="109" t="n"/>
      <c r="J728" s="109" t="n"/>
      <c r="K728" s="109" t="n"/>
      <c r="L728" s="109" t="n"/>
      <c r="M728" s="109" t="inlineStr">
        <is>
          <t>DA CHIUDERE</t>
        </is>
      </c>
      <c r="N728" s="109" t="n"/>
      <c r="O728" s="109" t="n"/>
      <c r="P728" s="109" t="n"/>
      <c r="Q728" s="109" t="inlineStr">
        <is>
          <t xml:space="preserve">SMONTATE E RIMONTATE SONDE.
</t>
        </is>
      </c>
      <c r="R728" s="151" t="n">
        <v>45868</v>
      </c>
      <c r="S728" s="109" t="inlineStr">
        <is>
          <t>MILLO</t>
        </is>
      </c>
      <c r="T728" s="109" t="inlineStr"/>
      <c r="U728" s="109" t="inlineStr">
        <is>
          <t>18000155</t>
        </is>
      </c>
    </row>
    <row r="729" ht="45" customHeight="1" s="122">
      <c r="A729" s="109" t="n"/>
      <c r="B729" s="108" t="n"/>
      <c r="C729" s="109" t="inlineStr"/>
      <c r="D729" s="109" t="inlineStr">
        <is>
          <t>AREA 3</t>
        </is>
      </c>
      <c r="E729" s="109" t="inlineStr">
        <is>
          <t>545915/C</t>
        </is>
      </c>
      <c r="F729" s="109" t="inlineStr">
        <is>
          <t>2200 BD</t>
        </is>
      </c>
      <c r="G729" s="109" t="inlineStr">
        <is>
          <t>10227999  2200: MTZ 22L534R controllo e ripristino</t>
        </is>
      </c>
      <c r="H729" s="109" t="n"/>
      <c r="I729" s="109" t="n"/>
      <c r="J729" s="109" t="n"/>
      <c r="K729" s="109" t="n"/>
      <c r="L729" s="109" t="n"/>
      <c r="M729" s="110" t="inlineStr">
        <is>
          <t>DA CHIUDERE</t>
        </is>
      </c>
      <c r="N729" s="110" t="n"/>
      <c r="O729" s="110" t="n"/>
      <c r="P729" s="110" t="n"/>
      <c r="Q729" s="110" t="inlineStr">
        <is>
          <t>GRUPPO BYPASS STRUMENTO CON MANIFOLD SPEZZATO. DA SOSTITUIRE INSIEME A STRUMENTO OBSOLETO.
SOSTITUITO LIVELLO, ESEHUITA TARATURA E CONSEGNATO AD ESE.</t>
        </is>
      </c>
      <c r="R729" s="151" t="n">
        <v>45868</v>
      </c>
      <c r="S729" s="110" t="inlineStr">
        <is>
          <t>MILLO</t>
        </is>
      </c>
      <c r="T729" s="109" t="inlineStr"/>
      <c r="U729" s="147" t="inlineStr">
        <is>
          <t>10227999</t>
        </is>
      </c>
    </row>
    <row r="730" ht="30" customHeight="1" s="122">
      <c r="A730" s="109" t="n"/>
      <c r="B730" s="109" t="n"/>
      <c r="C730" s="109" t="inlineStr"/>
      <c r="D730" s="109" t="inlineStr">
        <is>
          <t>AREA 3</t>
        </is>
      </c>
      <c r="E730" s="109" t="inlineStr">
        <is>
          <t>544577/C</t>
        </is>
      </c>
      <c r="F730" s="109" t="inlineStr">
        <is>
          <t>1100</t>
        </is>
      </c>
      <c r="G730" s="109" t="inlineStr">
        <is>
          <t>10227311  imp. 1100 TRC007 IN BAD controllo e ripristino funzionale</t>
        </is>
      </c>
      <c r="H730" s="109" t="n"/>
      <c r="I730" s="109" t="n"/>
      <c r="J730" s="109" t="n"/>
      <c r="K730" s="109" t="n"/>
      <c r="L730" s="109" t="n"/>
      <c r="M730" s="109" t="inlineStr">
        <is>
          <t>DA CHIUDERE</t>
        </is>
      </c>
      <c r="N730" s="109" t="n"/>
      <c r="O730" s="109" t="n"/>
      <c r="P730" s="109" t="n"/>
      <c r="Q730" s="109" t="inlineStr">
        <is>
          <t>TROVATA POLARITA' INVERTITA SU SEGNALE ANALOGICO. SISTEMATA ED ALLINEATA MISURA A DCS</t>
        </is>
      </c>
      <c r="R730" s="151" t="n"/>
      <c r="S730" s="109" t="n"/>
      <c r="T730" s="109" t="inlineStr"/>
      <c r="U730" s="109" t="inlineStr">
        <is>
          <t>10227311</t>
        </is>
      </c>
    </row>
    <row r="731">
      <c r="A731" s="109" t="n"/>
      <c r="B731" s="108" t="n"/>
      <c r="C731" s="109" t="inlineStr"/>
      <c r="D731" s="109" t="inlineStr">
        <is>
          <t>AREA 3</t>
        </is>
      </c>
      <c r="E731" s="109" t="inlineStr">
        <is>
          <t>545575/C</t>
        </is>
      </c>
      <c r="F731" s="109" t="inlineStr">
        <is>
          <t>700</t>
        </is>
      </c>
      <c r="G731" s="109" t="inlineStr">
        <is>
          <t>10227790 - 700: VERIFICA 07T165I</t>
        </is>
      </c>
      <c r="H731" s="109" t="n"/>
      <c r="I731" s="109" t="n"/>
      <c r="J731" s="109" t="n"/>
      <c r="K731" s="109" t="n"/>
      <c r="L731" s="109" t="n"/>
      <c r="M731" s="110" t="inlineStr">
        <is>
          <t>DA CHIUDERE</t>
        </is>
      </c>
      <c r="N731" s="110" t="n"/>
      <c r="O731" s="110" t="n"/>
      <c r="P731" s="110" t="n"/>
      <c r="Q731" s="110" t="inlineStr">
        <is>
          <t>NULLA DA SEGNALARE .</t>
        </is>
      </c>
      <c r="R731" s="151" t="n"/>
      <c r="S731" s="110" t="n"/>
      <c r="T731" s="109" t="inlineStr"/>
      <c r="U731" s="147" t="inlineStr">
        <is>
          <t>10227790</t>
        </is>
      </c>
    </row>
    <row r="732" ht="30" customHeight="1" s="122">
      <c r="A732" s="109" t="n"/>
      <c r="B732" s="109" t="n"/>
      <c r="C732" s="109" t="inlineStr"/>
      <c r="D732" s="109" t="inlineStr">
        <is>
          <t>AREA 3</t>
        </is>
      </c>
      <c r="E732" s="109" t="inlineStr">
        <is>
          <t>543499/C</t>
        </is>
      </c>
      <c r="F732" s="109" t="inlineStr">
        <is>
          <t>700</t>
        </is>
      </c>
      <c r="G732" s="109" t="inlineStr">
        <is>
          <t>10226908 700: Controllo pressostato LUBE P101C   pressostato7P101cSL</t>
        </is>
      </c>
      <c r="H732" s="109" t="n"/>
      <c r="I732" s="109" t="n"/>
      <c r="J732" s="109" t="n"/>
      <c r="K732" s="109" t="n"/>
      <c r="L732" s="109" t="n"/>
      <c r="M732" s="109" t="inlineStr">
        <is>
          <t>DA CHIUDERE</t>
        </is>
      </c>
      <c r="N732" s="109" t="n"/>
      <c r="O732" s="109" t="n"/>
      <c r="P732" s="109" t="n"/>
      <c r="Q732" s="109" t="inlineStr">
        <is>
          <t>LINEA TAPPATA. NESSUNA ANOMALIA SU PRESSOSTATO. RIPRISTINATA FUNZIONALITA'</t>
        </is>
      </c>
      <c r="R732" s="151" t="n">
        <v>45754</v>
      </c>
      <c r="S732" s="109" t="inlineStr">
        <is>
          <t>TARASCIO</t>
        </is>
      </c>
      <c r="T732" s="109" t="inlineStr"/>
      <c r="U732" s="147" t="inlineStr">
        <is>
          <t>10226908</t>
        </is>
      </c>
    </row>
    <row r="733">
      <c r="A733" s="109" t="n"/>
      <c r="B733" s="109" t="n"/>
      <c r="C733" s="109" t="inlineStr"/>
      <c r="D733" s="109" t="inlineStr">
        <is>
          <t>AREA 3</t>
        </is>
      </c>
      <c r="E733" s="109" t="inlineStr">
        <is>
          <t>542163/C</t>
        </is>
      </c>
      <c r="F733" s="109" t="inlineStr">
        <is>
          <t>800</t>
        </is>
      </c>
      <c r="G733" s="109" t="inlineStr">
        <is>
          <t xml:space="preserve"> 08-F159R 08-F162R 08 F158BR  CONTROLLO FUNZIONALE</t>
        </is>
      </c>
      <c r="H733" s="109" t="n"/>
      <c r="I733" s="109" t="n"/>
      <c r="J733" s="109" t="n"/>
      <c r="K733" s="109" t="n"/>
      <c r="L733" s="109" t="n"/>
      <c r="M733" s="109" t="inlineStr">
        <is>
          <t>DA CHIUDERE</t>
        </is>
      </c>
      <c r="N733" s="109" t="n"/>
      <c r="O733" s="109" t="n"/>
      <c r="P733" s="109" t="n"/>
      <c r="Q733" s="109" t="inlineStr">
        <is>
          <t>NESSUNA ANOMALIA</t>
        </is>
      </c>
      <c r="R733" s="151" t="n">
        <v>45833</v>
      </c>
      <c r="S733" s="109" t="inlineStr">
        <is>
          <t>TARASCIO</t>
        </is>
      </c>
      <c r="T733" s="109" t="inlineStr"/>
      <c r="U733" s="147" t="inlineStr"/>
    </row>
    <row r="734" ht="30" customHeight="1" s="122">
      <c r="A734" s="109" t="n"/>
      <c r="B734" s="108" t="n"/>
      <c r="C734" s="109" t="inlineStr"/>
      <c r="D734" s="109" t="inlineStr">
        <is>
          <t>AREA 3</t>
        </is>
      </c>
      <c r="E734" s="109" t="inlineStr">
        <is>
          <t>547324/C</t>
        </is>
      </c>
      <c r="F734" s="109" t="inlineStr">
        <is>
          <t>2200 BD</t>
        </is>
      </c>
      <c r="G734" s="109" t="inlineStr">
        <is>
          <t>10228612    22L518R   RIPRISTINO   funzionale</t>
        </is>
      </c>
      <c r="H734" s="109" t="n"/>
      <c r="I734" s="109" t="n"/>
      <c r="J734" s="109" t="n"/>
      <c r="K734" s="109" t="n"/>
      <c r="L734" s="109" t="n"/>
      <c r="M734" s="110" t="inlineStr">
        <is>
          <t>DA CHIUDERE</t>
        </is>
      </c>
      <c r="N734" s="110" t="n"/>
      <c r="O734" s="110" t="n"/>
      <c r="P734" s="110" t="n"/>
      <c r="Q734" s="110" t="inlineStr">
        <is>
          <t>CONTROLLO FUNZIONE LIVELLO, LAVAGGIO TESTINA CON ACQUA, LAVAGGIO TUBO DI CALMA. INSERITO OK.</t>
        </is>
      </c>
      <c r="R734" s="151" t="n">
        <v>45881</v>
      </c>
      <c r="S734" s="110" t="inlineStr">
        <is>
          <t>SPINALI</t>
        </is>
      </c>
      <c r="T734" s="109" t="inlineStr"/>
      <c r="U734" s="147" t="inlineStr">
        <is>
          <t>10228612</t>
        </is>
      </c>
    </row>
    <row r="735" ht="30" customHeight="1" s="122">
      <c r="A735" s="109" t="n"/>
      <c r="B735" s="109" t="n"/>
      <c r="C735" s="109" t="inlineStr"/>
      <c r="D735" s="109" t="inlineStr">
        <is>
          <t>AREA 3</t>
        </is>
      </c>
      <c r="E735" s="109" t="inlineStr">
        <is>
          <t>547325/C</t>
        </is>
      </c>
      <c r="F735" s="109" t="inlineStr">
        <is>
          <t>1400</t>
        </is>
      </c>
      <c r="G735" s="109" t="inlineStr">
        <is>
          <t>10228613    1400: MTZ PRC106   RIPRISTINO   funzionale</t>
        </is>
      </c>
      <c r="H735" s="109" t="n"/>
      <c r="I735" s="109" t="n"/>
      <c r="J735" s="109" t="n"/>
      <c r="K735" s="109" t="n"/>
      <c r="L735" s="109" t="n"/>
      <c r="M735" s="109" t="inlineStr">
        <is>
          <t>DA CHIUDERE</t>
        </is>
      </c>
      <c r="N735" s="109" t="n"/>
      <c r="O735" s="109" t="n"/>
      <c r="P735" s="109" t="n"/>
      <c r="Q735" s="109" t="inlineStr">
        <is>
          <t>CONTROLLO FUNZIONALE SULLO STRUMENTO, NULLA DA SEGNALARE.</t>
        </is>
      </c>
      <c r="R735" s="151" t="n">
        <v>45882</v>
      </c>
      <c r="S735" s="109" t="inlineStr">
        <is>
          <t>MILLO</t>
        </is>
      </c>
      <c r="T735" s="109" t="inlineStr"/>
      <c r="U735" s="109" t="inlineStr">
        <is>
          <t>10228613</t>
        </is>
      </c>
    </row>
    <row r="736">
      <c r="A736" s="109" t="n"/>
      <c r="B736" s="108" t="n"/>
      <c r="C736" s="109" t="inlineStr"/>
      <c r="D736" s="109" t="inlineStr">
        <is>
          <t>AREA 3</t>
        </is>
      </c>
      <c r="E736" s="109" t="inlineStr">
        <is>
          <t>547377/C</t>
        </is>
      </c>
      <c r="F736" s="109" t="inlineStr">
        <is>
          <t>1200</t>
        </is>
      </c>
      <c r="G736" s="109" t="inlineStr">
        <is>
          <t>1200/4 ripristino JB A5 DOPPINI AMMALIRATI</t>
        </is>
      </c>
      <c r="H736" s="109" t="n"/>
      <c r="I736" s="109" t="n"/>
      <c r="J736" s="109" t="n"/>
      <c r="K736" s="109" t="n"/>
      <c r="L736" s="109" t="n"/>
      <c r="M736" s="110" t="inlineStr">
        <is>
          <t>DA CHIUDERE</t>
        </is>
      </c>
      <c r="N736" s="110" t="n"/>
      <c r="O736" s="110" t="n"/>
      <c r="P736" s="110" t="n"/>
      <c r="Q736" s="110" t="inlineStr">
        <is>
          <t>LAVORO COMPLETATO. A CURA CAVALIERE E CAVALLO</t>
        </is>
      </c>
      <c r="R736" s="151" t="n">
        <v>45882</v>
      </c>
      <c r="S736" s="110" t="inlineStr">
        <is>
          <t>CAVALIERE</t>
        </is>
      </c>
      <c r="T736" s="109" t="inlineStr"/>
      <c r="U736" s="147" t="inlineStr"/>
    </row>
    <row r="737">
      <c r="A737" s="109" t="n"/>
      <c r="B737" s="108" t="n"/>
      <c r="C737" s="109" t="inlineStr"/>
      <c r="D737" s="109" t="inlineStr">
        <is>
          <t>AREA 3</t>
        </is>
      </c>
      <c r="E737" s="109" t="inlineStr">
        <is>
          <t>548439/C</t>
        </is>
      </c>
      <c r="F737" s="109" t="inlineStr">
        <is>
          <t>700</t>
        </is>
      </c>
      <c r="G737" s="109" t="inlineStr">
        <is>
          <t>700- F101N  RIPRISTINO FUNZIONALE FOTOCELLULA BRUCIATORE A</t>
        </is>
      </c>
      <c r="H737" s="109" t="n"/>
      <c r="I737" s="109" t="n"/>
      <c r="J737" s="109" t="n"/>
      <c r="K737" s="109" t="n"/>
      <c r="L737" s="109" t="n"/>
      <c r="M737" s="110" t="inlineStr">
        <is>
          <t>DA CHIUDERE</t>
        </is>
      </c>
      <c r="N737" s="110" t="n"/>
      <c r="O737" s="110" t="n"/>
      <c r="P737" s="110" t="n"/>
      <c r="Q737" s="110" t="n"/>
      <c r="R737" s="151" t="n">
        <v>45891</v>
      </c>
      <c r="S737" s="110" t="inlineStr">
        <is>
          <t>RICIPUTO</t>
        </is>
      </c>
      <c r="T737" s="109" t="inlineStr"/>
      <c r="U737" s="147" t="inlineStr"/>
    </row>
    <row r="738">
      <c r="A738" s="109" t="n"/>
      <c r="B738" s="108" t="n"/>
      <c r="C738" s="109" t="inlineStr"/>
      <c r="D738" s="109" t="inlineStr">
        <is>
          <t>AREA 3</t>
        </is>
      </c>
      <c r="E738" s="109" t="inlineStr">
        <is>
          <t>547813/C</t>
        </is>
      </c>
      <c r="F738" s="109" t="inlineStr">
        <is>
          <t>1800</t>
        </is>
      </c>
      <c r="G738" s="109" t="inlineStr">
        <is>
          <t>1800 102A RIFACIMENTO TRACCIA DI VAPORE SU STRUMENTAZIONE F058R F059R F060R</t>
        </is>
      </c>
      <c r="H738" s="109" t="n"/>
      <c r="I738" s="109" t="n"/>
      <c r="J738" s="109" t="n"/>
      <c r="K738" s="109" t="n"/>
      <c r="L738" s="109" t="n"/>
      <c r="M738" s="110" t="inlineStr">
        <is>
          <t>DA CHIUDERE</t>
        </is>
      </c>
      <c r="N738" s="110" t="n"/>
      <c r="O738" s="110" t="n"/>
      <c r="P738" s="110" t="n"/>
      <c r="Q738" s="110" t="n"/>
      <c r="R738" s="151" t="n">
        <v>45891</v>
      </c>
      <c r="S738" s="110" t="inlineStr">
        <is>
          <t>DE LUCA</t>
        </is>
      </c>
      <c r="T738" s="109" t="inlineStr"/>
      <c r="U738" s="147" t="inlineStr"/>
    </row>
    <row r="739">
      <c r="A739" s="109" t="n"/>
      <c r="B739" s="108" t="n"/>
      <c r="C739" s="109" t="inlineStr"/>
      <c r="D739" s="109" t="inlineStr">
        <is>
          <t>AREA 3</t>
        </is>
      </c>
      <c r="E739" s="109" t="inlineStr">
        <is>
          <t>547316/C</t>
        </is>
      </c>
      <c r="F739" s="109" t="inlineStr">
        <is>
          <t>1400</t>
        </is>
      </c>
      <c r="G739" s="109" t="inlineStr">
        <is>
          <t>1400 L001RB CONTROLLO FUNZIONALE</t>
        </is>
      </c>
      <c r="H739" s="109" t="n"/>
      <c r="I739" s="109" t="n"/>
      <c r="J739" s="109" t="n"/>
      <c r="K739" s="109" t="n"/>
      <c r="L739" s="109" t="n"/>
      <c r="M739" s="110" t="inlineStr">
        <is>
          <t>DA CHIUDERE</t>
        </is>
      </c>
      <c r="N739" s="110" t="n"/>
      <c r="O739" s="110" t="n"/>
      <c r="P739" s="110" t="n"/>
      <c r="Q739" s="110" t="n"/>
      <c r="R739" s="151" t="n"/>
      <c r="S739" s="110" t="n"/>
      <c r="T739" s="109" t="inlineStr"/>
      <c r="U739" s="147" t="inlineStr"/>
    </row>
    <row r="740">
      <c r="A740" s="109" t="n"/>
      <c r="B740" s="108" t="n"/>
      <c r="C740" s="109" t="inlineStr"/>
      <c r="D740" s="109" t="inlineStr">
        <is>
          <t>AREA 3</t>
        </is>
      </c>
      <c r="E740" s="109" t="inlineStr">
        <is>
          <t>548598/C</t>
        </is>
      </c>
      <c r="F740" s="109" t="inlineStr">
        <is>
          <t>800</t>
        </is>
      </c>
      <c r="G740" s="109" t="inlineStr">
        <is>
          <t>800-F139R RIFACIMENTO PRIMARI E SUCCESSIVO CONTROLLO FUNZIONALE</t>
        </is>
      </c>
      <c r="H740" s="109" t="n"/>
      <c r="I740" s="109" t="n"/>
      <c r="J740" s="109" t="n"/>
      <c r="K740" s="109" t="n"/>
      <c r="L740" s="109" t="n"/>
      <c r="M740" s="110" t="inlineStr">
        <is>
          <t>DA CHIUDERE</t>
        </is>
      </c>
      <c r="N740" s="110" t="n"/>
      <c r="O740" s="110" t="n"/>
      <c r="P740" s="110" t="n"/>
      <c r="Q740" s="110" t="n"/>
      <c r="R740" s="151" t="n">
        <v>45896</v>
      </c>
      <c r="S740" s="110" t="inlineStr">
        <is>
          <t>DE LUCA</t>
        </is>
      </c>
      <c r="T740" s="109" t="inlineStr"/>
      <c r="U740" s="147" t="inlineStr"/>
    </row>
    <row r="741">
      <c r="A741" s="109" t="n"/>
      <c r="B741" s="109" t="n"/>
      <c r="C741" s="109" t="inlineStr"/>
      <c r="D741" s="109" t="inlineStr">
        <is>
          <t>AREA 3</t>
        </is>
      </c>
      <c r="E741" s="109" t="inlineStr">
        <is>
          <t>549321/C</t>
        </is>
      </c>
      <c r="F741" s="109" t="inlineStr">
        <is>
          <t>700</t>
        </is>
      </c>
      <c r="G741" s="109" t="inlineStr">
        <is>
          <t>10229700   700: AVVISO PR1 RIPR FOTOCELLULA F101N bruciatore C</t>
        </is>
      </c>
      <c r="H741" s="109" t="n"/>
      <c r="I741" s="109" t="n"/>
      <c r="J741" s="109" t="n"/>
      <c r="K741" s="109" t="n"/>
      <c r="L741" s="109" t="n"/>
      <c r="M741" s="109" t="inlineStr">
        <is>
          <t>DA CHIUDERE</t>
        </is>
      </c>
      <c r="N741" s="109" t="n"/>
      <c r="O741" s="109" t="n"/>
      <c r="P741" s="109" t="n"/>
      <c r="Q741" s="109" t="n"/>
      <c r="R741" s="151" t="n"/>
      <c r="S741" s="109" t="n"/>
      <c r="T741" s="109" t="inlineStr"/>
      <c r="U741" s="109" t="inlineStr">
        <is>
          <t>10229700</t>
        </is>
      </c>
    </row>
    <row r="742">
      <c r="A742" s="109" t="n"/>
      <c r="B742" s="108" t="n"/>
      <c r="C742" s="109" t="inlineStr"/>
      <c r="D742" s="109" t="inlineStr">
        <is>
          <t>AREA 3</t>
        </is>
      </c>
      <c r="E742" s="109" t="inlineStr">
        <is>
          <t>548508/C</t>
        </is>
      </c>
      <c r="F742" s="109" t="inlineStr">
        <is>
          <t>1200</t>
        </is>
      </c>
      <c r="G742" s="109" t="inlineStr">
        <is>
          <t>10229300   1200/1: TARATURA  Z1F201RC</t>
        </is>
      </c>
      <c r="H742" s="109" t="n"/>
      <c r="I742" s="109" t="n"/>
      <c r="J742" s="109" t="n"/>
      <c r="K742" s="109" t="n"/>
      <c r="L742" s="109" t="n"/>
      <c r="M742" s="110" t="inlineStr">
        <is>
          <t>DA CHIUDERE</t>
        </is>
      </c>
      <c r="N742" s="110" t="n"/>
      <c r="O742" s="110" t="n"/>
      <c r="P742" s="110" t="n"/>
      <c r="Q742" s="110" t="n"/>
      <c r="R742" s="151" t="n">
        <v>45903</v>
      </c>
      <c r="S742" s="110" t="inlineStr">
        <is>
          <t>TARASCIO</t>
        </is>
      </c>
      <c r="T742" s="109" t="inlineStr"/>
      <c r="U742" s="147" t="inlineStr">
        <is>
          <t>10229300</t>
        </is>
      </c>
    </row>
    <row r="743">
      <c r="A743" s="109" t="n"/>
      <c r="B743" s="109" t="n"/>
      <c r="C743" s="109" t="inlineStr"/>
      <c r="D743" s="109" t="inlineStr">
        <is>
          <t>AREA 3</t>
        </is>
      </c>
      <c r="E743" s="109" t="inlineStr">
        <is>
          <t>548512/C</t>
        </is>
      </c>
      <c r="F743" s="109" t="inlineStr">
        <is>
          <t>1200</t>
        </is>
      </c>
      <c r="G743" s="109" t="inlineStr">
        <is>
          <t>10229301   1200/1: taratura  Z1F204IC</t>
        </is>
      </c>
      <c r="H743" s="109" t="n"/>
      <c r="I743" s="109" t="n"/>
      <c r="J743" s="109" t="n"/>
      <c r="K743" s="109" t="n"/>
      <c r="L743" s="109" t="n"/>
      <c r="M743" s="109" t="inlineStr">
        <is>
          <t>DA CHIUDERE</t>
        </is>
      </c>
      <c r="N743" s="109" t="n"/>
      <c r="O743" s="109" t="n"/>
      <c r="P743" s="109" t="n"/>
      <c r="Q743" s="109" t="n"/>
      <c r="R743" s="151" t="n">
        <v>45903</v>
      </c>
      <c r="S743" s="109" t="inlineStr">
        <is>
          <t>TARASCIO</t>
        </is>
      </c>
      <c r="T743" s="109" t="inlineStr"/>
      <c r="U743" s="109" t="inlineStr">
        <is>
          <t>10229301</t>
        </is>
      </c>
    </row>
    <row r="744">
      <c r="A744" s="109" t="n"/>
      <c r="B744" s="109" t="n"/>
      <c r="C744" s="109" t="inlineStr"/>
      <c r="D744" s="109" t="inlineStr">
        <is>
          <t>AREA 3</t>
        </is>
      </c>
      <c r="E744" s="109" t="inlineStr">
        <is>
          <t>549333/C</t>
        </is>
      </c>
      <c r="F744" s="109" t="inlineStr">
        <is>
          <t>1100</t>
        </is>
      </c>
      <c r="G744" s="109" t="inlineStr">
        <is>
          <t>10229710  1100: RIPRISTINO FR012</t>
        </is>
      </c>
      <c r="H744" s="109" t="n"/>
      <c r="I744" s="109" t="n"/>
      <c r="J744" s="109" t="n"/>
      <c r="K744" s="109" t="n"/>
      <c r="L744" s="109" t="n"/>
      <c r="M744" s="109" t="inlineStr">
        <is>
          <t>DA CHIUDERE</t>
        </is>
      </c>
      <c r="N744" s="109" t="n"/>
      <c r="O744" s="109" t="n"/>
      <c r="P744" s="109" t="n"/>
      <c r="Q744" s="109" t="n"/>
      <c r="R744" s="151" t="n"/>
      <c r="S744" s="109" t="n"/>
      <c r="T744" s="109" t="inlineStr"/>
      <c r="U744" s="147" t="inlineStr">
        <is>
          <t>10229710</t>
        </is>
      </c>
    </row>
    <row r="745">
      <c r="A745" s="109" t="n"/>
      <c r="B745" s="108" t="n"/>
      <c r="C745" s="109" t="inlineStr"/>
      <c r="D745" s="109" t="inlineStr">
        <is>
          <t>AREA 3</t>
        </is>
      </c>
      <c r="E745" s="109" t="inlineStr">
        <is>
          <t>549771/C</t>
        </is>
      </c>
      <c r="F745" s="109" t="inlineStr">
        <is>
          <t>700</t>
        </is>
      </c>
      <c r="G745" s="109" t="inlineStr">
        <is>
          <t>10229802 - 700: RIPR 07T160I controllo funzionale</t>
        </is>
      </c>
      <c r="H745" s="109" t="n"/>
      <c r="I745" s="109" t="n"/>
      <c r="J745" s="109" t="n"/>
      <c r="K745" s="109" t="n"/>
      <c r="L745" s="109" t="n"/>
      <c r="M745" s="110" t="inlineStr">
        <is>
          <t>DA CHIUDERE</t>
        </is>
      </c>
      <c r="N745" s="110" t="n"/>
      <c r="O745" s="110" t="n"/>
      <c r="P745" s="110" t="n"/>
      <c r="Q745" s="110" t="n"/>
      <c r="R745" s="151" t="n"/>
      <c r="S745" s="110" t="n"/>
      <c r="T745" s="109" t="inlineStr"/>
      <c r="U745" s="147" t="inlineStr">
        <is>
          <t>10229802</t>
        </is>
      </c>
    </row>
    <row r="746" ht="30" customHeight="1" s="122">
      <c r="A746" s="109" t="n"/>
      <c r="B746" s="108" t="n"/>
      <c r="C746" s="109" t="inlineStr"/>
      <c r="D746" s="109" t="inlineStr">
        <is>
          <t>AREA 3</t>
        </is>
      </c>
      <c r="E746" s="109" t="inlineStr">
        <is>
          <t>549773/C</t>
        </is>
      </c>
      <c r="F746" s="109" t="inlineStr">
        <is>
          <t>800</t>
        </is>
      </c>
      <c r="G746" s="109" t="inlineStr">
        <is>
          <t>800-1-F166I  STRUMENTO DI NUOVA GENERAZIONE VERIFICARE INSIEME AL TCL DI REPARTO</t>
        </is>
      </c>
      <c r="H746" s="109" t="n"/>
      <c r="I746" s="109" t="n"/>
      <c r="J746" s="109" t="n"/>
      <c r="K746" s="109" t="n"/>
      <c r="L746" s="109" t="n"/>
      <c r="M746" s="110" t="inlineStr">
        <is>
          <t>DA CHIUDERE</t>
        </is>
      </c>
      <c r="N746" s="110" t="n"/>
      <c r="O746" s="110" t="n"/>
      <c r="P746" s="110" t="n"/>
      <c r="Q746" s="110" t="n"/>
      <c r="R746" s="151" t="n"/>
      <c r="S746" s="110" t="n"/>
      <c r="T746" s="109" t="inlineStr"/>
      <c r="U746" s="147" t="inlineStr"/>
    </row>
    <row r="747">
      <c r="A747" s="109" t="n"/>
      <c r="B747" s="109" t="n"/>
      <c r="C747" s="109" t="inlineStr"/>
      <c r="D747" s="109" t="inlineStr">
        <is>
          <t>AREA 3</t>
        </is>
      </c>
      <c r="E747" s="109" t="inlineStr">
        <is>
          <t>550105/C</t>
        </is>
      </c>
      <c r="F747" s="109" t="inlineStr">
        <is>
          <t>1200</t>
        </is>
      </c>
      <c r="G747" s="109" t="inlineStr">
        <is>
          <t>1200/2-3 CONTROLLO FOTOCELLULE F102 B501R2-B501R1</t>
        </is>
      </c>
      <c r="H747" s="109" t="n"/>
      <c r="I747" s="109" t="n"/>
      <c r="J747" s="109" t="n"/>
      <c r="K747" s="109" t="n"/>
      <c r="L747" s="109" t="n"/>
      <c r="M747" s="109" t="inlineStr">
        <is>
          <t>DA CHIUDERE</t>
        </is>
      </c>
      <c r="N747" s="109" t="n"/>
      <c r="O747" s="109" t="n"/>
      <c r="P747" s="109" t="n"/>
      <c r="Q747" s="109" t="n"/>
      <c r="R747" s="151" t="n">
        <v>45908</v>
      </c>
      <c r="S747" s="109" t="inlineStr">
        <is>
          <t>TARASCIO</t>
        </is>
      </c>
      <c r="T747" s="109" t="inlineStr"/>
      <c r="U747" s="109" t="inlineStr"/>
    </row>
    <row r="748">
      <c r="A748" s="109" t="n"/>
      <c r="B748" s="108" t="n"/>
      <c r="C748" s="109" t="inlineStr"/>
      <c r="D748" s="109" t="inlineStr">
        <is>
          <t>AREA 3</t>
        </is>
      </c>
      <c r="E748" s="109" t="inlineStr">
        <is>
          <t>550546/C</t>
        </is>
      </c>
      <c r="F748" s="109" t="inlineStr">
        <is>
          <t>1200</t>
        </is>
      </c>
      <c r="G748" s="109" t="inlineStr">
        <is>
          <t>1200-2-F102 controllo ed eventuale scrovolatura bocchello fotocellula</t>
        </is>
      </c>
      <c r="H748" s="109" t="n"/>
      <c r="I748" s="109" t="n"/>
      <c r="J748" s="109" t="n"/>
      <c r="K748" s="109" t="n"/>
      <c r="L748" s="109" t="n"/>
      <c r="M748" s="110" t="inlineStr">
        <is>
          <t>DA CHIUDERE</t>
        </is>
      </c>
      <c r="N748" s="110" t="n"/>
      <c r="O748" s="110" t="n"/>
      <c r="P748" s="110" t="n"/>
      <c r="Q748" s="110" t="n"/>
      <c r="R748" s="151" t="n"/>
      <c r="S748" s="110" t="n"/>
      <c r="T748" s="109" t="inlineStr"/>
      <c r="U748" s="147" t="inlineStr"/>
    </row>
    <row r="749" ht="30" customHeight="1" s="122">
      <c r="A749" s="109" t="n"/>
      <c r="B749" s="108" t="n"/>
      <c r="C749" s="109" t="inlineStr"/>
      <c r="D749" s="109" t="inlineStr">
        <is>
          <t>AREA 3</t>
        </is>
      </c>
      <c r="E749" s="109" t="inlineStr">
        <is>
          <t>550538/C</t>
        </is>
      </c>
      <c r="F749" s="109" t="inlineStr">
        <is>
          <t>1800</t>
        </is>
      </c>
      <c r="G749" s="109" t="inlineStr">
        <is>
          <t>10230147  1800: P106A sost manometri  di n 2 manometri (0-40),  sulla mandata pompa (p=16 bar)  sul pannellino (p=24 bar).</t>
        </is>
      </c>
      <c r="H749" s="109" t="n"/>
      <c r="I749" s="109" t="n"/>
      <c r="J749" s="109" t="n"/>
      <c r="K749" s="109" t="n"/>
      <c r="L749" s="109" t="n"/>
      <c r="M749" s="110" t="inlineStr">
        <is>
          <t>DA CHIUDERE</t>
        </is>
      </c>
      <c r="N749" s="110" t="n"/>
      <c r="O749" s="110" t="n"/>
      <c r="P749" s="110" t="n"/>
      <c r="Q749" s="110" t="n"/>
      <c r="R749" s="151" t="n">
        <v>45911</v>
      </c>
      <c r="S749" s="110" t="inlineStr">
        <is>
          <t>MILLO/ALLEGRETTI</t>
        </is>
      </c>
      <c r="T749" s="109" t="inlineStr"/>
      <c r="U749" s="147" t="inlineStr">
        <is>
          <t>10230147</t>
        </is>
      </c>
    </row>
    <row r="750" ht="30" customHeight="1" s="122">
      <c r="A750" s="109" t="n"/>
      <c r="B750" s="108" t="n"/>
      <c r="C750" s="109" t="inlineStr"/>
      <c r="D750" s="109" t="inlineStr">
        <is>
          <t>AREA 3</t>
        </is>
      </c>
      <c r="E750" s="109" t="inlineStr">
        <is>
          <t>550671/C</t>
        </is>
      </c>
      <c r="F750" s="109" t="inlineStr">
        <is>
          <t>700</t>
        </is>
      </c>
      <c r="G750" s="109" t="inlineStr">
        <is>
          <t>700 101N RIPRISTINO FUNZIONALE PILOTA C</t>
        </is>
      </c>
      <c r="H750" s="109" t="n"/>
      <c r="I750" s="109" t="n"/>
      <c r="J750" s="109" t="n"/>
      <c r="K750" s="109" t="n"/>
      <c r="L750" s="109" t="n"/>
      <c r="M750" s="110" t="inlineStr">
        <is>
          <t>DA CHIUDERE</t>
        </is>
      </c>
      <c r="N750" s="110" t="n"/>
      <c r="O750" s="110" t="n"/>
      <c r="P750" s="110" t="n"/>
      <c r="Q750" s="110" t="inlineStr">
        <is>
          <t>REVISIONATO IN CANTIERE PILOTA C FORNO F101N. PROVA DI ACCENSIONE, OK</t>
        </is>
      </c>
      <c r="R750" s="151" t="n">
        <v>45912</v>
      </c>
      <c r="S750" s="110" t="inlineStr">
        <is>
          <t>TARASCIO</t>
        </is>
      </c>
      <c r="T750" s="109" t="inlineStr"/>
      <c r="U750" s="147" t="n"/>
    </row>
    <row r="751" ht="105" customHeight="1" s="122">
      <c r="A751" s="109" t="n"/>
      <c r="B751" s="108" t="n"/>
      <c r="C751" s="109" t="inlineStr"/>
      <c r="D751" s="109" t="inlineStr">
        <is>
          <t>AREA 3</t>
        </is>
      </c>
      <c r="E751" s="109" t="inlineStr">
        <is>
          <t>550426/C</t>
        </is>
      </c>
      <c r="F751" s="109" t="inlineStr">
        <is>
          <t>700</t>
        </is>
      </c>
      <c r="G751" s="109" t="inlineStr">
        <is>
          <t>10230089 -10230090 700: mtz 07T640A/B - 700: verifica 07T634A/B  controllo funzionale</t>
        </is>
      </c>
      <c r="H751" s="109" t="n"/>
      <c r="I751" s="109" t="n"/>
      <c r="J751" s="109" t="n"/>
      <c r="K751" s="109" t="n"/>
      <c r="L751" s="109" t="n"/>
      <c r="M751" s="110" t="inlineStr">
        <is>
          <t>DA CHIUDERE</t>
        </is>
      </c>
      <c r="N751" s="110" t="n"/>
      <c r="O751" s="110" t="n"/>
      <c r="P751" s="110" t="n"/>
      <c r="Q751" s="110" t="inlineStr">
        <is>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is>
      </c>
      <c r="R751" s="151" t="n">
        <v>45912</v>
      </c>
      <c r="S751" s="110" t="inlineStr">
        <is>
          <t>MILLO/GARRO</t>
        </is>
      </c>
      <c r="T751" s="109" t="inlineStr"/>
      <c r="U751" s="147" t="inlineStr">
        <is>
          <t>10230089</t>
        </is>
      </c>
    </row>
    <row r="752" ht="45" customHeight="1" s="122">
      <c r="A752" s="109" t="n"/>
      <c r="B752" s="108" t="n"/>
      <c r="C752" s="109" t="inlineStr"/>
      <c r="D752" s="109" t="inlineStr">
        <is>
          <t>AREA 3</t>
        </is>
      </c>
      <c r="E752" s="109" t="inlineStr">
        <is>
          <t>550785/C</t>
        </is>
      </c>
      <c r="F752" s="109" t="inlineStr">
        <is>
          <t>2400</t>
        </is>
      </c>
      <c r="G752" s="109" t="inlineStr">
        <is>
          <t xml:space="preserve"> 10230224   2400-L606CV SMONTAGIO/RIMONTAGGIO VALVOLA PER REVISIONE</t>
        </is>
      </c>
      <c r="H752" s="109" t="n"/>
      <c r="I752" s="109" t="n"/>
      <c r="J752" s="109" t="n"/>
      <c r="K752" s="109" t="n"/>
      <c r="L752" s="109" t="n"/>
      <c r="M752" s="110" t="inlineStr">
        <is>
          <t>DA CHIUDERE</t>
        </is>
      </c>
      <c r="N752" s="110" t="n"/>
      <c r="O752" s="110" t="n"/>
      <c r="P752" s="110" t="n"/>
      <c r="Q752" s="110" t="inlineStr">
        <is>
          <t>RIMONTAGGIO VALVOLA COLLEGAMENTI PNEUMATICI RIPRISTINATI ALLINEAMENTO CON SALA CONTROLLO E INSERIMENTO DELLA VALVOLA A PROCESSO</t>
        </is>
      </c>
      <c r="R752" s="151" t="n">
        <v>45917</v>
      </c>
      <c r="S752" s="110" t="inlineStr">
        <is>
          <t>GARRO</t>
        </is>
      </c>
      <c r="T752" s="109" t="inlineStr"/>
      <c r="U752" s="147" t="n"/>
    </row>
    <row r="753" ht="45" customHeight="1" s="122">
      <c r="A753" s="109" t="n"/>
      <c r="B753" s="108" t="n"/>
      <c r="C753" s="109" t="inlineStr"/>
      <c r="D753" s="109" t="inlineStr">
        <is>
          <t>AREA 3</t>
        </is>
      </c>
      <c r="E753" s="109" t="inlineStr">
        <is>
          <t>551430/C</t>
        </is>
      </c>
      <c r="F753" s="109" t="inlineStr">
        <is>
          <t>800</t>
        </is>
      </c>
      <c r="G753" s="109" t="inlineStr">
        <is>
          <t>10230467  800: RIPRISTINO TUBO ARIA SPAZIO NOCIVO C101A</t>
        </is>
      </c>
      <c r="H753" s="109" t="n"/>
      <c r="I753" s="109" t="n"/>
      <c r="J753" s="109" t="n"/>
      <c r="K753" s="109" t="n"/>
      <c r="L753" s="109" t="n"/>
      <c r="M753" s="110" t="inlineStr">
        <is>
          <t>DA CHIUDERE</t>
        </is>
      </c>
      <c r="N753" s="110" t="n"/>
      <c r="O753" s="110" t="n"/>
      <c r="P753" s="110" t="n"/>
      <c r="Q753" s="110" t="inlineStr">
        <is>
          <t xml:space="preserve">TROVATO TUBICINO VALVOLA PARZIALIZZAZIONE SPEZZATO. ESEGUITA SOSTITUZIONE OLIVETTA E RICOLLEGATO CON ESITO POSITIVO. </t>
        </is>
      </c>
      <c r="R753" s="151" t="n">
        <v>45918</v>
      </c>
      <c r="S753" s="110" t="inlineStr">
        <is>
          <t>TARASCIO</t>
        </is>
      </c>
      <c r="T753" s="109" t="inlineStr"/>
      <c r="U753" s="147" t="n"/>
    </row>
    <row r="754" ht="30" customHeight="1" s="122">
      <c r="A754" s="109" t="n"/>
      <c r="B754" s="108" t="n"/>
      <c r="C754" s="109" t="inlineStr"/>
      <c r="D754" s="109" t="inlineStr">
        <is>
          <t>AREA 3</t>
        </is>
      </c>
      <c r="E754" s="109" t="inlineStr">
        <is>
          <t>547452/C</t>
        </is>
      </c>
      <c r="F754" s="109" t="inlineStr">
        <is>
          <t>4200</t>
        </is>
      </c>
      <c r="G754" s="109" t="inlineStr">
        <is>
          <t>4200-0-LT017 Controllo funzionale TX di livello ed allineamento con sala controllo (D107)</t>
        </is>
      </c>
      <c r="H754" s="109" t="n"/>
      <c r="I754" s="109" t="n"/>
      <c r="J754" s="109" t="n"/>
      <c r="K754" s="109" t="n"/>
      <c r="L754" s="109" t="n"/>
      <c r="M754" s="110" t="inlineStr">
        <is>
          <t>DA CHIUDERE</t>
        </is>
      </c>
      <c r="N754" s="110" t="n"/>
      <c r="O754" s="110" t="n"/>
      <c r="P754" s="110" t="n"/>
      <c r="Q754" s="110" t="inlineStr">
        <is>
          <t>ESEGUITO RIEMPIMENTO DEI PRIMARI CON ACQUA RIPRISTINANDO LA FUNZIONALITÀ.</t>
        </is>
      </c>
      <c r="R754" s="151" t="n">
        <v>45925</v>
      </c>
      <c r="S754" s="110" t="inlineStr">
        <is>
          <t>ALLEGRETTI</t>
        </is>
      </c>
      <c r="T754" s="109" t="inlineStr"/>
      <c r="U754" s="147" t="inlineStr"/>
    </row>
    <row r="755" ht="30" customHeight="1" s="122">
      <c r="A755" s="109" t="n"/>
      <c r="B755" s="108" t="n"/>
      <c r="C755" s="109" t="inlineStr"/>
      <c r="D755" s="109" t="inlineStr">
        <is>
          <t>AREA 3</t>
        </is>
      </c>
      <c r="E755" s="109" t="inlineStr">
        <is>
          <t>549706/C</t>
        </is>
      </c>
      <c r="F755" s="109" t="inlineStr">
        <is>
          <t>1200</t>
        </is>
      </c>
      <c r="G755" s="109" t="inlineStr">
        <is>
          <t xml:space="preserve"> 1200-MAX  E OFF SITE CONTROLLO  RIPRISTINO E MOVIMENTAZIONE  KV e HIC.  (autocestello)</t>
        </is>
      </c>
      <c r="H755" s="109" t="n"/>
      <c r="I755" s="109" t="n"/>
      <c r="J755" s="109" t="n"/>
      <c r="K755" s="109" t="n"/>
      <c r="L755" s="109" t="n"/>
      <c r="M755" s="110" t="inlineStr">
        <is>
          <t>EMESSO</t>
        </is>
      </c>
      <c r="N755" s="110" t="n"/>
      <c r="O755" s="110" t="n"/>
      <c r="P755" s="110" t="n"/>
      <c r="Q755" s="110" t="n"/>
      <c r="R755" s="151" t="n"/>
      <c r="S755" s="110" t="n"/>
      <c r="T755" s="109" t="inlineStr"/>
      <c r="U755" s="147" t="inlineStr"/>
    </row>
    <row r="756">
      <c r="A756" s="109" t="n"/>
      <c r="B756" s="108" t="n"/>
      <c r="C756" s="109" t="inlineStr"/>
      <c r="D756" s="109" t="inlineStr">
        <is>
          <t>AREA 3</t>
        </is>
      </c>
      <c r="E756" s="109" t="inlineStr">
        <is>
          <t>549305/C</t>
        </is>
      </c>
      <c r="F756" s="109" t="inlineStr">
        <is>
          <t>700</t>
        </is>
      </c>
      <c r="G756" s="109" t="inlineStr">
        <is>
          <t>700 - P602RC COTROLLO FUNZIONALE</t>
        </is>
      </c>
      <c r="H756" s="109" t="n"/>
      <c r="I756" s="109" t="n"/>
      <c r="J756" s="109" t="n"/>
      <c r="K756" s="109" t="n"/>
      <c r="L756" s="109" t="n"/>
      <c r="M756" s="110" t="inlineStr">
        <is>
          <t>EMESSO</t>
        </is>
      </c>
      <c r="N756" s="110" t="n"/>
      <c r="O756" s="110" t="n"/>
      <c r="P756" s="110" t="n"/>
      <c r="Q756" s="110" t="n"/>
      <c r="R756" s="151" t="n"/>
      <c r="S756" s="110" t="n"/>
      <c r="T756" s="109" t="inlineStr"/>
      <c r="U756" s="147" t="inlineStr"/>
    </row>
    <row r="757">
      <c r="A757" s="109" t="n"/>
      <c r="B757" s="108" t="n"/>
      <c r="C757" s="109" t="inlineStr"/>
      <c r="D757" s="109" t="inlineStr">
        <is>
          <t>AREA 3</t>
        </is>
      </c>
      <c r="E757" s="109" t="inlineStr">
        <is>
          <t>546734/C</t>
        </is>
      </c>
      <c r="F757" s="109" t="inlineStr">
        <is>
          <t>700</t>
        </is>
      </c>
      <c r="G757" s="109" t="inlineStr">
        <is>
          <t>10228362   700: MTZ PRC001-controllo e ripristino funzionale</t>
        </is>
      </c>
      <c r="H757" s="109" t="n"/>
      <c r="I757" s="109" t="n"/>
      <c r="J757" s="109" t="n"/>
      <c r="K757" s="109" t="n"/>
      <c r="L757" s="109" t="n"/>
      <c r="M757" s="110" t="inlineStr">
        <is>
          <t>EMESSO</t>
        </is>
      </c>
      <c r="N757" s="110" t="n"/>
      <c r="O757" s="110" t="n"/>
      <c r="P757" s="110" t="n"/>
      <c r="Q757" s="110" t="n"/>
      <c r="R757" s="151" t="n"/>
      <c r="S757" s="110" t="n"/>
      <c r="T757" s="109" t="inlineStr"/>
      <c r="U757" s="147" t="inlineStr">
        <is>
          <t>10228362</t>
        </is>
      </c>
    </row>
    <row r="758">
      <c r="A758" s="109" t="n"/>
      <c r="B758" s="108" t="n"/>
      <c r="C758" s="109" t="inlineStr"/>
      <c r="D758" s="109" t="inlineStr">
        <is>
          <t>AREA 3</t>
        </is>
      </c>
      <c r="E758" s="109" t="inlineStr">
        <is>
          <t>546738/C</t>
        </is>
      </c>
      <c r="F758" s="109" t="inlineStr">
        <is>
          <t>700A</t>
        </is>
      </c>
      <c r="G758" s="109" t="inlineStr">
        <is>
          <t>10228364  700A-1-F225R-controllo e ripristino funzionale</t>
        </is>
      </c>
      <c r="H758" s="109" t="n"/>
      <c r="I758" s="109" t="n"/>
      <c r="J758" s="109" t="n"/>
      <c r="K758" s="109" t="n"/>
      <c r="L758" s="109" t="n"/>
      <c r="M758" s="110" t="inlineStr">
        <is>
          <t>EMESSO</t>
        </is>
      </c>
      <c r="N758" s="110" t="n"/>
      <c r="O758" s="110" t="n"/>
      <c r="P758" s="110" t="n"/>
      <c r="Q758" s="110" t="n"/>
      <c r="R758" s="151" t="n"/>
      <c r="S758" s="110" t="n"/>
      <c r="T758" s="109" t="inlineStr"/>
      <c r="U758" s="147" t="inlineStr">
        <is>
          <t>10228364</t>
        </is>
      </c>
    </row>
    <row r="759" ht="30" customHeight="1" s="122">
      <c r="A759" s="109" t="n"/>
      <c r="B759" s="108" t="n"/>
      <c r="C759" s="109" t="inlineStr"/>
      <c r="D759" s="109" t="inlineStr">
        <is>
          <t>AREA 3</t>
        </is>
      </c>
      <c r="E759" s="109" t="inlineStr">
        <is>
          <t>541705/C</t>
        </is>
      </c>
      <c r="F759" s="109" t="inlineStr">
        <is>
          <t>1200</t>
        </is>
      </c>
      <c r="G759" s="109" t="inlineStr">
        <is>
          <t xml:space="preserve"> IMP.1200MAXI F201 RIPRISTINO FUNZIONALITA FOTOCELLULA  DOPO  STASATURA DEL CANOTTO OTTICO</t>
        </is>
      </c>
      <c r="H759" s="109" t="n"/>
      <c r="I759" s="109" t="n"/>
      <c r="J759" s="109" t="n"/>
      <c r="K759" s="109" t="n"/>
      <c r="L759" s="109" t="n"/>
      <c r="M759" s="110" t="inlineStr">
        <is>
          <t>EMESSO</t>
        </is>
      </c>
      <c r="N759" s="110" t="n"/>
      <c r="O759" s="110" t="n"/>
      <c r="P759" s="110" t="n"/>
      <c r="Q759" s="110" t="n"/>
      <c r="R759" s="151" t="n"/>
      <c r="S759" s="110" t="n"/>
      <c r="T759" s="109" t="inlineStr"/>
      <c r="U759" s="147" t="inlineStr"/>
    </row>
    <row r="760" ht="30" customHeight="1" s="122">
      <c r="A760" s="109" t="n"/>
      <c r="B760" s="109" t="n">
        <v>3</v>
      </c>
      <c r="C760" s="109" t="inlineStr"/>
      <c r="D760" s="109" t="inlineStr">
        <is>
          <t>AREA 3</t>
        </is>
      </c>
      <c r="E760" s="109" t="inlineStr">
        <is>
          <t>539160/C</t>
        </is>
      </c>
      <c r="F760" s="109" t="inlineStr">
        <is>
          <t>1200/M</t>
        </is>
      </c>
      <c r="G760" s="109" t="inlineStr">
        <is>
          <t>10217843 Ripristino sistema degasaggio linee zolfo-Imp.1200/M-Controllo e ripristino funzionalita' misuratore di portata F902T ('Port Sweep gas da MXSULF)</t>
        </is>
      </c>
      <c r="H760" s="109" t="n"/>
      <c r="I760" s="109" t="n"/>
      <c r="J760" s="109" t="n"/>
      <c r="K760" s="109" t="n"/>
      <c r="L760" s="109" t="n"/>
      <c r="M760" s="109" t="inlineStr">
        <is>
          <t>EMESSO</t>
        </is>
      </c>
      <c r="N760" s="109" t="n"/>
      <c r="O760" s="109" t="n"/>
      <c r="P760" s="109" t="n"/>
      <c r="Q760" s="109" t="n"/>
      <c r="R760" s="151" t="n"/>
      <c r="S760" s="109" t="n"/>
      <c r="T760" s="109" t="inlineStr"/>
      <c r="U760" s="109" t="inlineStr">
        <is>
          <t>10217843</t>
        </is>
      </c>
    </row>
    <row r="761">
      <c r="A761" s="109" t="n"/>
      <c r="B761" s="108" t="n">
        <v>1</v>
      </c>
      <c r="C761" s="109" t="inlineStr"/>
      <c r="D761" s="109" t="inlineStr">
        <is>
          <t>AREA 3</t>
        </is>
      </c>
      <c r="E761" s="109" t="inlineStr">
        <is>
          <t>539034/C</t>
        </is>
      </c>
      <c r="F761" s="109" t="inlineStr">
        <is>
          <t>1200/1</t>
        </is>
      </c>
      <c r="G761" s="109" t="inlineStr">
        <is>
          <t xml:space="preserve"> 1200/1 - L501SLcontrollo e ripristino livello vasca 2</t>
        </is>
      </c>
      <c r="H761" s="109" t="n"/>
      <c r="I761" s="109" t="n"/>
      <c r="J761" s="109" t="n"/>
      <c r="K761" s="109" t="n"/>
      <c r="L761" s="109" t="n"/>
      <c r="M761" s="110" t="inlineStr">
        <is>
          <t>EMESSO</t>
        </is>
      </c>
      <c r="N761" s="110" t="n"/>
      <c r="O761" s="110" t="n"/>
      <c r="P761" s="110" t="n"/>
      <c r="Q761" s="110" t="n"/>
      <c r="R761" s="151" t="n"/>
      <c r="S761" s="110" t="n"/>
      <c r="T761" s="109" t="inlineStr"/>
      <c r="U761" s="147" t="inlineStr"/>
    </row>
    <row r="762" ht="30" customHeight="1" s="122">
      <c r="A762" s="109" t="n"/>
      <c r="B762" s="108" t="n">
        <v>1</v>
      </c>
      <c r="C762" s="109" t="inlineStr"/>
      <c r="D762" s="109" t="inlineStr">
        <is>
          <t>AREA 3</t>
        </is>
      </c>
      <c r="E762" s="109" t="inlineStr">
        <is>
          <t>537399/C</t>
        </is>
      </c>
      <c r="F762" s="109" t="inlineStr">
        <is>
          <t>1400</t>
        </is>
      </c>
      <c r="G762" s="109" t="inlineStr">
        <is>
          <t xml:space="preserve"> 1400 - T016I FONDO T103 DA E115 CONTROLLO  E  RIPRISTINO FUNZIONALITA TEMPERATURA</t>
        </is>
      </c>
      <c r="H762" s="109" t="n"/>
      <c r="I762" s="109" t="n"/>
      <c r="J762" s="109" t="n"/>
      <c r="K762" s="109" t="n"/>
      <c r="L762" s="109" t="n"/>
      <c r="M762" s="110" t="inlineStr">
        <is>
          <t>EMESSO</t>
        </is>
      </c>
      <c r="N762" s="110" t="n"/>
      <c r="O762" s="110" t="n"/>
      <c r="P762" s="110" t="n"/>
      <c r="Q762" s="110" t="n"/>
      <c r="R762" s="151" t="n"/>
      <c r="S762" s="110" t="n"/>
      <c r="T762" s="109" t="inlineStr"/>
      <c r="U762" s="147" t="inlineStr"/>
    </row>
    <row r="763">
      <c r="A763" s="109" t="n"/>
      <c r="B763" s="109" t="n">
        <v>2</v>
      </c>
      <c r="C763" s="109" t="inlineStr"/>
      <c r="D763" s="109" t="inlineStr">
        <is>
          <t>AREA 3</t>
        </is>
      </c>
      <c r="E763" s="109" t="inlineStr">
        <is>
          <t>529824/C</t>
        </is>
      </c>
      <c r="F763" s="109" t="inlineStr">
        <is>
          <t>1800</t>
        </is>
      </c>
      <c r="G763" s="109" t="inlineStr">
        <is>
          <t>10218020 1800 - P101B ripristino cavi. e faccettatura (CAVALLI)</t>
        </is>
      </c>
      <c r="H763" s="109" t="n"/>
      <c r="I763" s="109" t="n"/>
      <c r="J763" s="109" t="n"/>
      <c r="K763" s="109" t="n"/>
      <c r="L763" s="109" t="n"/>
      <c r="M763" s="109" t="inlineStr">
        <is>
          <t>EMESSO</t>
        </is>
      </c>
      <c r="N763" s="109" t="n"/>
      <c r="O763" s="109" t="n"/>
      <c r="P763" s="109" t="n"/>
      <c r="Q763" s="109" t="n"/>
      <c r="R763" s="151" t="n"/>
      <c r="S763" s="109" t="n"/>
      <c r="T763" s="109" t="inlineStr"/>
      <c r="U763" s="109" t="inlineStr">
        <is>
          <t>10218020</t>
        </is>
      </c>
    </row>
    <row r="764">
      <c r="A764" s="109" t="n"/>
      <c r="B764" s="109" t="n">
        <v>2</v>
      </c>
      <c r="C764" s="109" t="inlineStr"/>
      <c r="D764" s="109" t="inlineStr">
        <is>
          <t>AREA 3</t>
        </is>
      </c>
      <c r="E764" s="109" t="inlineStr">
        <is>
          <t>529831/C</t>
        </is>
      </c>
      <c r="F764" s="109" t="inlineStr">
        <is>
          <t>1100</t>
        </is>
      </c>
      <c r="G764" s="109" t="inlineStr">
        <is>
          <t>10218012 1100 - ripristino passerella porta cavi fascettatura (CAVALLI)</t>
        </is>
      </c>
      <c r="H764" s="109" t="n"/>
      <c r="I764" s="109" t="n"/>
      <c r="J764" s="109" t="n"/>
      <c r="K764" s="109" t="n"/>
      <c r="L764" s="109" t="n"/>
      <c r="M764" s="109" t="inlineStr">
        <is>
          <t>EMESSO</t>
        </is>
      </c>
      <c r="N764" s="109" t="n"/>
      <c r="O764" s="109" t="n"/>
      <c r="P764" s="109" t="n"/>
      <c r="Q764" s="109" t="n"/>
      <c r="R764" s="151" t="n"/>
      <c r="S764" s="109" t="n"/>
      <c r="T764" s="109" t="inlineStr"/>
      <c r="U764" s="109" t="inlineStr">
        <is>
          <t>10218012</t>
        </is>
      </c>
    </row>
    <row r="765">
      <c r="A765" s="109" t="n"/>
      <c r="B765" s="109" t="n">
        <v>2</v>
      </c>
      <c r="C765" s="109" t="inlineStr"/>
      <c r="D765" s="109" t="inlineStr">
        <is>
          <t>AREA 3</t>
        </is>
      </c>
      <c r="E765" s="109" t="inlineStr">
        <is>
          <t>537193/C</t>
        </is>
      </c>
      <c r="F765" s="109" t="inlineStr">
        <is>
          <t>1200/2</t>
        </is>
      </c>
      <c r="G765" s="109" t="inlineStr">
        <is>
          <t>10224036 1200/2 - Z2F304RC controllo</t>
        </is>
      </c>
      <c r="H765" s="109" t="n"/>
      <c r="I765" s="109" t="n"/>
      <c r="J765" s="109" t="n"/>
      <c r="K765" s="109" t="n"/>
      <c r="L765" s="109" t="n"/>
      <c r="M765" s="110" t="inlineStr">
        <is>
          <t>EMESSO</t>
        </is>
      </c>
      <c r="N765" s="110" t="n"/>
      <c r="O765" s="110" t="n"/>
      <c r="P765" s="110" t="n"/>
      <c r="Q765" s="110" t="n"/>
      <c r="R765" s="151" t="n"/>
      <c r="S765" s="110" t="n"/>
      <c r="T765" s="109" t="inlineStr"/>
      <c r="U765" s="109" t="inlineStr">
        <is>
          <t>10224036</t>
        </is>
      </c>
    </row>
    <row r="766" ht="30" customHeight="1" s="122">
      <c r="A766" s="109" t="n"/>
      <c r="B766" s="108" t="inlineStr">
        <is>
          <t>X</t>
        </is>
      </c>
      <c r="C766" s="109" t="inlineStr"/>
      <c r="D766" s="109" t="inlineStr">
        <is>
          <t>AREA 3</t>
        </is>
      </c>
      <c r="E766" s="109" t="inlineStr">
        <is>
          <t>528146/C</t>
        </is>
      </c>
      <c r="F766" s="109" t="inlineStr">
        <is>
          <t>1200/3</t>
        </is>
      </c>
      <c r="G766" s="109" t="inlineStr">
        <is>
          <t xml:space="preserve"> 1200/3 - SCOLLEGAMENTO/RICOLLEGAMENTO  ELETTROPNEUMATICO PER SOSTITUZIONE HIC 746 CON LA HIC 742 E PROVE FUNZIONALI CON SALA CONTROLLO</t>
        </is>
      </c>
      <c r="H766" s="109" t="n"/>
      <c r="I766" s="109" t="n"/>
      <c r="J766" s="109" t="n"/>
      <c r="K766" s="109" t="n"/>
      <c r="L766" s="109" t="n"/>
      <c r="M766" s="110" t="inlineStr">
        <is>
          <t>EMESSO</t>
        </is>
      </c>
      <c r="N766" s="110" t="n"/>
      <c r="O766" s="110" t="n"/>
      <c r="P766" s="110" t="n"/>
      <c r="Q766" s="110" t="inlineStr">
        <is>
          <t>HIC741 - CONTROLLO FINECORSA DI APERTURA IN CORSO</t>
        </is>
      </c>
      <c r="R766" s="151" t="n">
        <v>45783</v>
      </c>
      <c r="S766" s="110" t="inlineStr">
        <is>
          <t>GARRO</t>
        </is>
      </c>
      <c r="T766" s="109" t="inlineStr"/>
      <c r="U766" s="147" t="inlineStr"/>
    </row>
    <row r="767" ht="30" customHeight="1" s="122">
      <c r="A767" s="109" t="n"/>
      <c r="B767" s="108" t="n">
        <v>3</v>
      </c>
      <c r="C767" s="109" t="inlineStr"/>
      <c r="D767" s="109" t="inlineStr">
        <is>
          <t>AREA 3</t>
        </is>
      </c>
      <c r="E767" s="109" t="inlineStr">
        <is>
          <t>538117/C</t>
        </is>
      </c>
      <c r="F767" s="109" t="inlineStr">
        <is>
          <t>700</t>
        </is>
      </c>
      <c r="G767" s="109" t="inlineStr">
        <is>
          <t>102224348 700 - SMONTAGGIO/RIMONTAGGIO PER SOSTITUZIONE O REVISIONE VALVOLA SISTEMA AI F101 B-617B</t>
        </is>
      </c>
      <c r="H767" s="109" t="n"/>
      <c r="I767" s="109" t="n"/>
      <c r="J767" s="109" t="n"/>
      <c r="K767" s="109" t="n"/>
      <c r="L767" s="109" t="n"/>
      <c r="M767" s="110" t="inlineStr">
        <is>
          <t>EMESSO</t>
        </is>
      </c>
      <c r="N767" s="110" t="n"/>
      <c r="O767" s="110" t="n"/>
      <c r="P767" s="110" t="n"/>
      <c r="Q767" s="110" t="n"/>
      <c r="R767" s="151" t="n"/>
      <c r="S767" s="110" t="n"/>
      <c r="T767" s="109" t="inlineStr"/>
      <c r="U767" s="147" t="inlineStr">
        <is>
          <t>10222434</t>
        </is>
      </c>
    </row>
    <row r="768">
      <c r="A768" s="109" t="n"/>
      <c r="B768" s="108" t="n">
        <v>1</v>
      </c>
      <c r="C768" s="109" t="inlineStr"/>
      <c r="D768" s="109" t="inlineStr">
        <is>
          <t>AREA 3</t>
        </is>
      </c>
      <c r="E768" s="109" t="inlineStr">
        <is>
          <t>535904/C</t>
        </is>
      </c>
      <c r="F768" s="109" t="inlineStr">
        <is>
          <t>1200/M</t>
        </is>
      </c>
      <c r="G768" s="109" t="inlineStr">
        <is>
          <t xml:space="preserve"> 1200/M - E OFF SITE CONTROLLO  RIPRISTINO E MOVIMENTAZIONE  KV e HIC. </t>
        </is>
      </c>
      <c r="H768" s="109" t="n"/>
      <c r="I768" s="109" t="n"/>
      <c r="J768" s="109" t="n"/>
      <c r="K768" s="109" t="n"/>
      <c r="L768" s="109" t="n"/>
      <c r="M768" s="110" t="inlineStr">
        <is>
          <t>EMESSO</t>
        </is>
      </c>
      <c r="N768" s="110" t="n"/>
      <c r="O768" s="110" t="n"/>
      <c r="P768" s="110" t="n"/>
      <c r="Q768" s="110" t="inlineStr">
        <is>
          <t>CONTROLLO GIORNALIERO</t>
        </is>
      </c>
      <c r="R768" s="151" t="n"/>
      <c r="S768" s="110" t="n"/>
      <c r="T768" s="109" t="inlineStr"/>
      <c r="U768" s="147" t="inlineStr"/>
    </row>
    <row r="769">
      <c r="A769" s="109" t="n"/>
      <c r="B769" s="108" t="n">
        <v>3</v>
      </c>
      <c r="C769" s="109" t="inlineStr"/>
      <c r="D769" s="109" t="inlineStr">
        <is>
          <t>AREA 3</t>
        </is>
      </c>
      <c r="E769" s="109" t="inlineStr">
        <is>
          <t>541221/C</t>
        </is>
      </c>
      <c r="F769" s="109" t="inlineStr">
        <is>
          <t>1200/1</t>
        </is>
      </c>
      <c r="G769" s="109" t="inlineStr">
        <is>
          <t xml:space="preserve"> 1200L1 F302SV RIPRISTINO FINE CORSA DI CHIUSURA SU VALVOLA</t>
        </is>
      </c>
      <c r="H769" s="109" t="n"/>
      <c r="I769" s="109" t="n"/>
      <c r="J769" s="109" t="n"/>
      <c r="K769" s="109" t="n"/>
      <c r="L769" s="109" t="n"/>
      <c r="M769" s="110" t="inlineStr">
        <is>
          <t>EMESSO</t>
        </is>
      </c>
      <c r="N769" s="110" t="n"/>
      <c r="O769" s="110" t="n"/>
      <c r="P769" s="110" t="n"/>
      <c r="Q769" s="110" t="inlineStr">
        <is>
          <t>RIPRISTINATO FINECORSA DI PROSSIMITA'</t>
        </is>
      </c>
      <c r="R769" s="151" t="n">
        <v>45825</v>
      </c>
      <c r="S769" s="110" t="inlineStr">
        <is>
          <t>TARASCIO</t>
        </is>
      </c>
      <c r="T769" s="109" t="inlineStr"/>
      <c r="U769" s="147" t="inlineStr"/>
    </row>
    <row r="770" ht="30" customHeight="1" s="122">
      <c r="A770" s="109" t="n"/>
      <c r="B770" s="108" t="n"/>
      <c r="C770" s="109" t="inlineStr"/>
      <c r="D770" s="109" t="inlineStr">
        <is>
          <t>AREA 3</t>
        </is>
      </c>
      <c r="E770" s="109" t="inlineStr">
        <is>
          <t>541779/C</t>
        </is>
      </c>
      <c r="F770" s="109" t="inlineStr">
        <is>
          <t>1800</t>
        </is>
      </c>
      <c r="G770" s="109" t="inlineStr">
        <is>
          <t xml:space="preserve"> 1800C102B SMONTAGGIO/RIMONTAGGIO STRUMENTAZIONE PER REVISIONE PARTE POMPANTE</t>
        </is>
      </c>
      <c r="H770" s="109" t="n"/>
      <c r="I770" s="109" t="n"/>
      <c r="J770" s="109" t="n"/>
      <c r="K770" s="109" t="n"/>
      <c r="L770" s="109" t="n"/>
      <c r="M770" s="110" t="inlineStr">
        <is>
          <t>EMESSO</t>
        </is>
      </c>
      <c r="N770" s="110" t="n"/>
      <c r="O770" s="110" t="n"/>
      <c r="P770" s="110" t="n"/>
      <c r="Q770" s="110" t="n"/>
      <c r="R770" s="151" t="n"/>
      <c r="S770" s="110" t="n"/>
      <c r="T770" s="109" t="inlineStr"/>
      <c r="U770" s="147" t="inlineStr"/>
    </row>
    <row r="771" ht="30" customHeight="1" s="122">
      <c r="A771" s="109" t="inlineStr">
        <is>
          <t>X</t>
        </is>
      </c>
      <c r="B771" s="108" t="n"/>
      <c r="C771" s="109" t="inlineStr"/>
      <c r="D771" s="109" t="inlineStr">
        <is>
          <t>AREA 3</t>
        </is>
      </c>
      <c r="E771" s="109" t="inlineStr">
        <is>
          <t>544236/C</t>
        </is>
      </c>
      <c r="F771" s="109" t="inlineStr">
        <is>
          <t>1200</t>
        </is>
      </c>
      <c r="G771" s="109" t="inlineStr">
        <is>
          <t>SD 1200/4 - controllo ed eventuale stasatura di FT303 (ARIA A B106) - FT304 (ARIA SWS) - FT305 (ARIA FINE A B106)</t>
        </is>
      </c>
      <c r="H771" s="109" t="n"/>
      <c r="I771" s="109" t="n"/>
      <c r="J771" s="109" t="n"/>
      <c r="K771" s="109" t="n"/>
      <c r="L771" s="109" t="n"/>
      <c r="M771" s="110" t="inlineStr">
        <is>
          <t>EMESSO</t>
        </is>
      </c>
      <c r="N771" s="110" t="n"/>
      <c r="O771" s="110" t="n"/>
      <c r="P771" s="110" t="n"/>
      <c r="Q771" s="110" t="inlineStr">
        <is>
          <t>FERMATA 1200/4</t>
        </is>
      </c>
      <c r="R771" s="151" t="n"/>
      <c r="S771" s="110" t="n"/>
      <c r="T771" s="109" t="inlineStr"/>
      <c r="U771" s="147" t="inlineStr"/>
    </row>
    <row r="772">
      <c r="A772" s="109" t="inlineStr">
        <is>
          <t>X</t>
        </is>
      </c>
      <c r="B772" s="109" t="n"/>
      <c r="C772" s="109" t="inlineStr"/>
      <c r="D772" s="109" t="inlineStr">
        <is>
          <t>AREA 3</t>
        </is>
      </c>
      <c r="E772" s="109" t="inlineStr">
        <is>
          <t>544103/C</t>
        </is>
      </c>
      <c r="F772" s="109" t="inlineStr">
        <is>
          <t>1200</t>
        </is>
      </c>
      <c r="G772" s="109" t="inlineStr">
        <is>
          <t>SD 1200/4 - Assistenza Strumentale per avviamento impianto</t>
        </is>
      </c>
      <c r="H772" s="109" t="n"/>
      <c r="I772" s="109" t="n"/>
      <c r="J772" s="109" t="n"/>
      <c r="K772" s="109" t="n"/>
      <c r="L772" s="109" t="n"/>
      <c r="M772" s="109" t="inlineStr">
        <is>
          <t>EMESSO</t>
        </is>
      </c>
      <c r="N772" s="109" t="n"/>
      <c r="O772" s="109" t="n"/>
      <c r="P772" s="109" t="n"/>
      <c r="Q772" s="109" t="inlineStr">
        <is>
          <t>FERMATA 1200/4</t>
        </is>
      </c>
      <c r="R772" s="151" t="n"/>
      <c r="S772" s="109" t="n"/>
      <c r="T772" s="109" t="inlineStr"/>
      <c r="U772" s="147" t="inlineStr"/>
    </row>
    <row r="773" ht="45" customHeight="1" s="122">
      <c r="A773" s="109" t="inlineStr">
        <is>
          <t>X</t>
        </is>
      </c>
      <c r="B773" s="108" t="n"/>
      <c r="C773" s="109" t="inlineStr"/>
      <c r="D773" s="109" t="inlineStr">
        <is>
          <t>AREA 3</t>
        </is>
      </c>
      <c r="E773" s="109" t="inlineStr">
        <is>
          <t>544409/C</t>
        </is>
      </c>
      <c r="F773" s="109" t="inlineStr">
        <is>
          <t>1200</t>
        </is>
      </c>
      <c r="G773" s="109" t="inlineStr">
        <is>
          <t>SD imp.1200/4-Controllo strumentazione e successive verifiche matrice C&amp;E blocchi impianto, come da schemi allegati. Interfacciarsi con sala controllo per verificare la fattibilit dei singoli controlli.</t>
        </is>
      </c>
      <c r="H773" s="109" t="n"/>
      <c r="I773" s="109" t="n"/>
      <c r="J773" s="109" t="n"/>
      <c r="K773" s="109" t="n"/>
      <c r="L773" s="109" t="n"/>
      <c r="M773" s="110" t="inlineStr">
        <is>
          <t>EMESSO</t>
        </is>
      </c>
      <c r="N773" s="110" t="n"/>
      <c r="O773" s="110" t="n"/>
      <c r="P773" s="110" t="n"/>
      <c r="Q773" s="110" t="inlineStr">
        <is>
          <t>FERMATA 1200/4</t>
        </is>
      </c>
      <c r="R773" s="151" t="n"/>
      <c r="S773" s="110" t="n"/>
      <c r="T773" s="109" t="inlineStr"/>
      <c r="U773" s="147" t="inlineStr"/>
    </row>
    <row r="774">
      <c r="A774" s="109" t="n"/>
      <c r="B774" s="108" t="n"/>
      <c r="C774" s="109" t="inlineStr"/>
      <c r="D774" s="109" t="inlineStr">
        <is>
          <t>AREA 3</t>
        </is>
      </c>
      <c r="E774" s="109" t="inlineStr">
        <is>
          <t>544010/C</t>
        </is>
      </c>
      <c r="F774" s="109" t="inlineStr">
        <is>
          <t>1800</t>
        </is>
      </c>
      <c r="G774" s="109" t="inlineStr">
        <is>
          <t>1800-C102B SOSTITUZIONE SENZORE VOLANO</t>
        </is>
      </c>
      <c r="H774" s="109" t="n"/>
      <c r="I774" s="109" t="n"/>
      <c r="J774" s="109" t="n"/>
      <c r="K774" s="109" t="n"/>
      <c r="L774" s="109" t="n"/>
      <c r="M774" s="110" t="inlineStr">
        <is>
          <t>EMESSO</t>
        </is>
      </c>
      <c r="N774" s="110" t="n"/>
      <c r="O774" s="110" t="n"/>
      <c r="P774" s="110" t="n"/>
      <c r="Q774" s="110" t="inlineStr">
        <is>
          <t>IN ATTESA RICAMBIO</t>
        </is>
      </c>
      <c r="R774" s="151" t="n">
        <v>45847</v>
      </c>
      <c r="S774" s="110" t="inlineStr">
        <is>
          <t>TARASCIO</t>
        </is>
      </c>
      <c r="T774" s="109" t="inlineStr"/>
      <c r="U774" s="147" t="inlineStr"/>
    </row>
    <row r="775" ht="135" customHeight="1" s="122">
      <c r="A775" s="109" t="n"/>
      <c r="B775" s="108" t="inlineStr">
        <is>
          <t>X</t>
        </is>
      </c>
      <c r="C775" s="109" t="inlineStr"/>
      <c r="D775" s="109" t="inlineStr">
        <is>
          <t>AREA 3</t>
        </is>
      </c>
      <c r="E775" s="109" t="inlineStr">
        <is>
          <t>539875/C</t>
        </is>
      </c>
      <c r="F775" s="109" t="inlineStr">
        <is>
          <t>700A</t>
        </is>
      </c>
      <c r="G775" s="109" t="inlineStr">
        <is>
          <t>00000002 700A - RIPRISTINO JB TH6 CON SCOLLEGAMENTO MULTICAVO E DOPPINI PER RICERCA GUASTO CAVO AMMALORATO,E REVISIONE CASSETTA E MORSETTI CABUR</t>
        </is>
      </c>
      <c r="H775" s="109" t="n"/>
      <c r="I775" s="109" t="n"/>
      <c r="J775" s="109" t="n"/>
      <c r="K775" s="109" t="n"/>
      <c r="L775" s="109" t="n"/>
      <c r="M775" s="110" t="inlineStr">
        <is>
          <t>EMESSO</t>
        </is>
      </c>
      <c r="N775" s="110" t="inlineStr">
        <is>
          <t>X</t>
        </is>
      </c>
      <c r="O775" s="110" t="n"/>
      <c r="P775" s="110" t="n"/>
      <c r="Q775" s="110"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775" s="151" t="n">
        <v>45817</v>
      </c>
      <c r="S775" s="110" t="inlineStr">
        <is>
          <t>GUARINO</t>
        </is>
      </c>
      <c r="T775" s="109" t="inlineStr"/>
      <c r="U775" s="147" t="inlineStr">
        <is>
          <t>00000002</t>
        </is>
      </c>
    </row>
    <row r="776" ht="30" customHeight="1" s="122">
      <c r="A776" s="109" t="inlineStr">
        <is>
          <t>X</t>
        </is>
      </c>
      <c r="B776" s="109" t="n"/>
      <c r="C776" s="109" t="inlineStr"/>
      <c r="D776" s="109" t="inlineStr">
        <is>
          <t>AREA 3</t>
        </is>
      </c>
      <c r="E776" s="109" t="inlineStr">
        <is>
          <t>544278/C</t>
        </is>
      </c>
      <c r="F776" s="109" t="inlineStr">
        <is>
          <t>1200</t>
        </is>
      </c>
      <c r="G776" s="109" t="inlineStr">
        <is>
          <t>1200/4 - SMONTAGGIO/RIMONTAGGIO PILOTA F101 PER REVISIONE E VERIFICA FOTOCELLULE</t>
        </is>
      </c>
      <c r="H776" s="109" t="n"/>
      <c r="I776" s="109" t="n"/>
      <c r="J776" s="109" t="n"/>
      <c r="K776" s="109" t="n"/>
      <c r="L776" s="109" t="n"/>
      <c r="M776" s="109" t="inlineStr">
        <is>
          <t>EMESSO</t>
        </is>
      </c>
      <c r="N776" s="109" t="n"/>
      <c r="O776" s="109" t="n"/>
      <c r="P776" s="109" t="n"/>
      <c r="Q776" s="109" t="inlineStr">
        <is>
          <t>ESEGUITO SMONTAGGIO</t>
        </is>
      </c>
      <c r="R776" s="151" t="n">
        <v>45856</v>
      </c>
      <c r="S776" s="109" t="inlineStr">
        <is>
          <t>MILLO/SPINALI</t>
        </is>
      </c>
      <c r="T776" s="109" t="inlineStr"/>
      <c r="U776" s="109" t="inlineStr"/>
    </row>
    <row r="777" ht="30" customHeight="1" s="122">
      <c r="A777" s="109" t="n"/>
      <c r="B777" s="108" t="n"/>
      <c r="C777" s="109" t="inlineStr"/>
      <c r="D777" s="109" t="inlineStr">
        <is>
          <t>AREA 3</t>
        </is>
      </c>
      <c r="E777" s="109" t="inlineStr">
        <is>
          <t>545715/C</t>
        </is>
      </c>
      <c r="F777" s="109" t="inlineStr">
        <is>
          <t>1200</t>
        </is>
      </c>
      <c r="G777" s="109" t="inlineStr">
        <is>
          <t>10227873  1200/0: VERIFICA FUNZIONAMENTO AUTOMATICO VALVOLE ARIA  Z0F966BDIC e Z0F967BIC</t>
        </is>
      </c>
      <c r="H777" s="109" t="n"/>
      <c r="I777" s="109" t="n"/>
      <c r="J777" s="109" t="n"/>
      <c r="K777" s="109" t="n"/>
      <c r="L777" s="109" t="n"/>
      <c r="M777" s="110" t="inlineStr">
        <is>
          <t>EMESSO</t>
        </is>
      </c>
      <c r="N777" s="110" t="n"/>
      <c r="O777" s="110" t="n"/>
      <c r="P777" s="110" t="n"/>
      <c r="Q777" s="110" t="n"/>
      <c r="R777" s="151" t="n"/>
      <c r="S777" s="110" t="n"/>
      <c r="T777" s="109" t="inlineStr"/>
      <c r="U777" s="147" t="inlineStr">
        <is>
          <t>10227873</t>
        </is>
      </c>
    </row>
    <row r="778" ht="30" customHeight="1" s="122">
      <c r="A778" s="109" t="n"/>
      <c r="B778" s="109" t="n"/>
      <c r="C778" s="109" t="inlineStr"/>
      <c r="D778" s="109" t="inlineStr">
        <is>
          <t>AREA 3</t>
        </is>
      </c>
      <c r="E778" s="109" t="inlineStr">
        <is>
          <t>546897/C</t>
        </is>
      </c>
      <c r="F778" s="109" t="inlineStr">
        <is>
          <t>1200</t>
        </is>
      </c>
      <c r="G778" s="109" t="inlineStr">
        <is>
          <t>1200/4 - B203SV / BV205V1 / P202CV SMONTAGGIO/RIMONTAGGIO VALVOLE PER REVISIONE</t>
        </is>
      </c>
      <c r="H778" s="109" t="n"/>
      <c r="I778" s="109" t="n"/>
      <c r="J778" s="109" t="n"/>
      <c r="K778" s="109" t="n"/>
      <c r="L778" s="109" t="n"/>
      <c r="M778" s="110" t="inlineStr">
        <is>
          <t>EMESSO</t>
        </is>
      </c>
      <c r="N778" s="110" t="n"/>
      <c r="O778" s="110" t="n"/>
      <c r="P778" s="110" t="n"/>
      <c r="Q778" s="110" t="n"/>
      <c r="R778" s="151" t="n"/>
      <c r="S778" s="110" t="n"/>
      <c r="T778" s="109" t="inlineStr"/>
      <c r="U778" s="147" t="inlineStr"/>
    </row>
    <row r="779" ht="45" customHeight="1" s="122">
      <c r="A779" s="109" t="n"/>
      <c r="B779" s="109" t="n"/>
      <c r="C779" s="109" t="inlineStr"/>
      <c r="D779" s="109" t="inlineStr">
        <is>
          <t>AREA 3</t>
        </is>
      </c>
      <c r="E779" s="109" t="inlineStr">
        <is>
          <t>544672/C</t>
        </is>
      </c>
      <c r="F779" s="109" t="inlineStr">
        <is>
          <t>1200</t>
        </is>
      </c>
      <c r="G779" s="109" t="inlineStr">
        <is>
          <t>10227344  1200 controllo strumentale FR di vapore LS   ZF1401R.pv - Z3F401R.pv - Z0F152 (acqua BW alle caldaie)</t>
        </is>
      </c>
      <c r="H779" s="109" t="n"/>
      <c r="I779" s="109" t="n"/>
      <c r="J779" s="109" t="n"/>
      <c r="K779" s="109" t="n"/>
      <c r="L779" s="109" t="n"/>
      <c r="M779" s="109" t="inlineStr">
        <is>
          <t>EMESSO</t>
        </is>
      </c>
      <c r="N779" s="109" t="n"/>
      <c r="O779" s="109" t="n"/>
      <c r="P779" s="109" t="n"/>
      <c r="Q779" s="109" t="inlineStr">
        <is>
          <t>NON SI TROVA LO STRUMENTO Z0F152, CERCATO INSIEME AD OPERATORE, GLI ALTRI SONO STATI AZZERATI EDA ALLINEATI CON SALA CONTROLLO.</t>
        </is>
      </c>
      <c r="R779" s="151" t="n"/>
      <c r="S779" s="109" t="n"/>
      <c r="T779" s="109" t="inlineStr"/>
      <c r="U779" s="109" t="inlineStr">
        <is>
          <t>10227344</t>
        </is>
      </c>
    </row>
    <row r="780">
      <c r="A780" s="109" t="n"/>
      <c r="B780" s="108" t="n"/>
      <c r="C780" s="109" t="inlineStr"/>
      <c r="D780" s="109" t="inlineStr">
        <is>
          <t>AREA 3</t>
        </is>
      </c>
      <c r="E780" s="109" t="inlineStr">
        <is>
          <t>547396/C</t>
        </is>
      </c>
      <c r="F780" s="109" t="inlineStr">
        <is>
          <t>800</t>
        </is>
      </c>
      <c r="G780" s="109" t="inlineStr">
        <is>
          <t>10228704  800: PCV112 controllo e ripristino valvola</t>
        </is>
      </c>
      <c r="H780" s="109" t="n"/>
      <c r="I780" s="109" t="n"/>
      <c r="J780" s="109" t="n"/>
      <c r="K780" s="109" t="n"/>
      <c r="L780" s="109" t="n"/>
      <c r="M780" s="110" t="inlineStr">
        <is>
          <t>EMESSO</t>
        </is>
      </c>
      <c r="N780" s="110" t="n"/>
      <c r="O780" s="110" t="n"/>
      <c r="P780" s="110" t="n"/>
      <c r="Q780" s="110" t="inlineStr">
        <is>
          <t>SOSTITUITO IPCONVERTER</t>
        </is>
      </c>
      <c r="R780" s="151" t="n">
        <v>45880</v>
      </c>
      <c r="S780" s="110" t="inlineStr">
        <is>
          <t>SAGGIO</t>
        </is>
      </c>
      <c r="T780" s="109" t="inlineStr"/>
      <c r="U780" s="147" t="inlineStr">
        <is>
          <t>10228704</t>
        </is>
      </c>
    </row>
    <row r="781">
      <c r="A781" s="109" t="n"/>
      <c r="B781" s="109" t="n"/>
      <c r="C781" s="109" t="inlineStr"/>
      <c r="D781" s="109" t="inlineStr">
        <is>
          <t>AREA 3</t>
        </is>
      </c>
      <c r="E781" s="109" t="inlineStr">
        <is>
          <t>547948/C</t>
        </is>
      </c>
      <c r="F781" s="109" t="inlineStr">
        <is>
          <t>700</t>
        </is>
      </c>
      <c r="G781" s="109" t="inlineStr">
        <is>
          <t>700-1-APH100-F101N ripristino fotocellula bruciatore B</t>
        </is>
      </c>
      <c r="H781" s="109" t="n"/>
      <c r="I781" s="109" t="n"/>
      <c r="J781" s="109" t="n"/>
      <c r="K781" s="109" t="n"/>
      <c r="L781" s="109" t="n"/>
      <c r="M781" s="109" t="inlineStr">
        <is>
          <t>EMESSO</t>
        </is>
      </c>
      <c r="N781" s="109" t="n"/>
      <c r="O781" s="109" t="n"/>
      <c r="P781" s="109" t="n"/>
      <c r="Q781" s="109" t="n"/>
      <c r="R781" s="151" t="n"/>
      <c r="S781" s="109" t="n"/>
      <c r="T781" s="109" t="inlineStr"/>
      <c r="U781" s="109" t="inlineStr"/>
    </row>
    <row r="782">
      <c r="A782" s="109" t="n"/>
      <c r="B782" s="109" t="n"/>
      <c r="C782" s="109" t="inlineStr"/>
      <c r="D782" s="109" t="inlineStr">
        <is>
          <t>AREA 3</t>
        </is>
      </c>
      <c r="E782" s="109" t="inlineStr">
        <is>
          <t>547945/C</t>
        </is>
      </c>
      <c r="F782" s="109" t="inlineStr">
        <is>
          <t>1200</t>
        </is>
      </c>
      <c r="G782" s="109" t="inlineStr">
        <is>
          <t>1200M F201 RIPRISTINO FUNZIIONALE FOTOCELLULA</t>
        </is>
      </c>
      <c r="H782" s="109" t="n"/>
      <c r="I782" s="109" t="n"/>
      <c r="J782" s="109" t="n"/>
      <c r="K782" s="109" t="n"/>
      <c r="L782" s="109" t="n"/>
      <c r="M782" s="109" t="inlineStr">
        <is>
          <t>EMESSO</t>
        </is>
      </c>
      <c r="N782" s="109" t="n"/>
      <c r="O782" s="109" t="n"/>
      <c r="P782" s="109" t="n"/>
      <c r="Q782" s="109" t="n"/>
      <c r="R782" s="151" t="n"/>
      <c r="S782" s="109" t="n"/>
      <c r="T782" s="109" t="inlineStr"/>
      <c r="U782" s="109" t="inlineStr"/>
    </row>
    <row r="783" ht="30" customHeight="1" s="122">
      <c r="A783" s="109" t="n"/>
      <c r="B783" s="109" t="n"/>
      <c r="C783" s="109" t="inlineStr"/>
      <c r="D783" s="109" t="inlineStr">
        <is>
          <t>AREA 3</t>
        </is>
      </c>
      <c r="E783" s="109" t="inlineStr">
        <is>
          <t>547949/C</t>
        </is>
      </c>
      <c r="F783" s="109" t="inlineStr">
        <is>
          <t>1200</t>
        </is>
      </c>
      <c r="G783" s="109" t="inlineStr">
        <is>
          <t>1200-0-B901C  ripristino sonde di temperatura e vibrazione e strumentazione varia a bordo macchina</t>
        </is>
      </c>
      <c r="H783" s="109" t="n"/>
      <c r="I783" s="109" t="n"/>
      <c r="J783" s="109" t="n"/>
      <c r="K783" s="109" t="n"/>
      <c r="L783" s="109" t="n"/>
      <c r="M783" s="110" t="inlineStr">
        <is>
          <t>EMESSO</t>
        </is>
      </c>
      <c r="N783" s="110" t="n"/>
      <c r="O783" s="110" t="n"/>
      <c r="P783" s="110" t="n"/>
      <c r="Q783" s="110" t="n"/>
      <c r="R783" s="151" t="n"/>
      <c r="S783" s="110" t="n"/>
      <c r="T783" s="109" t="inlineStr"/>
      <c r="U783" s="147" t="inlineStr"/>
    </row>
    <row r="784" ht="30" customHeight="1" s="122">
      <c r="A784" s="109" t="n"/>
      <c r="B784" s="108" t="n"/>
      <c r="C784" s="109" t="inlineStr"/>
      <c r="D784" s="109" t="inlineStr">
        <is>
          <t>AREA 3</t>
        </is>
      </c>
      <c r="E784" s="109" t="inlineStr">
        <is>
          <t>547508/C</t>
        </is>
      </c>
      <c r="F784" s="109" t="inlineStr">
        <is>
          <t>1400</t>
        </is>
      </c>
      <c r="G784" s="109" t="inlineStr">
        <is>
          <t xml:space="preserve">10228743  - 1400-T105- 14F202ARC-14F202BRC - CONTROLLO FUNZIONALE - rilievo bandierina disco e modifica dei FS dei misuratori </t>
        </is>
      </c>
      <c r="H784" s="109" t="n"/>
      <c r="I784" s="109" t="n"/>
      <c r="J784" s="109" t="n"/>
      <c r="K784" s="109" t="n"/>
      <c r="L784" s="109" t="n"/>
      <c r="M784" s="110" t="inlineStr">
        <is>
          <t>EMESSO</t>
        </is>
      </c>
      <c r="N784" s="110" t="n"/>
      <c r="O784" s="110" t="n"/>
      <c r="P784" s="110" t="n"/>
      <c r="Q784" s="110" t="n"/>
      <c r="R784" s="151" t="n">
        <v>45889</v>
      </c>
      <c r="S784" s="110" t="inlineStr">
        <is>
          <t>TARASCIO</t>
        </is>
      </c>
      <c r="T784" s="109" t="inlineStr"/>
      <c r="U784" s="147" t="inlineStr">
        <is>
          <t>10228743</t>
        </is>
      </c>
    </row>
    <row r="785">
      <c r="A785" s="109" t="n"/>
      <c r="B785" s="109" t="n"/>
      <c r="C785" s="109" t="inlineStr"/>
      <c r="D785" s="109" t="inlineStr">
        <is>
          <t>AREA 3</t>
        </is>
      </c>
      <c r="E785" s="109" t="inlineStr">
        <is>
          <t>548156/C</t>
        </is>
      </c>
      <c r="F785" s="109" t="inlineStr">
        <is>
          <t>1400</t>
        </is>
      </c>
      <c r="G785" s="109" t="inlineStr">
        <is>
          <t>1400 F005I RIFACIMENTO PRIMARI + FLUSSAGGI</t>
        </is>
      </c>
      <c r="H785" s="109" t="n"/>
      <c r="I785" s="109" t="n"/>
      <c r="J785" s="109" t="n"/>
      <c r="K785" s="109" t="n"/>
      <c r="L785" s="109" t="n"/>
      <c r="M785" s="109" t="inlineStr">
        <is>
          <t>EMESSO</t>
        </is>
      </c>
      <c r="N785" s="109" t="n"/>
      <c r="O785" s="109" t="n"/>
      <c r="P785" s="109" t="n"/>
      <c r="Q785" s="109" t="n"/>
      <c r="R785" s="151" t="n">
        <v>45889</v>
      </c>
      <c r="S785" s="109" t="inlineStr">
        <is>
          <t>DE LUCA</t>
        </is>
      </c>
      <c r="T785" s="109" t="inlineStr"/>
      <c r="U785" s="109" t="inlineStr"/>
    </row>
    <row r="786" ht="30" customHeight="1" s="122">
      <c r="A786" s="109" t="n"/>
      <c r="B786" s="108" t="n"/>
      <c r="C786" s="109" t="inlineStr"/>
      <c r="D786" s="109" t="inlineStr">
        <is>
          <t>AREA 3</t>
        </is>
      </c>
      <c r="E786" s="109" t="inlineStr">
        <is>
          <t>547808/C</t>
        </is>
      </c>
      <c r="F786" s="109" t="inlineStr">
        <is>
          <t>1200</t>
        </is>
      </c>
      <c r="G786" s="109" t="inlineStr">
        <is>
          <t>1200MAXI (F201)RIPRISTINO FUNZIONALITA FOTOCELLULA</t>
        </is>
      </c>
      <c r="H786" s="109" t="n"/>
      <c r="I786" s="109" t="n"/>
      <c r="J786" s="109" t="n"/>
      <c r="K786" s="109" t="n"/>
      <c r="L786" s="109" t="n"/>
      <c r="M786" s="110" t="inlineStr">
        <is>
          <t>EMESSO</t>
        </is>
      </c>
      <c r="N786" s="110" t="n"/>
      <c r="O786" s="110" t="n"/>
      <c r="P786" s="110" t="n"/>
      <c r="Q786" s="110" t="inlineStr">
        <is>
          <t>Controllo effettuato, stasatura canale con azoto.</t>
        </is>
      </c>
      <c r="R786" s="151" t="n">
        <v>45887</v>
      </c>
      <c r="S786" s="110" t="inlineStr">
        <is>
          <t>TARASCIO/PARTESANO</t>
        </is>
      </c>
      <c r="T786" s="109" t="inlineStr"/>
      <c r="U786" s="147" t="inlineStr"/>
    </row>
    <row r="787">
      <c r="A787" s="109" t="n"/>
      <c r="B787" s="108" t="n"/>
      <c r="C787" s="109" t="inlineStr"/>
      <c r="D787" s="109" t="inlineStr">
        <is>
          <t>AREA 3</t>
        </is>
      </c>
      <c r="E787" s="109" t="inlineStr">
        <is>
          <t>549123/C</t>
        </is>
      </c>
      <c r="F787" s="109" t="inlineStr">
        <is>
          <t>700</t>
        </is>
      </c>
      <c r="G787" s="109" t="inlineStr">
        <is>
          <t>10229568  700: RIPR TUBO ARIA STRUMENTI A PNEUMATICA DILUVIO F101N  B617V</t>
        </is>
      </c>
      <c r="H787" s="109" t="n"/>
      <c r="I787" s="109" t="n"/>
      <c r="J787" s="109" t="n"/>
      <c r="K787" s="109" t="n"/>
      <c r="L787" s="109" t="n"/>
      <c r="M787" s="110" t="inlineStr">
        <is>
          <t>EMESSO</t>
        </is>
      </c>
      <c r="N787" s="110" t="n"/>
      <c r="O787" s="110" t="n"/>
      <c r="P787" s="110" t="n"/>
      <c r="Q787" s="110" t="n"/>
      <c r="R787" s="151" t="n"/>
      <c r="S787" s="110" t="n"/>
      <c r="T787" s="109" t="inlineStr"/>
      <c r="U787" s="147" t="inlineStr">
        <is>
          <t>10229568</t>
        </is>
      </c>
    </row>
    <row r="788">
      <c r="A788" s="109" t="n"/>
      <c r="B788" s="108" t="n"/>
      <c r="C788" s="109" t="inlineStr"/>
      <c r="D788" s="109" t="inlineStr">
        <is>
          <t>AREA 3</t>
        </is>
      </c>
      <c r="E788" s="109" t="inlineStr">
        <is>
          <t>549324/C</t>
        </is>
      </c>
      <c r="F788" s="109" t="inlineStr">
        <is>
          <t>800</t>
        </is>
      </c>
      <c r="G788" s="109" t="inlineStr">
        <is>
          <t>10229705   800: RIPRISTINO SONDA VIBRAZIONI COMPRESSORE C101B</t>
        </is>
      </c>
      <c r="H788" s="109" t="n"/>
      <c r="I788" s="109" t="n"/>
      <c r="J788" s="109" t="n"/>
      <c r="K788" s="109" t="n"/>
      <c r="L788" s="109" t="n"/>
      <c r="M788" s="110" t="inlineStr">
        <is>
          <t>EMESSO</t>
        </is>
      </c>
      <c r="N788" s="110" t="n"/>
      <c r="O788" s="110" t="n"/>
      <c r="P788" s="110" t="n"/>
      <c r="Q788" s="110" t="n"/>
      <c r="R788" s="151" t="n"/>
      <c r="S788" s="110" t="n"/>
      <c r="T788" s="109" t="inlineStr"/>
      <c r="U788" s="147" t="inlineStr">
        <is>
          <t>10229705</t>
        </is>
      </c>
    </row>
    <row r="789">
      <c r="A789" s="109" t="n"/>
      <c r="B789" s="108" t="n"/>
      <c r="C789" s="109" t="inlineStr"/>
      <c r="D789" s="109" t="inlineStr">
        <is>
          <t>AREA 3</t>
        </is>
      </c>
      <c r="E789" s="109" t="inlineStr">
        <is>
          <t>549121/C</t>
        </is>
      </c>
      <c r="F789" s="109" t="inlineStr">
        <is>
          <t>2200 BD</t>
        </is>
      </c>
      <c r="G789" s="109" t="inlineStr">
        <is>
          <t>10229589  22L201RC controllo funzionale</t>
        </is>
      </c>
      <c r="H789" s="109" t="n"/>
      <c r="I789" s="109" t="n"/>
      <c r="J789" s="109" t="n"/>
      <c r="K789" s="109" t="n"/>
      <c r="L789" s="109" t="n"/>
      <c r="M789" s="110" t="inlineStr">
        <is>
          <t>EMESSO</t>
        </is>
      </c>
      <c r="N789" s="110" t="n"/>
      <c r="O789" s="110" t="n"/>
      <c r="P789" s="110" t="n"/>
      <c r="Q789" s="110" t="n"/>
      <c r="R789" s="151" t="n"/>
      <c r="S789" s="110" t="n"/>
      <c r="T789" s="109" t="inlineStr"/>
      <c r="U789" s="147" t="inlineStr">
        <is>
          <t>10229589</t>
        </is>
      </c>
    </row>
    <row r="790" ht="30" customHeight="1" s="122">
      <c r="A790" s="109" t="n"/>
      <c r="B790" s="108" t="n"/>
      <c r="C790" s="109" t="inlineStr"/>
      <c r="D790" s="109" t="inlineStr">
        <is>
          <t>AREA 3</t>
        </is>
      </c>
      <c r="E790" s="109" t="inlineStr">
        <is>
          <t>549480/C</t>
        </is>
      </c>
      <c r="F790" s="109" t="inlineStr">
        <is>
          <t>1200</t>
        </is>
      </c>
      <c r="G790" s="109" t="inlineStr">
        <is>
          <t>Controllo combustione F101 L1 e termocoppie Z1T402  "zona SWS della L1 Z1T402 A e Z1 T402B "</t>
        </is>
      </c>
      <c r="H790" s="109" t="n"/>
      <c r="I790" s="109" t="n"/>
      <c r="J790" s="109" t="n"/>
      <c r="K790" s="109" t="n"/>
      <c r="L790" s="109" t="n"/>
      <c r="M790" s="110" t="inlineStr">
        <is>
          <t>EMESSO</t>
        </is>
      </c>
      <c r="N790" s="110" t="n"/>
      <c r="O790" s="110" t="n"/>
      <c r="P790" s="110" t="n"/>
      <c r="Q790" s="110" t="n"/>
      <c r="R790" s="151" t="n"/>
      <c r="S790" s="110" t="n"/>
      <c r="T790" s="109" t="inlineStr"/>
      <c r="U790" s="147" t="inlineStr"/>
    </row>
    <row r="791" ht="30" customHeight="1" s="122">
      <c r="A791" s="109" t="inlineStr">
        <is>
          <t>X</t>
        </is>
      </c>
      <c r="B791" s="108" t="n"/>
      <c r="C791" s="109" t="inlineStr"/>
      <c r="D791" s="109" t="inlineStr">
        <is>
          <t>AREA 3</t>
        </is>
      </c>
      <c r="E791" s="109" t="inlineStr">
        <is>
          <t>544235/C</t>
        </is>
      </c>
      <c r="F791" s="109" t="inlineStr">
        <is>
          <t>1200</t>
        </is>
      </c>
      <c r="G791" s="109" t="inlineStr">
        <is>
          <t>SD 1200/4 - controllo ed eventuale stasatura di FT301 (CARICA MEA) - FT302 (CARICA SWS A F101) - FT306 (SPILL. MEA A F101) - FT307 (SPILL MEA GAS B103)</t>
        </is>
      </c>
      <c r="H791" s="109" t="n"/>
      <c r="I791" s="109" t="n"/>
      <c r="J791" s="109" t="n"/>
      <c r="K791" s="109" t="n"/>
      <c r="L791" s="109" t="n"/>
      <c r="M791" s="110" t="inlineStr">
        <is>
          <t>EMESSO</t>
        </is>
      </c>
      <c r="N791" s="110" t="n"/>
      <c r="O791" s="110" t="n"/>
      <c r="P791" s="110" t="n"/>
      <c r="Q791" s="110" t="inlineStr">
        <is>
          <t>FERMATA 1200/4</t>
        </is>
      </c>
      <c r="R791" s="151" t="n"/>
      <c r="S791" s="110" t="n"/>
      <c r="T791" s="109" t="inlineStr"/>
      <c r="U791" s="147" t="inlineStr"/>
    </row>
    <row r="792">
      <c r="A792" s="109" t="n"/>
      <c r="B792" s="108" t="n"/>
      <c r="C792" s="109" t="inlineStr"/>
      <c r="D792" s="109" t="inlineStr">
        <is>
          <t>AREA 3</t>
        </is>
      </c>
      <c r="E792" s="109" t="inlineStr">
        <is>
          <t>549322/C</t>
        </is>
      </c>
      <c r="F792" s="109" t="inlineStr">
        <is>
          <t>2200 BD</t>
        </is>
      </c>
      <c r="G792" s="109" t="inlineStr">
        <is>
          <t>10229698  2200BD L514LA - L514HA CONTROLLO E RIPRISTINO</t>
        </is>
      </c>
      <c r="H792" s="109" t="n"/>
      <c r="I792" s="109" t="n"/>
      <c r="J792" s="109" t="n"/>
      <c r="K792" s="109" t="n"/>
      <c r="L792" s="109" t="n"/>
      <c r="M792" s="110" t="inlineStr">
        <is>
          <t>EMESSO</t>
        </is>
      </c>
      <c r="N792" s="110" t="n"/>
      <c r="O792" s="110" t="n"/>
      <c r="P792" s="110" t="n"/>
      <c r="Q792" s="110" t="n"/>
      <c r="R792" s="151" t="n"/>
      <c r="S792" s="110" t="n"/>
      <c r="T792" s="109" t="inlineStr"/>
      <c r="U792" s="147" t="inlineStr">
        <is>
          <t>10229698</t>
        </is>
      </c>
    </row>
    <row r="793" ht="30" customHeight="1" s="122">
      <c r="A793" s="109" t="n"/>
      <c r="B793" s="109" t="n"/>
      <c r="C793" s="109" t="inlineStr"/>
      <c r="D793" s="109" t="inlineStr">
        <is>
          <t>AREA 3</t>
        </is>
      </c>
      <c r="E793" s="109" t="inlineStr">
        <is>
          <t>548695/C</t>
        </is>
      </c>
      <c r="F793" s="109" t="inlineStr">
        <is>
          <t>1400</t>
        </is>
      </c>
      <c r="G793" s="109" t="inlineStr">
        <is>
          <t>1400 F005I costruzione flussaggi e prove funzionali</t>
        </is>
      </c>
      <c r="H793" s="109" t="n"/>
      <c r="I793" s="109" t="n"/>
      <c r="J793" s="109" t="n"/>
      <c r="K793" s="109" t="n"/>
      <c r="L793" s="109" t="n"/>
      <c r="M793" s="109" t="inlineStr">
        <is>
          <t>EMESSO</t>
        </is>
      </c>
      <c r="N793" s="109" t="n"/>
      <c r="O793" s="109" t="n"/>
      <c r="P793" s="109" t="n"/>
      <c r="Q793" s="109" t="inlineStr">
        <is>
          <t>NECESSITA INTERVENTO PONTEROSSO PER RADICI TAPPATE, PONTEGGIO ESISTENTE</t>
        </is>
      </c>
      <c r="R793" s="151" t="n">
        <v>45903</v>
      </c>
      <c r="S793" s="109" t="inlineStr">
        <is>
          <t>TARASCIO</t>
        </is>
      </c>
      <c r="T793" s="109" t="inlineStr"/>
      <c r="U793" s="109" t="inlineStr"/>
    </row>
    <row r="794">
      <c r="A794" s="109" t="n"/>
      <c r="B794" s="108" t="n"/>
      <c r="C794" s="109" t="inlineStr"/>
      <c r="D794" s="109" t="inlineStr">
        <is>
          <t>AREA 3</t>
        </is>
      </c>
      <c r="E794" s="109" t="inlineStr">
        <is>
          <t>548304/C</t>
        </is>
      </c>
      <c r="F794" s="109" t="inlineStr">
        <is>
          <t>1200</t>
        </is>
      </c>
      <c r="G794" s="109" t="inlineStr">
        <is>
          <t xml:space="preserve"> 1200/3:  RILIEVI DI PRESSIONE come indicati da ESE</t>
        </is>
      </c>
      <c r="H794" s="109" t="n"/>
      <c r="I794" s="109" t="n"/>
      <c r="J794" s="109" t="n"/>
      <c r="K794" s="109" t="n"/>
      <c r="L794" s="109" t="n"/>
      <c r="M794" s="110" t="inlineStr">
        <is>
          <t>EMESSO</t>
        </is>
      </c>
      <c r="N794" s="110" t="n"/>
      <c r="O794" s="110" t="n"/>
      <c r="P794" s="110" t="n"/>
      <c r="Q794" s="110" t="n"/>
      <c r="R794" s="151" t="n"/>
      <c r="S794" s="110" t="n"/>
      <c r="T794" s="109" t="inlineStr"/>
      <c r="U794" s="147" t="inlineStr"/>
    </row>
    <row r="795" ht="60" customHeight="1" s="122">
      <c r="A795" s="109" t="n"/>
      <c r="B795" s="109" t="n"/>
      <c r="C795" s="109" t="inlineStr"/>
      <c r="D795" s="109" t="inlineStr">
        <is>
          <t>AREA 3</t>
        </is>
      </c>
      <c r="E795" s="109" t="inlineStr">
        <is>
          <t>543964/C</t>
        </is>
      </c>
      <c r="F795" s="109" t="inlineStr">
        <is>
          <t>1200</t>
        </is>
      </c>
      <c r="G795" s="109" t="inlineStr">
        <is>
          <t xml:space="preserve"> 1200-MAX  E OFF SITE CONTROLLO  RIPRISTINO E MOVIMENTAZIONE  KV e HIC. </t>
        </is>
      </c>
      <c r="H795" s="109" t="n"/>
      <c r="I795" s="109" t="n"/>
      <c r="J795" s="109" t="n"/>
      <c r="K795" s="109" t="n"/>
      <c r="L795" s="109" t="n"/>
      <c r="M795" s="109" t="inlineStr">
        <is>
          <t>EMESSO</t>
        </is>
      </c>
      <c r="N795" s="109" t="n"/>
      <c r="O795" s="109" t="n"/>
      <c r="P795" s="109" t="n"/>
      <c r="Q795" s="109" t="inlineStr">
        <is>
          <t>KV 757 A.C. LA VALVOLA NONOSTANTE LA STRUMENTAZIONE FUNZIONI PERFETTAMENTE NON VA IN CHIUSURA. BLOCCATA.
K.V. 756 A.A. VALVOLA BLOCCATA CHIUSA IN VOLANTINO, NON E' POSSIBILE PROVARLA.</t>
        </is>
      </c>
      <c r="R795" s="151" t="n">
        <v>45867</v>
      </c>
      <c r="S795" s="109" t="inlineStr">
        <is>
          <t>GARRO</t>
        </is>
      </c>
      <c r="T795" s="109" t="inlineStr"/>
      <c r="U795" s="109" t="inlineStr"/>
    </row>
    <row r="796">
      <c r="A796" s="109" t="n"/>
      <c r="B796" s="108" t="n"/>
      <c r="C796" s="109" t="inlineStr"/>
      <c r="D796" s="109" t="inlineStr">
        <is>
          <t>AREA 3</t>
        </is>
      </c>
      <c r="E796" s="109" t="inlineStr">
        <is>
          <t>550417/C</t>
        </is>
      </c>
      <c r="F796" s="109" t="inlineStr">
        <is>
          <t>700</t>
        </is>
      </c>
      <c r="G796" s="109" t="inlineStr">
        <is>
          <t>700-1-F101 N  CONTROLLO FUNZIONALE PILOTA BRUC A F101N</t>
        </is>
      </c>
      <c r="H796" s="109" t="n"/>
      <c r="I796" s="109" t="n"/>
      <c r="J796" s="109" t="n"/>
      <c r="K796" s="109" t="n"/>
      <c r="L796" s="109" t="n"/>
      <c r="M796" s="110" t="inlineStr">
        <is>
          <t>EMESSO</t>
        </is>
      </c>
      <c r="N796" s="110" t="n"/>
      <c r="O796" s="110" t="n"/>
      <c r="P796" s="110" t="n"/>
      <c r="Q796" s="110" t="n"/>
      <c r="R796" s="151" t="n"/>
      <c r="S796" s="110" t="n"/>
      <c r="T796" s="109" t="inlineStr"/>
      <c r="U796" s="147" t="inlineStr"/>
    </row>
    <row r="797">
      <c r="A797" s="109" t="n"/>
      <c r="B797" s="108" t="n"/>
      <c r="C797" s="109" t="inlineStr"/>
      <c r="D797" s="109" t="inlineStr">
        <is>
          <t>AREA 3</t>
        </is>
      </c>
      <c r="E797" s="109" t="inlineStr">
        <is>
          <t>549850/C</t>
        </is>
      </c>
      <c r="F797" s="109" t="inlineStr">
        <is>
          <t>700</t>
        </is>
      </c>
      <c r="G797" s="109" t="inlineStr">
        <is>
          <t>700 F101N TCV639COTROLLO ZT DI RITORNO POSIZIONE VALVOLA</t>
        </is>
      </c>
      <c r="H797" s="109" t="n"/>
      <c r="I797" s="109" t="n"/>
      <c r="J797" s="109" t="n"/>
      <c r="K797" s="109" t="n"/>
      <c r="L797" s="109" t="n"/>
      <c r="M797" s="110" t="inlineStr">
        <is>
          <t>EMESSO</t>
        </is>
      </c>
      <c r="N797" s="110" t="n"/>
      <c r="O797" s="110" t="n"/>
      <c r="P797" s="110" t="n"/>
      <c r="Q797" s="110" t="inlineStr">
        <is>
          <t>IN ATTESA DI INTERVENTO PREZZAVENTO</t>
        </is>
      </c>
      <c r="R797" s="151" t="n">
        <v>45905</v>
      </c>
      <c r="S797" s="110" t="inlineStr">
        <is>
          <t>TARASCIO</t>
        </is>
      </c>
      <c r="T797" s="109" t="inlineStr"/>
      <c r="U797" s="147" t="inlineStr"/>
    </row>
    <row r="798">
      <c r="A798" s="109" t="n"/>
      <c r="B798" s="109" t="n"/>
      <c r="C798" s="109" t="inlineStr"/>
      <c r="D798" s="109" t="inlineStr">
        <is>
          <t>AREA 3</t>
        </is>
      </c>
      <c r="E798" s="109" t="inlineStr">
        <is>
          <t>550411/C</t>
        </is>
      </c>
      <c r="F798" s="109" t="inlineStr">
        <is>
          <t>1200</t>
        </is>
      </c>
      <c r="G798" s="109" t="inlineStr">
        <is>
          <t>10230078   PRIORITA' 1- 1200/1: RIPR Z1B401U1</t>
        </is>
      </c>
      <c r="H798" s="109" t="n"/>
      <c r="I798" s="109" t="n"/>
      <c r="J798" s="109" t="n"/>
      <c r="K798" s="109" t="n"/>
      <c r="L798" s="109" t="n"/>
      <c r="M798" s="109" t="inlineStr">
        <is>
          <t>EMESSO</t>
        </is>
      </c>
      <c r="N798" s="109" t="n"/>
      <c r="O798" s="109" t="n"/>
      <c r="P798" s="109" t="n"/>
      <c r="Q798" s="109" t="n"/>
      <c r="R798" s="151" t="n"/>
      <c r="S798" s="109" t="n"/>
      <c r="T798" s="109" t="inlineStr"/>
      <c r="U798" s="109" t="inlineStr">
        <is>
          <t>10230078</t>
        </is>
      </c>
    </row>
    <row r="799" ht="30" customHeight="1" s="122">
      <c r="A799" s="109" t="n"/>
      <c r="B799" s="108" t="n"/>
      <c r="C799" s="109" t="inlineStr"/>
      <c r="D799" s="109" t="inlineStr">
        <is>
          <t>AREA 3</t>
        </is>
      </c>
      <c r="E799" s="109" t="inlineStr">
        <is>
          <t>550679/C</t>
        </is>
      </c>
      <c r="F799" s="109" t="inlineStr">
        <is>
          <t>2400</t>
        </is>
      </c>
      <c r="G799" s="109" t="inlineStr">
        <is>
          <t>2400-1-L606RCV serraggio premi treccia</t>
        </is>
      </c>
      <c r="H799" s="109" t="n"/>
      <c r="I799" s="109" t="n"/>
      <c r="J799" s="109" t="n"/>
      <c r="K799" s="109" t="n"/>
      <c r="L799" s="109" t="n"/>
      <c r="M799" s="110" t="inlineStr">
        <is>
          <t>EMESSO</t>
        </is>
      </c>
      <c r="N799" s="110" t="n"/>
      <c r="O799" s="110" t="n"/>
      <c r="P799" s="110" t="n"/>
      <c r="Q799" s="110" t="inlineStr">
        <is>
          <t>IL PREMI TRECCIA NON E' STATO POSSIBILE SERRARLO, PERCHE' I TIRANTI SONO CORROSI. SI CONSIGLIA LA REVISIONE DELLA VALVOLA</t>
        </is>
      </c>
      <c r="R799" s="151" t="n">
        <v>45911</v>
      </c>
      <c r="S799" s="110" t="inlineStr">
        <is>
          <t>GARRO</t>
        </is>
      </c>
      <c r="T799" s="109" t="inlineStr"/>
      <c r="U799" s="147" t="inlineStr"/>
    </row>
    <row r="800">
      <c r="A800" s="109" t="n"/>
      <c r="B800" s="108" t="n"/>
      <c r="C800" s="109" t="inlineStr"/>
      <c r="D800" s="109" t="inlineStr">
        <is>
          <t>AREA 3</t>
        </is>
      </c>
      <c r="E800" s="109" t="inlineStr">
        <is>
          <t>551074/C</t>
        </is>
      </c>
      <c r="F800" s="109" t="inlineStr">
        <is>
          <t>1200</t>
        </is>
      </c>
      <c r="G800" s="109" t="inlineStr">
        <is>
          <t>1400 F004/005I CONTROLLO E RIPRISTINO FUNZIONALE</t>
        </is>
      </c>
      <c r="H800" s="109" t="n"/>
      <c r="I800" s="109" t="n"/>
      <c r="J800" s="109" t="n"/>
      <c r="K800" s="109" t="n"/>
      <c r="L800" s="109" t="n"/>
      <c r="M800" s="110" t="inlineStr">
        <is>
          <t>EMESSO</t>
        </is>
      </c>
      <c r="N800" s="110" t="n"/>
      <c r="O800" s="110" t="n"/>
      <c r="P800" s="110" t="n"/>
      <c r="Q800" s="110" t="n"/>
      <c r="R800" s="151" t="n"/>
      <c r="S800" s="110" t="n"/>
      <c r="T800" s="109" t="inlineStr"/>
      <c r="U800" s="147" t="n"/>
    </row>
    <row r="801">
      <c r="A801" s="109" t="n"/>
      <c r="B801" s="109" t="n"/>
      <c r="C801" s="109" t="inlineStr"/>
      <c r="D801" s="109" t="inlineStr">
        <is>
          <t>AREA 3</t>
        </is>
      </c>
      <c r="E801" s="109" t="inlineStr">
        <is>
          <t>551042/C</t>
        </is>
      </c>
      <c r="F801" s="109" t="inlineStr">
        <is>
          <t>1200</t>
        </is>
      </c>
      <c r="G801" s="109" t="inlineStr">
        <is>
          <t>URGENTE!: ORDINE PULIZIA IMPIANTI AREA 3</t>
        </is>
      </c>
      <c r="H801" s="109" t="n"/>
      <c r="I801" s="109" t="n"/>
      <c r="J801" s="109" t="n"/>
      <c r="K801" s="109" t="n"/>
      <c r="L801" s="109" t="n"/>
      <c r="M801" s="109" t="inlineStr">
        <is>
          <t>EMESSO</t>
        </is>
      </c>
      <c r="N801" s="109" t="n"/>
      <c r="O801" s="109" t="n"/>
      <c r="P801" s="109" t="n"/>
      <c r="Q801" s="109" t="n"/>
      <c r="R801" s="151" t="n"/>
      <c r="S801" s="109" t="n"/>
      <c r="T801" s="109" t="inlineStr"/>
      <c r="U801" s="109" t="n"/>
    </row>
    <row r="802" ht="30" customHeight="1" s="122">
      <c r="A802" s="109" t="n"/>
      <c r="B802" s="108" t="n"/>
      <c r="C802" s="109" t="inlineStr"/>
      <c r="D802" s="109" t="inlineStr">
        <is>
          <t>AREA 3</t>
        </is>
      </c>
      <c r="E802" s="109" t="inlineStr">
        <is>
          <t>550255/C</t>
        </is>
      </c>
      <c r="F802" s="109" t="inlineStr">
        <is>
          <t>800</t>
        </is>
      </c>
      <c r="G802" s="109" t="inlineStr">
        <is>
          <t>800 FCV120 CONTROLLO FUNZIONALE ED EVENTUALE SMONTAGGIO/RIMONTAGGIO PER REVISIONE</t>
        </is>
      </c>
      <c r="H802" s="109" t="n"/>
      <c r="I802" s="109" t="n"/>
      <c r="J802" s="109" t="n"/>
      <c r="K802" s="109" t="n"/>
      <c r="L802" s="109" t="n"/>
      <c r="M802" s="110" t="inlineStr">
        <is>
          <t>EMESSO</t>
        </is>
      </c>
      <c r="N802" s="110" t="n"/>
      <c r="O802" s="110" t="n"/>
      <c r="P802" s="110" t="n"/>
      <c r="Q802" s="110" t="inlineStr">
        <is>
          <t>VALVOLA IN REVISIONE IN OFFICINA VALVOLE</t>
        </is>
      </c>
      <c r="R802" s="151" t="n">
        <v>45910</v>
      </c>
      <c r="S802" s="110" t="inlineStr">
        <is>
          <t>GARRO</t>
        </is>
      </c>
      <c r="T802" s="109" t="inlineStr"/>
      <c r="U802" s="147" t="inlineStr"/>
    </row>
    <row r="803">
      <c r="A803" s="109" t="n"/>
      <c r="B803" s="108" t="n"/>
      <c r="C803" s="109" t="inlineStr"/>
      <c r="D803" s="109" t="inlineStr">
        <is>
          <t>AREA 3</t>
        </is>
      </c>
      <c r="E803" s="109" t="inlineStr">
        <is>
          <t>551104/C</t>
        </is>
      </c>
      <c r="F803" s="109" t="inlineStr">
        <is>
          <t>1200</t>
        </is>
      </c>
      <c r="G803" s="109" t="inlineStr">
        <is>
          <t xml:space="preserve">10230332 SMONTAGGIO/RIMONTAGGIO PER  Revisione FCV303- </t>
        </is>
      </c>
      <c r="H803" s="109" t="n"/>
      <c r="I803" s="109" t="n"/>
      <c r="J803" s="109" t="n"/>
      <c r="K803" s="109" t="n"/>
      <c r="L803" s="109" t="n"/>
      <c r="M803" s="110" t="inlineStr">
        <is>
          <t>EMESSO</t>
        </is>
      </c>
      <c r="N803" s="110" t="n"/>
      <c r="O803" s="110" t="n"/>
      <c r="P803" s="110" t="n"/>
      <c r="Q803" s="110" t="n"/>
      <c r="R803" s="151" t="n"/>
      <c r="S803" s="110" t="n"/>
      <c r="T803" s="109" t="inlineStr"/>
      <c r="U803" s="147" t="n"/>
    </row>
    <row r="804" ht="30" customHeight="1" s="122">
      <c r="A804" s="109" t="n"/>
      <c r="B804" s="108" t="n"/>
      <c r="C804" s="109" t="inlineStr"/>
      <c r="D804" s="109" t="inlineStr">
        <is>
          <t>AREA 3</t>
        </is>
      </c>
      <c r="E804" s="109" t="inlineStr">
        <is>
          <t>551109/C</t>
        </is>
      </c>
      <c r="F804" s="109" t="inlineStr">
        <is>
          <t>1200</t>
        </is>
      </c>
      <c r="G804" s="109" t="inlineStr">
        <is>
          <t>10230340 1200/2 HIC740 controllo funzionale ed eventuale smontaggio servomotore per revisione  valvola completa</t>
        </is>
      </c>
      <c r="H804" s="109" t="n"/>
      <c r="I804" s="109" t="n"/>
      <c r="J804" s="109" t="n"/>
      <c r="K804" s="109" t="n"/>
      <c r="L804" s="109" t="n"/>
      <c r="M804" s="110" t="inlineStr">
        <is>
          <t>EMESSO</t>
        </is>
      </c>
      <c r="N804" s="110" t="n"/>
      <c r="O804" s="110" t="n"/>
      <c r="P804" s="110" t="n"/>
      <c r="Q804" s="110" t="n"/>
      <c r="R804" s="151" t="n"/>
      <c r="S804" s="110" t="n"/>
      <c r="T804" s="109" t="inlineStr"/>
      <c r="U804" s="147" t="n"/>
    </row>
    <row r="805" ht="30" customHeight="1" s="122">
      <c r="A805" s="109" t="n"/>
      <c r="B805" s="108" t="n"/>
      <c r="C805" s="109" t="inlineStr"/>
      <c r="D805" s="109" t="inlineStr">
        <is>
          <t>AREA 3</t>
        </is>
      </c>
      <c r="E805" s="109" t="inlineStr">
        <is>
          <t>551114/C</t>
        </is>
      </c>
      <c r="F805" s="109" t="inlineStr">
        <is>
          <t>1200</t>
        </is>
      </c>
      <c r="G805" s="109" t="inlineStr">
        <is>
          <t>10230341 1200/2 HIC744 controllo funzionale ed eventuale smontaggio servomotore per revisione  valvola completa</t>
        </is>
      </c>
      <c r="H805" s="109" t="n"/>
      <c r="I805" s="109" t="n"/>
      <c r="J805" s="109" t="n"/>
      <c r="K805" s="109" t="n"/>
      <c r="L805" s="109" t="n"/>
      <c r="M805" s="110" t="inlineStr">
        <is>
          <t>EMESSO</t>
        </is>
      </c>
      <c r="N805" s="110" t="n"/>
      <c r="O805" s="110" t="n"/>
      <c r="P805" s="110" t="n"/>
      <c r="Q805" s="110" t="n"/>
      <c r="R805" s="151" t="n"/>
      <c r="S805" s="110" t="n"/>
      <c r="T805" s="109" t="inlineStr"/>
      <c r="U805" s="147" t="n"/>
    </row>
    <row r="806">
      <c r="A806" s="109" t="n"/>
      <c r="B806" s="109" t="n"/>
      <c r="C806" s="109" t="inlineStr"/>
      <c r="D806" s="109" t="inlineStr">
        <is>
          <t>AREA 3</t>
        </is>
      </c>
      <c r="E806" s="109" t="inlineStr">
        <is>
          <t>551108/C</t>
        </is>
      </c>
      <c r="F806" s="109" t="inlineStr">
        <is>
          <t>1200</t>
        </is>
      </c>
      <c r="G806" s="109" t="inlineStr">
        <is>
          <t>10230333 5.Verifica misuratori di portata aria-gas-MEA GAS-SWS GAS F301/302/306RC</t>
        </is>
      </c>
      <c r="H806" s="109" t="n"/>
      <c r="I806" s="109" t="n"/>
      <c r="J806" s="109" t="n"/>
      <c r="K806" s="109" t="n"/>
      <c r="L806" s="109" t="n"/>
      <c r="M806" s="109" t="inlineStr">
        <is>
          <t>EMESSO</t>
        </is>
      </c>
      <c r="N806" s="109" t="n"/>
      <c r="O806" s="109" t="n"/>
      <c r="P806" s="109" t="n"/>
      <c r="Q806" s="109" t="n"/>
      <c r="R806" s="151" t="n"/>
      <c r="S806" s="109" t="n"/>
      <c r="T806" s="109" t="inlineStr"/>
      <c r="U806" s="109" t="n"/>
    </row>
    <row r="807" ht="165" customHeight="1" s="122">
      <c r="A807" s="109" t="n"/>
      <c r="B807" s="108" t="n"/>
      <c r="C807" s="109" t="inlineStr"/>
      <c r="D807" s="109" t="inlineStr">
        <is>
          <t>AREA 3</t>
        </is>
      </c>
      <c r="E807" s="109" t="inlineStr">
        <is>
          <t>550854/C</t>
        </is>
      </c>
      <c r="F807" s="109" t="inlineStr">
        <is>
          <t>700A</t>
        </is>
      </c>
      <c r="G807" s="109" t="inlineStr">
        <is>
          <t>10230257   700A: VERIFICA 07L208SC+ AUTOMATISMO POMPA P205-P204B</t>
        </is>
      </c>
      <c r="H807" s="109" t="n"/>
      <c r="I807" s="109" t="n"/>
      <c r="J807" s="109" t="n"/>
      <c r="K807" s="109" t="n"/>
      <c r="L807" s="109" t="n"/>
      <c r="M807" s="110" t="inlineStr">
        <is>
          <t>EMESSO</t>
        </is>
      </c>
      <c r="N807" s="110" t="n"/>
      <c r="O807" s="110" t="n"/>
      <c r="P807" s="110" t="n"/>
      <c r="Q807" s="110" t="inlineStr">
        <is>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is>
      </c>
      <c r="R807" s="151" t="n">
        <v>45916</v>
      </c>
      <c r="S807" s="110" t="inlineStr">
        <is>
          <t>MILLO</t>
        </is>
      </c>
      <c r="T807" s="109" t="inlineStr"/>
      <c r="U807" s="147" t="n"/>
    </row>
    <row r="808" ht="30" customHeight="1" s="122">
      <c r="A808" s="109" t="n"/>
      <c r="B808" s="109" t="n"/>
      <c r="C808" s="109" t="inlineStr"/>
      <c r="D808" s="109" t="inlineStr">
        <is>
          <t>AREA 3</t>
        </is>
      </c>
      <c r="E808" s="109" t="inlineStr">
        <is>
          <t>551711/C</t>
        </is>
      </c>
      <c r="F808" s="109" t="inlineStr">
        <is>
          <t>700</t>
        </is>
      </c>
      <c r="G808" s="109" t="inlineStr">
        <is>
          <t>area cantieri sud ripristino funzionale autoclave acqua cantieri MESSA IN SICUREZZA A CURA ESECUTORE</t>
        </is>
      </c>
      <c r="H808" s="109" t="n"/>
      <c r="I808" s="109" t="n"/>
      <c r="J808" s="109" t="n"/>
      <c r="K808" s="109" t="n"/>
      <c r="L808" s="109" t="n"/>
      <c r="M808" s="110" t="inlineStr">
        <is>
          <t>EMESSO</t>
        </is>
      </c>
      <c r="N808" s="110" t="n"/>
      <c r="O808" s="110" t="n"/>
      <c r="P808" s="110" t="n"/>
      <c r="Q808" s="110" t="inlineStr">
        <is>
          <t>SOSTITUITO GALLEGGIANTE SUL SERBATOIO. COLLEGAMENTO ELETTRICO A CURA DEL SIG. ROSSITTO.</t>
        </is>
      </c>
      <c r="R808" s="151" t="n">
        <v>45918</v>
      </c>
      <c r="S808" s="110" t="inlineStr">
        <is>
          <t>MILLO</t>
        </is>
      </c>
      <c r="T808" s="109" t="inlineStr"/>
      <c r="U808" s="147" t="n"/>
    </row>
    <row r="809">
      <c r="A809" s="109" t="n"/>
      <c r="B809" s="108" t="n"/>
      <c r="C809" s="109" t="inlineStr"/>
      <c r="D809" s="109" t="inlineStr">
        <is>
          <t>AREA 3</t>
        </is>
      </c>
      <c r="E809" s="109" t="inlineStr">
        <is>
          <t>551101/C</t>
        </is>
      </c>
      <c r="F809" s="109" t="inlineStr">
        <is>
          <t>1200</t>
        </is>
      </c>
      <c r="G809" s="109" t="inlineStr">
        <is>
          <t xml:space="preserve">(AVVISO 10230331) REVISIONE VALVOLA FCV302 IMP. 1200/2 ( SWS GAS A B-103 ) </t>
        </is>
      </c>
      <c r="H809" s="109" t="n"/>
      <c r="I809" s="109" t="n"/>
      <c r="J809" s="109" t="n"/>
      <c r="K809" s="109" t="n"/>
      <c r="L809" s="109" t="n"/>
      <c r="M809" s="110" t="inlineStr">
        <is>
          <t>EMESSO</t>
        </is>
      </c>
      <c r="N809" s="110" t="n"/>
      <c r="O809" s="110" t="n"/>
      <c r="P809" s="110" t="n"/>
      <c r="Q809" s="110" t="n"/>
      <c r="R809" s="151" t="n"/>
      <c r="S809" s="110" t="n"/>
      <c r="T809" s="109" t="inlineStr"/>
      <c r="U809" s="147" t="n"/>
    </row>
    <row r="810" ht="30" customHeight="1" s="122">
      <c r="A810" s="109" t="n"/>
      <c r="B810" s="109" t="n"/>
      <c r="C810" s="109" t="inlineStr"/>
      <c r="D810" s="109" t="inlineStr">
        <is>
          <t>AREA 3</t>
        </is>
      </c>
      <c r="E810" s="109" t="inlineStr">
        <is>
          <t>551981/C</t>
        </is>
      </c>
      <c r="F810" s="109" t="inlineStr">
        <is>
          <t>2200 BD</t>
        </is>
      </c>
      <c r="G810" s="109" t="inlineStr">
        <is>
          <t>10230720   2200: MTZ 22L534R (D101B) ripristino funzionale</t>
        </is>
      </c>
      <c r="H810" s="109" t="n"/>
      <c r="I810" s="109" t="n"/>
      <c r="J810" s="109" t="n"/>
      <c r="K810" s="109" t="n"/>
      <c r="L810" s="109" t="n"/>
      <c r="M810" s="110" t="inlineStr">
        <is>
          <t>EMESSO</t>
        </is>
      </c>
      <c r="N810" s="110" t="n"/>
      <c r="O810" s="110" t="n"/>
      <c r="P810" s="110" t="n"/>
      <c r="Q810" s="110" t="inlineStr">
        <is>
          <t>PULITI PRIMARI,RIEMPITO BARILOTTO CON H2O E REGOLATI FLUSSAGGI.</t>
        </is>
      </c>
      <c r="R810" s="151" t="n">
        <v>45924</v>
      </c>
      <c r="S810" s="110" t="inlineStr">
        <is>
          <t>TARASCIO</t>
        </is>
      </c>
      <c r="T810" s="109" t="inlineStr"/>
      <c r="U810" s="147" t="n"/>
    </row>
    <row r="811" ht="45" customHeight="1" s="122">
      <c r="A811" s="109" t="n"/>
      <c r="B811" s="108" t="n"/>
      <c r="C811" s="109" t="inlineStr"/>
      <c r="D811" s="109" t="inlineStr">
        <is>
          <t>AREA 3</t>
        </is>
      </c>
      <c r="E811" s="109" t="inlineStr">
        <is>
          <t>552839/C</t>
        </is>
      </c>
      <c r="F811" s="109" t="inlineStr">
        <is>
          <t>1200</t>
        </is>
      </c>
      <c r="G811" s="109" t="inlineStr">
        <is>
          <t>Avviso 10217843-Imp.1200/3 (linee degasaggio)-Controllo funzionalita' F901T(Port vap eiet CLAUS L 3),F902T('Port SW gas da CLAUS L3),X901V(Valvola CLAUS L3) T901I(Temp vap eiet CLAUS L 3); interfacciarsi con sala controllo prima della taratura</t>
        </is>
      </c>
      <c r="H811" s="109" t="n"/>
      <c r="I811" s="109" t="n"/>
      <c r="J811" s="109" t="n"/>
      <c r="K811" s="109" t="n"/>
      <c r="L811" s="109" t="n"/>
      <c r="M811" s="110" t="inlineStr">
        <is>
          <t>EMESSO</t>
        </is>
      </c>
      <c r="N811" s="110" t="n"/>
      <c r="O811" s="110" t="n"/>
      <c r="P811" s="110" t="n"/>
      <c r="Q811" s="110" t="n"/>
      <c r="R811" s="151" t="n"/>
      <c r="S811" s="110" t="n"/>
      <c r="T811" s="109" t="inlineStr"/>
      <c r="U811" s="147" t="n"/>
    </row>
    <row r="812">
      <c r="A812" s="109" t="n"/>
      <c r="B812" s="108" t="n"/>
      <c r="C812" s="109" t="inlineStr">
        <is>
          <t>X</t>
        </is>
      </c>
      <c r="D812" s="109" t="inlineStr">
        <is>
          <t>AREA 3</t>
        </is>
      </c>
      <c r="E812" s="109" t="inlineStr">
        <is>
          <t>552855/C</t>
        </is>
      </c>
      <c r="F812" s="109" t="inlineStr">
        <is>
          <t>700</t>
        </is>
      </c>
      <c r="G812" s="109" t="inlineStr">
        <is>
          <t>10231088  700: RIPRISTINO CHIUSURA STAGNA CASSETTA STRUMENTALE</t>
        </is>
      </c>
      <c r="H812" s="109" t="n"/>
      <c r="I812" s="109" t="inlineStr">
        <is>
          <t>X</t>
        </is>
      </c>
      <c r="J812" s="109" t="inlineStr">
        <is>
          <t>X</t>
        </is>
      </c>
      <c r="K812" s="109" t="inlineStr">
        <is>
          <t>X</t>
        </is>
      </c>
      <c r="L812" s="109" t="inlineStr">
        <is>
          <t>X</t>
        </is>
      </c>
      <c r="M812" s="110" t="inlineStr">
        <is>
          <t>EMESSO</t>
        </is>
      </c>
      <c r="N812" s="110" t="n"/>
      <c r="O812" s="110" t="n"/>
      <c r="P812" s="110" t="n"/>
      <c r="Q812" s="110" t="n"/>
      <c r="R812" s="151" t="n"/>
      <c r="S812" s="110" t="n"/>
      <c r="T812" s="109" t="inlineStr">
        <is>
          <t>X</t>
        </is>
      </c>
      <c r="U812" s="147" t="n"/>
    </row>
    <row r="813">
      <c r="A813" s="109" t="n"/>
      <c r="B813" s="108" t="n"/>
      <c r="C813" s="109" t="inlineStr">
        <is>
          <t>X</t>
        </is>
      </c>
      <c r="D813" s="109" t="inlineStr">
        <is>
          <t>AREA 3</t>
        </is>
      </c>
      <c r="E813" s="109" t="inlineStr">
        <is>
          <t>552461/C</t>
        </is>
      </c>
      <c r="F813" s="109" t="inlineStr">
        <is>
          <t>700</t>
        </is>
      </c>
      <c r="G813" s="109" t="inlineStr">
        <is>
          <t>10230879 700 F035RC CONTROLLO FUNZIONALE</t>
        </is>
      </c>
      <c r="H813" s="109" t="inlineStr">
        <is>
          <t>X</t>
        </is>
      </c>
      <c r="I813" s="109" t="inlineStr">
        <is>
          <t>X</t>
        </is>
      </c>
      <c r="J813" s="109" t="n"/>
      <c r="K813" s="109" t="n"/>
      <c r="L813" s="109" t="n"/>
      <c r="M813" s="110" t="inlineStr">
        <is>
          <t>EMESSO</t>
        </is>
      </c>
      <c r="N813" s="110" t="n"/>
      <c r="O813" s="110" t="n"/>
      <c r="P813" s="110" t="n"/>
      <c r="Q813" s="110" t="n"/>
      <c r="R813" s="151" t="n"/>
      <c r="S813" s="110" t="n"/>
      <c r="T813" s="109" t="inlineStr">
        <is>
          <t>X</t>
        </is>
      </c>
      <c r="U813" s="147" t="n"/>
    </row>
    <row r="814">
      <c r="A814" s="109" t="n"/>
      <c r="B814" s="109" t="n"/>
      <c r="C814" s="109" t="inlineStr">
        <is>
          <t>X</t>
        </is>
      </c>
      <c r="D814" s="109" t="inlineStr">
        <is>
          <t>AREA 3</t>
        </is>
      </c>
      <c r="E814" s="109" t="inlineStr">
        <is>
          <t>552926/C</t>
        </is>
      </c>
      <c r="F814" s="109" t="inlineStr">
        <is>
          <t>2200 BD</t>
        </is>
      </c>
      <c r="G814" s="109" t="inlineStr">
        <is>
          <t>10231166  RIPR 22L515HA E 22L515HH</t>
        </is>
      </c>
      <c r="H814" s="109" t="inlineStr">
        <is>
          <t>X</t>
        </is>
      </c>
      <c r="I814" s="109" t="inlineStr">
        <is>
          <t>X</t>
        </is>
      </c>
      <c r="J814" s="109" t="n"/>
      <c r="K814" s="109" t="n"/>
      <c r="L814" s="109" t="n"/>
      <c r="M814" s="110" t="inlineStr">
        <is>
          <t>EMESSO</t>
        </is>
      </c>
      <c r="N814" s="110" t="n"/>
      <c r="O814" s="110" t="n"/>
      <c r="P814" s="110" t="n"/>
      <c r="Q814" s="110" t="n"/>
      <c r="R814" s="151" t="n"/>
      <c r="S814" s="110" t="n"/>
      <c r="T814" s="109" t="inlineStr">
        <is>
          <t>X</t>
        </is>
      </c>
      <c r="U814" s="109" t="n"/>
    </row>
    <row r="815">
      <c r="A815" s="109" t="n"/>
      <c r="B815" s="108" t="n"/>
      <c r="C815" s="109" t="inlineStr">
        <is>
          <t>X</t>
        </is>
      </c>
      <c r="D815" s="109" t="inlineStr">
        <is>
          <t>AREA 3</t>
        </is>
      </c>
      <c r="E815" s="109" t="inlineStr">
        <is>
          <t>546791/C</t>
        </is>
      </c>
      <c r="F815" s="109" t="inlineStr">
        <is>
          <t>1800</t>
        </is>
      </c>
      <c r="G815" s="109" t="inlineStr">
        <is>
          <t>10228396  1800: 18F007RC ripristino funzionalit</t>
        </is>
      </c>
      <c r="H815" s="109" t="inlineStr">
        <is>
          <t>X</t>
        </is>
      </c>
      <c r="I815" s="109" t="n"/>
      <c r="J815" s="109" t="n"/>
      <c r="K815" s="109" t="n"/>
      <c r="L815" s="109" t="n"/>
      <c r="M815" s="110" t="inlineStr">
        <is>
          <t>EMESSO</t>
        </is>
      </c>
      <c r="N815" s="110" t="n"/>
      <c r="O815" s="110" t="n"/>
      <c r="P815" s="110" t="n"/>
      <c r="Q815" s="110" t="n"/>
      <c r="R815" s="151" t="n"/>
      <c r="S815" s="110" t="n"/>
      <c r="T815" s="109" t="inlineStr"/>
      <c r="U815" s="147" t="inlineStr">
        <is>
          <t>10228396</t>
        </is>
      </c>
    </row>
    <row r="816">
      <c r="A816" s="109" t="n"/>
      <c r="B816" s="108" t="n"/>
      <c r="C816" s="109" t="inlineStr">
        <is>
          <t>X</t>
        </is>
      </c>
      <c r="D816" s="109" t="inlineStr">
        <is>
          <t>AREA 3</t>
        </is>
      </c>
      <c r="E816" s="109" t="inlineStr">
        <is>
          <t>552275/C</t>
        </is>
      </c>
      <c r="F816" s="109" t="inlineStr">
        <is>
          <t>700A</t>
        </is>
      </c>
      <c r="G816" s="109" t="inlineStr">
        <is>
          <t>700A ripristino segnali JBTH6 CON SOSTITUZIONE CAVI E PASSERELLE</t>
        </is>
      </c>
      <c r="H816" s="109" t="inlineStr">
        <is>
          <t>X</t>
        </is>
      </c>
      <c r="I816" s="109" t="inlineStr">
        <is>
          <t>X</t>
        </is>
      </c>
      <c r="J816" s="109" t="inlineStr">
        <is>
          <t>X</t>
        </is>
      </c>
      <c r="K816" s="109" t="inlineStr">
        <is>
          <t>X</t>
        </is>
      </c>
      <c r="L816" s="109" t="inlineStr">
        <is>
          <t>X</t>
        </is>
      </c>
      <c r="M816" s="110" t="inlineStr">
        <is>
          <t>EMESSO</t>
        </is>
      </c>
      <c r="N816" s="110" t="n"/>
      <c r="O816" s="110" t="n"/>
      <c r="P816" s="110" t="n"/>
      <c r="Q816" s="110" t="n"/>
      <c r="R816" s="151" t="n"/>
      <c r="S816" s="110" t="n"/>
      <c r="T816" s="109" t="inlineStr">
        <is>
          <t>X</t>
        </is>
      </c>
      <c r="U816" s="147" t="n"/>
    </row>
    <row r="817">
      <c r="A817" s="109" t="n"/>
      <c r="B817" s="109" t="n"/>
      <c r="C817" s="109" t="inlineStr">
        <is>
          <t>X</t>
        </is>
      </c>
      <c r="D817" s="109" t="inlineStr">
        <is>
          <t>AREA 3</t>
        </is>
      </c>
      <c r="E817" s="109" t="inlineStr">
        <is>
          <t>550408/C</t>
        </is>
      </c>
      <c r="F817" s="109" t="inlineStr">
        <is>
          <t>1200</t>
        </is>
      </c>
      <c r="G817" s="109" t="inlineStr">
        <is>
          <t xml:space="preserve"> 1200-MAX  E OFF SITE CONTROLLO  RIPRISTINO E MOVIMENTAZIONE  KV e HIC. </t>
        </is>
      </c>
      <c r="H817" s="109" t="inlineStr">
        <is>
          <t>X</t>
        </is>
      </c>
      <c r="I817" s="109" t="inlineStr">
        <is>
          <t>X</t>
        </is>
      </c>
      <c r="J817" s="109" t="n"/>
      <c r="K817" s="109" t="n"/>
      <c r="L817" s="109" t="n"/>
      <c r="M817" s="109" t="inlineStr">
        <is>
          <t>EMESSO</t>
        </is>
      </c>
      <c r="N817" s="109" t="n"/>
      <c r="O817" s="109" t="n"/>
      <c r="P817" s="109" t="n"/>
      <c r="Q817" s="109" t="inlineStr">
        <is>
          <t>FORZATA IN APERTURA KV805</t>
        </is>
      </c>
      <c r="R817" s="151" t="n">
        <v>45915</v>
      </c>
      <c r="S817" s="109" t="inlineStr">
        <is>
          <t>MILLO</t>
        </is>
      </c>
      <c r="T817" s="109" t="inlineStr">
        <is>
          <t>X</t>
        </is>
      </c>
      <c r="U817" s="109" t="inlineStr"/>
    </row>
    <row r="818">
      <c r="A818" s="109" t="n"/>
      <c r="B818" s="109" t="n"/>
      <c r="C818" s="109" t="inlineStr">
        <is>
          <t>X</t>
        </is>
      </c>
      <c r="D818" s="109" t="inlineStr">
        <is>
          <t>AREA 3</t>
        </is>
      </c>
      <c r="E818" s="109" t="inlineStr">
        <is>
          <t>549852/C</t>
        </is>
      </c>
      <c r="F818" s="109" t="inlineStr">
        <is>
          <t>1200</t>
        </is>
      </c>
      <c r="G818" s="109" t="inlineStr">
        <is>
          <t>10229855  1200: Z0H967BIC controllo e ripristino</t>
        </is>
      </c>
      <c r="H818" s="109" t="inlineStr">
        <is>
          <t>X</t>
        </is>
      </c>
      <c r="I818" s="109" t="inlineStr">
        <is>
          <t>X</t>
        </is>
      </c>
      <c r="J818" s="109" t="n"/>
      <c r="K818" s="109" t="n"/>
      <c r="L818" s="109" t="n"/>
      <c r="M818" s="109" t="inlineStr">
        <is>
          <t>EMESSO</t>
        </is>
      </c>
      <c r="N818" s="109" t="n"/>
      <c r="O818" s="109" t="n"/>
      <c r="P818" s="109" t="n"/>
      <c r="Q818" s="109" t="n"/>
      <c r="R818" s="151" t="n"/>
      <c r="S818" s="109" t="n"/>
      <c r="T818" s="109" t="inlineStr">
        <is>
          <t>X</t>
        </is>
      </c>
      <c r="U818" s="109" t="inlineStr">
        <is>
          <t>10229855</t>
        </is>
      </c>
    </row>
    <row r="819">
      <c r="A819" s="109" t="n"/>
      <c r="B819" s="109" t="n"/>
      <c r="C819" s="109" t="inlineStr"/>
      <c r="D819" s="109" t="inlineStr">
        <is>
          <t>AREA 3</t>
        </is>
      </c>
      <c r="E819" s="109" t="inlineStr">
        <is>
          <t>552932/C</t>
        </is>
      </c>
      <c r="F819" s="109" t="inlineStr">
        <is>
          <t>2200 BD</t>
        </is>
      </c>
      <c r="G819" s="109" t="inlineStr">
        <is>
          <t xml:space="preserve">10231165. 07F220BR  ripristino del misuratore di portata Testa Splitter + Taglio laterale  </t>
        </is>
      </c>
      <c r="H819" s="109" t="n"/>
      <c r="I819" s="109" t="n"/>
      <c r="J819" s="109" t="n"/>
      <c r="K819" s="109" t="n"/>
      <c r="L819" s="109" t="n"/>
      <c r="M819" s="109" t="inlineStr">
        <is>
          <t>EMESSO</t>
        </is>
      </c>
      <c r="N819" s="109" t="n"/>
      <c r="O819" s="109" t="n"/>
      <c r="P819" s="109" t="n"/>
      <c r="Q819" s="109" t="n"/>
      <c r="R819" s="151" t="n"/>
      <c r="S819" s="109" t="n"/>
      <c r="T819" s="109" t="inlineStr"/>
      <c r="U819" s="109" t="n"/>
    </row>
    <row r="820">
      <c r="A820" s="109" t="n"/>
      <c r="B820" s="108" t="n"/>
      <c r="C820" s="109" t="inlineStr"/>
      <c r="D820" s="109" t="inlineStr">
        <is>
          <t>AREA 3</t>
        </is>
      </c>
      <c r="E820" s="109" t="inlineStr">
        <is>
          <t>552464/C</t>
        </is>
      </c>
      <c r="F820" s="109" t="inlineStr">
        <is>
          <t>700</t>
        </is>
      </c>
      <c r="G820" s="109" t="inlineStr">
        <is>
          <t>10230880 700 P018RC CONTROLLO FUNZIONALE</t>
        </is>
      </c>
      <c r="H820" s="109" t="n"/>
      <c r="I820" s="109" t="n"/>
      <c r="J820" s="109" t="n"/>
      <c r="K820" s="109" t="n"/>
      <c r="L820" s="109" t="n"/>
      <c r="M820" s="110" t="inlineStr">
        <is>
          <t>EMESSO</t>
        </is>
      </c>
      <c r="N820" s="110" t="n"/>
      <c r="O820" s="110" t="n"/>
      <c r="P820" s="110" t="n"/>
      <c r="Q820" s="110" t="n"/>
      <c r="R820" s="151" t="n"/>
      <c r="S820" s="110" t="n"/>
      <c r="T820" s="109" t="inlineStr"/>
      <c r="U820" s="147" t="n"/>
    </row>
    <row r="821" ht="30" customHeight="1" s="122">
      <c r="A821" s="109" t="n"/>
      <c r="B821" s="108" t="n"/>
      <c r="C821" s="109" t="inlineStr"/>
      <c r="D821" s="109" t="inlineStr">
        <is>
          <t>AREA 3</t>
        </is>
      </c>
      <c r="E821" s="109" t="inlineStr">
        <is>
          <t>550722/C</t>
        </is>
      </c>
      <c r="F821" s="109" t="inlineStr">
        <is>
          <t>700</t>
        </is>
      </c>
      <c r="G821" s="109" t="inlineStr">
        <is>
          <t>10230202   700: MTZ 07L018HA controllo funzionale</t>
        </is>
      </c>
      <c r="H821" s="109" t="n"/>
      <c r="I821" s="109" t="n"/>
      <c r="J821" s="109" t="n"/>
      <c r="K821" s="109" t="n"/>
      <c r="L821" s="109" t="n"/>
      <c r="M821" s="110" t="inlineStr">
        <is>
          <t>INTERROTTO</t>
        </is>
      </c>
      <c r="N821" s="110" t="n"/>
      <c r="O821" s="110" t="n"/>
      <c r="P821" s="110" t="n"/>
      <c r="Q821" s="110" t="inlineStr">
        <is>
          <t>IMPOSSIBILE DA INTERCETTARE E SCARICARE IN QUANTO LE VALVOLE RISULTANO BLOCCATE. PROVATO SOLO ELETTRICAMENTE</t>
        </is>
      </c>
      <c r="R821" s="151" t="n">
        <v>45915</v>
      </c>
      <c r="S821" s="110" t="inlineStr">
        <is>
          <t>TARASCIO</t>
        </is>
      </c>
      <c r="T821" s="109" t="inlineStr"/>
      <c r="U821" s="147" t="n"/>
    </row>
    <row r="822" ht="30" customHeight="1" s="122">
      <c r="A822" s="109" t="n"/>
      <c r="B822" s="108" t="n"/>
      <c r="C822" s="109" t="inlineStr"/>
      <c r="D822" s="109" t="inlineStr">
        <is>
          <t>AREA 3</t>
        </is>
      </c>
      <c r="E822" s="109" t="inlineStr">
        <is>
          <t>550723/C</t>
        </is>
      </c>
      <c r="F822" s="109" t="inlineStr">
        <is>
          <t>700</t>
        </is>
      </c>
      <c r="G822" s="109" t="inlineStr">
        <is>
          <t>10230203   700: MTZ 07L002HA controllo funzionale</t>
        </is>
      </c>
      <c r="H822" s="109" t="n"/>
      <c r="I822" s="109" t="n"/>
      <c r="J822" s="109" t="n"/>
      <c r="K822" s="109" t="n"/>
      <c r="L822" s="109" t="n"/>
      <c r="M822" s="110" t="inlineStr">
        <is>
          <t>INTERROTTO</t>
        </is>
      </c>
      <c r="N822" s="110" t="n"/>
      <c r="O822" s="110" t="n"/>
      <c r="P822" s="110" t="n"/>
      <c r="Q822" s="110" t="inlineStr">
        <is>
          <t>IMPOSSIBILE DA INTERCETTARE E SCARICARE IN QUANTO LE VALVOLE RISULTANO BLOCCATE. PROVATO SOLO ELETTRICAMENTE</t>
        </is>
      </c>
      <c r="R822" s="151" t="n">
        <v>45915</v>
      </c>
      <c r="S822" s="110" t="inlineStr">
        <is>
          <t>TARASCIO</t>
        </is>
      </c>
      <c r="T822" s="109" t="inlineStr"/>
      <c r="U822" s="147" t="n"/>
    </row>
    <row r="823" ht="30" customHeight="1" s="122">
      <c r="A823" s="109" t="n"/>
      <c r="B823" s="108" t="n"/>
      <c r="C823" s="109" t="inlineStr"/>
      <c r="D823" s="109" t="inlineStr">
        <is>
          <t>AREA 3</t>
        </is>
      </c>
      <c r="E823" s="109" t="inlineStr">
        <is>
          <t>548303/C</t>
        </is>
      </c>
      <c r="F823" s="109" t="inlineStr">
        <is>
          <t>1100</t>
        </is>
      </c>
      <c r="G823" s="109" t="inlineStr">
        <is>
          <t>10229177-10229176 -  1100- misuratori di portata 11F011-11F012</t>
        </is>
      </c>
      <c r="H823" s="109" t="n"/>
      <c r="I823" s="109" t="n"/>
      <c r="J823" s="109" t="n"/>
      <c r="K823" s="109" t="n"/>
      <c r="L823" s="109" t="n"/>
      <c r="M823" s="110" t="inlineStr">
        <is>
          <t>INTERROTTO</t>
        </is>
      </c>
      <c r="N823" s="110" t="n"/>
      <c r="O823" s="110" t="n"/>
      <c r="P823" s="110" t="n"/>
      <c r="Q823" s="110" t="inlineStr">
        <is>
          <t>EFFETTUATA ASSISTENZA PONTEROSSO PER SCOVOLATURA PRESE DI RADICI F012 EFFETTUATA PRESA VISIONE PONTEGGIO F011.</t>
        </is>
      </c>
      <c r="R823" s="151" t="n">
        <v>45917</v>
      </c>
      <c r="S823" s="110" t="inlineStr">
        <is>
          <t>TARASCIO</t>
        </is>
      </c>
      <c r="T823" s="109" t="inlineStr"/>
      <c r="U823" s="147" t="inlineStr">
        <is>
          <t>10229177</t>
        </is>
      </c>
    </row>
    <row r="824" ht="60" customHeight="1" s="122">
      <c r="A824" s="109" t="n"/>
      <c r="B824" s="108" t="n"/>
      <c r="C824" s="109" t="inlineStr"/>
      <c r="D824" s="109" t="inlineStr">
        <is>
          <t>AREA 3</t>
        </is>
      </c>
      <c r="E824" s="109" t="inlineStr">
        <is>
          <t>551179/C</t>
        </is>
      </c>
      <c r="F824" s="109" t="inlineStr">
        <is>
          <t>1200</t>
        </is>
      </c>
      <c r="G824" s="109" t="inlineStr">
        <is>
          <t>1200/3 controllo livelli caldaia F101 L401RC - L402SL</t>
        </is>
      </c>
      <c r="H824" s="109" t="n"/>
      <c r="I824" s="109" t="n"/>
      <c r="J824" s="109" t="n"/>
      <c r="K824" s="109" t="n"/>
      <c r="L824" s="109" t="n"/>
      <c r="M824" s="110" t="inlineStr">
        <is>
          <t>INTERROTTO</t>
        </is>
      </c>
      <c r="N824" s="110" t="n"/>
      <c r="O824" s="110" t="n"/>
      <c r="P824" s="110" t="n"/>
      <c r="Q824" s="110" t="inlineStr">
        <is>
          <t xml:space="preserve">L402SL NESSUNA ANOMALIA RISCONTRATA. L401RC ABBIAMO RISCONTRATO UNA PERDITA SUL NIPLES DEL BARILOTTO NECESSITA INTERVENTO CARPENTIERE CANTIERE SUD,PER ELIMINAZIONE PERDITA. </t>
        </is>
      </c>
      <c r="R824" s="151" t="n">
        <v>45916</v>
      </c>
      <c r="S824" s="110" t="inlineStr">
        <is>
          <t>TARASCIO</t>
        </is>
      </c>
      <c r="T824" s="109" t="inlineStr"/>
      <c r="U824" s="147" t="n"/>
    </row>
    <row r="825" ht="45" customHeight="1" s="122">
      <c r="A825" s="109" t="n"/>
      <c r="B825" s="108" t="n"/>
      <c r="C825" s="109" t="inlineStr"/>
      <c r="D825" s="109" t="inlineStr">
        <is>
          <t>AREA 3</t>
        </is>
      </c>
      <c r="E825" s="109" t="inlineStr">
        <is>
          <t>550531/C</t>
        </is>
      </c>
      <c r="F825" s="109" t="inlineStr">
        <is>
          <t>1200</t>
        </is>
      </c>
      <c r="G825" s="109" t="inlineStr">
        <is>
          <t>10230145  1200: Z3L301 controllo funzionale</t>
        </is>
      </c>
      <c r="H825" s="109" t="n"/>
      <c r="I825" s="109" t="n"/>
      <c r="J825" s="109" t="n"/>
      <c r="K825" s="109" t="n"/>
      <c r="L825" s="109" t="n"/>
      <c r="M825" s="110" t="inlineStr">
        <is>
          <t>INTERROTTO</t>
        </is>
      </c>
      <c r="N825" s="110" t="n"/>
      <c r="O825" s="110" t="n"/>
      <c r="P825" s="110" t="n"/>
      <c r="Q825" s="110" t="inlineStr">
        <is>
          <t>SERVE PONTEGGIO PER POTER ACCEDERE ALLA TESTINA DI LIVELLO, DA SOSTITUIRE PERMESSO PER ALLEGARE PONTEGGIO ANCORA DA FARE.</t>
        </is>
      </c>
      <c r="R825" s="151" t="n">
        <v>45912</v>
      </c>
      <c r="S825" s="110" t="inlineStr">
        <is>
          <t>TARASCIO</t>
        </is>
      </c>
      <c r="T825" s="109" t="inlineStr"/>
      <c r="U825" s="147" t="inlineStr">
        <is>
          <t>10230145</t>
        </is>
      </c>
    </row>
    <row r="826">
      <c r="A826" s="109" t="n"/>
      <c r="B826" s="108" t="n"/>
      <c r="C826" s="109" t="inlineStr"/>
      <c r="D826" s="109" t="inlineStr">
        <is>
          <t>AREA 3</t>
        </is>
      </c>
      <c r="E826" s="109" t="inlineStr">
        <is>
          <t>549582/C</t>
        </is>
      </c>
      <c r="F826" s="109" t="inlineStr">
        <is>
          <t>1200</t>
        </is>
      </c>
      <c r="G826" s="109" t="inlineStr">
        <is>
          <t>1200M-R202   scollegamento termo coppie</t>
        </is>
      </c>
      <c r="H826" s="109" t="n"/>
      <c r="I826" s="109" t="n"/>
      <c r="J826" s="109" t="n"/>
      <c r="K826" s="109" t="n"/>
      <c r="L826" s="109" t="n"/>
      <c r="M826" s="110" t="inlineStr">
        <is>
          <t>INTERROTTO</t>
        </is>
      </c>
      <c r="N826" s="110" t="n"/>
      <c r="O826" s="110" t="n"/>
      <c r="P826" s="110" t="n"/>
      <c r="Q826" s="110" t="inlineStr">
        <is>
          <t>ESEGUITO SCOLLEGAMENTO</t>
        </is>
      </c>
      <c r="R826" s="151" t="n">
        <v>45905</v>
      </c>
      <c r="S826" s="110" t="inlineStr">
        <is>
          <t>TARASCIO</t>
        </is>
      </c>
      <c r="T826" s="109" t="inlineStr"/>
      <c r="U826" s="147" t="inlineStr"/>
    </row>
    <row r="827">
      <c r="A827" s="109" t="n"/>
      <c r="B827" s="108" t="n"/>
      <c r="C827" s="109" t="inlineStr"/>
      <c r="D827" s="109" t="inlineStr">
        <is>
          <t>AREA 3</t>
        </is>
      </c>
      <c r="E827" s="109" t="inlineStr">
        <is>
          <t>549947/C</t>
        </is>
      </c>
      <c r="F827" s="109" t="inlineStr">
        <is>
          <t>700</t>
        </is>
      </c>
      <c r="G827" s="109" t="inlineStr">
        <is>
          <t>10229879   10229880   700 F101N  F006RC-F003RC CONTROLLO E RIPRISTINO FUNZIONALE</t>
        </is>
      </c>
      <c r="H827" s="109" t="n"/>
      <c r="I827" s="109" t="n"/>
      <c r="J827" s="109" t="n"/>
      <c r="K827" s="109" t="n"/>
      <c r="L827" s="109" t="n"/>
      <c r="M827" s="110" t="inlineStr">
        <is>
          <t>INTERROTTO</t>
        </is>
      </c>
      <c r="N827" s="110" t="n"/>
      <c r="O827" s="110" t="n"/>
      <c r="P827" s="110" t="n"/>
      <c r="Q827" s="109" t="n"/>
      <c r="R827" s="151" t="n">
        <v>45905</v>
      </c>
      <c r="S827" s="110" t="inlineStr">
        <is>
          <t>TARASCIO</t>
        </is>
      </c>
      <c r="T827" s="109" t="inlineStr"/>
      <c r="U827" s="147" t="inlineStr">
        <is>
          <t>10229879</t>
        </is>
      </c>
    </row>
    <row r="828" ht="30" customHeight="1" s="122">
      <c r="A828" s="109" t="n"/>
      <c r="B828" s="108" t="n"/>
      <c r="C828" s="109" t="inlineStr"/>
      <c r="D828" s="109" t="inlineStr">
        <is>
          <t>AREA 3</t>
        </is>
      </c>
      <c r="E828" s="109" t="inlineStr">
        <is>
          <t>547952/C</t>
        </is>
      </c>
      <c r="F828" s="109" t="inlineStr">
        <is>
          <t>1200</t>
        </is>
      </c>
      <c r="G828" s="109" t="inlineStr">
        <is>
          <t>1200-0- F922IC F910IC COTROLLO FUNZIONALE</t>
        </is>
      </c>
      <c r="H828" s="109" t="n"/>
      <c r="I828" s="109" t="n"/>
      <c r="J828" s="109" t="n"/>
      <c r="K828" s="109" t="n"/>
      <c r="L828" s="109" t="n"/>
      <c r="M828" s="110" t="inlineStr">
        <is>
          <t>INTERROTTO</t>
        </is>
      </c>
      <c r="N828" s="110" t="n"/>
      <c r="O828" s="110" t="n"/>
      <c r="P828" s="110" t="n"/>
      <c r="Q828" s="110" t="inlineStr">
        <is>
          <t>F910IC NESSUNA ANOMALIA - F922IC NON ESISTE (ESISTE LA PRESSIONE)</t>
        </is>
      </c>
      <c r="R828" s="151" t="n">
        <v>45896</v>
      </c>
      <c r="S828" s="110" t="inlineStr">
        <is>
          <t>TARASCIO</t>
        </is>
      </c>
      <c r="T828" s="109" t="inlineStr"/>
      <c r="U828" s="147" t="inlineStr"/>
    </row>
    <row r="829" ht="45" customHeight="1" s="122">
      <c r="A829" s="109" t="n"/>
      <c r="B829" s="108" t="n"/>
      <c r="C829" s="109" t="inlineStr"/>
      <c r="D829" s="109" t="inlineStr">
        <is>
          <t>AREA 3</t>
        </is>
      </c>
      <c r="E829" s="109" t="inlineStr">
        <is>
          <t>540300/C</t>
        </is>
      </c>
      <c r="F829" s="109" t="inlineStr">
        <is>
          <t>1400</t>
        </is>
      </c>
      <c r="G829" s="109" t="inlineStr">
        <is>
          <t>10224411 1400 - RIPRISTINO FR OO4 SWS GAS DA TESTA 1400-D104 A LINEE ZOLFO</t>
        </is>
      </c>
      <c r="H829" s="109" t="n"/>
      <c r="I829" s="109" t="n"/>
      <c r="J829" s="109" t="n"/>
      <c r="K829" s="109" t="n"/>
      <c r="L829" s="109" t="n"/>
      <c r="M829" s="110" t="inlineStr">
        <is>
          <t>INTERROTTO</t>
        </is>
      </c>
      <c r="N829" s="110" t="n"/>
      <c r="O829" s="110" t="inlineStr">
        <is>
          <t>X</t>
        </is>
      </c>
      <c r="P829" s="110" t="inlineStr">
        <is>
          <t>X</t>
        </is>
      </c>
      <c r="Q829" s="110" t="inlineStr">
        <is>
          <t>VALVOLE TAPPATE, PROVATE CON POMPA ALTA PRESSIONE CON ESITO NEGATIVO. SERVE PONTEGGIO PER STASARE A CURA PONTEROSSO</t>
        </is>
      </c>
      <c r="R829" s="151" t="n">
        <v>45824</v>
      </c>
      <c r="S829" s="110" t="inlineStr">
        <is>
          <t>TARASCIO/PARTESANO</t>
        </is>
      </c>
      <c r="T829" s="109" t="inlineStr"/>
      <c r="U829" s="147" t="inlineStr">
        <is>
          <t>10224411</t>
        </is>
      </c>
    </row>
    <row r="830" ht="60" customHeight="1" s="122">
      <c r="A830" s="109" t="n"/>
      <c r="B830" s="108" t="n"/>
      <c r="C830" s="109" t="inlineStr"/>
      <c r="D830" s="109" t="inlineStr">
        <is>
          <t>AREA 3</t>
        </is>
      </c>
      <c r="E830" s="109" t="inlineStr">
        <is>
          <t>545985/C</t>
        </is>
      </c>
      <c r="F830" s="109" t="inlineStr">
        <is>
          <t>700A</t>
        </is>
      </c>
      <c r="G830" s="109" t="inlineStr">
        <is>
          <t>700A TP202B PCV211 CONTROLLO FUNZIONALE VALVOLA ED EVENTUALE SMONTAGGIO/RIMONTAGGIO PER REVISIONE</t>
        </is>
      </c>
      <c r="H830" s="109" t="n"/>
      <c r="I830" s="109" t="n"/>
      <c r="J830" s="109" t="n"/>
      <c r="K830" s="109" t="n"/>
      <c r="L830" s="109" t="n"/>
      <c r="M830" s="110" t="inlineStr">
        <is>
          <t>INTERROTTO</t>
        </is>
      </c>
      <c r="N830" s="110" t="n"/>
      <c r="O830" s="110" t="inlineStr">
        <is>
          <t>X</t>
        </is>
      </c>
      <c r="P830" s="110" t="n"/>
      <c r="Q830" s="110" t="inlineStr">
        <is>
          <t>TROVATO IN CORTO CAVO E.V. ( DALLA J.B. ALLA E.V.) SI TENTA UN GIUNTO VICINO ALLA SOLENOIDE PER VEDERE SE FUNZIONA. LAVORO IN CORSO. SERVE PONTEGGIO PER POTER PASSARE DOPPINO NUOVO.</t>
        </is>
      </c>
      <c r="R830" s="151" t="n">
        <v>45866</v>
      </c>
      <c r="S830" s="110" t="inlineStr">
        <is>
          <t>TARASCIO/PARTESANO</t>
        </is>
      </c>
      <c r="T830" s="109" t="inlineStr"/>
      <c r="U830" s="147" t="inlineStr"/>
    </row>
    <row r="831" ht="30" customHeight="1" s="122">
      <c r="A831" s="109" t="n"/>
      <c r="B831" s="108" t="n">
        <v>3</v>
      </c>
      <c r="C831" s="109" t="inlineStr"/>
      <c r="D831" s="109" t="inlineStr">
        <is>
          <t>AREA 3</t>
        </is>
      </c>
      <c r="E831" s="109" t="inlineStr">
        <is>
          <t>539159/C</t>
        </is>
      </c>
      <c r="F831" s="109" t="inlineStr">
        <is>
          <t>1200/M</t>
        </is>
      </c>
      <c r="G831" s="109" t="inlineStr">
        <is>
          <t>10217843 Ripristino sistema degasaggio linee zolfo-Imp.1200/M-controllo e ripristino funzionalita' misuratore di portata F901T (Port vap eiet MXSULF)</t>
        </is>
      </c>
      <c r="H831" s="109" t="n"/>
      <c r="I831" s="109" t="n"/>
      <c r="J831" s="109" t="n"/>
      <c r="K831" s="109" t="n"/>
      <c r="L831" s="109" t="n"/>
      <c r="M831" s="110" t="inlineStr">
        <is>
          <t>INTERROTTO</t>
        </is>
      </c>
      <c r="N831" s="110" t="inlineStr">
        <is>
          <t>X</t>
        </is>
      </c>
      <c r="O831" s="110" t="n"/>
      <c r="P831" s="110" t="n"/>
      <c r="Q831" s="110" t="inlineStr">
        <is>
          <t>CAPOTURNO NON APRE PDL</t>
        </is>
      </c>
      <c r="R831" s="151" t="n">
        <v>45856</v>
      </c>
      <c r="S831" s="110" t="inlineStr">
        <is>
          <t>MILLO</t>
        </is>
      </c>
      <c r="T831" s="109" t="inlineStr"/>
      <c r="U831" s="147" t="inlineStr">
        <is>
          <t>10217843</t>
        </is>
      </c>
    </row>
    <row r="832" ht="30" customHeight="1" s="122">
      <c r="A832" s="109" t="n"/>
      <c r="B832" s="108" t="n"/>
      <c r="C832" s="109" t="inlineStr"/>
      <c r="D832" s="109" t="inlineStr">
        <is>
          <t>AREA 3</t>
        </is>
      </c>
      <c r="E832" s="109" t="inlineStr">
        <is>
          <t>543711/C</t>
        </is>
      </c>
      <c r="F832" s="109" t="inlineStr">
        <is>
          <t>700A</t>
        </is>
      </c>
      <c r="G832" s="109" t="inlineStr">
        <is>
          <t>10226988  700A: PCV212 bloccata al 50% controllo funzionale ed eventuale in accordo con ESE smontaggio/rimontaggio per revisione</t>
        </is>
      </c>
      <c r="H832" s="109" t="n"/>
      <c r="I832" s="109" t="n"/>
      <c r="J832" s="109" t="n"/>
      <c r="K832" s="109" t="n"/>
      <c r="L832" s="109" t="n"/>
      <c r="M832" s="110" t="inlineStr">
        <is>
          <t>INTERROTTO</t>
        </is>
      </c>
      <c r="N832" s="110" t="n"/>
      <c r="O832" s="110" t="inlineStr">
        <is>
          <t>X</t>
        </is>
      </c>
      <c r="P832" s="110" t="n"/>
      <c r="Q832" s="110" t="inlineStr">
        <is>
          <t>NECESSITA PONTEGGIO PER LO SMONTAGGIO.</t>
        </is>
      </c>
      <c r="R832" s="151" t="n">
        <v>45846</v>
      </c>
      <c r="S832" s="110" t="inlineStr">
        <is>
          <t>GARRO</t>
        </is>
      </c>
      <c r="T832" s="109" t="inlineStr"/>
      <c r="U832" s="147" t="inlineStr">
        <is>
          <t>10226988</t>
        </is>
      </c>
    </row>
    <row r="833" ht="30" customHeight="1" s="122">
      <c r="A833" s="109" t="n"/>
      <c r="B833" s="108" t="n">
        <v>2</v>
      </c>
      <c r="C833" s="109" t="inlineStr"/>
      <c r="D833" s="109" t="inlineStr">
        <is>
          <t>AREA 3</t>
        </is>
      </c>
      <c r="E833" s="109" t="inlineStr">
        <is>
          <t>536407/C</t>
        </is>
      </c>
      <c r="F833" s="109" t="inlineStr">
        <is>
          <t>1800</t>
        </is>
      </c>
      <c r="G833" s="109" t="inlineStr">
        <is>
          <t>10223642 1800 - P437SH  -  controllo funzionale</t>
        </is>
      </c>
      <c r="H833" s="109" t="n"/>
      <c r="I833" s="109" t="n"/>
      <c r="J833" s="109" t="n"/>
      <c r="K833" s="109" t="n"/>
      <c r="L833" s="109" t="n"/>
      <c r="M833" s="110" t="inlineStr">
        <is>
          <t>INTERROTTO</t>
        </is>
      </c>
      <c r="N833" s="110" t="n"/>
      <c r="O833" s="110" t="n"/>
      <c r="P833" s="110" t="n"/>
      <c r="Q833" s="110" t="inlineStr">
        <is>
          <t>STRUMENTO DI PRESSIONE NON TROVATO INSIEME AD OPERATORE.  IL PUNTO A DCS RISULTA ALLARMATO.</t>
        </is>
      </c>
      <c r="R833" s="151" t="n">
        <v>45855</v>
      </c>
      <c r="S833" s="110" t="inlineStr">
        <is>
          <t>SPINALI</t>
        </is>
      </c>
      <c r="T833" s="109" t="inlineStr"/>
      <c r="U833" s="147" t="inlineStr">
        <is>
          <t>10223642</t>
        </is>
      </c>
    </row>
    <row r="834" ht="75" customHeight="1" s="122">
      <c r="A834" s="109" t="n"/>
      <c r="B834" s="108" t="n"/>
      <c r="C834" s="109" t="inlineStr"/>
      <c r="D834" s="109" t="inlineStr">
        <is>
          <t>AREA 3</t>
        </is>
      </c>
      <c r="E834" s="109" t="inlineStr">
        <is>
          <t>543285/C</t>
        </is>
      </c>
      <c r="F834" s="109" t="inlineStr">
        <is>
          <t>700</t>
        </is>
      </c>
      <c r="G834" s="109" t="inlineStr">
        <is>
          <t>10226807- 07T118I.PV: carica a E151 A/B (lo strumento misura 20C, temperatura errata)</t>
        </is>
      </c>
      <c r="H834" s="109" t="n"/>
      <c r="I834" s="109" t="n"/>
      <c r="J834" s="109" t="n"/>
      <c r="K834" s="109" t="n"/>
      <c r="L834" s="109" t="n"/>
      <c r="M834" s="110" t="inlineStr">
        <is>
          <t>INTERROTTO</t>
        </is>
      </c>
      <c r="N834" s="110" t="n"/>
      <c r="O834" s="110" t="n"/>
      <c r="P834" s="110" t="n"/>
      <c r="Q834" s="110" t="inlineStr">
        <is>
          <t>COPPIA N°23 APERTA. NON SI RIESCE AD IDENTIFICARE TAG MULTICAVO (NE' IN CASSETTA NE' IN SALA TECNICA). 08/10/2024 PONTICELLATO IN BARRIERA PER ELIMINARE "BAD" A DCS. IMPOSSIBILE DETERMINARE TAG MULTICAVO PER POTER UTILIZZARE EVENTUALE SPARE.</t>
        </is>
      </c>
      <c r="R834" s="151" t="n">
        <v>45846</v>
      </c>
      <c r="S834" s="110" t="inlineStr">
        <is>
          <t>MILLO</t>
        </is>
      </c>
      <c r="T834" s="109" t="inlineStr"/>
      <c r="U834" s="147" t="inlineStr">
        <is>
          <t>10226807</t>
        </is>
      </c>
    </row>
    <row r="835" ht="120" customHeight="1" s="122">
      <c r="A835" s="109" t="n"/>
      <c r="B835" s="108" t="n"/>
      <c r="C835" s="109" t="inlineStr"/>
      <c r="D835" s="109" t="inlineStr">
        <is>
          <t>AREA 3</t>
        </is>
      </c>
      <c r="E835" s="109" t="inlineStr">
        <is>
          <t>542711/C</t>
        </is>
      </c>
      <c r="F835" s="109" t="inlineStr">
        <is>
          <t>800</t>
        </is>
      </c>
      <c r="G835" s="109" t="inlineStr">
        <is>
          <t>10226576   800: RIPR E CONFIG FLUSSIMETRI MC101B SMONTAGGIO/RIMONTAGGIO PER REVISIONE</t>
        </is>
      </c>
      <c r="H835" s="109" t="n"/>
      <c r="I835" s="109" t="n"/>
      <c r="J835" s="109" t="n"/>
      <c r="K835" s="109" t="n"/>
      <c r="L835" s="109" t="n"/>
      <c r="M835" s="110" t="inlineStr">
        <is>
          <t>INTERROTTO</t>
        </is>
      </c>
      <c r="N835" s="110" t="n"/>
      <c r="O835" s="110" t="n"/>
      <c r="P835" s="110" t="n"/>
      <c r="Q835" s="110" t="inlineStr">
        <is>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is>
      </c>
      <c r="R835" s="151" t="n">
        <v>45838</v>
      </c>
      <c r="S835" s="110" t="inlineStr">
        <is>
          <t>MILLO/GARRO/RICIPUTO</t>
        </is>
      </c>
      <c r="T835" s="109" t="inlineStr"/>
      <c r="U835" s="147" t="inlineStr">
        <is>
          <t>10226576</t>
        </is>
      </c>
    </row>
    <row r="836" ht="30" customHeight="1" s="122">
      <c r="A836" s="109" t="n"/>
      <c r="B836" s="108" t="n">
        <v>2</v>
      </c>
      <c r="C836" s="109" t="inlineStr"/>
      <c r="D836" s="109" t="inlineStr">
        <is>
          <t>AREA 3</t>
        </is>
      </c>
      <c r="E836" s="109" t="inlineStr">
        <is>
          <t>538131/C</t>
        </is>
      </c>
      <c r="F836" s="109" t="inlineStr">
        <is>
          <t>1800</t>
        </is>
      </c>
      <c r="G836" s="109" t="inlineStr">
        <is>
          <t>10223641 1800 - RIPR 18Z027LH.</t>
        </is>
      </c>
      <c r="H836" s="109" t="n"/>
      <c r="I836" s="109" t="n"/>
      <c r="J836" s="109" t="n"/>
      <c r="K836" s="109" t="n"/>
      <c r="L836" s="109" t="n"/>
      <c r="M836" s="110" t="inlineStr">
        <is>
          <t>INTERROTTO</t>
        </is>
      </c>
      <c r="N836" s="110" t="n"/>
      <c r="O836" s="110" t="n"/>
      <c r="P836" s="110" t="n"/>
      <c r="Q836" s="110" t="inlineStr">
        <is>
          <t>LA VALVOLA IN OGGETTO TRATTASI DI RBV, DI COMPETENZA ATTUATORISTI; TCL SCOLLO.</t>
        </is>
      </c>
      <c r="R836" s="151" t="n">
        <v>45824</v>
      </c>
      <c r="S836" s="110" t="inlineStr">
        <is>
          <t>GARRO</t>
        </is>
      </c>
      <c r="T836" s="109" t="inlineStr"/>
      <c r="U836" s="147" t="inlineStr">
        <is>
          <t>10223641</t>
        </is>
      </c>
    </row>
    <row r="837" ht="45" customHeight="1" s="122">
      <c r="A837" s="109" t="n"/>
      <c r="B837" s="108" t="n">
        <v>3</v>
      </c>
      <c r="C837" s="109" t="inlineStr"/>
      <c r="D837" s="109" t="inlineStr">
        <is>
          <t>AREA 3</t>
        </is>
      </c>
      <c r="E837" s="109" t="inlineStr">
        <is>
          <t>538251/C</t>
        </is>
      </c>
      <c r="F837" s="109" t="inlineStr">
        <is>
          <t>1400</t>
        </is>
      </c>
      <c r="G837" s="109" t="inlineStr">
        <is>
          <t>10224410 1400 - RIPRISTINO FROO5 SWS GAS DA TESTA 1400-D104 A LINEE ZOLFO</t>
        </is>
      </c>
      <c r="H837" s="109" t="n"/>
      <c r="I837" s="109" t="n"/>
      <c r="J837" s="109" t="n"/>
      <c r="K837" s="109" t="n"/>
      <c r="L837" s="109" t="n"/>
      <c r="M837" s="110" t="inlineStr">
        <is>
          <t>INTERROTTO</t>
        </is>
      </c>
      <c r="N837" s="110" t="n"/>
      <c r="O837" s="110" t="inlineStr">
        <is>
          <t>X</t>
        </is>
      </c>
      <c r="P837" s="110" t="inlineStr">
        <is>
          <t>X</t>
        </is>
      </c>
      <c r="Q837" s="110" t="inlineStr">
        <is>
          <t>VALVOLE TAPPATE, PROVATE CON POMPA ALTA PRESSIONE CON ESITO NEGATIVO. SERVE PONTEGGIO PER STASARE A CURA PONTEROSSO</t>
        </is>
      </c>
      <c r="R837" s="151" t="n">
        <v>45824</v>
      </c>
      <c r="S837" s="110" t="inlineStr">
        <is>
          <t>TARASCIO/PARTESANO</t>
        </is>
      </c>
      <c r="T837" s="109" t="inlineStr"/>
      <c r="U837" s="147" t="inlineStr">
        <is>
          <t>10224410</t>
        </is>
      </c>
    </row>
    <row r="838" ht="30" customHeight="1" s="122">
      <c r="A838" s="109" t="n"/>
      <c r="B838" s="108" t="n">
        <v>2</v>
      </c>
      <c r="C838" s="109" t="inlineStr"/>
      <c r="D838" s="109" t="inlineStr">
        <is>
          <t>AREA 3</t>
        </is>
      </c>
      <c r="E838" s="109" t="inlineStr">
        <is>
          <t>533089/C</t>
        </is>
      </c>
      <c r="F838" s="109" t="inlineStr">
        <is>
          <t>700A</t>
        </is>
      </c>
      <c r="G838" s="109" t="inlineStr">
        <is>
          <t xml:space="preserve">10221652 700A - MTZ FR212  </t>
        </is>
      </c>
      <c r="H838" s="109" t="n"/>
      <c r="I838" s="109" t="n"/>
      <c r="J838" s="109" t="n"/>
      <c r="K838" s="109" t="n"/>
      <c r="L838" s="109" t="n"/>
      <c r="M838" s="110" t="inlineStr">
        <is>
          <t>INTERROTTO</t>
        </is>
      </c>
      <c r="N838" s="110" t="inlineStr">
        <is>
          <t>X</t>
        </is>
      </c>
      <c r="O838" s="110" t="n"/>
      <c r="P838" s="110" t="n"/>
      <c r="Q838" s="110" t="inlineStr">
        <is>
          <t>DA SOSTITUIRE STRUMENTO: PER INTERFERENZA CAPOTURNO ( LAVORI DI RIPRISTINO CIMINIERA )NON APRE PDL</t>
        </is>
      </c>
      <c r="R838" s="151" t="n">
        <v>45782</v>
      </c>
      <c r="S838" s="110" t="inlineStr">
        <is>
          <t>SPINALI/MANSERVIGI</t>
        </is>
      </c>
      <c r="T838" s="109" t="inlineStr"/>
      <c r="U838" s="147" t="inlineStr">
        <is>
          <t>10221652</t>
        </is>
      </c>
    </row>
    <row r="839" ht="30" customHeight="1" s="122">
      <c r="A839" s="109" t="n"/>
      <c r="B839" s="108" t="n">
        <v>2</v>
      </c>
      <c r="C839" s="109" t="inlineStr"/>
      <c r="D839" s="109" t="inlineStr">
        <is>
          <t>AREA 3</t>
        </is>
      </c>
      <c r="E839" s="109" t="inlineStr">
        <is>
          <t>533088/C</t>
        </is>
      </c>
      <c r="F839" s="109" t="inlineStr">
        <is>
          <t>700A</t>
        </is>
      </c>
      <c r="G839" s="109" t="inlineStr">
        <is>
          <t xml:space="preserve">10221651 700A - MTZ FR213  </t>
        </is>
      </c>
      <c r="H839" s="109" t="n"/>
      <c r="I839" s="109" t="n"/>
      <c r="J839" s="109" t="n"/>
      <c r="K839" s="109" t="n"/>
      <c r="L839" s="109" t="n"/>
      <c r="M839" s="110" t="inlineStr">
        <is>
          <t>INTERROTTO</t>
        </is>
      </c>
      <c r="N839" s="110" t="inlineStr">
        <is>
          <t>X</t>
        </is>
      </c>
      <c r="O839" s="110" t="n"/>
      <c r="P839" s="110" t="n"/>
      <c r="Q839" s="110" t="inlineStr">
        <is>
          <t>DA SOSTITUIRE STRUMENTO: PER INTERFERENZA CAPOTURNO ( LAVORI DI RIPRISTINO CIMINIERA )NON APRE PDL</t>
        </is>
      </c>
      <c r="R839" s="151" t="n">
        <v>45782</v>
      </c>
      <c r="S839" s="110" t="inlineStr">
        <is>
          <t>SPINALI/MANSERVIGI</t>
        </is>
      </c>
      <c r="T839" s="109" t="inlineStr"/>
      <c r="U839" s="147" t="inlineStr">
        <is>
          <t>10221651</t>
        </is>
      </c>
    </row>
    <row r="840" ht="135" customHeight="1" s="122">
      <c r="A840" s="109" t="n"/>
      <c r="B840" s="108" t="n">
        <v>1</v>
      </c>
      <c r="C840" s="109" t="inlineStr"/>
      <c r="D840" s="109" t="inlineStr">
        <is>
          <t>AREA 3</t>
        </is>
      </c>
      <c r="E840" s="109" t="inlineStr">
        <is>
          <t>532857/C</t>
        </is>
      </c>
      <c r="F840" s="109" t="inlineStr">
        <is>
          <t>700A</t>
        </is>
      </c>
      <c r="G840" s="109" t="inlineStr">
        <is>
          <t xml:space="preserve"> 700A - RIPRISTINO JB TH6 CON SCOLLEGAMENTO MULTICAVO E DOPPINI PER RICERCA GUASTO CAVO AMMALORATO,E REVISIONE CASSETTA E MORSETTI CABUR</t>
        </is>
      </c>
      <c r="H840" s="109" t="n"/>
      <c r="I840" s="109" t="n"/>
      <c r="J840" s="109" t="n"/>
      <c r="K840" s="109" t="n"/>
      <c r="L840" s="109" t="n"/>
      <c r="M840" s="110" t="inlineStr">
        <is>
          <t>INTERROTTO</t>
        </is>
      </c>
      <c r="N840" s="110" t="inlineStr">
        <is>
          <t>X</t>
        </is>
      </c>
      <c r="O840" s="110" t="n"/>
      <c r="P840" s="110" t="n"/>
      <c r="Q840" s="110"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840" s="151" t="n">
        <v>45817</v>
      </c>
      <c r="S840" s="110" t="inlineStr">
        <is>
          <t>GUARINO</t>
        </is>
      </c>
      <c r="T840" s="109" t="inlineStr"/>
      <c r="U840" s="147" t="inlineStr"/>
    </row>
    <row r="841" ht="30" customHeight="1" s="122">
      <c r="A841" s="109" t="n"/>
      <c r="B841" s="109" t="n">
        <v>2</v>
      </c>
      <c r="C841" s="109" t="inlineStr"/>
      <c r="D841" s="109" t="inlineStr">
        <is>
          <t>AREA 3</t>
        </is>
      </c>
      <c r="E841" s="109" t="inlineStr">
        <is>
          <t>536364/C</t>
        </is>
      </c>
      <c r="F841" s="109" t="inlineStr">
        <is>
          <t>1100</t>
        </is>
      </c>
      <c r="G841" s="109" t="inlineStr">
        <is>
          <t>10223633 1100 - MDEA DA 700 a U1100 ripristino 11F003RC.pv CONTROLLO LOOP DI REGOLAZIONE</t>
        </is>
      </c>
      <c r="H841" s="109" t="n"/>
      <c r="I841" s="109" t="n"/>
      <c r="J841" s="109" t="n"/>
      <c r="K841" s="109" t="n"/>
      <c r="L841" s="109" t="n"/>
      <c r="M841" s="109" t="inlineStr">
        <is>
          <t>INTERROTTO</t>
        </is>
      </c>
      <c r="N841" s="109" t="n"/>
      <c r="O841" s="109" t="inlineStr">
        <is>
          <t>X</t>
        </is>
      </c>
      <c r="P841" s="109" t="inlineStr">
        <is>
          <t>X</t>
        </is>
      </c>
      <c r="Q841" s="109" t="inlineStr">
        <is>
          <t xml:space="preserve"> STRUMENTO SOSTITUITO, COSTRUITA PALINA, NECESSITA INTERVENTO PONTEROSSO PER STASATURA RADICE NEGATIVA</t>
        </is>
      </c>
      <c r="R841" s="151" t="n">
        <v>45814</v>
      </c>
      <c r="S841" s="109" t="inlineStr">
        <is>
          <t>TARASCIO/PARTESANO</t>
        </is>
      </c>
      <c r="T841" s="109" t="inlineStr"/>
      <c r="U841" s="147" t="inlineStr">
        <is>
          <t>10223633</t>
        </is>
      </c>
    </row>
    <row r="842" ht="45" customHeight="1" s="122">
      <c r="A842" s="109" t="n"/>
      <c r="B842" s="108" t="n">
        <v>3</v>
      </c>
      <c r="C842" s="109" t="inlineStr"/>
      <c r="D842" s="109" t="inlineStr">
        <is>
          <t>AREA 3</t>
        </is>
      </c>
      <c r="E842" s="109" t="inlineStr">
        <is>
          <t>537759/C</t>
        </is>
      </c>
      <c r="F842" s="109" t="inlineStr">
        <is>
          <t>1200/0</t>
        </is>
      </c>
      <c r="G842" s="109" t="inlineStr">
        <is>
          <t>10224189 1200/0 - Z0F150R controllo funzionale</t>
        </is>
      </c>
      <c r="H842" s="109" t="n"/>
      <c r="I842" s="109" t="n"/>
      <c r="J842" s="109" t="n"/>
      <c r="K842" s="109" t="n"/>
      <c r="L842" s="109" t="n"/>
      <c r="M842" s="110" t="inlineStr">
        <is>
          <t>INTERROTTO</t>
        </is>
      </c>
      <c r="N842" s="110" t="n"/>
      <c r="O842" s="110" t="n"/>
      <c r="P842" s="110" t="n"/>
      <c r="Q842" s="110" t="inlineStr">
        <is>
          <t>ESEGUITA STASATURA SU PRESA - CON ESITO NEGATIVO; NECESSITA INTERVENTO PONTEROSSO. PER ARRIVARE ALLA RADICE SERVE PONTEGGIO.</t>
        </is>
      </c>
      <c r="R842" s="151" t="n"/>
      <c r="S842" s="110" t="n"/>
      <c r="T842" s="109" t="inlineStr"/>
      <c r="U842" s="147" t="inlineStr">
        <is>
          <t>10224189</t>
        </is>
      </c>
    </row>
    <row r="843" ht="30" customHeight="1" s="122">
      <c r="A843" s="109" t="n"/>
      <c r="B843" s="109" t="n">
        <v>4</v>
      </c>
      <c r="C843" s="109" t="inlineStr"/>
      <c r="D843" s="109" t="inlineStr">
        <is>
          <t>AREA 3</t>
        </is>
      </c>
      <c r="E843" s="109" t="inlineStr">
        <is>
          <t>536723/C</t>
        </is>
      </c>
      <c r="F843" s="109" t="inlineStr">
        <is>
          <t>1200/1</t>
        </is>
      </c>
      <c r="G843" s="109" t="inlineStr">
        <is>
          <t>10223786 1200/1 - F304CV</t>
        </is>
      </c>
      <c r="H843" s="109" t="n"/>
      <c r="I843" s="109" t="n"/>
      <c r="J843" s="109" t="n"/>
      <c r="K843" s="109" t="n"/>
      <c r="L843" s="109" t="n"/>
      <c r="M843" s="110" t="inlineStr">
        <is>
          <t>INTERROTTO</t>
        </is>
      </c>
      <c r="N843" s="110" t="n"/>
      <c r="O843" s="110" t="n"/>
      <c r="P843" s="110" t="n"/>
      <c r="Q843" s="110" t="inlineStr">
        <is>
          <t>SI CONSIGLIA LA REVISIONE, ARIA APRE IN ASSENZA DI ARIA BLOCCATA AL 25%</t>
        </is>
      </c>
      <c r="R843" s="151" t="n">
        <v>45791</v>
      </c>
      <c r="S843" s="110" t="inlineStr">
        <is>
          <t>MILLO</t>
        </is>
      </c>
      <c r="T843" s="109" t="inlineStr"/>
      <c r="U843" s="147" t="inlineStr">
        <is>
          <t>10223786</t>
        </is>
      </c>
    </row>
    <row r="844" ht="30" customHeight="1" s="122">
      <c r="A844" s="109" t="n"/>
      <c r="B844" s="108" t="n">
        <v>4</v>
      </c>
      <c r="C844" s="109" t="inlineStr"/>
      <c r="D844" s="109" t="inlineStr">
        <is>
          <t>AREA 3</t>
        </is>
      </c>
      <c r="E844" s="109" t="inlineStr">
        <is>
          <t>529835/C</t>
        </is>
      </c>
      <c r="F844" s="109" t="inlineStr">
        <is>
          <t>1400</t>
        </is>
      </c>
      <c r="G844" s="109" t="inlineStr">
        <is>
          <t>10217184 1400 - LCV004 controllo funzionale  ed eventuale smontaggio/rimontaggio per revisione  valvola</t>
        </is>
      </c>
      <c r="H844" s="109" t="n"/>
      <c r="I844" s="109" t="n"/>
      <c r="J844" s="109" t="n"/>
      <c r="K844" s="109" t="n"/>
      <c r="L844" s="109" t="n"/>
      <c r="M844" s="110" t="inlineStr">
        <is>
          <t>INTERROTTO</t>
        </is>
      </c>
      <c r="N844" s="110" t="inlineStr">
        <is>
          <t>X</t>
        </is>
      </c>
      <c r="O844" s="110" t="n"/>
      <c r="P844" s="110" t="n"/>
      <c r="Q844" s="110" t="inlineStr">
        <is>
          <t>ATTESA ESE PER SMONTAGGIO</t>
        </is>
      </c>
      <c r="R844" s="151" t="n"/>
      <c r="S844" s="110" t="n"/>
      <c r="T844" s="109" t="inlineStr"/>
      <c r="U844" s="147" t="inlineStr">
        <is>
          <t>10217184</t>
        </is>
      </c>
    </row>
    <row r="845" ht="30" customHeight="1" s="122">
      <c r="A845" s="109" t="n"/>
      <c r="B845" s="109" t="n">
        <v>4</v>
      </c>
      <c r="C845" s="109" t="inlineStr"/>
      <c r="D845" s="109" t="inlineStr">
        <is>
          <t>AREA 3</t>
        </is>
      </c>
      <c r="E845" s="109" t="inlineStr">
        <is>
          <t>530192/C</t>
        </is>
      </c>
      <c r="F845" s="109" t="inlineStr">
        <is>
          <t>800</t>
        </is>
      </c>
      <c r="G845" s="109" t="inlineStr">
        <is>
          <t>10220466 800 - F158AR /BR CONTROLLO ENTRAMBI I MISURATORI DI PORTATA CON VERIFICA PRIMARI</t>
        </is>
      </c>
      <c r="H845" s="109" t="n"/>
      <c r="I845" s="109" t="n"/>
      <c r="J845" s="109" t="n"/>
      <c r="K845" s="109" t="n"/>
      <c r="L845" s="109" t="n"/>
      <c r="M845" s="109" t="inlineStr">
        <is>
          <t>INTERROTTO</t>
        </is>
      </c>
      <c r="N845" s="109" t="n"/>
      <c r="O845" s="109" t="n"/>
      <c r="P845" s="109" t="n"/>
      <c r="Q845" s="109" t="n"/>
      <c r="R845" s="151" t="n"/>
      <c r="S845" s="109" t="n"/>
      <c r="T845" s="109" t="inlineStr"/>
      <c r="U845" s="109" t="inlineStr">
        <is>
          <t>10220466</t>
        </is>
      </c>
    </row>
    <row r="846" ht="30" customHeight="1" s="122">
      <c r="A846" s="109" t="n"/>
      <c r="B846" s="108" t="n">
        <v>4</v>
      </c>
      <c r="C846" s="109" t="inlineStr"/>
      <c r="D846" s="109" t="inlineStr">
        <is>
          <t>AREA 3</t>
        </is>
      </c>
      <c r="E846" s="109" t="inlineStr">
        <is>
          <t>527952/C</t>
        </is>
      </c>
      <c r="F846" s="109" t="inlineStr">
        <is>
          <t>1200/2</t>
        </is>
      </c>
      <c r="G846" s="109" t="inlineStr">
        <is>
          <t xml:space="preserve">10218827 1200/2 - controllo funzionale FCV302  SWS gas </t>
        </is>
      </c>
      <c r="H846" s="109" t="n"/>
      <c r="I846" s="109" t="n"/>
      <c r="J846" s="109" t="n"/>
      <c r="K846" s="109" t="n"/>
      <c r="L846" s="109" t="n"/>
      <c r="M846" s="110" t="inlineStr">
        <is>
          <t>INTERROTTO</t>
        </is>
      </c>
      <c r="N846" s="110" t="inlineStr">
        <is>
          <t>X</t>
        </is>
      </c>
      <c r="O846" s="110" t="n"/>
      <c r="P846" s="110" t="n"/>
      <c r="Q846" s="110" t="inlineStr">
        <is>
          <t>LA VALVOLA NON SENTE LE PICCOLE PERCENTUALI, NON MOVIMENTABILE PER ESIGENZE DI IMPIANTO.</t>
        </is>
      </c>
      <c r="R846" s="151" t="n">
        <v>45775</v>
      </c>
      <c r="S846" s="110" t="inlineStr">
        <is>
          <t>CIANCHINO/SAGGIO</t>
        </is>
      </c>
      <c r="T846" s="109" t="inlineStr"/>
      <c r="U846" s="147" t="inlineStr">
        <is>
          <t>10218827</t>
        </is>
      </c>
    </row>
    <row r="847">
      <c r="A847" s="109" t="n"/>
      <c r="B847" s="109" t="n">
        <v>4</v>
      </c>
      <c r="C847" s="109" t="inlineStr"/>
      <c r="D847" s="109" t="inlineStr">
        <is>
          <t>AREA 3</t>
        </is>
      </c>
      <c r="E847" s="109" t="inlineStr">
        <is>
          <t>532172/C</t>
        </is>
      </c>
      <c r="F847" s="109" t="inlineStr">
        <is>
          <t>1200/M</t>
        </is>
      </c>
      <c r="G847" s="109" t="inlineStr">
        <is>
          <t>10215992 1200/M - ZMF718R(tail gas a MAXI sulf)  controllo funzional</t>
        </is>
      </c>
      <c r="H847" s="109" t="n"/>
      <c r="I847" s="109" t="n"/>
      <c r="J847" s="109" t="n"/>
      <c r="K847" s="109" t="n"/>
      <c r="L847" s="109" t="n"/>
      <c r="M847" s="109" t="inlineStr">
        <is>
          <t>INTERROTTO</t>
        </is>
      </c>
      <c r="N847" s="109" t="n"/>
      <c r="O847" s="109" t="n"/>
      <c r="P847" s="109" t="n"/>
      <c r="Q847" s="109" t="inlineStr">
        <is>
          <t>TURBINETTA</t>
        </is>
      </c>
      <c r="R847" s="151" t="n"/>
      <c r="S847" s="109" t="n"/>
      <c r="T847" s="109" t="inlineStr"/>
      <c r="U847" s="109" t="inlineStr">
        <is>
          <t>10215992</t>
        </is>
      </c>
    </row>
    <row r="848" ht="30" customHeight="1" s="122">
      <c r="A848" s="109" t="n"/>
      <c r="B848" s="108" t="n">
        <v>4</v>
      </c>
      <c r="C848" s="109" t="inlineStr"/>
      <c r="D848" s="109" t="inlineStr">
        <is>
          <t>AREA 3</t>
        </is>
      </c>
      <c r="E848" s="109" t="inlineStr">
        <is>
          <t>527516/C</t>
        </is>
      </c>
      <c r="F848" s="109" t="inlineStr">
        <is>
          <t>1800</t>
        </is>
      </c>
      <c r="G848" s="109" t="inlineStr">
        <is>
          <t xml:space="preserve"> 1800 - D111 L042R CONTROLLO RIPRISTINO ED EVENTUALE SOSTITUZIONE TESTINA</t>
        </is>
      </c>
      <c r="H848" s="109" t="n"/>
      <c r="I848" s="109" t="n"/>
      <c r="J848" s="109" t="n"/>
      <c r="K848" s="109" t="n"/>
      <c r="L848" s="109" t="n"/>
      <c r="M848" s="110" t="inlineStr">
        <is>
          <t>INTERROTTO</t>
        </is>
      </c>
      <c r="N848" s="110" t="n"/>
      <c r="O848" s="110" t="n"/>
      <c r="P848" s="110" t="n"/>
      <c r="Q848" s="110" t="inlineStr">
        <is>
          <t>DA SOSTITUIRE TORSIONALE</t>
        </is>
      </c>
      <c r="R848" s="151" t="n">
        <v>45715</v>
      </c>
      <c r="S848" s="110" t="inlineStr">
        <is>
          <t>MILLO/ALLEGRETTI</t>
        </is>
      </c>
      <c r="T848" s="109" t="inlineStr"/>
      <c r="U848" s="147" t="inlineStr"/>
    </row>
    <row r="849" ht="45" customHeight="1" s="122">
      <c r="A849" s="109" t="n"/>
      <c r="B849" s="109" t="n">
        <v>4</v>
      </c>
      <c r="C849" s="109" t="inlineStr"/>
      <c r="D849" s="109" t="inlineStr">
        <is>
          <t>AREA 3</t>
        </is>
      </c>
      <c r="E849" s="109" t="inlineStr">
        <is>
          <t>532614/C</t>
        </is>
      </c>
      <c r="F849" s="109" t="inlineStr">
        <is>
          <t>1800</t>
        </is>
      </c>
      <c r="G849" s="109" t="inlineStr">
        <is>
          <t xml:space="preserve"> 1800 - F063AT/BT SMONTAGGIO/E RIMONTAGGIO PRIMARIO STRUMENTI PER COSTRUZIONE TUBING AMMALORATO</t>
        </is>
      </c>
      <c r="H849" s="109" t="n"/>
      <c r="I849" s="109" t="n"/>
      <c r="J849" s="109" t="n"/>
      <c r="K849" s="109" t="n"/>
      <c r="L849" s="109" t="n"/>
      <c r="M849" s="109" t="inlineStr">
        <is>
          <t>INTERROTTO</t>
        </is>
      </c>
      <c r="N849" s="109" t="n"/>
      <c r="O849" s="109" t="n"/>
      <c r="P849" s="109" t="n"/>
      <c r="Q849" s="109" t="inlineStr">
        <is>
          <t>MECCANICI HANNO RIPRISTINATO PIPING E SUCCESSIVAMENTE COEMI RICOLLEGHERA' TRACCIATURA STRUMENTO. NON FATTO CAUSA EMERGENZA</t>
        </is>
      </c>
      <c r="R849" s="151" t="n">
        <v>45756</v>
      </c>
      <c r="S849" s="109" t="inlineStr">
        <is>
          <t>DE LUCA</t>
        </is>
      </c>
      <c r="T849" s="109" t="inlineStr"/>
      <c r="U849" s="109" t="inlineStr"/>
    </row>
    <row r="850" ht="30" customHeight="1" s="122">
      <c r="A850" s="109" t="n"/>
      <c r="B850" s="108" t="n">
        <v>4</v>
      </c>
      <c r="C850" s="109" t="inlineStr"/>
      <c r="D850" s="109" t="inlineStr">
        <is>
          <t>AREA 3</t>
        </is>
      </c>
      <c r="E850" s="109" t="inlineStr">
        <is>
          <t>525746/C</t>
        </is>
      </c>
      <c r="F850" s="109" t="inlineStr">
        <is>
          <t>1200/1</t>
        </is>
      </c>
      <c r="G850" s="109" t="inlineStr">
        <is>
          <t xml:space="preserve"> 1200/1 - L502 CONTROLLO E TARATURA CON ALLINEAMENTO CON SALA CONTROLLO</t>
        </is>
      </c>
      <c r="H850" s="109" t="n"/>
      <c r="I850" s="109" t="n"/>
      <c r="J850" s="109" t="n"/>
      <c r="K850" s="109" t="n"/>
      <c r="L850" s="109" t="n"/>
      <c r="M850" s="110" t="inlineStr">
        <is>
          <t>INTERROTTO</t>
        </is>
      </c>
      <c r="N850" s="110" t="n"/>
      <c r="O850" s="110" t="n"/>
      <c r="P850" s="110" t="n"/>
      <c r="Q850" s="110" t="inlineStr">
        <is>
          <t>SUL LIVELLO SI E' FATTA LA PROVA DI STASATURA CON POMPA ALTA PRESSIONE  ESITO NEGATIVO, IL LIVELLO RIMANE TAPPATO.</t>
        </is>
      </c>
      <c r="R850" s="151" t="n">
        <v>45726</v>
      </c>
      <c r="S850" s="110" t="inlineStr">
        <is>
          <t>TARASCIO</t>
        </is>
      </c>
      <c r="T850" s="109" t="inlineStr"/>
      <c r="U850" s="147" t="inlineStr"/>
    </row>
    <row r="851" ht="30" customHeight="1" s="122">
      <c r="A851" s="109" t="n"/>
      <c r="B851" s="109" t="n">
        <v>4</v>
      </c>
      <c r="C851" s="109" t="inlineStr"/>
      <c r="D851" s="109" t="inlineStr">
        <is>
          <t>AREA 3</t>
        </is>
      </c>
      <c r="E851" s="109" t="inlineStr">
        <is>
          <t>527523/C</t>
        </is>
      </c>
      <c r="F851" s="109" t="inlineStr">
        <is>
          <t>1100</t>
        </is>
      </c>
      <c r="G851" s="109" t="inlineStr">
        <is>
          <t xml:space="preserve"> 1100 - F161R CONTROLLO FUNZIONALE</t>
        </is>
      </c>
      <c r="H851" s="109" t="n"/>
      <c r="I851" s="109" t="n"/>
      <c r="J851" s="109" t="n"/>
      <c r="K851" s="109" t="n"/>
      <c r="L851" s="109" t="n"/>
      <c r="M851" s="110" t="inlineStr">
        <is>
          <t>INTERROTTO</t>
        </is>
      </c>
      <c r="N851" s="110" t="n"/>
      <c r="O851" s="110" t="n"/>
      <c r="P851" s="110" t="n"/>
      <c r="Q851" s="110" t="inlineStr">
        <is>
          <t>CONTROLLATO TX, PRESE LIBERE. LA MISURA CON TX INSERITO E' MOLTO INSTABILE, SI CONSIGLIA LA SOSTITUZIONE DEL TX.</t>
        </is>
      </c>
      <c r="R851" s="151" t="n">
        <v>45720</v>
      </c>
      <c r="S851" s="110" t="inlineStr">
        <is>
          <t>TARASCIO/GARRO S.</t>
        </is>
      </c>
      <c r="T851" s="109" t="inlineStr"/>
      <c r="U851" s="147" t="inlineStr"/>
    </row>
    <row r="852" ht="30" customHeight="1" s="122">
      <c r="A852" s="109" t="n"/>
      <c r="B852" s="108" t="n">
        <v>4</v>
      </c>
      <c r="C852" s="109" t="inlineStr"/>
      <c r="D852" s="109" t="inlineStr">
        <is>
          <t>AREA 3</t>
        </is>
      </c>
      <c r="E852" s="109" t="inlineStr">
        <is>
          <t>527529/C</t>
        </is>
      </c>
      <c r="F852" s="109" t="inlineStr">
        <is>
          <t>800</t>
        </is>
      </c>
      <c r="G852" s="109" t="inlineStr">
        <is>
          <t xml:space="preserve"> 800 - F166I STRUMENTO TERMO MASSICO, SFILARLO DAL PROCESSO CHIUDERE LA VALVOLA DI INTERCETTO SMONTARLO E PULIRE L'ELEMENTO SENSIBILE</t>
        </is>
      </c>
      <c r="H852" s="109" t="n"/>
      <c r="I852" s="109" t="n"/>
      <c r="J852" s="109" t="n"/>
      <c r="K852" s="109" t="n"/>
      <c r="L852" s="109" t="n"/>
      <c r="M852" s="110" t="inlineStr">
        <is>
          <t>INTERROTTO</t>
        </is>
      </c>
      <c r="N852" s="110" t="n"/>
      <c r="O852" s="110" t="n"/>
      <c r="P852" s="110" t="n"/>
      <c r="Q852" s="110" t="inlineStr">
        <is>
          <t>SERVE PONTEGGIO PER ACCEDERE ALLA TESTINA DEL MASSICO</t>
        </is>
      </c>
      <c r="R852" s="151" t="n">
        <v>45719</v>
      </c>
      <c r="S852" s="110" t="inlineStr">
        <is>
          <t>TARASCIO/GARRO S.</t>
        </is>
      </c>
      <c r="T852" s="109" t="inlineStr"/>
      <c r="U852" s="147" t="inlineStr"/>
    </row>
    <row r="853" ht="30" customHeight="1" s="122">
      <c r="A853" s="109" t="n"/>
      <c r="B853" s="109" t="n">
        <v>4</v>
      </c>
      <c r="C853" s="109" t="inlineStr"/>
      <c r="D853" s="109" t="inlineStr">
        <is>
          <t>AREA 3</t>
        </is>
      </c>
      <c r="E853" s="109" t="inlineStr">
        <is>
          <t>526467/C</t>
        </is>
      </c>
      <c r="F853" s="109" t="inlineStr">
        <is>
          <t>800</t>
        </is>
      </c>
      <c r="G853" s="109" t="inlineStr">
        <is>
          <t xml:space="preserve"> 800 - ELIM PERDITA DA FCV120</t>
        </is>
      </c>
      <c r="H853" s="109" t="n"/>
      <c r="I853" s="109" t="n"/>
      <c r="J853" s="109" t="n"/>
      <c r="K853" s="109" t="n"/>
      <c r="L853" s="109" t="n"/>
      <c r="M853" s="109" t="inlineStr">
        <is>
          <t>INTERROTTO</t>
        </is>
      </c>
      <c r="N853" s="109" t="inlineStr">
        <is>
          <t>X</t>
        </is>
      </c>
      <c r="O853" s="109" t="n"/>
      <c r="P853" s="109" t="n"/>
      <c r="Q853" s="109" t="inlineStr">
        <is>
          <t>LA VALVOLA E' DA SMONTARE E REVISIONARE</t>
        </is>
      </c>
      <c r="R853" s="151" t="n">
        <v>45707</v>
      </c>
      <c r="S853" s="109" t="inlineStr">
        <is>
          <t>GARRO L./GARRO S.</t>
        </is>
      </c>
      <c r="T853" s="109" t="inlineStr"/>
      <c r="U853" s="109" t="inlineStr"/>
    </row>
    <row r="854" ht="30" customHeight="1" s="122">
      <c r="A854" s="109" t="n"/>
      <c r="B854" s="109" t="n">
        <v>4</v>
      </c>
      <c r="C854" s="109" t="inlineStr"/>
      <c r="D854" s="109" t="inlineStr">
        <is>
          <t>AREA 3</t>
        </is>
      </c>
      <c r="E854" s="109" t="inlineStr">
        <is>
          <t>524753/C</t>
        </is>
      </c>
      <c r="F854" s="109" t="inlineStr">
        <is>
          <t>1200/4</t>
        </is>
      </c>
      <c r="G854" s="109" t="inlineStr">
        <is>
          <t xml:space="preserve"> 1200/4 - controllo Livellostati D101 e D102 Linea 4</t>
        </is>
      </c>
      <c r="H854" s="109" t="n"/>
      <c r="I854" s="109" t="n"/>
      <c r="J854" s="109" t="n"/>
      <c r="K854" s="109" t="n"/>
      <c r="L854" s="109" t="n"/>
      <c r="M854" s="109" t="inlineStr">
        <is>
          <t>INTERROTTO</t>
        </is>
      </c>
      <c r="N854" s="109" t="inlineStr">
        <is>
          <t>X</t>
        </is>
      </c>
      <c r="O854" s="109" t="inlineStr">
        <is>
          <t>X</t>
        </is>
      </c>
      <c r="P854" s="109" t="n"/>
      <c r="Q854" s="109" t="inlineStr">
        <is>
          <t>PONTEGGIO REALIZZATO, IN ATTESA ESE PER BONIFICA STRUMENTI.</t>
        </is>
      </c>
      <c r="R854" s="151" t="n">
        <v>45694</v>
      </c>
      <c r="S854" s="109" t="inlineStr">
        <is>
          <t>TARASCIO/PARTESANO</t>
        </is>
      </c>
      <c r="T854" s="109" t="inlineStr"/>
      <c r="U854" s="109" t="inlineStr"/>
    </row>
    <row r="855" ht="30" customHeight="1" s="122">
      <c r="A855" s="109" t="n"/>
      <c r="B855" s="109" t="n">
        <v>4</v>
      </c>
      <c r="C855" s="109" t="inlineStr"/>
      <c r="D855" s="109" t="inlineStr">
        <is>
          <t>AREA 3</t>
        </is>
      </c>
      <c r="E855" s="109" t="inlineStr">
        <is>
          <t>523500/C</t>
        </is>
      </c>
      <c r="F855" s="109" t="inlineStr">
        <is>
          <t>1200/0</t>
        </is>
      </c>
      <c r="G855" s="109" t="inlineStr">
        <is>
          <t xml:space="preserve"> Z0T970ABI.pv ((Temp. Met. Caldai tubi a)  controllo funzionale</t>
        </is>
      </c>
      <c r="H855" s="109" t="n"/>
      <c r="I855" s="109" t="n"/>
      <c r="J855" s="109" t="n"/>
      <c r="K855" s="109" t="n"/>
      <c r="L855" s="109" t="n"/>
      <c r="M855" s="109" t="inlineStr">
        <is>
          <t>INTERROTTO</t>
        </is>
      </c>
      <c r="N855" s="109" t="n"/>
      <c r="O855" s="109" t="inlineStr">
        <is>
          <t>X</t>
        </is>
      </c>
      <c r="P855" s="109" t="n"/>
      <c r="Q855" s="109" t="inlineStr">
        <is>
          <t>NECESSITA PONTEGGIO. TEMPERATURA IN BAD. SKIN POINT GUASTA. POSSIBILE SOSTITUZIONE IN FERMATA</t>
        </is>
      </c>
      <c r="R855" s="151" t="n">
        <v>45694</v>
      </c>
      <c r="S855" s="109" t="inlineStr">
        <is>
          <t>TARASCIO/PARTESANO</t>
        </is>
      </c>
      <c r="T855" s="109" t="inlineStr"/>
      <c r="U855" s="109" t="inlineStr"/>
    </row>
    <row r="856" ht="30" customHeight="1" s="122">
      <c r="A856" s="109" t="n"/>
      <c r="B856" s="109" t="n">
        <v>4</v>
      </c>
      <c r="C856" s="109" t="inlineStr"/>
      <c r="D856" s="109" t="inlineStr">
        <is>
          <t>AREA 3</t>
        </is>
      </c>
      <c r="E856" s="109" t="inlineStr">
        <is>
          <t>523499/C</t>
        </is>
      </c>
      <c r="F856" s="109" t="inlineStr">
        <is>
          <t>1200/0</t>
        </is>
      </c>
      <c r="G856" s="109" t="inlineStr">
        <is>
          <t xml:space="preserve"> Z0T970AAI.pv (Temp. Met. Caldai tubi a)  controllo funzionale</t>
        </is>
      </c>
      <c r="H856" s="109" t="n"/>
      <c r="I856" s="109" t="n"/>
      <c r="J856" s="109" t="n"/>
      <c r="K856" s="109" t="n"/>
      <c r="L856" s="109" t="n"/>
      <c r="M856" s="109" t="inlineStr">
        <is>
          <t>INTERROTTO</t>
        </is>
      </c>
      <c r="N856" s="109" t="inlineStr">
        <is>
          <t>X</t>
        </is>
      </c>
      <c r="O856" s="109" t="inlineStr">
        <is>
          <t>X</t>
        </is>
      </c>
      <c r="P856" s="109" t="n"/>
      <c r="Q856" s="109" t="inlineStr">
        <is>
          <t>NECESSITA PONTEGGIO. TEMPERATURA SKINPOINT IN BAD. POSSIBILE SOSTITUZIONE IN FERMATA</t>
        </is>
      </c>
      <c r="R856" s="151" t="n">
        <v>45694</v>
      </c>
      <c r="S856" s="109" t="inlineStr">
        <is>
          <t>TARASCIO/PARTESANO</t>
        </is>
      </c>
      <c r="T856" s="109" t="inlineStr"/>
      <c r="U856" s="109" t="inlineStr"/>
    </row>
    <row r="857" ht="30" customHeight="1" s="122">
      <c r="A857" s="109" t="n"/>
      <c r="B857" s="108" t="n">
        <v>4</v>
      </c>
      <c r="C857" s="109" t="inlineStr"/>
      <c r="D857" s="109" t="inlineStr">
        <is>
          <t>AREA 3</t>
        </is>
      </c>
      <c r="E857" s="109" t="inlineStr">
        <is>
          <t>523494/C</t>
        </is>
      </c>
      <c r="F857" s="109" t="inlineStr">
        <is>
          <t>1200/M</t>
        </is>
      </c>
      <c r="G857" s="109" t="inlineStr">
        <is>
          <t xml:space="preserve"> Misuratori pressione In/OUT R203 ZMP801DI  controllo funzionale</t>
        </is>
      </c>
      <c r="H857" s="109" t="n"/>
      <c r="I857" s="109" t="n"/>
      <c r="J857" s="109" t="n"/>
      <c r="K857" s="109" t="n"/>
      <c r="L857" s="109" t="n"/>
      <c r="M857" s="110" t="inlineStr">
        <is>
          <t>INTERROTTO</t>
        </is>
      </c>
      <c r="N857" s="110" t="n"/>
      <c r="O857" s="110" t="n"/>
      <c r="P857" s="110" t="inlineStr">
        <is>
          <t>X</t>
        </is>
      </c>
      <c r="Q857" s="110" t="inlineStr">
        <is>
          <t>PRIMARI TAPPATI, NECESSITA INTERVENTO PONTEROSSO. TX A CAPILLARE.</t>
        </is>
      </c>
      <c r="R857" s="151" t="n">
        <v>45694</v>
      </c>
      <c r="S857" s="110" t="inlineStr">
        <is>
          <t>TARASCIO/PARTESANO</t>
        </is>
      </c>
      <c r="T857" s="109" t="inlineStr"/>
      <c r="U857" s="147" t="inlineStr"/>
    </row>
    <row r="858" ht="45" customHeight="1" s="122">
      <c r="A858" s="109" t="n"/>
      <c r="B858" s="109" t="n">
        <v>4</v>
      </c>
      <c r="C858" s="109" t="inlineStr"/>
      <c r="D858" s="109" t="inlineStr">
        <is>
          <t>AREA 3</t>
        </is>
      </c>
      <c r="E858" s="109" t="inlineStr">
        <is>
          <t>521627/C</t>
        </is>
      </c>
      <c r="F858" s="109" t="inlineStr">
        <is>
          <t>1200/0</t>
        </is>
      </c>
      <c r="G858" s="109" t="inlineStr">
        <is>
          <t xml:space="preserve"> 1200/0 - REVISIONE POSIZIONATORE F966B  F967B  su F901B</t>
        </is>
      </c>
      <c r="H858" s="109" t="n"/>
      <c r="I858" s="109" t="n"/>
      <c r="J858" s="109" t="n"/>
      <c r="K858" s="109" t="n"/>
      <c r="L858" s="109" t="n"/>
      <c r="M858" s="109" t="inlineStr">
        <is>
          <t>INTERROTTO</t>
        </is>
      </c>
      <c r="N858" s="109" t="inlineStr">
        <is>
          <t>X</t>
        </is>
      </c>
      <c r="O858" s="109" t="n"/>
      <c r="P858" s="109" t="n"/>
      <c r="Q858" s="109" t="inlineStr">
        <is>
          <t>POSIZIONATORI SOSTITUITI E PRONTI PER LA TARATURA QUANDO ESERCIZIO E' DISPONIBILE (LA MOVIMENTAZIONE DELLE VALVOLE PORTA IN BLOCCO IL FORNO).</t>
        </is>
      </c>
      <c r="R858" s="151" t="n">
        <v>45673</v>
      </c>
      <c r="S858" s="109" t="inlineStr">
        <is>
          <t>GARRO L./GARRO S.</t>
        </is>
      </c>
      <c r="T858" s="109" t="inlineStr"/>
      <c r="U858" s="109" t="inlineStr"/>
    </row>
    <row r="859" ht="45" customHeight="1" s="122">
      <c r="A859" s="109" t="n"/>
      <c r="B859" s="109" t="n">
        <v>4</v>
      </c>
      <c r="C859" s="109" t="inlineStr"/>
      <c r="D859" s="109" t="inlineStr">
        <is>
          <t>AREA 3</t>
        </is>
      </c>
      <c r="E859" s="109" t="inlineStr">
        <is>
          <t>517772/C</t>
        </is>
      </c>
      <c r="F859" s="109" t="inlineStr">
        <is>
          <t>1200/2</t>
        </is>
      </c>
      <c r="G859" s="109" t="inlineStr">
        <is>
          <t xml:space="preserve"> 1200/2 - Z2F301-302-303-304-305-201-204   VERIFICA DEI SEGUENTI MISURATORI DI PORTATA</t>
        </is>
      </c>
      <c r="H859" s="109" t="n"/>
      <c r="I859" s="109" t="n"/>
      <c r="J859" s="109" t="n"/>
      <c r="K859" s="109" t="n"/>
      <c r="L859" s="109" t="n"/>
      <c r="M859" s="109" t="inlineStr">
        <is>
          <t>INTERROTTO</t>
        </is>
      </c>
      <c r="N859" s="109" t="n"/>
      <c r="O859" s="109" t="n"/>
      <c r="P859" s="109" t="inlineStr">
        <is>
          <t>X</t>
        </is>
      </c>
      <c r="Q859" s="109" t="inlineStr">
        <is>
          <t>Z2F204RC - Z2F305RC - Z2F302RC – Z2F301RC – Z2F306RC – Z2F303RC (OK)
DA FARE F201RC (in attesa ponterosso, negativa tappata)</t>
        </is>
      </c>
      <c r="R859" s="151" t="n">
        <v>45621</v>
      </c>
      <c r="S859" s="109" t="inlineStr">
        <is>
          <t>SPINALI/PUGLIARES</t>
        </is>
      </c>
      <c r="T859" s="109" t="inlineStr"/>
      <c r="U859" s="109" t="inlineStr"/>
    </row>
    <row r="860" ht="30" customHeight="1" s="122">
      <c r="A860" s="109" t="n"/>
      <c r="B860" s="109" t="n">
        <v>4</v>
      </c>
      <c r="C860" s="109" t="inlineStr"/>
      <c r="D860" s="109" t="inlineStr">
        <is>
          <t>AREA 3</t>
        </is>
      </c>
      <c r="E860" s="109" t="inlineStr">
        <is>
          <t>523466/C</t>
        </is>
      </c>
      <c r="F860" s="109" t="inlineStr">
        <is>
          <t>1100</t>
        </is>
      </c>
      <c r="G860" s="109" t="inlineStr">
        <is>
          <t xml:space="preserve"> 1100 - F012R (MDEA GAS a U1200 ,verificare eventuale tappamento)  controllo funzionale</t>
        </is>
      </c>
      <c r="H860" s="109" t="n"/>
      <c r="I860" s="109" t="n"/>
      <c r="J860" s="109" t="n"/>
      <c r="K860" s="109" t="n"/>
      <c r="L860" s="109" t="n"/>
      <c r="M860" s="109" t="inlineStr">
        <is>
          <t>INTERROTTO</t>
        </is>
      </c>
      <c r="N860" s="109" t="n"/>
      <c r="O860" s="109" t="inlineStr">
        <is>
          <t>X</t>
        </is>
      </c>
      <c r="P860" s="109" t="inlineStr">
        <is>
          <t>X</t>
        </is>
      </c>
      <c r="Q860" s="109" t="inlineStr">
        <is>
          <t>NEGATIVA TAPPATA, NECESSITA INTERVENTO PONTEROSSO. SERVE PONTEGGIO PER ARRIVARE NELLE RADICI</t>
        </is>
      </c>
      <c r="R860" s="151" t="n">
        <v>45693</v>
      </c>
      <c r="S860" s="109" t="inlineStr">
        <is>
          <t>TARASCIO/PARTESANO</t>
        </is>
      </c>
      <c r="T860" s="109" t="inlineStr"/>
      <c r="U860" s="109" t="inlineStr"/>
    </row>
    <row r="861" ht="30" customHeight="1" s="122">
      <c r="A861" s="109" t="n"/>
      <c r="B861" s="108" t="n">
        <v>4</v>
      </c>
      <c r="C861" s="109" t="inlineStr"/>
      <c r="D861" s="109" t="inlineStr">
        <is>
          <t>AREA 3</t>
        </is>
      </c>
      <c r="E861" s="109" t="inlineStr">
        <is>
          <t>523463/C</t>
        </is>
      </c>
      <c r="F861" s="109" t="inlineStr">
        <is>
          <t>1100</t>
        </is>
      </c>
      <c r="G861" s="109" t="inlineStr">
        <is>
          <t xml:space="preserve"> 1100 - F011R (MDEA GAS a U1200 ,verificare eventuale tappamento) controllo funzionale</t>
        </is>
      </c>
      <c r="H861" s="109" t="n"/>
      <c r="I861" s="109" t="n"/>
      <c r="J861" s="109" t="n"/>
      <c r="K861" s="109" t="n"/>
      <c r="L861" s="109" t="n"/>
      <c r="M861" s="110" t="inlineStr">
        <is>
          <t>INTERROTTO</t>
        </is>
      </c>
      <c r="N861" s="110" t="n"/>
      <c r="O861" s="110" t="inlineStr">
        <is>
          <t>X</t>
        </is>
      </c>
      <c r="P861" s="110" t="inlineStr">
        <is>
          <t>X</t>
        </is>
      </c>
      <c r="Q861" s="110" t="inlineStr">
        <is>
          <t>NEGATIVA TAPPATA, NECESSITA INTERVENTO PONTEROSSO. SERVE PONTEGGIO PER ARRIVARE NELLE RADICI</t>
        </is>
      </c>
      <c r="R861" s="151" t="n">
        <v>45693</v>
      </c>
      <c r="S861" s="110" t="inlineStr">
        <is>
          <t>TARASCIO/PARTESANO</t>
        </is>
      </c>
      <c r="T861" s="109" t="inlineStr"/>
      <c r="U861" s="147" t="inlineStr"/>
    </row>
    <row r="862" ht="45" customHeight="1" s="122">
      <c r="A862" s="109" t="n"/>
      <c r="B862" s="109" t="n">
        <v>4</v>
      </c>
      <c r="C862" s="109" t="inlineStr"/>
      <c r="D862" s="109" t="inlineStr">
        <is>
          <t>AREA 3</t>
        </is>
      </c>
      <c r="E862" s="109" t="inlineStr">
        <is>
          <t>523461/C</t>
        </is>
      </c>
      <c r="F862" s="109" t="inlineStr">
        <is>
          <t>1400</t>
        </is>
      </c>
      <c r="G862" s="109" t="inlineStr">
        <is>
          <t xml:space="preserve"> 1400 - F005R(SWS A U1200 da T105/T101/T102) controllo funzionale</t>
        </is>
      </c>
      <c r="H862" s="109" t="n"/>
      <c r="I862" s="109" t="n"/>
      <c r="J862" s="109" t="n"/>
      <c r="K862" s="109" t="n"/>
      <c r="L862" s="109" t="n"/>
      <c r="M862" s="109" t="inlineStr">
        <is>
          <t>INTERROTTO</t>
        </is>
      </c>
      <c r="N862" s="109" t="n"/>
      <c r="O862" s="109" t="n"/>
      <c r="P862" s="109" t="inlineStr">
        <is>
          <t>X</t>
        </is>
      </c>
      <c r="Q862" s="109" t="inlineStr">
        <is>
          <t>prese di radice (sia positiva che negativa) risultano tappate e si necessita intervento da parte di PONTEROSSO. Le radici sono accessibili tramite un ponteggio già realizzato.</t>
        </is>
      </c>
      <c r="R862" s="151" t="n">
        <v>45688</v>
      </c>
      <c r="S862" s="109" t="inlineStr">
        <is>
          <t>TARASCIO/PARTESANO</t>
        </is>
      </c>
      <c r="T862" s="109" t="inlineStr"/>
      <c r="U862" s="109" t="inlineStr"/>
    </row>
    <row r="863" ht="30" customHeight="1" s="122">
      <c r="A863" s="109" t="n"/>
      <c r="B863" s="109" t="n">
        <v>4</v>
      </c>
      <c r="C863" s="109" t="inlineStr"/>
      <c r="D863" s="109" t="inlineStr">
        <is>
          <t>AREA 3</t>
        </is>
      </c>
      <c r="E863" s="109" t="inlineStr">
        <is>
          <t>523808/C</t>
        </is>
      </c>
      <c r="F863" s="109" t="inlineStr">
        <is>
          <t>1800</t>
        </is>
      </c>
      <c r="G863" s="109" t="inlineStr">
        <is>
          <t xml:space="preserve"> 1800 - LCV098R-  controllo funzionale</t>
        </is>
      </c>
      <c r="H863" s="109" t="n"/>
      <c r="I863" s="109" t="n"/>
      <c r="J863" s="109" t="n"/>
      <c r="K863" s="109" t="n"/>
      <c r="L863" s="109" t="n"/>
      <c r="M863" s="110" t="inlineStr">
        <is>
          <t>INTERROTTO</t>
        </is>
      </c>
      <c r="N863" s="110" t="n"/>
      <c r="O863" s="110" t="inlineStr">
        <is>
          <t>X</t>
        </is>
      </c>
      <c r="P863" s="110" t="n"/>
      <c r="Q863" s="110" t="inlineStr">
        <is>
          <t xml:space="preserve">PER ESEGUIRE IL CONTROLLO SI NECESSITA DEL PONTEGGIO. IN ATTESA DI PONTEGGIO </t>
        </is>
      </c>
      <c r="R863" s="151" t="n">
        <v>45687</v>
      </c>
      <c r="S863" s="110" t="inlineStr">
        <is>
          <t>SPINALI</t>
        </is>
      </c>
      <c r="T863" s="109" t="inlineStr"/>
      <c r="U863" s="109" t="inlineStr"/>
    </row>
    <row r="864" ht="30" customHeight="1" s="122">
      <c r="A864" s="109" t="n"/>
      <c r="B864" s="109" t="n">
        <v>4</v>
      </c>
      <c r="C864" s="109" t="inlineStr"/>
      <c r="D864" s="109" t="inlineStr">
        <is>
          <t>AREA 3</t>
        </is>
      </c>
      <c r="E864" s="109" t="inlineStr">
        <is>
          <t>523807/C</t>
        </is>
      </c>
      <c r="F864" s="109" t="inlineStr">
        <is>
          <t>1800</t>
        </is>
      </c>
      <c r="G864" s="109" t="inlineStr">
        <is>
          <t xml:space="preserve"> 1800 - LCV053R-  controllo funzionale</t>
        </is>
      </c>
      <c r="H864" s="109" t="n"/>
      <c r="I864" s="109" t="n"/>
      <c r="J864" s="109" t="n"/>
      <c r="K864" s="109" t="n"/>
      <c r="L864" s="109" t="n"/>
      <c r="M864" s="110" t="inlineStr">
        <is>
          <t>INTERROTTO</t>
        </is>
      </c>
      <c r="N864" s="110" t="n"/>
      <c r="O864" s="110" t="inlineStr">
        <is>
          <t>X</t>
        </is>
      </c>
      <c r="P864" s="110" t="n"/>
      <c r="Q864" s="110" t="inlineStr">
        <is>
          <t xml:space="preserve">PER ESEGUIRE IL CONTROLLO SI NECESSITA DEL PONTEGGIO. IN ATTESA DI PONTEGGIO </t>
        </is>
      </c>
      <c r="R864" s="151" t="n">
        <v>45687</v>
      </c>
      <c r="S864" s="110" t="inlineStr">
        <is>
          <t>SPINALI</t>
        </is>
      </c>
      <c r="T864" s="109" t="inlineStr"/>
      <c r="U864" s="109" t="inlineStr"/>
    </row>
    <row r="865" ht="30" customHeight="1" s="122">
      <c r="A865" s="109" t="n"/>
      <c r="B865" s="109" t="n">
        <v>4</v>
      </c>
      <c r="C865" s="109" t="inlineStr"/>
      <c r="D865" s="109" t="inlineStr">
        <is>
          <t>AREA 3</t>
        </is>
      </c>
      <c r="E865" s="109" t="inlineStr">
        <is>
          <t>523806/C</t>
        </is>
      </c>
      <c r="F865" s="109" t="inlineStr">
        <is>
          <t>1800</t>
        </is>
      </c>
      <c r="G865" s="109" t="inlineStr">
        <is>
          <t xml:space="preserve"> 1800 - LCV029R controllo funzionale</t>
        </is>
      </c>
      <c r="H865" s="109" t="n"/>
      <c r="I865" s="109" t="n"/>
      <c r="J865" s="109" t="n"/>
      <c r="K865" s="109" t="n"/>
      <c r="L865" s="109" t="n"/>
      <c r="M865" s="110" t="inlineStr">
        <is>
          <t>INTERROTTO</t>
        </is>
      </c>
      <c r="N865" s="110" t="n"/>
      <c r="O865" s="110" t="inlineStr">
        <is>
          <t>X</t>
        </is>
      </c>
      <c r="P865" s="110" t="n"/>
      <c r="Q865" s="110" t="inlineStr">
        <is>
          <t xml:space="preserve">PER ESEGUIRE IL CONTROLLO SI NECESSITA DEL PONTEGGIO. IN ATTESA DI PONTEGGIO </t>
        </is>
      </c>
      <c r="R865" s="151" t="n">
        <v>45687</v>
      </c>
      <c r="S865" s="110" t="inlineStr">
        <is>
          <t>SPINALI</t>
        </is>
      </c>
      <c r="T865" s="109" t="inlineStr"/>
      <c r="U865" s="109" t="inlineStr"/>
    </row>
    <row r="866" ht="45" customHeight="1" s="122">
      <c r="A866" s="109" t="n"/>
      <c r="B866" s="108" t="n">
        <v>4</v>
      </c>
      <c r="C866" s="109" t="inlineStr"/>
      <c r="D866" s="109" t="inlineStr">
        <is>
          <t>AREA 3</t>
        </is>
      </c>
      <c r="E866" s="109" t="inlineStr">
        <is>
          <t>523442/C</t>
        </is>
      </c>
      <c r="F866" s="109" t="inlineStr">
        <is>
          <t>1400</t>
        </is>
      </c>
      <c r="G866" s="109" t="inlineStr">
        <is>
          <t xml:space="preserve"> 1400 - F009R ( SWS a U 1200) controllo funzionale</t>
        </is>
      </c>
      <c r="H866" s="109" t="n"/>
      <c r="I866" s="109" t="n"/>
      <c r="J866" s="109" t="n"/>
      <c r="K866" s="109" t="n"/>
      <c r="L866" s="109" t="n"/>
      <c r="M866" s="110" t="inlineStr">
        <is>
          <t>INTERROTTO</t>
        </is>
      </c>
      <c r="N866" s="110" t="n"/>
      <c r="O866" s="110" t="n"/>
      <c r="P866" s="110" t="inlineStr">
        <is>
          <t>X</t>
        </is>
      </c>
      <c r="Q866" s="110" t="inlineStr">
        <is>
          <t>RADICE NEGATIVA INTERCETTATA POICHE' TAPPATA. DA STASARE CON PONTEROSSO.
TRACCIA VAPORE DA RICOLLEGARE E TUTTO DA COIBENTARE.</t>
        </is>
      </c>
      <c r="R866" s="151" t="n">
        <v>45686</v>
      </c>
      <c r="S866" s="110" t="inlineStr">
        <is>
          <t>TARASCIO</t>
        </is>
      </c>
      <c r="T866" s="109" t="inlineStr"/>
      <c r="U866" s="147" t="inlineStr"/>
    </row>
    <row r="867" ht="45" customHeight="1" s="122">
      <c r="A867" s="109" t="n"/>
      <c r="B867" s="108" t="n">
        <v>4</v>
      </c>
      <c r="C867" s="109" t="inlineStr"/>
      <c r="D867" s="109" t="inlineStr">
        <is>
          <t>AREA 3</t>
        </is>
      </c>
      <c r="E867" s="109" t="inlineStr">
        <is>
          <t>521580/C</t>
        </is>
      </c>
      <c r="F867" s="109" t="inlineStr">
        <is>
          <t>700A</t>
        </is>
      </c>
      <c r="G867" s="109" t="inlineStr">
        <is>
          <t xml:space="preserve"> 700A: 07T206R ripristino funzionale</t>
        </is>
      </c>
      <c r="H867" s="109" t="n"/>
      <c r="I867" s="109" t="n"/>
      <c r="J867" s="109" t="n"/>
      <c r="K867" s="109" t="n"/>
      <c r="L867" s="109" t="n"/>
      <c r="M867" s="110" t="inlineStr">
        <is>
          <t>INTERROTTO</t>
        </is>
      </c>
      <c r="N867" s="110" t="inlineStr">
        <is>
          <t>X</t>
        </is>
      </c>
      <c r="O867" s="110" t="n"/>
      <c r="P867" s="110" t="n"/>
      <c r="Q867" s="110" t="inlineStr">
        <is>
          <t>TERMOELEMENTO E BARRIERA OK. DOPPINO DEL MULTICAVO APERTO. PROVATI SPARE ESITO NEGATIVO. DA RIPRISTINARE MULTICAVO IN FERMATA.</t>
        </is>
      </c>
      <c r="R867" s="151" t="n">
        <v>45674</v>
      </c>
      <c r="S867" s="110" t="inlineStr">
        <is>
          <t>SPINALI</t>
        </is>
      </c>
      <c r="T867" s="109" t="inlineStr"/>
      <c r="U867" s="147" t="inlineStr"/>
    </row>
    <row r="868" ht="60" customHeight="1" s="122">
      <c r="A868" s="109" t="n"/>
      <c r="B868" s="109" t="n">
        <v>4</v>
      </c>
      <c r="C868" s="109" t="inlineStr"/>
      <c r="D868" s="109" t="inlineStr">
        <is>
          <t>AREA 3</t>
        </is>
      </c>
      <c r="E868" s="109" t="inlineStr">
        <is>
          <t>521574/C</t>
        </is>
      </c>
      <c r="F868" s="109" t="inlineStr">
        <is>
          <t>700/A</t>
        </is>
      </c>
      <c r="G868" s="109" t="inlineStr">
        <is>
          <t xml:space="preserve"> 10214486   - 700A: 07T2019Iriflusso T201 ripristino funzionale. </t>
        </is>
      </c>
      <c r="H868" s="109" t="n"/>
      <c r="I868" s="109" t="n"/>
      <c r="J868" s="109" t="n"/>
      <c r="K868" s="109" t="n"/>
      <c r="L868" s="109" t="n"/>
      <c r="M868" s="109" t="inlineStr">
        <is>
          <t>INTERROTTO</t>
        </is>
      </c>
      <c r="N868" s="109" t="inlineStr">
        <is>
          <t>X</t>
        </is>
      </c>
      <c r="O868" s="109" t="n"/>
      <c r="P868" s="109" t="n"/>
      <c r="Q868" s="109" t="inlineStr">
        <is>
          <t>CASSETTA TH6 IN PESSIMO STATO E MULTICAVO CON TARGHETTA 'KO'. DA RIFARE INTERA CASSETTA INOLTRE, NON RISULTANO SPARE DISPONIBILI. TERMOELEMENTO E' FUNZIONANTE.
DA RIPRISTINARE IL TUTTO IN FERMATA.</t>
        </is>
      </c>
      <c r="R868" s="151" t="n">
        <v>45679</v>
      </c>
      <c r="S868" s="109" t="inlineStr">
        <is>
          <t>SPINALI</t>
        </is>
      </c>
      <c r="T868" s="109" t="inlineStr"/>
      <c r="U868" s="109" t="inlineStr">
        <is>
          <t xml:space="preserve"> 1021448</t>
        </is>
      </c>
    </row>
    <row r="869" ht="90" customHeight="1" s="122">
      <c r="A869" s="109" t="n"/>
      <c r="B869" s="109" t="n">
        <v>4</v>
      </c>
      <c r="C869" s="109" t="inlineStr"/>
      <c r="D869" s="109" t="inlineStr">
        <is>
          <t>AREA 3</t>
        </is>
      </c>
      <c r="E869" s="109" t="inlineStr">
        <is>
          <t>522095/C</t>
        </is>
      </c>
      <c r="F869" s="109" t="inlineStr">
        <is>
          <t>800</t>
        </is>
      </c>
      <c r="G869" s="109" t="inlineStr">
        <is>
          <t xml:space="preserve"> 800 - VERIFICA FUNZIONAMENTO E TARATURA 08F120RC</t>
        </is>
      </c>
      <c r="H869" s="109" t="n"/>
      <c r="I869" s="109" t="n"/>
      <c r="J869" s="109" t="n"/>
      <c r="K869" s="109" t="n"/>
      <c r="L869" s="109" t="n"/>
      <c r="M869" s="109" t="inlineStr">
        <is>
          <t>INTERROTTO</t>
        </is>
      </c>
      <c r="N869" s="109" t="n"/>
      <c r="O869" s="109" t="inlineStr">
        <is>
          <t>X</t>
        </is>
      </c>
      <c r="P869" s="109" t="n"/>
      <c r="Q869" s="109" t="inlineStr">
        <is>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is>
      </c>
      <c r="R869" s="151" t="n">
        <v>45679</v>
      </c>
      <c r="S869" s="109" t="inlineStr">
        <is>
          <t>SPINALI</t>
        </is>
      </c>
      <c r="T869" s="109" t="inlineStr"/>
      <c r="U869" s="109" t="inlineStr"/>
    </row>
    <row r="870" ht="30" customHeight="1" s="122">
      <c r="A870" s="109" t="n"/>
      <c r="B870" s="108" t="n">
        <v>4</v>
      </c>
      <c r="C870" s="109" t="inlineStr"/>
      <c r="D870" s="109" t="inlineStr">
        <is>
          <t>AREA 3</t>
        </is>
      </c>
      <c r="E870" s="109" t="inlineStr">
        <is>
          <t>521570/C</t>
        </is>
      </c>
      <c r="F870" s="109" t="inlineStr">
        <is>
          <t>2400</t>
        </is>
      </c>
      <c r="G870" s="109" t="inlineStr">
        <is>
          <t>10212837 10212837   2400: revisione LCV606</t>
        </is>
      </c>
      <c r="H870" s="109" t="n"/>
      <c r="I870" s="109" t="n"/>
      <c r="J870" s="109" t="n"/>
      <c r="K870" s="109" t="n"/>
      <c r="L870" s="109" t="n"/>
      <c r="M870" s="110" t="inlineStr">
        <is>
          <t>INTERROTTO</t>
        </is>
      </c>
      <c r="N870" s="110" t="inlineStr">
        <is>
          <t>X</t>
        </is>
      </c>
      <c r="O870" s="110" t="n"/>
      <c r="P870" s="110" t="n"/>
      <c r="Q870" s="110" t="inlineStr">
        <is>
          <t>IN ATTESA CHE ESE POSSA CONSEGNARE A MAN LA VALVOLA: DA SMONTARE E REVISIONARE.</t>
        </is>
      </c>
      <c r="R870" s="151" t="n"/>
      <c r="S870" s="110" t="n"/>
      <c r="T870" s="109" t="inlineStr"/>
      <c r="U870" s="147" t="inlineStr">
        <is>
          <t>10212837</t>
        </is>
      </c>
    </row>
    <row r="871" ht="45" customHeight="1" s="122">
      <c r="A871" s="109" t="n"/>
      <c r="B871" s="109" t="n">
        <v>4</v>
      </c>
      <c r="C871" s="109" t="inlineStr"/>
      <c r="D871" s="109" t="inlineStr">
        <is>
          <t>AREA 3</t>
        </is>
      </c>
      <c r="E871" s="109" t="inlineStr">
        <is>
          <t>519186/C</t>
        </is>
      </c>
      <c r="F871" s="109" t="inlineStr">
        <is>
          <t>1200/M</t>
        </is>
      </c>
      <c r="G871" s="109" t="inlineStr">
        <is>
          <t xml:space="preserve"> ZMF716R ( vapore b.pressione maxi) , strumento a fondo scala controllo funzionale</t>
        </is>
      </c>
      <c r="H871" s="109" t="n"/>
      <c r="I871" s="109" t="n"/>
      <c r="J871" s="109" t="n"/>
      <c r="K871" s="109" t="n"/>
      <c r="L871" s="109" t="n"/>
      <c r="M871" s="109" t="inlineStr">
        <is>
          <t>INTERROTTO</t>
        </is>
      </c>
      <c r="N871" s="109" t="n"/>
      <c r="O871" s="109" t="inlineStr">
        <is>
          <t>X</t>
        </is>
      </c>
      <c r="P871" s="109" t="inlineStr">
        <is>
          <t>X</t>
        </is>
      </c>
      <c r="Q871" s="109" t="inlineStr">
        <is>
          <t>TENTATIVO DI STASATURA CON POMPA AD ALTA PRESSIONE NON RIUSCITO. NECESSITA PONTEGGIO PER INTERCETTO VALVOLE DI RADICE.</t>
        </is>
      </c>
      <c r="R871" s="151" t="n">
        <v>45645</v>
      </c>
      <c r="S871" s="109" t="inlineStr">
        <is>
          <t>SPINALI</t>
        </is>
      </c>
      <c r="T871" s="109" t="inlineStr"/>
      <c r="U871" s="109" t="inlineStr"/>
    </row>
    <row r="872">
      <c r="A872" s="109" t="n"/>
      <c r="B872" s="108" t="n">
        <v>4</v>
      </c>
      <c r="C872" s="109" t="inlineStr"/>
      <c r="D872" s="109" t="inlineStr">
        <is>
          <t>AREA 3</t>
        </is>
      </c>
      <c r="E872" s="109" t="inlineStr">
        <is>
          <t>520152/C</t>
        </is>
      </c>
      <c r="F872" s="109" t="inlineStr">
        <is>
          <t>1200/1</t>
        </is>
      </c>
      <c r="G872" s="109" t="inlineStr">
        <is>
          <t xml:space="preserve"> 1200/1 - F101 CONTROLLO FUNZIONALE  FOTOCELLULA </t>
        </is>
      </c>
      <c r="H872" s="109" t="n"/>
      <c r="I872" s="109" t="n"/>
      <c r="J872" s="109" t="n"/>
      <c r="K872" s="109" t="n"/>
      <c r="L872" s="109" t="n"/>
      <c r="M872" s="109" t="inlineStr">
        <is>
          <t>INTERROTTO</t>
        </is>
      </c>
      <c r="N872" s="109" t="inlineStr">
        <is>
          <t>X</t>
        </is>
      </c>
      <c r="O872" s="109" t="n"/>
      <c r="P872" s="109" t="n"/>
      <c r="Q872" s="109" t="inlineStr">
        <is>
          <t>FOTOCELLULA GUASTA, IN ATTESA DI RICAMBIO</t>
        </is>
      </c>
      <c r="R872" s="151" t="n">
        <v>45642</v>
      </c>
      <c r="S872" s="109" t="inlineStr">
        <is>
          <t>SPINALI D.</t>
        </is>
      </c>
      <c r="T872" s="109" t="inlineStr"/>
      <c r="U872" s="109" t="inlineStr"/>
    </row>
    <row r="873" ht="45" customHeight="1" s="122">
      <c r="A873" s="109" t="n"/>
      <c r="B873" s="109" t="n">
        <v>4</v>
      </c>
      <c r="C873" s="109" t="inlineStr"/>
      <c r="D873" s="109" t="inlineStr">
        <is>
          <t>AREA 3</t>
        </is>
      </c>
      <c r="E873" s="109" t="inlineStr">
        <is>
          <t>517624/C</t>
        </is>
      </c>
      <c r="F873" s="109" t="inlineStr">
        <is>
          <t>1200/0</t>
        </is>
      </c>
      <c r="G873" s="109" t="inlineStr">
        <is>
          <t xml:space="preserve"> 1200/0: VERIFICA FUNZIONAM 966A</t>
        </is>
      </c>
      <c r="H873" s="109" t="n"/>
      <c r="I873" s="109" t="n"/>
      <c r="J873" s="109" t="n"/>
      <c r="K873" s="109" t="n"/>
      <c r="L873" s="109" t="n"/>
      <c r="M873" s="109" t="inlineStr">
        <is>
          <t>INTERROTTO</t>
        </is>
      </c>
      <c r="N873" s="109" t="inlineStr">
        <is>
          <t>X</t>
        </is>
      </c>
      <c r="O873" s="109" t="n"/>
      <c r="P873" s="109" t="n"/>
      <c r="Q873" s="109" t="inlineStr">
        <is>
          <t>POSIZIONATORE GUASTO. IN ATTESA CHE ESERCIZIO CI DIA LA VALVOLA POTENDO FARE AUTOTUNING SU NUOVO POSIZIONATORE (ESCURSIONI DI APERTURA E CHIUSURA)</t>
        </is>
      </c>
      <c r="R873" s="151" t="n">
        <v>45629</v>
      </c>
      <c r="S873" s="109" t="inlineStr">
        <is>
          <t>GARRO L./GARRO S.</t>
        </is>
      </c>
      <c r="T873" s="109" t="inlineStr"/>
      <c r="U873" s="109" t="inlineStr"/>
    </row>
    <row r="874" ht="45" customHeight="1" s="122">
      <c r="A874" s="109" t="n"/>
      <c r="B874" s="108" t="n">
        <v>4</v>
      </c>
      <c r="C874" s="109" t="inlineStr"/>
      <c r="D874" s="109" t="inlineStr">
        <is>
          <t>AREA 3</t>
        </is>
      </c>
      <c r="E874" s="109" t="inlineStr">
        <is>
          <t>517626/C</t>
        </is>
      </c>
      <c r="F874" s="109" t="inlineStr">
        <is>
          <t>1200/0</t>
        </is>
      </c>
      <c r="G874" s="109" t="inlineStr">
        <is>
          <t xml:space="preserve"> 1200/0 - VERIFICA FUNZIONAM 966B      </t>
        </is>
      </c>
      <c r="H874" s="109" t="n"/>
      <c r="I874" s="109" t="n"/>
      <c r="J874" s="109" t="n"/>
      <c r="K874" s="109" t="n"/>
      <c r="L874" s="109" t="n"/>
      <c r="M874" s="110" t="inlineStr">
        <is>
          <t>INTERROTTO</t>
        </is>
      </c>
      <c r="N874" s="110" t="inlineStr">
        <is>
          <t>X</t>
        </is>
      </c>
      <c r="O874" s="110" t="n"/>
      <c r="P874" s="110" t="n"/>
      <c r="Q874" s="110" t="inlineStr">
        <is>
          <t>POSIZIONATORE GUASTO. IN ATTESA CHE ESERCIZIO CI DIA LA VALVOLA POTENDO FARE AUTOTUNING SU NUOVO POSIZIONATORE (ESCURSIONI DI APERTURA E CHIUSURA)</t>
        </is>
      </c>
      <c r="R874" s="151" t="n">
        <v>45636</v>
      </c>
      <c r="S874" s="110" t="inlineStr">
        <is>
          <t>GARRO L./GARRO S.</t>
        </is>
      </c>
      <c r="T874" s="109" t="inlineStr"/>
      <c r="U874" s="147" t="inlineStr"/>
    </row>
    <row r="875" ht="45" customHeight="1" s="122">
      <c r="A875" s="109" t="n"/>
      <c r="B875" s="108" t="n">
        <v>4</v>
      </c>
      <c r="C875" s="109" t="inlineStr"/>
      <c r="D875" s="109" t="inlineStr">
        <is>
          <t>AREA 3</t>
        </is>
      </c>
      <c r="E875" s="109" t="inlineStr">
        <is>
          <t>517627/C</t>
        </is>
      </c>
      <c r="F875" s="109" t="inlineStr">
        <is>
          <t>1200/0</t>
        </is>
      </c>
      <c r="G875" s="109" t="inlineStr">
        <is>
          <t xml:space="preserve"> 1200/0: VERIFICA FUNZIONAM 967A      </t>
        </is>
      </c>
      <c r="H875" s="109" t="n"/>
      <c r="I875" s="109" t="n"/>
      <c r="J875" s="109" t="n"/>
      <c r="K875" s="109" t="n"/>
      <c r="L875" s="109" t="n"/>
      <c r="M875" s="110" t="inlineStr">
        <is>
          <t>INTERROTTO</t>
        </is>
      </c>
      <c r="N875" s="110" t="inlineStr">
        <is>
          <t>X</t>
        </is>
      </c>
      <c r="O875" s="110" t="n"/>
      <c r="P875" s="110" t="n"/>
      <c r="Q875" s="110" t="inlineStr">
        <is>
          <t>POSIZIONATORE GUASTO. IN ATTESA CHE ESERCIZIO CI DIA LA VALVOLA POTENDO FARE AUTOTUNING SU NUOVO POSIZIONATORE (ESCURSIONI DI APERTURA E CHIUSURA)</t>
        </is>
      </c>
      <c r="R875" s="151" t="n">
        <v>45629</v>
      </c>
      <c r="S875" s="110" t="inlineStr">
        <is>
          <t>GARRO L./GARRO S.</t>
        </is>
      </c>
      <c r="T875" s="109" t="inlineStr"/>
      <c r="U875" s="147" t="inlineStr"/>
    </row>
    <row r="876" ht="45" customHeight="1" s="122">
      <c r="A876" s="109" t="n"/>
      <c r="B876" s="108" t="n">
        <v>4</v>
      </c>
      <c r="C876" s="109" t="inlineStr"/>
      <c r="D876" s="109" t="inlineStr">
        <is>
          <t>AREA 3</t>
        </is>
      </c>
      <c r="E876" s="109" t="inlineStr">
        <is>
          <t>517628/C</t>
        </is>
      </c>
      <c r="F876" s="109" t="inlineStr">
        <is>
          <t>1200/0</t>
        </is>
      </c>
      <c r="G876" s="109" t="inlineStr">
        <is>
          <t xml:space="preserve"> 1200/0 - VERIFICA FUNZIONAM 967B     </t>
        </is>
      </c>
      <c r="H876" s="109" t="n"/>
      <c r="I876" s="109" t="n"/>
      <c r="J876" s="109" t="n"/>
      <c r="K876" s="109" t="n"/>
      <c r="L876" s="109" t="n"/>
      <c r="M876" s="110" t="inlineStr">
        <is>
          <t>INTERROTTO</t>
        </is>
      </c>
      <c r="N876" s="110" t="inlineStr">
        <is>
          <t>X</t>
        </is>
      </c>
      <c r="O876" s="110" t="n"/>
      <c r="P876" s="110" t="n"/>
      <c r="Q876" s="110" t="inlineStr">
        <is>
          <t>POSIZIONATORE GUASTO. IN ATTESA CHE ESERCIZIO CI DIA LA VALVOLA POTENDO FARE AUTOTUNING SU NUOVO POSIZIONATORE (ESCURSIONI DI APERTURA E CHIUSURA)</t>
        </is>
      </c>
      <c r="R876" s="151" t="n">
        <v>45636</v>
      </c>
      <c r="S876" s="110" t="inlineStr">
        <is>
          <t>GARRO L./GARRO S.</t>
        </is>
      </c>
      <c r="T876" s="109" t="inlineStr"/>
      <c r="U876" s="147" t="inlineStr"/>
    </row>
    <row r="877">
      <c r="A877" s="109" t="n"/>
      <c r="B877" s="108" t="n">
        <v>4</v>
      </c>
      <c r="C877" s="109" t="inlineStr"/>
      <c r="D877" s="109" t="inlineStr">
        <is>
          <t>AREA 3</t>
        </is>
      </c>
      <c r="E877" s="109" t="inlineStr">
        <is>
          <t>512355/C</t>
        </is>
      </c>
      <c r="F877" s="109" t="inlineStr">
        <is>
          <t>700</t>
        </is>
      </c>
      <c r="G877" s="109" t="inlineStr">
        <is>
          <t xml:space="preserve"> F300RC -TARATURA </t>
        </is>
      </c>
      <c r="H877" s="109" t="n"/>
      <c r="I877" s="109" t="n"/>
      <c r="J877" s="109" t="n"/>
      <c r="K877" s="109" t="n"/>
      <c r="L877" s="109" t="n"/>
      <c r="M877" s="110" t="inlineStr">
        <is>
          <t>INTERROTTO</t>
        </is>
      </c>
      <c r="N877" s="110" t="n"/>
      <c r="O877" s="110" t="inlineStr">
        <is>
          <t>X</t>
        </is>
      </c>
      <c r="P877" s="110" t="n"/>
      <c r="Q877" s="110" t="inlineStr">
        <is>
          <t>Necessita ponteggio per il controllo del trasmettitore.</t>
        </is>
      </c>
      <c r="R877" s="151" t="n">
        <v>45579</v>
      </c>
      <c r="S877" s="110" t="n"/>
      <c r="T877" s="109" t="inlineStr"/>
      <c r="U877" s="147" t="inlineStr"/>
    </row>
    <row r="878" ht="60" customHeight="1" s="122">
      <c r="A878" s="109" t="n"/>
      <c r="B878" s="109" t="n">
        <v>4</v>
      </c>
      <c r="C878" s="109" t="inlineStr"/>
      <c r="D878" s="109" t="inlineStr">
        <is>
          <t>AREA 3</t>
        </is>
      </c>
      <c r="E878" s="109" t="inlineStr">
        <is>
          <t>512975/C</t>
        </is>
      </c>
      <c r="F878" s="109" t="inlineStr">
        <is>
          <t>700</t>
        </is>
      </c>
      <c r="G878" s="109" t="inlineStr">
        <is>
          <t xml:space="preserve"> F220RC - SIGLA A DCS 07F220B</t>
        </is>
      </c>
      <c r="H878" s="109" t="n"/>
      <c r="I878" s="109" t="n"/>
      <c r="J878" s="109" t="n"/>
      <c r="K878" s="109" t="n"/>
      <c r="L878" s="109" t="n"/>
      <c r="M878" s="110" t="inlineStr">
        <is>
          <t>INTERROTTO</t>
        </is>
      </c>
      <c r="N878" s="110" t="inlineStr">
        <is>
          <t>X</t>
        </is>
      </c>
      <c r="O878" s="110" t="n"/>
      <c r="P878" s="110" t="n"/>
      <c r="Q878" s="110" t="inlineStr">
        <is>
          <t xml:space="preserve">F220BR: PROBLEMI NELLA MISURA AL DCS PER DOPPINO DA TX A JB IN DISPERSIONE.
DA PROGRAMMARE LA SOSTITUZIONE IN FERMATA.
F220AR: VALVOLA INTERCETTO POSITIVA NON FA' TENUTA.                    </t>
        </is>
      </c>
      <c r="R878" s="151" t="n">
        <v>45582</v>
      </c>
      <c r="S878" s="110" t="inlineStr">
        <is>
          <t>SPINALI/PARTESANO</t>
        </is>
      </c>
      <c r="T878" s="109" t="inlineStr"/>
      <c r="U878" s="147" t="inlineStr"/>
    </row>
    <row r="879">
      <c r="A879" s="109" t="n"/>
      <c r="B879" s="108" t="n">
        <v>4</v>
      </c>
      <c r="C879" s="109" t="inlineStr"/>
      <c r="D879" s="109" t="inlineStr">
        <is>
          <t>AREA 3</t>
        </is>
      </c>
      <c r="E879" s="109" t="inlineStr">
        <is>
          <t>507188/C</t>
        </is>
      </c>
      <c r="F879" s="109" t="inlineStr">
        <is>
          <t>1800</t>
        </is>
      </c>
      <c r="G879" s="109" t="inlineStr">
        <is>
          <t xml:space="preserve"> L405I Livello D116</t>
        </is>
      </c>
      <c r="H879" s="109" t="n"/>
      <c r="I879" s="109" t="n"/>
      <c r="J879" s="109" t="n"/>
      <c r="K879" s="109" t="n"/>
      <c r="L879" s="109" t="n"/>
      <c r="M879" s="110" t="inlineStr">
        <is>
          <t>INTERROTTO</t>
        </is>
      </c>
      <c r="N879" s="110" t="n"/>
      <c r="O879" s="110" t="inlineStr">
        <is>
          <t>X</t>
        </is>
      </c>
      <c r="P879" s="110" t="n"/>
      <c r="Q879" s="110" t="inlineStr">
        <is>
          <t>SERVE PONTEGGIO PER ACCEDERE ALLA TESTINA DI LIVELLO</t>
        </is>
      </c>
      <c r="R879" s="151" t="n">
        <v>45580</v>
      </c>
      <c r="S879" s="110" t="n"/>
      <c r="T879" s="109" t="inlineStr"/>
      <c r="U879" s="147" t="inlineStr"/>
    </row>
    <row r="880">
      <c r="A880" s="109" t="n"/>
      <c r="B880" s="108" t="n">
        <v>4</v>
      </c>
      <c r="C880" s="109" t="inlineStr"/>
      <c r="D880" s="109" t="inlineStr">
        <is>
          <t>AREA 3</t>
        </is>
      </c>
      <c r="E880" s="109" t="inlineStr">
        <is>
          <t>517066/C</t>
        </is>
      </c>
      <c r="F880" s="109" t="inlineStr">
        <is>
          <t>1200/2</t>
        </is>
      </c>
      <c r="G880" s="109" t="inlineStr">
        <is>
          <t xml:space="preserve"> 10211599   1200/2 B301SV2 - T402A/B - T407A/B CONTROLLO E RIPRISTINI SU F101</t>
        </is>
      </c>
      <c r="H880" s="109" t="n"/>
      <c r="I880" s="109" t="n"/>
      <c r="J880" s="109" t="n"/>
      <c r="K880" s="109" t="n"/>
      <c r="L880" s="109" t="n"/>
      <c r="M880" s="110" t="inlineStr">
        <is>
          <t>INTERROTTO</t>
        </is>
      </c>
      <c r="N880" s="110" t="n"/>
      <c r="O880" s="110" t="inlineStr">
        <is>
          <t>X</t>
        </is>
      </c>
      <c r="P880" s="110" t="n"/>
      <c r="Q880" s="110" t="inlineStr">
        <is>
          <t>NECESSITA PONTEGGIO PER CONTROLLO.</t>
        </is>
      </c>
      <c r="R880" s="151" t="n">
        <v>45616</v>
      </c>
      <c r="S880" s="110" t="n"/>
      <c r="T880" s="109" t="inlineStr"/>
      <c r="U880" s="147" t="inlineStr">
        <is>
          <t xml:space="preserve"> 1021159</t>
        </is>
      </c>
    </row>
    <row r="881" ht="30" customHeight="1" s="122">
      <c r="A881" s="109" t="n"/>
      <c r="B881" s="108" t="n">
        <v>4</v>
      </c>
      <c r="C881" s="109" t="inlineStr"/>
      <c r="D881" s="109" t="inlineStr">
        <is>
          <t>AREA 3</t>
        </is>
      </c>
      <c r="E881" s="109" t="inlineStr">
        <is>
          <t>516393/C</t>
        </is>
      </c>
      <c r="F881" s="109" t="inlineStr">
        <is>
          <t>1200/M</t>
        </is>
      </c>
      <c r="G881" s="109" t="inlineStr">
        <is>
          <t xml:space="preserve"> VERIFICA ZMP781R     </t>
        </is>
      </c>
      <c r="H881" s="109" t="n"/>
      <c r="I881" s="109" t="n"/>
      <c r="J881" s="109" t="n"/>
      <c r="K881" s="109" t="n"/>
      <c r="L881" s="109" t="n"/>
      <c r="M881" s="110" t="inlineStr">
        <is>
          <t>INTERROTTO</t>
        </is>
      </c>
      <c r="N881" s="110" t="n"/>
      <c r="O881" s="110" t="n"/>
      <c r="P881" s="110" t="inlineStr">
        <is>
          <t>X</t>
        </is>
      </c>
      <c r="Q881" s="110" t="inlineStr">
        <is>
          <t>PRESA TAPPATA. NECESSITA INTERVENTO PONTEROSSO.</t>
        </is>
      </c>
      <c r="R881" s="151" t="n">
        <v>45615</v>
      </c>
      <c r="S881" s="110" t="inlineStr">
        <is>
          <t>TARASCIO/PARTESANO</t>
        </is>
      </c>
      <c r="T881" s="109" t="inlineStr"/>
      <c r="U881" s="147" t="inlineStr"/>
    </row>
    <row r="882" ht="30" customHeight="1" s="122">
      <c r="A882" s="109" t="n"/>
      <c r="B882" s="108" t="n">
        <v>4</v>
      </c>
      <c r="C882" s="109" t="inlineStr"/>
      <c r="D882" s="109" t="inlineStr">
        <is>
          <t>AREA 3</t>
        </is>
      </c>
      <c r="E882" s="109" t="inlineStr">
        <is>
          <t>515273/C</t>
        </is>
      </c>
      <c r="F882" s="109" t="inlineStr">
        <is>
          <t>1200/3</t>
        </is>
      </c>
      <c r="G882" s="109" t="inlineStr">
        <is>
          <t xml:space="preserve"> PR1: 1200/3 RIPRISTINO LIVELLOSTATI D102 L303LA-L303HA </t>
        </is>
      </c>
      <c r="H882" s="109" t="n"/>
      <c r="I882" s="109" t="n"/>
      <c r="J882" s="109" t="n"/>
      <c r="K882" s="109" t="n"/>
      <c r="L882" s="109" t="n"/>
      <c r="M882" s="110" t="inlineStr">
        <is>
          <t>INTERROTTO</t>
        </is>
      </c>
      <c r="N882" s="110" t="inlineStr">
        <is>
          <t>X</t>
        </is>
      </c>
      <c r="O882" s="110" t="n"/>
      <c r="P882" s="110" t="n"/>
      <c r="Q882" s="110" t="inlineStr">
        <is>
          <t>SI ATTENDE BONIFICA LIVELLOSTATI DA PARTE ESERCIZIO PER POTER LAVORARE.</t>
        </is>
      </c>
      <c r="R882" s="151" t="n">
        <v>45595</v>
      </c>
      <c r="S882" s="110" t="inlineStr">
        <is>
          <t>TARASCIO/PARTESANO</t>
        </is>
      </c>
      <c r="T882" s="109" t="inlineStr"/>
      <c r="U882" s="147" t="inlineStr">
        <is>
          <t>1: 1200/</t>
        </is>
      </c>
    </row>
    <row r="883" ht="45" customHeight="1" s="122">
      <c r="A883" s="109" t="n"/>
      <c r="B883" s="109" t="n">
        <v>4</v>
      </c>
      <c r="C883" s="109" t="inlineStr"/>
      <c r="D883" s="109" t="inlineStr">
        <is>
          <t>AREA 3</t>
        </is>
      </c>
      <c r="E883" s="109" t="inlineStr">
        <is>
          <t>520900/C</t>
        </is>
      </c>
      <c r="F883" s="109" t="inlineStr">
        <is>
          <t>1200/2</t>
        </is>
      </c>
      <c r="G883" s="109" t="inlineStr">
        <is>
          <t xml:space="preserve"> 10213784   1200/2: RIPRISTINO PCV310</t>
        </is>
      </c>
      <c r="H883" s="109" t="n"/>
      <c r="I883" s="109" t="n"/>
      <c r="J883" s="109" t="n"/>
      <c r="K883" s="109" t="n"/>
      <c r="L883" s="109" t="n"/>
      <c r="M883" s="109" t="inlineStr">
        <is>
          <t>INTERROTTO</t>
        </is>
      </c>
      <c r="N883" s="109" t="inlineStr">
        <is>
          <t>X</t>
        </is>
      </c>
      <c r="O883" s="109" t="n"/>
      <c r="P883" s="109" t="n"/>
      <c r="Q883" s="109" t="inlineStr">
        <is>
          <t>LA VALVOLA FUNZIONA DAL 50% AL 100%, NON VA IN CHIUSURA, SERVE LA REVISIONE IN OFFICINA. NON AVENDO INTERCETTI, PER SMONTARLA SI DEVE FERMARE LA SOFFIANTE.</t>
        </is>
      </c>
      <c r="R883" s="151" t="n">
        <v>45664</v>
      </c>
      <c r="S883" s="109" t="inlineStr">
        <is>
          <t>SPINALI/MANSERVIGI</t>
        </is>
      </c>
      <c r="T883" s="109" t="inlineStr"/>
      <c r="U883" s="109" t="inlineStr">
        <is>
          <t xml:space="preserve"> 1021378</t>
        </is>
      </c>
    </row>
    <row r="884" ht="30" customHeight="1" s="122">
      <c r="A884" s="109" t="n"/>
      <c r="B884" s="108" t="n"/>
      <c r="C884" s="109" t="inlineStr"/>
      <c r="D884" s="109" t="inlineStr">
        <is>
          <t>AREA 3</t>
        </is>
      </c>
      <c r="E884" s="109" t="inlineStr">
        <is>
          <t>542710/C</t>
        </is>
      </c>
      <c r="F884" s="109" t="inlineStr">
        <is>
          <t>800</t>
        </is>
      </c>
      <c r="G884" s="109" t="inlineStr">
        <is>
          <t>10226577   800: RIPR E CONFIG FLUSSIMETRI MC101A SMONTAGGIO/RIMONTAGGIO PER REVISIONE</t>
        </is>
      </c>
      <c r="H884" s="109" t="n"/>
      <c r="I884" s="109" t="n"/>
      <c r="J884" s="109" t="n"/>
      <c r="K884" s="109" t="n"/>
      <c r="L884" s="109" t="n"/>
      <c r="M884" s="110" t="inlineStr">
        <is>
          <t>INTERROTTO</t>
        </is>
      </c>
      <c r="N884" s="110" t="n"/>
      <c r="O884" s="110" t="n"/>
      <c r="P884" s="110" t="n"/>
      <c r="Q884" s="110" t="inlineStr">
        <is>
          <t>IN ATTESA RICAMBIO</t>
        </is>
      </c>
      <c r="R884" s="151" t="n">
        <v>45848</v>
      </c>
      <c r="S884" s="110" t="inlineStr">
        <is>
          <t>MILLO</t>
        </is>
      </c>
      <c r="T884" s="109" t="inlineStr"/>
      <c r="U884" s="147" t="inlineStr">
        <is>
          <t>10226577</t>
        </is>
      </c>
    </row>
    <row r="885" ht="45" customHeight="1" s="122">
      <c r="A885" s="109" t="n"/>
      <c r="B885" s="109" t="n">
        <v>3</v>
      </c>
      <c r="C885" s="109" t="inlineStr"/>
      <c r="D885" s="109" t="inlineStr">
        <is>
          <t>AREA 3</t>
        </is>
      </c>
      <c r="E885" s="109" t="inlineStr">
        <is>
          <t>540300/C</t>
        </is>
      </c>
      <c r="F885" s="109" t="inlineStr">
        <is>
          <t>1400</t>
        </is>
      </c>
      <c r="G885" s="109" t="inlineStr">
        <is>
          <t>10224411 1400 - RIPRISTINO FR OO4 SWS GAS DA TESTA 1400-D104 A LINEE ZOLFO</t>
        </is>
      </c>
      <c r="H885" s="109" t="n"/>
      <c r="I885" s="109" t="n"/>
      <c r="J885" s="109" t="n"/>
      <c r="K885" s="109" t="n"/>
      <c r="L885" s="109" t="n"/>
      <c r="M885" s="109" t="inlineStr">
        <is>
          <t>INTERROTTO</t>
        </is>
      </c>
      <c r="N885" s="109" t="n"/>
      <c r="O885" s="109" t="inlineStr">
        <is>
          <t>X</t>
        </is>
      </c>
      <c r="P885" s="109" t="inlineStr">
        <is>
          <t>X</t>
        </is>
      </c>
      <c r="Q885" s="109" t="inlineStr">
        <is>
          <t>VALVOLE TAPPATE, PROVATE CON POMPA ALTA PRESSIONE CON ESITO NEGATIVO. SERVE PONTEGGIO PER STASARE A CURA PONTEROSSO</t>
        </is>
      </c>
      <c r="R885" s="151" t="n">
        <v>45824</v>
      </c>
      <c r="S885" s="109" t="inlineStr">
        <is>
          <t>TARASCIO/PARTESANO</t>
        </is>
      </c>
      <c r="T885" s="109" t="inlineStr"/>
      <c r="U885" s="109" t="inlineStr">
        <is>
          <t>10224411</t>
        </is>
      </c>
    </row>
    <row r="886">
      <c r="A886" s="109" t="n"/>
      <c r="B886" s="109" t="n"/>
      <c r="C886" s="109" t="inlineStr"/>
      <c r="D886" s="109" t="inlineStr">
        <is>
          <t>AREA 3</t>
        </is>
      </c>
      <c r="E886" s="109" t="inlineStr">
        <is>
          <t>547314/C</t>
        </is>
      </c>
      <c r="F886" s="109" t="inlineStr">
        <is>
          <t>1400</t>
        </is>
      </c>
      <c r="G886" s="109" t="inlineStr">
        <is>
          <t>1400 L001RB CONTROLLO FUNZIONALE</t>
        </is>
      </c>
      <c r="H886" s="109" t="n"/>
      <c r="I886" s="109" t="n"/>
      <c r="J886" s="109" t="n"/>
      <c r="K886" s="109" t="n"/>
      <c r="L886" s="109" t="n"/>
      <c r="M886" s="109" t="inlineStr">
        <is>
          <t>TERMINATA</t>
        </is>
      </c>
      <c r="N886" s="109" t="n"/>
      <c r="O886" s="109" t="n"/>
      <c r="P886" s="109" t="n"/>
      <c r="Q886" s="109" t="inlineStr">
        <is>
          <t xml:space="preserve">Nessuna anomalia riscontrata.Effettuato allineamento sala controllo. </t>
        </is>
      </c>
      <c r="R886" s="151" t="n"/>
      <c r="S886" s="109" t="inlineStr">
        <is>
          <t>TARASCIO</t>
        </is>
      </c>
      <c r="T886" s="109" t="inlineStr"/>
      <c r="U886" s="109" t="inlineStr"/>
    </row>
    <row r="887">
      <c r="A887" s="109" t="n"/>
      <c r="B887" s="109" t="inlineStr">
        <is>
          <t>X</t>
        </is>
      </c>
      <c r="C887" s="109" t="inlineStr"/>
      <c r="D887" s="109" t="inlineStr">
        <is>
          <t>CTE</t>
        </is>
      </c>
      <c r="E887" s="109" t="inlineStr">
        <is>
          <t>536183/C</t>
        </is>
      </c>
      <c r="F887" s="109" t="inlineStr">
        <is>
          <t>2600</t>
        </is>
      </c>
      <c r="G887" s="109" t="inlineStr">
        <is>
          <t>2600-XV1135 RIMONTAGGIO VALVOLA</t>
        </is>
      </c>
      <c r="H887" s="109" t="n"/>
      <c r="I887" s="109" t="n"/>
      <c r="J887" s="109" t="n"/>
      <c r="K887" s="109" t="n"/>
      <c r="L887" s="109" t="n"/>
      <c r="M887" s="109" t="inlineStr">
        <is>
          <t>DA CHIUDERE</t>
        </is>
      </c>
      <c r="N887" s="109" t="n"/>
      <c r="O887" s="109" t="n"/>
      <c r="P887" s="109" t="n"/>
      <c r="Q887" s="109" t="inlineStr">
        <is>
          <t>ESEGUITO RIMONTAGGIO</t>
        </is>
      </c>
      <c r="R887" s="151" t="n">
        <v>45789</v>
      </c>
      <c r="S887" s="109" t="inlineStr">
        <is>
          <t>SAGGIO</t>
        </is>
      </c>
      <c r="T887" s="109" t="inlineStr"/>
      <c r="U887" s="109" t="inlineStr"/>
    </row>
    <row r="888">
      <c r="A888" s="109" t="n"/>
      <c r="B888" s="108" t="inlineStr">
        <is>
          <t>X</t>
        </is>
      </c>
      <c r="C888" s="109" t="inlineStr"/>
      <c r="D888" s="109" t="inlineStr">
        <is>
          <t>CTE</t>
        </is>
      </c>
      <c r="E888" s="109" t="inlineStr">
        <is>
          <t>532009/C</t>
        </is>
      </c>
      <c r="F888" s="109" t="inlineStr">
        <is>
          <t>2600</t>
        </is>
      </c>
      <c r="G888" s="109" t="inlineStr">
        <is>
          <t>2600 - 2600PCV953 serraggio premi treccia</t>
        </is>
      </c>
      <c r="H888" s="109" t="n"/>
      <c r="I888" s="109" t="n"/>
      <c r="J888" s="109" t="n"/>
      <c r="K888" s="109" t="n"/>
      <c r="L888" s="109" t="n"/>
      <c r="M888" s="110" t="inlineStr">
        <is>
          <t>DA CHIUDERE</t>
        </is>
      </c>
      <c r="N888" s="110" t="n"/>
      <c r="O888" s="110" t="n"/>
      <c r="P888" s="110" t="n"/>
      <c r="Q888" s="110" t="n"/>
      <c r="R888" s="151" t="n"/>
      <c r="S888" s="110" t="n"/>
      <c r="T888" s="109" t="inlineStr"/>
      <c r="U888" s="147" t="inlineStr"/>
    </row>
    <row r="889">
      <c r="A889" s="109" t="n"/>
      <c r="B889" s="108" t="inlineStr">
        <is>
          <t>X</t>
        </is>
      </c>
      <c r="C889" s="109" t="inlineStr"/>
      <c r="D889" s="109" t="inlineStr">
        <is>
          <t>CTE</t>
        </is>
      </c>
      <c r="E889" s="109" t="inlineStr">
        <is>
          <t>528688/C</t>
        </is>
      </c>
      <c r="F889" s="109" t="inlineStr">
        <is>
          <t>2000</t>
        </is>
      </c>
      <c r="G889" s="109" t="inlineStr">
        <is>
          <t>2000 - SG101 ASSISTENZA AVVIAMENTO CALDAIA</t>
        </is>
      </c>
      <c r="H889" s="109" t="n"/>
      <c r="I889" s="109" t="n"/>
      <c r="J889" s="109" t="n"/>
      <c r="K889" s="109" t="n"/>
      <c r="L889" s="109" t="n"/>
      <c r="M889" s="110" t="inlineStr">
        <is>
          <t>DA CHIUDERE</t>
        </is>
      </c>
      <c r="N889" s="110" t="n"/>
      <c r="O889" s="110" t="n"/>
      <c r="P889" s="110" t="n"/>
      <c r="Q889" s="110" t="n"/>
      <c r="R889" s="151" t="n"/>
      <c r="S889" s="110" t="n"/>
      <c r="T889" s="109" t="inlineStr"/>
      <c r="U889" s="147" t="inlineStr"/>
    </row>
    <row r="890">
      <c r="A890" s="109" t="n"/>
      <c r="B890" s="108" t="inlineStr">
        <is>
          <t>X</t>
        </is>
      </c>
      <c r="C890" s="109" t="inlineStr"/>
      <c r="D890" s="109" t="inlineStr">
        <is>
          <t>CTE</t>
        </is>
      </c>
      <c r="E890" s="109" t="inlineStr">
        <is>
          <t>527600/C</t>
        </is>
      </c>
      <c r="F890" s="109" t="inlineStr">
        <is>
          <t>2600</t>
        </is>
      </c>
      <c r="G890" s="109" t="inlineStr">
        <is>
          <t>2600 - PCV 953 rimontaggio valvola ed allineamento con sala controllo</t>
        </is>
      </c>
      <c r="H890" s="109" t="n"/>
      <c r="I890" s="109" t="n"/>
      <c r="J890" s="109" t="n"/>
      <c r="K890" s="109" t="n"/>
      <c r="L890" s="109" t="n"/>
      <c r="M890" s="110" t="inlineStr">
        <is>
          <t>DA CHIUDERE</t>
        </is>
      </c>
      <c r="N890" s="110" t="n"/>
      <c r="O890" s="110" t="n"/>
      <c r="P890" s="110" t="n"/>
      <c r="Q890" s="110" t="inlineStr">
        <is>
          <t>VALVOLA MONTATA, ALLINEATA CON SALA CONTROLLO.</t>
        </is>
      </c>
      <c r="R890" s="151" t="n">
        <v>45720</v>
      </c>
      <c r="S890" s="110" t="inlineStr">
        <is>
          <t>MILLO</t>
        </is>
      </c>
      <c r="T890" s="109" t="inlineStr"/>
      <c r="U890" s="147" t="inlineStr"/>
    </row>
    <row r="891" ht="30" customHeight="1" s="122">
      <c r="A891" s="109" t="n"/>
      <c r="B891" s="108" t="inlineStr">
        <is>
          <t>X</t>
        </is>
      </c>
      <c r="C891" s="109" t="inlineStr"/>
      <c r="D891" s="109" t="inlineStr">
        <is>
          <t>CTE</t>
        </is>
      </c>
      <c r="E891" s="109" t="inlineStr">
        <is>
          <t>524988/C</t>
        </is>
      </c>
      <c r="F891" s="109" t="inlineStr">
        <is>
          <t>2600</t>
        </is>
      </c>
      <c r="G891" s="109" t="inlineStr">
        <is>
          <t>2600 - X754V smontaggio rimontaggio Valvola + controllo funzionale ed allineamento con sala controllo</t>
        </is>
      </c>
      <c r="H891" s="109" t="n"/>
      <c r="I891" s="109" t="n"/>
      <c r="J891" s="109" t="n"/>
      <c r="K891" s="109" t="n"/>
      <c r="L891" s="109" t="n"/>
      <c r="M891" s="110" t="inlineStr">
        <is>
          <t>DA CHIUDERE</t>
        </is>
      </c>
      <c r="N891" s="110" t="n"/>
      <c r="O891" s="110" t="n"/>
      <c r="P891" s="110" t="n"/>
      <c r="Q891" s="110" t="inlineStr">
        <is>
          <t>VALVOLA MONTATA DOPO REVISIONE IN CANTIERE</t>
        </is>
      </c>
      <c r="R891" s="151" t="n">
        <v>45716</v>
      </c>
      <c r="S891" s="110" t="inlineStr">
        <is>
          <t>GARRO L. / GARRO S.</t>
        </is>
      </c>
      <c r="T891" s="109" t="inlineStr"/>
      <c r="U891" s="147" t="inlineStr"/>
    </row>
    <row r="892">
      <c r="A892" s="109" t="n"/>
      <c r="B892" s="108" t="inlineStr">
        <is>
          <t>X</t>
        </is>
      </c>
      <c r="C892" s="109" t="inlineStr"/>
      <c r="D892" s="109" t="inlineStr">
        <is>
          <t>CTE</t>
        </is>
      </c>
      <c r="E892" s="109" t="inlineStr">
        <is>
          <t>520386/C</t>
        </is>
      </c>
      <c r="F892" s="109" t="inlineStr">
        <is>
          <t>2000</t>
        </is>
      </c>
      <c r="G892" s="109" t="inlineStr">
        <is>
          <t xml:space="preserve">ASSISTENZA STRUMENTALE DITTA DE PRETTO </t>
        </is>
      </c>
      <c r="H892" s="109" t="n"/>
      <c r="I892" s="109" t="n"/>
      <c r="J892" s="109" t="n"/>
      <c r="K892" s="109" t="n"/>
      <c r="L892" s="109" t="n"/>
      <c r="M892" s="110" t="inlineStr">
        <is>
          <t>DA CHIUDERE</t>
        </is>
      </c>
      <c r="N892" s="110" t="n"/>
      <c r="O892" s="110" t="n"/>
      <c r="P892" s="110" t="n"/>
      <c r="Q892" s="110" t="n"/>
      <c r="R892" s="151" t="n"/>
      <c r="S892" s="110" t="n"/>
      <c r="T892" s="109" t="inlineStr"/>
      <c r="U892" s="147" t="inlineStr"/>
    </row>
    <row r="893" ht="30" customHeight="1" s="122">
      <c r="A893" s="109" t="n"/>
      <c r="B893" s="108" t="inlineStr">
        <is>
          <t>X</t>
        </is>
      </c>
      <c r="C893" s="109" t="inlineStr"/>
      <c r="D893" s="109" t="inlineStr">
        <is>
          <t>CTE</t>
        </is>
      </c>
      <c r="E893" s="109" t="inlineStr">
        <is>
          <t>522324/C</t>
        </is>
      </c>
      <c r="F893" s="109" t="inlineStr">
        <is>
          <t>2000A</t>
        </is>
      </c>
      <c r="G893" s="109" t="inlineStr">
        <is>
          <t xml:space="preserve">2000A  - P701CV Smontaggio /Rimontaggio bonnet valvola per pulizia gabbia + controllo funzionale ed allineamento con sala controllo </t>
        </is>
      </c>
      <c r="H893" s="109" t="n"/>
      <c r="I893" s="109" t="n"/>
      <c r="J893" s="109" t="n"/>
      <c r="K893" s="109" t="n"/>
      <c r="L893" s="109" t="n"/>
      <c r="M893" s="110" t="inlineStr">
        <is>
          <t>DA CHIUDERE</t>
        </is>
      </c>
      <c r="N893" s="110" t="n"/>
      <c r="O893" s="110" t="n"/>
      <c r="P893" s="110" t="n"/>
      <c r="Q893" s="110" t="inlineStr">
        <is>
          <t>ESEGUITA PULIZIA GABBIA</t>
        </is>
      </c>
      <c r="R893" s="151" t="n">
        <v>45685</v>
      </c>
      <c r="S893" s="110" t="inlineStr">
        <is>
          <t>GARRO L. / GARRO S.</t>
        </is>
      </c>
      <c r="T893" s="109" t="inlineStr"/>
      <c r="U893" s="147" t="inlineStr"/>
    </row>
    <row r="894">
      <c r="A894" s="109" t="n"/>
      <c r="B894" s="108" t="inlineStr">
        <is>
          <t>X</t>
        </is>
      </c>
      <c r="C894" s="109" t="inlineStr"/>
      <c r="D894" s="109" t="inlineStr">
        <is>
          <t>CTE</t>
        </is>
      </c>
      <c r="E894" s="109" t="inlineStr">
        <is>
          <t>521628/C</t>
        </is>
      </c>
      <c r="F894" s="109" t="inlineStr">
        <is>
          <t>2000</t>
        </is>
      </c>
      <c r="G894" s="109" t="inlineStr">
        <is>
          <t>2000-PLC 1004 controllo funzionale pressostato ed allineamento con sala controllo</t>
        </is>
      </c>
      <c r="H894" s="109" t="n"/>
      <c r="I894" s="109" t="n"/>
      <c r="J894" s="109" t="n"/>
      <c r="K894" s="109" t="n"/>
      <c r="L894" s="109" t="n"/>
      <c r="M894" s="110" t="inlineStr">
        <is>
          <t>DA CHIUDERE</t>
        </is>
      </c>
      <c r="N894" s="110" t="n"/>
      <c r="O894" s="110" t="n"/>
      <c r="P894" s="110" t="n"/>
      <c r="Q894" s="110" t="n"/>
      <c r="R894" s="151" t="n"/>
      <c r="S894" s="110" t="n"/>
      <c r="T894" s="109" t="inlineStr"/>
      <c r="U894" s="147" t="inlineStr"/>
    </row>
    <row r="895" ht="30" customHeight="1" s="122">
      <c r="A895" s="109" t="n"/>
      <c r="B895" s="108" t="inlineStr">
        <is>
          <t>X</t>
        </is>
      </c>
      <c r="C895" s="109" t="inlineStr"/>
      <c r="D895" s="109" t="inlineStr">
        <is>
          <t>CTE</t>
        </is>
      </c>
      <c r="E895" s="109" t="inlineStr">
        <is>
          <t>521544/C</t>
        </is>
      </c>
      <c r="F895" s="109" t="inlineStr">
        <is>
          <t>2800</t>
        </is>
      </c>
      <c r="G895" s="109" t="inlineStr">
        <is>
          <t>assistenza strumentisti per posizionamento strumento a ultrasuoni su linea acqua a TK140</t>
        </is>
      </c>
      <c r="H895" s="109" t="n"/>
      <c r="I895" s="109" t="n"/>
      <c r="J895" s="109" t="n"/>
      <c r="K895" s="109" t="n"/>
      <c r="L895" s="109" t="n"/>
      <c r="M895" s="110" t="inlineStr">
        <is>
          <t>DA CHIUDERE</t>
        </is>
      </c>
      <c r="N895" s="110" t="n"/>
      <c r="O895" s="110" t="n"/>
      <c r="P895" s="110" t="n"/>
      <c r="Q895" s="110" t="n"/>
      <c r="R895" s="151" t="n"/>
      <c r="S895" s="110" t="n"/>
      <c r="T895" s="109" t="inlineStr"/>
      <c r="U895" s="147" t="inlineStr"/>
    </row>
    <row r="896" ht="30" customHeight="1" s="122">
      <c r="A896" s="109" t="n"/>
      <c r="B896" s="108" t="inlineStr">
        <is>
          <t>X</t>
        </is>
      </c>
      <c r="C896" s="109" t="inlineStr"/>
      <c r="D896" s="109" t="inlineStr">
        <is>
          <t>CTE</t>
        </is>
      </c>
      <c r="E896" s="109" t="inlineStr">
        <is>
          <t>519017/C</t>
        </is>
      </c>
      <c r="F896" s="109" t="inlineStr">
        <is>
          <t>2000</t>
        </is>
      </c>
      <c r="G896" s="109" t="inlineStr">
        <is>
          <t>2600 X751V smontaggio rimontaggio Valvola + controllo funzionale ed allineamento con sala controllo</t>
        </is>
      </c>
      <c r="H896" s="109" t="n"/>
      <c r="I896" s="109" t="n"/>
      <c r="J896" s="109" t="n"/>
      <c r="K896" s="109" t="n"/>
      <c r="L896" s="109" t="n"/>
      <c r="M896" s="110" t="inlineStr">
        <is>
          <t>DA CHIUDERE</t>
        </is>
      </c>
      <c r="N896" s="110" t="n"/>
      <c r="O896" s="110" t="n"/>
      <c r="P896" s="110" t="n"/>
      <c r="Q896" s="110" t="n"/>
      <c r="R896" s="151" t="n"/>
      <c r="S896" s="110" t="n"/>
      <c r="T896" s="109" t="inlineStr"/>
      <c r="U896" s="147" t="inlineStr"/>
    </row>
    <row r="897">
      <c r="A897" s="109" t="n"/>
      <c r="B897" s="109" t="inlineStr">
        <is>
          <t>X</t>
        </is>
      </c>
      <c r="C897" s="109" t="inlineStr"/>
      <c r="D897" s="109" t="inlineStr">
        <is>
          <t>CTE</t>
        </is>
      </c>
      <c r="E897" s="109" t="inlineStr">
        <is>
          <t>515908/C</t>
        </is>
      </c>
      <c r="F897" s="109" t="inlineStr">
        <is>
          <t>2000</t>
        </is>
      </c>
      <c r="G897" s="109" t="inlineStr">
        <is>
          <t>STG 102 RICOLL/ALL STRUMENTAZIONE</t>
        </is>
      </c>
      <c r="H897" s="109" t="n"/>
      <c r="I897" s="109" t="n"/>
      <c r="J897" s="109" t="n"/>
      <c r="K897" s="109" t="n"/>
      <c r="L897" s="109" t="n"/>
      <c r="M897" s="109" t="inlineStr">
        <is>
          <t>DA CHIUDERE</t>
        </is>
      </c>
      <c r="N897" s="109" t="n"/>
      <c r="O897" s="109" t="n"/>
      <c r="P897" s="109" t="n"/>
      <c r="Q897" s="109" t="inlineStr">
        <is>
          <t>CONTROLLO GIORNALIERO</t>
        </is>
      </c>
      <c r="R897" s="151" t="n"/>
      <c r="S897" s="109" t="n"/>
      <c r="T897" s="109" t="inlineStr"/>
      <c r="U897" s="109" t="inlineStr"/>
    </row>
    <row r="898">
      <c r="A898" s="109" t="n"/>
      <c r="B898" s="108" t="inlineStr">
        <is>
          <t>X</t>
        </is>
      </c>
      <c r="C898" s="109" t="inlineStr"/>
      <c r="D898" s="109" t="inlineStr">
        <is>
          <t>CTE</t>
        </is>
      </c>
      <c r="E898" s="109" t="inlineStr">
        <is>
          <t>511406/C</t>
        </is>
      </c>
      <c r="F898" s="109" t="inlineStr">
        <is>
          <t>CTE</t>
        </is>
      </c>
      <c r="G898" s="109" t="inlineStr">
        <is>
          <t>AREA CTE (IMP. 2000-2000A-2300-2600) assistenza strumentale.</t>
        </is>
      </c>
      <c r="H898" s="109" t="n"/>
      <c r="I898" s="109" t="n"/>
      <c r="J898" s="109" t="n"/>
      <c r="K898" s="109" t="n"/>
      <c r="L898" s="109" t="n"/>
      <c r="M898" s="110" t="inlineStr">
        <is>
          <t>DA CHIUDERE</t>
        </is>
      </c>
      <c r="N898" s="110" t="n"/>
      <c r="O898" s="110" t="n"/>
      <c r="P898" s="110" t="n"/>
      <c r="Q898" s="110" t="inlineStr">
        <is>
          <t>CONTROLLO GIORNALIERO</t>
        </is>
      </c>
      <c r="R898" s="151" t="n"/>
      <c r="S898" s="110" t="n"/>
      <c r="T898" s="109" t="inlineStr"/>
      <c r="U898" s="147" t="inlineStr"/>
    </row>
    <row r="899">
      <c r="A899" s="109" t="n"/>
      <c r="B899" s="108" t="inlineStr">
        <is>
          <t>X</t>
        </is>
      </c>
      <c r="C899" s="109" t="inlineStr"/>
      <c r="D899" s="109" t="inlineStr">
        <is>
          <t>CTE</t>
        </is>
      </c>
      <c r="E899" s="109" t="inlineStr">
        <is>
          <t>513197/C</t>
        </is>
      </c>
      <c r="F899" s="109" t="inlineStr">
        <is>
          <t>2800</t>
        </is>
      </c>
      <c r="G899" s="109" t="inlineStr">
        <is>
          <t>campionatore EMN/4</t>
        </is>
      </c>
      <c r="H899" s="109" t="n"/>
      <c r="I899" s="109" t="n"/>
      <c r="J899" s="109" t="n"/>
      <c r="K899" s="109" t="n"/>
      <c r="L899" s="109" t="n"/>
      <c r="M899" s="110" t="inlineStr">
        <is>
          <t>DA CHIUDERE</t>
        </is>
      </c>
      <c r="N899" s="110" t="n"/>
      <c r="O899" s="110" t="n"/>
      <c r="P899" s="110" t="n"/>
      <c r="Q899" s="110" t="inlineStr">
        <is>
          <t>CONTROLLO GIORNALIERO</t>
        </is>
      </c>
      <c r="R899" s="151" t="n"/>
      <c r="S899" s="110" t="n"/>
      <c r="T899" s="109" t="inlineStr"/>
      <c r="U899" s="147" t="inlineStr"/>
    </row>
    <row r="900" ht="30" customHeight="1" s="122">
      <c r="A900" s="109" t="n"/>
      <c r="B900" s="108" t="inlineStr">
        <is>
          <t>X</t>
        </is>
      </c>
      <c r="C900" s="109" t="inlineStr"/>
      <c r="D900" s="109" t="inlineStr">
        <is>
          <t>CTE</t>
        </is>
      </c>
      <c r="E900" s="109" t="inlineStr">
        <is>
          <t>517890/C</t>
        </is>
      </c>
      <c r="F900" s="109" t="inlineStr">
        <is>
          <t>2600</t>
        </is>
      </c>
      <c r="G900" s="109" t="inlineStr">
        <is>
          <t xml:space="preserve">2600X-1-X990V  Controllo funzionale  valvola  ed allineamento con sala controllo </t>
        </is>
      </c>
      <c r="H900" s="109" t="n"/>
      <c r="I900" s="109" t="n"/>
      <c r="J900" s="109" t="n"/>
      <c r="K900" s="109" t="n"/>
      <c r="L900" s="109" t="n"/>
      <c r="M900" s="110" t="inlineStr">
        <is>
          <t>DA CHIUDERE</t>
        </is>
      </c>
      <c r="N900" s="110" t="n"/>
      <c r="O900" s="110" t="n"/>
      <c r="P900" s="110" t="n"/>
      <c r="Q900" s="110" t="n"/>
      <c r="R900" s="151" t="n">
        <v>45638</v>
      </c>
      <c r="S900" s="110" t="inlineStr">
        <is>
          <t>GARRO L. / GARRO S.</t>
        </is>
      </c>
      <c r="T900" s="109" t="inlineStr"/>
      <c r="U900" s="147" t="inlineStr"/>
    </row>
    <row r="901" ht="30" customHeight="1" s="122">
      <c r="A901" s="109" t="n"/>
      <c r="B901" s="108" t="inlineStr">
        <is>
          <t>X</t>
        </is>
      </c>
      <c r="C901" s="109" t="inlineStr"/>
      <c r="D901" s="109" t="inlineStr">
        <is>
          <t>CTE</t>
        </is>
      </c>
      <c r="E901" s="109" t="inlineStr">
        <is>
          <t>517894/C</t>
        </is>
      </c>
      <c r="F901" s="109" t="inlineStr">
        <is>
          <t>2600</t>
        </is>
      </c>
      <c r="G901" s="109" t="inlineStr">
        <is>
          <t xml:space="preserve">2600X-1-X753V  Smontaggio Rimontaggio  valvola XV e montaggio rimontaggio valvola manuale + movimentazione +controllo funzionale ed allineamento con sala controllo </t>
        </is>
      </c>
      <c r="H901" s="109" t="n"/>
      <c r="I901" s="109" t="n"/>
      <c r="J901" s="109" t="n"/>
      <c r="K901" s="109" t="n"/>
      <c r="L901" s="109" t="n"/>
      <c r="M901" s="110" t="inlineStr">
        <is>
          <t>DA CHIUDERE</t>
        </is>
      </c>
      <c r="N901" s="110" t="n"/>
      <c r="O901" s="110" t="n"/>
      <c r="P901" s="110" t="n"/>
      <c r="Q901" s="110" t="inlineStr">
        <is>
          <t>MOLLA GUASTA. SOSTITUITA</t>
        </is>
      </c>
      <c r="R901" s="151" t="n">
        <v>45637</v>
      </c>
      <c r="S901" s="110" t="inlineStr">
        <is>
          <t>GARRO L. / GARRO S.</t>
        </is>
      </c>
      <c r="T901" s="109" t="inlineStr"/>
      <c r="U901" s="147" t="inlineStr"/>
    </row>
    <row r="902">
      <c r="A902" s="109" t="n"/>
      <c r="B902" s="109" t="inlineStr">
        <is>
          <t>X</t>
        </is>
      </c>
      <c r="C902" s="109" t="inlineStr"/>
      <c r="D902" s="109" t="inlineStr">
        <is>
          <t>CTE</t>
        </is>
      </c>
      <c r="E902" s="109" t="inlineStr">
        <is>
          <t>518607/C</t>
        </is>
      </c>
      <c r="F902" s="109" t="inlineStr">
        <is>
          <t>2000A</t>
        </is>
      </c>
      <c r="G902" s="109" t="inlineStr">
        <is>
          <t>SOSTITUZIONE SONDA VIBRAZIONI TG</t>
        </is>
      </c>
      <c r="H902" s="109" t="n"/>
      <c r="I902" s="109" t="n"/>
      <c r="J902" s="109" t="n"/>
      <c r="K902" s="109" t="n"/>
      <c r="L902" s="109" t="n"/>
      <c r="M902" s="109" t="inlineStr">
        <is>
          <t>DA CHIUDERE</t>
        </is>
      </c>
      <c r="N902" s="109" t="n"/>
      <c r="O902" s="109" t="n"/>
      <c r="P902" s="109" t="n"/>
      <c r="Q902" s="109" t="n"/>
      <c r="R902" s="151" t="n"/>
      <c r="S902" s="109" t="n"/>
      <c r="T902" s="109" t="inlineStr"/>
      <c r="U902" s="109" t="inlineStr"/>
    </row>
    <row r="903">
      <c r="A903" s="109" t="n"/>
      <c r="B903" s="108" t="inlineStr">
        <is>
          <t>X</t>
        </is>
      </c>
      <c r="C903" s="109" t="inlineStr"/>
      <c r="D903" s="109" t="inlineStr">
        <is>
          <t>CTE</t>
        </is>
      </c>
      <c r="E903" s="109" t="inlineStr">
        <is>
          <t>518606/C</t>
        </is>
      </c>
      <c r="F903" s="109" t="inlineStr">
        <is>
          <t>2000A</t>
        </is>
      </c>
      <c r="G903" s="109" t="inlineStr">
        <is>
          <t>SOSTITUZIONE RILEVATORE DI FIAMMA TG</t>
        </is>
      </c>
      <c r="H903" s="109" t="n"/>
      <c r="I903" s="109" t="n"/>
      <c r="J903" s="109" t="n"/>
      <c r="K903" s="109" t="n"/>
      <c r="L903" s="109" t="n"/>
      <c r="M903" s="110" t="inlineStr">
        <is>
          <t>DA CHIUDERE</t>
        </is>
      </c>
      <c r="N903" s="110" t="n"/>
      <c r="O903" s="110" t="n"/>
      <c r="P903" s="110" t="n"/>
      <c r="Q903" s="110" t="n"/>
      <c r="R903" s="151" t="n"/>
      <c r="S903" s="110" t="n"/>
      <c r="T903" s="109" t="inlineStr"/>
      <c r="U903" s="147" t="inlineStr"/>
    </row>
    <row r="904">
      <c r="A904" s="109" t="n"/>
      <c r="B904" s="108" t="inlineStr">
        <is>
          <t>X</t>
        </is>
      </c>
      <c r="C904" s="109" t="inlineStr"/>
      <c r="D904" s="109" t="inlineStr">
        <is>
          <t>CTE</t>
        </is>
      </c>
      <c r="E904" s="109" t="inlineStr">
        <is>
          <t>518595/C</t>
        </is>
      </c>
      <c r="F904" s="109" t="inlineStr">
        <is>
          <t>2000A</t>
        </is>
      </c>
      <c r="G904" s="109" t="inlineStr">
        <is>
          <t>SOSTITUZIONE TERMOCOPPIE SCARICO TURBOGAS (TTXD1-4/6/8/10//12/14</t>
        </is>
      </c>
      <c r="H904" s="109" t="n"/>
      <c r="I904" s="109" t="n"/>
      <c r="J904" s="109" t="n"/>
      <c r="K904" s="109" t="n"/>
      <c r="L904" s="109" t="n"/>
      <c r="M904" s="110" t="inlineStr">
        <is>
          <t>DA CHIUDERE</t>
        </is>
      </c>
      <c r="N904" s="110" t="n"/>
      <c r="O904" s="110" t="n"/>
      <c r="P904" s="110" t="n"/>
      <c r="Q904" s="110" t="n"/>
      <c r="R904" s="151" t="n"/>
      <c r="S904" s="110" t="n"/>
      <c r="T904" s="109" t="inlineStr"/>
      <c r="U904" s="147" t="inlineStr"/>
    </row>
    <row r="905" ht="30" customHeight="1" s="122">
      <c r="A905" s="109" t="n"/>
      <c r="B905" s="108" t="inlineStr">
        <is>
          <t>X</t>
        </is>
      </c>
      <c r="C905" s="109" t="inlineStr"/>
      <c r="D905" s="109" t="inlineStr">
        <is>
          <t>CTE</t>
        </is>
      </c>
      <c r="E905" s="109" t="inlineStr">
        <is>
          <t>518562/C</t>
        </is>
      </c>
      <c r="F905" s="109" t="inlineStr">
        <is>
          <t>2000A</t>
        </is>
      </c>
      <c r="G905" s="109" t="inlineStr">
        <is>
          <t>allineamento strumenti e valvola tramite PLC e sala controllo, attivit in assisstenza ad Automation service</t>
        </is>
      </c>
      <c r="H905" s="109" t="n"/>
      <c r="I905" s="109" t="n"/>
      <c r="J905" s="109" t="n"/>
      <c r="K905" s="109" t="n"/>
      <c r="L905" s="109" t="n"/>
      <c r="M905" s="110" t="inlineStr">
        <is>
          <t>DA CHIUDERE</t>
        </is>
      </c>
      <c r="N905" s="110" t="n"/>
      <c r="O905" s="110" t="n"/>
      <c r="P905" s="110" t="n"/>
      <c r="Q905" s="110" t="n"/>
      <c r="R905" s="151" t="n"/>
      <c r="S905" s="110" t="n"/>
      <c r="T905" s="109" t="inlineStr"/>
      <c r="U905" s="147" t="inlineStr"/>
    </row>
    <row r="906">
      <c r="A906" s="109" t="n"/>
      <c r="B906" s="108" t="inlineStr">
        <is>
          <t>X</t>
        </is>
      </c>
      <c r="C906" s="109" t="inlineStr"/>
      <c r="D906" s="109" t="inlineStr">
        <is>
          <t>CTE</t>
        </is>
      </c>
      <c r="E906" s="109" t="inlineStr">
        <is>
          <t>518496/C</t>
        </is>
      </c>
      <c r="F906" s="109" t="inlineStr">
        <is>
          <t>2000A</t>
        </is>
      </c>
      <c r="G906" s="109" t="inlineStr">
        <is>
          <t>2000A ASSISTENZA STRUMENTALE ATTIVITA SU TURBOGAS  (Vedi Allegato)</t>
        </is>
      </c>
      <c r="H906" s="109" t="n"/>
      <c r="I906" s="109" t="n"/>
      <c r="J906" s="109" t="n"/>
      <c r="K906" s="109" t="n"/>
      <c r="L906" s="109" t="n"/>
      <c r="M906" s="110" t="inlineStr">
        <is>
          <t>DA CHIUDERE</t>
        </is>
      </c>
      <c r="N906" s="110" t="n"/>
      <c r="O906" s="110" t="n"/>
      <c r="P906" s="110" t="n"/>
      <c r="Q906" s="110" t="n"/>
      <c r="R906" s="151" t="n"/>
      <c r="S906" s="110" t="n"/>
      <c r="T906" s="109" t="inlineStr"/>
      <c r="U906" s="147" t="inlineStr"/>
    </row>
    <row r="907" ht="30" customHeight="1" s="122">
      <c r="A907" s="109" t="n"/>
      <c r="B907" s="109" t="inlineStr">
        <is>
          <t>X</t>
        </is>
      </c>
      <c r="C907" s="109" t="inlineStr"/>
      <c r="D907" s="109" t="inlineStr">
        <is>
          <t>CTE</t>
        </is>
      </c>
      <c r="E907" s="109" t="inlineStr">
        <is>
          <t>535315/C</t>
        </is>
      </c>
      <c r="F907" s="109" t="inlineStr">
        <is>
          <t>2600</t>
        </is>
      </c>
      <c r="G907" s="109" t="inlineStr">
        <is>
          <t>2600 - PCV 953 SMONTAGGIO/RIMONTAGGIO PER REVISIONE VALVOLA</t>
        </is>
      </c>
      <c r="H907" s="109" t="n"/>
      <c r="I907" s="109" t="n"/>
      <c r="J907" s="109" t="n"/>
      <c r="K907" s="109" t="n"/>
      <c r="L907" s="109" t="n"/>
      <c r="M907" s="110" t="inlineStr">
        <is>
          <t>DA CHIUDERE</t>
        </is>
      </c>
      <c r="N907" s="110" t="n"/>
      <c r="O907" s="110" t="n"/>
      <c r="P907" s="110" t="n"/>
      <c r="Q907" s="110" t="inlineStr">
        <is>
          <t>VALVOLA SMONTATA E PORTATA IN OFFICINA SEDE</t>
        </is>
      </c>
      <c r="R907" s="151" t="n">
        <v>45813</v>
      </c>
      <c r="S907" s="110" t="inlineStr">
        <is>
          <t>CIANCHINO/GIGLIUTO</t>
        </is>
      </c>
      <c r="T907" s="109" t="inlineStr"/>
      <c r="U907" s="147" t="inlineStr"/>
    </row>
    <row r="908" ht="30" customHeight="1" s="122">
      <c r="A908" s="109" t="n"/>
      <c r="B908" s="109" t="inlineStr">
        <is>
          <t>X</t>
        </is>
      </c>
      <c r="C908" s="109" t="inlineStr"/>
      <c r="D908" s="109" t="inlineStr">
        <is>
          <t>CTE</t>
        </is>
      </c>
      <c r="E908" s="109" t="inlineStr">
        <is>
          <t>536461/C</t>
        </is>
      </c>
      <c r="F908" s="109" t="inlineStr">
        <is>
          <t>2600</t>
        </is>
      </c>
      <c r="G908" s="109" t="inlineStr">
        <is>
          <t xml:space="preserve">2600 - XV914 Smontaggio /Rimontaggio  valvola + smontaggio/rimontaggio valvola  manuale , movimentazione + controllo funzionale ed allineamento con sala controllo </t>
        </is>
      </c>
      <c r="H908" s="109" t="n"/>
      <c r="I908" s="109" t="n"/>
      <c r="J908" s="109" t="n"/>
      <c r="K908" s="109" t="n"/>
      <c r="L908" s="109" t="n"/>
      <c r="M908" s="110" t="inlineStr">
        <is>
          <t>DA CHIUDERE</t>
        </is>
      </c>
      <c r="N908" s="110" t="n"/>
      <c r="O908" s="110" t="n"/>
      <c r="P908" s="110" t="n"/>
      <c r="Q908" s="110" t="inlineStr">
        <is>
          <t xml:space="preserve">odc dedicato: 5400253751 </t>
        </is>
      </c>
      <c r="R908" s="151" t="n"/>
      <c r="S908" s="110" t="n"/>
      <c r="T908" s="109" t="inlineStr"/>
      <c r="U908" s="147" t="inlineStr"/>
    </row>
    <row r="909">
      <c r="A909" s="109" t="n"/>
      <c r="B909" s="108" t="inlineStr">
        <is>
          <t>X</t>
        </is>
      </c>
      <c r="C909" s="109" t="inlineStr"/>
      <c r="D909" s="109" t="inlineStr">
        <is>
          <t>CTE</t>
        </is>
      </c>
      <c r="E909" s="109" t="inlineStr">
        <is>
          <t>549306/C</t>
        </is>
      </c>
      <c r="F909" s="109" t="inlineStr">
        <is>
          <t>2000</t>
        </is>
      </c>
      <c r="G909" s="109" t="inlineStr">
        <is>
          <t>2000 - SG102 assistenza strumentale</t>
        </is>
      </c>
      <c r="H909" s="109" t="n"/>
      <c r="I909" s="109" t="n"/>
      <c r="J909" s="109" t="n"/>
      <c r="K909" s="109" t="n"/>
      <c r="L909" s="109" t="n"/>
      <c r="M909" s="110" t="inlineStr">
        <is>
          <t>EMESSO</t>
        </is>
      </c>
      <c r="N909" s="110" t="n"/>
      <c r="O909" s="110" t="n"/>
      <c r="P909" s="110" t="n"/>
      <c r="Q909" s="110" t="n"/>
      <c r="R909" s="151" t="n"/>
      <c r="S909" s="110" t="n"/>
      <c r="T909" s="109" t="inlineStr"/>
      <c r="U909" s="147" t="n"/>
    </row>
    <row r="910" ht="45" customHeight="1" s="122">
      <c r="A910" s="109" t="n"/>
      <c r="B910" s="108" t="inlineStr">
        <is>
          <t>X</t>
        </is>
      </c>
      <c r="C910" s="109" t="inlineStr"/>
      <c r="D910" s="109" t="inlineStr">
        <is>
          <t>CTE</t>
        </is>
      </c>
      <c r="E910" s="109" t="inlineStr">
        <is>
          <t>545401/C</t>
        </is>
      </c>
      <c r="F910" s="109" t="inlineStr">
        <is>
          <t>2000A</t>
        </is>
      </c>
      <c r="G910" s="109" t="inlineStr">
        <is>
          <t>2000A TDE 001T VM15-1 (TIC 001 TEMPERATURA USCITA E201) BLOCCAGGIO MECCANICO STELO E SUCCESSIVO SMONTAGGIO/RIMONTAGGIO RIDUTTORE PER REVISIONE DELLO STESSO</t>
        </is>
      </c>
      <c r="H910" s="109" t="n"/>
      <c r="I910" s="109" t="n"/>
      <c r="J910" s="109" t="n"/>
      <c r="K910" s="109" t="n"/>
      <c r="L910" s="109" t="n"/>
      <c r="M910" s="110" t="inlineStr">
        <is>
          <t>EMESSO</t>
        </is>
      </c>
      <c r="N910" s="110" t="n"/>
      <c r="O910" s="110" t="n"/>
      <c r="P910" s="110" t="n"/>
      <c r="Q910" s="110" t="n"/>
      <c r="R910" s="151" t="n"/>
      <c r="S910" s="110" t="n"/>
      <c r="T910" s="109" t="inlineStr"/>
      <c r="U910" s="147" t="n"/>
    </row>
    <row r="911" ht="30" customHeight="1" s="122">
      <c r="A911" s="109" t="n"/>
      <c r="B911" s="108" t="inlineStr">
        <is>
          <t>X</t>
        </is>
      </c>
      <c r="C911" s="109" t="inlineStr"/>
      <c r="D911" s="109" t="inlineStr">
        <is>
          <t>CTE</t>
        </is>
      </c>
      <c r="E911" s="109" t="inlineStr">
        <is>
          <t>540767/C</t>
        </is>
      </c>
      <c r="F911" s="109" t="inlineStr">
        <is>
          <t>2000A</t>
        </is>
      </c>
      <c r="G911" s="109" t="inlineStr">
        <is>
          <t xml:space="preserve">2000A-0-TurboGas ( comparto olio ) sostituzione MOOG PM1;PM2;PM3;PM4;VSR1  + controllo funzionale valvole ed allineamento con sala controllo </t>
        </is>
      </c>
      <c r="H911" s="109" t="n"/>
      <c r="I911" s="109" t="n"/>
      <c r="J911" s="109" t="n"/>
      <c r="K911" s="109" t="n"/>
      <c r="L911" s="109" t="n"/>
      <c r="M911" s="110" t="inlineStr">
        <is>
          <t>EMESSO</t>
        </is>
      </c>
      <c r="N911" s="110" t="n"/>
      <c r="O911" s="110" t="n"/>
      <c r="P911" s="110" t="n"/>
      <c r="Q911" s="110" t="n"/>
      <c r="R911" s="151" t="n"/>
      <c r="S911" s="110" t="n"/>
      <c r="T911" s="109" t="inlineStr"/>
      <c r="U911" s="147" t="inlineStr"/>
    </row>
    <row r="912" ht="30" customHeight="1" s="122">
      <c r="A912" s="109" t="n"/>
      <c r="B912" s="109" t="inlineStr">
        <is>
          <t>X</t>
        </is>
      </c>
      <c r="C912" s="109" t="inlineStr"/>
      <c r="D912" s="109" t="inlineStr">
        <is>
          <t>CTE</t>
        </is>
      </c>
      <c r="E912" s="109" t="inlineStr">
        <is>
          <t>540740/C</t>
        </is>
      </c>
      <c r="F912" s="109" t="inlineStr">
        <is>
          <t>2000A</t>
        </is>
      </c>
      <c r="G912" s="109" t="inlineStr">
        <is>
          <t xml:space="preserve">2000A-0-P701CV Smontaggio /Rimontaggio bonnet valvola per pulizia gabbia + controllo funzionale ed allineamento con sala controllo </t>
        </is>
      </c>
      <c r="H912" s="109" t="n"/>
      <c r="I912" s="109" t="n"/>
      <c r="J912" s="109" t="n"/>
      <c r="K912" s="109" t="n"/>
      <c r="L912" s="109" t="n"/>
      <c r="M912" s="109" t="inlineStr">
        <is>
          <t>EMESSO</t>
        </is>
      </c>
      <c r="N912" s="109" t="n"/>
      <c r="O912" s="109" t="n"/>
      <c r="P912" s="109" t="n"/>
      <c r="Q912" s="109" t="inlineStr">
        <is>
          <t>ODC DEDICATO: 5400256149 PROGRAMMATO TCL TGO DAL 23 AL 27/06</t>
        </is>
      </c>
      <c r="R912" s="151" t="n"/>
      <c r="S912" s="109" t="n"/>
      <c r="T912" s="109" t="inlineStr"/>
      <c r="U912" s="109" t="inlineStr"/>
    </row>
    <row r="913" ht="45" customHeight="1" s="122">
      <c r="A913" s="109" t="n"/>
      <c r="B913" s="108" t="n"/>
      <c r="C913" s="109" t="inlineStr"/>
      <c r="D913" s="109" t="inlineStr">
        <is>
          <t>BLENDING</t>
        </is>
      </c>
      <c r="E913" s="109" t="inlineStr">
        <is>
          <t>545751/C</t>
        </is>
      </c>
      <c r="F913" s="109" t="inlineStr">
        <is>
          <t>Pontile</t>
        </is>
      </c>
      <c r="G913" s="109" t="inlineStr">
        <is>
          <t>10227902  PONTILE CONTROLLO LIVELLI SLOOP PIATTAFORMA 1 LT102A</t>
        </is>
      </c>
      <c r="H913" s="109" t="n"/>
      <c r="I913" s="109" t="n"/>
      <c r="J913" s="109" t="n"/>
      <c r="K913" s="109" t="n"/>
      <c r="L913" s="109" t="n"/>
      <c r="M913" s="110" t="inlineStr">
        <is>
          <t>DA CHIUDERE</t>
        </is>
      </c>
      <c r="N913" s="110" t="n"/>
      <c r="O913" s="110" t="n"/>
      <c r="P913" s="110" t="n"/>
      <c r="Q913" s="110" t="inlineStr">
        <is>
          <t>livello radar: l'alimentazione si scollega a causa delle alte temperature. È necessario un intervento dei meccanici per la pulizia del tubo di calma</t>
        </is>
      </c>
      <c r="R913" s="151" t="n">
        <v>45863</v>
      </c>
      <c r="S913" s="110" t="inlineStr">
        <is>
          <t>MILLO</t>
        </is>
      </c>
      <c r="T913" s="109" t="inlineStr"/>
      <c r="U913" s="147" t="n"/>
    </row>
    <row r="914" ht="30" customHeight="1" s="122">
      <c r="A914" s="109" t="n"/>
      <c r="B914" s="109" t="inlineStr">
        <is>
          <t>X</t>
        </is>
      </c>
      <c r="C914" s="109" t="inlineStr"/>
      <c r="D914" s="109" t="inlineStr">
        <is>
          <t>BLENDING</t>
        </is>
      </c>
      <c r="E914" s="109" t="inlineStr">
        <is>
          <t>539429/C</t>
        </is>
      </c>
      <c r="F914" s="109" t="inlineStr">
        <is>
          <t>BLENDING</t>
        </is>
      </c>
      <c r="G914" s="109" t="inlineStr">
        <is>
          <t>Verifica funzionalità livellostato L609HA</t>
        </is>
      </c>
      <c r="H914" s="109" t="n"/>
      <c r="I914" s="109" t="n"/>
      <c r="J914" s="109" t="n"/>
      <c r="K914" s="109" t="n"/>
      <c r="L914" s="109" t="n"/>
      <c r="M914" s="110" t="inlineStr">
        <is>
          <t>DA CHIUDERE</t>
        </is>
      </c>
      <c r="N914" s="110" t="n"/>
      <c r="O914" s="110" t="n"/>
      <c r="P914" s="110" t="n"/>
      <c r="Q914" s="110" t="n"/>
      <c r="R914" s="151" t="n"/>
      <c r="S914" s="110" t="n"/>
      <c r="T914" s="109" t="inlineStr"/>
      <c r="U914" s="147" t="inlineStr"/>
    </row>
    <row r="915" ht="30" customHeight="1" s="122">
      <c r="A915" s="109" t="n"/>
      <c r="B915" s="108" t="inlineStr">
        <is>
          <t>X</t>
        </is>
      </c>
      <c r="C915" s="109" t="inlineStr"/>
      <c r="D915" s="109" t="inlineStr">
        <is>
          <t>BLENDING</t>
        </is>
      </c>
      <c r="E915" s="109" t="inlineStr">
        <is>
          <t>533533/C</t>
        </is>
      </c>
      <c r="F915" s="109" t="inlineStr">
        <is>
          <t>6500</t>
        </is>
      </c>
      <c r="G915" s="109" t="inlineStr">
        <is>
          <t xml:space="preserve">apertura cassetta ADF per sostituzione scheda PLC a cura Automation Service e successiva chiusura cassetta </t>
        </is>
      </c>
      <c r="H915" s="109" t="n"/>
      <c r="I915" s="109" t="n"/>
      <c r="J915" s="109" t="n"/>
      <c r="K915" s="109" t="n"/>
      <c r="L915" s="109" t="n"/>
      <c r="M915" s="110" t="inlineStr">
        <is>
          <t>DA CHIUDERE</t>
        </is>
      </c>
      <c r="N915" s="110" t="n"/>
      <c r="O915" s="110" t="n"/>
      <c r="P915" s="110" t="n"/>
      <c r="Q915" s="110" t="inlineStr">
        <is>
          <t>RIPRISTINATA FUNZIONALITA'</t>
        </is>
      </c>
      <c r="R915" s="151" t="n">
        <v>45763</v>
      </c>
      <c r="S915" s="109" t="inlineStr">
        <is>
          <t>MILLO</t>
        </is>
      </c>
      <c r="T915" s="109" t="inlineStr"/>
      <c r="U915" s="147" t="inlineStr"/>
    </row>
    <row r="916">
      <c r="A916" s="109" t="n"/>
      <c r="B916" s="109" t="inlineStr">
        <is>
          <t>X</t>
        </is>
      </c>
      <c r="C916" s="109" t="inlineStr"/>
      <c r="D916" s="109" t="inlineStr">
        <is>
          <t>BLENDING</t>
        </is>
      </c>
      <c r="E916" s="109" t="inlineStr">
        <is>
          <t>533928/C</t>
        </is>
      </c>
      <c r="F916" s="109" t="inlineStr">
        <is>
          <t>6500</t>
        </is>
      </c>
      <c r="G916" s="109" t="inlineStr">
        <is>
          <t>Controllo e ripristino funzionalit valvola</t>
        </is>
      </c>
      <c r="H916" s="109" t="n"/>
      <c r="I916" s="109" t="n"/>
      <c r="J916" s="109" t="n"/>
      <c r="K916" s="109" t="n"/>
      <c r="L916" s="109" t="n"/>
      <c r="M916" s="109" t="inlineStr">
        <is>
          <t>DA CHIUDERE</t>
        </is>
      </c>
      <c r="N916" s="109" t="n"/>
      <c r="O916" s="109" t="n"/>
      <c r="P916" s="109" t="n"/>
      <c r="Q916" s="109" t="inlineStr">
        <is>
          <t>RIPRISTINATA FUNZIONALITA'</t>
        </is>
      </c>
      <c r="R916" s="151" t="n">
        <v>45769</v>
      </c>
      <c r="S916" s="110" t="inlineStr">
        <is>
          <t>GARRO</t>
        </is>
      </c>
      <c r="T916" s="109" t="inlineStr"/>
      <c r="U916" s="109" t="inlineStr"/>
    </row>
    <row r="917">
      <c r="A917" s="109" t="n"/>
      <c r="B917" s="108" t="inlineStr">
        <is>
          <t>X</t>
        </is>
      </c>
      <c r="C917" s="109" t="inlineStr"/>
      <c r="D917" s="109" t="inlineStr">
        <is>
          <t>BLENDING</t>
        </is>
      </c>
      <c r="E917" s="109" t="inlineStr">
        <is>
          <t>537441/C</t>
        </is>
      </c>
      <c r="F917" s="109" t="inlineStr">
        <is>
          <t>6500</t>
        </is>
      </c>
      <c r="G917" s="109" t="inlineStr">
        <is>
          <t>Revisione attuatore pneumatico XV BR41</t>
        </is>
      </c>
      <c r="H917" s="109" t="n"/>
      <c r="I917" s="109" t="n"/>
      <c r="J917" s="109" t="n"/>
      <c r="K917" s="109" t="n"/>
      <c r="L917" s="109" t="n"/>
      <c r="M917" s="110" t="inlineStr">
        <is>
          <t>DA CHIUDERE</t>
        </is>
      </c>
      <c r="N917" s="110" t="n"/>
      <c r="O917" s="110" t="n"/>
      <c r="P917" s="110" t="n"/>
      <c r="Q917" s="110" t="inlineStr">
        <is>
          <t>RIPRISTINATA FUNZIONALITA'</t>
        </is>
      </c>
      <c r="R917" s="151" t="n">
        <v>45797</v>
      </c>
      <c r="S917" s="110" t="inlineStr">
        <is>
          <t>RICIPUTO</t>
        </is>
      </c>
      <c r="T917" s="109" t="inlineStr"/>
      <c r="U917" s="147" t="inlineStr"/>
    </row>
    <row r="918" ht="30" customHeight="1" s="122">
      <c r="A918" s="109" t="n"/>
      <c r="B918" s="108" t="inlineStr">
        <is>
          <t>X</t>
        </is>
      </c>
      <c r="C918" s="109" t="inlineStr"/>
      <c r="D918" s="109" t="inlineStr">
        <is>
          <t>BLENDING</t>
        </is>
      </c>
      <c r="E918" s="109" t="inlineStr">
        <is>
          <t>538843/C</t>
        </is>
      </c>
      <c r="F918" s="109" t="inlineStr">
        <is>
          <t>4500</t>
        </is>
      </c>
      <c r="G918" s="109" t="inlineStr">
        <is>
          <t>messa in servizio valvola regolatrice  PCV-008_A + collegamento barilotto aria strumentale</t>
        </is>
      </c>
      <c r="H918" s="109" t="n"/>
      <c r="I918" s="109" t="n"/>
      <c r="J918" s="109" t="n"/>
      <c r="K918" s="109" t="n"/>
      <c r="L918" s="109" t="n"/>
      <c r="M918" s="110" t="inlineStr">
        <is>
          <t>DA CHIUDERE</t>
        </is>
      </c>
      <c r="N918" s="110" t="n"/>
      <c r="O918" s="110" t="n"/>
      <c r="P918" s="110" t="n"/>
      <c r="Q918" s="110" t="inlineStr">
        <is>
          <t>RIPRISTINATA FUNZIONALITA'</t>
        </is>
      </c>
      <c r="R918" s="151" t="n">
        <v>45806</v>
      </c>
      <c r="S918" s="110" t="inlineStr">
        <is>
          <t>MILLO</t>
        </is>
      </c>
      <c r="T918" s="109" t="inlineStr"/>
      <c r="U918" s="147" t="inlineStr"/>
    </row>
    <row r="919" ht="30" customHeight="1" s="122">
      <c r="A919" s="109" t="n"/>
      <c r="B919" s="108" t="inlineStr">
        <is>
          <t>X</t>
        </is>
      </c>
      <c r="C919" s="109" t="inlineStr"/>
      <c r="D919" s="109" t="inlineStr">
        <is>
          <t>BLENDING</t>
        </is>
      </c>
      <c r="E919" s="109" t="inlineStr">
        <is>
          <t>313874/S</t>
        </is>
      </c>
      <c r="F919" s="109" t="inlineStr">
        <is>
          <t>BLENDING</t>
        </is>
      </c>
      <c r="G919" s="109" t="inlineStr">
        <is>
          <t>BLENDING - Ripristino gruppo manometrico mandata pompa P320B</t>
        </is>
      </c>
      <c r="H919" s="109" t="n"/>
      <c r="I919" s="109" t="n"/>
      <c r="J919" s="109" t="n"/>
      <c r="K919" s="109" t="n"/>
      <c r="L919" s="109" t="n"/>
      <c r="M919" s="110" t="inlineStr">
        <is>
          <t>DA CHIUDERE</t>
        </is>
      </c>
      <c r="N919" s="110" t="n"/>
      <c r="O919" s="110" t="n"/>
      <c r="P919" s="110" t="n"/>
      <c r="Q919" s="110" t="n"/>
      <c r="R919" s="151" t="n"/>
      <c r="S919" s="110" t="n"/>
      <c r="T919" s="109" t="inlineStr"/>
      <c r="U919" s="147" t="inlineStr"/>
    </row>
    <row r="920" ht="30" customHeight="1" s="122">
      <c r="A920" s="109" t="n"/>
      <c r="B920" s="109" t="inlineStr">
        <is>
          <t>X</t>
        </is>
      </c>
      <c r="C920" s="109" t="inlineStr"/>
      <c r="D920" s="109" t="inlineStr">
        <is>
          <t>BLENDING</t>
        </is>
      </c>
      <c r="E920" s="109" t="inlineStr">
        <is>
          <t>312614/S</t>
        </is>
      </c>
      <c r="F920" s="109" t="inlineStr">
        <is>
          <t>BLENDING</t>
        </is>
      </c>
      <c r="G920" s="109" t="inlineStr">
        <is>
          <t>BLENDING - verifica e ripristino funzionalità attuatore pneumatico sfioro P603B</t>
        </is>
      </c>
      <c r="H920" s="109" t="n"/>
      <c r="I920" s="109" t="n"/>
      <c r="J920" s="109" t="n"/>
      <c r="K920" s="109" t="n"/>
      <c r="L920" s="109" t="n"/>
      <c r="M920" s="109" t="inlineStr">
        <is>
          <t>DA CHIUDERE</t>
        </is>
      </c>
      <c r="N920" s="109" t="inlineStr">
        <is>
          <t>X</t>
        </is>
      </c>
      <c r="O920" s="109" t="n"/>
      <c r="P920" s="109" t="n"/>
      <c r="Q920" s="109" t="inlineStr">
        <is>
          <t>CONTROLLO VALVOLA NON ESEGUITO PER POMPA IN MARCIA</t>
        </is>
      </c>
      <c r="R920" s="151" t="n">
        <v>45782</v>
      </c>
      <c r="S920" s="109" t="inlineStr">
        <is>
          <t>RICIPUTO</t>
        </is>
      </c>
      <c r="T920" s="109" t="inlineStr"/>
      <c r="U920" s="147" t="inlineStr"/>
    </row>
    <row r="921" ht="30" customHeight="1" s="122">
      <c r="A921" s="109" t="n"/>
      <c r="B921" s="108" t="inlineStr">
        <is>
          <t>X</t>
        </is>
      </c>
      <c r="C921" s="109" t="inlineStr"/>
      <c r="D921" s="109" t="inlineStr">
        <is>
          <t>BLENDING</t>
        </is>
      </c>
      <c r="E921" s="109" t="inlineStr">
        <is>
          <t>531750/C</t>
        </is>
      </c>
      <c r="F921" s="109" t="inlineStr">
        <is>
          <t>BLENDING</t>
        </is>
      </c>
      <c r="G921" s="109" t="inlineStr">
        <is>
          <t>BLENDING - S702 : Controllo funzionalita' valvola controllo temperatura TCV-702</t>
        </is>
      </c>
      <c r="H921" s="109" t="n"/>
      <c r="I921" s="109" t="n"/>
      <c r="J921" s="109" t="n"/>
      <c r="K921" s="109" t="n"/>
      <c r="L921" s="109" t="n"/>
      <c r="M921" s="110" t="inlineStr">
        <is>
          <t>DA CHIUDERE</t>
        </is>
      </c>
      <c r="N921" s="110" t="n"/>
      <c r="O921" s="110" t="n"/>
      <c r="P921" s="110" t="n"/>
      <c r="Q921" s="110" t="n"/>
      <c r="R921" s="151" t="n"/>
      <c r="S921" s="110" t="n"/>
      <c r="T921" s="109" t="inlineStr"/>
      <c r="U921" s="147" t="inlineStr"/>
    </row>
    <row r="922" ht="30" customHeight="1" s="122">
      <c r="A922" s="109" t="n"/>
      <c r="B922" s="108" t="inlineStr">
        <is>
          <t>X</t>
        </is>
      </c>
      <c r="C922" s="109" t="inlineStr"/>
      <c r="D922" s="109" t="inlineStr">
        <is>
          <t>BLENDING</t>
        </is>
      </c>
      <c r="E922" s="109" t="inlineStr">
        <is>
          <t>533743/C</t>
        </is>
      </c>
      <c r="F922" s="109" t="inlineStr">
        <is>
          <t>BLENDING</t>
        </is>
      </c>
      <c r="G922" s="109" t="inlineStr">
        <is>
          <t xml:space="preserve">PONTILE  - Taratura pressostati pompe MP102-MP110-MP201-MP101A-DP101B-DP101S in S.P. Antincendio Pontile come da elenco allegato </t>
        </is>
      </c>
      <c r="H922" s="109" t="n"/>
      <c r="I922" s="109" t="n"/>
      <c r="J922" s="109" t="n"/>
      <c r="K922" s="109" t="n"/>
      <c r="L922" s="109" t="n"/>
      <c r="M922" s="110" t="inlineStr">
        <is>
          <t>DA CHIUDERE</t>
        </is>
      </c>
      <c r="N922" s="110" t="n"/>
      <c r="O922" s="110" t="n"/>
      <c r="P922" s="110" t="n"/>
      <c r="Q922" s="110" t="n"/>
      <c r="R922" s="151" t="n"/>
      <c r="S922" s="110" t="n"/>
      <c r="T922" s="109" t="inlineStr"/>
      <c r="U922" s="147" t="inlineStr"/>
    </row>
    <row r="923" ht="30" customHeight="1" s="122">
      <c r="A923" s="109" t="n"/>
      <c r="B923" s="108" t="inlineStr">
        <is>
          <t>X</t>
        </is>
      </c>
      <c r="C923" s="109" t="inlineStr"/>
      <c r="D923" s="109" t="inlineStr">
        <is>
          <t>BLENDING</t>
        </is>
      </c>
      <c r="E923" s="109" t="inlineStr">
        <is>
          <t>312611/S</t>
        </is>
      </c>
      <c r="F923" s="109" t="inlineStr">
        <is>
          <t>BLENDING</t>
        </is>
      </c>
      <c r="G923" s="109" t="inlineStr">
        <is>
          <t>BLENDING - verifica e ripristino funzionalità attuatore pneumatico sfioro P605</t>
        </is>
      </c>
      <c r="H923" s="109" t="n"/>
      <c r="I923" s="109" t="n"/>
      <c r="J923" s="109" t="n"/>
      <c r="K923" s="109" t="n"/>
      <c r="L923" s="109" t="n"/>
      <c r="M923" s="110" t="inlineStr">
        <is>
          <t>DA CHIUDERE</t>
        </is>
      </c>
      <c r="N923" s="110" t="n"/>
      <c r="O923" s="110" t="n"/>
      <c r="P923" s="110" t="n"/>
      <c r="Q923" s="110" t="inlineStr">
        <is>
          <t>SOSTITUITO IP CONVERTER, FILTRO RIDUTTORE E MANOMETRI POSIZIONATORE RIPRISTINANDO LA FUNZIONALITA'</t>
        </is>
      </c>
      <c r="R923" s="151" t="n">
        <v>45782</v>
      </c>
      <c r="S923" s="110" t="inlineStr">
        <is>
          <t>RICIPUTO</t>
        </is>
      </c>
      <c r="T923" s="109" t="inlineStr"/>
      <c r="U923" s="147" t="inlineStr"/>
    </row>
    <row r="924" ht="30" customHeight="1" s="122">
      <c r="A924" s="109" t="n"/>
      <c r="B924" s="109" t="inlineStr">
        <is>
          <t>X</t>
        </is>
      </c>
      <c r="C924" s="109" t="inlineStr"/>
      <c r="D924" s="109" t="inlineStr">
        <is>
          <t>BLENDING</t>
        </is>
      </c>
      <c r="E924" s="109" t="inlineStr">
        <is>
          <t>534679/C</t>
        </is>
      </c>
      <c r="F924" s="109" t="inlineStr">
        <is>
          <t>BLENDING</t>
        </is>
      </c>
      <c r="G924" s="109" t="inlineStr">
        <is>
          <t>BLENDING - Controllo termocoppia T2001IC presso gli scambiatori E201</t>
        </is>
      </c>
      <c r="H924" s="109" t="n"/>
      <c r="I924" s="109" t="n"/>
      <c r="J924" s="109" t="n"/>
      <c r="K924" s="109" t="n"/>
      <c r="L924" s="109" t="n"/>
      <c r="M924" s="110" t="inlineStr">
        <is>
          <t>DA CHIUDERE</t>
        </is>
      </c>
      <c r="N924" s="110" t="n"/>
      <c r="O924" s="110" t="n"/>
      <c r="P924" s="110" t="n"/>
      <c r="Q924" s="110" t="inlineStr">
        <is>
          <t xml:space="preserve">NON ARRIVA AL DCS </t>
        </is>
      </c>
      <c r="R924" s="151" t="n">
        <v>45779</v>
      </c>
      <c r="S924" s="110" t="inlineStr">
        <is>
          <t>RICIPUTO</t>
        </is>
      </c>
      <c r="T924" s="109" t="inlineStr"/>
      <c r="U924" s="147" t="inlineStr"/>
    </row>
    <row r="925" ht="30" customHeight="1" s="122">
      <c r="A925" s="109" t="n"/>
      <c r="B925" s="108" t="inlineStr">
        <is>
          <t>X</t>
        </is>
      </c>
      <c r="C925" s="109" t="inlineStr"/>
      <c r="D925" s="109" t="inlineStr">
        <is>
          <t>BLENDING</t>
        </is>
      </c>
      <c r="E925" s="109" t="inlineStr">
        <is>
          <t>534576/C</t>
        </is>
      </c>
      <c r="F925" s="109" t="inlineStr">
        <is>
          <t>BLENDING</t>
        </is>
      </c>
      <c r="G925" s="109" t="inlineStr">
        <is>
          <t>BLENDING - Ricerca guasto e ripristino funzionalita' valvola di blocco braccio di carico lato monte BR301 + verifica funzionalita' E.V. aria strumenti</t>
        </is>
      </c>
      <c r="H925" s="109" t="n"/>
      <c r="I925" s="109" t="n"/>
      <c r="J925" s="109" t="n"/>
      <c r="K925" s="109" t="n"/>
      <c r="L925" s="109" t="n"/>
      <c r="M925" s="110" t="inlineStr">
        <is>
          <t>DA CHIUDERE</t>
        </is>
      </c>
      <c r="N925" s="110" t="n"/>
      <c r="O925" s="110" t="n"/>
      <c r="P925" s="110" t="n"/>
      <c r="Q925" s="110" t="inlineStr">
        <is>
          <t>RIPRISTINATO FINECORSA E COLLEGAMENTI</t>
        </is>
      </c>
      <c r="R925" s="151" t="n">
        <v>45775</v>
      </c>
      <c r="S925" s="110" t="inlineStr">
        <is>
          <t>RICIPUTO/PARTESANO</t>
        </is>
      </c>
      <c r="T925" s="109" t="inlineStr"/>
      <c r="U925" s="147" t="inlineStr"/>
    </row>
    <row r="926" ht="30" customHeight="1" s="122">
      <c r="A926" s="109" t="n"/>
      <c r="B926" s="108" t="inlineStr">
        <is>
          <t>X</t>
        </is>
      </c>
      <c r="C926" s="109" t="inlineStr"/>
      <c r="D926" s="109" t="inlineStr">
        <is>
          <t>BLENDING</t>
        </is>
      </c>
      <c r="E926" s="109" t="inlineStr">
        <is>
          <t>534568/C</t>
        </is>
      </c>
      <c r="F926" s="109" t="inlineStr">
        <is>
          <t>BLENDING</t>
        </is>
      </c>
      <c r="G926" s="109" t="inlineStr">
        <is>
          <t xml:space="preserve">BLENDING - ripristino sistema di gorgogliamento braccio di carico lato mare BR302-B </t>
        </is>
      </c>
      <c r="H926" s="109" t="n"/>
      <c r="I926" s="109" t="n"/>
      <c r="J926" s="109" t="n"/>
      <c r="K926" s="109" t="n"/>
      <c r="L926" s="109" t="n"/>
      <c r="M926" s="110" t="inlineStr">
        <is>
          <t>DA CHIUDERE</t>
        </is>
      </c>
      <c r="N926" s="110" t="n"/>
      <c r="O926" s="110" t="n"/>
      <c r="P926" s="110" t="n"/>
      <c r="Q926" s="110" t="inlineStr">
        <is>
          <t>SOSTITUITA ELETTROVALVOLA GUASTA</t>
        </is>
      </c>
      <c r="R926" s="151" t="n">
        <v>45775</v>
      </c>
      <c r="S926" s="110" t="inlineStr">
        <is>
          <t>RICIPUTO/PARTESANO</t>
        </is>
      </c>
      <c r="T926" s="109" t="inlineStr"/>
      <c r="U926" s="147" t="inlineStr"/>
    </row>
    <row r="927" ht="30" customHeight="1" s="122">
      <c r="A927" s="109" t="n"/>
      <c r="B927" s="108" t="inlineStr">
        <is>
          <t>X</t>
        </is>
      </c>
      <c r="C927" s="109" t="inlineStr"/>
      <c r="D927" s="109" t="inlineStr">
        <is>
          <t>BLENDING</t>
        </is>
      </c>
      <c r="E927" s="109" t="inlineStr">
        <is>
          <t>533749/C</t>
        </is>
      </c>
      <c r="F927" s="109" t="inlineStr">
        <is>
          <t>BLENDING</t>
        </is>
      </c>
      <c r="G927" s="109" t="inlineStr">
        <is>
          <t>ANTICENDIO - DP1003-B/C e MP1003-A/D Taratura pressostati pompe antincendio Raffineria come da elenco allegato</t>
        </is>
      </c>
      <c r="H927" s="109" t="n"/>
      <c r="I927" s="109" t="n"/>
      <c r="J927" s="109" t="n"/>
      <c r="K927" s="109" t="n"/>
      <c r="L927" s="109" t="n"/>
      <c r="M927" s="110" t="inlineStr">
        <is>
          <t>DA CHIUDERE</t>
        </is>
      </c>
      <c r="N927" s="110" t="n"/>
      <c r="O927" s="110" t="n"/>
      <c r="P927" s="110" t="n"/>
      <c r="Q927" s="110" t="n"/>
      <c r="R927" s="151" t="n"/>
      <c r="S927" s="110" t="n"/>
      <c r="T927" s="109" t="inlineStr"/>
      <c r="U927" s="147" t="inlineStr"/>
    </row>
    <row r="928" ht="30" customHeight="1" s="122">
      <c r="A928" s="109" t="n"/>
      <c r="B928" s="109" t="inlineStr">
        <is>
          <t>X</t>
        </is>
      </c>
      <c r="C928" s="109" t="inlineStr"/>
      <c r="D928" s="109" t="inlineStr">
        <is>
          <t>BLENDING</t>
        </is>
      </c>
      <c r="E928" s="109" t="inlineStr">
        <is>
          <t>526508/C</t>
        </is>
      </c>
      <c r="F928" s="109" t="inlineStr">
        <is>
          <t>BLENDING</t>
        </is>
      </c>
      <c r="G928" s="109" t="inlineStr">
        <is>
          <t>ARCOM - montaggio e collegamento celle di carico Bilico Portineria ATB</t>
        </is>
      </c>
      <c r="H928" s="109" t="n"/>
      <c r="I928" s="109" t="n"/>
      <c r="J928" s="109" t="n"/>
      <c r="K928" s="109" t="n"/>
      <c r="L928" s="109" t="n"/>
      <c r="M928" s="109" t="inlineStr">
        <is>
          <t>DA CHIUDERE</t>
        </is>
      </c>
      <c r="N928" s="109" t="n"/>
      <c r="O928" s="109" t="n"/>
      <c r="P928" s="109" t="n"/>
      <c r="Q928" s="109" t="n"/>
      <c r="R928" s="151" t="n">
        <v>45710</v>
      </c>
      <c r="S928" s="109" t="n"/>
      <c r="T928" s="109" t="inlineStr"/>
      <c r="U928" s="109" t="inlineStr"/>
    </row>
    <row r="929" ht="30" customHeight="1" s="122">
      <c r="A929" s="109" t="n"/>
      <c r="B929" s="108" t="inlineStr">
        <is>
          <t>X</t>
        </is>
      </c>
      <c r="C929" s="109" t="inlineStr"/>
      <c r="D929" s="109" t="inlineStr">
        <is>
          <t>BLENDING</t>
        </is>
      </c>
      <c r="E929" s="109" t="inlineStr">
        <is>
          <t>533286/C</t>
        </is>
      </c>
      <c r="F929" s="109" t="inlineStr">
        <is>
          <t>BLENDING</t>
        </is>
      </c>
      <c r="G929" s="109" t="inlineStr">
        <is>
          <t xml:space="preserve">ANTICENDIO - Modifica taratura del pressostato di avviamento per bassa pressione del motore Diesel antincendio Raffineria da 22 bar </t>
        </is>
      </c>
      <c r="H929" s="109" t="n"/>
      <c r="I929" s="109" t="n"/>
      <c r="J929" s="109" t="n"/>
      <c r="K929" s="109" t="n"/>
      <c r="L929" s="109" t="n"/>
      <c r="M929" s="110" t="inlineStr">
        <is>
          <t>DA CHIUDERE</t>
        </is>
      </c>
      <c r="N929" s="110" t="n"/>
      <c r="O929" s="110" t="n"/>
      <c r="P929" s="110" t="n"/>
      <c r="Q929" s="110" t="n"/>
      <c r="R929" s="151" t="n"/>
      <c r="S929" s="110" t="n"/>
      <c r="T929" s="109" t="inlineStr"/>
      <c r="U929" s="147" t="inlineStr"/>
    </row>
    <row r="930" ht="30" customHeight="1" s="122">
      <c r="A930" s="109" t="n"/>
      <c r="B930" s="108" t="inlineStr">
        <is>
          <t>X</t>
        </is>
      </c>
      <c r="C930" s="109" t="inlineStr"/>
      <c r="D930" s="109" t="inlineStr">
        <is>
          <t>BLENDING</t>
        </is>
      </c>
      <c r="E930" s="109" t="inlineStr">
        <is>
          <t>533199/C</t>
        </is>
      </c>
      <c r="F930" s="109" t="inlineStr">
        <is>
          <t>BLENDING</t>
        </is>
      </c>
      <c r="G930" s="109" t="inlineStr">
        <is>
          <t>BLENDING - ripristino sonda antitrabocco BR22</t>
        </is>
      </c>
      <c r="H930" s="109" t="n"/>
      <c r="I930" s="109" t="n"/>
      <c r="J930" s="109" t="n"/>
      <c r="K930" s="109" t="n"/>
      <c r="L930" s="109" t="n"/>
      <c r="M930" s="110" t="inlineStr">
        <is>
          <t>DA CHIUDERE</t>
        </is>
      </c>
      <c r="N930" s="110" t="n"/>
      <c r="O930" s="110" t="n"/>
      <c r="P930" s="110" t="n"/>
      <c r="Q930" s="110" t="n"/>
      <c r="R930" s="151" t="n"/>
      <c r="S930" s="110" t="n"/>
      <c r="T930" s="109" t="inlineStr"/>
      <c r="U930" s="147" t="inlineStr"/>
    </row>
    <row r="931" ht="30" customHeight="1" s="122">
      <c r="A931" s="109" t="n"/>
      <c r="B931" s="108" t="inlineStr">
        <is>
          <t>X</t>
        </is>
      </c>
      <c r="C931" s="109" t="inlineStr"/>
      <c r="D931" s="109" t="inlineStr">
        <is>
          <t>BLENDING</t>
        </is>
      </c>
      <c r="E931" s="109" t="inlineStr">
        <is>
          <t>532510/C</t>
        </is>
      </c>
      <c r="F931" s="109" t="inlineStr">
        <is>
          <t>BLENDING</t>
        </is>
      </c>
      <c r="G931" s="109" t="inlineStr">
        <is>
          <t>BLENDING - Assistenza strumentale per manutenzione Flexi Mix Rampa 6</t>
        </is>
      </c>
      <c r="H931" s="109" t="n"/>
      <c r="I931" s="109" t="n"/>
      <c r="J931" s="109" t="n"/>
      <c r="K931" s="109" t="n"/>
      <c r="L931" s="109" t="n"/>
      <c r="M931" s="110" t="inlineStr">
        <is>
          <t>DA CHIUDERE</t>
        </is>
      </c>
      <c r="N931" s="110" t="n"/>
      <c r="O931" s="110" t="n"/>
      <c r="P931" s="110" t="n"/>
      <c r="Q931" s="110" t="n"/>
      <c r="R931" s="151" t="n"/>
      <c r="S931" s="110" t="n"/>
      <c r="T931" s="109" t="inlineStr"/>
      <c r="U931" s="147" t="inlineStr"/>
    </row>
    <row r="932">
      <c r="A932" s="109" t="n"/>
      <c r="B932" s="108" t="inlineStr">
        <is>
          <t>X</t>
        </is>
      </c>
      <c r="C932" s="109" t="inlineStr"/>
      <c r="D932" s="109" t="inlineStr">
        <is>
          <t>BLENDING</t>
        </is>
      </c>
      <c r="E932" s="109" t="inlineStr">
        <is>
          <t>532211/C</t>
        </is>
      </c>
      <c r="F932" s="109" t="inlineStr">
        <is>
          <t>PONTILE</t>
        </is>
      </c>
      <c r="G932" s="109" t="inlineStr">
        <is>
          <t>PONTILE - verifica e ripristino funzionalita'  trasmettitore di livello barilotto slop</t>
        </is>
      </c>
      <c r="H932" s="109" t="n"/>
      <c r="I932" s="109" t="n"/>
      <c r="J932" s="109" t="n"/>
      <c r="K932" s="109" t="n"/>
      <c r="L932" s="109" t="n"/>
      <c r="M932" s="110" t="inlineStr">
        <is>
          <t>DA CHIUDERE</t>
        </is>
      </c>
      <c r="N932" s="110" t="n"/>
      <c r="O932" s="110" t="n"/>
      <c r="P932" s="110" t="n"/>
      <c r="Q932" s="110" t="n"/>
      <c r="R932" s="151" t="n"/>
      <c r="S932" s="110" t="n"/>
      <c r="T932" s="109" t="inlineStr"/>
      <c r="U932" s="147" t="inlineStr"/>
    </row>
    <row r="933" ht="30" customHeight="1" s="122">
      <c r="A933" s="109" t="n"/>
      <c r="B933" s="109" t="inlineStr">
        <is>
          <t>X</t>
        </is>
      </c>
      <c r="C933" s="109" t="inlineStr"/>
      <c r="D933" s="109" t="inlineStr">
        <is>
          <t>BLENDING</t>
        </is>
      </c>
      <c r="E933" s="109" t="inlineStr">
        <is>
          <t>531796/C</t>
        </is>
      </c>
      <c r="F933" s="109" t="inlineStr">
        <is>
          <t>BLENDING</t>
        </is>
      </c>
      <c r="G933" s="109" t="inlineStr">
        <is>
          <t>BLENDING - EMERGENZA 6500 CVT RAMBA 4 RICERCA GUASTO</t>
        </is>
      </c>
      <c r="H933" s="109" t="n"/>
      <c r="I933" s="109" t="n"/>
      <c r="J933" s="109" t="n"/>
      <c r="K933" s="109" t="n"/>
      <c r="L933" s="109" t="n"/>
      <c r="M933" s="109" t="inlineStr">
        <is>
          <t>DA CHIUDERE</t>
        </is>
      </c>
      <c r="N933" s="109" t="n"/>
      <c r="O933" s="109" t="n"/>
      <c r="P933" s="109" t="n"/>
      <c r="Q933" s="109" t="n"/>
      <c r="R933" s="151" t="n"/>
      <c r="S933" s="109" t="n"/>
      <c r="T933" s="109" t="inlineStr"/>
      <c r="U933" s="109" t="inlineStr"/>
    </row>
    <row r="934" ht="30" customHeight="1" s="122">
      <c r="A934" s="109" t="n"/>
      <c r="B934" s="109" t="inlineStr">
        <is>
          <t>X</t>
        </is>
      </c>
      <c r="C934" s="109" t="inlineStr"/>
      <c r="D934" s="109" t="inlineStr">
        <is>
          <t>BLENDING</t>
        </is>
      </c>
      <c r="E934" s="109" t="inlineStr">
        <is>
          <t>531742/C</t>
        </is>
      </c>
      <c r="F934" s="109" t="inlineStr">
        <is>
          <t>BLENDING</t>
        </is>
      </c>
      <c r="G934" s="109" t="inlineStr">
        <is>
          <t>BLENDING - controllo loop di regolazione valvole (non si muovono)</t>
        </is>
      </c>
      <c r="H934" s="109" t="n"/>
      <c r="I934" s="109" t="n"/>
      <c r="J934" s="109" t="n"/>
      <c r="K934" s="109" t="n"/>
      <c r="L934" s="109" t="n"/>
      <c r="M934" s="109" t="inlineStr">
        <is>
          <t>DA CHIUDERE</t>
        </is>
      </c>
      <c r="N934" s="109" t="n"/>
      <c r="O934" s="109" t="n"/>
      <c r="P934" s="109" t="n"/>
      <c r="Q934" s="109" t="n"/>
      <c r="R934" s="151" t="n"/>
      <c r="S934" s="109" t="n"/>
      <c r="T934" s="109" t="inlineStr"/>
      <c r="U934" s="109" t="inlineStr"/>
    </row>
    <row r="935">
      <c r="A935" s="109" t="n"/>
      <c r="B935" s="108" t="inlineStr">
        <is>
          <t>X</t>
        </is>
      </c>
      <c r="C935" s="109" t="inlineStr"/>
      <c r="D935" s="109" t="inlineStr">
        <is>
          <t>BLENDING</t>
        </is>
      </c>
      <c r="E935" s="109" t="inlineStr">
        <is>
          <t>531401/C</t>
        </is>
      </c>
      <c r="F935" s="109" t="inlineStr">
        <is>
          <t>PONTILE</t>
        </is>
      </c>
      <c r="G935" s="109" t="inlineStr">
        <is>
          <t>Controllo livellostati rilevamento perdite sovrappasso lato Pontile + drenaggio barilotto</t>
        </is>
      </c>
      <c r="H935" s="109" t="n"/>
      <c r="I935" s="109" t="n"/>
      <c r="J935" s="109" t="n"/>
      <c r="K935" s="109" t="n"/>
      <c r="L935" s="109" t="n"/>
      <c r="M935" s="110" t="inlineStr">
        <is>
          <t>DA CHIUDERE</t>
        </is>
      </c>
      <c r="N935" s="110" t="n"/>
      <c r="O935" s="110" t="n"/>
      <c r="P935" s="110" t="n"/>
      <c r="Q935" s="110" t="n"/>
      <c r="R935" s="151" t="n"/>
      <c r="S935" s="110" t="n"/>
      <c r="T935" s="109" t="inlineStr"/>
      <c r="U935" s="147" t="inlineStr"/>
    </row>
    <row r="936">
      <c r="A936" s="109" t="n"/>
      <c r="B936" s="109" t="inlineStr">
        <is>
          <t>X</t>
        </is>
      </c>
      <c r="C936" s="109" t="inlineStr"/>
      <c r="D936" s="109" t="inlineStr">
        <is>
          <t>BLENDING</t>
        </is>
      </c>
      <c r="E936" s="109" t="inlineStr">
        <is>
          <t>530921/C</t>
        </is>
      </c>
      <c r="F936" s="109" t="inlineStr">
        <is>
          <t>CVT</t>
        </is>
      </c>
      <c r="G936" s="109" t="inlineStr">
        <is>
          <t xml:space="preserve">CVT - Rampa 6 : revisione E.V. della  valvola di radice del Braccio 64 </t>
        </is>
      </c>
      <c r="H936" s="109" t="n"/>
      <c r="I936" s="109" t="n"/>
      <c r="J936" s="109" t="n"/>
      <c r="K936" s="109" t="n"/>
      <c r="L936" s="109" t="n"/>
      <c r="M936" s="109" t="inlineStr">
        <is>
          <t>DA CHIUDERE</t>
        </is>
      </c>
      <c r="N936" s="109" t="n"/>
      <c r="O936" s="109" t="n"/>
      <c r="P936" s="109" t="n"/>
      <c r="Q936" s="109" t="n"/>
      <c r="R936" s="151" t="n"/>
      <c r="S936" s="109" t="n"/>
      <c r="T936" s="109" t="inlineStr"/>
      <c r="U936" s="147" t="inlineStr"/>
    </row>
    <row r="937">
      <c r="A937" s="109" t="n"/>
      <c r="B937" s="108" t="inlineStr">
        <is>
          <t>X</t>
        </is>
      </c>
      <c r="C937" s="109" t="inlineStr"/>
      <c r="D937" s="109" t="inlineStr">
        <is>
          <t>BLENDING</t>
        </is>
      </c>
      <c r="E937" s="109" t="inlineStr">
        <is>
          <t>530919/C</t>
        </is>
      </c>
      <c r="F937" s="109" t="inlineStr">
        <is>
          <t>CVT</t>
        </is>
      </c>
      <c r="G937" s="109" t="inlineStr">
        <is>
          <t xml:space="preserve">CVT - Rampa 2 : revisione E.V. delle  valvole di radice dei Bracci 23 - 24 - 26 </t>
        </is>
      </c>
      <c r="H937" s="109" t="n"/>
      <c r="I937" s="109" t="n"/>
      <c r="J937" s="109" t="n"/>
      <c r="K937" s="109" t="n"/>
      <c r="L937" s="109" t="n"/>
      <c r="M937" s="110" t="inlineStr">
        <is>
          <t>DA CHIUDERE</t>
        </is>
      </c>
      <c r="N937" s="110" t="n"/>
      <c r="O937" s="110" t="n"/>
      <c r="P937" s="110" t="n"/>
      <c r="Q937" s="110" t="n"/>
      <c r="R937" s="151" t="n"/>
      <c r="S937" s="110" t="n"/>
      <c r="T937" s="109" t="inlineStr"/>
      <c r="U937" s="147" t="inlineStr"/>
    </row>
    <row r="938" ht="45" customHeight="1" s="122">
      <c r="A938" s="109" t="n"/>
      <c r="B938" s="109" t="inlineStr">
        <is>
          <t>X</t>
        </is>
      </c>
      <c r="C938" s="109" t="inlineStr"/>
      <c r="D938" s="109" t="inlineStr">
        <is>
          <t>BLENDING</t>
        </is>
      </c>
      <c r="E938" s="109" t="inlineStr">
        <is>
          <t>531394/C</t>
        </is>
      </c>
      <c r="F938" s="109" t="inlineStr">
        <is>
          <t>BLENDING</t>
        </is>
      </c>
      <c r="G938" s="109" t="inlineStr">
        <is>
          <t>Controllo livellostati rilevamento perdite sovrappasso lato raffineria + drenaggio barilotto (LSH_01 - LSH_02 - LSH_03 - LSH_021 - LSH_023 - LSH_024 - LSH_025 - LSH_026 - LSH_029 - LSH_031 - LSH_032 - LSH_040)</t>
        </is>
      </c>
      <c r="H938" s="109" t="n"/>
      <c r="I938" s="109" t="n"/>
      <c r="J938" s="109" t="n"/>
      <c r="K938" s="109" t="n"/>
      <c r="L938" s="109" t="n"/>
      <c r="M938" s="109" t="inlineStr">
        <is>
          <t>DA CHIUDERE</t>
        </is>
      </c>
      <c r="N938" s="109" t="n"/>
      <c r="O938" s="109" t="n"/>
      <c r="P938" s="109" t="n"/>
      <c r="Q938" s="109" t="n"/>
      <c r="R938" s="151" t="n"/>
      <c r="S938" s="109" t="n"/>
      <c r="T938" s="109" t="inlineStr"/>
      <c r="U938" s="109" t="inlineStr"/>
    </row>
    <row r="939" ht="30" customHeight="1" s="122">
      <c r="A939" s="109" t="n"/>
      <c r="B939" s="108" t="inlineStr">
        <is>
          <t>X</t>
        </is>
      </c>
      <c r="C939" s="109" t="inlineStr"/>
      <c r="D939" s="109" t="inlineStr">
        <is>
          <t>BLENDING</t>
        </is>
      </c>
      <c r="E939" s="109" t="inlineStr">
        <is>
          <t>530241/C</t>
        </is>
      </c>
      <c r="F939" s="109" t="inlineStr">
        <is>
          <t>BLENDING</t>
        </is>
      </c>
      <c r="G939" s="109" t="inlineStr">
        <is>
          <t>BLENDING - Verifica taratura trasmettitore di portata F6023RC e allineamento con sala controllo</t>
        </is>
      </c>
      <c r="H939" s="109" t="n"/>
      <c r="I939" s="109" t="n"/>
      <c r="J939" s="109" t="n"/>
      <c r="K939" s="109" t="n"/>
      <c r="L939" s="109" t="n"/>
      <c r="M939" s="110" t="inlineStr">
        <is>
          <t>DA CHIUDERE</t>
        </is>
      </c>
      <c r="N939" s="110" t="n"/>
      <c r="O939" s="110" t="n"/>
      <c r="P939" s="110" t="n"/>
      <c r="Q939" s="110" t="n"/>
      <c r="R939" s="151" t="n"/>
      <c r="S939" s="110" t="n"/>
      <c r="T939" s="109" t="inlineStr"/>
      <c r="U939" s="147" t="inlineStr"/>
    </row>
    <row r="940" ht="30" customHeight="1" s="122">
      <c r="A940" s="109" t="n"/>
      <c r="B940" s="109" t="inlineStr">
        <is>
          <t>X</t>
        </is>
      </c>
      <c r="C940" s="109" t="inlineStr"/>
      <c r="D940" s="109" t="inlineStr">
        <is>
          <t>BLENDING</t>
        </is>
      </c>
      <c r="E940" s="109" t="inlineStr">
        <is>
          <t>530240/C</t>
        </is>
      </c>
      <c r="F940" s="109" t="inlineStr">
        <is>
          <t>BLENDING</t>
        </is>
      </c>
      <c r="G940" s="109" t="inlineStr">
        <is>
          <t>BLENDING - Verifica taratura trasmettitore di portata F6022RC e allineamento con sala controllo</t>
        </is>
      </c>
      <c r="H940" s="109" t="n"/>
      <c r="I940" s="109" t="n"/>
      <c r="J940" s="109" t="n"/>
      <c r="K940" s="109" t="n"/>
      <c r="L940" s="109" t="n"/>
      <c r="M940" s="109" t="inlineStr">
        <is>
          <t>DA CHIUDERE</t>
        </is>
      </c>
      <c r="N940" s="109" t="n"/>
      <c r="O940" s="109" t="n"/>
      <c r="P940" s="109" t="n"/>
      <c r="Q940" s="109" t="n"/>
      <c r="R940" s="151" t="n"/>
      <c r="S940" s="109" t="n"/>
      <c r="T940" s="109" t="inlineStr"/>
      <c r="U940" s="109" t="inlineStr"/>
    </row>
    <row r="941" ht="30" customHeight="1" s="122">
      <c r="A941" s="109" t="n"/>
      <c r="B941" s="109" t="inlineStr">
        <is>
          <t>X</t>
        </is>
      </c>
      <c r="C941" s="109" t="inlineStr"/>
      <c r="D941" s="109" t="inlineStr">
        <is>
          <t>BLENDING</t>
        </is>
      </c>
      <c r="E941" s="109" t="inlineStr">
        <is>
          <t>530239/C</t>
        </is>
      </c>
      <c r="F941" s="109" t="inlineStr">
        <is>
          <t>BLENDING</t>
        </is>
      </c>
      <c r="G941" s="109" t="inlineStr">
        <is>
          <t>Verifica taratura trasmettitore di portata F6021RC e allineamento con sala controllo</t>
        </is>
      </c>
      <c r="H941" s="109" t="n"/>
      <c r="I941" s="109" t="n"/>
      <c r="J941" s="109" t="n"/>
      <c r="K941" s="109" t="n"/>
      <c r="L941" s="109" t="n"/>
      <c r="M941" s="109" t="inlineStr">
        <is>
          <t>DA CHIUDERE</t>
        </is>
      </c>
      <c r="N941" s="109" t="n"/>
      <c r="O941" s="109" t="n"/>
      <c r="P941" s="109" t="n"/>
      <c r="Q941" s="109" t="n"/>
      <c r="R941" s="151" t="n"/>
      <c r="S941" s="109" t="n"/>
      <c r="T941" s="109" t="inlineStr"/>
      <c r="U941" s="109" t="inlineStr"/>
    </row>
    <row r="942" ht="30" customHeight="1" s="122">
      <c r="A942" s="109" t="n"/>
      <c r="B942" s="109" t="inlineStr">
        <is>
          <t>X</t>
        </is>
      </c>
      <c r="C942" s="109" t="inlineStr"/>
      <c r="D942" s="109" t="inlineStr">
        <is>
          <t>BLENDING</t>
        </is>
      </c>
      <c r="E942" s="109" t="inlineStr">
        <is>
          <t>530236/C</t>
        </is>
      </c>
      <c r="F942" s="109" t="inlineStr">
        <is>
          <t>BLENDING</t>
        </is>
      </c>
      <c r="G942" s="109" t="inlineStr">
        <is>
          <t>Verifica taratura trasmettitore di portata F6020RC e allineamento con sala controllo</t>
        </is>
      </c>
      <c r="H942" s="109" t="n"/>
      <c r="I942" s="109" t="n"/>
      <c r="J942" s="109" t="n"/>
      <c r="K942" s="109" t="n"/>
      <c r="L942" s="109" t="n"/>
      <c r="M942" s="110" t="inlineStr">
        <is>
          <t>DA CHIUDERE</t>
        </is>
      </c>
      <c r="N942" s="110" t="n"/>
      <c r="O942" s="110" t="n"/>
      <c r="P942" s="110" t="n"/>
      <c r="Q942" s="110" t="n"/>
      <c r="R942" s="151" t="n"/>
      <c r="S942" s="110" t="n"/>
      <c r="T942" s="109" t="inlineStr"/>
      <c r="U942" s="147" t="inlineStr"/>
    </row>
    <row r="943" ht="30" customHeight="1" s="122">
      <c r="A943" s="109" t="n"/>
      <c r="B943" s="108" t="inlineStr">
        <is>
          <t>X</t>
        </is>
      </c>
      <c r="C943" s="109" t="inlineStr"/>
      <c r="D943" s="109" t="inlineStr">
        <is>
          <t>BLENDING</t>
        </is>
      </c>
      <c r="E943" s="109" t="inlineStr">
        <is>
          <t>529945/C</t>
        </is>
      </c>
      <c r="F943" s="109" t="inlineStr">
        <is>
          <t>BLENDING</t>
        </is>
      </c>
      <c r="G943" s="109" t="inlineStr">
        <is>
          <t>BLENDING - ripristino o sostituzione manichetta in gomma aria strumenti braccio di carico lato mare BR302-B</t>
        </is>
      </c>
      <c r="H943" s="109" t="n"/>
      <c r="I943" s="109" t="n"/>
      <c r="J943" s="109" t="n"/>
      <c r="K943" s="109" t="n"/>
      <c r="L943" s="109" t="n"/>
      <c r="M943" s="110" t="inlineStr">
        <is>
          <t>DA CHIUDERE</t>
        </is>
      </c>
      <c r="N943" s="110" t="n"/>
      <c r="O943" s="110" t="n"/>
      <c r="P943" s="110" t="n"/>
      <c r="Q943" s="110" t="n"/>
      <c r="R943" s="151" t="n"/>
      <c r="S943" s="110" t="n"/>
      <c r="T943" s="109" t="inlineStr"/>
      <c r="U943" s="147" t="inlineStr"/>
    </row>
    <row r="944" ht="30" customHeight="1" s="122">
      <c r="A944" s="109" t="n"/>
      <c r="B944" s="109" t="inlineStr">
        <is>
          <t>X</t>
        </is>
      </c>
      <c r="C944" s="109" t="inlineStr"/>
      <c r="D944" s="109" t="inlineStr">
        <is>
          <t>BLENDING</t>
        </is>
      </c>
      <c r="E944" s="109" t="inlineStr">
        <is>
          <t>528588/C</t>
        </is>
      </c>
      <c r="F944" s="109" t="inlineStr">
        <is>
          <t>BLENDING</t>
        </is>
      </c>
      <c r="G944" s="109" t="inlineStr">
        <is>
          <t>ricerca guasto e ripristino funzionalit loop di regolazione termocoppia T215IC e valvola TCV-215</t>
        </is>
      </c>
      <c r="H944" s="109" t="n"/>
      <c r="I944" s="109" t="n"/>
      <c r="J944" s="109" t="n"/>
      <c r="K944" s="109" t="n"/>
      <c r="L944" s="109" t="n"/>
      <c r="M944" s="109" t="inlineStr">
        <is>
          <t>DA CHIUDERE</t>
        </is>
      </c>
      <c r="N944" s="109" t="n"/>
      <c r="O944" s="109" t="n"/>
      <c r="P944" s="109" t="n"/>
      <c r="Q944" s="109" t="n"/>
      <c r="R944" s="151" t="n"/>
      <c r="S944" s="109" t="inlineStr">
        <is>
          <t>SPINALI/SERRA</t>
        </is>
      </c>
      <c r="T944" s="109" t="inlineStr"/>
      <c r="U944" s="109" t="inlineStr"/>
    </row>
    <row r="945" ht="30" customHeight="1" s="122">
      <c r="A945" s="109" t="n"/>
      <c r="B945" s="109" t="inlineStr">
        <is>
          <t>X</t>
        </is>
      </c>
      <c r="C945" s="109" t="inlineStr"/>
      <c r="D945" s="109" t="inlineStr">
        <is>
          <t>BLENDING</t>
        </is>
      </c>
      <c r="E945" s="109" t="inlineStr">
        <is>
          <t>530514/C</t>
        </is>
      </c>
      <c r="F945" s="109" t="inlineStr">
        <is>
          <t>CVT</t>
        </is>
      </c>
      <c r="G945" s="109" t="inlineStr">
        <is>
          <t xml:space="preserve">CVT - Controllo funzionalità di tutte le valvole di radice dei bracci di carico di Rampa 1-2-3-4-5-6-7 </t>
        </is>
      </c>
      <c r="H945" s="109" t="n"/>
      <c r="I945" s="109" t="n"/>
      <c r="J945" s="109" t="n"/>
      <c r="K945" s="109" t="n"/>
      <c r="L945" s="109" t="n"/>
      <c r="M945" s="109" t="inlineStr">
        <is>
          <t>DA CHIUDERE</t>
        </is>
      </c>
      <c r="N945" s="109" t="n"/>
      <c r="O945" s="109" t="n"/>
      <c r="P945" s="109" t="n"/>
      <c r="Q945" s="109" t="n"/>
      <c r="R945" s="151" t="n"/>
      <c r="S945" s="109" t="n"/>
      <c r="T945" s="109" t="inlineStr"/>
      <c r="U945" s="109" t="inlineStr"/>
    </row>
    <row r="946" ht="30" customHeight="1" s="122">
      <c r="A946" s="109" t="n"/>
      <c r="B946" s="109" t="inlineStr">
        <is>
          <t>X</t>
        </is>
      </c>
      <c r="C946" s="109" t="inlineStr"/>
      <c r="D946" s="109" t="inlineStr">
        <is>
          <t>BLENDING</t>
        </is>
      </c>
      <c r="E946" s="109" t="inlineStr">
        <is>
          <t>312184/S</t>
        </is>
      </c>
      <c r="F946" s="109" t="inlineStr">
        <is>
          <t>BLENDING</t>
        </is>
      </c>
      <c r="G946" s="109" t="inlineStr">
        <is>
          <t>BLENDING - Ripristinare innesto aria strumenti su valvola regolatrice STREAM F5002 (BLENDING BENZINA - STREAM MTBE/IC6)</t>
        </is>
      </c>
      <c r="H946" s="109" t="n"/>
      <c r="I946" s="109" t="n"/>
      <c r="J946" s="109" t="n"/>
      <c r="K946" s="109" t="n"/>
      <c r="L946" s="109" t="n"/>
      <c r="M946" s="109" t="inlineStr">
        <is>
          <t>DA CHIUDERE</t>
        </is>
      </c>
      <c r="N946" s="109" t="n"/>
      <c r="O946" s="109" t="n"/>
      <c r="P946" s="109" t="n"/>
      <c r="Q946" s="109" t="n"/>
      <c r="R946" s="151" t="n"/>
      <c r="S946" s="109" t="n"/>
      <c r="T946" s="109" t="inlineStr"/>
      <c r="U946" s="109" t="inlineStr"/>
    </row>
    <row r="947">
      <c r="A947" s="109" t="n"/>
      <c r="B947" s="108" t="inlineStr">
        <is>
          <t>X</t>
        </is>
      </c>
      <c r="C947" s="109" t="inlineStr"/>
      <c r="D947" s="109" t="inlineStr">
        <is>
          <t>BLENDING</t>
        </is>
      </c>
      <c r="E947" s="109" t="inlineStr">
        <is>
          <t>530229/C</t>
        </is>
      </c>
      <c r="F947" s="109" t="inlineStr">
        <is>
          <t>PONTILE</t>
        </is>
      </c>
      <c r="G947" s="109" t="inlineStr">
        <is>
          <t>PONTILE - Ripristino E.V. del motorino di avviamento del Diesel DP101S</t>
        </is>
      </c>
      <c r="H947" s="109" t="n"/>
      <c r="I947" s="109" t="n"/>
      <c r="J947" s="109" t="n"/>
      <c r="K947" s="109" t="n"/>
      <c r="L947" s="109" t="n"/>
      <c r="M947" s="110" t="inlineStr">
        <is>
          <t>DA CHIUDERE</t>
        </is>
      </c>
      <c r="N947" s="110" t="n"/>
      <c r="O947" s="110" t="n"/>
      <c r="P947" s="110" t="n"/>
      <c r="Q947" s="110" t="n"/>
      <c r="R947" s="151" t="n"/>
      <c r="S947" s="110" t="n"/>
      <c r="T947" s="109" t="inlineStr"/>
      <c r="U947" s="147" t="inlineStr"/>
    </row>
    <row r="948" ht="30" customHeight="1" s="122">
      <c r="A948" s="109" t="n"/>
      <c r="B948" s="108" t="inlineStr">
        <is>
          <t>X</t>
        </is>
      </c>
      <c r="C948" s="109" t="inlineStr"/>
      <c r="D948" s="109" t="inlineStr">
        <is>
          <t>BLENDING</t>
        </is>
      </c>
      <c r="E948" s="109" t="inlineStr">
        <is>
          <t>530132/C</t>
        </is>
      </c>
      <c r="F948" s="109" t="inlineStr">
        <is>
          <t>BLENDING</t>
        </is>
      </c>
      <c r="G948" s="109" t="inlineStr">
        <is>
          <t xml:space="preserve">BLENDING - ripristino sistema di gorgogliamento braccio di carico lato mare BR302-B + verifica funzionalit E.V. aria strumenti </t>
        </is>
      </c>
      <c r="H948" s="109" t="n"/>
      <c r="I948" s="109" t="n"/>
      <c r="J948" s="109" t="n"/>
      <c r="K948" s="109" t="n"/>
      <c r="L948" s="109" t="n"/>
      <c r="M948" s="110" t="inlineStr">
        <is>
          <t>DA CHIUDERE</t>
        </is>
      </c>
      <c r="N948" s="110" t="n"/>
      <c r="O948" s="110" t="n"/>
      <c r="P948" s="110" t="n"/>
      <c r="Q948" s="110" t="n"/>
      <c r="R948" s="151" t="n"/>
      <c r="S948" s="110" t="n"/>
      <c r="T948" s="109" t="inlineStr"/>
      <c r="U948" s="147" t="inlineStr"/>
    </row>
    <row r="949" ht="30" customHeight="1" s="122">
      <c r="A949" s="109" t="n"/>
      <c r="B949" s="108" t="inlineStr">
        <is>
          <t>X</t>
        </is>
      </c>
      <c r="C949" s="109" t="inlineStr"/>
      <c r="D949" s="109" t="inlineStr">
        <is>
          <t>BLENDING</t>
        </is>
      </c>
      <c r="E949" s="109" t="inlineStr">
        <is>
          <t>528414/C</t>
        </is>
      </c>
      <c r="F949" s="109" t="inlineStr">
        <is>
          <t>BLENDING</t>
        </is>
      </c>
      <c r="G949" s="109" t="inlineStr">
        <is>
          <t>PONTILE - messa in servizio valvola regolatrice  PCV-008_A + collegamento barilotto aria strumentale</t>
        </is>
      </c>
      <c r="H949" s="109" t="n"/>
      <c r="I949" s="109" t="n"/>
      <c r="J949" s="109" t="n"/>
      <c r="K949" s="109" t="n"/>
      <c r="L949" s="109" t="n"/>
      <c r="M949" s="110" t="inlineStr">
        <is>
          <t>DA CHIUDERE</t>
        </is>
      </c>
      <c r="N949" s="110" t="n"/>
      <c r="O949" s="110" t="n"/>
      <c r="P949" s="110" t="n"/>
      <c r="Q949" s="110" t="n"/>
      <c r="R949" s="151" t="n"/>
      <c r="S949" s="110" t="inlineStr">
        <is>
          <t>GARRO L.</t>
        </is>
      </c>
      <c r="T949" s="109" t="inlineStr"/>
      <c r="U949" s="147" t="inlineStr"/>
    </row>
    <row r="950" ht="45" customHeight="1" s="122">
      <c r="A950" s="109" t="n"/>
      <c r="B950" s="108" t="inlineStr">
        <is>
          <t>X</t>
        </is>
      </c>
      <c r="C950" s="109" t="inlineStr"/>
      <c r="D950" s="109" t="inlineStr">
        <is>
          <t>BLENDING</t>
        </is>
      </c>
      <c r="E950" s="109" t="inlineStr">
        <is>
          <t>528044/C</t>
        </is>
      </c>
      <c r="F950" s="109" t="inlineStr">
        <is>
          <t>BLENDING</t>
        </is>
      </c>
      <c r="G950" s="109" t="inlineStr">
        <is>
          <t>controllo e ripristino funzionalita' loop di regolazione polmonazione azoto scarico a Blow Down</t>
        </is>
      </c>
      <c r="H950" s="109" t="n"/>
      <c r="I950" s="109" t="n"/>
      <c r="J950" s="109" t="n"/>
      <c r="K950" s="109" t="n"/>
      <c r="L950" s="109" t="n"/>
      <c r="M950" s="110" t="inlineStr">
        <is>
          <t>DA CHIUDERE</t>
        </is>
      </c>
      <c r="N950" s="110" t="n"/>
      <c r="O950" s="110" t="n"/>
      <c r="P950" s="110" t="n"/>
      <c r="Q950" s="110" t="inlineStr">
        <is>
          <t>LE VALVOLE DI AZOTO, INGRESSO E USCITA FUNZIONANO REGOLARMENTE. LA VALVOLA DI INGRESSO, NONOSTANTE SIA COMPLETAMENTE CHIUSA, TRAFILA. SI CONSIGLIA LA REVISIONE.</t>
        </is>
      </c>
      <c r="R950" s="151" t="n">
        <v>45720</v>
      </c>
      <c r="S950" s="110" t="inlineStr">
        <is>
          <t>SPINALI/SERRA</t>
        </is>
      </c>
      <c r="T950" s="109" t="inlineStr"/>
      <c r="U950" s="147" t="inlineStr"/>
    </row>
    <row r="951" ht="30" customHeight="1" s="122">
      <c r="A951" s="109" t="n"/>
      <c r="B951" s="108" t="inlineStr">
        <is>
          <t>X</t>
        </is>
      </c>
      <c r="C951" s="109" t="inlineStr"/>
      <c r="D951" s="109" t="inlineStr">
        <is>
          <t>BLENDING</t>
        </is>
      </c>
      <c r="E951" s="109" t="inlineStr">
        <is>
          <t>527191/C</t>
        </is>
      </c>
      <c r="F951" s="109" t="inlineStr">
        <is>
          <t>BLENDING</t>
        </is>
      </c>
      <c r="G951" s="109" t="inlineStr">
        <is>
          <t>PONTILE - ripristino trasmettitore di livello impianto MISE - Radice Pontile</t>
        </is>
      </c>
      <c r="H951" s="109" t="n"/>
      <c r="I951" s="109" t="n"/>
      <c r="J951" s="109" t="n"/>
      <c r="K951" s="109" t="n"/>
      <c r="L951" s="109" t="n"/>
      <c r="M951" s="110" t="inlineStr">
        <is>
          <t>DA CHIUDERE</t>
        </is>
      </c>
      <c r="N951" s="110" t="n"/>
      <c r="O951" s="110" t="n"/>
      <c r="P951" s="110" t="n"/>
      <c r="Q951" s="110" t="inlineStr">
        <is>
          <t>SOSTITUITO TX DI LIVELLO, SOSTITUITI TIRANTI SULLA FLANGIA.</t>
        </is>
      </c>
      <c r="R951" s="151" t="n">
        <v>45715</v>
      </c>
      <c r="S951" s="110" t="inlineStr">
        <is>
          <t>TARASCIO/PARTESANO</t>
        </is>
      </c>
      <c r="T951" s="109" t="inlineStr"/>
      <c r="U951" s="147" t="inlineStr"/>
    </row>
    <row r="952" ht="30" customHeight="1" s="122">
      <c r="A952" s="109" t="n"/>
      <c r="B952" s="108" t="inlineStr">
        <is>
          <t>X</t>
        </is>
      </c>
      <c r="C952" s="109" t="inlineStr"/>
      <c r="D952" s="109" t="inlineStr">
        <is>
          <t>BLENDING</t>
        </is>
      </c>
      <c r="E952" s="109" t="inlineStr">
        <is>
          <t>310765/S</t>
        </is>
      </c>
      <c r="F952" s="109" t="inlineStr">
        <is>
          <t>BLENDING</t>
        </is>
      </c>
      <c r="G952" s="109" t="inlineStr">
        <is>
          <t>BLENDING - Controllo e ripristino funzionalità (presso scambiatore E201)</t>
        </is>
      </c>
      <c r="H952" s="109" t="n"/>
      <c r="I952" s="109" t="n"/>
      <c r="J952" s="109" t="n"/>
      <c r="K952" s="109" t="n"/>
      <c r="L952" s="109" t="n"/>
      <c r="M952" s="110" t="inlineStr">
        <is>
          <t>DA CHIUDERE</t>
        </is>
      </c>
      <c r="N952" s="110" t="n"/>
      <c r="O952" s="110" t="n"/>
      <c r="P952" s="110" t="n"/>
      <c r="Q952" s="110" t="inlineStr">
        <is>
          <t>ATTIVITA' DA CHIUDERE</t>
        </is>
      </c>
      <c r="R952" s="151" t="n">
        <v>45706</v>
      </c>
      <c r="S952" s="110" t="inlineStr">
        <is>
          <t>SPINALI/SERRA</t>
        </is>
      </c>
      <c r="T952" s="109" t="inlineStr"/>
      <c r="U952" s="147" t="inlineStr"/>
    </row>
    <row r="953" ht="30" customHeight="1" s="122">
      <c r="A953" s="109" t="n"/>
      <c r="B953" s="108" t="inlineStr">
        <is>
          <t>X</t>
        </is>
      </c>
      <c r="C953" s="109" t="inlineStr"/>
      <c r="D953" s="109" t="inlineStr">
        <is>
          <t>BLENDING</t>
        </is>
      </c>
      <c r="E953" s="109" t="inlineStr">
        <is>
          <t>310504/S</t>
        </is>
      </c>
      <c r="F953" s="109" t="inlineStr">
        <is>
          <t>BLENDING</t>
        </is>
      </c>
      <c r="G953" s="109" t="inlineStr">
        <is>
          <t>BLENDING - ripristino funzionalità lettore di Badge</t>
        </is>
      </c>
      <c r="H953" s="109" t="n"/>
      <c r="I953" s="109" t="n"/>
      <c r="J953" s="109" t="n"/>
      <c r="K953" s="109" t="n"/>
      <c r="L953" s="109" t="n"/>
      <c r="M953" s="110" t="inlineStr">
        <is>
          <t>DA CHIUDERE</t>
        </is>
      </c>
      <c r="N953" s="110" t="n"/>
      <c r="O953" s="110" t="n"/>
      <c r="P953" s="110" t="n"/>
      <c r="Q953" s="110" t="inlineStr">
        <is>
          <t>ATTIVITA' DA CHIUDERE</t>
        </is>
      </c>
      <c r="R953" s="151" t="n">
        <v>45701</v>
      </c>
      <c r="S953" s="110" t="inlineStr">
        <is>
          <t>SPINALI/SERRA</t>
        </is>
      </c>
      <c r="T953" s="109" t="inlineStr"/>
      <c r="U953" s="147" t="inlineStr"/>
    </row>
    <row r="954">
      <c r="A954" s="109" t="n"/>
      <c r="B954" s="109" t="inlineStr">
        <is>
          <t>X</t>
        </is>
      </c>
      <c r="C954" s="109" t="inlineStr"/>
      <c r="D954" s="109" t="inlineStr">
        <is>
          <t>BLENDING</t>
        </is>
      </c>
      <c r="E954" s="109" t="inlineStr">
        <is>
          <t>310218/S</t>
        </is>
      </c>
      <c r="F954" s="109" t="inlineStr">
        <is>
          <t>1300</t>
        </is>
      </c>
      <c r="G954" s="109" t="inlineStr">
        <is>
          <t>1300 - Controllo taratura e ripristino funzionalità F265B_T</t>
        </is>
      </c>
      <c r="H954" s="109" t="n"/>
      <c r="I954" s="109" t="n"/>
      <c r="J954" s="109" t="n"/>
      <c r="K954" s="109" t="n"/>
      <c r="L954" s="109" t="n"/>
      <c r="M954" s="110" t="inlineStr">
        <is>
          <t>DA CHIUDERE</t>
        </is>
      </c>
      <c r="N954" s="110" t="n"/>
      <c r="O954" s="110" t="n"/>
      <c r="P954" s="110" t="n"/>
      <c r="Q954" s="110" t="n"/>
      <c r="R954" s="151" t="n"/>
      <c r="S954" s="110" t="inlineStr">
        <is>
          <t>SPINALI/SERRA</t>
        </is>
      </c>
      <c r="T954" s="109" t="inlineStr"/>
      <c r="U954" s="147" t="inlineStr"/>
    </row>
    <row r="955">
      <c r="A955" s="109" t="n"/>
      <c r="B955" s="108" t="inlineStr">
        <is>
          <t>X</t>
        </is>
      </c>
      <c r="C955" s="109" t="inlineStr"/>
      <c r="D955" s="109" t="inlineStr">
        <is>
          <t>BLENDING</t>
        </is>
      </c>
      <c r="E955" s="109" t="inlineStr">
        <is>
          <t>310219/S</t>
        </is>
      </c>
      <c r="F955" s="109" t="inlineStr">
        <is>
          <t>1300</t>
        </is>
      </c>
      <c r="G955" s="109" t="inlineStr">
        <is>
          <t>1300 - Controllo taratura e ripristino funzionalità F265A_T</t>
        </is>
      </c>
      <c r="H955" s="109" t="n"/>
      <c r="I955" s="109" t="n"/>
      <c r="J955" s="109" t="n"/>
      <c r="K955" s="109" t="n"/>
      <c r="L955" s="109" t="n"/>
      <c r="M955" s="110" t="inlineStr">
        <is>
          <t>DA CHIUDERE</t>
        </is>
      </c>
      <c r="N955" s="110" t="n"/>
      <c r="O955" s="110" t="n"/>
      <c r="P955" s="110" t="n"/>
      <c r="Q955" s="110" t="n"/>
      <c r="R955" s="151" t="n"/>
      <c r="S955" s="110" t="inlineStr">
        <is>
          <t>SPINALI/SERRA</t>
        </is>
      </c>
      <c r="T955" s="109" t="inlineStr"/>
      <c r="U955" s="147" t="inlineStr"/>
    </row>
    <row r="956" ht="30" customHeight="1" s="122">
      <c r="A956" s="109" t="n"/>
      <c r="B956" s="108" t="inlineStr">
        <is>
          <t>X</t>
        </is>
      </c>
      <c r="C956" s="109" t="inlineStr"/>
      <c r="D956" s="109" t="inlineStr">
        <is>
          <t>BLENDING</t>
        </is>
      </c>
      <c r="E956" s="109" t="inlineStr">
        <is>
          <t>524799/C</t>
        </is>
      </c>
      <c r="F956" s="109" t="inlineStr">
        <is>
          <t>BLENDING</t>
        </is>
      </c>
      <c r="G956" s="109" t="inlineStr">
        <is>
          <t>BLENDING - Controllo e ripristino funzionalit trasmettitore di portata e dosatore pompetta additivo P1141-D</t>
        </is>
      </c>
      <c r="H956" s="109" t="n"/>
      <c r="I956" s="109" t="n"/>
      <c r="J956" s="109" t="n"/>
      <c r="K956" s="109" t="n"/>
      <c r="L956" s="109" t="n"/>
      <c r="M956" s="110" t="inlineStr">
        <is>
          <t>DA CHIUDERE</t>
        </is>
      </c>
      <c r="N956" s="110" t="n"/>
      <c r="O956" s="110" t="n"/>
      <c r="P956" s="110" t="n"/>
      <c r="Q956" s="110" t="n"/>
      <c r="R956" s="151" t="n">
        <v>45700</v>
      </c>
      <c r="S956" s="110" t="inlineStr">
        <is>
          <t>SPINALI/SERRA</t>
        </is>
      </c>
      <c r="T956" s="109" t="inlineStr"/>
      <c r="U956" s="147" t="inlineStr"/>
    </row>
    <row r="957" ht="30" customHeight="1" s="122">
      <c r="A957" s="109" t="n"/>
      <c r="B957" s="108" t="inlineStr">
        <is>
          <t>X</t>
        </is>
      </c>
      <c r="C957" s="109" t="inlineStr"/>
      <c r="D957" s="109" t="inlineStr">
        <is>
          <t>BLENDING</t>
        </is>
      </c>
      <c r="E957" s="109" t="inlineStr">
        <is>
          <t>310190/S</t>
        </is>
      </c>
      <c r="F957" s="109" t="inlineStr">
        <is>
          <t>BLENDING</t>
        </is>
      </c>
      <c r="G957" s="109" t="inlineStr">
        <is>
          <t>ARCOM - Smontaggio piastre inferiori, sede di appoggio, celle di carico bilico ATB</t>
        </is>
      </c>
      <c r="H957" s="109" t="n"/>
      <c r="I957" s="109" t="n"/>
      <c r="J957" s="109" t="n"/>
      <c r="K957" s="109" t="n"/>
      <c r="L957" s="109" t="n"/>
      <c r="M957" s="110" t="inlineStr">
        <is>
          <t>DA CHIUDERE</t>
        </is>
      </c>
      <c r="N957" s="110" t="n"/>
      <c r="O957" s="110" t="n"/>
      <c r="P957" s="110" t="n"/>
      <c r="Q957" s="110" t="n"/>
      <c r="R957" s="151" t="n"/>
      <c r="S957" s="110" t="inlineStr">
        <is>
          <t>SPINALI/SERRA</t>
        </is>
      </c>
      <c r="T957" s="109" t="inlineStr"/>
      <c r="U957" s="147" t="inlineStr"/>
    </row>
    <row r="958" ht="30" customHeight="1" s="122">
      <c r="A958" s="109" t="n"/>
      <c r="B958" s="109" t="inlineStr">
        <is>
          <t>X</t>
        </is>
      </c>
      <c r="C958" s="109" t="inlineStr"/>
      <c r="D958" s="109" t="inlineStr">
        <is>
          <t>BLENDING</t>
        </is>
      </c>
      <c r="E958" s="109" t="inlineStr">
        <is>
          <t>310187/S</t>
        </is>
      </c>
      <c r="F958" s="109" t="inlineStr">
        <is>
          <t>BLENDING</t>
        </is>
      </c>
      <c r="G958" s="109" t="inlineStr">
        <is>
          <t>BLENDING - Controllo regolatore scarico salamoia FIL 104</t>
        </is>
      </c>
      <c r="H958" s="109" t="n"/>
      <c r="I958" s="109" t="n"/>
      <c r="J958" s="109" t="n"/>
      <c r="K958" s="109" t="n"/>
      <c r="L958" s="109" t="n"/>
      <c r="M958" s="109" t="inlineStr">
        <is>
          <t>DA CHIUDERE</t>
        </is>
      </c>
      <c r="N958" s="109" t="n"/>
      <c r="O958" s="109" t="n"/>
      <c r="P958" s="109" t="n"/>
      <c r="Q958" s="109" t="n"/>
      <c r="R958" s="151" t="n"/>
      <c r="S958" s="109" t="inlineStr">
        <is>
          <t>SPINALI/SERRA</t>
        </is>
      </c>
      <c r="T958" s="109" t="inlineStr"/>
      <c r="U958" s="109" t="inlineStr"/>
    </row>
    <row r="959" ht="30" customHeight="1" s="122">
      <c r="A959" s="109" t="n"/>
      <c r="B959" s="108" t="inlineStr">
        <is>
          <t>X</t>
        </is>
      </c>
      <c r="C959" s="109" t="inlineStr"/>
      <c r="D959" s="109" t="inlineStr">
        <is>
          <t>BLENDING</t>
        </is>
      </c>
      <c r="E959" s="109" t="inlineStr">
        <is>
          <t>310186/S</t>
        </is>
      </c>
      <c r="F959" s="109" t="inlineStr">
        <is>
          <t>BLENDING</t>
        </is>
      </c>
      <c r="G959" s="109" t="inlineStr">
        <is>
          <t>BLENDING - Controllo regolatore scarico salamoia FIL 103</t>
        </is>
      </c>
      <c r="H959" s="109" t="n"/>
      <c r="I959" s="109" t="n"/>
      <c r="J959" s="109" t="n"/>
      <c r="K959" s="109" t="n"/>
      <c r="L959" s="109" t="n"/>
      <c r="M959" s="110" t="inlineStr">
        <is>
          <t>DA CHIUDERE</t>
        </is>
      </c>
      <c r="N959" s="110" t="n"/>
      <c r="O959" s="110" t="n"/>
      <c r="P959" s="110" t="n"/>
      <c r="Q959" s="110" t="n"/>
      <c r="R959" s="151" t="n"/>
      <c r="S959" s="110" t="inlineStr">
        <is>
          <t>SPINALI/SERRA</t>
        </is>
      </c>
      <c r="T959" s="109" t="inlineStr"/>
      <c r="U959" s="147" t="inlineStr"/>
    </row>
    <row r="960" ht="30" customHeight="1" s="122">
      <c r="A960" s="109" t="n"/>
      <c r="B960" s="108" t="inlineStr">
        <is>
          <t>X</t>
        </is>
      </c>
      <c r="C960" s="109" t="inlineStr"/>
      <c r="D960" s="109" t="inlineStr">
        <is>
          <t>BLENDING</t>
        </is>
      </c>
      <c r="E960" s="109" t="inlineStr">
        <is>
          <t>310184/S</t>
        </is>
      </c>
      <c r="F960" s="109" t="inlineStr">
        <is>
          <t>BLENDING</t>
        </is>
      </c>
      <c r="G960" s="109" t="inlineStr">
        <is>
          <t>BLENDING - Controllo regolatore scarico salamoia FIL 102</t>
        </is>
      </c>
      <c r="H960" s="109" t="n"/>
      <c r="I960" s="109" t="n"/>
      <c r="J960" s="109" t="n"/>
      <c r="K960" s="109" t="n"/>
      <c r="L960" s="109" t="n"/>
      <c r="M960" s="110" t="inlineStr">
        <is>
          <t>DA CHIUDERE</t>
        </is>
      </c>
      <c r="N960" s="110" t="n"/>
      <c r="O960" s="110" t="n"/>
      <c r="P960" s="110" t="n"/>
      <c r="Q960" s="110" t="n"/>
      <c r="R960" s="151" t="n"/>
      <c r="S960" s="110" t="inlineStr">
        <is>
          <t>SPINALI/SERRA</t>
        </is>
      </c>
      <c r="T960" s="109" t="inlineStr"/>
      <c r="U960" s="147" t="inlineStr"/>
    </row>
    <row r="961">
      <c r="A961" s="109" t="n"/>
      <c r="B961" s="109" t="inlineStr">
        <is>
          <t>X</t>
        </is>
      </c>
      <c r="C961" s="109" t="inlineStr"/>
      <c r="D961" s="109" t="inlineStr">
        <is>
          <t>BLENDING</t>
        </is>
      </c>
      <c r="E961" s="109" t="inlineStr">
        <is>
          <t>524060/C</t>
        </is>
      </c>
      <c r="F961" s="109" t="inlineStr">
        <is>
          <t>CVT</t>
        </is>
      </c>
      <c r="G961" s="109" t="inlineStr">
        <is>
          <t>CVT - Verifica Taratura Sistema di additivazione Flexi Mix</t>
        </is>
      </c>
      <c r="H961" s="109" t="n"/>
      <c r="I961" s="109" t="n"/>
      <c r="J961" s="109" t="n"/>
      <c r="K961" s="109" t="n"/>
      <c r="L961" s="109" t="n"/>
      <c r="M961" s="109" t="inlineStr">
        <is>
          <t>DA CHIUDERE</t>
        </is>
      </c>
      <c r="N961" s="109" t="n"/>
      <c r="O961" s="109" t="n"/>
      <c r="P961" s="109" t="n"/>
      <c r="Q961" s="109" t="n"/>
      <c r="R961" s="151" t="n"/>
      <c r="S961" s="109" t="n"/>
      <c r="T961" s="109" t="inlineStr"/>
      <c r="U961" s="109" t="inlineStr"/>
    </row>
    <row r="962" ht="30" customHeight="1" s="122">
      <c r="A962" s="109" t="n"/>
      <c r="B962" s="108" t="inlineStr">
        <is>
          <t>X</t>
        </is>
      </c>
      <c r="C962" s="109" t="inlineStr"/>
      <c r="D962" s="109" t="inlineStr">
        <is>
          <t>BLENDING</t>
        </is>
      </c>
      <c r="E962" s="109" t="inlineStr">
        <is>
          <t>309924/S</t>
        </is>
      </c>
      <c r="F962" s="109" t="inlineStr">
        <is>
          <t>1300</t>
        </is>
      </c>
      <c r="G962" s="109" t="inlineStr">
        <is>
          <t>1300 - ripristino o sostituzione manichetta in gomma aria strumenti braccio di carico lato mare BR302-B</t>
        </is>
      </c>
      <c r="H962" s="109" t="n"/>
      <c r="I962" s="109" t="n"/>
      <c r="J962" s="109" t="n"/>
      <c r="K962" s="109" t="n"/>
      <c r="L962" s="109" t="n"/>
      <c r="M962" s="110" t="inlineStr">
        <is>
          <t>DA CHIUDERE</t>
        </is>
      </c>
      <c r="N962" s="110" t="n"/>
      <c r="O962" s="110" t="n"/>
      <c r="P962" s="110" t="n"/>
      <c r="Q962" s="110" t="n"/>
      <c r="R962" s="151" t="n"/>
      <c r="S962" s="110" t="n"/>
      <c r="T962" s="109" t="inlineStr"/>
      <c r="U962" s="147" t="inlineStr"/>
    </row>
    <row r="963">
      <c r="A963" s="109" t="n"/>
      <c r="B963" s="109" t="inlineStr">
        <is>
          <t>X</t>
        </is>
      </c>
      <c r="C963" s="109" t="inlineStr"/>
      <c r="D963" s="109" t="inlineStr">
        <is>
          <t>BLENDING</t>
        </is>
      </c>
      <c r="E963" s="109" t="inlineStr">
        <is>
          <t>309999/S</t>
        </is>
      </c>
      <c r="F963" s="109" t="inlineStr">
        <is>
          <t>CVT</t>
        </is>
      </c>
      <c r="G963" s="109" t="inlineStr">
        <is>
          <t>CVT - Ripristino pressacavo della sonda anti trabocco BR44</t>
        </is>
      </c>
      <c r="H963" s="109" t="n"/>
      <c r="I963" s="109" t="n"/>
      <c r="J963" s="109" t="n"/>
      <c r="K963" s="109" t="n"/>
      <c r="L963" s="109" t="n"/>
      <c r="M963" s="110" t="inlineStr">
        <is>
          <t>DA CHIUDERE</t>
        </is>
      </c>
      <c r="N963" s="110" t="n"/>
      <c r="O963" s="110" t="n"/>
      <c r="P963" s="110" t="n"/>
      <c r="Q963" s="110" t="n"/>
      <c r="R963" s="151" t="n"/>
      <c r="S963" s="110" t="n"/>
      <c r="T963" s="109" t="inlineStr"/>
      <c r="U963" s="147" t="inlineStr"/>
    </row>
    <row r="964">
      <c r="A964" s="109" t="n"/>
      <c r="B964" s="109" t="inlineStr">
        <is>
          <t>X</t>
        </is>
      </c>
      <c r="C964" s="109" t="inlineStr"/>
      <c r="D964" s="109" t="inlineStr">
        <is>
          <t>BLENDING</t>
        </is>
      </c>
      <c r="E964" s="109" t="inlineStr">
        <is>
          <t>310020/S</t>
        </is>
      </c>
      <c r="F964" s="109" t="inlineStr">
        <is>
          <t>CVT</t>
        </is>
      </c>
      <c r="G964" s="109" t="inlineStr">
        <is>
          <t>CVT - Controllo funzionalità livello serbatoio cherosene LT- 604-D-821</t>
        </is>
      </c>
      <c r="H964" s="109" t="n"/>
      <c r="I964" s="109" t="n"/>
      <c r="J964" s="109" t="n"/>
      <c r="K964" s="109" t="n"/>
      <c r="L964" s="109" t="n"/>
      <c r="M964" s="109" t="inlineStr">
        <is>
          <t>DA CHIUDERE</t>
        </is>
      </c>
      <c r="N964" s="109" t="n"/>
      <c r="O964" s="109" t="n"/>
      <c r="P964" s="109" t="n"/>
      <c r="Q964" s="109" t="n"/>
      <c r="R964" s="151" t="n"/>
      <c r="S964" s="109" t="n"/>
      <c r="T964" s="109" t="inlineStr"/>
      <c r="U964" s="109" t="inlineStr"/>
    </row>
    <row r="965" ht="30" customHeight="1" s="122">
      <c r="A965" s="109" t="n"/>
      <c r="B965" s="109" t="inlineStr">
        <is>
          <t>X</t>
        </is>
      </c>
      <c r="C965" s="109" t="inlineStr"/>
      <c r="D965" s="109" t="inlineStr">
        <is>
          <t>BLENDING</t>
        </is>
      </c>
      <c r="E965" s="109" t="inlineStr">
        <is>
          <t>310018/S</t>
        </is>
      </c>
      <c r="F965" s="109" t="inlineStr">
        <is>
          <t>BLENDING</t>
        </is>
      </c>
      <c r="G965" s="109" t="inlineStr">
        <is>
          <t>BLENDING - Verifica funzionalità loop automatismo pompa e livello L914SH - tronchetti fiscali</t>
        </is>
      </c>
      <c r="H965" s="109" t="n"/>
      <c r="I965" s="109" t="n"/>
      <c r="J965" s="109" t="n"/>
      <c r="K965" s="109" t="n"/>
      <c r="L965" s="109" t="n"/>
      <c r="M965" s="109" t="inlineStr">
        <is>
          <t>DA CHIUDERE</t>
        </is>
      </c>
      <c r="N965" s="109" t="n"/>
      <c r="O965" s="109" t="n"/>
      <c r="P965" s="109" t="n"/>
      <c r="Q965" s="109" t="n"/>
      <c r="R965" s="151" t="n"/>
      <c r="S965" s="109" t="n"/>
      <c r="T965" s="109" t="inlineStr"/>
      <c r="U965" s="147" t="inlineStr"/>
    </row>
    <row r="966" ht="30" customHeight="1" s="122">
      <c r="A966" s="109" t="n"/>
      <c r="B966" s="108" t="inlineStr">
        <is>
          <t>X</t>
        </is>
      </c>
      <c r="C966" s="109" t="inlineStr"/>
      <c r="D966" s="109" t="inlineStr">
        <is>
          <t>BLENDING</t>
        </is>
      </c>
      <c r="E966" s="109" t="inlineStr">
        <is>
          <t>524175/C</t>
        </is>
      </c>
      <c r="F966" s="109" t="inlineStr">
        <is>
          <t>BLENDING</t>
        </is>
      </c>
      <c r="G966" s="109" t="inlineStr">
        <is>
          <t>BLENDING - revisione valvola di radice (perde gasolio)</t>
        </is>
      </c>
      <c r="H966" s="109" t="n"/>
      <c r="I966" s="109" t="n"/>
      <c r="J966" s="109" t="n"/>
      <c r="K966" s="109" t="n"/>
      <c r="L966" s="109" t="n"/>
      <c r="M966" s="110" t="inlineStr">
        <is>
          <t>DA CHIUDERE</t>
        </is>
      </c>
      <c r="N966" s="110" t="n"/>
      <c r="O966" s="110" t="n"/>
      <c r="P966" s="110" t="n"/>
      <c r="Q966" s="110" t="n"/>
      <c r="R966" s="151" t="n"/>
      <c r="S966" s="110" t="n"/>
      <c r="T966" s="109" t="inlineStr"/>
      <c r="U966" s="147" t="inlineStr"/>
    </row>
    <row r="967" ht="30" customHeight="1" s="122">
      <c r="A967" s="109" t="n"/>
      <c r="B967" s="108" t="inlineStr">
        <is>
          <t>X</t>
        </is>
      </c>
      <c r="C967" s="109" t="inlineStr"/>
      <c r="D967" s="109" t="inlineStr">
        <is>
          <t>BLENDING</t>
        </is>
      </c>
      <c r="E967" s="109" t="inlineStr">
        <is>
          <t>522519/C</t>
        </is>
      </c>
      <c r="F967" s="109" t="inlineStr">
        <is>
          <t>ANTICENDIO</t>
        </is>
      </c>
      <c r="G967" s="109" t="inlineStr">
        <is>
          <t>ANTICENDIO - DP1003-B/C e MP1003-A/D Taratura pressostati pompe antincendio Raffineria come da elenco allegato</t>
        </is>
      </c>
      <c r="H967" s="109" t="n"/>
      <c r="I967" s="109" t="n"/>
      <c r="J967" s="109" t="n"/>
      <c r="K967" s="109" t="n"/>
      <c r="L967" s="109" t="n"/>
      <c r="M967" s="110" t="inlineStr">
        <is>
          <t>DA CHIUDERE</t>
        </is>
      </c>
      <c r="N967" s="110" t="n"/>
      <c r="O967" s="110" t="n"/>
      <c r="P967" s="110" t="n"/>
      <c r="Q967" s="110" t="n"/>
      <c r="R967" s="151" t="n"/>
      <c r="S967" s="110" t="n"/>
      <c r="T967" s="109" t="inlineStr"/>
      <c r="U967" s="147" t="inlineStr"/>
    </row>
    <row r="968">
      <c r="A968" s="109" t="n"/>
      <c r="B968" s="109" t="inlineStr">
        <is>
          <t>X</t>
        </is>
      </c>
      <c r="C968" s="109" t="inlineStr"/>
      <c r="D968" s="109" t="inlineStr">
        <is>
          <t>BLENDING</t>
        </is>
      </c>
      <c r="E968" s="109" t="inlineStr">
        <is>
          <t>524058/C</t>
        </is>
      </c>
      <c r="F968" s="109" t="inlineStr">
        <is>
          <t>CVT</t>
        </is>
      </c>
      <c r="G968" s="109" t="inlineStr">
        <is>
          <t>CVT - Verifica taratura Flexi Mix IB1 additivo ROSSO su BR45</t>
        </is>
      </c>
      <c r="H968" s="109" t="n"/>
      <c r="I968" s="109" t="n"/>
      <c r="J968" s="109" t="n"/>
      <c r="K968" s="109" t="n"/>
      <c r="L968" s="109" t="n"/>
      <c r="M968" s="109" t="inlineStr">
        <is>
          <t>DA CHIUDERE</t>
        </is>
      </c>
      <c r="N968" s="109" t="n"/>
      <c r="O968" s="109" t="n"/>
      <c r="P968" s="109" t="n"/>
      <c r="Q968" s="109" t="n"/>
      <c r="R968" s="151" t="n"/>
      <c r="S968" s="109" t="n"/>
      <c r="T968" s="109" t="inlineStr"/>
      <c r="U968" s="109" t="inlineStr"/>
    </row>
    <row r="969" ht="30" customHeight="1" s="122">
      <c r="A969" s="109" t="n"/>
      <c r="B969" s="109" t="inlineStr">
        <is>
          <t>X</t>
        </is>
      </c>
      <c r="C969" s="109" t="inlineStr"/>
      <c r="D969" s="109" t="inlineStr">
        <is>
          <t>BLENDING</t>
        </is>
      </c>
      <c r="E969" s="109" t="inlineStr">
        <is>
          <t>523716/C</t>
        </is>
      </c>
      <c r="F969" s="109" t="inlineStr">
        <is>
          <t>CVT</t>
        </is>
      </c>
      <c r="G969" s="109" t="inlineStr">
        <is>
          <t>ripristino funzionalit Flexi Mix  (Braccio12) - pulizia E.V.</t>
        </is>
      </c>
      <c r="H969" s="109" t="n"/>
      <c r="I969" s="109" t="n"/>
      <c r="J969" s="109" t="n"/>
      <c r="K969" s="109" t="n"/>
      <c r="L969" s="109" t="n"/>
      <c r="M969" s="109" t="inlineStr">
        <is>
          <t>DA CHIUDERE</t>
        </is>
      </c>
      <c r="N969" s="109" t="n"/>
      <c r="O969" s="109" t="n"/>
      <c r="P969" s="109" t="n"/>
      <c r="Q969" s="109" t="n"/>
      <c r="R969" s="151" t="n"/>
      <c r="S969" s="109" t="n"/>
      <c r="T969" s="109" t="inlineStr"/>
      <c r="U969" s="147" t="inlineStr"/>
    </row>
    <row r="970" ht="30" customHeight="1" s="122">
      <c r="A970" s="109" t="n"/>
      <c r="B970" s="108" t="inlineStr">
        <is>
          <t>X</t>
        </is>
      </c>
      <c r="C970" s="109" t="inlineStr"/>
      <c r="D970" s="109" t="inlineStr">
        <is>
          <t>BLENDING</t>
        </is>
      </c>
      <c r="E970" s="109" t="inlineStr">
        <is>
          <t>523342/C</t>
        </is>
      </c>
      <c r="F970" s="109" t="inlineStr">
        <is>
          <t>BLENDING</t>
        </is>
      </c>
      <c r="G970" s="109" t="inlineStr">
        <is>
          <t xml:space="preserve">Ripristino funzionalit valvola di polmonazione azoto scarico a Blow Down </t>
        </is>
      </c>
      <c r="H970" s="109" t="n"/>
      <c r="I970" s="109" t="n"/>
      <c r="J970" s="109" t="n"/>
      <c r="K970" s="109" t="n"/>
      <c r="L970" s="109" t="n"/>
      <c r="M970" s="110" t="inlineStr">
        <is>
          <t>DA CHIUDERE</t>
        </is>
      </c>
      <c r="N970" s="110" t="n"/>
      <c r="O970" s="110" t="n"/>
      <c r="P970" s="110" t="n"/>
      <c r="Q970" s="110" t="n"/>
      <c r="R970" s="151" t="n">
        <v>45681</v>
      </c>
      <c r="S970" s="110" t="inlineStr">
        <is>
          <t>RICIPUTO</t>
        </is>
      </c>
      <c r="T970" s="109" t="inlineStr"/>
      <c r="U970" s="147" t="inlineStr"/>
    </row>
    <row r="971">
      <c r="A971" s="109" t="n"/>
      <c r="B971" s="108" t="inlineStr">
        <is>
          <t>X</t>
        </is>
      </c>
      <c r="C971" s="109" t="inlineStr"/>
      <c r="D971" s="109" t="inlineStr">
        <is>
          <t>BLENDING</t>
        </is>
      </c>
      <c r="E971" s="109" t="inlineStr">
        <is>
          <t>309652/S</t>
        </is>
      </c>
      <c r="F971" s="109" t="inlineStr">
        <is>
          <t>6500</t>
        </is>
      </c>
      <c r="G971" s="109" t="inlineStr">
        <is>
          <t>Ripristino funzionalità lettore di badge</t>
        </is>
      </c>
      <c r="H971" s="109" t="n"/>
      <c r="I971" s="109" t="n"/>
      <c r="J971" s="109" t="n"/>
      <c r="K971" s="109" t="n"/>
      <c r="L971" s="109" t="n"/>
      <c r="M971" s="110" t="inlineStr">
        <is>
          <t>DA CHIUDERE</t>
        </is>
      </c>
      <c r="N971" s="110" t="n"/>
      <c r="O971" s="110" t="n"/>
      <c r="P971" s="110" t="n"/>
      <c r="Q971" s="110" t="n"/>
      <c r="R971" s="151" t="n">
        <v>45680</v>
      </c>
      <c r="S971" s="110" t="inlineStr">
        <is>
          <t>RICIPUTO</t>
        </is>
      </c>
      <c r="T971" s="109" t="inlineStr"/>
      <c r="U971" s="147" t="inlineStr"/>
    </row>
    <row r="972">
      <c r="A972" s="109" t="n"/>
      <c r="B972" s="109" t="inlineStr">
        <is>
          <t>X</t>
        </is>
      </c>
      <c r="C972" s="109" t="inlineStr"/>
      <c r="D972" s="109" t="inlineStr">
        <is>
          <t>BLENDING</t>
        </is>
      </c>
      <c r="E972" s="109" t="inlineStr">
        <is>
          <t>523104/C</t>
        </is>
      </c>
      <c r="F972" s="109" t="inlineStr">
        <is>
          <t>6500</t>
        </is>
      </c>
      <c r="G972" s="109" t="inlineStr">
        <is>
          <t>sostituzione cavo Civacon</t>
        </is>
      </c>
      <c r="H972" s="109" t="n"/>
      <c r="I972" s="109" t="n"/>
      <c r="J972" s="109" t="n"/>
      <c r="K972" s="109" t="n"/>
      <c r="L972" s="109" t="n"/>
      <c r="M972" s="109" t="inlineStr">
        <is>
          <t>DA CHIUDERE</t>
        </is>
      </c>
      <c r="N972" s="109" t="n"/>
      <c r="O972" s="109" t="n"/>
      <c r="P972" s="109" t="n"/>
      <c r="Q972" s="109" t="n"/>
      <c r="R972" s="151" t="n">
        <v>45681</v>
      </c>
      <c r="S972" s="109" t="inlineStr">
        <is>
          <t>RICIPUTO</t>
        </is>
      </c>
      <c r="T972" s="109" t="inlineStr"/>
      <c r="U972" s="109" t="inlineStr"/>
    </row>
    <row r="973">
      <c r="A973" s="109" t="n"/>
      <c r="B973" s="108" t="inlineStr">
        <is>
          <t>X</t>
        </is>
      </c>
      <c r="C973" s="109" t="inlineStr"/>
      <c r="D973" s="109" t="inlineStr">
        <is>
          <t>BLENDING</t>
        </is>
      </c>
      <c r="E973" s="109" t="inlineStr">
        <is>
          <t>309538/S</t>
        </is>
      </c>
      <c r="F973" s="109" t="inlineStr">
        <is>
          <t>PONTILE</t>
        </is>
      </c>
      <c r="G973" s="109" t="inlineStr">
        <is>
          <t>Controllo taratura pressostati barilotti aria dei compressori C1 e C2 Diesel Pontile</t>
        </is>
      </c>
      <c r="H973" s="109" t="n"/>
      <c r="I973" s="109" t="n"/>
      <c r="J973" s="109" t="n"/>
      <c r="K973" s="109" t="n"/>
      <c r="L973" s="109" t="n"/>
      <c r="M973" s="110" t="inlineStr">
        <is>
          <t>DA CHIUDERE</t>
        </is>
      </c>
      <c r="N973" s="110" t="n"/>
      <c r="O973" s="110" t="n"/>
      <c r="P973" s="110" t="n"/>
      <c r="Q973" s="110" t="inlineStr">
        <is>
          <t>ESEGUITI TUTTI I CONTROLLI.</t>
        </is>
      </c>
      <c r="R973" s="151" t="n">
        <v>45679</v>
      </c>
      <c r="S973" s="110" t="inlineStr">
        <is>
          <t>RICIPUTO A.</t>
        </is>
      </c>
      <c r="T973" s="109" t="inlineStr"/>
      <c r="U973" s="147" t="inlineStr"/>
    </row>
    <row r="974" ht="30" customHeight="1" s="122">
      <c r="A974" s="109" t="n"/>
      <c r="B974" s="108" t="inlineStr">
        <is>
          <t>X</t>
        </is>
      </c>
      <c r="C974" s="109" t="inlineStr"/>
      <c r="D974" s="109" t="inlineStr">
        <is>
          <t>BLENDING</t>
        </is>
      </c>
      <c r="E974" s="109" t="inlineStr">
        <is>
          <t>522513/C</t>
        </is>
      </c>
      <c r="F974" s="109" t="inlineStr">
        <is>
          <t>ANTICENDIO</t>
        </is>
      </c>
      <c r="G974" s="109" t="inlineStr">
        <is>
          <t>ANTICENDIO - Taratura pressostati pompe MP102-MP110-MP201-MP101A-DP101B-DP101S in S.P. Antincendio Pontile</t>
        </is>
      </c>
      <c r="H974" s="109" t="n"/>
      <c r="I974" s="109" t="n"/>
      <c r="J974" s="109" t="n"/>
      <c r="K974" s="109" t="n"/>
      <c r="L974" s="109" t="n"/>
      <c r="M974" s="110" t="inlineStr">
        <is>
          <t>DA CHIUDERE</t>
        </is>
      </c>
      <c r="N974" s="110" t="n"/>
      <c r="O974" s="110" t="n"/>
      <c r="P974" s="110" t="n"/>
      <c r="Q974" s="110" t="inlineStr">
        <is>
          <t>ESEGUITI TUTTI I CONTROLLI.</t>
        </is>
      </c>
      <c r="R974" s="151" t="n">
        <v>45679</v>
      </c>
      <c r="S974" s="110" t="inlineStr">
        <is>
          <t>RICIPUTO A.</t>
        </is>
      </c>
      <c r="T974" s="109" t="inlineStr"/>
      <c r="U974" s="147" t="inlineStr"/>
    </row>
    <row r="975" ht="30" customHeight="1" s="122">
      <c r="A975" s="109" t="n"/>
      <c r="B975" s="108" t="inlineStr">
        <is>
          <t>X</t>
        </is>
      </c>
      <c r="C975" s="109" t="inlineStr"/>
      <c r="D975" s="109" t="inlineStr">
        <is>
          <t>BLENDING</t>
        </is>
      </c>
      <c r="E975" s="109" t="inlineStr">
        <is>
          <t>309194/S</t>
        </is>
      </c>
      <c r="F975" s="109" t="inlineStr">
        <is>
          <t>BLENDING</t>
        </is>
      </c>
      <c r="G975" s="109" t="inlineStr">
        <is>
          <t>BLENDING - Controllo funzionalità pressostati differenziali (Filtri Pompe)</t>
        </is>
      </c>
      <c r="H975" s="109" t="n"/>
      <c r="I975" s="109" t="n"/>
      <c r="J975" s="109" t="n"/>
      <c r="K975" s="109" t="n"/>
      <c r="L975" s="109" t="n"/>
      <c r="M975" s="110" t="inlineStr">
        <is>
          <t>DA CHIUDERE</t>
        </is>
      </c>
      <c r="N975" s="110" t="n"/>
      <c r="O975" s="110" t="n"/>
      <c r="P975" s="110" t="n"/>
      <c r="Q975" s="110" t="inlineStr">
        <is>
          <t>ESEGUITI TUTTI I CONTROLLI.</t>
        </is>
      </c>
      <c r="R975" s="151" t="n">
        <v>45674</v>
      </c>
      <c r="S975" s="110" t="inlineStr">
        <is>
          <t>RICIPUTO A.</t>
        </is>
      </c>
      <c r="T975" s="109" t="inlineStr"/>
      <c r="U975" s="147" t="inlineStr"/>
    </row>
    <row r="976" ht="30" customHeight="1" s="122">
      <c r="A976" s="109" t="n"/>
      <c r="B976" s="109" t="inlineStr">
        <is>
          <t>X</t>
        </is>
      </c>
      <c r="C976" s="109" t="inlineStr"/>
      <c r="D976" s="109" t="inlineStr">
        <is>
          <t>BLENDING</t>
        </is>
      </c>
      <c r="E976" s="109" t="inlineStr">
        <is>
          <t>309196/S</t>
        </is>
      </c>
      <c r="F976" s="109" t="inlineStr">
        <is>
          <t>BLENDING</t>
        </is>
      </c>
      <c r="G976" s="109" t="inlineStr">
        <is>
          <t>BLENDING - Controllo funzionalità pressostati differenziali (Filtri Pompe)</t>
        </is>
      </c>
      <c r="H976" s="109" t="n"/>
      <c r="I976" s="109" t="n"/>
      <c r="J976" s="109" t="n"/>
      <c r="K976" s="109" t="n"/>
      <c r="L976" s="109" t="n"/>
      <c r="M976" s="109" t="inlineStr">
        <is>
          <t>DA CHIUDERE</t>
        </is>
      </c>
      <c r="N976" s="109" t="n"/>
      <c r="O976" s="109" t="n"/>
      <c r="P976" s="109" t="n"/>
      <c r="Q976" s="109" t="n"/>
      <c r="R976" s="151" t="n">
        <v>45672</v>
      </c>
      <c r="S976" s="109" t="inlineStr">
        <is>
          <t>RICIPUTO/RIZZA</t>
        </is>
      </c>
      <c r="T976" s="109" t="inlineStr"/>
      <c r="U976" s="109" t="inlineStr"/>
    </row>
    <row r="977" ht="30" customHeight="1" s="122">
      <c r="A977" s="109" t="n"/>
      <c r="B977" s="108" t="inlineStr">
        <is>
          <t>X</t>
        </is>
      </c>
      <c r="C977" s="109" t="inlineStr"/>
      <c r="D977" s="109" t="inlineStr">
        <is>
          <t>BLENDING</t>
        </is>
      </c>
      <c r="E977" s="109" t="inlineStr">
        <is>
          <t>309192/S</t>
        </is>
      </c>
      <c r="F977" s="109" t="inlineStr">
        <is>
          <t>BLENDING</t>
        </is>
      </c>
      <c r="G977" s="109" t="inlineStr">
        <is>
          <t>BLENDING - Controllo e ripristino funzionalità DP FT2 del Filtro FIL 605 - FT12_A-B-C</t>
        </is>
      </c>
      <c r="H977" s="109" t="n"/>
      <c r="I977" s="109" t="n"/>
      <c r="J977" s="109" t="n"/>
      <c r="K977" s="109" t="n"/>
      <c r="L977" s="109" t="n"/>
      <c r="M977" s="110" t="inlineStr">
        <is>
          <t>DA CHIUDERE</t>
        </is>
      </c>
      <c r="N977" s="110" t="n"/>
      <c r="O977" s="110" t="n"/>
      <c r="P977" s="110" t="n"/>
      <c r="Q977" s="110" t="n"/>
      <c r="R977" s="151" t="n"/>
      <c r="S977" s="110" t="n"/>
      <c r="T977" s="109" t="inlineStr"/>
      <c r="U977" s="147" t="inlineStr"/>
    </row>
    <row r="978" ht="30" customHeight="1" s="122">
      <c r="A978" s="109" t="n"/>
      <c r="B978" s="109" t="inlineStr">
        <is>
          <t>X</t>
        </is>
      </c>
      <c r="C978" s="109" t="inlineStr"/>
      <c r="D978" s="109" t="inlineStr">
        <is>
          <t>BLENDING</t>
        </is>
      </c>
      <c r="E978" s="109" t="inlineStr">
        <is>
          <t>516606/C</t>
        </is>
      </c>
      <c r="F978" s="109" t="inlineStr">
        <is>
          <t>PONTILE</t>
        </is>
      </c>
      <c r="G978" s="109" t="inlineStr">
        <is>
          <t>PONTILE - Sostituzione trasmettitore contalitri presso Impianto MISE in Area PMP (messa in sicurezza a cura esecutore)</t>
        </is>
      </c>
      <c r="H978" s="109" t="n"/>
      <c r="I978" s="109" t="n"/>
      <c r="J978" s="109" t="n"/>
      <c r="K978" s="109" t="n"/>
      <c r="L978" s="109" t="n"/>
      <c r="M978" s="109" t="inlineStr">
        <is>
          <t>DA CHIUDERE</t>
        </is>
      </c>
      <c r="N978" s="109" t="n"/>
      <c r="O978" s="109" t="n"/>
      <c r="P978" s="109" t="n"/>
      <c r="Q978" s="109" t="n"/>
      <c r="R978" s="151" t="n"/>
      <c r="S978" s="109" t="n"/>
      <c r="T978" s="109" t="inlineStr"/>
      <c r="U978" s="147" t="inlineStr"/>
    </row>
    <row r="979" ht="30" customHeight="1" s="122">
      <c r="A979" s="109" t="n"/>
      <c r="B979" s="108" t="inlineStr">
        <is>
          <t>X</t>
        </is>
      </c>
      <c r="C979" s="109" t="inlineStr"/>
      <c r="D979" s="109" t="inlineStr">
        <is>
          <t>BLENDING</t>
        </is>
      </c>
      <c r="E979" s="109" t="inlineStr">
        <is>
          <t>313705/S</t>
        </is>
      </c>
      <c r="F979" s="109" t="inlineStr">
        <is>
          <t>BLENDING</t>
        </is>
      </c>
      <c r="G979" s="109" t="inlineStr">
        <is>
          <t>BLENDING - Controllo funzionalità DP_004_I installato su filtri a carbone attivi del serbatoio S417 (Jet-fuel)</t>
        </is>
      </c>
      <c r="H979" s="109" t="n"/>
      <c r="I979" s="109" t="n"/>
      <c r="J979" s="109" t="n"/>
      <c r="K979" s="109" t="n"/>
      <c r="L979" s="109" t="n"/>
      <c r="M979" s="110" t="inlineStr">
        <is>
          <t>DA CHIUDERE</t>
        </is>
      </c>
      <c r="N979" s="110" t="n"/>
      <c r="O979" s="110" t="n"/>
      <c r="P979" s="110" t="n"/>
      <c r="Q979" s="110" t="n"/>
      <c r="R979" s="151" t="n">
        <v>45784</v>
      </c>
      <c r="S979" s="110" t="inlineStr">
        <is>
          <t>RICIPUTO/SERRA</t>
        </is>
      </c>
      <c r="T979" s="109" t="inlineStr"/>
      <c r="U979" s="147" t="inlineStr"/>
    </row>
    <row r="980" ht="30" customHeight="1" s="122">
      <c r="A980" s="109" t="n"/>
      <c r="B980" s="108" t="inlineStr">
        <is>
          <t>X</t>
        </is>
      </c>
      <c r="C980" s="109" t="inlineStr"/>
      <c r="D980" s="109" t="inlineStr">
        <is>
          <t>BLENDING</t>
        </is>
      </c>
      <c r="E980" s="109" t="inlineStr">
        <is>
          <t>535221/C</t>
        </is>
      </c>
      <c r="F980" s="109" t="inlineStr">
        <is>
          <t>BLENDING</t>
        </is>
      </c>
      <c r="G980" s="109" t="inlineStr">
        <is>
          <t xml:space="preserve">BLENDING - MP120 A-B-C + MP121 verifica funzionalità livellostati di allarme perdita tenute </t>
        </is>
      </c>
      <c r="H980" s="109" t="n"/>
      <c r="I980" s="109" t="n"/>
      <c r="J980" s="109" t="n"/>
      <c r="K980" s="109" t="n"/>
      <c r="L980" s="109" t="n"/>
      <c r="M980" s="110" t="inlineStr">
        <is>
          <t>DA CHIUDERE</t>
        </is>
      </c>
      <c r="N980" s="110" t="n"/>
      <c r="O980" s="110" t="n"/>
      <c r="P980" s="110" t="n"/>
      <c r="Q980" s="110" t="n"/>
      <c r="R980" s="151" t="n">
        <v>45785</v>
      </c>
      <c r="S980" s="110" t="inlineStr">
        <is>
          <t>RICIPUTO/SERRA</t>
        </is>
      </c>
      <c r="T980" s="109" t="inlineStr"/>
      <c r="U980" s="147" t="inlineStr"/>
    </row>
    <row r="981" ht="30" customHeight="1" s="122">
      <c r="A981" s="109" t="n"/>
      <c r="B981" s="108" t="inlineStr">
        <is>
          <t>X</t>
        </is>
      </c>
      <c r="C981" s="109" t="inlineStr"/>
      <c r="D981" s="109" t="inlineStr">
        <is>
          <t>BLENDING</t>
        </is>
      </c>
      <c r="E981" s="109" t="inlineStr">
        <is>
          <t>530658/C</t>
        </is>
      </c>
      <c r="F981" s="109" t="inlineStr">
        <is>
          <t>BLENDING</t>
        </is>
      </c>
      <c r="G981" s="109" t="inlineStr">
        <is>
          <t xml:space="preserve">BLENDING - controllo funzionalità PT 607 + ripristino gruppo manometrico </t>
        </is>
      </c>
      <c r="H981" s="109" t="n"/>
      <c r="I981" s="109" t="n"/>
      <c r="J981" s="109" t="n"/>
      <c r="K981" s="109" t="n"/>
      <c r="L981" s="109" t="n"/>
      <c r="M981" s="110" t="inlineStr">
        <is>
          <t>DA CHIUDERE</t>
        </is>
      </c>
      <c r="N981" s="110" t="n"/>
      <c r="O981" s="110" t="n"/>
      <c r="P981" s="110" t="n"/>
      <c r="Q981" s="110" t="inlineStr">
        <is>
          <t>GRUPPO MANOMETRICO RIPRISTINATO, DA MONTARE IN CAMPO.</t>
        </is>
      </c>
      <c r="R981" s="151" t="n">
        <v>45775</v>
      </c>
      <c r="S981" s="110" t="inlineStr">
        <is>
          <t>RICIPUTO/PARTESANO</t>
        </is>
      </c>
      <c r="T981" s="109" t="inlineStr"/>
      <c r="U981" s="147" t="inlineStr"/>
    </row>
    <row r="982" ht="15" customHeight="1" s="122">
      <c r="A982" s="109" t="n"/>
      <c r="B982" s="109" t="inlineStr">
        <is>
          <t>X</t>
        </is>
      </c>
      <c r="C982" s="109" t="inlineStr"/>
      <c r="D982" s="109" t="inlineStr">
        <is>
          <t>BLENDING</t>
        </is>
      </c>
      <c r="E982" s="109" t="inlineStr">
        <is>
          <t>535213/C</t>
        </is>
      </c>
      <c r="F982" s="109" t="inlineStr">
        <is>
          <t>BLENDING</t>
        </is>
      </c>
      <c r="G982" s="109" t="inlineStr">
        <is>
          <t>BLENDING - Ripristino funzionalita' SOV6 VRU</t>
        </is>
      </c>
      <c r="H982" s="109" t="n"/>
      <c r="I982" s="109" t="n"/>
      <c r="J982" s="109" t="n"/>
      <c r="K982" s="109" t="n"/>
      <c r="L982" s="109" t="n"/>
      <c r="M982" s="109" t="inlineStr">
        <is>
          <t>DA CHIUDERE</t>
        </is>
      </c>
      <c r="N982" s="109" t="n"/>
      <c r="O982" s="109" t="n"/>
      <c r="P982" s="109" t="n"/>
      <c r="Q982" s="109" t="inlineStr">
        <is>
          <t>SMTG ATTUATORE PER RIPRISTINO ORING DI TENUTA</t>
        </is>
      </c>
      <c r="R982" s="151" t="n">
        <v>45784</v>
      </c>
      <c r="S982" s="109" t="inlineStr">
        <is>
          <t>CIANCHINO/GIGLIUTO</t>
        </is>
      </c>
      <c r="T982" s="109" t="inlineStr"/>
      <c r="U982" s="109" t="inlineStr"/>
    </row>
    <row r="983" ht="30" customHeight="1" s="122">
      <c r="A983" s="109" t="n"/>
      <c r="B983" s="108" t="inlineStr">
        <is>
          <t>X</t>
        </is>
      </c>
      <c r="C983" s="109" t="inlineStr"/>
      <c r="D983" s="109" t="inlineStr">
        <is>
          <t>BLENDING</t>
        </is>
      </c>
      <c r="E983" s="109" t="inlineStr">
        <is>
          <t>533473/C</t>
        </is>
      </c>
      <c r="F983" s="109" t="inlineStr">
        <is>
          <t>BLENDING</t>
        </is>
      </c>
      <c r="G983" s="109" t="inlineStr">
        <is>
          <t>ANTICENDIO - Taratura pressostati Sala Pompe AI radice pontile, come da elenco allegato + sostituzione se guasti</t>
        </is>
      </c>
      <c r="H983" s="109" t="n"/>
      <c r="I983" s="109" t="n"/>
      <c r="J983" s="109" t="n"/>
      <c r="K983" s="109" t="n"/>
      <c r="L983" s="109" t="n"/>
      <c r="M983" s="110" t="inlineStr">
        <is>
          <t>DA CHIUDERE</t>
        </is>
      </c>
      <c r="N983" s="110" t="n"/>
      <c r="O983" s="110" t="n"/>
      <c r="P983" s="110" t="n"/>
      <c r="Q983" s="110" t="n"/>
      <c r="R983" s="151" t="n"/>
      <c r="S983" s="110" t="n"/>
      <c r="T983" s="109" t="inlineStr"/>
      <c r="U983" s="147" t="inlineStr"/>
    </row>
    <row r="984">
      <c r="A984" s="109" t="n"/>
      <c r="B984" s="108" t="inlineStr">
        <is>
          <t>X</t>
        </is>
      </c>
      <c r="C984" s="109" t="inlineStr"/>
      <c r="D984" s="109" t="inlineStr">
        <is>
          <t>BLENDING</t>
        </is>
      </c>
      <c r="E984" s="109" t="inlineStr">
        <is>
          <t>536498/C</t>
        </is>
      </c>
      <c r="F984" s="109" t="inlineStr">
        <is>
          <t>CVT</t>
        </is>
      </c>
      <c r="G984" s="109" t="inlineStr">
        <is>
          <t>CVT - RIPRISTINO CIVACON</t>
        </is>
      </c>
      <c r="H984" s="109" t="n"/>
      <c r="I984" s="109" t="n"/>
      <c r="J984" s="109" t="n"/>
      <c r="K984" s="109" t="n"/>
      <c r="L984" s="109" t="n"/>
      <c r="M984" s="110" t="inlineStr">
        <is>
          <t>DA CHIUDERE</t>
        </is>
      </c>
      <c r="N984" s="110" t="n"/>
      <c r="O984" s="110" t="n"/>
      <c r="P984" s="110" t="n"/>
      <c r="Q984" s="110" t="n"/>
      <c r="R984" s="151" t="n"/>
      <c r="S984" s="110" t="n"/>
      <c r="T984" s="109" t="inlineStr"/>
      <c r="U984" s="147" t="inlineStr"/>
    </row>
    <row r="985" ht="30" customHeight="1" s="122">
      <c r="A985" s="109" t="n"/>
      <c r="B985" s="108" t="inlineStr">
        <is>
          <t>X</t>
        </is>
      </c>
      <c r="C985" s="109" t="inlineStr"/>
      <c r="D985" s="109" t="inlineStr">
        <is>
          <t>BLENDING</t>
        </is>
      </c>
      <c r="E985" s="109" t="inlineStr">
        <is>
          <t>536722/C</t>
        </is>
      </c>
      <c r="F985" s="109" t="inlineStr">
        <is>
          <t>BLENDING</t>
        </is>
      </c>
      <c r="G985" s="109" t="inlineStr">
        <is>
          <t>BLENDING - controllo funzionalit PI001 - OL 7</t>
        </is>
      </c>
      <c r="H985" s="109" t="n"/>
      <c r="I985" s="109" t="n"/>
      <c r="J985" s="109" t="n"/>
      <c r="K985" s="109" t="n"/>
      <c r="L985" s="109" t="n"/>
      <c r="M985" s="110" t="inlineStr">
        <is>
          <t>DA CHIUDERE</t>
        </is>
      </c>
      <c r="N985" s="110" t="n"/>
      <c r="O985" s="110" t="n"/>
      <c r="P985" s="110" t="n"/>
      <c r="Q985" s="110" t="n"/>
      <c r="R985" s="151" t="n"/>
      <c r="S985" s="110" t="n"/>
      <c r="T985" s="109" t="inlineStr"/>
      <c r="U985" s="147" t="inlineStr"/>
    </row>
    <row r="986" ht="30" customHeight="1" s="122">
      <c r="A986" s="109" t="n"/>
      <c r="B986" s="108" t="inlineStr">
        <is>
          <t>X</t>
        </is>
      </c>
      <c r="C986" s="109" t="inlineStr"/>
      <c r="D986" s="109" t="inlineStr">
        <is>
          <t>BLENDING</t>
        </is>
      </c>
      <c r="E986" s="109" t="inlineStr">
        <is>
          <t>536720/C</t>
        </is>
      </c>
      <c r="F986" s="109" t="inlineStr">
        <is>
          <t>BLENDING</t>
        </is>
      </c>
      <c r="G986" s="109" t="inlineStr">
        <is>
          <t>BLENDING - controllo funzionalit PI002 - OL6A</t>
        </is>
      </c>
      <c r="H986" s="109" t="n"/>
      <c r="I986" s="109" t="n"/>
      <c r="J986" s="109" t="n"/>
      <c r="K986" s="109" t="n"/>
      <c r="L986" s="109" t="n"/>
      <c r="M986" s="110" t="inlineStr">
        <is>
          <t>DA CHIUDERE</t>
        </is>
      </c>
      <c r="N986" s="110" t="n"/>
      <c r="O986" s="110" t="n"/>
      <c r="P986" s="110" t="n"/>
      <c r="Q986" s="110" t="n"/>
      <c r="R986" s="151" t="n"/>
      <c r="S986" s="110" t="n"/>
      <c r="T986" s="109" t="inlineStr"/>
      <c r="U986" s="147" t="inlineStr"/>
    </row>
    <row r="987" ht="30" customHeight="1" s="122">
      <c r="A987" s="109" t="n"/>
      <c r="B987" s="108" t="n"/>
      <c r="C987" s="109" t="inlineStr"/>
      <c r="D987" s="109" t="inlineStr">
        <is>
          <t>BLENDING</t>
        </is>
      </c>
      <c r="E987" s="109" t="inlineStr">
        <is>
          <t>314452/S</t>
        </is>
      </c>
      <c r="F987" s="109" t="inlineStr">
        <is>
          <t>BLENDING</t>
        </is>
      </c>
      <c r="G987" s="109" t="inlineStr">
        <is>
          <t>2200 BD - Installazione rilevatore portatile di ossigeno X-Zone 5500 (Torretta) su presa in aspirazione linea di azoto 8" BD66 (PROCESS AREA 3)</t>
        </is>
      </c>
      <c r="H987" s="109" t="n"/>
      <c r="I987" s="109" t="n"/>
      <c r="J987" s="109" t="n"/>
      <c r="K987" s="109" t="n"/>
      <c r="L987" s="109" t="n"/>
      <c r="M987" s="110" t="inlineStr">
        <is>
          <t>DA CHIUDERE</t>
        </is>
      </c>
      <c r="N987" s="110" t="n"/>
      <c r="O987" s="110" t="n"/>
      <c r="P987" s="110" t="n"/>
      <c r="Q987" s="110" t="n"/>
      <c r="R987" s="151" t="n"/>
      <c r="S987" s="110" t="n"/>
      <c r="T987" s="109" t="inlineStr"/>
      <c r="U987" s="147" t="inlineStr"/>
    </row>
    <row r="988">
      <c r="A988" s="109" t="n"/>
      <c r="B988" s="109" t="n"/>
      <c r="C988" s="109" t="inlineStr"/>
      <c r="D988" s="109" t="inlineStr">
        <is>
          <t>BLENDING</t>
        </is>
      </c>
      <c r="E988" s="109" t="inlineStr">
        <is>
          <t>538283/C</t>
        </is>
      </c>
      <c r="F988" s="109" t="inlineStr">
        <is>
          <t>CVT</t>
        </is>
      </c>
      <c r="G988" s="109" t="inlineStr">
        <is>
          <t>CVT - Controllo e ripristino funzionalità valvola di radice XV del BR 53</t>
        </is>
      </c>
      <c r="H988" s="109" t="n"/>
      <c r="I988" s="109" t="n"/>
      <c r="J988" s="109" t="n"/>
      <c r="K988" s="109" t="n"/>
      <c r="L988" s="109" t="n"/>
      <c r="M988" s="110" t="inlineStr">
        <is>
          <t>DA CHIUDERE</t>
        </is>
      </c>
      <c r="N988" s="110" t="n"/>
      <c r="O988" s="110" t="n"/>
      <c r="P988" s="110" t="n"/>
      <c r="Q988" s="110" t="n"/>
      <c r="R988" s="151" t="n"/>
      <c r="S988" s="110" t="n"/>
      <c r="T988" s="109" t="inlineStr"/>
      <c r="U988" s="109" t="inlineStr"/>
    </row>
    <row r="989">
      <c r="A989" s="109" t="n"/>
      <c r="B989" s="109" t="n"/>
      <c r="C989" s="109" t="inlineStr"/>
      <c r="D989" s="109" t="inlineStr">
        <is>
          <t>BLENDING</t>
        </is>
      </c>
      <c r="E989" s="109" t="inlineStr">
        <is>
          <t>538281/C</t>
        </is>
      </c>
      <c r="F989" s="109" t="inlineStr">
        <is>
          <t>CVT</t>
        </is>
      </c>
      <c r="G989" s="109" t="inlineStr">
        <is>
          <t>CVT - Controllo e ripristino funzionalit valvola di radice XV del BR 43</t>
        </is>
      </c>
      <c r="H989" s="109" t="n"/>
      <c r="I989" s="109" t="n"/>
      <c r="J989" s="109" t="n"/>
      <c r="K989" s="109" t="n"/>
      <c r="L989" s="109" t="n"/>
      <c r="M989" s="109" t="inlineStr">
        <is>
          <t>DA CHIUDERE</t>
        </is>
      </c>
      <c r="N989" s="109" t="n"/>
      <c r="O989" s="109" t="n"/>
      <c r="P989" s="109" t="n"/>
      <c r="Q989" s="109" t="n"/>
      <c r="R989" s="151" t="n"/>
      <c r="S989" s="109" t="n"/>
      <c r="T989" s="109" t="inlineStr"/>
      <c r="U989" s="109" t="inlineStr"/>
    </row>
    <row r="990" ht="30" customHeight="1" s="122">
      <c r="A990" s="109" t="n"/>
      <c r="B990" s="109" t="n"/>
      <c r="C990" s="109" t="inlineStr"/>
      <c r="D990" s="109" t="inlineStr">
        <is>
          <t>BLENDING</t>
        </is>
      </c>
      <c r="E990" s="109" t="inlineStr">
        <is>
          <t>538769/C</t>
        </is>
      </c>
      <c r="F990" s="109" t="inlineStr">
        <is>
          <t>BLENDING</t>
        </is>
      </c>
      <c r="G990" s="109" t="inlineStr">
        <is>
          <t>BLENDING - Controllo e ripristino funzionalit TI-492</t>
        </is>
      </c>
      <c r="H990" s="109" t="n"/>
      <c r="I990" s="109" t="n"/>
      <c r="J990" s="109" t="n"/>
      <c r="K990" s="109" t="n"/>
      <c r="L990" s="109" t="n"/>
      <c r="M990" s="109" t="inlineStr">
        <is>
          <t>DA CHIUDERE</t>
        </is>
      </c>
      <c r="N990" s="109" t="n"/>
      <c r="O990" s="109" t="n"/>
      <c r="P990" s="109" t="n"/>
      <c r="Q990" s="109" t="n"/>
      <c r="R990" s="151" t="n"/>
      <c r="S990" s="109" t="n"/>
      <c r="T990" s="109" t="inlineStr"/>
      <c r="U990" s="109" t="inlineStr"/>
    </row>
    <row r="991" ht="30" customHeight="1" s="122">
      <c r="A991" s="109" t="n"/>
      <c r="B991" s="109" t="inlineStr">
        <is>
          <t>X</t>
        </is>
      </c>
      <c r="C991" s="109" t="inlineStr"/>
      <c r="D991" s="109" t="inlineStr">
        <is>
          <t>BLENDING</t>
        </is>
      </c>
      <c r="E991" s="109" t="inlineStr">
        <is>
          <t>538855/C</t>
        </is>
      </c>
      <c r="F991" s="109" t="inlineStr">
        <is>
          <t>BLENDING</t>
        </is>
      </c>
      <c r="G991" s="109" t="inlineStr">
        <is>
          <t>BLENDING - Verifica funzionalità livellostato L102HA</t>
        </is>
      </c>
      <c r="H991" s="109" t="n"/>
      <c r="I991" s="109" t="n"/>
      <c r="J991" s="109" t="n"/>
      <c r="K991" s="109" t="n"/>
      <c r="L991" s="109" t="n"/>
      <c r="M991" s="109" t="inlineStr">
        <is>
          <t>DA CHIUDERE</t>
        </is>
      </c>
      <c r="N991" s="109" t="n"/>
      <c r="O991" s="109" t="n"/>
      <c r="P991" s="109" t="n"/>
      <c r="Q991" s="109" t="n"/>
      <c r="R991" s="151" t="n"/>
      <c r="S991" s="109" t="n"/>
      <c r="T991" s="109" t="inlineStr"/>
      <c r="U991" s="109" t="inlineStr"/>
    </row>
    <row r="992" ht="30" customHeight="1" s="122">
      <c r="A992" s="109" t="n"/>
      <c r="B992" s="109" t="n"/>
      <c r="C992" s="109" t="inlineStr"/>
      <c r="D992" s="109" t="inlineStr">
        <is>
          <t>BLENDING</t>
        </is>
      </c>
      <c r="E992" s="109" t="inlineStr">
        <is>
          <t>538820/C</t>
        </is>
      </c>
      <c r="F992" s="109" t="inlineStr">
        <is>
          <t>BLENDING</t>
        </is>
      </c>
      <c r="G992" s="109" t="inlineStr">
        <is>
          <t>BLENDING - Verifica funzionalità livellostato L101HA</t>
        </is>
      </c>
      <c r="H992" s="109" t="n"/>
      <c r="I992" s="109" t="n"/>
      <c r="J992" s="109" t="n"/>
      <c r="K992" s="109" t="n"/>
      <c r="L992" s="109" t="n"/>
      <c r="M992" s="109" t="inlineStr">
        <is>
          <t>DA CHIUDERE</t>
        </is>
      </c>
      <c r="N992" s="109" t="n"/>
      <c r="O992" s="109" t="n"/>
      <c r="P992" s="109" t="n"/>
      <c r="Q992" s="109" t="n"/>
      <c r="R992" s="151" t="n"/>
      <c r="S992" s="109" t="n"/>
      <c r="T992" s="109" t="inlineStr"/>
      <c r="U992" s="109" t="inlineStr"/>
    </row>
    <row r="993" ht="30" customHeight="1" s="122">
      <c r="A993" s="109" t="n"/>
      <c r="B993" s="108" t="inlineStr">
        <is>
          <t>X</t>
        </is>
      </c>
      <c r="C993" s="109" t="inlineStr"/>
      <c r="D993" s="109" t="inlineStr">
        <is>
          <t>BLENDING</t>
        </is>
      </c>
      <c r="E993" s="109" t="inlineStr">
        <is>
          <t>538858/C</t>
        </is>
      </c>
      <c r="F993" s="109" t="inlineStr">
        <is>
          <t>BLENDING</t>
        </is>
      </c>
      <c r="G993" s="109" t="inlineStr">
        <is>
          <t>BLENDING - Verifica funzionalità livellostato L103HA</t>
        </is>
      </c>
      <c r="H993" s="109" t="n"/>
      <c r="I993" s="109" t="n"/>
      <c r="J993" s="109" t="n"/>
      <c r="K993" s="109" t="n"/>
      <c r="L993" s="109" t="n"/>
      <c r="M993" s="110" t="inlineStr">
        <is>
          <t>DA CHIUDERE</t>
        </is>
      </c>
      <c r="N993" s="110" t="n"/>
      <c r="O993" s="110" t="n"/>
      <c r="P993" s="110" t="n"/>
      <c r="Q993" s="110" t="n"/>
      <c r="R993" s="151" t="n"/>
      <c r="S993" s="110" t="n"/>
      <c r="T993" s="109" t="inlineStr"/>
      <c r="U993" s="147" t="inlineStr"/>
    </row>
    <row r="994" ht="30" customHeight="1" s="122">
      <c r="A994" s="109" t="n"/>
      <c r="B994" s="108" t="inlineStr">
        <is>
          <t>X</t>
        </is>
      </c>
      <c r="C994" s="109" t="inlineStr"/>
      <c r="D994" s="109" t="inlineStr">
        <is>
          <t>BLENDING</t>
        </is>
      </c>
      <c r="E994" s="109" t="inlineStr">
        <is>
          <t>538870/C</t>
        </is>
      </c>
      <c r="F994" s="109" t="inlineStr">
        <is>
          <t>BLENDING</t>
        </is>
      </c>
      <c r="G994" s="109" t="inlineStr">
        <is>
          <t>BLENDING - Verifica funzionalità livellostato L106HA</t>
        </is>
      </c>
      <c r="H994" s="109" t="n"/>
      <c r="I994" s="109" t="n"/>
      <c r="J994" s="109" t="n"/>
      <c r="K994" s="109" t="n"/>
      <c r="L994" s="109" t="n"/>
      <c r="M994" s="110" t="inlineStr">
        <is>
          <t>DA CHIUDERE</t>
        </is>
      </c>
      <c r="N994" s="110" t="n"/>
      <c r="O994" s="110" t="n"/>
      <c r="P994" s="110" t="n"/>
      <c r="Q994" s="110" t="n"/>
      <c r="R994" s="151" t="n"/>
      <c r="S994" s="110" t="n"/>
      <c r="T994" s="109" t="inlineStr"/>
      <c r="U994" s="147" t="inlineStr"/>
    </row>
    <row r="995" ht="30" customHeight="1" s="122">
      <c r="A995" s="109" t="n"/>
      <c r="B995" s="109" t="inlineStr">
        <is>
          <t>X</t>
        </is>
      </c>
      <c r="C995" s="109" t="inlineStr"/>
      <c r="D995" s="109" t="inlineStr">
        <is>
          <t>BLENDING</t>
        </is>
      </c>
      <c r="E995" s="109" t="inlineStr">
        <is>
          <t>538877/C</t>
        </is>
      </c>
      <c r="F995" s="109" t="inlineStr">
        <is>
          <t>BLENDING</t>
        </is>
      </c>
      <c r="G995" s="109" t="inlineStr">
        <is>
          <t>BLENDING - Verifica funzionalità livellostato L109HA</t>
        </is>
      </c>
      <c r="H995" s="109" t="n"/>
      <c r="I995" s="109" t="n"/>
      <c r="J995" s="109" t="n"/>
      <c r="K995" s="109" t="n"/>
      <c r="L995" s="109" t="n"/>
      <c r="M995" s="109" t="inlineStr">
        <is>
          <t>DA CHIUDERE</t>
        </is>
      </c>
      <c r="N995" s="109" t="n"/>
      <c r="O995" s="109" t="n"/>
      <c r="P995" s="109" t="n"/>
      <c r="Q995" s="109" t="n"/>
      <c r="R995" s="151" t="n"/>
      <c r="S995" s="109" t="n"/>
      <c r="T995" s="109" t="inlineStr"/>
      <c r="U995" s="109" t="inlineStr"/>
    </row>
    <row r="996" ht="30" customHeight="1" s="122">
      <c r="A996" s="109" t="n"/>
      <c r="B996" s="108" t="inlineStr">
        <is>
          <t>X</t>
        </is>
      </c>
      <c r="C996" s="109" t="inlineStr"/>
      <c r="D996" s="109" t="inlineStr">
        <is>
          <t>BLENDING</t>
        </is>
      </c>
      <c r="E996" s="109" t="inlineStr">
        <is>
          <t>538876/C</t>
        </is>
      </c>
      <c r="F996" s="109" t="inlineStr">
        <is>
          <t>BLENDING</t>
        </is>
      </c>
      <c r="G996" s="109" t="inlineStr">
        <is>
          <t>BLENDING - Verifica funzionalità livellostato L108HA</t>
        </is>
      </c>
      <c r="H996" s="109" t="n"/>
      <c r="I996" s="109" t="n"/>
      <c r="J996" s="109" t="n"/>
      <c r="K996" s="109" t="n"/>
      <c r="L996" s="109" t="n"/>
      <c r="M996" s="110" t="inlineStr">
        <is>
          <t>DA CHIUDERE</t>
        </is>
      </c>
      <c r="N996" s="110" t="n"/>
      <c r="O996" s="110" t="n"/>
      <c r="P996" s="110" t="n"/>
      <c r="Q996" s="110" t="n"/>
      <c r="R996" s="151" t="n"/>
      <c r="S996" s="110" t="n"/>
      <c r="T996" s="109" t="inlineStr"/>
      <c r="U996" s="147" t="inlineStr"/>
    </row>
    <row r="997" ht="30" customHeight="1" s="122">
      <c r="A997" s="109" t="n"/>
      <c r="B997" s="108" t="inlineStr">
        <is>
          <t>X</t>
        </is>
      </c>
      <c r="C997" s="109" t="inlineStr"/>
      <c r="D997" s="109" t="inlineStr">
        <is>
          <t>BLENDING</t>
        </is>
      </c>
      <c r="E997" s="109" t="inlineStr">
        <is>
          <t>539263/C</t>
        </is>
      </c>
      <c r="F997" s="109" t="inlineStr">
        <is>
          <t>BLENDING</t>
        </is>
      </c>
      <c r="G997" s="109" t="inlineStr">
        <is>
          <t>Verifica funzionalità livellostato L601HA</t>
        </is>
      </c>
      <c r="H997" s="109" t="n"/>
      <c r="I997" s="109" t="n"/>
      <c r="J997" s="109" t="n"/>
      <c r="K997" s="109" t="n"/>
      <c r="L997" s="109" t="n"/>
      <c r="M997" s="110" t="inlineStr">
        <is>
          <t>DA CHIUDERE</t>
        </is>
      </c>
      <c r="N997" s="110" t="n"/>
      <c r="O997" s="110" t="n"/>
      <c r="P997" s="110" t="n"/>
      <c r="Q997" s="110" t="n"/>
      <c r="R997" s="151" t="n"/>
      <c r="S997" s="110" t="n"/>
      <c r="T997" s="109" t="inlineStr"/>
      <c r="U997" s="147" t="inlineStr"/>
    </row>
    <row r="998" ht="30" customHeight="1" s="122">
      <c r="A998" s="109" t="n"/>
      <c r="B998" s="108" t="inlineStr">
        <is>
          <t>X</t>
        </is>
      </c>
      <c r="C998" s="109" t="inlineStr"/>
      <c r="D998" s="109" t="inlineStr">
        <is>
          <t>BLENDING</t>
        </is>
      </c>
      <c r="E998" s="109" t="inlineStr">
        <is>
          <t>539425/C</t>
        </is>
      </c>
      <c r="F998" s="109" t="inlineStr">
        <is>
          <t>BLENDING</t>
        </is>
      </c>
      <c r="G998" s="109" t="inlineStr">
        <is>
          <t>Verifica funzionalità livellostato L608HA</t>
        </is>
      </c>
      <c r="H998" s="109" t="n"/>
      <c r="I998" s="109" t="n"/>
      <c r="J998" s="109" t="n"/>
      <c r="K998" s="109" t="n"/>
      <c r="L998" s="109" t="n"/>
      <c r="M998" s="110" t="inlineStr">
        <is>
          <t>DA CHIUDERE</t>
        </is>
      </c>
      <c r="N998" s="110" t="n"/>
      <c r="O998" s="110" t="n"/>
      <c r="P998" s="110" t="n"/>
      <c r="Q998" s="110" t="n"/>
      <c r="R998" s="151" t="n"/>
      <c r="S998" s="110" t="n"/>
      <c r="T998" s="109" t="inlineStr"/>
      <c r="U998" s="147" t="inlineStr"/>
    </row>
    <row r="999" ht="30" customHeight="1" s="122">
      <c r="A999" s="109" t="n"/>
      <c r="B999" s="108" t="inlineStr">
        <is>
          <t>X</t>
        </is>
      </c>
      <c r="C999" s="109" t="inlineStr"/>
      <c r="D999" s="109" t="inlineStr">
        <is>
          <t>BLENDING</t>
        </is>
      </c>
      <c r="E999" s="109" t="inlineStr">
        <is>
          <t>539286/C</t>
        </is>
      </c>
      <c r="F999" s="109" t="inlineStr">
        <is>
          <t>BLENDING</t>
        </is>
      </c>
      <c r="G999" s="109" t="inlineStr">
        <is>
          <t>Verifica funzionalità livellostato L607HA</t>
        </is>
      </c>
      <c r="H999" s="109" t="n"/>
      <c r="I999" s="109" t="n"/>
      <c r="J999" s="109" t="n"/>
      <c r="K999" s="109" t="n"/>
      <c r="L999" s="109" t="n"/>
      <c r="M999" s="110" t="inlineStr">
        <is>
          <t>DA CHIUDERE</t>
        </is>
      </c>
      <c r="N999" s="110" t="n"/>
      <c r="O999" s="110" t="n"/>
      <c r="P999" s="110" t="n"/>
      <c r="Q999" s="110" t="n"/>
      <c r="R999" s="151" t="n"/>
      <c r="S999" s="110" t="n"/>
      <c r="T999" s="109" t="inlineStr"/>
      <c r="U999" s="147" t="inlineStr"/>
    </row>
    <row r="1000">
      <c r="A1000" s="109" t="n"/>
      <c r="B1000" s="109" t="n"/>
      <c r="C1000" s="109" t="inlineStr"/>
      <c r="D1000" s="109" t="inlineStr">
        <is>
          <t>BLENDING</t>
        </is>
      </c>
      <c r="E1000" s="109" t="inlineStr">
        <is>
          <t>543263/C</t>
        </is>
      </c>
      <c r="F1000" s="109" t="inlineStr">
        <is>
          <t>6500</t>
        </is>
      </c>
      <c r="G1000" s="109" t="inlineStr">
        <is>
          <t xml:space="preserve">ricerca guasto a ripristino funzionalita' CIVACON </t>
        </is>
      </c>
      <c r="H1000" s="109" t="n"/>
      <c r="I1000" s="109" t="n"/>
      <c r="J1000" s="109" t="n"/>
      <c r="K1000" s="109" t="n"/>
      <c r="L1000" s="109" t="n"/>
      <c r="M1000" s="109" t="inlineStr">
        <is>
          <t>DA CHIUDERE</t>
        </is>
      </c>
      <c r="N1000" s="109" t="n"/>
      <c r="O1000" s="109" t="n"/>
      <c r="P1000" s="109" t="n"/>
      <c r="Q1000" s="109" t="n"/>
      <c r="R1000" s="151" t="n"/>
      <c r="S1000" s="109" t="n"/>
      <c r="T1000" s="109" t="inlineStr"/>
      <c r="U1000" s="109" t="inlineStr"/>
    </row>
    <row r="1001">
      <c r="A1001" s="109" t="n"/>
      <c r="B1001" s="108" t="n"/>
      <c r="C1001" s="109" t="inlineStr"/>
      <c r="D1001" s="109" t="inlineStr">
        <is>
          <t>BLENDING</t>
        </is>
      </c>
      <c r="E1001" s="109" t="inlineStr">
        <is>
          <t>542972/C</t>
        </is>
      </c>
      <c r="F1001" s="109" t="inlineStr">
        <is>
          <t>6000</t>
        </is>
      </c>
      <c r="G1001" s="109" t="inlineStr">
        <is>
          <t>Ripristino dp filtro 103-PdAH 103 filtri sale</t>
        </is>
      </c>
      <c r="H1001" s="109" t="n"/>
      <c r="I1001" s="109" t="n"/>
      <c r="J1001" s="109" t="n"/>
      <c r="K1001" s="109" t="n"/>
      <c r="L1001" s="109" t="n"/>
      <c r="M1001" s="110" t="inlineStr">
        <is>
          <t>DA CHIUDERE</t>
        </is>
      </c>
      <c r="N1001" s="110" t="n"/>
      <c r="O1001" s="110" t="n"/>
      <c r="P1001" s="110" t="n"/>
      <c r="Q1001" s="110" t="n"/>
      <c r="R1001" s="151" t="n"/>
      <c r="S1001" s="110" t="n"/>
      <c r="T1001" s="109" t="inlineStr"/>
      <c r="U1001" s="147" t="inlineStr"/>
    </row>
    <row r="1002" ht="30" customHeight="1" s="122">
      <c r="A1002" s="109" t="n"/>
      <c r="B1002" s="108" t="inlineStr">
        <is>
          <t>X</t>
        </is>
      </c>
      <c r="C1002" s="109" t="inlineStr"/>
      <c r="D1002" s="109" t="inlineStr">
        <is>
          <t>BLENDING</t>
        </is>
      </c>
      <c r="E1002" s="109" t="inlineStr">
        <is>
          <t>538861/C</t>
        </is>
      </c>
      <c r="F1002" s="109" t="inlineStr">
        <is>
          <t>BLENDING</t>
        </is>
      </c>
      <c r="G1002" s="109" t="inlineStr">
        <is>
          <t>BLENDING - Verifica funzionalità livellostato L104HA</t>
        </is>
      </c>
      <c r="H1002" s="109" t="n"/>
      <c r="I1002" s="109" t="n"/>
      <c r="J1002" s="109" t="n"/>
      <c r="K1002" s="109" t="n"/>
      <c r="L1002" s="109" t="n"/>
      <c r="M1002" s="110" t="inlineStr">
        <is>
          <t>DA CHIUDERE</t>
        </is>
      </c>
      <c r="N1002" s="110" t="n"/>
      <c r="O1002" s="110" t="n"/>
      <c r="P1002" s="110" t="n"/>
      <c r="Q1002" s="110" t="n"/>
      <c r="R1002" s="151" t="n"/>
      <c r="S1002" s="110" t="n"/>
      <c r="T1002" s="109" t="inlineStr"/>
      <c r="U1002" s="147" t="inlineStr"/>
    </row>
    <row r="1003">
      <c r="A1003" s="109" t="n"/>
      <c r="B1003" s="109" t="n"/>
      <c r="C1003" s="109" t="inlineStr"/>
      <c r="D1003" s="109" t="inlineStr">
        <is>
          <t>BLENDING</t>
        </is>
      </c>
      <c r="E1003" s="109" t="inlineStr">
        <is>
          <t>543008/C</t>
        </is>
      </c>
      <c r="F1003" s="109" t="inlineStr">
        <is>
          <t>6000</t>
        </is>
      </c>
      <c r="G1003" s="109" t="inlineStr">
        <is>
          <t>Controllo e ripristino livellostato D106 filtri sale</t>
        </is>
      </c>
      <c r="H1003" s="109" t="n"/>
      <c r="I1003" s="109" t="n"/>
      <c r="J1003" s="109" t="n"/>
      <c r="K1003" s="109" t="n"/>
      <c r="L1003" s="109" t="n"/>
      <c r="M1003" s="109" t="inlineStr">
        <is>
          <t>DA CHIUDERE</t>
        </is>
      </c>
      <c r="N1003" s="109" t="n"/>
      <c r="O1003" s="109" t="n"/>
      <c r="P1003" s="109" t="n"/>
      <c r="Q1003" s="109" t="n"/>
      <c r="R1003" s="151" t="n"/>
      <c r="S1003" s="109" t="n"/>
      <c r="T1003" s="109" t="inlineStr"/>
      <c r="U1003" s="109" t="inlineStr"/>
    </row>
    <row r="1004" ht="30" customHeight="1" s="122">
      <c r="A1004" s="109" t="n"/>
      <c r="B1004" s="108" t="n"/>
      <c r="C1004" s="109" t="inlineStr"/>
      <c r="D1004" s="109" t="inlineStr">
        <is>
          <t>BLENDING</t>
        </is>
      </c>
      <c r="E1004" s="109" t="inlineStr">
        <is>
          <t>545460/C</t>
        </is>
      </c>
      <c r="F1004" s="109" t="inlineStr">
        <is>
          <t>Blend</t>
        </is>
      </c>
      <c r="G1004" s="109" t="inlineStr">
        <is>
          <t>SALA POMPE ADDITIVI P1141B  RIPRISTINO FUNZIONALITA FINE CORSA XV 33A(MAN GASOLIO 2)</t>
        </is>
      </c>
      <c r="H1004" s="109" t="n"/>
      <c r="I1004" s="109" t="n"/>
      <c r="J1004" s="109" t="n"/>
      <c r="K1004" s="109" t="n"/>
      <c r="L1004" s="109" t="n"/>
      <c r="M1004" s="110" t="inlineStr">
        <is>
          <t>DA CHIUDERE</t>
        </is>
      </c>
      <c r="N1004" s="110" t="n"/>
      <c r="O1004" s="110" t="n"/>
      <c r="P1004" s="110" t="n"/>
      <c r="Q1004" s="110" t="n"/>
      <c r="R1004" s="151" t="n"/>
      <c r="S1004" s="110" t="n"/>
      <c r="T1004" s="109" t="inlineStr"/>
      <c r="U1004" s="147" t="n"/>
    </row>
    <row r="1005" ht="30" customHeight="1" s="122">
      <c r="A1005" s="109" t="n"/>
      <c r="B1005" s="108" t="n"/>
      <c r="C1005" s="109" t="inlineStr"/>
      <c r="D1005" s="109" t="inlineStr">
        <is>
          <t>BLENDING</t>
        </is>
      </c>
      <c r="E1005" s="109" t="inlineStr">
        <is>
          <t>545458/C</t>
        </is>
      </c>
      <c r="F1005" s="109" t="inlineStr">
        <is>
          <t>Blend</t>
        </is>
      </c>
      <c r="G1005" s="109" t="inlineStr">
        <is>
          <t>SALA POMPE ADDITIVI P1141A RIPRISTINO FUNZIONALITA FINE CORSA XV 28A(MAN GASOLIO2) XV29A(MANDATA GASOLIO 1)</t>
        </is>
      </c>
      <c r="H1005" s="109" t="n"/>
      <c r="I1005" s="109" t="n"/>
      <c r="J1005" s="109" t="n"/>
      <c r="K1005" s="109" t="n"/>
      <c r="L1005" s="109" t="n"/>
      <c r="M1005" s="110" t="inlineStr">
        <is>
          <t>DA CHIUDERE</t>
        </is>
      </c>
      <c r="N1005" s="110" t="n"/>
      <c r="O1005" s="110" t="n"/>
      <c r="P1005" s="110" t="n"/>
      <c r="Q1005" s="110" t="n"/>
      <c r="R1005" s="151" t="n"/>
      <c r="S1005" s="110" t="n"/>
      <c r="T1005" s="109" t="inlineStr"/>
      <c r="U1005" s="147" t="n"/>
    </row>
    <row r="1006">
      <c r="A1006" s="109" t="n"/>
      <c r="B1006" s="108" t="n"/>
      <c r="C1006" s="109" t="inlineStr"/>
      <c r="D1006" s="109" t="inlineStr">
        <is>
          <t>BLENDING</t>
        </is>
      </c>
      <c r="E1006" s="109" t="inlineStr">
        <is>
          <t>546291/C</t>
        </is>
      </c>
      <c r="F1006" s="109" t="inlineStr">
        <is>
          <t>Blend</t>
        </is>
      </c>
      <c r="G1006" s="109" t="inlineStr">
        <is>
          <t>verifica funzionalta' pressostato della pompa P404 + ripristino gruppo manometrico</t>
        </is>
      </c>
      <c r="H1006" s="109" t="n"/>
      <c r="I1006" s="109" t="n"/>
      <c r="J1006" s="109" t="n"/>
      <c r="K1006" s="109" t="n"/>
      <c r="L1006" s="109" t="n"/>
      <c r="M1006" s="110" t="inlineStr">
        <is>
          <t>DA CHIUDERE</t>
        </is>
      </c>
      <c r="N1006" s="110" t="n"/>
      <c r="O1006" s="110" t="n"/>
      <c r="P1006" s="110" t="n"/>
      <c r="Q1006" s="110" t="n"/>
      <c r="R1006" s="151" t="n"/>
      <c r="S1006" s="110" t="n"/>
      <c r="T1006" s="109" t="inlineStr"/>
      <c r="U1006" s="147" t="n"/>
    </row>
    <row r="1007" ht="30" customHeight="1" s="122">
      <c r="A1007" s="109" t="n"/>
      <c r="B1007" s="109" t="inlineStr">
        <is>
          <t>X</t>
        </is>
      </c>
      <c r="C1007" s="109" t="inlineStr"/>
      <c r="D1007" s="109" t="inlineStr">
        <is>
          <t>BLENDING</t>
        </is>
      </c>
      <c r="E1007" s="109" t="inlineStr">
        <is>
          <t>539454/C</t>
        </is>
      </c>
      <c r="F1007" s="109" t="inlineStr">
        <is>
          <t>BLENDING</t>
        </is>
      </c>
      <c r="G1007" s="109" t="inlineStr">
        <is>
          <t>Verifica funzionalità livellostato L622HA</t>
        </is>
      </c>
      <c r="H1007" s="109" t="n"/>
      <c r="I1007" s="109" t="n"/>
      <c r="J1007" s="109" t="n"/>
      <c r="K1007" s="109" t="n"/>
      <c r="L1007" s="109" t="n"/>
      <c r="M1007" s="109" t="inlineStr">
        <is>
          <t>DA CHIUDERE</t>
        </is>
      </c>
      <c r="N1007" s="109" t="n"/>
      <c r="O1007" s="109" t="n"/>
      <c r="P1007" s="109" t="n"/>
      <c r="Q1007" s="109" t="n"/>
      <c r="R1007" s="151" t="n">
        <v>45894</v>
      </c>
      <c r="S1007" s="109" t="inlineStr">
        <is>
          <t>RICIPUTO</t>
        </is>
      </c>
      <c r="T1007" s="109" t="inlineStr"/>
      <c r="U1007" s="147" t="inlineStr"/>
    </row>
    <row r="1008" ht="30" customHeight="1" s="122">
      <c r="A1008" s="109" t="n"/>
      <c r="B1008" s="109" t="inlineStr">
        <is>
          <t>X</t>
        </is>
      </c>
      <c r="C1008" s="109" t="inlineStr"/>
      <c r="D1008" s="109" t="inlineStr">
        <is>
          <t>BLENDING</t>
        </is>
      </c>
      <c r="E1008" s="109" t="inlineStr">
        <is>
          <t>539467/C</t>
        </is>
      </c>
      <c r="F1008" s="109" t="inlineStr">
        <is>
          <t>BLENDING</t>
        </is>
      </c>
      <c r="G1008" s="109" t="inlineStr">
        <is>
          <t>Verifica funzionalità livellostato L623HA</t>
        </is>
      </c>
      <c r="H1008" s="109" t="n"/>
      <c r="I1008" s="109" t="n"/>
      <c r="J1008" s="109" t="n"/>
      <c r="K1008" s="109" t="n"/>
      <c r="L1008" s="109" t="n"/>
      <c r="M1008" s="110" t="inlineStr">
        <is>
          <t>DA CHIUDERE</t>
        </is>
      </c>
      <c r="N1008" s="110" t="n"/>
      <c r="O1008" s="110" t="n"/>
      <c r="P1008" s="110" t="n"/>
      <c r="Q1008" s="110" t="n"/>
      <c r="R1008" s="151" t="n">
        <v>45894</v>
      </c>
      <c r="S1008" s="110" t="inlineStr">
        <is>
          <t>RICIPUTO</t>
        </is>
      </c>
      <c r="T1008" s="109" t="inlineStr"/>
      <c r="U1008" s="147" t="inlineStr"/>
    </row>
    <row r="1009">
      <c r="A1009" s="109" t="n"/>
      <c r="B1009" s="108" t="n"/>
      <c r="C1009" s="109" t="inlineStr"/>
      <c r="D1009" s="109" t="inlineStr">
        <is>
          <t>BLENDING</t>
        </is>
      </c>
      <c r="E1009" s="109" t="inlineStr">
        <is>
          <t>317893/S</t>
        </is>
      </c>
      <c r="F1009" s="109" t="inlineStr">
        <is>
          <t>7000</t>
        </is>
      </c>
      <c r="G1009" s="109" t="inlineStr">
        <is>
          <t>Controllo taratura pressostati barilotti aria dei compressori C1 e C2 Diesel Pontile</t>
        </is>
      </c>
      <c r="H1009" s="109" t="n"/>
      <c r="I1009" s="109" t="n"/>
      <c r="J1009" s="109" t="n"/>
      <c r="K1009" s="109" t="n"/>
      <c r="L1009" s="109" t="n"/>
      <c r="M1009" s="110" t="inlineStr">
        <is>
          <t>DA CHIUDERE</t>
        </is>
      </c>
      <c r="N1009" s="110" t="n"/>
      <c r="O1009" s="110" t="n"/>
      <c r="P1009" s="110" t="n"/>
      <c r="Q1009" s="110" t="n"/>
      <c r="R1009" s="151" t="n"/>
      <c r="S1009" s="110" t="n"/>
      <c r="T1009" s="109" t="inlineStr"/>
      <c r="U1009" s="147" t="n"/>
    </row>
    <row r="1010" ht="30" customHeight="1" s="122">
      <c r="A1010" s="109" t="n"/>
      <c r="B1010" s="109" t="n"/>
      <c r="C1010" s="109" t="inlineStr"/>
      <c r="D1010" s="109" t="inlineStr">
        <is>
          <t>BLENDING</t>
        </is>
      </c>
      <c r="E1010" s="109" t="inlineStr">
        <is>
          <t>549371/C</t>
        </is>
      </c>
      <c r="F1010" s="109" t="inlineStr">
        <is>
          <t>7000</t>
        </is>
      </c>
      <c r="G1010" s="109" t="inlineStr">
        <is>
          <t>Taratura pressostati Sala Pompe AI radice pontile, come da elenco allegato + sostituzione se guasti</t>
        </is>
      </c>
      <c r="H1010" s="109" t="n"/>
      <c r="I1010" s="109" t="n"/>
      <c r="J1010" s="109" t="n"/>
      <c r="K1010" s="109" t="n"/>
      <c r="L1010" s="109" t="n"/>
      <c r="M1010" s="109" t="inlineStr">
        <is>
          <t>DA CHIUDERE</t>
        </is>
      </c>
      <c r="N1010" s="109" t="n"/>
      <c r="O1010" s="109" t="n"/>
      <c r="P1010" s="109" t="n"/>
      <c r="Q1010" s="109" t="n"/>
      <c r="R1010" s="151" t="n"/>
      <c r="S1010" s="109" t="n"/>
      <c r="T1010" s="109" t="inlineStr"/>
      <c r="U1010" s="109" t="n"/>
    </row>
    <row r="1011">
      <c r="A1011" s="109" t="n"/>
      <c r="B1011" s="109" t="n"/>
      <c r="C1011" s="109" t="inlineStr"/>
      <c r="D1011" s="109" t="inlineStr">
        <is>
          <t>BLENDING</t>
        </is>
      </c>
      <c r="E1011" s="109" t="inlineStr">
        <is>
          <t>549465/C</t>
        </is>
      </c>
      <c r="F1011" s="109" t="inlineStr">
        <is>
          <t>1300</t>
        </is>
      </c>
      <c r="G1011" s="109" t="inlineStr">
        <is>
          <t>Ripristino guasto programmatore carico Braccio TL301B</t>
        </is>
      </c>
      <c r="H1011" s="109" t="n"/>
      <c r="I1011" s="109" t="n"/>
      <c r="J1011" s="109" t="n"/>
      <c r="K1011" s="109" t="n"/>
      <c r="L1011" s="109" t="n"/>
      <c r="M1011" s="110" t="inlineStr">
        <is>
          <t>DA CHIUDERE</t>
        </is>
      </c>
      <c r="N1011" s="110" t="n"/>
      <c r="O1011" s="110" t="n"/>
      <c r="P1011" s="110" t="n"/>
      <c r="Q1011" s="110" t="n"/>
      <c r="R1011" s="151" t="n">
        <v>45903</v>
      </c>
      <c r="S1011" s="110" t="inlineStr">
        <is>
          <t>RICIPUTO</t>
        </is>
      </c>
      <c r="T1011" s="109" t="inlineStr"/>
      <c r="U1011" s="147" t="n"/>
    </row>
    <row r="1012" ht="30" customHeight="1" s="122">
      <c r="A1012" s="109" t="n"/>
      <c r="B1012" s="109" t="n"/>
      <c r="C1012" s="109" t="inlineStr"/>
      <c r="D1012" s="109" t="inlineStr">
        <is>
          <t>BLENDING</t>
        </is>
      </c>
      <c r="E1012" s="109" t="inlineStr">
        <is>
          <t>549587/C</t>
        </is>
      </c>
      <c r="F1012" s="109" t="inlineStr">
        <is>
          <t>7000</t>
        </is>
      </c>
      <c r="G1012" s="109" t="inlineStr">
        <is>
          <t>Taratura pressostati pompe antincendio Raffineria come da elenco allegato + sostituzione se guasti</t>
        </is>
      </c>
      <c r="H1012" s="109" t="n"/>
      <c r="I1012" s="109" t="n"/>
      <c r="J1012" s="109" t="n"/>
      <c r="K1012" s="109" t="n"/>
      <c r="L1012" s="109" t="n"/>
      <c r="M1012" s="109" t="inlineStr">
        <is>
          <t>DA CHIUDERE</t>
        </is>
      </c>
      <c r="N1012" s="109" t="n"/>
      <c r="O1012" s="109" t="n"/>
      <c r="P1012" s="109" t="n"/>
      <c r="Q1012" s="109" t="n"/>
      <c r="R1012" s="151" t="n"/>
      <c r="S1012" s="109" t="n"/>
      <c r="T1012" s="109" t="inlineStr"/>
      <c r="U1012" s="109" t="n"/>
    </row>
    <row r="1013" ht="30" customHeight="1" s="122">
      <c r="A1013" s="109" t="n"/>
      <c r="B1013" s="108" t="n"/>
      <c r="C1013" s="109" t="inlineStr"/>
      <c r="D1013" s="109" t="inlineStr">
        <is>
          <t>BLENDING</t>
        </is>
      </c>
      <c r="E1013" s="109" t="inlineStr">
        <is>
          <t>549300/C</t>
        </is>
      </c>
      <c r="F1013" s="109" t="inlineStr">
        <is>
          <t>Pontile</t>
        </is>
      </c>
      <c r="G1013" s="109" t="inlineStr">
        <is>
          <t>Pontile   VRU Ptf.6 - Linea tra filtri e rompifiamma scollegamento/ricollegamento della strumentazione.</t>
        </is>
      </c>
      <c r="H1013" s="109" t="n"/>
      <c r="I1013" s="109" t="n"/>
      <c r="J1013" s="109" t="n"/>
      <c r="K1013" s="109" t="n"/>
      <c r="L1013" s="109" t="n"/>
      <c r="M1013" s="110" t="inlineStr">
        <is>
          <t>DA CHIUDERE</t>
        </is>
      </c>
      <c r="N1013" s="110" t="n"/>
      <c r="O1013" s="110" t="n"/>
      <c r="P1013" s="110" t="n"/>
      <c r="Q1013" s="110" t="n"/>
      <c r="R1013" s="151" t="n"/>
      <c r="S1013" s="110" t="n"/>
      <c r="T1013" s="109" t="inlineStr"/>
      <c r="U1013" s="147" t="n"/>
    </row>
    <row r="1014" ht="30" customHeight="1" s="122">
      <c r="A1014" s="109" t="n"/>
      <c r="B1014" s="108" t="n"/>
      <c r="C1014" s="109" t="inlineStr"/>
      <c r="D1014" s="109" t="inlineStr">
        <is>
          <t>BLENDING</t>
        </is>
      </c>
      <c r="E1014" s="109" t="inlineStr">
        <is>
          <t>318038/S</t>
        </is>
      </c>
      <c r="F1014" s="109" t="inlineStr">
        <is>
          <t>7000</t>
        </is>
      </c>
      <c r="G1014" s="109" t="inlineStr">
        <is>
          <t xml:space="preserve">Controllo taratura pressostati barilotti aria dei compressori C1 e C2 Diesel Raffineria
</t>
        </is>
      </c>
      <c r="H1014" s="109" t="n"/>
      <c r="I1014" s="109" t="n"/>
      <c r="J1014" s="109" t="n"/>
      <c r="K1014" s="109" t="n"/>
      <c r="L1014" s="109" t="n"/>
      <c r="M1014" s="110" t="inlineStr">
        <is>
          <t>DA CHIUDERE</t>
        </is>
      </c>
      <c r="N1014" s="110" t="n"/>
      <c r="O1014" s="110" t="n"/>
      <c r="P1014" s="110" t="n"/>
      <c r="Q1014" s="110" t="n"/>
      <c r="R1014" s="151" t="n"/>
      <c r="S1014" s="110" t="n"/>
      <c r="T1014" s="109" t="inlineStr"/>
      <c r="U1014" s="147" t="n"/>
    </row>
    <row r="1015" ht="30" customHeight="1" s="122">
      <c r="A1015" s="109" t="n"/>
      <c r="B1015" s="108" t="n"/>
      <c r="C1015" s="109" t="inlineStr"/>
      <c r="D1015" s="109" t="inlineStr">
        <is>
          <t>BLENDING</t>
        </is>
      </c>
      <c r="E1015" s="109" t="inlineStr">
        <is>
          <t>549357/C</t>
        </is>
      </c>
      <c r="F1015" s="109" t="inlineStr">
        <is>
          <t>Pontile</t>
        </is>
      </c>
      <c r="G1015" s="109" t="inlineStr">
        <is>
          <t>Controllo, ingrassaggio e ripristino funzionale valvola XV01-6 in PTF 6 (bloccata)</t>
        </is>
      </c>
      <c r="H1015" s="109" t="n"/>
      <c r="I1015" s="109" t="n"/>
      <c r="J1015" s="109" t="n"/>
      <c r="K1015" s="109" t="n"/>
      <c r="L1015" s="109" t="n"/>
      <c r="M1015" s="110" t="inlineStr">
        <is>
          <t>DA CHIUDERE</t>
        </is>
      </c>
      <c r="N1015" s="110" t="n"/>
      <c r="O1015" s="110" t="n"/>
      <c r="P1015" s="110" t="n"/>
      <c r="Q1015" s="110" t="n"/>
      <c r="R1015" s="151" t="n"/>
      <c r="S1015" s="110" t="n"/>
      <c r="T1015" s="109" t="inlineStr"/>
      <c r="U1015" s="147" t="n"/>
    </row>
    <row r="1016" ht="30" customHeight="1" s="122">
      <c r="A1016" s="109" t="n"/>
      <c r="B1016" s="108" t="n"/>
      <c r="C1016" s="109" t="inlineStr"/>
      <c r="D1016" s="109" t="inlineStr">
        <is>
          <t>BLENDING</t>
        </is>
      </c>
      <c r="E1016" s="109" t="inlineStr">
        <is>
          <t>549943/C</t>
        </is>
      </c>
      <c r="F1016" s="109" t="inlineStr">
        <is>
          <t>Blend</t>
        </is>
      </c>
      <c r="G1016" s="109" t="inlineStr">
        <is>
          <t>Ripristino funzionamento regolatrice blender dello stream F5002 (MTBE/IC6) sul blending benzina (non si apre)</t>
        </is>
      </c>
      <c r="H1016" s="109" t="n"/>
      <c r="I1016" s="109" t="n"/>
      <c r="J1016" s="109" t="n"/>
      <c r="K1016" s="109" t="n"/>
      <c r="L1016" s="109" t="n"/>
      <c r="M1016" s="110" t="inlineStr">
        <is>
          <t>DA CHIUDERE</t>
        </is>
      </c>
      <c r="N1016" s="110" t="n"/>
      <c r="O1016" s="110" t="n"/>
      <c r="P1016" s="110" t="n"/>
      <c r="Q1016" s="110" t="n"/>
      <c r="R1016" s="151" t="n"/>
      <c r="S1016" s="110" t="n"/>
      <c r="T1016" s="109" t="inlineStr"/>
      <c r="U1016" s="147" t="n"/>
    </row>
    <row r="1017">
      <c r="A1017" s="109" t="n"/>
      <c r="B1017" s="109" t="n"/>
      <c r="C1017" s="109" t="inlineStr"/>
      <c r="D1017" s="109" t="inlineStr">
        <is>
          <t>BLENDING</t>
        </is>
      </c>
      <c r="E1017" s="109" t="inlineStr">
        <is>
          <t>318240/S</t>
        </is>
      </c>
      <c r="F1017" s="109" t="inlineStr">
        <is>
          <t>6500</t>
        </is>
      </c>
      <c r="G1017" s="109" t="inlineStr">
        <is>
          <t>BR 54 ripristino perdita di aria da filtro riduttore su XV di radice</t>
        </is>
      </c>
      <c r="H1017" s="109" t="n"/>
      <c r="I1017" s="109" t="n"/>
      <c r="J1017" s="109" t="n"/>
      <c r="K1017" s="109" t="n"/>
      <c r="L1017" s="109" t="n"/>
      <c r="M1017" s="109" t="inlineStr">
        <is>
          <t>DA CHIUDERE</t>
        </is>
      </c>
      <c r="N1017" s="109" t="n"/>
      <c r="O1017" s="109" t="n"/>
      <c r="P1017" s="109" t="n"/>
      <c r="Q1017" s="109" t="n"/>
      <c r="R1017" s="151" t="n"/>
      <c r="S1017" s="109" t="n"/>
      <c r="T1017" s="109" t="inlineStr"/>
      <c r="U1017" s="109" t="n"/>
    </row>
    <row r="1018" ht="75" customHeight="1" s="122">
      <c r="A1018" s="109" t="n"/>
      <c r="B1018" s="109" t="n"/>
      <c r="C1018" s="109" t="inlineStr"/>
      <c r="D1018" s="109" t="inlineStr">
        <is>
          <t>BLENDING</t>
        </is>
      </c>
      <c r="E1018" s="109" t="inlineStr">
        <is>
          <t>551310/C</t>
        </is>
      </c>
      <c r="F1018" s="109" t="inlineStr">
        <is>
          <t>Blend</t>
        </is>
      </c>
      <c r="G1018" s="109" t="inlineStr">
        <is>
          <t>RIPRISTINO GRUPPO MANOMETRICO MANDATA P402/B</t>
        </is>
      </c>
      <c r="H1018" s="109" t="n"/>
      <c r="I1018" s="109" t="n"/>
      <c r="J1018" s="109" t="n"/>
      <c r="K1018" s="109" t="n"/>
      <c r="L1018" s="109" t="n"/>
      <c r="M1018" s="109" t="inlineStr">
        <is>
          <t>DA CHIUDERE</t>
        </is>
      </c>
      <c r="N1018" s="109" t="n"/>
      <c r="O1018" s="109" t="n"/>
      <c r="P1018" s="109" t="n"/>
      <c r="Q1018" s="109" t="inlineStr">
        <is>
          <t>SMONTAGGIO VECCHIO GRUPPO , RIFACIMENTO IN CANTIERE NUOVO GRUPPO + CONTROLLO PRESSOSTATO E SOSTITUZIONE 4 VALVOLE , TUNING , E MANOMETRO CON GLICERINA , SOSTITUZIONE CAVALLOTTI DI FISSAGGIO . INSERITO E CONSEGNATO CON CHIUSURA PERMESSO.</t>
        </is>
      </c>
      <c r="R1018" s="151" t="n">
        <v>45917</v>
      </c>
      <c r="S1018" s="109" t="inlineStr">
        <is>
          <t>RICIPUTO</t>
        </is>
      </c>
      <c r="T1018" s="109" t="inlineStr"/>
      <c r="U1018" s="109" t="n"/>
    </row>
    <row r="1019">
      <c r="A1019" s="109" t="n"/>
      <c r="B1019" s="108" t="n"/>
      <c r="C1019" s="109" t="inlineStr"/>
      <c r="D1019" s="109" t="inlineStr">
        <is>
          <t>BLENDING</t>
        </is>
      </c>
      <c r="E1019" s="109" t="inlineStr">
        <is>
          <t>551570/C</t>
        </is>
      </c>
      <c r="F1019" s="109" t="inlineStr">
        <is>
          <t>6500</t>
        </is>
      </c>
      <c r="G1019" s="109" t="inlineStr">
        <is>
          <t xml:space="preserve">Ripristino funzionalit Civacon - controllo sonda n. 3 </t>
        </is>
      </c>
      <c r="H1019" s="109" t="n"/>
      <c r="I1019" s="109" t="n"/>
      <c r="J1019" s="109" t="n"/>
      <c r="K1019" s="109" t="n"/>
      <c r="L1019" s="109" t="n"/>
      <c r="M1019" s="110" t="inlineStr">
        <is>
          <t>DA CHIUDERE</t>
        </is>
      </c>
      <c r="N1019" s="110" t="n"/>
      <c r="O1019" s="110" t="n"/>
      <c r="P1019" s="110" t="n"/>
      <c r="Q1019" s="110" t="inlineStr">
        <is>
          <t>RIPRISTINATA FUNZIONALITÀ CIVACON.</t>
        </is>
      </c>
      <c r="R1019" s="151" t="n">
        <v>45918</v>
      </c>
      <c r="S1019" s="110" t="inlineStr">
        <is>
          <t>RICIPUTO</t>
        </is>
      </c>
      <c r="T1019" s="109" t="inlineStr"/>
      <c r="U1019" s="147" t="n"/>
    </row>
    <row r="1020" ht="30" customHeight="1" s="122">
      <c r="A1020" s="109" t="n"/>
      <c r="B1020" s="108" t="n"/>
      <c r="C1020" s="109" t="inlineStr"/>
      <c r="D1020" s="109" t="inlineStr">
        <is>
          <t>BLENDING</t>
        </is>
      </c>
      <c r="E1020" s="109" t="inlineStr">
        <is>
          <t>550440/C</t>
        </is>
      </c>
      <c r="F1020" s="109" t="inlineStr">
        <is>
          <t>6500</t>
        </is>
      </c>
      <c r="G1020" s="109" t="inlineStr">
        <is>
          <t>Verifica annuale di funzionalita' dei Differenziali di Pressione dei filtri a cestello di tutti i Bracci di carico</t>
        </is>
      </c>
      <c r="H1020" s="109" t="n"/>
      <c r="I1020" s="109" t="n"/>
      <c r="J1020" s="109" t="n"/>
      <c r="K1020" s="109" t="n"/>
      <c r="L1020" s="109" t="n"/>
      <c r="M1020" s="110" t="inlineStr">
        <is>
          <t>DA CHIUDERE</t>
        </is>
      </c>
      <c r="N1020" s="110" t="n"/>
      <c r="O1020" s="110" t="n"/>
      <c r="P1020" s="110" t="n"/>
      <c r="Q1020" s="110" t="inlineStr">
        <is>
          <t>ESEGUITE VERIFICHE DELTAP RAMPA 1 RAMPA 2</t>
        </is>
      </c>
      <c r="R1020" s="151" t="n">
        <v>45918</v>
      </c>
      <c r="S1020" s="110" t="inlineStr">
        <is>
          <t>RICIPUTO</t>
        </is>
      </c>
      <c r="T1020" s="109" t="inlineStr"/>
      <c r="U1020" s="147" t="n"/>
    </row>
    <row r="1021">
      <c r="A1021" s="109" t="n"/>
      <c r="B1021" s="108" t="n"/>
      <c r="C1021" s="109" t="inlineStr"/>
      <c r="D1021" s="109" t="inlineStr">
        <is>
          <t>BLENDING</t>
        </is>
      </c>
      <c r="E1021" s="109" t="inlineStr">
        <is>
          <t>551695/C</t>
        </is>
      </c>
      <c r="F1021" s="109" t="inlineStr">
        <is>
          <t>6500</t>
        </is>
      </c>
      <c r="G1021" s="109" t="inlineStr">
        <is>
          <t>Ricerca e ripristino guasto su testata Vega BR 41 + sostituzione barriera in cassetta ADF</t>
        </is>
      </c>
      <c r="H1021" s="109" t="n"/>
      <c r="I1021" s="109" t="n"/>
      <c r="J1021" s="109" t="n"/>
      <c r="K1021" s="109" t="n"/>
      <c r="L1021" s="109" t="n"/>
      <c r="M1021" s="110" t="inlineStr">
        <is>
          <t>DA CHIUDERE</t>
        </is>
      </c>
      <c r="N1021" s="110" t="n"/>
      <c r="O1021" s="110" t="n"/>
      <c r="P1021" s="110" t="n"/>
      <c r="Q1021" s="110" t="inlineStr">
        <is>
          <t>RESETTATA EPROM ISOIL</t>
        </is>
      </c>
      <c r="R1021" s="151" t="n">
        <v>45919</v>
      </c>
      <c r="S1021" s="110" t="inlineStr">
        <is>
          <t>RICIPUTO</t>
        </is>
      </c>
      <c r="T1021" s="109" t="inlineStr"/>
      <c r="U1021" s="147" t="n"/>
    </row>
    <row r="1022">
      <c r="A1022" s="109" t="n"/>
      <c r="B1022" s="109" t="n"/>
      <c r="C1022" s="109" t="inlineStr"/>
      <c r="D1022" s="109" t="inlineStr">
        <is>
          <t>BLENDING</t>
        </is>
      </c>
      <c r="E1022" s="109" t="inlineStr">
        <is>
          <t>551676/C</t>
        </is>
      </c>
      <c r="F1022" s="109" t="inlineStr">
        <is>
          <t>Blend</t>
        </is>
      </c>
      <c r="G1022" s="109" t="inlineStr">
        <is>
          <t>Sostituzione trasmettitore di livello Krohne L610_B</t>
        </is>
      </c>
      <c r="H1022" s="109" t="n"/>
      <c r="I1022" s="109" t="n"/>
      <c r="J1022" s="109" t="n"/>
      <c r="K1022" s="109" t="n"/>
      <c r="L1022" s="109" t="n"/>
      <c r="M1022" s="109" t="inlineStr">
        <is>
          <t>DA CHIUDERE</t>
        </is>
      </c>
      <c r="N1022" s="109" t="n"/>
      <c r="O1022" s="109" t="n"/>
      <c r="P1022" s="109" t="n"/>
      <c r="Q1022" s="109" t="inlineStr">
        <is>
          <t>INSTALLATO NUOVO TX</t>
        </is>
      </c>
      <c r="R1022" s="151" t="n">
        <v>45922</v>
      </c>
      <c r="S1022" s="109" t="inlineStr">
        <is>
          <t>RICIPUTO</t>
        </is>
      </c>
      <c r="T1022" s="109" t="inlineStr"/>
      <c r="U1022" s="147" t="n"/>
    </row>
    <row r="1023">
      <c r="A1023" s="109" t="n"/>
      <c r="B1023" s="109" t="n"/>
      <c r="C1023" s="109" t="inlineStr"/>
      <c r="D1023" s="109" t="inlineStr">
        <is>
          <t>BLENDING</t>
        </is>
      </c>
      <c r="E1023" s="109" t="inlineStr">
        <is>
          <t>551810/C</t>
        </is>
      </c>
      <c r="F1023" s="109" t="inlineStr">
        <is>
          <t>Blend</t>
        </is>
      </c>
      <c r="G1023" s="109" t="inlineStr">
        <is>
          <t>verifica e ripristino funzionalit pressostato</t>
        </is>
      </c>
      <c r="H1023" s="109" t="n"/>
      <c r="I1023" s="109" t="n"/>
      <c r="J1023" s="109" t="n"/>
      <c r="K1023" s="109" t="n"/>
      <c r="L1023" s="109" t="n"/>
      <c r="M1023" s="109" t="inlineStr">
        <is>
          <t>DA CHIUDERE</t>
        </is>
      </c>
      <c r="N1023" s="109" t="n"/>
      <c r="O1023" s="109" t="n"/>
      <c r="P1023" s="109" t="n"/>
      <c r="Q1023" s="109" t="inlineStr">
        <is>
          <t>APERTA VALVOLA INTERCETTO PRESSOSTATO.</t>
        </is>
      </c>
      <c r="R1023" s="151" t="n">
        <v>45922</v>
      </c>
      <c r="S1023" s="109" t="inlineStr">
        <is>
          <t>RICIPUTO</t>
        </is>
      </c>
      <c r="T1023" s="109" t="inlineStr"/>
      <c r="U1023" s="109" t="n"/>
    </row>
    <row r="1024">
      <c r="A1024" s="109" t="n"/>
      <c r="B1024" s="109" t="n"/>
      <c r="C1024" s="109" t="inlineStr">
        <is>
          <t>X</t>
        </is>
      </c>
      <c r="D1024" s="109" t="inlineStr">
        <is>
          <t>BLENDING</t>
        </is>
      </c>
      <c r="E1024" s="109" t="inlineStr">
        <is>
          <t>552940/C</t>
        </is>
      </c>
      <c r="F1024" s="109" t="inlineStr">
        <is>
          <t>6200</t>
        </is>
      </c>
      <c r="G1024" s="109" t="inlineStr">
        <is>
          <t>Controllo funzionalita' PRESSOSTATO P311 e ripristino staffaggio</t>
        </is>
      </c>
      <c r="H1024" s="109" t="n"/>
      <c r="I1024" s="109" t="inlineStr">
        <is>
          <t>X</t>
        </is>
      </c>
      <c r="J1024" s="109" t="inlineStr">
        <is>
          <t>X</t>
        </is>
      </c>
      <c r="K1024" s="109" t="n"/>
      <c r="L1024" s="109" t="n"/>
      <c r="M1024" s="109" t="inlineStr">
        <is>
          <t>EMESSO</t>
        </is>
      </c>
      <c r="N1024" s="109" t="n"/>
      <c r="O1024" s="109" t="n"/>
      <c r="P1024" s="109" t="n"/>
      <c r="Q1024" s="109" t="n"/>
      <c r="R1024" s="151" t="n"/>
      <c r="S1024" s="109" t="n"/>
      <c r="T1024" s="109" t="inlineStr">
        <is>
          <t>X</t>
        </is>
      </c>
      <c r="U1024" s="109" t="n"/>
    </row>
    <row r="1025">
      <c r="A1025" s="109" t="n"/>
      <c r="B1025" s="109" t="n"/>
      <c r="C1025" s="109" t="inlineStr">
        <is>
          <t>X</t>
        </is>
      </c>
      <c r="D1025" s="109" t="inlineStr">
        <is>
          <t>BLENDING</t>
        </is>
      </c>
      <c r="E1025" s="109" t="inlineStr">
        <is>
          <t>552473/C</t>
        </is>
      </c>
      <c r="F1025" s="109" t="inlineStr">
        <is>
          <t>6500</t>
        </is>
      </c>
      <c r="G1025" s="109" t="inlineStr">
        <is>
          <t xml:space="preserve">Controllo funzionalita' livello serbatoio cherosene </t>
        </is>
      </c>
      <c r="H1025" s="109" t="n"/>
      <c r="I1025" s="109" t="inlineStr">
        <is>
          <t>X</t>
        </is>
      </c>
      <c r="J1025" s="109" t="n"/>
      <c r="K1025" s="109" t="n"/>
      <c r="L1025" s="109" t="n"/>
      <c r="M1025" s="109" t="inlineStr">
        <is>
          <t>EMESSO</t>
        </is>
      </c>
      <c r="N1025" s="109" t="n"/>
      <c r="O1025" s="109" t="n"/>
      <c r="P1025" s="109" t="n"/>
      <c r="Q1025" s="109" t="n"/>
      <c r="R1025" s="151" t="n"/>
      <c r="S1025" s="109" t="n"/>
      <c r="T1025" s="109" t="inlineStr">
        <is>
          <t>X</t>
        </is>
      </c>
      <c r="U1025" s="109" t="n"/>
    </row>
    <row r="1026">
      <c r="A1026" s="109" t="n"/>
      <c r="B1026" s="108" t="n"/>
      <c r="C1026" s="109" t="inlineStr">
        <is>
          <t>X</t>
        </is>
      </c>
      <c r="D1026" s="109" t="inlineStr">
        <is>
          <t>BLENDING</t>
        </is>
      </c>
      <c r="E1026" s="109" t="inlineStr">
        <is>
          <t>552476/C</t>
        </is>
      </c>
      <c r="F1026" s="109" t="inlineStr">
        <is>
          <t>Blend</t>
        </is>
      </c>
      <c r="G1026" s="109" t="inlineStr">
        <is>
          <t>VERIFICA STRUMENTAZIONE ALTA PRESSIONE MANDATA P512C (P512C_LA )</t>
        </is>
      </c>
      <c r="H1026" s="109" t="n"/>
      <c r="I1026" s="109" t="inlineStr">
        <is>
          <t>X</t>
        </is>
      </c>
      <c r="J1026" s="109" t="n"/>
      <c r="K1026" s="109" t="n"/>
      <c r="L1026" s="109" t="n"/>
      <c r="M1026" s="110" t="inlineStr">
        <is>
          <t>EMESSO</t>
        </is>
      </c>
      <c r="N1026" s="110" t="n"/>
      <c r="O1026" s="110" t="n"/>
      <c r="P1026" s="110" t="n"/>
      <c r="Q1026" s="110" t="n"/>
      <c r="R1026" s="151" t="n"/>
      <c r="S1026" s="110" t="n"/>
      <c r="T1026" s="109" t="inlineStr">
        <is>
          <t>X</t>
        </is>
      </c>
      <c r="U1026" s="147" t="n"/>
    </row>
    <row r="1027">
      <c r="A1027" s="109" t="n"/>
      <c r="B1027" s="108" t="n"/>
      <c r="C1027" s="109" t="inlineStr"/>
      <c r="D1027" s="109" t="inlineStr">
        <is>
          <t>BLENDING</t>
        </is>
      </c>
      <c r="E1027" s="109" t="inlineStr">
        <is>
          <t>548717/C</t>
        </is>
      </c>
      <c r="F1027" s="109" t="inlineStr">
        <is>
          <t>6500</t>
        </is>
      </c>
      <c r="G1027" s="109" t="inlineStr">
        <is>
          <t>BLENDING CVT  RAMPA 6 :  BR65 JET FUEL LA XV NON SI APRE</t>
        </is>
      </c>
      <c r="H1027" s="109" t="n"/>
      <c r="I1027" s="109" t="n"/>
      <c r="J1027" s="109" t="n"/>
      <c r="K1027" s="109" t="n"/>
      <c r="L1027" s="109" t="n"/>
      <c r="M1027" s="110" t="inlineStr">
        <is>
          <t>EMESSO</t>
        </is>
      </c>
      <c r="N1027" s="110" t="n"/>
      <c r="O1027" s="110" t="n"/>
      <c r="P1027" s="110" t="n"/>
      <c r="Q1027" s="110" t="n"/>
      <c r="R1027" s="151" t="n">
        <v>45895</v>
      </c>
      <c r="S1027" s="110" t="inlineStr">
        <is>
          <t>RICIPUTO</t>
        </is>
      </c>
      <c r="T1027" s="109" t="inlineStr"/>
      <c r="U1027" s="147" t="n"/>
    </row>
    <row r="1028">
      <c r="A1028" s="109" t="n"/>
      <c r="B1028" s="108" t="n"/>
      <c r="C1028" s="109" t="inlineStr"/>
      <c r="D1028" s="109" t="inlineStr">
        <is>
          <t>BLENDING</t>
        </is>
      </c>
      <c r="E1028" s="109" t="inlineStr">
        <is>
          <t>547593/C</t>
        </is>
      </c>
      <c r="F1028" s="109" t="inlineStr">
        <is>
          <t>Pontile</t>
        </is>
      </c>
      <c r="G1028" s="109" t="inlineStr">
        <is>
          <t>Scollegamento strumentale E.V. e posizionatore della Valvola PIC 01-06 VRU PTF 6</t>
        </is>
      </c>
      <c r="H1028" s="109" t="n"/>
      <c r="I1028" s="109" t="n"/>
      <c r="J1028" s="109" t="n"/>
      <c r="K1028" s="109" t="n"/>
      <c r="L1028" s="109" t="n"/>
      <c r="M1028" s="110" t="inlineStr">
        <is>
          <t>EMESSO</t>
        </is>
      </c>
      <c r="N1028" s="110" t="n"/>
      <c r="O1028" s="110" t="n"/>
      <c r="P1028" s="110" t="n"/>
      <c r="Q1028" s="110" t="n"/>
      <c r="R1028" s="151" t="n"/>
      <c r="S1028" s="110" t="n"/>
      <c r="T1028" s="109" t="inlineStr"/>
      <c r="U1028" s="147" t="n"/>
    </row>
    <row r="1029">
      <c r="A1029" s="109" t="n"/>
      <c r="B1029" s="108" t="n"/>
      <c r="C1029" s="109" t="inlineStr"/>
      <c r="D1029" s="109" t="inlineStr">
        <is>
          <t>BLENDING</t>
        </is>
      </c>
      <c r="E1029" s="109" t="inlineStr">
        <is>
          <t>547430/C</t>
        </is>
      </c>
      <c r="F1029" s="109" t="inlineStr">
        <is>
          <t>6500</t>
        </is>
      </c>
      <c r="G1029" s="109" t="inlineStr">
        <is>
          <t>Ricerca guasto e ripristino funzionalit Braccio 71</t>
        </is>
      </c>
      <c r="H1029" s="109" t="n"/>
      <c r="I1029" s="109" t="n"/>
      <c r="J1029" s="109" t="n"/>
      <c r="K1029" s="109" t="n"/>
      <c r="L1029" s="109" t="n"/>
      <c r="M1029" s="110" t="inlineStr">
        <is>
          <t>EMESSO</t>
        </is>
      </c>
      <c r="N1029" s="110" t="n"/>
      <c r="O1029" s="110" t="n"/>
      <c r="P1029" s="110" t="n"/>
      <c r="Q1029" s="110" t="n"/>
      <c r="R1029" s="151" t="n"/>
      <c r="S1029" s="110" t="n"/>
      <c r="T1029" s="109" t="inlineStr"/>
      <c r="U1029" s="147" t="n"/>
    </row>
    <row r="1030">
      <c r="A1030" s="109" t="n"/>
      <c r="B1030" s="109" t="n"/>
      <c r="C1030" s="109" t="inlineStr"/>
      <c r="D1030" s="109" t="inlineStr">
        <is>
          <t>BLENDING</t>
        </is>
      </c>
      <c r="E1030" s="109" t="inlineStr">
        <is>
          <t>547341/C</t>
        </is>
      </c>
      <c r="F1030" s="109" t="inlineStr">
        <is>
          <t>Pontile</t>
        </is>
      </c>
      <c r="G1030" s="109" t="inlineStr">
        <is>
          <t>PTF6 : verifica funzionalit 801-P02-6DP</t>
        </is>
      </c>
      <c r="H1030" s="109" t="n"/>
      <c r="I1030" s="109" t="n"/>
      <c r="J1030" s="109" t="n"/>
      <c r="K1030" s="109" t="n"/>
      <c r="L1030" s="109" t="n"/>
      <c r="M1030" s="109" t="inlineStr">
        <is>
          <t>EMESSO</t>
        </is>
      </c>
      <c r="N1030" s="109" t="n"/>
      <c r="O1030" s="109" t="n"/>
      <c r="P1030" s="109" t="n"/>
      <c r="Q1030" s="109" t="n"/>
      <c r="R1030" s="151" t="n"/>
      <c r="S1030" s="109" t="n"/>
      <c r="T1030" s="109" t="inlineStr"/>
      <c r="U1030" s="147" t="n"/>
    </row>
    <row r="1031">
      <c r="A1031" s="109" t="n"/>
      <c r="B1031" s="109" t="n"/>
      <c r="C1031" s="109" t="inlineStr"/>
      <c r="D1031" s="109" t="inlineStr">
        <is>
          <t>BLENDING</t>
        </is>
      </c>
      <c r="E1031" s="109" t="inlineStr">
        <is>
          <t>317310/S</t>
        </is>
      </c>
      <c r="F1031" s="109" t="inlineStr">
        <is>
          <t>Pontile</t>
        </is>
      </c>
      <c r="G1031" s="109" t="inlineStr">
        <is>
          <t>controllo funzionalità livello LD102A barilotto slop</t>
        </is>
      </c>
      <c r="H1031" s="109" t="n"/>
      <c r="I1031" s="109" t="n"/>
      <c r="J1031" s="109" t="n"/>
      <c r="K1031" s="109" t="n"/>
      <c r="L1031" s="109" t="n"/>
      <c r="M1031" s="110" t="inlineStr">
        <is>
          <t>EMESSO</t>
        </is>
      </c>
      <c r="N1031" s="110" t="n"/>
      <c r="O1031" s="110" t="n"/>
      <c r="P1031" s="110" t="n"/>
      <c r="Q1031" s="110" t="n"/>
      <c r="R1031" s="151" t="n"/>
      <c r="S1031" s="110" t="n"/>
      <c r="T1031" s="109" t="inlineStr"/>
      <c r="U1031" s="147" t="n"/>
    </row>
    <row r="1032">
      <c r="A1032" s="109" t="n"/>
      <c r="B1032" s="108" t="n"/>
      <c r="C1032" s="109" t="inlineStr"/>
      <c r="D1032" s="109" t="inlineStr">
        <is>
          <t>BLENDING</t>
        </is>
      </c>
      <c r="E1032" s="109" t="inlineStr">
        <is>
          <t>546919/C</t>
        </is>
      </c>
      <c r="F1032" s="109" t="inlineStr">
        <is>
          <t>Pontile</t>
        </is>
      </c>
      <c r="G1032" s="109" t="inlineStr">
        <is>
          <t xml:space="preserve">Ripristino funzionalita' valvola </t>
        </is>
      </c>
      <c r="H1032" s="109" t="n"/>
      <c r="I1032" s="109" t="n"/>
      <c r="J1032" s="109" t="n"/>
      <c r="K1032" s="109" t="n"/>
      <c r="L1032" s="109" t="n"/>
      <c r="M1032" s="110" t="inlineStr">
        <is>
          <t>EMESSO</t>
        </is>
      </c>
      <c r="N1032" s="110" t="n"/>
      <c r="O1032" s="110" t="n"/>
      <c r="P1032" s="110" t="n"/>
      <c r="Q1032" s="110" t="n"/>
      <c r="R1032" s="151" t="n"/>
      <c r="S1032" s="110" t="n"/>
      <c r="T1032" s="109" t="inlineStr"/>
      <c r="U1032" s="147" t="n"/>
    </row>
    <row r="1033" ht="30" customHeight="1" s="122">
      <c r="A1033" s="109" t="n"/>
      <c r="B1033" s="109" t="n"/>
      <c r="C1033" s="109" t="inlineStr"/>
      <c r="D1033" s="109" t="inlineStr">
        <is>
          <t>BLENDING</t>
        </is>
      </c>
      <c r="E1033" s="109" t="inlineStr">
        <is>
          <t>545624/C</t>
        </is>
      </c>
      <c r="F1033" s="109" t="inlineStr">
        <is>
          <t>Blend</t>
        </is>
      </c>
      <c r="G1033" s="109" t="inlineStr">
        <is>
          <t>SALA POMPE ADDITIVI P1141E/F SMONTAGGIO /MONTAGGIO PER REVISIONE SERVOMOTORE XV47  XV48  XV49  XV50</t>
        </is>
      </c>
      <c r="H1033" s="109" t="n"/>
      <c r="I1033" s="109" t="n"/>
      <c r="J1033" s="109" t="n"/>
      <c r="K1033" s="109" t="n"/>
      <c r="L1033" s="109" t="n"/>
      <c r="M1033" s="109" t="inlineStr">
        <is>
          <t>EMESSO</t>
        </is>
      </c>
      <c r="N1033" s="109" t="n"/>
      <c r="O1033" s="109" t="n"/>
      <c r="P1033" s="109" t="n"/>
      <c r="Q1033" s="109" t="n"/>
      <c r="R1033" s="151" t="n"/>
      <c r="S1033" s="109" t="n"/>
      <c r="T1033" s="109" t="inlineStr"/>
      <c r="U1033" s="109" t="n"/>
    </row>
    <row r="1034">
      <c r="A1034" s="109" t="n"/>
      <c r="B1034" s="108" t="n"/>
      <c r="C1034" s="109" t="inlineStr"/>
      <c r="D1034" s="109" t="inlineStr">
        <is>
          <t>BLENDING</t>
        </is>
      </c>
      <c r="E1034" s="109" t="inlineStr">
        <is>
          <t>544767/C</t>
        </is>
      </c>
      <c r="F1034" s="109" t="inlineStr">
        <is>
          <t>6500</t>
        </is>
      </c>
      <c r="G1034" s="109" t="inlineStr">
        <is>
          <t xml:space="preserve">Ripristino funzionalita' lettore di badge Rampa 1 GPL </t>
        </is>
      </c>
      <c r="H1034" s="109" t="n"/>
      <c r="I1034" s="109" t="n"/>
      <c r="J1034" s="109" t="n"/>
      <c r="K1034" s="109" t="n"/>
      <c r="L1034" s="109" t="n"/>
      <c r="M1034" s="110" t="inlineStr">
        <is>
          <t>EMESSO</t>
        </is>
      </c>
      <c r="N1034" s="110" t="n"/>
      <c r="O1034" s="110" t="n"/>
      <c r="P1034" s="110" t="n"/>
      <c r="Q1034" s="110" t="n"/>
      <c r="R1034" s="151" t="n"/>
      <c r="S1034" s="110" t="n"/>
      <c r="T1034" s="109" t="inlineStr"/>
      <c r="U1034" s="147" t="n"/>
    </row>
    <row r="1035">
      <c r="A1035" s="109" t="n"/>
      <c r="B1035" s="109" t="n"/>
      <c r="C1035" s="109" t="inlineStr"/>
      <c r="D1035" s="109" t="inlineStr">
        <is>
          <t>BLENDING</t>
        </is>
      </c>
      <c r="E1035" s="109" t="inlineStr">
        <is>
          <t>543000/C</t>
        </is>
      </c>
      <c r="F1035" s="109" t="inlineStr">
        <is>
          <t>6000</t>
        </is>
      </c>
      <c r="G1035" s="109" t="inlineStr">
        <is>
          <t>Ripristino F105 mis. di portata filtri sale</t>
        </is>
      </c>
      <c r="H1035" s="109" t="n"/>
      <c r="I1035" s="109" t="n"/>
      <c r="J1035" s="109" t="n"/>
      <c r="K1035" s="109" t="n"/>
      <c r="L1035" s="109" t="n"/>
      <c r="M1035" s="110" t="inlineStr">
        <is>
          <t>EMESSO</t>
        </is>
      </c>
      <c r="N1035" s="110" t="n"/>
      <c r="O1035" s="110" t="n"/>
      <c r="P1035" s="110" t="n"/>
      <c r="Q1035" s="110" t="n"/>
      <c r="R1035" s="151" t="n"/>
      <c r="S1035" s="110" t="n"/>
      <c r="T1035" s="109" t="inlineStr"/>
      <c r="U1035" s="147" t="inlineStr"/>
    </row>
    <row r="1036">
      <c r="A1036" s="109" t="n"/>
      <c r="B1036" s="108" t="n"/>
      <c r="C1036" s="109" t="inlineStr"/>
      <c r="D1036" s="109" t="inlineStr">
        <is>
          <t>BLENDING</t>
        </is>
      </c>
      <c r="E1036" s="109" t="inlineStr">
        <is>
          <t>542503/C</t>
        </is>
      </c>
      <c r="F1036" s="109" t="inlineStr">
        <is>
          <t>6500</t>
        </is>
      </c>
      <c r="G1036" s="109" t="inlineStr">
        <is>
          <t>ripristino funzionalit Flexi Mix  (Braccio12) - pulizia E.V.</t>
        </is>
      </c>
      <c r="H1036" s="109" t="n"/>
      <c r="I1036" s="109" t="n"/>
      <c r="J1036" s="109" t="n"/>
      <c r="K1036" s="109" t="n"/>
      <c r="L1036" s="109" t="n"/>
      <c r="M1036" s="110" t="inlineStr">
        <is>
          <t>EMESSO</t>
        </is>
      </c>
      <c r="N1036" s="110" t="n"/>
      <c r="O1036" s="110" t="n"/>
      <c r="P1036" s="110" t="n"/>
      <c r="Q1036" s="110" t="n"/>
      <c r="R1036" s="151" t="n"/>
      <c r="S1036" s="110" t="n"/>
      <c r="T1036" s="109" t="inlineStr"/>
      <c r="U1036" s="147" t="inlineStr"/>
    </row>
    <row r="1037">
      <c r="A1037" s="109" t="n"/>
      <c r="B1037" s="109" t="n"/>
      <c r="C1037" s="109" t="inlineStr"/>
      <c r="D1037" s="109" t="inlineStr">
        <is>
          <t>BLENDING</t>
        </is>
      </c>
      <c r="E1037" s="109" t="inlineStr">
        <is>
          <t>540938/C</t>
        </is>
      </c>
      <c r="F1037" s="109" t="inlineStr">
        <is>
          <t>6500</t>
        </is>
      </c>
      <c r="G1037" s="109" t="inlineStr">
        <is>
          <t xml:space="preserve">Ripristino funzionalita' lettore di badge </t>
        </is>
      </c>
      <c r="H1037" s="109" t="n"/>
      <c r="I1037" s="109" t="n"/>
      <c r="J1037" s="109" t="n"/>
      <c r="K1037" s="109" t="n"/>
      <c r="L1037" s="109" t="n"/>
      <c r="M1037" s="109" t="inlineStr">
        <is>
          <t>EMESSO</t>
        </is>
      </c>
      <c r="N1037" s="109" t="n"/>
      <c r="O1037" s="109" t="n"/>
      <c r="P1037" s="109" t="n"/>
      <c r="Q1037" s="109" t="n"/>
      <c r="R1037" s="151" t="n">
        <v>45824</v>
      </c>
      <c r="S1037" s="109" t="inlineStr">
        <is>
          <t>RICIPUTO</t>
        </is>
      </c>
      <c r="T1037" s="109" t="inlineStr"/>
      <c r="U1037" s="147" t="inlineStr"/>
    </row>
    <row r="1038">
      <c r="A1038" s="109" t="n"/>
      <c r="B1038" s="109" t="n"/>
      <c r="C1038" s="109" t="inlineStr"/>
      <c r="D1038" s="109" t="inlineStr">
        <is>
          <t>BLENDING</t>
        </is>
      </c>
      <c r="E1038" s="109" t="inlineStr">
        <is>
          <t>537528/C</t>
        </is>
      </c>
      <c r="F1038" s="109" t="inlineStr">
        <is>
          <t>CVT</t>
        </is>
      </c>
      <c r="G1038" s="109" t="inlineStr">
        <is>
          <t>CVT - revisione valvola di radice (perde gasolio)</t>
        </is>
      </c>
      <c r="H1038" s="109" t="n"/>
      <c r="I1038" s="109" t="n"/>
      <c r="J1038" s="109" t="n"/>
      <c r="K1038" s="109" t="n"/>
      <c r="L1038" s="109" t="n"/>
      <c r="M1038" s="109" t="inlineStr">
        <is>
          <t>EMESSO</t>
        </is>
      </c>
      <c r="N1038" s="109" t="n"/>
      <c r="O1038" s="109" t="n"/>
      <c r="P1038" s="109" t="n"/>
      <c r="Q1038" s="109" t="n"/>
      <c r="R1038" s="151" t="n"/>
      <c r="S1038" s="109" t="n"/>
      <c r="T1038" s="109" t="inlineStr"/>
      <c r="U1038" s="109" t="inlineStr"/>
    </row>
    <row r="1039" ht="30" customHeight="1" s="122">
      <c r="A1039" s="109" t="n"/>
      <c r="B1039" s="109" t="inlineStr">
        <is>
          <t>X</t>
        </is>
      </c>
      <c r="C1039" s="109" t="inlineStr"/>
      <c r="D1039" s="109" t="inlineStr">
        <is>
          <t>BLENDING</t>
        </is>
      </c>
      <c r="E1039" s="109" t="inlineStr">
        <is>
          <t>314234/S</t>
        </is>
      </c>
      <c r="F1039" s="109" t="inlineStr">
        <is>
          <t>BLENDING</t>
        </is>
      </c>
      <c r="G1039" s="109" t="inlineStr">
        <is>
          <t>PONTILE - Controllo funzionalità livellostati cut_in e cut_off MP112_A-B</t>
        </is>
      </c>
      <c r="H1039" s="109" t="n"/>
      <c r="I1039" s="109" t="n"/>
      <c r="J1039" s="109" t="n"/>
      <c r="K1039" s="109" t="n"/>
      <c r="L1039" s="109" t="n"/>
      <c r="M1039" s="109" t="inlineStr">
        <is>
          <t>EMESSO</t>
        </is>
      </c>
      <c r="N1039" s="109" t="n"/>
      <c r="O1039" s="109" t="n"/>
      <c r="P1039" s="109" t="n"/>
      <c r="Q1039" s="109" t="n"/>
      <c r="R1039" s="151" t="n"/>
      <c r="S1039" s="109" t="n"/>
      <c r="T1039" s="109" t="inlineStr"/>
      <c r="U1039" s="109" t="inlineStr"/>
    </row>
    <row r="1040" ht="30" customHeight="1" s="122">
      <c r="A1040" s="109" t="n"/>
      <c r="B1040" s="108" t="inlineStr">
        <is>
          <t>X</t>
        </is>
      </c>
      <c r="C1040" s="109" t="inlineStr"/>
      <c r="D1040" s="109" t="inlineStr">
        <is>
          <t>BLENDING</t>
        </is>
      </c>
      <c r="E1040" s="109" t="inlineStr">
        <is>
          <t>313873/S</t>
        </is>
      </c>
      <c r="F1040" s="109" t="inlineStr">
        <is>
          <t>BLENDING</t>
        </is>
      </c>
      <c r="G1040" s="109" t="inlineStr">
        <is>
          <t>BLENDING - Ripristino gruppo manometrico mandata pompa P320A</t>
        </is>
      </c>
      <c r="H1040" s="109" t="n"/>
      <c r="I1040" s="109" t="n"/>
      <c r="J1040" s="109" t="n"/>
      <c r="K1040" s="109" t="n"/>
      <c r="L1040" s="109" t="n"/>
      <c r="M1040" s="110" t="inlineStr">
        <is>
          <t>EMESSO</t>
        </is>
      </c>
      <c r="N1040" s="110" t="n"/>
      <c r="O1040" s="110" t="n"/>
      <c r="P1040" s="110" t="n"/>
      <c r="Q1040" s="110" t="n"/>
      <c r="R1040" s="151" t="n"/>
      <c r="S1040" s="110" t="n"/>
      <c r="T1040" s="109" t="inlineStr"/>
      <c r="U1040" s="147" t="inlineStr"/>
    </row>
    <row r="1041" ht="30" customHeight="1" s="122">
      <c r="A1041" s="109" t="n"/>
      <c r="B1041" s="108" t="inlineStr">
        <is>
          <t>X</t>
        </is>
      </c>
      <c r="C1041" s="109" t="inlineStr"/>
      <c r="D1041" s="109" t="inlineStr">
        <is>
          <t>BLENDING</t>
        </is>
      </c>
      <c r="E1041" s="109" t="inlineStr">
        <is>
          <t>536715/C</t>
        </is>
      </c>
      <c r="F1041" s="109" t="inlineStr">
        <is>
          <t>BLENDING</t>
        </is>
      </c>
      <c r="G1041" s="109" t="inlineStr">
        <is>
          <t>6000 - controllo funzionalit L119AH (D104 del F104)</t>
        </is>
      </c>
      <c r="H1041" s="109" t="n"/>
      <c r="I1041" s="109" t="n"/>
      <c r="J1041" s="109" t="n"/>
      <c r="K1041" s="109" t="n"/>
      <c r="L1041" s="109" t="n"/>
      <c r="M1041" s="110" t="inlineStr">
        <is>
          <t>EMESSO</t>
        </is>
      </c>
      <c r="N1041" s="110" t="n"/>
      <c r="O1041" s="110" t="n"/>
      <c r="P1041" s="110" t="n"/>
      <c r="Q1041" s="110" t="n"/>
      <c r="R1041" s="151" t="n">
        <v>45792</v>
      </c>
      <c r="S1041" s="110" t="inlineStr">
        <is>
          <t>RICIPUTO/SERRA</t>
        </is>
      </c>
      <c r="T1041" s="109" t="inlineStr"/>
      <c r="U1041" s="147" t="inlineStr"/>
    </row>
    <row r="1042" ht="30" customHeight="1" s="122">
      <c r="A1042" s="109" t="n"/>
      <c r="B1042" s="109" t="inlineStr">
        <is>
          <t>X</t>
        </is>
      </c>
      <c r="C1042" s="109" t="inlineStr"/>
      <c r="D1042" s="109" t="inlineStr">
        <is>
          <t>BLENDING</t>
        </is>
      </c>
      <c r="E1042" s="109" t="inlineStr">
        <is>
          <t>536714/C</t>
        </is>
      </c>
      <c r="F1042" s="109" t="inlineStr">
        <is>
          <t>BLENDING</t>
        </is>
      </c>
      <c r="G1042" s="109" t="inlineStr">
        <is>
          <t>6000 - controllo funzionalit L118AH (D103 del F103)</t>
        </is>
      </c>
      <c r="H1042" s="109" t="n"/>
      <c r="I1042" s="109" t="n"/>
      <c r="J1042" s="109" t="n"/>
      <c r="K1042" s="109" t="n"/>
      <c r="L1042" s="109" t="n"/>
      <c r="M1042" s="109" t="inlineStr">
        <is>
          <t>EMESSO</t>
        </is>
      </c>
      <c r="N1042" s="109" t="n"/>
      <c r="O1042" s="109" t="n"/>
      <c r="P1042" s="109" t="n"/>
      <c r="Q1042" s="109" t="n"/>
      <c r="R1042" s="151" t="n">
        <v>45792</v>
      </c>
      <c r="S1042" s="109" t="inlineStr">
        <is>
          <t>RICIPUTO/SERRA</t>
        </is>
      </c>
      <c r="T1042" s="109" t="inlineStr"/>
      <c r="U1042" s="109" t="inlineStr"/>
    </row>
    <row r="1043" ht="30" customHeight="1" s="122">
      <c r="A1043" s="109" t="n"/>
      <c r="B1043" s="109" t="inlineStr">
        <is>
          <t>X</t>
        </is>
      </c>
      <c r="C1043" s="109" t="inlineStr"/>
      <c r="D1043" s="109" t="inlineStr">
        <is>
          <t>BLENDING</t>
        </is>
      </c>
      <c r="E1043" s="109" t="inlineStr">
        <is>
          <t>530662/C</t>
        </is>
      </c>
      <c r="F1043" s="109" t="inlineStr">
        <is>
          <t>BLENDING</t>
        </is>
      </c>
      <c r="G1043" s="109" t="inlineStr">
        <is>
          <t xml:space="preserve">BLENDING - controllo funzionalit LI607 trasmettitore di livello Krohne a onde guidate </t>
        </is>
      </c>
      <c r="H1043" s="109" t="n"/>
      <c r="I1043" s="109" t="n"/>
      <c r="J1043" s="109" t="n"/>
      <c r="K1043" s="109" t="n"/>
      <c r="L1043" s="109" t="n"/>
      <c r="M1043" s="110" t="inlineStr">
        <is>
          <t>EMESSO</t>
        </is>
      </c>
      <c r="N1043" s="110" t="n"/>
      <c r="O1043" s="110" t="n"/>
      <c r="P1043" s="110" t="n"/>
      <c r="Q1043" s="110" t="n"/>
      <c r="R1043" s="151" t="n"/>
      <c r="S1043" s="110" t="n"/>
      <c r="T1043" s="109" t="inlineStr"/>
      <c r="U1043" s="147" t="inlineStr"/>
    </row>
    <row r="1044" ht="30" customHeight="1" s="122">
      <c r="A1044" s="109" t="n"/>
      <c r="B1044" s="109" t="inlineStr">
        <is>
          <t>X</t>
        </is>
      </c>
      <c r="C1044" s="109" t="inlineStr"/>
      <c r="D1044" s="109" t="inlineStr">
        <is>
          <t>BLENDING</t>
        </is>
      </c>
      <c r="E1044" s="109" t="inlineStr">
        <is>
          <t>537584/C</t>
        </is>
      </c>
      <c r="F1044" s="109" t="inlineStr">
        <is>
          <t>BLENDING</t>
        </is>
      </c>
      <c r="G1044" s="109" t="inlineStr">
        <is>
          <t>Controllo e ripristino alimentazione Testata Vega BR41</t>
        </is>
      </c>
      <c r="H1044" s="109" t="n"/>
      <c r="I1044" s="109" t="n"/>
      <c r="J1044" s="109" t="n"/>
      <c r="K1044" s="109" t="n"/>
      <c r="L1044" s="109" t="n"/>
      <c r="M1044" s="109" t="inlineStr">
        <is>
          <t>EMESSO</t>
        </is>
      </c>
      <c r="N1044" s="109" t="n"/>
      <c r="O1044" s="109" t="n"/>
      <c r="P1044" s="109" t="n"/>
      <c r="Q1044" s="109" t="n"/>
      <c r="R1044" s="151" t="n"/>
      <c r="S1044" s="109" t="n"/>
      <c r="T1044" s="109" t="inlineStr"/>
      <c r="U1044" s="109" t="inlineStr"/>
    </row>
    <row r="1045" ht="30" customHeight="1" s="122">
      <c r="A1045" s="109" t="n"/>
      <c r="B1045" s="109" t="inlineStr">
        <is>
          <t>X</t>
        </is>
      </c>
      <c r="C1045" s="109" t="inlineStr"/>
      <c r="D1045" s="109" t="inlineStr">
        <is>
          <t>BLENDING</t>
        </is>
      </c>
      <c r="E1045" s="109" t="inlineStr">
        <is>
          <t>539271/C</t>
        </is>
      </c>
      <c r="F1045" s="109" t="inlineStr">
        <is>
          <t>BLENDING</t>
        </is>
      </c>
      <c r="G1045" s="109" t="inlineStr">
        <is>
          <t>Verifica funzionalità livellostato L602HA</t>
        </is>
      </c>
      <c r="H1045" s="109" t="n"/>
      <c r="I1045" s="109" t="n"/>
      <c r="J1045" s="109" t="n"/>
      <c r="K1045" s="109" t="n"/>
      <c r="L1045" s="109" t="n"/>
      <c r="M1045" s="109" t="inlineStr">
        <is>
          <t>EMESSO</t>
        </is>
      </c>
      <c r="N1045" s="109" t="n"/>
      <c r="O1045" s="109" t="n"/>
      <c r="P1045" s="109" t="n"/>
      <c r="Q1045" s="109" t="n"/>
      <c r="R1045" s="151" t="n"/>
      <c r="S1045" s="109" t="n"/>
      <c r="T1045" s="109" t="inlineStr"/>
      <c r="U1045" s="109" t="inlineStr"/>
    </row>
    <row r="1046" ht="30" customHeight="1" s="122">
      <c r="A1046" s="109" t="n"/>
      <c r="B1046" s="108" t="inlineStr">
        <is>
          <t>X</t>
        </is>
      </c>
      <c r="C1046" s="109" t="inlineStr"/>
      <c r="D1046" s="109" t="inlineStr">
        <is>
          <t>BLENDING</t>
        </is>
      </c>
      <c r="E1046" s="109" t="inlineStr">
        <is>
          <t>539435/C</t>
        </is>
      </c>
      <c r="F1046" s="109" t="inlineStr">
        <is>
          <t>BLENDING</t>
        </is>
      </c>
      <c r="G1046" s="109" t="inlineStr">
        <is>
          <t>Verifica funzionalità livellostato L613HA</t>
        </is>
      </c>
      <c r="H1046" s="109" t="n"/>
      <c r="I1046" s="109" t="n"/>
      <c r="J1046" s="109" t="n"/>
      <c r="K1046" s="109" t="n"/>
      <c r="L1046" s="109" t="n"/>
      <c r="M1046" s="110" t="inlineStr">
        <is>
          <t>EMESSO</t>
        </is>
      </c>
      <c r="N1046" s="110" t="n"/>
      <c r="O1046" s="110" t="n"/>
      <c r="P1046" s="110" t="n"/>
      <c r="Q1046" s="110" t="n"/>
      <c r="R1046" s="151" t="n"/>
      <c r="S1046" s="110" t="n"/>
      <c r="T1046" s="109" t="inlineStr"/>
      <c r="U1046" s="147" t="inlineStr"/>
    </row>
    <row r="1047" ht="30" customHeight="1" s="122">
      <c r="A1047" s="109" t="n"/>
      <c r="B1047" s="108" t="inlineStr">
        <is>
          <t>X</t>
        </is>
      </c>
      <c r="C1047" s="109" t="inlineStr"/>
      <c r="D1047" s="109" t="inlineStr">
        <is>
          <t>BLENDING</t>
        </is>
      </c>
      <c r="E1047" s="109" t="inlineStr">
        <is>
          <t>539273/C</t>
        </is>
      </c>
      <c r="F1047" s="109" t="inlineStr">
        <is>
          <t>BLENDING</t>
        </is>
      </c>
      <c r="G1047" s="109" t="inlineStr">
        <is>
          <t>Verifica funzionalità livellostato L606HA</t>
        </is>
      </c>
      <c r="H1047" s="109" t="n"/>
      <c r="I1047" s="109" t="n"/>
      <c r="J1047" s="109" t="n"/>
      <c r="K1047" s="109" t="n"/>
      <c r="L1047" s="109" t="n"/>
      <c r="M1047" s="110" t="inlineStr">
        <is>
          <t>EMESSO</t>
        </is>
      </c>
      <c r="N1047" s="110" t="n"/>
      <c r="O1047" s="110" t="n"/>
      <c r="P1047" s="110" t="n"/>
      <c r="Q1047" s="110" t="n"/>
      <c r="R1047" s="151" t="n"/>
      <c r="S1047" s="110" t="n"/>
      <c r="T1047" s="109" t="inlineStr"/>
      <c r="U1047" s="147" t="inlineStr"/>
    </row>
    <row r="1048">
      <c r="A1048" s="109" t="n"/>
      <c r="B1048" s="108" t="n"/>
      <c r="C1048" s="109" t="inlineStr"/>
      <c r="D1048" s="109" t="inlineStr">
        <is>
          <t>BLENDING</t>
        </is>
      </c>
      <c r="E1048" s="109" t="inlineStr">
        <is>
          <t>315471/S</t>
        </is>
      </c>
      <c r="F1048" s="109" t="inlineStr">
        <is>
          <t>Blend</t>
        </is>
      </c>
      <c r="G1048" s="109" t="inlineStr">
        <is>
          <t>Controllo funzionalità livelli vasca SP2</t>
        </is>
      </c>
      <c r="H1048" s="109" t="n"/>
      <c r="I1048" s="109" t="n"/>
      <c r="J1048" s="109" t="n"/>
      <c r="K1048" s="109" t="n"/>
      <c r="L1048" s="109" t="n"/>
      <c r="M1048" s="110" t="inlineStr">
        <is>
          <t>EMESSO</t>
        </is>
      </c>
      <c r="N1048" s="110" t="n"/>
      <c r="O1048" s="110" t="n"/>
      <c r="P1048" s="110" t="n"/>
      <c r="Q1048" s="110" t="n"/>
      <c r="R1048" s="151" t="n"/>
      <c r="S1048" s="110" t="n"/>
      <c r="T1048" s="109" t="inlineStr"/>
      <c r="U1048" s="147" t="inlineStr"/>
    </row>
    <row r="1049">
      <c r="A1049" s="109" t="n"/>
      <c r="B1049" s="108" t="n"/>
      <c r="C1049" s="109" t="inlineStr"/>
      <c r="D1049" s="109" t="inlineStr">
        <is>
          <t>BLENDING</t>
        </is>
      </c>
      <c r="E1049" s="109" t="inlineStr">
        <is>
          <t>542952/C</t>
        </is>
      </c>
      <c r="F1049" s="109" t="inlineStr">
        <is>
          <t>6000</t>
        </is>
      </c>
      <c r="G1049" s="109" t="inlineStr">
        <is>
          <t>Ripristino dp filtro 104-PdAH 104 filtri sale</t>
        </is>
      </c>
      <c r="H1049" s="109" t="n"/>
      <c r="I1049" s="109" t="n"/>
      <c r="J1049" s="109" t="n"/>
      <c r="K1049" s="109" t="n"/>
      <c r="L1049" s="109" t="n"/>
      <c r="M1049" s="110" t="inlineStr">
        <is>
          <t>EMESSO</t>
        </is>
      </c>
      <c r="N1049" s="110" t="n"/>
      <c r="O1049" s="110" t="n"/>
      <c r="P1049" s="110" t="n"/>
      <c r="Q1049" s="110" t="n"/>
      <c r="R1049" s="151" t="n"/>
      <c r="S1049" s="110" t="n"/>
      <c r="T1049" s="109" t="inlineStr"/>
      <c r="U1049" s="147" t="inlineStr"/>
    </row>
    <row r="1050">
      <c r="A1050" s="109" t="n"/>
      <c r="B1050" s="108" t="n"/>
      <c r="C1050" s="109" t="inlineStr"/>
      <c r="D1050" s="109" t="inlineStr">
        <is>
          <t>BLENDING</t>
        </is>
      </c>
      <c r="E1050" s="109" t="inlineStr">
        <is>
          <t>315689/S</t>
        </is>
      </c>
      <c r="F1050" s="109" t="inlineStr">
        <is>
          <t>6200</t>
        </is>
      </c>
      <c r="G1050" s="109" t="inlineStr">
        <is>
          <t>Ripristino pressostati in ASP P213/A+B PAL 64 E PAL65</t>
        </is>
      </c>
      <c r="H1050" s="109" t="n"/>
      <c r="I1050" s="109" t="n"/>
      <c r="J1050" s="109" t="n"/>
      <c r="K1050" s="109" t="n"/>
      <c r="L1050" s="109" t="n"/>
      <c r="M1050" s="110" t="inlineStr">
        <is>
          <t>EMESSO</t>
        </is>
      </c>
      <c r="N1050" s="110" t="n"/>
      <c r="O1050" s="110" t="n"/>
      <c r="P1050" s="110" t="n"/>
      <c r="Q1050" s="110" t="n"/>
      <c r="R1050" s="151" t="n"/>
      <c r="S1050" s="110" t="n"/>
      <c r="T1050" s="109" t="inlineStr"/>
      <c r="U1050" s="147" t="inlineStr"/>
    </row>
    <row r="1051">
      <c r="A1051" s="109" t="n"/>
      <c r="B1051" s="109" t="n"/>
      <c r="C1051" s="109" t="inlineStr"/>
      <c r="D1051" s="109" t="inlineStr">
        <is>
          <t>BLENDING</t>
        </is>
      </c>
      <c r="E1051" s="109" t="inlineStr">
        <is>
          <t>541944/C</t>
        </is>
      </c>
      <c r="F1051" s="109" t="inlineStr">
        <is>
          <t>Pontile</t>
        </is>
      </c>
      <c r="G1051" s="109" t="inlineStr">
        <is>
          <t>Controllo e ripristino valvola XV01-1 in PTF 1</t>
        </is>
      </c>
      <c r="H1051" s="109" t="n"/>
      <c r="I1051" s="109" t="n"/>
      <c r="J1051" s="109" t="n"/>
      <c r="K1051" s="109" t="n"/>
      <c r="L1051" s="109" t="n"/>
      <c r="M1051" s="109" t="inlineStr">
        <is>
          <t>EMESSO</t>
        </is>
      </c>
      <c r="N1051" s="109" t="n"/>
      <c r="O1051" s="109" t="n"/>
      <c r="P1051" s="109" t="n"/>
      <c r="Q1051" s="109" t="n"/>
      <c r="R1051" s="151" t="n"/>
      <c r="S1051" s="109" t="n"/>
      <c r="T1051" s="109" t="inlineStr"/>
      <c r="U1051" s="147" t="inlineStr"/>
    </row>
    <row r="1052">
      <c r="A1052" s="179" t="n"/>
      <c r="B1052" s="178" t="n"/>
      <c r="C1052" s="179" t="inlineStr"/>
      <c r="D1052" s="179" t="inlineStr">
        <is>
          <t>BLENDING</t>
        </is>
      </c>
      <c r="E1052" s="179" t="inlineStr">
        <is>
          <t>541924/C</t>
        </is>
      </c>
      <c r="F1052" s="179" t="inlineStr">
        <is>
          <t>6500</t>
        </is>
      </c>
      <c r="G1052" s="179" t="inlineStr">
        <is>
          <t>Verifica e ripristino funzionalita'  XV valvola di radice</t>
        </is>
      </c>
      <c r="H1052" s="179" t="n"/>
      <c r="I1052" s="179" t="n"/>
      <c r="J1052" s="179" t="n"/>
      <c r="K1052" s="179" t="n"/>
      <c r="L1052" s="179" t="n"/>
      <c r="M1052" s="187" t="inlineStr">
        <is>
          <t>EMESSO</t>
        </is>
      </c>
      <c r="N1052" s="187" t="n"/>
      <c r="O1052" s="187" t="n"/>
      <c r="P1052" s="187" t="n"/>
      <c r="Q1052" s="187" t="n"/>
      <c r="R1052" s="182" t="n"/>
      <c r="S1052" s="187" t="n"/>
      <c r="T1052" s="179" t="inlineStr"/>
      <c r="U1052" s="184" t="inlineStr"/>
    </row>
    <row r="1053" ht="30" customHeight="1" s="122">
      <c r="A1053" s="179" t="n"/>
      <c r="B1053" s="179" t="n"/>
      <c r="C1053" s="179" t="inlineStr"/>
      <c r="D1053" s="179" t="inlineStr">
        <is>
          <t>BLENDING</t>
        </is>
      </c>
      <c r="E1053" s="179" t="inlineStr">
        <is>
          <t>542712/C</t>
        </is>
      </c>
      <c r="F1053" s="179" t="inlineStr">
        <is>
          <t>6500</t>
        </is>
      </c>
      <c r="G1053" s="179" t="inlineStr">
        <is>
          <t>10226579 BLENDING  perdita importante di benzina dal BR 51  per verifica tenuta XV del medesimo braccio</t>
        </is>
      </c>
      <c r="H1053" s="179" t="n"/>
      <c r="I1053" s="179" t="n"/>
      <c r="J1053" s="179" t="n"/>
      <c r="K1053" s="179" t="n"/>
      <c r="L1053" s="179" t="n"/>
      <c r="M1053" s="179" t="inlineStr">
        <is>
          <t>EMESSO</t>
        </is>
      </c>
      <c r="N1053" s="179" t="n"/>
      <c r="O1053" s="179" t="n"/>
      <c r="P1053" s="179" t="n"/>
      <c r="Q1053" s="179" t="n"/>
      <c r="R1053" s="182" t="n"/>
      <c r="S1053" s="179" t="n"/>
      <c r="T1053" s="179" t="inlineStr"/>
      <c r="U1053" s="179" t="inlineStr">
        <is>
          <t>10226579</t>
        </is>
      </c>
    </row>
    <row r="1054">
      <c r="A1054" s="179" t="n"/>
      <c r="B1054" s="178" t="inlineStr">
        <is>
          <t>X</t>
        </is>
      </c>
      <c r="C1054" s="179" t="inlineStr"/>
      <c r="D1054" s="179" t="inlineStr">
        <is>
          <t>BLENDING</t>
        </is>
      </c>
      <c r="E1054" s="179" t="inlineStr">
        <is>
          <t>538881/C</t>
        </is>
      </c>
      <c r="F1054" s="179" t="inlineStr">
        <is>
          <t>Blend</t>
        </is>
      </c>
      <c r="G1054" s="179" t="inlineStr">
        <is>
          <t>Verifica funzionalit livellostato L707HA</t>
        </is>
      </c>
      <c r="H1054" s="179" t="n"/>
      <c r="I1054" s="179" t="n"/>
      <c r="J1054" s="179" t="n"/>
      <c r="K1054" s="179" t="n"/>
      <c r="L1054" s="179" t="n"/>
      <c r="M1054" s="187" t="inlineStr">
        <is>
          <t>EMESSO</t>
        </is>
      </c>
      <c r="N1054" s="187" t="n"/>
      <c r="O1054" s="187" t="n"/>
      <c r="P1054" s="187" t="n"/>
      <c r="Q1054" s="187" t="n"/>
      <c r="R1054" s="182" t="n"/>
      <c r="S1054" s="187" t="n"/>
      <c r="T1054" s="179" t="inlineStr"/>
      <c r="U1054" s="184" t="inlineStr"/>
    </row>
    <row r="1055" ht="30" customHeight="1" s="122">
      <c r="A1055" s="179" t="n"/>
      <c r="B1055" s="178" t="n"/>
      <c r="C1055" s="179" t="inlineStr"/>
      <c r="D1055" s="179" t="inlineStr">
        <is>
          <t>BLENDING</t>
        </is>
      </c>
      <c r="E1055" s="179" t="inlineStr">
        <is>
          <t>541018/C</t>
        </is>
      </c>
      <c r="F1055" s="179" t="inlineStr">
        <is>
          <t>6500</t>
        </is>
      </c>
      <c r="G1055" s="179" t="inlineStr">
        <is>
          <t>Controllo funzionalita' di tutte le termocoppie e di tutti i trasmettitori di pressione del VRU</t>
        </is>
      </c>
      <c r="H1055" s="179" t="n"/>
      <c r="I1055" s="179" t="n"/>
      <c r="J1055" s="179" t="n"/>
      <c r="K1055" s="179" t="n"/>
      <c r="L1055" s="179" t="n"/>
      <c r="M1055" s="187" t="inlineStr">
        <is>
          <t>EMESSO</t>
        </is>
      </c>
      <c r="N1055" s="187" t="n"/>
      <c r="O1055" s="187" t="n"/>
      <c r="P1055" s="187" t="n"/>
      <c r="Q1055" s="187" t="n"/>
      <c r="R1055" s="182" t="n"/>
      <c r="S1055" s="187" t="n"/>
      <c r="T1055" s="179" t="inlineStr"/>
      <c r="U1055" s="184" t="inlineStr"/>
    </row>
    <row r="1056">
      <c r="A1056" s="179" t="n"/>
      <c r="B1056" s="178" t="n"/>
      <c r="C1056" s="179" t="inlineStr"/>
      <c r="D1056" s="179" t="inlineStr">
        <is>
          <t>BLENDING</t>
        </is>
      </c>
      <c r="E1056" s="179" t="inlineStr">
        <is>
          <t>315961/S</t>
        </is>
      </c>
      <c r="F1056" s="179" t="inlineStr">
        <is>
          <t>Pontile</t>
        </is>
      </c>
      <c r="G1056" s="179" t="inlineStr">
        <is>
          <t>Revisione in officina COEMI della valvola di blocco XV01-6 della PTF 6 (bloccata aperta)</t>
        </is>
      </c>
      <c r="H1056" s="179" t="n"/>
      <c r="I1056" s="179" t="n"/>
      <c r="J1056" s="179" t="n"/>
      <c r="K1056" s="179" t="n"/>
      <c r="L1056" s="179" t="n"/>
      <c r="M1056" s="187" t="inlineStr">
        <is>
          <t>EMESSO</t>
        </is>
      </c>
      <c r="N1056" s="187" t="n"/>
      <c r="O1056" s="187" t="n"/>
      <c r="P1056" s="187" t="n"/>
      <c r="Q1056" s="187" t="n"/>
      <c r="R1056" s="182" t="n"/>
      <c r="S1056" s="187" t="n"/>
      <c r="T1056" s="179" t="inlineStr"/>
      <c r="U1056" s="184" t="inlineStr"/>
    </row>
    <row r="1057" ht="30" customHeight="1" s="122">
      <c r="A1057" s="179" t="n"/>
      <c r="B1057" s="178" t="n"/>
      <c r="C1057" s="179" t="inlineStr"/>
      <c r="D1057" s="179" t="inlineStr">
        <is>
          <t>BLENDING</t>
        </is>
      </c>
      <c r="E1057" s="179" t="inlineStr">
        <is>
          <t>538233/C</t>
        </is>
      </c>
      <c r="F1057" s="179" t="inlineStr">
        <is>
          <t>PONTILE</t>
        </is>
      </c>
      <c r="G1057" s="179" t="inlineStr">
        <is>
          <t>PONTILE - PTF5 : MP202A POMPA SLOP, CONTROLLARE AUTOMATISMO LA POMPA PARTE PER ALTO LIVELLO, MA NON SI FERMA PER BASSO - Ricerca guasto</t>
        </is>
      </c>
      <c r="H1057" s="179" t="n"/>
      <c r="I1057" s="179" t="n"/>
      <c r="J1057" s="179" t="n"/>
      <c r="K1057" s="179" t="n"/>
      <c r="L1057" s="179" t="n"/>
      <c r="M1057" s="187" t="inlineStr">
        <is>
          <t>EMESSO</t>
        </is>
      </c>
      <c r="N1057" s="187" t="n"/>
      <c r="O1057" s="187" t="n"/>
      <c r="P1057" s="187" t="n"/>
      <c r="Q1057" s="187" t="n"/>
      <c r="R1057" s="182" t="n"/>
      <c r="S1057" s="187" t="n"/>
      <c r="T1057" s="179" t="inlineStr"/>
      <c r="U1057" s="184" t="inlineStr"/>
    </row>
    <row r="1058" ht="30" customHeight="1" s="122">
      <c r="A1058" s="179" t="n"/>
      <c r="B1058" s="178" t="inlineStr">
        <is>
          <t>X</t>
        </is>
      </c>
      <c r="C1058" s="179" t="inlineStr"/>
      <c r="D1058" s="179" t="inlineStr">
        <is>
          <t>BLENDING</t>
        </is>
      </c>
      <c r="E1058" s="179" t="inlineStr">
        <is>
          <t>539431/C</t>
        </is>
      </c>
      <c r="F1058" s="179" t="inlineStr">
        <is>
          <t>BLENDING</t>
        </is>
      </c>
      <c r="G1058" s="179" t="inlineStr">
        <is>
          <t>Verifica funzionalità livellostato L610HA</t>
        </is>
      </c>
      <c r="H1058" s="179" t="n"/>
      <c r="I1058" s="179" t="n"/>
      <c r="J1058" s="179" t="n"/>
      <c r="K1058" s="179" t="n"/>
      <c r="L1058" s="179" t="n"/>
      <c r="M1058" s="187" t="inlineStr">
        <is>
          <t>EMESSO</t>
        </is>
      </c>
      <c r="N1058" s="187" t="n"/>
      <c r="O1058" s="187" t="n"/>
      <c r="P1058" s="187" t="n"/>
      <c r="Q1058" s="187" t="n"/>
      <c r="R1058" s="182" t="n"/>
      <c r="S1058" s="187" t="n"/>
      <c r="T1058" s="179" t="inlineStr"/>
      <c r="U1058" s="184" t="inlineStr"/>
    </row>
    <row r="1059" ht="30" customHeight="1" s="122">
      <c r="A1059" s="179" t="n"/>
      <c r="B1059" s="179" t="inlineStr">
        <is>
          <t>X</t>
        </is>
      </c>
      <c r="C1059" s="179" t="inlineStr"/>
      <c r="D1059" s="179" t="inlineStr">
        <is>
          <t>BLENDING</t>
        </is>
      </c>
      <c r="E1059" s="179" t="inlineStr">
        <is>
          <t>539432/C</t>
        </is>
      </c>
      <c r="F1059" s="179" t="inlineStr">
        <is>
          <t>BLENDING</t>
        </is>
      </c>
      <c r="G1059" s="179" t="inlineStr">
        <is>
          <t>Verifica funzionalità livellostato L611HA</t>
        </is>
      </c>
      <c r="H1059" s="179" t="n"/>
      <c r="I1059" s="179" t="n"/>
      <c r="J1059" s="179" t="n"/>
      <c r="K1059" s="179" t="n"/>
      <c r="L1059" s="179" t="n"/>
      <c r="M1059" s="179" t="inlineStr">
        <is>
          <t>EMESSO</t>
        </is>
      </c>
      <c r="N1059" s="179" t="n"/>
      <c r="O1059" s="179" t="n"/>
      <c r="P1059" s="179" t="n"/>
      <c r="Q1059" s="179" t="n"/>
      <c r="R1059" s="182" t="n"/>
      <c r="S1059" s="179" t="n"/>
      <c r="T1059" s="179" t="inlineStr"/>
      <c r="U1059" s="179" t="inlineStr"/>
    </row>
    <row r="1060">
      <c r="A1060" s="179" t="n"/>
      <c r="B1060" s="178" t="n"/>
      <c r="C1060" s="179" t="inlineStr"/>
      <c r="D1060" s="179" t="inlineStr">
        <is>
          <t>BLENDING</t>
        </is>
      </c>
      <c r="E1060" s="179" t="inlineStr">
        <is>
          <t>542986/C</t>
        </is>
      </c>
      <c r="F1060" s="179" t="inlineStr">
        <is>
          <t>6000</t>
        </is>
      </c>
      <c r="G1060" s="179" t="inlineStr">
        <is>
          <t>Ripristino dp filtro 102-PdAH 102 filtri sale</t>
        </is>
      </c>
      <c r="H1060" s="179" t="n"/>
      <c r="I1060" s="179" t="n"/>
      <c r="J1060" s="179" t="n"/>
      <c r="K1060" s="179" t="n"/>
      <c r="L1060" s="179" t="n"/>
      <c r="M1060" s="187" t="inlineStr">
        <is>
          <t>EMESSO</t>
        </is>
      </c>
      <c r="N1060" s="187" t="n"/>
      <c r="O1060" s="187" t="n"/>
      <c r="P1060" s="187" t="n"/>
      <c r="Q1060" s="187" t="n"/>
      <c r="R1060" s="182" t="n"/>
      <c r="S1060" s="187" t="n"/>
      <c r="T1060" s="179" t="inlineStr"/>
      <c r="U1060" s="184" t="inlineStr"/>
    </row>
    <row r="1061">
      <c r="A1061" s="179" t="n"/>
      <c r="B1061" s="178" t="n"/>
      <c r="C1061" s="179" t="inlineStr"/>
      <c r="D1061" s="179" t="inlineStr">
        <is>
          <t>BLENDING</t>
        </is>
      </c>
      <c r="E1061" s="179" t="inlineStr">
        <is>
          <t>543931/C</t>
        </is>
      </c>
      <c r="F1061" s="179" t="inlineStr">
        <is>
          <t>6500</t>
        </is>
      </c>
      <c r="G1061" s="179" t="inlineStr">
        <is>
          <t>Ricerca e ripristino guasto su testata Vega BR 31</t>
        </is>
      </c>
      <c r="H1061" s="179" t="n"/>
      <c r="I1061" s="179" t="n"/>
      <c r="J1061" s="179" t="n"/>
      <c r="K1061" s="179" t="n"/>
      <c r="L1061" s="179" t="n"/>
      <c r="M1061" s="187" t="inlineStr">
        <is>
          <t>EMESSO</t>
        </is>
      </c>
      <c r="N1061" s="187" t="n"/>
      <c r="O1061" s="187" t="n"/>
      <c r="P1061" s="187" t="n"/>
      <c r="Q1061" s="187" t="n"/>
      <c r="R1061" s="182" t="n"/>
      <c r="S1061" s="187" t="n"/>
      <c r="T1061" s="179" t="inlineStr"/>
      <c r="U1061" s="184" t="inlineStr"/>
    </row>
    <row r="1062">
      <c r="A1062" s="179" t="n"/>
      <c r="B1062" s="178" t="n"/>
      <c r="C1062" s="179" t="inlineStr"/>
      <c r="D1062" s="179" t="inlineStr">
        <is>
          <t>BLENDING</t>
        </is>
      </c>
      <c r="E1062" s="179" t="inlineStr">
        <is>
          <t>541092/C</t>
        </is>
      </c>
      <c r="F1062" s="179" t="inlineStr">
        <is>
          <t>Pontile</t>
        </is>
      </c>
      <c r="G1062" s="179" t="inlineStr">
        <is>
          <t>Controllo e ripristino valvola XV01-6 in PTF 6 (bloccata aperta)</t>
        </is>
      </c>
      <c r="H1062" s="179" t="n"/>
      <c r="I1062" s="179" t="n"/>
      <c r="J1062" s="179" t="n"/>
      <c r="K1062" s="179" t="n"/>
      <c r="L1062" s="179" t="n"/>
      <c r="M1062" s="187" t="inlineStr">
        <is>
          <t>EMESSO</t>
        </is>
      </c>
      <c r="N1062" s="187" t="n"/>
      <c r="O1062" s="187" t="n"/>
      <c r="P1062" s="187" t="n"/>
      <c r="Q1062" s="187" t="n"/>
      <c r="R1062" s="182" t="n"/>
      <c r="S1062" s="187" t="n"/>
      <c r="T1062" s="179" t="inlineStr"/>
      <c r="U1062" s="184" t="inlineStr"/>
    </row>
    <row r="1063">
      <c r="A1063" s="179" t="n"/>
      <c r="B1063" s="178" t="n"/>
      <c r="C1063" s="179" t="inlineStr"/>
      <c r="D1063" s="179" t="inlineStr">
        <is>
          <t>BLENDING</t>
        </is>
      </c>
      <c r="E1063" s="179" t="inlineStr">
        <is>
          <t>542988/C</t>
        </is>
      </c>
      <c r="F1063" s="179" t="inlineStr">
        <is>
          <t>6000</t>
        </is>
      </c>
      <c r="G1063" s="179" t="inlineStr">
        <is>
          <t>Ripristino dp filtro 101-PdAH 101 filtri sale</t>
        </is>
      </c>
      <c r="H1063" s="179" t="n"/>
      <c r="I1063" s="179" t="n"/>
      <c r="J1063" s="179" t="n"/>
      <c r="K1063" s="179" t="n"/>
      <c r="L1063" s="179" t="n"/>
      <c r="M1063" s="187" t="inlineStr">
        <is>
          <t>EMESSO</t>
        </is>
      </c>
      <c r="N1063" s="187" t="n"/>
      <c r="O1063" s="187" t="n"/>
      <c r="P1063" s="187" t="n"/>
      <c r="Q1063" s="187" t="n"/>
      <c r="R1063" s="182" t="n"/>
      <c r="S1063" s="187" t="n"/>
      <c r="T1063" s="179" t="inlineStr"/>
      <c r="U1063" s="184" t="inlineStr"/>
    </row>
    <row r="1064">
      <c r="A1064" s="179" t="n"/>
      <c r="B1064" s="178" t="n"/>
      <c r="C1064" s="179" t="inlineStr"/>
      <c r="D1064" s="179" t="inlineStr">
        <is>
          <t>BLENDING</t>
        </is>
      </c>
      <c r="E1064" s="179" t="inlineStr">
        <is>
          <t>543934/C</t>
        </is>
      </c>
      <c r="F1064" s="179" t="inlineStr">
        <is>
          <t>6500</t>
        </is>
      </c>
      <c r="G1064" s="179" t="inlineStr">
        <is>
          <t>Ricerca e ripristino guasto su testata Vega BR 41</t>
        </is>
      </c>
      <c r="H1064" s="179" t="n"/>
      <c r="I1064" s="179" t="n"/>
      <c r="J1064" s="179" t="n"/>
      <c r="K1064" s="179" t="n"/>
      <c r="L1064" s="179" t="n"/>
      <c r="M1064" s="187" t="inlineStr">
        <is>
          <t>EMESSO</t>
        </is>
      </c>
      <c r="N1064" s="187" t="n"/>
      <c r="O1064" s="187" t="n"/>
      <c r="P1064" s="187" t="n"/>
      <c r="Q1064" s="187" t="n"/>
      <c r="R1064" s="182" t="n"/>
      <c r="S1064" s="187" t="n"/>
      <c r="T1064" s="179" t="inlineStr"/>
      <c r="U1064" s="184" t="inlineStr"/>
    </row>
    <row r="1065">
      <c r="A1065" s="179" t="n"/>
      <c r="B1065" s="178" t="n"/>
      <c r="C1065" s="179" t="inlineStr"/>
      <c r="D1065" s="179" t="inlineStr">
        <is>
          <t>BLENDING</t>
        </is>
      </c>
      <c r="E1065" s="179" t="inlineStr">
        <is>
          <t>543004/C</t>
        </is>
      </c>
      <c r="F1065" s="179" t="inlineStr">
        <is>
          <t>6000</t>
        </is>
      </c>
      <c r="G1065" s="179" t="inlineStr">
        <is>
          <t>Controllo e ripristino livello D105 filtri sale</t>
        </is>
      </c>
      <c r="H1065" s="179" t="n"/>
      <c r="I1065" s="179" t="n"/>
      <c r="J1065" s="179" t="n"/>
      <c r="K1065" s="179" t="n"/>
      <c r="L1065" s="179" t="n"/>
      <c r="M1065" s="187" t="inlineStr">
        <is>
          <t>EMESSO</t>
        </is>
      </c>
      <c r="N1065" s="187" t="n"/>
      <c r="O1065" s="187" t="n"/>
      <c r="P1065" s="187" t="n"/>
      <c r="Q1065" s="187" t="n"/>
      <c r="R1065" s="182" t="n"/>
      <c r="S1065" s="187" t="n"/>
      <c r="T1065" s="179" t="inlineStr"/>
      <c r="U1065" s="184" t="inlineStr"/>
    </row>
    <row r="1066">
      <c r="A1066" s="179" t="n"/>
      <c r="B1066" s="179" t="n"/>
      <c r="C1066" s="179" t="inlineStr"/>
      <c r="D1066" s="179" t="inlineStr">
        <is>
          <t>BLENDING</t>
        </is>
      </c>
      <c r="E1066" s="179" t="inlineStr">
        <is>
          <t>542992/C</t>
        </is>
      </c>
      <c r="F1066" s="179" t="inlineStr">
        <is>
          <t>6000</t>
        </is>
      </c>
      <c r="G1066" s="179" t="inlineStr">
        <is>
          <t>Ripristino F106 mis. di portata filtri sale</t>
        </is>
      </c>
      <c r="H1066" s="179" t="n"/>
      <c r="I1066" s="179" t="n"/>
      <c r="J1066" s="179" t="n"/>
      <c r="K1066" s="179" t="n"/>
      <c r="L1066" s="179" t="n"/>
      <c r="M1066" s="179" t="inlineStr">
        <is>
          <t>EMESSO</t>
        </is>
      </c>
      <c r="N1066" s="179" t="n"/>
      <c r="O1066" s="179" t="n"/>
      <c r="P1066" s="179" t="n"/>
      <c r="Q1066" s="179" t="n"/>
      <c r="R1066" s="182" t="n"/>
      <c r="S1066" s="179" t="n"/>
      <c r="T1066" s="179" t="inlineStr"/>
      <c r="U1066" s="179" t="inlineStr"/>
    </row>
    <row r="1067">
      <c r="A1067" s="179" t="n"/>
      <c r="B1067" s="178" t="n"/>
      <c r="C1067" s="179" t="inlineStr"/>
      <c r="D1067" s="179" t="inlineStr">
        <is>
          <t>BLENDING</t>
        </is>
      </c>
      <c r="E1067" s="179" t="inlineStr">
        <is>
          <t>544467/C</t>
        </is>
      </c>
      <c r="F1067" s="179" t="inlineStr">
        <is>
          <t>Pontile</t>
        </is>
      </c>
      <c r="G1067" s="179" t="inlineStr">
        <is>
          <t>Sostituzione trasmettitore conta-litri presso Impianto MISE in radice Pontile</t>
        </is>
      </c>
      <c r="H1067" s="179" t="n"/>
      <c r="I1067" s="179" t="n"/>
      <c r="J1067" s="179" t="n"/>
      <c r="K1067" s="179" t="n"/>
      <c r="L1067" s="179" t="n"/>
      <c r="M1067" s="187" t="inlineStr">
        <is>
          <t>EMESSO</t>
        </is>
      </c>
      <c r="N1067" s="187" t="n"/>
      <c r="O1067" s="187" t="n"/>
      <c r="P1067" s="187" t="n"/>
      <c r="Q1067" s="187" t="n"/>
      <c r="R1067" s="182" t="n"/>
      <c r="S1067" s="187" t="n"/>
      <c r="T1067" s="179" t="inlineStr"/>
      <c r="U1067" s="184" t="n"/>
    </row>
    <row r="1068" ht="30" customHeight="1" s="122">
      <c r="A1068" s="179" t="n"/>
      <c r="B1068" s="178" t="n"/>
      <c r="C1068" s="179" t="inlineStr"/>
      <c r="D1068" s="179" t="inlineStr">
        <is>
          <t>BLENDING</t>
        </is>
      </c>
      <c r="E1068" s="179" t="inlineStr">
        <is>
          <t>545461/C</t>
        </is>
      </c>
      <c r="F1068" s="179" t="inlineStr">
        <is>
          <t>Blend</t>
        </is>
      </c>
      <c r="G1068" s="179" t="inlineStr">
        <is>
          <t>SALA POMPE ADDITIVI P1141C  RIPRISTINO FUNZIONALITA FINE CORSA XV 39A(MAN GASOLIO 2) XV38A(MAN GASOLIO 1)</t>
        </is>
      </c>
      <c r="H1068" s="179" t="n"/>
      <c r="I1068" s="179" t="n"/>
      <c r="J1068" s="179" t="n"/>
      <c r="K1068" s="179" t="n"/>
      <c r="L1068" s="179" t="n"/>
      <c r="M1068" s="187" t="inlineStr">
        <is>
          <t>EMESSO</t>
        </is>
      </c>
      <c r="N1068" s="187" t="n"/>
      <c r="O1068" s="187" t="n"/>
      <c r="P1068" s="187" t="n"/>
      <c r="Q1068" s="187" t="n"/>
      <c r="R1068" s="182" t="n"/>
      <c r="S1068" s="187" t="n"/>
      <c r="T1068" s="179" t="inlineStr"/>
      <c r="U1068" s="184" t="n"/>
    </row>
    <row r="1069">
      <c r="A1069" s="179" t="n"/>
      <c r="B1069" s="178" t="n"/>
      <c r="C1069" s="179" t="inlineStr"/>
      <c r="D1069" s="179" t="inlineStr">
        <is>
          <t>BLENDING</t>
        </is>
      </c>
      <c r="E1069" s="179" t="inlineStr">
        <is>
          <t>546973/C</t>
        </is>
      </c>
      <c r="F1069" s="179" t="inlineStr">
        <is>
          <t>6300</t>
        </is>
      </c>
      <c r="G1069" s="179" t="inlineStr">
        <is>
          <t>Controllo e ripristino funzionalit PAL 95 BASSA ASPIRAZIONE MP619/A</t>
        </is>
      </c>
      <c r="H1069" s="179" t="n"/>
      <c r="I1069" s="179" t="n"/>
      <c r="J1069" s="179" t="n"/>
      <c r="K1069" s="179" t="n"/>
      <c r="L1069" s="179" t="n"/>
      <c r="M1069" s="187" t="inlineStr">
        <is>
          <t>EMESSO</t>
        </is>
      </c>
      <c r="N1069" s="187" t="n"/>
      <c r="O1069" s="187" t="n"/>
      <c r="P1069" s="187" t="n"/>
      <c r="Q1069" s="187" t="n"/>
      <c r="R1069" s="182" t="n"/>
      <c r="S1069" s="187" t="n"/>
      <c r="T1069" s="179" t="inlineStr"/>
      <c r="U1069" s="184" t="n"/>
    </row>
    <row r="1070" ht="30" customHeight="1" s="122">
      <c r="A1070" s="179" t="n"/>
      <c r="B1070" s="178" t="n"/>
      <c r="C1070" s="179" t="inlineStr"/>
      <c r="D1070" s="179" t="inlineStr">
        <is>
          <t>BLENDING</t>
        </is>
      </c>
      <c r="E1070" s="179" t="inlineStr">
        <is>
          <t>547609/C</t>
        </is>
      </c>
      <c r="F1070" s="179" t="inlineStr">
        <is>
          <t>VRU Aereon</t>
        </is>
      </c>
      <c r="G1070" s="179" t="inlineStr">
        <is>
          <t>Controllo funzionalita' e allineamento con Sala Controllo di tutta la strumentazione FT - TT - PIC - PT - XV del VRU AERON</t>
        </is>
      </c>
      <c r="H1070" s="179" t="n"/>
      <c r="I1070" s="179" t="n"/>
      <c r="J1070" s="179" t="n"/>
      <c r="K1070" s="179" t="n"/>
      <c r="L1070" s="179" t="n"/>
      <c r="M1070" s="187" t="inlineStr">
        <is>
          <t>EMESSO</t>
        </is>
      </c>
      <c r="N1070" s="187" t="n"/>
      <c r="O1070" s="187" t="n"/>
      <c r="P1070" s="187" t="n"/>
      <c r="Q1070" s="187" t="n"/>
      <c r="R1070" s="182" t="n"/>
      <c r="S1070" s="187" t="n"/>
      <c r="T1070" s="179" t="inlineStr"/>
      <c r="U1070" s="184" t="n"/>
    </row>
    <row r="1071" ht="30" customHeight="1" s="122">
      <c r="A1071" s="179" t="n"/>
      <c r="B1071" s="178" t="n"/>
      <c r="C1071" s="179" t="inlineStr"/>
      <c r="D1071" s="179" t="inlineStr">
        <is>
          <t>BLENDING</t>
        </is>
      </c>
      <c r="E1071" s="179" t="inlineStr">
        <is>
          <t>547625/C</t>
        </is>
      </c>
      <c r="F1071" s="179" t="inlineStr">
        <is>
          <t>Pontile</t>
        </is>
      </c>
      <c r="G1071" s="179" t="inlineStr">
        <is>
          <t>PTF6 - VRU : Controllo funzionalita' e allineamento con Sala Controllo di tutta la strumentazione FT - TT - PIC - PT - XV</t>
        </is>
      </c>
      <c r="H1071" s="179" t="n"/>
      <c r="I1071" s="179" t="n"/>
      <c r="J1071" s="179" t="n"/>
      <c r="K1071" s="179" t="n"/>
      <c r="L1071" s="179" t="n"/>
      <c r="M1071" s="187" t="inlineStr">
        <is>
          <t>EMESSO</t>
        </is>
      </c>
      <c r="N1071" s="187" t="n"/>
      <c r="O1071" s="187" t="n"/>
      <c r="P1071" s="187" t="n"/>
      <c r="Q1071" s="187" t="n"/>
      <c r="R1071" s="182" t="n"/>
      <c r="S1071" s="187" t="n"/>
      <c r="T1071" s="179" t="inlineStr"/>
      <c r="U1071" s="184" t="n"/>
    </row>
    <row r="1072" ht="30" customHeight="1" s="122">
      <c r="A1072" s="179" t="n"/>
      <c r="B1072" s="178" t="n"/>
      <c r="C1072" s="179" t="inlineStr"/>
      <c r="D1072" s="179" t="inlineStr">
        <is>
          <t>BLENDING</t>
        </is>
      </c>
      <c r="E1072" s="179" t="inlineStr">
        <is>
          <t>317311/S</t>
        </is>
      </c>
      <c r="F1072" s="179" t="inlineStr">
        <is>
          <t>Pontile</t>
        </is>
      </c>
      <c r="G1072" s="179" t="inlineStr">
        <is>
          <t>PTF6 : smontaggio livello LD103A barilotto slop per pulizia tubo di calma (a cura meccanici) e successivo montaggio</t>
        </is>
      </c>
      <c r="H1072" s="179" t="n"/>
      <c r="I1072" s="179" t="n"/>
      <c r="J1072" s="179" t="n"/>
      <c r="K1072" s="179" t="n"/>
      <c r="L1072" s="179" t="n"/>
      <c r="M1072" s="187" t="inlineStr">
        <is>
          <t>EMESSO</t>
        </is>
      </c>
      <c r="N1072" s="187" t="n"/>
      <c r="O1072" s="187" t="n"/>
      <c r="P1072" s="187" t="n"/>
      <c r="Q1072" s="187" t="inlineStr">
        <is>
          <t>SMONTATO EPROVATO IN CANTIERE STRUMENTO DI LIVELLO, TEST OK. RIMONTATO IN CAMPO, ESERCIZIO STA FACENDO LE PROVE</t>
        </is>
      </c>
      <c r="R1072" s="182" t="n">
        <v>45888</v>
      </c>
      <c r="S1072" s="187" t="inlineStr">
        <is>
          <t>RICIPUTO</t>
        </is>
      </c>
      <c r="T1072" s="179" t="inlineStr"/>
      <c r="U1072" s="184" t="n"/>
    </row>
    <row r="1073" ht="30" customHeight="1" s="122">
      <c r="A1073" s="179" t="n"/>
      <c r="B1073" s="178" t="n"/>
      <c r="C1073" s="179" t="inlineStr"/>
      <c r="D1073" s="179" t="inlineStr">
        <is>
          <t>BLENDING</t>
        </is>
      </c>
      <c r="E1073" s="179" t="inlineStr">
        <is>
          <t>547630/C</t>
        </is>
      </c>
      <c r="F1073" s="179" t="inlineStr">
        <is>
          <t>Pontile</t>
        </is>
      </c>
      <c r="G1073" s="179" t="inlineStr">
        <is>
          <t>PTF1 - VRU : Controllo funzionalita' e allineamento con Sala Controllo di tutta la strumentazione FT - TT - PIC - PT - XV</t>
        </is>
      </c>
      <c r="H1073" s="179" t="n"/>
      <c r="I1073" s="179" t="n"/>
      <c r="J1073" s="179" t="n"/>
      <c r="K1073" s="179" t="n"/>
      <c r="L1073" s="179" t="n"/>
      <c r="M1073" s="187" t="inlineStr">
        <is>
          <t>EMESSO</t>
        </is>
      </c>
      <c r="N1073" s="187" t="n"/>
      <c r="O1073" s="187" t="n"/>
      <c r="P1073" s="187" t="n"/>
      <c r="Q1073" s="187" t="n"/>
      <c r="R1073" s="182" t="n"/>
      <c r="S1073" s="187" t="n"/>
      <c r="T1073" s="179" t="inlineStr"/>
      <c r="U1073" s="184" t="n"/>
    </row>
    <row r="1074">
      <c r="A1074" s="179" t="n"/>
      <c r="B1074" s="179" t="n"/>
      <c r="C1074" s="179" t="inlineStr"/>
      <c r="D1074" s="179" t="inlineStr">
        <is>
          <t>BLENDING</t>
        </is>
      </c>
      <c r="E1074" s="179" t="inlineStr">
        <is>
          <t>318061/S</t>
        </is>
      </c>
      <c r="F1074" s="179" t="inlineStr">
        <is>
          <t>Pontile</t>
        </is>
      </c>
      <c r="G1074" s="179" t="inlineStr">
        <is>
          <t>ingrassaggio e movimentazione valvola XV01-1 in PTF 1</t>
        </is>
      </c>
      <c r="H1074" s="179" t="n"/>
      <c r="I1074" s="179" t="n"/>
      <c r="J1074" s="179" t="n"/>
      <c r="K1074" s="179" t="n"/>
      <c r="L1074" s="179" t="n"/>
      <c r="M1074" s="179" t="inlineStr">
        <is>
          <t>EMESSO</t>
        </is>
      </c>
      <c r="N1074" s="179" t="n"/>
      <c r="O1074" s="179" t="n"/>
      <c r="P1074" s="179" t="n"/>
      <c r="Q1074" s="179" t="n"/>
      <c r="R1074" s="182" t="n"/>
      <c r="S1074" s="179" t="n"/>
      <c r="T1074" s="179" t="inlineStr"/>
      <c r="U1074" s="179" t="n"/>
    </row>
    <row r="1075" ht="30" customHeight="1" s="122">
      <c r="A1075" s="179" t="n"/>
      <c r="B1075" s="179" t="n"/>
      <c r="C1075" s="179" t="inlineStr"/>
      <c r="D1075" s="179" t="inlineStr">
        <is>
          <t>BLENDING</t>
        </is>
      </c>
      <c r="E1075" s="179" t="inlineStr">
        <is>
          <t>318075/S</t>
        </is>
      </c>
      <c r="F1075" s="179" t="inlineStr">
        <is>
          <t>Blend</t>
        </is>
      </c>
      <c r="G1075" s="179" t="inlineStr">
        <is>
          <t xml:space="preserve">Ripristino guasto (cavi di segnale interrotti) bilancia elettronica in Sala Additivi Blending 
</t>
        </is>
      </c>
      <c r="H1075" s="179" t="n"/>
      <c r="I1075" s="179" t="n"/>
      <c r="J1075" s="179" t="n"/>
      <c r="K1075" s="179" t="n"/>
      <c r="L1075" s="179" t="n"/>
      <c r="M1075" s="179" t="inlineStr">
        <is>
          <t>EMESSO</t>
        </is>
      </c>
      <c r="N1075" s="179" t="n"/>
      <c r="O1075" s="179" t="n"/>
      <c r="P1075" s="179" t="n"/>
      <c r="Q1075" s="179" t="n"/>
      <c r="R1075" s="182" t="n"/>
      <c r="S1075" s="179" t="n"/>
      <c r="T1075" s="179" t="inlineStr"/>
      <c r="U1075" s="179" t="n"/>
    </row>
    <row r="1076" ht="30" customHeight="1" s="122">
      <c r="A1076" s="179" t="n"/>
      <c r="B1076" s="178" t="inlineStr">
        <is>
          <t>X</t>
        </is>
      </c>
      <c r="C1076" s="179" t="inlineStr"/>
      <c r="D1076" s="179" t="inlineStr">
        <is>
          <t>BLENDING</t>
        </is>
      </c>
      <c r="E1076" s="179" t="inlineStr">
        <is>
          <t>539448/C</t>
        </is>
      </c>
      <c r="F1076" s="179" t="inlineStr">
        <is>
          <t>BLENDING</t>
        </is>
      </c>
      <c r="G1076" s="179" t="inlineStr">
        <is>
          <t>Verifica funzionalità livellostato L621HA</t>
        </is>
      </c>
      <c r="H1076" s="179" t="n"/>
      <c r="I1076" s="179" t="n"/>
      <c r="J1076" s="179" t="n"/>
      <c r="K1076" s="179" t="n"/>
      <c r="L1076" s="179" t="n"/>
      <c r="M1076" s="187" t="inlineStr">
        <is>
          <t>EMESSO</t>
        </is>
      </c>
      <c r="N1076" s="187" t="n"/>
      <c r="O1076" s="187" t="n"/>
      <c r="P1076" s="187" t="n"/>
      <c r="Q1076" s="187" t="n"/>
      <c r="R1076" s="182" t="n">
        <v>45894</v>
      </c>
      <c r="S1076" s="187" t="inlineStr">
        <is>
          <t>RICIPUTO</t>
        </is>
      </c>
      <c r="T1076" s="179" t="inlineStr"/>
      <c r="U1076" s="184" t="inlineStr"/>
    </row>
    <row r="1077" ht="30" customHeight="1" s="122">
      <c r="A1077" s="179" t="n"/>
      <c r="B1077" s="178" t="inlineStr">
        <is>
          <t>X</t>
        </is>
      </c>
      <c r="C1077" s="179" t="inlineStr"/>
      <c r="D1077" s="179" t="inlineStr">
        <is>
          <t>BLENDING</t>
        </is>
      </c>
      <c r="E1077" s="179" t="inlineStr">
        <is>
          <t>539444/C</t>
        </is>
      </c>
      <c r="F1077" s="179" t="inlineStr">
        <is>
          <t>BLENDING</t>
        </is>
      </c>
      <c r="G1077" s="179" t="inlineStr">
        <is>
          <t>Verifica funzionalità livellostato L619HA</t>
        </is>
      </c>
      <c r="H1077" s="179" t="n"/>
      <c r="I1077" s="179" t="n"/>
      <c r="J1077" s="179" t="n"/>
      <c r="K1077" s="179" t="n"/>
      <c r="L1077" s="179" t="n"/>
      <c r="M1077" s="187" t="inlineStr">
        <is>
          <t>EMESSO</t>
        </is>
      </c>
      <c r="N1077" s="187" t="n"/>
      <c r="O1077" s="187" t="n"/>
      <c r="P1077" s="187" t="n"/>
      <c r="Q1077" s="187" t="n"/>
      <c r="R1077" s="182" t="n"/>
      <c r="S1077" s="187" t="n"/>
      <c r="T1077" s="179" t="inlineStr"/>
      <c r="U1077" s="184" t="inlineStr"/>
    </row>
    <row r="1078" ht="30" customHeight="1" s="122">
      <c r="A1078" s="179" t="n"/>
      <c r="B1078" s="178" t="inlineStr">
        <is>
          <t>X</t>
        </is>
      </c>
      <c r="C1078" s="179" t="inlineStr"/>
      <c r="D1078" s="179" t="inlineStr">
        <is>
          <t>BLENDING</t>
        </is>
      </c>
      <c r="E1078" s="179" t="inlineStr">
        <is>
          <t>539438/C</t>
        </is>
      </c>
      <c r="F1078" s="179" t="inlineStr">
        <is>
          <t>BLENDING</t>
        </is>
      </c>
      <c r="G1078" s="179" t="inlineStr">
        <is>
          <t>Verifica funzionalità livellostato L614HA</t>
        </is>
      </c>
      <c r="H1078" s="179" t="n"/>
      <c r="I1078" s="179" t="n"/>
      <c r="J1078" s="179" t="n"/>
      <c r="K1078" s="179" t="n"/>
      <c r="L1078" s="179" t="n"/>
      <c r="M1078" s="187" t="inlineStr">
        <is>
          <t>EMESSO</t>
        </is>
      </c>
      <c r="N1078" s="187" t="n"/>
      <c r="O1078" s="187" t="n"/>
      <c r="P1078" s="187" t="n"/>
      <c r="Q1078" s="187" t="n"/>
      <c r="R1078" s="182" t="n"/>
      <c r="S1078" s="187" t="n"/>
      <c r="T1078" s="179" t="inlineStr"/>
      <c r="U1078" s="184" t="inlineStr"/>
    </row>
    <row r="1079">
      <c r="A1079" s="179" t="n"/>
      <c r="B1079" s="178" t="n"/>
      <c r="C1079" s="179" t="inlineStr"/>
      <c r="D1079" s="179" t="inlineStr">
        <is>
          <t>BLENDING</t>
        </is>
      </c>
      <c r="E1079" s="179" t="inlineStr">
        <is>
          <t>550514/C</t>
        </is>
      </c>
      <c r="F1079" s="179" t="inlineStr">
        <is>
          <t>Blend</t>
        </is>
      </c>
      <c r="G1079" s="179" t="inlineStr">
        <is>
          <t>Verifica taratura TX di livello Krohne S610 - S622</t>
        </is>
      </c>
      <c r="H1079" s="179" t="n"/>
      <c r="I1079" s="179" t="n"/>
      <c r="J1079" s="179" t="n"/>
      <c r="K1079" s="179" t="n"/>
      <c r="L1079" s="179" t="n"/>
      <c r="M1079" s="187" t="inlineStr">
        <is>
          <t>EMESSO</t>
        </is>
      </c>
      <c r="N1079" s="187" t="n"/>
      <c r="O1079" s="187" t="n"/>
      <c r="P1079" s="187" t="n"/>
      <c r="Q1079" s="187" t="n"/>
      <c r="R1079" s="182" t="n"/>
      <c r="S1079" s="187" t="n"/>
      <c r="T1079" s="179" t="inlineStr"/>
      <c r="U1079" s="184" t="n"/>
    </row>
    <row r="1080" ht="30" customHeight="1" s="122">
      <c r="A1080" s="179" t="n"/>
      <c r="B1080" s="179" t="n"/>
      <c r="C1080" s="179" t="inlineStr"/>
      <c r="D1080" s="179" t="inlineStr">
        <is>
          <t>BLENDING</t>
        </is>
      </c>
      <c r="E1080" s="179" t="inlineStr">
        <is>
          <t>550843/C</t>
        </is>
      </c>
      <c r="F1080" s="179" t="inlineStr">
        <is>
          <t>1300</t>
        </is>
      </c>
      <c r="G1080" s="179" t="inlineStr">
        <is>
          <t>Smontaggio revisione e rimontaggio valvola di blocco XV106B braccio zolfo liquido lato mare</t>
        </is>
      </c>
      <c r="H1080" s="179" t="n"/>
      <c r="I1080" s="179" t="n"/>
      <c r="J1080" s="179" t="n"/>
      <c r="K1080" s="179" t="n"/>
      <c r="L1080" s="179" t="n"/>
      <c r="M1080" s="179" t="inlineStr">
        <is>
          <t>EMESSO</t>
        </is>
      </c>
      <c r="N1080" s="179" t="n"/>
      <c r="O1080" s="179" t="n"/>
      <c r="P1080" s="179" t="n"/>
      <c r="Q1080" s="179" t="n"/>
      <c r="R1080" s="182" t="n"/>
      <c r="S1080" s="179" t="n"/>
      <c r="T1080" s="179" t="inlineStr"/>
      <c r="U1080" s="179" t="n"/>
    </row>
    <row r="1081" ht="30" customHeight="1" s="122">
      <c r="A1081" s="179" t="n"/>
      <c r="B1081" s="178" t="n"/>
      <c r="C1081" s="179" t="inlineStr"/>
      <c r="D1081" s="179" t="inlineStr">
        <is>
          <t>BLENDING</t>
        </is>
      </c>
      <c r="E1081" s="179" t="inlineStr">
        <is>
          <t>549964/C</t>
        </is>
      </c>
      <c r="F1081" s="179" t="inlineStr">
        <is>
          <t>1300</t>
        </is>
      </c>
      <c r="G1081" s="179" t="inlineStr">
        <is>
          <t>Ricerca guasto e ripristino funzionalita' valvola di blocco braccio di carico lato monte BR301 + verifica funzionalita' E.V. aria strumenti</t>
        </is>
      </c>
      <c r="H1081" s="179" t="n"/>
      <c r="I1081" s="179" t="n"/>
      <c r="J1081" s="179" t="n"/>
      <c r="K1081" s="179" t="n"/>
      <c r="L1081" s="179" t="n"/>
      <c r="M1081" s="187" t="inlineStr">
        <is>
          <t>EMESSO</t>
        </is>
      </c>
      <c r="N1081" s="187" t="n"/>
      <c r="O1081" s="187" t="n"/>
      <c r="P1081" s="187" t="n"/>
      <c r="Q1081" s="187" t="n"/>
      <c r="R1081" s="182" t="n"/>
      <c r="S1081" s="187" t="n"/>
      <c r="T1081" s="179" t="inlineStr"/>
      <c r="U1081" s="184" t="n"/>
    </row>
    <row r="1082">
      <c r="A1082" s="179" t="n"/>
      <c r="B1082" s="179" t="n"/>
      <c r="C1082" s="179" t="inlineStr"/>
      <c r="D1082" s="179" t="inlineStr">
        <is>
          <t>BLENDING</t>
        </is>
      </c>
      <c r="E1082" s="179" t="inlineStr">
        <is>
          <t>551827/C</t>
        </is>
      </c>
      <c r="F1082" s="179" t="inlineStr">
        <is>
          <t>6200</t>
        </is>
      </c>
      <c r="G1082" s="179" t="inlineStr">
        <is>
          <t>BASSO LIV.GRUPPO ELETTROGENO SP5  (L200_LA)</t>
        </is>
      </c>
      <c r="H1082" s="179" t="n"/>
      <c r="I1082" s="179" t="n"/>
      <c r="J1082" s="179" t="n"/>
      <c r="K1082" s="179" t="n"/>
      <c r="L1082" s="179" t="n"/>
      <c r="M1082" s="179" t="inlineStr">
        <is>
          <t>EMESSO</t>
        </is>
      </c>
      <c r="N1082" s="179" t="n"/>
      <c r="O1082" s="179" t="n"/>
      <c r="P1082" s="179" t="n"/>
      <c r="Q1082" s="179" t="n"/>
      <c r="R1082" s="182" t="n"/>
      <c r="S1082" s="179" t="n"/>
      <c r="T1082" s="179" t="inlineStr"/>
      <c r="U1082" s="179" t="n"/>
    </row>
    <row r="1083" ht="45" customHeight="1" s="122">
      <c r="A1083" s="179" t="n"/>
      <c r="B1083" s="179" t="n"/>
      <c r="C1083" s="179" t="inlineStr"/>
      <c r="D1083" s="179" t="inlineStr">
        <is>
          <t>BLENDING</t>
        </is>
      </c>
      <c r="E1083" s="179" t="inlineStr">
        <is>
          <t>318731/S</t>
        </is>
      </c>
      <c r="F1083" s="179" t="inlineStr">
        <is>
          <t>6500</t>
        </is>
      </c>
      <c r="G1083" s="179" t="inlineStr">
        <is>
          <t>Controllo funzionalità pressostati differenziali (Filtri Pompe)</t>
        </is>
      </c>
      <c r="H1083" s="179" t="n"/>
      <c r="I1083" s="179" t="n"/>
      <c r="J1083" s="179" t="n"/>
      <c r="K1083" s="179" t="n"/>
      <c r="L1083" s="179" t="n"/>
      <c r="M1083" s="179" t="inlineStr">
        <is>
          <t>EMESSO</t>
        </is>
      </c>
      <c r="N1083" s="179" t="n"/>
      <c r="O1083" s="179" t="n"/>
      <c r="P1083" s="179" t="n"/>
      <c r="Q1083" s="179" t="inlineStr">
        <is>
          <t>TAG 1 TX PRESSIONE DIFFERENZIALE OK TAG 2 TX PRESSIONE DIFFERENZIALE OK TAG 3 PRESSOSTATO DIFFERENZIALE TARATURA OK,ALLARME NON ARRIVA IN SALA CONTROLLO.</t>
        </is>
      </c>
      <c r="R1083" s="182" t="n">
        <v>45924</v>
      </c>
      <c r="S1083" s="179" t="inlineStr">
        <is>
          <t>SPINALI</t>
        </is>
      </c>
      <c r="T1083" s="179" t="inlineStr"/>
      <c r="U1083" s="179" t="n"/>
    </row>
    <row r="1084" ht="90" customHeight="1" s="122">
      <c r="A1084" s="179" t="n"/>
      <c r="B1084" s="179" t="n"/>
      <c r="C1084" s="179" t="inlineStr"/>
      <c r="D1084" s="179" t="inlineStr">
        <is>
          <t>BLENDING</t>
        </is>
      </c>
      <c r="E1084" s="179" t="inlineStr">
        <is>
          <t>551710/C</t>
        </is>
      </c>
      <c r="F1084" s="179" t="inlineStr">
        <is>
          <t>6200</t>
        </is>
      </c>
      <c r="G1084" s="179" t="inlineStr">
        <is>
          <t>SP5 Oleodotto 20" Neri : ripristino funzionalit TI100</t>
        </is>
      </c>
      <c r="H1084" s="179" t="n"/>
      <c r="I1084" s="179" t="n"/>
      <c r="J1084" s="179" t="n"/>
      <c r="K1084" s="179" t="n"/>
      <c r="L1084" s="179" t="n"/>
      <c r="M1084" s="179" t="inlineStr">
        <is>
          <t>EMESSO</t>
        </is>
      </c>
      <c r="N1084" s="179" t="n"/>
      <c r="O1084" s="179" t="n"/>
      <c r="P1084" s="179" t="n"/>
      <c r="Q1084" s="179" t="inlineStr">
        <is>
          <t>RICERCA GUASTO SU ALIMENTAZIONE E SOSTITUZIONE TX
HTTPS://MYASSETS.EMERSON.COM/IT-IT/DEVICES/DETAILS/GAAAAABO0_DIAL12JOYMWEONQCAUXHR6ZFKAWRWUOMZ3MSAXWPU21HHL31-J_LCMK59XA22R540RBU_B9TUXJGTVZE2SO6VYQG==/?Q=%2F01%2F0195074000640%2F21%2F23CLTD0002976%2F240%2F7DLYYBNLR</t>
        </is>
      </c>
      <c r="R1084" s="182" t="n">
        <v>45924</v>
      </c>
      <c r="S1084" s="179" t="inlineStr">
        <is>
          <t>RICIPUTO</t>
        </is>
      </c>
      <c r="T1084" s="179" t="inlineStr"/>
      <c r="U1084" s="184" t="n"/>
    </row>
    <row r="1085">
      <c r="A1085" s="179" t="n"/>
      <c r="B1085" s="178" t="n"/>
      <c r="C1085" s="179" t="inlineStr">
        <is>
          <t>X</t>
        </is>
      </c>
      <c r="D1085" s="179" t="inlineStr">
        <is>
          <t>BLENDING</t>
        </is>
      </c>
      <c r="E1085" s="179" t="inlineStr">
        <is>
          <t>552481/C</t>
        </is>
      </c>
      <c r="F1085" s="179" t="inlineStr">
        <is>
          <t>6400</t>
        </is>
      </c>
      <c r="G1085" s="179" t="inlineStr">
        <is>
          <t>VERIFICA ANOMALIA TENUTA MP618B (X618B_A )</t>
        </is>
      </c>
      <c r="H1085" s="179" t="n"/>
      <c r="I1085" s="179" t="inlineStr">
        <is>
          <t>X</t>
        </is>
      </c>
      <c r="J1085" s="179" t="n"/>
      <c r="K1085" s="179" t="n"/>
      <c r="L1085" s="179" t="n"/>
      <c r="M1085" s="187" t="inlineStr">
        <is>
          <t>EMESSO</t>
        </is>
      </c>
      <c r="N1085" s="187" t="n"/>
      <c r="O1085" s="187" t="n"/>
      <c r="P1085" s="187" t="n"/>
      <c r="Q1085" s="187" t="n"/>
      <c r="R1085" s="182" t="n"/>
      <c r="S1085" s="187" t="n"/>
      <c r="T1085" s="179" t="inlineStr">
        <is>
          <t>X</t>
        </is>
      </c>
      <c r="U1085" s="184" t="n"/>
    </row>
    <row r="1086">
      <c r="A1086" s="179" t="n"/>
      <c r="B1086" s="179" t="n"/>
      <c r="C1086" s="179" t="inlineStr"/>
      <c r="D1086" s="179" t="inlineStr">
        <is>
          <t>BLENDING</t>
        </is>
      </c>
      <c r="E1086" s="179" t="inlineStr">
        <is>
          <t>318732/S</t>
        </is>
      </c>
      <c r="F1086" s="179" t="inlineStr">
        <is>
          <t>6500</t>
        </is>
      </c>
      <c r="G1086" s="179" t="inlineStr">
        <is>
          <t>Controllo funzionalità pressostati differenziali (Filtri Pompe)</t>
        </is>
      </c>
      <c r="H1086" s="179" t="n"/>
      <c r="I1086" s="179" t="n"/>
      <c r="J1086" s="179" t="n"/>
      <c r="K1086" s="179" t="n"/>
      <c r="L1086" s="179" t="n"/>
      <c r="M1086" s="179" t="inlineStr">
        <is>
          <t>EMESSO</t>
        </is>
      </c>
      <c r="N1086" s="179" t="n"/>
      <c r="O1086" s="179" t="n"/>
      <c r="P1086" s="179" t="n"/>
      <c r="Q1086" s="179" t="n"/>
      <c r="R1086" s="182" t="n"/>
      <c r="S1086" s="179" t="n"/>
      <c r="T1086" s="179" t="inlineStr"/>
      <c r="U1086" s="179" t="n"/>
    </row>
    <row r="1087">
      <c r="A1087" s="179" t="n"/>
      <c r="B1087" s="178" t="n"/>
      <c r="C1087" s="179" t="inlineStr">
        <is>
          <t>X</t>
        </is>
      </c>
      <c r="D1087" s="179" t="inlineStr">
        <is>
          <t>BLENDING</t>
        </is>
      </c>
      <c r="E1087" s="179" t="inlineStr">
        <is>
          <t>552934/C</t>
        </is>
      </c>
      <c r="F1087" s="179" t="inlineStr">
        <is>
          <t>6200</t>
        </is>
      </c>
      <c r="G1087" s="179" t="inlineStr">
        <is>
          <t xml:space="preserve">Controllo funzionalita' PRESSOSTATO P 302/A e ripristino staffaggio </t>
        </is>
      </c>
      <c r="H1087" s="179" t="n"/>
      <c r="I1087" s="179" t="inlineStr">
        <is>
          <t>X</t>
        </is>
      </c>
      <c r="J1087" s="179" t="inlineStr">
        <is>
          <t>X</t>
        </is>
      </c>
      <c r="K1087" s="179" t="n"/>
      <c r="L1087" s="179" t="n"/>
      <c r="M1087" s="187" t="inlineStr">
        <is>
          <t>EMESSO</t>
        </is>
      </c>
      <c r="N1087" s="187" t="n"/>
      <c r="O1087" s="187" t="n"/>
      <c r="P1087" s="187" t="n"/>
      <c r="Q1087" s="187" t="n"/>
      <c r="R1087" s="182" t="n"/>
      <c r="S1087" s="187" t="n"/>
      <c r="T1087" s="179" t="inlineStr">
        <is>
          <t>X</t>
        </is>
      </c>
      <c r="U1087" s="184" t="n"/>
    </row>
    <row r="1088" ht="30" customHeight="1" s="122">
      <c r="A1088" s="179" t="n"/>
      <c r="B1088" s="179" t="inlineStr">
        <is>
          <t>X</t>
        </is>
      </c>
      <c r="C1088" s="179" t="inlineStr"/>
      <c r="D1088" s="179" t="inlineStr">
        <is>
          <t>BLENDING</t>
        </is>
      </c>
      <c r="E1088" s="179" t="inlineStr">
        <is>
          <t>526992/C</t>
        </is>
      </c>
      <c r="F1088" s="179" t="inlineStr">
        <is>
          <t>PONTILE</t>
        </is>
      </c>
      <c r="G1088" s="179" t="inlineStr">
        <is>
          <t>PONTILE - Controllo e ripristino funzionalita' valvola regolatrice  (attualmente bloccata chiusa)</t>
        </is>
      </c>
      <c r="H1088" s="179" t="n"/>
      <c r="I1088" s="179" t="n"/>
      <c r="J1088" s="179" t="n"/>
      <c r="K1088" s="179" t="n"/>
      <c r="L1088" s="179" t="n"/>
      <c r="M1088" s="187" t="inlineStr">
        <is>
          <t>INTERROTTO</t>
        </is>
      </c>
      <c r="N1088" s="187" t="n"/>
      <c r="O1088" s="187" t="n"/>
      <c r="P1088" s="187" t="n"/>
      <c r="Q1088" s="187" t="inlineStr">
        <is>
          <t>VALVOLA DA REVISIONARE</t>
        </is>
      </c>
      <c r="R1088" s="182" t="n">
        <v>45712</v>
      </c>
      <c r="S1088" s="187" t="inlineStr">
        <is>
          <t>GARRO L.</t>
        </is>
      </c>
      <c r="T1088" s="179" t="inlineStr"/>
      <c r="U1088" s="179" t="inlineStr"/>
    </row>
    <row r="1089" ht="30" customHeight="1" s="122">
      <c r="A1089" s="179" t="n"/>
      <c r="B1089" s="179" t="inlineStr">
        <is>
          <t>X</t>
        </is>
      </c>
      <c r="C1089" s="179" t="inlineStr"/>
      <c r="D1089" s="179" t="inlineStr">
        <is>
          <t>BLENDING</t>
        </is>
      </c>
      <c r="E1089" s="179" t="inlineStr">
        <is>
          <t>310296/S</t>
        </is>
      </c>
      <c r="F1089" s="179" t="inlineStr">
        <is>
          <t>BLENDING</t>
        </is>
      </c>
      <c r="G1089" s="179" t="inlineStr">
        <is>
          <t>BLENDING - Controllo taratura e ripristino funzionalità FR-170</t>
        </is>
      </c>
      <c r="H1089" s="179" t="n"/>
      <c r="I1089" s="179" t="n"/>
      <c r="J1089" s="179" t="n"/>
      <c r="K1089" s="179" t="n"/>
      <c r="L1089" s="179" t="n"/>
      <c r="M1089" s="187" t="inlineStr">
        <is>
          <t>INTERROTTO</t>
        </is>
      </c>
      <c r="N1089" s="187" t="n"/>
      <c r="O1089" s="187" t="n"/>
      <c r="P1089" s="187" t="n"/>
      <c r="Q1089" s="187" t="inlineStr">
        <is>
          <t>NON SI TROVANO I LOOP.</t>
        </is>
      </c>
      <c r="R1089" s="182" t="n">
        <v>45700</v>
      </c>
      <c r="S1089" s="187" t="inlineStr">
        <is>
          <t>SPINALI/SERRA</t>
        </is>
      </c>
      <c r="T1089" s="179" t="inlineStr"/>
      <c r="U1089" s="184" t="inlineStr"/>
    </row>
    <row r="1090">
      <c r="A1090" s="179" t="n"/>
      <c r="B1090" s="179" t="n"/>
      <c r="C1090" s="179" t="inlineStr"/>
      <c r="D1090" s="179" t="inlineStr">
        <is>
          <t>BLENDING</t>
        </is>
      </c>
      <c r="E1090" s="179" t="inlineStr">
        <is>
          <t>543006/C</t>
        </is>
      </c>
      <c r="F1090" s="179" t="inlineStr">
        <is>
          <t>6000</t>
        </is>
      </c>
      <c r="G1090" s="179" t="inlineStr">
        <is>
          <t>Controllo e ripristino livello D105 filtri sale</t>
        </is>
      </c>
      <c r="H1090" s="179" t="n"/>
      <c r="I1090" s="179" t="n"/>
      <c r="J1090" s="179" t="n"/>
      <c r="K1090" s="179" t="n"/>
      <c r="L1090" s="179" t="n"/>
      <c r="M1090" s="187" t="inlineStr">
        <is>
          <t>SCADUTO</t>
        </is>
      </c>
      <c r="N1090" s="187" t="n"/>
      <c r="O1090" s="187" t="n"/>
      <c r="P1090" s="187" t="n"/>
      <c r="Q1090" s="187" t="n"/>
      <c r="R1090" s="182" t="n"/>
      <c r="S1090" s="187" t="n"/>
      <c r="T1090" s="179" t="inlineStr"/>
      <c r="U1090" s="184" t="inlineStr"/>
    </row>
    <row r="1091">
      <c r="A1091" s="179" t="n"/>
      <c r="B1091" s="179" t="n"/>
      <c r="C1091" s="179" t="inlineStr"/>
      <c r="D1091" s="179" t="inlineStr">
        <is>
          <t>BLENDING</t>
        </is>
      </c>
      <c r="E1091" s="179" t="inlineStr">
        <is>
          <t>543010/C</t>
        </is>
      </c>
      <c r="F1091" s="179" t="inlineStr">
        <is>
          <t>6000</t>
        </is>
      </c>
      <c r="G1091" s="179" t="inlineStr">
        <is>
          <t>Ripristino L114SL livello D106 filtri sale</t>
        </is>
      </c>
      <c r="H1091" s="179" t="n"/>
      <c r="I1091" s="179" t="n"/>
      <c r="J1091" s="179" t="n"/>
      <c r="K1091" s="179" t="n"/>
      <c r="L1091" s="179" t="n"/>
      <c r="M1091" s="179" t="inlineStr">
        <is>
          <t>SCADUTO</t>
        </is>
      </c>
      <c r="N1091" s="179" t="n"/>
      <c r="O1091" s="179" t="n"/>
      <c r="P1091" s="179" t="n"/>
      <c r="Q1091" s="179" t="n"/>
      <c r="R1091" s="182" t="n"/>
      <c r="S1091" s="179" t="n"/>
      <c r="T1091" s="179" t="inlineStr"/>
      <c r="U1091" s="179" t="inlineStr"/>
    </row>
    <row r="1092" ht="23.25" customHeight="1" s="122">
      <c r="H1092" s="55" t="n"/>
      <c r="I1092" s="55" t="n"/>
      <c r="J1092" s="55" t="n"/>
      <c r="K1092" s="55" t="n"/>
      <c r="L1092" s="56" t="n"/>
      <c r="M1092" s="38" t="n"/>
      <c r="N1092" s="38" t="n"/>
      <c r="O1092" s="38" t="n"/>
      <c r="P1092" s="38" t="n"/>
    </row>
    <row r="1093" ht="23.25" customHeight="1" s="122">
      <c r="H1093" s="55" t="n"/>
      <c r="I1093" s="55" t="n"/>
      <c r="J1093" s="55" t="n"/>
      <c r="K1093" s="55" t="n"/>
      <c r="L1093" s="56" t="n"/>
    </row>
    <row r="1094" ht="23.25" customHeight="1" s="122">
      <c r="H1094" s="55" t="n"/>
      <c r="I1094" s="55" t="n"/>
      <c r="J1094" s="55" t="n"/>
      <c r="K1094" s="55" t="n"/>
      <c r="L1094" s="56" t="n"/>
      <c r="M1094" s="8" t="n"/>
    </row>
    <row r="1095" ht="23.25" customHeight="1" s="122">
      <c r="H1095" s="55" t="n"/>
      <c r="I1095" s="55" t="n"/>
      <c r="J1095" s="55" t="n"/>
      <c r="K1095" s="55" t="n"/>
      <c r="L1095" s="56" t="n"/>
    </row>
    <row r="1096" ht="23.25" customHeight="1" s="122">
      <c r="H1096" s="55" t="n"/>
      <c r="I1096" s="55" t="n"/>
      <c r="J1096" s="55" t="n"/>
      <c r="K1096" s="55" t="n"/>
      <c r="L1096" s="56" t="n"/>
    </row>
    <row r="1097" ht="23.25" customHeight="1" s="122">
      <c r="H1097" s="55" t="n"/>
      <c r="I1097" s="55" t="n"/>
      <c r="J1097" s="55" t="n"/>
      <c r="K1097" s="55" t="n"/>
      <c r="L1097" s="56" t="n"/>
    </row>
    <row r="1098" ht="23.25" customHeight="1" s="122">
      <c r="H1098" s="55" t="n"/>
      <c r="I1098" s="55" t="n"/>
      <c r="J1098" s="55" t="n"/>
      <c r="K1098" s="55" t="n"/>
      <c r="L1098" s="56" t="n"/>
    </row>
    <row r="1099" ht="23.25" customHeight="1" s="122">
      <c r="H1099" s="55" t="n"/>
      <c r="I1099" s="55" t="n"/>
      <c r="J1099" s="55" t="n"/>
      <c r="K1099" s="55" t="n"/>
      <c r="L1099" s="56" t="n"/>
    </row>
    <row r="1100" ht="23.25" customHeight="1" s="122">
      <c r="H1100" s="55" t="n"/>
      <c r="I1100" s="55" t="n"/>
      <c r="J1100" s="55" t="n"/>
      <c r="K1100" s="55" t="n"/>
      <c r="L1100" s="56" t="n"/>
    </row>
    <row r="1101" ht="23.25" customHeight="1" s="122">
      <c r="H1101" s="55" t="n"/>
      <c r="I1101" s="55" t="n"/>
      <c r="J1101" s="55" t="n"/>
      <c r="K1101" s="55" t="n"/>
      <c r="L1101" s="56" t="n"/>
    </row>
    <row r="1102" ht="23.25" customHeight="1" s="122">
      <c r="H1102" s="55" t="n"/>
      <c r="I1102" s="55" t="n"/>
      <c r="J1102" s="55" t="n"/>
      <c r="K1102" s="55" t="n"/>
      <c r="L1102" s="56" t="n"/>
    </row>
    <row r="1103" ht="23.25" customHeight="1" s="122">
      <c r="H1103" s="55" t="n"/>
      <c r="I1103" s="55" t="n"/>
      <c r="J1103" s="55" t="n"/>
      <c r="K1103" s="55" t="n"/>
      <c r="L1103" s="56" t="n"/>
    </row>
    <row r="1104" ht="23.25" customHeight="1" s="122">
      <c r="H1104" s="55" t="n"/>
      <c r="I1104" s="55" t="n"/>
      <c r="J1104" s="55" t="n"/>
      <c r="K1104" s="55" t="n"/>
      <c r="L1104" s="56" t="n"/>
    </row>
    <row r="1105" ht="23.25" customHeight="1" s="122">
      <c r="H1105" s="55" t="n"/>
      <c r="I1105" s="55" t="n"/>
      <c r="J1105" s="55" t="n"/>
      <c r="K1105" s="55" t="n"/>
      <c r="L1105" s="56" t="n"/>
    </row>
    <row r="1106" ht="23.25" customHeight="1" s="122">
      <c r="H1106" s="55" t="n"/>
      <c r="I1106" s="55" t="n"/>
      <c r="J1106" s="55" t="n"/>
      <c r="K1106" s="55" t="n"/>
      <c r="L1106" s="56" t="n"/>
    </row>
    <row r="1107" ht="23.25" customHeight="1" s="122">
      <c r="H1107" s="55" t="n"/>
      <c r="I1107" s="55" t="n"/>
      <c r="J1107" s="55" t="n"/>
      <c r="K1107" s="55" t="n"/>
      <c r="L1107" s="56" t="n"/>
    </row>
    <row r="1108" ht="23.25" customHeight="1" s="122">
      <c r="H1108" s="55" t="n"/>
      <c r="I1108" s="55" t="n"/>
      <c r="J1108" s="55" t="n"/>
      <c r="K1108" s="55" t="n"/>
      <c r="L1108" s="56" t="n"/>
    </row>
    <row r="1109" ht="23.25" customHeight="1" s="122">
      <c r="H1109" s="55" t="n"/>
      <c r="I1109" s="55" t="n"/>
      <c r="J1109" s="55" t="n"/>
      <c r="K1109" s="55" t="n"/>
      <c r="L1109" s="56" t="n"/>
    </row>
    <row r="1110" ht="23.25" customHeight="1" s="122">
      <c r="H1110" s="55" t="n"/>
      <c r="I1110" s="55" t="n"/>
      <c r="J1110" s="55" t="n"/>
      <c r="K1110" s="55" t="n"/>
      <c r="L1110" s="56" t="n"/>
    </row>
    <row r="1111" ht="23.25" customHeight="1" s="122">
      <c r="H1111" s="55" t="n"/>
      <c r="I1111" s="55" t="n"/>
      <c r="J1111" s="55" t="n"/>
      <c r="K1111" s="55" t="n"/>
      <c r="L1111" s="56" t="n"/>
    </row>
    <row r="1112" ht="23.25" customHeight="1" s="122">
      <c r="H1112" s="55" t="n"/>
      <c r="I1112" s="55" t="n"/>
      <c r="J1112" s="55" t="n"/>
      <c r="K1112" s="55" t="n"/>
      <c r="L1112" s="56" t="n"/>
    </row>
    <row r="1113" ht="23.25" customHeight="1" s="122">
      <c r="H1113" s="55" t="n"/>
      <c r="I1113" s="55" t="n"/>
      <c r="J1113" s="55" t="n"/>
      <c r="K1113" s="55" t="n"/>
      <c r="L1113" s="56" t="n"/>
    </row>
    <row r="1114" ht="23.25" customHeight="1" s="122">
      <c r="H1114" s="55" t="n"/>
      <c r="I1114" s="55" t="n"/>
      <c r="J1114" s="55" t="n"/>
      <c r="K1114" s="55" t="n"/>
      <c r="L1114" s="56" t="n"/>
    </row>
    <row r="1115" ht="23.25" customHeight="1" s="122">
      <c r="H1115" s="55" t="n"/>
      <c r="I1115" s="55" t="n"/>
      <c r="J1115" s="55" t="n"/>
      <c r="K1115" s="55" t="n"/>
      <c r="L1115" s="56" t="n"/>
    </row>
    <row r="1116" ht="23.25" customHeight="1" s="122">
      <c r="H1116" s="55" t="n"/>
      <c r="I1116" s="55" t="n"/>
      <c r="J1116" s="55" t="n"/>
      <c r="K1116" s="55" t="n"/>
      <c r="L1116" s="56" t="n"/>
    </row>
    <row r="1117" ht="23.25" customHeight="1" s="122">
      <c r="H1117" s="55" t="n"/>
      <c r="I1117" s="55" t="n"/>
      <c r="J1117" s="55" t="n"/>
      <c r="K1117" s="55" t="n"/>
      <c r="L1117" s="56" t="n"/>
    </row>
    <row r="1118" ht="23.25" customHeight="1" s="122">
      <c r="H1118" s="55" t="n"/>
      <c r="I1118" s="55" t="n"/>
      <c r="J1118" s="55" t="n"/>
      <c r="K1118" s="55" t="n"/>
      <c r="L1118" s="56" t="n"/>
    </row>
    <row r="1119" ht="23.25" customHeight="1" s="122">
      <c r="H1119" s="55" t="n"/>
      <c r="I1119" s="55" t="n"/>
      <c r="J1119" s="55" t="n"/>
      <c r="K1119" s="55" t="n"/>
      <c r="L1119" s="56" t="n"/>
    </row>
    <row r="1120" ht="23.25" customHeight="1" s="122">
      <c r="H1120" s="55" t="n"/>
      <c r="I1120" s="55" t="n"/>
      <c r="J1120" s="55" t="n"/>
      <c r="K1120" s="55" t="n"/>
      <c r="L1120" s="56" t="n"/>
    </row>
    <row r="1121" ht="23.25" customHeight="1" s="122">
      <c r="H1121" s="55" t="n"/>
      <c r="I1121" s="55" t="n"/>
      <c r="J1121" s="55" t="n"/>
      <c r="K1121" s="55" t="n"/>
      <c r="L1121" s="56" t="n"/>
    </row>
    <row r="1122" ht="23.25" customHeight="1" s="122">
      <c r="H1122" s="55" t="n"/>
      <c r="I1122" s="55" t="n"/>
      <c r="J1122" s="55" t="n"/>
      <c r="K1122" s="55" t="n"/>
      <c r="L1122" s="56" t="n"/>
    </row>
    <row r="1123" ht="23.25" customHeight="1" s="122">
      <c r="H1123" s="55" t="n"/>
      <c r="I1123" s="55" t="n"/>
      <c r="J1123" s="55" t="n"/>
      <c r="K1123" s="55" t="n"/>
      <c r="L1123" s="56" t="n"/>
    </row>
    <row r="1124" ht="23.25" customHeight="1" s="122">
      <c r="H1124" s="55" t="n"/>
      <c r="I1124" s="55" t="n"/>
      <c r="J1124" s="55" t="n"/>
      <c r="K1124" s="55" t="n"/>
      <c r="L1124" s="56" t="n"/>
    </row>
    <row r="1125" ht="23.25" customHeight="1" s="122">
      <c r="H1125" s="55" t="n"/>
      <c r="I1125" s="55" t="n"/>
      <c r="J1125" s="55" t="n"/>
      <c r="K1125" s="55" t="n"/>
      <c r="L1125" s="56" t="n"/>
    </row>
    <row r="1126" ht="23.25" customHeight="1" s="122">
      <c r="H1126" s="55" t="n"/>
      <c r="I1126" s="55" t="n"/>
      <c r="J1126" s="55" t="n"/>
      <c r="K1126" s="55" t="n"/>
      <c r="L1126" s="56" t="n"/>
    </row>
    <row r="1127" ht="23.25" customHeight="1" s="122">
      <c r="H1127" s="55" t="n"/>
      <c r="I1127" s="55" t="n"/>
      <c r="J1127" s="55" t="n"/>
      <c r="K1127" s="55" t="n"/>
      <c r="L1127" s="56" t="n"/>
    </row>
    <row r="1128" ht="23.25" customHeight="1" s="122">
      <c r="H1128" s="55" t="n"/>
      <c r="I1128" s="55" t="n"/>
      <c r="J1128" s="55" t="n"/>
      <c r="K1128" s="55" t="n"/>
      <c r="L1128" s="56" t="n"/>
    </row>
    <row r="1129" ht="23.25" customHeight="1" s="122">
      <c r="H1129" s="55" t="n"/>
      <c r="I1129" s="55" t="n"/>
      <c r="J1129" s="55" t="n"/>
      <c r="K1129" s="55" t="n"/>
      <c r="L1129" s="56" t="n"/>
    </row>
    <row r="1130" ht="23.25" customHeight="1" s="122">
      <c r="H1130" s="55" t="n"/>
      <c r="I1130" s="55" t="n"/>
      <c r="J1130" s="55" t="n"/>
      <c r="K1130" s="55" t="n"/>
      <c r="L1130" s="56" t="n"/>
    </row>
    <row r="1131" ht="23.25" customHeight="1" s="122">
      <c r="H1131" s="55" t="n"/>
      <c r="I1131" s="55" t="n"/>
      <c r="J1131" s="55" t="n"/>
      <c r="K1131" s="55" t="n"/>
      <c r="L1131" s="56" t="n"/>
    </row>
    <row r="1132" ht="23.25" customHeight="1" s="122">
      <c r="H1132" s="55" t="n"/>
      <c r="I1132" s="55" t="n"/>
      <c r="J1132" s="55" t="n"/>
      <c r="K1132" s="55" t="n"/>
      <c r="L1132" s="56" t="n"/>
    </row>
    <row r="1133" ht="23.25" customHeight="1" s="122">
      <c r="H1133" s="55" t="n"/>
      <c r="I1133" s="55" t="n"/>
      <c r="J1133" s="55" t="n"/>
      <c r="K1133" s="55" t="n"/>
      <c r="L1133" s="56" t="n"/>
    </row>
    <row r="1134" ht="23.25" customHeight="1" s="122">
      <c r="H1134" s="55" t="n"/>
      <c r="I1134" s="55" t="n"/>
      <c r="J1134" s="55" t="n"/>
      <c r="K1134" s="55" t="n"/>
      <c r="L1134" s="56" t="n"/>
    </row>
    <row r="1135" ht="23.25" customHeight="1" s="122">
      <c r="H1135" s="55" t="n"/>
      <c r="I1135" s="55" t="n"/>
      <c r="J1135" s="55" t="n"/>
      <c r="K1135" s="55" t="n"/>
      <c r="L1135" s="56" t="n"/>
    </row>
    <row r="1136" ht="23.25" customHeight="1" s="122">
      <c r="H1136" s="55" t="n"/>
      <c r="I1136" s="55" t="n"/>
      <c r="J1136" s="55" t="n"/>
      <c r="K1136" s="55" t="n"/>
      <c r="L1136" s="56" t="n"/>
    </row>
    <row r="1137" ht="23.25" customHeight="1" s="122">
      <c r="H1137" s="55" t="n"/>
      <c r="I1137" s="55" t="n"/>
      <c r="J1137" s="55" t="n"/>
      <c r="K1137" s="55" t="n"/>
      <c r="L1137" s="56" t="n"/>
    </row>
    <row r="1138" ht="23.25" customHeight="1" s="122">
      <c r="H1138" s="55" t="n"/>
      <c r="I1138" s="55" t="n"/>
      <c r="J1138" s="55" t="n"/>
      <c r="K1138" s="55" t="n"/>
      <c r="L1138" s="56" t="n"/>
    </row>
    <row r="1139" ht="23.25" customHeight="1" s="122">
      <c r="H1139" s="55" t="n"/>
      <c r="I1139" s="55" t="n"/>
      <c r="J1139" s="55" t="n"/>
      <c r="K1139" s="55" t="n"/>
      <c r="L1139" s="56" t="n"/>
    </row>
    <row r="1140" ht="23.25" customHeight="1" s="122">
      <c r="H1140" s="55" t="n"/>
      <c r="I1140" s="55" t="n"/>
      <c r="J1140" s="55" t="n"/>
      <c r="K1140" s="55" t="n"/>
      <c r="L1140" s="56" t="n"/>
    </row>
    <row r="1141" ht="23.25" customHeight="1" s="122">
      <c r="H1141" s="55" t="n"/>
      <c r="I1141" s="55" t="n"/>
      <c r="J1141" s="55" t="n"/>
      <c r="K1141" s="55" t="n"/>
      <c r="L1141" s="56" t="n"/>
    </row>
    <row r="1142" ht="23.25" customHeight="1" s="122">
      <c r="H1142" s="55" t="n"/>
      <c r="I1142" s="55" t="n"/>
      <c r="J1142" s="55" t="n"/>
      <c r="K1142" s="55" t="n"/>
      <c r="L1142" s="56" t="n"/>
    </row>
    <row r="1143" ht="23.25" customHeight="1" s="122">
      <c r="H1143" s="55" t="n"/>
      <c r="I1143" s="55" t="n"/>
      <c r="J1143" s="55" t="n"/>
      <c r="K1143" s="55" t="n"/>
      <c r="L1143" s="56" t="n"/>
    </row>
    <row r="1144" ht="23.25" customHeight="1" s="122">
      <c r="H1144" s="55" t="n"/>
      <c r="I1144" s="55" t="n"/>
      <c r="J1144" s="55" t="n"/>
      <c r="K1144" s="55" t="n"/>
      <c r="L1144" s="56" t="n"/>
    </row>
    <row r="1145" ht="23.25" customHeight="1" s="122">
      <c r="H1145" s="55" t="n"/>
      <c r="I1145" s="55" t="n"/>
      <c r="J1145" s="55" t="n"/>
      <c r="K1145" s="55" t="n"/>
      <c r="L1145" s="56" t="n"/>
    </row>
    <row r="1146" ht="23.25" customHeight="1" s="122">
      <c r="H1146" s="55" t="n"/>
      <c r="I1146" s="55" t="n"/>
      <c r="J1146" s="55" t="n"/>
      <c r="K1146" s="55" t="n"/>
      <c r="L1146" s="56" t="n"/>
    </row>
    <row r="1147" ht="23.25" customHeight="1" s="122">
      <c r="H1147" s="55" t="n"/>
      <c r="I1147" s="55" t="n"/>
      <c r="J1147" s="55" t="n"/>
      <c r="K1147" s="55" t="n"/>
      <c r="L1147" s="56" t="n"/>
    </row>
    <row r="1148" ht="23.25" customHeight="1" s="122">
      <c r="H1148" s="55" t="n"/>
      <c r="I1148" s="55" t="n"/>
      <c r="J1148" s="55" t="n"/>
      <c r="K1148" s="55" t="n"/>
      <c r="L1148" s="56" t="n"/>
    </row>
    <row r="1149" ht="23.25" customHeight="1" s="122">
      <c r="H1149" s="55" t="n"/>
      <c r="I1149" s="55" t="n"/>
      <c r="J1149" s="55" t="n"/>
      <c r="K1149" s="55" t="n"/>
      <c r="L1149" s="56" t="n"/>
    </row>
    <row r="1150" ht="23.25" customHeight="1" s="122">
      <c r="H1150" s="55" t="n"/>
      <c r="I1150" s="55" t="n"/>
      <c r="J1150" s="55" t="n"/>
      <c r="K1150" s="55" t="n"/>
      <c r="L1150" s="56" t="n"/>
    </row>
    <row r="1151" ht="23.25" customHeight="1" s="122">
      <c r="H1151" s="55" t="n"/>
      <c r="I1151" s="55" t="n"/>
      <c r="J1151" s="55" t="n"/>
      <c r="K1151" s="55" t="n"/>
      <c r="L1151" s="56" t="n"/>
    </row>
    <row r="1152" ht="23.25" customHeight="1" s="122">
      <c r="H1152" s="55" t="n"/>
      <c r="I1152" s="55" t="n"/>
      <c r="J1152" s="55" t="n"/>
      <c r="K1152" s="55" t="n"/>
      <c r="L1152" s="56" t="n"/>
    </row>
    <row r="1153" ht="23.25" customHeight="1" s="122">
      <c r="H1153" s="55" t="n"/>
      <c r="I1153" s="55" t="n"/>
      <c r="J1153" s="55" t="n"/>
      <c r="K1153" s="55" t="n"/>
      <c r="L1153" s="56" t="n"/>
    </row>
    <row r="1154" ht="23.25" customHeight="1" s="122">
      <c r="H1154" s="55" t="n"/>
      <c r="I1154" s="55" t="n"/>
      <c r="J1154" s="55" t="n"/>
      <c r="K1154" s="55" t="n"/>
      <c r="L1154" s="56" t="n"/>
    </row>
    <row r="1155" ht="23.25" customHeight="1" s="122">
      <c r="H1155" s="55" t="n"/>
      <c r="I1155" s="55" t="n"/>
      <c r="J1155" s="55" t="n"/>
      <c r="K1155" s="55" t="n"/>
      <c r="L1155" s="56" t="n"/>
    </row>
    <row r="1156" ht="23.25" customHeight="1" s="122">
      <c r="H1156" s="55" t="n"/>
      <c r="I1156" s="55" t="n"/>
      <c r="J1156" s="55" t="n"/>
      <c r="K1156" s="55" t="n"/>
      <c r="L1156" s="56" t="n"/>
    </row>
    <row r="1157" ht="23.25" customHeight="1" s="122">
      <c r="H1157" s="55" t="n"/>
      <c r="I1157" s="55" t="n"/>
      <c r="J1157" s="55" t="n"/>
      <c r="K1157" s="55" t="n"/>
      <c r="L1157" s="56" t="n"/>
    </row>
    <row r="1158" ht="23.25" customHeight="1" s="122">
      <c r="H1158" s="55" t="n"/>
      <c r="I1158" s="55" t="n"/>
      <c r="J1158" s="55" t="n"/>
      <c r="K1158" s="55" t="n"/>
      <c r="L1158" s="56" t="n"/>
    </row>
    <row r="1159" ht="23.25" customHeight="1" s="122">
      <c r="H1159" s="55" t="n"/>
      <c r="I1159" s="55" t="n"/>
      <c r="J1159" s="55" t="n"/>
      <c r="K1159" s="55" t="n"/>
      <c r="L1159" s="56" t="n"/>
    </row>
    <row r="1160" ht="23.25" customHeight="1" s="122">
      <c r="H1160" s="55" t="n"/>
      <c r="I1160" s="55" t="n"/>
      <c r="J1160" s="55" t="n"/>
      <c r="K1160" s="55" t="n"/>
      <c r="L1160" s="56" t="n"/>
    </row>
    <row r="1161" ht="23.25" customHeight="1" s="122">
      <c r="H1161" s="55" t="n"/>
      <c r="I1161" s="55" t="n"/>
      <c r="J1161" s="55" t="n"/>
      <c r="K1161" s="55" t="n"/>
      <c r="L1161" s="56" t="n"/>
    </row>
    <row r="1162" ht="23.25" customHeight="1" s="122">
      <c r="H1162" s="55" t="n"/>
      <c r="I1162" s="55" t="n"/>
      <c r="J1162" s="55" t="n"/>
      <c r="K1162" s="55" t="n"/>
      <c r="L1162" s="56" t="n"/>
    </row>
    <row r="1163" ht="23.25" customHeight="1" s="122">
      <c r="H1163" s="55" t="n"/>
      <c r="I1163" s="55" t="n"/>
      <c r="J1163" s="55" t="n"/>
      <c r="K1163" s="55" t="n"/>
      <c r="L1163" s="56" t="n"/>
    </row>
    <row r="1164" ht="23.25" customHeight="1" s="122">
      <c r="H1164" s="55" t="n"/>
      <c r="I1164" s="55" t="n"/>
      <c r="J1164" s="55" t="n"/>
      <c r="K1164" s="55" t="n"/>
      <c r="L1164" s="56" t="n"/>
    </row>
    <row r="1165" ht="23.25" customHeight="1" s="122">
      <c r="H1165" s="55" t="n"/>
      <c r="I1165" s="55" t="n"/>
      <c r="J1165" s="55" t="n"/>
      <c r="K1165" s="55" t="n"/>
      <c r="L1165" s="56" t="n"/>
    </row>
    <row r="1166" ht="23.25" customHeight="1" s="122">
      <c r="H1166" s="55" t="n"/>
      <c r="I1166" s="55" t="n"/>
      <c r="J1166" s="55" t="n"/>
      <c r="K1166" s="55" t="n"/>
      <c r="L1166" s="56" t="n"/>
    </row>
    <row r="1167" ht="23.25" customHeight="1" s="122">
      <c r="H1167" s="55" t="n"/>
      <c r="I1167" s="55" t="n"/>
      <c r="J1167" s="55" t="n"/>
      <c r="K1167" s="55" t="n"/>
      <c r="L1167" s="56" t="n"/>
    </row>
    <row r="1168" ht="23.25" customHeight="1" s="122">
      <c r="H1168" s="55" t="n"/>
      <c r="I1168" s="55" t="n"/>
      <c r="J1168" s="55" t="n"/>
      <c r="K1168" s="55" t="n"/>
      <c r="L1168" s="56" t="n"/>
    </row>
    <row r="1169" ht="23.25" customHeight="1" s="122">
      <c r="H1169" s="55" t="n"/>
      <c r="I1169" s="55" t="n"/>
      <c r="J1169" s="55" t="n"/>
      <c r="K1169" s="55" t="n"/>
      <c r="L1169" s="56" t="n"/>
    </row>
    <row r="1170" ht="23.25" customHeight="1" s="122">
      <c r="H1170" s="55" t="n"/>
      <c r="I1170" s="55" t="n"/>
      <c r="J1170" s="55" t="n"/>
      <c r="K1170" s="55" t="n"/>
      <c r="L1170" s="56" t="n"/>
    </row>
    <row r="1171" ht="23.25" customHeight="1" s="122">
      <c r="H1171" s="55" t="n"/>
      <c r="I1171" s="55" t="n"/>
      <c r="J1171" s="55" t="n"/>
      <c r="K1171" s="55" t="n"/>
      <c r="L1171" s="56" t="n"/>
    </row>
    <row r="1172" ht="23.25" customHeight="1" s="122">
      <c r="H1172" s="55" t="n"/>
      <c r="I1172" s="55" t="n"/>
      <c r="J1172" s="55" t="n"/>
      <c r="K1172" s="55" t="n"/>
      <c r="L1172" s="56" t="n"/>
    </row>
    <row r="1173" ht="23.25" customHeight="1" s="122">
      <c r="H1173" s="55" t="n"/>
      <c r="I1173" s="55" t="n"/>
      <c r="J1173" s="55" t="n"/>
      <c r="K1173" s="55" t="n"/>
      <c r="L1173" s="56" t="n"/>
    </row>
    <row r="1174" ht="23.25" customHeight="1" s="122">
      <c r="H1174" s="55" t="n"/>
      <c r="I1174" s="55" t="n"/>
      <c r="J1174" s="55" t="n"/>
      <c r="K1174" s="55" t="n"/>
      <c r="L1174" s="56" t="n"/>
    </row>
    <row r="1175" ht="23.25" customHeight="1" s="122">
      <c r="H1175" s="55" t="n"/>
      <c r="I1175" s="55" t="n"/>
      <c r="J1175" s="55" t="n"/>
      <c r="K1175" s="55" t="n"/>
      <c r="L1175" s="56" t="n"/>
    </row>
    <row r="1176" ht="23.25" customHeight="1" s="122">
      <c r="H1176" s="55" t="n"/>
      <c r="I1176" s="55" t="n"/>
      <c r="J1176" s="55" t="n"/>
      <c r="K1176" s="55" t="n"/>
      <c r="L1176" s="56" t="n"/>
    </row>
    <row r="1177" ht="23.25" customHeight="1" s="122">
      <c r="H1177" s="55" t="n"/>
      <c r="I1177" s="55" t="n"/>
      <c r="J1177" s="55" t="n"/>
      <c r="K1177" s="55" t="n"/>
      <c r="L1177" s="56" t="n"/>
    </row>
    <row r="1178" ht="23.25" customHeight="1" s="122">
      <c r="H1178" s="55" t="n"/>
      <c r="I1178" s="55" t="n"/>
      <c r="J1178" s="55" t="n"/>
      <c r="K1178" s="55" t="n"/>
      <c r="L1178" s="56" t="n"/>
    </row>
    <row r="1179" ht="23.25" customHeight="1" s="122">
      <c r="H1179" s="55" t="n"/>
      <c r="I1179" s="55" t="n"/>
      <c r="J1179" s="55" t="n"/>
      <c r="K1179" s="55" t="n"/>
      <c r="L1179" s="56" t="n"/>
    </row>
    <row r="1180" ht="23.25" customHeight="1" s="122">
      <c r="H1180" s="55" t="n"/>
      <c r="I1180" s="55" t="n"/>
      <c r="J1180" s="55" t="n"/>
      <c r="K1180" s="55" t="n"/>
      <c r="L1180" s="56" t="n"/>
    </row>
    <row r="1181" ht="23.25" customHeight="1" s="122">
      <c r="H1181" s="55" t="n"/>
      <c r="I1181" s="55" t="n"/>
      <c r="J1181" s="55" t="n"/>
      <c r="K1181" s="55" t="n"/>
      <c r="L1181" s="56" t="n"/>
    </row>
    <row r="1182" ht="23.25" customHeight="1" s="122">
      <c r="H1182" s="55" t="n"/>
      <c r="I1182" s="55" t="n"/>
      <c r="J1182" s="55" t="n"/>
      <c r="K1182" s="55" t="n"/>
      <c r="L1182" s="56" t="n"/>
    </row>
    <row r="1183" ht="23.25" customHeight="1" s="122">
      <c r="H1183" s="55" t="n"/>
      <c r="I1183" s="55" t="n"/>
      <c r="J1183" s="55" t="n"/>
      <c r="K1183" s="55" t="n"/>
      <c r="L1183" s="56" t="n"/>
    </row>
    <row r="1184" ht="23.25" customHeight="1" s="122">
      <c r="H1184" s="55" t="n"/>
      <c r="I1184" s="55" t="n"/>
      <c r="J1184" s="55" t="n"/>
      <c r="K1184" s="55" t="n"/>
      <c r="L1184" s="56" t="n"/>
    </row>
    <row r="1185" ht="23.25" customHeight="1" s="122">
      <c r="H1185" s="55" t="n"/>
      <c r="I1185" s="55" t="n"/>
      <c r="J1185" s="55" t="n"/>
      <c r="K1185" s="55" t="n"/>
      <c r="L1185" s="56" t="n"/>
    </row>
    <row r="1186" ht="23.25" customHeight="1" s="122">
      <c r="H1186" s="55" t="n"/>
      <c r="I1186" s="55" t="n"/>
      <c r="J1186" s="55" t="n"/>
      <c r="K1186" s="55" t="n"/>
      <c r="L1186" s="56" t="n"/>
    </row>
    <row r="1187" ht="23.25" customHeight="1" s="122">
      <c r="H1187" s="55" t="n"/>
      <c r="I1187" s="55" t="n"/>
      <c r="J1187" s="55" t="n"/>
      <c r="K1187" s="55" t="n"/>
      <c r="L1187" s="56" t="n"/>
    </row>
    <row r="1188" ht="23.25" customHeight="1" s="122">
      <c r="H1188" s="55" t="n"/>
      <c r="I1188" s="55" t="n"/>
      <c r="J1188" s="55" t="n"/>
      <c r="K1188" s="55" t="n"/>
      <c r="L1188" s="56" t="n"/>
    </row>
    <row r="1189" ht="23.25" customHeight="1" s="122">
      <c r="H1189" s="55" t="n"/>
      <c r="I1189" s="55" t="n"/>
      <c r="J1189" s="55" t="n"/>
      <c r="K1189" s="55" t="n"/>
      <c r="L1189" s="56" t="n"/>
    </row>
    <row r="1190" ht="23.25" customHeight="1" s="122">
      <c r="H1190" s="55" t="n"/>
      <c r="I1190" s="55" t="n"/>
      <c r="J1190" s="55" t="n"/>
      <c r="K1190" s="55" t="n"/>
      <c r="L1190" s="56" t="n"/>
    </row>
    <row r="1191" ht="23.25" customHeight="1" s="122">
      <c r="H1191" s="55" t="n"/>
      <c r="I1191" s="55" t="n"/>
      <c r="J1191" s="55" t="n"/>
      <c r="K1191" s="55" t="n"/>
      <c r="L1191" s="56" t="n"/>
    </row>
    <row r="1192" ht="23.25" customHeight="1" s="122">
      <c r="H1192" s="55" t="n"/>
      <c r="I1192" s="55" t="n"/>
      <c r="J1192" s="55" t="n"/>
      <c r="K1192" s="55" t="n"/>
      <c r="L1192" s="56" t="n"/>
    </row>
    <row r="1193" ht="23.25" customHeight="1" s="122">
      <c r="H1193" s="55" t="n"/>
      <c r="I1193" s="55" t="n"/>
      <c r="J1193" s="55" t="n"/>
      <c r="K1193" s="55" t="n"/>
      <c r="L1193" s="56" t="n"/>
    </row>
    <row r="1194" ht="23.25" customHeight="1" s="122">
      <c r="H1194" s="55" t="n"/>
      <c r="I1194" s="55" t="n"/>
      <c r="J1194" s="55" t="n"/>
      <c r="K1194" s="55" t="n"/>
      <c r="L1194" s="56" t="n"/>
    </row>
    <row r="1195" ht="23.25" customHeight="1" s="122">
      <c r="H1195" s="55" t="n"/>
      <c r="I1195" s="55" t="n"/>
      <c r="J1195" s="55" t="n"/>
      <c r="K1195" s="55" t="n"/>
      <c r="L1195" s="56" t="n"/>
    </row>
    <row r="1196" ht="23.25" customHeight="1" s="122">
      <c r="H1196" s="55" t="n"/>
      <c r="I1196" s="55" t="n"/>
      <c r="J1196" s="55" t="n"/>
      <c r="K1196" s="55" t="n"/>
      <c r="L1196" s="56" t="n"/>
    </row>
    <row r="1197" ht="23.25" customHeight="1" s="122">
      <c r="H1197" s="55" t="n"/>
      <c r="I1197" s="55" t="n"/>
      <c r="J1197" s="55" t="n"/>
      <c r="K1197" s="55" t="n"/>
      <c r="L1197" s="56" t="n"/>
    </row>
    <row r="1198" ht="23.25" customHeight="1" s="122">
      <c r="H1198" s="55" t="n"/>
      <c r="I1198" s="55" t="n"/>
      <c r="J1198" s="55" t="n"/>
      <c r="K1198" s="55" t="n"/>
      <c r="L1198" s="56" t="n"/>
    </row>
    <row r="1199" ht="23.25" customHeight="1" s="122">
      <c r="H1199" s="55" t="n"/>
      <c r="I1199" s="55" t="n"/>
      <c r="J1199" s="55" t="n"/>
      <c r="K1199" s="55" t="n"/>
      <c r="L1199" s="56" t="n"/>
    </row>
    <row r="1200" ht="23.25" customHeight="1" s="122">
      <c r="H1200" s="55" t="n"/>
      <c r="I1200" s="55" t="n"/>
      <c r="J1200" s="55" t="n"/>
      <c r="K1200" s="55" t="n"/>
      <c r="L1200" s="56" t="n"/>
    </row>
    <row r="1201" ht="23.25" customHeight="1" s="122">
      <c r="H1201" s="55" t="n"/>
      <c r="I1201" s="55" t="n"/>
      <c r="J1201" s="55" t="n"/>
      <c r="K1201" s="55" t="n"/>
      <c r="L1201" s="56" t="n"/>
    </row>
    <row r="1202" ht="23.25" customHeight="1" s="122">
      <c r="H1202" s="55" t="n"/>
      <c r="I1202" s="55" t="n"/>
      <c r="J1202" s="55" t="n"/>
      <c r="K1202" s="55" t="n"/>
      <c r="L1202" s="56" t="n"/>
    </row>
    <row r="1203" ht="23.25" customHeight="1" s="122">
      <c r="H1203" s="55" t="n"/>
      <c r="I1203" s="55" t="n"/>
      <c r="J1203" s="55" t="n"/>
      <c r="K1203" s="55" t="n"/>
      <c r="L1203" s="56" t="n"/>
    </row>
    <row r="1204" ht="23.25" customHeight="1" s="122">
      <c r="H1204" s="55" t="n"/>
      <c r="I1204" s="55" t="n"/>
      <c r="J1204" s="55" t="n"/>
      <c r="K1204" s="55" t="n"/>
      <c r="L1204" s="56" t="n"/>
    </row>
    <row r="1205" ht="23.25" customHeight="1" s="122">
      <c r="H1205" s="55" t="n"/>
      <c r="I1205" s="55" t="n"/>
      <c r="J1205" s="55" t="n"/>
      <c r="K1205" s="55" t="n"/>
      <c r="L1205" s="56" t="n"/>
    </row>
    <row r="1206" ht="23.25" customHeight="1" s="122">
      <c r="H1206" s="55" t="n"/>
      <c r="I1206" s="55" t="n"/>
      <c r="J1206" s="55" t="n"/>
      <c r="K1206" s="55" t="n"/>
      <c r="L1206" s="56" t="n"/>
    </row>
    <row r="1207" ht="23.25" customHeight="1" s="122">
      <c r="H1207" s="55" t="n"/>
      <c r="I1207" s="55" t="n"/>
      <c r="J1207" s="55" t="n"/>
      <c r="K1207" s="55" t="n"/>
      <c r="L1207" s="56" t="n"/>
    </row>
    <row r="1208" ht="23.25" customHeight="1" s="122">
      <c r="H1208" s="55" t="n"/>
      <c r="I1208" s="55" t="n"/>
      <c r="J1208" s="55" t="n"/>
      <c r="K1208" s="55" t="n"/>
      <c r="L1208" s="56" t="n"/>
    </row>
    <row r="1209" ht="23.25" customHeight="1" s="122">
      <c r="H1209" s="55" t="n"/>
      <c r="I1209" s="55" t="n"/>
      <c r="J1209" s="55" t="n"/>
      <c r="K1209" s="55" t="n"/>
      <c r="L1209" s="56" t="n"/>
    </row>
    <row r="1210" ht="23.25" customHeight="1" s="122">
      <c r="H1210" s="55" t="n"/>
      <c r="I1210" s="55" t="n"/>
      <c r="J1210" s="55" t="n"/>
      <c r="K1210" s="55" t="n"/>
      <c r="L1210" s="56" t="n"/>
    </row>
    <row r="1211" ht="23.25" customHeight="1" s="122">
      <c r="H1211" s="55" t="n"/>
      <c r="I1211" s="55" t="n"/>
      <c r="J1211" s="55" t="n"/>
      <c r="K1211" s="55" t="n"/>
      <c r="L1211" s="56" t="n"/>
    </row>
    <row r="1212" ht="23.25" customHeight="1" s="122">
      <c r="H1212" s="55" t="n"/>
      <c r="I1212" s="55" t="n"/>
      <c r="J1212" s="55" t="n"/>
      <c r="K1212" s="55" t="n"/>
      <c r="L1212" s="56" t="n"/>
    </row>
    <row r="1213" ht="23.25" customHeight="1" s="122">
      <c r="H1213" s="55" t="n"/>
      <c r="I1213" s="55" t="n"/>
      <c r="J1213" s="55" t="n"/>
      <c r="K1213" s="55" t="n"/>
      <c r="L1213" s="56" t="n"/>
    </row>
    <row r="1214" ht="23.25" customHeight="1" s="122">
      <c r="H1214" s="55" t="n"/>
      <c r="I1214" s="55" t="n"/>
      <c r="J1214" s="55" t="n"/>
      <c r="K1214" s="55" t="n"/>
      <c r="L1214" s="56" t="n"/>
    </row>
    <row r="1215" ht="23.25" customHeight="1" s="122">
      <c r="H1215" s="55" t="n"/>
      <c r="I1215" s="55" t="n"/>
      <c r="J1215" s="55" t="n"/>
      <c r="K1215" s="55" t="n"/>
      <c r="L1215" s="56" t="n"/>
    </row>
    <row r="1216" ht="23.25" customHeight="1" s="122">
      <c r="H1216" s="55" t="n"/>
      <c r="I1216" s="55" t="n"/>
      <c r="J1216" s="55" t="n"/>
      <c r="K1216" s="55" t="n"/>
      <c r="L1216" s="56" t="n"/>
    </row>
    <row r="1217" ht="23.25" customHeight="1" s="122">
      <c r="H1217" s="55" t="n"/>
      <c r="I1217" s="55" t="n"/>
      <c r="J1217" s="55" t="n"/>
      <c r="K1217" s="55" t="n"/>
      <c r="L1217" s="56" t="n"/>
    </row>
    <row r="1218" ht="23.25" customHeight="1" s="122">
      <c r="H1218" s="55" t="n"/>
      <c r="I1218" s="55" t="n"/>
      <c r="J1218" s="55" t="n"/>
      <c r="K1218" s="55" t="n"/>
      <c r="L1218" s="56" t="n"/>
    </row>
    <row r="1219" ht="23.25" customHeight="1" s="122">
      <c r="H1219" s="55" t="n"/>
      <c r="I1219" s="55" t="n"/>
      <c r="J1219" s="55" t="n"/>
      <c r="K1219" s="55" t="n"/>
      <c r="L1219" s="56" t="n"/>
    </row>
    <row r="1220" ht="23.25" customHeight="1" s="122">
      <c r="H1220" s="55" t="n"/>
      <c r="I1220" s="55" t="n"/>
      <c r="J1220" s="55" t="n"/>
      <c r="K1220" s="55" t="n"/>
      <c r="L1220" s="56" t="n"/>
    </row>
    <row r="1221" ht="23.25" customHeight="1" s="122">
      <c r="H1221" s="55" t="n"/>
      <c r="I1221" s="55" t="n"/>
      <c r="J1221" s="55" t="n"/>
      <c r="K1221" s="55" t="n"/>
      <c r="L1221" s="56" t="n"/>
    </row>
    <row r="1222" ht="23.25" customHeight="1" s="122">
      <c r="H1222" s="55" t="n"/>
      <c r="I1222" s="55" t="n"/>
      <c r="J1222" s="55" t="n"/>
      <c r="K1222" s="55" t="n"/>
      <c r="L1222" s="56" t="n"/>
    </row>
    <row r="1223" ht="23.25" customHeight="1" s="122">
      <c r="H1223" s="55" t="n"/>
      <c r="I1223" s="55" t="n"/>
      <c r="J1223" s="55" t="n"/>
      <c r="K1223" s="55" t="n"/>
      <c r="L1223" s="56" t="n"/>
    </row>
    <row r="1224" ht="23.25" customHeight="1" s="122">
      <c r="H1224" s="55" t="n"/>
      <c r="I1224" s="55" t="n"/>
      <c r="J1224" s="55" t="n"/>
      <c r="K1224" s="55" t="n"/>
      <c r="L1224" s="56" t="n"/>
    </row>
    <row r="1225" ht="23.25" customHeight="1" s="122">
      <c r="H1225" s="55" t="n"/>
      <c r="I1225" s="55" t="n"/>
      <c r="J1225" s="55" t="n"/>
      <c r="K1225" s="55" t="n"/>
      <c r="L1225" s="56" t="n"/>
    </row>
    <row r="1226" ht="23.25" customHeight="1" s="122">
      <c r="H1226" s="55" t="n"/>
      <c r="I1226" s="55" t="n"/>
      <c r="J1226" s="55" t="n"/>
      <c r="K1226" s="55" t="n"/>
      <c r="L1226" s="56" t="n"/>
    </row>
    <row r="1227" ht="23.25" customHeight="1" s="122">
      <c r="H1227" s="55" t="n"/>
      <c r="I1227" s="55" t="n"/>
      <c r="J1227" s="55" t="n"/>
      <c r="K1227" s="55" t="n"/>
      <c r="L1227" s="56" t="n"/>
    </row>
    <row r="1228" ht="23.25" customHeight="1" s="122">
      <c r="H1228" s="55" t="n"/>
      <c r="I1228" s="55" t="n"/>
      <c r="J1228" s="55" t="n"/>
      <c r="K1228" s="55" t="n"/>
      <c r="L1228" s="56" t="n"/>
    </row>
    <row r="1229" ht="23.25" customHeight="1" s="122">
      <c r="H1229" s="55" t="n"/>
      <c r="I1229" s="55" t="n"/>
      <c r="J1229" s="55" t="n"/>
      <c r="K1229" s="55" t="n"/>
      <c r="L1229" s="56" t="n"/>
    </row>
    <row r="1230" ht="23.25" customHeight="1" s="122">
      <c r="H1230" s="55" t="n"/>
      <c r="I1230" s="55" t="n"/>
      <c r="J1230" s="55" t="n"/>
      <c r="K1230" s="55" t="n"/>
      <c r="L1230" s="56" t="n"/>
    </row>
    <row r="1231" ht="23.25" customHeight="1" s="122">
      <c r="H1231" s="55" t="n"/>
      <c r="I1231" s="55" t="n"/>
      <c r="J1231" s="55" t="n"/>
      <c r="K1231" s="55" t="n"/>
      <c r="L1231" s="56" t="n"/>
    </row>
    <row r="1232" ht="23.25" customHeight="1" s="122">
      <c r="H1232" s="55" t="n"/>
      <c r="I1232" s="55" t="n"/>
      <c r="J1232" s="55" t="n"/>
      <c r="K1232" s="55" t="n"/>
      <c r="L1232" s="56" t="n"/>
    </row>
    <row r="1233" ht="23.25" customHeight="1" s="122">
      <c r="H1233" s="55" t="n"/>
      <c r="I1233" s="55" t="n"/>
      <c r="J1233" s="55" t="n"/>
      <c r="K1233" s="55" t="n"/>
      <c r="L1233" s="56" t="n"/>
    </row>
    <row r="1234" ht="23.25" customHeight="1" s="122">
      <c r="H1234" s="55" t="n"/>
      <c r="I1234" s="55" t="n"/>
      <c r="J1234" s="55" t="n"/>
      <c r="K1234" s="55" t="n"/>
      <c r="L1234" s="56" t="n"/>
    </row>
    <row r="1235" ht="23.25" customHeight="1" s="122">
      <c r="H1235" s="55" t="n"/>
      <c r="I1235" s="55" t="n"/>
      <c r="J1235" s="55" t="n"/>
      <c r="K1235" s="55" t="n"/>
      <c r="L1235" s="56" t="n"/>
    </row>
    <row r="1236" ht="23.25" customHeight="1" s="122">
      <c r="H1236" s="55" t="n"/>
      <c r="I1236" s="55" t="n"/>
      <c r="J1236" s="55" t="n"/>
      <c r="K1236" s="55" t="n"/>
      <c r="L1236" s="56" t="n"/>
    </row>
    <row r="1237" ht="23.25" customHeight="1" s="122">
      <c r="H1237" s="55" t="n"/>
      <c r="I1237" s="55" t="n"/>
      <c r="J1237" s="55" t="n"/>
      <c r="K1237" s="55" t="n"/>
      <c r="L1237" s="56" t="n"/>
    </row>
    <row r="1238" ht="23.25" customHeight="1" s="122">
      <c r="H1238" s="55" t="n"/>
      <c r="I1238" s="55" t="n"/>
      <c r="J1238" s="55" t="n"/>
      <c r="K1238" s="55" t="n"/>
      <c r="L1238" s="56" t="n"/>
    </row>
    <row r="1239" ht="23.25" customHeight="1" s="122">
      <c r="H1239" s="55" t="n"/>
      <c r="I1239" s="55" t="n"/>
      <c r="J1239" s="55" t="n"/>
      <c r="K1239" s="55" t="n"/>
      <c r="L1239" s="56" t="n"/>
    </row>
    <row r="1240" ht="23.25" customHeight="1" s="122">
      <c r="H1240" s="55" t="n"/>
      <c r="I1240" s="55" t="n"/>
      <c r="J1240" s="55" t="n"/>
      <c r="K1240" s="55" t="n"/>
      <c r="L1240" s="56" t="n"/>
    </row>
    <row r="1241" ht="23.25" customHeight="1" s="122">
      <c r="H1241" s="55" t="n"/>
      <c r="I1241" s="55" t="n"/>
      <c r="J1241" s="55" t="n"/>
      <c r="K1241" s="55" t="n"/>
      <c r="L1241" s="56" t="n"/>
    </row>
    <row r="1242" ht="23.25" customHeight="1" s="122">
      <c r="H1242" s="55" t="n"/>
      <c r="I1242" s="55" t="n"/>
      <c r="J1242" s="55" t="n"/>
      <c r="K1242" s="55" t="n"/>
      <c r="L1242" s="56" t="n"/>
    </row>
    <row r="1243" ht="23.25" customHeight="1" s="122">
      <c r="H1243" s="55" t="n"/>
      <c r="I1243" s="55" t="n"/>
      <c r="J1243" s="55" t="n"/>
      <c r="K1243" s="55" t="n"/>
      <c r="L1243" s="56" t="n"/>
    </row>
    <row r="1244" ht="23.25" customHeight="1" s="122">
      <c r="H1244" s="55" t="n"/>
      <c r="I1244" s="55" t="n"/>
      <c r="J1244" s="55" t="n"/>
      <c r="K1244" s="55" t="n"/>
      <c r="L1244" s="56" t="n"/>
    </row>
    <row r="1245" ht="23.25" customHeight="1" s="122">
      <c r="H1245" s="55" t="n"/>
      <c r="I1245" s="55" t="n"/>
      <c r="J1245" s="55" t="n"/>
      <c r="K1245" s="55" t="n"/>
      <c r="L1245" s="56" t="n"/>
    </row>
    <row r="1246" ht="23.25" customHeight="1" s="122">
      <c r="H1246" s="55" t="n"/>
      <c r="I1246" s="55" t="n"/>
      <c r="J1246" s="55" t="n"/>
      <c r="K1246" s="55" t="n"/>
      <c r="L1246" s="56" t="n"/>
    </row>
    <row r="1247" ht="23.25" customHeight="1" s="122">
      <c r="H1247" s="55" t="n"/>
      <c r="I1247" s="55" t="n"/>
      <c r="J1247" s="55" t="n"/>
      <c r="K1247" s="55" t="n"/>
      <c r="L1247" s="56" t="n"/>
    </row>
    <row r="1248" ht="23.25" customHeight="1" s="122">
      <c r="H1248" s="55" t="n"/>
      <c r="I1248" s="55" t="n"/>
      <c r="J1248" s="55" t="n"/>
      <c r="K1248" s="55" t="n"/>
      <c r="L1248" s="56" t="n"/>
    </row>
    <row r="1249" ht="23.25" customHeight="1" s="122">
      <c r="H1249" s="55" t="n"/>
      <c r="I1249" s="55" t="n"/>
      <c r="J1249" s="55" t="n"/>
      <c r="K1249" s="55" t="n"/>
      <c r="L1249" s="56" t="n"/>
    </row>
    <row r="1250" ht="23.25" customHeight="1" s="122">
      <c r="H1250" s="55" t="n"/>
      <c r="I1250" s="55" t="n"/>
      <c r="J1250" s="55" t="n"/>
      <c r="K1250" s="55" t="n"/>
      <c r="L1250" s="56" t="n"/>
    </row>
    <row r="1251" ht="23.25" customHeight="1" s="122">
      <c r="H1251" s="55" t="n"/>
      <c r="I1251" s="55" t="n"/>
      <c r="J1251" s="55" t="n"/>
      <c r="K1251" s="55" t="n"/>
      <c r="L1251" s="56" t="n"/>
    </row>
    <row r="1252" ht="23.25" customHeight="1" s="122">
      <c r="H1252" s="55" t="n"/>
      <c r="I1252" s="55" t="n"/>
      <c r="J1252" s="55" t="n"/>
      <c r="K1252" s="55" t="n"/>
      <c r="L1252" s="56" t="n"/>
    </row>
    <row r="1253" ht="23.25" customHeight="1" s="122">
      <c r="H1253" s="55" t="n"/>
      <c r="I1253" s="55" t="n"/>
      <c r="J1253" s="55" t="n"/>
      <c r="K1253" s="55" t="n"/>
      <c r="L1253" s="56" t="n"/>
    </row>
    <row r="1254" ht="23.25" customHeight="1" s="122">
      <c r="H1254" s="55" t="n"/>
      <c r="I1254" s="55" t="n"/>
      <c r="J1254" s="55" t="n"/>
      <c r="K1254" s="55" t="n"/>
      <c r="L1254" s="56" t="n"/>
    </row>
    <row r="1255" ht="23.25" customHeight="1" s="122">
      <c r="H1255" s="55" t="n"/>
      <c r="I1255" s="55" t="n"/>
      <c r="J1255" s="55" t="n"/>
      <c r="K1255" s="55" t="n"/>
      <c r="L1255" s="56" t="n"/>
    </row>
    <row r="1256" ht="23.25" customHeight="1" s="122">
      <c r="H1256" s="55" t="n"/>
      <c r="I1256" s="55" t="n"/>
      <c r="J1256" s="55" t="n"/>
      <c r="K1256" s="55" t="n"/>
      <c r="L1256" s="56" t="n"/>
    </row>
    <row r="1257" ht="23.25" customHeight="1" s="122">
      <c r="H1257" s="55" t="n"/>
      <c r="I1257" s="55" t="n"/>
      <c r="J1257" s="55" t="n"/>
      <c r="K1257" s="55" t="n"/>
      <c r="L1257" s="56" t="n"/>
    </row>
    <row r="1258" ht="23.25" customHeight="1" s="122">
      <c r="H1258" s="55" t="n"/>
      <c r="I1258" s="55" t="n"/>
      <c r="J1258" s="55" t="n"/>
      <c r="K1258" s="55" t="n"/>
      <c r="L1258" s="56" t="n"/>
    </row>
    <row r="1259" ht="23.25" customHeight="1" s="122">
      <c r="H1259" s="55" t="n"/>
      <c r="I1259" s="55" t="n"/>
      <c r="J1259" s="55" t="n"/>
      <c r="K1259" s="55" t="n"/>
      <c r="L1259" s="56" t="n"/>
    </row>
    <row r="1260" ht="23.25" customHeight="1" s="122">
      <c r="H1260" s="55" t="n"/>
      <c r="I1260" s="55" t="n"/>
      <c r="J1260" s="55" t="n"/>
      <c r="K1260" s="55" t="n"/>
      <c r="L1260" s="56" t="n"/>
    </row>
    <row r="1261" ht="23.25" customHeight="1" s="122">
      <c r="H1261" s="55" t="n"/>
      <c r="I1261" s="55" t="n"/>
      <c r="J1261" s="55" t="n"/>
      <c r="K1261" s="55" t="n"/>
      <c r="L1261" s="56" t="n"/>
    </row>
    <row r="1262" ht="23.25" customHeight="1" s="122">
      <c r="H1262" s="55" t="n"/>
      <c r="I1262" s="55" t="n"/>
      <c r="J1262" s="55" t="n"/>
      <c r="K1262" s="55" t="n"/>
      <c r="L1262" s="56" t="n"/>
    </row>
    <row r="1263" ht="23.25" customHeight="1" s="122">
      <c r="H1263" s="55" t="n"/>
      <c r="I1263" s="55" t="n"/>
      <c r="J1263" s="55" t="n"/>
      <c r="K1263" s="55" t="n"/>
      <c r="L1263" s="56" t="n"/>
    </row>
    <row r="1264" ht="23.25" customHeight="1" s="122">
      <c r="H1264" s="55" t="n"/>
      <c r="I1264" s="55" t="n"/>
      <c r="J1264" s="55" t="n"/>
      <c r="K1264" s="55" t="n"/>
      <c r="L1264" s="56" t="n"/>
    </row>
    <row r="1265" ht="23.25" customHeight="1" s="122">
      <c r="H1265" s="55" t="n"/>
      <c r="I1265" s="55" t="n"/>
      <c r="J1265" s="55" t="n"/>
      <c r="K1265" s="55" t="n"/>
      <c r="L1265" s="56" t="n"/>
    </row>
    <row r="1266" ht="23.25" customHeight="1" s="122">
      <c r="H1266" s="55" t="n"/>
      <c r="I1266" s="55" t="n"/>
      <c r="J1266" s="55" t="n"/>
      <c r="K1266" s="55" t="n"/>
      <c r="L1266" s="56" t="n"/>
    </row>
    <row r="1267" ht="23.25" customHeight="1" s="122">
      <c r="H1267" s="55" t="n"/>
      <c r="I1267" s="55" t="n"/>
      <c r="J1267" s="55" t="n"/>
      <c r="K1267" s="55" t="n"/>
      <c r="L1267" s="56" t="n"/>
    </row>
    <row r="1268" ht="23.25" customHeight="1" s="122">
      <c r="H1268" s="55" t="n"/>
      <c r="I1268" s="55" t="n"/>
      <c r="J1268" s="55" t="n"/>
      <c r="K1268" s="55" t="n"/>
      <c r="L1268" s="56" t="n"/>
    </row>
    <row r="1269" ht="23.25" customHeight="1" s="122">
      <c r="H1269" s="55" t="n"/>
      <c r="I1269" s="55" t="n"/>
      <c r="J1269" s="55" t="n"/>
      <c r="K1269" s="55" t="n"/>
      <c r="L1269" s="56" t="n"/>
    </row>
    <row r="1270" ht="23.25" customHeight="1" s="122">
      <c r="H1270" s="55" t="n"/>
      <c r="I1270" s="55" t="n"/>
      <c r="J1270" s="55" t="n"/>
      <c r="K1270" s="55" t="n"/>
      <c r="L1270" s="56" t="n"/>
    </row>
    <row r="1271" ht="23.25" customHeight="1" s="122">
      <c r="H1271" s="55" t="n"/>
      <c r="I1271" s="55" t="n"/>
      <c r="J1271" s="55" t="n"/>
      <c r="K1271" s="55" t="n"/>
      <c r="L1271" s="56" t="n"/>
    </row>
    <row r="1272" ht="23.25" customHeight="1" s="122">
      <c r="H1272" s="55" t="n"/>
      <c r="I1272" s="55" t="n"/>
      <c r="J1272" s="55" t="n"/>
      <c r="K1272" s="55" t="n"/>
      <c r="L1272" s="56" t="n"/>
    </row>
    <row r="1273" ht="23.25" customHeight="1" s="122">
      <c r="H1273" s="55" t="n"/>
      <c r="I1273" s="55" t="n"/>
      <c r="J1273" s="55" t="n"/>
      <c r="K1273" s="55" t="n"/>
      <c r="L1273" s="56" t="n"/>
    </row>
    <row r="1274" ht="23.25" customHeight="1" s="122">
      <c r="H1274" s="55" t="n"/>
      <c r="I1274" s="55" t="n"/>
      <c r="J1274" s="55" t="n"/>
      <c r="K1274" s="55" t="n"/>
      <c r="L1274" s="56" t="n"/>
    </row>
    <row r="1275" ht="23.25" customHeight="1" s="122">
      <c r="H1275" s="55" t="n"/>
      <c r="I1275" s="55" t="n"/>
      <c r="J1275" s="55" t="n"/>
      <c r="K1275" s="55" t="n"/>
      <c r="L1275" s="56" t="n"/>
    </row>
    <row r="1276" ht="23.25" customHeight="1" s="122">
      <c r="H1276" s="55" t="n"/>
      <c r="I1276" s="55" t="n"/>
      <c r="J1276" s="55" t="n"/>
      <c r="K1276" s="55" t="n"/>
      <c r="L1276" s="56" t="n"/>
    </row>
    <row r="1277" ht="23.25" customHeight="1" s="122">
      <c r="H1277" s="55" t="n"/>
      <c r="I1277" s="55" t="n"/>
      <c r="J1277" s="55" t="n"/>
      <c r="K1277" s="55" t="n"/>
      <c r="L1277" s="56" t="n"/>
    </row>
    <row r="1278" ht="23.25" customHeight="1" s="122">
      <c r="H1278" s="55" t="n"/>
      <c r="I1278" s="55" t="n"/>
      <c r="J1278" s="55" t="n"/>
      <c r="K1278" s="55" t="n"/>
      <c r="L1278" s="56" t="n"/>
    </row>
    <row r="1279" ht="23.25" customHeight="1" s="122">
      <c r="H1279" s="55" t="n"/>
      <c r="I1279" s="55" t="n"/>
      <c r="J1279" s="55" t="n"/>
      <c r="K1279" s="55" t="n"/>
      <c r="L1279" s="56" t="n"/>
    </row>
    <row r="1280" ht="23.25" customHeight="1" s="122">
      <c r="H1280" s="55" t="n"/>
      <c r="I1280" s="55" t="n"/>
      <c r="J1280" s="55" t="n"/>
      <c r="K1280" s="55" t="n"/>
      <c r="L1280" s="56" t="n"/>
    </row>
    <row r="1281" ht="23.25" customHeight="1" s="122">
      <c r="H1281" s="55" t="n"/>
      <c r="I1281" s="55" t="n"/>
      <c r="J1281" s="55" t="n"/>
      <c r="K1281" s="55" t="n"/>
      <c r="L1281" s="56" t="n"/>
    </row>
    <row r="1282" ht="23.25" customHeight="1" s="122">
      <c r="H1282" s="55" t="n"/>
      <c r="I1282" s="55" t="n"/>
      <c r="J1282" s="55" t="n"/>
      <c r="K1282" s="55" t="n"/>
      <c r="L1282" s="56" t="n"/>
    </row>
    <row r="1283" ht="23.25" customHeight="1" s="122">
      <c r="H1283" s="55" t="n"/>
      <c r="I1283" s="55" t="n"/>
      <c r="J1283" s="55" t="n"/>
      <c r="K1283" s="55" t="n"/>
      <c r="L1283" s="56" t="n"/>
    </row>
    <row r="1284" ht="23.25" customHeight="1" s="122">
      <c r="H1284" s="55" t="n"/>
      <c r="I1284" s="55" t="n"/>
      <c r="J1284" s="55" t="n"/>
      <c r="K1284" s="55" t="n"/>
      <c r="L1284" s="56" t="n"/>
    </row>
    <row r="1285" ht="23.25" customHeight="1" s="122">
      <c r="H1285" s="55" t="n"/>
      <c r="I1285" s="55" t="n"/>
      <c r="J1285" s="55" t="n"/>
      <c r="K1285" s="55" t="n"/>
      <c r="L1285" s="56" t="n"/>
    </row>
    <row r="1286" ht="23.25" customHeight="1" s="122">
      <c r="H1286" s="55" t="n"/>
      <c r="I1286" s="55" t="n"/>
      <c r="J1286" s="55" t="n"/>
      <c r="K1286" s="55" t="n"/>
      <c r="L1286" s="56" t="n"/>
    </row>
    <row r="1287" ht="23.25" customHeight="1" s="122">
      <c r="H1287" s="55" t="n"/>
      <c r="I1287" s="55" t="n"/>
      <c r="J1287" s="55" t="n"/>
      <c r="K1287" s="55" t="n"/>
      <c r="L1287" s="56" t="n"/>
    </row>
    <row r="1288" ht="23.25" customHeight="1" s="122">
      <c r="H1288" s="55" t="n"/>
      <c r="I1288" s="55" t="n"/>
      <c r="J1288" s="55" t="n"/>
      <c r="K1288" s="55" t="n"/>
      <c r="L1288" s="56" t="n"/>
    </row>
    <row r="1289" ht="23.25" customHeight="1" s="122">
      <c r="H1289" s="55" t="n"/>
      <c r="I1289" s="55" t="n"/>
      <c r="J1289" s="55" t="n"/>
      <c r="K1289" s="55" t="n"/>
      <c r="L1289" s="56" t="n"/>
    </row>
    <row r="1290" ht="23.25" customHeight="1" s="122">
      <c r="H1290" s="55" t="n"/>
      <c r="I1290" s="55" t="n"/>
      <c r="J1290" s="55" t="n"/>
      <c r="K1290" s="55" t="n"/>
      <c r="L1290" s="56" t="n"/>
    </row>
    <row r="1291" ht="23.25" customHeight="1" s="122">
      <c r="H1291" s="55" t="n"/>
      <c r="I1291" s="55" t="n"/>
      <c r="J1291" s="55" t="n"/>
      <c r="K1291" s="55" t="n"/>
      <c r="L1291" s="56" t="n"/>
    </row>
    <row r="1292" ht="23.25" customHeight="1" s="122">
      <c r="H1292" s="55" t="n"/>
      <c r="I1292" s="55" t="n"/>
      <c r="J1292" s="55" t="n"/>
      <c r="K1292" s="55" t="n"/>
      <c r="L1292" s="56" t="n"/>
    </row>
    <row r="1293" ht="23.25" customHeight="1" s="122">
      <c r="H1293" s="55" t="n"/>
      <c r="I1293" s="55" t="n"/>
      <c r="J1293" s="55" t="n"/>
      <c r="K1293" s="55" t="n"/>
      <c r="L1293" s="56" t="n"/>
    </row>
    <row r="1294" ht="23.25" customHeight="1" s="122">
      <c r="H1294" s="55" t="n"/>
      <c r="I1294" s="55" t="n"/>
      <c r="J1294" s="55" t="n"/>
      <c r="K1294" s="55" t="n"/>
      <c r="L1294" s="56" t="n"/>
    </row>
    <row r="1295" ht="23.25" customHeight="1" s="122">
      <c r="H1295" s="55" t="n"/>
      <c r="I1295" s="55" t="n"/>
      <c r="J1295" s="55" t="n"/>
      <c r="K1295" s="55" t="n"/>
      <c r="L1295" s="56" t="n"/>
    </row>
    <row r="1296" ht="23.25" customHeight="1" s="122">
      <c r="H1296" s="55" t="n"/>
      <c r="I1296" s="55" t="n"/>
      <c r="J1296" s="55" t="n"/>
      <c r="K1296" s="55" t="n"/>
      <c r="L1296" s="56" t="n"/>
    </row>
    <row r="1297" ht="23.25" customHeight="1" s="122">
      <c r="H1297" s="55" t="n"/>
      <c r="I1297" s="55" t="n"/>
      <c r="J1297" s="55" t="n"/>
      <c r="K1297" s="55" t="n"/>
      <c r="L1297" s="56" t="n"/>
    </row>
    <row r="1298" ht="23.25" customHeight="1" s="122">
      <c r="H1298" s="55" t="n"/>
      <c r="I1298" s="55" t="n"/>
      <c r="J1298" s="55" t="n"/>
      <c r="K1298" s="55" t="n"/>
      <c r="L1298" s="56" t="n"/>
    </row>
    <row r="1299" ht="23.25" customHeight="1" s="122">
      <c r="H1299" s="55" t="n"/>
      <c r="I1299" s="55" t="n"/>
      <c r="J1299" s="55" t="n"/>
      <c r="K1299" s="55" t="n"/>
      <c r="L1299" s="56" t="n"/>
    </row>
    <row r="1300" ht="23.25" customHeight="1" s="122">
      <c r="H1300" s="55" t="n"/>
      <c r="I1300" s="55" t="n"/>
      <c r="J1300" s="55" t="n"/>
      <c r="K1300" s="55" t="n"/>
      <c r="L1300" s="56" t="n"/>
    </row>
    <row r="1301" ht="23.25" customHeight="1" s="122">
      <c r="H1301" s="55" t="n"/>
      <c r="I1301" s="55" t="n"/>
      <c r="J1301" s="55" t="n"/>
      <c r="K1301" s="55" t="n"/>
      <c r="L1301" s="56" t="n"/>
    </row>
    <row r="1302" ht="23.25" customHeight="1" s="122">
      <c r="H1302" s="55" t="n"/>
      <c r="I1302" s="55" t="n"/>
      <c r="J1302" s="55" t="n"/>
      <c r="K1302" s="55" t="n"/>
      <c r="L1302" s="56" t="n"/>
    </row>
    <row r="1303" ht="23.25" customHeight="1" s="122">
      <c r="H1303" s="55" t="n"/>
      <c r="I1303" s="55" t="n"/>
      <c r="J1303" s="55" t="n"/>
      <c r="K1303" s="55" t="n"/>
      <c r="L1303" s="56" t="n"/>
    </row>
    <row r="1304" ht="23.25" customHeight="1" s="122">
      <c r="H1304" s="55" t="n"/>
      <c r="I1304" s="55" t="n"/>
      <c r="J1304" s="55" t="n"/>
      <c r="K1304" s="55" t="n"/>
      <c r="L1304" s="56" t="n"/>
    </row>
    <row r="1305" ht="23.25" customHeight="1" s="122">
      <c r="H1305" s="55" t="n"/>
      <c r="I1305" s="55" t="n"/>
      <c r="J1305" s="55" t="n"/>
      <c r="K1305" s="55" t="n"/>
      <c r="L1305" s="56" t="n"/>
    </row>
    <row r="1306" ht="23.25" customHeight="1" s="122">
      <c r="H1306" s="55" t="n"/>
      <c r="I1306" s="55" t="n"/>
      <c r="J1306" s="55" t="n"/>
      <c r="K1306" s="55" t="n"/>
      <c r="L1306" s="56" t="n"/>
    </row>
    <row r="1307" ht="23.25" customHeight="1" s="122">
      <c r="H1307" s="55" t="n"/>
      <c r="I1307" s="55" t="n"/>
      <c r="J1307" s="55" t="n"/>
      <c r="K1307" s="55" t="n"/>
      <c r="L1307" s="56" t="n"/>
    </row>
    <row r="1308" ht="23.25" customHeight="1" s="122">
      <c r="H1308" s="55" t="n"/>
      <c r="I1308" s="55" t="n"/>
      <c r="J1308" s="55" t="n"/>
      <c r="K1308" s="55" t="n"/>
      <c r="L1308" s="56" t="n"/>
    </row>
    <row r="1309" ht="23.25" customHeight="1" s="122">
      <c r="H1309" s="55" t="n"/>
      <c r="I1309" s="55" t="n"/>
      <c r="J1309" s="55" t="n"/>
      <c r="K1309" s="55" t="n"/>
      <c r="L1309" s="56" t="n"/>
    </row>
    <row r="1310" ht="23.25" customHeight="1" s="122">
      <c r="H1310" s="55" t="n"/>
      <c r="I1310" s="55" t="n"/>
      <c r="J1310" s="55" t="n"/>
      <c r="K1310" s="55" t="n"/>
      <c r="L1310" s="56" t="n"/>
    </row>
    <row r="1311" ht="23.25" customHeight="1" s="122">
      <c r="H1311" s="55" t="n"/>
      <c r="I1311" s="55" t="n"/>
      <c r="J1311" s="55" t="n"/>
      <c r="K1311" s="55" t="n"/>
      <c r="L1311" s="56" t="n"/>
    </row>
    <row r="1312" ht="23.25" customHeight="1" s="122">
      <c r="H1312" s="55" t="n"/>
      <c r="I1312" s="55" t="n"/>
      <c r="J1312" s="55" t="n"/>
      <c r="K1312" s="55" t="n"/>
      <c r="L1312" s="56" t="n"/>
    </row>
    <row r="1313" ht="23.25" customHeight="1" s="122">
      <c r="H1313" s="55" t="n"/>
      <c r="I1313" s="55" t="n"/>
      <c r="J1313" s="55" t="n"/>
      <c r="K1313" s="55" t="n"/>
      <c r="L1313" s="56" t="n"/>
    </row>
    <row r="1314" ht="23.25" customHeight="1" s="122">
      <c r="H1314" s="55" t="n"/>
      <c r="I1314" s="55" t="n"/>
      <c r="J1314" s="55" t="n"/>
      <c r="K1314" s="55" t="n"/>
      <c r="L1314" s="56" t="n"/>
    </row>
    <row r="1315" ht="23.25" customHeight="1" s="122">
      <c r="H1315" s="55" t="n"/>
      <c r="I1315" s="55" t="n"/>
      <c r="J1315" s="55" t="n"/>
      <c r="K1315" s="55" t="n"/>
      <c r="L1315" s="56" t="n"/>
    </row>
    <row r="1316" ht="23.25" customHeight="1" s="122">
      <c r="H1316" s="55" t="n"/>
      <c r="I1316" s="55" t="n"/>
      <c r="J1316" s="55" t="n"/>
      <c r="K1316" s="55" t="n"/>
      <c r="L1316" s="56" t="n"/>
    </row>
    <row r="1317" ht="23.25" customHeight="1" s="122">
      <c r="H1317" s="55" t="n"/>
      <c r="I1317" s="55" t="n"/>
      <c r="J1317" s="55" t="n"/>
      <c r="K1317" s="55" t="n"/>
      <c r="L1317" s="56" t="n"/>
    </row>
    <row r="1318" ht="23.25" customHeight="1" s="122">
      <c r="H1318" s="55" t="n"/>
      <c r="I1318" s="55" t="n"/>
      <c r="J1318" s="55" t="n"/>
      <c r="K1318" s="55" t="n"/>
      <c r="L1318" s="56" t="n"/>
    </row>
    <row r="1319" ht="23.25" customHeight="1" s="122">
      <c r="H1319" s="55" t="n"/>
      <c r="I1319" s="55" t="n"/>
      <c r="J1319" s="55" t="n"/>
      <c r="K1319" s="55" t="n"/>
      <c r="L1319" s="56" t="n"/>
    </row>
    <row r="1320" ht="23.25" customHeight="1" s="122">
      <c r="H1320" s="55" t="n"/>
      <c r="I1320" s="55" t="n"/>
      <c r="J1320" s="55" t="n"/>
      <c r="K1320" s="55" t="n"/>
      <c r="L1320" s="56" t="n"/>
    </row>
    <row r="1321" ht="23.25" customHeight="1" s="122">
      <c r="H1321" s="55" t="n"/>
      <c r="I1321" s="55" t="n"/>
      <c r="J1321" s="55" t="n"/>
      <c r="K1321" s="55" t="n"/>
      <c r="L1321" s="56" t="n"/>
    </row>
    <row r="1322" ht="23.25" customHeight="1" s="122">
      <c r="H1322" s="55" t="n"/>
      <c r="I1322" s="55" t="n"/>
      <c r="J1322" s="55" t="n"/>
      <c r="K1322" s="55" t="n"/>
      <c r="L1322" s="56" t="n"/>
    </row>
    <row r="1323" ht="23.25" customHeight="1" s="122">
      <c r="H1323" s="55" t="n"/>
      <c r="I1323" s="55" t="n"/>
      <c r="J1323" s="55" t="n"/>
      <c r="K1323" s="55" t="n"/>
      <c r="L1323" s="56" t="n"/>
    </row>
    <row r="1324" ht="23.25" customHeight="1" s="122">
      <c r="H1324" s="55" t="n"/>
      <c r="I1324" s="55" t="n"/>
      <c r="J1324" s="55" t="n"/>
      <c r="K1324" s="55" t="n"/>
      <c r="L1324" s="56" t="n"/>
    </row>
    <row r="1325" ht="23.25" customHeight="1" s="122">
      <c r="H1325" s="55" t="n"/>
      <c r="I1325" s="55" t="n"/>
      <c r="J1325" s="55" t="n"/>
      <c r="K1325" s="55" t="n"/>
      <c r="L1325" s="56" t="n"/>
    </row>
    <row r="1326" ht="23.25" customHeight="1" s="122">
      <c r="H1326" s="55" t="n"/>
      <c r="I1326" s="55" t="n"/>
      <c r="J1326" s="55" t="n"/>
      <c r="K1326" s="55" t="n"/>
      <c r="L1326" s="56" t="n"/>
    </row>
    <row r="1327" ht="23.25" customHeight="1" s="122">
      <c r="H1327" s="55" t="n"/>
      <c r="I1327" s="55" t="n"/>
      <c r="J1327" s="55" t="n"/>
      <c r="K1327" s="55" t="n"/>
      <c r="L1327" s="56" t="n"/>
    </row>
    <row r="1328" ht="23.25" customHeight="1" s="122">
      <c r="H1328" s="55" t="n"/>
      <c r="I1328" s="55" t="n"/>
      <c r="J1328" s="55" t="n"/>
      <c r="K1328" s="55" t="n"/>
      <c r="L1328" s="56" t="n"/>
    </row>
    <row r="1329" ht="23.25" customHeight="1" s="122">
      <c r="H1329" s="55" t="n"/>
      <c r="I1329" s="55" t="n"/>
      <c r="J1329" s="55" t="n"/>
      <c r="K1329" s="55" t="n"/>
      <c r="L1329" s="56" t="n"/>
    </row>
    <row r="1330" ht="23.25" customHeight="1" s="122">
      <c r="H1330" s="55" t="n"/>
      <c r="I1330" s="55" t="n"/>
      <c r="J1330" s="55" t="n"/>
      <c r="K1330" s="55" t="n"/>
      <c r="L1330" s="56" t="n"/>
    </row>
    <row r="1331" ht="23.25" customHeight="1" s="122">
      <c r="H1331" s="55" t="n"/>
      <c r="I1331" s="55" t="n"/>
      <c r="J1331" s="55" t="n"/>
      <c r="K1331" s="55" t="n"/>
      <c r="L1331" s="56" t="n"/>
    </row>
    <row r="1332" ht="23.25" customHeight="1" s="122">
      <c r="H1332" s="55" t="n"/>
      <c r="I1332" s="55" t="n"/>
      <c r="J1332" s="55" t="n"/>
      <c r="K1332" s="55" t="n"/>
      <c r="L1332" s="56" t="n"/>
    </row>
    <row r="1333" ht="23.25" customHeight="1" s="122">
      <c r="H1333" s="55" t="n"/>
      <c r="I1333" s="55" t="n"/>
      <c r="J1333" s="55" t="n"/>
      <c r="K1333" s="55" t="n"/>
      <c r="L1333" s="56" t="n"/>
    </row>
    <row r="1334" ht="23.25" customHeight="1" s="122">
      <c r="H1334" s="55" t="n"/>
      <c r="I1334" s="55" t="n"/>
      <c r="J1334" s="55" t="n"/>
      <c r="K1334" s="55" t="n"/>
      <c r="L1334" s="56" t="n"/>
    </row>
    <row r="1335" ht="23.25" customHeight="1" s="122">
      <c r="H1335" s="55" t="n"/>
      <c r="I1335" s="55" t="n"/>
      <c r="J1335" s="55" t="n"/>
      <c r="K1335" s="55" t="n"/>
      <c r="L1335" s="56" t="n"/>
    </row>
    <row r="1336" ht="23.25" customHeight="1" s="122">
      <c r="H1336" s="55" t="n"/>
      <c r="I1336" s="55" t="n"/>
      <c r="J1336" s="55" t="n"/>
      <c r="K1336" s="55" t="n"/>
      <c r="L1336" s="56" t="n"/>
    </row>
    <row r="1337" ht="23.25" customHeight="1" s="122">
      <c r="H1337" s="55" t="n"/>
      <c r="I1337" s="55" t="n"/>
      <c r="J1337" s="55" t="n"/>
      <c r="K1337" s="55" t="n"/>
      <c r="L1337" s="56" t="n"/>
    </row>
    <row r="1338" ht="23.25" customHeight="1" s="122">
      <c r="H1338" s="55" t="n"/>
      <c r="I1338" s="55" t="n"/>
      <c r="J1338" s="55" t="n"/>
      <c r="K1338" s="55" t="n"/>
      <c r="L1338" s="56" t="n"/>
    </row>
    <row r="1339" ht="23.25" customHeight="1" s="122">
      <c r="H1339" s="55" t="n"/>
      <c r="I1339" s="55" t="n"/>
      <c r="J1339" s="55" t="n"/>
      <c r="K1339" s="55" t="n"/>
      <c r="L1339" s="56" t="n"/>
    </row>
    <row r="1340" ht="23.25" customHeight="1" s="122">
      <c r="H1340" s="55" t="n"/>
      <c r="I1340" s="55" t="n"/>
      <c r="J1340" s="55" t="n"/>
      <c r="K1340" s="55" t="n"/>
      <c r="L1340" s="56" t="n"/>
    </row>
    <row r="1341" ht="23.25" customHeight="1" s="122">
      <c r="H1341" s="55" t="n"/>
      <c r="I1341" s="55" t="n"/>
      <c r="J1341" s="55" t="n"/>
      <c r="K1341" s="55" t="n"/>
      <c r="L1341" s="56" t="n"/>
    </row>
    <row r="1342" ht="23.25" customHeight="1" s="122">
      <c r="H1342" s="55" t="n"/>
      <c r="I1342" s="55" t="n"/>
      <c r="J1342" s="55" t="n"/>
      <c r="K1342" s="55" t="n"/>
      <c r="L1342" s="56" t="n"/>
    </row>
    <row r="1343" ht="23.25" customHeight="1" s="122">
      <c r="H1343" s="55" t="n"/>
      <c r="I1343" s="55" t="n"/>
      <c r="J1343" s="55" t="n"/>
      <c r="K1343" s="55" t="n"/>
      <c r="L1343" s="56" t="n"/>
    </row>
    <row r="1344" ht="23.25" customHeight="1" s="122">
      <c r="H1344" s="55" t="n"/>
      <c r="I1344" s="55" t="n"/>
      <c r="J1344" s="55" t="n"/>
      <c r="K1344" s="55" t="n"/>
      <c r="L1344" s="56" t="n"/>
    </row>
    <row r="1345" ht="23.25" customHeight="1" s="122">
      <c r="H1345" s="55" t="n"/>
      <c r="I1345" s="55" t="n"/>
      <c r="J1345" s="55" t="n"/>
      <c r="K1345" s="55" t="n"/>
      <c r="L1345" s="56" t="n"/>
    </row>
    <row r="1346" ht="23.25" customHeight="1" s="122">
      <c r="H1346" s="55" t="n"/>
      <c r="I1346" s="55" t="n"/>
      <c r="J1346" s="55" t="n"/>
      <c r="K1346" s="55" t="n"/>
      <c r="L1346" s="56" t="n"/>
    </row>
    <row r="1347" ht="23.25" customHeight="1" s="122">
      <c r="H1347" s="55" t="n"/>
      <c r="I1347" s="55" t="n"/>
      <c r="J1347" s="55" t="n"/>
      <c r="K1347" s="55" t="n"/>
      <c r="L1347" s="56" t="n"/>
    </row>
    <row r="1348" ht="23.25" customHeight="1" s="122">
      <c r="H1348" s="55" t="n"/>
      <c r="I1348" s="55" t="n"/>
      <c r="J1348" s="55" t="n"/>
      <c r="K1348" s="55" t="n"/>
      <c r="L1348" s="56" t="n"/>
    </row>
    <row r="1349" ht="23.25" customHeight="1" s="122">
      <c r="H1349" s="55" t="n"/>
      <c r="I1349" s="55" t="n"/>
      <c r="J1349" s="55" t="n"/>
      <c r="K1349" s="55" t="n"/>
      <c r="L1349" s="56" t="n"/>
    </row>
    <row r="1350" ht="23.25" customHeight="1" s="122">
      <c r="H1350" s="55" t="n"/>
      <c r="I1350" s="55" t="n"/>
      <c r="J1350" s="55" t="n"/>
      <c r="K1350" s="55" t="n"/>
      <c r="L1350" s="56" t="n"/>
    </row>
    <row r="1351" ht="23.25" customHeight="1" s="122">
      <c r="H1351" s="55" t="n"/>
      <c r="I1351" s="55" t="n"/>
      <c r="J1351" s="55" t="n"/>
      <c r="K1351" s="55" t="n"/>
      <c r="L1351" s="56" t="n"/>
    </row>
    <row r="1352" ht="23.25" customHeight="1" s="122">
      <c r="H1352" s="55" t="n"/>
      <c r="I1352" s="55" t="n"/>
      <c r="J1352" s="55" t="n"/>
      <c r="K1352" s="55" t="n"/>
      <c r="L1352" s="56" t="n"/>
    </row>
    <row r="1353" ht="23.25" customHeight="1" s="122">
      <c r="H1353" s="55" t="n"/>
      <c r="I1353" s="55" t="n"/>
      <c r="J1353" s="55" t="n"/>
      <c r="K1353" s="55" t="n"/>
      <c r="L1353" s="56" t="n"/>
    </row>
    <row r="1354" ht="23.25" customHeight="1" s="122">
      <c r="H1354" s="55" t="n"/>
      <c r="I1354" s="55" t="n"/>
      <c r="J1354" s="55" t="n"/>
      <c r="K1354" s="55" t="n"/>
      <c r="L1354" s="56" t="n"/>
    </row>
    <row r="1355" ht="23.25" customHeight="1" s="122">
      <c r="H1355" s="55" t="n"/>
      <c r="I1355" s="55" t="n"/>
      <c r="J1355" s="55" t="n"/>
      <c r="K1355" s="55" t="n"/>
      <c r="L1355" s="56" t="n"/>
    </row>
    <row r="1356" ht="23.25" customHeight="1" s="122">
      <c r="H1356" s="55" t="n"/>
      <c r="I1356" s="55" t="n"/>
      <c r="J1356" s="55" t="n"/>
      <c r="K1356" s="55" t="n"/>
      <c r="L1356" s="56" t="n"/>
    </row>
    <row r="1357" ht="23.25" customHeight="1" s="122">
      <c r="H1357" s="55" t="n"/>
      <c r="I1357" s="55" t="n"/>
      <c r="J1357" s="55" t="n"/>
      <c r="K1357" s="55" t="n"/>
      <c r="L1357" s="56" t="n"/>
    </row>
    <row r="1358" ht="23.25" customHeight="1" s="122">
      <c r="H1358" s="55" t="n"/>
      <c r="I1358" s="55" t="n"/>
      <c r="J1358" s="55" t="n"/>
      <c r="K1358" s="55" t="n"/>
      <c r="L1358" s="56" t="n"/>
    </row>
    <row r="1359" ht="23.25" customHeight="1" s="122">
      <c r="H1359" s="55" t="n"/>
      <c r="I1359" s="55" t="n"/>
      <c r="J1359" s="55" t="n"/>
      <c r="K1359" s="55" t="n"/>
      <c r="L1359" s="56" t="n"/>
    </row>
    <row r="1360" ht="23.25" customHeight="1" s="122">
      <c r="H1360" s="55" t="n"/>
      <c r="I1360" s="55" t="n"/>
      <c r="J1360" s="55" t="n"/>
      <c r="K1360" s="55" t="n"/>
      <c r="L1360" s="56" t="n"/>
    </row>
    <row r="1361" ht="23.25" customHeight="1" s="122">
      <c r="H1361" s="55" t="n"/>
      <c r="I1361" s="55" t="n"/>
      <c r="J1361" s="55" t="n"/>
      <c r="K1361" s="55" t="n"/>
      <c r="L1361" s="56" t="n"/>
    </row>
    <row r="1362" ht="23.25" customHeight="1" s="122">
      <c r="H1362" s="55" t="n"/>
      <c r="I1362" s="55" t="n"/>
      <c r="J1362" s="55" t="n"/>
      <c r="K1362" s="55" t="n"/>
      <c r="L1362" s="56" t="n"/>
    </row>
    <row r="1363" ht="23.25" customHeight="1" s="122">
      <c r="H1363" s="55" t="n"/>
      <c r="I1363" s="55" t="n"/>
      <c r="J1363" s="55" t="n"/>
      <c r="K1363" s="55" t="n"/>
      <c r="L1363" s="56" t="n"/>
    </row>
    <row r="1364" ht="23.25" customHeight="1" s="122">
      <c r="H1364" s="55" t="n"/>
      <c r="I1364" s="55" t="n"/>
      <c r="J1364" s="55" t="n"/>
      <c r="K1364" s="55" t="n"/>
      <c r="L1364" s="56" t="n"/>
    </row>
    <row r="1365" ht="23.25" customHeight="1" s="122">
      <c r="H1365" s="55" t="n"/>
      <c r="I1365" s="55" t="n"/>
      <c r="J1365" s="55" t="n"/>
      <c r="K1365" s="55" t="n"/>
      <c r="L1365" s="56" t="n"/>
    </row>
    <row r="1366" ht="23.25" customHeight="1" s="122">
      <c r="H1366" s="55" t="n"/>
      <c r="I1366" s="55" t="n"/>
      <c r="J1366" s="55" t="n"/>
      <c r="K1366" s="55" t="n"/>
      <c r="L1366" s="56" t="n"/>
    </row>
    <row r="1367" ht="23.25" customHeight="1" s="122">
      <c r="H1367" s="55" t="n"/>
      <c r="I1367" s="55" t="n"/>
      <c r="J1367" s="55" t="n"/>
      <c r="K1367" s="55" t="n"/>
      <c r="L1367" s="56" t="n"/>
    </row>
    <row r="1368" ht="23.25" customHeight="1" s="122">
      <c r="H1368" s="55" t="n"/>
      <c r="I1368" s="55" t="n"/>
      <c r="J1368" s="55" t="n"/>
      <c r="K1368" s="55" t="n"/>
      <c r="L1368" s="56" t="n"/>
    </row>
    <row r="1369" ht="23.25" customHeight="1" s="122">
      <c r="H1369" s="55" t="n"/>
      <c r="I1369" s="55" t="n"/>
      <c r="J1369" s="55" t="n"/>
      <c r="K1369" s="55" t="n"/>
      <c r="L1369" s="56" t="n"/>
    </row>
    <row r="1370" ht="23.25" customHeight="1" s="122">
      <c r="H1370" s="55" t="n"/>
      <c r="I1370" s="55" t="n"/>
      <c r="J1370" s="55" t="n"/>
      <c r="K1370" s="55" t="n"/>
      <c r="L1370" s="56" t="n"/>
    </row>
    <row r="1371" ht="23.25" customHeight="1" s="122">
      <c r="H1371" s="55" t="n"/>
      <c r="I1371" s="55" t="n"/>
      <c r="J1371" s="55" t="n"/>
      <c r="K1371" s="55" t="n"/>
      <c r="L1371" s="56" t="n"/>
    </row>
    <row r="1372" ht="23.25" customHeight="1" s="122">
      <c r="H1372" s="55" t="n"/>
      <c r="I1372" s="55" t="n"/>
      <c r="J1372" s="55" t="n"/>
      <c r="K1372" s="55" t="n"/>
      <c r="L1372" s="56" t="n"/>
    </row>
    <row r="1373" ht="23.25" customHeight="1" s="122">
      <c r="H1373" s="55" t="n"/>
      <c r="I1373" s="55" t="n"/>
      <c r="J1373" s="55" t="n"/>
      <c r="K1373" s="55" t="n"/>
      <c r="L1373" s="56" t="n"/>
    </row>
    <row r="1374" ht="23.25" customHeight="1" s="122">
      <c r="H1374" s="55" t="n"/>
      <c r="I1374" s="55" t="n"/>
      <c r="J1374" s="55" t="n"/>
      <c r="K1374" s="55" t="n"/>
      <c r="L1374" s="56" t="n"/>
    </row>
    <row r="1375" ht="23.25" customHeight="1" s="122">
      <c r="H1375" s="55" t="n"/>
      <c r="I1375" s="55" t="n"/>
      <c r="J1375" s="55" t="n"/>
      <c r="K1375" s="55" t="n"/>
      <c r="L1375" s="56" t="n"/>
    </row>
    <row r="1376" ht="23.25" customHeight="1" s="122">
      <c r="H1376" s="55" t="n"/>
      <c r="I1376" s="55" t="n"/>
      <c r="J1376" s="55" t="n"/>
      <c r="K1376" s="55" t="n"/>
      <c r="L1376" s="56" t="n"/>
    </row>
    <row r="1377" ht="23.25" customHeight="1" s="122">
      <c r="H1377" s="55" t="n"/>
      <c r="I1377" s="55" t="n"/>
      <c r="J1377" s="55" t="n"/>
      <c r="K1377" s="55" t="n"/>
      <c r="L1377" s="56" t="n"/>
    </row>
    <row r="1378" ht="23.25" customHeight="1" s="122">
      <c r="H1378" s="55" t="n"/>
      <c r="I1378" s="55" t="n"/>
      <c r="J1378" s="55" t="n"/>
      <c r="K1378" s="55" t="n"/>
      <c r="L1378" s="56" t="n"/>
    </row>
    <row r="1379" ht="23.25" customHeight="1" s="122">
      <c r="H1379" s="55" t="n"/>
      <c r="I1379" s="55" t="n"/>
      <c r="J1379" s="55" t="n"/>
      <c r="K1379" s="55" t="n"/>
      <c r="L1379" s="56" t="n"/>
    </row>
    <row r="1380" ht="23.25" customHeight="1" s="122">
      <c r="H1380" s="55" t="n"/>
      <c r="I1380" s="55" t="n"/>
      <c r="J1380" s="55" t="n"/>
      <c r="K1380" s="55" t="n"/>
      <c r="L1380" s="56" t="n"/>
    </row>
    <row r="1381" ht="23.25" customHeight="1" s="122">
      <c r="H1381" s="55" t="n"/>
      <c r="I1381" s="55" t="n"/>
      <c r="J1381" s="55" t="n"/>
      <c r="K1381" s="55" t="n"/>
      <c r="L1381" s="56" t="n"/>
    </row>
    <row r="1382" ht="23.25" customHeight="1" s="122">
      <c r="H1382" s="55" t="n"/>
      <c r="I1382" s="55" t="n"/>
      <c r="J1382" s="55" t="n"/>
      <c r="K1382" s="55" t="n"/>
      <c r="L1382" s="56" t="n"/>
    </row>
    <row r="1383" ht="23.25" customHeight="1" s="122">
      <c r="H1383" s="55" t="n"/>
      <c r="I1383" s="55" t="n"/>
      <c r="J1383" s="55" t="n"/>
      <c r="K1383" s="55" t="n"/>
      <c r="L1383" s="56" t="n"/>
    </row>
    <row r="1384" ht="23.25" customHeight="1" s="122">
      <c r="H1384" s="55" t="n"/>
      <c r="I1384" s="55" t="n"/>
      <c r="J1384" s="55" t="n"/>
      <c r="K1384" s="55" t="n"/>
      <c r="L1384" s="56" t="n"/>
    </row>
    <row r="1385" ht="23.25" customHeight="1" s="122">
      <c r="H1385" s="55" t="n"/>
      <c r="I1385" s="55" t="n"/>
      <c r="J1385" s="55" t="n"/>
      <c r="K1385" s="55" t="n"/>
      <c r="L1385" s="56" t="n"/>
    </row>
    <row r="1386" ht="23.25" customHeight="1" s="122">
      <c r="H1386" s="55" t="n"/>
      <c r="I1386" s="55" t="n"/>
      <c r="J1386" s="55" t="n"/>
      <c r="K1386" s="55" t="n"/>
      <c r="L1386" s="56" t="n"/>
    </row>
    <row r="1387" ht="23.25" customHeight="1" s="122">
      <c r="H1387" s="55" t="n"/>
      <c r="I1387" s="55" t="n"/>
      <c r="J1387" s="55" t="n"/>
      <c r="K1387" s="55" t="n"/>
      <c r="L1387" s="56" t="n"/>
    </row>
    <row r="1388" ht="23.25" customHeight="1" s="122">
      <c r="H1388" s="55" t="n"/>
      <c r="I1388" s="55" t="n"/>
      <c r="J1388" s="55" t="n"/>
      <c r="K1388" s="55" t="n"/>
      <c r="L1388" s="56" t="n"/>
    </row>
    <row r="1389" ht="23.25" customHeight="1" s="122">
      <c r="H1389" s="55" t="n"/>
      <c r="I1389" s="55" t="n"/>
      <c r="J1389" s="55" t="n"/>
      <c r="K1389" s="55" t="n"/>
      <c r="L1389" s="56" t="n"/>
    </row>
    <row r="1390" ht="23.25" customHeight="1" s="122">
      <c r="H1390" s="55" t="n"/>
      <c r="I1390" s="55" t="n"/>
      <c r="J1390" s="55" t="n"/>
      <c r="K1390" s="55" t="n"/>
      <c r="L1390" s="56" t="n"/>
    </row>
    <row r="1391" ht="23.25" customHeight="1" s="122">
      <c r="H1391" s="55" t="n"/>
      <c r="I1391" s="55" t="n"/>
      <c r="J1391" s="55" t="n"/>
      <c r="K1391" s="55" t="n"/>
      <c r="L1391" s="56" t="n"/>
    </row>
    <row r="1392" ht="23.25" customHeight="1" s="122">
      <c r="H1392" s="55" t="n"/>
      <c r="I1392" s="55" t="n"/>
      <c r="J1392" s="55" t="n"/>
      <c r="K1392" s="55" t="n"/>
      <c r="L1392" s="56" t="n"/>
    </row>
    <row r="1393" ht="23.25" customHeight="1" s="122">
      <c r="H1393" s="55" t="n"/>
      <c r="I1393" s="55" t="n"/>
      <c r="J1393" s="55" t="n"/>
      <c r="K1393" s="55" t="n"/>
      <c r="L1393" s="56" t="n"/>
    </row>
    <row r="1394" ht="23.25" customHeight="1" s="122">
      <c r="H1394" s="55" t="n"/>
      <c r="I1394" s="55" t="n"/>
      <c r="J1394" s="55" t="n"/>
      <c r="K1394" s="55" t="n"/>
      <c r="L1394" s="56" t="n"/>
    </row>
    <row r="1395" ht="23.25" customHeight="1" s="122">
      <c r="H1395" s="55" t="n"/>
      <c r="I1395" s="55" t="n"/>
      <c r="J1395" s="55" t="n"/>
      <c r="K1395" s="55" t="n"/>
      <c r="L1395" s="56" t="n"/>
    </row>
    <row r="1396" ht="23.25" customHeight="1" s="122">
      <c r="H1396" s="55" t="n"/>
      <c r="I1396" s="55" t="n"/>
      <c r="J1396" s="55" t="n"/>
      <c r="K1396" s="55" t="n"/>
      <c r="L1396" s="56" t="n"/>
    </row>
    <row r="1397" ht="23.25" customHeight="1" s="122">
      <c r="H1397" s="55" t="n"/>
      <c r="I1397" s="55" t="n"/>
      <c r="J1397" s="55" t="n"/>
      <c r="K1397" s="55" t="n"/>
      <c r="L1397" s="56" t="n"/>
    </row>
    <row r="1398" ht="23.25" customHeight="1" s="122">
      <c r="H1398" s="55" t="n"/>
      <c r="I1398" s="55" t="n"/>
      <c r="J1398" s="55" t="n"/>
      <c r="K1398" s="55" t="n"/>
      <c r="L1398" s="56" t="n"/>
    </row>
    <row r="1399" ht="23.25" customHeight="1" s="122">
      <c r="H1399" s="55" t="n"/>
      <c r="I1399" s="55" t="n"/>
      <c r="J1399" s="55" t="n"/>
      <c r="K1399" s="55" t="n"/>
      <c r="L1399" s="56" t="n"/>
    </row>
    <row r="1400" ht="23.25" customHeight="1" s="122">
      <c r="H1400" s="55" t="n"/>
      <c r="I1400" s="55" t="n"/>
      <c r="J1400" s="55" t="n"/>
      <c r="K1400" s="55" t="n"/>
      <c r="L1400" s="56" t="n"/>
    </row>
    <row r="1401" ht="23.25" customHeight="1" s="122">
      <c r="H1401" s="55" t="n"/>
      <c r="I1401" s="55" t="n"/>
      <c r="J1401" s="55" t="n"/>
      <c r="K1401" s="55" t="n"/>
      <c r="L1401" s="56" t="n"/>
    </row>
    <row r="1402" ht="23.25" customHeight="1" s="122">
      <c r="H1402" s="55" t="n"/>
      <c r="I1402" s="55" t="n"/>
      <c r="J1402" s="55" t="n"/>
      <c r="K1402" s="55" t="n"/>
      <c r="L1402" s="56" t="n"/>
    </row>
    <row r="1403" ht="23.25" customHeight="1" s="122">
      <c r="H1403" s="55" t="n"/>
      <c r="I1403" s="55" t="n"/>
      <c r="J1403" s="55" t="n"/>
      <c r="K1403" s="55" t="n"/>
      <c r="L1403" s="56" t="n"/>
    </row>
    <row r="1404" ht="23.25" customHeight="1" s="122">
      <c r="H1404" s="55" t="n"/>
      <c r="I1404" s="55" t="n"/>
      <c r="J1404" s="55" t="n"/>
      <c r="K1404" s="55" t="n"/>
      <c r="L1404" s="56" t="n"/>
    </row>
    <row r="1405" ht="23.25" customHeight="1" s="122">
      <c r="H1405" s="55" t="n"/>
      <c r="I1405" s="55" t="n"/>
      <c r="J1405" s="55" t="n"/>
      <c r="K1405" s="55" t="n"/>
      <c r="L1405" s="56" t="n"/>
    </row>
    <row r="1406" ht="23.25" customHeight="1" s="122">
      <c r="H1406" s="55" t="n"/>
      <c r="I1406" s="55" t="n"/>
      <c r="J1406" s="55" t="n"/>
      <c r="K1406" s="55" t="n"/>
      <c r="L1406" s="56" t="n"/>
    </row>
    <row r="1407" ht="23.25" customHeight="1" s="122">
      <c r="H1407" s="55" t="n"/>
      <c r="I1407" s="55" t="n"/>
      <c r="J1407" s="55" t="n"/>
      <c r="K1407" s="55" t="n"/>
      <c r="L1407" s="56" t="n"/>
    </row>
    <row r="1408" ht="23.25" customHeight="1" s="122">
      <c r="H1408" s="55" t="n"/>
      <c r="I1408" s="55" t="n"/>
      <c r="J1408" s="55" t="n"/>
      <c r="K1408" s="55" t="n"/>
      <c r="L1408" s="56" t="n"/>
    </row>
    <row r="1409" ht="23.25" customHeight="1" s="122">
      <c r="H1409" s="55" t="n"/>
      <c r="I1409" s="55" t="n"/>
      <c r="J1409" s="55" t="n"/>
      <c r="K1409" s="55" t="n"/>
      <c r="L1409" s="56" t="n"/>
    </row>
    <row r="1410" ht="23.25" customHeight="1" s="122">
      <c r="H1410" s="55" t="n"/>
      <c r="I1410" s="55" t="n"/>
      <c r="J1410" s="55" t="n"/>
      <c r="K1410" s="55" t="n"/>
      <c r="L1410" s="56" t="n"/>
    </row>
    <row r="1411" ht="23.25" customHeight="1" s="122">
      <c r="H1411" s="55" t="n"/>
      <c r="I1411" s="55" t="n"/>
      <c r="J1411" s="55" t="n"/>
      <c r="K1411" s="55" t="n"/>
      <c r="L1411" s="56" t="n"/>
    </row>
    <row r="1412" ht="23.25" customHeight="1" s="122">
      <c r="H1412" s="55" t="n"/>
      <c r="I1412" s="55" t="n"/>
      <c r="J1412" s="55" t="n"/>
      <c r="K1412" s="55" t="n"/>
      <c r="L1412" s="56" t="n"/>
    </row>
    <row r="1413" ht="23.25" customHeight="1" s="122">
      <c r="H1413" s="55" t="n"/>
      <c r="I1413" s="55" t="n"/>
      <c r="J1413" s="55" t="n"/>
      <c r="K1413" s="55" t="n"/>
      <c r="L1413" s="56" t="n"/>
    </row>
    <row r="1414" ht="23.25" customHeight="1" s="122">
      <c r="H1414" s="55" t="n"/>
      <c r="I1414" s="55" t="n"/>
      <c r="J1414" s="55" t="n"/>
      <c r="K1414" s="55" t="n"/>
      <c r="L1414" s="56" t="n"/>
    </row>
    <row r="1415" ht="23.25" customHeight="1" s="122">
      <c r="H1415" s="55" t="n"/>
      <c r="I1415" s="55" t="n"/>
      <c r="J1415" s="55" t="n"/>
      <c r="K1415" s="55" t="n"/>
      <c r="L1415" s="56" t="n"/>
    </row>
    <row r="1416" ht="23.25" customHeight="1" s="122">
      <c r="H1416" s="55" t="n"/>
      <c r="I1416" s="55" t="n"/>
      <c r="J1416" s="55" t="n"/>
      <c r="K1416" s="55" t="n"/>
      <c r="L1416" s="56" t="n"/>
    </row>
    <row r="1417" ht="23.25" customHeight="1" s="122">
      <c r="H1417" s="55" t="n"/>
      <c r="I1417" s="55" t="n"/>
      <c r="J1417" s="55" t="n"/>
      <c r="K1417" s="55" t="n"/>
      <c r="L1417" s="56" t="n"/>
    </row>
    <row r="1418" ht="23.25" customHeight="1" s="122">
      <c r="H1418" s="55" t="n"/>
      <c r="I1418" s="55" t="n"/>
      <c r="J1418" s="55" t="n"/>
      <c r="K1418" s="55" t="n"/>
      <c r="L1418" s="56" t="n"/>
    </row>
    <row r="1419" ht="23.25" customHeight="1" s="122">
      <c r="H1419" s="55" t="n"/>
      <c r="I1419" s="55" t="n"/>
      <c r="J1419" s="55" t="n"/>
      <c r="K1419" s="55" t="n"/>
      <c r="L1419" s="56" t="n"/>
    </row>
    <row r="1420" ht="23.25" customHeight="1" s="122">
      <c r="H1420" s="55" t="n"/>
      <c r="I1420" s="55" t="n"/>
      <c r="J1420" s="55" t="n"/>
      <c r="K1420" s="55" t="n"/>
      <c r="L1420" s="56" t="n"/>
    </row>
    <row r="1421" ht="23.25" customHeight="1" s="122">
      <c r="H1421" s="55" t="n"/>
      <c r="I1421" s="55" t="n"/>
      <c r="J1421" s="55" t="n"/>
      <c r="K1421" s="55" t="n"/>
      <c r="L1421" s="56" t="n"/>
    </row>
    <row r="1422" ht="23.25" customHeight="1" s="122">
      <c r="H1422" s="55" t="n"/>
      <c r="I1422" s="55" t="n"/>
      <c r="J1422" s="55" t="n"/>
      <c r="K1422" s="55" t="n"/>
      <c r="L1422" s="56" t="n"/>
    </row>
    <row r="1423" ht="23.25" customHeight="1" s="122">
      <c r="H1423" s="55" t="n"/>
      <c r="I1423" s="55" t="n"/>
      <c r="J1423" s="55" t="n"/>
      <c r="K1423" s="55" t="n"/>
      <c r="L1423" s="56" t="n"/>
    </row>
    <row r="1424" ht="23.25" customHeight="1" s="122">
      <c r="H1424" s="55" t="n"/>
      <c r="I1424" s="55" t="n"/>
      <c r="J1424" s="55" t="n"/>
      <c r="K1424" s="55" t="n"/>
      <c r="L1424" s="56" t="n"/>
    </row>
    <row r="1425" ht="23.25" customHeight="1" s="122">
      <c r="H1425" s="55" t="n"/>
      <c r="I1425" s="55" t="n"/>
      <c r="J1425" s="55" t="n"/>
      <c r="K1425" s="55" t="n"/>
      <c r="L1425" s="56" t="n"/>
    </row>
    <row r="1426" ht="23.25" customHeight="1" s="122">
      <c r="H1426" s="55" t="n"/>
      <c r="I1426" s="55" t="n"/>
      <c r="J1426" s="55" t="n"/>
      <c r="K1426" s="55" t="n"/>
      <c r="L1426" s="56" t="n"/>
    </row>
    <row r="1427" ht="23.25" customHeight="1" s="122">
      <c r="H1427" s="55" t="n"/>
      <c r="I1427" s="55" t="n"/>
      <c r="J1427" s="55" t="n"/>
      <c r="K1427" s="55" t="n"/>
      <c r="L1427" s="56" t="n"/>
    </row>
    <row r="1428" ht="23.25" customHeight="1" s="122">
      <c r="H1428" s="55" t="n"/>
      <c r="I1428" s="55" t="n"/>
      <c r="J1428" s="55" t="n"/>
      <c r="K1428" s="55" t="n"/>
      <c r="L1428" s="56" t="n"/>
    </row>
    <row r="1429" ht="23.25" customHeight="1" s="122">
      <c r="H1429" s="55" t="n"/>
      <c r="I1429" s="55" t="n"/>
      <c r="J1429" s="55" t="n"/>
      <c r="K1429" s="55" t="n"/>
      <c r="L1429" s="56" t="n"/>
    </row>
    <row r="1430" ht="23.25" customHeight="1" s="122">
      <c r="H1430" s="55" t="n"/>
      <c r="I1430" s="55" t="n"/>
      <c r="J1430" s="55" t="n"/>
      <c r="K1430" s="55" t="n"/>
      <c r="L1430" s="56" t="n"/>
    </row>
    <row r="1431" ht="23.25" customHeight="1" s="122">
      <c r="H1431" s="55" t="n"/>
      <c r="I1431" s="55" t="n"/>
      <c r="J1431" s="55" t="n"/>
      <c r="K1431" s="55" t="n"/>
      <c r="L1431" s="56" t="n"/>
    </row>
    <row r="1432" ht="23.25" customHeight="1" s="122">
      <c r="H1432" s="55" t="n"/>
      <c r="I1432" s="55" t="n"/>
      <c r="J1432" s="55" t="n"/>
      <c r="K1432" s="55" t="n"/>
      <c r="L1432" s="56" t="n"/>
    </row>
    <row r="1433" ht="23.25" customHeight="1" s="122">
      <c r="H1433" s="55" t="n"/>
      <c r="I1433" s="55" t="n"/>
      <c r="J1433" s="55" t="n"/>
      <c r="K1433" s="55" t="n"/>
      <c r="L1433" s="56" t="n"/>
    </row>
    <row r="1434" ht="23.25" customHeight="1" s="122">
      <c r="H1434" s="55" t="n"/>
      <c r="I1434" s="55" t="n"/>
      <c r="J1434" s="55" t="n"/>
      <c r="K1434" s="55" t="n"/>
      <c r="L1434" s="56" t="n"/>
    </row>
    <row r="1435" ht="23.25" customHeight="1" s="122">
      <c r="H1435" s="55" t="n"/>
      <c r="I1435" s="55" t="n"/>
      <c r="J1435" s="55" t="n"/>
      <c r="K1435" s="55" t="n"/>
      <c r="L1435" s="56" t="n"/>
    </row>
    <row r="1436" ht="23.25" customHeight="1" s="122">
      <c r="H1436" s="55" t="n"/>
      <c r="I1436" s="55" t="n"/>
      <c r="J1436" s="55" t="n"/>
      <c r="K1436" s="55" t="n"/>
      <c r="L1436" s="56" t="n"/>
    </row>
    <row r="1437" ht="23.25" customHeight="1" s="122">
      <c r="H1437" s="55" t="n"/>
      <c r="I1437" s="55" t="n"/>
      <c r="J1437" s="55" t="n"/>
      <c r="K1437" s="55" t="n"/>
      <c r="L1437" s="56" t="n"/>
    </row>
    <row r="1438" ht="23.25" customHeight="1" s="122">
      <c r="H1438" s="55" t="n"/>
      <c r="I1438" s="55" t="n"/>
      <c r="J1438" s="55" t="n"/>
      <c r="K1438" s="55" t="n"/>
      <c r="L1438" s="56" t="n"/>
    </row>
    <row r="1439" ht="23.25" customHeight="1" s="122">
      <c r="H1439" s="55" t="n"/>
      <c r="I1439" s="55" t="n"/>
      <c r="J1439" s="55" t="n"/>
      <c r="K1439" s="55" t="n"/>
      <c r="L1439" s="56" t="n"/>
    </row>
    <row r="1440" ht="23.25" customHeight="1" s="122">
      <c r="H1440" s="55" t="n"/>
      <c r="I1440" s="55" t="n"/>
      <c r="J1440" s="55" t="n"/>
      <c r="K1440" s="55" t="n"/>
      <c r="L1440" s="56" t="n"/>
    </row>
    <row r="1441" ht="23.25" customHeight="1" s="122">
      <c r="H1441" s="55" t="n"/>
      <c r="I1441" s="55" t="n"/>
      <c r="J1441" s="55" t="n"/>
      <c r="K1441" s="55" t="n"/>
      <c r="L1441" s="56" t="n"/>
    </row>
    <row r="1442" ht="23.25" customHeight="1" s="122">
      <c r="H1442" s="55" t="n"/>
      <c r="I1442" s="55" t="n"/>
      <c r="J1442" s="55" t="n"/>
      <c r="K1442" s="55" t="n"/>
      <c r="L1442" s="56" t="n"/>
    </row>
    <row r="1443" ht="23.25" customHeight="1" s="122">
      <c r="H1443" s="55" t="n"/>
      <c r="I1443" s="55" t="n"/>
      <c r="J1443" s="55" t="n"/>
      <c r="K1443" s="55" t="n"/>
      <c r="L1443" s="56" t="n"/>
    </row>
    <row r="1444" ht="23.25" customHeight="1" s="122">
      <c r="H1444" s="55" t="n"/>
      <c r="I1444" s="55" t="n"/>
      <c r="J1444" s="55" t="n"/>
      <c r="K1444" s="55" t="n"/>
      <c r="L1444" s="56" t="n"/>
    </row>
    <row r="1445" ht="23.25" customHeight="1" s="122">
      <c r="H1445" s="55" t="n"/>
      <c r="I1445" s="55" t="n"/>
      <c r="J1445" s="55" t="n"/>
      <c r="K1445" s="55" t="n"/>
      <c r="L1445" s="56" t="n"/>
    </row>
    <row r="1446" ht="23.25" customHeight="1" s="122">
      <c r="H1446" s="55" t="n"/>
      <c r="I1446" s="55" t="n"/>
      <c r="J1446" s="55" t="n"/>
      <c r="K1446" s="55" t="n"/>
      <c r="L1446" s="56" t="n"/>
    </row>
    <row r="1447" ht="23.25" customHeight="1" s="122">
      <c r="H1447" s="55" t="n"/>
      <c r="I1447" s="55" t="n"/>
      <c r="J1447" s="55" t="n"/>
      <c r="K1447" s="55" t="n"/>
      <c r="L1447" s="56" t="n"/>
    </row>
    <row r="1448" ht="23.25" customHeight="1" s="122">
      <c r="H1448" s="55" t="n"/>
      <c r="I1448" s="55" t="n"/>
      <c r="J1448" s="55" t="n"/>
      <c r="K1448" s="55" t="n"/>
      <c r="L1448" s="56" t="n"/>
    </row>
    <row r="1449" ht="23.25" customHeight="1" s="122">
      <c r="H1449" s="55" t="n"/>
      <c r="I1449" s="55" t="n"/>
      <c r="J1449" s="55" t="n"/>
      <c r="K1449" s="55" t="n"/>
      <c r="L1449" s="56" t="n"/>
    </row>
    <row r="1450" ht="23.25" customHeight="1" s="122">
      <c r="H1450" s="55" t="n"/>
      <c r="I1450" s="55" t="n"/>
      <c r="J1450" s="55" t="n"/>
      <c r="K1450" s="55" t="n"/>
      <c r="L1450" s="56" t="n"/>
    </row>
    <row r="1451" ht="23.25" customHeight="1" s="122">
      <c r="H1451" s="55" t="n"/>
      <c r="I1451" s="55" t="n"/>
      <c r="J1451" s="55" t="n"/>
      <c r="K1451" s="55" t="n"/>
      <c r="L1451" s="56" t="n"/>
    </row>
    <row r="1452" ht="23.25" customHeight="1" s="122">
      <c r="H1452" s="55" t="n"/>
      <c r="I1452" s="55" t="n"/>
      <c r="J1452" s="55" t="n"/>
      <c r="K1452" s="55" t="n"/>
      <c r="L1452" s="56" t="n"/>
    </row>
    <row r="1453" ht="23.25" customHeight="1" s="122">
      <c r="H1453" s="55" t="n"/>
      <c r="I1453" s="55" t="n"/>
      <c r="J1453" s="55" t="n"/>
      <c r="K1453" s="55" t="n"/>
      <c r="L1453" s="56" t="n"/>
    </row>
    <row r="1454" ht="23.25" customHeight="1" s="122">
      <c r="H1454" s="55" t="n"/>
      <c r="I1454" s="55" t="n"/>
      <c r="J1454" s="55" t="n"/>
      <c r="K1454" s="55" t="n"/>
      <c r="L1454" s="56" t="n"/>
    </row>
    <row r="1455" ht="23.25" customHeight="1" s="122">
      <c r="H1455" s="55" t="n"/>
      <c r="I1455" s="55" t="n"/>
      <c r="J1455" s="55" t="n"/>
      <c r="K1455" s="55" t="n"/>
      <c r="L1455" s="56" t="n"/>
    </row>
    <row r="1456" ht="23.25" customHeight="1" s="122">
      <c r="H1456" s="55" t="n"/>
      <c r="I1456" s="55" t="n"/>
      <c r="J1456" s="55" t="n"/>
      <c r="K1456" s="55" t="n"/>
      <c r="L1456" s="56" t="n"/>
    </row>
    <row r="1457" ht="23.25" customHeight="1" s="122">
      <c r="H1457" s="55" t="n"/>
      <c r="I1457" s="55" t="n"/>
      <c r="J1457" s="55" t="n"/>
      <c r="K1457" s="55" t="n"/>
      <c r="L1457" s="56" t="n"/>
    </row>
    <row r="1458" ht="23.25" customHeight="1" s="122">
      <c r="H1458" s="55" t="n"/>
      <c r="I1458" s="55" t="n"/>
      <c r="J1458" s="55" t="n"/>
      <c r="K1458" s="55" t="n"/>
      <c r="L1458" s="56" t="n"/>
    </row>
    <row r="1459" ht="23.25" customHeight="1" s="122">
      <c r="H1459" s="55" t="n"/>
      <c r="I1459" s="55" t="n"/>
      <c r="J1459" s="55" t="n"/>
      <c r="K1459" s="55" t="n"/>
      <c r="L1459" s="56" t="n"/>
    </row>
    <row r="1460" ht="23.25" customHeight="1" s="122">
      <c r="H1460" s="55" t="n"/>
      <c r="I1460" s="55" t="n"/>
      <c r="J1460" s="55" t="n"/>
      <c r="K1460" s="55" t="n"/>
      <c r="L1460" s="56" t="n"/>
    </row>
    <row r="1461" ht="23.25" customHeight="1" s="122">
      <c r="H1461" s="55" t="n"/>
      <c r="I1461" s="55" t="n"/>
      <c r="J1461" s="55" t="n"/>
      <c r="K1461" s="55" t="n"/>
      <c r="L1461" s="56" t="n"/>
    </row>
    <row r="1462" ht="23.25" customHeight="1" s="122">
      <c r="H1462" s="55" t="n"/>
      <c r="I1462" s="55" t="n"/>
      <c r="J1462" s="55" t="n"/>
      <c r="K1462" s="55" t="n"/>
      <c r="L1462" s="56" t="n"/>
    </row>
    <row r="1463" ht="23.25" customHeight="1" s="122">
      <c r="H1463" s="55" t="n"/>
      <c r="I1463" s="55" t="n"/>
      <c r="J1463" s="55" t="n"/>
      <c r="K1463" s="55" t="n"/>
      <c r="L1463" s="56" t="n"/>
    </row>
    <row r="1464" ht="23.25" customHeight="1" s="122">
      <c r="H1464" s="55" t="n"/>
      <c r="I1464" s="55" t="n"/>
      <c r="J1464" s="55" t="n"/>
      <c r="K1464" s="55" t="n"/>
      <c r="L1464" s="56" t="n"/>
    </row>
    <row r="1465" ht="23.25" customHeight="1" s="122">
      <c r="H1465" s="55" t="n"/>
      <c r="I1465" s="55" t="n"/>
      <c r="J1465" s="55" t="n"/>
      <c r="K1465" s="55" t="n"/>
      <c r="L1465" s="56" t="n"/>
    </row>
    <row r="1466" ht="23.25" customHeight="1" s="122">
      <c r="H1466" s="55" t="n"/>
      <c r="I1466" s="55" t="n"/>
      <c r="J1466" s="55" t="n"/>
      <c r="K1466" s="55" t="n"/>
      <c r="L1466" s="56" t="n"/>
    </row>
    <row r="1467" ht="23.25" customHeight="1" s="122">
      <c r="H1467" s="55" t="n"/>
      <c r="I1467" s="55" t="n"/>
      <c r="J1467" s="55" t="n"/>
      <c r="K1467" s="55" t="n"/>
      <c r="L1467" s="56" t="n"/>
    </row>
    <row r="1468" ht="23.25" customHeight="1" s="122">
      <c r="H1468" s="55" t="n"/>
      <c r="I1468" s="55" t="n"/>
      <c r="J1468" s="55" t="n"/>
      <c r="K1468" s="55" t="n"/>
      <c r="L1468" s="56" t="n"/>
    </row>
    <row r="1469" ht="23.25" customHeight="1" s="122">
      <c r="H1469" s="55" t="n"/>
      <c r="I1469" s="55" t="n"/>
      <c r="J1469" s="55" t="n"/>
      <c r="K1469" s="55" t="n"/>
      <c r="L1469" s="56" t="n"/>
    </row>
    <row r="1470" ht="23.25" customHeight="1" s="122">
      <c r="H1470" s="55" t="n"/>
      <c r="I1470" s="55" t="n"/>
      <c r="J1470" s="55" t="n"/>
      <c r="K1470" s="55" t="n"/>
      <c r="L1470" s="56" t="n"/>
    </row>
    <row r="1471" ht="23.25" customHeight="1" s="122">
      <c r="H1471" s="55" t="n"/>
      <c r="I1471" s="55" t="n"/>
      <c r="J1471" s="55" t="n"/>
      <c r="K1471" s="55" t="n"/>
      <c r="L1471" s="56" t="n"/>
    </row>
    <row r="1472" ht="23.25" customHeight="1" s="122">
      <c r="H1472" s="55" t="n"/>
      <c r="I1472" s="55" t="n"/>
      <c r="J1472" s="55" t="n"/>
      <c r="K1472" s="55" t="n"/>
      <c r="L1472" s="56" t="n"/>
    </row>
    <row r="1473" ht="23.25" customHeight="1" s="122">
      <c r="H1473" s="55" t="n"/>
      <c r="I1473" s="55" t="n"/>
      <c r="J1473" s="55" t="n"/>
      <c r="K1473" s="55" t="n"/>
      <c r="L1473" s="56" t="n"/>
    </row>
    <row r="1474" ht="23.25" customHeight="1" s="122">
      <c r="H1474" s="55" t="n"/>
      <c r="I1474" s="55" t="n"/>
      <c r="J1474" s="55" t="n"/>
      <c r="K1474" s="55" t="n"/>
      <c r="L1474" s="56" t="n"/>
    </row>
    <row r="1475" ht="23.25" customHeight="1" s="122">
      <c r="H1475" s="55" t="n"/>
      <c r="I1475" s="55" t="n"/>
      <c r="J1475" s="55" t="n"/>
      <c r="K1475" s="55" t="n"/>
      <c r="L1475" s="56" t="n"/>
    </row>
    <row r="1476" ht="23.25" customHeight="1" s="122">
      <c r="H1476" s="55" t="n"/>
      <c r="I1476" s="55" t="n"/>
      <c r="J1476" s="55" t="n"/>
      <c r="K1476" s="55" t="n"/>
      <c r="L1476" s="56" t="n"/>
    </row>
    <row r="1477" ht="23.25" customHeight="1" s="122">
      <c r="H1477" s="55" t="n"/>
      <c r="I1477" s="55" t="n"/>
      <c r="J1477" s="55" t="n"/>
      <c r="K1477" s="55" t="n"/>
      <c r="L1477" s="56" t="n"/>
    </row>
    <row r="1478" ht="23.25" customHeight="1" s="122">
      <c r="H1478" s="55" t="n"/>
      <c r="I1478" s="55" t="n"/>
      <c r="J1478" s="55" t="n"/>
      <c r="K1478" s="55" t="n"/>
      <c r="L1478" s="56" t="n"/>
    </row>
    <row r="1479" ht="23.25" customHeight="1" s="122">
      <c r="H1479" s="55" t="n"/>
      <c r="I1479" s="55" t="n"/>
      <c r="J1479" s="55" t="n"/>
      <c r="K1479" s="55" t="n"/>
      <c r="L1479" s="56" t="n"/>
    </row>
    <row r="1480" ht="23.25" customHeight="1" s="122">
      <c r="H1480" s="55" t="n"/>
      <c r="I1480" s="55" t="n"/>
      <c r="J1480" s="55" t="n"/>
      <c r="K1480" s="55" t="n"/>
      <c r="L1480" s="56" t="n"/>
    </row>
    <row r="1481" ht="23.25" customHeight="1" s="122">
      <c r="H1481" s="55" t="n"/>
      <c r="I1481" s="55" t="n"/>
      <c r="J1481" s="55" t="n"/>
      <c r="K1481" s="55" t="n"/>
      <c r="L1481" s="56" t="n"/>
    </row>
    <row r="1482" ht="23.25" customHeight="1" s="122">
      <c r="H1482" s="55" t="n"/>
      <c r="I1482" s="55" t="n"/>
      <c r="J1482" s="55" t="n"/>
      <c r="K1482" s="55" t="n"/>
      <c r="L1482" s="56" t="n"/>
    </row>
    <row r="1483" ht="23.25" customHeight="1" s="122">
      <c r="H1483" s="55" t="n"/>
      <c r="I1483" s="55" t="n"/>
      <c r="J1483" s="55" t="n"/>
      <c r="K1483" s="55" t="n"/>
      <c r="L1483" s="56" t="n"/>
    </row>
    <row r="1484" ht="23.25" customHeight="1" s="122">
      <c r="H1484" s="55" t="n"/>
      <c r="I1484" s="55" t="n"/>
      <c r="J1484" s="55" t="n"/>
      <c r="K1484" s="55" t="n"/>
      <c r="L1484" s="56" t="n"/>
    </row>
    <row r="1485" ht="23.25" customHeight="1" s="122">
      <c r="H1485" s="55" t="n"/>
      <c r="I1485" s="55" t="n"/>
      <c r="J1485" s="55" t="n"/>
      <c r="K1485" s="55" t="n"/>
      <c r="L1485" s="56" t="n"/>
    </row>
    <row r="1486" ht="23.25" customHeight="1" s="122">
      <c r="H1486" s="55" t="n"/>
      <c r="I1486" s="55" t="n"/>
      <c r="J1486" s="55" t="n"/>
      <c r="K1486" s="55" t="n"/>
      <c r="L1486" s="56" t="n"/>
    </row>
    <row r="1487" ht="23.25" customHeight="1" s="122">
      <c r="H1487" s="55" t="n"/>
      <c r="I1487" s="55" t="n"/>
      <c r="J1487" s="55" t="n"/>
      <c r="K1487" s="55" t="n"/>
      <c r="L1487" s="56" t="n"/>
    </row>
    <row r="1488" ht="23.25" customHeight="1" s="122">
      <c r="H1488" s="55" t="n"/>
      <c r="I1488" s="55" t="n"/>
      <c r="J1488" s="55" t="n"/>
      <c r="K1488" s="55" t="n"/>
      <c r="L1488" s="56" t="n"/>
    </row>
    <row r="1489" ht="23.25" customHeight="1" s="122">
      <c r="H1489" s="55" t="n"/>
      <c r="I1489" s="55" t="n"/>
      <c r="J1489" s="55" t="n"/>
      <c r="K1489" s="55" t="n"/>
      <c r="L1489" s="56" t="n"/>
    </row>
    <row r="1490" ht="23.25" customHeight="1" s="122">
      <c r="H1490" s="55" t="n"/>
      <c r="I1490" s="55" t="n"/>
      <c r="J1490" s="55" t="n"/>
      <c r="K1490" s="55" t="n"/>
      <c r="L1490" s="56" t="n"/>
    </row>
    <row r="1491" ht="23.25" customHeight="1" s="122">
      <c r="H1491" s="55" t="n"/>
      <c r="I1491" s="55" t="n"/>
      <c r="J1491" s="55" t="n"/>
      <c r="K1491" s="55" t="n"/>
      <c r="L1491" s="56" t="n"/>
    </row>
    <row r="1492" ht="23.25" customHeight="1" s="122">
      <c r="H1492" s="55" t="n"/>
      <c r="I1492" s="55" t="n"/>
      <c r="J1492" s="55" t="n"/>
      <c r="K1492" s="55" t="n"/>
      <c r="L1492" s="56" t="n"/>
    </row>
    <row r="1493" ht="23.25" customHeight="1" s="122">
      <c r="H1493" s="55" t="n"/>
      <c r="I1493" s="55" t="n"/>
      <c r="J1493" s="55" t="n"/>
      <c r="K1493" s="55" t="n"/>
      <c r="L1493" s="56" t="n"/>
    </row>
    <row r="1494" ht="23.25" customHeight="1" s="122">
      <c r="H1494" s="55" t="n"/>
      <c r="I1494" s="55" t="n"/>
      <c r="J1494" s="55" t="n"/>
      <c r="K1494" s="55" t="n"/>
      <c r="L1494" s="56" t="n"/>
    </row>
    <row r="1495" ht="23.25" customHeight="1" s="122">
      <c r="H1495" s="55" t="n"/>
      <c r="I1495" s="55" t="n"/>
      <c r="J1495" s="55" t="n"/>
      <c r="K1495" s="55" t="n"/>
      <c r="L1495" s="56" t="n"/>
    </row>
    <row r="1496" ht="23.25" customHeight="1" s="122">
      <c r="H1496" s="55" t="n"/>
      <c r="I1496" s="55" t="n"/>
      <c r="J1496" s="55" t="n"/>
      <c r="K1496" s="55" t="n"/>
      <c r="L1496" s="56" t="n"/>
    </row>
    <row r="1497" ht="23.25" customHeight="1" s="122">
      <c r="H1497" s="55" t="n"/>
      <c r="I1497" s="55" t="n"/>
      <c r="J1497" s="55" t="n"/>
      <c r="K1497" s="55" t="n"/>
      <c r="L1497" s="56" t="n"/>
    </row>
    <row r="1498" ht="23.25" customHeight="1" s="122">
      <c r="H1498" s="55" t="n"/>
      <c r="I1498" s="55" t="n"/>
      <c r="J1498" s="55" t="n"/>
      <c r="K1498" s="55" t="n"/>
      <c r="L1498" s="56" t="n"/>
    </row>
    <row r="1499" ht="23.25" customHeight="1" s="122">
      <c r="H1499" s="55" t="n"/>
      <c r="I1499" s="55" t="n"/>
      <c r="J1499" s="55" t="n"/>
      <c r="K1499" s="55" t="n"/>
      <c r="L1499" s="56" t="n"/>
    </row>
    <row r="1500" ht="23.25" customHeight="1" s="122">
      <c r="H1500" s="55" t="n"/>
      <c r="I1500" s="55" t="n"/>
      <c r="J1500" s="55" t="n"/>
      <c r="K1500" s="55" t="n"/>
      <c r="L1500" s="56" t="n"/>
    </row>
    <row r="1501" ht="23.25" customHeight="1" s="122">
      <c r="H1501" s="55" t="n"/>
      <c r="I1501" s="55" t="n"/>
      <c r="J1501" s="55" t="n"/>
      <c r="K1501" s="55" t="n"/>
      <c r="L1501" s="56" t="n"/>
    </row>
    <row r="1502" ht="23.25" customHeight="1" s="122">
      <c r="H1502" s="55" t="n"/>
      <c r="I1502" s="55" t="n"/>
      <c r="J1502" s="55" t="n"/>
      <c r="K1502" s="55" t="n"/>
      <c r="L1502" s="56" t="n"/>
    </row>
    <row r="1503" ht="23.25" customHeight="1" s="122">
      <c r="H1503" s="55" t="n"/>
      <c r="I1503" s="55" t="n"/>
      <c r="J1503" s="55" t="n"/>
      <c r="K1503" s="55" t="n"/>
      <c r="L1503" s="56" t="n"/>
    </row>
    <row r="1504" ht="23.25" customHeight="1" s="122">
      <c r="H1504" s="55" t="n"/>
      <c r="I1504" s="55" t="n"/>
      <c r="J1504" s="55" t="n"/>
      <c r="K1504" s="55" t="n"/>
      <c r="L1504" s="56" t="n"/>
    </row>
    <row r="1505" ht="23.25" customHeight="1" s="122">
      <c r="H1505" s="55" t="n"/>
      <c r="I1505" s="55" t="n"/>
      <c r="J1505" s="55" t="n"/>
      <c r="K1505" s="55" t="n"/>
      <c r="L1505" s="56" t="n"/>
    </row>
    <row r="1506" ht="23.25" customHeight="1" s="122">
      <c r="H1506" s="55" t="n"/>
      <c r="I1506" s="55" t="n"/>
      <c r="J1506" s="55" t="n"/>
      <c r="K1506" s="55" t="n"/>
      <c r="L1506" s="56" t="n"/>
    </row>
    <row r="1507" ht="23.25" customHeight="1" s="122">
      <c r="H1507" s="55" t="n"/>
      <c r="I1507" s="55" t="n"/>
      <c r="J1507" s="55" t="n"/>
      <c r="K1507" s="55" t="n"/>
      <c r="L1507" s="56" t="n"/>
    </row>
    <row r="1508" ht="23.25" customHeight="1" s="122">
      <c r="H1508" s="55" t="n"/>
      <c r="I1508" s="55" t="n"/>
      <c r="J1508" s="55" t="n"/>
      <c r="K1508" s="55" t="n"/>
      <c r="L1508" s="56" t="n"/>
    </row>
    <row r="1509" ht="23.25" customHeight="1" s="122">
      <c r="H1509" s="55" t="n"/>
      <c r="I1509" s="55" t="n"/>
      <c r="J1509" s="55" t="n"/>
      <c r="K1509" s="55" t="n"/>
      <c r="L1509" s="56" t="n"/>
    </row>
    <row r="1510" ht="23.25" customHeight="1" s="122">
      <c r="H1510" s="55" t="n"/>
      <c r="I1510" s="55" t="n"/>
      <c r="J1510" s="55" t="n"/>
      <c r="K1510" s="55" t="n"/>
      <c r="L1510" s="56" t="n"/>
    </row>
    <row r="1511" ht="23.25" customHeight="1" s="122">
      <c r="H1511" s="55" t="n"/>
      <c r="I1511" s="55" t="n"/>
      <c r="J1511" s="55" t="n"/>
      <c r="K1511" s="55" t="n"/>
      <c r="L1511" s="56" t="n"/>
    </row>
    <row r="1512" ht="23.25" customHeight="1" s="122">
      <c r="H1512" s="55" t="n"/>
      <c r="I1512" s="55" t="n"/>
      <c r="J1512" s="55" t="n"/>
      <c r="K1512" s="55" t="n"/>
      <c r="L1512" s="56" t="n"/>
    </row>
    <row r="1513" ht="23.25" customHeight="1" s="122">
      <c r="H1513" s="55" t="n"/>
      <c r="I1513" s="55" t="n"/>
      <c r="J1513" s="55" t="n"/>
      <c r="K1513" s="55" t="n"/>
      <c r="L1513" s="56" t="n"/>
    </row>
    <row r="1514" ht="23.25" customHeight="1" s="122">
      <c r="H1514" s="55" t="n"/>
      <c r="I1514" s="55" t="n"/>
      <c r="J1514" s="55" t="n"/>
      <c r="K1514" s="55" t="n"/>
      <c r="L1514" s="56" t="n"/>
    </row>
    <row r="1515" ht="23.25" customHeight="1" s="122">
      <c r="H1515" s="55" t="n"/>
      <c r="I1515" s="55" t="n"/>
      <c r="J1515" s="55" t="n"/>
      <c r="K1515" s="55" t="n"/>
      <c r="L1515" s="56" t="n"/>
    </row>
    <row r="1516" ht="23.25" customHeight="1" s="122">
      <c r="H1516" s="55" t="n"/>
      <c r="I1516" s="55" t="n"/>
      <c r="J1516" s="55" t="n"/>
      <c r="K1516" s="55" t="n"/>
      <c r="L1516" s="56" t="n"/>
    </row>
    <row r="1517" ht="23.25" customHeight="1" s="122">
      <c r="H1517" s="55" t="n"/>
      <c r="I1517" s="55" t="n"/>
      <c r="J1517" s="55" t="n"/>
      <c r="K1517" s="55" t="n"/>
      <c r="L1517" s="56" t="n"/>
    </row>
    <row r="1518" ht="23.25" customHeight="1" s="122">
      <c r="H1518" s="55" t="n"/>
      <c r="I1518" s="55" t="n"/>
      <c r="J1518" s="55" t="n"/>
      <c r="K1518" s="55" t="n"/>
      <c r="L1518" s="56" t="n"/>
    </row>
    <row r="1519" ht="23.25" customHeight="1" s="122">
      <c r="H1519" s="55" t="n"/>
      <c r="I1519" s="55" t="n"/>
      <c r="J1519" s="55" t="n"/>
      <c r="K1519" s="55" t="n"/>
      <c r="L1519" s="56" t="n"/>
    </row>
    <row r="1520" ht="23.25" customHeight="1" s="122">
      <c r="H1520" s="55" t="n"/>
      <c r="I1520" s="55" t="n"/>
      <c r="J1520" s="55" t="n"/>
      <c r="K1520" s="55" t="n"/>
      <c r="L1520" s="56" t="n"/>
    </row>
    <row r="1521" ht="23.25" customHeight="1" s="122">
      <c r="H1521" s="55" t="n"/>
      <c r="I1521" s="55" t="n"/>
      <c r="J1521" s="55" t="n"/>
      <c r="K1521" s="55" t="n"/>
      <c r="L1521" s="56" t="n"/>
    </row>
    <row r="1522" ht="23.25" customHeight="1" s="122">
      <c r="H1522" s="55" t="n"/>
      <c r="I1522" s="55" t="n"/>
      <c r="J1522" s="55" t="n"/>
      <c r="K1522" s="55" t="n"/>
      <c r="L1522" s="56" t="n"/>
    </row>
    <row r="1523" ht="23.25" customHeight="1" s="122">
      <c r="H1523" s="55" t="n"/>
      <c r="I1523" s="55" t="n"/>
      <c r="J1523" s="55" t="n"/>
      <c r="K1523" s="55" t="n"/>
      <c r="L1523" s="56" t="n"/>
    </row>
    <row r="1524" ht="23.25" customHeight="1" s="122">
      <c r="H1524" s="55" t="n"/>
      <c r="I1524" s="55" t="n"/>
      <c r="J1524" s="55" t="n"/>
      <c r="K1524" s="55" t="n"/>
      <c r="L1524" s="56" t="n"/>
    </row>
    <row r="1525" ht="23.25" customHeight="1" s="122">
      <c r="H1525" s="55" t="n"/>
      <c r="I1525" s="55" t="n"/>
      <c r="J1525" s="55" t="n"/>
      <c r="K1525" s="55" t="n"/>
      <c r="L1525" s="56" t="n"/>
    </row>
    <row r="1526" ht="23.25" customHeight="1" s="122">
      <c r="H1526" s="55" t="n"/>
      <c r="I1526" s="55" t="n"/>
      <c r="J1526" s="55" t="n"/>
      <c r="K1526" s="55" t="n"/>
      <c r="L1526" s="56" t="n"/>
    </row>
    <row r="1527" ht="23.25" customHeight="1" s="122">
      <c r="H1527" s="55" t="n"/>
      <c r="I1527" s="55" t="n"/>
      <c r="J1527" s="55" t="n"/>
      <c r="K1527" s="55" t="n"/>
      <c r="L1527" s="56" t="n"/>
    </row>
    <row r="1528" ht="23.25" customHeight="1" s="122">
      <c r="H1528" s="55" t="n"/>
      <c r="I1528" s="55" t="n"/>
      <c r="J1528" s="55" t="n"/>
      <c r="K1528" s="55" t="n"/>
      <c r="L1528" s="56" t="n"/>
    </row>
    <row r="1529" ht="23.25" customHeight="1" s="122">
      <c r="H1529" s="55" t="n"/>
      <c r="I1529" s="55" t="n"/>
      <c r="J1529" s="55" t="n"/>
      <c r="K1529" s="55" t="n"/>
      <c r="L1529" s="56" t="n"/>
    </row>
    <row r="1530" ht="23.25" customHeight="1" s="122">
      <c r="H1530" s="55" t="n"/>
      <c r="I1530" s="55" t="n"/>
      <c r="J1530" s="55" t="n"/>
      <c r="K1530" s="55" t="n"/>
      <c r="L1530" s="56" t="n"/>
    </row>
    <row r="1531" ht="23.25" customHeight="1" s="122">
      <c r="H1531" s="55" t="n"/>
      <c r="I1531" s="55" t="n"/>
      <c r="J1531" s="55" t="n"/>
      <c r="K1531" s="55" t="n"/>
      <c r="L1531" s="56" t="n"/>
    </row>
    <row r="1532" ht="23.25" customHeight="1" s="122">
      <c r="H1532" s="55" t="n"/>
      <c r="I1532" s="55" t="n"/>
      <c r="J1532" s="55" t="n"/>
      <c r="K1532" s="55" t="n"/>
      <c r="L1532" s="56" t="n"/>
    </row>
    <row r="1533" ht="23.25" customHeight="1" s="122">
      <c r="H1533" s="55" t="n"/>
      <c r="I1533" s="55" t="n"/>
      <c r="J1533" s="55" t="n"/>
      <c r="K1533" s="55" t="n"/>
      <c r="L1533" s="56" t="n"/>
    </row>
    <row r="1534" ht="23.25" customHeight="1" s="122">
      <c r="H1534" s="55" t="n"/>
      <c r="I1534" s="55" t="n"/>
      <c r="J1534" s="55" t="n"/>
      <c r="K1534" s="55" t="n"/>
      <c r="L1534" s="56" t="n"/>
    </row>
    <row r="1535" ht="23.25" customHeight="1" s="122">
      <c r="H1535" s="55" t="n"/>
      <c r="I1535" s="55" t="n"/>
      <c r="J1535" s="55" t="n"/>
      <c r="K1535" s="55" t="n"/>
      <c r="L1535" s="56" t="n"/>
    </row>
    <row r="1536" ht="23.25" customHeight="1" s="122">
      <c r="H1536" s="55" t="n"/>
      <c r="I1536" s="55" t="n"/>
      <c r="J1536" s="55" t="n"/>
      <c r="K1536" s="55" t="n"/>
      <c r="L1536" s="56" t="n"/>
    </row>
    <row r="1537" ht="23.25" customHeight="1" s="122">
      <c r="H1537" s="55" t="n"/>
      <c r="I1537" s="55" t="n"/>
      <c r="J1537" s="55" t="n"/>
      <c r="K1537" s="55" t="n"/>
      <c r="L1537" s="56" t="n"/>
    </row>
    <row r="1538" ht="23.25" customHeight="1" s="122">
      <c r="H1538" s="55" t="n"/>
      <c r="I1538" s="55" t="n"/>
      <c r="J1538" s="55" t="n"/>
      <c r="K1538" s="55" t="n"/>
      <c r="L1538" s="56" t="n"/>
    </row>
    <row r="1539" ht="23.25" customHeight="1" s="122">
      <c r="H1539" s="55" t="n"/>
      <c r="I1539" s="55" t="n"/>
      <c r="J1539" s="55" t="n"/>
      <c r="K1539" s="55" t="n"/>
      <c r="L1539" s="56" t="n"/>
    </row>
    <row r="1540" ht="23.25" customHeight="1" s="122">
      <c r="H1540" s="55" t="n"/>
      <c r="I1540" s="55" t="n"/>
      <c r="J1540" s="55" t="n"/>
      <c r="K1540" s="55" t="n"/>
      <c r="L1540" s="56" t="n"/>
    </row>
    <row r="1541" ht="23.25" customHeight="1" s="122">
      <c r="H1541" s="55" t="n"/>
      <c r="I1541" s="55" t="n"/>
      <c r="J1541" s="55" t="n"/>
      <c r="K1541" s="55" t="n"/>
      <c r="L1541" s="56" t="n"/>
    </row>
    <row r="1542" ht="23.25" customHeight="1" s="122">
      <c r="H1542" s="55" t="n"/>
      <c r="I1542" s="55" t="n"/>
      <c r="J1542" s="55" t="n"/>
      <c r="K1542" s="55" t="n"/>
      <c r="L1542" s="56" t="n"/>
    </row>
    <row r="1543" ht="23.25" customHeight="1" s="122">
      <c r="H1543" s="55" t="n"/>
      <c r="I1543" s="55" t="n"/>
      <c r="J1543" s="55" t="n"/>
      <c r="K1543" s="55" t="n"/>
      <c r="L1543" s="56" t="n"/>
    </row>
    <row r="1544" ht="23.25" customHeight="1" s="122">
      <c r="H1544" s="55" t="n"/>
      <c r="I1544" s="55" t="n"/>
      <c r="J1544" s="55" t="n"/>
      <c r="K1544" s="55" t="n"/>
      <c r="L1544" s="56" t="n"/>
    </row>
    <row r="1545" ht="23.25" customHeight="1" s="122">
      <c r="H1545" s="55" t="n"/>
      <c r="I1545" s="55" t="n"/>
      <c r="J1545" s="55" t="n"/>
      <c r="K1545" s="55" t="n"/>
      <c r="L1545" s="56" t="n"/>
    </row>
    <row r="1546" ht="23.25" customHeight="1" s="122">
      <c r="H1546" s="55" t="n"/>
      <c r="I1546" s="55" t="n"/>
      <c r="J1546" s="55" t="n"/>
      <c r="K1546" s="55" t="n"/>
      <c r="L1546" s="56" t="n"/>
    </row>
    <row r="1547" ht="23.25" customHeight="1" s="122">
      <c r="H1547" s="55" t="n"/>
      <c r="I1547" s="55" t="n"/>
      <c r="J1547" s="55" t="n"/>
      <c r="K1547" s="55" t="n"/>
      <c r="L1547" s="56" t="n"/>
    </row>
    <row r="1548" ht="23.25" customHeight="1" s="122">
      <c r="H1548" s="55" t="n"/>
      <c r="I1548" s="55" t="n"/>
      <c r="J1548" s="55" t="n"/>
      <c r="K1548" s="55" t="n"/>
      <c r="L1548" s="56" t="n"/>
    </row>
    <row r="1549" ht="23.25" customHeight="1" s="122">
      <c r="H1549" s="55" t="n"/>
      <c r="I1549" s="55" t="n"/>
      <c r="J1549" s="55" t="n"/>
      <c r="K1549" s="55" t="n"/>
      <c r="L1549" s="56" t="n"/>
    </row>
    <row r="1550" ht="23.25" customHeight="1" s="122">
      <c r="H1550" s="55" t="n"/>
      <c r="I1550" s="55" t="n"/>
      <c r="J1550" s="55" t="n"/>
      <c r="K1550" s="55" t="n"/>
      <c r="L1550" s="56" t="n"/>
    </row>
    <row r="1551" ht="23.25" customHeight="1" s="122">
      <c r="H1551" s="55" t="n"/>
      <c r="I1551" s="55" t="n"/>
      <c r="J1551" s="55" t="n"/>
      <c r="K1551" s="55" t="n"/>
      <c r="L1551" s="56" t="n"/>
    </row>
    <row r="1552" ht="23.25" customHeight="1" s="122">
      <c r="H1552" s="55" t="n"/>
      <c r="I1552" s="55" t="n"/>
      <c r="J1552" s="55" t="n"/>
      <c r="K1552" s="55" t="n"/>
      <c r="L1552" s="56" t="n"/>
    </row>
    <row r="1553" ht="23.25" customHeight="1" s="122">
      <c r="H1553" s="55" t="n"/>
      <c r="I1553" s="55" t="n"/>
      <c r="J1553" s="55" t="n"/>
      <c r="K1553" s="55" t="n"/>
      <c r="L1553" s="56" t="n"/>
    </row>
    <row r="1554" ht="23.25" customHeight="1" s="122">
      <c r="H1554" s="55" t="n"/>
      <c r="I1554" s="55" t="n"/>
      <c r="J1554" s="55" t="n"/>
      <c r="K1554" s="55" t="n"/>
      <c r="L1554" s="56" t="n"/>
    </row>
    <row r="1555" ht="23.25" customHeight="1" s="122">
      <c r="H1555" s="55" t="n"/>
      <c r="I1555" s="55" t="n"/>
      <c r="J1555" s="55" t="n"/>
      <c r="K1555" s="55" t="n"/>
      <c r="L1555" s="56" t="n"/>
    </row>
    <row r="1556" ht="23.25" customHeight="1" s="122">
      <c r="H1556" s="55" t="n"/>
      <c r="I1556" s="55" t="n"/>
      <c r="J1556" s="55" t="n"/>
      <c r="K1556" s="55" t="n"/>
      <c r="L1556" s="56" t="n"/>
    </row>
    <row r="1557" ht="23.25" customHeight="1" s="122">
      <c r="H1557" s="55" t="n"/>
      <c r="I1557" s="55" t="n"/>
      <c r="J1557" s="55" t="n"/>
      <c r="K1557" s="55" t="n"/>
      <c r="L1557" s="56" t="n"/>
    </row>
    <row r="1558" ht="23.25" customHeight="1" s="122">
      <c r="H1558" s="55" t="n"/>
      <c r="I1558" s="55" t="n"/>
      <c r="J1558" s="55" t="n"/>
      <c r="K1558" s="55" t="n"/>
      <c r="L1558" s="56" t="n"/>
    </row>
    <row r="1559" ht="23.25" customHeight="1" s="122">
      <c r="H1559" s="55" t="n"/>
      <c r="I1559" s="55" t="n"/>
      <c r="J1559" s="55" t="n"/>
      <c r="K1559" s="55" t="n"/>
      <c r="L1559" s="56" t="n"/>
    </row>
    <row r="1560" ht="23.25" customHeight="1" s="122">
      <c r="H1560" s="55" t="n"/>
      <c r="I1560" s="55" t="n"/>
      <c r="J1560" s="55" t="n"/>
      <c r="K1560" s="55" t="n"/>
      <c r="L1560" s="56" t="n"/>
    </row>
    <row r="1561" ht="23.25" customHeight="1" s="122">
      <c r="H1561" s="55" t="n"/>
      <c r="I1561" s="55" t="n"/>
      <c r="J1561" s="55" t="n"/>
      <c r="K1561" s="55" t="n"/>
      <c r="L1561" s="56" t="n"/>
    </row>
    <row r="1562" ht="23.25" customHeight="1" s="122">
      <c r="H1562" s="55" t="n"/>
      <c r="I1562" s="55" t="n"/>
      <c r="J1562" s="55" t="n"/>
      <c r="K1562" s="55" t="n"/>
      <c r="L1562" s="56" t="n"/>
    </row>
    <row r="1563" ht="23.25" customHeight="1" s="122">
      <c r="H1563" s="55" t="n"/>
      <c r="I1563" s="55" t="n"/>
      <c r="J1563" s="55" t="n"/>
      <c r="K1563" s="55" t="n"/>
      <c r="L1563" s="56" t="n"/>
    </row>
    <row r="1564" ht="23.25" customHeight="1" s="122">
      <c r="H1564" s="55" t="n"/>
      <c r="I1564" s="55" t="n"/>
      <c r="J1564" s="55" t="n"/>
      <c r="K1564" s="55" t="n"/>
      <c r="L1564" s="56" t="n"/>
    </row>
    <row r="1565" ht="23.25" customHeight="1" s="122">
      <c r="H1565" s="55" t="n"/>
      <c r="I1565" s="55" t="n"/>
      <c r="J1565" s="55" t="n"/>
      <c r="K1565" s="55" t="n"/>
      <c r="L1565" s="56" t="n"/>
    </row>
    <row r="1566" ht="23.25" customHeight="1" s="122">
      <c r="H1566" s="55" t="n"/>
      <c r="I1566" s="55" t="n"/>
      <c r="J1566" s="55" t="n"/>
      <c r="K1566" s="55" t="n"/>
      <c r="L1566" s="56" t="n"/>
    </row>
    <row r="1567" ht="23.25" customHeight="1" s="122">
      <c r="H1567" s="55" t="n"/>
      <c r="I1567" s="55" t="n"/>
      <c r="J1567" s="55" t="n"/>
      <c r="K1567" s="55" t="n"/>
      <c r="L1567" s="56" t="n"/>
    </row>
    <row r="1568" ht="23.25" customHeight="1" s="122">
      <c r="H1568" s="55" t="n"/>
      <c r="I1568" s="55" t="n"/>
      <c r="J1568" s="55" t="n"/>
      <c r="K1568" s="55" t="n"/>
      <c r="L1568" s="56" t="n"/>
    </row>
    <row r="1569" ht="23.25" customHeight="1" s="122">
      <c r="H1569" s="55" t="n"/>
      <c r="I1569" s="55" t="n"/>
      <c r="J1569" s="55" t="n"/>
      <c r="K1569" s="55" t="n"/>
      <c r="L1569" s="56" t="n"/>
    </row>
    <row r="1570" ht="23.25" customHeight="1" s="122">
      <c r="H1570" s="55" t="n"/>
      <c r="I1570" s="55" t="n"/>
      <c r="J1570" s="55" t="n"/>
      <c r="K1570" s="55" t="n"/>
      <c r="L1570" s="56" t="n"/>
    </row>
    <row r="1571" ht="23.25" customHeight="1" s="122">
      <c r="H1571" s="55" t="n"/>
      <c r="I1571" s="55" t="n"/>
      <c r="J1571" s="55" t="n"/>
      <c r="K1571" s="55" t="n"/>
      <c r="L1571" s="56" t="n"/>
    </row>
    <row r="1572" ht="23.25" customHeight="1" s="122">
      <c r="H1572" s="55" t="n"/>
      <c r="I1572" s="55" t="n"/>
      <c r="J1572" s="55" t="n"/>
      <c r="K1572" s="55" t="n"/>
      <c r="L1572" s="56" t="n"/>
    </row>
    <row r="1573" ht="23.25" customHeight="1" s="122">
      <c r="H1573" s="55" t="n"/>
      <c r="I1573" s="55" t="n"/>
      <c r="J1573" s="55" t="n"/>
      <c r="K1573" s="55" t="n"/>
      <c r="L1573" s="56" t="n"/>
    </row>
    <row r="1574" ht="23.25" customHeight="1" s="122">
      <c r="H1574" s="55" t="n"/>
      <c r="I1574" s="55" t="n"/>
      <c r="J1574" s="55" t="n"/>
      <c r="K1574" s="55" t="n"/>
      <c r="L1574" s="56" t="n"/>
    </row>
    <row r="1575" ht="23.25" customHeight="1" s="122">
      <c r="H1575" s="55" t="n"/>
      <c r="I1575" s="55" t="n"/>
      <c r="J1575" s="55" t="n"/>
      <c r="K1575" s="55" t="n"/>
      <c r="L1575" s="56" t="n"/>
    </row>
    <row r="1576" ht="23.25" customHeight="1" s="122">
      <c r="H1576" s="55" t="n"/>
      <c r="I1576" s="55" t="n"/>
      <c r="J1576" s="55" t="n"/>
      <c r="K1576" s="55" t="n"/>
      <c r="L1576" s="56" t="n"/>
    </row>
    <row r="1577" ht="23.25" customHeight="1" s="122">
      <c r="H1577" s="55" t="n"/>
      <c r="I1577" s="55" t="n"/>
      <c r="J1577" s="55" t="n"/>
      <c r="K1577" s="55" t="n"/>
      <c r="L1577" s="56" t="n"/>
    </row>
    <row r="1578" ht="23.25" customHeight="1" s="122">
      <c r="H1578" s="55" t="n"/>
      <c r="I1578" s="55" t="n"/>
      <c r="J1578" s="55" t="n"/>
      <c r="K1578" s="55" t="n"/>
      <c r="L1578" s="56" t="n"/>
    </row>
    <row r="1579" ht="23.25" customHeight="1" s="122">
      <c r="H1579" s="55" t="n"/>
      <c r="I1579" s="55" t="n"/>
      <c r="J1579" s="55" t="n"/>
      <c r="K1579" s="55" t="n"/>
      <c r="L1579" s="56" t="n"/>
    </row>
    <row r="1580" ht="23.25" customHeight="1" s="122">
      <c r="H1580" s="55" t="n"/>
      <c r="I1580" s="55" t="n"/>
      <c r="J1580" s="55" t="n"/>
      <c r="K1580" s="55" t="n"/>
      <c r="L1580" s="56" t="n"/>
    </row>
    <row r="1581" ht="23.25" customHeight="1" s="122">
      <c r="H1581" s="55" t="n"/>
      <c r="I1581" s="55" t="n"/>
      <c r="J1581" s="55" t="n"/>
      <c r="K1581" s="55" t="n"/>
      <c r="L1581" s="56" t="n"/>
    </row>
    <row r="1582" ht="23.25" customHeight="1" s="122">
      <c r="H1582" s="55" t="n"/>
      <c r="I1582" s="55" t="n"/>
      <c r="J1582" s="55" t="n"/>
      <c r="K1582" s="55" t="n"/>
      <c r="L1582" s="56" t="n"/>
    </row>
    <row r="1583" ht="23.25" customHeight="1" s="122">
      <c r="H1583" s="55" t="n"/>
      <c r="I1583" s="55" t="n"/>
      <c r="J1583" s="55" t="n"/>
      <c r="K1583" s="55" t="n"/>
      <c r="L1583" s="56" t="n"/>
    </row>
    <row r="1584" ht="23.25" customHeight="1" s="122">
      <c r="H1584" s="55" t="n"/>
      <c r="I1584" s="55" t="n"/>
      <c r="J1584" s="55" t="n"/>
      <c r="K1584" s="55" t="n"/>
      <c r="L1584" s="56" t="n"/>
    </row>
    <row r="1585" ht="23.25" customHeight="1" s="122">
      <c r="H1585" s="55" t="n"/>
      <c r="I1585" s="55" t="n"/>
      <c r="J1585" s="55" t="n"/>
      <c r="K1585" s="55" t="n"/>
      <c r="L1585" s="56" t="n"/>
    </row>
    <row r="1586" ht="23.25" customHeight="1" s="122">
      <c r="H1586" s="55" t="n"/>
      <c r="I1586" s="55" t="n"/>
      <c r="J1586" s="55" t="n"/>
      <c r="K1586" s="55" t="n"/>
      <c r="L1586" s="56" t="n"/>
    </row>
    <row r="1587" ht="23.25" customHeight="1" s="122">
      <c r="H1587" s="55" t="n"/>
      <c r="I1587" s="55" t="n"/>
      <c r="J1587" s="55" t="n"/>
      <c r="K1587" s="55" t="n"/>
      <c r="L1587" s="56" t="n"/>
    </row>
    <row r="1588" ht="23.25" customHeight="1" s="122">
      <c r="H1588" s="55" t="n"/>
      <c r="I1588" s="55" t="n"/>
      <c r="J1588" s="55" t="n"/>
      <c r="K1588" s="55" t="n"/>
      <c r="L1588" s="56" t="n"/>
    </row>
    <row r="1589" ht="23.25" customHeight="1" s="122">
      <c r="H1589" s="55" t="n"/>
      <c r="I1589" s="55" t="n"/>
      <c r="J1589" s="55" t="n"/>
      <c r="K1589" s="55" t="n"/>
      <c r="L1589" s="56" t="n"/>
    </row>
    <row r="1590" ht="23.25" customHeight="1" s="122">
      <c r="H1590" s="55" t="n"/>
      <c r="I1590" s="55" t="n"/>
      <c r="J1590" s="55" t="n"/>
      <c r="K1590" s="55" t="n"/>
      <c r="L1590" s="56" t="n"/>
    </row>
    <row r="1591" ht="23.25" customHeight="1" s="122">
      <c r="H1591" s="55" t="n"/>
      <c r="I1591" s="55" t="n"/>
      <c r="J1591" s="55" t="n"/>
      <c r="K1591" s="55" t="n"/>
      <c r="L1591" s="56" t="n"/>
    </row>
    <row r="1592" ht="23.25" customHeight="1" s="122">
      <c r="H1592" s="55" t="n"/>
      <c r="I1592" s="55" t="n"/>
      <c r="J1592" s="55" t="n"/>
      <c r="K1592" s="55" t="n"/>
      <c r="L1592" s="56" t="n"/>
    </row>
    <row r="1593" ht="23.25" customHeight="1" s="122">
      <c r="H1593" s="55" t="n"/>
      <c r="I1593" s="55" t="n"/>
      <c r="J1593" s="55" t="n"/>
      <c r="K1593" s="55" t="n"/>
      <c r="L1593" s="56" t="n"/>
    </row>
    <row r="1594" ht="23.25" customHeight="1" s="122">
      <c r="H1594" s="55" t="n"/>
      <c r="I1594" s="55" t="n"/>
      <c r="J1594" s="55" t="n"/>
      <c r="K1594" s="55" t="n"/>
      <c r="L1594" s="56" t="n"/>
    </row>
    <row r="1595" ht="23.25" customHeight="1" s="122">
      <c r="H1595" s="55" t="n"/>
      <c r="I1595" s="55" t="n"/>
      <c r="J1595" s="55" t="n"/>
      <c r="K1595" s="55" t="n"/>
      <c r="L1595" s="56" t="n"/>
    </row>
    <row r="1596" ht="23.25" customHeight="1" s="122">
      <c r="H1596" s="55" t="n"/>
      <c r="I1596" s="55" t="n"/>
      <c r="J1596" s="55" t="n"/>
      <c r="K1596" s="55" t="n"/>
      <c r="L1596" s="56" t="n"/>
    </row>
    <row r="1597" ht="23.25" customHeight="1" s="122">
      <c r="H1597" s="55" t="n"/>
      <c r="I1597" s="55" t="n"/>
      <c r="J1597" s="55" t="n"/>
      <c r="K1597" s="55" t="n"/>
      <c r="L1597" s="56" t="n"/>
    </row>
    <row r="1598" ht="23.25" customHeight="1" s="122">
      <c r="H1598" s="55" t="n"/>
      <c r="I1598" s="55" t="n"/>
      <c r="J1598" s="55" t="n"/>
      <c r="K1598" s="55" t="n"/>
      <c r="L1598" s="56" t="n"/>
    </row>
    <row r="1599" ht="23.25" customHeight="1" s="122">
      <c r="H1599" s="55" t="n"/>
      <c r="I1599" s="55" t="n"/>
      <c r="J1599" s="55" t="n"/>
      <c r="K1599" s="55" t="n"/>
      <c r="L1599" s="56" t="n"/>
    </row>
    <row r="1600" ht="23.25" customHeight="1" s="122">
      <c r="H1600" s="55" t="n"/>
      <c r="I1600" s="55" t="n"/>
      <c r="J1600" s="55" t="n"/>
      <c r="K1600" s="55" t="n"/>
      <c r="L1600" s="56" t="n"/>
    </row>
    <row r="1601" ht="23.25" customHeight="1" s="122">
      <c r="H1601" s="55" t="n"/>
      <c r="I1601" s="55" t="n"/>
      <c r="J1601" s="55" t="n"/>
      <c r="K1601" s="55" t="n"/>
      <c r="L1601" s="56" t="n"/>
    </row>
    <row r="1602" ht="23.25" customHeight="1" s="122">
      <c r="H1602" s="55" t="n"/>
      <c r="I1602" s="55" t="n"/>
      <c r="J1602" s="55" t="n"/>
      <c r="K1602" s="55" t="n"/>
      <c r="L1602" s="56" t="n"/>
    </row>
    <row r="1603" ht="23.25" customHeight="1" s="122">
      <c r="H1603" s="55" t="n"/>
      <c r="I1603" s="55" t="n"/>
      <c r="J1603" s="55" t="n"/>
      <c r="K1603" s="55" t="n"/>
      <c r="L1603" s="56" t="n"/>
    </row>
    <row r="1604" ht="23.25" customHeight="1" s="122">
      <c r="H1604" s="55" t="n"/>
      <c r="I1604" s="55" t="n"/>
      <c r="J1604" s="55" t="n"/>
      <c r="K1604" s="55" t="n"/>
      <c r="L1604" s="56" t="n"/>
    </row>
    <row r="1605" ht="23.25" customHeight="1" s="122">
      <c r="H1605" s="55" t="n"/>
      <c r="I1605" s="55" t="n"/>
      <c r="J1605" s="55" t="n"/>
      <c r="K1605" s="55" t="n"/>
      <c r="L1605" s="56" t="n"/>
    </row>
    <row r="1606" ht="23.25" customHeight="1" s="122">
      <c r="H1606" s="55" t="n"/>
      <c r="I1606" s="55" t="n"/>
      <c r="J1606" s="55" t="n"/>
      <c r="K1606" s="55" t="n"/>
      <c r="L1606" s="56" t="n"/>
    </row>
    <row r="1607" ht="23.25" customHeight="1" s="122">
      <c r="H1607" s="55" t="n"/>
      <c r="I1607" s="55" t="n"/>
      <c r="J1607" s="55" t="n"/>
      <c r="K1607" s="55" t="n"/>
      <c r="L1607" s="56" t="n"/>
    </row>
    <row r="1608" ht="23.25" customHeight="1" s="122">
      <c r="H1608" s="55" t="n"/>
      <c r="I1608" s="55" t="n"/>
      <c r="J1608" s="55" t="n"/>
      <c r="K1608" s="55" t="n"/>
      <c r="L1608" s="56" t="n"/>
    </row>
    <row r="1609" ht="23.25" customHeight="1" s="122">
      <c r="H1609" s="55" t="n"/>
      <c r="I1609" s="55" t="n"/>
      <c r="J1609" s="55" t="n"/>
      <c r="K1609" s="55" t="n"/>
      <c r="L1609" s="56" t="n"/>
    </row>
    <row r="1610" ht="23.25" customHeight="1" s="122">
      <c r="H1610" s="55" t="n"/>
      <c r="I1610" s="55" t="n"/>
      <c r="J1610" s="55" t="n"/>
      <c r="K1610" s="55" t="n"/>
      <c r="L1610" s="56" t="n"/>
    </row>
    <row r="1611" ht="23.25" customHeight="1" s="122">
      <c r="H1611" s="55" t="n"/>
      <c r="I1611" s="55" t="n"/>
      <c r="J1611" s="55" t="n"/>
      <c r="K1611" s="55" t="n"/>
      <c r="L1611" s="56" t="n"/>
    </row>
    <row r="1612" ht="23.25" customHeight="1" s="122">
      <c r="H1612" s="55" t="n"/>
      <c r="I1612" s="55" t="n"/>
      <c r="J1612" s="55" t="n"/>
      <c r="K1612" s="55" t="n"/>
      <c r="L1612" s="56" t="n"/>
    </row>
    <row r="1613" ht="23.25" customHeight="1" s="122">
      <c r="H1613" s="55" t="n"/>
      <c r="I1613" s="55" t="n"/>
      <c r="J1613" s="55" t="n"/>
      <c r="K1613" s="55" t="n"/>
      <c r="L1613" s="56" t="n"/>
    </row>
    <row r="1614" ht="23.25" customHeight="1" s="122">
      <c r="H1614" s="55" t="n"/>
      <c r="I1614" s="55" t="n"/>
      <c r="J1614" s="55" t="n"/>
      <c r="K1614" s="55" t="n"/>
      <c r="L1614" s="56" t="n"/>
    </row>
    <row r="1615" ht="23.25" customHeight="1" s="122">
      <c r="H1615" s="55" t="n"/>
      <c r="I1615" s="55" t="n"/>
      <c r="J1615" s="55" t="n"/>
      <c r="K1615" s="55" t="n"/>
      <c r="L1615" s="56" t="n"/>
    </row>
    <row r="1616" ht="23.25" customHeight="1" s="122">
      <c r="H1616" s="55" t="n"/>
      <c r="I1616" s="55" t="n"/>
      <c r="J1616" s="55" t="n"/>
      <c r="K1616" s="55" t="n"/>
      <c r="L1616" s="56" t="n"/>
    </row>
    <row r="1617" ht="23.25" customHeight="1" s="122">
      <c r="H1617" s="55" t="n"/>
      <c r="I1617" s="55" t="n"/>
      <c r="J1617" s="55" t="n"/>
      <c r="K1617" s="55" t="n"/>
      <c r="L1617" s="56" t="n"/>
    </row>
    <row r="1618" ht="23.25" customHeight="1" s="122">
      <c r="H1618" s="55" t="n"/>
      <c r="I1618" s="55" t="n"/>
      <c r="J1618" s="55" t="n"/>
      <c r="K1618" s="55" t="n"/>
      <c r="L1618" s="56" t="n"/>
    </row>
    <row r="1619" ht="23.25" customHeight="1" s="122">
      <c r="H1619" s="55" t="n"/>
      <c r="I1619" s="55" t="n"/>
      <c r="J1619" s="55" t="n"/>
      <c r="K1619" s="55" t="n"/>
      <c r="L1619" s="56" t="n"/>
    </row>
    <row r="1620" ht="23.25" customHeight="1" s="122">
      <c r="H1620" s="55" t="n"/>
      <c r="I1620" s="55" t="n"/>
      <c r="J1620" s="55" t="n"/>
      <c r="K1620" s="55" t="n"/>
      <c r="L1620" s="56" t="n"/>
    </row>
    <row r="1621" ht="23.25" customHeight="1" s="122">
      <c r="H1621" s="55" t="n"/>
      <c r="I1621" s="55" t="n"/>
      <c r="J1621" s="55" t="n"/>
      <c r="K1621" s="55" t="n"/>
      <c r="L1621" s="56" t="n"/>
    </row>
    <row r="1622" ht="23.25" customHeight="1" s="122">
      <c r="H1622" s="55" t="n"/>
      <c r="I1622" s="55" t="n"/>
      <c r="J1622" s="55" t="n"/>
      <c r="K1622" s="55" t="n"/>
      <c r="L1622" s="56" t="n"/>
    </row>
    <row r="1623" ht="23.25" customHeight="1" s="122">
      <c r="H1623" s="55" t="n"/>
      <c r="I1623" s="55" t="n"/>
      <c r="J1623" s="55" t="n"/>
      <c r="K1623" s="55" t="n"/>
      <c r="L1623" s="56" t="n"/>
    </row>
    <row r="1624" ht="23.25" customHeight="1" s="122">
      <c r="H1624" s="55" t="n"/>
      <c r="I1624" s="55" t="n"/>
      <c r="J1624" s="55" t="n"/>
      <c r="K1624" s="55" t="n"/>
      <c r="L1624" s="56" t="n"/>
    </row>
    <row r="1625" ht="23.25" customHeight="1" s="122">
      <c r="H1625" s="55" t="n"/>
      <c r="I1625" s="55" t="n"/>
      <c r="J1625" s="55" t="n"/>
      <c r="K1625" s="55" t="n"/>
      <c r="L1625" s="56" t="n"/>
    </row>
    <row r="1626" ht="23.25" customHeight="1" s="122">
      <c r="H1626" s="55" t="n"/>
      <c r="I1626" s="55" t="n"/>
      <c r="J1626" s="55" t="n"/>
      <c r="K1626" s="55" t="n"/>
      <c r="L1626" s="56" t="n"/>
    </row>
    <row r="1627" ht="23.25" customHeight="1" s="122">
      <c r="H1627" s="55" t="n"/>
      <c r="I1627" s="55" t="n"/>
      <c r="J1627" s="55" t="n"/>
      <c r="K1627" s="55" t="n"/>
      <c r="L1627" s="56" t="n"/>
    </row>
    <row r="1628" ht="23.25" customHeight="1" s="122">
      <c r="H1628" s="55" t="n"/>
      <c r="I1628" s="55" t="n"/>
      <c r="J1628" s="55" t="n"/>
      <c r="K1628" s="55" t="n"/>
      <c r="L1628" s="56" t="n"/>
    </row>
    <row r="1629" ht="23.25" customHeight="1" s="122">
      <c r="H1629" s="55" t="n"/>
      <c r="I1629" s="55" t="n"/>
      <c r="J1629" s="55" t="n"/>
      <c r="K1629" s="55" t="n"/>
      <c r="L1629" s="56" t="n"/>
    </row>
    <row r="1630" ht="23.25" customHeight="1" s="122">
      <c r="H1630" s="55" t="n"/>
      <c r="I1630" s="55" t="n"/>
      <c r="J1630" s="55" t="n"/>
      <c r="K1630" s="55" t="n"/>
      <c r="L1630" s="56" t="n"/>
    </row>
    <row r="1631" ht="23.25" customHeight="1" s="122">
      <c r="H1631" s="55" t="n"/>
      <c r="I1631" s="55" t="n"/>
      <c r="J1631" s="55" t="n"/>
      <c r="K1631" s="55" t="n"/>
      <c r="L1631" s="56" t="n"/>
    </row>
    <row r="1632" ht="23.25" customHeight="1" s="122">
      <c r="H1632" s="55" t="n"/>
      <c r="I1632" s="55" t="n"/>
      <c r="J1632" s="55" t="n"/>
      <c r="K1632" s="55" t="n"/>
      <c r="L1632" s="56" t="n"/>
    </row>
    <row r="1633" ht="23.25" customHeight="1" s="122">
      <c r="H1633" s="55" t="n"/>
      <c r="I1633" s="55" t="n"/>
      <c r="J1633" s="55" t="n"/>
      <c r="K1633" s="55" t="n"/>
      <c r="L1633" s="56" t="n"/>
    </row>
    <row r="1634" ht="23.25" customHeight="1" s="122">
      <c r="H1634" s="55" t="n"/>
      <c r="I1634" s="55" t="n"/>
      <c r="J1634" s="55" t="n"/>
      <c r="K1634" s="55" t="n"/>
      <c r="L1634" s="56" t="n"/>
    </row>
    <row r="1635" ht="23.25" customHeight="1" s="122">
      <c r="H1635" s="55" t="n"/>
      <c r="I1635" s="55" t="n"/>
      <c r="J1635" s="55" t="n"/>
      <c r="K1635" s="55" t="n"/>
      <c r="L1635" s="56" t="n"/>
    </row>
    <row r="1636" ht="23.25" customHeight="1" s="122">
      <c r="H1636" s="55" t="n"/>
      <c r="I1636" s="55" t="n"/>
      <c r="J1636" s="55" t="n"/>
      <c r="K1636" s="55" t="n"/>
      <c r="L1636" s="56" t="n"/>
    </row>
    <row r="1637" ht="23.25" customHeight="1" s="122">
      <c r="H1637" s="55" t="n"/>
      <c r="I1637" s="55" t="n"/>
      <c r="J1637" s="55" t="n"/>
      <c r="K1637" s="55" t="n"/>
      <c r="L1637" s="56" t="n"/>
    </row>
    <row r="1638" ht="23.25" customHeight="1" s="122">
      <c r="H1638" s="55" t="n"/>
      <c r="I1638" s="55" t="n"/>
      <c r="J1638" s="55" t="n"/>
      <c r="K1638" s="55" t="n"/>
      <c r="L1638" s="56" t="n"/>
    </row>
    <row r="1639" ht="23.25" customHeight="1" s="122">
      <c r="H1639" s="55" t="n"/>
      <c r="I1639" s="55" t="n"/>
      <c r="J1639" s="55" t="n"/>
      <c r="K1639" s="55" t="n"/>
      <c r="L1639" s="56" t="n"/>
    </row>
    <row r="1640" ht="23.25" customHeight="1" s="122">
      <c r="H1640" s="55" t="n"/>
      <c r="I1640" s="55" t="n"/>
      <c r="J1640" s="55" t="n"/>
      <c r="K1640" s="55" t="n"/>
      <c r="L1640" s="56" t="n"/>
    </row>
    <row r="1641" ht="23.25" customHeight="1" s="122">
      <c r="H1641" s="55" t="n"/>
      <c r="I1641" s="55" t="n"/>
      <c r="J1641" s="55" t="n"/>
      <c r="K1641" s="55" t="n"/>
      <c r="L1641" s="56" t="n"/>
    </row>
    <row r="1642" ht="23.25" customHeight="1" s="122">
      <c r="H1642" s="55" t="n"/>
      <c r="I1642" s="55" t="n"/>
      <c r="J1642" s="55" t="n"/>
      <c r="K1642" s="55" t="n"/>
      <c r="L1642" s="56" t="n"/>
    </row>
    <row r="1643" ht="23.25" customHeight="1" s="122">
      <c r="H1643" s="55" t="n"/>
      <c r="I1643" s="55" t="n"/>
      <c r="J1643" s="55" t="n"/>
      <c r="K1643" s="55" t="n"/>
      <c r="L1643" s="56" t="n"/>
    </row>
    <row r="1644" ht="23.25" customHeight="1" s="122">
      <c r="H1644" s="55" t="n"/>
      <c r="I1644" s="55" t="n"/>
      <c r="J1644" s="55" t="n"/>
      <c r="K1644" s="55" t="n"/>
      <c r="L1644" s="56" t="n"/>
    </row>
    <row r="1645" ht="23.25" customHeight="1" s="122">
      <c r="H1645" s="55" t="n"/>
      <c r="I1645" s="55" t="n"/>
      <c r="J1645" s="55" t="n"/>
      <c r="K1645" s="55" t="n"/>
      <c r="L1645" s="56" t="n"/>
    </row>
    <row r="1646" ht="23.25" customHeight="1" s="122">
      <c r="H1646" s="55" t="n"/>
      <c r="I1646" s="55" t="n"/>
      <c r="J1646" s="55" t="n"/>
      <c r="K1646" s="55" t="n"/>
      <c r="L1646" s="56" t="n"/>
    </row>
    <row r="1647" ht="23.25" customHeight="1" s="122">
      <c r="H1647" s="55" t="n"/>
      <c r="I1647" s="55" t="n"/>
      <c r="J1647" s="55" t="n"/>
      <c r="K1647" s="55" t="n"/>
      <c r="L1647" s="56" t="n"/>
    </row>
    <row r="1648" ht="23.25" customHeight="1" s="122">
      <c r="H1648" s="55" t="n"/>
      <c r="I1648" s="55" t="n"/>
      <c r="J1648" s="55" t="n"/>
      <c r="K1648" s="55" t="n"/>
      <c r="L1648" s="56" t="n"/>
    </row>
    <row r="1649" ht="23.25" customHeight="1" s="122">
      <c r="H1649" s="55" t="n"/>
      <c r="I1649" s="55" t="n"/>
      <c r="J1649" s="55" t="n"/>
      <c r="K1649" s="55" t="n"/>
      <c r="L1649" s="56" t="n"/>
    </row>
    <row r="1650" ht="23.25" customHeight="1" s="122">
      <c r="H1650" s="55" t="n"/>
      <c r="I1650" s="55" t="n"/>
      <c r="J1650" s="55" t="n"/>
      <c r="K1650" s="55" t="n"/>
      <c r="L1650" s="56" t="n"/>
    </row>
  </sheetData>
  <mergeCells count="2">
    <mergeCell ref="A1:D1"/>
    <mergeCell ref="N2:P2"/>
  </mergeCells>
  <conditionalFormatting sqref="E4:G1091 M4:S1091">
    <cfRule type="expression" priority="16" dxfId="60">
      <formula>SEARCH("IN CORSO",$M4)&gt;0</formula>
    </cfRule>
    <cfRule type="expression" priority="97" dxfId="59">
      <formula>SEARCH("CHIUSO",$M4)&gt;0</formula>
    </cfRule>
    <cfRule type="expression" priority="98" dxfId="58">
      <formula>SEARCH("EMESSO",$M4)&gt;0</formula>
    </cfRule>
    <cfRule type="expression" priority="99" dxfId="57">
      <formula>SEARCH("RICHIESTO",$M4)&gt;0</formula>
    </cfRule>
    <cfRule type="expression" priority="100" dxfId="56">
      <formula>SEARCH("DA CHIUDERE",$M4)&gt;0</formula>
    </cfRule>
    <cfRule type="expression" priority="102" dxfId="55">
      <formula>SEARCH("INTERROTTO",$M4)&gt;0</formula>
    </cfRule>
  </conditionalFormatting>
  <pageMargins left="0" right="0" top="0" bottom="0" header="0" footer="0"/>
  <pageSetup orientation="landscape" paperSize="9" scale="85" fitToHeight="0" blackAndWhite="1" horizontalDpi="1200" verticalDpi="1200"/>
  <drawing xmlns:r="http://schemas.openxmlformats.org/officeDocument/2006/relationships" r:id="rId1"/>
  <legacyDrawing xmlns:r="http://schemas.openxmlformats.org/officeDocument/2006/relationships" r:id="anysvml"/>
  <tableParts count="1">
    <tablePart xmlns:r="http://schemas.openxmlformats.org/officeDocument/2006/relationships" r:id="rId2"/>
  </tableParts>
</worksheet>
</file>

<file path=xl/worksheets/sheet7.xml><?xml version="1.0" encoding="utf-8"?>
<worksheet xmlns="http://schemas.openxmlformats.org/spreadsheetml/2006/main">
  <sheetPr codeName="Foglio9">
    <outlinePr summaryBelow="1" summaryRight="1"/>
    <pageSetUpPr/>
  </sheetPr>
  <dimension ref="A1:H45"/>
  <sheetViews>
    <sheetView workbookViewId="0">
      <selection activeCell="C5" sqref="C5"/>
    </sheetView>
  </sheetViews>
  <sheetFormatPr baseColWidth="8" defaultRowHeight="14.25"/>
  <cols>
    <col width="10" bestFit="1" customWidth="1" style="122" min="1" max="2"/>
    <col width="8.75" bestFit="1" customWidth="1" style="122" min="3" max="3"/>
    <col width="43.5" bestFit="1" customWidth="1" style="173" min="4" max="4"/>
    <col width="11" customWidth="1" style="122" min="5" max="8"/>
  </cols>
  <sheetData>
    <row r="1" ht="15" customHeight="1" s="122">
      <c r="A1" s="192" t="inlineStr">
        <is>
          <t>AREA</t>
        </is>
      </c>
      <c r="B1" s="192" t="inlineStr">
        <is>
          <t>IMPIANTO</t>
        </is>
      </c>
      <c r="C1" s="192" t="inlineStr">
        <is>
          <t>PDL</t>
        </is>
      </c>
      <c r="D1" s="166" t="inlineStr">
        <is>
          <t>DESCRIZIONE PDL</t>
        </is>
      </c>
      <c r="E1" s="192" t="inlineStr">
        <is>
          <t>BARCODE</t>
        </is>
      </c>
      <c r="F1" s="218" t="n"/>
      <c r="G1" s="218" t="n"/>
      <c r="H1" s="219" t="n"/>
    </row>
    <row r="2" ht="68.25" customHeight="1" s="122">
      <c r="A2" s="167" t="inlineStr">
        <is>
          <t>AREA 3</t>
        </is>
      </c>
      <c r="B2" s="87" t="inlineStr">
        <is>
          <t>2200 BD</t>
        </is>
      </c>
      <c r="C2" s="87" t="inlineStr">
        <is>
          <t>545915/C</t>
        </is>
      </c>
      <c r="D2" s="167" t="inlineStr">
        <is>
          <t>10227999  2200: MTZ 22L534R controllo e ripristino</t>
        </is>
      </c>
      <c r="E2" s="191">
        <f>IF(C2="", "", "*" &amp; C2 &amp; "*")</f>
        <v/>
      </c>
      <c r="F2" s="218" t="n"/>
      <c r="G2" s="218" t="n"/>
      <c r="H2" s="219" t="n"/>
    </row>
    <row r="3" ht="68.25" customHeight="1" s="122">
      <c r="A3" s="167" t="inlineStr">
        <is>
          <t>AREA 3</t>
        </is>
      </c>
      <c r="B3" s="87" t="n">
        <v>700</v>
      </c>
      <c r="C3" s="87" t="inlineStr">
        <is>
          <t>545575/C</t>
        </is>
      </c>
      <c r="D3" s="167" t="inlineStr">
        <is>
          <t>10227790 - 700: VERIFICA 07T165I</t>
        </is>
      </c>
      <c r="E3" s="191">
        <f>IF(C3="", "", "*" &amp; C3 &amp; "*")</f>
        <v/>
      </c>
      <c r="F3" s="218" t="n"/>
      <c r="G3" s="218" t="n"/>
      <c r="H3" s="219" t="n"/>
    </row>
    <row r="4" ht="68.25" customHeight="1" s="122">
      <c r="A4" s="167" t="inlineStr">
        <is>
          <t>BLENDING</t>
        </is>
      </c>
      <c r="B4" s="87" t="inlineStr">
        <is>
          <t>BLENDING</t>
        </is>
      </c>
      <c r="C4" s="87" t="inlineStr">
        <is>
          <t>539444/C</t>
        </is>
      </c>
      <c r="D4" s="167" t="inlineStr">
        <is>
          <t>Verifica funzionalità livellostato L619HA</t>
        </is>
      </c>
      <c r="E4" s="191">
        <f>IF(C4="", "", "*" &amp; C4 &amp; "*")</f>
        <v/>
      </c>
      <c r="F4" s="218" t="n"/>
      <c r="G4" s="218" t="n"/>
      <c r="H4" s="219" t="n"/>
    </row>
    <row r="5" ht="68.25" customHeight="1" s="122">
      <c r="A5" s="167" t="inlineStr">
        <is>
          <t>BLENDING</t>
        </is>
      </c>
      <c r="B5" s="87" t="inlineStr">
        <is>
          <t>BLENDING</t>
        </is>
      </c>
      <c r="C5" s="87" t="inlineStr">
        <is>
          <t>539448/C</t>
        </is>
      </c>
      <c r="D5" s="167" t="inlineStr">
        <is>
          <t>Verifica funzionalità livellostato L621HA</t>
        </is>
      </c>
      <c r="E5" s="191">
        <f>IF(C5="", "", "*" &amp; C5 &amp; "*")</f>
        <v/>
      </c>
      <c r="F5" s="218" t="n"/>
      <c r="G5" s="218" t="n"/>
      <c r="H5" s="219" t="n"/>
    </row>
    <row r="6" ht="68.25" customHeight="1" s="122">
      <c r="A6" s="167" t="inlineStr">
        <is>
          <t>BLENDING</t>
        </is>
      </c>
      <c r="B6" s="87" t="inlineStr">
        <is>
          <t>BLENDING</t>
        </is>
      </c>
      <c r="C6" s="87" t="inlineStr">
        <is>
          <t>539454/C</t>
        </is>
      </c>
      <c r="D6" s="167" t="inlineStr">
        <is>
          <t>Verifica funzionalità livellostato L622HA</t>
        </is>
      </c>
      <c r="E6" s="191">
        <f>IF(C6="", "", "*" &amp; C6 &amp; "*")</f>
        <v/>
      </c>
      <c r="F6" s="218" t="n"/>
      <c r="G6" s="218" t="n"/>
      <c r="H6" s="219" t="n"/>
    </row>
    <row r="7" ht="68.25" customHeight="1" s="122">
      <c r="A7" s="167" t="inlineStr">
        <is>
          <t>BLENDING</t>
        </is>
      </c>
      <c r="B7" s="87" t="inlineStr">
        <is>
          <t>BLENDING</t>
        </is>
      </c>
      <c r="C7" s="87" t="inlineStr">
        <is>
          <t>539438/C</t>
        </is>
      </c>
      <c r="D7" s="167" t="inlineStr">
        <is>
          <t>Verifica funzionalità livellostato L614HA</t>
        </is>
      </c>
      <c r="E7" s="191">
        <f>IF(C7="", "", "*" &amp; C7 &amp; "*")</f>
        <v/>
      </c>
      <c r="F7" s="218" t="n"/>
      <c r="G7" s="218" t="n"/>
      <c r="H7" s="219" t="n"/>
    </row>
    <row r="8" ht="68.25" customHeight="1" s="122">
      <c r="A8" s="167" t="inlineStr">
        <is>
          <t>BLENDING</t>
        </is>
      </c>
      <c r="B8" s="87" t="inlineStr">
        <is>
          <t>BLENDING</t>
        </is>
      </c>
      <c r="C8" s="87" t="inlineStr">
        <is>
          <t>539467/C</t>
        </is>
      </c>
      <c r="D8" s="167" t="inlineStr">
        <is>
          <t>Verifica funzionalità livellostato L623HA</t>
        </is>
      </c>
      <c r="E8" s="191">
        <f>IF(C8="", "", "*" &amp; C8 &amp; "*")</f>
        <v/>
      </c>
      <c r="F8" s="218" t="n"/>
      <c r="G8" s="218" t="n"/>
      <c r="H8" s="219" t="n"/>
    </row>
    <row r="9" ht="68.25" customHeight="1" s="122">
      <c r="A9" s="167" t="inlineStr">
        <is>
          <t>BLENDING</t>
        </is>
      </c>
      <c r="B9" s="87" t="n">
        <v>6000</v>
      </c>
      <c r="C9" s="87" t="inlineStr">
        <is>
          <t>543006/C</t>
        </is>
      </c>
      <c r="D9" s="167" t="inlineStr">
        <is>
          <t>Controllo e ripristino livello D105 filtri sale</t>
        </is>
      </c>
      <c r="E9" s="191">
        <f>IF(C9="", "", "*" &amp; C9 &amp; "*")</f>
        <v/>
      </c>
      <c r="F9" s="218" t="n"/>
      <c r="G9" s="218" t="n"/>
      <c r="H9" s="219" t="n"/>
    </row>
    <row r="10" ht="68.25" customHeight="1" s="122">
      <c r="A10" s="167" t="inlineStr">
        <is>
          <t>BLENDING</t>
        </is>
      </c>
      <c r="B10" s="87" t="n">
        <v>6000</v>
      </c>
      <c r="C10" s="87" t="inlineStr">
        <is>
          <t>543010/C</t>
        </is>
      </c>
      <c r="D10" s="167" t="inlineStr">
        <is>
          <t>Ripristino L114SL livello D106 filtri sale</t>
        </is>
      </c>
      <c r="E10" s="191">
        <f>IF(C10="", "", "*" &amp; C10 &amp; "*")</f>
        <v/>
      </c>
      <c r="F10" s="218" t="n"/>
      <c r="G10" s="218" t="n"/>
      <c r="H10" s="219" t="n"/>
    </row>
    <row r="11" ht="68.25" customHeight="1" s="122">
      <c r="A11" s="167" t="n"/>
      <c r="B11" s="87" t="n"/>
      <c r="C11" s="87" t="n"/>
      <c r="D11" s="167" t="n"/>
      <c r="E11" s="191">
        <f>IF(C11="", "", "*" &amp; C11 &amp; "*")</f>
        <v/>
      </c>
      <c r="F11" s="218" t="n"/>
      <c r="G11" s="218" t="n"/>
      <c r="H11" s="219" t="n"/>
    </row>
    <row r="12" ht="68.25" customHeight="1" s="122">
      <c r="A12" s="167" t="n"/>
      <c r="B12" s="87" t="n"/>
      <c r="C12" s="87" t="n"/>
      <c r="D12" s="167" t="n"/>
      <c r="E12" s="191">
        <f>IF(C12="", "", "*" &amp; C12 &amp; "*")</f>
        <v/>
      </c>
      <c r="F12" s="218" t="n"/>
      <c r="G12" s="218" t="n"/>
      <c r="H12" s="219" t="n"/>
    </row>
    <row r="13" ht="68.25" customHeight="1" s="122">
      <c r="A13" s="167" t="n"/>
      <c r="B13" s="87" t="n"/>
      <c r="C13" s="87" t="n"/>
      <c r="D13" s="167" t="n"/>
      <c r="E13" s="191">
        <f>IF(C13="", "", "*" &amp; C13 &amp; "*")</f>
        <v/>
      </c>
      <c r="F13" s="218" t="n"/>
      <c r="G13" s="218" t="n"/>
      <c r="H13" s="219" t="n"/>
    </row>
    <row r="14" ht="68.25" customHeight="1" s="122">
      <c r="A14" s="167" t="n"/>
      <c r="B14" s="87" t="n"/>
      <c r="C14" s="87" t="n"/>
      <c r="D14" s="167" t="n"/>
      <c r="E14" s="191">
        <f>IF(C14="", "", "*" &amp; C14 &amp; "*")</f>
        <v/>
      </c>
      <c r="F14" s="218" t="n"/>
      <c r="G14" s="218" t="n"/>
      <c r="H14" s="219" t="n"/>
    </row>
    <row r="15" ht="68.25" customHeight="1" s="122">
      <c r="A15" s="167" t="n"/>
      <c r="B15" s="87" t="n"/>
      <c r="C15" s="87" t="n"/>
      <c r="D15" s="167" t="n"/>
      <c r="E15" s="191">
        <f>IF(C15="", "", "*" &amp; C15 &amp; "*")</f>
        <v/>
      </c>
      <c r="F15" s="218" t="n"/>
      <c r="G15" s="218" t="n"/>
      <c r="H15" s="219" t="n"/>
    </row>
    <row r="16" ht="68.25" customHeight="1" s="122">
      <c r="A16" s="167" t="n"/>
      <c r="B16" s="87" t="n"/>
      <c r="C16" s="87" t="n"/>
      <c r="D16" s="167" t="n"/>
      <c r="E16" s="191">
        <f>IF(C16="", "", "*" &amp; C16 &amp; "*")</f>
        <v/>
      </c>
      <c r="F16" s="218" t="n"/>
      <c r="G16" s="218" t="n"/>
      <c r="H16" s="219" t="n"/>
    </row>
    <row r="17" ht="68.25" customHeight="1" s="122">
      <c r="A17" s="167" t="n"/>
      <c r="B17" s="87" t="n"/>
      <c r="C17" s="87" t="n"/>
      <c r="D17" s="167" t="n"/>
      <c r="E17" s="191">
        <f>IF(C17="", "", "*" &amp; C17 &amp; "*")</f>
        <v/>
      </c>
      <c r="F17" s="218" t="n"/>
      <c r="G17" s="218" t="n"/>
      <c r="H17" s="219" t="n"/>
    </row>
    <row r="18" ht="68.25" customHeight="1" s="122">
      <c r="A18" s="167" t="n"/>
      <c r="B18" s="87" t="n"/>
      <c r="C18" s="87" t="n"/>
      <c r="D18" s="167" t="n"/>
      <c r="E18" s="191">
        <f>IF(C18="", "", "*" &amp; C18 &amp; "*")</f>
        <v/>
      </c>
      <c r="F18" s="218" t="n"/>
      <c r="G18" s="218" t="n"/>
      <c r="H18" s="219" t="n"/>
    </row>
    <row r="19" ht="68.25" customHeight="1" s="122">
      <c r="A19" s="167" t="n"/>
      <c r="B19" s="87" t="n"/>
      <c r="C19" s="87" t="n"/>
      <c r="D19" s="167" t="n"/>
      <c r="E19" s="191">
        <f>IF(C19="", "", "*" &amp; C19 &amp; "*")</f>
        <v/>
      </c>
      <c r="F19" s="218" t="n"/>
      <c r="G19" s="218" t="n"/>
      <c r="H19" s="219" t="n"/>
    </row>
    <row r="20" ht="68.25" customHeight="1" s="122">
      <c r="A20" s="167" t="n"/>
      <c r="B20" s="87" t="n"/>
      <c r="C20" s="87" t="n"/>
      <c r="D20" s="167" t="n"/>
      <c r="E20" s="191">
        <f>IF(C20="", "", "*" &amp; C20 &amp; "*")</f>
        <v/>
      </c>
      <c r="F20" s="218" t="n"/>
      <c r="G20" s="218" t="n"/>
      <c r="H20" s="219" t="n"/>
    </row>
    <row r="21" ht="68.25" customHeight="1" s="122">
      <c r="A21" s="164" t="n"/>
      <c r="B21" s="197" t="n"/>
      <c r="C21" s="197" t="n"/>
      <c r="D21" s="164" t="n"/>
      <c r="E21" s="190" t="n"/>
    </row>
    <row r="22" ht="68.25" customHeight="1" s="122">
      <c r="A22" s="164" t="n"/>
      <c r="B22" s="197" t="n"/>
      <c r="C22" s="197" t="n"/>
      <c r="D22" s="164" t="n"/>
      <c r="E22" s="190" t="n"/>
    </row>
    <row r="23" ht="68.25" customHeight="1" s="122">
      <c r="A23" s="164" t="n"/>
      <c r="B23" s="197" t="n"/>
      <c r="C23" s="197" t="n"/>
      <c r="D23" s="164" t="n"/>
      <c r="E23" s="190" t="n"/>
    </row>
    <row r="24" ht="68.25" customHeight="1" s="122">
      <c r="A24" s="164" t="n"/>
      <c r="B24" s="197" t="n"/>
      <c r="C24" s="197" t="n"/>
      <c r="D24" s="164" t="n"/>
      <c r="E24" s="190" t="n"/>
    </row>
    <row r="25" ht="68.25" customHeight="1" s="122">
      <c r="A25" s="164" t="n"/>
      <c r="B25" s="197" t="n"/>
      <c r="C25" s="197" t="n"/>
      <c r="D25" s="164" t="n"/>
      <c r="E25" s="190" t="n"/>
    </row>
    <row r="26" ht="68.25" customHeight="1" s="122">
      <c r="A26" s="164" t="n"/>
      <c r="B26" s="197" t="n"/>
      <c r="C26" s="197" t="n"/>
      <c r="D26" s="164" t="n"/>
      <c r="E26" s="190" t="n"/>
    </row>
    <row r="27" ht="68.25" customHeight="1" s="122">
      <c r="A27" s="164" t="n"/>
      <c r="B27" s="197" t="n"/>
      <c r="C27" s="197" t="n"/>
      <c r="D27" s="164" t="n"/>
      <c r="E27" s="190" t="n"/>
    </row>
    <row r="28" ht="68.25" customHeight="1" s="122">
      <c r="A28" s="164" t="n"/>
      <c r="B28" s="197" t="n"/>
      <c r="C28" s="197" t="n"/>
      <c r="D28" s="164" t="n"/>
      <c r="E28" s="190" t="n"/>
    </row>
    <row r="29" ht="68.25" customHeight="1" s="122">
      <c r="A29" s="164" t="n"/>
      <c r="B29" s="197" t="n"/>
      <c r="C29" s="197" t="n"/>
      <c r="D29" s="164" t="n"/>
      <c r="E29" s="190" t="n"/>
    </row>
    <row r="30" ht="68.25" customHeight="1" s="122">
      <c r="A30" s="164" t="n"/>
      <c r="B30" s="197" t="n"/>
      <c r="C30" s="197" t="n"/>
      <c r="D30" s="164" t="n"/>
      <c r="E30" s="190" t="n"/>
    </row>
    <row r="31" ht="68.25" customHeight="1" s="122">
      <c r="A31" s="164" t="n"/>
      <c r="B31" s="197" t="n"/>
      <c r="C31" s="197" t="n"/>
      <c r="D31" s="164" t="n"/>
      <c r="E31" s="190" t="n"/>
    </row>
    <row r="32" ht="68.25" customHeight="1" s="122">
      <c r="A32" s="164" t="n"/>
      <c r="B32" s="197" t="n"/>
      <c r="C32" s="197" t="n"/>
      <c r="D32" s="164" t="n"/>
      <c r="E32" s="190" t="n"/>
    </row>
    <row r="33" ht="68.25" customHeight="1" s="122">
      <c r="A33" s="164" t="n"/>
      <c r="B33" s="197" t="n"/>
      <c r="C33" s="197" t="n"/>
      <c r="D33" s="164" t="n"/>
      <c r="E33" s="190" t="n"/>
    </row>
    <row r="34" ht="68.25" customHeight="1" s="122">
      <c r="A34" s="164" t="n"/>
      <c r="B34" s="197" t="n"/>
      <c r="C34" s="197" t="n"/>
      <c r="D34" s="164" t="n"/>
      <c r="E34" s="190" t="n"/>
    </row>
    <row r="35" ht="68.25" customHeight="1" s="122">
      <c r="A35" s="164" t="n"/>
      <c r="B35" s="197" t="n"/>
      <c r="C35" s="197" t="n"/>
      <c r="D35" s="164" t="n"/>
      <c r="E35" s="190" t="n"/>
    </row>
    <row r="36" ht="68.25" customHeight="1" s="122">
      <c r="A36" s="164" t="n"/>
      <c r="B36" s="197" t="n"/>
      <c r="C36" s="197" t="n"/>
      <c r="D36" s="164" t="n"/>
      <c r="E36" s="190" t="n"/>
    </row>
    <row r="37" ht="68.25" customHeight="1" s="122">
      <c r="A37" s="164" t="n"/>
      <c r="B37" s="197" t="n"/>
      <c r="C37" s="197" t="n"/>
      <c r="D37" s="164" t="n"/>
      <c r="E37" s="190" t="n"/>
    </row>
    <row r="38" ht="68.25" customHeight="1" s="122">
      <c r="A38" s="164" t="n"/>
      <c r="B38" s="197" t="n"/>
      <c r="C38" s="197" t="n"/>
      <c r="D38" s="164" t="n"/>
      <c r="E38" s="190" t="n"/>
    </row>
    <row r="39" ht="68.25" customHeight="1" s="122">
      <c r="A39" s="164" t="n"/>
      <c r="B39" s="197" t="n"/>
      <c r="C39" s="197" t="n"/>
      <c r="D39" s="164" t="n"/>
      <c r="E39" s="190" t="n"/>
    </row>
    <row r="40" ht="68.25" customHeight="1" s="122">
      <c r="A40" s="164" t="n"/>
      <c r="B40" s="197" t="n"/>
      <c r="C40" s="197" t="n"/>
      <c r="D40" s="164" t="n"/>
      <c r="E40" s="190" t="n"/>
    </row>
    <row r="41" ht="68.25" customHeight="1" s="122">
      <c r="A41" s="164" t="n"/>
      <c r="B41" s="197" t="n"/>
      <c r="C41" s="197" t="n"/>
      <c r="D41" s="164" t="n"/>
      <c r="E41" s="190" t="n"/>
    </row>
    <row r="42" ht="68.25" customHeight="1" s="122">
      <c r="A42" s="164" t="n"/>
      <c r="B42" s="197" t="n"/>
      <c r="C42" s="197" t="n"/>
      <c r="D42" s="164" t="n"/>
      <c r="E42" s="190" t="n"/>
    </row>
    <row r="43" ht="68.25" customHeight="1" s="122">
      <c r="A43" s="164" t="n"/>
      <c r="B43" s="197" t="n"/>
      <c r="C43" s="197" t="n"/>
      <c r="D43" s="164" t="n"/>
      <c r="E43" s="190" t="n"/>
    </row>
    <row r="44" ht="68.25" customHeight="1" s="122">
      <c r="A44" s="164" t="n"/>
      <c r="B44" s="197" t="n"/>
      <c r="C44" s="197" t="n"/>
      <c r="D44" s="164" t="n"/>
      <c r="E44" s="190" t="n"/>
    </row>
    <row r="45" ht="68.25" customHeight="1" s="122">
      <c r="A45" s="164" t="n"/>
      <c r="B45" s="197" t="n"/>
      <c r="C45" s="197" t="n"/>
      <c r="D45" s="164" t="n"/>
      <c r="E45" s="190" t="n"/>
    </row>
  </sheetData>
  <mergeCells count="45">
    <mergeCell ref="E45:H45"/>
    <mergeCell ref="E26:H26"/>
    <mergeCell ref="E16:H16"/>
    <mergeCell ref="E7:H7"/>
    <mergeCell ref="E25:H25"/>
    <mergeCell ref="E41:H41"/>
    <mergeCell ref="E32:H32"/>
    <mergeCell ref="E37:H37"/>
    <mergeCell ref="E22:H22"/>
    <mergeCell ref="E18:H18"/>
    <mergeCell ref="E3:H3"/>
    <mergeCell ref="E43:H43"/>
    <mergeCell ref="E12:H12"/>
    <mergeCell ref="E21:H21"/>
    <mergeCell ref="E33:H33"/>
    <mergeCell ref="E24:H24"/>
    <mergeCell ref="E42:H42"/>
    <mergeCell ref="E5:H5"/>
    <mergeCell ref="E14:H14"/>
    <mergeCell ref="E23:H23"/>
    <mergeCell ref="E17:H17"/>
    <mergeCell ref="E39:H39"/>
    <mergeCell ref="E8:H8"/>
    <mergeCell ref="E35:H35"/>
    <mergeCell ref="E4:H4"/>
    <mergeCell ref="E20:H20"/>
    <mergeCell ref="E44:H44"/>
    <mergeCell ref="E38:H38"/>
    <mergeCell ref="E29:H29"/>
    <mergeCell ref="E1:H1"/>
    <mergeCell ref="E19:H19"/>
    <mergeCell ref="E10:H10"/>
    <mergeCell ref="E28:H28"/>
    <mergeCell ref="E13:H13"/>
    <mergeCell ref="E40:H40"/>
    <mergeCell ref="E9:H9"/>
    <mergeCell ref="E31:H31"/>
    <mergeCell ref="E34:H34"/>
    <mergeCell ref="E6:H6"/>
    <mergeCell ref="E30:H30"/>
    <mergeCell ref="E15:H15"/>
    <mergeCell ref="E11:H11"/>
    <mergeCell ref="E27:H27"/>
    <mergeCell ref="E2:H2"/>
    <mergeCell ref="E36:H36"/>
  </mergeCells>
  <pageMargins left="0.7" right="0.7" top="0.75" bottom="0.75" header="0.3" footer="0.3"/>
</worksheet>
</file>

<file path=xl/worksheets/sheet8.xml><?xml version="1.0" encoding="utf-8"?>
<worksheet xmlns="http://schemas.openxmlformats.org/spreadsheetml/2006/main">
  <sheetPr codeName="Foglio6">
    <outlinePr summaryBelow="1" summaryRight="1"/>
    <pageSetUpPr/>
  </sheetPr>
  <dimension ref="A1:R29"/>
  <sheetViews>
    <sheetView workbookViewId="0">
      <selection activeCell="B7" sqref="B7"/>
    </sheetView>
  </sheetViews>
  <sheetFormatPr baseColWidth="8" defaultRowHeight="14.25"/>
  <cols>
    <col width="27.125" customWidth="1" style="122" min="1" max="1"/>
    <col width="11.875" customWidth="1" style="122" min="2" max="2"/>
    <col width="2.125" customWidth="1" style="122" min="3" max="4"/>
    <col width="11.5" customWidth="1" style="122" min="7" max="7"/>
    <col width="2.625" customWidth="1" style="122" min="8" max="8"/>
    <col width="8.75" customWidth="1" style="122" min="13" max="13"/>
    <col width="9.875" bestFit="1" customWidth="1" style="122" min="14" max="15"/>
    <col width="10.625" bestFit="1" customWidth="1" style="122" min="16" max="16"/>
    <col width="11.625" bestFit="1" customWidth="1" style="122" min="17" max="17"/>
    <col width="9" bestFit="1" customWidth="1" style="122" min="18" max="18"/>
  </cols>
  <sheetData>
    <row r="1" ht="18" customHeight="1" s="122">
      <c r="A1" s="37" t="inlineStr">
        <is>
          <t>inizio giorno di settimana:</t>
        </is>
      </c>
      <c r="B1" s="12" t="n">
        <v>45929</v>
      </c>
      <c r="E1" s="202" t="inlineStr">
        <is>
          <t>ATTIVITA' AREA 1</t>
        </is>
      </c>
      <c r="F1" s="220" t="n"/>
      <c r="G1" s="221" t="n"/>
      <c r="I1" s="202" t="inlineStr">
        <is>
          <t>ATTIVITA' CTE</t>
        </is>
      </c>
      <c r="J1" s="220" t="n"/>
      <c r="K1" s="221" t="n"/>
      <c r="N1" s="99" t="inlineStr">
        <is>
          <t>dal</t>
        </is>
      </c>
      <c r="O1" s="99" t="inlineStr">
        <is>
          <t>al</t>
        </is>
      </c>
      <c r="P1" t="inlineStr">
        <is>
          <t>Credenziali</t>
        </is>
      </c>
      <c r="Q1" t="inlineStr">
        <is>
          <t>SAFEWORK</t>
        </is>
      </c>
      <c r="R1" t="inlineStr">
        <is>
          <t>Caldarella</t>
        </is>
      </c>
    </row>
    <row r="2" ht="15.75" customHeight="1" s="122">
      <c r="A2" s="197">
        <f>"Programmazione dal "&amp;TEXT(N2,"gg/mm/aaaa")&amp;" al "&amp;TEXT(O2,"gg/mm/aaaa")</f>
        <v/>
      </c>
      <c r="E2" s="200" t="inlineStr">
        <is>
          <t>DA PROCESSARE</t>
        </is>
      </c>
      <c r="F2" s="219" t="n"/>
      <c r="G2" s="57">
        <f>COUNTIF(TabellaA1[STATO
PdL], "RICHIESTO")</f>
        <v/>
      </c>
      <c r="I2" s="200" t="inlineStr">
        <is>
          <t>DA PROCESSARE</t>
        </is>
      </c>
      <c r="J2" s="219" t="n"/>
      <c r="K2" s="57">
        <f>COUNTIF(TabellaCTE[STATO
PdL], "RICHIESTO")</f>
        <v/>
      </c>
      <c r="N2" s="99">
        <f>INDIRECT("'A3'!H2")</f>
        <v/>
      </c>
      <c r="O2" s="99">
        <f>INDIRECT("'A3'!l2")</f>
        <v/>
      </c>
      <c r="P2" t="inlineStr">
        <is>
          <t>ID</t>
        </is>
      </c>
      <c r="Q2" t="inlineStr">
        <is>
          <t>password</t>
        </is>
      </c>
    </row>
    <row r="3" ht="15.75" customHeight="1" s="122">
      <c r="A3" s="37" t="inlineStr">
        <is>
          <t>filtro PO:</t>
        </is>
      </c>
      <c r="B3" s="99">
        <f>IF(AND(B6="NO",B7="NO"),TODAY(),IF(B6="SI",TODAY()+1,IF(B7="SI",DATE(B5,O3,O4),"")))</f>
        <v/>
      </c>
      <c r="E3" s="198" t="inlineStr">
        <is>
          <t>EMESSI</t>
        </is>
      </c>
      <c r="F3" s="219" t="n"/>
      <c r="G3" s="57">
        <f>COUNTIF(TabellaA1[STATO
PdL], "EMESSO")</f>
        <v/>
      </c>
      <c r="I3" s="198" t="inlineStr">
        <is>
          <t>EMESSI</t>
        </is>
      </c>
      <c r="J3" s="219" t="n"/>
      <c r="K3" s="57">
        <f>COUNTIF(TabellaCTE[STATO
PdL], "EMESSO")</f>
        <v/>
      </c>
      <c r="O3">
        <f>MONTH(B1)</f>
        <v/>
      </c>
      <c r="P3">
        <f>IF(R1="Caldarella","fcaldarella",IF(ISBLANK(R1),"",""))</f>
        <v/>
      </c>
      <c r="Q3">
        <f>IF(R1="Caldarella","freddy69$","")</f>
        <v/>
      </c>
    </row>
    <row r="4" ht="15.6" customHeight="1" s="122">
      <c r="A4" s="37" t="n"/>
      <c r="B4" s="46" t="n"/>
      <c r="E4" s="198" t="inlineStr">
        <is>
          <t>IN CORSO</t>
        </is>
      </c>
      <c r="F4" s="219" t="n"/>
      <c r="G4" s="57">
        <f>COUNTIF(TabellaA1[STATO
PdL], "IN CORSO")</f>
        <v/>
      </c>
      <c r="I4" s="198" t="inlineStr">
        <is>
          <t>IN CORSO</t>
        </is>
      </c>
      <c r="J4" s="219" t="n"/>
      <c r="K4" s="57">
        <f>COUNTIF(TabellaCTE[STATO
PdL], "IN CORSO")</f>
        <v/>
      </c>
      <c r="O4">
        <f>DAY(B1)</f>
        <v/>
      </c>
    </row>
    <row r="5" ht="15.6" customHeight="1" s="122">
      <c r="A5" t="inlineStr">
        <is>
          <t>ANNO DI RIFERIMENTO</t>
        </is>
      </c>
      <c r="B5" t="n">
        <v>2025</v>
      </c>
      <c r="E5" s="198" t="inlineStr">
        <is>
          <t>INTERROTTI</t>
        </is>
      </c>
      <c r="F5" s="219" t="n"/>
      <c r="G5" s="57">
        <f>COUNTIF(TabellaA1[STATO
PdL], "INTERROTTO")</f>
        <v/>
      </c>
      <c r="I5" s="198" t="inlineStr">
        <is>
          <t>INTERROTTI</t>
        </is>
      </c>
      <c r="J5" s="219" t="n"/>
      <c r="K5" s="57">
        <f>COUNTIF(TabellaCTE[STATO
PdL], "INTERROTTO")</f>
        <v/>
      </c>
      <c r="P5" t="inlineStr">
        <is>
          <t>Credenziali</t>
        </is>
      </c>
      <c r="Q5" t="inlineStr">
        <is>
          <t>SAFEWORK</t>
        </is>
      </c>
      <c r="R5" t="inlineStr">
        <is>
          <t>Allegretti</t>
        </is>
      </c>
    </row>
    <row r="6" ht="15.6" customHeight="1" s="122">
      <c r="A6" s="37" t="inlineStr">
        <is>
          <t>PROGR. DOMANI:</t>
        </is>
      </c>
      <c r="B6" s="46" t="inlineStr">
        <is>
          <t>NO</t>
        </is>
      </c>
      <c r="E6" s="198" t="inlineStr">
        <is>
          <t>DA CHIUDERE</t>
        </is>
      </c>
      <c r="F6" s="219" t="n"/>
      <c r="G6" s="57">
        <f>COUNTIF(TabellaA1[STATO
PdL], "DA CHIUDERE")</f>
        <v/>
      </c>
      <c r="I6" s="198" t="inlineStr">
        <is>
          <t>DA CHIUDERE</t>
        </is>
      </c>
      <c r="J6" s="219" t="n"/>
      <c r="K6" s="57">
        <f>COUNTIF(TabellaCTE[STATO
PdL], "DA CHIUDERE")</f>
        <v/>
      </c>
      <c r="P6" t="inlineStr">
        <is>
          <t>ID</t>
        </is>
      </c>
      <c r="Q6" t="inlineStr">
        <is>
          <t>password</t>
        </is>
      </c>
    </row>
    <row r="7" ht="15.75" customHeight="1" s="122">
      <c r="A7" s="37" t="inlineStr">
        <is>
          <t>PROGR. LUNEDI:</t>
        </is>
      </c>
      <c r="B7" s="46" t="inlineStr">
        <is>
          <t>NO</t>
        </is>
      </c>
      <c r="E7" s="198" t="inlineStr">
        <is>
          <t>CHIUSI</t>
        </is>
      </c>
      <c r="F7" s="219" t="n"/>
      <c r="G7" s="57">
        <f>COUNTIF(TabellaA1[STATO
PdL], "CHIUSO")</f>
        <v/>
      </c>
      <c r="I7" s="198" t="inlineStr">
        <is>
          <t>CHIUSI</t>
        </is>
      </c>
      <c r="J7" s="219" t="n"/>
      <c r="K7" s="58">
        <f>COUNTIF(TabellaCTE[STATO
PdL], "CHIUSO")</f>
        <v/>
      </c>
      <c r="P7">
        <f>IF(R5="Allegretti","gallegretti95",IF(R5="Millo","fmillo73",IF(ISBLANK(R5),"","")))</f>
        <v/>
      </c>
      <c r="Q7">
        <f>IF(R5="Allegretti","coemi.2024",IF(R5="Millo","millo.1973",""))</f>
        <v/>
      </c>
    </row>
    <row r="8" ht="15.75" customHeight="1" s="122">
      <c r="E8" s="198" t="inlineStr">
        <is>
          <t>PROG.OGGI</t>
        </is>
      </c>
      <c r="F8" s="219" t="n"/>
      <c r="G8" s="57">
        <f>COUNTIF(TabellaA1[PO], "X")</f>
        <v/>
      </c>
      <c r="I8" s="198" t="inlineStr">
        <is>
          <t>PROG.OGGI</t>
        </is>
      </c>
      <c r="J8" s="219" t="n"/>
      <c r="K8" s="57">
        <f>COUNTIF(TabellaCTE[PO], "X")</f>
        <v/>
      </c>
    </row>
    <row r="9" ht="16.5" customHeight="1" s="122" thickBot="1">
      <c r="E9" s="195" t="inlineStr">
        <is>
          <t>PROG.SETT.</t>
        </is>
      </c>
      <c r="F9" s="222" t="n"/>
      <c r="G9" s="59">
        <f>COUNTIF(TabellaA1[PS], "X")</f>
        <v/>
      </c>
      <c r="I9" s="195" t="inlineStr">
        <is>
          <t>PROG.SETT.</t>
        </is>
      </c>
      <c r="J9" s="222" t="n"/>
      <c r="K9" s="59">
        <f>COUNTIF(TabellaCTE[PS], "X")</f>
        <v/>
      </c>
    </row>
    <row r="10" ht="38.25" customHeight="1" s="122" thickBot="1">
      <c r="R10" s="42" t="n"/>
    </row>
    <row r="11" ht="15.6" customHeight="1" s="122">
      <c r="A11" s="43" t="n"/>
      <c r="E11" s="202" t="inlineStr">
        <is>
          <t>ATTIVITA' AREA 2</t>
        </is>
      </c>
      <c r="F11" s="220" t="n"/>
      <c r="G11" s="221" t="n"/>
      <c r="I11" s="202" t="inlineStr">
        <is>
          <t>ATTIVITA' BLENDING</t>
        </is>
      </c>
      <c r="J11" s="220" t="n"/>
      <c r="K11" s="221" t="n"/>
    </row>
    <row r="12" ht="15.6" customHeight="1" s="122">
      <c r="E12" s="200" t="inlineStr">
        <is>
          <t>DA PROCESSARE</t>
        </is>
      </c>
      <c r="F12" s="219" t="n"/>
      <c r="G12" s="57">
        <f>COUNTIF(Tabella1[STATO
PdL], "RICHIESTO")</f>
        <v/>
      </c>
      <c r="I12" s="200" t="inlineStr">
        <is>
          <t>DA PROCESSARE</t>
        </is>
      </c>
      <c r="J12" s="219" t="n"/>
      <c r="K12" s="57">
        <f>COUNTIF(TabellaBLENDING[STATO
PdL], "RICHIESTO")</f>
        <v/>
      </c>
    </row>
    <row r="13" ht="15.6" customHeight="1" s="122">
      <c r="E13" s="198" t="inlineStr">
        <is>
          <t>EMESSI</t>
        </is>
      </c>
      <c r="F13" s="219" t="n"/>
      <c r="G13" s="57">
        <f>COUNTIF(Tabella1[STATO
PdL], "EMESSO")</f>
        <v/>
      </c>
      <c r="I13" s="198" t="inlineStr">
        <is>
          <t>EMESSI</t>
        </is>
      </c>
      <c r="J13" s="219" t="n"/>
      <c r="K13" s="57">
        <f>COUNTIF(TabellaBLENDING[STATO
PdL], "EMESSO")</f>
        <v/>
      </c>
    </row>
    <row r="14" ht="15.6" customHeight="1" s="122">
      <c r="E14" s="198" t="inlineStr">
        <is>
          <t>IN CORSO</t>
        </is>
      </c>
      <c r="F14" s="219" t="n"/>
      <c r="G14" s="57">
        <f>COUNTIF(Tabella1[STATO
PdL], "IN CORSO")</f>
        <v/>
      </c>
      <c r="I14" s="198" t="inlineStr">
        <is>
          <t>IN CORSO</t>
        </is>
      </c>
      <c r="J14" s="219" t="n"/>
      <c r="K14" s="57">
        <f>COUNTIF(TabellaBLENDING[STATO
PdL], "IN CORSO")</f>
        <v/>
      </c>
    </row>
    <row r="15" ht="15.75" customHeight="1" s="122">
      <c r="E15" s="198" t="inlineStr">
        <is>
          <t>INTERROTTI</t>
        </is>
      </c>
      <c r="F15" s="219" t="n"/>
      <c r="G15" s="57">
        <f>COUNTIF(Tabella1[STATO
PdL], "INTERROTTO")</f>
        <v/>
      </c>
      <c r="I15" s="198" t="inlineStr">
        <is>
          <t>INTERROTTI</t>
        </is>
      </c>
      <c r="J15" s="219" t="n"/>
      <c r="K15" s="57">
        <f>COUNTIF(TabellaBLENDING[STATO
PdL], "INTERROTTO")</f>
        <v/>
      </c>
    </row>
    <row r="16" ht="15.75" customHeight="1" s="122">
      <c r="E16" s="198" t="inlineStr">
        <is>
          <t>DA CHIUDERE</t>
        </is>
      </c>
      <c r="F16" s="219" t="n"/>
      <c r="G16" s="57">
        <f>COUNTIF(Tabella1[STATO
PdL], "DA CHIUDERE")</f>
        <v/>
      </c>
      <c r="I16" s="198" t="inlineStr">
        <is>
          <t>DA CHIUDERE</t>
        </is>
      </c>
      <c r="J16" s="219" t="n"/>
      <c r="K16" s="57">
        <f>COUNTIF(TabellaBLENDING[STATO
PdL], "DA CHIUDERE")</f>
        <v/>
      </c>
    </row>
    <row r="17" ht="15.75" customHeight="1" s="122">
      <c r="E17" s="198" t="inlineStr">
        <is>
          <t>CHIUSI</t>
        </is>
      </c>
      <c r="F17" s="219" t="n"/>
      <c r="G17" s="58">
        <f>COUNTIF(Tabella1[STATO
PdL], "CHIUSO")</f>
        <v/>
      </c>
      <c r="I17" s="198" t="inlineStr">
        <is>
          <t>CHIUSI</t>
        </is>
      </c>
      <c r="J17" s="219" t="n"/>
      <c r="K17" s="58">
        <f>COUNTIF(TabellaBLENDING[STATO
PdL], "CHIUSO")</f>
        <v/>
      </c>
    </row>
    <row r="18" ht="15.6" customHeight="1" s="122">
      <c r="E18" s="198" t="inlineStr">
        <is>
          <t>PROG.OGGI</t>
        </is>
      </c>
      <c r="F18" s="219" t="n"/>
      <c r="G18" s="57">
        <f>COUNTIF(Tabella1[PO], "X")</f>
        <v/>
      </c>
      <c r="I18" s="198" t="inlineStr">
        <is>
          <t>PROG.OGGI</t>
        </is>
      </c>
      <c r="J18" s="219" t="n"/>
      <c r="K18" s="57">
        <f>COUNTIF(TabellaBLENDING[PO], "X")</f>
        <v/>
      </c>
    </row>
    <row r="19" ht="15.6" customHeight="1" s="122" thickBot="1">
      <c r="E19" s="195" t="inlineStr">
        <is>
          <t>PROG.SETT.</t>
        </is>
      </c>
      <c r="F19" s="222" t="n"/>
      <c r="G19" s="59">
        <f>COUNTIF(Tabella1[PS], "X")</f>
        <v/>
      </c>
      <c r="I19" s="195" t="inlineStr">
        <is>
          <t>PROG.SETT.</t>
        </is>
      </c>
      <c r="J19" s="222" t="n"/>
      <c r="K19" s="59">
        <f>COUNTIF(TabellaBLENDING[PS], "X")</f>
        <v/>
      </c>
    </row>
    <row r="20" ht="47.25" customHeight="1" s="122" thickBot="1"/>
    <row r="21" ht="15.6" customHeight="1" s="122">
      <c r="E21" s="202" t="inlineStr">
        <is>
          <t>ATTIVITA' AREA 3</t>
        </is>
      </c>
      <c r="F21" s="220" t="n"/>
      <c r="G21" s="221" t="n"/>
      <c r="I21" s="202" t="inlineStr">
        <is>
          <t>RIEPILOGO</t>
        </is>
      </c>
      <c r="J21" s="220" t="n"/>
      <c r="K21" s="221" t="n"/>
    </row>
    <row r="22" ht="15.75" customHeight="1" s="122">
      <c r="E22" s="200" t="inlineStr">
        <is>
          <t>DA PROCESSARE</t>
        </is>
      </c>
      <c r="F22" s="219" t="n"/>
      <c r="G22" s="57">
        <f>COUNTIF(Tabella3[STATO
PdL], "RICHIESTO")</f>
        <v/>
      </c>
      <c r="I22" s="200" t="inlineStr">
        <is>
          <t>DA PROCESSARE</t>
        </is>
      </c>
      <c r="J22" s="219" t="n"/>
      <c r="K22" s="57">
        <f>COUNTIF(QueryGenerale[STATO
PdL], "RICHIESTO")</f>
        <v/>
      </c>
    </row>
    <row r="23" ht="15.75" customHeight="1" s="122">
      <c r="E23" s="198" t="inlineStr">
        <is>
          <t>EMESSI</t>
        </is>
      </c>
      <c r="F23" s="219" t="n"/>
      <c r="G23" s="57">
        <f>COUNTIF(Tabella3[STATO
PdL], "EMESSO")</f>
        <v/>
      </c>
      <c r="I23" s="198" t="inlineStr">
        <is>
          <t>EMESSI</t>
        </is>
      </c>
      <c r="J23" s="219" t="n"/>
      <c r="K23" s="57">
        <f>COUNTIF(QueryGenerale[STATO
PdL], "EMESSO")</f>
        <v/>
      </c>
    </row>
    <row r="24" ht="15.75" customHeight="1" s="122">
      <c r="E24" s="198" t="inlineStr">
        <is>
          <t>IN CORSO</t>
        </is>
      </c>
      <c r="F24" s="219" t="n"/>
      <c r="G24" s="57">
        <f>COUNTIF(Tabella3[STATO
PdL], "IN CORSO")</f>
        <v/>
      </c>
      <c r="I24" s="198" t="inlineStr">
        <is>
          <t>IN CORSO</t>
        </is>
      </c>
      <c r="J24" s="219" t="n"/>
      <c r="K24" s="57">
        <f>COUNTIF(QueryGenerale[STATO
PdL], "IN CORSO")</f>
        <v/>
      </c>
    </row>
    <row r="25" ht="18.6" customHeight="1" s="122">
      <c r="A25" s="60" t="inlineStr">
        <is>
          <t>ACCESSO DATI CARICA PROGRAMMAZIONE</t>
        </is>
      </c>
      <c r="B25" s="52" t="inlineStr">
        <is>
          <t>NAS LOCALE PC GIANKY</t>
        </is>
      </c>
      <c r="E25" s="198" t="inlineStr">
        <is>
          <t>INTERROTTI</t>
        </is>
      </c>
      <c r="F25" s="219" t="n"/>
      <c r="G25" s="57">
        <f>COUNTIF(Tabella3[STATO
PdL], "INTERROTTO")</f>
        <v/>
      </c>
      <c r="I25" s="198" t="inlineStr">
        <is>
          <t>INTERROTTI</t>
        </is>
      </c>
      <c r="J25" s="219" t="n"/>
      <c r="K25" s="57">
        <f>COUNTIF(QueryGenerale[STATO
PdL], "INTERROTTO")</f>
        <v/>
      </c>
    </row>
    <row r="26" ht="15.75" customHeight="1" s="122">
      <c r="A26" s="53">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
      </c>
      <c r="B26" s="54" t="n"/>
      <c r="C26" s="54" t="n"/>
      <c r="D26" s="54" t="n"/>
      <c r="E26" s="198" t="inlineStr">
        <is>
          <t>DA CHIUDERE</t>
        </is>
      </c>
      <c r="F26" s="219" t="n"/>
      <c r="G26" s="57">
        <f>COUNTIF(Tabella3[STATO
PdL], "DA CHIUDERE")</f>
        <v/>
      </c>
      <c r="H26" s="54" t="n"/>
      <c r="I26" s="198" t="inlineStr">
        <is>
          <t>DA CHIUDERE</t>
        </is>
      </c>
      <c r="J26" s="219" t="n"/>
      <c r="K26" s="57">
        <f>COUNTIF(QueryGenerale[STATO
PdL], "DA CHIUDERE")</f>
        <v/>
      </c>
    </row>
    <row r="27" ht="15.75" customHeight="1" s="122">
      <c r="A27" s="60" t="inlineStr">
        <is>
          <t>CARICA AVVISI</t>
        </is>
      </c>
      <c r="E27" s="198" t="inlineStr">
        <is>
          <t>CHIUSI</t>
        </is>
      </c>
      <c r="F27" s="219" t="n"/>
      <c r="G27" s="58">
        <f>COUNTIF(Tabella3[STATO
PdL], "CHIUSO")</f>
        <v/>
      </c>
      <c r="I27" s="198" t="inlineStr">
        <is>
          <t>CHIUSI</t>
        </is>
      </c>
      <c r="J27" s="219" t="n"/>
      <c r="K27" s="58">
        <f>COUNTIF(QueryGenerale[STATO
PdL], "CHIUSO")</f>
        <v/>
      </c>
    </row>
    <row r="28" ht="15.75" customHeight="1" s="122">
      <c r="A28" s="53">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
      </c>
      <c r="E28" s="198" t="inlineStr">
        <is>
          <t>PROG.OGGI</t>
        </is>
      </c>
      <c r="F28" s="219" t="n"/>
      <c r="G28" s="57">
        <f>COUNTIF(Tabella3[PO], "X")</f>
        <v/>
      </c>
      <c r="I28" s="198" t="inlineStr">
        <is>
          <t>PROG.OGGI</t>
        </is>
      </c>
      <c r="J28" s="219" t="n"/>
      <c r="K28" s="57">
        <f>COUNTIF(QueryGenerale[PO], "X")</f>
        <v/>
      </c>
    </row>
    <row r="29" ht="16.5" customHeight="1" s="122" thickBot="1">
      <c r="E29" s="195" t="inlineStr">
        <is>
          <t>PROG.SETT.</t>
        </is>
      </c>
      <c r="F29" s="222" t="n"/>
      <c r="G29" s="59">
        <f>COUNTIF(Tabella3[PS], "X")</f>
        <v/>
      </c>
      <c r="I29" s="195" t="inlineStr">
        <is>
          <t>PROG.SETT.</t>
        </is>
      </c>
      <c r="J29" s="222" t="n"/>
      <c r="K29" s="59">
        <f>COUNTIF(QueryGenerale[PS], "X")</f>
        <v/>
      </c>
    </row>
  </sheetData>
  <mergeCells count="55">
    <mergeCell ref="E12:F12"/>
    <mergeCell ref="I6:J6"/>
    <mergeCell ref="E24:F24"/>
    <mergeCell ref="I15:J15"/>
    <mergeCell ref="I2:J2"/>
    <mergeCell ref="E5:F5"/>
    <mergeCell ref="I27:J27"/>
    <mergeCell ref="E23:F23"/>
    <mergeCell ref="E14:F14"/>
    <mergeCell ref="E17:F17"/>
    <mergeCell ref="I21:K21"/>
    <mergeCell ref="I26:J26"/>
    <mergeCell ref="E8:F8"/>
    <mergeCell ref="E4:F4"/>
    <mergeCell ref="E11:G11"/>
    <mergeCell ref="I16:J16"/>
    <mergeCell ref="E29:F29"/>
    <mergeCell ref="I7:J7"/>
    <mergeCell ref="I25:J25"/>
    <mergeCell ref="E19:F19"/>
    <mergeCell ref="I1:K1"/>
    <mergeCell ref="E28:F28"/>
    <mergeCell ref="E13:F13"/>
    <mergeCell ref="I22:J22"/>
    <mergeCell ref="I28:J28"/>
    <mergeCell ref="E9:F9"/>
    <mergeCell ref="I18:J18"/>
    <mergeCell ref="I3:J3"/>
    <mergeCell ref="I12:J12"/>
    <mergeCell ref="A2:B2"/>
    <mergeCell ref="E6:F6"/>
    <mergeCell ref="E15:F15"/>
    <mergeCell ref="E2:F2"/>
    <mergeCell ref="I24:J24"/>
    <mergeCell ref="E27:F27"/>
    <mergeCell ref="I5:J5"/>
    <mergeCell ref="I23:J23"/>
    <mergeCell ref="I14:J14"/>
    <mergeCell ref="I8:J8"/>
    <mergeCell ref="E26:F26"/>
    <mergeCell ref="E21:G21"/>
    <mergeCell ref="I17:J17"/>
    <mergeCell ref="I11:K11"/>
    <mergeCell ref="I29:J29"/>
    <mergeCell ref="I4:J4"/>
    <mergeCell ref="E16:F16"/>
    <mergeCell ref="E7:F7"/>
    <mergeCell ref="E25:F25"/>
    <mergeCell ref="I19:J19"/>
    <mergeCell ref="E22:F22"/>
    <mergeCell ref="I13:J13"/>
    <mergeCell ref="E18:F18"/>
    <mergeCell ref="I9:J9"/>
    <mergeCell ref="E3:F3"/>
    <mergeCell ref="E1:G1"/>
  </mergeCells>
  <dataValidations count="4">
    <dataValidation sqref="B6:B7" showDropDown="0" showInputMessage="1" showErrorMessage="1" allowBlank="1" type="list">
      <formula1>"SI,NO,si,no,"</formula1>
    </dataValidation>
    <dataValidation sqref="B25" showDropDown="0" showInputMessage="1" showErrorMessage="1" allowBlank="1" type="list">
      <formula1>"NAS,NAS LOCALE PC COEMI,NAS LOCALE PC GIANKY,"</formula1>
    </dataValidation>
    <dataValidation sqref="R1" showDropDown="0" showInputMessage="1" showErrorMessage="1" allowBlank="1" type="list">
      <formula1>"Caldarella"</formula1>
    </dataValidation>
    <dataValidation sqref="R5" showDropDown="0" showInputMessage="1" showErrorMessage="1" allowBlank="1" type="list">
      <formula1>"Millo,Allegretti,"</formula1>
    </dataValidation>
  </dataValidations>
  <pageMargins left="0.7" right="0.7" top="0.75" bottom="0.75" header="0.3" footer="0.3"/>
  <pageSetup orientation="portrait" paperSize="9"/>
  <legacyDrawing xmlns:r="http://schemas.openxmlformats.org/officeDocument/2006/relationships" r:id="anysvml"/>
</worksheet>
</file>

<file path=xl/worksheets/sheet9.xml><?xml version="1.0" encoding="utf-8"?>
<worksheet xmlns="http://schemas.openxmlformats.org/spreadsheetml/2006/main">
  <sheetPr codeName="Foglio7">
    <outlinePr summaryBelow="1" summaryRight="1"/>
    <pageSetUpPr/>
  </sheetPr>
  <dimension ref="A1:S161"/>
  <sheetViews>
    <sheetView topLeftCell="A25" workbookViewId="0">
      <selection activeCell="B19" sqref="B19"/>
    </sheetView>
  </sheetViews>
  <sheetFormatPr baseColWidth="8" defaultColWidth="8.75" defaultRowHeight="14.25"/>
  <cols>
    <col width="8.75" bestFit="1" customWidth="1" style="197" min="1" max="1"/>
    <col width="156.5" bestFit="1" customWidth="1" style="164" min="2" max="2"/>
    <col width="23" bestFit="1" customWidth="1" style="197" min="3" max="3"/>
    <col width="12.625" bestFit="1" customWidth="1" style="197" min="4" max="4"/>
    <col width="29.75" bestFit="1" customWidth="1" style="197" min="5" max="5"/>
    <col width="22.25" bestFit="1" customWidth="1" style="197" min="6" max="6"/>
    <col width="18.75" bestFit="1" customWidth="1" style="197" min="7" max="7"/>
    <col width="18.875" bestFit="1" customWidth="1" style="197" min="8" max="8"/>
    <col width="9.5" bestFit="1" customWidth="1" style="197" min="9" max="9"/>
    <col width="3.875" bestFit="1" customWidth="1" style="106" min="10" max="10"/>
    <col width="14.25" bestFit="1" customWidth="1" style="197" min="11" max="11"/>
    <col width="6.625" bestFit="1" customWidth="1" style="197" min="12" max="12"/>
    <col width="7" bestFit="1" customWidth="1" style="197" min="13" max="13"/>
    <col width="5.5" bestFit="1" customWidth="1" style="197" min="14" max="14"/>
    <col width="22.5" bestFit="1" customWidth="1" style="197" min="15" max="15"/>
    <col width="20.625" bestFit="1" customWidth="1" style="197" min="16" max="16"/>
    <col width="25.75" bestFit="1" customWidth="1" style="197" min="17" max="17"/>
    <col width="3.375" bestFit="1" customWidth="1" style="197" min="18" max="18"/>
    <col width="10.875" bestFit="1" customWidth="1" style="197" min="19" max="19"/>
    <col width="8.75" customWidth="1" style="106" min="20" max="16384"/>
  </cols>
  <sheetData>
    <row r="1" ht="15.75" customHeight="1" s="122">
      <c r="A1" s="205" t="inlineStr">
        <is>
          <t>Nuovi Permessi di Lavoro rilevati da SafeWork</t>
        </is>
      </c>
      <c r="B1" s="206" t="n"/>
      <c r="C1" s="206" t="n"/>
      <c r="D1" s="206" t="n"/>
      <c r="E1" s="206" t="n"/>
      <c r="F1" s="206" t="n"/>
      <c r="G1" s="206" t="n"/>
      <c r="H1" s="206" t="n"/>
      <c r="I1" s="206" t="n"/>
      <c r="J1" s="119" t="n"/>
      <c r="K1" s="119" t="n"/>
      <c r="L1" s="119" t="n"/>
      <c r="M1" s="119" t="n"/>
      <c r="N1" s="119" t="n"/>
      <c r="O1" s="119" t="n"/>
      <c r="P1" s="119" t="n"/>
      <c r="Q1" s="119" t="n"/>
      <c r="R1" s="119" t="n"/>
    </row>
    <row r="2" ht="15" customHeight="1" s="122">
      <c r="A2" s="123" t="inlineStr">
        <is>
          <t>N. PdL</t>
        </is>
      </c>
      <c r="B2" s="124" t="inlineStr">
        <is>
          <t>Descrizione PdL</t>
        </is>
      </c>
      <c r="C2" s="123" t="inlineStr">
        <is>
          <t>Stato PdL</t>
        </is>
      </c>
      <c r="D2" s="123" t="inlineStr">
        <is>
          <t>OdC</t>
        </is>
      </c>
      <c r="E2" s="123" t="inlineStr">
        <is>
          <t>Apparecchiatura</t>
        </is>
      </c>
      <c r="F2" s="123" t="inlineStr">
        <is>
          <t>Unità</t>
        </is>
      </c>
      <c r="G2" s="123" t="inlineStr">
        <is>
          <t>Area</t>
        </is>
      </c>
      <c r="H2" s="123" t="inlineStr">
        <is>
          <t>Richiedente</t>
        </is>
      </c>
      <c r="I2" s="123" t="inlineStr">
        <is>
          <t>AVVISO</t>
        </is>
      </c>
      <c r="J2" s="106" t="inlineStr">
        <is>
          <t>..</t>
        </is>
      </c>
      <c r="K2" s="123" t="inlineStr">
        <is>
          <t>STATO PdL2</t>
        </is>
      </c>
      <c r="L2" s="123" t="inlineStr">
        <is>
          <t>ESE</t>
        </is>
      </c>
      <c r="M2" s="123" t="inlineStr">
        <is>
          <t>SAIT</t>
        </is>
      </c>
      <c r="N2" s="123" t="inlineStr">
        <is>
          <t>PR</t>
        </is>
      </c>
      <c r="O2" s="123" t="inlineStr">
        <is>
          <t>AZIONE CORRETTIVA</t>
        </is>
      </c>
      <c r="P2" s="123" t="inlineStr">
        <is>
          <t>DATA CONTROLLO</t>
        </is>
      </c>
      <c r="Q2" s="123" t="inlineStr">
        <is>
          <t>PERSONALE IMPIEGATO</t>
        </is>
      </c>
      <c r="R2" s="197" t="inlineStr">
        <is>
          <t>.</t>
        </is>
      </c>
      <c r="S2" s="125" t="inlineStr">
        <is>
          <t>CARICA?</t>
        </is>
      </c>
    </row>
    <row r="3">
      <c r="A3" t="inlineStr">
        <is>
          <t>553008/C</t>
        </is>
      </c>
      <c r="B3" s="173" t="inlineStr">
        <is>
          <t>500L017RC(D116)CONTROLLO E TARATURA STRUMENTO DI LIVELLO</t>
        </is>
      </c>
      <c r="C3" t="inlineStr">
        <is>
          <t>Processa permesso</t>
        </is>
      </c>
      <c r="D3" t="n">
        <v>5400261233</v>
      </c>
      <c r="E3" t="inlineStr">
        <is>
          <t>500-1-L017RC</t>
        </is>
      </c>
      <c r="F3" t="n">
        <v>500</v>
      </c>
      <c r="G3" t="inlineStr">
        <is>
          <t>Process Area 2</t>
        </is>
      </c>
      <c r="H3" t="inlineStr">
        <is>
          <t>Naselli Francesco</t>
        </is>
      </c>
      <c r="P3" s="172" t="n"/>
      <c r="S3" s="126" t="n"/>
    </row>
    <row r="4">
      <c r="A4" s="126" t="inlineStr">
        <is>
          <t>553010/C</t>
        </is>
      </c>
      <c r="B4" s="126" t="inlineStr">
        <is>
          <t>1000F170CV SERRAGGIO PREMITRECCIA PER ELIMINAZIONE PERDITA SU VALVOLA</t>
        </is>
      </c>
      <c r="C4" s="126" t="inlineStr">
        <is>
          <t>Processa permesso</t>
        </is>
      </c>
      <c r="D4" s="126" t="n">
        <v>5400261233</v>
      </c>
      <c r="E4" s="126" t="inlineStr">
        <is>
          <t>1000-1-F170RC</t>
        </is>
      </c>
      <c r="F4" s="126" t="n">
        <v>1000</v>
      </c>
      <c r="G4" s="126" t="inlineStr">
        <is>
          <t>Process Area 2</t>
        </is>
      </c>
      <c r="H4" s="126" t="inlineStr">
        <is>
          <t>Naselli Francesco</t>
        </is>
      </c>
      <c r="I4" s="126" t="n"/>
      <c r="J4" s="126" t="n"/>
      <c r="K4" s="126" t="n"/>
      <c r="L4" s="126" t="n"/>
      <c r="M4" s="126" t="n"/>
      <c r="N4" s="126" t="n"/>
      <c r="O4" s="126" t="n"/>
      <c r="P4" s="172" t="n"/>
      <c r="Q4" s="126" t="n"/>
      <c r="R4" s="126" t="n"/>
      <c r="S4" s="126" t="n"/>
    </row>
    <row r="5">
      <c r="A5" s="126" t="inlineStr">
        <is>
          <t>553014/C</t>
        </is>
      </c>
      <c r="B5" s="126" t="inlineStr">
        <is>
          <t>1000T124R(R 101B)CONTROLLO E ALLINEAMENTO LOOP DI TEMPERATURA</t>
        </is>
      </c>
      <c r="C5" s="126" t="inlineStr">
        <is>
          <t>Processa permesso</t>
        </is>
      </c>
      <c r="D5" s="126" t="n">
        <v>5400261233</v>
      </c>
      <c r="E5" s="126" t="inlineStr">
        <is>
          <t>1000-1-T124R</t>
        </is>
      </c>
      <c r="F5" s="126" t="n">
        <v>1000</v>
      </c>
      <c r="G5" s="126" t="inlineStr">
        <is>
          <t>Process Area 2</t>
        </is>
      </c>
      <c r="H5" s="126" t="inlineStr">
        <is>
          <t>Naselli Francesco</t>
        </is>
      </c>
      <c r="I5" s="126" t="n"/>
      <c r="J5" s="126" t="n"/>
      <c r="K5" s="126" t="n"/>
      <c r="L5" s="126" t="n"/>
      <c r="M5" s="126" t="n"/>
      <c r="N5" s="126" t="n"/>
      <c r="O5" s="126" t="n"/>
      <c r="P5" s="172" t="n"/>
      <c r="Q5" s="126" t="n"/>
      <c r="R5" s="126" t="n"/>
      <c r="S5" s="126" t="n"/>
    </row>
    <row r="6">
      <c r="A6" s="126" t="inlineStr">
        <is>
          <t>553019/C</t>
        </is>
      </c>
      <c r="B6" s="126" t="inlineStr">
        <is>
          <t>900F031RC(H2O A E-112A/B)RIPRISTINO MISURA DI PORTATA</t>
        </is>
      </c>
      <c r="C6" s="126" t="inlineStr">
        <is>
          <t>Richiesto (Ese ok)</t>
        </is>
      </c>
      <c r="D6" s="126" t="n">
        <v>5400261233</v>
      </c>
      <c r="E6" s="126" t="inlineStr">
        <is>
          <t>900-1-F031RC</t>
        </is>
      </c>
      <c r="F6" s="126" t="n">
        <v>900</v>
      </c>
      <c r="G6" s="126" t="inlineStr">
        <is>
          <t>Process Area 1</t>
        </is>
      </c>
      <c r="H6" s="126" t="inlineStr">
        <is>
          <t>Naselli Francesco</t>
        </is>
      </c>
      <c r="I6" s="126" t="n"/>
      <c r="J6" s="126" t="n"/>
      <c r="K6" s="126" t="n"/>
      <c r="L6" s="126" t="n"/>
      <c r="M6" s="126" t="n"/>
      <c r="N6" s="126" t="n"/>
      <c r="O6" s="126" t="n"/>
      <c r="P6" s="126" t="n"/>
      <c r="Q6" s="126" t="n"/>
      <c r="R6" s="126" t="n"/>
      <c r="S6" s="126" t="n"/>
    </row>
    <row r="7" ht="15" customHeight="1" s="122">
      <c r="A7" s="126" t="inlineStr">
        <is>
          <t>553020/C</t>
        </is>
      </c>
      <c r="B7" s="126" t="inlineStr">
        <is>
          <t>100T014I( GREZZO USCITA D101B)CONTROLLO E ALLINEAMENTO LOOP DI TEMPERATURA</t>
        </is>
      </c>
      <c r="C7" s="126" t="inlineStr">
        <is>
          <t>Richiesto (Ese ok)</t>
        </is>
      </c>
      <c r="D7" s="126" t="n">
        <v>5400261233</v>
      </c>
      <c r="E7" s="126" t="inlineStr">
        <is>
          <t>100-1-T014I</t>
        </is>
      </c>
      <c r="F7" s="126" t="n">
        <v>100</v>
      </c>
      <c r="G7" s="126" t="inlineStr">
        <is>
          <t>Process Area 1</t>
        </is>
      </c>
      <c r="H7" s="126" t="inlineStr">
        <is>
          <t>Naselli Francesco</t>
        </is>
      </c>
      <c r="I7" s="126" t="n"/>
      <c r="J7" s="126" t="n"/>
      <c r="K7" s="126" t="n"/>
      <c r="L7" s="126" t="n"/>
      <c r="M7" s="126" t="n"/>
      <c r="N7" s="126" t="n"/>
      <c r="O7" s="126" t="n"/>
      <c r="P7" s="126" t="n"/>
      <c r="Q7" s="126" t="n"/>
      <c r="R7" s="126" t="n"/>
      <c r="S7" s="126" t="n"/>
    </row>
    <row r="8" ht="15" customHeight="1" s="122">
      <c r="A8" s="126" t="n"/>
      <c r="B8" s="126" t="n"/>
      <c r="C8" s="126" t="n"/>
      <c r="D8" s="126" t="n"/>
      <c r="E8" s="126" t="n"/>
      <c r="F8" s="126" t="n"/>
      <c r="G8" s="126" t="n"/>
      <c r="H8" s="126" t="n"/>
      <c r="I8" s="126" t="n"/>
      <c r="J8" s="126" t="n"/>
      <c r="K8" s="126" t="n"/>
      <c r="L8" s="126" t="n"/>
      <c r="M8" s="126" t="n"/>
      <c r="N8" s="126" t="n"/>
      <c r="O8" s="126" t="n"/>
      <c r="P8" s="126" t="n"/>
      <c r="Q8" s="126" t="n"/>
      <c r="R8" s="126" t="n"/>
      <c r="S8" s="126" t="n"/>
    </row>
    <row r="9" ht="15" customHeight="1" s="122">
      <c r="A9" s="126" t="n"/>
      <c r="B9" s="126" t="n"/>
      <c r="C9" s="126" t="n"/>
      <c r="D9" s="126" t="n"/>
      <c r="E9" s="126" t="n"/>
      <c r="F9" s="126" t="n"/>
      <c r="G9" s="126" t="n"/>
      <c r="H9" s="126" t="n"/>
      <c r="I9" s="126" t="n"/>
      <c r="J9" s="126" t="n"/>
      <c r="K9" s="126" t="n"/>
      <c r="L9" s="126" t="n"/>
      <c r="M9" s="126" t="n"/>
      <c r="N9" s="126" t="n"/>
      <c r="O9" s="126" t="n"/>
      <c r="P9" s="126" t="n"/>
      <c r="Q9" s="126" t="n"/>
      <c r="R9" s="126" t="n"/>
      <c r="S9" s="126" t="n"/>
    </row>
    <row r="10" ht="15" customHeight="1" s="122">
      <c r="A10" s="126" t="n"/>
      <c r="B10" s="126" t="n"/>
      <c r="C10" s="126" t="n"/>
      <c r="D10" s="126" t="n"/>
      <c r="E10" s="126" t="n"/>
      <c r="F10" s="126" t="n"/>
      <c r="G10" s="126" t="n"/>
      <c r="H10" s="126" t="n"/>
      <c r="I10" s="126" t="n"/>
      <c r="J10" s="126" t="n"/>
      <c r="K10" s="126" t="n"/>
      <c r="L10" s="126" t="n"/>
      <c r="M10" s="126" t="n"/>
      <c r="N10" s="126" t="n"/>
      <c r="O10" s="126" t="n"/>
      <c r="P10" s="126" t="n"/>
      <c r="Q10" s="126" t="n"/>
      <c r="R10" s="126" t="n"/>
      <c r="S10" s="126" t="n"/>
    </row>
    <row r="11" ht="15" customHeight="1" s="122">
      <c r="A11" s="126" t="n"/>
      <c r="B11" s="126" t="n"/>
      <c r="C11" s="126" t="n"/>
      <c r="D11" s="126" t="n"/>
      <c r="E11" s="126" t="n"/>
      <c r="F11" s="126" t="n"/>
      <c r="G11" s="126" t="n"/>
      <c r="H11" s="126" t="n"/>
      <c r="I11" s="126" t="n"/>
      <c r="J11" s="126" t="n"/>
      <c r="K11" s="126" t="n"/>
      <c r="L11" s="126" t="n"/>
      <c r="M11" s="126" t="n"/>
      <c r="N11" s="126" t="n"/>
      <c r="O11" s="126" t="n"/>
      <c r="P11" s="126" t="n"/>
      <c r="Q11" s="126" t="n"/>
      <c r="R11" s="126" t="n"/>
      <c r="S11" s="126" t="n"/>
    </row>
    <row r="12" ht="15" customHeight="1" s="122">
      <c r="A12" s="126" t="n"/>
      <c r="B12" s="126" t="inlineStr">
        <is>
          <t xml:space="preserve"> </t>
        </is>
      </c>
      <c r="C12" s="126" t="n"/>
      <c r="D12" s="126" t="n"/>
      <c r="E12" s="126" t="n"/>
      <c r="F12" s="126" t="n"/>
      <c r="G12" s="126" t="n"/>
      <c r="H12" s="126" t="n"/>
      <c r="I12" s="126" t="n"/>
      <c r="J12" s="126" t="n"/>
      <c r="K12" s="126" t="n"/>
      <c r="L12" s="126" t="n"/>
      <c r="M12" s="126" t="n"/>
      <c r="N12" s="126" t="n"/>
      <c r="O12" s="126" t="n"/>
      <c r="P12" s="126" t="n"/>
      <c r="Q12" s="126" t="n"/>
      <c r="R12" s="126" t="n"/>
      <c r="S12" s="126" t="n"/>
    </row>
    <row r="13" ht="15" customHeight="1" s="122">
      <c r="A13" s="126" t="n"/>
      <c r="B13" s="126" t="n"/>
      <c r="C13" s="126" t="n"/>
      <c r="D13" s="126" t="n"/>
      <c r="E13" s="126" t="n"/>
      <c r="F13" s="126" t="n"/>
      <c r="G13" s="126" t="n"/>
      <c r="H13" s="126" t="n"/>
      <c r="I13" s="126" t="n"/>
      <c r="J13" s="126" t="n"/>
      <c r="K13" s="126" t="n"/>
      <c r="L13" s="126" t="n"/>
      <c r="M13" s="126" t="n"/>
      <c r="N13" s="126" t="n"/>
      <c r="O13" s="126" t="n"/>
      <c r="P13" s="126" t="n"/>
      <c r="Q13" s="126" t="n"/>
      <c r="R13" s="126" t="n"/>
      <c r="S13" s="126" t="n"/>
    </row>
    <row r="14" ht="15" customHeight="1" s="122">
      <c r="A14" s="126" t="n"/>
      <c r="B14" s="126" t="n"/>
      <c r="C14" s="126" t="n"/>
      <c r="D14" s="126" t="n"/>
      <c r="E14" s="126" t="n"/>
      <c r="F14" s="126" t="n"/>
      <c r="G14" s="126" t="n"/>
      <c r="H14" s="126" t="n"/>
      <c r="I14" s="126" t="n"/>
      <c r="J14" s="126" t="n"/>
      <c r="K14" s="126" t="n"/>
      <c r="L14" s="126" t="n"/>
      <c r="M14" s="126" t="n"/>
      <c r="N14" s="126" t="n"/>
      <c r="O14" s="126" t="n"/>
      <c r="P14" s="126" t="n"/>
      <c r="Q14" s="126" t="n"/>
      <c r="R14" s="126" t="n"/>
      <c r="S14" s="126" t="n"/>
    </row>
    <row r="15">
      <c r="A15" s="126" t="n"/>
      <c r="B15" s="126" t="n"/>
      <c r="C15" s="126" t="n"/>
      <c r="D15" s="126" t="n"/>
      <c r="E15" s="126" t="n"/>
      <c r="F15" s="126" t="n"/>
      <c r="G15" s="126" t="n"/>
      <c r="H15" s="126" t="n"/>
      <c r="I15" s="126" t="n"/>
      <c r="J15" s="126" t="n"/>
      <c r="K15" s="126" t="n"/>
      <c r="L15" s="126" t="n"/>
      <c r="M15" s="126" t="n"/>
      <c r="N15" s="126" t="n"/>
      <c r="O15" s="126" t="n"/>
      <c r="P15" s="126" t="n"/>
      <c r="Q15" s="126" t="n"/>
      <c r="R15" s="126" t="n"/>
      <c r="S15" s="126" t="n"/>
    </row>
    <row r="16" ht="15" customHeight="1" s="122">
      <c r="A16" s="126" t="n"/>
      <c r="B16" s="126" t="n"/>
      <c r="C16" s="126" t="n"/>
      <c r="D16" s="126" t="n"/>
      <c r="E16" s="126" t="n"/>
      <c r="F16" s="126" t="n"/>
      <c r="G16" s="126" t="n"/>
      <c r="H16" s="126" t="n"/>
      <c r="I16" s="126" t="n"/>
      <c r="J16" s="126" t="n"/>
      <c r="K16" s="126" t="n"/>
      <c r="L16" s="126" t="n"/>
      <c r="M16" s="126" t="n"/>
      <c r="N16" s="126" t="n"/>
      <c r="O16" s="126" t="n"/>
      <c r="P16" s="126" t="n"/>
      <c r="Q16" s="126" t="n"/>
      <c r="R16" s="126" t="n"/>
      <c r="S16" s="126" t="n"/>
    </row>
    <row r="17" ht="15" customHeight="1" s="122">
      <c r="A17" s="126" t="n"/>
      <c r="B17" s="126" t="n"/>
      <c r="C17" s="126" t="n"/>
      <c r="D17" s="126" t="n"/>
      <c r="E17" s="126" t="n"/>
      <c r="F17" s="126" t="n"/>
      <c r="G17" s="126" t="n"/>
      <c r="H17" s="126" t="n"/>
      <c r="I17" s="126" t="n"/>
      <c r="J17" s="126" t="n"/>
      <c r="K17" s="126" t="n"/>
      <c r="L17" s="126" t="n"/>
      <c r="M17" s="126" t="n"/>
      <c r="N17" s="126" t="n"/>
      <c r="O17" s="126" t="n"/>
      <c r="P17" s="126" t="n"/>
      <c r="Q17" s="126" t="n"/>
      <c r="R17" s="126" t="n"/>
      <c r="S17" s="126" t="n"/>
    </row>
    <row r="18" ht="15" customHeight="1" s="122">
      <c r="A18" s="126" t="n"/>
      <c r="B18" s="126" t="n"/>
      <c r="C18" s="126" t="n"/>
      <c r="D18" s="126" t="n"/>
      <c r="E18" s="126" t="n"/>
      <c r="F18" s="126" t="n"/>
      <c r="G18" s="126" t="n"/>
      <c r="H18" s="126" t="n"/>
      <c r="I18" s="126" t="n"/>
      <c r="J18" s="126" t="n"/>
      <c r="K18" s="126" t="n"/>
      <c r="L18" s="126" t="n"/>
      <c r="M18" s="126" t="n"/>
      <c r="N18" s="126" t="n"/>
      <c r="O18" s="126" t="n"/>
      <c r="P18" s="126" t="n"/>
      <c r="Q18" s="126" t="n"/>
      <c r="R18" s="126" t="n"/>
      <c r="S18" s="126" t="n"/>
    </row>
    <row r="19" ht="15" customHeight="1" s="122">
      <c r="A19" s="185" t="n"/>
      <c r="B19" s="185" t="n"/>
      <c r="C19" s="185" t="n"/>
      <c r="D19" s="185" t="n"/>
      <c r="E19" s="185" t="n"/>
      <c r="F19" s="185" t="n"/>
      <c r="G19" s="185" t="n"/>
      <c r="H19" s="185" t="n"/>
      <c r="I19" s="185" t="n"/>
      <c r="J19" s="185" t="n"/>
      <c r="K19" s="185" t="n"/>
      <c r="L19" s="185" t="n"/>
      <c r="M19" s="185" t="n"/>
      <c r="N19" s="185" t="n"/>
      <c r="O19" s="185" t="n"/>
      <c r="P19" s="185" t="n"/>
      <c r="Q19" s="185" t="n"/>
      <c r="R19" s="185" t="n"/>
      <c r="S19" s="185" t="n"/>
    </row>
    <row r="20">
      <c r="A20" s="126" t="n"/>
      <c r="B20" s="126" t="n"/>
      <c r="C20" s="126" t="n"/>
      <c r="D20" s="126" t="n"/>
      <c r="E20" s="126" t="n"/>
      <c r="F20" s="126" t="n"/>
      <c r="G20" s="126" t="n"/>
      <c r="H20" s="126" t="n"/>
      <c r="I20" s="126" t="n"/>
      <c r="J20" s="126" t="n"/>
      <c r="K20" s="126" t="n"/>
      <c r="L20" s="126" t="n"/>
      <c r="M20" s="126" t="n"/>
      <c r="N20" s="126" t="n"/>
      <c r="O20" s="126" t="n"/>
      <c r="P20" s="126" t="n"/>
      <c r="Q20" s="126" t="n"/>
      <c r="R20" s="126" t="n"/>
      <c r="S20" s="126" t="n"/>
    </row>
    <row r="21">
      <c r="A21" s="126" t="n"/>
      <c r="B21" s="126" t="n"/>
      <c r="C21" s="126" t="n"/>
      <c r="D21" s="126" t="n"/>
      <c r="E21" s="126" t="n"/>
      <c r="F21" s="126" t="n"/>
      <c r="G21" s="126" t="n"/>
      <c r="H21" s="126" t="n"/>
      <c r="I21" s="126" t="n"/>
      <c r="J21" s="126" t="n"/>
      <c r="K21" s="126" t="n"/>
      <c r="L21" s="126" t="n"/>
      <c r="M21" s="126" t="n"/>
      <c r="N21" s="126" t="n"/>
      <c r="O21" s="126" t="n"/>
      <c r="P21" s="126" t="n"/>
      <c r="Q21" s="126" t="n"/>
      <c r="R21" s="126" t="n"/>
      <c r="S21" s="126" t="n"/>
    </row>
    <row r="22" ht="15" customHeight="1" s="122">
      <c r="A22" s="126" t="n"/>
      <c r="B22" s="126" t="n"/>
      <c r="C22" s="126" t="n"/>
      <c r="D22" s="126" t="n"/>
      <c r="E22" s="126" t="n"/>
      <c r="F22" s="126" t="n"/>
      <c r="G22" s="126" t="n"/>
      <c r="H22" s="126" t="n"/>
      <c r="I22" s="126" t="n"/>
      <c r="J22" s="126" t="n"/>
      <c r="K22" s="126" t="n"/>
      <c r="L22" s="126" t="n"/>
      <c r="M22" s="126" t="n"/>
      <c r="N22" s="126" t="n"/>
      <c r="O22" s="126" t="n"/>
      <c r="P22" s="126" t="n"/>
      <c r="Q22" s="126" t="n"/>
      <c r="R22" s="126" t="n"/>
      <c r="S22" s="126" t="n"/>
    </row>
    <row r="23" ht="15" customHeight="1" s="122">
      <c r="A23" s="126" t="n"/>
      <c r="B23" s="126" t="n"/>
      <c r="C23" s="126" t="n"/>
      <c r="D23" s="126" t="n"/>
      <c r="E23" s="126" t="n"/>
      <c r="F23" s="126" t="n"/>
      <c r="G23" s="126" t="n"/>
      <c r="H23" s="126" t="n"/>
      <c r="I23" s="126" t="n"/>
      <c r="J23" s="126" t="n"/>
      <c r="K23" s="126" t="n"/>
      <c r="L23" s="126" t="n"/>
      <c r="M23" s="126" t="n"/>
      <c r="N23" s="126" t="n"/>
      <c r="O23" s="126" t="n"/>
      <c r="P23" s="126" t="n"/>
      <c r="Q23" s="126" t="n"/>
      <c r="R23" s="126" t="n"/>
      <c r="S23" s="126" t="n"/>
    </row>
    <row r="24" ht="15" customHeight="1" s="122">
      <c r="A24" s="126" t="n"/>
      <c r="B24" s="126" t="n"/>
      <c r="C24" s="126" t="n"/>
      <c r="D24" s="126" t="n"/>
      <c r="E24" s="126" t="n"/>
      <c r="F24" s="126" t="n"/>
      <c r="G24" s="126" t="n"/>
      <c r="H24" s="126" t="n"/>
      <c r="I24" s="126" t="n"/>
      <c r="J24" s="126" t="n"/>
      <c r="K24" s="126" t="n"/>
      <c r="L24" s="126" t="n"/>
      <c r="M24" s="126" t="n"/>
      <c r="N24" s="126" t="n"/>
      <c r="O24" s="126" t="n"/>
      <c r="P24" s="126" t="n"/>
      <c r="Q24" s="126" t="n"/>
      <c r="R24" s="126" t="n"/>
      <c r="S24" s="126" t="n"/>
    </row>
    <row r="25" ht="15" customHeight="1" s="122">
      <c r="A25" s="126" t="n"/>
      <c r="B25" s="126" t="n"/>
      <c r="C25" s="126" t="n"/>
      <c r="D25" s="126" t="n"/>
      <c r="E25" s="126" t="n"/>
      <c r="F25" s="126" t="n"/>
      <c r="G25" s="126" t="n"/>
      <c r="H25" s="126" t="n"/>
      <c r="I25" s="126" t="n"/>
      <c r="J25" s="126" t="n"/>
      <c r="K25" s="126" t="n"/>
      <c r="L25" s="126" t="n"/>
      <c r="M25" s="126" t="n"/>
      <c r="N25" s="126" t="n"/>
      <c r="O25" s="126" t="n"/>
      <c r="P25" s="126" t="n"/>
      <c r="Q25" s="126" t="n"/>
      <c r="R25" s="126" t="n"/>
      <c r="S25" s="126" t="n"/>
    </row>
    <row r="26">
      <c r="A26" s="126" t="n"/>
      <c r="B26" s="126" t="n"/>
      <c r="C26" s="126" t="n"/>
      <c r="D26" s="126" t="n"/>
      <c r="E26" s="126" t="n"/>
      <c r="F26" s="126" t="n"/>
      <c r="G26" s="126" t="n"/>
      <c r="H26" s="126" t="n"/>
      <c r="I26" s="126" t="n"/>
      <c r="J26" s="126" t="n"/>
      <c r="K26" s="126" t="n"/>
      <c r="L26" s="126" t="n"/>
      <c r="M26" s="126" t="n"/>
      <c r="N26" s="126" t="n"/>
      <c r="O26" s="126" t="n"/>
      <c r="P26" s="126" t="n"/>
      <c r="Q26" s="126" t="n"/>
      <c r="R26" s="126" t="n"/>
      <c r="S26" s="126" t="n"/>
    </row>
    <row r="27">
      <c r="A27" s="126" t="n"/>
      <c r="B27" s="126" t="n"/>
      <c r="C27" s="126" t="n"/>
      <c r="D27" s="126" t="n"/>
      <c r="E27" s="126" t="n"/>
      <c r="F27" s="126" t="n"/>
      <c r="G27" s="126" t="n"/>
      <c r="H27" s="126" t="n"/>
      <c r="I27" s="126" t="n"/>
      <c r="J27" s="126" t="n"/>
      <c r="K27" s="126" t="n"/>
      <c r="L27" s="126" t="n"/>
      <c r="M27" s="126" t="n"/>
      <c r="N27" s="126" t="n"/>
      <c r="O27" s="126" t="n"/>
      <c r="P27" s="126" t="n"/>
      <c r="Q27" s="126" t="n"/>
      <c r="R27" s="126" t="n"/>
      <c r="S27" s="126" t="n"/>
    </row>
    <row r="28">
      <c r="A28" s="126" t="n"/>
      <c r="B28" s="126" t="n"/>
      <c r="C28" s="126" t="n"/>
      <c r="D28" s="126" t="n"/>
      <c r="E28" s="126" t="n"/>
      <c r="F28" s="126" t="n"/>
      <c r="G28" s="126" t="n"/>
      <c r="H28" s="126" t="n"/>
      <c r="I28" s="126" t="n"/>
      <c r="J28" s="126" t="n"/>
      <c r="K28" s="126" t="n"/>
      <c r="L28" s="126" t="n"/>
      <c r="M28" s="126" t="n"/>
      <c r="N28" s="126" t="n"/>
      <c r="O28" s="126" t="n"/>
      <c r="P28" s="126" t="n"/>
      <c r="Q28" s="126" t="n"/>
      <c r="R28" s="126" t="n"/>
      <c r="S28" s="126" t="n"/>
    </row>
    <row r="29">
      <c r="A29" s="126" t="n"/>
      <c r="B29" s="126" t="n"/>
      <c r="C29" s="126" t="n"/>
      <c r="D29" s="126" t="n"/>
      <c r="E29" s="126" t="n"/>
      <c r="F29" s="126" t="n"/>
      <c r="G29" s="126" t="n"/>
      <c r="H29" s="126" t="n"/>
      <c r="I29" s="126" t="n"/>
      <c r="J29" s="126" t="n"/>
      <c r="K29" s="126" t="n"/>
      <c r="L29" s="126" t="n"/>
      <c r="M29" s="126" t="n"/>
      <c r="N29" s="126" t="n"/>
      <c r="O29" s="126" t="n"/>
      <c r="P29" s="126" t="n"/>
      <c r="Q29" s="126" t="n"/>
      <c r="R29" s="126" t="n"/>
      <c r="S29" s="126" t="n"/>
    </row>
    <row r="30">
      <c r="A30" s="126" t="n"/>
      <c r="B30" s="126" t="n"/>
      <c r="C30" s="126" t="n"/>
      <c r="D30" s="126" t="n"/>
      <c r="E30" s="126" t="n"/>
      <c r="F30" s="126" t="n"/>
      <c r="G30" s="126" t="n"/>
      <c r="H30" s="126" t="n"/>
      <c r="I30" s="126" t="n"/>
      <c r="J30" s="126" t="n"/>
      <c r="K30" s="126" t="n"/>
      <c r="L30" s="126" t="n"/>
      <c r="M30" s="126" t="n"/>
      <c r="N30" s="126" t="n"/>
      <c r="O30" s="126" t="n"/>
      <c r="P30" s="126" t="n"/>
      <c r="Q30" s="126" t="n"/>
      <c r="R30" s="126" t="n"/>
      <c r="S30" s="126" t="n"/>
    </row>
    <row r="31"/>
    <row r="32"/>
    <row r="33"/>
    <row r="34"/>
    <row r="35"/>
    <row r="36"/>
    <row r="37"/>
    <row r="38"/>
    <row r="39">
      <c r="A39" t="inlineStr">
        <is>
          <t>546253/C</t>
        </is>
      </c>
      <c r="B39" t="inlineStr">
        <is>
          <t>500-T103- Realizzazione e montaggio nuova tubazione conduit-passaggio cavi-installazione cassette-posa nuove paline luce-rifacimento messa a terra -attivita' post sostituzione  colonna.</t>
        </is>
      </c>
      <c r="C39" t="inlineStr">
        <is>
          <t>Emesso</t>
        </is>
      </c>
      <c r="D39" t="n">
        <v>5400251870</v>
      </c>
      <c r="E39" t="inlineStr">
        <is>
          <t>500-1-T103</t>
        </is>
      </c>
      <c r="F39" t="n">
        <v>500</v>
      </c>
      <c r="G39" t="inlineStr">
        <is>
          <t>Process Area 2</t>
        </is>
      </c>
      <c r="H39" t="inlineStr">
        <is>
          <t>Passanisi Domenico</t>
        </is>
      </c>
      <c r="S39" t="inlineStr">
        <is>
          <t>NO</t>
        </is>
      </c>
    </row>
    <row r="40">
      <c r="A40" t="inlineStr">
        <is>
          <t>546076/C</t>
        </is>
      </c>
      <c r="B40" t="inlineStr">
        <is>
          <t>500 C103C  scollegamento delle resistenze sulla pompa manzel del compressore 500 C103C.</t>
        </is>
      </c>
      <c r="S40" t="inlineStr">
        <is>
          <t>NO</t>
        </is>
      </c>
    </row>
    <row r="41">
      <c r="A41" t="inlineStr">
        <is>
          <t>317585/S</t>
        </is>
      </c>
      <c r="B41" t="inlineStr">
        <is>
          <t>PRELIEVO MATERIALE IN MAGAZZINO CENTRALE IMP. SUD</t>
        </is>
      </c>
      <c r="C41" t="inlineStr">
        <is>
          <t>Aperto</t>
        </is>
      </c>
      <c r="D41" t="n">
        <v>5400245426</v>
      </c>
      <c r="E41" t="inlineStr">
        <is>
          <t>Magazzino-1-01AREA INTERNA</t>
        </is>
      </c>
      <c r="F41" t="inlineStr">
        <is>
          <t>Magazzino</t>
        </is>
      </c>
      <c r="G41" t="inlineStr">
        <is>
          <t>Magazzino Sud</t>
        </is>
      </c>
      <c r="H41" t="inlineStr">
        <is>
          <t>Caldarella Ferdinando</t>
        </is>
      </c>
      <c r="S41" t="inlineStr">
        <is>
          <t>no</t>
        </is>
      </c>
    </row>
    <row r="42">
      <c r="A42" t="inlineStr">
        <is>
          <t>548575/C</t>
        </is>
      </c>
      <c r="B42" t="inlineStr">
        <is>
          <t>2100 SS150KV 352-B2 REITEGRO GAS SF6</t>
        </is>
      </c>
      <c r="C42" t="inlineStr">
        <is>
          <t>Sospensione per fine turno</t>
        </is>
      </c>
      <c r="D42" t="inlineStr">
        <is>
          <t>EMERGENZA</t>
        </is>
      </c>
      <c r="E42" t="inlineStr">
        <is>
          <t>2100-1-AREAIMPIANTI</t>
        </is>
      </c>
      <c r="F42" t="n">
        <v>2100</v>
      </c>
      <c r="G42" t="inlineStr">
        <is>
          <t>UTILITIES (CTE/TAS)</t>
        </is>
      </c>
      <c r="H42" t="inlineStr">
        <is>
          <t>Caldarella Ferdinando</t>
        </is>
      </c>
      <c r="S42" t="inlineStr">
        <is>
          <t>no</t>
        </is>
      </c>
    </row>
    <row r="43">
      <c r="A43" t="inlineStr">
        <is>
          <t>548408/C</t>
        </is>
      </c>
      <c r="B43" t="inlineStr">
        <is>
          <t>Imp.500-T103- Rimozione alimentazione provvisoria utilizzata per attivit meccaniche di ricottura, in fase sostituzione colonna T103 (messa in sicurezza a cura esecutore).</t>
        </is>
      </c>
      <c r="C43" t="inlineStr">
        <is>
          <t>Richiesto</t>
        </is>
      </c>
      <c r="D43" t="n">
        <v>5400251870</v>
      </c>
      <c r="E43" t="inlineStr">
        <is>
          <t>500-1-T103</t>
        </is>
      </c>
      <c r="F43" t="n">
        <v>500</v>
      </c>
      <c r="G43" t="inlineStr">
        <is>
          <t>Process Area 2</t>
        </is>
      </c>
      <c r="H43" t="inlineStr">
        <is>
          <t>Passanisi Domenico</t>
        </is>
      </c>
      <c r="S43" t="inlineStr">
        <is>
          <t>no</t>
        </is>
      </c>
    </row>
    <row r="44">
      <c r="A44" t="inlineStr">
        <is>
          <t>546642/C</t>
        </is>
      </c>
      <c r="B44" t="inlineStr">
        <is>
          <t>4000-MOD1 CONTROLLO E RIPRISTINO CENTRALINA NOTIFIER 6000</t>
        </is>
      </c>
      <c r="C44" t="inlineStr">
        <is>
          <t>Sospensione per fine turno</t>
        </is>
      </c>
      <c r="D44" t="inlineStr">
        <is>
          <t>EMERGENZA</t>
        </is>
      </c>
      <c r="E44" t="inlineStr">
        <is>
          <t>AREA3-4900-</t>
        </is>
      </c>
      <c r="F44" t="n">
        <v>4900</v>
      </c>
      <c r="G44" t="inlineStr">
        <is>
          <t>IGCC Area 3</t>
        </is>
      </c>
      <c r="H44" t="inlineStr">
        <is>
          <t>Caldarella Ferdinando</t>
        </is>
      </c>
      <c r="S44" t="inlineStr">
        <is>
          <t>no</t>
        </is>
      </c>
    </row>
    <row r="45">
      <c r="A45" t="inlineStr">
        <is>
          <t>547193/C</t>
        </is>
      </c>
      <c r="B45" t="inlineStr">
        <is>
          <t>Controllo termocoppia T2001IC presso gli scambiatori E201</t>
        </is>
      </c>
      <c r="C45" t="inlineStr">
        <is>
          <t>Richiesto (Ese ok)</t>
        </is>
      </c>
      <c r="D45" t="n">
        <v>5400259470</v>
      </c>
      <c r="E45" t="inlineStr">
        <is>
          <t>6300-1-T2001-IC</t>
        </is>
      </c>
      <c r="F45" t="n">
        <v>6300</v>
      </c>
      <c r="G45" t="inlineStr">
        <is>
          <t>Blending Sud</t>
        </is>
      </c>
      <c r="H45" t="inlineStr">
        <is>
          <t>Messina Ivan</t>
        </is>
      </c>
      <c r="S45" t="inlineStr">
        <is>
          <t>NO</t>
        </is>
      </c>
    </row>
    <row r="46">
      <c r="A46" t="inlineStr">
        <is>
          <t>549502/C</t>
        </is>
      </c>
      <c r="S46" t="inlineStr">
        <is>
          <t>NO</t>
        </is>
      </c>
    </row>
    <row r="47">
      <c r="A47" t="inlineStr">
        <is>
          <t>549675/C</t>
        </is>
      </c>
      <c r="S47" t="inlineStr">
        <is>
          <t>NO</t>
        </is>
      </c>
    </row>
    <row r="48">
      <c r="A48" t="inlineStr">
        <is>
          <t>549565/C</t>
        </is>
      </c>
      <c r="S48" t="inlineStr">
        <is>
          <t>NO</t>
        </is>
      </c>
    </row>
    <row r="49">
      <c r="A49" t="inlineStr">
        <is>
          <t>550125/C</t>
        </is>
      </c>
      <c r="B49" t="inlineStr">
        <is>
          <t>Imp.500-Scollegamento e smontaggio fari provvisori adiacenti T103 a seguito ripristino illuminazione su colonna.</t>
        </is>
      </c>
      <c r="C49" t="inlineStr">
        <is>
          <t>Richiesto (Ese ok)</t>
        </is>
      </c>
      <c r="D49" t="n">
        <v>5400251870</v>
      </c>
      <c r="E49" t="inlineStr">
        <is>
          <t>500-0-AREA   interna</t>
        </is>
      </c>
      <c r="F49" t="n">
        <v>500</v>
      </c>
      <c r="G49" t="inlineStr">
        <is>
          <t>Process Area 2</t>
        </is>
      </c>
      <c r="H49" t="inlineStr">
        <is>
          <t>Passanisi Domenico</t>
        </is>
      </c>
      <c r="S49" t="inlineStr">
        <is>
          <t>no</t>
        </is>
      </c>
    </row>
    <row r="50">
      <c r="A50" t="inlineStr">
        <is>
          <t>551062/C</t>
        </is>
      </c>
      <c r="B50" t="inlineStr">
        <is>
          <t>100K651A SOSTITUZONE SONDE E CENTRALINA CON RELATIVO CABLAGGIO E PROGRAMMAZIONE SU SISTEMA DI MONITORAGGIO VIBRAZIONI</t>
        </is>
      </c>
      <c r="C50" t="inlineStr">
        <is>
          <t>Richiesto</t>
        </is>
      </c>
      <c r="D50" t="n">
        <v>5400262073</v>
      </c>
      <c r="E50" t="inlineStr">
        <is>
          <t>100-1-K651A</t>
        </is>
      </c>
      <c r="F50" t="n">
        <v>100</v>
      </c>
      <c r="G50" t="inlineStr">
        <is>
          <t>Process Area 1</t>
        </is>
      </c>
      <c r="H50" t="inlineStr">
        <is>
          <t>Naselli Francesco</t>
        </is>
      </c>
      <c r="S50" t="inlineStr">
        <is>
          <t>NO</t>
        </is>
      </c>
    </row>
    <row r="51">
      <c r="A51" t="inlineStr">
        <is>
          <t>550974/C</t>
        </is>
      </c>
      <c r="B51" t="inlineStr">
        <is>
          <t>URGENTE!: ORDINE PULIZIA IMPIANTI AREA 3</t>
        </is>
      </c>
      <c r="C51" t="inlineStr">
        <is>
          <t>Richiesto (Ese ok)</t>
        </is>
      </c>
      <c r="D51" t="inlineStr">
        <is>
          <t>EMERGENZA</t>
        </is>
      </c>
      <c r="E51" t="inlineStr">
        <is>
          <t>1200-AREA IMPIANTO GENERICA</t>
        </is>
      </c>
      <c r="F51" t="n">
        <v>1200</v>
      </c>
      <c r="G51" t="inlineStr">
        <is>
          <t>Process Area 3</t>
        </is>
      </c>
      <c r="H51" t="inlineStr">
        <is>
          <t>Caldarella Ferdinando</t>
        </is>
      </c>
      <c r="S51" t="inlineStr">
        <is>
          <t>NO</t>
        </is>
      </c>
    </row>
    <row r="52">
      <c r="A52" t="inlineStr">
        <is>
          <t>318440/S</t>
        </is>
      </c>
      <c r="B52" t="inlineStr">
        <is>
          <t xml:space="preserve">4000-2-N21 LV4502 Rilievi visivi valvola </t>
        </is>
      </c>
      <c r="C52" t="inlineStr">
        <is>
          <t>Sospensione per fine turno</t>
        </is>
      </c>
      <c r="D52" t="inlineStr">
        <is>
          <t>..</t>
        </is>
      </c>
      <c r="E52" t="inlineStr">
        <is>
          <t>4000-2-N21-LV4502</t>
        </is>
      </c>
      <c r="F52" t="n">
        <v>4000</v>
      </c>
      <c r="G52" t="inlineStr">
        <is>
          <t>IGCC Area 3</t>
        </is>
      </c>
      <c r="H52" t="inlineStr">
        <is>
          <t>Barbagallo Giancarlo</t>
        </is>
      </c>
      <c r="S52" t="inlineStr">
        <is>
          <t>no</t>
        </is>
      </c>
    </row>
    <row r="53">
      <c r="A53" t="inlineStr">
        <is>
          <t>551711/C</t>
        </is>
      </c>
      <c r="B53" t="inlineStr">
        <is>
          <t>area cantieri sud ripristino funzionale autoclave acqua cantieri MESSA IN SICUREZZA A CURA ESECUTORE</t>
        </is>
      </c>
      <c r="C53" t="inlineStr">
        <is>
          <t>Richiesto (Ese ok)</t>
        </is>
      </c>
      <c r="D53" t="inlineStr">
        <is>
          <t xml:space="preserve">EMERGENZA </t>
        </is>
      </c>
      <c r="E53" t="inlineStr">
        <is>
          <t>Area cantieri Sud</t>
        </is>
      </c>
      <c r="F53" t="inlineStr">
        <is>
          <t>Area esterna limitrofa Sud</t>
        </is>
      </c>
      <c r="G53" t="inlineStr">
        <is>
          <t>Area cantieri Sud</t>
        </is>
      </c>
      <c r="H53" t="inlineStr">
        <is>
          <t>Caldarella Ferdinando</t>
        </is>
      </c>
      <c r="S53" t="inlineStr">
        <is>
          <t>no</t>
        </is>
      </c>
    </row>
    <row r="54">
      <c r="A54" t="inlineStr">
        <is>
          <t>552327/C</t>
        </is>
      </c>
      <c r="B54" s="173" t="inlineStr">
        <is>
          <t>ripristino cavo interrotto alimentazione TX LT520 su serbatoio S520</t>
        </is>
      </c>
      <c r="C54" t="inlineStr">
        <is>
          <t>Richiesto</t>
        </is>
      </c>
      <c r="D54" t="n">
        <v>5400261235</v>
      </c>
      <c r="E54" t="inlineStr">
        <is>
          <t>BLEND-1-L520TI</t>
        </is>
      </c>
      <c r="F54" t="inlineStr">
        <is>
          <t>Blend</t>
        </is>
      </c>
      <c r="G54" t="inlineStr">
        <is>
          <t>Blending Sud</t>
        </is>
      </c>
      <c r="H54" t="inlineStr">
        <is>
          <t>Messina Ivan</t>
        </is>
      </c>
      <c r="S54" t="inlineStr">
        <is>
          <t>no</t>
        </is>
      </c>
    </row>
    <row r="55">
      <c r="A55" t="inlineStr">
        <is>
          <t>552546/C</t>
        </is>
      </c>
      <c r="B55" t="inlineStr">
        <is>
          <t>Razionalizzazione allarmi area 3- iMP.1800-controllo funzionale valvola motorizzata 18R030BV (A D-101); interfacciarsi con sala controllo prima di iniziare attivita'.</t>
        </is>
      </c>
      <c r="C55" t="inlineStr">
        <is>
          <t>Richiesto</t>
        </is>
      </c>
      <c r="D55" t="n">
        <v>5400261992</v>
      </c>
      <c r="E55" t="inlineStr">
        <is>
          <t>1800-1-AREA IMPIANTO</t>
        </is>
      </c>
      <c r="F55" t="n">
        <v>1800</v>
      </c>
      <c r="G55" t="inlineStr">
        <is>
          <t>Process Area 3</t>
        </is>
      </c>
      <c r="H55" t="inlineStr">
        <is>
          <t>Passanisi Domenico</t>
        </is>
      </c>
      <c r="S55" t="inlineStr">
        <is>
          <t>no</t>
        </is>
      </c>
    </row>
    <row r="56">
      <c r="A56" t="inlineStr">
        <is>
          <t>552544/C</t>
        </is>
      </c>
      <c r="B56" t="inlineStr">
        <is>
          <t>Razionalizzazione allarmi area 3- iMP.1800-controllo funzionale valvola motorizzata 18R029BV (GASOLIO A 1800-E102); interfacciarsi con sala controllo prima di iniziare attivita'.</t>
        </is>
      </c>
      <c r="C56" t="inlineStr">
        <is>
          <t>Richiesto</t>
        </is>
      </c>
      <c r="D56" t="n">
        <v>5400261992</v>
      </c>
      <c r="E56" t="inlineStr">
        <is>
          <t>1800-1-AREA IMPIANTO</t>
        </is>
      </c>
      <c r="F56" t="n">
        <v>1800</v>
      </c>
      <c r="G56" t="inlineStr">
        <is>
          <t>Process Area 3</t>
        </is>
      </c>
      <c r="H56" t="inlineStr">
        <is>
          <t>Passanisi Domenico</t>
        </is>
      </c>
      <c r="S56" t="inlineStr">
        <is>
          <t>no</t>
        </is>
      </c>
    </row>
    <row r="57">
      <c r="A57" t="inlineStr">
        <is>
          <t>552539/C</t>
        </is>
      </c>
      <c r="B57" t="inlineStr">
        <is>
          <t>Razionalizzazione allarmi area 3- iMP.1800-controllo funzionale valvola motorizzata 18R028BV (vapore BP EM.e lav. F101); interfacciarsi con sala controllo prima di iniziare attivita'.</t>
        </is>
      </c>
      <c r="C57" t="inlineStr">
        <is>
          <t>Richiesto</t>
        </is>
      </c>
      <c r="D57" t="n">
        <v>5400261992</v>
      </c>
      <c r="E57" t="inlineStr">
        <is>
          <t>1800-1-AREA IMPIANTO</t>
        </is>
      </c>
      <c r="F57" t="n">
        <v>1800</v>
      </c>
      <c r="G57" t="inlineStr">
        <is>
          <t>Process Area 3</t>
        </is>
      </c>
      <c r="H57" t="inlineStr">
        <is>
          <t>Passanisi Domenico</t>
        </is>
      </c>
      <c r="S57" t="inlineStr">
        <is>
          <t>no</t>
        </is>
      </c>
    </row>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35"/>
    <row r="136"/>
    <row r="137"/>
    <row r="138"/>
    <row r="139"/>
    <row r="140"/>
    <row r="141"/>
    <row r="142"/>
    <row r="143"/>
    <row r="144"/>
    <row r="145"/>
    <row r="146"/>
    <row r="147"/>
    <row r="161"/>
  </sheetData>
  <mergeCells count="1">
    <mergeCell ref="A1:I1"/>
  </mergeCells>
  <conditionalFormatting sqref="A32:S35 A161:S161">
    <cfRule type="expression" priority="20" dxfId="42">
      <formula>$S32="NO"</formula>
    </cfRule>
  </conditionalFormatting>
  <conditionalFormatting sqref="A4:O4 A5:R9 A10:S13 Q4:R4 S3">
    <cfRule type="expression" priority="16" dxfId="42">
      <formula>$S3="NO"</formula>
    </cfRule>
  </conditionalFormatting>
  <conditionalFormatting sqref="A31:R31">
    <cfRule type="expression" priority="1510" dxfId="42">
      <formula>#REF!="NO"</formula>
    </cfRule>
  </conditionalFormatting>
  <conditionalFormatting sqref="A36:S44">
    <cfRule type="expression" priority="8" dxfId="42">
      <formula>$S36="NO"</formula>
    </cfRule>
  </conditionalFormatting>
  <conditionalFormatting sqref="A45:R47 A48:S104">
    <cfRule type="expression" priority="7" dxfId="42">
      <formula>$S45="NO"</formula>
    </cfRule>
  </conditionalFormatting>
  <conditionalFormatting sqref="A14:S30">
    <cfRule type="expression" priority="6" dxfId="42">
      <formula>$S14="NO"</formula>
    </cfRule>
  </conditionalFormatting>
  <conditionalFormatting sqref="S45:S47">
    <cfRule type="expression" priority="5" dxfId="42">
      <formula>$S45="NO"</formula>
    </cfRule>
  </conditionalFormatting>
  <conditionalFormatting sqref="P3:P4">
    <cfRule type="expression" priority="4" dxfId="42">
      <formula>$S3="NO"</formula>
    </cfRule>
  </conditionalFormatting>
  <conditionalFormatting sqref="S5:S8">
    <cfRule type="expression" priority="3" dxfId="42">
      <formula>$S5="NO"</formula>
    </cfRule>
  </conditionalFormatting>
  <conditionalFormatting sqref="S4">
    <cfRule type="expression" priority="2" dxfId="42">
      <formula>$S4="NO"</formula>
    </cfRule>
  </conditionalFormatting>
  <conditionalFormatting sqref="S9">
    <cfRule type="expression" priority="1" dxfId="42">
      <formula>$S9="NO"</formula>
    </cfRule>
  </conditionalFormatting>
  <dataValidations count="1">
    <dataValidation sqref="K3:K11" showDropDown="0" showInputMessage="1" showErrorMessage="1" allowBlank="1" type="list">
      <formula1>"RICHIESTO,EMESSO,IN CORSO,INTERROTTO,DA CHIUDERE,SCADUTO,CHIUSO,"</formula1>
    </dataValidation>
  </dataValidations>
  <pageMargins left="0.7" right="0.7" top="0.75" bottom="0.75" header="0.3" footer="0.3"/>
  <pageSetup orientation="portrait" paperSize="9" horizontalDpi="360" verticalDpi="360"/>
  <legacyDrawing xmlns:r="http://schemas.openxmlformats.org/officeDocument/2006/relationships" r:id="anysvml"/>
  <tableParts count="1">
    <tablePart xmlns:r="http://schemas.openxmlformats.org/officeDocument/2006/relationships" r:id="rId1"/>
  </tableParts>
</worksheet>
</file>

<file path=xl/worksheets/sheet10.xml><?xml version="1.0" encoding="utf-8"?>
<worksheet xmlns="http://schemas.openxmlformats.org/spreadsheetml/2006/main">
  <sheetPr codeName="Foglio8">
    <tabColor rgb="FFFFC000"/>
    <outlinePr summaryBelow="1" summaryRight="1"/>
    <pageSetUpPr/>
  </sheetPr>
  <dimension ref="A1:Q30"/>
  <sheetViews>
    <sheetView workbookViewId="0">
      <selection activeCell="A17" sqref="A17"/>
    </sheetView>
  </sheetViews>
  <sheetFormatPr baseColWidth="8" defaultRowHeight="14.25"/>
  <cols>
    <col width="64.125" bestFit="1" customWidth="1" style="122" min="1" max="1"/>
    <col width="1.375" customWidth="1" style="122" min="2" max="2"/>
    <col width="9.375" bestFit="1" customWidth="1" style="122" min="3" max="3"/>
    <col width="42.375" bestFit="1" customWidth="1" style="122" min="4" max="4"/>
    <col width="8.75" bestFit="1" customWidth="1" style="122" min="5" max="5"/>
    <col width="4.125" bestFit="1" customWidth="1" style="122" min="6" max="6"/>
    <col width="3.625" bestFit="1" customWidth="1" style="122" min="7" max="7"/>
    <col width="4.375" customWidth="1" style="122" min="8" max="8"/>
    <col width="2.625" bestFit="1" customWidth="1" style="122" min="9" max="9"/>
    <col width="4.125" bestFit="1" customWidth="1" style="122" min="10" max="10"/>
    <col width="13.5" bestFit="1" customWidth="1" style="122" min="11" max="11"/>
    <col width="3.5" bestFit="1" customWidth="1" style="122" min="12" max="12"/>
    <col width="4.25" customWidth="1" style="122" min="13" max="13"/>
    <col width="2.875" bestFit="1" customWidth="1" style="122" min="14" max="14"/>
    <col width="57.625" bestFit="1" customWidth="1" style="173" min="15" max="15"/>
    <col width="10.75" bestFit="1" customWidth="1" style="122" min="16" max="16"/>
    <col width="22.25" bestFit="1" customWidth="1" style="122" min="17" max="17"/>
  </cols>
  <sheetData>
    <row r="1" ht="36.75" customHeight="1" s="122">
      <c r="A1" t="inlineStr">
        <is>
          <t>Desiderata manutentiva PA3S 14.07.25</t>
        </is>
      </c>
      <c r="C1" s="78" t="inlineStr">
        <is>
          <t>AVVISO</t>
        </is>
      </c>
      <c r="D1" s="78" t="inlineStr">
        <is>
          <t>DESCRIZIONE ATTIVITA'</t>
        </is>
      </c>
      <c r="E1" s="78" t="inlineStr">
        <is>
          <t>PDL</t>
        </is>
      </c>
      <c r="F1" s="78" t="inlineStr">
        <is>
          <t>LUN</t>
        </is>
      </c>
      <c r="G1" s="78" t="inlineStr">
        <is>
          <t>MAR</t>
        </is>
      </c>
      <c r="H1" s="78" t="inlineStr">
        <is>
          <t>MER</t>
        </is>
      </c>
      <c r="I1" s="78" t="inlineStr">
        <is>
          <t>GIO</t>
        </is>
      </c>
      <c r="J1" s="78" t="inlineStr">
        <is>
          <t>VEN</t>
        </is>
      </c>
      <c r="K1" s="78" t="inlineStr">
        <is>
          <t>STATO PDL</t>
        </is>
      </c>
      <c r="L1" s="78" t="inlineStr">
        <is>
          <t>ESE</t>
        </is>
      </c>
      <c r="M1" s="78" t="inlineStr">
        <is>
          <t>SAIT</t>
        </is>
      </c>
      <c r="N1" s="78" t="inlineStr">
        <is>
          <t>PR</t>
        </is>
      </c>
      <c r="O1" s="78" t="inlineStr">
        <is>
          <t>AZIONE CORRETTIVA</t>
        </is>
      </c>
      <c r="P1" s="78" t="inlineStr">
        <is>
          <t>DATA INTERVENTO</t>
        </is>
      </c>
      <c r="Q1" s="78" t="inlineStr">
        <is>
          <t>PERSONALE IMPIEGATO</t>
        </is>
      </c>
    </row>
    <row r="2" ht="15" customHeight="1" s="122">
      <c r="A2" s="153" t="n"/>
      <c r="C2" s="87">
        <f>IFERROR(MID('caricamento Desiderata'!A2,FIND("Avviso n° ",'caricamento Desiderata'!A2)+10,LEN('caricamento Desiderata'!A2)),"")</f>
        <v/>
      </c>
      <c r="D2" s="87">
        <f>IF('caricamento Desiderata'!A2="", "", IFERROR(LEFT('caricamento Desiderata'!A2,FIND("Avviso n° ",'caricamento Desiderata'!A2)-1),'caricamento Desiderata'!A2))</f>
        <v/>
      </c>
      <c r="E2" s="87" t="n"/>
      <c r="F2" s="87" t="n"/>
      <c r="G2" s="87" t="n"/>
      <c r="H2" s="88" t="n"/>
      <c r="I2" s="88" t="n"/>
      <c r="J2" s="89" t="n"/>
      <c r="K2" s="89" t="n"/>
      <c r="L2" s="89" t="n"/>
      <c r="M2" s="89" t="n"/>
      <c r="N2" s="89" t="n"/>
      <c r="O2" s="75" t="n"/>
      <c r="P2" s="76" t="n"/>
      <c r="Q2" s="88" t="n"/>
    </row>
    <row r="3" ht="28.5" customHeight="1" s="122">
      <c r="A3" s="157" t="inlineStr">
        <is>
          <t>- 2200: 22F301RC controllo funzionale. Avviso n° 10211871</t>
        </is>
      </c>
      <c r="C3" s="87">
        <f>IFERROR(MID('caricamento Desiderata'!A3,FIND("Avviso n° ",'caricamento Desiderata'!A3)+10,LEN('caricamento Desiderata'!A3)),"")</f>
        <v/>
      </c>
      <c r="D3" s="87">
        <f>IF('caricamento Desiderata'!A3="", "", IFERROR(LEFT('caricamento Desiderata'!A3,FIND("Avviso n° ",'caricamento Desiderata'!A3)-1),'caricamento Desiderata'!A3))</f>
        <v/>
      </c>
      <c r="E3" s="87" t="inlineStr">
        <is>
          <t>544285/C</t>
        </is>
      </c>
      <c r="F3" s="87" t="n"/>
      <c r="G3" s="87" t="n"/>
      <c r="H3" s="88" t="n"/>
      <c r="I3" s="88" t="n"/>
      <c r="J3" s="89" t="n"/>
      <c r="K3" s="89" t="inlineStr">
        <is>
          <t>DA CHIUDERE</t>
        </is>
      </c>
      <c r="L3" s="89" t="n"/>
      <c r="M3" s="89" t="n"/>
      <c r="N3" s="89" t="n"/>
      <c r="O3" s="75" t="inlineStr">
        <is>
          <t>NESSUNA ANOMALIA DA SEGNALARE. STRUMENTO DOPPIO CON F302I, TRASMETTONO LA STESSA IDENTICA MISURA.</t>
        </is>
      </c>
      <c r="P3" s="76" t="n">
        <v>45853</v>
      </c>
      <c r="Q3" s="88" t="inlineStr">
        <is>
          <t>MILLO/ALLEGRETTI</t>
        </is>
      </c>
    </row>
    <row r="4" ht="15" customHeight="1" s="122">
      <c r="A4" s="153" t="inlineStr">
        <is>
          <t>- 2400: 24F606R controllo. Avviso n° 10226982</t>
        </is>
      </c>
      <c r="C4" s="87">
        <f>IFERROR(MID('caricamento Desiderata'!A4,FIND("Avviso n° ",'caricamento Desiderata'!A4)+10,LEN('caricamento Desiderata'!A4)),"")</f>
        <v/>
      </c>
      <c r="D4" s="87">
        <f>IF('caricamento Desiderata'!A4="", "", IFERROR(LEFT('caricamento Desiderata'!A4,FIND("Avviso n° ",'caricamento Desiderata'!A4)-1),'caricamento Desiderata'!A4))</f>
        <v/>
      </c>
      <c r="E4" s="87" t="inlineStr">
        <is>
          <t>543688/C</t>
        </is>
      </c>
      <c r="F4" s="87" t="n"/>
      <c r="G4" s="87" t="n"/>
      <c r="H4" s="88" t="n"/>
      <c r="I4" s="88" t="n"/>
      <c r="J4" s="89" t="n"/>
      <c r="K4" s="89" t="inlineStr">
        <is>
          <t>DA CHIUDERE</t>
        </is>
      </c>
      <c r="L4" s="89" t="n"/>
      <c r="M4" s="89" t="n"/>
      <c r="N4" s="89" t="n"/>
      <c r="O4" s="75" t="inlineStr">
        <is>
          <t xml:space="preserve">ESEGUITO CONTROLLO FUNZIONALE </t>
        </is>
      </c>
      <c r="P4" s="76" t="n">
        <v>45855</v>
      </c>
      <c r="Q4" s="88" t="inlineStr">
        <is>
          <t>MILLO</t>
        </is>
      </c>
    </row>
    <row r="5" ht="28.5" customHeight="1" s="122">
      <c r="A5" s="153" t="inlineStr">
        <is>
          <t>- 1800: MTZ 18P437SH. Avviso n° 10223642</t>
        </is>
      </c>
      <c r="C5" s="87">
        <f>IFERROR(MID('caricamento Desiderata'!A5,FIND("Avviso n° ",'caricamento Desiderata'!A5)+10,LEN('caricamento Desiderata'!A5)),"")</f>
        <v/>
      </c>
      <c r="D5" s="87">
        <f>IF('caricamento Desiderata'!A5="", "", IFERROR(LEFT('caricamento Desiderata'!A5,FIND("Avviso n° ",'caricamento Desiderata'!A5)-1),'caricamento Desiderata'!A5))</f>
        <v/>
      </c>
      <c r="E5" s="87" t="inlineStr">
        <is>
          <t>536407/C</t>
        </is>
      </c>
      <c r="F5" s="87" t="n"/>
      <c r="G5" s="87" t="n"/>
      <c r="H5" s="88" t="n"/>
      <c r="I5" s="88" t="n"/>
      <c r="J5" s="89" t="n"/>
      <c r="K5" s="89" t="inlineStr">
        <is>
          <t>INTERROTTO</t>
        </is>
      </c>
      <c r="L5" s="89" t="n"/>
      <c r="M5" s="89" t="n"/>
      <c r="N5" s="89" t="n"/>
      <c r="O5" s="75" t="inlineStr">
        <is>
          <t>STRUMENTO DI PRESSIONE NON TROVATO INSIEME AD OPERATORE.  IL PUNTO A DCS RISULTA ALLARMATO.</t>
        </is>
      </c>
      <c r="P5" s="76" t="n">
        <v>45855</v>
      </c>
      <c r="Q5" s="88" t="inlineStr">
        <is>
          <t>SPINALI</t>
        </is>
      </c>
    </row>
    <row r="6" ht="28.5" customHeight="1" s="122">
      <c r="A6" s="154" t="inlineStr">
        <is>
          <t>- 700A: mtz 07L212RC. Avviso n° 10222849</t>
        </is>
      </c>
      <c r="C6" s="87">
        <f>IFERROR(MID('caricamento Desiderata'!A6,FIND("Avviso n° ",'caricamento Desiderata'!A6)+10,LEN('caricamento Desiderata'!A6)),"")</f>
        <v/>
      </c>
      <c r="D6" s="87">
        <f>IF('caricamento Desiderata'!A6="", "", IFERROR(LEFT('caricamento Desiderata'!A6,FIND("Avviso n° ",'caricamento Desiderata'!A6)-1),'caricamento Desiderata'!A6))</f>
        <v/>
      </c>
      <c r="E6" s="87" t="inlineStr">
        <is>
          <t>544286/C</t>
        </is>
      </c>
      <c r="F6" s="87" t="n"/>
      <c r="G6" s="87" t="n"/>
      <c r="H6" s="88" t="n"/>
      <c r="I6" s="88" t="n"/>
      <c r="J6" s="89" t="n"/>
      <c r="K6" s="89" t="inlineStr">
        <is>
          <t>DA CHIUDERE</t>
        </is>
      </c>
      <c r="L6" s="89" t="n"/>
      <c r="M6" s="89" t="n"/>
      <c r="N6" s="89" t="n"/>
      <c r="O6" s="75" t="inlineStr">
        <is>
          <t>LIVELLO FUNZIONANTE, VALVOLA STARATA DEL 30% E RIPRISTINATA LA FUNZIONALITA'</t>
        </is>
      </c>
      <c r="P6" s="76" t="n">
        <v>45852</v>
      </c>
      <c r="Q6" s="88" t="inlineStr">
        <is>
          <t>GARRO L.</t>
        </is>
      </c>
    </row>
    <row r="7" ht="42.75" customHeight="1" s="122">
      <c r="A7" s="154" t="inlineStr">
        <is>
          <t xml:space="preserve">- 1100: F003RC ripristino funzionalità. Avviso n° 10223633 </t>
        </is>
      </c>
      <c r="C7" s="87">
        <f>IFERROR(MID('caricamento Desiderata'!A7,FIND("Avviso n° ",'caricamento Desiderata'!A7)+10,LEN('caricamento Desiderata'!A7)),"")</f>
        <v/>
      </c>
      <c r="D7" s="87">
        <f>IF('caricamento Desiderata'!A7="", "", IFERROR(LEFT('caricamento Desiderata'!A7,FIND("Avviso n° ",'caricamento Desiderata'!A7)-1),'caricamento Desiderata'!A7))</f>
        <v/>
      </c>
      <c r="E7" s="87" t="inlineStr">
        <is>
          <t>536364/C</t>
        </is>
      </c>
      <c r="F7" s="87" t="n"/>
      <c r="G7" s="87" t="n"/>
      <c r="H7" s="88" t="n"/>
      <c r="I7" s="88" t="n"/>
      <c r="J7" s="89" t="n"/>
      <c r="K7" s="89" t="inlineStr">
        <is>
          <t>INTERROTTO</t>
        </is>
      </c>
      <c r="L7" s="89" t="n"/>
      <c r="M7" s="89" t="inlineStr">
        <is>
          <t>X</t>
        </is>
      </c>
      <c r="N7" s="89" t="inlineStr">
        <is>
          <t>X</t>
        </is>
      </c>
      <c r="O7" s="75" t="inlineStr">
        <is>
          <t xml:space="preserve"> STRUMENTO SOSTITUITO, COSTRUITA PALINA, NECESSITA INTERVENTO PONTEROSSO PER STASATURA RADICE NEGATIVA</t>
        </is>
      </c>
      <c r="P7" s="76" t="n">
        <v>45814</v>
      </c>
      <c r="Q7" s="88" t="inlineStr">
        <is>
          <t>TARASCIO/PARTESANO</t>
        </is>
      </c>
    </row>
    <row r="8" ht="57" customHeight="1" s="122">
      <c r="A8" s="154" t="inlineStr">
        <is>
          <t>- 800: ripr. Funzionalità LCV150. Avviso n° 10218060</t>
        </is>
      </c>
      <c r="C8" s="87">
        <f>IFERROR(MID('caricamento Desiderata'!A8,FIND("Avviso n° ",'caricamento Desiderata'!A8)+10,LEN('caricamento Desiderata'!A8)),"")</f>
        <v/>
      </c>
      <c r="D8" s="87">
        <f>IF('caricamento Desiderata'!A8="", "", IFERROR(LEFT('caricamento Desiderata'!A8,FIND("Avviso n° ",'caricamento Desiderata'!A8)-1),'caricamento Desiderata'!A8))</f>
        <v/>
      </c>
      <c r="E8" s="87" t="inlineStr">
        <is>
          <t>539111/C</t>
        </is>
      </c>
      <c r="F8" s="87" t="n"/>
      <c r="G8" s="87" t="n"/>
      <c r="H8" s="88" t="n"/>
      <c r="I8" s="88" t="n"/>
      <c r="J8" s="89" t="n"/>
      <c r="K8" s="89" t="inlineStr">
        <is>
          <t>DA CHIUDERE</t>
        </is>
      </c>
      <c r="L8" s="89" t="n"/>
      <c r="M8" s="89" t="n"/>
      <c r="N8" s="89" t="n"/>
      <c r="O8" s="75" t="inlineStr">
        <is>
          <t>SOSTITUITI RELE' PNEUMATICI SU REGOLAZIONE LIVELLO/VALVOLA, SOSTITUITO RICEVITORE 3-15 PSI, SOSTITUITI MANOMETRINI FILTRI RIDUTTORI VALVOLA/LIVELLO. LA REGOLAZIONE E' IN AUTOMATICO.</t>
        </is>
      </c>
      <c r="P8" s="76" t="n">
        <v>45770</v>
      </c>
      <c r="Q8" s="88" t="inlineStr">
        <is>
          <t>OGNISANTI</t>
        </is>
      </c>
    </row>
    <row r="9" ht="15.75" customHeight="1" s="122">
      <c r="A9" s="154" t="n"/>
      <c r="C9" s="87">
        <f>IFERROR(MID('caricamento Desiderata'!A9,FIND("Avviso n° ",'caricamento Desiderata'!A9)+10,LEN('caricamento Desiderata'!A9)),"")</f>
        <v/>
      </c>
      <c r="D9" s="87">
        <f>IF('caricamento Desiderata'!A9="", "", IFERROR(LEFT('caricamento Desiderata'!A9,FIND("Avviso n° ",'caricamento Desiderata'!A9)-1),'caricamento Desiderata'!A9))</f>
        <v/>
      </c>
      <c r="E9" s="87" t="n"/>
      <c r="F9" s="87" t="n"/>
      <c r="G9" s="87" t="n"/>
      <c r="H9" s="88" t="n"/>
      <c r="I9" s="88" t="n"/>
      <c r="J9" s="89" t="n"/>
      <c r="K9" s="89" t="n"/>
      <c r="L9" s="89" t="n"/>
      <c r="M9" s="89" t="n"/>
      <c r="N9" s="89" t="n"/>
      <c r="O9" s="75" t="n"/>
      <c r="P9" s="76" t="n"/>
      <c r="Q9" s="88" t="n"/>
    </row>
    <row r="10" ht="15.75" customHeight="1" s="122">
      <c r="A10" s="154" t="n"/>
      <c r="C10" s="87">
        <f>IFERROR(MID('caricamento Desiderata'!A10,FIND("Avviso n° ",'caricamento Desiderata'!A10)+10,LEN('caricamento Desiderata'!A10)),"")</f>
        <v/>
      </c>
      <c r="D10" s="87">
        <f>IF('caricamento Desiderata'!A10="", "", IFERROR(LEFT('caricamento Desiderata'!A10,FIND("Avviso n° ",'caricamento Desiderata'!A10)-1),'caricamento Desiderata'!A10))</f>
        <v/>
      </c>
      <c r="E10" s="87" t="n"/>
      <c r="F10" s="87" t="n"/>
      <c r="G10" s="87" t="n"/>
      <c r="H10" s="88" t="n"/>
      <c r="I10" s="88" t="n"/>
      <c r="J10" s="89" t="n"/>
      <c r="K10" s="89" t="n"/>
      <c r="L10" s="89" t="n"/>
      <c r="M10" s="89" t="n"/>
      <c r="N10" s="89" t="n"/>
      <c r="O10" s="75" t="n"/>
      <c r="P10" s="76" t="n"/>
      <c r="Q10" s="88" t="n"/>
    </row>
    <row r="11" ht="15" customHeight="1" s="122">
      <c r="A11" s="155" t="n"/>
      <c r="C11" s="87">
        <f>IFERROR(MID('caricamento Desiderata'!A11,FIND("Avviso n° ",'caricamento Desiderata'!A11)+10,LEN('caricamento Desiderata'!A11)),"")</f>
        <v/>
      </c>
      <c r="D11" s="87">
        <f>IF('caricamento Desiderata'!A11="", "", IFERROR(LEFT('caricamento Desiderata'!A11,FIND("Avviso n° ",'caricamento Desiderata'!A11)-1),'caricamento Desiderata'!A11))</f>
        <v/>
      </c>
      <c r="E11" s="87" t="n"/>
      <c r="F11" s="87" t="n"/>
      <c r="G11" s="87" t="n"/>
      <c r="H11" s="88" t="n"/>
      <c r="I11" s="88" t="n"/>
      <c r="J11" s="89" t="n"/>
      <c r="K11" s="89" t="n"/>
      <c r="L11" s="89" t="n"/>
      <c r="M11" s="89" t="n"/>
      <c r="N11" s="89" t="n"/>
      <c r="O11" s="75" t="n"/>
      <c r="P11" s="76" t="n"/>
      <c r="Q11" s="88" t="n"/>
    </row>
    <row r="12" ht="15" customHeight="1" s="122">
      <c r="A12" s="155" t="n"/>
      <c r="C12" s="87">
        <f>IFERROR(MID('caricamento Desiderata'!A12,FIND("Avviso n° ",'caricamento Desiderata'!A12)+10,LEN('caricamento Desiderata'!A12)),"")</f>
        <v/>
      </c>
      <c r="D12" s="87">
        <f>IF('caricamento Desiderata'!A12="", "", IFERROR(LEFT('caricamento Desiderata'!A12,FIND("Avviso n° ",'caricamento Desiderata'!A12)-1),'caricamento Desiderata'!A12))</f>
        <v/>
      </c>
      <c r="E12" s="87" t="n"/>
      <c r="F12" s="87" t="n"/>
      <c r="G12" s="87" t="n"/>
      <c r="H12" s="88" t="n"/>
      <c r="I12" s="88" t="n"/>
      <c r="J12" s="89" t="n"/>
      <c r="K12" s="89" t="n"/>
      <c r="L12" s="89" t="n"/>
      <c r="M12" s="89" t="n"/>
      <c r="N12" s="89" t="n"/>
      <c r="O12" s="75" t="n"/>
      <c r="P12" s="76" t="n"/>
      <c r="Q12" s="88" t="n"/>
    </row>
    <row r="13" ht="15" customHeight="1" s="122">
      <c r="A13" s="156" t="n"/>
      <c r="C13" s="87">
        <f>IFERROR(MID('caricamento Desiderata'!A13,FIND("Avviso n° ",'caricamento Desiderata'!A13)+10,LEN('caricamento Desiderata'!A13)),"")</f>
        <v/>
      </c>
      <c r="D13" s="87">
        <f>IF('caricamento Desiderata'!A13="", "", IFERROR(LEFT('caricamento Desiderata'!A13,FIND("Avviso n° ",'caricamento Desiderata'!A13)-1),'caricamento Desiderata'!A13))</f>
        <v/>
      </c>
      <c r="E13" s="87" t="n"/>
      <c r="F13" s="87" t="n"/>
      <c r="G13" s="87" t="n"/>
      <c r="H13" s="88" t="n"/>
      <c r="I13" s="88" t="n"/>
      <c r="J13" s="89" t="n"/>
      <c r="K13" s="89" t="n"/>
      <c r="L13" s="89" t="n"/>
      <c r="M13" s="89" t="n"/>
      <c r="N13" s="89" t="n"/>
      <c r="O13" s="75" t="n"/>
      <c r="P13" s="76" t="n"/>
      <c r="Q13" s="88" t="n"/>
    </row>
    <row r="14" ht="15" customHeight="1" s="122">
      <c r="A14" s="157" t="n"/>
      <c r="C14" s="87">
        <f>IFERROR(MID('caricamento Desiderata'!A14,FIND("Avviso n° ",'caricamento Desiderata'!A14)+10,LEN('caricamento Desiderata'!A14)),"")</f>
        <v/>
      </c>
      <c r="D14" s="87">
        <f>IF('caricamento Desiderata'!A14="", "", IFERROR(LEFT('caricamento Desiderata'!A14,FIND("Avviso n° ",'caricamento Desiderata'!A14)-1),'caricamento Desiderata'!A14))</f>
        <v/>
      </c>
      <c r="E14" s="87" t="n"/>
      <c r="F14" s="87" t="n"/>
      <c r="G14" s="87" t="n"/>
      <c r="H14" s="88" t="n"/>
      <c r="I14" s="88" t="n"/>
      <c r="J14" s="89" t="n"/>
      <c r="K14" s="89" t="n"/>
      <c r="L14" s="89" t="n"/>
      <c r="M14" s="89" t="n"/>
      <c r="N14" s="89" t="n"/>
      <c r="O14" s="75" t="n"/>
      <c r="P14" s="76" t="n"/>
      <c r="Q14" s="88" t="n"/>
    </row>
    <row r="15" ht="15" customHeight="1" s="122">
      <c r="A15" s="153" t="n"/>
      <c r="C15" s="87">
        <f>IFERROR(MID('caricamento Desiderata'!A15,FIND("Avviso n° ",'caricamento Desiderata'!A15)+10,LEN('caricamento Desiderata'!A15)),"")</f>
        <v/>
      </c>
      <c r="D15" s="87">
        <f>IF('caricamento Desiderata'!A15="", "", IFERROR(LEFT('caricamento Desiderata'!A15,FIND("Avviso n° ",'caricamento Desiderata'!A15)-1),'caricamento Desiderata'!A15))</f>
        <v/>
      </c>
      <c r="E15" s="87" t="n"/>
      <c r="F15" s="87" t="n"/>
      <c r="G15" s="87" t="n"/>
      <c r="H15" s="88" t="n"/>
      <c r="I15" s="88" t="n"/>
      <c r="J15" s="89" t="n"/>
      <c r="K15" s="89" t="n"/>
      <c r="L15" s="89" t="n"/>
      <c r="M15" s="89" t="n"/>
      <c r="N15" s="89" t="n"/>
      <c r="O15" s="75" t="n"/>
      <c r="P15" s="76" t="n"/>
      <c r="Q15" s="88" t="n"/>
    </row>
    <row r="16" ht="15" customHeight="1" s="122">
      <c r="A16" s="156" t="n"/>
      <c r="C16" s="87">
        <f>IFERROR(MID('caricamento Desiderata'!A16,FIND("Avviso n° ",'caricamento Desiderata'!A16)+10,LEN('caricamento Desiderata'!A16)),"")</f>
        <v/>
      </c>
      <c r="D16" s="87">
        <f>IF('caricamento Desiderata'!A16="", "", IFERROR(LEFT('caricamento Desiderata'!A16,FIND("Avviso n° ",'caricamento Desiderata'!A16)-1),'caricamento Desiderata'!A16))</f>
        <v/>
      </c>
      <c r="E16" s="87" t="n"/>
      <c r="F16" s="87" t="n"/>
      <c r="G16" s="87" t="n"/>
      <c r="H16" s="88" t="n"/>
      <c r="I16" s="88" t="n"/>
      <c r="J16" s="89" t="n"/>
      <c r="K16" s="89" t="n"/>
      <c r="L16" s="89" t="n"/>
      <c r="M16" s="89" t="n"/>
      <c r="N16" s="89" t="n"/>
      <c r="O16" s="75" t="n"/>
      <c r="P16" s="76" t="n"/>
      <c r="Q16" s="88" t="n"/>
    </row>
    <row r="17" ht="128.25" customHeight="1" s="122">
      <c r="A17" s="156" t="inlineStr">
        <is>
          <t>700A - RIPRISTINO JB TH6. Avviso n° 00000002</t>
        </is>
      </c>
      <c r="C17" s="87">
        <f>IFERROR(MID('caricamento Desiderata'!A17,FIND("Avviso n° ",'caricamento Desiderata'!A17)+10,LEN('caricamento Desiderata'!A17)),"")</f>
        <v/>
      </c>
      <c r="D17" s="87">
        <f>IF('caricamento Desiderata'!A17="", "", IFERROR(LEFT('caricamento Desiderata'!A17,FIND("Avviso n° ",'caricamento Desiderata'!A17)-1),'caricamento Desiderata'!A17))</f>
        <v/>
      </c>
      <c r="E17" s="87" t="inlineStr">
        <is>
          <t>539875/C</t>
        </is>
      </c>
      <c r="F17" s="87" t="n"/>
      <c r="G17" s="87" t="n"/>
      <c r="H17" s="88" t="n"/>
      <c r="I17" s="88" t="n"/>
      <c r="J17" s="89" t="n"/>
      <c r="K17" s="89" t="inlineStr">
        <is>
          <t>EMESSO</t>
        </is>
      </c>
      <c r="L17" s="89" t="inlineStr">
        <is>
          <t>X</t>
        </is>
      </c>
      <c r="M17" s="89" t="n"/>
      <c r="N17" s="89" t="n"/>
      <c r="O17" s="75"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P17" s="76" t="n">
        <v>45817</v>
      </c>
      <c r="Q17" s="88" t="inlineStr">
        <is>
          <t>GUARINO</t>
        </is>
      </c>
    </row>
    <row r="18" ht="28.5" customHeight="1" s="122">
      <c r="A18" s="153" t="inlineStr">
        <is>
          <t>imp. 1100 TRC007 IN BAD controllo e ripristino funzionale. Avviso n° 10227311</t>
        </is>
      </c>
      <c r="C18" s="87">
        <f>IFERROR(MID('caricamento Desiderata'!A18,FIND("Avviso n° ",'caricamento Desiderata'!A18)+10,LEN('caricamento Desiderata'!A18)),"")</f>
        <v/>
      </c>
      <c r="D18" s="87">
        <f>IF('caricamento Desiderata'!A18="", "", IFERROR(LEFT('caricamento Desiderata'!A18,FIND("Avviso n° ",'caricamento Desiderata'!A18)-1),'caricamento Desiderata'!A18))</f>
        <v/>
      </c>
      <c r="E18" s="87" t="inlineStr">
        <is>
          <t>544577/C</t>
        </is>
      </c>
      <c r="F18" s="87" t="n"/>
      <c r="G18" s="87" t="n"/>
      <c r="H18" s="88" t="n"/>
      <c r="I18" s="88" t="n"/>
      <c r="J18" s="89" t="n"/>
      <c r="K18" s="89" t="inlineStr">
        <is>
          <t>DA CHIUDERE</t>
        </is>
      </c>
      <c r="L18" s="89" t="n"/>
      <c r="M18" s="89" t="n"/>
      <c r="N18" s="89" t="n"/>
      <c r="O18" s="75" t="inlineStr">
        <is>
          <t>TROVATA POLARITA' INVERTITA SU SEGNALE ANALOGICO. SISTEMATA ED ALLINEATA MISURA A DCS</t>
        </is>
      </c>
      <c r="P18" s="76" t="n"/>
      <c r="Q18" s="88" t="n"/>
    </row>
    <row r="19" ht="15" customHeight="1" s="122">
      <c r="A19" s="153" t="inlineStr">
        <is>
          <t>700A: PCV212 bloccata al 50% controllo funzionale ed eventuale in accordo con ESE smontaggio/rimontaggio per revisione. Avviso n° 10226988</t>
        </is>
      </c>
      <c r="C19" s="87">
        <f>IFERROR(MID('caricamento Desiderata'!A19,FIND("Avviso n° ",'caricamento Desiderata'!A19)+10,LEN('caricamento Desiderata'!A19)),"")</f>
        <v/>
      </c>
      <c r="D19" s="87">
        <f>IF('caricamento Desiderata'!A19="", "", IFERROR(LEFT('caricamento Desiderata'!A19,FIND("Avviso n° ",'caricamento Desiderata'!A19)-1),'caricamento Desiderata'!A19))</f>
        <v/>
      </c>
      <c r="E19" s="87" t="inlineStr">
        <is>
          <t>543711/C</t>
        </is>
      </c>
      <c r="F19" s="87" t="n"/>
      <c r="G19" s="87" t="n"/>
      <c r="H19" s="88" t="n"/>
      <c r="I19" s="88" t="n"/>
      <c r="J19" s="89" t="n"/>
      <c r="K19" s="89" t="inlineStr">
        <is>
          <t>INTERROTTO</t>
        </is>
      </c>
      <c r="L19" s="89" t="n"/>
      <c r="M19" s="89" t="inlineStr">
        <is>
          <t>X</t>
        </is>
      </c>
      <c r="N19" s="89" t="n"/>
      <c r="O19" s="75" t="inlineStr">
        <is>
          <t>NECESSITA PONTEGGIO PER LO SMONTAGGIO.</t>
        </is>
      </c>
      <c r="P19" s="76" t="n">
        <v>45846</v>
      </c>
      <c r="Q19" s="88" t="inlineStr">
        <is>
          <t>GARRO</t>
        </is>
      </c>
    </row>
    <row r="20" ht="42.75" customHeight="1" s="122">
      <c r="A20" s="156" t="inlineStr">
        <is>
          <t xml:space="preserve">1200 controllo strumentale FR di vapore LS   ZF1401R.pv - Z3F401R.pv - Z0F152 (acqua BW alle caldaie). Avviso n° 10227344 </t>
        </is>
      </c>
      <c r="C20" s="87">
        <f>IFERROR(MID('caricamento Desiderata'!A20,FIND("Avviso n° ",'caricamento Desiderata'!A20)+10,LEN('caricamento Desiderata'!A20)),"")</f>
        <v/>
      </c>
      <c r="D20" s="87">
        <f>IF('caricamento Desiderata'!A20="", "", IFERROR(LEFT('caricamento Desiderata'!A20,FIND("Avviso n° ",'caricamento Desiderata'!A20)-1),'caricamento Desiderata'!A20))</f>
        <v/>
      </c>
      <c r="E20" s="87" t="inlineStr">
        <is>
          <t>544672/C</t>
        </is>
      </c>
      <c r="F20" s="87" t="n"/>
      <c r="G20" s="87" t="n"/>
      <c r="H20" s="88" t="n"/>
      <c r="I20" s="88" t="n"/>
      <c r="J20" s="89" t="n"/>
      <c r="K20" s="89" t="inlineStr">
        <is>
          <t>EMESSO</t>
        </is>
      </c>
      <c r="L20" s="89" t="n"/>
      <c r="M20" s="89" t="n"/>
      <c r="N20" s="89" t="n"/>
      <c r="O20" s="75" t="inlineStr">
        <is>
          <t>NON SI TROVA LO STRUMENTO Z0F152, CERCATO INSIEME AD OPERATORE, GLI ALTRI SONO STATI AZZERATI EDA ALLINEATI CON SALA CONTROLLO.</t>
        </is>
      </c>
      <c r="P20" s="76" t="n"/>
      <c r="Q20" s="88" t="n"/>
    </row>
    <row r="21" ht="15" customHeight="1" s="122">
      <c r="A21" s="153" t="inlineStr">
        <is>
          <t>700: VERIFICA 07T165I. Avviso n° 10227790</t>
        </is>
      </c>
      <c r="C21" s="87">
        <f>IFERROR(MID('caricamento Desiderata'!A21,FIND("Avviso n° ",'caricamento Desiderata'!A21)+10,LEN('caricamento Desiderata'!A21)),"")</f>
        <v/>
      </c>
      <c r="D21" s="87">
        <f>IF('caricamento Desiderata'!A21="", "", IFERROR(LEFT('caricamento Desiderata'!A21,FIND("Avviso n° ",'caricamento Desiderata'!A21)-1),'caricamento Desiderata'!A21))</f>
        <v/>
      </c>
      <c r="E21" s="87" t="inlineStr">
        <is>
          <t>545575/C</t>
        </is>
      </c>
      <c r="F21" s="87" t="n"/>
      <c r="G21" s="87" t="n"/>
      <c r="H21" s="88" t="n"/>
      <c r="I21" s="88" t="n"/>
      <c r="J21" s="89" t="n"/>
      <c r="K21" s="89" t="inlineStr">
        <is>
          <t>DA CHIUDERE</t>
        </is>
      </c>
      <c r="L21" s="89" t="n"/>
      <c r="M21" s="89" t="n"/>
      <c r="N21" s="89" t="n"/>
      <c r="O21" s="75" t="inlineStr">
        <is>
          <t>NULLA DA SEGNALARE .</t>
        </is>
      </c>
      <c r="P21" s="76" t="n"/>
      <c r="Q21" s="88" t="n"/>
    </row>
    <row r="22" ht="15" customHeight="1" s="122">
      <c r="A22" s="153" t="n"/>
      <c r="C22" s="87">
        <f>IFERROR(MID('caricamento Desiderata'!A22,FIND("Avviso n° ",'caricamento Desiderata'!A22)+10,LEN('caricamento Desiderata'!A22)),"")</f>
        <v/>
      </c>
      <c r="D22" s="87">
        <f>IF('caricamento Desiderata'!A22="", "", IFERROR(LEFT('caricamento Desiderata'!A22,FIND("Avviso n° ",'caricamento Desiderata'!A22)-1),'caricamento Desiderata'!A22))</f>
        <v/>
      </c>
      <c r="E22" s="87" t="n"/>
      <c r="F22" s="87" t="n"/>
      <c r="G22" s="87" t="n"/>
      <c r="H22" s="88" t="n"/>
      <c r="I22" s="88" t="n"/>
      <c r="J22" s="89" t="n"/>
      <c r="K22" s="89" t="n"/>
      <c r="L22" s="89" t="n"/>
      <c r="M22" s="89" t="n"/>
      <c r="N22" s="89" t="n"/>
      <c r="O22" s="75" t="n"/>
      <c r="P22" s="76" t="n"/>
      <c r="Q22" s="88" t="n"/>
    </row>
    <row r="23" ht="15" customHeight="1" s="122">
      <c r="A23" s="153" t="n"/>
      <c r="C23" s="87">
        <f>IFERROR(MID('caricamento Desiderata'!A23,FIND("Avviso n° ",'caricamento Desiderata'!A23)+10,LEN('caricamento Desiderata'!A23)),"")</f>
        <v/>
      </c>
      <c r="D23" s="87">
        <f>IF('caricamento Desiderata'!A23="", "", IFERROR(LEFT('caricamento Desiderata'!A23,FIND("Avviso n° ",'caricamento Desiderata'!A23)-1),'caricamento Desiderata'!A23))</f>
        <v/>
      </c>
      <c r="E23" s="87" t="n"/>
      <c r="F23" s="87" t="n"/>
      <c r="G23" s="87" t="n"/>
      <c r="H23" s="88" t="n"/>
      <c r="I23" s="88" t="n"/>
      <c r="J23" s="89" t="n"/>
      <c r="K23" s="89" t="n"/>
      <c r="L23" s="89" t="n"/>
      <c r="M23" s="89" t="n"/>
      <c r="N23" s="89" t="n"/>
      <c r="O23" s="75" t="n"/>
      <c r="P23" s="76" t="n"/>
      <c r="Q23" s="88" t="n"/>
    </row>
    <row r="24" ht="15" customHeight="1" s="122">
      <c r="A24" s="153" t="n"/>
      <c r="C24" s="87">
        <f>IFERROR(MID('caricamento Desiderata'!A24,FIND("Avviso n° ",'caricamento Desiderata'!A24)+10,LEN('caricamento Desiderata'!A24)),"")</f>
        <v/>
      </c>
      <c r="D24" s="87">
        <f>IF('caricamento Desiderata'!A24="", "", IFERROR(LEFT('caricamento Desiderata'!A24,FIND("Avviso n° ",'caricamento Desiderata'!A24)-1),'caricamento Desiderata'!A24))</f>
        <v/>
      </c>
      <c r="E24" s="87" t="n"/>
      <c r="F24" s="87" t="n"/>
      <c r="G24" s="87" t="n"/>
      <c r="H24" s="88" t="n"/>
      <c r="I24" s="88" t="n"/>
      <c r="J24" s="89" t="n"/>
      <c r="K24" s="89" t="n"/>
      <c r="L24" s="89" t="n"/>
      <c r="M24" s="89" t="n"/>
      <c r="N24" s="89" t="n"/>
      <c r="O24" s="75" t="n"/>
      <c r="P24" s="76" t="n"/>
      <c r="Q24" s="88" t="n"/>
    </row>
    <row r="25" ht="15" customHeight="1" s="122">
      <c r="A25" s="153" t="n"/>
      <c r="C25" s="87">
        <f>IFERROR(MID('caricamento Desiderata'!A25,FIND("Avviso n° ",'caricamento Desiderata'!A25)+10,LEN('caricamento Desiderata'!A25)),"")</f>
        <v/>
      </c>
      <c r="D25" s="87">
        <f>IF('caricamento Desiderata'!A25="", "", IFERROR(LEFT('caricamento Desiderata'!A25,FIND("Avviso n° ",'caricamento Desiderata'!A25)-1),'caricamento Desiderata'!A25))</f>
        <v/>
      </c>
      <c r="E25" s="87" t="n"/>
      <c r="F25" s="87" t="n"/>
      <c r="G25" s="87" t="n"/>
      <c r="H25" s="88" t="n"/>
      <c r="I25" s="88" t="n"/>
      <c r="J25" s="89" t="n"/>
      <c r="K25" s="89" t="n"/>
      <c r="L25" s="89" t="n"/>
      <c r="M25" s="89" t="n"/>
      <c r="N25" s="89" t="n"/>
      <c r="O25" s="75" t="n"/>
      <c r="P25" s="76" t="n"/>
      <c r="Q25" s="88" t="n"/>
    </row>
    <row r="26">
      <c r="C26" s="87">
        <f>IFERROR(MID('caricamento Desiderata'!A26,FIND("Avviso n° ",'caricamento Desiderata'!A26)+10,LEN('caricamento Desiderata'!A26)),"")</f>
        <v/>
      </c>
      <c r="D26" s="87">
        <f>IF('caricamento Desiderata'!A26="", "", IFERROR(LEFT('caricamento Desiderata'!A26,FIND("Avviso n° ",'caricamento Desiderata'!A26)-1),'caricamento Desiderata'!A26))</f>
        <v/>
      </c>
      <c r="E26" s="87" t="n"/>
      <c r="F26" s="87" t="n"/>
      <c r="G26" s="87" t="n"/>
      <c r="H26" s="88" t="n"/>
      <c r="I26" s="88" t="n"/>
      <c r="J26" s="89" t="n"/>
      <c r="K26" s="89" t="n"/>
      <c r="L26" s="89" t="n"/>
      <c r="M26" s="89" t="n"/>
      <c r="N26" s="89" t="n"/>
      <c r="O26" s="75" t="n"/>
      <c r="P26" s="76" t="n"/>
      <c r="Q26" s="88" t="n"/>
    </row>
    <row r="27">
      <c r="C27" s="87">
        <f>IFERROR(MID('caricamento Desiderata'!A27,FIND("Avviso n° ",'caricamento Desiderata'!A27)+10,LEN('caricamento Desiderata'!A27)),"")</f>
        <v/>
      </c>
      <c r="D27" s="87">
        <f>IF('caricamento Desiderata'!A27="", "", IFERROR(LEFT('caricamento Desiderata'!A27,FIND("Avviso n° ",'caricamento Desiderata'!A27)-1),'caricamento Desiderata'!A27))</f>
        <v/>
      </c>
      <c r="E27" s="87" t="n"/>
      <c r="F27" s="87" t="n"/>
      <c r="G27" s="87" t="n"/>
      <c r="H27" s="88" t="n"/>
      <c r="I27" s="88" t="n"/>
      <c r="J27" s="89" t="n"/>
      <c r="K27" s="89" t="n"/>
      <c r="L27" s="89" t="n"/>
      <c r="M27" s="89" t="n"/>
      <c r="N27" s="89" t="n"/>
      <c r="O27" s="75" t="n"/>
      <c r="P27" s="76" t="n"/>
      <c r="Q27" s="88" t="n"/>
    </row>
    <row r="28">
      <c r="C28" s="87">
        <f>IFERROR(MID('caricamento Desiderata'!A28,FIND("Avviso n° ",'caricamento Desiderata'!A28)+10,LEN('caricamento Desiderata'!A28)),"")</f>
        <v/>
      </c>
      <c r="D28" s="87">
        <f>IF('caricamento Desiderata'!A28="", "", IFERROR(LEFT('caricamento Desiderata'!A28,FIND("Avviso n° ",'caricamento Desiderata'!A28)-1),'caricamento Desiderata'!A28))</f>
        <v/>
      </c>
      <c r="E28" s="87" t="n"/>
      <c r="F28" s="87" t="n"/>
      <c r="G28" s="87" t="n"/>
      <c r="H28" s="88" t="n"/>
      <c r="I28" s="88" t="n"/>
      <c r="J28" s="89" t="n"/>
      <c r="K28" s="89" t="n"/>
      <c r="L28" s="89" t="n"/>
      <c r="M28" s="89" t="n"/>
      <c r="N28" s="89" t="n"/>
      <c r="O28" s="75" t="n"/>
      <c r="P28" s="76" t="n"/>
      <c r="Q28" s="88" t="n"/>
    </row>
    <row r="29">
      <c r="C29" s="87">
        <f>IFERROR(MID('caricamento Desiderata'!A29,FIND("Avviso n° ",'caricamento Desiderata'!A29)+10,LEN('caricamento Desiderata'!A29)),"")</f>
        <v/>
      </c>
      <c r="D29" s="87">
        <f>IF('caricamento Desiderata'!A29="", "", IFERROR(LEFT('caricamento Desiderata'!A29,FIND("Avviso n° ",'caricamento Desiderata'!A29)-1),'caricamento Desiderata'!A29))</f>
        <v/>
      </c>
      <c r="E29" s="87" t="n"/>
      <c r="F29" s="87" t="n"/>
      <c r="G29" s="87" t="n"/>
      <c r="H29" s="88" t="n"/>
      <c r="I29" s="88" t="n"/>
      <c r="J29" s="89" t="n"/>
      <c r="K29" s="89" t="n"/>
      <c r="L29" s="89" t="n"/>
      <c r="M29" s="89" t="n"/>
      <c r="N29" s="89" t="n"/>
      <c r="O29" s="75" t="n"/>
      <c r="P29" s="76" t="n"/>
      <c r="Q29" s="88" t="n"/>
    </row>
    <row r="30">
      <c r="C30" s="87">
        <f>IFERROR(MID('caricamento Desiderata'!A30,FIND("Avviso n° ",'caricamento Desiderata'!A30)+10,LEN('caricamento Desiderata'!A30)),"")</f>
        <v/>
      </c>
      <c r="D30" s="87">
        <f>IF('caricamento Desiderata'!A30="", "", IFERROR(LEFT('caricamento Desiderata'!A30,FIND("Avviso n° ",'caricamento Desiderata'!A30)-1),'caricamento Desiderata'!A30))</f>
        <v/>
      </c>
      <c r="E30" s="87" t="n"/>
      <c r="F30" s="87" t="n"/>
      <c r="G30" s="87" t="n"/>
      <c r="H30" s="88" t="n"/>
      <c r="I30" s="88" t="n"/>
      <c r="J30" s="89" t="n"/>
      <c r="K30" s="89" t="n"/>
      <c r="L30" s="89" t="n"/>
      <c r="M30" s="89" t="n"/>
      <c r="N30" s="89" t="n"/>
      <c r="O30" s="75" t="n"/>
      <c r="P30" s="76" t="n"/>
      <c r="Q30" s="88" t="n"/>
    </row>
  </sheetData>
  <pageMargins left="0.7" right="0.7" top="0.75" bottom="0.75" header="0.3" footer="0.3"/>
  <pageSetup orientation="portrait" paperSize="9"/>
  <legacyDrawing xmlns:r="http://schemas.openxmlformats.org/officeDocument/2006/relationships" r:id="anysvml"/>
</worksheet>
</file>

<file path=xl/worksheets/sheet11.xml><?xml version="1.0" encoding="utf-8"?>
<worksheet xmlns="http://schemas.openxmlformats.org/spreadsheetml/2006/main">
  <sheetPr codeName="Foglio10">
    <tabColor rgb="FFFF0000"/>
    <outlinePr summaryBelow="1" summaryRight="1"/>
    <pageSetUpPr fitToPage="1"/>
  </sheetPr>
  <dimension ref="A1:O32"/>
  <sheetViews>
    <sheetView workbookViewId="0">
      <selection activeCell="M10" sqref="M10"/>
    </sheetView>
  </sheetViews>
  <sheetFormatPr baseColWidth="8" defaultColWidth="8.75" defaultRowHeight="14.25"/>
  <cols>
    <col width="20.875" bestFit="1" customWidth="1" style="122" min="1" max="1"/>
    <col width="46.5" bestFit="1" customWidth="1" style="122" min="2" max="2"/>
    <col width="8.75" customWidth="1" style="122" min="3" max="3"/>
    <col width="10.125" bestFit="1" customWidth="1" style="122" min="4" max="4"/>
    <col width="4.375" customWidth="1" style="122" min="5" max="9"/>
    <col width="4.5" customWidth="1" style="122" min="10" max="12"/>
    <col width="76.25" customWidth="1" style="122" min="13" max="13"/>
    <col width="41.625" bestFit="1" customWidth="1" style="99" min="14" max="14"/>
    <col width="25" bestFit="1" customWidth="1" style="122" min="15" max="15"/>
    <col width="8.75" customWidth="1" style="122" min="16" max="16384"/>
  </cols>
  <sheetData>
    <row r="1" ht="27.95" customFormat="1" customHeight="1" s="173">
      <c r="A1" s="213">
        <f>'caricamento Desiderata'!A1</f>
        <v/>
      </c>
    </row>
    <row r="2" ht="14.1" customFormat="1" customHeight="1" s="173">
      <c r="A2" s="83" t="n"/>
      <c r="N2" s="91" t="n"/>
    </row>
    <row r="3" hidden="1" ht="14.1" customFormat="1" customHeight="1" s="173">
      <c r="A3" s="81" t="inlineStr">
        <is>
          <t>DA FARE PDL</t>
        </is>
      </c>
      <c r="B3" s="80" t="n"/>
      <c r="C3" s="80" t="n"/>
      <c r="D3" s="80" t="n"/>
      <c r="E3" s="80" t="n"/>
      <c r="F3" s="80" t="n"/>
      <c r="G3" s="80" t="n"/>
      <c r="H3" s="80" t="n"/>
      <c r="I3" s="80" t="n"/>
      <c r="J3" s="80" t="n"/>
      <c r="K3" s="80" t="n"/>
      <c r="L3" s="80" t="n"/>
      <c r="N3" s="91" t="n"/>
    </row>
    <row r="4" hidden="1" ht="13.9" customHeight="1" s="122">
      <c r="A4" s="103" t="inlineStr">
        <is>
          <t>AVVISO</t>
        </is>
      </c>
      <c r="B4" s="84" t="inlineStr">
        <is>
          <t>DESCRIZIONE ATTIVITA'</t>
        </is>
      </c>
      <c r="C4" s="84" t="inlineStr">
        <is>
          <t>PDL</t>
        </is>
      </c>
    </row>
    <row r="5" hidden="1" ht="14.1" customFormat="1" customHeight="1" s="173">
      <c r="A5" s="82">
        <f>IF(ISBLANK('caricamento Desiderata'!E2), IF(ISBLANK('caricamento Desiderata'!C2), "", 'caricamento Desiderata'!C2), "")</f>
        <v/>
      </c>
      <c r="B5" s="82">
        <f>IF(ISBLANK('caricamento Desiderata'!E2), IF(ISBLANK('caricamento Desiderata'!D2), "", 'caricamento Desiderata'!D2), "")</f>
        <v/>
      </c>
      <c r="C5" s="82" t="n"/>
      <c r="N5" s="91" t="n"/>
    </row>
    <row r="6" hidden="1" ht="14.1" customFormat="1" customHeight="1" s="173">
      <c r="N6" s="91" t="n"/>
    </row>
    <row r="7" ht="14.1" customFormat="1" customHeight="1" s="173">
      <c r="A7" s="81" t="inlineStr">
        <is>
          <t>DA PROGRAMMARE</t>
        </is>
      </c>
      <c r="B7" s="80" t="n"/>
      <c r="C7" s="80" t="n"/>
      <c r="D7" s="94" t="n"/>
      <c r="E7" s="94" t="n"/>
      <c r="F7" s="94" t="n"/>
      <c r="G7" s="94" t="n"/>
      <c r="H7" s="94" t="n"/>
      <c r="I7" s="94" t="n"/>
      <c r="J7" s="94" t="n"/>
      <c r="K7" s="94" t="n"/>
      <c r="L7" s="94" t="n"/>
      <c r="N7" s="91" t="n"/>
    </row>
    <row r="8" ht="13.9" customHeight="1" s="122">
      <c r="A8" s="103" t="inlineStr">
        <is>
          <t>AVVISO</t>
        </is>
      </c>
      <c r="B8" s="84" t="inlineStr">
        <is>
          <t>DESCRIZIONE ATTIVITA'</t>
        </is>
      </c>
      <c r="C8" s="84" t="inlineStr">
        <is>
          <t>PDL</t>
        </is>
      </c>
      <c r="D8" s="101" t="inlineStr">
        <is>
          <t>STATO PDL</t>
        </is>
      </c>
      <c r="E8" s="84" t="inlineStr">
        <is>
          <t>LUN</t>
        </is>
      </c>
      <c r="F8" s="84" t="inlineStr">
        <is>
          <t>MAR</t>
        </is>
      </c>
      <c r="G8" s="84" t="inlineStr">
        <is>
          <t>MER</t>
        </is>
      </c>
      <c r="H8" s="84" t="inlineStr">
        <is>
          <t>GIO</t>
        </is>
      </c>
      <c r="I8" s="85" t="inlineStr">
        <is>
          <t>VEN</t>
        </is>
      </c>
    </row>
    <row r="9" hidden="1" ht="14.1" customFormat="1" customHeight="1" s="173">
      <c r="A9" s="82">
        <f>IF(AND(COUNTIF('caricamento Desiderata'!F2:J2, "X") = 0, 'caricamento Desiderata'!E2 &lt;&gt; "", OR(TRIM('caricamento Desiderata'!K2)="EMESSO", TRIM('caricamento Desiderata'!K2)="RICHIESTO")), 'caricamento Desiderata'!C2, "")</f>
        <v/>
      </c>
      <c r="B9" s="82">
        <f>IF(AND(COUNTIF('caricamento Desiderata'!F2:J2, "X") = 0, 'caricamento Desiderata'!E2 &lt;&gt; "", OR(TRIM('caricamento Desiderata'!K2)="EMESSO", TRIM('caricamento Desiderata'!K2)="RICHIESTO")), 'caricamento Desiderata'!D2, "")</f>
        <v/>
      </c>
      <c r="C9" s="82">
        <f>IF(AND(COUNTIF('caricamento Desiderata'!F2:J2, "X") = 0, 'caricamento Desiderata'!E2 &lt;&gt; "", OR(TRIM('caricamento Desiderata'!K2)="EMESSO", TRIM('caricamento Desiderata'!K2)="RICHIESTO")), 'caricamento Desiderata'!E2, "")</f>
        <v/>
      </c>
      <c r="D9" s="82">
        <f>IF(AND(COUNTIF('caricamento Desiderata'!F2:J2, "X") = 0, 'caricamento Desiderata'!E2 &lt;&gt; "", OR(TRIM('caricamento Desiderata'!K2)="EMESSO", TRIM('caricamento Desiderata'!K2)="RICHIESTO")), 'caricamento Desiderata'!K2, "")</f>
        <v/>
      </c>
      <c r="E9" s="95" t="n"/>
      <c r="F9" s="95" t="n"/>
      <c r="G9" s="95" t="n"/>
      <c r="H9" s="95" t="n"/>
      <c r="I9" s="95" t="n"/>
      <c r="N9" s="91" t="n"/>
    </row>
    <row r="10" ht="14.1" customFormat="1" customHeight="1" s="173">
      <c r="A10" s="82">
        <f>IF(AND(COUNTIF('caricamento Desiderata'!F17:J17, "X") = 0, 'caricamento Desiderata'!E17 &lt;&gt; "", OR(TRIM('caricamento Desiderata'!K17)="EMESSO", TRIM('caricamento Desiderata'!K17)="RICHIESTO")), 'caricamento Desiderata'!C17, "")</f>
        <v/>
      </c>
      <c r="B10" s="82">
        <f>IF(AND(COUNTIF('caricamento Desiderata'!F17:J17, "X") = 0, 'caricamento Desiderata'!E17 &lt;&gt; "", OR(TRIM('caricamento Desiderata'!K17)="EMESSO", TRIM('caricamento Desiderata'!K17)="RICHIESTO")), 'caricamento Desiderata'!D17, "")</f>
        <v/>
      </c>
      <c r="C10" s="82">
        <f>IF(AND(COUNTIF('caricamento Desiderata'!F17:J17, "X") = 0, 'caricamento Desiderata'!E17 &lt;&gt; "", OR(TRIM('caricamento Desiderata'!K17)="EMESSO", TRIM('caricamento Desiderata'!K17)="RICHIESTO")), 'caricamento Desiderata'!E17, "")</f>
        <v/>
      </c>
      <c r="D10" s="82">
        <f>IF(AND(COUNTIF('caricamento Desiderata'!F17:J17, "X") = 0, 'caricamento Desiderata'!E17 &lt;&gt; "", OR(TRIM('caricamento Desiderata'!K17)="EMESSO", TRIM('caricamento Desiderata'!K17)="RICHIESTO")), 'caricamento Desiderata'!K17, "")</f>
        <v/>
      </c>
      <c r="E10" s="95" t="n"/>
      <c r="F10" s="95" t="n"/>
      <c r="G10" s="95" t="n"/>
      <c r="H10" s="95" t="n"/>
      <c r="I10" s="95" t="n"/>
      <c r="N10" s="91" t="n"/>
    </row>
    <row r="11" ht="42" customFormat="1" customHeight="1" s="173">
      <c r="A11" s="82">
        <f>IF(AND(COUNTIF('caricamento Desiderata'!F20:J20, "X") = 0, 'caricamento Desiderata'!E20 &lt;&gt; "", OR(TRIM('caricamento Desiderata'!K20)="EMESSO", TRIM('caricamento Desiderata'!K20)="RICHIESTO")), 'caricamento Desiderata'!C20, "")</f>
        <v/>
      </c>
      <c r="B11" s="82">
        <f>IF(AND(COUNTIF('caricamento Desiderata'!F20:J20, "X") = 0, 'caricamento Desiderata'!E20 &lt;&gt; "", OR(TRIM('caricamento Desiderata'!K20)="EMESSO", TRIM('caricamento Desiderata'!K20)="RICHIESTO")), 'caricamento Desiderata'!D20, "")</f>
        <v/>
      </c>
      <c r="C11" s="82">
        <f>IF(AND(COUNTIF('caricamento Desiderata'!F20:J20, "X") = 0, 'caricamento Desiderata'!E20 &lt;&gt; "", OR(TRIM('caricamento Desiderata'!K20)="EMESSO", TRIM('caricamento Desiderata'!K20)="RICHIESTO")), 'caricamento Desiderata'!E20, "")</f>
        <v/>
      </c>
      <c r="D11" s="82">
        <f>IF(AND(COUNTIF('caricamento Desiderata'!F20:J20, "X") = 0, 'caricamento Desiderata'!E20 &lt;&gt; "", OR(TRIM('caricamento Desiderata'!K20)="EMESSO", TRIM('caricamento Desiderata'!K20)="RICHIESTO")), 'caricamento Desiderata'!K20, "")</f>
        <v/>
      </c>
      <c r="E11" s="95" t="n"/>
      <c r="F11" s="95" t="n"/>
      <c r="G11" s="95" t="n"/>
      <c r="H11" s="95" t="n"/>
      <c r="I11" s="95" t="n"/>
      <c r="N11" s="91" t="n"/>
    </row>
    <row r="12" ht="14.1" customFormat="1" customHeight="1" s="173">
      <c r="A12" s="164" t="n"/>
      <c r="B12" s="164" t="n"/>
      <c r="C12" s="164" t="n"/>
      <c r="D12" s="164" t="n"/>
      <c r="E12" s="164" t="n"/>
      <c r="F12" s="164" t="n"/>
      <c r="G12" s="164" t="n"/>
      <c r="H12" s="96" t="n"/>
      <c r="I12" s="96" t="n"/>
      <c r="J12" s="96" t="n"/>
      <c r="K12" s="96" t="n"/>
      <c r="L12" s="96" t="n"/>
      <c r="N12" s="91" t="n"/>
    </row>
    <row r="13" hidden="1" ht="14.1" customFormat="1" customHeight="1" s="173">
      <c r="A13" s="81" t="inlineStr">
        <is>
          <t>PROGRAMMATI</t>
        </is>
      </c>
      <c r="B13" s="164" t="n"/>
      <c r="C13" s="164" t="n"/>
      <c r="D13" s="164" t="n"/>
      <c r="E13" s="164" t="n"/>
      <c r="F13" s="164" t="n"/>
      <c r="G13" s="164" t="n"/>
      <c r="H13" s="96" t="n"/>
      <c r="I13" s="96" t="n"/>
      <c r="J13" s="96" t="n"/>
      <c r="K13" s="96" t="n"/>
      <c r="L13" s="96" t="n"/>
      <c r="N13" s="91" t="n"/>
    </row>
    <row r="14" hidden="1" ht="13.9" customHeight="1" s="122">
      <c r="A14" s="103" t="inlineStr">
        <is>
          <t>AVVISO</t>
        </is>
      </c>
      <c r="B14" s="84" t="inlineStr">
        <is>
          <t>DESCRIZIONE ATTIVITA'</t>
        </is>
      </c>
      <c r="C14" s="84" t="inlineStr">
        <is>
          <t>PDL</t>
        </is>
      </c>
      <c r="D14" s="101" t="inlineStr">
        <is>
          <t>STATO PDL</t>
        </is>
      </c>
      <c r="E14" s="84" t="inlineStr">
        <is>
          <t>LUN</t>
        </is>
      </c>
      <c r="F14" s="84" t="inlineStr">
        <is>
          <t>MAR</t>
        </is>
      </c>
      <c r="G14" s="84" t="inlineStr">
        <is>
          <t>MER</t>
        </is>
      </c>
      <c r="H14" s="84" t="inlineStr">
        <is>
          <t>GIO</t>
        </is>
      </c>
      <c r="I14" s="85" t="inlineStr">
        <is>
          <t>VEN</t>
        </is>
      </c>
    </row>
    <row r="15" hidden="1" ht="14.1" customFormat="1" customHeight="1" s="173">
      <c r="A15" s="82">
        <f>IF(AND(COUNTIF('caricamento Desiderata'!F2:J2, "X") &gt;= 1, 'caricamento Desiderata'!E2 &lt;&gt; "", AND(TRIM('caricamento Desiderata'!K2)&lt;&gt;"CHIUSO", TRIM('caricamento Desiderata'!K2)&lt;&gt;"DA CHIUDERE", TRIM('caricamento Desiderata'!K2)&lt;&gt;"INTERROTTO")), IF('caricamento Desiderata'!C2=0, "", 'caricamento Desiderata'!C2), "")</f>
        <v/>
      </c>
      <c r="B15" s="82">
        <f>IF(AND(COUNTIF('caricamento Desiderata'!F2:J2, "X") &gt;= 1, 'caricamento Desiderata'!E2 &lt;&gt; "", AND(TRIM('caricamento Desiderata'!K2)&lt;&gt;"CHIUSO", TRIM('caricamento Desiderata'!K2)&lt;&gt;"DA CHIUDERE", TRIM('caricamento Desiderata'!K2)&lt;&gt;"INTERROTTO")), IF('caricamento Desiderata'!D2=0, "", 'caricamento Desiderata'!D2), "")</f>
        <v/>
      </c>
      <c r="C15" s="82">
        <f>IF(AND(COUNTIF('caricamento Desiderata'!F2:J2, "X") &gt;= 1, 'caricamento Desiderata'!E2 &lt;&gt; "", AND(TRIM('caricamento Desiderata'!K2)&lt;&gt;"CHIUSO", TRIM('caricamento Desiderata'!K2)&lt;&gt;"DA CHIUDERE", TRIM('caricamento Desiderata'!K2)&lt;&gt;"INTERROTTO")), IF('caricamento Desiderata'!E2=0, "", 'caricamento Desiderata'!E2), "")</f>
        <v/>
      </c>
      <c r="D15" s="82">
        <f>IF(AND(COUNTIF('caricamento Desiderata'!F2:J2, "X") &gt;= 1, 'caricamento Desiderata'!E2 &lt;&gt; "", AND(TRIM('caricamento Desiderata'!K2)&lt;&gt;"CHIUSO", TRIM('caricamento Desiderata'!K2)&lt;&gt;"DA CHIUDERE", TRIM('caricamento Desiderata'!K2)&lt;&gt;"INTERROTTO")), IF('caricamento Desiderata'!K2=0, "", 'caricamento Desiderata'!K2), "")</f>
        <v/>
      </c>
      <c r="E15" s="95">
        <f>IF(AND(COUNTIF('caricamento Desiderata'!F2:J2, "X") &gt;= 1, 'caricamento Desiderata'!E2 &lt;&gt; "", AND(TRIM('caricamento Desiderata'!K2)&lt;&gt;"CHIUSO", TRIM('caricamento Desiderata'!K2)&lt;&gt;"DA CHIUDERE", TRIM('caricamento Desiderata'!K2)&lt;&gt;"INTERROTTO")), IF('caricamento Desiderata'!F2=0, "", 'caricamento Desiderata'!F2), "")</f>
        <v/>
      </c>
      <c r="F15" s="95">
        <f>IF(AND(COUNTIF('caricamento Desiderata'!F2:J2, "X") &gt;= 1, 'caricamento Desiderata'!E2 &lt;&gt; "", AND(TRIM('caricamento Desiderata'!K2)&lt;&gt;"CHIUSO", TRIM('caricamento Desiderata'!K2)&lt;&gt;"DA CHIUDERE", TRIM('caricamento Desiderata'!K2)&lt;&gt;"INTERROTTO")), IF('caricamento Desiderata'!G2=0, "", 'caricamento Desiderata'!G2), "")</f>
        <v/>
      </c>
      <c r="G15" s="95">
        <f>IF(AND(COUNTIF('caricamento Desiderata'!F2:J2, "X") &gt;= 1, 'caricamento Desiderata'!E2 &lt;&gt; "", AND(TRIM('caricamento Desiderata'!K2)&lt;&gt;"CHIUSO", TRIM('caricamento Desiderata'!K2)&lt;&gt;"DA CHIUDERE", TRIM('caricamento Desiderata'!K2)&lt;&gt;"INTERROTTO")), IF('caricamento Desiderata'!H2=0, "", 'caricamento Desiderata'!H2), "")</f>
        <v/>
      </c>
      <c r="H15" s="95">
        <f>IF(AND(COUNTIF('caricamento Desiderata'!F2:J2, "X") &gt;= 1, 'caricamento Desiderata'!E2 &lt;&gt; "", AND(TRIM('caricamento Desiderata'!K2)&lt;&gt;"CHIUSO", TRIM('caricamento Desiderata'!K2)&lt;&gt;"DA CHIUDERE", TRIM('caricamento Desiderata'!K2)&lt;&gt;"INTERROTTO")), IF('caricamento Desiderata'!I2=0, "", 'caricamento Desiderata'!I2), "")</f>
        <v/>
      </c>
      <c r="I15" s="95">
        <f>IF(AND(COUNTIF('caricamento Desiderata'!F2:J2, "X") &gt;= 1, 'caricamento Desiderata'!E2 &lt;&gt; "", AND(TRIM('caricamento Desiderata'!K2)&lt;&gt;"CHIUSO", TRIM('caricamento Desiderata'!K2)&lt;&gt;"DA CHIUDERE", TRIM('caricamento Desiderata'!K2)&lt;&gt;"INTERROTTO")), IF('caricamento Desiderata'!J2=0, "", 'caricamento Desiderata'!J2), "")</f>
        <v/>
      </c>
      <c r="N15" s="91" t="n"/>
    </row>
    <row r="16" hidden="1" ht="14.1" customFormat="1" customHeight="1" s="173">
      <c r="A16" s="164" t="n"/>
      <c r="B16" s="164" t="n"/>
      <c r="C16" s="164" t="n"/>
      <c r="D16" s="164" t="n"/>
      <c r="E16" s="164" t="n"/>
      <c r="F16" s="164" t="n"/>
      <c r="G16" s="164" t="n"/>
      <c r="H16" s="96" t="n"/>
      <c r="I16" s="96" t="n"/>
      <c r="J16" s="96" t="n"/>
      <c r="K16" s="96" t="n"/>
      <c r="L16" s="96" t="n"/>
      <c r="N16" s="91" t="n"/>
    </row>
    <row r="17" ht="14.1" customFormat="1" customHeight="1" s="173">
      <c r="A17" s="81" t="inlineStr">
        <is>
          <t>INTERROTTI</t>
        </is>
      </c>
      <c r="B17" s="80" t="n"/>
      <c r="C17" s="80" t="n"/>
      <c r="D17" s="80" t="n"/>
      <c r="E17" s="80" t="n"/>
      <c r="F17" s="80" t="n"/>
      <c r="G17" s="80" t="n"/>
      <c r="H17" s="80" t="n"/>
      <c r="I17" s="80" t="n"/>
      <c r="J17" s="80" t="n"/>
      <c r="K17" s="80" t="n"/>
      <c r="L17" s="80" t="n"/>
      <c r="M17" s="80" t="n"/>
      <c r="N17" s="80" t="n"/>
      <c r="O17" s="80" t="n"/>
    </row>
    <row r="18" ht="13.9" customHeight="1" s="122">
      <c r="A18" s="103" t="inlineStr">
        <is>
          <t>AVVISO</t>
        </is>
      </c>
      <c r="B18" s="84" t="inlineStr">
        <is>
          <t>DESCRIZIONE ATTIVITA'</t>
        </is>
      </c>
      <c r="C18" s="84" t="inlineStr">
        <is>
          <t>PDL</t>
        </is>
      </c>
      <c r="D18" s="102" t="inlineStr">
        <is>
          <t>DATA</t>
        </is>
      </c>
      <c r="E18" s="102" t="inlineStr">
        <is>
          <t>ESE</t>
        </is>
      </c>
      <c r="F18" s="102" t="inlineStr">
        <is>
          <t>SAIT</t>
        </is>
      </c>
      <c r="G18" s="102" t="inlineStr">
        <is>
          <t>PR</t>
        </is>
      </c>
      <c r="H18" s="214" t="inlineStr">
        <is>
          <t>AZIONE CORRETTIVA</t>
        </is>
      </c>
      <c r="I18" s="223" t="n"/>
      <c r="J18" s="223" t="n"/>
      <c r="K18" s="223" t="n"/>
      <c r="L18" s="223" t="n"/>
      <c r="M18" s="224" t="n"/>
      <c r="N18" s="85" t="inlineStr">
        <is>
          <t>PERSONALE IMPIEGATO</t>
        </is>
      </c>
    </row>
    <row r="19" hidden="1" ht="14.1" customFormat="1" customHeight="1" s="173">
      <c r="A19" s="82">
        <f>IF(TRIM('caricamento Desiderata'!K2)="INTERROTTO", TRIM('caricamento Desiderata'!C2), "")</f>
        <v/>
      </c>
      <c r="B19" s="82">
        <f>IF(TRIM('caricamento Desiderata'!K2)="INTERROTTO", 'caricamento Desiderata'!D2, "")</f>
        <v/>
      </c>
      <c r="C19" s="82">
        <f>IF(TRIM('caricamento Desiderata'!K2)="INTERROTTO", 'caricamento Desiderata'!E2, "")</f>
        <v/>
      </c>
      <c r="D19" s="97">
        <f>IF(TRIM('caricamento Desiderata'!K2)="INTERROTTO", TEXT('caricamento Desiderata'!P2, "gg/mm/aaaa"), "")</f>
        <v/>
      </c>
      <c r="E19" s="95">
        <f>IF(AND('caricamento Desiderata'!E2 &lt;&gt; "", TRIM('caricamento Desiderata'!K2) = "INTERROTTO", 'caricamento Desiderata'!L2 = "X"), 'caricamento Desiderata'!L2, "")</f>
        <v/>
      </c>
      <c r="F19" s="95">
        <f>IF(AND('caricamento Desiderata'!E2 &lt;&gt; "", TRIM('caricamento Desiderata'!K2) = "INTERROTTO", 'caricamento Desiderata'!M2 = "X"), 'caricamento Desiderata'!M2, "")</f>
        <v/>
      </c>
      <c r="G19" s="95">
        <f>IF(AND('caricamento Desiderata'!E2 &lt;&gt; "", TRIM('caricamento Desiderata'!K2) = "INTERROTTO", 'caricamento Desiderata'!N2 = "X"), 'caricamento Desiderata'!N2, "")</f>
        <v/>
      </c>
      <c r="H19" s="82">
        <f>IF(TRIM('caricamento Desiderata'!K2)="INTERROTTO", 'caricamento Desiderata'!O2, "")</f>
        <v/>
      </c>
      <c r="I19" s="225" t="n"/>
      <c r="J19" s="225" t="n"/>
      <c r="K19" s="225" t="n"/>
      <c r="L19" s="225" t="n"/>
      <c r="M19" s="226" t="n"/>
      <c r="N19" s="98">
        <f>IF(TRIM('caricamento Desiderata'!K2)="INTERROTTO", 'caricamento Desiderata'!Q2, "")</f>
        <v/>
      </c>
    </row>
    <row r="20" ht="27.95" customFormat="1" customHeight="1" s="173">
      <c r="A20" s="82">
        <f>IF(TRIM('caricamento Desiderata'!K5)="INTERROTTO", TRIM('caricamento Desiderata'!C5), "")</f>
        <v/>
      </c>
      <c r="B20" s="82">
        <f>IF(TRIM('caricamento Desiderata'!K5)="INTERROTTO", 'caricamento Desiderata'!D5, "")</f>
        <v/>
      </c>
      <c r="C20" s="82">
        <f>IF(TRIM('caricamento Desiderata'!K5)="INTERROTTO", 'caricamento Desiderata'!E5, "")</f>
        <v/>
      </c>
      <c r="D20" s="97">
        <f>IF(TRIM('caricamento Desiderata'!K5)="INTERROTTO", TEXT('caricamento Desiderata'!P5, "gg/mm/aaaa"), "")</f>
        <v/>
      </c>
      <c r="E20" s="95">
        <f>IF(AND('caricamento Desiderata'!E5 &lt;&gt; "", TRIM('caricamento Desiderata'!K5) = "INTERROTTO", 'caricamento Desiderata'!L5 = "X"), 'caricamento Desiderata'!L5, "")</f>
        <v/>
      </c>
      <c r="F20" s="95">
        <f>IF(AND('caricamento Desiderata'!E5 &lt;&gt; "", TRIM('caricamento Desiderata'!K5) = "INTERROTTO", 'caricamento Desiderata'!M5 = "X"), 'caricamento Desiderata'!M5, "")</f>
        <v/>
      </c>
      <c r="G20" s="95">
        <f>IF(AND('caricamento Desiderata'!E5 &lt;&gt; "", TRIM('caricamento Desiderata'!K5) = "INTERROTTO", 'caricamento Desiderata'!N5 = "X"), 'caricamento Desiderata'!N5, "")</f>
        <v/>
      </c>
      <c r="H20" s="82">
        <f>IF(TRIM('caricamento Desiderata'!K5)="INTERROTTO", 'caricamento Desiderata'!O5, "")</f>
        <v/>
      </c>
      <c r="I20" s="225" t="n"/>
      <c r="J20" s="225" t="n"/>
      <c r="K20" s="225" t="n"/>
      <c r="L20" s="225" t="n"/>
      <c r="M20" s="226" t="n"/>
      <c r="N20" s="98">
        <f>IF(TRIM('caricamento Desiderata'!K5)="INTERROTTO", 'caricamento Desiderata'!Q5, "")</f>
        <v/>
      </c>
    </row>
    <row r="21" ht="27.95" customFormat="1" customHeight="1" s="173">
      <c r="A21" s="82">
        <f>IF(TRIM('caricamento Desiderata'!K7)="INTERROTTO", TRIM('caricamento Desiderata'!C7), "")</f>
        <v/>
      </c>
      <c r="B21" s="82">
        <f>IF(TRIM('caricamento Desiderata'!K7)="INTERROTTO", 'caricamento Desiderata'!D7, "")</f>
        <v/>
      </c>
      <c r="C21" s="82">
        <f>IF(TRIM('caricamento Desiderata'!K7)="INTERROTTO", 'caricamento Desiderata'!E7, "")</f>
        <v/>
      </c>
      <c r="D21" s="97">
        <f>IF(TRIM('caricamento Desiderata'!K7)="INTERROTTO", TEXT('caricamento Desiderata'!P7, "gg/mm/aaaa"), "")</f>
        <v/>
      </c>
      <c r="E21" s="95">
        <f>IF(AND('caricamento Desiderata'!E7 &lt;&gt; "", TRIM('caricamento Desiderata'!K7) = "INTERROTTO", 'caricamento Desiderata'!L7 = "X"), 'caricamento Desiderata'!L7, "")</f>
        <v/>
      </c>
      <c r="F21" s="95">
        <f>IF(AND('caricamento Desiderata'!E7 &lt;&gt; "", TRIM('caricamento Desiderata'!K7) = "INTERROTTO", 'caricamento Desiderata'!M7 = "X"), 'caricamento Desiderata'!M7, "")</f>
        <v/>
      </c>
      <c r="G21" s="95">
        <f>IF(AND('caricamento Desiderata'!E7 &lt;&gt; "", TRIM('caricamento Desiderata'!K7) = "INTERROTTO", 'caricamento Desiderata'!N7 = "X"), 'caricamento Desiderata'!N7, "")</f>
        <v/>
      </c>
      <c r="H21" s="82">
        <f>IF(TRIM('caricamento Desiderata'!K7)="INTERROTTO", 'caricamento Desiderata'!O7, "")</f>
        <v/>
      </c>
      <c r="I21" s="225" t="n"/>
      <c r="J21" s="225" t="n"/>
      <c r="K21" s="225" t="n"/>
      <c r="L21" s="225" t="n"/>
      <c r="M21" s="226" t="n"/>
      <c r="N21" s="98">
        <f>IF(TRIM('caricamento Desiderata'!K7)="INTERROTTO", 'caricamento Desiderata'!Q7, "")</f>
        <v/>
      </c>
    </row>
    <row r="22" ht="42" customFormat="1" customHeight="1" s="173">
      <c r="A22" s="82">
        <f>IF(TRIM('caricamento Desiderata'!K19)="INTERROTTO", TRIM('caricamento Desiderata'!C19), "")</f>
        <v/>
      </c>
      <c r="B22" s="82">
        <f>IF(TRIM('caricamento Desiderata'!K19)="INTERROTTO", 'caricamento Desiderata'!D19, "")</f>
        <v/>
      </c>
      <c r="C22" s="82">
        <f>IF(TRIM('caricamento Desiderata'!K19)="INTERROTTO", 'caricamento Desiderata'!E19, "")</f>
        <v/>
      </c>
      <c r="D22" s="97">
        <f>IF(TRIM('caricamento Desiderata'!K19)="INTERROTTO", TEXT('caricamento Desiderata'!P19, "gg/mm/aaaa"), "")</f>
        <v/>
      </c>
      <c r="E22" s="95">
        <f>IF(AND('caricamento Desiderata'!E19 &lt;&gt; "", TRIM('caricamento Desiderata'!K19) = "INTERROTTO", 'caricamento Desiderata'!L19 = "X"), 'caricamento Desiderata'!L19, "")</f>
        <v/>
      </c>
      <c r="F22" s="95">
        <f>IF(AND('caricamento Desiderata'!E19 &lt;&gt; "", TRIM('caricamento Desiderata'!K19) = "INTERROTTO", 'caricamento Desiderata'!M19 = "X"), 'caricamento Desiderata'!M19, "")</f>
        <v/>
      </c>
      <c r="G22" s="95">
        <f>IF(AND('caricamento Desiderata'!E19 &lt;&gt; "", TRIM('caricamento Desiderata'!K19) = "INTERROTTO", 'caricamento Desiderata'!N19 = "X"), 'caricamento Desiderata'!N19, "")</f>
        <v/>
      </c>
      <c r="H22" s="82">
        <f>IF(TRIM('caricamento Desiderata'!K19)="INTERROTTO", 'caricamento Desiderata'!O19, "")</f>
        <v/>
      </c>
      <c r="I22" s="225" t="n"/>
      <c r="J22" s="225" t="n"/>
      <c r="K22" s="225" t="n"/>
      <c r="L22" s="225" t="n"/>
      <c r="M22" s="226" t="n"/>
      <c r="N22" s="98">
        <f>IF(TRIM('caricamento Desiderata'!K19)="INTERROTTO", 'caricamento Desiderata'!Q19, "")</f>
        <v/>
      </c>
    </row>
    <row r="23" ht="14.1" customFormat="1" customHeight="1" s="173">
      <c r="N23" s="91" t="n"/>
    </row>
    <row r="24" ht="14.1" customFormat="1" customHeight="1" s="173">
      <c r="A24" s="81" t="inlineStr">
        <is>
          <t>ATTIVITA' CONCLUSE</t>
        </is>
      </c>
      <c r="B24" s="80" t="n"/>
      <c r="C24" s="80" t="n"/>
      <c r="D24" s="80" t="n"/>
      <c r="E24" s="80" t="n"/>
      <c r="F24" s="80" t="n"/>
      <c r="G24" s="80" t="n"/>
      <c r="H24" s="80" t="n"/>
      <c r="I24" s="80" t="n"/>
      <c r="J24" s="80" t="n"/>
      <c r="K24" s="80" t="n"/>
      <c r="L24" s="80" t="n"/>
      <c r="M24" s="80" t="n"/>
      <c r="N24" s="80" t="n"/>
      <c r="O24" s="80" t="n"/>
    </row>
    <row r="25" ht="13.9" customHeight="1" s="122">
      <c r="A25" s="103" t="inlineStr">
        <is>
          <t>AVVISO</t>
        </is>
      </c>
      <c r="B25" s="84" t="inlineStr">
        <is>
          <t>DESCRIZIONE ATTIVITA'</t>
        </is>
      </c>
      <c r="C25" s="84" t="inlineStr">
        <is>
          <t>PDL</t>
        </is>
      </c>
      <c r="D25" s="102" t="inlineStr">
        <is>
          <t>DATA</t>
        </is>
      </c>
      <c r="E25" s="214" t="inlineStr">
        <is>
          <t>AZIONE CORRETTIVA</t>
        </is>
      </c>
      <c r="F25" s="223" t="n"/>
      <c r="G25" s="223" t="n"/>
      <c r="H25" s="223" t="n"/>
      <c r="I25" s="223" t="n"/>
      <c r="J25" s="223" t="n"/>
      <c r="K25" s="223" t="n"/>
      <c r="L25" s="223" t="n"/>
      <c r="M25" s="224" t="n"/>
      <c r="N25" s="85" t="inlineStr">
        <is>
          <t>PERSONALE IMPIEGATO</t>
        </is>
      </c>
    </row>
    <row r="26" hidden="1" ht="14.1" customFormat="1" customHeight="1" s="173">
      <c r="A26" s="82">
        <f>IF(OR(TRIM('caricamento Desiderata'!K2)="DA CHIUDERE", TRIM('caricamento Desiderata'!K2)="CHIUSO"), TRIM('caricamento Desiderata'!C2), "")</f>
        <v/>
      </c>
      <c r="B26" s="82">
        <f>IF(OR(TRIM('caricamento Desiderata'!K2)="DA CHIUDERE", TRIM('caricamento Desiderata'!K2)="CHIUSO"), TRIM('caricamento Desiderata'!D2), "")</f>
        <v/>
      </c>
      <c r="C26" s="82">
        <f>IF(OR(TRIM('caricamento Desiderata'!K2)="DA CHIUDERE", TRIM('caricamento Desiderata'!K2)="CHIUSO"), TRIM('caricamento Desiderata'!E2), "")</f>
        <v/>
      </c>
      <c r="D26" s="97">
        <f>IF(OR(TRIM('caricamento Desiderata'!K2)="DA CHIUDERE", TRIM('caricamento Desiderata'!K2)="CHIUSO"), TEXT(TRIM('caricamento Desiderata'!P2), "GG/MM/AAAA"), "")</f>
        <v/>
      </c>
      <c r="E26" s="82">
        <f>IF(OR(TRIM('caricamento Desiderata'!K2)="DA CHIUDERE", TRIM('caricamento Desiderata'!K2)="CHIUSO"), TRIM('caricamento Desiderata'!O2), "")</f>
        <v/>
      </c>
      <c r="F26" s="225" t="n"/>
      <c r="G26" s="225" t="n"/>
      <c r="H26" s="225" t="n"/>
      <c r="I26" s="225" t="n"/>
      <c r="J26" s="225" t="n"/>
      <c r="K26" s="225" t="n"/>
      <c r="L26" s="225" t="n"/>
      <c r="M26" s="226" t="n"/>
      <c r="N26" s="98">
        <f>IF(OR(TRIM('caricamento Desiderata'!K2)="DA CHIUDERE", TRIM('caricamento Desiderata'!K2)="CHIUSO"), TRIM('caricamento Desiderata'!Q2), "")</f>
        <v/>
      </c>
    </row>
    <row r="27" ht="14.1" customFormat="1" customHeight="1" s="173">
      <c r="A27" s="82">
        <f>IF(OR(TRIM('caricamento Desiderata'!K3)="DA CHIUDERE", TRIM('caricamento Desiderata'!K3)="CHIUSO"), TRIM('caricamento Desiderata'!C3), "")</f>
        <v/>
      </c>
      <c r="B27" s="82">
        <f>IF(OR(TRIM('caricamento Desiderata'!K3)="DA CHIUDERE", TRIM('caricamento Desiderata'!K3)="CHIUSO"), TRIM('caricamento Desiderata'!D3), "")</f>
        <v/>
      </c>
      <c r="C27" s="82">
        <f>IF(OR(TRIM('caricamento Desiderata'!K3)="DA CHIUDERE", TRIM('caricamento Desiderata'!K3)="CHIUSO"), TRIM('caricamento Desiderata'!E3), "")</f>
        <v/>
      </c>
      <c r="D27" s="97">
        <f>IF(OR(TRIM('caricamento Desiderata'!K3)="DA CHIUDERE", TRIM('caricamento Desiderata'!K3)="CHIUSO"), TEXT(TRIM('caricamento Desiderata'!P3), "GG/MM/AAAA"), "")</f>
        <v/>
      </c>
      <c r="E27" s="82">
        <f>IF(OR(TRIM('caricamento Desiderata'!K3)="DA CHIUDERE", TRIM('caricamento Desiderata'!K3)="CHIUSO"), TRIM('caricamento Desiderata'!O3), "")</f>
        <v/>
      </c>
      <c r="F27" s="225" t="n"/>
      <c r="G27" s="225" t="n"/>
      <c r="H27" s="225" t="n"/>
      <c r="I27" s="225" t="n"/>
      <c r="J27" s="225" t="n"/>
      <c r="K27" s="225" t="n"/>
      <c r="L27" s="225" t="n"/>
      <c r="M27" s="226" t="n"/>
      <c r="N27" s="98">
        <f>IF(OR(TRIM('caricamento Desiderata'!K3)="DA CHIUDERE", TRIM('caricamento Desiderata'!K3)="CHIUSO"), TRIM('caricamento Desiderata'!Q3), "")</f>
        <v/>
      </c>
    </row>
    <row r="28" ht="14.1" customFormat="1" customHeight="1" s="173">
      <c r="A28" s="82">
        <f>IF(OR(TRIM('caricamento Desiderata'!K4)="DA CHIUDERE", TRIM('caricamento Desiderata'!K4)="CHIUSO"), TRIM('caricamento Desiderata'!C4), "")</f>
        <v/>
      </c>
      <c r="B28" s="82">
        <f>IF(OR(TRIM('caricamento Desiderata'!K4)="DA CHIUDERE", TRIM('caricamento Desiderata'!K4)="CHIUSO"), TRIM('caricamento Desiderata'!D4), "")</f>
        <v/>
      </c>
      <c r="C28" s="82">
        <f>IF(OR(TRIM('caricamento Desiderata'!K4)="DA CHIUDERE", TRIM('caricamento Desiderata'!K4)="CHIUSO"), TRIM('caricamento Desiderata'!E4), "")</f>
        <v/>
      </c>
      <c r="D28" s="97">
        <f>IF(OR(TRIM('caricamento Desiderata'!K4)="DA CHIUDERE", TRIM('caricamento Desiderata'!K4)="CHIUSO"), TEXT(TRIM('caricamento Desiderata'!P4), "GG/MM/AAAA"), "")</f>
        <v/>
      </c>
      <c r="E28" s="82">
        <f>IF(OR(TRIM('caricamento Desiderata'!K4)="DA CHIUDERE", TRIM('caricamento Desiderata'!K4)="CHIUSO"), TRIM('caricamento Desiderata'!O4), "")</f>
        <v/>
      </c>
      <c r="F28" s="225" t="n"/>
      <c r="G28" s="225" t="n"/>
      <c r="H28" s="225" t="n"/>
      <c r="I28" s="225" t="n"/>
      <c r="J28" s="225" t="n"/>
      <c r="K28" s="225" t="n"/>
      <c r="L28" s="225" t="n"/>
      <c r="M28" s="226" t="n"/>
      <c r="N28" s="98">
        <f>IF(OR(TRIM('caricamento Desiderata'!K4)="DA CHIUDERE", TRIM('caricamento Desiderata'!K4)="CHIUSO"), TRIM('caricamento Desiderata'!Q4), "")</f>
        <v/>
      </c>
    </row>
    <row r="29" ht="14.1" customFormat="1" customHeight="1" s="173">
      <c r="A29" s="82">
        <f>IF(OR(TRIM('caricamento Desiderata'!K6)="DA CHIUDERE", TRIM('caricamento Desiderata'!K6)="CHIUSO"), TRIM('caricamento Desiderata'!C6), "")</f>
        <v/>
      </c>
      <c r="B29" s="82">
        <f>IF(OR(TRIM('caricamento Desiderata'!K6)="DA CHIUDERE", TRIM('caricamento Desiderata'!K6)="CHIUSO"), TRIM('caricamento Desiderata'!D6), "")</f>
        <v/>
      </c>
      <c r="C29" s="82">
        <f>IF(OR(TRIM('caricamento Desiderata'!K6)="DA CHIUDERE", TRIM('caricamento Desiderata'!K6)="CHIUSO"), TRIM('caricamento Desiderata'!E6), "")</f>
        <v/>
      </c>
      <c r="D29" s="97">
        <f>IF(OR(TRIM('caricamento Desiderata'!K6)="DA CHIUDERE", TRIM('caricamento Desiderata'!K6)="CHIUSO"), TEXT(TRIM('caricamento Desiderata'!P6), "GG/MM/AAAA"), "")</f>
        <v/>
      </c>
      <c r="E29" s="82">
        <f>IF(OR(TRIM('caricamento Desiderata'!K6)="DA CHIUDERE", TRIM('caricamento Desiderata'!K6)="CHIUSO"), TRIM('caricamento Desiderata'!O6), "")</f>
        <v/>
      </c>
      <c r="F29" s="225" t="n"/>
      <c r="G29" s="225" t="n"/>
      <c r="H29" s="225" t="n"/>
      <c r="I29" s="225" t="n"/>
      <c r="J29" s="225" t="n"/>
      <c r="K29" s="225" t="n"/>
      <c r="L29" s="225" t="n"/>
      <c r="M29" s="226" t="n"/>
      <c r="N29" s="98">
        <f>IF(OR(TRIM('caricamento Desiderata'!K6)="DA CHIUDERE", TRIM('caricamento Desiderata'!K6)="CHIUSO"), TRIM('caricamento Desiderata'!Q6), "")</f>
        <v/>
      </c>
    </row>
    <row r="30" ht="27.95" customFormat="1" customHeight="1" s="173">
      <c r="A30" s="82">
        <f>IF(OR(TRIM('caricamento Desiderata'!K8)="DA CHIUDERE", TRIM('caricamento Desiderata'!K8)="CHIUSO"), TRIM('caricamento Desiderata'!C8), "")</f>
        <v/>
      </c>
      <c r="B30" s="82">
        <f>IF(OR(TRIM('caricamento Desiderata'!K8)="DA CHIUDERE", TRIM('caricamento Desiderata'!K8)="CHIUSO"), TRIM('caricamento Desiderata'!D8), "")</f>
        <v/>
      </c>
      <c r="C30" s="82">
        <f>IF(OR(TRIM('caricamento Desiderata'!K8)="DA CHIUDERE", TRIM('caricamento Desiderata'!K8)="CHIUSO"), TRIM('caricamento Desiderata'!E8), "")</f>
        <v/>
      </c>
      <c r="D30" s="97">
        <f>IF(OR(TRIM('caricamento Desiderata'!K8)="DA CHIUDERE", TRIM('caricamento Desiderata'!K8)="CHIUSO"), TEXT(TRIM('caricamento Desiderata'!P8), "GG/MM/AAAA"), "")</f>
        <v/>
      </c>
      <c r="E30" s="82">
        <f>IF(OR(TRIM('caricamento Desiderata'!K8)="DA CHIUDERE", TRIM('caricamento Desiderata'!K8)="CHIUSO"), TRIM('caricamento Desiderata'!O8), "")</f>
        <v/>
      </c>
      <c r="F30" s="225" t="n"/>
      <c r="G30" s="225" t="n"/>
      <c r="H30" s="225" t="n"/>
      <c r="I30" s="225" t="n"/>
      <c r="J30" s="225" t="n"/>
      <c r="K30" s="225" t="n"/>
      <c r="L30" s="225" t="n"/>
      <c r="M30" s="226" t="n"/>
      <c r="N30" s="98">
        <f>IF(OR(TRIM('caricamento Desiderata'!K8)="DA CHIUDERE", TRIM('caricamento Desiderata'!K8)="CHIUSO"), TRIM('caricamento Desiderata'!Q8), "")</f>
        <v/>
      </c>
    </row>
    <row r="31" ht="27.95" customFormat="1" customHeight="1" s="173">
      <c r="A31" s="82">
        <f>IF(OR(TRIM('caricamento Desiderata'!K18)="DA CHIUDERE", TRIM('caricamento Desiderata'!K18)="CHIUSO"), TRIM('caricamento Desiderata'!C18), "")</f>
        <v/>
      </c>
      <c r="B31" s="82">
        <f>IF(OR(TRIM('caricamento Desiderata'!K18)="DA CHIUDERE", TRIM('caricamento Desiderata'!K18)="CHIUSO"), TRIM('caricamento Desiderata'!D18), "")</f>
        <v/>
      </c>
      <c r="C31" s="82">
        <f>IF(OR(TRIM('caricamento Desiderata'!K18)="DA CHIUDERE", TRIM('caricamento Desiderata'!K18)="CHIUSO"), TRIM('caricamento Desiderata'!E18), "")</f>
        <v/>
      </c>
      <c r="D31" s="97">
        <f>IF(OR(TRIM('caricamento Desiderata'!K18)="DA CHIUDERE", TRIM('caricamento Desiderata'!K18)="CHIUSO"), TEXT(TRIM('caricamento Desiderata'!P18), "GG/MM/AAAA"), "")</f>
        <v/>
      </c>
      <c r="E31" s="82">
        <f>IF(OR(TRIM('caricamento Desiderata'!K18)="DA CHIUDERE", TRIM('caricamento Desiderata'!K18)="CHIUSO"), TRIM('caricamento Desiderata'!O18), "")</f>
        <v/>
      </c>
      <c r="F31" s="225" t="n"/>
      <c r="G31" s="225" t="n"/>
      <c r="H31" s="225" t="n"/>
      <c r="I31" s="225" t="n"/>
      <c r="J31" s="225" t="n"/>
      <c r="K31" s="225" t="n"/>
      <c r="L31" s="225" t="n"/>
      <c r="M31" s="226" t="n"/>
      <c r="N31" s="98">
        <f>IF(OR(TRIM('caricamento Desiderata'!K18)="DA CHIUDERE", TRIM('caricamento Desiderata'!K18)="CHIUSO"), TRIM('caricamento Desiderata'!Q18), "")</f>
        <v/>
      </c>
    </row>
    <row r="32" ht="14.1" customFormat="1" customHeight="1" s="173">
      <c r="A32" s="82">
        <f>IF(OR(TRIM('caricamento Desiderata'!K21)="DA CHIUDERE", TRIM('caricamento Desiderata'!K21)="CHIUSO"), TRIM('caricamento Desiderata'!C21), "")</f>
        <v/>
      </c>
      <c r="B32" s="82">
        <f>IF(OR(TRIM('caricamento Desiderata'!K21)="DA CHIUDERE", TRIM('caricamento Desiderata'!K21)="CHIUSO"), TRIM('caricamento Desiderata'!D21), "")</f>
        <v/>
      </c>
      <c r="C32" s="82">
        <f>IF(OR(TRIM('caricamento Desiderata'!K21)="DA CHIUDERE", TRIM('caricamento Desiderata'!K21)="CHIUSO"), TRIM('caricamento Desiderata'!E21), "")</f>
        <v/>
      </c>
      <c r="D32" s="97">
        <f>IF(OR(TRIM('caricamento Desiderata'!K21)="DA CHIUDERE", TRIM('caricamento Desiderata'!K21)="CHIUSO"), TEXT(TRIM('caricamento Desiderata'!P21), "GG/MM/AAAA"), "")</f>
        <v/>
      </c>
      <c r="E32" s="82">
        <f>IF(OR(TRIM('caricamento Desiderata'!K21)="DA CHIUDERE", TRIM('caricamento Desiderata'!K21)="CHIUSO"), TRIM('caricamento Desiderata'!O21), "")</f>
        <v/>
      </c>
      <c r="F32" s="225" t="n"/>
      <c r="G32" s="225" t="n"/>
      <c r="H32" s="225" t="n"/>
      <c r="I32" s="225" t="n"/>
      <c r="J32" s="225" t="n"/>
      <c r="K32" s="225" t="n"/>
      <c r="L32" s="225" t="n"/>
      <c r="M32" s="226" t="n"/>
      <c r="N32" s="98">
        <f>IF(OR(TRIM('caricamento Desiderata'!K21)="DA CHIUDERE", TRIM('caricamento Desiderata'!K21)="CHIUSO"), TRIM('caricamento Desiderata'!Q21), "")</f>
        <v/>
      </c>
    </row>
  </sheetData>
  <mergeCells count="14">
    <mergeCell ref="A1:N1"/>
    <mergeCell ref="H21:M21"/>
    <mergeCell ref="E32:M32"/>
    <mergeCell ref="E29:M29"/>
    <mergeCell ref="E25:M25"/>
    <mergeCell ref="H19:M19"/>
    <mergeCell ref="E27:M27"/>
    <mergeCell ref="H18:M18"/>
    <mergeCell ref="E28:M28"/>
    <mergeCell ref="H22:M22"/>
    <mergeCell ref="E26:M26"/>
    <mergeCell ref="E31:M31"/>
    <mergeCell ref="H20:M20"/>
    <mergeCell ref="E30:M30"/>
  </mergeCells>
  <printOptions horizontalCentered="1"/>
  <pageMargins left="0.5" right="0.5" top="0.75" bottom="0.75" header="0" footer="0"/>
  <pageSetup orientation="landscape" paperSize="8" scale="76" fitToHeight="0"/>
  <headerFooter>
    <oddHeader/>
    <oddFooter>&amp;L&amp;"Arial,Grassetto" Riservato&amp;CData stampa: &amp;D&amp;RPagina &amp;P di &amp;N</oddFooter>
    <evenHeader/>
    <evenFooter/>
    <firstHeader/>
    <firstFooter/>
  </headerFooter>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Giancarlo Allegretti</dc:creator>
  <dcterms:created xmlns:dcterms="http://purl.org/dc/terms/" xmlns:xsi="http://www.w3.org/2001/XMLSchema-instance" xsi:type="dcterms:W3CDTF">2024-11-26T11:39:08Z</dcterms:created>
  <dcterms:modified xmlns:dcterms="http://purl.org/dc/terms/" xmlns:xsi="http://www.w3.org/2001/XMLSchema-instance" xsi:type="dcterms:W3CDTF">2025-09-30T18:03:31Z</dcterms:modified>
  <cp:lastModifiedBy>Giancarlo Allegretti</cp:lastModifiedBy>
  <cp:lastPrinted>2025-09-26T05:41:39Z</cp:lastPrinted>
</cp:coreProperties>
</file>