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C:\Users\Coemi\Desktop\SCRIPT\report-attivita-app\"/>
    </mc:Choice>
  </mc:AlternateContent>
  <xr:revisionPtr revIDLastSave="0" documentId="13_ncr:1_{9B12653A-C625-4C0F-B9AF-B55547F2CBE4}" xr6:coauthVersionLast="36" xr6:coauthVersionMax="47" xr10:uidLastSave="{00000000-0000-0000-0000-000000000000}"/>
  <bookViews>
    <workbookView xWindow="-120" yWindow="-120" windowWidth="29040" windowHeight="15840" activeTab="4"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asc" localSheetId="5">Riepilogo!$A$170:$S$1091</definedName>
    <definedName name="ascac" localSheetId="5">Riepilogo!$1:$3</definedName>
    <definedName name="asd" localSheetId="5">Riepilogo!$A$170:$S$1091</definedName>
    <definedName name="asdasd" localSheetId="5">Riepilogo!$A$170:$S$1091</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Riepilogo!$A$3:$U$1091</definedName>
    <definedName name="dggndfd" localSheetId="5">Riepilogo!$1:$3</definedName>
    <definedName name="e" localSheetId="5">Riepilogo!$1:$3</definedName>
    <definedName name="GVG" localSheetId="2">'A3'!$A$352:$S$368</definedName>
    <definedName name="Print_Area" localSheetId="0">'A1'!$D$209:$M$271</definedName>
    <definedName name="Print_Area" localSheetId="1">'A2'!$D$157:$M$157</definedName>
    <definedName name="Print_Area" localSheetId="4">BLENDING!$D$180:$M$180</definedName>
    <definedName name="Print_Area" localSheetId="9">'caricamento Desiderata'!$A$4:$S$20</definedName>
    <definedName name="Print_Area" localSheetId="3">CTE!$D$29:$M$29</definedName>
    <definedName name="Print_Area" localSheetId="5">Riepilogo!$D$247:$M$270,Riepilogo!$D$425:$M$425,Riepilogo!$D$812:$M$818,Riepilogo!$D$1024:$M$1087</definedName>
    <definedName name="Print_Titles" localSheetId="0">'A1'!$1:$3</definedName>
    <definedName name="Print_Titles" localSheetId="9">'caricamento Desiderata'!$1:$3</definedName>
    <definedName name="Print_Titles" localSheetId="3">CTE!$2:$3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Riepilogo!$A$170:$S$1091</definedName>
    <definedName name="sdcsdc" localSheetId="5">Riepilogo!$1:$3</definedName>
    <definedName name="SDSD" localSheetId="2">'A3'!$A$380:$S$443</definedName>
    <definedName name="se" localSheetId="5">Riepilogo!$A$170:$S$1091</definedName>
    <definedName name="sed" localSheetId="5">Riepilogo!$1:$3</definedName>
    <definedName name="Tabella10121314">#REF!</definedName>
    <definedName name="Tabella323">'A3'!$C$4:$T$443</definedName>
    <definedName name="TabellaA2">'A2'!$C$173:$T$175</definedName>
    <definedName name="TabellaA3" localSheetId="2">'A3'!$C$4:$T$443</definedName>
    <definedName name="TabellaA3" localSheetId="10">#REF!</definedName>
    <definedName name="TabellaA3">#REF!</definedName>
    <definedName name="TabellaDaFarePDL" localSheetId="10">#REF!</definedName>
    <definedName name="TabellaDaFarePDL">#REF!</definedName>
    <definedName name="UYHYGH" localSheetId="2">'A3'!$1:$3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115" i="5" l="1"/>
  <c r="C157" i="2"/>
  <c r="C247" i="1" l="1"/>
  <c r="C371" i="29"/>
  <c r="C248" i="1"/>
  <c r="C376" i="29"/>
  <c r="C178" i="5"/>
  <c r="C249" i="1" l="1"/>
  <c r="C250" i="1"/>
  <c r="C251" i="1"/>
  <c r="C252" i="1"/>
  <c r="C270" i="1"/>
  <c r="C368" i="29"/>
  <c r="C369" i="29"/>
  <c r="C246" i="1" l="1"/>
  <c r="C271" i="1"/>
  <c r="C311" i="29" l="1"/>
  <c r="U311" i="29"/>
  <c r="C370" i="29" l="1"/>
  <c r="C377" i="29"/>
  <c r="C116" i="5"/>
  <c r="C117" i="5"/>
  <c r="C176" i="5"/>
  <c r="C174" i="5" l="1"/>
  <c r="C177" i="5"/>
  <c r="C373" i="29"/>
  <c r="C124" i="2" l="1"/>
  <c r="C125" i="2"/>
  <c r="C244" i="1" l="1"/>
  <c r="C201" i="1"/>
  <c r="C367" i="29"/>
  <c r="C114" i="5" l="1"/>
  <c r="C173" i="5"/>
  <c r="C122" i="2" l="1"/>
  <c r="C365" i="29" l="1"/>
  <c r="C123" i="2"/>
  <c r="C113" i="5"/>
  <c r="C112" i="5"/>
  <c r="C175" i="5"/>
  <c r="C121" i="2" l="1"/>
  <c r="C110" i="5" l="1"/>
  <c r="C4" i="29" l="1"/>
  <c r="C310" i="29"/>
  <c r="C109" i="5" l="1"/>
  <c r="C120" i="2"/>
  <c r="C118" i="2" l="1"/>
  <c r="C119" i="2"/>
  <c r="C381" i="29" l="1"/>
  <c r="C358" i="29" l="1"/>
  <c r="C245" i="1"/>
  <c r="C366" i="29"/>
  <c r="C360" i="29"/>
  <c r="C363" i="29"/>
  <c r="C361" i="29"/>
  <c r="C362" i="29"/>
  <c r="C357" i="29" l="1"/>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C171" i="5" l="1"/>
  <c r="C364" i="29"/>
  <c r="C202" i="1" l="1"/>
  <c r="C243" i="1" l="1"/>
  <c r="C309" i="29"/>
  <c r="C378" i="29" l="1"/>
  <c r="C379" i="29"/>
  <c r="C307" i="29" l="1"/>
  <c r="C356" i="29" l="1"/>
  <c r="C198" i="1" l="1"/>
  <c r="C382" i="29" l="1"/>
  <c r="C305" i="29"/>
  <c r="C170" i="5"/>
  <c r="C306" i="29"/>
  <c r="C111" i="5" l="1"/>
  <c r="C355" i="29" l="1"/>
  <c r="C374" i="29"/>
  <c r="C353" i="29"/>
  <c r="C108" i="5"/>
  <c r="C308" i="29"/>
  <c r="U308" i="29"/>
  <c r="C117" i="2" l="1"/>
  <c r="U380" i="29"/>
  <c r="U374" i="29"/>
  <c r="U359" i="29"/>
  <c r="C240" i="1" l="1"/>
  <c r="C359" i="29"/>
  <c r="C304" i="29" l="1"/>
  <c r="C196" i="1"/>
  <c r="C200" i="1"/>
  <c r="C241" i="1"/>
  <c r="C199" i="1"/>
  <c r="C197" i="1"/>
  <c r="C166" i="5" l="1"/>
  <c r="C165" i="5" l="1"/>
  <c r="U443" i="29"/>
  <c r="U55" i="29"/>
  <c r="U375" i="29"/>
  <c r="U289" i="29"/>
  <c r="U174" i="29"/>
  <c r="C172" i="5" l="1"/>
  <c r="U198" i="29"/>
  <c r="U372" i="29"/>
  <c r="C105" i="5" l="1"/>
  <c r="C354" i="29"/>
  <c r="C375" i="29"/>
  <c r="C115" i="2"/>
  <c r="C194" i="1"/>
  <c r="C195" i="1"/>
  <c r="C107" i="5"/>
  <c r="C384" i="29"/>
  <c r="U104" i="29"/>
  <c r="U341" i="29"/>
  <c r="U149" i="29"/>
  <c r="U56" i="29"/>
  <c r="U277" i="29"/>
  <c r="U339" i="29"/>
  <c r="U232" i="29"/>
  <c r="U388" i="29"/>
  <c r="U5" i="29"/>
  <c r="U275" i="29"/>
  <c r="U76" i="29"/>
  <c r="U157" i="29"/>
  <c r="U165" i="29"/>
  <c r="U135" i="29"/>
  <c r="U439" i="29"/>
  <c r="U70" i="29"/>
  <c r="U390" i="29"/>
  <c r="U189" i="29"/>
  <c r="U350" i="29"/>
  <c r="U136" i="29"/>
  <c r="U43" i="29"/>
  <c r="U302" i="29"/>
  <c r="U290" i="29"/>
  <c r="U7" i="29"/>
  <c r="U431" i="29"/>
  <c r="U125" i="29"/>
  <c r="U29" i="29"/>
  <c r="U323" i="29"/>
  <c r="U85" i="29"/>
  <c r="U40" i="29"/>
  <c r="U345" i="29"/>
  <c r="U170" i="29"/>
  <c r="U118" i="29"/>
  <c r="U28" i="29"/>
  <c r="U156" i="29"/>
  <c r="U182" i="29"/>
  <c r="U128" i="29"/>
  <c r="U73" i="29"/>
  <c r="U437" i="29"/>
  <c r="U279" i="29"/>
  <c r="U441" i="29"/>
  <c r="U235" i="29"/>
  <c r="U30" i="29"/>
  <c r="U8" i="29"/>
  <c r="U63" i="29"/>
  <c r="U143" i="29"/>
  <c r="U255" i="29"/>
  <c r="U162" i="29"/>
  <c r="U50" i="29"/>
  <c r="U19" i="29"/>
  <c r="U95" i="29"/>
  <c r="U130" i="29"/>
  <c r="U200" i="29"/>
  <c r="U296" i="29"/>
  <c r="U429" i="29"/>
  <c r="U259" i="29"/>
  <c r="U292" i="29"/>
  <c r="U207" i="29"/>
  <c r="U317" i="29"/>
  <c r="U258" i="29"/>
  <c r="U347" i="29"/>
  <c r="U208" i="29"/>
  <c r="U407" i="29"/>
  <c r="U184" i="29"/>
  <c r="U420" i="29"/>
  <c r="U83" i="29"/>
  <c r="U384" i="29"/>
  <c r="U201" i="29"/>
  <c r="U240" i="29"/>
  <c r="U206" i="29"/>
  <c r="U228" i="29"/>
  <c r="U114" i="29"/>
  <c r="U9" i="29"/>
  <c r="U416" i="29"/>
  <c r="U124" i="29"/>
  <c r="U205" i="29"/>
  <c r="U31" i="29"/>
  <c r="U11" i="29"/>
  <c r="U132" i="29"/>
  <c r="U286" i="29"/>
  <c r="U432" i="29"/>
  <c r="U62" i="29"/>
  <c r="U252" i="29"/>
  <c r="U221" i="29"/>
  <c r="U218" i="29"/>
  <c r="U297" i="29"/>
  <c r="U399" i="29"/>
  <c r="U53" i="29"/>
  <c r="U241" i="29"/>
  <c r="U284" i="29"/>
  <c r="U108" i="29"/>
  <c r="U115" i="29"/>
  <c r="U285" i="29"/>
  <c r="U224" i="29"/>
  <c r="U23" i="29"/>
  <c r="U301" i="29"/>
  <c r="U325" i="29"/>
  <c r="U68" i="29"/>
  <c r="U433" i="29"/>
  <c r="U288" i="29"/>
  <c r="U237" i="29"/>
  <c r="U38" i="29"/>
  <c r="U402" i="29"/>
  <c r="U12" i="29"/>
  <c r="U423" i="29"/>
  <c r="U187" i="29"/>
  <c r="U164" i="29"/>
  <c r="U233" i="29"/>
  <c r="U253" i="29"/>
  <c r="U42" i="29"/>
  <c r="U82" i="29"/>
  <c r="U351" i="29"/>
  <c r="U236" i="29"/>
  <c r="U274" i="29"/>
  <c r="U84" i="29"/>
  <c r="U393" i="29"/>
  <c r="U408" i="29"/>
  <c r="U21" i="29"/>
  <c r="U173" i="29"/>
  <c r="U229" i="29"/>
  <c r="U394" i="29"/>
  <c r="U320" i="29"/>
  <c r="U265" i="29"/>
  <c r="U32" i="29"/>
  <c r="U142" i="29"/>
  <c r="U193" i="29"/>
  <c r="U202" i="29"/>
  <c r="U392" i="29"/>
  <c r="U355" i="29"/>
  <c r="U106" i="29"/>
  <c r="U94" i="29"/>
  <c r="U312" i="29"/>
  <c r="U48" i="29"/>
  <c r="U283" i="29"/>
  <c r="U72" i="29"/>
  <c r="U119" i="29"/>
  <c r="U196" i="29"/>
  <c r="U71" i="29"/>
  <c r="U273" i="29"/>
  <c r="U430" i="29"/>
  <c r="U129" i="29"/>
  <c r="U98" i="29"/>
  <c r="U109" i="29"/>
  <c r="U26" i="29"/>
  <c r="U287" i="29"/>
  <c r="U65" i="29"/>
  <c r="U33" i="29"/>
  <c r="U260" i="29"/>
  <c r="U418" i="29"/>
  <c r="U216" i="29"/>
  <c r="U15" i="29"/>
  <c r="U401" i="29"/>
  <c r="U209" i="29"/>
  <c r="U251" i="29"/>
  <c r="U133" i="29"/>
  <c r="U144" i="29"/>
  <c r="U92" i="29"/>
  <c r="U80" i="29"/>
  <c r="U263" i="29"/>
  <c r="U405" i="29"/>
  <c r="U326" i="29"/>
  <c r="U257" i="29"/>
  <c r="U243" i="29"/>
  <c r="U176" i="29"/>
  <c r="U299" i="29"/>
  <c r="U412" i="29"/>
  <c r="U332" i="29"/>
  <c r="U300" i="29"/>
  <c r="U57" i="29"/>
  <c r="U238" i="29"/>
  <c r="U386" i="29"/>
  <c r="U175" i="29"/>
  <c r="U191" i="29"/>
  <c r="U389" i="29"/>
  <c r="U425" i="29"/>
  <c r="U127" i="29"/>
  <c r="U427" i="29"/>
  <c r="U172" i="29"/>
  <c r="U340" i="29"/>
  <c r="U67" i="29"/>
  <c r="U44" i="29"/>
  <c r="U138" i="29"/>
  <c r="U215" i="29"/>
  <c r="U382" i="29"/>
  <c r="U404" i="29"/>
  <c r="U6" i="29"/>
  <c r="U77" i="29"/>
  <c r="U16" i="29"/>
  <c r="U180" i="29"/>
  <c r="U59" i="29"/>
  <c r="U313" i="29"/>
  <c r="U220" i="29"/>
  <c r="U13" i="29"/>
  <c r="U234" i="29"/>
  <c r="U264" i="29"/>
  <c r="U69" i="29"/>
  <c r="U414" i="29"/>
  <c r="U171" i="29"/>
  <c r="U419" i="29"/>
  <c r="U268" i="29"/>
  <c r="U295" i="29"/>
  <c r="U25" i="29"/>
  <c r="U248" i="29"/>
  <c r="U199" i="29"/>
  <c r="U139" i="29"/>
  <c r="U346" i="29"/>
  <c r="U58" i="29"/>
  <c r="U116" i="29"/>
  <c r="U280" i="29"/>
  <c r="U396" i="29"/>
  <c r="U242" i="29"/>
  <c r="U102" i="29"/>
  <c r="U153" i="29"/>
  <c r="U417" i="29"/>
  <c r="U250" i="29"/>
  <c r="U49" i="29"/>
  <c r="U192" i="29"/>
  <c r="U395" i="29"/>
  <c r="U88" i="29"/>
  <c r="U244" i="29"/>
  <c r="U152" i="29"/>
  <c r="U89" i="29"/>
  <c r="U249" i="29"/>
  <c r="U387" i="29"/>
  <c r="U97" i="29"/>
  <c r="U415" i="29"/>
  <c r="U436" i="29"/>
  <c r="U214" i="29"/>
  <c r="U329" i="29"/>
  <c r="U188" i="29"/>
  <c r="U75" i="29"/>
  <c r="U291" i="29"/>
  <c r="U134" i="29"/>
  <c r="U123" i="29"/>
  <c r="U305" i="29"/>
  <c r="U161" i="29"/>
  <c r="U246" i="29"/>
  <c r="U294" i="29"/>
  <c r="U81" i="29"/>
  <c r="U424" i="29"/>
  <c r="U194" i="29"/>
  <c r="U247" i="29"/>
  <c r="U254" i="29"/>
  <c r="U154" i="29"/>
  <c r="U343" i="29"/>
  <c r="U226" i="29"/>
  <c r="U27" i="29"/>
  <c r="U148" i="29"/>
  <c r="U24" i="29"/>
  <c r="U354" i="29"/>
  <c r="U227" i="29"/>
  <c r="U211" i="29"/>
  <c r="U336" i="29"/>
  <c r="U167" i="29"/>
  <c r="U147" i="29"/>
  <c r="U145" i="29"/>
  <c r="U113" i="29"/>
  <c r="U45" i="29"/>
  <c r="U411" i="29"/>
  <c r="U105" i="29"/>
  <c r="U140" i="29"/>
  <c r="U344" i="29"/>
  <c r="U93" i="29"/>
  <c r="U185" i="29"/>
  <c r="U86" i="29"/>
  <c r="U330" i="29"/>
  <c r="U422" i="29"/>
  <c r="U169" i="29"/>
  <c r="U270" i="29"/>
  <c r="U269" i="29"/>
  <c r="U315" i="29"/>
  <c r="U160" i="29"/>
  <c r="U438" i="29"/>
  <c r="U103" i="29"/>
  <c r="U391" i="29"/>
  <c r="U37" i="29"/>
  <c r="U100" i="29"/>
  <c r="U318" i="29"/>
  <c r="U36" i="29"/>
  <c r="U10" i="29"/>
  <c r="U230" i="29"/>
  <c r="U166" i="29"/>
  <c r="U434" i="29"/>
  <c r="U35" i="29"/>
  <c r="U117" i="29"/>
  <c r="U110" i="29"/>
  <c r="U306" i="29"/>
  <c r="U177" i="29"/>
  <c r="U383" i="29"/>
  <c r="U421" i="29"/>
  <c r="U262" i="29"/>
  <c r="U239" i="29"/>
  <c r="U52" i="29"/>
  <c r="U14" i="29"/>
  <c r="U195" i="29"/>
  <c r="U385" i="29"/>
  <c r="U440" i="29"/>
  <c r="U99" i="29"/>
  <c r="U39" i="29"/>
  <c r="U159" i="29"/>
  <c r="U282" i="29"/>
  <c r="U111" i="29"/>
  <c r="U64" i="29"/>
  <c r="U304" i="29"/>
  <c r="U356" i="29"/>
  <c r="U155" i="29"/>
  <c r="U74" i="29"/>
  <c r="U122" i="29"/>
  <c r="U267" i="29"/>
  <c r="U146" i="29"/>
  <c r="U406" i="29"/>
  <c r="U435" i="29"/>
  <c r="U41" i="29"/>
  <c r="U101" i="29"/>
  <c r="U348" i="29"/>
  <c r="U18" i="29"/>
  <c r="U120" i="29"/>
  <c r="U442" i="29"/>
  <c r="U219" i="29"/>
  <c r="U276" i="29"/>
  <c r="U231" i="29"/>
  <c r="U328" i="29"/>
  <c r="U179" i="29"/>
  <c r="U186" i="29"/>
  <c r="U158" i="29"/>
  <c r="U400" i="29"/>
  <c r="U190" i="29"/>
  <c r="U126" i="29"/>
  <c r="U261" i="29"/>
  <c r="U210" i="29"/>
  <c r="U314" i="29"/>
  <c r="U137" i="29"/>
  <c r="U353" i="29"/>
  <c r="U91" i="29"/>
  <c r="U403" i="29"/>
  <c r="U334" i="29"/>
  <c r="U319" i="29"/>
  <c r="U46" i="29"/>
  <c r="U303" i="29"/>
  <c r="U204" i="29"/>
  <c r="U203" i="29"/>
  <c r="U293" i="29"/>
  <c r="U178" i="29"/>
  <c r="U87" i="29"/>
  <c r="U413" i="29"/>
  <c r="U327" i="29"/>
  <c r="U335" i="29"/>
  <c r="U54" i="29"/>
  <c r="U141" i="29"/>
  <c r="U324" i="29"/>
  <c r="U217" i="29"/>
  <c r="U223" i="29"/>
  <c r="U151" i="29"/>
  <c r="U78" i="29"/>
  <c r="U96" i="29"/>
  <c r="U281" i="29"/>
  <c r="U66" i="29"/>
  <c r="U322" i="29"/>
  <c r="U131" i="29"/>
  <c r="U398" i="29"/>
  <c r="U338" i="29"/>
  <c r="U409" i="29"/>
  <c r="U410" i="29"/>
  <c r="U349" i="29"/>
  <c r="U213" i="29"/>
  <c r="U272" i="29"/>
  <c r="U163" i="29"/>
  <c r="U90" i="29"/>
  <c r="U47" i="29"/>
  <c r="U121" i="29"/>
  <c r="U79" i="29"/>
  <c r="U225" i="29"/>
  <c r="U168" i="29"/>
  <c r="U60" i="29"/>
  <c r="U107" i="29"/>
  <c r="U197" i="29"/>
  <c r="U22" i="29"/>
  <c r="U271" i="29"/>
  <c r="U352" i="29"/>
  <c r="U428" i="29"/>
  <c r="U222" i="29"/>
  <c r="U333" i="29"/>
  <c r="U17" i="29"/>
  <c r="U298" i="29"/>
  <c r="U278" i="29"/>
  <c r="U61" i="29"/>
  <c r="U150" i="29"/>
  <c r="U342" i="29"/>
  <c r="U256" i="29"/>
  <c r="U112" i="29"/>
  <c r="U337" i="29"/>
  <c r="U266" i="29"/>
  <c r="U321" i="29"/>
  <c r="U316" i="29"/>
  <c r="U34" i="29"/>
  <c r="U51" i="29"/>
  <c r="U20" i="29"/>
  <c r="U397" i="29"/>
  <c r="U181" i="29"/>
  <c r="U183" i="29"/>
  <c r="U331" i="29"/>
  <c r="U245" i="29"/>
  <c r="U212" i="29"/>
  <c r="U426" i="29"/>
  <c r="C192" i="1" l="1"/>
  <c r="C302" i="29" l="1"/>
  <c r="C116" i="2"/>
  <c r="C303" i="29"/>
  <c r="C312" i="29" l="1"/>
  <c r="C193" i="1"/>
  <c r="C103" i="5" l="1"/>
  <c r="C113" i="2" l="1"/>
  <c r="C178" i="2"/>
  <c r="C114" i="2"/>
  <c r="C383" i="29"/>
  <c r="C347" i="29" l="1"/>
  <c r="C112" i="2"/>
  <c r="C102" i="5" l="1"/>
  <c r="C190" i="1"/>
  <c r="C156" i="2"/>
  <c r="C100" i="5" l="1"/>
  <c r="C106" i="5"/>
  <c r="C101" i="5"/>
  <c r="C298" i="29" l="1"/>
  <c r="C349" i="29"/>
  <c r="C345" i="29"/>
  <c r="C301" i="29"/>
  <c r="C189" i="1" l="1"/>
  <c r="C253" i="1"/>
  <c r="C191" i="1"/>
  <c r="C104" i="5"/>
  <c r="C313" i="29"/>
  <c r="B26" i="4"/>
  <c r="C26" i="4"/>
  <c r="C344" i="29" l="1"/>
  <c r="C187" i="1"/>
  <c r="C346" i="29"/>
  <c r="C177" i="2"/>
  <c r="C185" i="1" l="1"/>
  <c r="C186" i="1"/>
  <c r="C188" i="1"/>
  <c r="C158" i="2"/>
  <c r="C111" i="2"/>
  <c r="C183" i="1" l="1"/>
  <c r="C118" i="5" l="1"/>
  <c r="C350" i="29"/>
  <c r="C181" i="1"/>
  <c r="C109" i="2"/>
  <c r="C110" i="2"/>
  <c r="C297" i="29" l="1"/>
  <c r="C159" i="2" l="1"/>
  <c r="C299" i="29"/>
  <c r="C300" i="29"/>
  <c r="C180" i="1" l="1"/>
  <c r="C179" i="1"/>
  <c r="C182" i="1"/>
  <c r="C155" i="2"/>
  <c r="C126" i="2"/>
  <c r="C154" i="2" l="1"/>
  <c r="C127" i="2"/>
  <c r="C294" i="29"/>
  <c r="C380" i="29" l="1"/>
  <c r="C351" i="29"/>
  <c r="C342" i="29"/>
  <c r="C7" i="29" l="1"/>
  <c r="C254" i="1"/>
  <c r="C338" i="29"/>
  <c r="C177" i="1"/>
  <c r="C178" i="1"/>
  <c r="C256" i="1"/>
  <c r="C184" i="1"/>
  <c r="C339" i="29"/>
  <c r="C340" i="29"/>
  <c r="C385" i="29"/>
  <c r="C343" i="29"/>
  <c r="C295" i="29"/>
  <c r="C160" i="2" l="1"/>
  <c r="C108" i="2"/>
  <c r="C175" i="1"/>
  <c r="C162" i="5"/>
  <c r="C164" i="5"/>
  <c r="C176" i="1"/>
  <c r="C161" i="2"/>
  <c r="C107" i="2"/>
  <c r="C6" i="29"/>
  <c r="C8" i="29"/>
  <c r="C119" i="5"/>
  <c r="C161" i="5"/>
  <c r="C5" i="2"/>
  <c r="C6" i="2"/>
  <c r="C9" i="29"/>
  <c r="C257" i="1"/>
  <c r="C341" i="29"/>
  <c r="C5" i="1"/>
  <c r="C337" i="29"/>
  <c r="C120" i="5"/>
  <c r="C293" i="29"/>
  <c r="C291" i="29" l="1"/>
  <c r="C292" i="29"/>
  <c r="C121" i="5"/>
  <c r="C443" i="29"/>
  <c r="C296" i="29"/>
  <c r="C122" i="5"/>
  <c r="C163" i="5"/>
  <c r="C238" i="1"/>
  <c r="C239" i="1"/>
  <c r="C153" i="2"/>
  <c r="C386" i="29"/>
  <c r="C160" i="5"/>
  <c r="C123" i="5"/>
  <c r="C335" i="29"/>
  <c r="C372" i="29"/>
  <c r="C5" i="29"/>
  <c r="C314" i="29"/>
  <c r="C315" i="29"/>
  <c r="C152" i="2" l="1"/>
  <c r="C258" i="1" l="1"/>
  <c r="C10" i="29"/>
  <c r="C97" i="5"/>
  <c r="C151" i="2" l="1"/>
  <c r="C128" i="2"/>
  <c r="U151" i="2"/>
  <c r="E20" i="37" l="1"/>
  <c r="E19" i="37"/>
  <c r="E18" i="37"/>
  <c r="E17" i="37"/>
  <c r="E16" i="37"/>
  <c r="E15" i="37"/>
  <c r="E14" i="37"/>
  <c r="E13" i="37"/>
  <c r="E12" i="37"/>
  <c r="E10" i="37"/>
  <c r="E9" i="37"/>
  <c r="E8" i="37"/>
  <c r="E7" i="37"/>
  <c r="E6" i="37"/>
  <c r="E5" i="37"/>
  <c r="E4" i="37"/>
  <c r="E3" i="37"/>
  <c r="E2" i="37"/>
  <c r="E11" i="37"/>
  <c r="C150" i="2" l="1"/>
  <c r="C286" i="29"/>
  <c r="C129" i="2" l="1"/>
  <c r="C387" i="29"/>
  <c r="C284" i="29" l="1"/>
  <c r="C174" i="1"/>
  <c r="C255" i="1"/>
  <c r="C203" i="1" l="1"/>
  <c r="C4" i="5"/>
  <c r="C334" i="29" l="1"/>
  <c r="C285" i="29"/>
  <c r="C124" i="5" l="1"/>
  <c r="C130" i="2"/>
  <c r="C288" i="29" l="1"/>
  <c r="C106" i="2" l="1"/>
  <c r="C242" i="1"/>
  <c r="C234" i="1"/>
  <c r="B27" i="4" l="1"/>
  <c r="C27" i="4"/>
  <c r="C96" i="5"/>
  <c r="C95" i="5"/>
  <c r="C159" i="5"/>
  <c r="C259" i="1" l="1"/>
  <c r="C231" i="1" l="1"/>
  <c r="C280" i="29"/>
  <c r="C170" i="1"/>
  <c r="C171" i="1" l="1"/>
  <c r="C232" i="1" l="1"/>
  <c r="C235" i="1"/>
  <c r="C236" i="1"/>
  <c r="C233" i="1"/>
  <c r="C204" i="1" l="1"/>
  <c r="C336" i="29" l="1"/>
  <c r="C237" i="1" l="1"/>
  <c r="C104" i="2" l="1"/>
  <c r="C125" i="5" l="1"/>
  <c r="C278" i="29"/>
  <c r="C279" i="29"/>
  <c r="C229" i="1"/>
  <c r="C230" i="1"/>
  <c r="C173" i="1"/>
  <c r="C162" i="2"/>
  <c r="C282" i="29" l="1"/>
  <c r="C103" i="2"/>
  <c r="C105" i="2"/>
  <c r="C287" i="29" l="1"/>
  <c r="C102" i="2" l="1"/>
  <c r="C169" i="1"/>
  <c r="C158" i="5" l="1"/>
  <c r="C6" i="1" l="1"/>
  <c r="C205" i="1" l="1"/>
  <c r="C4" i="1"/>
  <c r="C330" i="29" l="1"/>
  <c r="C228" i="1" l="1"/>
  <c r="C333" i="29"/>
  <c r="C348" i="29" l="1"/>
  <c r="C328" i="29"/>
  <c r="C131" i="2" l="1"/>
  <c r="C100" i="2"/>
  <c r="C101" i="2"/>
  <c r="C281" i="29" l="1"/>
  <c r="C329" i="29"/>
  <c r="C331" i="29" l="1"/>
  <c r="C352" i="29"/>
  <c r="U82" i="5"/>
  <c r="U93" i="5"/>
  <c r="U86" i="5"/>
  <c r="U36" i="5"/>
  <c r="U51" i="5"/>
  <c r="U28" i="5"/>
  <c r="U78" i="5"/>
  <c r="U23" i="5"/>
  <c r="C152" i="5" l="1"/>
  <c r="C155" i="5"/>
  <c r="U98" i="5"/>
  <c r="C168" i="1" l="1"/>
  <c r="U181" i="5"/>
  <c r="C271" i="29" l="1"/>
  <c r="U180" i="5"/>
  <c r="U179" i="5"/>
  <c r="C7" i="2" l="1"/>
  <c r="C99" i="2"/>
  <c r="C148" i="2"/>
  <c r="U167" i="5"/>
  <c r="U182" i="5"/>
  <c r="U168" i="5"/>
  <c r="U169" i="5"/>
  <c r="Q7" i="20" l="1"/>
  <c r="P7" i="20"/>
  <c r="C147" i="2"/>
  <c r="C272" i="29"/>
  <c r="C149" i="2"/>
  <c r="C283" i="29"/>
  <c r="C389" i="29"/>
  <c r="U99" i="5"/>
  <c r="C289" i="29" l="1"/>
  <c r="C132" i="2"/>
  <c r="U138" i="5"/>
  <c r="U19" i="5"/>
  <c r="U87" i="5"/>
  <c r="U69" i="5"/>
  <c r="U73" i="5"/>
  <c r="U133" i="5"/>
  <c r="U66" i="5"/>
  <c r="U84" i="5"/>
  <c r="U7" i="1"/>
  <c r="U8" i="5"/>
  <c r="U62" i="5"/>
  <c r="U85" i="5"/>
  <c r="U33" i="5"/>
  <c r="C206" i="1" l="1"/>
  <c r="U126" i="5"/>
  <c r="U157" i="5"/>
  <c r="U6" i="5"/>
  <c r="U127" i="5"/>
  <c r="U70" i="5"/>
  <c r="U39" i="5"/>
  <c r="U30" i="5"/>
  <c r="U21" i="1"/>
  <c r="U135" i="5"/>
  <c r="U132" i="5"/>
  <c r="U9" i="5"/>
  <c r="U129" i="5"/>
  <c r="U75" i="5"/>
  <c r="U55" i="5"/>
  <c r="U32" i="5"/>
  <c r="U145" i="5"/>
  <c r="U153" i="5"/>
  <c r="U35" i="5"/>
  <c r="U29" i="5"/>
  <c r="U27" i="5"/>
  <c r="U154" i="5"/>
  <c r="U31" i="5"/>
  <c r="U40" i="5"/>
  <c r="U11" i="5"/>
  <c r="U64" i="5"/>
  <c r="U15" i="4"/>
  <c r="U38" i="5"/>
  <c r="U130" i="5"/>
  <c r="U63" i="5"/>
  <c r="U15" i="5"/>
  <c r="U26" i="5"/>
  <c r="U77" i="5"/>
  <c r="U151" i="5"/>
  <c r="U71" i="5"/>
  <c r="U17" i="5"/>
  <c r="U92" i="5"/>
  <c r="U146" i="5"/>
  <c r="U136" i="5"/>
  <c r="U149" i="5"/>
  <c r="U18" i="5"/>
  <c r="U42" i="5"/>
  <c r="U41" i="5"/>
  <c r="U22" i="5"/>
  <c r="U44" i="5"/>
  <c r="U81" i="5"/>
  <c r="U58" i="5"/>
  <c r="U53" i="5"/>
  <c r="U131" i="5"/>
  <c r="U12" i="5"/>
  <c r="U59" i="5"/>
  <c r="U76" i="5"/>
  <c r="U144" i="5"/>
  <c r="U48" i="5"/>
  <c r="U5" i="5"/>
  <c r="U60" i="5"/>
  <c r="U16" i="5"/>
  <c r="U49" i="5"/>
  <c r="U152" i="5"/>
  <c r="U10" i="5"/>
  <c r="U20" i="5"/>
  <c r="U43" i="5"/>
  <c r="U21" i="5"/>
  <c r="U72" i="5"/>
  <c r="U155" i="5"/>
  <c r="U80" i="5"/>
  <c r="U134" i="5"/>
  <c r="U140" i="5"/>
  <c r="U141" i="5"/>
  <c r="A1" i="35" l="1"/>
  <c r="U4" i="2"/>
  <c r="C273" i="29" l="1"/>
  <c r="C274" i="29"/>
  <c r="U172" i="1"/>
  <c r="C391" i="29" l="1"/>
  <c r="C91" i="5"/>
  <c r="C270" i="29"/>
  <c r="C166" i="1"/>
  <c r="U29" i="4"/>
  <c r="U28" i="4"/>
  <c r="C140" i="5" l="1"/>
  <c r="C92" i="5"/>
  <c r="C151" i="5"/>
  <c r="C154" i="5"/>
  <c r="C157" i="5"/>
  <c r="C126" i="5"/>
  <c r="C156" i="5"/>
  <c r="C181" i="5"/>
  <c r="C94" i="5"/>
  <c r="C182" i="5"/>
  <c r="U171" i="2"/>
  <c r="U19" i="4"/>
  <c r="U82" i="2"/>
  <c r="U136" i="1"/>
  <c r="U23" i="4"/>
  <c r="U20" i="4"/>
  <c r="U26" i="2"/>
  <c r="U65" i="1"/>
  <c r="U119" i="1"/>
  <c r="U8" i="2"/>
  <c r="U133" i="2"/>
  <c r="U95" i="2"/>
  <c r="U90" i="5"/>
  <c r="U18" i="4"/>
  <c r="U65" i="5"/>
  <c r="U134" i="2"/>
  <c r="U131" i="1"/>
  <c r="U143" i="5"/>
  <c r="U213" i="1"/>
  <c r="U79" i="1"/>
  <c r="U62" i="2"/>
  <c r="U80" i="1"/>
  <c r="U64" i="1"/>
  <c r="U214" i="1"/>
  <c r="U63" i="2"/>
  <c r="U223" i="1"/>
  <c r="U27" i="1"/>
  <c r="U17" i="4"/>
  <c r="U151" i="1"/>
  <c r="U42" i="1"/>
  <c r="U128" i="1"/>
  <c r="U54" i="1"/>
  <c r="U81" i="1"/>
  <c r="U176" i="2"/>
  <c r="U67" i="5"/>
  <c r="U164" i="2"/>
  <c r="U24" i="2"/>
  <c r="U227" i="1"/>
  <c r="U164" i="1"/>
  <c r="U169" i="2"/>
  <c r="U107" i="1"/>
  <c r="U263" i="1"/>
  <c r="U62" i="1"/>
  <c r="U110" i="1"/>
  <c r="U10" i="1"/>
  <c r="U25" i="2"/>
  <c r="U135" i="2"/>
  <c r="U13" i="4"/>
  <c r="U72" i="2"/>
  <c r="U52" i="2"/>
  <c r="U50" i="1"/>
  <c r="U45" i="1"/>
  <c r="U102" i="1"/>
  <c r="U161" i="1"/>
  <c r="U29" i="2"/>
  <c r="U49" i="2"/>
  <c r="U143" i="1"/>
  <c r="U90" i="2"/>
  <c r="U166" i="1"/>
  <c r="U14" i="1"/>
  <c r="U211" i="1"/>
  <c r="U170" i="2"/>
  <c r="U41" i="2"/>
  <c r="U40" i="1"/>
  <c r="U103" i="1"/>
  <c r="U144" i="2"/>
  <c r="U74" i="1"/>
  <c r="U99" i="1"/>
  <c r="U8" i="4"/>
  <c r="U38" i="1"/>
  <c r="U17" i="2"/>
  <c r="U167" i="1"/>
  <c r="U137" i="1"/>
  <c r="U52" i="1"/>
  <c r="U12" i="2"/>
  <c r="U69" i="1"/>
  <c r="U225" i="1"/>
  <c r="U145" i="2"/>
  <c r="U41" i="1"/>
  <c r="U61" i="1"/>
  <c r="U83" i="5"/>
  <c r="U23" i="1"/>
  <c r="U160" i="1"/>
  <c r="U54" i="5"/>
  <c r="U67" i="1"/>
  <c r="U162" i="1"/>
  <c r="U84" i="2"/>
  <c r="U68" i="1"/>
  <c r="U36" i="1"/>
  <c r="U43" i="2"/>
  <c r="U32" i="1"/>
  <c r="U218" i="1"/>
  <c r="U88" i="1"/>
  <c r="U93" i="2"/>
  <c r="U135" i="1"/>
  <c r="U58" i="1"/>
  <c r="U49" i="1"/>
  <c r="U207" i="1"/>
  <c r="U146" i="1"/>
  <c r="U68" i="2"/>
  <c r="U163" i="2"/>
  <c r="U15" i="1"/>
  <c r="U28" i="2"/>
  <c r="U79" i="2"/>
  <c r="U14" i="2"/>
  <c r="U120" i="1"/>
  <c r="U69" i="2"/>
  <c r="U154" i="1"/>
  <c r="U66" i="2"/>
  <c r="U9" i="1"/>
  <c r="U86" i="1"/>
  <c r="U61" i="5"/>
  <c r="U25" i="1"/>
  <c r="U24" i="4"/>
  <c r="U28" i="1"/>
  <c r="U152" i="1"/>
  <c r="U26" i="1"/>
  <c r="U34" i="2"/>
  <c r="U94" i="5"/>
  <c r="U167" i="2"/>
  <c r="U70" i="1"/>
  <c r="U91" i="2"/>
  <c r="U145" i="1"/>
  <c r="U136" i="2"/>
  <c r="U15" i="2"/>
  <c r="U32" i="2"/>
  <c r="U138" i="2"/>
  <c r="U222" i="1"/>
  <c r="U46" i="5"/>
  <c r="U216" i="1"/>
  <c r="U112" i="1"/>
  <c r="U215" i="1"/>
  <c r="U84" i="1"/>
  <c r="U92" i="1"/>
  <c r="U148" i="5"/>
  <c r="U23" i="2"/>
  <c r="U51" i="1"/>
  <c r="U265" i="1"/>
  <c r="U124" i="1"/>
  <c r="U6" i="4"/>
  <c r="U86" i="2"/>
  <c r="U115" i="1"/>
  <c r="U22" i="4"/>
  <c r="U113" i="1"/>
  <c r="U75" i="1"/>
  <c r="U83" i="1"/>
  <c r="U24" i="5"/>
  <c r="U125" i="1"/>
  <c r="U138" i="1"/>
  <c r="U206" i="1"/>
  <c r="U137" i="5"/>
  <c r="U91" i="5"/>
  <c r="U47" i="2"/>
  <c r="U58" i="2"/>
  <c r="U16" i="4"/>
  <c r="U129" i="1"/>
  <c r="U155" i="1"/>
  <c r="U210" i="1"/>
  <c r="U147" i="1"/>
  <c r="U12" i="4"/>
  <c r="U7" i="4"/>
  <c r="U89" i="1"/>
  <c r="U87" i="2"/>
  <c r="U13" i="2"/>
  <c r="U50" i="5"/>
  <c r="U30" i="1"/>
  <c r="U74" i="5"/>
  <c r="U59" i="2"/>
  <c r="U24" i="1"/>
  <c r="U73" i="1"/>
  <c r="U27" i="2"/>
  <c r="U97" i="2"/>
  <c r="U96" i="2"/>
  <c r="U268" i="1"/>
  <c r="U45" i="2"/>
  <c r="U224" i="1"/>
  <c r="U95" i="1"/>
  <c r="U10" i="2"/>
  <c r="U75" i="2"/>
  <c r="U140" i="1"/>
  <c r="U100" i="1"/>
  <c r="U10" i="4"/>
  <c r="U9" i="4"/>
  <c r="U220" i="1"/>
  <c r="U104" i="1"/>
  <c r="U21" i="2"/>
  <c r="U56" i="5"/>
  <c r="U76" i="1"/>
  <c r="U85" i="1"/>
  <c r="U54" i="2"/>
  <c r="U40" i="2"/>
  <c r="U173" i="2"/>
  <c r="U37" i="2"/>
  <c r="U50" i="2"/>
  <c r="U139" i="5"/>
  <c r="U60" i="2"/>
  <c r="U91" i="1"/>
  <c r="U122" i="1"/>
  <c r="U226" i="1"/>
  <c r="U64" i="2"/>
  <c r="U16" i="2"/>
  <c r="U88" i="2"/>
  <c r="U37" i="5"/>
  <c r="U106" i="1"/>
  <c r="U137" i="2"/>
  <c r="U172" i="2"/>
  <c r="U165" i="1"/>
  <c r="U156" i="1"/>
  <c r="U37" i="1"/>
  <c r="U209" i="1"/>
  <c r="U101" i="1"/>
  <c r="U174" i="2"/>
  <c r="U60" i="1"/>
  <c r="U71" i="2"/>
  <c r="U165" i="2"/>
  <c r="U92" i="2"/>
  <c r="U31" i="1"/>
  <c r="U18" i="2"/>
  <c r="U219" i="1"/>
  <c r="U25" i="5"/>
  <c r="U163" i="1"/>
  <c r="U57" i="5"/>
  <c r="U150" i="1"/>
  <c r="U55" i="1"/>
  <c r="U38" i="2"/>
  <c r="U118" i="1"/>
  <c r="U93" i="1"/>
  <c r="U168" i="2"/>
  <c r="U74" i="2"/>
  <c r="U18" i="1"/>
  <c r="U126" i="1"/>
  <c r="U11" i="2"/>
  <c r="U90" i="1"/>
  <c r="U85" i="2"/>
  <c r="U13" i="5"/>
  <c r="U148" i="1"/>
  <c r="U116" i="1"/>
  <c r="U130" i="1"/>
  <c r="U20" i="1"/>
  <c r="U142" i="5"/>
  <c r="U87" i="1"/>
  <c r="U123" i="1"/>
  <c r="U266" i="1"/>
  <c r="U109" i="1"/>
  <c r="U96" i="1"/>
  <c r="U111" i="1"/>
  <c r="U98" i="2"/>
  <c r="U39" i="2"/>
  <c r="U22" i="1"/>
  <c r="U88" i="5"/>
  <c r="U132" i="1"/>
  <c r="U48" i="2"/>
  <c r="U68" i="5"/>
  <c r="U19" i="1"/>
  <c r="U212" i="1"/>
  <c r="U44" i="2"/>
  <c r="U142" i="2"/>
  <c r="U89" i="2"/>
  <c r="U267" i="1"/>
  <c r="U142" i="1"/>
  <c r="U78" i="2"/>
  <c r="U117" i="1"/>
  <c r="U261" i="1"/>
  <c r="U94" i="1"/>
  <c r="U46" i="2"/>
  <c r="U97" i="1"/>
  <c r="U57" i="2"/>
  <c r="U80" i="2"/>
  <c r="U35" i="1"/>
  <c r="U59" i="1"/>
  <c r="U56" i="2"/>
  <c r="U11" i="4"/>
  <c r="U144" i="1"/>
  <c r="U128" i="5"/>
  <c r="U141" i="1"/>
  <c r="U48" i="1"/>
  <c r="U29" i="1"/>
  <c r="U94" i="2"/>
  <c r="U36" i="2"/>
  <c r="U14" i="4"/>
  <c r="U153" i="1"/>
  <c r="U76" i="2"/>
  <c r="U77" i="1"/>
  <c r="U81" i="2"/>
  <c r="U25" i="4"/>
  <c r="U17" i="1"/>
  <c r="U16" i="1"/>
  <c r="U166" i="2"/>
  <c r="U19" i="2"/>
  <c r="U264" i="1"/>
  <c r="U78" i="1"/>
  <c r="U269" i="1"/>
  <c r="U217" i="1"/>
  <c r="U34" i="5"/>
  <c r="U221" i="1"/>
  <c r="U65" i="2"/>
  <c r="U70" i="2"/>
  <c r="U77" i="2"/>
  <c r="U63" i="1"/>
  <c r="U66" i="1"/>
  <c r="U141" i="2"/>
  <c r="U121" i="1"/>
  <c r="U53" i="1"/>
  <c r="U45" i="5"/>
  <c r="U89" i="5"/>
  <c r="U83" i="2"/>
  <c r="U33" i="1"/>
  <c r="U150" i="5"/>
  <c r="U11" i="1"/>
  <c r="U73" i="2"/>
  <c r="U44" i="1"/>
  <c r="U262" i="1"/>
  <c r="U143" i="2"/>
  <c r="U22" i="2"/>
  <c r="U8" i="1"/>
  <c r="U175" i="2"/>
  <c r="U20" i="2"/>
  <c r="U47" i="5"/>
  <c r="U7" i="5"/>
  <c r="U43" i="1"/>
  <c r="U13" i="1"/>
  <c r="U82" i="1"/>
  <c r="U53" i="2"/>
  <c r="U71" i="1"/>
  <c r="U157" i="1"/>
  <c r="U158" i="1"/>
  <c r="U34" i="1"/>
  <c r="U52" i="5"/>
  <c r="U51" i="2"/>
  <c r="U114" i="1"/>
  <c r="U105" i="1"/>
  <c r="U156" i="5"/>
  <c r="U14" i="5"/>
  <c r="U35" i="2"/>
  <c r="U79" i="5"/>
  <c r="U139" i="1"/>
  <c r="U98" i="1"/>
  <c r="U30" i="2"/>
  <c r="U260" i="1"/>
  <c r="U72" i="1"/>
  <c r="U147" i="5"/>
  <c r="U21" i="4"/>
  <c r="C172" i="1" l="1"/>
  <c r="U56" i="1"/>
  <c r="U149" i="1"/>
  <c r="U57" i="1"/>
  <c r="U5" i="4"/>
  <c r="U61" i="2"/>
  <c r="U108" i="1"/>
  <c r="U133" i="1"/>
  <c r="U12" i="1"/>
  <c r="U146" i="2"/>
  <c r="U139" i="2"/>
  <c r="U42" i="2"/>
  <c r="U47" i="1"/>
  <c r="U46" i="1"/>
  <c r="U55" i="2"/>
  <c r="U4" i="4"/>
  <c r="U134" i="1"/>
  <c r="U159" i="1"/>
  <c r="U127" i="1"/>
  <c r="U33" i="2"/>
  <c r="U31" i="2"/>
  <c r="U39" i="1"/>
  <c r="U67" i="2"/>
  <c r="C8" i="2" l="1"/>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133" i="2"/>
  <c r="C134" i="2"/>
  <c r="C135" i="2"/>
  <c r="C136" i="2"/>
  <c r="C137" i="2"/>
  <c r="C138" i="2"/>
  <c r="C139" i="2"/>
  <c r="C140" i="2"/>
  <c r="C141" i="2"/>
  <c r="C142" i="2"/>
  <c r="C143" i="2"/>
  <c r="C144" i="2"/>
  <c r="C145" i="2"/>
  <c r="C146" i="2"/>
  <c r="C4" i="2"/>
  <c r="C163" i="2"/>
  <c r="C98" i="2"/>
  <c r="C97" i="2"/>
  <c r="C164" i="2"/>
  <c r="C165" i="2"/>
  <c r="C166" i="2"/>
  <c r="C167" i="2"/>
  <c r="C168" i="2"/>
  <c r="C169" i="2"/>
  <c r="C170" i="2"/>
  <c r="C171" i="2"/>
  <c r="C172" i="2"/>
  <c r="C173" i="2"/>
  <c r="C174" i="2"/>
  <c r="C175" i="2"/>
  <c r="C176" i="2"/>
  <c r="C224" i="1"/>
  <c r="C7" i="1"/>
  <c r="C266" i="29"/>
  <c r="U208" i="1"/>
  <c r="U9" i="2"/>
  <c r="U140" i="2"/>
  <c r="C167" i="1" l="1"/>
  <c r="C227" i="1"/>
  <c r="C147" i="5" l="1"/>
  <c r="C267" i="29" l="1"/>
  <c r="C268" i="29"/>
  <c r="C441" i="29"/>
  <c r="C392" i="29"/>
  <c r="C144" i="5" l="1"/>
  <c r="C17" i="33" l="1"/>
  <c r="A10" i="35" s="1"/>
  <c r="C261" i="29" l="1"/>
  <c r="C127" i="5"/>
  <c r="B28" i="4" l="1"/>
  <c r="C28" i="4"/>
  <c r="C277" i="29" l="1"/>
  <c r="C207" i="1" l="1"/>
  <c r="C225" i="1" l="1"/>
  <c r="C226" i="1"/>
  <c r="C290" i="29" l="1"/>
  <c r="C269" i="29" l="1"/>
  <c r="C143" i="5" l="1"/>
  <c r="C142" i="5"/>
  <c r="C2" i="33" l="1"/>
  <c r="D2" i="33"/>
  <c r="C141" i="5" l="1"/>
  <c r="C316" i="29"/>
  <c r="C327" i="29"/>
  <c r="C163" i="1"/>
  <c r="C164" i="1"/>
  <c r="C165" i="1"/>
  <c r="C223" i="1"/>
  <c r="C259" i="29" l="1"/>
  <c r="C260" i="29"/>
  <c r="B144" i="2" l="1"/>
  <c r="C326" i="29"/>
  <c r="C265" i="29"/>
  <c r="C208" i="1" l="1"/>
  <c r="C139" i="5"/>
  <c r="C146" i="5"/>
  <c r="C153" i="5"/>
  <c r="C128" i="5" l="1"/>
  <c r="C209" i="1"/>
  <c r="C6" i="5" l="1"/>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93" i="5"/>
  <c r="C88" i="5"/>
  <c r="C89" i="5"/>
  <c r="C90" i="5"/>
  <c r="C138" i="5"/>
  <c r="C129" i="5"/>
  <c r="C130" i="5"/>
  <c r="C131" i="5"/>
  <c r="C132" i="5"/>
  <c r="C133" i="5"/>
  <c r="C134" i="5"/>
  <c r="C135" i="5"/>
  <c r="C148" i="5"/>
  <c r="C136" i="5"/>
  <c r="C5" i="5"/>
  <c r="C137" i="5"/>
  <c r="C149" i="5"/>
  <c r="C150" i="5"/>
  <c r="C179" i="5"/>
  <c r="C180" i="5"/>
  <c r="C145" i="5"/>
  <c r="C169" i="5"/>
  <c r="C168" i="5"/>
  <c r="C167" i="5"/>
  <c r="C98" i="5"/>
  <c r="C99" i="5"/>
  <c r="C4" i="4"/>
  <c r="C5" i="4"/>
  <c r="C6" i="4"/>
  <c r="C7" i="4"/>
  <c r="C8" i="4"/>
  <c r="C9" i="4"/>
  <c r="C10" i="4"/>
  <c r="C11" i="4"/>
  <c r="C12" i="4"/>
  <c r="C13" i="4"/>
  <c r="C14" i="4"/>
  <c r="C15" i="4"/>
  <c r="C16" i="4"/>
  <c r="C17" i="4"/>
  <c r="C18" i="4"/>
  <c r="C19" i="4"/>
  <c r="C20" i="4"/>
  <c r="C21" i="4"/>
  <c r="C22" i="4"/>
  <c r="C23" i="4"/>
  <c r="C24" i="4"/>
  <c r="C25" i="4"/>
  <c r="C29" i="4"/>
  <c r="C13" i="29"/>
  <c r="C14" i="29"/>
  <c r="C15" i="29"/>
  <c r="C16" i="29"/>
  <c r="C17" i="29"/>
  <c r="C18" i="29"/>
  <c r="C11"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64" i="29"/>
  <c r="C263" i="29"/>
  <c r="C275" i="29"/>
  <c r="C390" i="29"/>
  <c r="C318" i="29"/>
  <c r="C319" i="29"/>
  <c r="C320" i="29"/>
  <c r="C321" i="29"/>
  <c r="C322" i="29"/>
  <c r="C393" i="29"/>
  <c r="C323" i="29"/>
  <c r="C442" i="29"/>
  <c r="C394" i="29"/>
  <c r="C324" i="29"/>
  <c r="C262" i="29"/>
  <c r="C276" i="29"/>
  <c r="C325" i="29"/>
  <c r="C258" i="29"/>
  <c r="C395" i="29"/>
  <c r="C396" i="29"/>
  <c r="C332" i="29"/>
  <c r="C397" i="29"/>
  <c r="C12"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317" i="29"/>
  <c r="C388" i="29"/>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210" i="1"/>
  <c r="C211" i="1"/>
  <c r="C212" i="1"/>
  <c r="C213" i="1"/>
  <c r="C214" i="1"/>
  <c r="C215" i="1"/>
  <c r="C216" i="1"/>
  <c r="C217" i="1"/>
  <c r="C218" i="1"/>
  <c r="C219" i="1"/>
  <c r="C220" i="1"/>
  <c r="C221" i="1"/>
  <c r="C222" i="1"/>
  <c r="C260" i="1"/>
  <c r="C261" i="1"/>
  <c r="C262" i="1"/>
  <c r="C263" i="1"/>
  <c r="C264" i="1"/>
  <c r="C265" i="1"/>
  <c r="C266" i="1"/>
  <c r="C267" i="1"/>
  <c r="C268" i="1"/>
  <c r="C269" i="1"/>
  <c r="B99" i="5"/>
  <c r="B98" i="5"/>
  <c r="B167" i="5"/>
  <c r="B168" i="5"/>
  <c r="B169" i="5"/>
  <c r="B145" i="5"/>
  <c r="B180" i="5"/>
  <c r="B179" i="5"/>
  <c r="B150" i="5"/>
  <c r="B149" i="5"/>
  <c r="B137" i="5"/>
  <c r="B5" i="5"/>
  <c r="B136" i="5"/>
  <c r="B135" i="5"/>
  <c r="B134" i="5"/>
  <c r="B133" i="5"/>
  <c r="B132" i="5"/>
  <c r="B131" i="5"/>
  <c r="B130" i="5"/>
  <c r="B90" i="5"/>
  <c r="B89" i="5"/>
  <c r="B138" i="5"/>
  <c r="B88" i="5"/>
  <c r="B93"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29" i="4"/>
  <c r="B25" i="4"/>
  <c r="B24" i="4"/>
  <c r="B23" i="4"/>
  <c r="B22" i="4"/>
  <c r="B21" i="4"/>
  <c r="B20" i="4"/>
  <c r="B19" i="4"/>
  <c r="B18" i="4"/>
  <c r="B17" i="4"/>
  <c r="B16" i="4"/>
  <c r="B15" i="4"/>
  <c r="B14" i="4"/>
  <c r="B13" i="4"/>
  <c r="B12" i="4"/>
  <c r="B11" i="4"/>
  <c r="B10" i="4"/>
  <c r="B9" i="4"/>
  <c r="B8" i="4"/>
  <c r="B7" i="4"/>
  <c r="B6" i="4"/>
  <c r="B5" i="4"/>
  <c r="B4" i="4"/>
  <c r="B332" i="29"/>
  <c r="B262" i="29"/>
  <c r="B323" i="29"/>
  <c r="B215" i="29"/>
  <c r="B214"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37" i="29"/>
  <c r="B36" i="29"/>
  <c r="B35" i="29"/>
  <c r="B34" i="29"/>
  <c r="B33" i="29"/>
  <c r="B32" i="29"/>
  <c r="B31" i="29"/>
  <c r="B30" i="29"/>
  <c r="B29" i="29"/>
  <c r="B28" i="29"/>
  <c r="B27" i="29"/>
  <c r="B26" i="29"/>
  <c r="B18" i="29"/>
  <c r="B17" i="29"/>
  <c r="B16" i="29"/>
  <c r="B15" i="29"/>
  <c r="B14" i="29"/>
  <c r="B13" i="29"/>
  <c r="B263" i="29"/>
  <c r="B176" i="2"/>
  <c r="B175" i="2"/>
  <c r="B174" i="2"/>
  <c r="B173" i="2"/>
  <c r="B172" i="2"/>
  <c r="B171" i="2"/>
  <c r="B170" i="2"/>
  <c r="B169" i="2"/>
  <c r="B168" i="2"/>
  <c r="B167" i="2"/>
  <c r="B166" i="2"/>
  <c r="B165" i="2"/>
  <c r="B142" i="2"/>
  <c r="B90" i="2"/>
  <c r="B143" i="2"/>
  <c r="B138" i="2"/>
  <c r="B95" i="2"/>
  <c r="B137" i="2"/>
  <c r="B136" i="2"/>
  <c r="B135" i="2"/>
  <c r="B134" i="2"/>
  <c r="B88" i="2"/>
  <c r="B87" i="2"/>
  <c r="B85"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269" i="1"/>
  <c r="B268" i="1"/>
  <c r="B267" i="1"/>
  <c r="B266" i="1"/>
  <c r="B265" i="1"/>
  <c r="B264" i="1"/>
  <c r="B263" i="1"/>
  <c r="B262" i="1"/>
  <c r="B221" i="1"/>
  <c r="B219" i="1"/>
  <c r="B218" i="1"/>
  <c r="B217" i="1"/>
  <c r="B216" i="1"/>
  <c r="B215" i="1"/>
  <c r="B214" i="1"/>
  <c r="B212" i="1"/>
  <c r="B211" i="1"/>
  <c r="B210" i="1"/>
  <c r="B157"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0" i="1"/>
  <c r="B8" i="1"/>
  <c r="K22" i="20"/>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
  <c r="H2" i="29"/>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1"/>
  <c r="H2" i="5"/>
  <c r="H2" i="4"/>
  <c r="K2" i="31" l="1"/>
  <c r="L2" i="31" s="1"/>
  <c r="I2" i="5"/>
  <c r="J2" i="5" s="1"/>
  <c r="K2" i="5" s="1"/>
  <c r="L2" i="5" s="1"/>
  <c r="I2" i="4"/>
  <c r="J2" i="4" s="1"/>
  <c r="K2" i="4" s="1"/>
  <c r="L2" i="4" s="1"/>
  <c r="I2" i="1"/>
  <c r="J2" i="1" s="1"/>
  <c r="K2" i="1" s="1"/>
  <c r="L2" i="1" s="1"/>
  <c r="I2" i="2"/>
  <c r="J2" i="2" l="1"/>
  <c r="K2" i="2" s="1"/>
  <c r="L2" i="2" s="1"/>
  <c r="G9" i="20" l="1"/>
  <c r="O4" i="20" l="1"/>
  <c r="O3" i="20"/>
  <c r="B3" i="20" s="1"/>
  <c r="T115" i="5" s="1"/>
  <c r="G2" i="29"/>
  <c r="G2" i="2"/>
  <c r="G2" i="5"/>
  <c r="G2" i="4"/>
  <c r="G2" i="1"/>
  <c r="G2" i="31"/>
  <c r="T247" i="1" l="1"/>
  <c r="T157" i="2"/>
  <c r="T248" i="1"/>
  <c r="T249" i="1"/>
  <c r="T178" i="5"/>
  <c r="T251" i="1"/>
  <c r="T250" i="1"/>
  <c r="T270" i="1"/>
  <c r="T252" i="1"/>
  <c r="T271" i="1"/>
  <c r="T246" i="1"/>
  <c r="T116" i="5"/>
  <c r="T176" i="5"/>
  <c r="T117" i="5"/>
  <c r="T177" i="5"/>
  <c r="T174" i="5"/>
  <c r="T125" i="2"/>
  <c r="T124" i="2"/>
  <c r="T201" i="1"/>
  <c r="T244" i="1"/>
  <c r="T114" i="5"/>
  <c r="T122" i="2"/>
  <c r="T173" i="5"/>
  <c r="T113" i="5"/>
  <c r="T123" i="2"/>
  <c r="T175" i="5"/>
  <c r="T112" i="5"/>
  <c r="T110" i="5"/>
  <c r="T121" i="2"/>
  <c r="T120" i="2"/>
  <c r="T109" i="5"/>
  <c r="T119" i="2"/>
  <c r="T118" i="2"/>
  <c r="T245" i="1"/>
  <c r="T171" i="5"/>
  <c r="T243" i="1"/>
  <c r="T202" i="1"/>
  <c r="T198" i="1"/>
  <c r="T170" i="5"/>
  <c r="T111" i="5"/>
  <c r="T108" i="5"/>
  <c r="T240" i="1"/>
  <c r="T117" i="2"/>
  <c r="T196" i="1"/>
  <c r="T241" i="1"/>
  <c r="T200" i="1"/>
  <c r="T197" i="1"/>
  <c r="T199" i="1"/>
  <c r="T165" i="5"/>
  <c r="T166" i="5"/>
  <c r="T105" i="5"/>
  <c r="T172" i="5"/>
  <c r="T194" i="1"/>
  <c r="T115" i="2"/>
  <c r="T107" i="5"/>
  <c r="T195" i="1"/>
  <c r="T192" i="1"/>
  <c r="T116" i="2"/>
  <c r="T103" i="5"/>
  <c r="T193" i="1"/>
  <c r="T178" i="2"/>
  <c r="T113" i="2"/>
  <c r="T114" i="2"/>
  <c r="T112" i="2"/>
  <c r="T190" i="1"/>
  <c r="T102" i="5"/>
  <c r="T100" i="5"/>
  <c r="T156" i="2"/>
  <c r="T101" i="5"/>
  <c r="T106" i="5"/>
  <c r="T253" i="1"/>
  <c r="T189" i="1"/>
  <c r="T104" i="5"/>
  <c r="T191" i="1"/>
  <c r="T26" i="4"/>
  <c r="T187" i="1"/>
  <c r="T185" i="1"/>
  <c r="T177" i="2"/>
  <c r="T188" i="1"/>
  <c r="T186" i="1"/>
  <c r="T111" i="2"/>
  <c r="T158" i="2"/>
  <c r="T118" i="5"/>
  <c r="T183" i="1"/>
  <c r="T181" i="1"/>
  <c r="T110" i="2"/>
  <c r="T109" i="2"/>
  <c r="T159" i="2"/>
  <c r="T180" i="1"/>
  <c r="T182" i="1"/>
  <c r="T179" i="1"/>
  <c r="T126" i="2"/>
  <c r="T155" i="2"/>
  <c r="T127" i="2"/>
  <c r="T154" i="2"/>
  <c r="T254" i="1"/>
  <c r="T178" i="1"/>
  <c r="T177" i="1"/>
  <c r="T184" i="1"/>
  <c r="T256" i="1"/>
  <c r="T108" i="2"/>
  <c r="T160" i="2"/>
  <c r="T162" i="5"/>
  <c r="T175" i="1"/>
  <c r="T176" i="1"/>
  <c r="T164" i="5"/>
  <c r="T107" i="2"/>
  <c r="T161" i="2"/>
  <c r="T161" i="5"/>
  <c r="T119" i="5"/>
  <c r="T6" i="2"/>
  <c r="T5" i="2"/>
  <c r="T257" i="1"/>
  <c r="T5" i="1"/>
  <c r="T120" i="5"/>
  <c r="T121" i="5"/>
  <c r="T163" i="5"/>
  <c r="T122" i="5"/>
  <c r="T238" i="1"/>
  <c r="T153" i="2"/>
  <c r="T239" i="1"/>
  <c r="T123" i="5"/>
  <c r="T160" i="5"/>
  <c r="T258" i="1"/>
  <c r="T152" i="2"/>
  <c r="T97" i="5"/>
  <c r="T128" i="2"/>
  <c r="T151" i="2"/>
  <c r="T150" i="2"/>
  <c r="T129" i="2"/>
  <c r="T255" i="1"/>
  <c r="T174" i="1"/>
  <c r="T4" i="5"/>
  <c r="T203" i="1"/>
  <c r="T130" i="2"/>
  <c r="T124" i="5"/>
  <c r="T106" i="2"/>
  <c r="T234" i="1"/>
  <c r="T242" i="1"/>
  <c r="T96" i="5"/>
  <c r="T27" i="4"/>
  <c r="T159" i="5"/>
  <c r="T95" i="5"/>
  <c r="T231" i="1"/>
  <c r="T259" i="1"/>
  <c r="T170" i="1"/>
  <c r="T232" i="1"/>
  <c r="T171" i="1"/>
  <c r="T236" i="1"/>
  <c r="T235" i="1"/>
  <c r="T204" i="1"/>
  <c r="T233" i="1"/>
  <c r="T182" i="5"/>
  <c r="T99" i="5"/>
  <c r="T237" i="1"/>
  <c r="T126" i="5"/>
  <c r="T125" i="5"/>
  <c r="T104" i="2"/>
  <c r="T230" i="1"/>
  <c r="T229" i="1"/>
  <c r="T162" i="2"/>
  <c r="T173" i="1"/>
  <c r="T105" i="2"/>
  <c r="T103" i="2"/>
  <c r="T169" i="1"/>
  <c r="T102" i="2"/>
  <c r="T6" i="1"/>
  <c r="T158" i="5"/>
  <c r="T4" i="1"/>
  <c r="T205" i="1"/>
  <c r="T228" i="1"/>
  <c r="T131" i="2"/>
  <c r="T101" i="2"/>
  <c r="T100" i="2"/>
  <c r="T152" i="5"/>
  <c r="T168" i="1"/>
  <c r="T155" i="5"/>
  <c r="T99" i="2"/>
  <c r="T7" i="2"/>
  <c r="T147" i="2"/>
  <c r="T148" i="2"/>
  <c r="T149" i="2"/>
  <c r="T206" i="1"/>
  <c r="T132" i="2"/>
  <c r="T91" i="5"/>
  <c r="T166" i="1"/>
  <c r="T140" i="5"/>
  <c r="T151" i="5"/>
  <c r="T92" i="5"/>
  <c r="T157" i="5"/>
  <c r="T154" i="5"/>
  <c r="T181" i="5"/>
  <c r="T156" i="5"/>
  <c r="T94" i="5"/>
  <c r="T4" i="2"/>
  <c r="T172" i="1"/>
  <c r="T227" i="1"/>
  <c r="T167" i="1"/>
  <c r="T146" i="2"/>
  <c r="T147" i="5"/>
  <c r="T144" i="5"/>
  <c r="T127" i="5"/>
  <c r="T97" i="2"/>
  <c r="T28" i="4"/>
  <c r="T224" i="1"/>
  <c r="T145" i="2"/>
  <c r="T98" i="2"/>
  <c r="T163" i="2"/>
  <c r="T207" i="1"/>
  <c r="T226" i="1"/>
  <c r="T225" i="1"/>
  <c r="T7" i="1"/>
  <c r="T4" i="4"/>
  <c r="T5" i="5"/>
  <c r="T10" i="2"/>
  <c r="T18" i="2"/>
  <c r="T26" i="2"/>
  <c r="T34" i="2"/>
  <c r="T42" i="2"/>
  <c r="T50" i="2"/>
  <c r="T58" i="2"/>
  <c r="T66" i="2"/>
  <c r="T74" i="2"/>
  <c r="T82" i="2"/>
  <c r="T90" i="2"/>
  <c r="T135" i="2"/>
  <c r="T142" i="2"/>
  <c r="T169" i="2"/>
  <c r="T11" i="2"/>
  <c r="T19" i="2"/>
  <c r="T27" i="2"/>
  <c r="T35" i="2"/>
  <c r="T43" i="2"/>
  <c r="T51" i="2"/>
  <c r="T59" i="2"/>
  <c r="T67" i="2"/>
  <c r="T75" i="2"/>
  <c r="T83" i="2"/>
  <c r="T91" i="2"/>
  <c r="T136" i="2"/>
  <c r="T143" i="2"/>
  <c r="T170" i="2"/>
  <c r="T164" i="2"/>
  <c r="T16" i="2"/>
  <c r="T32" i="2"/>
  <c r="T48" i="2"/>
  <c r="T64" i="2"/>
  <c r="T88" i="2"/>
  <c r="T167" i="2"/>
  <c r="T9" i="2"/>
  <c r="T41" i="2"/>
  <c r="T65" i="2"/>
  <c r="T134" i="2"/>
  <c r="T176" i="2"/>
  <c r="T12" i="2"/>
  <c r="T20" i="2"/>
  <c r="T28" i="2"/>
  <c r="T36" i="2"/>
  <c r="T44" i="2"/>
  <c r="T52" i="2"/>
  <c r="T60" i="2"/>
  <c r="T68" i="2"/>
  <c r="T76" i="2"/>
  <c r="T84" i="2"/>
  <c r="T92" i="2"/>
  <c r="T137" i="2"/>
  <c r="T144" i="2"/>
  <c r="T171" i="2"/>
  <c r="T13" i="2"/>
  <c r="T21" i="2"/>
  <c r="T29" i="2"/>
  <c r="T37" i="2"/>
  <c r="T45" i="2"/>
  <c r="T53" i="2"/>
  <c r="T61" i="2"/>
  <c r="T69" i="2"/>
  <c r="T77" i="2"/>
  <c r="T85" i="2"/>
  <c r="T93" i="2"/>
  <c r="T95" i="2"/>
  <c r="T172" i="2"/>
  <c r="T24" i="2"/>
  <c r="T72" i="2"/>
  <c r="T140" i="2"/>
  <c r="T25" i="2"/>
  <c r="T57" i="2"/>
  <c r="T81" i="2"/>
  <c r="T89" i="2"/>
  <c r="T168" i="2"/>
  <c r="T14" i="2"/>
  <c r="T22" i="2"/>
  <c r="T30" i="2"/>
  <c r="T38" i="2"/>
  <c r="T46" i="2"/>
  <c r="T54" i="2"/>
  <c r="T62" i="2"/>
  <c r="T70" i="2"/>
  <c r="T78" i="2"/>
  <c r="T86" i="2"/>
  <c r="T94" i="2"/>
  <c r="T138" i="2"/>
  <c r="T165" i="2"/>
  <c r="T173" i="2"/>
  <c r="T15" i="2"/>
  <c r="T23" i="2"/>
  <c r="T31" i="2"/>
  <c r="T39" i="2"/>
  <c r="T47" i="2"/>
  <c r="T55" i="2"/>
  <c r="T63" i="2"/>
  <c r="T71" i="2"/>
  <c r="T79" i="2"/>
  <c r="T87" i="2"/>
  <c r="T96" i="2"/>
  <c r="T139" i="2"/>
  <c r="T166" i="2"/>
  <c r="T174" i="2"/>
  <c r="T8" i="2"/>
  <c r="T40" i="2"/>
  <c r="T56" i="2"/>
  <c r="T80" i="2"/>
  <c r="T133" i="2"/>
  <c r="T175" i="2"/>
  <c r="T17" i="2"/>
  <c r="T33" i="2"/>
  <c r="T49" i="2"/>
  <c r="T73" i="2"/>
  <c r="T141" i="2"/>
  <c r="T143" i="5"/>
  <c r="T141" i="5"/>
  <c r="T142" i="5"/>
  <c r="T163" i="1"/>
  <c r="T165" i="1"/>
  <c r="T164" i="1"/>
  <c r="T223" i="1"/>
  <c r="T139" i="5"/>
  <c r="T208" i="1"/>
  <c r="T153" i="5"/>
  <c r="T146" i="5"/>
  <c r="T209" i="1"/>
  <c r="T128" i="5"/>
  <c r="T7" i="5"/>
  <c r="T15" i="5"/>
  <c r="T23" i="5"/>
  <c r="T31" i="5"/>
  <c r="T39" i="5"/>
  <c r="T47" i="5"/>
  <c r="T55" i="5"/>
  <c r="T63" i="5"/>
  <c r="T71" i="5"/>
  <c r="T79" i="5"/>
  <c r="T87" i="5"/>
  <c r="T131" i="5"/>
  <c r="T137" i="5"/>
  <c r="T167" i="5"/>
  <c r="T10" i="5"/>
  <c r="T34" i="5"/>
  <c r="T50" i="5"/>
  <c r="T66" i="5"/>
  <c r="T82" i="5"/>
  <c r="T89" i="5"/>
  <c r="T179" i="5"/>
  <c r="T22" i="5"/>
  <c r="T8" i="5"/>
  <c r="T16" i="5"/>
  <c r="T24" i="5"/>
  <c r="T32" i="5"/>
  <c r="T40" i="5"/>
  <c r="T48" i="5"/>
  <c r="T56" i="5"/>
  <c r="T64" i="5"/>
  <c r="T72" i="5"/>
  <c r="T80" i="5"/>
  <c r="T93" i="5"/>
  <c r="T132" i="5"/>
  <c r="T149" i="5"/>
  <c r="T98" i="5"/>
  <c r="T18" i="5"/>
  <c r="T42" i="5"/>
  <c r="T58" i="5"/>
  <c r="T74" i="5"/>
  <c r="T134" i="5"/>
  <c r="T30" i="5"/>
  <c r="T9" i="5"/>
  <c r="T17" i="5"/>
  <c r="T25" i="5"/>
  <c r="T33" i="5"/>
  <c r="T41" i="5"/>
  <c r="T49" i="5"/>
  <c r="T57" i="5"/>
  <c r="T65" i="5"/>
  <c r="T73" i="5"/>
  <c r="T81" i="5"/>
  <c r="T88" i="5"/>
  <c r="T133" i="5"/>
  <c r="T150" i="5"/>
  <c r="T26" i="5"/>
  <c r="T38" i="5"/>
  <c r="T11" i="5"/>
  <c r="T19" i="5"/>
  <c r="T27" i="5"/>
  <c r="T35" i="5"/>
  <c r="T43" i="5"/>
  <c r="T51" i="5"/>
  <c r="T59" i="5"/>
  <c r="T67" i="5"/>
  <c r="T75" i="5"/>
  <c r="T83" i="5"/>
  <c r="T90" i="5"/>
  <c r="T135" i="5"/>
  <c r="T180" i="5"/>
  <c r="T21" i="5"/>
  <c r="T29" i="5"/>
  <c r="T45" i="5"/>
  <c r="T61" i="5"/>
  <c r="T77" i="5"/>
  <c r="T129" i="5"/>
  <c r="T169" i="5"/>
  <c r="T6" i="5"/>
  <c r="T54" i="5"/>
  <c r="T70" i="5"/>
  <c r="T86" i="5"/>
  <c r="T130" i="5"/>
  <c r="T168" i="5"/>
  <c r="T12" i="5"/>
  <c r="T20" i="5"/>
  <c r="T28" i="5"/>
  <c r="T36" i="5"/>
  <c r="T44" i="5"/>
  <c r="T52" i="5"/>
  <c r="T60" i="5"/>
  <c r="T68" i="5"/>
  <c r="T76" i="5"/>
  <c r="T84" i="5"/>
  <c r="T138" i="5"/>
  <c r="T148" i="5"/>
  <c r="T145" i="5"/>
  <c r="T13" i="5"/>
  <c r="T37" i="5"/>
  <c r="T53" i="5"/>
  <c r="T69" i="5"/>
  <c r="T85" i="5"/>
  <c r="T136" i="5"/>
  <c r="T14" i="5"/>
  <c r="T46" i="5"/>
  <c r="T62" i="5"/>
  <c r="T78" i="5"/>
  <c r="T12" i="4"/>
  <c r="T20" i="4"/>
  <c r="T5" i="4"/>
  <c r="T13" i="4"/>
  <c r="T21" i="4"/>
  <c r="T6" i="4"/>
  <c r="T14" i="4"/>
  <c r="T22" i="4"/>
  <c r="T7" i="4"/>
  <c r="T15" i="4"/>
  <c r="T23" i="4"/>
  <c r="T8" i="4"/>
  <c r="T16" i="4"/>
  <c r="T24" i="4"/>
  <c r="T9" i="4"/>
  <c r="T17" i="4"/>
  <c r="T25" i="4"/>
  <c r="T19" i="4"/>
  <c r="T10" i="4"/>
  <c r="T18" i="4"/>
  <c r="T29" i="4"/>
  <c r="T11" i="4"/>
  <c r="T8" i="1"/>
  <c r="T16" i="1"/>
  <c r="T24" i="1"/>
  <c r="T32" i="1"/>
  <c r="T40" i="1"/>
  <c r="T48" i="1"/>
  <c r="T56" i="1"/>
  <c r="T64" i="1"/>
  <c r="T72" i="1"/>
  <c r="T80" i="1"/>
  <c r="T88" i="1"/>
  <c r="T96" i="1"/>
  <c r="T104" i="1"/>
  <c r="T112" i="1"/>
  <c r="T120" i="1"/>
  <c r="T128" i="1"/>
  <c r="T136" i="1"/>
  <c r="T144" i="1"/>
  <c r="T152" i="1"/>
  <c r="T160" i="1"/>
  <c r="T215" i="1"/>
  <c r="T222" i="1"/>
  <c r="T267" i="1"/>
  <c r="T45" i="1"/>
  <c r="T61" i="1"/>
  <c r="T85" i="1"/>
  <c r="T109" i="1"/>
  <c r="T133" i="1"/>
  <c r="T157" i="1"/>
  <c r="T9" i="1"/>
  <c r="T17" i="1"/>
  <c r="T25" i="1"/>
  <c r="T33" i="1"/>
  <c r="T41" i="1"/>
  <c r="T49" i="1"/>
  <c r="T57" i="1"/>
  <c r="T65" i="1"/>
  <c r="T73" i="1"/>
  <c r="T81" i="1"/>
  <c r="T89" i="1"/>
  <c r="T97" i="1"/>
  <c r="T105" i="1"/>
  <c r="T113" i="1"/>
  <c r="T121" i="1"/>
  <c r="T129" i="1"/>
  <c r="T137" i="1"/>
  <c r="T145" i="1"/>
  <c r="T153" i="1"/>
  <c r="T161" i="1"/>
  <c r="T216" i="1"/>
  <c r="T260" i="1"/>
  <c r="T268" i="1"/>
  <c r="T37" i="1"/>
  <c r="T53" i="1"/>
  <c r="T77" i="1"/>
  <c r="T101" i="1"/>
  <c r="T125" i="1"/>
  <c r="T149" i="1"/>
  <c r="T220" i="1"/>
  <c r="T10" i="1"/>
  <c r="T18" i="1"/>
  <c r="T26" i="1"/>
  <c r="T34" i="1"/>
  <c r="T42" i="1"/>
  <c r="T50" i="1"/>
  <c r="T58" i="1"/>
  <c r="T66" i="1"/>
  <c r="T74" i="1"/>
  <c r="T82" i="1"/>
  <c r="T90" i="1"/>
  <c r="T98" i="1"/>
  <c r="T106" i="1"/>
  <c r="T114" i="1"/>
  <c r="T122" i="1"/>
  <c r="T130" i="1"/>
  <c r="T138" i="1"/>
  <c r="T146" i="1"/>
  <c r="T154" i="1"/>
  <c r="T162" i="1"/>
  <c r="T217" i="1"/>
  <c r="T261" i="1"/>
  <c r="T269" i="1"/>
  <c r="T29" i="1"/>
  <c r="T11" i="1"/>
  <c r="T19" i="1"/>
  <c r="T27" i="1"/>
  <c r="T35" i="1"/>
  <c r="T43" i="1"/>
  <c r="T51" i="1"/>
  <c r="T59" i="1"/>
  <c r="T67" i="1"/>
  <c r="T75" i="1"/>
  <c r="T83" i="1"/>
  <c r="T91" i="1"/>
  <c r="T99" i="1"/>
  <c r="T107" i="1"/>
  <c r="T115" i="1"/>
  <c r="T123" i="1"/>
  <c r="T131" i="1"/>
  <c r="T139" i="1"/>
  <c r="T147" i="1"/>
  <c r="T155" i="1"/>
  <c r="T210" i="1"/>
  <c r="T218" i="1"/>
  <c r="T262" i="1"/>
  <c r="T21" i="1"/>
  <c r="T69" i="1"/>
  <c r="T93" i="1"/>
  <c r="T117" i="1"/>
  <c r="T141" i="1"/>
  <c r="T212" i="1"/>
  <c r="T264" i="1"/>
  <c r="T12" i="1"/>
  <c r="T20" i="1"/>
  <c r="T28" i="1"/>
  <c r="T36" i="1"/>
  <c r="T44" i="1"/>
  <c r="T52" i="1"/>
  <c r="T60" i="1"/>
  <c r="T68" i="1"/>
  <c r="T76" i="1"/>
  <c r="T84" i="1"/>
  <c r="T92" i="1"/>
  <c r="T100" i="1"/>
  <c r="T108" i="1"/>
  <c r="T116" i="1"/>
  <c r="T124" i="1"/>
  <c r="T132" i="1"/>
  <c r="T140" i="1"/>
  <c r="T148" i="1"/>
  <c r="T156" i="1"/>
  <c r="T211" i="1"/>
  <c r="T219" i="1"/>
  <c r="T263" i="1"/>
  <c r="T13" i="1"/>
  <c r="T14" i="1"/>
  <c r="T22" i="1"/>
  <c r="T30" i="1"/>
  <c r="T38" i="1"/>
  <c r="T46" i="1"/>
  <c r="T54" i="1"/>
  <c r="T62" i="1"/>
  <c r="T70" i="1"/>
  <c r="T78" i="1"/>
  <c r="T86" i="1"/>
  <c r="T94" i="1"/>
  <c r="T102" i="1"/>
  <c r="T110" i="1"/>
  <c r="T118" i="1"/>
  <c r="T126" i="1"/>
  <c r="T134" i="1"/>
  <c r="T142" i="1"/>
  <c r="T150" i="1"/>
  <c r="T158" i="1"/>
  <c r="T213" i="1"/>
  <c r="T221" i="1"/>
  <c r="T265" i="1"/>
  <c r="T15" i="1"/>
  <c r="T23" i="1"/>
  <c r="T31" i="1"/>
  <c r="T39" i="1"/>
  <c r="T47" i="1"/>
  <c r="T55" i="1"/>
  <c r="T63" i="1"/>
  <c r="T71" i="1"/>
  <c r="T79" i="1"/>
  <c r="T87" i="1"/>
  <c r="T95" i="1"/>
  <c r="T103" i="1"/>
  <c r="T111" i="1"/>
  <c r="T119" i="1"/>
  <c r="T127" i="1"/>
  <c r="T135" i="1"/>
  <c r="T143" i="1"/>
  <c r="T151" i="1"/>
  <c r="T159" i="1"/>
  <c r="T214" i="1"/>
  <c r="T266" i="1"/>
  <c r="G19" i="20"/>
  <c r="G29" i="20"/>
  <c r="F2" i="31" l="1"/>
  <c r="F2" i="5" l="1"/>
  <c r="F2" i="4"/>
  <c r="F2" i="2"/>
  <c r="F2" i="1"/>
  <c r="F2" i="29" l="1"/>
  <c r="N2" i="20"/>
  <c r="K19" i="20" l="1"/>
  <c r="K9" i="20"/>
  <c r="I2" i="29"/>
  <c r="J2" i="29" l="1"/>
  <c r="K2" i="29" l="1"/>
  <c r="L2" i="29" l="1"/>
  <c r="O2" i="20"/>
  <c r="T376" i="29" l="1"/>
  <c r="T371" i="29"/>
  <c r="T369" i="29"/>
  <c r="T368" i="29"/>
  <c r="T377" i="29"/>
  <c r="T311" i="29"/>
  <c r="T370" i="29"/>
  <c r="T363" i="29"/>
  <c r="T373" i="29"/>
  <c r="T367" i="29"/>
  <c r="T365" i="29"/>
  <c r="T310" i="29"/>
  <c r="T4" i="29"/>
  <c r="T381" i="29"/>
  <c r="T366" i="29"/>
  <c r="T358" i="29"/>
  <c r="T307" i="29"/>
  <c r="T360" i="29"/>
  <c r="T361" i="29"/>
  <c r="T362" i="29"/>
  <c r="T357" i="29"/>
  <c r="T364" i="29"/>
  <c r="T309" i="29"/>
  <c r="T379" i="29"/>
  <c r="T378" i="29"/>
  <c r="T359" i="29"/>
  <c r="T356" i="29"/>
  <c r="T382" i="29"/>
  <c r="T305" i="29"/>
  <c r="T306" i="29"/>
  <c r="T355" i="29"/>
  <c r="T374" i="29"/>
  <c r="T308" i="29"/>
  <c r="T353" i="29"/>
  <c r="T302" i="29"/>
  <c r="T304" i="29"/>
  <c r="T354" i="29"/>
  <c r="T375" i="29"/>
  <c r="T384" i="29"/>
  <c r="T312" i="29"/>
  <c r="T303" i="29"/>
  <c r="T301" i="29"/>
  <c r="T383" i="29"/>
  <c r="T347" i="29"/>
  <c r="T345" i="29"/>
  <c r="T298" i="29"/>
  <c r="T349" i="29"/>
  <c r="T350" i="29"/>
  <c r="T313" i="29"/>
  <c r="T344" i="29"/>
  <c r="T346" i="29"/>
  <c r="T294" i="29"/>
  <c r="T297" i="29"/>
  <c r="T299" i="29"/>
  <c r="T300" i="29"/>
  <c r="T339" i="29"/>
  <c r="T380" i="29"/>
  <c r="T351" i="29"/>
  <c r="T342" i="29"/>
  <c r="T7" i="29"/>
  <c r="T338" i="29"/>
  <c r="T336" i="29"/>
  <c r="T340" i="29"/>
  <c r="T385" i="29"/>
  <c r="T343" i="29"/>
  <c r="T295" i="29"/>
  <c r="T6" i="29"/>
  <c r="T8" i="29"/>
  <c r="T341" i="29"/>
  <c r="T9" i="29"/>
  <c r="T337" i="29"/>
  <c r="T293" i="29"/>
  <c r="T292" i="29"/>
  <c r="T291" i="29"/>
  <c r="T443" i="29"/>
  <c r="T296" i="29"/>
  <c r="T386" i="29"/>
  <c r="T372" i="29"/>
  <c r="T335" i="29"/>
  <c r="T315" i="29"/>
  <c r="T5" i="29"/>
  <c r="T314" i="29"/>
  <c r="T10" i="29"/>
  <c r="T286" i="29"/>
  <c r="T387" i="29"/>
  <c r="T284" i="29"/>
  <c r="T334" i="29"/>
  <c r="T285" i="29"/>
  <c r="T288" i="29"/>
  <c r="T280" i="29"/>
  <c r="T330" i="29"/>
  <c r="T278" i="29"/>
  <c r="T279" i="29"/>
  <c r="T282" i="29"/>
  <c r="T287" i="29"/>
  <c r="T267" i="29"/>
  <c r="T333" i="29"/>
  <c r="T328" i="29"/>
  <c r="T348" i="29"/>
  <c r="T329" i="29"/>
  <c r="T281" i="29"/>
  <c r="T331" i="29"/>
  <c r="T352" i="29"/>
  <c r="T271" i="29"/>
  <c r="T272" i="29"/>
  <c r="T389" i="29"/>
  <c r="T283" i="29"/>
  <c r="T289" i="29"/>
  <c r="T274" i="29"/>
  <c r="T273" i="29"/>
  <c r="T391" i="29"/>
  <c r="T270" i="29"/>
  <c r="T277" i="29"/>
  <c r="T268" i="29"/>
  <c r="T290" i="29"/>
  <c r="T441" i="29"/>
  <c r="T392" i="29"/>
  <c r="T261" i="29"/>
  <c r="T327" i="29"/>
  <c r="T269" i="29"/>
  <c r="T11" i="29"/>
  <c r="T316" i="29"/>
  <c r="T326" i="29"/>
  <c r="T259" i="29"/>
  <c r="T260" i="29"/>
  <c r="T442" i="29"/>
  <c r="T265" i="29"/>
  <c r="T266" i="29"/>
  <c r="T13" i="29"/>
  <c r="T81" i="29"/>
  <c r="T52" i="29"/>
  <c r="T149" i="29"/>
  <c r="T91" i="29"/>
  <c r="T422" i="29"/>
  <c r="T21" i="29"/>
  <c r="T188" i="29"/>
  <c r="T40" i="29"/>
  <c r="T435" i="29"/>
  <c r="T45" i="29"/>
  <c r="T53" i="29"/>
  <c r="T140" i="29"/>
  <c r="T42" i="29"/>
  <c r="T408" i="29"/>
  <c r="T167" i="29"/>
  <c r="T423" i="29"/>
  <c r="T160" i="29"/>
  <c r="T136" i="29"/>
  <c r="T434" i="29"/>
  <c r="T406" i="29"/>
  <c r="T251" i="29"/>
  <c r="T318" i="29"/>
  <c r="T30" i="29"/>
  <c r="T113" i="29"/>
  <c r="T71" i="29"/>
  <c r="T202" i="29"/>
  <c r="T58" i="29"/>
  <c r="T94" i="29"/>
  <c r="T177" i="29"/>
  <c r="T201" i="29"/>
  <c r="T411" i="29"/>
  <c r="T211" i="29"/>
  <c r="T394" i="29"/>
  <c r="T210" i="29"/>
  <c r="T106" i="29"/>
  <c r="T50" i="29"/>
  <c r="T32" i="29"/>
  <c r="T38" i="29"/>
  <c r="T239" i="29"/>
  <c r="T243" i="29"/>
  <c r="T23" i="29"/>
  <c r="T96" i="29"/>
  <c r="T47" i="29"/>
  <c r="T135" i="29"/>
  <c r="T221" i="29"/>
  <c r="T152" i="29"/>
  <c r="T35" i="29"/>
  <c r="T256" i="29"/>
  <c r="T78" i="29"/>
  <c r="T28" i="29"/>
  <c r="T428" i="29"/>
  <c r="T68" i="29"/>
  <c r="T157" i="29"/>
  <c r="T430" i="29"/>
  <c r="T125" i="29"/>
  <c r="T148" i="29"/>
  <c r="T114" i="29"/>
  <c r="T89" i="29"/>
  <c r="T173" i="29"/>
  <c r="T17" i="29"/>
  <c r="T212" i="29"/>
  <c r="T172" i="29"/>
  <c r="T34" i="29"/>
  <c r="T174" i="29"/>
  <c r="T438" i="29"/>
  <c r="T133" i="29"/>
  <c r="T402" i="29"/>
  <c r="T165" i="29"/>
  <c r="T139" i="29"/>
  <c r="T197" i="29"/>
  <c r="T179" i="29"/>
  <c r="T126" i="29"/>
  <c r="T43" i="29"/>
  <c r="T90" i="29"/>
  <c r="T218" i="29"/>
  <c r="T178" i="29"/>
  <c r="T216" i="29"/>
  <c r="T393" i="29"/>
  <c r="T390" i="29"/>
  <c r="T169" i="29"/>
  <c r="T129" i="29"/>
  <c r="T87" i="29"/>
  <c r="T195" i="29"/>
  <c r="T198" i="29"/>
  <c r="T397" i="29"/>
  <c r="T29" i="29"/>
  <c r="T119" i="29"/>
  <c r="T207" i="29"/>
  <c r="T229" i="29"/>
  <c r="T153" i="29"/>
  <c r="T231" i="29"/>
  <c r="T99" i="29"/>
  <c r="T214" i="29"/>
  <c r="T88" i="29"/>
  <c r="T145" i="29"/>
  <c r="T75" i="29"/>
  <c r="T409" i="29"/>
  <c r="T127" i="29"/>
  <c r="T33" i="29"/>
  <c r="T404" i="29"/>
  <c r="T37" i="29"/>
  <c r="T144" i="29"/>
  <c r="T158" i="29"/>
  <c r="T241" i="29"/>
  <c r="T425" i="29"/>
  <c r="T257" i="29"/>
  <c r="T187" i="29"/>
  <c r="T48" i="29"/>
  <c r="T98" i="29"/>
  <c r="T209" i="29"/>
  <c r="T205" i="29"/>
  <c r="T31" i="29"/>
  <c r="T55" i="29"/>
  <c r="T433" i="29"/>
  <c r="T258" i="29"/>
  <c r="T26" i="29"/>
  <c r="T228" i="29"/>
  <c r="T162" i="29"/>
  <c r="T320" i="29"/>
  <c r="T180" i="29"/>
  <c r="T161" i="29"/>
  <c r="T439" i="29"/>
  <c r="T56" i="29"/>
  <c r="T429" i="29"/>
  <c r="T191" i="29"/>
  <c r="T70" i="29"/>
  <c r="T192" i="29"/>
  <c r="T92" i="29"/>
  <c r="T186" i="29"/>
  <c r="T234" i="29"/>
  <c r="T131" i="29"/>
  <c r="T156" i="29"/>
  <c r="T57" i="29"/>
  <c r="T143" i="29"/>
  <c r="T20" i="29"/>
  <c r="T232" i="29"/>
  <c r="T121" i="29"/>
  <c r="T413" i="29"/>
  <c r="T418" i="29"/>
  <c r="T61" i="29"/>
  <c r="T147" i="29"/>
  <c r="T396" i="29"/>
  <c r="T427" i="29"/>
  <c r="T182" i="29"/>
  <c r="T155" i="29"/>
  <c r="T184" i="29"/>
  <c r="T410" i="29"/>
  <c r="T403" i="29"/>
  <c r="T101" i="29"/>
  <c r="T255" i="29"/>
  <c r="T204" i="29"/>
  <c r="T100" i="29"/>
  <c r="T22" i="29"/>
  <c r="T166" i="29"/>
  <c r="T249" i="29"/>
  <c r="T124" i="29"/>
  <c r="T151" i="29"/>
  <c r="T226" i="29"/>
  <c r="T250" i="29"/>
  <c r="T262" i="29"/>
  <c r="T322" i="29"/>
  <c r="T163" i="29"/>
  <c r="T54" i="29"/>
  <c r="T321" i="29"/>
  <c r="T82" i="29"/>
  <c r="T116" i="29"/>
  <c r="T18" i="29"/>
  <c r="T95" i="29"/>
  <c r="T170" i="29"/>
  <c r="T398" i="29"/>
  <c r="T196" i="29"/>
  <c r="T159" i="29"/>
  <c r="T248" i="29"/>
  <c r="T253" i="29"/>
  <c r="T395" i="29"/>
  <c r="T240" i="29"/>
  <c r="T86" i="29"/>
  <c r="T199" i="29"/>
  <c r="T41" i="29"/>
  <c r="T79" i="29"/>
  <c r="T223" i="29"/>
  <c r="T415" i="29"/>
  <c r="T142" i="29"/>
  <c r="T72" i="29"/>
  <c r="T73" i="29"/>
  <c r="T388" i="29"/>
  <c r="T401" i="29"/>
  <c r="T254" i="29"/>
  <c r="T416" i="29"/>
  <c r="T208" i="29"/>
  <c r="T104" i="29"/>
  <c r="T217" i="29"/>
  <c r="T426" i="29"/>
  <c r="T66" i="29"/>
  <c r="T233" i="29"/>
  <c r="T236" i="29"/>
  <c r="T19" i="29"/>
  <c r="T246" i="29"/>
  <c r="T227" i="29"/>
  <c r="T332" i="29"/>
  <c r="T64" i="29"/>
  <c r="T252" i="29"/>
  <c r="T74" i="29"/>
  <c r="T432" i="29"/>
  <c r="T247" i="29"/>
  <c r="T263" i="29"/>
  <c r="T154" i="29"/>
  <c r="T137" i="29"/>
  <c r="T77" i="29"/>
  <c r="T103" i="29"/>
  <c r="T242" i="29"/>
  <c r="T76" i="29"/>
  <c r="T122" i="29"/>
  <c r="T176" i="29"/>
  <c r="T46" i="29"/>
  <c r="T193" i="29"/>
  <c r="T440" i="29"/>
  <c r="T44" i="29"/>
  <c r="T436" i="29"/>
  <c r="T206" i="29"/>
  <c r="T107" i="29"/>
  <c r="T117" i="29"/>
  <c r="T324" i="29"/>
  <c r="T49" i="29"/>
  <c r="T168" i="29"/>
  <c r="T420" i="29"/>
  <c r="T181" i="29"/>
  <c r="T323" i="29"/>
  <c r="T224" i="29"/>
  <c r="T15" i="29"/>
  <c r="T219" i="29"/>
  <c r="T118" i="29"/>
  <c r="T27" i="29"/>
  <c r="T97" i="29"/>
  <c r="T112" i="29"/>
  <c r="T123" i="29"/>
  <c r="T189" i="29"/>
  <c r="T230" i="29"/>
  <c r="T67" i="29"/>
  <c r="T134" i="29"/>
  <c r="T24" i="29"/>
  <c r="T108" i="29"/>
  <c r="T60" i="29"/>
  <c r="T325" i="29"/>
  <c r="T80" i="29"/>
  <c r="T317" i="29"/>
  <c r="T237" i="29"/>
  <c r="T400" i="29"/>
  <c r="T225" i="29"/>
  <c r="T164" i="29"/>
  <c r="T264" i="29"/>
  <c r="T238" i="29"/>
  <c r="T83" i="29"/>
  <c r="T275" i="29"/>
  <c r="T85" i="29"/>
  <c r="T111" i="29"/>
  <c r="T431" i="29"/>
  <c r="T84" i="29"/>
  <c r="T16" i="29"/>
  <c r="T424" i="29"/>
  <c r="T175" i="29"/>
  <c r="T115" i="29"/>
  <c r="T146" i="29"/>
  <c r="T65" i="29"/>
  <c r="T141" i="29"/>
  <c r="T414" i="29"/>
  <c r="T417" i="29"/>
  <c r="T69" i="29"/>
  <c r="T213" i="29"/>
  <c r="T93" i="29"/>
  <c r="T183" i="29"/>
  <c r="T130" i="29"/>
  <c r="T102" i="29"/>
  <c r="T185" i="29"/>
  <c r="T276" i="29"/>
  <c r="T419" i="29"/>
  <c r="T235" i="29"/>
  <c r="T190" i="29"/>
  <c r="T171" i="29"/>
  <c r="T105" i="29"/>
  <c r="T405" i="29"/>
  <c r="T412" i="29"/>
  <c r="T109" i="29"/>
  <c r="T319" i="29"/>
  <c r="T200" i="29"/>
  <c r="T120" i="29"/>
  <c r="T203" i="29"/>
  <c r="T110" i="29"/>
  <c r="T128" i="29"/>
  <c r="T132" i="29"/>
  <c r="T399" i="29"/>
  <c r="T12" i="29"/>
  <c r="T59" i="29"/>
  <c r="T138" i="29"/>
  <c r="T222" i="29"/>
  <c r="T51" i="29"/>
  <c r="T62" i="29"/>
  <c r="T150" i="29"/>
  <c r="T36" i="29"/>
  <c r="T437" i="29"/>
  <c r="T14" i="29"/>
  <c r="T39" i="29"/>
  <c r="T63" i="29"/>
  <c r="T421" i="29"/>
  <c r="T215" i="29"/>
  <c r="T407" i="29"/>
  <c r="T245" i="29"/>
  <c r="T25" i="29"/>
  <c r="T220" i="29"/>
  <c r="T244" i="29"/>
  <c r="T194"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6"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<sst xmlns="http://schemas.openxmlformats.org/spreadsheetml/2006/main" count="17134" uniqueCount="3159">
  <si>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</si>
  <si>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</si>
  <si>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</si>
  <si>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</si>
  <si>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</si>
  <si>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</si>
  <si>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</si>
  <si>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</si>
  <si>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</si>
  <si>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</si>
  <si>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</si>
  <si>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</si>
  <si>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</si>
  <si>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</si>
  <si>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</si>
  <si>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</si>
  <si>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</si>
  <si>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</si>
  <si>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</si>
  <si>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</si>
  <si>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</si>
  <si>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</si>
  <si>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</si>
  <si>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</si>
  <si>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</si>
  <si>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</si>
  <si>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</si>
  <si>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</si>
  <si>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</si>
  <si>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</si>
  <si>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</si>
  <si>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</si>
  <si>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</si>
  <si>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</si>
  <si>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</si>
  <si>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</si>
  <si>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</si>
  <si>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</si>
  <si>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</si>
  <si>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</si>
  <si>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</si>
  <si>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</si>
  <si>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</si>
  <si>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</si>
  <si>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</si>
  <si>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</si>
  <si>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</si>
  <si>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</si>
  <si>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</si>
  <si>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</si>
  <si>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</si>
  <si>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</si>
  <si>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</si>
  <si>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</si>
  <si>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</si>
  <si>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</si>
  <si>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</si>
  <si>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</si>
  <si>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</si>
  <si>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</si>
  <si>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</si>
  <si>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</si>
  <si>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</si>
  <si>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</si>
  <si>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</si>
  <si>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</si>
  <si>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</si>
  <si>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</si>
  <si>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</si>
  <si>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</si>
  <si>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</si>
  <si>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</si>
  <si>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</si>
  <si>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</si>
  <si>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</si>
  <si>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</si>
  <si>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</si>
  <si>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</si>
  <si>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</si>
  <si>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</si>
  <si>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</si>
  <si>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</si>
  <si>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</si>
  <si>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</si>
  <si>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</si>
  <si>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</si>
  <si>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</si>
  <si>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</si>
  <si>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</si>
  <si>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</si>
  <si>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</si>
  <si>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</si>
  <si>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</si>
  <si>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</si>
  <si>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</si>
  <si>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</si>
  <si>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</si>
  <si>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</si>
  <si>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</si>
  <si>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</si>
  <si>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</si>
  <si>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</si>
  <si>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</si>
  <si>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</si>
  <si>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</si>
  <si>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</si>
  <si>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</si>
  <si>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</si>
  <si>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</si>
  <si>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</si>
  <si>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</si>
  <si>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</si>
  <si>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</si>
  <si>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</si>
  <si>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</si>
  <si>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</si>
  <si>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</si>
  <si>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</si>
  <si>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</si>
  <si>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</si>
  <si>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</si>
  <si>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</si>
  <si>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</si>
  <si>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</si>
  <si>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</si>
  <si>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</si>
  <si>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</si>
  <si>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</si>
  <si>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</si>
  <si>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</si>
  <si>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</si>
  <si>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</si>
  <si>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</si>
  <si>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</si>
  <si>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</si>
  <si>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</si>
  <si>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</si>
  <si>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</si>
  <si>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</si>
  <si>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</si>
  <si>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</si>
  <si>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</si>
  <si>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</si>
  <si>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</si>
  <si>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</si>
  <si>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</si>
  <si>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</si>
  <si>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</si>
  <si>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</si>
  <si>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</si>
  <si>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</si>
  <si>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</si>
  <si>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</si>
  <si>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</si>
  <si>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</si>
  <si>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</si>
  <si>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</si>
  <si>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</si>
  <si>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</si>
  <si>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</si>
  <si>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</si>
  <si>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</si>
  <si>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</si>
  <si>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</si>
  <si>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</si>
  <si>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</si>
  <si>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</si>
  <si>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</si>
  <si>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</si>
  <si>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</si>
  <si>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</si>
  <si>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</si>
  <si>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</si>
  <si>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</si>
  <si>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</si>
  <si>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</si>
  <si>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</si>
  <si>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</si>
  <si>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</si>
  <si>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</si>
  <si>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</si>
  <si>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</si>
  <si>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</si>
  <si>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</si>
  <si>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</si>
  <si>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</si>
  <si>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</si>
  <si>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</si>
  <si>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</si>
  <si>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</si>
  <si>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</si>
  <si>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</si>
  <si>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</si>
  <si>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</si>
  <si>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</si>
  <si>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</si>
  <si>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</si>
  <si>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</si>
  <si>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</si>
  <si>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</si>
  <si>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</si>
  <si>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</si>
  <si>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</si>
  <si>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</si>
  <si>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</si>
  <si>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</si>
  <si>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</si>
  <si>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</si>
  <si>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</si>
  <si>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</si>
  <si>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</si>
  <si>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</si>
  <si>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</si>
  <si>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</si>
  <si>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</si>
  <si>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</si>
  <si>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</si>
  <si>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</si>
  <si>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</si>
  <si>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</si>
  <si>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</si>
  <si>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</si>
  <si>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</si>
  <si>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</si>
  <si>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</si>
  <si>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</si>
  <si>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</si>
  <si>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</si>
  <si>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</si>
  <si>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</si>
  <si>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</si>
  <si>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</si>
  <si>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</si>
  <si>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</si>
  <si>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</si>
  <si>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</si>
  <si>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</si>
  <si>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</si>
  <si>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</si>
  <si>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</si>
  <si>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</si>
  <si>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</si>
  <si>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</si>
  <si>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</si>
  <si>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</si>
  <si>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</si>
  <si>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</si>
  <si>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</si>
  <si>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</si>
  <si>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</si>
  <si>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</si>
  <si>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</si>
  <si>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</si>
  <si>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</si>
  <si>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</si>
  <si>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</si>
  <si>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</si>
  <si>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</si>
  <si>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</si>
  <si>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</si>
  <si>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</si>
  <si>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</si>
  <si>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</si>
  <si>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</si>
  <si>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</si>
  <si>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</si>
  <si>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</si>
  <si>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</si>
  <si>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</si>
  <si>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</si>
  <si>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</si>
  <si>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</si>
  <si>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</si>
  <si>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</si>
  <si>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</si>
  <si>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</si>
  <si>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</si>
  <si>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</si>
  <si>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</si>
  <si>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</si>
  <si>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</si>
  <si>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</si>
  <si>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</si>
  <si>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</si>
  <si>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</si>
  <si>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</si>
  <si>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</si>
  <si>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</si>
  <si>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</si>
  <si>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</si>
  <si>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</si>
  <si>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</si>
  <si>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</si>
  <si>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</si>
  <si>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</si>
  <si>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</si>
  <si>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</si>
  <si>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</si>
  <si>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</si>
  <si>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</si>
  <si>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</si>
  <si>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</si>
  <si>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</si>
  <si>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</si>
  <si>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</si>
  <si>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</si>
  <si>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</si>
  <si>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</si>
  <si>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</si>
  <si>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</si>
  <si>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</si>
  <si>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</si>
  <si>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</si>
  <si>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</si>
  <si>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</si>
  <si>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</si>
  <si>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</si>
  <si>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</si>
  <si>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</si>
  <si>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</si>
  <si>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</si>
  <si>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</si>
  <si>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</si>
  <si>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</si>
  <si>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</si>
  <si>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</si>
  <si>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</si>
  <si>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</si>
  <si>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</si>
  <si>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</si>
  <si>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</si>
  <si>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</si>
  <si>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</si>
  <si>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</si>
  <si>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</si>
  <si>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</si>
  <si>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</si>
  <si>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</si>
  <si>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</si>
  <si>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</si>
  <si>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</si>
  <si>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</si>
  <si>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</si>
  <si>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</si>
  <si>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</si>
  <si>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</si>
  <si>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</si>
  <si>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</si>
  <si>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</si>
  <si>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</si>
  <si>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</si>
  <si>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</si>
  <si>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</si>
  <si>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</si>
  <si>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</si>
  <si>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</si>
  <si>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</si>
  <si>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</si>
  <si>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</si>
  <si>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</si>
  <si>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</si>
  <si>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</si>
  <si>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</si>
  <si>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</si>
  <si>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</si>
  <si>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</si>
  <si>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</si>
  <si>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</si>
  <si>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</si>
  <si>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</si>
  <si>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</si>
  <si>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</si>
  <si>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</si>
  <si>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</si>
  <si>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</si>
  <si>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</si>
  <si>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</si>
  <si>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</si>
  <si>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</si>
  <si>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</si>
  <si>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</si>
  <si>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</si>
  <si>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</si>
  <si>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</si>
  <si>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</si>
  <si>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</si>
  <si>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</si>
  <si>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</si>
  <si>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</si>
  <si>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</si>
  <si>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</si>
  <si>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</si>
  <si>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</si>
  <si>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</si>
  <si>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</si>
  <si>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</si>
  <si>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</si>
  <si>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</si>
  <si>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</si>
  <si>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</si>
  <si>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</si>
  <si>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</si>
  <si>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</si>
  <si>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</si>
  <si>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</si>
  <si>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</si>
  <si>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</si>
  <si>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</si>
  <si>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</si>
  <si>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</si>
  <si>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</si>
  <si>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</si>
  <si>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</si>
  <si>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</si>
  <si>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</si>
  <si>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</si>
  <si>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</si>
  <si>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</si>
  <si>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</si>
  <si>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</si>
  <si>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</si>
  <si>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</si>
  <si>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</si>
  <si>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</si>
  <si>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</si>
  <si>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</si>
  <si>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</si>
  <si>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</si>
  <si>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</si>
  <si>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</si>
  <si>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</si>
  <si>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</si>
  <si>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</si>
  <si>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</si>
  <si>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</si>
  <si>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</si>
  <si>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</si>
  <si>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</si>
  <si>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</si>
  <si>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</si>
  <si>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</si>
  <si>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</si>
  <si>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</si>
  <si>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</si>
  <si>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</si>
  <si>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</si>
  <si>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</si>
  <si>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</si>
  <si>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</si>
  <si>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</si>
  <si>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</si>
  <si>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</si>
  <si>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</si>
  <si>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</si>
  <si>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</si>
  <si>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</si>
  <si>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</si>
  <si>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</si>
  <si>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</si>
  <si>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</si>
  <si>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</si>
  <si>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</si>
  <si>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</si>
  <si>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</si>
  <si>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</si>
  <si>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</si>
  <si>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</si>
  <si>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</si>
  <si>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</si>
  <si>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</si>
  <si>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</si>
  <si>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</si>
  <si>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</si>
  <si>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</si>
  <si>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</si>
  <si>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</si>
  <si>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</si>
  <si>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</si>
  <si>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</si>
  <si>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</si>
  <si>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</si>
  <si>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</si>
  <si>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</si>
  <si>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</si>
  <si>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</si>
  <si>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</si>
  <si>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</si>
  <si>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</si>
  <si>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</si>
  <si>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</si>
  <si>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</si>
  <si>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</si>
  <si>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</si>
  <si>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</si>
  <si>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</si>
  <si>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</si>
  <si>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</si>
  <si>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</si>
  <si>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</si>
  <si>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</si>
  <si>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</si>
  <si>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</si>
  <si>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</si>
  <si>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</si>
  <si>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</si>
  <si>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</si>
  <si>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</si>
  <si>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</si>
  <si>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</si>
  <si>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</si>
  <si>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</si>
  <si>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</si>
  <si>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</si>
  <si>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</si>
  <si>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</si>
  <si>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</si>
  <si>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</si>
  <si>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</si>
  <si>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</si>
  <si>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</si>
  <si>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</si>
  <si>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</si>
  <si>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</si>
  <si>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</si>
  <si>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</si>
  <si>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</si>
  <si>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</si>
  <si>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</si>
  <si>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</si>
  <si>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</si>
  <si>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</si>
  <si>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</si>
  <si>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</si>
  <si>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</si>
  <si>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</si>
  <si>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</si>
  <si>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</si>
  <si>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</si>
  <si>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</si>
  <si>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</si>
  <si>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</si>
  <si>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</si>
  <si>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</si>
  <si>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</si>
  <si>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</si>
  <si>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</si>
  <si>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</si>
  <si>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</si>
  <si>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</si>
  <si>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</si>
  <si>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</si>
  <si>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</si>
  <si>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</si>
  <si>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</si>
  <si>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</si>
  <si>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</si>
  <si>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</si>
  <si>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</si>
  <si>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</si>
  <si>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</si>
  <si>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</si>
  <si>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</si>
  <si>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</si>
  <si>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</si>
  <si>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</si>
  <si>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</si>
  <si>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</si>
  <si>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</si>
  <si>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</si>
  <si>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</si>
  <si>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</si>
  <si>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</si>
  <si>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</si>
  <si>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</si>
  <si>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</si>
  <si>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</si>
  <si>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</si>
  <si>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</si>
  <si>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</si>
  <si>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</si>
  <si>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</si>
  <si>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</si>
  <si>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</si>
  <si>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</si>
  <si>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</si>
  <si>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</si>
  <si>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</si>
  <si>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</si>
  <si>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</si>
  <si>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</si>
  <si>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</si>
  <si>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</si>
  <si>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</si>
  <si>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</si>
  <si>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</si>
  <si>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</si>
  <si>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</si>
  <si>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</si>
  <si>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</si>
  <si>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</si>
  <si>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</si>
  <si>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</si>
  <si>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</si>
  <si>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</si>
  <si>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</si>
  <si>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</si>
  <si>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</si>
  <si>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</si>
  <si>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</si>
  <si>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</si>
  <si>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</si>
  <si>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</si>
  <si>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</si>
  <si>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</si>
  <si>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</si>
  <si>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</si>
  <si>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</si>
  <si>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</si>
  <si>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</si>
  <si>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</si>
  <si>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</si>
  <si>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</si>
  <si>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</si>
  <si>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</si>
  <si>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</si>
  <si>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</si>
  <si>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</si>
  <si>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</si>
  <si>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</si>
  <si>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</si>
  <si>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</si>
  <si>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</si>
  <si>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</si>
  <si>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</si>
  <si>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</si>
  <si>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</si>
  <si>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</si>
  <si>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</si>
  <si>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</si>
  <si>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</si>
  <si>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</si>
  <si>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</si>
  <si>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</si>
  <si>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</si>
  <si>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</si>
  <si>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</si>
  <si>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</si>
  <si>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</si>
  <si>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</si>
  <si>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</si>
  <si>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</si>
  <si>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</si>
  <si>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</si>
  <si>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</si>
  <si>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</si>
  <si>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</si>
  <si>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</si>
  <si>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</si>
  <si>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</si>
  <si>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</si>
  <si>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</si>
  <si>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</si>
  <si>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</si>
  <si>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</si>
  <si>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</si>
  <si>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</si>
  <si>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</si>
  <si>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</si>
  <si>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</si>
  <si>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</si>
  <si>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</si>
  <si>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</si>
  <si>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</si>
  <si>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</si>
  <si>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</si>
  <si>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</si>
  <si>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</si>
  <si>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</si>
  <si>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</si>
  <si>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</si>
  <si>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</si>
  <si>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</si>
  <si>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</si>
  <si>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</si>
  <si>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</si>
  <si>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</si>
  <si>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</si>
  <si>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</si>
  <si>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</si>
  <si>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</si>
  <si>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</si>
  <si>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</si>
  <si>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</si>
  <si>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</si>
  <si>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</si>
  <si>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</si>
  <si>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</si>
  <si>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</si>
  <si>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</si>
  <si>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</si>
  <si>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</si>
  <si>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</si>
  <si>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</si>
  <si>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</si>
  <si>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</si>
  <si>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</si>
  <si>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</si>
  <si>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</si>
  <si>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</si>
  <si>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</si>
  <si>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</si>
  <si>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</si>
  <si>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</si>
  <si>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</si>
  <si>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</si>
  <si>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</si>
  <si>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</si>
  <si>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</si>
  <si>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</si>
  <si>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</si>
  <si>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</si>
  <si>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</si>
  <si>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</si>
  <si>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</si>
  <si>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</si>
  <si>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</si>
  <si>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</si>
  <si>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</si>
  <si>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</si>
  <si>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</si>
  <si>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</si>
  <si>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</si>
  <si>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</si>
  <si>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</si>
  <si>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</si>
  <si>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</si>
  <si>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</si>
  <si>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</si>
  <si>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</si>
  <si>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</si>
  <si>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</si>
  <si>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</si>
  <si>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</si>
  <si>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</si>
  <si>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</si>
  <si>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</si>
  <si>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</si>
  <si>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</si>
  <si>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</si>
  <si>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</si>
  <si>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</si>
  <si>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</si>
  <si>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</si>
  <si>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</si>
  <si>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</si>
  <si>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</si>
  <si>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</si>
  <si>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</si>
  <si>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</si>
  <si>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</si>
  <si>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</si>
  <si>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</si>
  <si>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</si>
  <si>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</si>
  <si>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</si>
  <si>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</si>
  <si>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</si>
  <si>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</si>
  <si>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</si>
  <si>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</si>
  <si>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</si>
  <si>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</si>
  <si>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</si>
  <si>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</si>
  <si>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</si>
  <si>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</si>
  <si>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</si>
  <si>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</si>
  <si>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</si>
  <si>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</si>
  <si>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</si>
  <si>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</si>
  <si>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</si>
  <si>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</si>
  <si>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</si>
  <si>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</si>
  <si>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</si>
  <si>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</si>
  <si>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</si>
  <si>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</si>
  <si>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</si>
  <si>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</si>
  <si>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</si>
  <si>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</si>
  <si>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</si>
  <si>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</si>
  <si>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</si>
  <si>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</si>
  <si>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</si>
  <si>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</si>
  <si>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</si>
  <si>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</si>
  <si>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</si>
  <si>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</si>
  <si>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</si>
  <si>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</si>
  <si>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</si>
  <si>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</si>
  <si>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</si>
  <si>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</si>
  <si>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</si>
  <si>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</si>
  <si>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</si>
  <si>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</si>
  <si>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</si>
  <si>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</si>
  <si>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</si>
  <si>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</si>
  <si>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</si>
  <si>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</si>
  <si>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</si>
  <si>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</si>
  <si>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</si>
  <si>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</si>
  <si>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</si>
  <si>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</si>
  <si>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</si>
  <si>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</si>
  <si>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</si>
  <si>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</si>
  <si>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</si>
  <si>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</si>
  <si>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</si>
  <si>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</si>
  <si>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</si>
  <si>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</si>
  <si>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</si>
  <si>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</si>
  <si>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</si>
  <si>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</si>
  <si>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</si>
  <si>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</si>
  <si>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</si>
  <si>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</si>
  <si>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</si>
  <si>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</si>
  <si>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</si>
  <si>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</si>
  <si>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</si>
  <si>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</si>
  <si>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</si>
  <si>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</si>
  <si>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</si>
  <si>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</si>
  <si>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</si>
  <si>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</si>
  <si>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</si>
  <si>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</si>
  <si>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</si>
  <si>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</si>
  <si>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</si>
  <si>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</si>
  <si>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</si>
  <si>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</si>
  <si>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</si>
  <si>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</si>
  <si>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</si>
  <si>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</si>
  <si>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</si>
  <si>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</si>
  <si>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</si>
  <si>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</si>
  <si>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</si>
  <si>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</si>
  <si>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</si>
  <si>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</si>
  <si>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</si>
  <si>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</si>
  <si>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</si>
  <si>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</si>
  <si>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</si>
  <si>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</si>
  <si>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</si>
  <si>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</si>
  <si>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</si>
  <si>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</si>
  <si>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</si>
  <si>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</si>
  <si>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</si>
  <si>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</si>
  <si>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</si>
  <si>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</si>
  <si>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</si>
  <si>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</si>
  <si>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</si>
  <si>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</si>
  <si>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</si>
  <si>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</si>
  <si>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</si>
  <si>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</si>
  <si>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</si>
  <si>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</si>
  <si>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</si>
  <si>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</si>
  <si>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</si>
  <si>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</si>
  <si>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</si>
  <si>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</si>
  <si>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</si>
  <si>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</si>
  <si>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</si>
  <si>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</si>
  <si>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</si>
  <si>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</si>
  <si>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</si>
  <si>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</si>
  <si>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</si>
  <si>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</si>
  <si>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</si>
  <si>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</si>
  <si>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</si>
  <si>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</si>
  <si>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</si>
  <si>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</si>
  <si>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</si>
  <si>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</si>
  <si>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</si>
  <si>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</si>
  <si>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</si>
  <si>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</si>
  <si>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</si>
  <si>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</si>
  <si>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</si>
  <si>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</si>
  <si>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</si>
  <si>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</si>
  <si>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</si>
  <si>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</si>
  <si>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</si>
  <si>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</si>
  <si>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</si>
  <si>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</si>
  <si>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</si>
  <si>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</si>
  <si>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</si>
  <si>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</si>
  <si>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</si>
  <si>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</si>
  <si>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</si>
  <si>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</si>
  <si>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</si>
  <si>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</si>
  <si>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</si>
  <si>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</si>
  <si>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</si>
  <si>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</si>
  <si>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</si>
  <si>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</si>
  <si>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</si>
  <si>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</si>
  <si>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</si>
  <si>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</si>
  <si>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</si>
  <si>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</si>
  <si>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</si>
  <si>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</si>
  <si>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</si>
  <si>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</si>
  <si>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</si>
  <si>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</si>
  <si>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</si>
  <si>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</si>
  <si>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</si>
  <si>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</si>
  <si>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</si>
  <si>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</si>
  <si>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</si>
  <si>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</si>
  <si>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</si>
  <si>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</si>
  <si>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</si>
  <si>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</si>
  <si>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</si>
  <si>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</si>
  <si>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</si>
  <si>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</si>
  <si>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</si>
  <si>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</si>
  <si>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</si>
  <si>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</si>
  <si>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</si>
  <si>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</si>
  <si>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</si>
  <si>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</si>
  <si>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</si>
  <si>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</si>
  <si>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</si>
  <si>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</si>
  <si>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</si>
  <si>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</si>
  <si>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</si>
  <si>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</si>
  <si>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</si>
  <si>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</si>
  <si>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</si>
  <si>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</si>
  <si>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</si>
  <si>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</si>
  <si>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</si>
  <si>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</si>
  <si>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</si>
  <si>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</si>
  <si>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</si>
  <si>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</si>
  <si>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</si>
  <si>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</si>
  <si>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</si>
  <si>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</si>
  <si>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</si>
  <si>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</si>
  <si>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</si>
  <si>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</si>
  <si>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</si>
  <si>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</si>
  <si>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</si>
  <si>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</si>
  <si>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</si>
  <si>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</si>
  <si>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</si>
  <si>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</si>
  <si>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</si>
  <si>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</si>
  <si>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</si>
  <si>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</si>
  <si>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</si>
  <si>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</si>
  <si>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</si>
  <si>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</si>
  <si>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</si>
  <si>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</si>
  <si>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</si>
  <si>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</si>
  <si>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</si>
  <si>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</si>
  <si>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</si>
  <si>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</si>
  <si>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</si>
  <si>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</si>
  <si>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</si>
  <si>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</si>
  <si>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</si>
  <si>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</si>
  <si>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</si>
  <si>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</si>
  <si>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</si>
  <si>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</si>
  <si>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</si>
  <si>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</si>
  <si>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</si>
  <si>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</si>
  <si>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</si>
  <si>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</si>
  <si>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</si>
  <si>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</si>
  <si>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</si>
  <si>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</si>
  <si>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</si>
  <si>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</si>
  <si>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</si>
  <si>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</si>
  <si>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</si>
  <si>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</si>
  <si>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</si>
  <si>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</si>
  <si>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</si>
  <si>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</si>
  <si>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</si>
  <si>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</si>
  <si>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</si>
  <si>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</si>
  <si>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</si>
  <si>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</si>
  <si>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</si>
  <si>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</si>
  <si>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</si>
  <si>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</si>
  <si>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</si>
  <si>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</si>
  <si>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</si>
  <si>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</si>
  <si>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</si>
  <si>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</si>
  <si>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</si>
  <si>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</si>
  <si>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</si>
  <si>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</si>
  <si>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</si>
  <si>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</si>
  <si>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</si>
  <si>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</si>
  <si>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</si>
  <si>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</si>
  <si>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</si>
  <si>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</si>
  <si>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</si>
  <si>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</si>
  <si>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</si>
  <si>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</si>
  <si>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</si>
  <si>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</si>
  <si>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</si>
  <si>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</si>
  <si>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</si>
  <si>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</si>
  <si>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</si>
  <si>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</si>
  <si>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</si>
  <si>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</si>
  <si>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</si>
  <si>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</si>
  <si>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</si>
  <si>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</si>
  <si>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</si>
  <si>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</si>
  <si>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</si>
  <si>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</si>
  <si>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</si>
  <si>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</si>
  <si>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</si>
  <si>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</si>
  <si>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</si>
  <si>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</si>
  <si>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</si>
  <si>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</si>
  <si>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</si>
  <si>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</si>
  <si>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</si>
  <si>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</si>
  <si>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</si>
  <si>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</si>
  <si>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</si>
  <si>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</si>
  <si>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</si>
  <si>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</si>
  <si>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</si>
  <si>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</si>
  <si>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</si>
  <si>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</si>
  <si>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</si>
  <si>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</si>
  <si>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</si>
  <si>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</si>
  <si>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</si>
  <si>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</si>
  <si>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</si>
  <si>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</si>
  <si>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</si>
  <si>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</si>
  <si>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</si>
  <si>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</si>
  <si>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</si>
  <si>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</si>
  <si>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</si>
  <si>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</si>
  <si>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</si>
  <si>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</si>
  <si>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</si>
  <si>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</si>
  <si>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</si>
  <si>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</si>
  <si>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</si>
  <si>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</si>
  <si>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</si>
  <si>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</si>
  <si>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</si>
  <si>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</si>
  <si>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</si>
  <si>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</si>
  <si>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</si>
  <si>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</si>
  <si>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</si>
  <si>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</si>
  <si>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</si>
  <si>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</si>
  <si>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</si>
  <si>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</si>
  <si>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</si>
  <si>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</si>
  <si>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</si>
  <si>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</si>
  <si>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</si>
  <si>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</si>
  <si>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</si>
  <si>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</si>
  <si>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</si>
  <si>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</si>
  <si>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</si>
  <si>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</si>
  <si>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</si>
  <si>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</si>
  <si>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</si>
  <si>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</si>
  <si>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</si>
  <si>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</si>
  <si>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</si>
  <si>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</si>
  <si>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</si>
  <si>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</si>
  <si>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</si>
  <si>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</si>
  <si>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</si>
  <si>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</si>
  <si>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</si>
  <si>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</si>
  <si>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</si>
  <si>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</si>
  <si>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</si>
  <si>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</si>
  <si>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</si>
  <si>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</si>
  <si>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</si>
  <si>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</si>
  <si>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</si>
  <si>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</si>
  <si>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</si>
  <si>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</si>
  <si>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</si>
  <si>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</si>
  <si>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</si>
  <si>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</si>
  <si>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</si>
  <si>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</si>
  <si>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</si>
  <si>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</si>
  <si>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</si>
  <si>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</si>
  <si>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</si>
  <si>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</si>
  <si>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</si>
  <si>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</si>
  <si>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</si>
  <si>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</si>
  <si>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</si>
  <si>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</si>
  <si>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</si>
  <si>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</si>
  <si>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</si>
  <si>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</si>
  <si>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</si>
  <si>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</si>
  <si>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</si>
  <si>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</si>
  <si>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</si>
  <si>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</si>
  <si>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</si>
  <si>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</si>
  <si>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</si>
  <si>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</si>
  <si>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</si>
  <si>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</si>
  <si>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</si>
  <si>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</si>
  <si>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</si>
  <si>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</si>
  <si>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</si>
  <si>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</si>
  <si>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</si>
  <si>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</si>
  <si>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</si>
  <si>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</si>
  <si>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</si>
  <si>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</si>
  <si>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</si>
  <si>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</si>
  <si>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</si>
  <si>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</si>
  <si>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</si>
  <si>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</si>
  <si>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</si>
  <si>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</si>
  <si>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</si>
  <si>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</si>
  <si>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</si>
  <si>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</si>
  <si>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</si>
  <si>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</si>
  <si>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</si>
  <si>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</si>
  <si>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</si>
  <si>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</si>
  <si>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</si>
  <si>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</si>
  <si>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</si>
  <si>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</si>
  <si>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</si>
  <si>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</si>
  <si>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</si>
  <si>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</si>
  <si>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</si>
  <si>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</si>
  <si>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</si>
  <si>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</si>
  <si>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</si>
  <si>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</si>
  <si>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</si>
  <si>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</si>
  <si>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</si>
  <si>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</si>
  <si>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</si>
  <si>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</si>
  <si>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</si>
  <si>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</si>
  <si>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</si>
  <si>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</si>
  <si>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</si>
  <si>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</si>
  <si>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</si>
  <si>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</si>
  <si>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</si>
  <si>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</si>
  <si>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</si>
  <si>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</si>
  <si>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</si>
  <si>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</si>
  <si>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</si>
  <si>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</si>
  <si>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</si>
  <si>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</si>
  <si>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</si>
  <si>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</si>
  <si>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</si>
  <si>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</si>
  <si>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</si>
  <si>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</si>
  <si>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</si>
  <si>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</si>
  <si>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</si>
  <si>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</si>
  <si>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</si>
  <si>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</si>
  <si>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</si>
  <si>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</si>
  <si>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</si>
  <si>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</si>
  <si>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</si>
  <si>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</si>
  <si>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</si>
  <si>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</si>
  <si>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</si>
  <si>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</si>
  <si>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</si>
  <si>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</si>
  <si>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</si>
  <si>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</si>
  <si>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</si>
  <si>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</si>
  <si>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</si>
  <si>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</si>
  <si>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</si>
  <si>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</si>
  <si>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</si>
  <si>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</si>
  <si>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</si>
  <si>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</si>
  <si>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</si>
  <si>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</si>
  <si>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</si>
  <si>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</si>
  <si>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</si>
  <si>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</si>
  <si>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</si>
  <si>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</si>
  <si>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</si>
  <si>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</si>
  <si>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</si>
  <si>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</si>
  <si>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</si>
  <si>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</si>
  <si>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</si>
  <si>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</si>
  <si>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</si>
  <si>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</si>
  <si>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</si>
  <si>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</si>
  <si>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</si>
  <si>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</si>
  <si>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</si>
  <si>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</si>
  <si>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</si>
  <si>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</si>
  <si>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</si>
  <si>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</si>
  <si>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</si>
  <si>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</si>
  <si>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</si>
  <si>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</si>
  <si>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</si>
  <si>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</si>
  <si>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</si>
  <si>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</si>
  <si>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</si>
  <si>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</si>
  <si>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</si>
  <si>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</si>
  <si>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</si>
  <si>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</si>
  <si>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</si>
  <si>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</si>
  <si>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</si>
  <si>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</si>
  <si>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</si>
  <si>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</si>
  <si>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</si>
  <si>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</si>
  <si>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</si>
  <si>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</si>
  <si>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</si>
  <si>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</si>
  <si>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</si>
  <si>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</si>
  <si>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</si>
  <si>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</si>
  <si>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</si>
  <si>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</si>
  <si>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</si>
  <si>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</si>
  <si>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</si>
  <si>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</si>
  <si>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</si>
  <si>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</si>
  <si>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</si>
  <si>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</si>
  <si>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</si>
  <si>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</si>
  <si>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</si>
  <si>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</si>
  <si>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</si>
  <si>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</si>
  <si>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</si>
  <si>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</si>
  <si>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</si>
  <si>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</si>
  <si>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</si>
  <si>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</si>
  <si>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</si>
  <si>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</si>
  <si>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</si>
  <si>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</si>
  <si>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</si>
  <si>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</si>
  <si>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</si>
  <si>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</si>
  <si>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</si>
  <si>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</si>
  <si>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</si>
  <si>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</si>
  <si>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</si>
  <si>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</si>
  <si>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</si>
  <si>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</si>
  <si>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</si>
  <si>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</si>
  <si>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</si>
  <si>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</si>
  <si>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</si>
  <si>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</si>
  <si>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</si>
  <si>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</si>
  <si>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</si>
  <si>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</si>
  <si>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</si>
  <si>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</si>
  <si>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</si>
  <si>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</si>
  <si>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</si>
  <si>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</si>
  <si>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</si>
  <si>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</si>
  <si>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</si>
  <si>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</si>
  <si>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</si>
  <si>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</si>
  <si>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</si>
  <si>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</si>
  <si>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</si>
  <si>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</si>
  <si>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</si>
  <si>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</si>
  <si>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</si>
  <si>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</si>
  <si>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</si>
  <si>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</si>
  <si>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</si>
  <si>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</si>
  <si>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</si>
  <si>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</si>
  <si>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</si>
  <si>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</si>
  <si>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</si>
  <si>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</si>
  <si>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</si>
  <si>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</si>
  <si>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</si>
  <si>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</si>
  <si>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</si>
  <si>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</si>
  <si>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</si>
  <si>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</si>
  <si>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</si>
  <si>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</si>
  <si>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</si>
  <si>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</si>
  <si>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</si>
  <si>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</si>
  <si>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</si>
  <si>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</si>
  <si>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</si>
  <si>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</si>
  <si>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</si>
  <si>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</si>
  <si>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</si>
  <si>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</si>
  <si>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</si>
  <si>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</si>
  <si>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</si>
  <si>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</si>
  <si>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</si>
  <si>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</si>
  <si>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</si>
  <si>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</si>
  <si>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</si>
  <si>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</si>
  <si>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</si>
  <si>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</si>
  <si>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</si>
  <si>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</si>
  <si>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</si>
  <si>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</si>
  <si>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</si>
  <si>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</si>
  <si>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</si>
  <si>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</si>
  <si>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</si>
  <si>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</si>
  <si>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</si>
  <si>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</si>
  <si>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</si>
  <si>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</si>
  <si>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</si>
  <si>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</si>
  <si>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</si>
  <si>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</si>
  <si>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</si>
  <si>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</si>
  <si>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</si>
  <si>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</si>
  <si>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</si>
  <si>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</si>
  <si>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</si>
  <si>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</si>
  <si>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</si>
  <si>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</si>
  <si>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</si>
  <si>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</si>
  <si>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</si>
  <si>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</si>
  <si>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</si>
  <si>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</si>
  <si>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</si>
  <si>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</si>
  <si>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</si>
  <si>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</si>
  <si>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</si>
  <si>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</si>
  <si>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</si>
  <si>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</si>
  <si>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</si>
  <si>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</si>
  <si>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</si>
  <si>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</si>
  <si>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</si>
  <si>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</si>
  <si>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</si>
  <si>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</si>
  <si>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</si>
  <si>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</si>
  <si>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</si>
  <si>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</si>
  <si>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</si>
  <si>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</si>
  <si>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</si>
  <si>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</si>
  <si>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</si>
  <si>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</si>
  <si>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</si>
  <si>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</si>
  <si>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</si>
  <si>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</si>
  <si>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</si>
  <si>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</si>
  <si>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</si>
  <si>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</si>
  <si>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</si>
  <si>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</si>
  <si>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</si>
  <si>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</si>
  <si>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</si>
  <si>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</si>
  <si>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</si>
  <si>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</si>
  <si>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</si>
  <si>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</si>
  <si>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</si>
  <si>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</si>
  <si>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</si>
  <si>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</si>
  <si>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</si>
  <si>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</si>
  <si>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</si>
  <si>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</si>
  <si>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</si>
  <si>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</si>
  <si>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</si>
  <si>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</si>
  <si>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</si>
  <si>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</si>
  <si>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</si>
  <si>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</si>
  <si>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</si>
  <si>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</si>
  <si>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</si>
  <si>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</si>
  <si>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</si>
  <si>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</si>
  <si>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</si>
  <si>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</si>
  <si>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</si>
  <si>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</si>
  <si>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</si>
  <si>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</si>
  <si>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</si>
  <si>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</si>
  <si>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</si>
  <si>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</si>
  <si>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</si>
  <si>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</si>
  <si>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</si>
  <si>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</si>
  <si>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</si>
  <si>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</si>
  <si>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</si>
  <si>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</si>
  <si>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</si>
  <si>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</si>
  <si>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</si>
  <si>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</si>
  <si>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</si>
  <si>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</si>
  <si>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</si>
  <si>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</si>
  <si>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</si>
  <si>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</si>
  <si>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</si>
  <si>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</si>
  <si>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</si>
  <si>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</si>
  <si>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</si>
  <si>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</si>
  <si>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</si>
  <si>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</si>
  <si>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</si>
  <si>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</si>
  <si>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</si>
  <si>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</si>
  <si>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</si>
  <si>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</si>
  <si>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</si>
  <si>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</si>
  <si>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</si>
  <si>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</si>
  <si>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</si>
  <si>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</si>
  <si>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</si>
  <si>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</si>
  <si>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</si>
  <si>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</si>
  <si>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</si>
  <si>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</si>
  <si>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</si>
  <si>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</si>
  <si>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</si>
  <si>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</si>
  <si>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</si>
  <si>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</si>
  <si>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</si>
  <si>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</si>
  <si>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</si>
  <si>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</si>
  <si>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</si>
  <si>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</si>
  <si>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</si>
  <si>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</si>
  <si>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</si>
  <si>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</si>
  <si>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</si>
  <si>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</si>
  <si>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</si>
  <si>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</si>
  <si>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</si>
  <si>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</si>
  <si>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</si>
  <si>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</si>
  <si>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</si>
  <si>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</si>
  <si>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</si>
  <si>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</si>
  <si>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</si>
  <si>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</si>
  <si>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</si>
  <si>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</si>
  <si>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</si>
  <si>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</si>
  <si>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</si>
  <si>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</si>
  <si>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</si>
  <si>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</si>
  <si>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</si>
  <si>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</si>
  <si>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</si>
  <si>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</si>
  <si>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</si>
  <si>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</si>
  <si>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</si>
  <si>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</si>
  <si>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</si>
  <si>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</si>
  <si>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</si>
  <si>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</si>
  <si>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</si>
  <si>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</si>
  <si>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</si>
  <si>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</si>
  <si>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</si>
  <si>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</si>
  <si>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</si>
  <si>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</si>
  <si>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</si>
  <si>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</si>
  <si>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</si>
  <si>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</si>
  <si>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</si>
  <si>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</si>
  <si>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</si>
  <si>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</si>
  <si>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</si>
  <si>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</si>
  <si>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</si>
  <si>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</si>
  <si>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</si>
  <si>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</si>
  <si>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</si>
  <si>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</si>
  <si>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</si>
  <si>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</si>
  <si>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</si>
  <si>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</si>
  <si>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</si>
  <si>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</si>
  <si>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</si>
  <si>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</si>
  <si>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</si>
  <si>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</si>
  <si>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</si>
  <si>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</si>
  <si>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</si>
  <si>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</si>
  <si>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</si>
  <si>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</si>
  <si>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</si>
  <si>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</si>
  <si>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</si>
  <si>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</si>
  <si>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</si>
  <si>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</si>
  <si>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</si>
  <si>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</si>
  <si>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</si>
  <si>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</si>
  <si>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</si>
  <si>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</si>
  <si>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</si>
  <si>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</si>
  <si>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</si>
  <si>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</si>
  <si>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</si>
  <si>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</si>
  <si>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</si>
  <si>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</si>
  <si>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</si>
  <si>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</si>
  <si>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</si>
  <si>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</si>
  <si>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</si>
  <si>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</si>
  <si>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</si>
  <si>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</si>
  <si>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</si>
  <si>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</si>
  <si>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</si>
  <si>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</si>
  <si>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</si>
  <si>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</si>
  <si>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</si>
  <si>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</si>
  <si>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</si>
  <si>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</si>
  <si>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</si>
  <si>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</si>
  <si>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</si>
  <si>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</si>
  <si>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</si>
  <si>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</si>
  <si>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</si>
  <si>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</si>
  <si>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</si>
  <si>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</si>
  <si>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</si>
  <si>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</si>
  <si>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</si>
  <si>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</si>
  <si>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</si>
  <si>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</si>
  <si>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</si>
  <si>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</si>
  <si>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</si>
  <si>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</si>
  <si>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</si>
  <si>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</si>
  <si>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</si>
  <si>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</si>
  <si>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</si>
  <si>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</si>
  <si>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</si>
  <si>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</si>
  <si>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</si>
  <si>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</si>
  <si>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</si>
  <si>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</si>
  <si>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</si>
  <si>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</si>
  <si>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</si>
  <si>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</si>
  <si>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</si>
  <si>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</si>
  <si>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</si>
  <si>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</si>
  <si>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</si>
  <si>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</si>
  <si>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</si>
  <si>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</si>
  <si>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</si>
  <si>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</si>
  <si>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</si>
  <si>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</si>
  <si>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</si>
  <si>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</si>
  <si>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</si>
  <si>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</si>
  <si>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</si>
  <si>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</si>
  <si>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</si>
  <si>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</si>
  <si>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</si>
  <si>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</si>
  <si>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</si>
  <si>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</si>
  <si>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</si>
  <si>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</si>
  <si>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</si>
  <si>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</si>
  <si>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</si>
  <si>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</si>
  <si>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</si>
  <si>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</si>
  <si>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</si>
  <si>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</si>
  <si>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</si>
  <si>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</si>
  <si>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</si>
  <si>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</si>
  <si>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</si>
  <si>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</si>
  <si>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</si>
  <si>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</si>
  <si>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</si>
  <si>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</si>
  <si>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</si>
  <si>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</si>
  <si>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</si>
  <si>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</si>
  <si>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</si>
  <si>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</si>
  <si>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</si>
  <si>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</si>
  <si>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</si>
  <si>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</si>
  <si>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</si>
  <si>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</si>
  <si>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</si>
  <si>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</si>
  <si>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</si>
  <si>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</si>
  <si>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</si>
  <si>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</si>
  <si>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</si>
  <si>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</si>
  <si>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</si>
  <si>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</si>
  <si>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</si>
  <si>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</si>
  <si>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</si>
  <si>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</si>
  <si>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</si>
  <si>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</si>
  <si>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</si>
  <si>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</si>
  <si>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</si>
  <si>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</si>
  <si>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</si>
  <si>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</si>
  <si>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</si>
  <si>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</si>
  <si>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</si>
  <si>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</si>
  <si>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</si>
  <si>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</si>
  <si>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</si>
  <si>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</si>
  <si>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</si>
  <si>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</si>
  <si>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</si>
  <si>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</si>
  <si>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</si>
  <si>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</si>
  <si>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</si>
  <si>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</si>
  <si>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</si>
  <si>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</si>
  <si>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</si>
  <si>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</si>
  <si>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</si>
  <si>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</si>
  <si>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</si>
  <si>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</si>
  <si>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</si>
  <si>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</si>
  <si>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</si>
  <si>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</si>
  <si>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</si>
  <si>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</si>
  <si>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</si>
  <si>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</si>
  <si>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</si>
  <si>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</si>
  <si>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</si>
  <si>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</si>
  <si>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</si>
  <si>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</si>
  <si>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</si>
  <si>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</si>
  <si>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</si>
  <si>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</si>
  <si>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</si>
  <si>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</si>
  <si>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</si>
  <si>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</si>
  <si>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</si>
  <si>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</si>
  <si>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</si>
  <si>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</si>
  <si>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</si>
  <si>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</si>
  <si>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</si>
  <si>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</si>
  <si>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</si>
  <si>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</si>
  <si>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</si>
  <si>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</si>
  <si>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</si>
  <si>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</si>
  <si>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</si>
  <si>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</si>
  <si>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</si>
  <si>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</si>
  <si>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</si>
  <si>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</si>
  <si>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</si>
  <si>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</si>
  <si>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</si>
  <si>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</si>
  <si>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</si>
  <si>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</si>
  <si>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</si>
  <si>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</si>
  <si>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</si>
  <si>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</si>
  <si>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</si>
  <si>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</si>
  <si>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</si>
  <si>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</si>
  <si>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</si>
  <si>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</si>
  <si>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</si>
  <si>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</si>
  <si>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</si>
  <si>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</si>
  <si>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</si>
  <si>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</si>
  <si>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</si>
  <si>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</si>
  <si>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</si>
  <si>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</si>
  <si>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</si>
  <si>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</si>
  <si>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</si>
  <si>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</si>
  <si>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</si>
  <si>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</si>
  <si>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</si>
  <si>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</si>
  <si>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</si>
  <si>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</si>
  <si>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</si>
  <si>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</si>
  <si>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</si>
  <si>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</si>
  <si>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</si>
  <si>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</si>
  <si>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</si>
  <si>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</si>
  <si>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</si>
  <si>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</si>
  <si>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</si>
  <si>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</si>
  <si>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</si>
  <si>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</si>
  <si>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</si>
  <si>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</si>
  <si>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</si>
  <si>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</si>
  <si>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</si>
  <si>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</si>
  <si>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</si>
  <si>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</si>
  <si>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</si>
  <si>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</si>
  <si>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</si>
  <si>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</si>
  <si>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</si>
  <si>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</si>
  <si>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</si>
  <si>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</si>
  <si>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</si>
  <si>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</si>
  <si>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</si>
  <si>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</si>
  <si>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</si>
  <si>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</si>
  <si>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</si>
  <si>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</si>
  <si>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</si>
  <si>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</si>
  <si>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</si>
  <si>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</si>
  <si>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</si>
  <si>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</si>
  <si>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</si>
  <si>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</si>
  <si>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</si>
  <si>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</si>
  <si>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</si>
  <si>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</si>
  <si>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</si>
  <si>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</si>
  <si>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</si>
  <si>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</si>
  <si>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</si>
  <si>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</si>
  <si>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</si>
  <si>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</si>
  <si>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</si>
  <si>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</si>
  <si>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</si>
  <si>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</si>
  <si>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</si>
  <si>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</si>
  <si>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</si>
  <si>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</si>
  <si>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</si>
  <si>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</si>
  <si>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</si>
  <si>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</si>
  <si>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</si>
  <si>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</si>
  <si>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</si>
  <si>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</si>
  <si>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</si>
  <si>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</si>
  <si>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</si>
  <si>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</si>
  <si>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</si>
  <si>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</si>
  <si>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</si>
  <si>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</si>
  <si>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</si>
  <si>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</si>
  <si>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</si>
  <si>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</si>
  <si>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</si>
  <si>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</si>
  <si>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</si>
  <si>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</si>
  <si>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</si>
  <si>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</si>
  <si>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</si>
  <si>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</si>
  <si>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</si>
  <si>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</si>
  <si>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</si>
  <si>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</si>
  <si>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</si>
  <si>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</si>
  <si>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</si>
  <si>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</si>
  <si>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</si>
  <si>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</si>
  <si>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</si>
  <si>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</si>
  <si>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</si>
  <si>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</si>
  <si>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</si>
  <si>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</si>
  <si>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</si>
  <si>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</si>
  <si>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</si>
  <si>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</si>
  <si>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</si>
  <si>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</si>
  <si>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</si>
  <si>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</si>
  <si>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</si>
  <si>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</si>
  <si>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</si>
  <si>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</si>
  <si>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</si>
  <si>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</si>
  <si>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</si>
  <si>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</si>
  <si>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</si>
  <si>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</si>
  <si>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</si>
  <si>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</si>
  <si>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</si>
  <si>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</si>
  <si>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</si>
  <si>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</si>
  <si>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</si>
  <si>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</si>
  <si>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</si>
  <si>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</si>
  <si>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</si>
  <si>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</si>
  <si>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</si>
  <si>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</si>
  <si>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</si>
  <si>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</si>
  <si>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</si>
  <si>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</si>
  <si>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</si>
  <si>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</si>
  <si>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</si>
  <si>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</si>
  <si>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</si>
  <si>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</si>
  <si>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</si>
  <si>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</si>
  <si>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</si>
  <si>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</si>
  <si>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</si>
  <si>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</si>
  <si>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</si>
  <si>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</si>
  <si>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</si>
  <si>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</si>
  <si>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</si>
  <si>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</si>
  <si>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</si>
  <si>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</si>
  <si>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</si>
  <si>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</si>
  <si>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</si>
  <si>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</si>
  <si>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</si>
  <si>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</si>
  <si>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</si>
  <si>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</si>
  <si>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</si>
  <si>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</si>
  <si>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</si>
  <si>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</si>
  <si>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</si>
  <si>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</si>
  <si>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</si>
  <si>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</si>
  <si>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</si>
  <si>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</si>
  <si>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</si>
  <si>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</si>
  <si>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</si>
  <si>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</si>
  <si>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</si>
  <si>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</si>
  <si>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</si>
  <si>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</si>
  <si>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</si>
  <si>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</si>
  <si>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</si>
  <si>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</si>
  <si>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</si>
  <si>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</si>
  <si>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</si>
  <si>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</si>
  <si>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</si>
  <si>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</si>
  <si>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</si>
  <si>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</si>
  <si>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</si>
  <si>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</si>
  <si>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</si>
  <si>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</si>
  <si>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</si>
  <si>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</si>
  <si>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</si>
  <si>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</si>
  <si>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</si>
  <si>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</si>
  <si>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</si>
  <si>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</si>
  <si>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</si>
  <si>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</si>
  <si>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</si>
  <si>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</si>
  <si>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</si>
  <si>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</si>
  <si>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</si>
  <si>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</si>
  <si>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</si>
  <si>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</si>
  <si>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</si>
  <si>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</si>
  <si>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</si>
  <si>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</si>
  <si>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</si>
  <si>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</si>
  <si>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</si>
  <si>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</si>
  <si>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</si>
  <si>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</si>
  <si>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</si>
  <si>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</si>
  <si>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</si>
  <si>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</si>
  <si>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</si>
  <si>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</si>
  <si>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</si>
  <si>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</si>
  <si>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</si>
  <si>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</si>
  <si>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</si>
  <si>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</si>
  <si>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</si>
  <si>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</si>
  <si>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</si>
  <si>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</si>
  <si>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</si>
  <si>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</si>
  <si>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</si>
  <si>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</si>
  <si>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</si>
  <si>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</si>
  <si>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</si>
  <si>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</si>
  <si>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</si>
  <si>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</si>
  <si>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</si>
  <si>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</si>
  <si>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</si>
  <si>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</si>
  <si>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</si>
  <si>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</si>
  <si>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</si>
  <si>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</si>
  <si>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</si>
  <si>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</si>
  <si>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</si>
  <si>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</si>
  <si>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</si>
  <si>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</si>
  <si>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</si>
  <si>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</si>
  <si>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</si>
  <si>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</si>
  <si>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</si>
  <si>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</si>
  <si>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</si>
  <si>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</si>
  <si>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</si>
  <si>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</si>
  <si>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</si>
  <si>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</si>
  <si>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</si>
  <si>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</si>
  <si>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</si>
  <si>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</si>
  <si>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</si>
  <si>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</si>
  <si>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</si>
  <si>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</si>
  <si>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</si>
  <si>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</si>
  <si>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</si>
  <si>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</si>
  <si>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</si>
  <si>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</si>
  <si>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</si>
  <si>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</si>
  <si>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</si>
  <si>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</si>
  <si>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</si>
  <si>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</si>
  <si>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</si>
  <si>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</si>
  <si>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</si>
  <si>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</si>
  <si>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</si>
  <si>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</si>
  <si>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</si>
  <si>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</si>
  <si>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</si>
  <si>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</si>
  <si>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</si>
  <si>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</si>
  <si>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</si>
  <si>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</si>
  <si>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</si>
  <si>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</si>
  <si>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</si>
  <si>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</si>
  <si>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</si>
  <si>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</si>
  <si>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</si>
  <si>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</si>
  <si>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</si>
  <si>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</si>
  <si>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</si>
  <si>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</si>
  <si>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</si>
  <si>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</si>
  <si>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</si>
  <si>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</si>
  <si>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</si>
  <si>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</si>
  <si>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</si>
  <si>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</si>
  <si>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</si>
  <si>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</si>
  <si>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</si>
  <si>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</si>
  <si>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</si>
  <si>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</si>
  <si>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</si>
  <si>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</si>
  <si>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</si>
  <si>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</si>
  <si>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</si>
  <si>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</si>
  <si>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</si>
  <si>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</si>
  <si>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</si>
  <si>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</si>
  <si>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</si>
  <si>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</si>
  <si>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</si>
  <si>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</si>
  <si>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</si>
  <si>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</si>
  <si>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</si>
  <si>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</si>
  <si>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</si>
  <si>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</si>
  <si>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</si>
  <si>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</si>
  <si>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</si>
  <si>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</si>
  <si>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</si>
  <si>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</si>
  <si>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</si>
  <si>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</si>
  <si>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</si>
  <si>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</si>
  <si>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</si>
  <si>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</si>
  <si>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</si>
  <si>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</si>
  <si>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</si>
  <si>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</si>
  <si>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</si>
  <si>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</si>
  <si>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</si>
  <si>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</si>
  <si>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</si>
  <si>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</si>
  <si>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</si>
  <si>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</si>
  <si>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</si>
  <si>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</si>
  <si>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</si>
  <si>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</si>
  <si>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</si>
  <si>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</si>
  <si>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</si>
  <si>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</si>
  <si>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</si>
  <si>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</si>
  <si>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</si>
  <si>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</si>
  <si>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</si>
  <si>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</si>
  <si>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</si>
  <si>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</si>
  <si>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</si>
  <si>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</si>
  <si>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</si>
  <si>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</si>
  <si>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</si>
  <si>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</si>
  <si>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</si>
  <si>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</si>
  <si>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</si>
  <si>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</si>
  <si>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</si>
  <si>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</si>
  <si>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</si>
  <si>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</si>
  <si>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</si>
  <si>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</si>
  <si>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</si>
  <si>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</si>
  <si>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</si>
  <si>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</si>
  <si>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</si>
  <si>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</si>
  <si>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</si>
  <si>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</si>
  <si>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</si>
  <si>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</si>
  <si>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</si>
  <si>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</si>
  <si>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</si>
  <si>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</si>
  <si>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</si>
  <si>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</si>
  <si>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</si>
  <si>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</si>
  <si>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</si>
  <si>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</si>
  <si>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</si>
  <si>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</si>
  <si>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</si>
  <si>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</si>
  <si>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</si>
  <si>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</si>
  <si>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</si>
  <si>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</si>
  <si>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</si>
  <si>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</si>
  <si>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</si>
  <si>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</si>
  <si>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</si>
  <si>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</si>
  <si>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</si>
  <si>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</si>
  <si>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</si>
  <si>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</si>
  <si>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</si>
  <si>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</si>
  <si>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</si>
  <si>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</si>
  <si>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</si>
  <si>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</si>
  <si>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</si>
  <si>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</si>
  <si>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</si>
  <si>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</si>
  <si>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</si>
  <si>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</si>
  <si>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</si>
  <si>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</si>
  <si>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</si>
  <si>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</si>
  <si>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</si>
  <si>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</si>
  <si>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</si>
  <si>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</si>
  <si>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</si>
  <si>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</si>
  <si>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</si>
  <si>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</si>
  <si>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</si>
  <si>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</si>
  <si>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</si>
  <si>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</si>
  <si>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</si>
  <si>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</si>
  <si>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</si>
  <si>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</si>
  <si>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</si>
  <si>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</si>
  <si>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</si>
  <si>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</si>
  <si>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</si>
  <si>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</si>
  <si>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</si>
  <si>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</si>
  <si>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</si>
  <si>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</si>
  <si>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</si>
  <si>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</si>
  <si>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</si>
  <si>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</si>
  <si>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</si>
  <si>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</si>
  <si>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</si>
  <si>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</si>
  <si>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</si>
  <si>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</si>
  <si>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</si>
  <si>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</si>
  <si>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</si>
  <si>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</si>
  <si>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</si>
  <si>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</si>
  <si>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</si>
  <si>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</si>
  <si>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</si>
  <si>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</si>
  <si>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</si>
  <si>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</si>
  <si>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</si>
  <si>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</si>
  <si>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</si>
  <si>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</si>
  <si>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</si>
  <si>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</si>
  <si>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</si>
  <si>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</si>
  <si>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</si>
  <si>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</si>
  <si>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</si>
  <si>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</si>
  <si>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</si>
  <si>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</si>
  <si>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</si>
  <si>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</si>
  <si>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</si>
  <si>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</si>
  <si>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</si>
  <si>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</si>
  <si>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</si>
  <si>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</si>
  <si>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</si>
  <si>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</si>
  <si>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</si>
  <si>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</si>
  <si>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</si>
  <si>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</si>
  <si>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</si>
  <si>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</si>
  <si>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</si>
  <si>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</si>
  <si>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</si>
  <si>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</si>
  <si>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</si>
  <si>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</si>
  <si>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</si>
  <si>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</si>
  <si>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</si>
  <si>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</si>
  <si>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</si>
  <si>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</si>
  <si>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</si>
  <si>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</si>
  <si>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</si>
  <si>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</si>
  <si>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</si>
  <si>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</si>
  <si>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</si>
  <si>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</si>
  <si>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</si>
  <si>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</si>
  <si>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</si>
  <si>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</si>
  <si>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</si>
  <si>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</si>
  <si>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</si>
  <si>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</si>
  <si>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</si>
  <si>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</si>
  <si>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</si>
  <si>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</si>
  <si>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</si>
  <si>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</si>
  <si>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</si>
  <si>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</si>
  <si>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</si>
  <si>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</si>
  <si>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</si>
  <si>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</si>
  <si>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</si>
  <si>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</si>
  <si>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</si>
  <si>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</si>
  <si>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</si>
  <si>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</si>
  <si>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</si>
  <si>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</si>
  <si>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</si>
  <si>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</si>
  <si>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</si>
  <si>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</si>
  <si>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</si>
  <si>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</si>
  <si>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</si>
  <si>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</si>
  <si>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</si>
  <si>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</si>
  <si>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</si>
  <si>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</si>
  <si>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</si>
  <si>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</si>
  <si>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</si>
  <si>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</si>
  <si>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</si>
  <si>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</si>
  <si>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</si>
  <si>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</si>
  <si>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</si>
  <si>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</si>
  <si>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</si>
  <si>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</si>
  <si>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</si>
  <si>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</si>
  <si>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</si>
  <si>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</si>
  <si>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</si>
  <si>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</si>
  <si>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</si>
  <si>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</si>
  <si>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</si>
  <si>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</si>
  <si>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</si>
  <si>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</si>
  <si>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</si>
  <si>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</si>
  <si>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</si>
  <si>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</si>
  <si>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</si>
  <si>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</si>
  <si>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</si>
  <si>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</si>
  <si>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</si>
  <si>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</si>
  <si>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</si>
  <si>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</si>
  <si>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</si>
  <si>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</si>
  <si>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</si>
  <si>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</si>
  <si>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</si>
  <si>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</si>
  <si>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</si>
  <si>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</si>
  <si>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</si>
  <si>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</si>
  <si>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</si>
  <si>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</si>
  <si>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</si>
  <si>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</si>
  <si>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</si>
  <si>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</si>
  <si>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</si>
  <si>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</si>
  <si>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</si>
  <si>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</si>
  <si>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</si>
  <si>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</si>
  <si>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</si>
  <si>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</si>
  <si>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</si>
  <si>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</si>
  <si>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</si>
  <si>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</si>
  <si>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</si>
  <si>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</si>
  <si>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</si>
  <si>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</si>
  <si>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</si>
  <si>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</si>
  <si>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</si>
  <si>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</si>
  <si>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</si>
  <si>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</si>
  <si>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</si>
  <si>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</si>
  <si>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</si>
  <si>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</si>
  <si>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</si>
  <si>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</si>
  <si>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</si>
  <si>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</si>
  <si>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</si>
  <si>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</si>
  <si>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</si>
  <si>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</si>
  <si>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</si>
  <si>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</si>
  <si>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</si>
  <si>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</si>
  <si>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</si>
  <si>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</si>
  <si>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</si>
  <si>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</si>
  <si>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</si>
  <si>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</si>
  <si>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</si>
  <si>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</si>
  <si>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</si>
  <si>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</si>
  <si>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</si>
  <si>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</si>
  <si>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</si>
  <si>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</si>
  <si>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</si>
  <si>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</si>
  <si>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</si>
  <si>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</si>
  <si>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</si>
  <si>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</si>
  <si>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</si>
  <si>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</si>
  <si>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</si>
  <si>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</si>
  <si>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</si>
  <si>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</si>
  <si>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</si>
  <si>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</si>
  <si>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</si>
  <si>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</si>
  <si>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</si>
  <si>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</si>
  <si>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</si>
  <si>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</si>
  <si>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</si>
  <si>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</si>
  <si>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</si>
  <si>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</si>
  <si>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</si>
  <si>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</si>
  <si>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</si>
  <si>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SI NECESSITA PONTEGGIO PER CONTROLLO</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</si>
  <si>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</si>
  <si>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</si>
  <si>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</si>
  <si>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</si>
  <si>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</si>
  <si>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</si>
  <si>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</si>
  <si>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</si>
  <si>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</si>
  <si>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</si>
  <si>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</si>
  <si>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</si>
  <si>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</si>
  <si>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</si>
  <si>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</si>
  <si>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</si>
  <si>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</si>
  <si>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</si>
  <si>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</si>
  <si>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</si>
  <si>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</si>
  <si>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</si>
  <si>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</si>
  <si>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</si>
  <si>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</si>
  <si>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</si>
  <si>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</si>
  <si>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</si>
  <si>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</si>
  <si>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</si>
  <si>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</si>
  <si>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</si>
  <si>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</si>
  <si>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</si>
  <si>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</si>
  <si>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</si>
  <si>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</si>
  <si>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</si>
  <si>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</si>
  <si>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</si>
  <si>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</si>
  <si>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</si>
  <si>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</si>
  <si>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</si>
  <si>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</si>
  <si>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</si>
  <si>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</si>
  <si>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</si>
  <si>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</si>
  <si>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</si>
  <si>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</si>
  <si>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</si>
  <si>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</si>
  <si>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</si>
  <si>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</si>
  <si>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</si>
  <si>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</si>
  <si>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</si>
  <si>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</si>
  <si>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</si>
  <si>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</si>
  <si>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</si>
  <si>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</si>
  <si>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</si>
  <si>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</si>
  <si>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</si>
  <si>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</si>
  <si>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</si>
  <si>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</si>
  <si>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</si>
  <si>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</si>
  <si>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</si>
  <si>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</si>
  <si>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</si>
  <si>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</si>
  <si>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</si>
  <si>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</si>
  <si>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</si>
  <si>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</si>
  <si>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</si>
  <si>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</si>
  <si>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</si>
  <si>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</si>
  <si>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</si>
  <si>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</si>
  <si>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</si>
  <si>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</si>
  <si>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</si>
  <si>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</si>
  <si>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</si>
  <si>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</si>
  <si>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</si>
  <si>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</si>
  <si>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</si>
  <si>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</si>
  <si>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</si>
  <si>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</si>
  <si>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</si>
  <si>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</si>
  <si>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</si>
  <si>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</si>
  <si>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</si>
  <si>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</si>
  <si>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</si>
  <si>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</si>
  <si>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</si>
  <si>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</si>
  <si>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</si>
  <si>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</si>
  <si>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</si>
  <si>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</si>
  <si>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</si>
  <si>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</si>
  <si>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</si>
  <si>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</si>
  <si>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</si>
  <si>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</si>
  <si>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</si>
  <si>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</si>
  <si>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</si>
  <si>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</si>
  <si>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</si>
  <si>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</si>
  <si>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</si>
  <si>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</si>
  <si>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</si>
  <si>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</si>
  <si>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</si>
  <si>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</si>
  <si>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</si>
  <si>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</si>
  <si>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</si>
  <si>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</si>
  <si>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</si>
  <si>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</si>
  <si>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</si>
  <si>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</si>
  <si>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</si>
  <si>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</si>
  <si>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</si>
  <si>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</si>
  <si>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</si>
  <si>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</si>
  <si>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</si>
  <si>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</si>
  <si>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</si>
  <si>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</si>
  <si>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</si>
  <si>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</si>
  <si>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</si>
  <si>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</si>
  <si>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</si>
  <si>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</si>
  <si>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</si>
  <si>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</si>
  <si>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</si>
  <si>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</si>
  <si>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</si>
  <si>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</si>
  <si>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</si>
  <si>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</si>
  <si>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</si>
  <si>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</si>
  <si>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</si>
  <si>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</si>
  <si>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</si>
  <si>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</si>
  <si>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</si>
  <si>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</si>
  <si>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</si>
  <si>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</si>
  <si>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</si>
  <si>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</si>
  <si>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</si>
  <si>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</si>
  <si>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</si>
  <si>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</si>
  <si>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</si>
  <si>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</si>
  <si>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</si>
  <si>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</si>
  <si>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</si>
  <si>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</si>
  <si>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</si>
  <si>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</si>
  <si>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</si>
  <si>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</si>
  <si>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</si>
  <si>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</si>
  <si>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</si>
  <si>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</si>
  <si>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</si>
  <si>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</si>
  <si>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</si>
  <si>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</si>
  <si>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</si>
  <si>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</si>
  <si>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</si>
  <si>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</si>
  <si>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</si>
  <si>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</si>
  <si>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</si>
  <si>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</si>
  <si>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</si>
  <si>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</si>
  <si>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</si>
  <si>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</si>
  <si>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</si>
  <si>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</si>
  <si>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FORZATA IN APERTURA KV805</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</si>
  <si>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</si>
  <si>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</si>
  <si>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</si>
  <si>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</si>
  <si>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</si>
  <si>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</si>
  <si>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</si>
  <si>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</si>
  <si>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</si>
  <si>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</si>
  <si>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</si>
  <si>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</si>
  <si>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</si>
  <si>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</si>
  <si>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</si>
  <si>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</si>
  <si>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</si>
  <si>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</si>
  <si>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</si>
  <si>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</si>
  <si>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</si>
  <si>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</si>
  <si>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</si>
  <si>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</si>
  <si>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</si>
  <si>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</si>
  <si>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</si>
  <si>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</si>
  <si>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</si>
  <si>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</si>
  <si>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</si>
  <si>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</si>
  <si>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</si>
  <si>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</si>
  <si>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</si>
  <si>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</si>
  <si>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</si>
  <si>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</si>
  <si>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</si>
  <si>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</si>
  <si>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</si>
  <si>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</si>
  <si>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</si>
  <si>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</si>
  <si>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</si>
  <si>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</si>
  <si>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</si>
  <si>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</si>
  <si>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</si>
  <si>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</si>
  <si>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</si>
  <si>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</si>
  <si>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</si>
  <si>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</si>
  <si>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</si>
  <si>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</si>
  <si>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</si>
  <si>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</si>
  <si>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</si>
  <si>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</si>
  <si>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</si>
  <si>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</si>
  <si>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</si>
  <si>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</si>
  <si>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</si>
  <si>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</si>
  <si>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</si>
  <si>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</si>
  <si>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</si>
  <si>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</si>
  <si>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</si>
  <si>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</si>
  <si>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RICHIESTO</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</si>
  <si>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</si>
  <si>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</si>
  <si>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</si>
  <si>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</si>
  <si>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</si>
  <si>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</si>
  <si>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</si>
  <si>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</si>
  <si>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</si>
  <si>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</si>
  <si>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</si>
  <si>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</si>
  <si>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</si>
  <si>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</si>
  <si>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</si>
  <si>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</si>
  <si>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</si>
  <si>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</si>
  <si>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</si>
  <si>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</si>
  <si>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</si>
  <si>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</si>
  <si>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</si>
  <si>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</si>
  <si>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</si>
  <si>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</si>
  <si>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</si>
  <si>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</si>
  <si>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</si>
  <si>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</si>
  <si>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</si>
  <si>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</si>
  <si>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</si>
  <si>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</si>
  <si>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</si>
  <si>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</si>
  <si>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</si>
  <si>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</si>
  <si>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</si>
  <si>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</si>
  <si>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</si>
  <si>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</si>
  <si>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</si>
  <si>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</si>
  <si>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08/07/2025 00:00:00</t>
  </si>
  <si>
    <t>04/03/2025 00:00:00</t>
  </si>
  <si>
    <t>ALLEGRETTI</t>
  </si>
  <si>
    <t>ESEGUITO RIEMPIMENTO DEI PRIMARI CON ACQUA RIPRISTINANDO LA FUNZIONALITÀ.</t>
  </si>
  <si>
    <t>25/09/2025</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</si>
  <si>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</si>
  <si>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</si>
  <si>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</si>
  <si>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</si>
  <si>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</si>
  <si>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</si>
  <si>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</si>
  <si>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</si>
  <si>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</si>
  <si>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</si>
  <si>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</si>
  <si>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</si>
  <si>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</si>
  <si>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</si>
  <si>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</si>
  <si>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 xml:space="preserve">Attrezzatura: Strumento di Misura
- **Tipo_misura:** Portata
- **Azione_eseguita:** Taratura / Calibrazione
Regolati flussaggi e ripristinata traccia di vapore. </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</si>
  <si>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</si>
  <si>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</si>
  <si>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</si>
  <si>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</si>
  <si>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</si>
  <si>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</si>
  <si>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</si>
  <si>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</si>
  <si>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</si>
  <si>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</si>
  <si>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</si>
  <si>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</si>
  <si>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</si>
  <si>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</si>
  <si>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</si>
  <si>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</si>
  <si>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Processa permesso</t>
  </si>
  <si>
    <t>500-1-L017RC</t>
  </si>
  <si>
    <t>553010/C</t>
  </si>
  <si>
    <t>1000F170CV SERRAGGIO PREMITRECCIA PER ELIMINAZIONE PERDITA SU VALVOLA</t>
  </si>
  <si>
    <t>1000-1-F170RC</t>
  </si>
  <si>
    <t>553014/C</t>
  </si>
  <si>
    <t>1000T124R(R 101B)CONTROLLO E ALLINEAMENTO LOOP DI TEMPERATURA</t>
  </si>
  <si>
    <t>1000-1-T124R</t>
  </si>
  <si>
    <t>553019/C</t>
  </si>
  <si>
    <t>900F031RC(H2O A E-112A/B)RIPRISTINO MISURA DI PORTATA</t>
  </si>
  <si>
    <t>900-1-F031RC</t>
  </si>
  <si>
    <t>553020/C</t>
  </si>
  <si>
    <t>100T014I( GREZZO USCITA D101B)CONTROLLO E ALLINEAMENTO LOOP DI TEMPERATURA</t>
  </si>
  <si>
    <t>100-1-T014I</t>
  </si>
  <si>
    <t>DataUltimaModifica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</si>
</sst>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24">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0" fontId="0" fillId="12" borderId="1" xfId="0" applyFill="1" applyBorder="1"/>
    <xf numFmtId="22" fontId="2" fillId="0" borderId="1" xfId="0" applyNumberFormat="1" applyFont="1" applyBorder="1" applyAlignment="1">
      <alignment horizontal="left" vertical="center" wrapText="1"/>
    </xf>
    <xf numFmtId="164" fontId="2" fillId="0" borderId="0" xfId="0" applyNumberFormat="1" applyFont="1" applyBorder="1" applyAlignment="1">
      <alignment horizontal="left" vertical="center" wrapText="1"/>
    </xf>
    <xf numFmtId="22" fontId="7" fillId="0" borderId="0" xfId="0" applyNumberFormat="1" applyFont="1" applyAlignment="1">
      <alignment wrapText="1"/>
    </xf>
    <xf numFmtId="22" fontId="10" fillId="7" borderId="0" xfId="0" applyNumberFormat="1" applyFont="1" applyFill="1" applyBorder="1" applyAlignment="1">
      <alignment horizontal="center" vertical="center" wrapText="1"/>
    </xf>
    <xf numFmtId="22" fontId="2" fillId="0" borderId="0" xfId="0" applyNumberFormat="1" applyFont="1" applyAlignment="1">
      <alignment wrapText="1"/>
    </xf>
    <xf numFmtId="22" fontId="2" fillId="0" borderId="0" xfId="0" applyNumberFormat="1" applyFont="1" applyAlignment="1"/>
    <xf numFmtId="22" fontId="2" fillId="2" borderId="0" xfId="0" applyNumberFormat="1" applyFont="1" applyFill="1" applyAlignment="1"/>
    <xf numFmtId="22" fontId="7" fillId="0" borderId="0" xfId="0" applyNumberFormat="1" applyFont="1" applyFill="1" applyAlignment="1">
      <alignment wrapText="1"/>
    </xf>
    <xf numFmtId="22" fontId="2" fillId="0" borderId="0" xfId="0" applyNumberFormat="1" applyFont="1"/>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31" fillId="0" borderId="0" xfId="0" applyFont="1" applyAlignment="1">
      <alignment horizontal="center" vertical="center"/>
    </xf>
    <xf numFmtId="0" fontId="4" fillId="0" borderId="11" xfId="0" applyFont="1" applyBorder="1" applyAlignment="1">
      <alignment wrapText="1"/>
    </xf>
    <xf numFmtId="0" fontId="4" fillId="0" borderId="1" xfId="0" applyFont="1" applyBorder="1" applyAlignment="1">
      <alignment wrapText="1"/>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4" fillId="0" borderId="11" xfId="0" applyFont="1" applyBorder="1" applyAlignment="1"/>
    <xf numFmtId="0" fontId="4" fillId="0" borderId="1" xfId="0" applyFont="1" applyBorder="1" applyAlignment="1"/>
    <xf numFmtId="0" fontId="0" fillId="0" borderId="0" xfId="0" applyAlignment="1">
      <alignment horizontal="left" vertical="center"/>
    </xf>
    <xf numFmtId="0" fontId="25" fillId="0" borderId="18" xfId="0" applyFont="1" applyFill="1" applyBorder="1" applyAlignment="1">
      <alignment horizontal="left" vertical="center"/>
    </xf>
    <xf numFmtId="0" fontId="0" fillId="0" borderId="18" xfId="0" applyFill="1" applyBorder="1"/>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cellXfs>
  <cellStyles count="2">
    <cellStyle name="Collegamento ipertestuale" xfId="1" builtinId="8"/>
    <cellStyle name="Normale" xfId="0" builtinId="0"/>
  </cellStyles>
  <dxfs count="8146">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148</xdr:row>
          <xdr:rowOff>0</xdr:rowOff>
        </xdr:from>
        <xdr:to>
          <xdr:col>12</xdr:col>
          <xdr:colOff>0</xdr:colOff>
          <xdr:row>148</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7721500"/>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830"/>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4999"/>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186</xdr:row>
          <xdr:rowOff>0</xdr:rowOff>
        </xdr:from>
        <xdr:to>
          <xdr:col>12</xdr:col>
          <xdr:colOff>3810</xdr:colOff>
          <xdr:row>186</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0421500"/>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438</xdr:row>
          <xdr:rowOff>99060</xdr:rowOff>
        </xdr:from>
        <xdr:to>
          <xdr:col>12</xdr:col>
          <xdr:colOff>3810</xdr:colOff>
          <xdr:row>439</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3581060"/>
              <a:ext cx="8300296" cy="2819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292"/>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172"/>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172"/>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216"/>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22"/>
      <queryTableField id="2" name="MANUT" tableColumnId="23"/>
      <queryTableField id="3" name="PS" tableColumnId="24"/>
      <queryTableField id="4" name="AREA " tableColumnId="25"/>
      <queryTableField id="5" name="PdL" tableColumnId="26"/>
      <queryTableField id="6" name="IMP." tableColumnId="27"/>
      <queryTableField id="7" name="DESCRIZIONE_x000a_ATTIVITA'" tableColumnId="28"/>
      <queryTableField id="8" name="LUN" tableColumnId="29"/>
      <queryTableField id="9" name="MAR" tableColumnId="30"/>
      <queryTableField id="10" name="MER" tableColumnId="31"/>
      <queryTableField id="11" name="GIO" tableColumnId="32"/>
      <queryTableField id="12" name="VEN" tableColumnId="33"/>
      <queryTableField id="13" name="STATO_x000a_PdL" tableColumnId="34"/>
      <queryTableField id="14" name="ESE" tableColumnId="35"/>
      <queryTableField id="15" name="SAIT" tableColumnId="36"/>
      <queryTableField id="16" name="PONTEROSSO" tableColumnId="37"/>
      <queryTableField id="17" name="STATO_x000a_ATTIVITA'" tableColumnId="38"/>
      <queryTableField id="18" name="DATA_x000a_CONTROLLO" tableColumnId="39"/>
      <queryTableField id="19" name="PERSONALE_x000a_IMPIEGATO" tableColumnId="40"/>
      <queryTableField id="20" name="PO" tableColumnId="41"/>
      <queryTableField id="21" name="AVVISO" tableColumnId="42"/>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1" headerRowDxfId="6225" dataDxfId="6223" totalsRowDxfId="6221" headerRowBorderDxfId="6224" tableBorderDxfId="6222">
  <autoFilter ref="A3:U271"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1">
    <sortCondition ref="M3:M271"/>
  </sortState>
  <tableColumns count="21">
    <tableColumn id="17" xr3:uid="{00000000-0010-0000-0000-000011000000}" name="FERM" dataDxfId="6220" totalsRowDxfId="6219"/>
    <tableColumn id="16" xr3:uid="{00000000-0010-0000-0000-000010000000}" name="MANUT" dataDxfId="6218" totalsRowDxfId="6217"/>
    <tableColumn id="3" xr3:uid="{00000000-0010-0000-0000-000003000000}" name="PS" dataDxfId="6216" totalsRowDxfId="6215">
      <calculatedColumnFormula>IF(OR(TabellaA1[[#This Row],[LUN]]="X",TabellaA1[[#This Row],[MAR]]="X",TabellaA1[[#This Row],[MER]]="X",TabellaA1[[#This Row],[GIO]]="X",TabellaA1[[#This Row],[VEN]]="X",),"X","")</calculatedColumnFormula>
    </tableColumn>
    <tableColumn id="1" xr3:uid="{00000000-0010-0000-0000-000001000000}" name="AREA " totalsRowLabel="Totale" dataDxfId="6214" totalsRowDxfId="6213"/>
    <tableColumn id="7" xr3:uid="{00000000-0010-0000-0000-000007000000}" name="PdL" dataDxfId="6212" totalsRowDxfId="6211"/>
    <tableColumn id="12" xr3:uid="{00000000-0010-0000-0000-00000C000000}" name="IMP." dataDxfId="6210" totalsRowDxfId="6209"/>
    <tableColumn id="2" xr3:uid="{00000000-0010-0000-0000-000002000000}" name="DESCRIZIONE_x000a_ATTIVITA'" dataDxfId="6208" totalsRowDxfId="6207"/>
    <tableColumn id="14" xr3:uid="{00000000-0010-0000-0000-00000E000000}" name="LUN" dataDxfId="6206" totalsRowDxfId="6205"/>
    <tableColumn id="15" xr3:uid="{00000000-0010-0000-0000-00000F000000}" name="MAR" dataDxfId="6204" totalsRowDxfId="6203"/>
    <tableColumn id="5" xr3:uid="{00000000-0010-0000-0000-000005000000}" name="MER" dataDxfId="6202" totalsRowDxfId="6201"/>
    <tableColumn id="13" xr3:uid="{00000000-0010-0000-0000-00000D000000}" name="GIO" dataDxfId="6200" totalsRowDxfId="6199"/>
    <tableColumn id="4" xr3:uid="{00000000-0010-0000-0000-000004000000}" name="VEN" dataDxfId="6198" totalsRowDxfId="6197"/>
    <tableColumn id="9" xr3:uid="{00000000-0010-0000-0000-000009000000}" name="STATO_x000a_PdL" dataDxfId="6196" totalsRowDxfId="6195"/>
    <tableColumn id="20" xr3:uid="{00000000-0010-0000-0000-000014000000}" name="ESE" dataDxfId="6194" totalsRowDxfId="6193"/>
    <tableColumn id="19" xr3:uid="{00000000-0010-0000-0000-000013000000}" name="SAIT" dataDxfId="6192" totalsRowDxfId="6191"/>
    <tableColumn id="18" xr3:uid="{00000000-0010-0000-0000-000012000000}" name="PONTEROSSO" dataDxfId="6190" totalsRowDxfId="6189"/>
    <tableColumn id="10" xr3:uid="{00000000-0010-0000-0000-00000A000000}" name="STATO_x000a_ATTIVITA'" dataDxfId="6188" totalsRowDxfId="6187"/>
    <tableColumn id="6" xr3:uid="{00000000-0010-0000-0000-000006000000}" name="DATA_x000a_CONTROLLO" dataDxfId="6186" totalsRowDxfId="6185"/>
    <tableColumn id="8" xr3:uid="{00000000-0010-0000-0000-000008000000}" name="PERSONALE_x000a_IMPIEGATO" totalsRowFunction="count" dataDxfId="6184" totalsRowDxfId="6183"/>
    <tableColumn id="11" xr3:uid="{00000000-0010-0000-0000-00000B000000}" name="PO" dataDxfId="6182" totalsRowDxfId="6181">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6180" totalsRowDxfId="6179">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78" totalsRowShown="0" headerRowDxfId="5602" tableBorderDxfId="5601">
  <autoFilter ref="A3:U17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78">
    <sortCondition ref="M3:M178"/>
  </sortState>
  <tableColumns count="21">
    <tableColumn id="17" xr3:uid="{00000000-0010-0000-0100-000011000000}" name="FERM" dataDxfId="5600"/>
    <tableColumn id="16" xr3:uid="{00000000-0010-0000-0100-000010000000}" name="MANUT" dataDxfId="5599"/>
    <tableColumn id="1" xr3:uid="{00000000-0010-0000-0100-000001000000}" name="PS" dataDxfId="5598">
      <calculatedColumnFormula>IF(OR(Tabella1[[#This Row],[LUN]]="X",Tabella1[[#This Row],[MAR]]="X",Tabella1[[#This Row],[MER]]="X",Tabella1[[#This Row],[GIO]]="X",Tabella1[[#This Row],[VEN]]="X",),"X","")</calculatedColumnFormula>
    </tableColumn>
    <tableColumn id="2" xr3:uid="{00000000-0010-0000-0100-000002000000}" name="AREA " dataDxfId="5597"/>
    <tableColumn id="3" xr3:uid="{00000000-0010-0000-0100-000003000000}" name="PdL" dataDxfId="5596"/>
    <tableColumn id="4" xr3:uid="{00000000-0010-0000-0100-000004000000}" name="IMP." dataDxfId="5595"/>
    <tableColumn id="5" xr3:uid="{00000000-0010-0000-0100-000005000000}" name="DESCRIZIONE_x000a_ATTIVITA'" dataDxfId="5594"/>
    <tableColumn id="6" xr3:uid="{00000000-0010-0000-0100-000006000000}" name="LUN" dataDxfId="5593"/>
    <tableColumn id="7" xr3:uid="{00000000-0010-0000-0100-000007000000}" name="MAR" dataDxfId="5592"/>
    <tableColumn id="8" xr3:uid="{00000000-0010-0000-0100-000008000000}" name="MER" dataDxfId="5591"/>
    <tableColumn id="9" xr3:uid="{00000000-0010-0000-0100-000009000000}" name="GIO" dataDxfId="5590"/>
    <tableColumn id="10" xr3:uid="{00000000-0010-0000-0100-00000A000000}" name="VEN" dataDxfId="5589"/>
    <tableColumn id="11" xr3:uid="{00000000-0010-0000-0100-00000B000000}" name="STATO_x000a_PdL" dataDxfId="5588"/>
    <tableColumn id="20" xr3:uid="{00000000-0010-0000-0100-000014000000}" name="ESE" dataDxfId="5587"/>
    <tableColumn id="19" xr3:uid="{00000000-0010-0000-0100-000013000000}" name="SAIT" dataDxfId="5586"/>
    <tableColumn id="18" xr3:uid="{00000000-0010-0000-0100-000012000000}" name="PONTEROSSO" dataDxfId="5585"/>
    <tableColumn id="12" xr3:uid="{00000000-0010-0000-0100-00000C000000}" name="STATO_x000a_ATTIVITA'" dataDxfId="5584"/>
    <tableColumn id="13" xr3:uid="{00000000-0010-0000-0100-00000D000000}" name="DATA_x000a_CONTROLLO" dataDxfId="5583"/>
    <tableColumn id="14" xr3:uid="{00000000-0010-0000-0100-00000E000000}" name="PERSONALE_x000a_IMPIEGATO" dataDxfId="5582"/>
    <tableColumn id="15" xr3:uid="{00000000-0010-0000-0100-00000F000000}" name="PO" dataDxfId="5581">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580">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3" totalsRowShown="0" headerRowDxfId="3227" tableBorderDxfId="3226">
  <autoFilter ref="A3:U443"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43">
    <sortCondition ref="M3:M443"/>
  </sortState>
  <tableColumns count="21">
    <tableColumn id="17" xr3:uid="{00000000-0010-0000-0200-000011000000}" name="FERM" dataDxfId="3225"/>
    <tableColumn id="16" xr3:uid="{00000000-0010-0000-0200-000010000000}" name="MANUT" dataDxfId="3224"/>
    <tableColumn id="1" xr3:uid="{00000000-0010-0000-0200-000001000000}" name="PS" dataDxfId="3223">
      <calculatedColumnFormula>IF(OR(Tabella3[[#This Row],[LUN]]="X",Tabella3[[#This Row],[MAR]]="X",Tabella3[[#This Row],[MER]]="X",Tabella3[[#This Row],[GIO]]="X",Tabella3[[#This Row],[VEN]]="X",),"X","")</calculatedColumnFormula>
    </tableColumn>
    <tableColumn id="2" xr3:uid="{00000000-0010-0000-0200-000002000000}" name="AREA " dataDxfId="3222"/>
    <tableColumn id="3" xr3:uid="{00000000-0010-0000-0200-000003000000}" name="PdL" dataDxfId="3221"/>
    <tableColumn id="4" xr3:uid="{00000000-0010-0000-0200-000004000000}" name="IMP." dataDxfId="3220"/>
    <tableColumn id="5" xr3:uid="{00000000-0010-0000-0200-000005000000}" name="DESCRIZIONE_x000a_ATTIVITA'" dataDxfId="3219"/>
    <tableColumn id="6" xr3:uid="{00000000-0010-0000-0200-000006000000}" name="LUN" dataDxfId="3218"/>
    <tableColumn id="7" xr3:uid="{00000000-0010-0000-0200-000007000000}" name="MAR" dataDxfId="3217"/>
    <tableColumn id="8" xr3:uid="{00000000-0010-0000-0200-000008000000}" name="MER" dataDxfId="3216"/>
    <tableColumn id="9" xr3:uid="{00000000-0010-0000-0200-000009000000}" name="GIO" dataDxfId="3215"/>
    <tableColumn id="10" xr3:uid="{00000000-0010-0000-0200-00000A000000}" name="VEN" dataDxfId="3214"/>
    <tableColumn id="11" xr3:uid="{00000000-0010-0000-0200-00000B000000}" name="STATO_x000a_PdL" dataDxfId="3213"/>
    <tableColumn id="20" xr3:uid="{00000000-0010-0000-0200-000014000000}" name="ESE" dataDxfId="3212"/>
    <tableColumn id="19" xr3:uid="{00000000-0010-0000-0200-000013000000}" name="SAIT" dataDxfId="3211"/>
    <tableColumn id="18" xr3:uid="{00000000-0010-0000-0200-000012000000}" name="PONTEROSSO" dataDxfId="3210"/>
    <tableColumn id="12" xr3:uid="{00000000-0010-0000-0200-00000C000000}" name="STATO_x000a_ATTIVITA'" dataDxfId="3209"/>
    <tableColumn id="13" xr3:uid="{00000000-0010-0000-0200-00000D000000}" name="DATA_x000a_CONTROLLO" dataDxfId="3208"/>
    <tableColumn id="14" xr3:uid="{00000000-0010-0000-0200-00000E000000}" name="PERSONALE_x000a_IMPIEGATO" dataDxfId="3207"/>
    <tableColumn id="15" xr3:uid="{00000000-0010-0000-0200-00000F000000}" name="PO" dataDxfId="320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168" headerRowBorderDxfId="3167" tableBorderDxfId="3166">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
    <sortCondition ref="M3:M29"/>
  </sortState>
  <tableColumns count="21">
    <tableColumn id="17" xr3:uid="{00000000-0010-0000-0300-000011000000}" name="FERM" dataDxfId="3165"/>
    <tableColumn id="16" xr3:uid="{00000000-0010-0000-0300-000010000000}" name="MANUT" dataDxfId="3164">
      <calculatedColumnFormula>IF(OR(A4="x",A4="X"),"",IF(ISBLANK(A4),"X",""))</calculatedColumnFormula>
    </tableColumn>
    <tableColumn id="11" xr3:uid="{00000000-0010-0000-0300-00000B000000}" name="PS" dataDxfId="3163">
      <calculatedColumnFormula>IF(OR(TabellaCTE[[#This Row],[LUN]]="X",TabellaCTE[[#This Row],[MAR]]="X",TabellaCTE[[#This Row],[MER]]="X",TabellaCTE[[#This Row],[GIO]]="X",TabellaCTE[[#This Row],[VEN]]="X",),"X","")</calculatedColumnFormula>
    </tableColumn>
    <tableColumn id="1" xr3:uid="{00000000-0010-0000-0300-000001000000}" name="AREA " dataDxfId="3162"/>
    <tableColumn id="7" xr3:uid="{00000000-0010-0000-0300-000007000000}" name="PdL" dataDxfId="3161"/>
    <tableColumn id="12" xr3:uid="{00000000-0010-0000-0300-00000C000000}" name="IMP." dataDxfId="3160"/>
    <tableColumn id="2" xr3:uid="{00000000-0010-0000-0300-000002000000}" name="DESCRIZIONE_x000a_ATTIVITA'" dataDxfId="3159"/>
    <tableColumn id="5" xr3:uid="{00000000-0010-0000-0300-000005000000}" name="LUN" dataDxfId="3158"/>
    <tableColumn id="13" xr3:uid="{00000000-0010-0000-0300-00000D000000}" name="MAR" dataDxfId="3157"/>
    <tableColumn id="14" xr3:uid="{00000000-0010-0000-0300-00000E000000}" name="MER" dataDxfId="3156"/>
    <tableColumn id="4" xr3:uid="{00000000-0010-0000-0300-000004000000}" name="GIO" dataDxfId="3155"/>
    <tableColumn id="3" xr3:uid="{00000000-0010-0000-0300-000003000000}" name="VEN" dataDxfId="3154"/>
    <tableColumn id="9" xr3:uid="{00000000-0010-0000-0300-000009000000}" name="STATO_x000a_PdL" dataDxfId="3153"/>
    <tableColumn id="20" xr3:uid="{00000000-0010-0000-0300-000014000000}" name="ESE" dataDxfId="3152"/>
    <tableColumn id="19" xr3:uid="{00000000-0010-0000-0300-000013000000}" name="SAIT" dataDxfId="3151"/>
    <tableColumn id="18" xr3:uid="{00000000-0010-0000-0300-000012000000}" name="PONTEROSSO" dataDxfId="3150"/>
    <tableColumn id="10" xr3:uid="{00000000-0010-0000-0300-00000A000000}" name="STATO_x000a_ATTIVITA'" dataDxfId="3149"/>
    <tableColumn id="6" xr3:uid="{00000000-0010-0000-0300-000006000000}" name="DATA_x000a_CONTROLLO" dataDxfId="3148"/>
    <tableColumn id="8" xr3:uid="{00000000-0010-0000-0300-000008000000}" name="PERSONALE_x000a_IMPIEGATO" dataDxfId="3147"/>
    <tableColumn id="15" xr3:uid="{00000000-0010-0000-0300-00000F000000}" name="PO" dataDxfId="314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314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2" totalsRowShown="0" headerRowDxfId="84" headerRowBorderDxfId="83" tableBorderDxfId="82">
  <autoFilter ref="A3:U182"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2">
    <sortCondition ref="M3:M182"/>
  </sortState>
  <tableColumns count="21">
    <tableColumn id="17" xr3:uid="{00000000-0010-0000-0400-000011000000}" name="FERM" dataDxfId="81"/>
    <tableColumn id="16" xr3:uid="{00000000-0010-0000-0400-000010000000}" name="MANUT" dataDxfId="80"/>
    <tableColumn id="11" xr3:uid="{00000000-0010-0000-0400-00000B000000}" name="PS" dataDxfId="79">
      <calculatedColumnFormula>IF(OR(TabellaBLENDING[[#This Row],[LUN]]="X",TabellaBLENDING[[#This Row],[MAR]]="X",TabellaBLENDING[[#This Row],[MER]]="X",TabellaBLENDING[[#This Row],[GIO]]="X",TabellaBLENDING[[#This Row],[VEN]]="X",),"X","")</calculatedColumnFormula>
    </tableColumn>
    <tableColumn id="1" xr3:uid="{00000000-0010-0000-0400-000001000000}" name="AREA " dataDxfId="78"/>
    <tableColumn id="7" xr3:uid="{00000000-0010-0000-0400-000007000000}" name="PdL" dataDxfId="77"/>
    <tableColumn id="12" xr3:uid="{00000000-0010-0000-0400-00000C000000}" name="IMP." dataDxfId="76"/>
    <tableColumn id="2" xr3:uid="{00000000-0010-0000-0400-000002000000}" name="DESCRIZIONE_x000a_ATTIVITA'" dataDxfId="75"/>
    <tableColumn id="5" xr3:uid="{00000000-0010-0000-0400-000005000000}" name="LUN" dataDxfId="74"/>
    <tableColumn id="13" xr3:uid="{00000000-0010-0000-0400-00000D000000}" name="MAR" dataDxfId="73"/>
    <tableColumn id="14" xr3:uid="{00000000-0010-0000-0400-00000E000000}" name="MER" dataDxfId="72"/>
    <tableColumn id="4" xr3:uid="{00000000-0010-0000-0400-000004000000}" name="GIO" dataDxfId="71"/>
    <tableColumn id="3" xr3:uid="{00000000-0010-0000-0400-000003000000}" name="VEN" dataDxfId="70"/>
    <tableColumn id="9" xr3:uid="{00000000-0010-0000-0400-000009000000}" name="STATO_x000a_PdL" dataDxfId="69"/>
    <tableColumn id="20" xr3:uid="{00000000-0010-0000-0400-000014000000}" name="ESE" dataDxfId="68"/>
    <tableColumn id="19" xr3:uid="{00000000-0010-0000-0400-000013000000}" name="SAIT" dataDxfId="67"/>
    <tableColumn id="18" xr3:uid="{00000000-0010-0000-0400-000012000000}" name="PONTEROSSO" dataDxfId="66"/>
    <tableColumn id="10" xr3:uid="{00000000-0010-0000-0400-00000A000000}" name="STATO_x000a_ATTIVITA'" dataDxfId="65"/>
    <tableColumn id="6" xr3:uid="{00000000-0010-0000-0400-000006000000}" name="DATA_x000a_CONTROLLO" dataDxfId="64"/>
    <tableColumn id="8" xr3:uid="{00000000-0010-0000-0400-000008000000}" name="PERSONALE_x000a_IMPIEGATO" dataDxfId="63"/>
    <tableColumn id="15" xr3:uid="{00000000-0010-0000-0400-00000F000000}"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091" tableType="queryTable" totalsRowShown="0" headerRowDxfId="54" dataDxfId="53">
  <autoFilter ref="A3:U1091" xr:uid="{4A00996F-0004-4008-B35A-2DD4C20E91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091">
    <sortCondition ref="M3:M1091"/>
  </sortState>
  <tableColumns count="21">
    <tableColumn id="22" xr3:uid="{E9DE6D1E-264A-4907-ABA6-D1329FA986C8}" uniqueName="22" name="FERM" queryTableFieldId="1" dataDxfId="52"/>
    <tableColumn id="23" xr3:uid="{30C0A4B2-23A1-447F-9F38-DBBC4FD3B842}" uniqueName="23" name="MANUT" queryTableFieldId="2" dataDxfId="51"/>
    <tableColumn id="24" xr3:uid="{1165DF1D-44ED-4E0D-A1E0-26B2B41DB3CF}" uniqueName="24" name="PS" queryTableFieldId="3" dataDxfId="50"/>
    <tableColumn id="25" xr3:uid="{4365C35E-2F78-4267-83D7-AFA1059D4668}" uniqueName="25" name="AREA " queryTableFieldId="4" dataDxfId="49"/>
    <tableColumn id="26" xr3:uid="{6822848F-BAE7-45EC-8CEF-8F468BD742B5}" uniqueName="26" name="PdL" queryTableFieldId="5" dataDxfId="48"/>
    <tableColumn id="27" xr3:uid="{D5FC0184-3622-439C-9C7C-90456332A6BE}" uniqueName="27" name="IMP." queryTableFieldId="6" dataDxfId="47"/>
    <tableColumn id="28" xr3:uid="{F92A6875-C72D-48E7-9809-061D1938C8F9}" uniqueName="28" name="DESCRIZIONE_x000a_ATTIVITA'" queryTableFieldId="7" dataDxfId="46"/>
    <tableColumn id="29" xr3:uid="{53E4FF58-4692-477B-8C9F-CA276D94F153}" uniqueName="29" name="LUN" queryTableFieldId="8" dataDxfId="45"/>
    <tableColumn id="30" xr3:uid="{7F20C5EA-7C01-46FA-A2A4-66F078AB7A42}" uniqueName="30" name="MAR" queryTableFieldId="9" dataDxfId="44"/>
    <tableColumn id="31" xr3:uid="{7588B676-1228-4F4A-93C7-5E4A9CFF3A8E}" uniqueName="31" name="MER" queryTableFieldId="10" dataDxfId="43"/>
    <tableColumn id="32" xr3:uid="{06FFADA6-4268-4207-91B8-0919DC4DB863}" uniqueName="32" name="GIO" queryTableFieldId="11" dataDxfId="42"/>
    <tableColumn id="33" xr3:uid="{E0F1272B-ADA6-4365-9798-1F3FC05D39D1}" uniqueName="33" name="VEN" queryTableFieldId="12" dataDxfId="41"/>
    <tableColumn id="34" xr3:uid="{C6AC034B-955C-4E5E-B5E1-F0E59F491439}" uniqueName="34" name="STATO_x000a_PdL" queryTableFieldId="13" dataDxfId="40"/>
    <tableColumn id="35" xr3:uid="{A7B2FEC8-FC66-4EA4-8F3B-F765017C0F12}" uniqueName="35" name="ESE" queryTableFieldId="14" dataDxfId="39"/>
    <tableColumn id="36" xr3:uid="{36FE52BF-9259-4DA4-A37A-4801D51D87E9}" uniqueName="36" name="SAIT" queryTableFieldId="15" dataDxfId="38"/>
    <tableColumn id="37" xr3:uid="{89B1DD9D-D6CD-4DB1-9C0C-097D879AEF91}" uniqueName="37" name="PONTEROSSO" queryTableFieldId="16" dataDxfId="37"/>
    <tableColumn id="38" xr3:uid="{6753CC59-EA76-425A-BE4C-FE1F81AF07D2}" uniqueName="38" name="STATO_x000a_ATTIVITA'" queryTableFieldId="17" dataDxfId="36"/>
    <tableColumn id="39" xr3:uid="{B441E2BE-BB4F-4942-8C5B-B91706C611A1}" uniqueName="39" name="DATA_x000a_CONTROLLO" queryTableFieldId="18" dataDxfId="35"/>
    <tableColumn id="40" xr3:uid="{B4087412-87D5-4E14-A8A3-F88A99F9D561}" uniqueName="40" name="PERSONALE_x000a_IMPIEGATO" queryTableFieldId="19" dataDxfId="34"/>
    <tableColumn id="41" xr3:uid="{F7248DFD-0340-4F57-B56A-E6D3190B5FE2}" uniqueName="41" name="PO" queryTableFieldId="20" dataDxfId="33"/>
    <tableColumn id="42" xr3:uid="{DF053997-771C-4049-8E70-01E122DB89EF}" uniqueName="42" name="AVVISO" queryTableFieldId="21" dataDxfId="3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20" dataDxfId="19">
  <autoFilter ref="A2:S13" xr:uid="{62061F4F-60A1-4AFA-9DD4-3EAC6263C89E}"/>
  <tableColumns count="19">
    <tableColumn id="1" xr3:uid="{C934B9D9-2705-4B6E-9B92-C1B959DA02EE}" name="N. PdL" dataDxfId="18"/>
    <tableColumn id="2" xr3:uid="{EC01FC21-F711-42B0-83FE-8AE30D510B65}" name="Descrizione PdL" dataDxfId="17"/>
    <tableColumn id="3" xr3:uid="{C854DBD1-BCCB-48FF-84BC-617AB85EB634}" name="Stato PdL" dataDxfId="16"/>
    <tableColumn id="4" xr3:uid="{AB3C2448-F429-4615-979F-F21BDE97BAA7}" name="OdC" dataDxfId="15"/>
    <tableColumn id="5" xr3:uid="{7CBCB13B-9FB4-4BD7-84B4-D397C1539D30}" name="Apparecchiatura" dataDxfId="14"/>
    <tableColumn id="6" xr3:uid="{7B30B6B4-13D2-4F39-B75E-2E72E8DB1135}" name="Unità" dataDxfId="13"/>
    <tableColumn id="7" xr3:uid="{461BB71B-63F1-4343-BC41-2C08FC37575E}" name="Area" dataDxfId="12"/>
    <tableColumn id="8" xr3:uid="{C5097F76-7E57-4E79-B9D2-9A133AA8EEA5}" name="Richiedente" dataDxfId="11"/>
    <tableColumn id="9" xr3:uid="{2F48FACE-15B1-4E35-9F6E-B18069B9EC9D}" name="AVVISO" dataDxfId="10"/>
    <tableColumn id="10" xr3:uid="{E2C1469A-88C8-49EF-967E-5B9A26EEF582}" name=".." dataDxfId="9"/>
    <tableColumn id="11" xr3:uid="{6F633B54-09BA-4C17-9BDD-280255CCFB53}" name="STATO PdL2" dataDxfId="8"/>
    <tableColumn id="12" xr3:uid="{9C642288-7B8B-47F0-81BF-7A5FBC0BF867}" name="ESE" dataDxfId="7"/>
    <tableColumn id="13" xr3:uid="{0D8403DF-32E2-4DFF-904F-8025B1A794B9}" name="SAIT" dataDxfId="6"/>
    <tableColumn id="14" xr3:uid="{B654058C-1EEC-4BF7-8AA4-8C67A7A9A4D9}" name="PR" dataDxfId="5"/>
    <tableColumn id="15" xr3:uid="{C4322CF6-701B-4709-A0F1-B552F7D40FA8}" name="AZIONE CORRETTIVA" dataDxfId="4"/>
    <tableColumn id="16" xr3:uid="{EB711042-0449-4C6A-B354-64588043D540}" name="DATA CONTROLLO" dataDxfId="3"/>
    <tableColumn id="17" xr3:uid="{BB2E7DD5-9923-445F-A211-EAC4CE8B5EB7}" name="PERSONALE IMPIEGATO" dataDxfId="2"/>
    <tableColumn id="18" xr3:uid="{1AF9FC7D-373B-4FAE-BBFB-E289C1805EF6}" name="." dataDxfId="1"/>
    <tableColumn id="19" xr3:uid="{E1D6563C-0D52-48B5-960D-CA91AE2B16DA}" name="CARICA?" dataDxfId="0"/>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1"/>
  <sheetViews>
    <sheetView topLeftCell="E4" workbookViewId="0">
      <selection activeCell="K13" sqref="K13"/>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69" customWidth="1"/>
    <col min="17" max="17" width="55.625" style="4" customWidth="1"/>
    <col min="18" max="18" width="11.375" style="49" bestFit="1" customWidth="1"/>
    <col min="19" max="19" width="13.125" style="4" customWidth="1"/>
    <col min="20" max="20" width="3.125" style="4" customWidth="1"/>
    <col min="21" max="16384" width="10.75" style="4"/>
  </cols>
  <sheetData>
    <row r="1" spans="1:22" ht="128.1" customHeight="1" x14ac:dyDescent="0.35">
      <c r="A1" s="194"/>
      <c r="B1" s="194"/>
      <c r="C1" s="194"/>
      <c r="D1" s="194"/>
      <c r="G1" s="13"/>
      <c r="L1" s="38"/>
      <c r="M1" s="62" t="s">
        <v>1270</v>
      </c>
      <c r="N1" s="10"/>
      <c r="O1" s="168"/>
      <c r="P1" s="168"/>
      <c r="Q1" s="62" t="s">
        <v>1271</v>
      </c>
    </row>
    <row r="2" spans="1:22" s="10" customFormat="1" ht="21" x14ac:dyDescent="0.35">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5" t="s">
        <v>1256</v>
      </c>
      <c r="O2" s="195"/>
      <c r="P2" s="195"/>
      <c r="Q2" s="40"/>
      <c r="R2" s="5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19" t="s">
        <v>1392</v>
      </c>
      <c r="V3" s="19" t="s">
        <v>3158</v>
      </c>
    </row>
    <row r="4" spans="1:22" s="19" customFormat="1" ht="30" x14ac:dyDescent="0.2">
      <c r="A4" s="112"/>
      <c r="B4" s="112"/>
      <c r="C4" s="112" t="str">
        <f>IF(OR(TabellaA1[[#This Row],[LUN]]="X",TabellaA1[[#This Row],[MAR]]="X",TabellaA1[[#This Row],[MER]]="X",TabellaA1[[#This Row],[GIO]]="X",TabellaA1[[#This Row],[VEN]]="X",),"X","")</f>
        <v/>
      </c>
      <c r="D4" s="113" t="s">
        <v>8</v>
      </c>
      <c r="E4" s="109" t="s">
        <v>2363</v>
      </c>
      <c r="F4" s="109">
        <v>400</v>
      </c>
      <c r="G4" s="109" t="s">
        <v>2364</v>
      </c>
      <c r="H4" s="111"/>
      <c r="I4" s="111"/>
      <c r="J4" s="111"/>
      <c r="K4" s="111"/>
      <c r="L4" s="111"/>
      <c r="M4" s="109" t="s">
        <v>1258</v>
      </c>
      <c r="N4" s="110"/>
      <c r="O4" s="167"/>
      <c r="P4" s="167"/>
      <c r="Q4" s="110" t="s">
        <v>2580</v>
      </c>
      <c r="R4" s="110">
        <v>45880</v>
      </c>
      <c r="S4" s="110" t="s">
        <v>239</v>
      </c>
      <c r="T4" s="114" t="str">
        <f ca="1">IF(AND('Inserimento dati'!$B$3=$H$2, TabellaA1[[#This Row],[LUN]]="X"), "X",IF(AND('Inserimento dati'!$B$3=$I$2, TabellaA1[[#This Row],[MAR]]="X"), "X", IF(AND('Inserimento dati'!$B$3=$J$2, TabellaA1[[#This Row],[MER]]="X"), "X",IF(AND('Inserimento dati'!$B$3=$K$2, TabellaA1[[#This Row],[GIO]]="X"), "X", IF(AND('Inserimento dati'!$B$3=$L$2, TabellaA1[[#This Row],[VEN]]="X"), "X","")))))</f>
        <v/>
      </c>
      <c r="U4" s="119"/>
      <c r="V4" s="187">
        <v>45930.833333333336</v>
      </c>
    </row>
    <row r="5" spans="1:22" s="19" customFormat="1" ht="30" x14ac:dyDescent="0.2">
      <c r="A5" s="112"/>
      <c r="B5" s="112"/>
      <c r="C5" s="112" t="str">
        <f>IF(OR(TabellaA1[[#This Row],[LUN]]="X",TabellaA1[[#This Row],[MAR]]="X",TabellaA1[[#This Row],[MER]]="X",TabellaA1[[#This Row],[GIO]]="X",TabellaA1[[#This Row],[VEN]]="X",),"X","")</f>
        <v/>
      </c>
      <c r="D5" s="113" t="s">
        <v>8</v>
      </c>
      <c r="E5" s="109" t="s">
        <v>2574</v>
      </c>
      <c r="F5" s="109">
        <v>900</v>
      </c>
      <c r="G5" s="109" t="s">
        <v>2575</v>
      </c>
      <c r="H5" s="111"/>
      <c r="I5" s="111"/>
      <c r="J5" s="111"/>
      <c r="K5" s="111"/>
      <c r="L5" s="111"/>
      <c r="M5" s="109" t="s">
        <v>1258</v>
      </c>
      <c r="N5" s="110"/>
      <c r="O5" s="167"/>
      <c r="P5" s="167"/>
      <c r="Q5" s="110" t="s">
        <v>2580</v>
      </c>
      <c r="R5" s="110"/>
      <c r="S5" s="110"/>
      <c r="T5" s="114" t="str">
        <f ca="1">IF(AND('Inserimento dati'!$B$3=$H$2, TabellaA1[[#This Row],[LUN]]="X"), "X",IF(AND('Inserimento dati'!$B$3=$I$2, TabellaA1[[#This Row],[MAR]]="X"), "X", IF(AND('Inserimento dati'!$B$3=$J$2, TabellaA1[[#This Row],[MER]]="X"), "X",IF(AND('Inserimento dati'!$B$3=$K$2, TabellaA1[[#This Row],[GIO]]="X"), "X", IF(AND('Inserimento dati'!$B$3=$L$2, TabellaA1[[#This Row],[VEN]]="X"), "X","")))))</f>
        <v/>
      </c>
      <c r="U5" s="119"/>
      <c r="V5" s="187">
        <v>45930.833333333336</v>
      </c>
    </row>
    <row r="6" spans="1:22" s="19" customFormat="1" ht="23.25" x14ac:dyDescent="0.2">
      <c r="A6" s="112"/>
      <c r="B6" s="112"/>
      <c r="C6" s="112" t="str">
        <f>IF(OR(TabellaA1[[#This Row],[LUN]]="X",TabellaA1[[#This Row],[MAR]]="X",TabellaA1[[#This Row],[MER]]="X",TabellaA1[[#This Row],[GIO]]="X",TabellaA1[[#This Row],[VEN]]="X",),"X","")</f>
        <v/>
      </c>
      <c r="D6" s="113" t="s">
        <v>8</v>
      </c>
      <c r="E6" s="109" t="s">
        <v>2368</v>
      </c>
      <c r="F6" s="109">
        <v>400</v>
      </c>
      <c r="G6" s="109" t="s">
        <v>2367</v>
      </c>
      <c r="H6" s="111"/>
      <c r="I6" s="111"/>
      <c r="J6" s="111"/>
      <c r="K6" s="111"/>
      <c r="L6" s="111"/>
      <c r="M6" s="109" t="s">
        <v>1258</v>
      </c>
      <c r="N6" s="110"/>
      <c r="O6" s="167"/>
      <c r="P6" s="167"/>
      <c r="Q6" s="110"/>
      <c r="R6" s="110"/>
      <c r="S6" s="110"/>
      <c r="T6" s="114" t="str">
        <f ca="1">IF(AND('Inserimento dati'!$B$3=$H$2, TabellaA1[[#This Row],[LUN]]="X"), "X",IF(AND('Inserimento dati'!$B$3=$I$2, TabellaA1[[#This Row],[MAR]]="X"), "X", IF(AND('Inserimento dati'!$B$3=$J$2, TabellaA1[[#This Row],[MER]]="X"), "X",IF(AND('Inserimento dati'!$B$3=$K$2, TabellaA1[[#This Row],[GIO]]="X"), "X", IF(AND('Inserimento dati'!$B$3=$L$2, TabellaA1[[#This Row],[VEN]]="X"), "X","")))))</f>
        <v/>
      </c>
      <c r="U6" s="119"/>
      <c r="V6" s="187">
        <v>45930.833333333336</v>
      </c>
    </row>
    <row r="7" spans="1:22" s="19" customFormat="1" ht="23.25" x14ac:dyDescent="0.2">
      <c r="A7" s="112"/>
      <c r="B7" s="112"/>
      <c r="C7" s="112" t="str">
        <f>IF(OR(TabellaA1[[#This Row],[LUN]]="X",TabellaA1[[#This Row],[MAR]]="X",TabellaA1[[#This Row],[MER]]="X",TabellaA1[[#This Row],[GIO]]="X",TabellaA1[[#This Row],[VEN]]="X",),"X","")</f>
        <v/>
      </c>
      <c r="D7" s="113" t="s">
        <v>8</v>
      </c>
      <c r="E7" s="109" t="s">
        <v>1579</v>
      </c>
      <c r="F7" s="109">
        <v>300</v>
      </c>
      <c r="G7" s="109" t="s">
        <v>1578</v>
      </c>
      <c r="H7" s="111"/>
      <c r="I7" s="111"/>
      <c r="J7" s="111"/>
      <c r="K7" s="111"/>
      <c r="L7" s="111"/>
      <c r="M7" s="109" t="s">
        <v>1258</v>
      </c>
      <c r="N7" s="110"/>
      <c r="O7" s="167"/>
      <c r="P7" s="167"/>
      <c r="Q7" s="110" t="s">
        <v>1722</v>
      </c>
      <c r="R7" s="110">
        <v>45825</v>
      </c>
      <c r="S7" s="110" t="s">
        <v>203</v>
      </c>
      <c r="T7" s="114" t="str">
        <f ca="1">IF(AND('Inserimento dati'!$B$3=$H$2, TabellaA1[[#This Row],[LUN]]="X"), "X",IF(AND('Inserimento dati'!$B$3=$I$2, TabellaA1[[#This Row],[MAR]]="X"), "X", IF(AND('Inserimento dati'!$B$3=$J$2, TabellaA1[[#This Row],[MER]]="X"), "X",IF(AND('Inserimento dati'!$B$3=$K$2, TabellaA1[[#This Row],[GIO]]="X"), "X", IF(AND('Inserimento dati'!$B$3=$L$2, TabellaA1[[#This Row],[VEN]]="X"), "X","")))))</f>
        <v/>
      </c>
      <c r="U7" s="148" t="str">
        <f t="shared" ref="U7:U38" ca="1" si="0">IFERROR(MID(G7,_xlfn.AGGREGATE(15,6,(ROW(INDIRECT("1:"&amp;LEN(G7)-7)))/(ISNUMBER(--MID(G7,ROW(INDIRECT("1:"&amp;LEN(G7)-7)),8))),1),8),"")</f>
        <v/>
      </c>
      <c r="V7" s="187">
        <v>45930.833333333336</v>
      </c>
    </row>
    <row r="8" spans="1:22" s="19" customFormat="1" ht="30" x14ac:dyDescent="0.2">
      <c r="A8" s="112"/>
      <c r="B8" s="112" t="str">
        <f>IF(OR(A8="x",A8="X"),"",IF(ISBLANK(A8),"X",""))</f>
        <v>X</v>
      </c>
      <c r="C8" s="112" t="str">
        <f>IF(OR(TabellaA1[[#This Row],[LUN]]="X",TabellaA1[[#This Row],[MAR]]="X",TabellaA1[[#This Row],[MER]]="X",TabellaA1[[#This Row],[GIO]]="X",TabellaA1[[#This Row],[VEN]]="X",),"X","")</f>
        <v/>
      </c>
      <c r="D8" s="113" t="s">
        <v>8</v>
      </c>
      <c r="E8" s="109" t="s">
        <v>1603</v>
      </c>
      <c r="F8" s="109">
        <v>400</v>
      </c>
      <c r="G8" s="109" t="s">
        <v>1604</v>
      </c>
      <c r="H8" s="111"/>
      <c r="I8" s="111"/>
      <c r="J8" s="111"/>
      <c r="K8" s="111"/>
      <c r="L8" s="111"/>
      <c r="M8" s="109" t="s">
        <v>1258</v>
      </c>
      <c r="N8" s="110"/>
      <c r="O8" s="167"/>
      <c r="P8" s="167"/>
      <c r="Q8" s="110"/>
      <c r="R8" s="110">
        <v>45814</v>
      </c>
      <c r="S8" s="110" t="s">
        <v>239</v>
      </c>
      <c r="T8" s="114" t="str">
        <f ca="1">IF(AND('Inserimento dati'!$B$3=$H$2, TabellaA1[[#This Row],[LUN]]="X"), "X",IF(AND('Inserimento dati'!$B$3=$I$2, TabellaA1[[#This Row],[MAR]]="X"), "X", IF(AND('Inserimento dati'!$B$3=$J$2, TabellaA1[[#This Row],[MER]]="X"), "X",IF(AND('Inserimento dati'!$B$3=$K$2, TabellaA1[[#This Row],[GIO]]="X"), "X", IF(AND('Inserimento dati'!$B$3=$L$2, TabellaA1[[#This Row],[VEN]]="X"), "X","")))))</f>
        <v/>
      </c>
      <c r="U8" s="148" t="str">
        <f t="shared" ca="1" si="0"/>
        <v/>
      </c>
      <c r="V8" s="187">
        <v>45930.833333333336</v>
      </c>
    </row>
    <row r="9" spans="1:22" s="19" customFormat="1" ht="23.25" x14ac:dyDescent="0.2">
      <c r="A9" s="112"/>
      <c r="B9" s="112"/>
      <c r="C9" s="112" t="str">
        <f>IF(OR(TabellaA1[[#This Row],[LUN]]="X",TabellaA1[[#This Row],[MAR]]="X",TabellaA1[[#This Row],[MER]]="X",TabellaA1[[#This Row],[GIO]]="X",TabellaA1[[#This Row],[VEN]]="X",),"X","")</f>
        <v/>
      </c>
      <c r="D9" s="113" t="s">
        <v>8</v>
      </c>
      <c r="E9" s="109" t="s">
        <v>1567</v>
      </c>
      <c r="F9" s="109">
        <v>200</v>
      </c>
      <c r="G9" s="109" t="s">
        <v>1565</v>
      </c>
      <c r="H9" s="111"/>
      <c r="I9" s="111"/>
      <c r="J9" s="111"/>
      <c r="K9" s="111"/>
      <c r="L9" s="111"/>
      <c r="M9" s="109" t="s">
        <v>1258</v>
      </c>
      <c r="N9" s="110"/>
      <c r="O9" s="167"/>
      <c r="P9" s="167"/>
      <c r="Q9" s="110"/>
      <c r="R9" s="110">
        <v>45813</v>
      </c>
      <c r="S9" s="110" t="s">
        <v>705</v>
      </c>
      <c r="T9" s="114" t="str">
        <f ca="1">IF(AND('Inserimento dati'!$B$3=$H$2, TabellaA1[[#This Row],[LUN]]="X"), "X",IF(AND('Inserimento dati'!$B$3=$I$2, TabellaA1[[#This Row],[MAR]]="X"), "X", IF(AND('Inserimento dati'!$B$3=$J$2, TabellaA1[[#This Row],[MER]]="X"), "X",IF(AND('Inserimento dati'!$B$3=$K$2, TabellaA1[[#This Row],[GIO]]="X"), "X", IF(AND('Inserimento dati'!$B$3=$L$2, TabellaA1[[#This Row],[VEN]]="X"), "X","")))))</f>
        <v/>
      </c>
      <c r="U9" s="148" t="str">
        <f t="shared" ca="1" si="0"/>
        <v/>
      </c>
      <c r="V9" s="187">
        <v>45930.833333333336</v>
      </c>
    </row>
    <row r="10" spans="1:22" s="19" customFormat="1" ht="30" x14ac:dyDescent="0.2">
      <c r="A10" s="112"/>
      <c r="B10" s="112" t="str">
        <f>IF(OR(A10="x",A10="X"),"",IF(ISBLANK(A10),"X",""))</f>
        <v>X</v>
      </c>
      <c r="C10" s="112" t="str">
        <f>IF(OR(TabellaA1[[#This Row],[LUN]]="X",TabellaA1[[#This Row],[MAR]]="X",TabellaA1[[#This Row],[MER]]="X",TabellaA1[[#This Row],[GIO]]="X",TabellaA1[[#This Row],[VEN]]="X",),"X","")</f>
        <v/>
      </c>
      <c r="D10" s="113" t="s">
        <v>8</v>
      </c>
      <c r="E10" s="109" t="s">
        <v>1387</v>
      </c>
      <c r="F10" s="109">
        <v>400</v>
      </c>
      <c r="G10" s="109" t="s">
        <v>1386</v>
      </c>
      <c r="H10" s="111"/>
      <c r="I10" s="111"/>
      <c r="J10" s="111"/>
      <c r="K10" s="111"/>
      <c r="L10" s="111"/>
      <c r="M10" s="109" t="s">
        <v>1258</v>
      </c>
      <c r="N10" s="110"/>
      <c r="O10" s="167"/>
      <c r="P10" s="167"/>
      <c r="Q10" s="110"/>
      <c r="R10" s="110"/>
      <c r="S10" s="110"/>
      <c r="T10" s="115" t="str">
        <f ca="1">IF(AND('Inserimento dati'!$B$3=$H$2, TabellaA1[[#This Row],[LUN]]="X"), "X",IF(AND('Inserimento dati'!$B$3=$I$2, TabellaA1[[#This Row],[MAR]]="X"), "X", IF(AND('Inserimento dati'!$B$3=$J$2, TabellaA1[[#This Row],[MER]]="X"), "X",IF(AND('Inserimento dati'!$B$3=$K$2, TabellaA1[[#This Row],[GIO]]="X"), "X", IF(AND('Inserimento dati'!$B$3=$L$2, TabellaA1[[#This Row],[VEN]]="X"), "X","")))))</f>
        <v/>
      </c>
      <c r="U10" s="159" t="str">
        <f t="shared" ca="1" si="0"/>
        <v/>
      </c>
      <c r="V10" s="187">
        <v>45930.833333333336</v>
      </c>
    </row>
    <row r="11" spans="1:22" s="19" customFormat="1" ht="23.25" x14ac:dyDescent="0.2">
      <c r="A11" s="112"/>
      <c r="B11" s="112"/>
      <c r="C11" s="112" t="str">
        <f>IF(OR(TabellaA1[[#This Row],[LUN]]="X",TabellaA1[[#This Row],[MAR]]="X",TabellaA1[[#This Row],[MER]]="X",TabellaA1[[#This Row],[GIO]]="X",TabellaA1[[#This Row],[VEN]]="X",),"X","")</f>
        <v/>
      </c>
      <c r="D11" s="113" t="s">
        <v>8</v>
      </c>
      <c r="E11" s="109" t="s">
        <v>1445</v>
      </c>
      <c r="F11" s="109">
        <v>300</v>
      </c>
      <c r="G11" s="109" t="s">
        <v>1444</v>
      </c>
      <c r="H11" s="111"/>
      <c r="I11" s="111"/>
      <c r="J11" s="111"/>
      <c r="K11" s="111"/>
      <c r="L11" s="111"/>
      <c r="M11" s="109" t="s">
        <v>1258</v>
      </c>
      <c r="N11" s="110"/>
      <c r="O11" s="167"/>
      <c r="P11" s="167"/>
      <c r="Q11" s="110"/>
      <c r="R11" s="110"/>
      <c r="S11" s="110"/>
      <c r="T11" s="114" t="str">
        <f ca="1">IF(AND('Inserimento dati'!$B$3=$H$2, TabellaA1[[#This Row],[LUN]]="X"), "X",IF(AND('Inserimento dati'!$B$3=$I$2, TabellaA1[[#This Row],[MAR]]="X"), "X", IF(AND('Inserimento dati'!$B$3=$J$2, TabellaA1[[#This Row],[MER]]="X"), "X",IF(AND('Inserimento dati'!$B$3=$K$2, TabellaA1[[#This Row],[GIO]]="X"), "X", IF(AND('Inserimento dati'!$B$3=$L$2, TabellaA1[[#This Row],[VEN]]="X"), "X","")))))</f>
        <v/>
      </c>
      <c r="U11" s="148" t="str">
        <f t="shared" ca="1" si="0"/>
        <v/>
      </c>
      <c r="V11" s="187">
        <v>45930.833333333336</v>
      </c>
    </row>
    <row r="12" spans="1:22" s="19" customFormat="1" ht="30" x14ac:dyDescent="0.2">
      <c r="A12" s="112"/>
      <c r="B12" s="112" t="str">
        <f t="shared" ref="B12:B43" si="1">IF(OR(A12="x",A12="X"),"",IF(ISBLANK(A12),"X",""))</f>
        <v>X</v>
      </c>
      <c r="C12" s="112" t="str">
        <f>IF(OR(TabellaA1[[#This Row],[LUN]]="X",TabellaA1[[#This Row],[MAR]]="X",TabellaA1[[#This Row],[MER]]="X",TabellaA1[[#This Row],[GIO]]="X",TabellaA1[[#This Row],[VEN]]="X",),"X","")</f>
        <v/>
      </c>
      <c r="D12" s="113" t="s">
        <v>8</v>
      </c>
      <c r="E12" s="109" t="s">
        <v>1228</v>
      </c>
      <c r="F12" s="109">
        <v>100</v>
      </c>
      <c r="G12" s="109" t="s">
        <v>1222</v>
      </c>
      <c r="H12" s="111"/>
      <c r="I12" s="111"/>
      <c r="J12" s="111"/>
      <c r="K12" s="111"/>
      <c r="L12" s="111"/>
      <c r="M12" s="109" t="s">
        <v>1258</v>
      </c>
      <c r="N12" s="110"/>
      <c r="O12" s="167"/>
      <c r="P12" s="167"/>
      <c r="Q12" s="110" t="s">
        <v>1241</v>
      </c>
      <c r="R12" s="110">
        <v>45782</v>
      </c>
      <c r="S12" s="110" t="s">
        <v>102</v>
      </c>
      <c r="T12" s="112" t="str">
        <f ca="1">IF(AND('Inserimento dati'!$B$3=$H$2, TabellaA1[[#This Row],[LUN]]="X"), "X",IF(AND('Inserimento dati'!$B$3=$I$2, TabellaA1[[#This Row],[MAR]]="X"), "X", IF(AND('Inserimento dati'!$B$3=$J$2, TabellaA1[[#This Row],[MER]]="X"), "X",IF(AND('Inserimento dati'!$B$3=$K$2, TabellaA1[[#This Row],[GIO]]="X"), "X", IF(AND('Inserimento dati'!$B$3=$L$2, TabellaA1[[#This Row],[VEN]]="X"), "X","")))))</f>
        <v/>
      </c>
      <c r="U12" s="158" t="str">
        <f t="shared" ca="1" si="0"/>
        <v/>
      </c>
      <c r="V12" s="187">
        <v>45930.833333333336</v>
      </c>
    </row>
    <row r="13" spans="1:22" s="19" customFormat="1" ht="23.25" x14ac:dyDescent="0.2">
      <c r="A13" s="112"/>
      <c r="B13" s="112" t="str">
        <f t="shared" si="1"/>
        <v>X</v>
      </c>
      <c r="C13" s="112" t="str">
        <f>IF(OR(TabellaA1[[#This Row],[LUN]]="X",TabellaA1[[#This Row],[MAR]]="X",TabellaA1[[#This Row],[MER]]="X",TabellaA1[[#This Row],[GIO]]="X",TabellaA1[[#This Row],[VEN]]="X",),"X","")</f>
        <v/>
      </c>
      <c r="D13" s="113" t="s">
        <v>8</v>
      </c>
      <c r="E13" s="109" t="s">
        <v>1243</v>
      </c>
      <c r="F13" s="109">
        <v>100</v>
      </c>
      <c r="G13" s="109" t="s">
        <v>1234</v>
      </c>
      <c r="H13" s="111"/>
      <c r="I13" s="111"/>
      <c r="J13" s="111"/>
      <c r="K13" s="111"/>
      <c r="L13" s="111"/>
      <c r="M13" s="110" t="s">
        <v>1258</v>
      </c>
      <c r="N13" s="110"/>
      <c r="O13" s="167"/>
      <c r="P13" s="167"/>
      <c r="Q13" s="110" t="s">
        <v>1247</v>
      </c>
      <c r="R13" s="110">
        <v>45783</v>
      </c>
      <c r="S13" s="110" t="s">
        <v>211</v>
      </c>
      <c r="T13" s="112" t="str">
        <f ca="1">IF(AND('Inserimento dati'!$B$3=$H$2, TabellaA1[[#This Row],[LUN]]="X"), "X",IF(AND('Inserimento dati'!$B$3=$I$2, TabellaA1[[#This Row],[MAR]]="X"), "X", IF(AND('Inserimento dati'!$B$3=$J$2, TabellaA1[[#This Row],[MER]]="X"), "X",IF(AND('Inserimento dati'!$B$3=$K$2, TabellaA1[[#This Row],[GIO]]="X"), "X", IF(AND('Inserimento dati'!$B$3=$L$2, TabellaA1[[#This Row],[VEN]]="X"), "X","")))))</f>
        <v/>
      </c>
      <c r="U13" s="158" t="str">
        <f t="shared" ca="1" si="0"/>
        <v/>
      </c>
      <c r="V13" s="187">
        <v>45930.833333333336</v>
      </c>
    </row>
    <row r="14" spans="1:22" s="19" customFormat="1" ht="30" x14ac:dyDescent="0.2">
      <c r="A14" s="112"/>
      <c r="B14" s="112" t="str">
        <f t="shared" si="1"/>
        <v>X</v>
      </c>
      <c r="C14" s="112" t="str">
        <f>IF(OR(TabellaA1[[#This Row],[LUN]]="X",TabellaA1[[#This Row],[MAR]]="X",TabellaA1[[#This Row],[MER]]="X",TabellaA1[[#This Row],[GIO]]="X",TabellaA1[[#This Row],[VEN]]="X",),"X","")</f>
        <v/>
      </c>
      <c r="D14" s="113" t="s">
        <v>8</v>
      </c>
      <c r="E14" s="109" t="s">
        <v>1171</v>
      </c>
      <c r="F14" s="109">
        <v>300</v>
      </c>
      <c r="G14" s="109" t="s">
        <v>1170</v>
      </c>
      <c r="H14" s="111"/>
      <c r="I14" s="111"/>
      <c r="J14" s="111"/>
      <c r="K14" s="111"/>
      <c r="L14" s="111"/>
      <c r="M14" s="110" t="s">
        <v>1258</v>
      </c>
      <c r="N14" s="110"/>
      <c r="O14" s="167"/>
      <c r="P14" s="167"/>
      <c r="Q14" s="110" t="s">
        <v>1209</v>
      </c>
      <c r="R14" s="110">
        <v>45777</v>
      </c>
      <c r="S14" s="110" t="s">
        <v>1186</v>
      </c>
      <c r="T14" s="112" t="str">
        <f ca="1">IF(AND('Inserimento dati'!$B$3=$H$2, TabellaA1[[#This Row],[LUN]]="X"), "X",IF(AND('Inserimento dati'!$B$3=$I$2, TabellaA1[[#This Row],[MAR]]="X"), "X", IF(AND('Inserimento dati'!$B$3=$J$2, TabellaA1[[#This Row],[MER]]="X"), "X",IF(AND('Inserimento dati'!$B$3=$K$2, TabellaA1[[#This Row],[GIO]]="X"), "X", IF(AND('Inserimento dati'!$B$3=$L$2, TabellaA1[[#This Row],[VEN]]="X"), "X","")))))</f>
        <v/>
      </c>
      <c r="U14" s="158" t="str">
        <f t="shared" ca="1" si="0"/>
        <v/>
      </c>
      <c r="V14" s="187">
        <v>45930.833333333336</v>
      </c>
    </row>
    <row r="15" spans="1:22" s="19" customFormat="1" ht="30" x14ac:dyDescent="0.2">
      <c r="A15" s="112"/>
      <c r="B15" s="112" t="str">
        <f t="shared" si="1"/>
        <v>X</v>
      </c>
      <c r="C15" s="112" t="str">
        <f>IF(OR(TabellaA1[[#This Row],[LUN]]="X",TabellaA1[[#This Row],[MAR]]="X",TabellaA1[[#This Row],[MER]]="X",TabellaA1[[#This Row],[GIO]]="X",TabellaA1[[#This Row],[VEN]]="X",),"X","")</f>
        <v/>
      </c>
      <c r="D15" s="113" t="s">
        <v>8</v>
      </c>
      <c r="E15" s="109" t="s">
        <v>1172</v>
      </c>
      <c r="F15" s="109">
        <v>900</v>
      </c>
      <c r="G15" s="109" t="s">
        <v>1169</v>
      </c>
      <c r="H15" s="111"/>
      <c r="I15" s="111"/>
      <c r="J15" s="111"/>
      <c r="K15" s="111"/>
      <c r="L15" s="111"/>
      <c r="M15" s="110" t="s">
        <v>1258</v>
      </c>
      <c r="N15" s="110"/>
      <c r="O15" s="167"/>
      <c r="P15" s="167"/>
      <c r="Q15" s="110" t="s">
        <v>1210</v>
      </c>
      <c r="R15" s="110">
        <v>45777</v>
      </c>
      <c r="S15" s="110" t="s">
        <v>50</v>
      </c>
      <c r="T15" s="112" t="str">
        <f ca="1">IF(AND('Inserimento dati'!$B$3=$H$2, TabellaA1[[#This Row],[LUN]]="X"), "X",IF(AND('Inserimento dati'!$B$3=$I$2, TabellaA1[[#This Row],[MAR]]="X"), "X", IF(AND('Inserimento dati'!$B$3=$J$2, TabellaA1[[#This Row],[MER]]="X"), "X",IF(AND('Inserimento dati'!$B$3=$K$2, TabellaA1[[#This Row],[GIO]]="X"), "X", IF(AND('Inserimento dati'!$B$3=$L$2, TabellaA1[[#This Row],[VEN]]="X"), "X","")))))</f>
        <v/>
      </c>
      <c r="U15" s="158" t="str">
        <f t="shared" ca="1" si="0"/>
        <v/>
      </c>
      <c r="V15" s="187">
        <v>45930.833333333336</v>
      </c>
    </row>
    <row r="16" spans="1:22" s="19" customFormat="1" ht="30" x14ac:dyDescent="0.2">
      <c r="A16" s="112"/>
      <c r="B16" s="112" t="str">
        <f t="shared" si="1"/>
        <v>X</v>
      </c>
      <c r="C16" s="112" t="str">
        <f>IF(OR(TabellaA1[[#This Row],[LUN]]="X",TabellaA1[[#This Row],[MAR]]="X",TabellaA1[[#This Row],[MER]]="X",TabellaA1[[#This Row],[GIO]]="X",TabellaA1[[#This Row],[VEN]]="X",),"X","")</f>
        <v/>
      </c>
      <c r="D16" s="113" t="s">
        <v>8</v>
      </c>
      <c r="E16" s="109" t="s">
        <v>1133</v>
      </c>
      <c r="F16" s="109">
        <v>100</v>
      </c>
      <c r="G16" s="109" t="s">
        <v>1182</v>
      </c>
      <c r="H16" s="111"/>
      <c r="I16" s="111"/>
      <c r="J16" s="111"/>
      <c r="K16" s="111"/>
      <c r="L16" s="111"/>
      <c r="M16" s="110" t="s">
        <v>1258</v>
      </c>
      <c r="N16" s="110"/>
      <c r="O16" s="167"/>
      <c r="P16" s="167"/>
      <c r="Q16" s="110" t="s">
        <v>1258</v>
      </c>
      <c r="R16" s="110">
        <v>45764</v>
      </c>
      <c r="S16" s="110" t="s">
        <v>203</v>
      </c>
      <c r="T16" s="112" t="str">
        <f ca="1">IF(AND('Inserimento dati'!$B$3=$H$2, TabellaA1[[#This Row],[LUN]]="X"), "X",IF(AND('Inserimento dati'!$B$3=$I$2, TabellaA1[[#This Row],[MAR]]="X"), "X", IF(AND('Inserimento dati'!$B$3=$J$2, TabellaA1[[#This Row],[MER]]="X"), "X",IF(AND('Inserimento dati'!$B$3=$K$2, TabellaA1[[#This Row],[GIO]]="X"), "X", IF(AND('Inserimento dati'!$B$3=$L$2, TabellaA1[[#This Row],[VEN]]="X"), "X","")))))</f>
        <v/>
      </c>
      <c r="U16" s="158" t="str">
        <f t="shared" ca="1" si="0"/>
        <v/>
      </c>
      <c r="V16" s="187">
        <v>45930.833333333336</v>
      </c>
    </row>
    <row r="17" spans="1:22" s="19" customFormat="1" ht="30" x14ac:dyDescent="0.2">
      <c r="A17" s="112"/>
      <c r="B17" s="112" t="str">
        <f t="shared" si="1"/>
        <v>X</v>
      </c>
      <c r="C17" s="112" t="str">
        <f>IF(OR(TabellaA1[[#This Row],[LUN]]="X",TabellaA1[[#This Row],[MAR]]="X",TabellaA1[[#This Row],[MER]]="X",TabellaA1[[#This Row],[GIO]]="X",TabellaA1[[#This Row],[VEN]]="X",),"X","")</f>
        <v/>
      </c>
      <c r="D17" s="113" t="s">
        <v>8</v>
      </c>
      <c r="E17" s="109" t="s">
        <v>1084</v>
      </c>
      <c r="F17" s="109">
        <v>100</v>
      </c>
      <c r="G17" s="109" t="s">
        <v>1079</v>
      </c>
      <c r="H17" s="111"/>
      <c r="I17" s="111"/>
      <c r="J17" s="111"/>
      <c r="K17" s="111"/>
      <c r="L17" s="111"/>
      <c r="M17" s="110" t="s">
        <v>1258</v>
      </c>
      <c r="N17" s="110"/>
      <c r="O17" s="167"/>
      <c r="P17" s="167"/>
      <c r="Q17" s="110" t="s">
        <v>1184</v>
      </c>
      <c r="R17" s="110">
        <v>45764</v>
      </c>
      <c r="S17" s="110" t="s">
        <v>203</v>
      </c>
      <c r="T17" s="112" t="str">
        <f ca="1">IF(AND('Inserimento dati'!$B$3=$H$2, TabellaA1[[#This Row],[LUN]]="X"), "X",IF(AND('Inserimento dati'!$B$3=$I$2, TabellaA1[[#This Row],[MAR]]="X"), "X", IF(AND('Inserimento dati'!$B$3=$J$2, TabellaA1[[#This Row],[MER]]="X"), "X",IF(AND('Inserimento dati'!$B$3=$K$2, TabellaA1[[#This Row],[GIO]]="X"), "X", IF(AND('Inserimento dati'!$B$3=$L$2, TabellaA1[[#This Row],[VEN]]="X"), "X","")))))</f>
        <v/>
      </c>
      <c r="U17" s="158" t="str">
        <f t="shared" ca="1" si="0"/>
        <v/>
      </c>
      <c r="V17" s="187">
        <v>45930.833333333336</v>
      </c>
    </row>
    <row r="18" spans="1:22" s="19" customFormat="1" ht="23.25" x14ac:dyDescent="0.2">
      <c r="A18" s="112"/>
      <c r="B18" s="112" t="str">
        <f t="shared" si="1"/>
        <v>X</v>
      </c>
      <c r="C18" s="112" t="str">
        <f>IF(OR(TabellaA1[[#This Row],[LUN]]="X",TabellaA1[[#This Row],[MAR]]="X",TabellaA1[[#This Row],[MER]]="X",TabellaA1[[#This Row],[GIO]]="X",TabellaA1[[#This Row],[VEN]]="X",),"X","")</f>
        <v/>
      </c>
      <c r="D18" s="113" t="s">
        <v>8</v>
      </c>
      <c r="E18" s="109" t="s">
        <v>1164</v>
      </c>
      <c r="F18" s="109">
        <v>200</v>
      </c>
      <c r="G18" s="109" t="s">
        <v>1156</v>
      </c>
      <c r="H18" s="111"/>
      <c r="I18" s="111"/>
      <c r="J18" s="111"/>
      <c r="K18" s="111"/>
      <c r="L18" s="111"/>
      <c r="M18" s="110" t="s">
        <v>1258</v>
      </c>
      <c r="N18" s="110"/>
      <c r="O18" s="167"/>
      <c r="P18" s="167"/>
      <c r="Q18" s="110" t="s">
        <v>1183</v>
      </c>
      <c r="R18" s="110">
        <v>45775</v>
      </c>
      <c r="S18" s="110" t="s">
        <v>635</v>
      </c>
      <c r="T18" s="112" t="str">
        <f ca="1">IF(AND('Inserimento dati'!$B$3=$H$2, TabellaA1[[#This Row],[LUN]]="X"), "X",IF(AND('Inserimento dati'!$B$3=$I$2, TabellaA1[[#This Row],[MAR]]="X"), "X", IF(AND('Inserimento dati'!$B$3=$J$2, TabellaA1[[#This Row],[MER]]="X"), "X",IF(AND('Inserimento dati'!$B$3=$K$2, TabellaA1[[#This Row],[GIO]]="X"), "X", IF(AND('Inserimento dati'!$B$3=$L$2, TabellaA1[[#This Row],[VEN]]="X"), "X","")))))</f>
        <v/>
      </c>
      <c r="U18" s="158" t="str">
        <f t="shared" ca="1" si="0"/>
        <v/>
      </c>
      <c r="V18" s="187">
        <v>45930.833333333336</v>
      </c>
    </row>
    <row r="19" spans="1:22" s="19" customFormat="1" ht="30" x14ac:dyDescent="0.2">
      <c r="A19" s="112"/>
      <c r="B19" s="112" t="str">
        <f t="shared" si="1"/>
        <v>X</v>
      </c>
      <c r="C19" s="112" t="str">
        <f>IF(OR(TabellaA1[[#This Row],[LUN]]="X",TabellaA1[[#This Row],[MAR]]="X",TabellaA1[[#This Row],[MER]]="X",TabellaA1[[#This Row],[GIO]]="X",TabellaA1[[#This Row],[VEN]]="X",),"X","")</f>
        <v/>
      </c>
      <c r="D19" s="113" t="s">
        <v>8</v>
      </c>
      <c r="E19" s="109" t="s">
        <v>1162</v>
      </c>
      <c r="F19" s="109">
        <v>200</v>
      </c>
      <c r="G19" s="109" t="s">
        <v>1158</v>
      </c>
      <c r="H19" s="111"/>
      <c r="I19" s="111"/>
      <c r="J19" s="111"/>
      <c r="K19" s="111"/>
      <c r="L19" s="111"/>
      <c r="M19" s="110" t="s">
        <v>1258</v>
      </c>
      <c r="N19" s="110"/>
      <c r="O19" s="167"/>
      <c r="P19" s="167"/>
      <c r="Q19" s="110" t="s">
        <v>1177</v>
      </c>
      <c r="R19" s="110">
        <v>45771</v>
      </c>
      <c r="S19" s="110" t="s">
        <v>203</v>
      </c>
      <c r="T19" s="112" t="str">
        <f ca="1">IF(AND('Inserimento dati'!$B$3=$H$2, TabellaA1[[#This Row],[LUN]]="X"), "X",IF(AND('Inserimento dati'!$B$3=$I$2, TabellaA1[[#This Row],[MAR]]="X"), "X", IF(AND('Inserimento dati'!$B$3=$J$2, TabellaA1[[#This Row],[MER]]="X"), "X",IF(AND('Inserimento dati'!$B$3=$K$2, TabellaA1[[#This Row],[GIO]]="X"), "X", IF(AND('Inserimento dati'!$B$3=$L$2, TabellaA1[[#This Row],[VEN]]="X"), "X","")))))</f>
        <v/>
      </c>
      <c r="U19" s="158" t="str">
        <f t="shared" ca="1" si="0"/>
        <v/>
      </c>
      <c r="V19" s="187">
        <v>45930.833333333336</v>
      </c>
    </row>
    <row r="20" spans="1:22" s="19" customFormat="1" ht="30" x14ac:dyDescent="0.2">
      <c r="A20" s="112"/>
      <c r="B20" s="112" t="str">
        <f t="shared" si="1"/>
        <v>X</v>
      </c>
      <c r="C20" s="112" t="str">
        <f>IF(OR(TabellaA1[[#This Row],[LUN]]="X",TabellaA1[[#This Row],[MAR]]="X",TabellaA1[[#This Row],[MER]]="X",TabellaA1[[#This Row],[GIO]]="X",TabellaA1[[#This Row],[VEN]]="X",),"X","")</f>
        <v/>
      </c>
      <c r="D20" s="113" t="s">
        <v>8</v>
      </c>
      <c r="E20" s="109" t="s">
        <v>1163</v>
      </c>
      <c r="F20" s="109">
        <v>200</v>
      </c>
      <c r="G20" s="109" t="s">
        <v>1157</v>
      </c>
      <c r="H20" s="111"/>
      <c r="I20" s="111"/>
      <c r="J20" s="111"/>
      <c r="K20" s="111"/>
      <c r="L20" s="111"/>
      <c r="M20" s="110" t="s">
        <v>1258</v>
      </c>
      <c r="N20" s="110"/>
      <c r="O20" s="167"/>
      <c r="P20" s="167"/>
      <c r="Q20" s="110" t="s">
        <v>1176</v>
      </c>
      <c r="R20" s="110">
        <v>45771</v>
      </c>
      <c r="S20" s="110" t="s">
        <v>203</v>
      </c>
      <c r="T20" s="112" t="str">
        <f ca="1">IF(AND('Inserimento dati'!$B$3=$H$2, TabellaA1[[#This Row],[LUN]]="X"), "X",IF(AND('Inserimento dati'!$B$3=$I$2, TabellaA1[[#This Row],[MAR]]="X"), "X", IF(AND('Inserimento dati'!$B$3=$J$2, TabellaA1[[#This Row],[MER]]="X"), "X",IF(AND('Inserimento dati'!$B$3=$K$2, TabellaA1[[#This Row],[GIO]]="X"), "X", IF(AND('Inserimento dati'!$B$3=$L$2, TabellaA1[[#This Row],[VEN]]="X"), "X","")))))</f>
        <v/>
      </c>
      <c r="U20" s="158" t="str">
        <f t="shared" ca="1" si="0"/>
        <v/>
      </c>
      <c r="V20" s="187">
        <v>45930.833333333336</v>
      </c>
    </row>
    <row r="21" spans="1:22" s="19" customFormat="1" ht="23.25" x14ac:dyDescent="0.2">
      <c r="A21" s="112"/>
      <c r="B21" s="112" t="str">
        <f t="shared" si="1"/>
        <v>X</v>
      </c>
      <c r="C21" s="112" t="str">
        <f>IF(OR(TabellaA1[[#This Row],[LUN]]="X",TabellaA1[[#This Row],[MAR]]="X",TabellaA1[[#This Row],[MER]]="X",TabellaA1[[#This Row],[GIO]]="X",TabellaA1[[#This Row],[VEN]]="X",),"X","")</f>
        <v/>
      </c>
      <c r="D21" s="113" t="s">
        <v>8</v>
      </c>
      <c r="E21" s="109" t="s">
        <v>1147</v>
      </c>
      <c r="F21" s="109" t="s">
        <v>483</v>
      </c>
      <c r="G21" s="109" t="s">
        <v>1146</v>
      </c>
      <c r="H21" s="111"/>
      <c r="I21" s="111"/>
      <c r="J21" s="111"/>
      <c r="K21" s="111"/>
      <c r="L21" s="111"/>
      <c r="M21" s="110" t="s">
        <v>1258</v>
      </c>
      <c r="N21" s="110"/>
      <c r="O21" s="167"/>
      <c r="P21" s="167"/>
      <c r="Q21" s="110"/>
      <c r="R21" s="110"/>
      <c r="S21" s="110"/>
      <c r="T21" s="112" t="str">
        <f ca="1">IF(AND('Inserimento dati'!$B$3=$H$2, TabellaA1[[#This Row],[LUN]]="X"), "X",IF(AND('Inserimento dati'!$B$3=$I$2, TabellaA1[[#This Row],[MAR]]="X"), "X", IF(AND('Inserimento dati'!$B$3=$J$2, TabellaA1[[#This Row],[MER]]="X"), "X",IF(AND('Inserimento dati'!$B$3=$K$2, TabellaA1[[#This Row],[GIO]]="X"), "X", IF(AND('Inserimento dati'!$B$3=$L$2, TabellaA1[[#This Row],[VEN]]="X"), "X","")))))</f>
        <v/>
      </c>
      <c r="U21" s="158" t="str">
        <f t="shared" ca="1" si="0"/>
        <v/>
      </c>
      <c r="V21" s="187">
        <v>45930.833333333336</v>
      </c>
    </row>
    <row r="22" spans="1:22" s="19" customFormat="1" ht="30" x14ac:dyDescent="0.2">
      <c r="A22" s="112"/>
      <c r="B22" s="112" t="str">
        <f t="shared" si="1"/>
        <v>X</v>
      </c>
      <c r="C22" s="112" t="str">
        <f>IF(OR(TabellaA1[[#This Row],[LUN]]="X",TabellaA1[[#This Row],[MAR]]="X",TabellaA1[[#This Row],[MER]]="X",TabellaA1[[#This Row],[GIO]]="X",TabellaA1[[#This Row],[VEN]]="X",),"X","")</f>
        <v/>
      </c>
      <c r="D22" s="113" t="s">
        <v>8</v>
      </c>
      <c r="E22" s="109" t="s">
        <v>1134</v>
      </c>
      <c r="F22" s="109">
        <v>100</v>
      </c>
      <c r="G22" s="109" t="s">
        <v>1131</v>
      </c>
      <c r="H22" s="111"/>
      <c r="I22" s="111"/>
      <c r="J22" s="111"/>
      <c r="K22" s="111"/>
      <c r="L22" s="111"/>
      <c r="M22" s="110" t="s">
        <v>1258</v>
      </c>
      <c r="N22" s="110"/>
      <c r="O22" s="167"/>
      <c r="P22" s="167"/>
      <c r="Q22" s="110" t="s">
        <v>1160</v>
      </c>
      <c r="R22" s="110">
        <v>45771</v>
      </c>
      <c r="S22" s="110" t="s">
        <v>220</v>
      </c>
      <c r="T22" s="112" t="str">
        <f ca="1">IF(AND('Inserimento dati'!$B$3=$H$2, TabellaA1[[#This Row],[LUN]]="X"), "X",IF(AND('Inserimento dati'!$B$3=$I$2, TabellaA1[[#This Row],[MAR]]="X"), "X", IF(AND('Inserimento dati'!$B$3=$J$2, TabellaA1[[#This Row],[MER]]="X"), "X",IF(AND('Inserimento dati'!$B$3=$K$2, TabellaA1[[#This Row],[GIO]]="X"), "X", IF(AND('Inserimento dati'!$B$3=$L$2, TabellaA1[[#This Row],[VEN]]="X"), "X","")))))</f>
        <v/>
      </c>
      <c r="U22" s="158" t="str">
        <f t="shared" ca="1" si="0"/>
        <v/>
      </c>
      <c r="V22" s="187">
        <v>45930.833333333336</v>
      </c>
    </row>
    <row r="23" spans="1:22" s="19" customFormat="1" ht="30" x14ac:dyDescent="0.2">
      <c r="A23" s="112"/>
      <c r="B23" s="112" t="str">
        <f t="shared" si="1"/>
        <v>X</v>
      </c>
      <c r="C23" s="112" t="str">
        <f>IF(OR(TabellaA1[[#This Row],[LUN]]="X",TabellaA1[[#This Row],[MAR]]="X",TabellaA1[[#This Row],[MER]]="X",TabellaA1[[#This Row],[GIO]]="X",TabellaA1[[#This Row],[VEN]]="X",),"X","")</f>
        <v/>
      </c>
      <c r="D23" s="113" t="s">
        <v>8</v>
      </c>
      <c r="E23" s="109" t="s">
        <v>1123</v>
      </c>
      <c r="F23" s="109">
        <v>100</v>
      </c>
      <c r="G23" s="109" t="s">
        <v>1121</v>
      </c>
      <c r="H23" s="111"/>
      <c r="I23" s="111"/>
      <c r="J23" s="111"/>
      <c r="K23" s="111"/>
      <c r="L23" s="111"/>
      <c r="M23" s="110" t="s">
        <v>1258</v>
      </c>
      <c r="N23" s="110"/>
      <c r="O23" s="167"/>
      <c r="P23" s="167"/>
      <c r="Q23" s="110" t="s">
        <v>1122</v>
      </c>
      <c r="R23" s="110"/>
      <c r="S23" s="110"/>
      <c r="T23" s="112" t="str">
        <f ca="1">IF(AND('Inserimento dati'!$B$3=$H$2, TabellaA1[[#This Row],[LUN]]="X"), "X",IF(AND('Inserimento dati'!$B$3=$I$2, TabellaA1[[#This Row],[MAR]]="X"), "X", IF(AND('Inserimento dati'!$B$3=$J$2, TabellaA1[[#This Row],[MER]]="X"), "X",IF(AND('Inserimento dati'!$B$3=$K$2, TabellaA1[[#This Row],[GIO]]="X"), "X", IF(AND('Inserimento dati'!$B$3=$L$2, TabellaA1[[#This Row],[VEN]]="X"), "X","")))))</f>
        <v/>
      </c>
      <c r="U23" s="158" t="str">
        <f t="shared" ca="1" si="0"/>
        <v/>
      </c>
      <c r="V23" s="187">
        <v>45930.833333333336</v>
      </c>
    </row>
    <row r="24" spans="1:22" s="19" customFormat="1" ht="30" x14ac:dyDescent="0.2">
      <c r="A24" s="112"/>
      <c r="B24" s="112" t="str">
        <f t="shared" si="1"/>
        <v>X</v>
      </c>
      <c r="C24" s="112" t="str">
        <f>IF(OR(TabellaA1[[#This Row],[LUN]]="X",TabellaA1[[#This Row],[MAR]]="X",TabellaA1[[#This Row],[MER]]="X",TabellaA1[[#This Row],[GIO]]="X",TabellaA1[[#This Row],[VEN]]="X",),"X","")</f>
        <v/>
      </c>
      <c r="D24" s="113" t="s">
        <v>8</v>
      </c>
      <c r="E24" s="109" t="s">
        <v>1083</v>
      </c>
      <c r="F24" s="109">
        <v>100</v>
      </c>
      <c r="G24" s="109" t="s">
        <v>1080</v>
      </c>
      <c r="H24" s="111"/>
      <c r="I24" s="111"/>
      <c r="J24" s="111"/>
      <c r="K24" s="111"/>
      <c r="L24" s="111"/>
      <c r="M24" s="110" t="s">
        <v>1258</v>
      </c>
      <c r="N24" s="110"/>
      <c r="O24" s="167"/>
      <c r="P24" s="167"/>
      <c r="Q24" s="110"/>
      <c r="R24" s="110"/>
      <c r="S24" s="110"/>
      <c r="T24" s="112" t="str">
        <f ca="1">IF(AND('Inserimento dati'!$B$3=$H$2, TabellaA1[[#This Row],[LUN]]="X"), "X",IF(AND('Inserimento dati'!$B$3=$I$2, TabellaA1[[#This Row],[MAR]]="X"), "X", IF(AND('Inserimento dati'!$B$3=$J$2, TabellaA1[[#This Row],[MER]]="X"), "X",IF(AND('Inserimento dati'!$B$3=$K$2, TabellaA1[[#This Row],[GIO]]="X"), "X", IF(AND('Inserimento dati'!$B$3=$L$2, TabellaA1[[#This Row],[VEN]]="X"), "X","")))))</f>
        <v/>
      </c>
      <c r="U24" s="158" t="str">
        <f t="shared" ca="1" si="0"/>
        <v/>
      </c>
      <c r="V24" s="187">
        <v>45930.833333333336</v>
      </c>
    </row>
    <row r="25" spans="1:22" s="19" customFormat="1" ht="23.25" x14ac:dyDescent="0.2">
      <c r="A25" s="112"/>
      <c r="B25" s="112" t="str">
        <f t="shared" si="1"/>
        <v>X</v>
      </c>
      <c r="C25" s="112" t="str">
        <f>IF(OR(TabellaA1[[#This Row],[LUN]]="X",TabellaA1[[#This Row],[MAR]]="X",TabellaA1[[#This Row],[MER]]="X",TabellaA1[[#This Row],[GIO]]="X",TabellaA1[[#This Row],[VEN]]="X",),"X","")</f>
        <v/>
      </c>
      <c r="D25" s="113" t="s">
        <v>8</v>
      </c>
      <c r="E25" s="109" t="s">
        <v>1043</v>
      </c>
      <c r="F25" s="109">
        <v>900</v>
      </c>
      <c r="G25" s="109" t="s">
        <v>1042</v>
      </c>
      <c r="H25" s="111"/>
      <c r="I25" s="111"/>
      <c r="J25" s="111"/>
      <c r="K25" s="111"/>
      <c r="L25" s="111"/>
      <c r="M25" s="110" t="s">
        <v>1258</v>
      </c>
      <c r="N25" s="110"/>
      <c r="O25" s="167"/>
      <c r="P25" s="167"/>
      <c r="Q25" s="110" t="s">
        <v>1142</v>
      </c>
      <c r="R25" s="110">
        <v>45762</v>
      </c>
      <c r="S25" s="110" t="s">
        <v>635</v>
      </c>
      <c r="T25" s="112" t="str">
        <f ca="1">IF(AND('Inserimento dati'!$B$3=$H$2, TabellaA1[[#This Row],[LUN]]="X"), "X",IF(AND('Inserimento dati'!$B$3=$I$2, TabellaA1[[#This Row],[MAR]]="X"), "X", IF(AND('Inserimento dati'!$B$3=$J$2, TabellaA1[[#This Row],[MER]]="X"), "X",IF(AND('Inserimento dati'!$B$3=$K$2, TabellaA1[[#This Row],[GIO]]="X"), "X", IF(AND('Inserimento dati'!$B$3=$L$2, TabellaA1[[#This Row],[VEN]]="X"), "X","")))))</f>
        <v/>
      </c>
      <c r="U25" s="158" t="str">
        <f t="shared" ca="1" si="0"/>
        <v/>
      </c>
      <c r="V25" s="187">
        <v>45930.833333333336</v>
      </c>
    </row>
    <row r="26" spans="1:22" s="19" customFormat="1" ht="30" x14ac:dyDescent="0.2">
      <c r="A26" s="112"/>
      <c r="B26" s="112" t="str">
        <f t="shared" si="1"/>
        <v>X</v>
      </c>
      <c r="C26" s="112" t="str">
        <f>IF(OR(TabellaA1[[#This Row],[LUN]]="X",TabellaA1[[#This Row],[MAR]]="X",TabellaA1[[#This Row],[MER]]="X",TabellaA1[[#This Row],[GIO]]="X",TabellaA1[[#This Row],[VEN]]="X",),"X","")</f>
        <v/>
      </c>
      <c r="D26" s="113" t="s">
        <v>8</v>
      </c>
      <c r="E26" s="109" t="s">
        <v>492</v>
      </c>
      <c r="F26" s="109" t="s">
        <v>483</v>
      </c>
      <c r="G26" s="109" t="s">
        <v>489</v>
      </c>
      <c r="H26" s="111"/>
      <c r="I26" s="111"/>
      <c r="J26" s="111"/>
      <c r="K26" s="111"/>
      <c r="L26" s="111"/>
      <c r="M26" s="110" t="s">
        <v>1258</v>
      </c>
      <c r="N26" s="110"/>
      <c r="O26" s="167" t="s">
        <v>23</v>
      </c>
      <c r="P26" s="167"/>
      <c r="Q26" s="109" t="s">
        <v>1125</v>
      </c>
      <c r="R26" s="110">
        <v>45680</v>
      </c>
      <c r="S26" s="110" t="s">
        <v>102</v>
      </c>
      <c r="T26" s="112" t="str">
        <f ca="1">IF(AND('Inserimento dati'!$B$3=$H$2, TabellaA1[[#This Row],[LUN]]="X"), "X",IF(AND('Inserimento dati'!$B$3=$I$2, TabellaA1[[#This Row],[MAR]]="X"), "X", IF(AND('Inserimento dati'!$B$3=$J$2, TabellaA1[[#This Row],[MER]]="X"), "X",IF(AND('Inserimento dati'!$B$3=$K$2, TabellaA1[[#This Row],[GIO]]="X"), "X", IF(AND('Inserimento dati'!$B$3=$L$2, TabellaA1[[#This Row],[VEN]]="X"), "X","")))))</f>
        <v/>
      </c>
      <c r="U26" s="158" t="str">
        <f t="shared" ca="1" si="0"/>
        <v/>
      </c>
      <c r="V26" s="187">
        <v>45930.833333333336</v>
      </c>
    </row>
    <row r="27" spans="1:22" s="19" customFormat="1" ht="23.25" x14ac:dyDescent="0.2">
      <c r="A27" s="112"/>
      <c r="B27" s="112" t="str">
        <f t="shared" si="1"/>
        <v>X</v>
      </c>
      <c r="C27" s="112" t="str">
        <f>IF(OR(TabellaA1[[#This Row],[LUN]]="X",TabellaA1[[#This Row],[MAR]]="X",TabellaA1[[#This Row],[MER]]="X",TabellaA1[[#This Row],[GIO]]="X",TabellaA1[[#This Row],[VEN]]="X",),"X","")</f>
        <v/>
      </c>
      <c r="D27" s="113" t="s">
        <v>8</v>
      </c>
      <c r="E27" s="109" t="s">
        <v>787</v>
      </c>
      <c r="F27" s="109">
        <v>200</v>
      </c>
      <c r="G27" s="109" t="s">
        <v>778</v>
      </c>
      <c r="H27" s="111"/>
      <c r="I27" s="111"/>
      <c r="J27" s="111"/>
      <c r="K27" s="111"/>
      <c r="L27" s="111"/>
      <c r="M27" s="110" t="s">
        <v>1258</v>
      </c>
      <c r="N27" s="110"/>
      <c r="O27" s="167"/>
      <c r="P27" s="167"/>
      <c r="Q27" s="110" t="s">
        <v>1124</v>
      </c>
      <c r="R27" s="110">
        <v>45715</v>
      </c>
      <c r="S27" s="110" t="s">
        <v>635</v>
      </c>
      <c r="T27" s="116" t="str">
        <f ca="1">IF(AND('Inserimento dati'!$B$3=$H$2, TabellaA1[[#This Row],[LUN]]="X"), "X",IF(AND('Inserimento dati'!$B$3=$I$2, TabellaA1[[#This Row],[MAR]]="X"), "X", IF(AND('Inserimento dati'!$B$3=$J$2, TabellaA1[[#This Row],[MER]]="X"), "X",IF(AND('Inserimento dati'!$B$3=$K$2, TabellaA1[[#This Row],[GIO]]="X"), "X", IF(AND('Inserimento dati'!$B$3=$L$2, TabellaA1[[#This Row],[VEN]]="X"), "X","")))))</f>
        <v/>
      </c>
      <c r="U27" s="158" t="str">
        <f t="shared" ca="1" si="0"/>
        <v/>
      </c>
      <c r="V27" s="187">
        <v>45930.833333333336</v>
      </c>
    </row>
    <row r="28" spans="1:22" s="19" customFormat="1" ht="45" x14ac:dyDescent="0.2">
      <c r="A28" s="112"/>
      <c r="B28" s="112" t="str">
        <f t="shared" si="1"/>
        <v>X</v>
      </c>
      <c r="C28" s="112" t="str">
        <f>IF(OR(TabellaA1[[#This Row],[LUN]]="X",TabellaA1[[#This Row],[MAR]]="X",TabellaA1[[#This Row],[MER]]="X",TabellaA1[[#This Row],[GIO]]="X",TabellaA1[[#This Row],[VEN]]="X",),"X","")</f>
        <v/>
      </c>
      <c r="D28" s="113" t="s">
        <v>8</v>
      </c>
      <c r="E28" s="109" t="s">
        <v>1020</v>
      </c>
      <c r="F28" s="109">
        <v>900</v>
      </c>
      <c r="G28" s="109" t="s">
        <v>1019</v>
      </c>
      <c r="H28" s="111"/>
      <c r="I28" s="111"/>
      <c r="J28" s="111"/>
      <c r="K28" s="111"/>
      <c r="L28" s="111"/>
      <c r="M28" s="110" t="s">
        <v>1258</v>
      </c>
      <c r="N28" s="110"/>
      <c r="O28" s="167"/>
      <c r="P28" s="167"/>
      <c r="Q28" s="110"/>
      <c r="R28" s="110"/>
      <c r="S28" s="110"/>
      <c r="T28" s="112" t="str">
        <f ca="1">IF(AND('Inserimento dati'!$B$3=$H$2, TabellaA1[[#This Row],[LUN]]="X"), "X",IF(AND('Inserimento dati'!$B$3=$I$2, TabellaA1[[#This Row],[MAR]]="X"), "X", IF(AND('Inserimento dati'!$B$3=$J$2, TabellaA1[[#This Row],[MER]]="X"), "X",IF(AND('Inserimento dati'!$B$3=$K$2, TabellaA1[[#This Row],[GIO]]="X"), "X", IF(AND('Inserimento dati'!$B$3=$L$2, TabellaA1[[#This Row],[VEN]]="X"), "X","")))))</f>
        <v/>
      </c>
      <c r="U28" s="158" t="str">
        <f t="shared" ca="1" si="0"/>
        <v/>
      </c>
      <c r="V28" s="187">
        <v>45930.833333333336</v>
      </c>
    </row>
    <row r="29" spans="1:22" s="19" customFormat="1" ht="30" x14ac:dyDescent="0.2">
      <c r="A29" s="112"/>
      <c r="B29" s="112" t="str">
        <f t="shared" si="1"/>
        <v>X</v>
      </c>
      <c r="C29" s="112" t="str">
        <f>IF(OR(TabellaA1[[#This Row],[LUN]]="X",TabellaA1[[#This Row],[MAR]]="X",TabellaA1[[#This Row],[MER]]="X",TabellaA1[[#This Row],[GIO]]="X",TabellaA1[[#This Row],[VEN]]="X",),"X","")</f>
        <v/>
      </c>
      <c r="D29" s="113" t="s">
        <v>8</v>
      </c>
      <c r="E29" s="109" t="s">
        <v>1023</v>
      </c>
      <c r="F29" s="109">
        <v>900</v>
      </c>
      <c r="G29" s="109" t="s">
        <v>1022</v>
      </c>
      <c r="H29" s="111"/>
      <c r="I29" s="111"/>
      <c r="J29" s="111"/>
      <c r="K29" s="111"/>
      <c r="L29" s="111"/>
      <c r="M29" s="110" t="s">
        <v>1258</v>
      </c>
      <c r="N29" s="110"/>
      <c r="O29" s="167"/>
      <c r="P29" s="167"/>
      <c r="Q29" s="110"/>
      <c r="R29" s="110"/>
      <c r="S29" s="110"/>
      <c r="T29" s="112" t="str">
        <f ca="1">IF(AND('Inserimento dati'!$B$3=$H$2, TabellaA1[[#This Row],[LUN]]="X"), "X",IF(AND('Inserimento dati'!$B$3=$I$2, TabellaA1[[#This Row],[MAR]]="X"), "X", IF(AND('Inserimento dati'!$B$3=$J$2, TabellaA1[[#This Row],[MER]]="X"), "X",IF(AND('Inserimento dati'!$B$3=$K$2, TabellaA1[[#This Row],[GIO]]="X"), "X", IF(AND('Inserimento dati'!$B$3=$L$2, TabellaA1[[#This Row],[VEN]]="X"), "X","")))))</f>
        <v/>
      </c>
      <c r="U29" s="158" t="str">
        <f t="shared" ca="1" si="0"/>
        <v/>
      </c>
      <c r="V29" s="187">
        <v>45930.833333333336</v>
      </c>
    </row>
    <row r="30" spans="1:22" s="19" customFormat="1" ht="23.25" x14ac:dyDescent="0.2">
      <c r="A30" s="112"/>
      <c r="B30" s="112" t="str">
        <f t="shared" si="1"/>
        <v>X</v>
      </c>
      <c r="C30" s="112" t="str">
        <f>IF(OR(TabellaA1[[#This Row],[LUN]]="X",TabellaA1[[#This Row],[MAR]]="X",TabellaA1[[#This Row],[MER]]="X",TabellaA1[[#This Row],[GIO]]="X",TabellaA1[[#This Row],[VEN]]="X",),"X","")</f>
        <v/>
      </c>
      <c r="D30" s="113" t="s">
        <v>8</v>
      </c>
      <c r="E30" s="109" t="s">
        <v>1012</v>
      </c>
      <c r="F30" s="109">
        <v>100</v>
      </c>
      <c r="G30" s="109" t="s">
        <v>1011</v>
      </c>
      <c r="H30" s="111"/>
      <c r="I30" s="111"/>
      <c r="J30" s="111"/>
      <c r="K30" s="111"/>
      <c r="L30" s="111"/>
      <c r="M30" s="110" t="s">
        <v>1258</v>
      </c>
      <c r="N30" s="110"/>
      <c r="O30" s="167"/>
      <c r="P30" s="167"/>
      <c r="Q30" s="110"/>
      <c r="R30" s="110"/>
      <c r="S30" s="110"/>
      <c r="T30" s="112" t="str">
        <f ca="1">IF(AND('Inserimento dati'!$B$3=$H$2, TabellaA1[[#This Row],[LUN]]="X"), "X",IF(AND('Inserimento dati'!$B$3=$I$2, TabellaA1[[#This Row],[MAR]]="X"), "X", IF(AND('Inserimento dati'!$B$3=$J$2, TabellaA1[[#This Row],[MER]]="X"), "X",IF(AND('Inserimento dati'!$B$3=$K$2, TabellaA1[[#This Row],[GIO]]="X"), "X", IF(AND('Inserimento dati'!$B$3=$L$2, TabellaA1[[#This Row],[VEN]]="X"), "X","")))))</f>
        <v/>
      </c>
      <c r="U30" s="158" t="str">
        <f t="shared" ca="1" si="0"/>
        <v/>
      </c>
      <c r="V30" s="187">
        <v>45930.833333333336</v>
      </c>
    </row>
    <row r="31" spans="1:22" s="19" customFormat="1" ht="23.25" x14ac:dyDescent="0.2">
      <c r="A31" s="112"/>
      <c r="B31" s="112" t="str">
        <f t="shared" si="1"/>
        <v>X</v>
      </c>
      <c r="C31" s="112" t="str">
        <f>IF(OR(TabellaA1[[#This Row],[LUN]]="X",TabellaA1[[#This Row],[MAR]]="X",TabellaA1[[#This Row],[MER]]="X",TabellaA1[[#This Row],[GIO]]="X",TabellaA1[[#This Row],[VEN]]="X",),"X","")</f>
        <v/>
      </c>
      <c r="D31" s="113" t="s">
        <v>8</v>
      </c>
      <c r="E31" s="109" t="s">
        <v>985</v>
      </c>
      <c r="F31" s="109">
        <v>100</v>
      </c>
      <c r="G31" s="109" t="s">
        <v>983</v>
      </c>
      <c r="H31" s="111"/>
      <c r="I31" s="111"/>
      <c r="J31" s="111"/>
      <c r="K31" s="111"/>
      <c r="L31" s="111"/>
      <c r="M31" s="110" t="s">
        <v>1258</v>
      </c>
      <c r="N31" s="110"/>
      <c r="O31" s="167"/>
      <c r="P31" s="167"/>
      <c r="Q31" s="110"/>
      <c r="R31" s="110"/>
      <c r="S31" s="110"/>
      <c r="T31" s="112" t="str">
        <f ca="1">IF(AND('Inserimento dati'!$B$3=$H$2, TabellaA1[[#This Row],[LUN]]="X"), "X",IF(AND('Inserimento dati'!$B$3=$I$2, TabellaA1[[#This Row],[MAR]]="X"), "X", IF(AND('Inserimento dati'!$B$3=$J$2, TabellaA1[[#This Row],[MER]]="X"), "X",IF(AND('Inserimento dati'!$B$3=$K$2, TabellaA1[[#This Row],[GIO]]="X"), "X", IF(AND('Inserimento dati'!$B$3=$L$2, TabellaA1[[#This Row],[VEN]]="X"), "X","")))))</f>
        <v/>
      </c>
      <c r="U31" s="158" t="str">
        <f t="shared" ca="1" si="0"/>
        <v/>
      </c>
      <c r="V31" s="187">
        <v>45930.833333333336</v>
      </c>
    </row>
    <row r="32" spans="1:22" s="19" customFormat="1" ht="30" x14ac:dyDescent="0.2">
      <c r="A32" s="112"/>
      <c r="B32" s="112" t="str">
        <f t="shared" si="1"/>
        <v>X</v>
      </c>
      <c r="C32" s="112" t="str">
        <f>IF(OR(TabellaA1[[#This Row],[LUN]]="X",TabellaA1[[#This Row],[MAR]]="X",TabellaA1[[#This Row],[MER]]="X",TabellaA1[[#This Row],[GIO]]="X",TabellaA1[[#This Row],[VEN]]="X",),"X","")</f>
        <v/>
      </c>
      <c r="D32" s="113" t="s">
        <v>8</v>
      </c>
      <c r="E32" s="109" t="s">
        <v>961</v>
      </c>
      <c r="F32" s="109">
        <v>900</v>
      </c>
      <c r="G32" s="109" t="s">
        <v>954</v>
      </c>
      <c r="H32" s="111"/>
      <c r="I32" s="111"/>
      <c r="J32" s="111"/>
      <c r="K32" s="111"/>
      <c r="L32" s="111"/>
      <c r="M32" s="110" t="s">
        <v>1258</v>
      </c>
      <c r="N32" s="110"/>
      <c r="O32" s="167"/>
      <c r="P32" s="167"/>
      <c r="Q32" s="110"/>
      <c r="R32" s="110"/>
      <c r="S32" s="110"/>
      <c r="T32" s="112" t="str">
        <f ca="1">IF(AND('Inserimento dati'!$B$3=$H$2, TabellaA1[[#This Row],[LUN]]="X"), "X",IF(AND('Inserimento dati'!$B$3=$I$2, TabellaA1[[#This Row],[MAR]]="X"), "X", IF(AND('Inserimento dati'!$B$3=$J$2, TabellaA1[[#This Row],[MER]]="X"), "X",IF(AND('Inserimento dati'!$B$3=$K$2, TabellaA1[[#This Row],[GIO]]="X"), "X", IF(AND('Inserimento dati'!$B$3=$L$2, TabellaA1[[#This Row],[VEN]]="X"), "X","")))))</f>
        <v/>
      </c>
      <c r="U32" s="158" t="str">
        <f t="shared" ca="1" si="0"/>
        <v/>
      </c>
      <c r="V32" s="187">
        <v>45930.833333333336</v>
      </c>
    </row>
    <row r="33" spans="1:22" s="19" customFormat="1" ht="23.25" x14ac:dyDescent="0.2">
      <c r="A33" s="112"/>
      <c r="B33" s="112" t="str">
        <f t="shared" si="1"/>
        <v>X</v>
      </c>
      <c r="C33" s="112" t="str">
        <f>IF(OR(TabellaA1[[#This Row],[LUN]]="X",TabellaA1[[#This Row],[MAR]]="X",TabellaA1[[#This Row],[MER]]="X",TabellaA1[[#This Row],[GIO]]="X",TabellaA1[[#This Row],[VEN]]="X",),"X","")</f>
        <v/>
      </c>
      <c r="D33" s="113" t="s">
        <v>8</v>
      </c>
      <c r="E33" s="109" t="s">
        <v>962</v>
      </c>
      <c r="F33" s="109">
        <v>100</v>
      </c>
      <c r="G33" s="109" t="s">
        <v>950</v>
      </c>
      <c r="H33" s="111"/>
      <c r="I33" s="111"/>
      <c r="J33" s="111"/>
      <c r="K33" s="111"/>
      <c r="L33" s="111"/>
      <c r="M33" s="110" t="s">
        <v>1258</v>
      </c>
      <c r="N33" s="110"/>
      <c r="O33" s="167"/>
      <c r="P33" s="167"/>
      <c r="Q33" s="110"/>
      <c r="R33" s="110"/>
      <c r="S33" s="110"/>
      <c r="T33" s="112" t="str">
        <f ca="1">IF(AND('Inserimento dati'!$B$3=$H$2, TabellaA1[[#This Row],[LUN]]="X"), "X",IF(AND('Inserimento dati'!$B$3=$I$2, TabellaA1[[#This Row],[MAR]]="X"), "X", IF(AND('Inserimento dati'!$B$3=$J$2, TabellaA1[[#This Row],[MER]]="X"), "X",IF(AND('Inserimento dati'!$B$3=$K$2, TabellaA1[[#This Row],[GIO]]="X"), "X", IF(AND('Inserimento dati'!$B$3=$L$2, TabellaA1[[#This Row],[VEN]]="X"), "X","")))))</f>
        <v/>
      </c>
      <c r="U33" s="158" t="str">
        <f t="shared" ca="1" si="0"/>
        <v/>
      </c>
      <c r="V33" s="187">
        <v>45930.833333333336</v>
      </c>
    </row>
    <row r="34" spans="1:22" s="19" customFormat="1" ht="23.25" x14ac:dyDescent="0.2">
      <c r="A34" s="112"/>
      <c r="B34" s="112" t="str">
        <f t="shared" si="1"/>
        <v>X</v>
      </c>
      <c r="C34" s="112" t="str">
        <f>IF(OR(TabellaA1[[#This Row],[LUN]]="X",TabellaA1[[#This Row],[MAR]]="X",TabellaA1[[#This Row],[MER]]="X",TabellaA1[[#This Row],[GIO]]="X",TabellaA1[[#This Row],[VEN]]="X",),"X","")</f>
        <v/>
      </c>
      <c r="D34" s="113" t="s">
        <v>8</v>
      </c>
      <c r="E34" s="109" t="s">
        <v>948</v>
      </c>
      <c r="F34" s="109">
        <v>900</v>
      </c>
      <c r="G34" s="109" t="s">
        <v>934</v>
      </c>
      <c r="H34" s="111"/>
      <c r="I34" s="111"/>
      <c r="J34" s="111"/>
      <c r="K34" s="111"/>
      <c r="L34" s="111"/>
      <c r="M34" s="110" t="s">
        <v>1258</v>
      </c>
      <c r="N34" s="110"/>
      <c r="O34" s="167"/>
      <c r="P34" s="167"/>
      <c r="Q34" s="110"/>
      <c r="R34" s="110"/>
      <c r="S34" s="110"/>
      <c r="T34" s="112" t="str">
        <f ca="1">IF(AND('Inserimento dati'!$B$3=$H$2, TabellaA1[[#This Row],[LUN]]="X"), "X",IF(AND('Inserimento dati'!$B$3=$I$2, TabellaA1[[#This Row],[MAR]]="X"), "X", IF(AND('Inserimento dati'!$B$3=$J$2, TabellaA1[[#This Row],[MER]]="X"), "X",IF(AND('Inserimento dati'!$B$3=$K$2, TabellaA1[[#This Row],[GIO]]="X"), "X", IF(AND('Inserimento dati'!$B$3=$L$2, TabellaA1[[#This Row],[VEN]]="X"), "X","")))))</f>
        <v/>
      </c>
      <c r="U34" s="158" t="str">
        <f t="shared" ca="1" si="0"/>
        <v/>
      </c>
      <c r="V34" s="187">
        <v>45930.833333333336</v>
      </c>
    </row>
    <row r="35" spans="1:22" s="19" customFormat="1" ht="23.25" x14ac:dyDescent="0.2">
      <c r="A35" s="112"/>
      <c r="B35" s="112" t="str">
        <f t="shared" si="1"/>
        <v>X</v>
      </c>
      <c r="C35" s="112" t="str">
        <f>IF(OR(TabellaA1[[#This Row],[LUN]]="X",TabellaA1[[#This Row],[MAR]]="X",TabellaA1[[#This Row],[MER]]="X",TabellaA1[[#This Row],[GIO]]="X",TabellaA1[[#This Row],[VEN]]="X",),"X","")</f>
        <v/>
      </c>
      <c r="D35" s="113" t="s">
        <v>8</v>
      </c>
      <c r="E35" s="109" t="s">
        <v>799</v>
      </c>
      <c r="F35" s="109">
        <v>100</v>
      </c>
      <c r="G35" s="109" t="s">
        <v>794</v>
      </c>
      <c r="H35" s="111"/>
      <c r="I35" s="111"/>
      <c r="J35" s="111"/>
      <c r="K35" s="111"/>
      <c r="L35" s="111"/>
      <c r="M35" s="110" t="s">
        <v>1258</v>
      </c>
      <c r="N35" s="110"/>
      <c r="O35" s="167"/>
      <c r="P35" s="167"/>
      <c r="Q35" s="110"/>
      <c r="R35" s="110"/>
      <c r="S35" s="110"/>
      <c r="T35" s="116" t="str">
        <f ca="1">IF(AND('Inserimento dati'!$B$3=$H$2, TabellaA1[[#This Row],[LUN]]="X"), "X",IF(AND('Inserimento dati'!$B$3=$I$2, TabellaA1[[#This Row],[MAR]]="X"), "X", IF(AND('Inserimento dati'!$B$3=$J$2, TabellaA1[[#This Row],[MER]]="X"), "X",IF(AND('Inserimento dati'!$B$3=$K$2, TabellaA1[[#This Row],[GIO]]="X"), "X", IF(AND('Inserimento dati'!$B$3=$L$2, TabellaA1[[#This Row],[VEN]]="X"), "X","")))))</f>
        <v/>
      </c>
      <c r="U35" s="158" t="str">
        <f t="shared" ca="1" si="0"/>
        <v/>
      </c>
      <c r="V35" s="187">
        <v>45930.833333333336</v>
      </c>
    </row>
    <row r="36" spans="1:22" s="19" customFormat="1" ht="30" x14ac:dyDescent="0.2">
      <c r="A36" s="112"/>
      <c r="B36" s="112" t="str">
        <f t="shared" si="1"/>
        <v>X</v>
      </c>
      <c r="C36" s="112" t="str">
        <f>IF(OR(TabellaA1[[#This Row],[LUN]]="X",TabellaA1[[#This Row],[MAR]]="X",TabellaA1[[#This Row],[MER]]="X",TabellaA1[[#This Row],[GIO]]="X",TabellaA1[[#This Row],[VEN]]="X",),"X","")</f>
        <v/>
      </c>
      <c r="D36" s="113" t="s">
        <v>8</v>
      </c>
      <c r="E36" s="109" t="s">
        <v>964</v>
      </c>
      <c r="F36" s="109">
        <v>100</v>
      </c>
      <c r="G36" s="109" t="s">
        <v>963</v>
      </c>
      <c r="H36" s="111"/>
      <c r="I36" s="111"/>
      <c r="J36" s="111"/>
      <c r="K36" s="111"/>
      <c r="L36" s="111"/>
      <c r="M36" s="110" t="s">
        <v>1258</v>
      </c>
      <c r="N36" s="110"/>
      <c r="O36" s="167"/>
      <c r="P36" s="167"/>
      <c r="Q36" s="110"/>
      <c r="R36" s="110"/>
      <c r="S36" s="110"/>
      <c r="T36" s="112" t="str">
        <f ca="1">IF(AND('Inserimento dati'!$B$3=$H$2, TabellaA1[[#This Row],[LUN]]="X"), "X",IF(AND('Inserimento dati'!$B$3=$I$2, TabellaA1[[#This Row],[MAR]]="X"), "X", IF(AND('Inserimento dati'!$B$3=$J$2, TabellaA1[[#This Row],[MER]]="X"), "X",IF(AND('Inserimento dati'!$B$3=$K$2, TabellaA1[[#This Row],[GIO]]="X"), "X", IF(AND('Inserimento dati'!$B$3=$L$2, TabellaA1[[#This Row],[VEN]]="X"), "X","")))))</f>
        <v/>
      </c>
      <c r="U36" s="158" t="str">
        <f t="shared" ca="1" si="0"/>
        <v/>
      </c>
      <c r="V36" s="187">
        <v>45930.833333333336</v>
      </c>
    </row>
    <row r="37" spans="1:22" s="19" customFormat="1" ht="23.25" x14ac:dyDescent="0.2">
      <c r="A37" s="112"/>
      <c r="B37" s="112" t="str">
        <f t="shared" si="1"/>
        <v>X</v>
      </c>
      <c r="C37" s="112" t="str">
        <f>IF(OR(TabellaA1[[#This Row],[LUN]]="X",TabellaA1[[#This Row],[MAR]]="X",TabellaA1[[#This Row],[MER]]="X",TabellaA1[[#This Row],[GIO]]="X",TabellaA1[[#This Row],[VEN]]="X",),"X","")</f>
        <v/>
      </c>
      <c r="D37" s="113" t="s">
        <v>8</v>
      </c>
      <c r="E37" s="109" t="s">
        <v>921</v>
      </c>
      <c r="F37" s="109" t="s">
        <v>483</v>
      </c>
      <c r="G37" s="109" t="s">
        <v>920</v>
      </c>
      <c r="H37" s="111"/>
      <c r="I37" s="111"/>
      <c r="J37" s="111"/>
      <c r="K37" s="111"/>
      <c r="L37" s="111"/>
      <c r="M37" s="110" t="s">
        <v>1258</v>
      </c>
      <c r="N37" s="110"/>
      <c r="O37" s="167"/>
      <c r="P37" s="167"/>
      <c r="Q37" s="110"/>
      <c r="R37" s="110"/>
      <c r="S37" s="110"/>
      <c r="T37" s="112" t="str">
        <f ca="1">IF(AND('Inserimento dati'!$B$3=$H$2, TabellaA1[[#This Row],[LUN]]="X"), "X",IF(AND('Inserimento dati'!$B$3=$I$2, TabellaA1[[#This Row],[MAR]]="X"), "X", IF(AND('Inserimento dati'!$B$3=$J$2, TabellaA1[[#This Row],[MER]]="X"), "X",IF(AND('Inserimento dati'!$B$3=$K$2, TabellaA1[[#This Row],[GIO]]="X"), "X", IF(AND('Inserimento dati'!$B$3=$L$2, TabellaA1[[#This Row],[VEN]]="X"), "X","")))))</f>
        <v/>
      </c>
      <c r="U37" s="158" t="str">
        <f t="shared" ca="1" si="0"/>
        <v/>
      </c>
      <c r="V37" s="187">
        <v>45930.833333333336</v>
      </c>
    </row>
    <row r="38" spans="1:22" s="19" customFormat="1" ht="23.25" x14ac:dyDescent="0.2">
      <c r="A38" s="112"/>
      <c r="B38" s="112" t="str">
        <f t="shared" si="1"/>
        <v>X</v>
      </c>
      <c r="C38" s="112" t="str">
        <f>IF(OR(TabellaA1[[#This Row],[LUN]]="X",TabellaA1[[#This Row],[MAR]]="X",TabellaA1[[#This Row],[MER]]="X",TabellaA1[[#This Row],[GIO]]="X",TabellaA1[[#This Row],[VEN]]="X",),"X","")</f>
        <v/>
      </c>
      <c r="D38" s="113" t="s">
        <v>8</v>
      </c>
      <c r="E38" s="109" t="s">
        <v>933</v>
      </c>
      <c r="F38" s="109">
        <v>200</v>
      </c>
      <c r="G38" s="109" t="s">
        <v>936</v>
      </c>
      <c r="H38" s="111"/>
      <c r="I38" s="111"/>
      <c r="J38" s="111"/>
      <c r="K38" s="111"/>
      <c r="L38" s="111"/>
      <c r="M38" s="110" t="s">
        <v>1258</v>
      </c>
      <c r="N38" s="110"/>
      <c r="O38" s="167"/>
      <c r="P38" s="167"/>
      <c r="Q38" s="110"/>
      <c r="R38" s="110"/>
      <c r="S38" s="110"/>
      <c r="T38" s="112" t="str">
        <f ca="1">IF(AND('Inserimento dati'!$B$3=$H$2, TabellaA1[[#This Row],[LUN]]="X"), "X",IF(AND('Inserimento dati'!$B$3=$I$2, TabellaA1[[#This Row],[MAR]]="X"), "X", IF(AND('Inserimento dati'!$B$3=$J$2, TabellaA1[[#This Row],[MER]]="X"), "X",IF(AND('Inserimento dati'!$B$3=$K$2, TabellaA1[[#This Row],[GIO]]="X"), "X", IF(AND('Inserimento dati'!$B$3=$L$2, TabellaA1[[#This Row],[VEN]]="X"), "X","")))))</f>
        <v/>
      </c>
      <c r="U38" s="158" t="str">
        <f t="shared" ca="1" si="0"/>
        <v/>
      </c>
      <c r="V38" s="187">
        <v>45930.833333333336</v>
      </c>
    </row>
    <row r="39" spans="1:22" s="19" customFormat="1" ht="30" x14ac:dyDescent="0.2">
      <c r="A39" s="112"/>
      <c r="B39" s="112" t="str">
        <f t="shared" si="1"/>
        <v>X</v>
      </c>
      <c r="C39" s="112" t="str">
        <f>IF(OR(TabellaA1[[#This Row],[LUN]]="X",TabellaA1[[#This Row],[MAR]]="X",TabellaA1[[#This Row],[MER]]="X",TabellaA1[[#This Row],[GIO]]="X",TabellaA1[[#This Row],[VEN]]="X",),"X","")</f>
        <v/>
      </c>
      <c r="D39" s="113" t="s">
        <v>8</v>
      </c>
      <c r="E39" s="109" t="s">
        <v>922</v>
      </c>
      <c r="F39" s="109">
        <v>100</v>
      </c>
      <c r="G39" s="109" t="s">
        <v>919</v>
      </c>
      <c r="H39" s="111"/>
      <c r="I39" s="111"/>
      <c r="J39" s="111"/>
      <c r="K39" s="111"/>
      <c r="L39" s="111"/>
      <c r="M39" s="110" t="s">
        <v>1258</v>
      </c>
      <c r="N39" s="110"/>
      <c r="O39" s="167"/>
      <c r="P39" s="167"/>
      <c r="Q39" s="110"/>
      <c r="R39" s="110"/>
      <c r="S39" s="110"/>
      <c r="T39" s="112" t="str">
        <f ca="1">IF(AND('Inserimento dati'!$B$3=$H$2, TabellaA1[[#This Row],[LUN]]="X"), "X",IF(AND('Inserimento dati'!$B$3=$I$2, TabellaA1[[#This Row],[MAR]]="X"), "X", IF(AND('Inserimento dati'!$B$3=$J$2, TabellaA1[[#This Row],[MER]]="X"), "X",IF(AND('Inserimento dati'!$B$3=$K$2, TabellaA1[[#This Row],[GIO]]="X"), "X", IF(AND('Inserimento dati'!$B$3=$L$2, TabellaA1[[#This Row],[VEN]]="X"), "X","")))))</f>
        <v/>
      </c>
      <c r="U39" s="158" t="str">
        <f t="shared" ref="U39:U70" ca="1" si="2">IFERROR(MID(G39,_xlfn.AGGREGATE(15,6,(ROW(INDIRECT("1:"&amp;LEN(G39)-7)))/(ISNUMBER(--MID(G39,ROW(INDIRECT("1:"&amp;LEN(G39)-7)),8))),1),8),"")</f>
        <v/>
      </c>
      <c r="V39" s="187">
        <v>45930.833333333336</v>
      </c>
    </row>
    <row r="40" spans="1:22" s="19" customFormat="1" ht="30" x14ac:dyDescent="0.2">
      <c r="A40" s="112"/>
      <c r="B40" s="112" t="str">
        <f t="shared" si="1"/>
        <v>X</v>
      </c>
      <c r="C40" s="112" t="str">
        <f>IF(OR(TabellaA1[[#This Row],[LUN]]="X",TabellaA1[[#This Row],[MAR]]="X",TabellaA1[[#This Row],[MER]]="X",TabellaA1[[#This Row],[GIO]]="X",TabellaA1[[#This Row],[VEN]]="X",),"X","")</f>
        <v/>
      </c>
      <c r="D40" s="113" t="s">
        <v>8</v>
      </c>
      <c r="E40" s="109" t="s">
        <v>874</v>
      </c>
      <c r="F40" s="109">
        <v>300</v>
      </c>
      <c r="G40" s="109" t="s">
        <v>863</v>
      </c>
      <c r="H40" s="111"/>
      <c r="I40" s="111"/>
      <c r="J40" s="111"/>
      <c r="K40" s="111"/>
      <c r="L40" s="111"/>
      <c r="M40" s="110" t="s">
        <v>1258</v>
      </c>
      <c r="N40" s="110"/>
      <c r="O40" s="167"/>
      <c r="P40" s="167"/>
      <c r="Q40" s="110"/>
      <c r="R40" s="110"/>
      <c r="S40" s="110"/>
      <c r="T40" s="112" t="str">
        <f ca="1">IF(AND('Inserimento dati'!$B$3=$H$2, TabellaA1[[#This Row],[LUN]]="X"), "X",IF(AND('Inserimento dati'!$B$3=$I$2, TabellaA1[[#This Row],[MAR]]="X"), "X", IF(AND('Inserimento dati'!$B$3=$J$2, TabellaA1[[#This Row],[MER]]="X"), "X",IF(AND('Inserimento dati'!$B$3=$K$2, TabellaA1[[#This Row],[GIO]]="X"), "X", IF(AND('Inserimento dati'!$B$3=$L$2, TabellaA1[[#This Row],[VEN]]="X"), "X","")))))</f>
        <v/>
      </c>
      <c r="U40" s="158" t="str">
        <f t="shared" ca="1" si="2"/>
        <v/>
      </c>
      <c r="V40" s="187">
        <v>45930.833333333336</v>
      </c>
    </row>
    <row r="41" spans="1:22" s="19" customFormat="1" ht="30" x14ac:dyDescent="0.2">
      <c r="A41" s="112"/>
      <c r="B41" s="112" t="str">
        <f t="shared" si="1"/>
        <v>X</v>
      </c>
      <c r="C41" s="112" t="str">
        <f>IF(OR(TabellaA1[[#This Row],[LUN]]="X",TabellaA1[[#This Row],[MAR]]="X",TabellaA1[[#This Row],[MER]]="X",TabellaA1[[#This Row],[GIO]]="X",TabellaA1[[#This Row],[VEN]]="X",),"X","")</f>
        <v/>
      </c>
      <c r="D41" s="113" t="s">
        <v>8</v>
      </c>
      <c r="E41" s="109" t="s">
        <v>821</v>
      </c>
      <c r="F41" s="109">
        <v>900</v>
      </c>
      <c r="G41" s="109" t="s">
        <v>995</v>
      </c>
      <c r="H41" s="111"/>
      <c r="I41" s="111"/>
      <c r="J41" s="111"/>
      <c r="K41" s="111"/>
      <c r="L41" s="111"/>
      <c r="M41" s="110" t="s">
        <v>1258</v>
      </c>
      <c r="N41" s="110"/>
      <c r="O41" s="167"/>
      <c r="P41" s="167"/>
      <c r="Q41" s="110" t="s">
        <v>834</v>
      </c>
      <c r="R41" s="110">
        <v>45720</v>
      </c>
      <c r="S41" s="110" t="s">
        <v>635</v>
      </c>
      <c r="T41" s="112" t="str">
        <f ca="1">IF(AND('Inserimento dati'!$B$3=$H$2, TabellaA1[[#This Row],[LUN]]="X"), "X",IF(AND('Inserimento dati'!$B$3=$I$2, TabellaA1[[#This Row],[MAR]]="X"), "X", IF(AND('Inserimento dati'!$B$3=$J$2, TabellaA1[[#This Row],[MER]]="X"), "X",IF(AND('Inserimento dati'!$B$3=$K$2, TabellaA1[[#This Row],[GIO]]="X"), "X", IF(AND('Inserimento dati'!$B$3=$L$2, TabellaA1[[#This Row],[VEN]]="X"), "X","")))))</f>
        <v/>
      </c>
      <c r="U41" s="158" t="str">
        <f t="shared" ca="1" si="2"/>
        <v/>
      </c>
      <c r="V41" s="187">
        <v>45930.833333333336</v>
      </c>
    </row>
    <row r="42" spans="1:22" s="19" customFormat="1" ht="30" x14ac:dyDescent="0.2">
      <c r="A42" s="112"/>
      <c r="B42" s="112" t="str">
        <f t="shared" si="1"/>
        <v>X</v>
      </c>
      <c r="C42" s="112" t="str">
        <f>IF(OR(TabellaA1[[#This Row],[LUN]]="X",TabellaA1[[#This Row],[MAR]]="X",TabellaA1[[#This Row],[MER]]="X",TabellaA1[[#This Row],[GIO]]="X",TabellaA1[[#This Row],[VEN]]="X",),"X","")</f>
        <v/>
      </c>
      <c r="D42" s="113" t="s">
        <v>8</v>
      </c>
      <c r="E42" s="109" t="s">
        <v>822</v>
      </c>
      <c r="F42" s="109">
        <v>900</v>
      </c>
      <c r="G42" s="109" t="s">
        <v>996</v>
      </c>
      <c r="H42" s="111"/>
      <c r="I42" s="111"/>
      <c r="J42" s="111"/>
      <c r="K42" s="111"/>
      <c r="L42" s="111"/>
      <c r="M42" s="110" t="s">
        <v>1258</v>
      </c>
      <c r="N42" s="110"/>
      <c r="O42" s="167"/>
      <c r="P42" s="167"/>
      <c r="Q42" s="110" t="s">
        <v>834</v>
      </c>
      <c r="R42" s="110">
        <v>45720</v>
      </c>
      <c r="S42" s="110" t="s">
        <v>635</v>
      </c>
      <c r="T42" s="112" t="str">
        <f ca="1">IF(AND('Inserimento dati'!$B$3=$H$2, TabellaA1[[#This Row],[LUN]]="X"), "X",IF(AND('Inserimento dati'!$B$3=$I$2, TabellaA1[[#This Row],[MAR]]="X"), "X", IF(AND('Inserimento dati'!$B$3=$J$2, TabellaA1[[#This Row],[MER]]="X"), "X",IF(AND('Inserimento dati'!$B$3=$K$2, TabellaA1[[#This Row],[GIO]]="X"), "X", IF(AND('Inserimento dati'!$B$3=$L$2, TabellaA1[[#This Row],[VEN]]="X"), "X","")))))</f>
        <v/>
      </c>
      <c r="U42" s="158" t="str">
        <f t="shared" ca="1" si="2"/>
        <v/>
      </c>
      <c r="V42" s="187">
        <v>45930.833333333336</v>
      </c>
    </row>
    <row r="43" spans="1:22" s="19" customFormat="1" ht="30" x14ac:dyDescent="0.2">
      <c r="A43" s="112"/>
      <c r="B43" s="112" t="str">
        <f t="shared" si="1"/>
        <v>X</v>
      </c>
      <c r="C43" s="112" t="str">
        <f>IF(OR(TabellaA1[[#This Row],[LUN]]="X",TabellaA1[[#This Row],[MAR]]="X",TabellaA1[[#This Row],[MER]]="X",TabellaA1[[#This Row],[GIO]]="X",TabellaA1[[#This Row],[VEN]]="X",),"X","")</f>
        <v/>
      </c>
      <c r="D43" s="113" t="s">
        <v>8</v>
      </c>
      <c r="E43" s="109" t="s">
        <v>820</v>
      </c>
      <c r="F43" s="109">
        <v>900</v>
      </c>
      <c r="G43" s="109" t="s">
        <v>997</v>
      </c>
      <c r="H43" s="111"/>
      <c r="I43" s="111"/>
      <c r="J43" s="111"/>
      <c r="K43" s="111"/>
      <c r="L43" s="111"/>
      <c r="M43" s="110" t="s">
        <v>1258</v>
      </c>
      <c r="N43" s="110"/>
      <c r="O43" s="167"/>
      <c r="P43" s="167"/>
      <c r="Q43" s="110" t="s">
        <v>834</v>
      </c>
      <c r="R43" s="110">
        <v>45720</v>
      </c>
      <c r="S43" s="110" t="s">
        <v>635</v>
      </c>
      <c r="T43" s="112" t="str">
        <f ca="1">IF(AND('Inserimento dati'!$B$3=$H$2, TabellaA1[[#This Row],[LUN]]="X"), "X",IF(AND('Inserimento dati'!$B$3=$I$2, TabellaA1[[#This Row],[MAR]]="X"), "X", IF(AND('Inserimento dati'!$B$3=$J$2, TabellaA1[[#This Row],[MER]]="X"), "X",IF(AND('Inserimento dati'!$B$3=$K$2, TabellaA1[[#This Row],[GIO]]="X"), "X", IF(AND('Inserimento dati'!$B$3=$L$2, TabellaA1[[#This Row],[VEN]]="X"), "X","")))))</f>
        <v/>
      </c>
      <c r="U43" s="158" t="str">
        <f t="shared" ca="1" si="2"/>
        <v/>
      </c>
      <c r="V43" s="187">
        <v>45930.833333333336</v>
      </c>
    </row>
    <row r="44" spans="1:22" s="19" customFormat="1" ht="30" x14ac:dyDescent="0.2">
      <c r="A44" s="112"/>
      <c r="B44" s="112" t="str">
        <f t="shared" ref="B44:B75" si="3">IF(OR(A44="x",A44="X"),"",IF(ISBLANK(A44),"X",""))</f>
        <v>X</v>
      </c>
      <c r="C44" s="112" t="str">
        <f>IF(OR(TabellaA1[[#This Row],[LUN]]="X",TabellaA1[[#This Row],[MAR]]="X",TabellaA1[[#This Row],[MER]]="X",TabellaA1[[#This Row],[GIO]]="X",TabellaA1[[#This Row],[VEN]]="X",),"X","")</f>
        <v/>
      </c>
      <c r="D44" s="113" t="s">
        <v>8</v>
      </c>
      <c r="E44" s="109" t="s">
        <v>1109</v>
      </c>
      <c r="F44" s="109">
        <v>200</v>
      </c>
      <c r="G44" s="109" t="s">
        <v>1108</v>
      </c>
      <c r="H44" s="111"/>
      <c r="I44" s="111"/>
      <c r="J44" s="111"/>
      <c r="K44" s="111"/>
      <c r="L44" s="111"/>
      <c r="M44" s="110" t="s">
        <v>1258</v>
      </c>
      <c r="N44" s="110"/>
      <c r="O44" s="167"/>
      <c r="P44" s="167"/>
      <c r="Q44" s="110" t="s">
        <v>1116</v>
      </c>
      <c r="R44" s="110">
        <v>45762</v>
      </c>
      <c r="S44" s="110" t="s">
        <v>436</v>
      </c>
      <c r="T44" s="112" t="str">
        <f ca="1">IF(AND('Inserimento dati'!$B$3=$H$2, TabellaA1[[#This Row],[LUN]]="X"), "X",IF(AND('Inserimento dati'!$B$3=$I$2, TabellaA1[[#This Row],[MAR]]="X"), "X", IF(AND('Inserimento dati'!$B$3=$J$2, TabellaA1[[#This Row],[MER]]="X"), "X",IF(AND('Inserimento dati'!$B$3=$K$2, TabellaA1[[#This Row],[GIO]]="X"), "X", IF(AND('Inserimento dati'!$B$3=$L$2, TabellaA1[[#This Row],[VEN]]="X"), "X","")))))</f>
        <v/>
      </c>
      <c r="U44" s="158" t="str">
        <f t="shared" ca="1" si="2"/>
        <v/>
      </c>
      <c r="V44" s="187">
        <v>45930.833333333336</v>
      </c>
    </row>
    <row r="45" spans="1:22" s="19" customFormat="1" ht="30" x14ac:dyDescent="0.2">
      <c r="A45" s="112"/>
      <c r="B45" s="112" t="str">
        <f t="shared" si="3"/>
        <v>X</v>
      </c>
      <c r="C45" s="112" t="str">
        <f>IF(OR(TabellaA1[[#This Row],[LUN]]="X",TabellaA1[[#This Row],[MAR]]="X",TabellaA1[[#This Row],[MER]]="X",TabellaA1[[#This Row],[GIO]]="X",TabellaA1[[#This Row],[VEN]]="X",),"X","")</f>
        <v/>
      </c>
      <c r="D45" s="113" t="s">
        <v>8</v>
      </c>
      <c r="E45" s="109" t="s">
        <v>1076</v>
      </c>
      <c r="F45" s="109">
        <v>900</v>
      </c>
      <c r="G45" s="109" t="s">
        <v>1073</v>
      </c>
      <c r="H45" s="111"/>
      <c r="I45" s="111"/>
      <c r="J45" s="111"/>
      <c r="K45" s="111"/>
      <c r="L45" s="111"/>
      <c r="M45" s="110" t="s">
        <v>1258</v>
      </c>
      <c r="N45" s="110"/>
      <c r="O45" s="167"/>
      <c r="P45" s="167"/>
      <c r="Q45" s="110" t="s">
        <v>1259</v>
      </c>
      <c r="R45" s="110">
        <v>45762</v>
      </c>
      <c r="S45" s="110" t="s">
        <v>845</v>
      </c>
      <c r="T45" s="112" t="str">
        <f ca="1">IF(AND('Inserimento dati'!$B$3=$H$2, TabellaA1[[#This Row],[LUN]]="X"), "X",IF(AND('Inserimento dati'!$B$3=$I$2, TabellaA1[[#This Row],[MAR]]="X"), "X", IF(AND('Inserimento dati'!$B$3=$J$2, TabellaA1[[#This Row],[MER]]="X"), "X",IF(AND('Inserimento dati'!$B$3=$K$2, TabellaA1[[#This Row],[GIO]]="X"), "X", IF(AND('Inserimento dati'!$B$3=$L$2, TabellaA1[[#This Row],[VEN]]="X"), "X","")))))</f>
        <v/>
      </c>
      <c r="U45" s="158" t="str">
        <f t="shared" ca="1" si="2"/>
        <v/>
      </c>
      <c r="V45" s="187">
        <v>45930.833333333336</v>
      </c>
    </row>
    <row r="46" spans="1:22" s="19" customFormat="1" ht="30" x14ac:dyDescent="0.2">
      <c r="A46" s="112"/>
      <c r="B46" s="112" t="str">
        <f t="shared" si="3"/>
        <v>X</v>
      </c>
      <c r="C46" s="112" t="str">
        <f>IF(OR(TabellaA1[[#This Row],[LUN]]="X",TabellaA1[[#This Row],[MAR]]="X",TabellaA1[[#This Row],[MER]]="X",TabellaA1[[#This Row],[GIO]]="X",TabellaA1[[#This Row],[VEN]]="X",),"X","")</f>
        <v/>
      </c>
      <c r="D46" s="113" t="s">
        <v>8</v>
      </c>
      <c r="E46" s="109" t="s">
        <v>1082</v>
      </c>
      <c r="F46" s="109">
        <v>200</v>
      </c>
      <c r="G46" s="109" t="s">
        <v>1081</v>
      </c>
      <c r="H46" s="111"/>
      <c r="I46" s="111"/>
      <c r="J46" s="111"/>
      <c r="K46" s="111"/>
      <c r="L46" s="111"/>
      <c r="M46" s="110" t="s">
        <v>1258</v>
      </c>
      <c r="N46" s="110"/>
      <c r="O46" s="167"/>
      <c r="P46" s="167"/>
      <c r="Q46" s="110"/>
      <c r="R46" s="110">
        <v>45757</v>
      </c>
      <c r="S46" s="110" t="s">
        <v>1074</v>
      </c>
      <c r="T46" s="112" t="str">
        <f ca="1">IF(AND('Inserimento dati'!$B$3=$H$2, TabellaA1[[#This Row],[LUN]]="X"), "X",IF(AND('Inserimento dati'!$B$3=$I$2, TabellaA1[[#This Row],[MAR]]="X"), "X", IF(AND('Inserimento dati'!$B$3=$J$2, TabellaA1[[#This Row],[MER]]="X"), "X",IF(AND('Inserimento dati'!$B$3=$K$2, TabellaA1[[#This Row],[GIO]]="X"), "X", IF(AND('Inserimento dati'!$B$3=$L$2, TabellaA1[[#This Row],[VEN]]="X"), "X","")))))</f>
        <v/>
      </c>
      <c r="U46" s="158" t="str">
        <f t="shared" ca="1" si="2"/>
        <v/>
      </c>
      <c r="V46" s="187">
        <v>45930.833333333336</v>
      </c>
    </row>
    <row r="47" spans="1:22" s="19" customFormat="1" ht="23.25" x14ac:dyDescent="0.2">
      <c r="A47" s="112"/>
      <c r="B47" s="112" t="str">
        <f t="shared" si="3"/>
        <v>X</v>
      </c>
      <c r="C47" s="112" t="str">
        <f>IF(OR(TabellaA1[[#This Row],[LUN]]="X",TabellaA1[[#This Row],[MAR]]="X",TabellaA1[[#This Row],[MER]]="X",TabellaA1[[#This Row],[GIO]]="X",TabellaA1[[#This Row],[VEN]]="X",),"X","")</f>
        <v/>
      </c>
      <c r="D47" s="113" t="s">
        <v>8</v>
      </c>
      <c r="E47" s="109" t="s">
        <v>1005</v>
      </c>
      <c r="F47" s="109">
        <v>100</v>
      </c>
      <c r="G47" s="109" t="s">
        <v>1002</v>
      </c>
      <c r="H47" s="111"/>
      <c r="I47" s="111"/>
      <c r="J47" s="111"/>
      <c r="K47" s="111"/>
      <c r="L47" s="111"/>
      <c r="M47" s="110" t="s">
        <v>1258</v>
      </c>
      <c r="N47" s="110"/>
      <c r="O47" s="167"/>
      <c r="P47" s="167"/>
      <c r="Q47" s="110"/>
      <c r="R47" s="110">
        <v>45755</v>
      </c>
      <c r="S47" s="110" t="s">
        <v>203</v>
      </c>
      <c r="T47" s="112" t="str">
        <f ca="1">IF(AND('Inserimento dati'!$B$3=$H$2, TabellaA1[[#This Row],[LUN]]="X"), "X",IF(AND('Inserimento dati'!$B$3=$I$2, TabellaA1[[#This Row],[MAR]]="X"), "X", IF(AND('Inserimento dati'!$B$3=$J$2, TabellaA1[[#This Row],[MER]]="X"), "X",IF(AND('Inserimento dati'!$B$3=$K$2, TabellaA1[[#This Row],[GIO]]="X"), "X", IF(AND('Inserimento dati'!$B$3=$L$2, TabellaA1[[#This Row],[VEN]]="X"), "X","")))))</f>
        <v/>
      </c>
      <c r="U47" s="158" t="str">
        <f t="shared" ca="1" si="2"/>
        <v/>
      </c>
      <c r="V47" s="187">
        <v>45930.833333333336</v>
      </c>
    </row>
    <row r="48" spans="1:22" s="19" customFormat="1" ht="30" x14ac:dyDescent="0.2">
      <c r="A48" s="112"/>
      <c r="B48" s="112" t="str">
        <f t="shared" si="3"/>
        <v>X</v>
      </c>
      <c r="C48" s="112" t="str">
        <f>IF(OR(TabellaA1[[#This Row],[LUN]]="X",TabellaA1[[#This Row],[MAR]]="X",TabellaA1[[#This Row],[MER]]="X",TabellaA1[[#This Row],[GIO]]="X",TabellaA1[[#This Row],[VEN]]="X",),"X","")</f>
        <v/>
      </c>
      <c r="D48" s="113" t="s">
        <v>8</v>
      </c>
      <c r="E48" s="109" t="s">
        <v>959</v>
      </c>
      <c r="F48" s="109">
        <v>900</v>
      </c>
      <c r="G48" s="109" t="s">
        <v>958</v>
      </c>
      <c r="H48" s="111"/>
      <c r="I48" s="111"/>
      <c r="J48" s="111"/>
      <c r="K48" s="111"/>
      <c r="L48" s="111"/>
      <c r="M48" s="110" t="s">
        <v>1258</v>
      </c>
      <c r="N48" s="110"/>
      <c r="O48" s="167"/>
      <c r="P48" s="167"/>
      <c r="Q48" s="110" t="s">
        <v>715</v>
      </c>
      <c r="R48" s="110">
        <v>45747</v>
      </c>
      <c r="S48" s="110" t="s">
        <v>635</v>
      </c>
      <c r="T48" s="112" t="str">
        <f ca="1">IF(AND('Inserimento dati'!$B$3=$H$2, TabellaA1[[#This Row],[LUN]]="X"), "X",IF(AND('Inserimento dati'!$B$3=$I$2, TabellaA1[[#This Row],[MAR]]="X"), "X", IF(AND('Inserimento dati'!$B$3=$J$2, TabellaA1[[#This Row],[MER]]="X"), "X",IF(AND('Inserimento dati'!$B$3=$K$2, TabellaA1[[#This Row],[GIO]]="X"), "X", IF(AND('Inserimento dati'!$B$3=$L$2, TabellaA1[[#This Row],[VEN]]="X"), "X","")))))</f>
        <v/>
      </c>
      <c r="U48" s="158" t="str">
        <f t="shared" ca="1" si="2"/>
        <v/>
      </c>
      <c r="V48" s="187">
        <v>45930.833333333336</v>
      </c>
    </row>
    <row r="49" spans="1:22" s="19" customFormat="1" ht="30" x14ac:dyDescent="0.2">
      <c r="A49" s="112"/>
      <c r="B49" s="112" t="str">
        <f t="shared" si="3"/>
        <v>X</v>
      </c>
      <c r="C49" s="112" t="str">
        <f>IF(OR(TabellaA1[[#This Row],[LUN]]="X",TabellaA1[[#This Row],[MAR]]="X",TabellaA1[[#This Row],[MER]]="X",TabellaA1[[#This Row],[GIO]]="X",TabellaA1[[#This Row],[VEN]]="X",),"X","")</f>
        <v/>
      </c>
      <c r="D49" s="113" t="s">
        <v>8</v>
      </c>
      <c r="E49" s="109" t="s">
        <v>957</v>
      </c>
      <c r="F49" s="109">
        <v>900</v>
      </c>
      <c r="G49" s="109" t="s">
        <v>956</v>
      </c>
      <c r="H49" s="111"/>
      <c r="I49" s="111"/>
      <c r="J49" s="111"/>
      <c r="K49" s="111"/>
      <c r="L49" s="111"/>
      <c r="M49" s="110" t="s">
        <v>1258</v>
      </c>
      <c r="N49" s="110"/>
      <c r="O49" s="167"/>
      <c r="P49" s="167"/>
      <c r="Q49" s="110" t="s">
        <v>715</v>
      </c>
      <c r="R49" s="110">
        <v>45747</v>
      </c>
      <c r="S49" s="110" t="s">
        <v>635</v>
      </c>
      <c r="T49" s="112" t="str">
        <f ca="1">IF(AND('Inserimento dati'!$B$3=$H$2, TabellaA1[[#This Row],[LUN]]="X"), "X",IF(AND('Inserimento dati'!$B$3=$I$2, TabellaA1[[#This Row],[MAR]]="X"), "X", IF(AND('Inserimento dati'!$B$3=$J$2, TabellaA1[[#This Row],[MER]]="X"), "X",IF(AND('Inserimento dati'!$B$3=$K$2, TabellaA1[[#This Row],[GIO]]="X"), "X", IF(AND('Inserimento dati'!$B$3=$L$2, TabellaA1[[#This Row],[VEN]]="X"), "X","")))))</f>
        <v/>
      </c>
      <c r="U49" s="158" t="str">
        <f t="shared" ca="1" si="2"/>
        <v/>
      </c>
      <c r="V49" s="187">
        <v>45930.833333333336</v>
      </c>
    </row>
    <row r="50" spans="1:22" s="19" customFormat="1" ht="30" x14ac:dyDescent="0.2">
      <c r="A50" s="112"/>
      <c r="B50" s="112" t="str">
        <f t="shared" si="3"/>
        <v>X</v>
      </c>
      <c r="C50" s="112" t="str">
        <f>IF(OR(TabellaA1[[#This Row],[LUN]]="X",TabellaA1[[#This Row],[MAR]]="X",TabellaA1[[#This Row],[MER]]="X",TabellaA1[[#This Row],[GIO]]="X",TabellaA1[[#This Row],[VEN]]="X",),"X","")</f>
        <v/>
      </c>
      <c r="D50" s="113" t="s">
        <v>8</v>
      </c>
      <c r="E50" s="109" t="s">
        <v>960</v>
      </c>
      <c r="F50" s="109">
        <v>900</v>
      </c>
      <c r="G50" s="109" t="s">
        <v>955</v>
      </c>
      <c r="H50" s="111"/>
      <c r="I50" s="111"/>
      <c r="J50" s="111"/>
      <c r="K50" s="111"/>
      <c r="L50" s="111"/>
      <c r="M50" s="110" t="s">
        <v>1258</v>
      </c>
      <c r="N50" s="110"/>
      <c r="O50" s="167"/>
      <c r="P50" s="167"/>
      <c r="Q50" s="110" t="s">
        <v>715</v>
      </c>
      <c r="R50" s="110">
        <v>45747</v>
      </c>
      <c r="S50" s="110" t="s">
        <v>635</v>
      </c>
      <c r="T50" s="112" t="str">
        <f ca="1">IF(AND('Inserimento dati'!$B$3=$H$2, TabellaA1[[#This Row],[LUN]]="X"), "X",IF(AND('Inserimento dati'!$B$3=$I$2, TabellaA1[[#This Row],[MAR]]="X"), "X", IF(AND('Inserimento dati'!$B$3=$J$2, TabellaA1[[#This Row],[MER]]="X"), "X",IF(AND('Inserimento dati'!$B$3=$K$2, TabellaA1[[#This Row],[GIO]]="X"), "X", IF(AND('Inserimento dati'!$B$3=$L$2, TabellaA1[[#This Row],[VEN]]="X"), "X","")))))</f>
        <v/>
      </c>
      <c r="U50" s="158" t="str">
        <f t="shared" ca="1" si="2"/>
        <v/>
      </c>
      <c r="V50" s="187">
        <v>45930.833333333336</v>
      </c>
    </row>
    <row r="51" spans="1:22" s="19" customFormat="1" ht="30" x14ac:dyDescent="0.2">
      <c r="A51" s="112"/>
      <c r="B51" s="112" t="str">
        <f t="shared" si="3"/>
        <v>X</v>
      </c>
      <c r="C51" s="112" t="str">
        <f>IF(OR(TabellaA1[[#This Row],[LUN]]="X",TabellaA1[[#This Row],[MAR]]="X",TabellaA1[[#This Row],[MER]]="X",TabellaA1[[#This Row],[GIO]]="X",TabellaA1[[#This Row],[VEN]]="X",),"X","")</f>
        <v/>
      </c>
      <c r="D51" s="113" t="s">
        <v>8</v>
      </c>
      <c r="E51" s="109" t="s">
        <v>872</v>
      </c>
      <c r="F51" s="109">
        <v>200</v>
      </c>
      <c r="G51" s="109" t="s">
        <v>865</v>
      </c>
      <c r="H51" s="111"/>
      <c r="I51" s="111"/>
      <c r="J51" s="111"/>
      <c r="K51" s="111"/>
      <c r="L51" s="111"/>
      <c r="M51" s="110" t="s">
        <v>1258</v>
      </c>
      <c r="N51" s="110"/>
      <c r="O51" s="167"/>
      <c r="P51" s="167"/>
      <c r="Q51" s="110"/>
      <c r="R51" s="110"/>
      <c r="S51" s="110"/>
      <c r="T51" s="112" t="str">
        <f ca="1">IF(AND('Inserimento dati'!$B$3=$H$2, TabellaA1[[#This Row],[LUN]]="X"), "X",IF(AND('Inserimento dati'!$B$3=$I$2, TabellaA1[[#This Row],[MAR]]="X"), "X", IF(AND('Inserimento dati'!$B$3=$J$2, TabellaA1[[#This Row],[MER]]="X"), "X",IF(AND('Inserimento dati'!$B$3=$K$2, TabellaA1[[#This Row],[GIO]]="X"), "X", IF(AND('Inserimento dati'!$B$3=$L$2, TabellaA1[[#This Row],[VEN]]="X"), "X","")))))</f>
        <v/>
      </c>
      <c r="U51" s="158" t="str">
        <f t="shared" ca="1" si="2"/>
        <v/>
      </c>
      <c r="V51" s="187">
        <v>45930.833333333336</v>
      </c>
    </row>
    <row r="52" spans="1:22" s="19" customFormat="1" ht="30" x14ac:dyDescent="0.2">
      <c r="A52" s="112"/>
      <c r="B52" s="112" t="str">
        <f t="shared" si="3"/>
        <v>X</v>
      </c>
      <c r="C52" s="112" t="str">
        <f>IF(OR(TabellaA1[[#This Row],[LUN]]="X",TabellaA1[[#This Row],[MAR]]="X",TabellaA1[[#This Row],[MER]]="X",TabellaA1[[#This Row],[GIO]]="X",TabellaA1[[#This Row],[VEN]]="X",),"X","")</f>
        <v/>
      </c>
      <c r="D52" s="113" t="s">
        <v>8</v>
      </c>
      <c r="E52" s="109" t="s">
        <v>869</v>
      </c>
      <c r="F52" s="109">
        <v>200</v>
      </c>
      <c r="G52" s="109" t="s">
        <v>868</v>
      </c>
      <c r="H52" s="111"/>
      <c r="I52" s="111"/>
      <c r="J52" s="111"/>
      <c r="K52" s="111"/>
      <c r="L52" s="111"/>
      <c r="M52" s="110" t="s">
        <v>1258</v>
      </c>
      <c r="N52" s="110"/>
      <c r="O52" s="167"/>
      <c r="P52" s="167"/>
      <c r="Q52" s="110"/>
      <c r="R52" s="110">
        <v>45727</v>
      </c>
      <c r="S52" s="110" t="s">
        <v>203</v>
      </c>
      <c r="T52" s="112" t="str">
        <f ca="1">IF(AND('Inserimento dati'!$B$3=$H$2, TabellaA1[[#This Row],[LUN]]="X"), "X",IF(AND('Inserimento dati'!$B$3=$I$2, TabellaA1[[#This Row],[MAR]]="X"), "X", IF(AND('Inserimento dati'!$B$3=$J$2, TabellaA1[[#This Row],[MER]]="X"), "X",IF(AND('Inserimento dati'!$B$3=$K$2, TabellaA1[[#This Row],[GIO]]="X"), "X", IF(AND('Inserimento dati'!$B$3=$L$2, TabellaA1[[#This Row],[VEN]]="X"), "X","")))))</f>
        <v/>
      </c>
      <c r="U52" s="158" t="str">
        <f t="shared" ca="1" si="2"/>
        <v/>
      </c>
      <c r="V52" s="187">
        <v>45930.833333333336</v>
      </c>
    </row>
    <row r="53" spans="1:22" s="19" customFormat="1" ht="30" x14ac:dyDescent="0.2">
      <c r="A53" s="112"/>
      <c r="B53" s="112" t="str">
        <f t="shared" si="3"/>
        <v>X</v>
      </c>
      <c r="C53" s="112" t="str">
        <f>IF(OR(TabellaA1[[#This Row],[LUN]]="X",TabellaA1[[#This Row],[MAR]]="X",TabellaA1[[#This Row],[MER]]="X",TabellaA1[[#This Row],[GIO]]="X",TabellaA1[[#This Row],[VEN]]="X",),"X","")</f>
        <v/>
      </c>
      <c r="D53" s="113" t="s">
        <v>8</v>
      </c>
      <c r="E53" s="109" t="s">
        <v>870</v>
      </c>
      <c r="F53" s="109">
        <v>200</v>
      </c>
      <c r="G53" s="109" t="s">
        <v>867</v>
      </c>
      <c r="H53" s="111"/>
      <c r="I53" s="111"/>
      <c r="J53" s="111"/>
      <c r="K53" s="111"/>
      <c r="L53" s="111"/>
      <c r="M53" s="110" t="s">
        <v>1258</v>
      </c>
      <c r="N53" s="110"/>
      <c r="O53" s="167"/>
      <c r="P53" s="167"/>
      <c r="Q53" s="110" t="s">
        <v>895</v>
      </c>
      <c r="R53" s="110">
        <v>45727</v>
      </c>
      <c r="S53" s="110" t="s">
        <v>203</v>
      </c>
      <c r="T53" s="112" t="str">
        <f ca="1">IF(AND('Inserimento dati'!$B$3=$H$2, TabellaA1[[#This Row],[LUN]]="X"), "X",IF(AND('Inserimento dati'!$B$3=$I$2, TabellaA1[[#This Row],[MAR]]="X"), "X", IF(AND('Inserimento dati'!$B$3=$J$2, TabellaA1[[#This Row],[MER]]="X"), "X",IF(AND('Inserimento dati'!$B$3=$K$2, TabellaA1[[#This Row],[GIO]]="X"), "X", IF(AND('Inserimento dati'!$B$3=$L$2, TabellaA1[[#This Row],[VEN]]="X"), "X","")))))</f>
        <v/>
      </c>
      <c r="U53" s="158" t="str">
        <f t="shared" ca="1" si="2"/>
        <v/>
      </c>
      <c r="V53" s="187">
        <v>45930.833333333336</v>
      </c>
    </row>
    <row r="54" spans="1:22" s="19" customFormat="1" ht="30" x14ac:dyDescent="0.2">
      <c r="A54" s="112"/>
      <c r="B54" s="112" t="str">
        <f t="shared" si="3"/>
        <v>X</v>
      </c>
      <c r="C54" s="112" t="str">
        <f>IF(OR(TabellaA1[[#This Row],[LUN]]="X",TabellaA1[[#This Row],[MAR]]="X",TabellaA1[[#This Row],[MER]]="X",TabellaA1[[#This Row],[GIO]]="X",TabellaA1[[#This Row],[VEN]]="X",),"X","")</f>
        <v/>
      </c>
      <c r="D54" s="113" t="s">
        <v>8</v>
      </c>
      <c r="E54" s="109" t="s">
        <v>871</v>
      </c>
      <c r="F54" s="109">
        <v>200</v>
      </c>
      <c r="G54" s="109" t="s">
        <v>866</v>
      </c>
      <c r="H54" s="111"/>
      <c r="I54" s="111"/>
      <c r="J54" s="111"/>
      <c r="K54" s="111"/>
      <c r="L54" s="111"/>
      <c r="M54" s="110" t="s">
        <v>1258</v>
      </c>
      <c r="N54" s="110"/>
      <c r="O54" s="167"/>
      <c r="P54" s="167"/>
      <c r="Q54" s="110"/>
      <c r="R54" s="110">
        <v>45727</v>
      </c>
      <c r="S54" s="110" t="s">
        <v>203</v>
      </c>
      <c r="T54" s="112" t="str">
        <f ca="1">IF(AND('Inserimento dati'!$B$3=$H$2, TabellaA1[[#This Row],[LUN]]="X"), "X",IF(AND('Inserimento dati'!$B$3=$I$2, TabellaA1[[#This Row],[MAR]]="X"), "X", IF(AND('Inserimento dati'!$B$3=$J$2, TabellaA1[[#This Row],[MER]]="X"), "X",IF(AND('Inserimento dati'!$B$3=$K$2, TabellaA1[[#This Row],[GIO]]="X"), "X", IF(AND('Inserimento dati'!$B$3=$L$2, TabellaA1[[#This Row],[VEN]]="X"), "X","")))))</f>
        <v/>
      </c>
      <c r="U54" s="158" t="str">
        <f t="shared" ca="1" si="2"/>
        <v/>
      </c>
      <c r="V54" s="187">
        <v>45930.833333333336</v>
      </c>
    </row>
    <row r="55" spans="1:22" s="19" customFormat="1" ht="23.25" x14ac:dyDescent="0.2">
      <c r="A55" s="112"/>
      <c r="B55" s="112" t="str">
        <f t="shared" si="3"/>
        <v>X</v>
      </c>
      <c r="C55" s="112" t="str">
        <f>IF(OR(TabellaA1[[#This Row],[LUN]]="X",TabellaA1[[#This Row],[MAR]]="X",TabellaA1[[#This Row],[MER]]="X",TabellaA1[[#This Row],[GIO]]="X",TabellaA1[[#This Row],[VEN]]="X",),"X","")</f>
        <v/>
      </c>
      <c r="D55" s="113" t="s">
        <v>8</v>
      </c>
      <c r="E55" s="109" t="s">
        <v>932</v>
      </c>
      <c r="F55" s="109">
        <v>900</v>
      </c>
      <c r="G55" s="109" t="s">
        <v>935</v>
      </c>
      <c r="H55" s="111"/>
      <c r="I55" s="111"/>
      <c r="J55" s="111"/>
      <c r="K55" s="111"/>
      <c r="L55" s="111"/>
      <c r="M55" s="110" t="s">
        <v>1258</v>
      </c>
      <c r="N55" s="110"/>
      <c r="O55" s="167"/>
      <c r="P55" s="167"/>
      <c r="Q55" s="110" t="s">
        <v>947</v>
      </c>
      <c r="R55" s="110">
        <v>45736</v>
      </c>
      <c r="S55" s="110" t="s">
        <v>211</v>
      </c>
      <c r="T55" s="112" t="str">
        <f ca="1">IF(AND('Inserimento dati'!$B$3=$H$2, TabellaA1[[#This Row],[LUN]]="X"), "X",IF(AND('Inserimento dati'!$B$3=$I$2, TabellaA1[[#This Row],[MAR]]="X"), "X", IF(AND('Inserimento dati'!$B$3=$J$2, TabellaA1[[#This Row],[MER]]="X"), "X",IF(AND('Inserimento dati'!$B$3=$K$2, TabellaA1[[#This Row],[GIO]]="X"), "X", IF(AND('Inserimento dati'!$B$3=$L$2, TabellaA1[[#This Row],[VEN]]="X"), "X","")))))</f>
        <v/>
      </c>
      <c r="U55" s="158" t="str">
        <f t="shared" ca="1" si="2"/>
        <v/>
      </c>
      <c r="V55" s="187">
        <v>45930.833333333336</v>
      </c>
    </row>
    <row r="56" spans="1:22" s="19" customFormat="1" ht="30" x14ac:dyDescent="0.2">
      <c r="A56" s="112"/>
      <c r="B56" s="112" t="str">
        <f t="shared" si="3"/>
        <v>X</v>
      </c>
      <c r="C56" s="112" t="str">
        <f>IF(OR(TabellaA1[[#This Row],[LUN]]="X",TabellaA1[[#This Row],[MAR]]="X",TabellaA1[[#This Row],[MER]]="X",TabellaA1[[#This Row],[GIO]]="X",TabellaA1[[#This Row],[VEN]]="X",),"X","")</f>
        <v/>
      </c>
      <c r="D56" s="113" t="s">
        <v>8</v>
      </c>
      <c r="E56" s="109" t="s">
        <v>837</v>
      </c>
      <c r="F56" s="109">
        <v>400</v>
      </c>
      <c r="G56" s="109" t="s">
        <v>836</v>
      </c>
      <c r="H56" s="111"/>
      <c r="I56" s="111"/>
      <c r="J56" s="111"/>
      <c r="K56" s="111"/>
      <c r="L56" s="111"/>
      <c r="M56" s="110" t="s">
        <v>1258</v>
      </c>
      <c r="N56" s="110"/>
      <c r="O56" s="167"/>
      <c r="P56" s="167"/>
      <c r="Q56" s="110" t="s">
        <v>931</v>
      </c>
      <c r="R56" s="110">
        <v>45722</v>
      </c>
      <c r="S56" s="110" t="s">
        <v>635</v>
      </c>
      <c r="T56" s="112" t="str">
        <f ca="1">IF(AND('Inserimento dati'!$B$3=$H$2, TabellaA1[[#This Row],[LUN]]="X"), "X",IF(AND('Inserimento dati'!$B$3=$I$2, TabellaA1[[#This Row],[MAR]]="X"), "X", IF(AND('Inserimento dati'!$B$3=$J$2, TabellaA1[[#This Row],[MER]]="X"), "X",IF(AND('Inserimento dati'!$B$3=$K$2, TabellaA1[[#This Row],[GIO]]="X"), "X", IF(AND('Inserimento dati'!$B$3=$L$2, TabellaA1[[#This Row],[VEN]]="X"), "X","")))))</f>
        <v/>
      </c>
      <c r="U56" s="158" t="str">
        <f t="shared" ca="1" si="2"/>
        <v/>
      </c>
      <c r="V56" s="187">
        <v>45930.833333333336</v>
      </c>
    </row>
    <row r="57" spans="1:22" s="19" customFormat="1" ht="30" x14ac:dyDescent="0.2">
      <c r="A57" s="112"/>
      <c r="B57" s="112" t="str">
        <f t="shared" si="3"/>
        <v>X</v>
      </c>
      <c r="C57" s="112" t="str">
        <f>IF(OR(TabellaA1[[#This Row],[LUN]]="X",TabellaA1[[#This Row],[MAR]]="X",TabellaA1[[#This Row],[MER]]="X",TabellaA1[[#This Row],[GIO]]="X",TabellaA1[[#This Row],[VEN]]="X",),"X","")</f>
        <v/>
      </c>
      <c r="D57" s="113" t="s">
        <v>8</v>
      </c>
      <c r="E57" s="109" t="s">
        <v>923</v>
      </c>
      <c r="F57" s="109">
        <v>100</v>
      </c>
      <c r="G57" s="109" t="s">
        <v>918</v>
      </c>
      <c r="H57" s="111"/>
      <c r="I57" s="111"/>
      <c r="J57" s="111"/>
      <c r="K57" s="111"/>
      <c r="L57" s="111"/>
      <c r="M57" s="110" t="s">
        <v>1258</v>
      </c>
      <c r="N57" s="110"/>
      <c r="O57" s="167"/>
      <c r="P57" s="167"/>
      <c r="Q57" s="110"/>
      <c r="R57" s="110">
        <v>45734</v>
      </c>
      <c r="S57" s="110" t="s">
        <v>554</v>
      </c>
      <c r="T57" s="112" t="str">
        <f ca="1">IF(AND('Inserimento dati'!$B$3=$H$2, TabellaA1[[#This Row],[LUN]]="X"), "X",IF(AND('Inserimento dati'!$B$3=$I$2, TabellaA1[[#This Row],[MAR]]="X"), "X", IF(AND('Inserimento dati'!$B$3=$J$2, TabellaA1[[#This Row],[MER]]="X"), "X",IF(AND('Inserimento dati'!$B$3=$K$2, TabellaA1[[#This Row],[GIO]]="X"), "X", IF(AND('Inserimento dati'!$B$3=$L$2, TabellaA1[[#This Row],[VEN]]="X"), "X","")))))</f>
        <v/>
      </c>
      <c r="U57" s="158" t="str">
        <f t="shared" ca="1" si="2"/>
        <v/>
      </c>
      <c r="V57" s="187">
        <v>45930.833333333336</v>
      </c>
    </row>
    <row r="58" spans="1:22" s="19" customFormat="1" ht="45" x14ac:dyDescent="0.2">
      <c r="A58" s="112"/>
      <c r="B58" s="112" t="str">
        <f t="shared" si="3"/>
        <v>X</v>
      </c>
      <c r="C58" s="112" t="str">
        <f>IF(OR(TabellaA1[[#This Row],[LUN]]="X",TabellaA1[[#This Row],[MAR]]="X",TabellaA1[[#This Row],[MER]]="X",TabellaA1[[#This Row],[GIO]]="X",TabellaA1[[#This Row],[VEN]]="X",),"X","")</f>
        <v/>
      </c>
      <c r="D58" s="113" t="s">
        <v>8</v>
      </c>
      <c r="E58" s="109" t="s">
        <v>908</v>
      </c>
      <c r="F58" s="109">
        <v>900</v>
      </c>
      <c r="G58" s="109" t="s">
        <v>900</v>
      </c>
      <c r="H58" s="111"/>
      <c r="I58" s="111"/>
      <c r="J58" s="111"/>
      <c r="K58" s="111"/>
      <c r="L58" s="111"/>
      <c r="M58" s="110" t="s">
        <v>1258</v>
      </c>
      <c r="N58" s="110"/>
      <c r="O58" s="167"/>
      <c r="P58" s="167"/>
      <c r="Q58" s="110" t="s">
        <v>1260</v>
      </c>
      <c r="R58" s="110">
        <v>45733</v>
      </c>
      <c r="S58" s="110" t="s">
        <v>554</v>
      </c>
      <c r="T58" s="112" t="str">
        <f ca="1">IF(AND('Inserimento dati'!$B$3=$H$2, TabellaA1[[#This Row],[LUN]]="X"), "X",IF(AND('Inserimento dati'!$B$3=$I$2, TabellaA1[[#This Row],[MAR]]="X"), "X", IF(AND('Inserimento dati'!$B$3=$J$2, TabellaA1[[#This Row],[MER]]="X"), "X",IF(AND('Inserimento dati'!$B$3=$K$2, TabellaA1[[#This Row],[GIO]]="X"), "X", IF(AND('Inserimento dati'!$B$3=$L$2, TabellaA1[[#This Row],[VEN]]="X"), "X","")))))</f>
        <v/>
      </c>
      <c r="U58" s="158" t="str">
        <f t="shared" ca="1" si="2"/>
        <v/>
      </c>
      <c r="V58" s="187">
        <v>45930.833333333336</v>
      </c>
    </row>
    <row r="59" spans="1:22" s="19" customFormat="1" ht="23.25" x14ac:dyDescent="0.2">
      <c r="A59" s="112"/>
      <c r="B59" s="112" t="str">
        <f t="shared" si="3"/>
        <v>X</v>
      </c>
      <c r="C59" s="112" t="str">
        <f>IF(OR(TabellaA1[[#This Row],[LUN]]="X",TabellaA1[[#This Row],[MAR]]="X",TabellaA1[[#This Row],[MER]]="X",TabellaA1[[#This Row],[GIO]]="X",TabellaA1[[#This Row],[VEN]]="X",),"X","")</f>
        <v/>
      </c>
      <c r="D59" s="113" t="s">
        <v>8</v>
      </c>
      <c r="E59" s="109" t="s">
        <v>909</v>
      </c>
      <c r="F59" s="109">
        <v>200</v>
      </c>
      <c r="G59" s="109" t="s">
        <v>899</v>
      </c>
      <c r="H59" s="111"/>
      <c r="I59" s="111"/>
      <c r="J59" s="111"/>
      <c r="K59" s="111"/>
      <c r="L59" s="111"/>
      <c r="M59" s="110" t="s">
        <v>1258</v>
      </c>
      <c r="N59" s="110"/>
      <c r="O59" s="167"/>
      <c r="P59" s="167"/>
      <c r="Q59" s="110"/>
      <c r="R59" s="110">
        <v>45733</v>
      </c>
      <c r="S59" s="110" t="s">
        <v>635</v>
      </c>
      <c r="T59" s="112" t="str">
        <f ca="1">IF(AND('Inserimento dati'!$B$3=$H$2, TabellaA1[[#This Row],[LUN]]="X"), "X",IF(AND('Inserimento dati'!$B$3=$I$2, TabellaA1[[#This Row],[MAR]]="X"), "X", IF(AND('Inserimento dati'!$B$3=$J$2, TabellaA1[[#This Row],[MER]]="X"), "X",IF(AND('Inserimento dati'!$B$3=$K$2, TabellaA1[[#This Row],[GIO]]="X"), "X", IF(AND('Inserimento dati'!$B$3=$L$2, TabellaA1[[#This Row],[VEN]]="X"), "X","")))))</f>
        <v/>
      </c>
      <c r="U59" s="158" t="str">
        <f t="shared" ca="1" si="2"/>
        <v/>
      </c>
      <c r="V59" s="187">
        <v>45930.833333333336</v>
      </c>
    </row>
    <row r="60" spans="1:22" s="19" customFormat="1" ht="23.25" x14ac:dyDescent="0.2">
      <c r="A60" s="112"/>
      <c r="B60" s="112" t="str">
        <f t="shared" si="3"/>
        <v>X</v>
      </c>
      <c r="C60" s="112" t="str">
        <f>IF(OR(TabellaA1[[#This Row],[LUN]]="X",TabellaA1[[#This Row],[MAR]]="X",TabellaA1[[#This Row],[MER]]="X",TabellaA1[[#This Row],[GIO]]="X",TabellaA1[[#This Row],[VEN]]="X",),"X","")</f>
        <v/>
      </c>
      <c r="D60" s="113" t="s">
        <v>8</v>
      </c>
      <c r="E60" s="109" t="s">
        <v>913</v>
      </c>
      <c r="F60" s="109">
        <v>200</v>
      </c>
      <c r="G60" s="109" t="s">
        <v>911</v>
      </c>
      <c r="H60" s="111"/>
      <c r="I60" s="111"/>
      <c r="J60" s="111"/>
      <c r="K60" s="111"/>
      <c r="L60" s="111"/>
      <c r="M60" s="110" t="s">
        <v>1258</v>
      </c>
      <c r="N60" s="110"/>
      <c r="O60" s="167"/>
      <c r="P60" s="167"/>
      <c r="Q60" s="110"/>
      <c r="R60" s="110"/>
      <c r="S60" s="110"/>
      <c r="T60" s="112" t="str">
        <f ca="1">IF(AND('Inserimento dati'!$B$3=$H$2, TabellaA1[[#This Row],[LUN]]="X"), "X",IF(AND('Inserimento dati'!$B$3=$I$2, TabellaA1[[#This Row],[MAR]]="X"), "X", IF(AND('Inserimento dati'!$B$3=$J$2, TabellaA1[[#This Row],[MER]]="X"), "X",IF(AND('Inserimento dati'!$B$3=$K$2, TabellaA1[[#This Row],[GIO]]="X"), "X", IF(AND('Inserimento dati'!$B$3=$L$2, TabellaA1[[#This Row],[VEN]]="X"), "X","")))))</f>
        <v/>
      </c>
      <c r="U60" s="158" t="str">
        <f t="shared" ca="1" si="2"/>
        <v/>
      </c>
      <c r="V60" s="187">
        <v>45930.833333333336</v>
      </c>
    </row>
    <row r="61" spans="1:22" s="19" customFormat="1" ht="30" x14ac:dyDescent="0.2">
      <c r="A61" s="112"/>
      <c r="B61" s="112" t="str">
        <f t="shared" si="3"/>
        <v>X</v>
      </c>
      <c r="C61" s="112" t="str">
        <f>IF(OR(TabellaA1[[#This Row],[LUN]]="X",TabellaA1[[#This Row],[MAR]]="X",TabellaA1[[#This Row],[MER]]="X",TabellaA1[[#This Row],[GIO]]="X",TabellaA1[[#This Row],[VEN]]="X",),"X","")</f>
        <v/>
      </c>
      <c r="D61" s="113" t="s">
        <v>8</v>
      </c>
      <c r="E61" s="109" t="s">
        <v>873</v>
      </c>
      <c r="F61" s="109">
        <v>300</v>
      </c>
      <c r="G61" s="109" t="s">
        <v>864</v>
      </c>
      <c r="H61" s="111"/>
      <c r="I61" s="111"/>
      <c r="J61" s="111"/>
      <c r="K61" s="111"/>
      <c r="L61" s="111"/>
      <c r="M61" s="110" t="s">
        <v>1258</v>
      </c>
      <c r="N61" s="110"/>
      <c r="O61" s="167"/>
      <c r="P61" s="167"/>
      <c r="Q61" s="110"/>
      <c r="R61" s="110"/>
      <c r="S61" s="110"/>
      <c r="T61" s="112" t="str">
        <f ca="1">IF(AND('Inserimento dati'!$B$3=$H$2, TabellaA1[[#This Row],[LUN]]="X"), "X",IF(AND('Inserimento dati'!$B$3=$I$2, TabellaA1[[#This Row],[MAR]]="X"), "X", IF(AND('Inserimento dati'!$B$3=$J$2, TabellaA1[[#This Row],[MER]]="X"), "X",IF(AND('Inserimento dati'!$B$3=$K$2, TabellaA1[[#This Row],[GIO]]="X"), "X", IF(AND('Inserimento dati'!$B$3=$L$2, TabellaA1[[#This Row],[VEN]]="X"), "X","")))))</f>
        <v/>
      </c>
      <c r="U61" s="158" t="str">
        <f t="shared" ca="1" si="2"/>
        <v/>
      </c>
      <c r="V61" s="187">
        <v>45930.833333333336</v>
      </c>
    </row>
    <row r="62" spans="1:22" s="19" customFormat="1" ht="23.25" x14ac:dyDescent="0.2">
      <c r="A62" s="112"/>
      <c r="B62" s="112" t="str">
        <f t="shared" si="3"/>
        <v>X</v>
      </c>
      <c r="C62" s="112" t="str">
        <f>IF(OR(TabellaA1[[#This Row],[LUN]]="X",TabellaA1[[#This Row],[MAR]]="X",TabellaA1[[#This Row],[MER]]="X",TabellaA1[[#This Row],[GIO]]="X",TabellaA1[[#This Row],[VEN]]="X",),"X","")</f>
        <v/>
      </c>
      <c r="D62" s="113" t="s">
        <v>8</v>
      </c>
      <c r="E62" s="109" t="s">
        <v>907</v>
      </c>
      <c r="F62" s="109">
        <v>300</v>
      </c>
      <c r="G62" s="109" t="s">
        <v>901</v>
      </c>
      <c r="H62" s="111"/>
      <c r="I62" s="111"/>
      <c r="J62" s="111"/>
      <c r="K62" s="111"/>
      <c r="L62" s="111"/>
      <c r="M62" s="110" t="s">
        <v>1258</v>
      </c>
      <c r="N62" s="110"/>
      <c r="O62" s="167"/>
      <c r="P62" s="167"/>
      <c r="Q62" s="110"/>
      <c r="R62" s="110"/>
      <c r="S62" s="110"/>
      <c r="T62" s="112" t="str">
        <f ca="1">IF(AND('Inserimento dati'!$B$3=$H$2, TabellaA1[[#This Row],[LUN]]="X"), "X",IF(AND('Inserimento dati'!$B$3=$I$2, TabellaA1[[#This Row],[MAR]]="X"), "X", IF(AND('Inserimento dati'!$B$3=$J$2, TabellaA1[[#This Row],[MER]]="X"), "X",IF(AND('Inserimento dati'!$B$3=$K$2, TabellaA1[[#This Row],[GIO]]="X"), "X", IF(AND('Inserimento dati'!$B$3=$L$2, TabellaA1[[#This Row],[VEN]]="X"), "X","")))))</f>
        <v/>
      </c>
      <c r="U62" s="158" t="str">
        <f t="shared" ca="1" si="2"/>
        <v/>
      </c>
      <c r="V62" s="187">
        <v>45930.833333333336</v>
      </c>
    </row>
    <row r="63" spans="1:22" s="19" customFormat="1" ht="23.25" x14ac:dyDescent="0.2">
      <c r="A63" s="112"/>
      <c r="B63" s="112" t="str">
        <f t="shared" si="3"/>
        <v>X</v>
      </c>
      <c r="C63" s="112" t="str">
        <f>IF(OR(TabellaA1[[#This Row],[LUN]]="X",TabellaA1[[#This Row],[MAR]]="X",TabellaA1[[#This Row],[MER]]="X",TabellaA1[[#This Row],[GIO]]="X",TabellaA1[[#This Row],[VEN]]="X",),"X","")</f>
        <v/>
      </c>
      <c r="D63" s="113" t="s">
        <v>8</v>
      </c>
      <c r="E63" s="109" t="s">
        <v>887</v>
      </c>
      <c r="F63" s="109">
        <v>400</v>
      </c>
      <c r="G63" s="109" t="s">
        <v>885</v>
      </c>
      <c r="H63" s="111"/>
      <c r="I63" s="111"/>
      <c r="J63" s="111"/>
      <c r="K63" s="111"/>
      <c r="L63" s="111"/>
      <c r="M63" s="110" t="s">
        <v>1258</v>
      </c>
      <c r="N63" s="110"/>
      <c r="O63" s="167"/>
      <c r="P63" s="167"/>
      <c r="Q63" s="110"/>
      <c r="R63" s="110"/>
      <c r="S63" s="110"/>
      <c r="T63" s="112" t="str">
        <f ca="1">IF(AND('Inserimento dati'!$B$3=$H$2, TabellaA1[[#This Row],[LUN]]="X"), "X",IF(AND('Inserimento dati'!$B$3=$I$2, TabellaA1[[#This Row],[MAR]]="X"), "X", IF(AND('Inserimento dati'!$B$3=$J$2, TabellaA1[[#This Row],[MER]]="X"), "X",IF(AND('Inserimento dati'!$B$3=$K$2, TabellaA1[[#This Row],[GIO]]="X"), "X", IF(AND('Inserimento dati'!$B$3=$L$2, TabellaA1[[#This Row],[VEN]]="X"), "X","")))))</f>
        <v/>
      </c>
      <c r="U63" s="158" t="str">
        <f t="shared" ca="1" si="2"/>
        <v/>
      </c>
      <c r="V63" s="187">
        <v>45930.833333333336</v>
      </c>
    </row>
    <row r="64" spans="1:22" s="19" customFormat="1" ht="23.25" x14ac:dyDescent="0.2">
      <c r="A64" s="112"/>
      <c r="B64" s="112" t="str">
        <f t="shared" si="3"/>
        <v>X</v>
      </c>
      <c r="C64" s="112" t="str">
        <f>IF(OR(TabellaA1[[#This Row],[LUN]]="X",TabellaA1[[#This Row],[MAR]]="X",TabellaA1[[#This Row],[MER]]="X",TabellaA1[[#This Row],[GIO]]="X",TabellaA1[[#This Row],[VEN]]="X",),"X","")</f>
        <v/>
      </c>
      <c r="D64" s="113" t="s">
        <v>8</v>
      </c>
      <c r="E64" s="109" t="s">
        <v>903</v>
      </c>
      <c r="F64" s="109">
        <v>100</v>
      </c>
      <c r="G64" s="109" t="s">
        <v>902</v>
      </c>
      <c r="H64" s="111"/>
      <c r="I64" s="111"/>
      <c r="J64" s="111"/>
      <c r="K64" s="111"/>
      <c r="L64" s="111"/>
      <c r="M64" s="110" t="s">
        <v>1258</v>
      </c>
      <c r="N64" s="110"/>
      <c r="O64" s="167"/>
      <c r="P64" s="167"/>
      <c r="Q64" s="110" t="s">
        <v>905</v>
      </c>
      <c r="R64" s="110">
        <v>45728</v>
      </c>
      <c r="S64" s="110" t="s">
        <v>203</v>
      </c>
      <c r="T64" s="112" t="str">
        <f ca="1">IF(AND('Inserimento dati'!$B$3=$H$2, TabellaA1[[#This Row],[LUN]]="X"), "X",IF(AND('Inserimento dati'!$B$3=$I$2, TabellaA1[[#This Row],[MAR]]="X"), "X", IF(AND('Inserimento dati'!$B$3=$J$2, TabellaA1[[#This Row],[MER]]="X"), "X",IF(AND('Inserimento dati'!$B$3=$K$2, TabellaA1[[#This Row],[GIO]]="X"), "X", IF(AND('Inserimento dati'!$B$3=$L$2, TabellaA1[[#This Row],[VEN]]="X"), "X","")))))</f>
        <v/>
      </c>
      <c r="U64" s="158" t="str">
        <f t="shared" ca="1" si="2"/>
        <v/>
      </c>
      <c r="V64" s="187">
        <v>45930.833333333336</v>
      </c>
    </row>
    <row r="65" spans="1:22" s="19" customFormat="1" ht="30" x14ac:dyDescent="0.2">
      <c r="A65" s="112"/>
      <c r="B65" s="112" t="str">
        <f t="shared" si="3"/>
        <v>X</v>
      </c>
      <c r="C65" s="112" t="str">
        <f>IF(OR(TabellaA1[[#This Row],[LUN]]="X",TabellaA1[[#This Row],[MAR]]="X",TabellaA1[[#This Row],[MER]]="X",TabellaA1[[#This Row],[GIO]]="X",TabellaA1[[#This Row],[VEN]]="X",),"X","")</f>
        <v/>
      </c>
      <c r="D65" s="113" t="s">
        <v>8</v>
      </c>
      <c r="E65" s="109" t="s">
        <v>847</v>
      </c>
      <c r="F65" s="109">
        <v>200</v>
      </c>
      <c r="G65" s="109" t="s">
        <v>848</v>
      </c>
      <c r="H65" s="111"/>
      <c r="I65" s="111"/>
      <c r="J65" s="111"/>
      <c r="K65" s="111"/>
      <c r="L65" s="111"/>
      <c r="M65" s="110" t="s">
        <v>1258</v>
      </c>
      <c r="N65" s="110"/>
      <c r="O65" s="167"/>
      <c r="P65" s="167"/>
      <c r="Q65" s="110" t="s">
        <v>886</v>
      </c>
      <c r="R65" s="110">
        <v>45726</v>
      </c>
      <c r="S65" s="110" t="s">
        <v>102</v>
      </c>
      <c r="T65" s="112" t="str">
        <f ca="1">IF(AND('Inserimento dati'!$B$3=$H$2, TabellaA1[[#This Row],[LUN]]="X"), "X",IF(AND('Inserimento dati'!$B$3=$I$2, TabellaA1[[#This Row],[MAR]]="X"), "X", IF(AND('Inserimento dati'!$B$3=$J$2, TabellaA1[[#This Row],[MER]]="X"), "X",IF(AND('Inserimento dati'!$B$3=$K$2, TabellaA1[[#This Row],[GIO]]="X"), "X", IF(AND('Inserimento dati'!$B$3=$L$2, TabellaA1[[#This Row],[VEN]]="X"), "X","")))))</f>
        <v/>
      </c>
      <c r="U65" s="158" t="str">
        <f t="shared" ca="1" si="2"/>
        <v/>
      </c>
      <c r="V65" s="187">
        <v>45930.833333333336</v>
      </c>
    </row>
    <row r="66" spans="1:22" s="19" customFormat="1" ht="45" x14ac:dyDescent="0.2">
      <c r="A66" s="112"/>
      <c r="B66" s="112" t="str">
        <f t="shared" si="3"/>
        <v>X</v>
      </c>
      <c r="C66" s="112" t="str">
        <f>IF(OR(TabellaA1[[#This Row],[LUN]]="X",TabellaA1[[#This Row],[MAR]]="X",TabellaA1[[#This Row],[MER]]="X",TabellaA1[[#This Row],[GIO]]="X",TabellaA1[[#This Row],[VEN]]="X",),"X","")</f>
        <v/>
      </c>
      <c r="D66" s="113" t="s">
        <v>8</v>
      </c>
      <c r="E66" s="109" t="s">
        <v>876</v>
      </c>
      <c r="F66" s="109">
        <v>300</v>
      </c>
      <c r="G66" s="109" t="s">
        <v>877</v>
      </c>
      <c r="H66" s="111"/>
      <c r="I66" s="111"/>
      <c r="J66" s="111"/>
      <c r="K66" s="111"/>
      <c r="L66" s="111"/>
      <c r="M66" s="110" t="s">
        <v>1258</v>
      </c>
      <c r="N66" s="110"/>
      <c r="O66" s="167"/>
      <c r="P66" s="167"/>
      <c r="Q66" s="110" t="s">
        <v>878</v>
      </c>
      <c r="R66" s="110">
        <v>45726</v>
      </c>
      <c r="S66" s="110" t="s">
        <v>635</v>
      </c>
      <c r="T66" s="112" t="str">
        <f ca="1">IF(AND('Inserimento dati'!$B$3=$H$2, TabellaA1[[#This Row],[LUN]]="X"), "X",IF(AND('Inserimento dati'!$B$3=$I$2, TabellaA1[[#This Row],[MAR]]="X"), "X", IF(AND('Inserimento dati'!$B$3=$J$2, TabellaA1[[#This Row],[MER]]="X"), "X",IF(AND('Inserimento dati'!$B$3=$K$2, TabellaA1[[#This Row],[GIO]]="X"), "X", IF(AND('Inserimento dati'!$B$3=$L$2, TabellaA1[[#This Row],[VEN]]="X"), "X","")))))</f>
        <v/>
      </c>
      <c r="U66" s="158" t="str">
        <f t="shared" ca="1" si="2"/>
        <v/>
      </c>
      <c r="V66" s="187">
        <v>45930.833333333336</v>
      </c>
    </row>
    <row r="67" spans="1:22" s="19" customFormat="1" ht="45" x14ac:dyDescent="0.2">
      <c r="A67" s="112"/>
      <c r="B67" s="112" t="str">
        <f t="shared" si="3"/>
        <v>X</v>
      </c>
      <c r="C67" s="112" t="str">
        <f>IF(OR(TabellaA1[[#This Row],[LUN]]="X",TabellaA1[[#This Row],[MAR]]="X",TabellaA1[[#This Row],[MER]]="X",TabellaA1[[#This Row],[GIO]]="X",TabellaA1[[#This Row],[VEN]]="X",),"X","")</f>
        <v/>
      </c>
      <c r="D67" s="113" t="s">
        <v>8</v>
      </c>
      <c r="E67" s="109" t="s">
        <v>839</v>
      </c>
      <c r="F67" s="109">
        <v>400</v>
      </c>
      <c r="G67" s="109" t="s">
        <v>838</v>
      </c>
      <c r="H67" s="111"/>
      <c r="I67" s="111"/>
      <c r="J67" s="111"/>
      <c r="K67" s="111"/>
      <c r="L67" s="111"/>
      <c r="M67" s="110" t="s">
        <v>1258</v>
      </c>
      <c r="N67" s="110"/>
      <c r="O67" s="167"/>
      <c r="P67" s="167"/>
      <c r="Q67" s="110" t="s">
        <v>843</v>
      </c>
      <c r="R67" s="110">
        <v>45722</v>
      </c>
      <c r="S67" s="110" t="s">
        <v>635</v>
      </c>
      <c r="T67" s="112" t="str">
        <f ca="1">IF(AND('Inserimento dati'!$B$3=$H$2, TabellaA1[[#This Row],[LUN]]="X"), "X",IF(AND('Inserimento dati'!$B$3=$I$2, TabellaA1[[#This Row],[MAR]]="X"), "X", IF(AND('Inserimento dati'!$B$3=$J$2, TabellaA1[[#This Row],[MER]]="X"), "X",IF(AND('Inserimento dati'!$B$3=$K$2, TabellaA1[[#This Row],[GIO]]="X"), "X", IF(AND('Inserimento dati'!$B$3=$L$2, TabellaA1[[#This Row],[VEN]]="X"), "X","")))))</f>
        <v/>
      </c>
      <c r="U67" s="158" t="str">
        <f t="shared" ca="1" si="2"/>
        <v/>
      </c>
      <c r="V67" s="187">
        <v>45930.833333333336</v>
      </c>
    </row>
    <row r="68" spans="1:22" s="19" customFormat="1" ht="30" x14ac:dyDescent="0.2">
      <c r="A68" s="112"/>
      <c r="B68" s="112" t="str">
        <f t="shared" si="3"/>
        <v>X</v>
      </c>
      <c r="C68" s="112" t="str">
        <f>IF(OR(TabellaA1[[#This Row],[LUN]]="X",TabellaA1[[#This Row],[MAR]]="X",TabellaA1[[#This Row],[MER]]="X",TabellaA1[[#This Row],[GIO]]="X",TabellaA1[[#This Row],[VEN]]="X",),"X","")</f>
        <v/>
      </c>
      <c r="D68" s="113" t="s">
        <v>8</v>
      </c>
      <c r="E68" s="109" t="s">
        <v>849</v>
      </c>
      <c r="F68" s="109">
        <v>300</v>
      </c>
      <c r="G68" s="109" t="s">
        <v>806</v>
      </c>
      <c r="H68" s="111"/>
      <c r="I68" s="111"/>
      <c r="J68" s="111"/>
      <c r="K68" s="111"/>
      <c r="L68" s="111"/>
      <c r="M68" s="110" t="s">
        <v>1258</v>
      </c>
      <c r="N68" s="110"/>
      <c r="O68" s="167"/>
      <c r="P68" s="167"/>
      <c r="Q68" s="110" t="s">
        <v>807</v>
      </c>
      <c r="R68" s="110">
        <v>45716</v>
      </c>
      <c r="S68" s="110" t="s">
        <v>635</v>
      </c>
      <c r="T68" s="112" t="str">
        <f ca="1">IF(AND('Inserimento dati'!$B$3=$H$2, TabellaA1[[#This Row],[LUN]]="X"), "X",IF(AND('Inserimento dati'!$B$3=$I$2, TabellaA1[[#This Row],[MAR]]="X"), "X", IF(AND('Inserimento dati'!$B$3=$J$2, TabellaA1[[#This Row],[MER]]="X"), "X",IF(AND('Inserimento dati'!$B$3=$K$2, TabellaA1[[#This Row],[GIO]]="X"), "X", IF(AND('Inserimento dati'!$B$3=$L$2, TabellaA1[[#This Row],[VEN]]="X"), "X","")))))</f>
        <v/>
      </c>
      <c r="U68" s="158" t="str">
        <f t="shared" ca="1" si="2"/>
        <v/>
      </c>
      <c r="V68" s="187">
        <v>45930.833333333336</v>
      </c>
    </row>
    <row r="69" spans="1:22" s="19" customFormat="1" ht="30" x14ac:dyDescent="0.2">
      <c r="A69" s="112"/>
      <c r="B69" s="112" t="str">
        <f t="shared" si="3"/>
        <v>X</v>
      </c>
      <c r="C69" s="112" t="str">
        <f>IF(OR(TabellaA1[[#This Row],[LUN]]="X",TabellaA1[[#This Row],[MAR]]="X",TabellaA1[[#This Row],[MER]]="X",TabellaA1[[#This Row],[GIO]]="X",TabellaA1[[#This Row],[VEN]]="X",),"X","")</f>
        <v/>
      </c>
      <c r="D69" s="113" t="s">
        <v>8</v>
      </c>
      <c r="E69" s="109" t="s">
        <v>850</v>
      </c>
      <c r="F69" s="109">
        <v>400</v>
      </c>
      <c r="G69" s="109" t="s">
        <v>800</v>
      </c>
      <c r="H69" s="111"/>
      <c r="I69" s="111"/>
      <c r="J69" s="111"/>
      <c r="K69" s="111"/>
      <c r="L69" s="111"/>
      <c r="M69" s="110" t="s">
        <v>1258</v>
      </c>
      <c r="N69" s="110"/>
      <c r="O69" s="167"/>
      <c r="P69" s="167"/>
      <c r="Q69" s="110" t="s">
        <v>805</v>
      </c>
      <c r="R69" s="110">
        <v>45716</v>
      </c>
      <c r="S69" s="110" t="s">
        <v>635</v>
      </c>
      <c r="T69" s="112" t="str">
        <f ca="1">IF(AND('Inserimento dati'!$B$3=$H$2, TabellaA1[[#This Row],[LUN]]="X"), "X",IF(AND('Inserimento dati'!$B$3=$I$2, TabellaA1[[#This Row],[MAR]]="X"), "X", IF(AND('Inserimento dati'!$B$3=$J$2, TabellaA1[[#This Row],[MER]]="X"), "X",IF(AND('Inserimento dati'!$B$3=$K$2, TabellaA1[[#This Row],[GIO]]="X"), "X", IF(AND('Inserimento dati'!$B$3=$L$2, TabellaA1[[#This Row],[VEN]]="X"), "X","")))))</f>
        <v/>
      </c>
      <c r="U69" s="158" t="str">
        <f t="shared" ca="1" si="2"/>
        <v/>
      </c>
      <c r="V69" s="187">
        <v>45930.833333333336</v>
      </c>
    </row>
    <row r="70" spans="1:22" s="19" customFormat="1" ht="30" x14ac:dyDescent="0.2">
      <c r="A70" s="112"/>
      <c r="B70" s="112" t="str">
        <f t="shared" si="3"/>
        <v>X</v>
      </c>
      <c r="C70" s="112" t="str">
        <f>IF(OR(TabellaA1[[#This Row],[LUN]]="X",TabellaA1[[#This Row],[MAR]]="X",TabellaA1[[#This Row],[MER]]="X",TabellaA1[[#This Row],[GIO]]="X",TabellaA1[[#This Row],[VEN]]="X",),"X","")</f>
        <v/>
      </c>
      <c r="D70" s="113" t="s">
        <v>8</v>
      </c>
      <c r="E70" s="109" t="s">
        <v>851</v>
      </c>
      <c r="F70" s="109">
        <v>400</v>
      </c>
      <c r="G70" s="109" t="s">
        <v>801</v>
      </c>
      <c r="H70" s="111"/>
      <c r="I70" s="111"/>
      <c r="J70" s="111"/>
      <c r="K70" s="111"/>
      <c r="L70" s="111"/>
      <c r="M70" s="110" t="s">
        <v>1258</v>
      </c>
      <c r="N70" s="110"/>
      <c r="O70" s="167"/>
      <c r="P70" s="167"/>
      <c r="Q70" s="110" t="s">
        <v>812</v>
      </c>
      <c r="R70" s="110">
        <v>45716</v>
      </c>
      <c r="S70" s="110" t="s">
        <v>635</v>
      </c>
      <c r="T70" s="112" t="str">
        <f ca="1">IF(AND('Inserimento dati'!$B$3=$H$2, TabellaA1[[#This Row],[LUN]]="X"), "X",IF(AND('Inserimento dati'!$B$3=$I$2, TabellaA1[[#This Row],[MAR]]="X"), "X", IF(AND('Inserimento dati'!$B$3=$J$2, TabellaA1[[#This Row],[MER]]="X"), "X",IF(AND('Inserimento dati'!$B$3=$K$2, TabellaA1[[#This Row],[GIO]]="X"), "X", IF(AND('Inserimento dati'!$B$3=$L$2, TabellaA1[[#This Row],[VEN]]="X"), "X","")))))</f>
        <v/>
      </c>
      <c r="U70" s="158" t="str">
        <f t="shared" ca="1" si="2"/>
        <v/>
      </c>
      <c r="V70" s="187">
        <v>45930.833333333336</v>
      </c>
    </row>
    <row r="71" spans="1:22" s="19" customFormat="1" ht="30" x14ac:dyDescent="0.2">
      <c r="A71" s="112"/>
      <c r="B71" s="112" t="str">
        <f t="shared" si="3"/>
        <v>X</v>
      </c>
      <c r="C71" s="112" t="str">
        <f>IF(OR(TabellaA1[[#This Row],[LUN]]="X",TabellaA1[[#This Row],[MAR]]="X",TabellaA1[[#This Row],[MER]]="X",TabellaA1[[#This Row],[GIO]]="X",TabellaA1[[#This Row],[VEN]]="X",),"X","")</f>
        <v/>
      </c>
      <c r="D71" s="113" t="s">
        <v>8</v>
      </c>
      <c r="E71" s="109" t="s">
        <v>664</v>
      </c>
      <c r="F71" s="109">
        <v>100</v>
      </c>
      <c r="G71" s="109" t="s">
        <v>654</v>
      </c>
      <c r="H71" s="111"/>
      <c r="I71" s="111"/>
      <c r="J71" s="111"/>
      <c r="K71" s="111"/>
      <c r="L71" s="111"/>
      <c r="M71" s="110" t="s">
        <v>1258</v>
      </c>
      <c r="N71" s="110" t="s">
        <v>23</v>
      </c>
      <c r="O71" s="167"/>
      <c r="P71" s="167"/>
      <c r="Q71" s="110" t="s">
        <v>715</v>
      </c>
      <c r="R71" s="110">
        <v>45715</v>
      </c>
      <c r="S71" s="110" t="s">
        <v>211</v>
      </c>
      <c r="T71" s="112" t="str">
        <f ca="1">IF(AND('Inserimento dati'!$B$3=$H$2, TabellaA1[[#This Row],[LUN]]="X"), "X",IF(AND('Inserimento dati'!$B$3=$I$2, TabellaA1[[#This Row],[MAR]]="X"), "X", IF(AND('Inserimento dati'!$B$3=$J$2, TabellaA1[[#This Row],[MER]]="X"), "X",IF(AND('Inserimento dati'!$B$3=$K$2, TabellaA1[[#This Row],[GIO]]="X"), "X", IF(AND('Inserimento dati'!$B$3=$L$2, TabellaA1[[#This Row],[VEN]]="X"), "X","")))))</f>
        <v/>
      </c>
      <c r="U71" s="158" t="str">
        <f t="shared" ref="U71:U102" ca="1" si="4">IFERROR(MID(G71,_xlfn.AGGREGATE(15,6,(ROW(INDIRECT("1:"&amp;LEN(G71)-7)))/(ISNUMBER(--MID(G71,ROW(INDIRECT("1:"&amp;LEN(G71)-7)),8))),1),8),"")</f>
        <v/>
      </c>
      <c r="V71" s="187">
        <v>45930.833333333336</v>
      </c>
    </row>
    <row r="72" spans="1:22" s="19" customFormat="1" ht="30" x14ac:dyDescent="0.2">
      <c r="A72" s="112"/>
      <c r="B72" s="112" t="str">
        <f t="shared" si="3"/>
        <v>X</v>
      </c>
      <c r="C72" s="112" t="str">
        <f>IF(OR(TabellaA1[[#This Row],[LUN]]="X",TabellaA1[[#This Row],[MAR]]="X",TabellaA1[[#This Row],[MER]]="X",TabellaA1[[#This Row],[GIO]]="X",TabellaA1[[#This Row],[VEN]]="X",),"X","")</f>
        <v/>
      </c>
      <c r="D72" s="113" t="s">
        <v>8</v>
      </c>
      <c r="E72" s="109" t="s">
        <v>786</v>
      </c>
      <c r="F72" s="109">
        <v>200</v>
      </c>
      <c r="G72" s="109" t="s">
        <v>779</v>
      </c>
      <c r="H72" s="111"/>
      <c r="I72" s="111"/>
      <c r="J72" s="111"/>
      <c r="K72" s="111"/>
      <c r="L72" s="111"/>
      <c r="M72" s="110" t="s">
        <v>1258</v>
      </c>
      <c r="N72" s="110"/>
      <c r="O72" s="167"/>
      <c r="P72" s="167"/>
      <c r="Q72" s="110" t="s">
        <v>798</v>
      </c>
      <c r="R72" s="110">
        <v>45715</v>
      </c>
      <c r="S72" s="110" t="s">
        <v>635</v>
      </c>
      <c r="T72" s="116" t="str">
        <f ca="1">IF(AND('Inserimento dati'!$B$3=$H$2, TabellaA1[[#This Row],[LUN]]="X"), "X",IF(AND('Inserimento dati'!$B$3=$I$2, TabellaA1[[#This Row],[MAR]]="X"), "X", IF(AND('Inserimento dati'!$B$3=$J$2, TabellaA1[[#This Row],[MER]]="X"), "X",IF(AND('Inserimento dati'!$B$3=$K$2, TabellaA1[[#This Row],[GIO]]="X"), "X", IF(AND('Inserimento dati'!$B$3=$L$2, TabellaA1[[#This Row],[VEN]]="X"), "X","")))))</f>
        <v/>
      </c>
      <c r="U72" s="158" t="str">
        <f t="shared" ca="1" si="4"/>
        <v/>
      </c>
      <c r="V72" s="187">
        <v>45930.833333333336</v>
      </c>
    </row>
    <row r="73" spans="1:22" s="19" customFormat="1" ht="30" x14ac:dyDescent="0.2">
      <c r="A73" s="112"/>
      <c r="B73" s="112" t="str">
        <f t="shared" si="3"/>
        <v>X</v>
      </c>
      <c r="C73" s="112" t="str">
        <f>IF(OR(TabellaA1[[#This Row],[LUN]]="X",TabellaA1[[#This Row],[MAR]]="X",TabellaA1[[#This Row],[MER]]="X",TabellaA1[[#This Row],[GIO]]="X",TabellaA1[[#This Row],[VEN]]="X",),"X","")</f>
        <v/>
      </c>
      <c r="D73" s="113" t="s">
        <v>8</v>
      </c>
      <c r="E73" s="109" t="s">
        <v>748</v>
      </c>
      <c r="F73" s="109">
        <v>100</v>
      </c>
      <c r="G73" s="109" t="s">
        <v>746</v>
      </c>
      <c r="H73" s="111"/>
      <c r="I73" s="111"/>
      <c r="J73" s="111"/>
      <c r="K73" s="111"/>
      <c r="L73" s="111"/>
      <c r="M73" s="110" t="s">
        <v>1258</v>
      </c>
      <c r="N73" s="110"/>
      <c r="O73" s="167"/>
      <c r="P73" s="167"/>
      <c r="Q73" s="110" t="s">
        <v>780</v>
      </c>
      <c r="R73" s="110">
        <v>45713</v>
      </c>
      <c r="S73" s="110" t="s">
        <v>635</v>
      </c>
      <c r="T73" s="116" t="str">
        <f ca="1">IF(AND('Inserimento dati'!$B$3=$H$2, TabellaA1[[#This Row],[LUN]]="X"), "X",IF(AND('Inserimento dati'!$B$3=$I$2, TabellaA1[[#This Row],[MAR]]="X"), "X", IF(AND('Inserimento dati'!$B$3=$J$2, TabellaA1[[#This Row],[MER]]="X"), "X",IF(AND('Inserimento dati'!$B$3=$K$2, TabellaA1[[#This Row],[GIO]]="X"), "X", IF(AND('Inserimento dati'!$B$3=$L$2, TabellaA1[[#This Row],[VEN]]="X"), "X","")))))</f>
        <v/>
      </c>
      <c r="U73" s="158" t="str">
        <f t="shared" ca="1" si="4"/>
        <v/>
      </c>
      <c r="V73" s="187">
        <v>45930.833333333336</v>
      </c>
    </row>
    <row r="74" spans="1:22" s="19" customFormat="1" ht="30" x14ac:dyDescent="0.2">
      <c r="A74" s="112"/>
      <c r="B74" s="112" t="str">
        <f t="shared" si="3"/>
        <v>X</v>
      </c>
      <c r="C74" s="112" t="str">
        <f>IF(OR(TabellaA1[[#This Row],[LUN]]="X",TabellaA1[[#This Row],[MAR]]="X",TabellaA1[[#This Row],[MER]]="X",TabellaA1[[#This Row],[GIO]]="X",TabellaA1[[#This Row],[VEN]]="X",),"X","")</f>
        <v/>
      </c>
      <c r="D74" s="113" t="s">
        <v>8</v>
      </c>
      <c r="E74" s="109" t="s">
        <v>768</v>
      </c>
      <c r="F74" s="109">
        <v>100</v>
      </c>
      <c r="G74" s="109" t="s">
        <v>767</v>
      </c>
      <c r="H74" s="111"/>
      <c r="I74" s="111"/>
      <c r="J74" s="111"/>
      <c r="K74" s="111"/>
      <c r="L74" s="111"/>
      <c r="M74" s="110" t="s">
        <v>1258</v>
      </c>
      <c r="N74" s="110"/>
      <c r="O74" s="167"/>
      <c r="P74" s="167"/>
      <c r="Q74" s="110" t="s">
        <v>781</v>
      </c>
      <c r="R74" s="110">
        <v>45714</v>
      </c>
      <c r="S74" s="110" t="s">
        <v>102</v>
      </c>
      <c r="T74" s="116" t="str">
        <f ca="1">IF(AND('Inserimento dati'!$B$3=$H$2, TabellaA1[[#This Row],[LUN]]="X"), "X",IF(AND('Inserimento dati'!$B$3=$I$2, TabellaA1[[#This Row],[MAR]]="X"), "X", IF(AND('Inserimento dati'!$B$3=$J$2, TabellaA1[[#This Row],[MER]]="X"), "X",IF(AND('Inserimento dati'!$B$3=$K$2, TabellaA1[[#This Row],[GIO]]="X"), "X", IF(AND('Inserimento dati'!$B$3=$L$2, TabellaA1[[#This Row],[VEN]]="X"), "X","")))))</f>
        <v/>
      </c>
      <c r="U74" s="158" t="str">
        <f t="shared" ca="1" si="4"/>
        <v/>
      </c>
      <c r="V74" s="187">
        <v>45930.833333333336</v>
      </c>
    </row>
    <row r="75" spans="1:22" s="19" customFormat="1" ht="30" x14ac:dyDescent="0.2">
      <c r="A75" s="112"/>
      <c r="B75" s="112" t="str">
        <f t="shared" si="3"/>
        <v>X</v>
      </c>
      <c r="C75" s="112" t="str">
        <f>IF(OR(TabellaA1[[#This Row],[LUN]]="X",TabellaA1[[#This Row],[MAR]]="X",TabellaA1[[#This Row],[MER]]="X",TabellaA1[[#This Row],[GIO]]="X",TabellaA1[[#This Row],[VEN]]="X",),"X","")</f>
        <v/>
      </c>
      <c r="D75" s="113" t="s">
        <v>8</v>
      </c>
      <c r="E75" s="109" t="s">
        <v>765</v>
      </c>
      <c r="F75" s="109">
        <v>100</v>
      </c>
      <c r="G75" s="109" t="s">
        <v>766</v>
      </c>
      <c r="H75" s="111"/>
      <c r="I75" s="111"/>
      <c r="J75" s="111"/>
      <c r="K75" s="111"/>
      <c r="L75" s="111"/>
      <c r="M75" s="110" t="s">
        <v>1258</v>
      </c>
      <c r="N75" s="110"/>
      <c r="O75" s="167"/>
      <c r="P75" s="167"/>
      <c r="Q75" s="110" t="s">
        <v>782</v>
      </c>
      <c r="R75" s="110">
        <v>45714</v>
      </c>
      <c r="S75" s="110" t="s">
        <v>102</v>
      </c>
      <c r="T75" s="116" t="str">
        <f ca="1">IF(AND('Inserimento dati'!$B$3=$H$2, TabellaA1[[#This Row],[LUN]]="X"), "X",IF(AND('Inserimento dati'!$B$3=$I$2, TabellaA1[[#This Row],[MAR]]="X"), "X", IF(AND('Inserimento dati'!$B$3=$J$2, TabellaA1[[#This Row],[MER]]="X"), "X",IF(AND('Inserimento dati'!$B$3=$K$2, TabellaA1[[#This Row],[GIO]]="X"), "X", IF(AND('Inserimento dati'!$B$3=$L$2, TabellaA1[[#This Row],[VEN]]="X"), "X","")))))</f>
        <v/>
      </c>
      <c r="U75" s="158" t="str">
        <f t="shared" ca="1" si="4"/>
        <v/>
      </c>
      <c r="V75" s="187">
        <v>45930.833333333336</v>
      </c>
    </row>
    <row r="76" spans="1:22" s="19" customFormat="1" ht="30" x14ac:dyDescent="0.2">
      <c r="A76" s="112"/>
      <c r="B76" s="112" t="str">
        <f t="shared" ref="B76:B107" si="5">IF(OR(A76="x",A76="X"),"",IF(ISBLANK(A76),"X",""))</f>
        <v>X</v>
      </c>
      <c r="C76" s="112" t="str">
        <f>IF(OR(TabellaA1[[#This Row],[LUN]]="X",TabellaA1[[#This Row],[MAR]]="X",TabellaA1[[#This Row],[MER]]="X",TabellaA1[[#This Row],[GIO]]="X",TabellaA1[[#This Row],[VEN]]="X",),"X","")</f>
        <v/>
      </c>
      <c r="D76" s="113" t="s">
        <v>8</v>
      </c>
      <c r="E76" s="109" t="s">
        <v>757</v>
      </c>
      <c r="F76" s="109">
        <v>100</v>
      </c>
      <c r="G76" s="109" t="s">
        <v>752</v>
      </c>
      <c r="H76" s="111"/>
      <c r="I76" s="111"/>
      <c r="J76" s="111"/>
      <c r="K76" s="111"/>
      <c r="L76" s="111"/>
      <c r="M76" s="110" t="s">
        <v>1258</v>
      </c>
      <c r="N76" s="110"/>
      <c r="O76" s="167"/>
      <c r="P76" s="167"/>
      <c r="Q76" s="110" t="s">
        <v>783</v>
      </c>
      <c r="R76" s="110">
        <v>45712</v>
      </c>
      <c r="S76" s="110" t="s">
        <v>554</v>
      </c>
      <c r="T76" s="116" t="str">
        <f ca="1">IF(AND('Inserimento dati'!$B$3=$H$2, TabellaA1[[#This Row],[LUN]]="X"), "X",IF(AND('Inserimento dati'!$B$3=$I$2, TabellaA1[[#This Row],[MAR]]="X"), "X", IF(AND('Inserimento dati'!$B$3=$J$2, TabellaA1[[#This Row],[MER]]="X"), "X",IF(AND('Inserimento dati'!$B$3=$K$2, TabellaA1[[#This Row],[GIO]]="X"), "X", IF(AND('Inserimento dati'!$B$3=$L$2, TabellaA1[[#This Row],[VEN]]="X"), "X","")))))</f>
        <v/>
      </c>
      <c r="U76" s="158" t="str">
        <f t="shared" ca="1" si="4"/>
        <v/>
      </c>
      <c r="V76" s="187">
        <v>45930.833333333336</v>
      </c>
    </row>
    <row r="77" spans="1:22" s="19" customFormat="1" ht="30" x14ac:dyDescent="0.2">
      <c r="A77" s="112"/>
      <c r="B77" s="112" t="str">
        <f t="shared" si="5"/>
        <v>X</v>
      </c>
      <c r="C77" s="112" t="str">
        <f>IF(OR(TabellaA1[[#This Row],[LUN]]="X",TabellaA1[[#This Row],[MAR]]="X",TabellaA1[[#This Row],[MER]]="X",TabellaA1[[#This Row],[GIO]]="X",TabellaA1[[#This Row],[VEN]]="X",),"X","")</f>
        <v/>
      </c>
      <c r="D77" s="113" t="s">
        <v>8</v>
      </c>
      <c r="E77" s="109" t="s">
        <v>730</v>
      </c>
      <c r="F77" s="109">
        <v>300</v>
      </c>
      <c r="G77" s="109" t="s">
        <v>729</v>
      </c>
      <c r="H77" s="111"/>
      <c r="I77" s="111"/>
      <c r="J77" s="111"/>
      <c r="K77" s="111"/>
      <c r="L77" s="111"/>
      <c r="M77" s="110" t="s">
        <v>1258</v>
      </c>
      <c r="N77" s="110"/>
      <c r="O77" s="167" t="s">
        <v>23</v>
      </c>
      <c r="P77" s="167"/>
      <c r="Q77" s="110" t="s">
        <v>769</v>
      </c>
      <c r="R77" s="110">
        <v>45712</v>
      </c>
      <c r="S77" s="110" t="s">
        <v>635</v>
      </c>
      <c r="T77" s="116" t="str">
        <f ca="1">IF(AND('Inserimento dati'!$B$3=$H$2, TabellaA1[[#This Row],[LUN]]="X"), "X",IF(AND('Inserimento dati'!$B$3=$I$2, TabellaA1[[#This Row],[MAR]]="X"), "X", IF(AND('Inserimento dati'!$B$3=$J$2, TabellaA1[[#This Row],[MER]]="X"), "X",IF(AND('Inserimento dati'!$B$3=$K$2, TabellaA1[[#This Row],[GIO]]="X"), "X", IF(AND('Inserimento dati'!$B$3=$L$2, TabellaA1[[#This Row],[VEN]]="X"), "X","")))))</f>
        <v/>
      </c>
      <c r="U77" s="158" t="str">
        <f t="shared" ca="1" si="4"/>
        <v/>
      </c>
      <c r="V77" s="187">
        <v>45930.833333333336</v>
      </c>
    </row>
    <row r="78" spans="1:22" s="19" customFormat="1" ht="30" x14ac:dyDescent="0.2">
      <c r="A78" s="112"/>
      <c r="B78" s="112" t="str">
        <f t="shared" si="5"/>
        <v>X</v>
      </c>
      <c r="C78" s="112" t="str">
        <f>IF(OR(TabellaA1[[#This Row],[LUN]]="X",TabellaA1[[#This Row],[MAR]]="X",TabellaA1[[#This Row],[MER]]="X",TabellaA1[[#This Row],[GIO]]="X",TabellaA1[[#This Row],[VEN]]="X",),"X","")</f>
        <v/>
      </c>
      <c r="D78" s="113" t="s">
        <v>8</v>
      </c>
      <c r="E78" s="109" t="s">
        <v>743</v>
      </c>
      <c r="F78" s="109">
        <v>200</v>
      </c>
      <c r="G78" s="109" t="s">
        <v>742</v>
      </c>
      <c r="H78" s="111"/>
      <c r="I78" s="111"/>
      <c r="J78" s="111"/>
      <c r="K78" s="111"/>
      <c r="L78" s="111"/>
      <c r="M78" s="110" t="s">
        <v>1258</v>
      </c>
      <c r="N78" s="110"/>
      <c r="O78" s="167"/>
      <c r="P78" s="167"/>
      <c r="Q78" s="110" t="s">
        <v>745</v>
      </c>
      <c r="R78" s="110">
        <v>45708</v>
      </c>
      <c r="S78" s="110" t="s">
        <v>744</v>
      </c>
      <c r="T78" s="116" t="str">
        <f ca="1">IF(AND('Inserimento dati'!$B$3=$H$2, TabellaA1[[#This Row],[LUN]]="X"), "X",IF(AND('Inserimento dati'!$B$3=$I$2, TabellaA1[[#This Row],[MAR]]="X"), "X", IF(AND('Inserimento dati'!$B$3=$J$2, TabellaA1[[#This Row],[MER]]="X"), "X",IF(AND('Inserimento dati'!$B$3=$K$2, TabellaA1[[#This Row],[GIO]]="X"), "X", IF(AND('Inserimento dati'!$B$3=$L$2, TabellaA1[[#This Row],[VEN]]="X"), "X","")))))</f>
        <v/>
      </c>
      <c r="U78" s="158" t="str">
        <f t="shared" ca="1" si="4"/>
        <v/>
      </c>
      <c r="V78" s="187">
        <v>45930.833333333336</v>
      </c>
    </row>
    <row r="79" spans="1:22" s="19" customFormat="1" ht="30" x14ac:dyDescent="0.2">
      <c r="A79" s="112"/>
      <c r="B79" s="112" t="str">
        <f t="shared" si="5"/>
        <v>X</v>
      </c>
      <c r="C79" s="112" t="str">
        <f>IF(OR(TabellaA1[[#This Row],[LUN]]="X",TabellaA1[[#This Row],[MAR]]="X",TabellaA1[[#This Row],[MER]]="X",TabellaA1[[#This Row],[GIO]]="X",TabellaA1[[#This Row],[VEN]]="X",),"X","")</f>
        <v/>
      </c>
      <c r="D79" s="113" t="s">
        <v>8</v>
      </c>
      <c r="E79" s="109" t="s">
        <v>737</v>
      </c>
      <c r="F79" s="109">
        <v>400</v>
      </c>
      <c r="G79" s="109" t="s">
        <v>736</v>
      </c>
      <c r="H79" s="111"/>
      <c r="I79" s="111"/>
      <c r="J79" s="111"/>
      <c r="K79" s="111"/>
      <c r="L79" s="111"/>
      <c r="M79" s="110" t="s">
        <v>1258</v>
      </c>
      <c r="N79" s="110"/>
      <c r="O79" s="167"/>
      <c r="P79" s="167"/>
      <c r="Q79" s="110" t="s">
        <v>739</v>
      </c>
      <c r="R79" s="110">
        <v>45708</v>
      </c>
      <c r="S79" s="110" t="s">
        <v>50</v>
      </c>
      <c r="T79" s="116" t="str">
        <f ca="1">IF(AND('Inserimento dati'!$B$3=$H$2, TabellaA1[[#This Row],[LUN]]="X"), "X",IF(AND('Inserimento dati'!$B$3=$I$2, TabellaA1[[#This Row],[MAR]]="X"), "X", IF(AND('Inserimento dati'!$B$3=$J$2, TabellaA1[[#This Row],[MER]]="X"), "X",IF(AND('Inserimento dati'!$B$3=$K$2, TabellaA1[[#This Row],[GIO]]="X"), "X", IF(AND('Inserimento dati'!$B$3=$L$2, TabellaA1[[#This Row],[VEN]]="X"), "X","")))))</f>
        <v/>
      </c>
      <c r="U79" s="136" t="str">
        <f t="shared" ca="1" si="4"/>
        <v/>
      </c>
      <c r="V79" s="187">
        <v>45930.833333333336</v>
      </c>
    </row>
    <row r="80" spans="1:22" s="19" customFormat="1" ht="30" x14ac:dyDescent="0.2">
      <c r="A80" s="112"/>
      <c r="B80" s="112" t="str">
        <f t="shared" si="5"/>
        <v>X</v>
      </c>
      <c r="C80" s="112" t="str">
        <f>IF(OR(TabellaA1[[#This Row],[LUN]]="X",TabellaA1[[#This Row],[MAR]]="X",TabellaA1[[#This Row],[MER]]="X",TabellaA1[[#This Row],[GIO]]="X",TabellaA1[[#This Row],[VEN]]="X",),"X","")</f>
        <v/>
      </c>
      <c r="D80" s="113" t="s">
        <v>8</v>
      </c>
      <c r="E80" s="109" t="s">
        <v>735</v>
      </c>
      <c r="F80" s="109">
        <v>400</v>
      </c>
      <c r="G80" s="109" t="s">
        <v>740</v>
      </c>
      <c r="H80" s="111"/>
      <c r="I80" s="111"/>
      <c r="J80" s="111"/>
      <c r="K80" s="111"/>
      <c r="L80" s="111"/>
      <c r="M80" s="110" t="s">
        <v>1258</v>
      </c>
      <c r="N80" s="110"/>
      <c r="O80" s="167"/>
      <c r="P80" s="167"/>
      <c r="Q80" s="110" t="s">
        <v>741</v>
      </c>
      <c r="R80" s="110">
        <v>45708</v>
      </c>
      <c r="S80" s="110" t="s">
        <v>635</v>
      </c>
      <c r="T80" s="116" t="str">
        <f ca="1">IF(AND('Inserimento dati'!$B$3=$H$2, TabellaA1[[#This Row],[LUN]]="X"), "X",IF(AND('Inserimento dati'!$B$3=$I$2, TabellaA1[[#This Row],[MAR]]="X"), "X", IF(AND('Inserimento dati'!$B$3=$J$2, TabellaA1[[#This Row],[MER]]="X"), "X",IF(AND('Inserimento dati'!$B$3=$K$2, TabellaA1[[#This Row],[GIO]]="X"), "X", IF(AND('Inserimento dati'!$B$3=$L$2, TabellaA1[[#This Row],[VEN]]="X"), "X","")))))</f>
        <v/>
      </c>
      <c r="U80" s="136" t="str">
        <f t="shared" ca="1" si="4"/>
        <v/>
      </c>
      <c r="V80" s="187">
        <v>45930.833333333336</v>
      </c>
    </row>
    <row r="81" spans="1:22" s="19" customFormat="1" ht="30" x14ac:dyDescent="0.2">
      <c r="A81" s="112"/>
      <c r="B81" s="112" t="str">
        <f t="shared" si="5"/>
        <v>X</v>
      </c>
      <c r="C81" s="112" t="str">
        <f>IF(OR(TabellaA1[[#This Row],[LUN]]="X",TabellaA1[[#This Row],[MAR]]="X",TabellaA1[[#This Row],[MER]]="X",TabellaA1[[#This Row],[GIO]]="X",TabellaA1[[#This Row],[VEN]]="X",),"X","")</f>
        <v/>
      </c>
      <c r="D81" s="113" t="s">
        <v>8</v>
      </c>
      <c r="E81" s="109" t="s">
        <v>724</v>
      </c>
      <c r="F81" s="109">
        <v>300</v>
      </c>
      <c r="G81" s="109" t="s">
        <v>723</v>
      </c>
      <c r="H81" s="111"/>
      <c r="I81" s="111"/>
      <c r="J81" s="111"/>
      <c r="K81" s="111"/>
      <c r="L81" s="111"/>
      <c r="M81" s="110" t="s">
        <v>1258</v>
      </c>
      <c r="N81" s="110"/>
      <c r="O81" s="167"/>
      <c r="P81" s="167"/>
      <c r="Q81" s="110" t="s">
        <v>728</v>
      </c>
      <c r="R81" s="110">
        <v>45706</v>
      </c>
      <c r="S81" s="110" t="s">
        <v>50</v>
      </c>
      <c r="T81" s="116" t="str">
        <f ca="1">IF(AND('Inserimento dati'!$B$3=$H$2, TabellaA1[[#This Row],[LUN]]="X"), "X",IF(AND('Inserimento dati'!$B$3=$I$2, TabellaA1[[#This Row],[MAR]]="X"), "X", IF(AND('Inserimento dati'!$B$3=$J$2, TabellaA1[[#This Row],[MER]]="X"), "X",IF(AND('Inserimento dati'!$B$3=$K$2, TabellaA1[[#This Row],[GIO]]="X"), "X", IF(AND('Inserimento dati'!$B$3=$L$2, TabellaA1[[#This Row],[VEN]]="X"), "X","")))))</f>
        <v/>
      </c>
      <c r="U81" s="136" t="str">
        <f t="shared" ca="1" si="4"/>
        <v/>
      </c>
      <c r="V81" s="187">
        <v>45930.833333333336</v>
      </c>
    </row>
    <row r="82" spans="1:22" s="19" customFormat="1" ht="30" x14ac:dyDescent="0.2">
      <c r="A82" s="112"/>
      <c r="B82" s="112" t="str">
        <f t="shared" si="5"/>
        <v>X</v>
      </c>
      <c r="C82" s="112" t="str">
        <f>IF(OR(TabellaA1[[#This Row],[LUN]]="X",TabellaA1[[#This Row],[MAR]]="X",TabellaA1[[#This Row],[MER]]="X",TabellaA1[[#This Row],[GIO]]="X",TabellaA1[[#This Row],[VEN]]="X",),"X","")</f>
        <v/>
      </c>
      <c r="D82" s="113" t="s">
        <v>8</v>
      </c>
      <c r="E82" s="109" t="s">
        <v>725</v>
      </c>
      <c r="F82" s="109">
        <v>300</v>
      </c>
      <c r="G82" s="109" t="s">
        <v>722</v>
      </c>
      <c r="H82" s="111"/>
      <c r="I82" s="111"/>
      <c r="J82" s="111"/>
      <c r="K82" s="111"/>
      <c r="L82" s="111"/>
      <c r="M82" s="110" t="s">
        <v>1258</v>
      </c>
      <c r="N82" s="110"/>
      <c r="O82" s="167"/>
      <c r="P82" s="167"/>
      <c r="Q82" s="110" t="s">
        <v>454</v>
      </c>
      <c r="R82" s="110">
        <v>45706</v>
      </c>
      <c r="S82" s="110" t="s">
        <v>50</v>
      </c>
      <c r="T82" s="116" t="str">
        <f ca="1">IF(AND('Inserimento dati'!$B$3=$H$2, TabellaA1[[#This Row],[LUN]]="X"), "X",IF(AND('Inserimento dati'!$B$3=$I$2, TabellaA1[[#This Row],[MAR]]="X"), "X", IF(AND('Inserimento dati'!$B$3=$J$2, TabellaA1[[#This Row],[MER]]="X"), "X",IF(AND('Inserimento dati'!$B$3=$K$2, TabellaA1[[#This Row],[GIO]]="X"), "X", IF(AND('Inserimento dati'!$B$3=$L$2, TabellaA1[[#This Row],[VEN]]="X"), "X","")))))</f>
        <v/>
      </c>
      <c r="U82" s="136" t="str">
        <f t="shared" ca="1" si="4"/>
        <v/>
      </c>
      <c r="V82" s="187">
        <v>45930.833333333336</v>
      </c>
    </row>
    <row r="83" spans="1:22" s="19" customFormat="1" ht="30" x14ac:dyDescent="0.2">
      <c r="A83" s="112"/>
      <c r="B83" s="112" t="str">
        <f t="shared" si="5"/>
        <v>X</v>
      </c>
      <c r="C83" s="112" t="str">
        <f>IF(OR(TabellaA1[[#This Row],[LUN]]="X",TabellaA1[[#This Row],[MAR]]="X",TabellaA1[[#This Row],[MER]]="X",TabellaA1[[#This Row],[GIO]]="X",TabellaA1[[#This Row],[VEN]]="X",),"X","")</f>
        <v/>
      </c>
      <c r="D83" s="113" t="s">
        <v>8</v>
      </c>
      <c r="E83" s="109" t="s">
        <v>665</v>
      </c>
      <c r="F83" s="109">
        <v>100</v>
      </c>
      <c r="G83" s="109" t="s">
        <v>653</v>
      </c>
      <c r="H83" s="111"/>
      <c r="I83" s="111"/>
      <c r="J83" s="111"/>
      <c r="K83" s="111"/>
      <c r="L83" s="111"/>
      <c r="M83" s="110" t="s">
        <v>1258</v>
      </c>
      <c r="N83" s="110" t="s">
        <v>23</v>
      </c>
      <c r="O83" s="167"/>
      <c r="P83" s="167"/>
      <c r="Q83" s="110" t="s">
        <v>715</v>
      </c>
      <c r="R83" s="110"/>
      <c r="S83" s="110" t="s">
        <v>211</v>
      </c>
      <c r="T83" s="112" t="str">
        <f ca="1">IF(AND('Inserimento dati'!$B$3=$H$2, TabellaA1[[#This Row],[LUN]]="X"), "X",IF(AND('Inserimento dati'!$B$3=$I$2, TabellaA1[[#This Row],[MAR]]="X"), "X", IF(AND('Inserimento dati'!$B$3=$J$2, TabellaA1[[#This Row],[MER]]="X"), "X",IF(AND('Inserimento dati'!$B$3=$K$2, TabellaA1[[#This Row],[GIO]]="X"), "X", IF(AND('Inserimento dati'!$B$3=$L$2, TabellaA1[[#This Row],[VEN]]="X"), "X","")))))</f>
        <v/>
      </c>
      <c r="U83" s="136" t="str">
        <f t="shared" ca="1" si="4"/>
        <v/>
      </c>
      <c r="V83" s="188">
        <v>45930.833333333336</v>
      </c>
    </row>
    <row r="84" spans="1:22" s="19" customFormat="1" ht="23.25" x14ac:dyDescent="0.2">
      <c r="A84" s="112"/>
      <c r="B84" s="112" t="str">
        <f t="shared" si="5"/>
        <v>X</v>
      </c>
      <c r="C84" s="112" t="str">
        <f>IF(OR(TabellaA1[[#This Row],[LUN]]="X",TabellaA1[[#This Row],[MAR]]="X",TabellaA1[[#This Row],[MER]]="X",TabellaA1[[#This Row],[GIO]]="X",TabellaA1[[#This Row],[VEN]]="X",),"X","")</f>
        <v/>
      </c>
      <c r="D84" s="113" t="s">
        <v>8</v>
      </c>
      <c r="E84" s="109" t="s">
        <v>628</v>
      </c>
      <c r="F84" s="109">
        <v>100</v>
      </c>
      <c r="G84" s="109" t="s">
        <v>627</v>
      </c>
      <c r="H84" s="111"/>
      <c r="I84" s="111"/>
      <c r="J84" s="111"/>
      <c r="K84" s="111"/>
      <c r="L84" s="111"/>
      <c r="M84" s="110" t="s">
        <v>1258</v>
      </c>
      <c r="N84" s="110"/>
      <c r="O84" s="167"/>
      <c r="P84" s="167"/>
      <c r="Q84" s="109"/>
      <c r="R84" s="110"/>
      <c r="S84" s="110" t="s">
        <v>211</v>
      </c>
      <c r="T84" s="112" t="str">
        <f ca="1">IF(AND('Inserimento dati'!$B$3=$H$2, TabellaA1[[#This Row],[LUN]]="X"), "X",IF(AND('Inserimento dati'!$B$3=$I$2, TabellaA1[[#This Row],[MAR]]="X"), "X", IF(AND('Inserimento dati'!$B$3=$J$2, TabellaA1[[#This Row],[MER]]="X"), "X",IF(AND('Inserimento dati'!$B$3=$K$2, TabellaA1[[#This Row],[GIO]]="X"), "X", IF(AND('Inserimento dati'!$B$3=$L$2, TabellaA1[[#This Row],[VEN]]="X"), "X","")))))</f>
        <v/>
      </c>
      <c r="U84" s="136" t="str">
        <f t="shared" ca="1" si="4"/>
        <v/>
      </c>
      <c r="V84" s="187">
        <v>45930.833333333336</v>
      </c>
    </row>
    <row r="85" spans="1:22" s="19" customFormat="1" ht="30" x14ac:dyDescent="0.2">
      <c r="A85" s="112"/>
      <c r="B85" s="112" t="str">
        <f t="shared" si="5"/>
        <v>X</v>
      </c>
      <c r="C85" s="112" t="str">
        <f>IF(OR(TabellaA1[[#This Row],[LUN]]="X",TabellaA1[[#This Row],[MAR]]="X",TabellaA1[[#This Row],[MER]]="X",TabellaA1[[#This Row],[GIO]]="X",TabellaA1[[#This Row],[VEN]]="X",),"X","")</f>
        <v/>
      </c>
      <c r="D85" s="113" t="s">
        <v>8</v>
      </c>
      <c r="E85" s="109" t="s">
        <v>717</v>
      </c>
      <c r="F85" s="109">
        <v>100</v>
      </c>
      <c r="G85" s="109" t="s">
        <v>734</v>
      </c>
      <c r="H85" s="111"/>
      <c r="I85" s="111"/>
      <c r="J85" s="111"/>
      <c r="K85" s="111"/>
      <c r="L85" s="111"/>
      <c r="M85" s="110" t="s">
        <v>1258</v>
      </c>
      <c r="N85" s="110"/>
      <c r="O85" s="167"/>
      <c r="P85" s="167"/>
      <c r="Q85" s="109" t="s">
        <v>149</v>
      </c>
      <c r="R85" s="110">
        <v>45705</v>
      </c>
      <c r="S85" s="110" t="s">
        <v>325</v>
      </c>
      <c r="T85" s="116" t="str">
        <f ca="1">IF(AND('Inserimento dati'!$B$3=$H$2, TabellaA1[[#This Row],[LUN]]="X"), "X",IF(AND('Inserimento dati'!$B$3=$I$2, TabellaA1[[#This Row],[MAR]]="X"), "X", IF(AND('Inserimento dati'!$B$3=$J$2, TabellaA1[[#This Row],[MER]]="X"), "X",IF(AND('Inserimento dati'!$B$3=$K$2, TabellaA1[[#This Row],[GIO]]="X"), "X", IF(AND('Inserimento dati'!$B$3=$L$2, TabellaA1[[#This Row],[VEN]]="X"), "X","")))))</f>
        <v/>
      </c>
      <c r="U85" s="136" t="str">
        <f t="shared" ca="1" si="4"/>
        <v/>
      </c>
      <c r="V85" s="187">
        <v>45930.833333333336</v>
      </c>
    </row>
    <row r="86" spans="1:22" s="19" customFormat="1" ht="23.25" x14ac:dyDescent="0.2">
      <c r="A86" s="112"/>
      <c r="B86" s="112" t="str">
        <f t="shared" si="5"/>
        <v>X</v>
      </c>
      <c r="C86" s="112" t="str">
        <f>IF(OR(TabellaA1[[#This Row],[LUN]]="X",TabellaA1[[#This Row],[MAR]]="X",TabellaA1[[#This Row],[MER]]="X",TabellaA1[[#This Row],[GIO]]="X",TabellaA1[[#This Row],[VEN]]="X",),"X","")</f>
        <v/>
      </c>
      <c r="D86" s="113" t="s">
        <v>8</v>
      </c>
      <c r="E86" s="109" t="s">
        <v>490</v>
      </c>
      <c r="F86" s="109">
        <v>400</v>
      </c>
      <c r="G86" s="109" t="s">
        <v>485</v>
      </c>
      <c r="H86" s="111"/>
      <c r="I86" s="111"/>
      <c r="J86" s="111"/>
      <c r="K86" s="111"/>
      <c r="L86" s="111"/>
      <c r="M86" s="109" t="s">
        <v>1258</v>
      </c>
      <c r="N86" s="109"/>
      <c r="O86" s="113"/>
      <c r="P86" s="113"/>
      <c r="Q86" s="109" t="s">
        <v>716</v>
      </c>
      <c r="R86" s="110">
        <v>45705</v>
      </c>
      <c r="S86" s="110" t="s">
        <v>635</v>
      </c>
      <c r="T86" s="112" t="str">
        <f ca="1">IF(AND('Inserimento dati'!$B$3=$H$2, TabellaA1[[#This Row],[LUN]]="X"), "X",IF(AND('Inserimento dati'!$B$3=$I$2, TabellaA1[[#This Row],[MAR]]="X"), "X", IF(AND('Inserimento dati'!$B$3=$J$2, TabellaA1[[#This Row],[MER]]="X"), "X",IF(AND('Inserimento dati'!$B$3=$K$2, TabellaA1[[#This Row],[GIO]]="X"), "X", IF(AND('Inserimento dati'!$B$3=$L$2, TabellaA1[[#This Row],[VEN]]="X"), "X","")))))</f>
        <v/>
      </c>
      <c r="U86" s="136" t="str">
        <f t="shared" ca="1" si="4"/>
        <v/>
      </c>
      <c r="V86" s="187">
        <v>45930.833333333336</v>
      </c>
    </row>
    <row r="87" spans="1:22" s="19" customFormat="1" ht="30" x14ac:dyDescent="0.2">
      <c r="A87" s="112"/>
      <c r="B87" s="112" t="str">
        <f t="shared" si="5"/>
        <v>X</v>
      </c>
      <c r="C87" s="112" t="str">
        <f>IF(OR(TabellaA1[[#This Row],[LUN]]="X",TabellaA1[[#This Row],[MAR]]="X",TabellaA1[[#This Row],[MER]]="X",TabellaA1[[#This Row],[GIO]]="X",TabellaA1[[#This Row],[VEN]]="X",),"X","")</f>
        <v/>
      </c>
      <c r="D87" s="113" t="s">
        <v>8</v>
      </c>
      <c r="E87" s="109" t="s">
        <v>625</v>
      </c>
      <c r="F87" s="109">
        <v>100</v>
      </c>
      <c r="G87" s="109" t="s">
        <v>620</v>
      </c>
      <c r="H87" s="111"/>
      <c r="I87" s="111"/>
      <c r="J87" s="111"/>
      <c r="K87" s="111"/>
      <c r="L87" s="111"/>
      <c r="M87" s="110" t="s">
        <v>1258</v>
      </c>
      <c r="N87" s="110"/>
      <c r="O87" s="167"/>
      <c r="P87" s="167"/>
      <c r="Q87" s="109" t="s">
        <v>1267</v>
      </c>
      <c r="R87" s="110"/>
      <c r="S87" s="110"/>
      <c r="T87" s="112" t="str">
        <f ca="1">IF(AND('Inserimento dati'!$B$3=$H$2, TabellaA1[[#This Row],[LUN]]="X"), "X",IF(AND('Inserimento dati'!$B$3=$I$2, TabellaA1[[#This Row],[MAR]]="X"), "X", IF(AND('Inserimento dati'!$B$3=$J$2, TabellaA1[[#This Row],[MER]]="X"), "X",IF(AND('Inserimento dati'!$B$3=$K$2, TabellaA1[[#This Row],[GIO]]="X"), "X", IF(AND('Inserimento dati'!$B$3=$L$2, TabellaA1[[#This Row],[VEN]]="X"), "X","")))))</f>
        <v/>
      </c>
      <c r="U87" s="136" t="str">
        <f t="shared" ca="1" si="4"/>
        <v/>
      </c>
      <c r="V87" s="187">
        <v>45930.833333333336</v>
      </c>
    </row>
    <row r="88" spans="1:22" s="19" customFormat="1" ht="30" x14ac:dyDescent="0.2">
      <c r="A88" s="112"/>
      <c r="B88" s="112" t="str">
        <f t="shared" si="5"/>
        <v>X</v>
      </c>
      <c r="C88" s="112" t="str">
        <f>IF(OR(TabellaA1[[#This Row],[LUN]]="X",TabellaA1[[#This Row],[MAR]]="X",TabellaA1[[#This Row],[MER]]="X",TabellaA1[[#This Row],[GIO]]="X",TabellaA1[[#This Row],[VEN]]="X",),"X","")</f>
        <v/>
      </c>
      <c r="D88" s="113" t="s">
        <v>8</v>
      </c>
      <c r="E88" s="109" t="s">
        <v>663</v>
      </c>
      <c r="F88" s="109" t="s">
        <v>483</v>
      </c>
      <c r="G88" s="109" t="s">
        <v>655</v>
      </c>
      <c r="H88" s="111"/>
      <c r="I88" s="111"/>
      <c r="J88" s="111"/>
      <c r="K88" s="111"/>
      <c r="L88" s="111"/>
      <c r="M88" s="110" t="s">
        <v>1258</v>
      </c>
      <c r="N88" s="110"/>
      <c r="O88" s="167"/>
      <c r="P88" s="167"/>
      <c r="Q88" s="109" t="s">
        <v>1267</v>
      </c>
      <c r="R88" s="110"/>
      <c r="S88" s="110"/>
      <c r="T88" s="112" t="str">
        <f ca="1">IF(AND('Inserimento dati'!$B$3=$H$2, TabellaA1[[#This Row],[LUN]]="X"), "X",IF(AND('Inserimento dati'!$B$3=$I$2, TabellaA1[[#This Row],[MAR]]="X"), "X", IF(AND('Inserimento dati'!$B$3=$J$2, TabellaA1[[#This Row],[MER]]="X"), "X",IF(AND('Inserimento dati'!$B$3=$K$2, TabellaA1[[#This Row],[GIO]]="X"), "X", IF(AND('Inserimento dati'!$B$3=$L$2, TabellaA1[[#This Row],[VEN]]="X"), "X","")))))</f>
        <v/>
      </c>
      <c r="U88" s="136" t="str">
        <f t="shared" ca="1" si="4"/>
        <v/>
      </c>
      <c r="V88" s="187">
        <v>45930.833333333336</v>
      </c>
    </row>
    <row r="89" spans="1:22" s="19" customFormat="1" ht="30" x14ac:dyDescent="0.2">
      <c r="A89" s="112"/>
      <c r="B89" s="112" t="str">
        <f t="shared" si="5"/>
        <v>X</v>
      </c>
      <c r="C89" s="112" t="str">
        <f>IF(OR(TabellaA1[[#This Row],[LUN]]="X",TabellaA1[[#This Row],[MAR]]="X",TabellaA1[[#This Row],[MER]]="X",TabellaA1[[#This Row],[GIO]]="X",TabellaA1[[#This Row],[VEN]]="X",),"X","")</f>
        <v/>
      </c>
      <c r="D89" s="113" t="s">
        <v>8</v>
      </c>
      <c r="E89" s="109" t="s">
        <v>666</v>
      </c>
      <c r="F89" s="109">
        <v>100</v>
      </c>
      <c r="G89" s="109" t="s">
        <v>652</v>
      </c>
      <c r="H89" s="111"/>
      <c r="I89" s="111"/>
      <c r="J89" s="111"/>
      <c r="K89" s="111"/>
      <c r="L89" s="111"/>
      <c r="M89" s="110" t="s">
        <v>1258</v>
      </c>
      <c r="N89" s="110"/>
      <c r="O89" s="167"/>
      <c r="P89" s="167"/>
      <c r="Q89" s="109" t="s">
        <v>1267</v>
      </c>
      <c r="R89" s="110"/>
      <c r="S89" s="110"/>
      <c r="T89" s="112" t="str">
        <f ca="1">IF(AND('Inserimento dati'!$B$3=$H$2, TabellaA1[[#This Row],[LUN]]="X"), "X",IF(AND('Inserimento dati'!$B$3=$I$2, TabellaA1[[#This Row],[MAR]]="X"), "X", IF(AND('Inserimento dati'!$B$3=$J$2, TabellaA1[[#This Row],[MER]]="X"), "X",IF(AND('Inserimento dati'!$B$3=$K$2, TabellaA1[[#This Row],[GIO]]="X"), "X", IF(AND('Inserimento dati'!$B$3=$L$2, TabellaA1[[#This Row],[VEN]]="X"), "X","")))))</f>
        <v/>
      </c>
      <c r="U89" s="136" t="str">
        <f t="shared" ca="1" si="4"/>
        <v/>
      </c>
      <c r="V89" s="187">
        <v>45930.833333333336</v>
      </c>
    </row>
    <row r="90" spans="1:22" s="19" customFormat="1" ht="30" x14ac:dyDescent="0.2">
      <c r="A90" s="112"/>
      <c r="B90" s="112" t="str">
        <f t="shared" si="5"/>
        <v>X</v>
      </c>
      <c r="C90" s="112" t="str">
        <f>IF(OR(TabellaA1[[#This Row],[LUN]]="X",TabellaA1[[#This Row],[MAR]]="X",TabellaA1[[#This Row],[MER]]="X",TabellaA1[[#This Row],[GIO]]="X",TabellaA1[[#This Row],[VEN]]="X",),"X","")</f>
        <v/>
      </c>
      <c r="D90" s="113" t="s">
        <v>8</v>
      </c>
      <c r="E90" s="109" t="s">
        <v>662</v>
      </c>
      <c r="F90" s="109">
        <v>100</v>
      </c>
      <c r="G90" s="109" t="s">
        <v>658</v>
      </c>
      <c r="H90" s="111"/>
      <c r="I90" s="111"/>
      <c r="J90" s="111"/>
      <c r="K90" s="111"/>
      <c r="L90" s="111"/>
      <c r="M90" s="110" t="s">
        <v>1258</v>
      </c>
      <c r="N90" s="110"/>
      <c r="O90" s="167"/>
      <c r="P90" s="167"/>
      <c r="Q90" s="110"/>
      <c r="R90" s="110"/>
      <c r="S90" s="110"/>
      <c r="T90" s="112" t="str">
        <f ca="1">IF(AND('Inserimento dati'!$B$3=$H$2, TabellaA1[[#This Row],[LUN]]="X"), "X",IF(AND('Inserimento dati'!$B$3=$I$2, TabellaA1[[#This Row],[MAR]]="X"), "X", IF(AND('Inserimento dati'!$B$3=$J$2, TabellaA1[[#This Row],[MER]]="X"), "X",IF(AND('Inserimento dati'!$B$3=$K$2, TabellaA1[[#This Row],[GIO]]="X"), "X", IF(AND('Inserimento dati'!$B$3=$L$2, TabellaA1[[#This Row],[VEN]]="X"), "X","")))))</f>
        <v/>
      </c>
      <c r="U90" s="136" t="str">
        <f t="shared" ca="1" si="4"/>
        <v/>
      </c>
      <c r="V90" s="187">
        <v>45930.833333333336</v>
      </c>
    </row>
    <row r="91" spans="1:22" s="19" customFormat="1" ht="60" x14ac:dyDescent="0.2">
      <c r="A91" s="112"/>
      <c r="B91" s="112" t="str">
        <f t="shared" si="5"/>
        <v>X</v>
      </c>
      <c r="C91" s="112" t="str">
        <f>IF(OR(TabellaA1[[#This Row],[LUN]]="X",TabellaA1[[#This Row],[MAR]]="X",TabellaA1[[#This Row],[MER]]="X",TabellaA1[[#This Row],[GIO]]="X",TabellaA1[[#This Row],[VEN]]="X",),"X","")</f>
        <v/>
      </c>
      <c r="D91" s="113" t="s">
        <v>8</v>
      </c>
      <c r="E91" s="109" t="s">
        <v>647</v>
      </c>
      <c r="F91" s="109">
        <v>200</v>
      </c>
      <c r="G91" s="109" t="s">
        <v>704</v>
      </c>
      <c r="H91" s="111"/>
      <c r="I91" s="111"/>
      <c r="J91" s="111"/>
      <c r="K91" s="111"/>
      <c r="L91" s="111"/>
      <c r="M91" s="110" t="s">
        <v>1258</v>
      </c>
      <c r="N91" s="110"/>
      <c r="O91" s="167"/>
      <c r="P91" s="167"/>
      <c r="Q91" s="110" t="s">
        <v>706</v>
      </c>
      <c r="R91" s="110">
        <v>45701</v>
      </c>
      <c r="S91" s="110" t="s">
        <v>705</v>
      </c>
      <c r="T91" s="112" t="str">
        <f ca="1">IF(AND('Inserimento dati'!$B$3=$H$2, TabellaA1[[#This Row],[LUN]]="X"), "X",IF(AND('Inserimento dati'!$B$3=$I$2, TabellaA1[[#This Row],[MAR]]="X"), "X", IF(AND('Inserimento dati'!$B$3=$J$2, TabellaA1[[#This Row],[MER]]="X"), "X",IF(AND('Inserimento dati'!$B$3=$K$2, TabellaA1[[#This Row],[GIO]]="X"), "X", IF(AND('Inserimento dati'!$B$3=$L$2, TabellaA1[[#This Row],[VEN]]="X"), "X","")))))</f>
        <v/>
      </c>
      <c r="U91" s="136" t="str">
        <f t="shared" ca="1" si="4"/>
        <v/>
      </c>
      <c r="V91" s="187">
        <v>45930.833333333336</v>
      </c>
    </row>
    <row r="92" spans="1:22" s="19" customFormat="1" ht="90" x14ac:dyDescent="0.2">
      <c r="A92" s="112"/>
      <c r="B92" s="112" t="str">
        <f t="shared" si="5"/>
        <v>X</v>
      </c>
      <c r="C92" s="112" t="str">
        <f>IF(OR(TabellaA1[[#This Row],[LUN]]="X",TabellaA1[[#This Row],[MAR]]="X",TabellaA1[[#This Row],[MER]]="X",TabellaA1[[#This Row],[GIO]]="X",TabellaA1[[#This Row],[VEN]]="X",),"X","")</f>
        <v/>
      </c>
      <c r="D92" s="113" t="s">
        <v>8</v>
      </c>
      <c r="E92" s="109" t="s">
        <v>1294</v>
      </c>
      <c r="F92" s="109">
        <v>300</v>
      </c>
      <c r="G92" s="109" t="s">
        <v>657</v>
      </c>
      <c r="H92" s="111"/>
      <c r="I92" s="111"/>
      <c r="J92" s="111"/>
      <c r="K92" s="111"/>
      <c r="L92" s="111"/>
      <c r="M92" s="110" t="s">
        <v>1258</v>
      </c>
      <c r="N92" s="110"/>
      <c r="O92" s="167"/>
      <c r="P92" s="167"/>
      <c r="Q92" s="110" t="s">
        <v>1522</v>
      </c>
      <c r="R92" s="110">
        <v>45811</v>
      </c>
      <c r="S92" s="110" t="s">
        <v>1521</v>
      </c>
      <c r="T92" s="112" t="str">
        <f ca="1">IF(AND('Inserimento dati'!$B$3=$H$2, TabellaA1[[#This Row],[LUN]]="X"), "X",IF(AND('Inserimento dati'!$B$3=$I$2, TabellaA1[[#This Row],[MAR]]="X"), "X", IF(AND('Inserimento dati'!$B$3=$J$2, TabellaA1[[#This Row],[MER]]="X"), "X",IF(AND('Inserimento dati'!$B$3=$K$2, TabellaA1[[#This Row],[GIO]]="X"), "X", IF(AND('Inserimento dati'!$B$3=$L$2, TabellaA1[[#This Row],[VEN]]="X"), "X","")))))</f>
        <v/>
      </c>
      <c r="U92" s="136" t="str">
        <f t="shared" ca="1" si="4"/>
        <v/>
      </c>
      <c r="V92" s="187">
        <v>45930.833333333336</v>
      </c>
    </row>
    <row r="93" spans="1:22" s="19" customFormat="1" ht="30" x14ac:dyDescent="0.2">
      <c r="A93" s="112"/>
      <c r="B93" s="112" t="str">
        <f t="shared" si="5"/>
        <v>X</v>
      </c>
      <c r="C93" s="112" t="str">
        <f>IF(OR(TabellaA1[[#This Row],[LUN]]="X",TabellaA1[[#This Row],[MAR]]="X",TabellaA1[[#This Row],[MER]]="X",TabellaA1[[#This Row],[GIO]]="X",TabellaA1[[#This Row],[VEN]]="X",),"X","")</f>
        <v/>
      </c>
      <c r="D93" s="113" t="s">
        <v>8</v>
      </c>
      <c r="E93" s="109" t="s">
        <v>623</v>
      </c>
      <c r="F93" s="109" t="s">
        <v>483</v>
      </c>
      <c r="G93" s="109" t="s">
        <v>622</v>
      </c>
      <c r="H93" s="111"/>
      <c r="I93" s="111"/>
      <c r="J93" s="111"/>
      <c r="K93" s="111"/>
      <c r="L93" s="111"/>
      <c r="M93" s="110" t="s">
        <v>1258</v>
      </c>
      <c r="N93" s="110"/>
      <c r="O93" s="167"/>
      <c r="P93" s="167"/>
      <c r="Q93" s="109"/>
      <c r="R93" s="110"/>
      <c r="S93" s="110"/>
      <c r="T93" s="112" t="str">
        <f ca="1">IF(AND('Inserimento dati'!$B$3=$H$2, TabellaA1[[#This Row],[LUN]]="X"), "X",IF(AND('Inserimento dati'!$B$3=$I$2, TabellaA1[[#This Row],[MAR]]="X"), "X", IF(AND('Inserimento dati'!$B$3=$J$2, TabellaA1[[#This Row],[MER]]="X"), "X",IF(AND('Inserimento dati'!$B$3=$K$2, TabellaA1[[#This Row],[GIO]]="X"), "X", IF(AND('Inserimento dati'!$B$3=$L$2, TabellaA1[[#This Row],[VEN]]="X"), "X","")))))</f>
        <v/>
      </c>
      <c r="U93" s="136" t="str">
        <f t="shared" ca="1" si="4"/>
        <v/>
      </c>
      <c r="V93" s="187">
        <v>45930.833333333336</v>
      </c>
    </row>
    <row r="94" spans="1:22" s="19" customFormat="1" ht="30" x14ac:dyDescent="0.2">
      <c r="A94" s="112"/>
      <c r="B94" s="112" t="str">
        <f t="shared" si="5"/>
        <v>X</v>
      </c>
      <c r="C94" s="112" t="str">
        <f>IF(OR(TabellaA1[[#This Row],[LUN]]="X",TabellaA1[[#This Row],[MAR]]="X",TabellaA1[[#This Row],[MER]]="X",TabellaA1[[#This Row],[GIO]]="X",TabellaA1[[#This Row],[VEN]]="X",),"X","")</f>
        <v/>
      </c>
      <c r="D94" s="113" t="s">
        <v>8</v>
      </c>
      <c r="E94" s="109" t="s">
        <v>624</v>
      </c>
      <c r="F94" s="109" t="s">
        <v>483</v>
      </c>
      <c r="G94" s="109" t="s">
        <v>621</v>
      </c>
      <c r="H94" s="111"/>
      <c r="I94" s="111"/>
      <c r="J94" s="111"/>
      <c r="K94" s="111"/>
      <c r="L94" s="111"/>
      <c r="M94" s="110" t="s">
        <v>1258</v>
      </c>
      <c r="N94" s="110"/>
      <c r="O94" s="167"/>
      <c r="P94" s="167"/>
      <c r="Q94" s="109"/>
      <c r="R94" s="110"/>
      <c r="S94" s="110"/>
      <c r="T94" s="112" t="str">
        <f ca="1">IF(AND('Inserimento dati'!$B$3=$H$2, TabellaA1[[#This Row],[LUN]]="X"), "X",IF(AND('Inserimento dati'!$B$3=$I$2, TabellaA1[[#This Row],[MAR]]="X"), "X", IF(AND('Inserimento dati'!$B$3=$J$2, TabellaA1[[#This Row],[MER]]="X"), "X",IF(AND('Inserimento dati'!$B$3=$K$2, TabellaA1[[#This Row],[GIO]]="X"), "X", IF(AND('Inserimento dati'!$B$3=$L$2, TabellaA1[[#This Row],[VEN]]="X"), "X","")))))</f>
        <v/>
      </c>
      <c r="U94" s="136" t="str">
        <f t="shared" ca="1" si="4"/>
        <v/>
      </c>
      <c r="V94" s="187">
        <v>45930.833333333336</v>
      </c>
    </row>
    <row r="95" spans="1:22" s="19" customFormat="1" ht="30" x14ac:dyDescent="0.2">
      <c r="A95" s="112"/>
      <c r="B95" s="112" t="str">
        <f t="shared" si="5"/>
        <v>X</v>
      </c>
      <c r="C95" s="112" t="str">
        <f>IF(OR(TabellaA1[[#This Row],[LUN]]="X",TabellaA1[[#This Row],[MAR]]="X",TabellaA1[[#This Row],[MER]]="X",TabellaA1[[#This Row],[GIO]]="X",TabellaA1[[#This Row],[VEN]]="X",),"X","")</f>
        <v/>
      </c>
      <c r="D95" s="113" t="s">
        <v>8</v>
      </c>
      <c r="E95" s="109" t="s">
        <v>626</v>
      </c>
      <c r="F95" s="109">
        <v>400</v>
      </c>
      <c r="G95" s="109" t="s">
        <v>619</v>
      </c>
      <c r="H95" s="111"/>
      <c r="I95" s="111"/>
      <c r="J95" s="111"/>
      <c r="K95" s="111"/>
      <c r="L95" s="111"/>
      <c r="M95" s="110" t="s">
        <v>1258</v>
      </c>
      <c r="N95" s="110"/>
      <c r="O95" s="167"/>
      <c r="P95" s="167"/>
      <c r="Q95" s="110" t="s">
        <v>644</v>
      </c>
      <c r="R95" s="110">
        <v>45694</v>
      </c>
      <c r="S95" s="110" t="s">
        <v>50</v>
      </c>
      <c r="T95" s="112" t="str">
        <f ca="1">IF(AND('Inserimento dati'!$B$3=$H$2, TabellaA1[[#This Row],[LUN]]="X"), "X",IF(AND('Inserimento dati'!$B$3=$I$2, TabellaA1[[#This Row],[MAR]]="X"), "X", IF(AND('Inserimento dati'!$B$3=$J$2, TabellaA1[[#This Row],[MER]]="X"), "X",IF(AND('Inserimento dati'!$B$3=$K$2, TabellaA1[[#This Row],[GIO]]="X"), "X", IF(AND('Inserimento dati'!$B$3=$L$2, TabellaA1[[#This Row],[VEN]]="X"), "X","")))))</f>
        <v/>
      </c>
      <c r="U95" s="136" t="str">
        <f t="shared" ca="1" si="4"/>
        <v/>
      </c>
      <c r="V95" s="187">
        <v>45930.833333333336</v>
      </c>
    </row>
    <row r="96" spans="1:22" s="19" customFormat="1" ht="30" x14ac:dyDescent="0.2">
      <c r="A96" s="112"/>
      <c r="B96" s="112" t="str">
        <f t="shared" si="5"/>
        <v>X</v>
      </c>
      <c r="C96" s="112" t="str">
        <f>IF(OR(TabellaA1[[#This Row],[LUN]]="X",TabellaA1[[#This Row],[MAR]]="X",TabellaA1[[#This Row],[MER]]="X",TabellaA1[[#This Row],[GIO]]="X",TabellaA1[[#This Row],[VEN]]="X",),"X","")</f>
        <v/>
      </c>
      <c r="D96" s="113" t="s">
        <v>8</v>
      </c>
      <c r="E96" s="109" t="s">
        <v>591</v>
      </c>
      <c r="F96" s="109">
        <v>200</v>
      </c>
      <c r="G96" s="109" t="s">
        <v>587</v>
      </c>
      <c r="H96" s="111"/>
      <c r="I96" s="111"/>
      <c r="J96" s="111"/>
      <c r="K96" s="111"/>
      <c r="L96" s="111"/>
      <c r="M96" s="110" t="s">
        <v>1258</v>
      </c>
      <c r="N96" s="110"/>
      <c r="O96" s="167"/>
      <c r="P96" s="167"/>
      <c r="Q96" s="109" t="s">
        <v>602</v>
      </c>
      <c r="R96" s="110">
        <v>45691</v>
      </c>
      <c r="S96" s="110" t="s">
        <v>102</v>
      </c>
      <c r="T96" s="112" t="str">
        <f ca="1">IF(AND('Inserimento dati'!$B$3=$H$2, TabellaA1[[#This Row],[LUN]]="X"), "X",IF(AND('Inserimento dati'!$B$3=$I$2, TabellaA1[[#This Row],[MAR]]="X"), "X", IF(AND('Inserimento dati'!$B$3=$J$2, TabellaA1[[#This Row],[MER]]="X"), "X",IF(AND('Inserimento dati'!$B$3=$K$2, TabellaA1[[#This Row],[GIO]]="X"), "X", IF(AND('Inserimento dati'!$B$3=$L$2, TabellaA1[[#This Row],[VEN]]="X"), "X","")))))</f>
        <v/>
      </c>
      <c r="U96" s="136" t="str">
        <f t="shared" ca="1" si="4"/>
        <v/>
      </c>
      <c r="V96" s="187">
        <v>45930.833333333336</v>
      </c>
    </row>
    <row r="97" spans="1:22" s="19" customFormat="1" ht="45" x14ac:dyDescent="0.2">
      <c r="A97" s="112"/>
      <c r="B97" s="112" t="str">
        <f t="shared" si="5"/>
        <v>X</v>
      </c>
      <c r="C97" s="112" t="str">
        <f>IF(OR(TabellaA1[[#This Row],[LUN]]="X",TabellaA1[[#This Row],[MAR]]="X",TabellaA1[[#This Row],[MER]]="X",TabellaA1[[#This Row],[GIO]]="X",TabellaA1[[#This Row],[VEN]]="X",),"X","")</f>
        <v/>
      </c>
      <c r="D97" s="113" t="s">
        <v>8</v>
      </c>
      <c r="E97" s="109" t="s">
        <v>568</v>
      </c>
      <c r="F97" s="109">
        <v>400</v>
      </c>
      <c r="G97" s="109" t="s">
        <v>567</v>
      </c>
      <c r="H97" s="111"/>
      <c r="I97" s="111"/>
      <c r="J97" s="111"/>
      <c r="K97" s="111"/>
      <c r="L97" s="111"/>
      <c r="M97" s="110" t="s">
        <v>1258</v>
      </c>
      <c r="N97" s="110"/>
      <c r="O97" s="167"/>
      <c r="P97" s="167"/>
      <c r="Q97" s="109" t="s">
        <v>607</v>
      </c>
      <c r="R97" s="110">
        <v>45692</v>
      </c>
      <c r="S97" s="110" t="s">
        <v>608</v>
      </c>
      <c r="T97" s="112" t="str">
        <f ca="1">IF(AND('Inserimento dati'!$B$3=$H$2, TabellaA1[[#This Row],[LUN]]="X"), "X",IF(AND('Inserimento dati'!$B$3=$I$2, TabellaA1[[#This Row],[MAR]]="X"), "X", IF(AND('Inserimento dati'!$B$3=$J$2, TabellaA1[[#This Row],[MER]]="X"), "X",IF(AND('Inserimento dati'!$B$3=$K$2, TabellaA1[[#This Row],[GIO]]="X"), "X", IF(AND('Inserimento dati'!$B$3=$L$2, TabellaA1[[#This Row],[VEN]]="X"), "X","")))))</f>
        <v/>
      </c>
      <c r="U97" s="136" t="str">
        <f t="shared" ca="1" si="4"/>
        <v/>
      </c>
      <c r="V97" s="187">
        <v>45930.833333333336</v>
      </c>
    </row>
    <row r="98" spans="1:22" s="19" customFormat="1" ht="45" x14ac:dyDescent="0.2">
      <c r="A98" s="112"/>
      <c r="B98" s="112" t="str">
        <f t="shared" si="5"/>
        <v>X</v>
      </c>
      <c r="C98" s="112" t="str">
        <f>IF(OR(TabellaA1[[#This Row],[LUN]]="X",TabellaA1[[#This Row],[MAR]]="X",TabellaA1[[#This Row],[MER]]="X",TabellaA1[[#This Row],[GIO]]="X",TabellaA1[[#This Row],[VEN]]="X",),"X","")</f>
        <v/>
      </c>
      <c r="D98" s="113" t="s">
        <v>8</v>
      </c>
      <c r="E98" s="109" t="s">
        <v>569</v>
      </c>
      <c r="F98" s="109">
        <v>400</v>
      </c>
      <c r="G98" s="109" t="s">
        <v>566</v>
      </c>
      <c r="H98" s="111"/>
      <c r="I98" s="111"/>
      <c r="J98" s="111"/>
      <c r="K98" s="111"/>
      <c r="L98" s="111"/>
      <c r="M98" s="110" t="s">
        <v>1258</v>
      </c>
      <c r="N98" s="110"/>
      <c r="O98" s="167"/>
      <c r="P98" s="167"/>
      <c r="Q98" s="109" t="s">
        <v>609</v>
      </c>
      <c r="R98" s="110">
        <v>45692</v>
      </c>
      <c r="S98" s="110" t="s">
        <v>608</v>
      </c>
      <c r="T98" s="112" t="str">
        <f ca="1">IF(AND('Inserimento dati'!$B$3=$H$2, TabellaA1[[#This Row],[LUN]]="X"), "X",IF(AND('Inserimento dati'!$B$3=$I$2, TabellaA1[[#This Row],[MAR]]="X"), "X", IF(AND('Inserimento dati'!$B$3=$J$2, TabellaA1[[#This Row],[MER]]="X"), "X",IF(AND('Inserimento dati'!$B$3=$K$2, TabellaA1[[#This Row],[GIO]]="X"), "X", IF(AND('Inserimento dati'!$B$3=$L$2, TabellaA1[[#This Row],[VEN]]="X"), "X","")))))</f>
        <v/>
      </c>
      <c r="U98" s="136" t="str">
        <f t="shared" ca="1" si="4"/>
        <v/>
      </c>
      <c r="V98" s="187">
        <v>45930.833333333336</v>
      </c>
    </row>
    <row r="99" spans="1:22" s="19" customFormat="1" ht="30" x14ac:dyDescent="0.2">
      <c r="A99" s="112"/>
      <c r="B99" s="112" t="str">
        <f t="shared" si="5"/>
        <v>X</v>
      </c>
      <c r="C99" s="112" t="str">
        <f>IF(OR(TabellaA1[[#This Row],[LUN]]="X",TabellaA1[[#This Row],[MAR]]="X",TabellaA1[[#This Row],[MER]]="X",TabellaA1[[#This Row],[GIO]]="X",TabellaA1[[#This Row],[VEN]]="X",),"X","")</f>
        <v/>
      </c>
      <c r="D99" s="113" t="s">
        <v>8</v>
      </c>
      <c r="E99" s="109" t="s">
        <v>598</v>
      </c>
      <c r="F99" s="109">
        <v>900</v>
      </c>
      <c r="G99" s="109" t="s">
        <v>597</v>
      </c>
      <c r="H99" s="111"/>
      <c r="I99" s="111"/>
      <c r="J99" s="111"/>
      <c r="K99" s="111"/>
      <c r="L99" s="111"/>
      <c r="M99" s="110" t="s">
        <v>1258</v>
      </c>
      <c r="N99" s="110"/>
      <c r="O99" s="167"/>
      <c r="P99" s="167"/>
      <c r="Q99" s="109" t="s">
        <v>610</v>
      </c>
      <c r="R99" s="110">
        <v>45692</v>
      </c>
      <c r="S99" s="110" t="s">
        <v>608</v>
      </c>
      <c r="T99" s="112" t="str">
        <f ca="1">IF(AND('Inserimento dati'!$B$3=$H$2, TabellaA1[[#This Row],[LUN]]="X"), "X",IF(AND('Inserimento dati'!$B$3=$I$2, TabellaA1[[#This Row],[MAR]]="X"), "X", IF(AND('Inserimento dati'!$B$3=$J$2, TabellaA1[[#This Row],[MER]]="X"), "X",IF(AND('Inserimento dati'!$B$3=$K$2, TabellaA1[[#This Row],[GIO]]="X"), "X", IF(AND('Inserimento dati'!$B$3=$L$2, TabellaA1[[#This Row],[VEN]]="X"), "X","")))))</f>
        <v/>
      </c>
      <c r="U99" s="136" t="str">
        <f t="shared" ca="1" si="4"/>
        <v/>
      </c>
      <c r="V99" s="187">
        <v>45930.833333333336</v>
      </c>
    </row>
    <row r="100" spans="1:22" s="19" customFormat="1" ht="30" x14ac:dyDescent="0.2">
      <c r="A100" s="112"/>
      <c r="B100" s="112" t="str">
        <f t="shared" si="5"/>
        <v>X</v>
      </c>
      <c r="C100" s="112" t="str">
        <f>IF(OR(TabellaA1[[#This Row],[LUN]]="X",TabellaA1[[#This Row],[MAR]]="X",TabellaA1[[#This Row],[MER]]="X",TabellaA1[[#This Row],[GIO]]="X",TabellaA1[[#This Row],[VEN]]="X",),"X","")</f>
        <v/>
      </c>
      <c r="D100" s="113" t="s">
        <v>8</v>
      </c>
      <c r="E100" s="109" t="s">
        <v>592</v>
      </c>
      <c r="F100" s="109">
        <v>200</v>
      </c>
      <c r="G100" s="109" t="s">
        <v>588</v>
      </c>
      <c r="H100" s="111"/>
      <c r="I100" s="111"/>
      <c r="J100" s="111"/>
      <c r="K100" s="111"/>
      <c r="L100" s="111"/>
      <c r="M100" s="110" t="s">
        <v>1258</v>
      </c>
      <c r="N100" s="110"/>
      <c r="O100" s="167"/>
      <c r="P100" s="167"/>
      <c r="Q100" s="109" t="s">
        <v>618</v>
      </c>
      <c r="R100" s="110">
        <v>45686</v>
      </c>
      <c r="S100" s="110" t="s">
        <v>102</v>
      </c>
      <c r="T100" s="112" t="str">
        <f ca="1">IF(AND('Inserimento dati'!$B$3=$H$2, TabellaA1[[#This Row],[LUN]]="X"), "X",IF(AND('Inserimento dati'!$B$3=$I$2, TabellaA1[[#This Row],[MAR]]="X"), "X", IF(AND('Inserimento dati'!$B$3=$J$2, TabellaA1[[#This Row],[MER]]="X"), "X",IF(AND('Inserimento dati'!$B$3=$K$2, TabellaA1[[#This Row],[GIO]]="X"), "X", IF(AND('Inserimento dati'!$B$3=$L$2, TabellaA1[[#This Row],[VEN]]="X"), "X","")))))</f>
        <v/>
      </c>
      <c r="U100" s="136" t="str">
        <f t="shared" ca="1" si="4"/>
        <v/>
      </c>
      <c r="V100" s="187">
        <v>45930.833333333336</v>
      </c>
    </row>
    <row r="101" spans="1:22" s="19" customFormat="1" ht="75" x14ac:dyDescent="0.2">
      <c r="A101" s="112"/>
      <c r="B101" s="112" t="str">
        <f t="shared" si="5"/>
        <v>X</v>
      </c>
      <c r="C101" s="112" t="str">
        <f>IF(OR(TabellaA1[[#This Row],[LUN]]="X",TabellaA1[[#This Row],[MAR]]="X",TabellaA1[[#This Row],[MER]]="X",TabellaA1[[#This Row],[GIO]]="X",TabellaA1[[#This Row],[VEN]]="X",),"X","")</f>
        <v/>
      </c>
      <c r="D101" s="113" t="s">
        <v>8</v>
      </c>
      <c r="E101" s="109" t="s">
        <v>570</v>
      </c>
      <c r="F101" s="109">
        <v>400</v>
      </c>
      <c r="G101" s="109" t="s">
        <v>565</v>
      </c>
      <c r="H101" s="111"/>
      <c r="I101" s="111"/>
      <c r="J101" s="111"/>
      <c r="K101" s="111"/>
      <c r="L101" s="111"/>
      <c r="M101" s="110" t="s">
        <v>1258</v>
      </c>
      <c r="N101" s="110"/>
      <c r="O101" s="167"/>
      <c r="P101" s="167"/>
      <c r="Q101" s="109" t="s">
        <v>617</v>
      </c>
      <c r="R101" s="110">
        <v>45693</v>
      </c>
      <c r="S101" s="110" t="s">
        <v>102</v>
      </c>
      <c r="T101" s="112" t="str">
        <f ca="1">IF(AND('Inserimento dati'!$B$3=$H$2, TabellaA1[[#This Row],[LUN]]="X"), "X",IF(AND('Inserimento dati'!$B$3=$I$2, TabellaA1[[#This Row],[MAR]]="X"), "X", IF(AND('Inserimento dati'!$B$3=$J$2, TabellaA1[[#This Row],[MER]]="X"), "X",IF(AND('Inserimento dati'!$B$3=$K$2, TabellaA1[[#This Row],[GIO]]="X"), "X", IF(AND('Inserimento dati'!$B$3=$L$2, TabellaA1[[#This Row],[VEN]]="X"), "X","")))))</f>
        <v/>
      </c>
      <c r="U101" s="136" t="str">
        <f t="shared" ca="1" si="4"/>
        <v/>
      </c>
      <c r="V101" s="187">
        <v>45930.833333333336</v>
      </c>
    </row>
    <row r="102" spans="1:22" s="19" customFormat="1" ht="30" x14ac:dyDescent="0.2">
      <c r="A102" s="112"/>
      <c r="B102" s="112" t="str">
        <f t="shared" si="5"/>
        <v>X</v>
      </c>
      <c r="C102" s="112" t="str">
        <f>IF(OR(TabellaA1[[#This Row],[LUN]]="X",TabellaA1[[#This Row],[MAR]]="X",TabellaA1[[#This Row],[MER]]="X",TabellaA1[[#This Row],[GIO]]="X",TabellaA1[[#This Row],[VEN]]="X",),"X","")</f>
        <v/>
      </c>
      <c r="D102" s="113" t="s">
        <v>8</v>
      </c>
      <c r="E102" s="109" t="s">
        <v>571</v>
      </c>
      <c r="F102" s="109">
        <v>400</v>
      </c>
      <c r="G102" s="109" t="s">
        <v>564</v>
      </c>
      <c r="H102" s="111"/>
      <c r="I102" s="111"/>
      <c r="J102" s="111"/>
      <c r="K102" s="111"/>
      <c r="L102" s="111"/>
      <c r="M102" s="110" t="s">
        <v>1258</v>
      </c>
      <c r="N102" s="110"/>
      <c r="O102" s="167"/>
      <c r="P102" s="167"/>
      <c r="Q102" s="109" t="s">
        <v>149</v>
      </c>
      <c r="R102" s="110">
        <v>45687</v>
      </c>
      <c r="S102" s="110" t="s">
        <v>50</v>
      </c>
      <c r="T102" s="112" t="str">
        <f ca="1">IF(AND('Inserimento dati'!$B$3=$H$2, TabellaA1[[#This Row],[LUN]]="X"), "X",IF(AND('Inserimento dati'!$B$3=$I$2, TabellaA1[[#This Row],[MAR]]="X"), "X", IF(AND('Inserimento dati'!$B$3=$J$2, TabellaA1[[#This Row],[MER]]="X"), "X",IF(AND('Inserimento dati'!$B$3=$K$2, TabellaA1[[#This Row],[GIO]]="X"), "X", IF(AND('Inserimento dati'!$B$3=$L$2, TabellaA1[[#This Row],[VEN]]="X"), "X","")))))</f>
        <v/>
      </c>
      <c r="U102" s="136" t="str">
        <f t="shared" ca="1" si="4"/>
        <v/>
      </c>
      <c r="V102" s="187">
        <v>45930.833333333336</v>
      </c>
    </row>
    <row r="103" spans="1:22" s="19" customFormat="1" ht="45" x14ac:dyDescent="0.2">
      <c r="A103" s="112"/>
      <c r="B103" s="112" t="str">
        <f t="shared" si="5"/>
        <v>X</v>
      </c>
      <c r="C103" s="112" t="str">
        <f>IF(OR(TabellaA1[[#This Row],[LUN]]="X",TabellaA1[[#This Row],[MAR]]="X",TabellaA1[[#This Row],[MER]]="X",TabellaA1[[#This Row],[GIO]]="X",TabellaA1[[#This Row],[VEN]]="X",),"X","")</f>
        <v/>
      </c>
      <c r="D103" s="113" t="s">
        <v>8</v>
      </c>
      <c r="E103" s="109" t="s">
        <v>551</v>
      </c>
      <c r="F103" s="109">
        <v>200</v>
      </c>
      <c r="G103" s="109" t="s">
        <v>550</v>
      </c>
      <c r="H103" s="111"/>
      <c r="I103" s="111"/>
      <c r="J103" s="111"/>
      <c r="K103" s="111"/>
      <c r="L103" s="111"/>
      <c r="M103" s="109" t="s">
        <v>1258</v>
      </c>
      <c r="N103" s="109"/>
      <c r="O103" s="113"/>
      <c r="P103" s="113"/>
      <c r="Q103" s="109" t="s">
        <v>1037</v>
      </c>
      <c r="R103" s="110">
        <v>45687</v>
      </c>
      <c r="S103" s="110" t="s">
        <v>102</v>
      </c>
      <c r="T103" s="112" t="str">
        <f ca="1">IF(AND('Inserimento dati'!$B$3=$H$2, TabellaA1[[#This Row],[LUN]]="X"), "X",IF(AND('Inserimento dati'!$B$3=$I$2, TabellaA1[[#This Row],[MAR]]="X"), "X", IF(AND('Inserimento dati'!$B$3=$J$2, TabellaA1[[#This Row],[MER]]="X"), "X",IF(AND('Inserimento dati'!$B$3=$K$2, TabellaA1[[#This Row],[GIO]]="X"), "X", IF(AND('Inserimento dati'!$B$3=$L$2, TabellaA1[[#This Row],[VEN]]="X"), "X","")))))</f>
        <v/>
      </c>
      <c r="U103" s="136" t="str">
        <f t="shared" ref="U103:U134" ca="1" si="6">IFERROR(MID(G103,_xlfn.AGGREGATE(15,6,(ROW(INDIRECT("1:"&amp;LEN(G103)-7)))/(ISNUMBER(--MID(G103,ROW(INDIRECT("1:"&amp;LEN(G103)-7)),8))),1),8),"")</f>
        <v/>
      </c>
      <c r="V103" s="187">
        <v>45930.833333333336</v>
      </c>
    </row>
    <row r="104" spans="1:22" s="19" customFormat="1" ht="30" x14ac:dyDescent="0.2">
      <c r="A104" s="112"/>
      <c r="B104" s="112" t="str">
        <f t="shared" si="5"/>
        <v>X</v>
      </c>
      <c r="C104" s="112" t="str">
        <f>IF(OR(TabellaA1[[#This Row],[LUN]]="X",TabellaA1[[#This Row],[MAR]]="X",TabellaA1[[#This Row],[MER]]="X",TabellaA1[[#This Row],[GIO]]="X",TabellaA1[[#This Row],[VEN]]="X",),"X","")</f>
        <v/>
      </c>
      <c r="D104" s="113" t="s">
        <v>8</v>
      </c>
      <c r="E104" s="109" t="s">
        <v>535</v>
      </c>
      <c r="F104" s="109">
        <v>900</v>
      </c>
      <c r="G104" s="109" t="s">
        <v>534</v>
      </c>
      <c r="H104" s="111"/>
      <c r="I104" s="111"/>
      <c r="J104" s="111"/>
      <c r="K104" s="111"/>
      <c r="L104" s="111"/>
      <c r="M104" s="110" t="s">
        <v>1258</v>
      </c>
      <c r="N104" s="110"/>
      <c r="O104" s="167"/>
      <c r="P104" s="167"/>
      <c r="Q104" s="109" t="s">
        <v>576</v>
      </c>
      <c r="R104" s="110">
        <v>45687</v>
      </c>
      <c r="S104" s="110" t="s">
        <v>102</v>
      </c>
      <c r="T104" s="112" t="str">
        <f ca="1">IF(AND('Inserimento dati'!$B$3=$H$2, TabellaA1[[#This Row],[LUN]]="X"), "X",IF(AND('Inserimento dati'!$B$3=$I$2, TabellaA1[[#This Row],[MAR]]="X"), "X", IF(AND('Inserimento dati'!$B$3=$J$2, TabellaA1[[#This Row],[MER]]="X"), "X",IF(AND('Inserimento dati'!$B$3=$K$2, TabellaA1[[#This Row],[GIO]]="X"), "X", IF(AND('Inserimento dati'!$B$3=$L$2, TabellaA1[[#This Row],[VEN]]="X"), "X","")))))</f>
        <v/>
      </c>
      <c r="U104" s="136" t="str">
        <f t="shared" ca="1" si="6"/>
        <v/>
      </c>
      <c r="V104" s="187">
        <v>45930.833333333336</v>
      </c>
    </row>
    <row r="105" spans="1:22" s="19" customFormat="1" ht="23.25" x14ac:dyDescent="0.2">
      <c r="A105" s="112"/>
      <c r="B105" s="112" t="str">
        <f t="shared" si="5"/>
        <v>X</v>
      </c>
      <c r="C105" s="112" t="str">
        <f>IF(OR(TabellaA1[[#This Row],[LUN]]="X",TabellaA1[[#This Row],[MAR]]="X",TabellaA1[[#This Row],[MER]]="X",TabellaA1[[#This Row],[GIO]]="X",TabellaA1[[#This Row],[VEN]]="X",),"X","")</f>
        <v/>
      </c>
      <c r="D105" s="113" t="s">
        <v>8</v>
      </c>
      <c r="E105" s="109" t="s">
        <v>575</v>
      </c>
      <c r="F105" s="109">
        <v>100</v>
      </c>
      <c r="G105" s="109" t="s">
        <v>572</v>
      </c>
      <c r="H105" s="111"/>
      <c r="I105" s="111"/>
      <c r="J105" s="111"/>
      <c r="K105" s="111"/>
      <c r="L105" s="111"/>
      <c r="M105" s="109" t="s">
        <v>1258</v>
      </c>
      <c r="N105" s="109"/>
      <c r="O105" s="113"/>
      <c r="P105" s="113"/>
      <c r="Q105" s="109" t="s">
        <v>573</v>
      </c>
      <c r="R105" s="110">
        <v>45686</v>
      </c>
      <c r="S105" s="110" t="s">
        <v>554</v>
      </c>
      <c r="T105" s="112" t="str">
        <f ca="1">IF(AND('Inserimento dati'!$B$3=$H$2, TabellaA1[[#This Row],[LUN]]="X"), "X",IF(AND('Inserimento dati'!$B$3=$I$2, TabellaA1[[#This Row],[MAR]]="X"), "X", IF(AND('Inserimento dati'!$B$3=$J$2, TabellaA1[[#This Row],[MER]]="X"), "X",IF(AND('Inserimento dati'!$B$3=$K$2, TabellaA1[[#This Row],[GIO]]="X"), "X", IF(AND('Inserimento dati'!$B$3=$L$2, TabellaA1[[#This Row],[VEN]]="X"), "X","")))))</f>
        <v/>
      </c>
      <c r="U105" s="136" t="str">
        <f t="shared" ca="1" si="6"/>
        <v/>
      </c>
      <c r="V105" s="187">
        <v>45930.833333333336</v>
      </c>
    </row>
    <row r="106" spans="1:22" s="19" customFormat="1" ht="30" x14ac:dyDescent="0.2">
      <c r="A106" s="112"/>
      <c r="B106" s="112" t="str">
        <f t="shared" si="5"/>
        <v>X</v>
      </c>
      <c r="C106" s="112" t="str">
        <f>IF(OR(TabellaA1[[#This Row],[LUN]]="X",TabellaA1[[#This Row],[MAR]]="X",TabellaA1[[#This Row],[MER]]="X",TabellaA1[[#This Row],[GIO]]="X",TabellaA1[[#This Row],[VEN]]="X",),"X","")</f>
        <v/>
      </c>
      <c r="D106" s="113" t="s">
        <v>8</v>
      </c>
      <c r="E106" s="109" t="s">
        <v>505</v>
      </c>
      <c r="F106" s="109">
        <v>100</v>
      </c>
      <c r="G106" s="109" t="s">
        <v>504</v>
      </c>
      <c r="H106" s="111"/>
      <c r="I106" s="111"/>
      <c r="J106" s="111"/>
      <c r="K106" s="111"/>
      <c r="L106" s="111"/>
      <c r="M106" s="110" t="s">
        <v>1258</v>
      </c>
      <c r="N106" s="110"/>
      <c r="O106" s="167"/>
      <c r="P106" s="167"/>
      <c r="Q106" s="109" t="s">
        <v>555</v>
      </c>
      <c r="R106" s="110">
        <v>45685</v>
      </c>
      <c r="S106" s="110" t="s">
        <v>203</v>
      </c>
      <c r="T106" s="112" t="str">
        <f ca="1">IF(AND('Inserimento dati'!$B$3=$H$2, TabellaA1[[#This Row],[LUN]]="X"), "X",IF(AND('Inserimento dati'!$B$3=$I$2, TabellaA1[[#This Row],[MAR]]="X"), "X", IF(AND('Inserimento dati'!$B$3=$J$2, TabellaA1[[#This Row],[MER]]="X"), "X",IF(AND('Inserimento dati'!$B$3=$K$2, TabellaA1[[#This Row],[GIO]]="X"), "X", IF(AND('Inserimento dati'!$B$3=$L$2, TabellaA1[[#This Row],[VEN]]="X"), "X","")))))</f>
        <v/>
      </c>
      <c r="U106" s="136" t="str">
        <f t="shared" ca="1" si="6"/>
        <v/>
      </c>
      <c r="V106" s="187">
        <v>45930.833333333336</v>
      </c>
    </row>
    <row r="107" spans="1:22" s="19" customFormat="1" ht="30" x14ac:dyDescent="0.2">
      <c r="A107" s="112"/>
      <c r="B107" s="112" t="str">
        <f t="shared" si="5"/>
        <v>X</v>
      </c>
      <c r="C107" s="112" t="str">
        <f>IF(OR(TabellaA1[[#This Row],[LUN]]="X",TabellaA1[[#This Row],[MAR]]="X",TabellaA1[[#This Row],[MER]]="X",TabellaA1[[#This Row],[GIO]]="X",TabellaA1[[#This Row],[VEN]]="X",),"X","")</f>
        <v/>
      </c>
      <c r="D107" s="113" t="s">
        <v>8</v>
      </c>
      <c r="E107" s="109" t="s">
        <v>350</v>
      </c>
      <c r="F107" s="109">
        <v>200</v>
      </c>
      <c r="G107" s="109" t="s">
        <v>418</v>
      </c>
      <c r="H107" s="111"/>
      <c r="I107" s="111"/>
      <c r="J107" s="111"/>
      <c r="K107" s="111"/>
      <c r="L107" s="111"/>
      <c r="M107" s="109" t="s">
        <v>1258</v>
      </c>
      <c r="N107" s="109"/>
      <c r="O107" s="113"/>
      <c r="P107" s="113"/>
      <c r="Q107" s="109" t="s">
        <v>423</v>
      </c>
      <c r="R107" s="110"/>
      <c r="S107" s="110" t="s">
        <v>554</v>
      </c>
      <c r="T107" s="112" t="str">
        <f ca="1">IF(AND('Inserimento dati'!$B$3=$H$2, TabellaA1[[#This Row],[LUN]]="X"), "X",IF(AND('Inserimento dati'!$B$3=$I$2, TabellaA1[[#This Row],[MAR]]="X"), "X", IF(AND('Inserimento dati'!$B$3=$J$2, TabellaA1[[#This Row],[MER]]="X"), "X",IF(AND('Inserimento dati'!$B$3=$K$2, TabellaA1[[#This Row],[GIO]]="X"), "X", IF(AND('Inserimento dati'!$B$3=$L$2, TabellaA1[[#This Row],[VEN]]="X"), "X","")))))</f>
        <v/>
      </c>
      <c r="U107" s="136" t="str">
        <f t="shared" ca="1" si="6"/>
        <v/>
      </c>
      <c r="V107" s="187">
        <v>45930.833333333336</v>
      </c>
    </row>
    <row r="108" spans="1:22" s="19" customFormat="1" ht="23.25" x14ac:dyDescent="0.2">
      <c r="A108" s="112"/>
      <c r="B108" s="112" t="str">
        <f t="shared" ref="B108:B139" si="7">IF(OR(A108="x",A108="X"),"",IF(ISBLANK(A108),"X",""))</f>
        <v>X</v>
      </c>
      <c r="C108" s="112" t="str">
        <f>IF(OR(TabellaA1[[#This Row],[LUN]]="X",TabellaA1[[#This Row],[MAR]]="X",TabellaA1[[#This Row],[MER]]="X",TabellaA1[[#This Row],[GIO]]="X",TabellaA1[[#This Row],[VEN]]="X",),"X","")</f>
        <v/>
      </c>
      <c r="D108" s="113" t="s">
        <v>8</v>
      </c>
      <c r="E108" s="109" t="s">
        <v>540</v>
      </c>
      <c r="F108" s="109">
        <v>100</v>
      </c>
      <c r="G108" s="109" t="s">
        <v>533</v>
      </c>
      <c r="H108" s="111"/>
      <c r="I108" s="111"/>
      <c r="J108" s="111"/>
      <c r="K108" s="111"/>
      <c r="L108" s="111"/>
      <c r="M108" s="109" t="s">
        <v>1258</v>
      </c>
      <c r="N108" s="109"/>
      <c r="O108" s="113"/>
      <c r="P108" s="113"/>
      <c r="Q108" s="109" t="s">
        <v>542</v>
      </c>
      <c r="R108" s="110">
        <v>45684</v>
      </c>
      <c r="S108" s="110" t="s">
        <v>211</v>
      </c>
      <c r="T108" s="112" t="str">
        <f ca="1">IF(AND('Inserimento dati'!$B$3=$H$2, TabellaA1[[#This Row],[LUN]]="X"), "X",IF(AND('Inserimento dati'!$B$3=$I$2, TabellaA1[[#This Row],[MAR]]="X"), "X", IF(AND('Inserimento dati'!$B$3=$J$2, TabellaA1[[#This Row],[MER]]="X"), "X",IF(AND('Inserimento dati'!$B$3=$K$2, TabellaA1[[#This Row],[GIO]]="X"), "X", IF(AND('Inserimento dati'!$B$3=$L$2, TabellaA1[[#This Row],[VEN]]="X"), "X","")))))</f>
        <v/>
      </c>
      <c r="U108" s="136" t="str">
        <f t="shared" ca="1" si="6"/>
        <v/>
      </c>
      <c r="V108" s="187">
        <v>45930.833333333336</v>
      </c>
    </row>
    <row r="109" spans="1:22" s="19" customFormat="1" ht="45" x14ac:dyDescent="0.2">
      <c r="A109" s="112"/>
      <c r="B109" s="112" t="str">
        <f t="shared" si="7"/>
        <v>X</v>
      </c>
      <c r="C109" s="112" t="str">
        <f>IF(OR(TabellaA1[[#This Row],[LUN]]="X",TabellaA1[[#This Row],[MAR]]="X",TabellaA1[[#This Row],[MER]]="X",TabellaA1[[#This Row],[GIO]]="X",TabellaA1[[#This Row],[VEN]]="X",),"X","")</f>
        <v/>
      </c>
      <c r="D109" s="113" t="s">
        <v>8</v>
      </c>
      <c r="E109" s="109" t="s">
        <v>491</v>
      </c>
      <c r="F109" s="109">
        <v>400</v>
      </c>
      <c r="G109" s="109" t="s">
        <v>484</v>
      </c>
      <c r="H109" s="111"/>
      <c r="I109" s="111"/>
      <c r="J109" s="111"/>
      <c r="K109" s="111"/>
      <c r="L109" s="111"/>
      <c r="M109" s="110" t="s">
        <v>1258</v>
      </c>
      <c r="N109" s="110"/>
      <c r="O109" s="167"/>
      <c r="P109" s="167"/>
      <c r="Q109" s="109" t="s">
        <v>543</v>
      </c>
      <c r="R109" s="110"/>
      <c r="S109" s="110"/>
      <c r="T109" s="112" t="str">
        <f ca="1">IF(AND('Inserimento dati'!$B$3=$H$2, TabellaA1[[#This Row],[LUN]]="X"), "X",IF(AND('Inserimento dati'!$B$3=$I$2, TabellaA1[[#This Row],[MAR]]="X"), "X", IF(AND('Inserimento dati'!$B$3=$J$2, TabellaA1[[#This Row],[MER]]="X"), "X",IF(AND('Inserimento dati'!$B$3=$K$2, TabellaA1[[#This Row],[GIO]]="X"), "X", IF(AND('Inserimento dati'!$B$3=$L$2, TabellaA1[[#This Row],[VEN]]="X"), "X","")))))</f>
        <v/>
      </c>
      <c r="U109" s="136" t="str">
        <f t="shared" ca="1" si="6"/>
        <v/>
      </c>
      <c r="V109" s="187">
        <v>45930.833333333336</v>
      </c>
    </row>
    <row r="110" spans="1:22" s="19" customFormat="1" ht="30" x14ac:dyDescent="0.2">
      <c r="A110" s="112"/>
      <c r="B110" s="112" t="str">
        <f t="shared" si="7"/>
        <v>X</v>
      </c>
      <c r="C110" s="112" t="str">
        <f>IF(OR(TabellaA1[[#This Row],[LUN]]="X",TabellaA1[[#This Row],[MAR]]="X",TabellaA1[[#This Row],[MER]]="X",TabellaA1[[#This Row],[GIO]]="X",TabellaA1[[#This Row],[VEN]]="X",),"X","")</f>
        <v/>
      </c>
      <c r="D110" s="113" t="s">
        <v>8</v>
      </c>
      <c r="E110" s="109" t="s">
        <v>434</v>
      </c>
      <c r="F110" s="109">
        <v>200</v>
      </c>
      <c r="G110" s="109" t="s">
        <v>428</v>
      </c>
      <c r="H110" s="111"/>
      <c r="I110" s="111"/>
      <c r="J110" s="111"/>
      <c r="K110" s="111"/>
      <c r="L110" s="111"/>
      <c r="M110" s="109" t="s">
        <v>1258</v>
      </c>
      <c r="N110" s="109"/>
      <c r="O110" s="113"/>
      <c r="P110" s="113"/>
      <c r="Q110" s="109" t="s">
        <v>476</v>
      </c>
      <c r="R110" s="110">
        <v>45678</v>
      </c>
      <c r="S110" s="110" t="s">
        <v>211</v>
      </c>
      <c r="T110" s="112" t="str">
        <f ca="1">IF(AND('Inserimento dati'!$B$3=$H$2, TabellaA1[[#This Row],[LUN]]="X"), "X",IF(AND('Inserimento dati'!$B$3=$I$2, TabellaA1[[#This Row],[MAR]]="X"), "X", IF(AND('Inserimento dati'!$B$3=$J$2, TabellaA1[[#This Row],[MER]]="X"), "X",IF(AND('Inserimento dati'!$B$3=$K$2, TabellaA1[[#This Row],[GIO]]="X"), "X", IF(AND('Inserimento dati'!$B$3=$L$2, TabellaA1[[#This Row],[VEN]]="X"), "X","")))))</f>
        <v/>
      </c>
      <c r="U110" s="136" t="str">
        <f t="shared" ca="1" si="6"/>
        <v/>
      </c>
      <c r="V110" s="187">
        <v>45930.833333333336</v>
      </c>
    </row>
    <row r="111" spans="1:22" s="19" customFormat="1" ht="30" x14ac:dyDescent="0.2">
      <c r="A111" s="112"/>
      <c r="B111" s="112" t="str">
        <f t="shared" si="7"/>
        <v>X</v>
      </c>
      <c r="C111" s="112" t="str">
        <f>IF(OR(TabellaA1[[#This Row],[LUN]]="X",TabellaA1[[#This Row],[MAR]]="X",TabellaA1[[#This Row],[MER]]="X",TabellaA1[[#This Row],[GIO]]="X",TabellaA1[[#This Row],[VEN]]="X",),"X","")</f>
        <v/>
      </c>
      <c r="D111" s="113" t="s">
        <v>8</v>
      </c>
      <c r="E111" s="109" t="s">
        <v>435</v>
      </c>
      <c r="F111" s="109">
        <v>200</v>
      </c>
      <c r="G111" s="109" t="s">
        <v>427</v>
      </c>
      <c r="H111" s="111"/>
      <c r="I111" s="111"/>
      <c r="J111" s="111"/>
      <c r="K111" s="111"/>
      <c r="L111" s="111"/>
      <c r="M111" s="109" t="s">
        <v>1258</v>
      </c>
      <c r="N111" s="109"/>
      <c r="O111" s="113"/>
      <c r="P111" s="113"/>
      <c r="Q111" s="109" t="s">
        <v>475</v>
      </c>
      <c r="R111" s="110">
        <v>45678</v>
      </c>
      <c r="S111" s="110" t="s">
        <v>211</v>
      </c>
      <c r="T111" s="112" t="str">
        <f ca="1">IF(AND('Inserimento dati'!$B$3=$H$2, TabellaA1[[#This Row],[LUN]]="X"), "X",IF(AND('Inserimento dati'!$B$3=$I$2, TabellaA1[[#This Row],[MAR]]="X"), "X", IF(AND('Inserimento dati'!$B$3=$J$2, TabellaA1[[#This Row],[MER]]="X"), "X",IF(AND('Inserimento dati'!$B$3=$K$2, TabellaA1[[#This Row],[GIO]]="X"), "X", IF(AND('Inserimento dati'!$B$3=$L$2, TabellaA1[[#This Row],[VEN]]="X"), "X","")))))</f>
        <v/>
      </c>
      <c r="U111" s="136" t="str">
        <f t="shared" ca="1" si="6"/>
        <v/>
      </c>
      <c r="V111" s="187">
        <v>45930.833333333336</v>
      </c>
    </row>
    <row r="112" spans="1:22" s="19" customFormat="1" ht="30" x14ac:dyDescent="0.2">
      <c r="A112" s="112"/>
      <c r="B112" s="112" t="str">
        <f t="shared" si="7"/>
        <v>X</v>
      </c>
      <c r="C112" s="112" t="str">
        <f>IF(OR(TabellaA1[[#This Row],[LUN]]="X",TabellaA1[[#This Row],[MAR]]="X",TabellaA1[[#This Row],[MER]]="X",TabellaA1[[#This Row],[GIO]]="X",TabellaA1[[#This Row],[VEN]]="X",),"X","")</f>
        <v/>
      </c>
      <c r="D112" s="113" t="s">
        <v>8</v>
      </c>
      <c r="E112" s="109" t="s">
        <v>430</v>
      </c>
      <c r="F112" s="109">
        <v>200</v>
      </c>
      <c r="G112" s="109" t="s">
        <v>425</v>
      </c>
      <c r="H112" s="111"/>
      <c r="I112" s="111"/>
      <c r="J112" s="111"/>
      <c r="K112" s="111"/>
      <c r="L112" s="111"/>
      <c r="M112" s="109" t="s">
        <v>1258</v>
      </c>
      <c r="N112" s="109"/>
      <c r="O112" s="113"/>
      <c r="P112" s="113"/>
      <c r="Q112" s="109" t="s">
        <v>455</v>
      </c>
      <c r="R112" s="110">
        <v>45677</v>
      </c>
      <c r="S112" s="110" t="s">
        <v>203</v>
      </c>
      <c r="T112" s="112" t="str">
        <f ca="1">IF(AND('Inserimento dati'!$B$3=$H$2, TabellaA1[[#This Row],[LUN]]="X"), "X",IF(AND('Inserimento dati'!$B$3=$I$2, TabellaA1[[#This Row],[MAR]]="X"), "X", IF(AND('Inserimento dati'!$B$3=$J$2, TabellaA1[[#This Row],[MER]]="X"), "X",IF(AND('Inserimento dati'!$B$3=$K$2, TabellaA1[[#This Row],[GIO]]="X"), "X", IF(AND('Inserimento dati'!$B$3=$L$2, TabellaA1[[#This Row],[VEN]]="X"), "X","")))))</f>
        <v/>
      </c>
      <c r="U112" s="136" t="str">
        <f t="shared" ca="1" si="6"/>
        <v/>
      </c>
      <c r="V112" s="187">
        <v>45930.833333333336</v>
      </c>
    </row>
    <row r="113" spans="1:22" s="19" customFormat="1" ht="30" x14ac:dyDescent="0.2">
      <c r="A113" s="112"/>
      <c r="B113" s="112" t="str">
        <f t="shared" si="7"/>
        <v>X</v>
      </c>
      <c r="C113" s="112" t="str">
        <f>IF(OR(TabellaA1[[#This Row],[LUN]]="X",TabellaA1[[#This Row],[MAR]]="X",TabellaA1[[#This Row],[MER]]="X",TabellaA1[[#This Row],[GIO]]="X",TabellaA1[[#This Row],[VEN]]="X",),"X","")</f>
        <v/>
      </c>
      <c r="D113" s="113" t="s">
        <v>8</v>
      </c>
      <c r="E113" s="109" t="s">
        <v>431</v>
      </c>
      <c r="F113" s="109">
        <v>200</v>
      </c>
      <c r="G113" s="109" t="s">
        <v>424</v>
      </c>
      <c r="H113" s="111"/>
      <c r="I113" s="111"/>
      <c r="J113" s="111"/>
      <c r="K113" s="111"/>
      <c r="L113" s="111"/>
      <c r="M113" s="109" t="s">
        <v>1258</v>
      </c>
      <c r="N113" s="109"/>
      <c r="O113" s="113"/>
      <c r="P113" s="113"/>
      <c r="Q113" s="109" t="s">
        <v>454</v>
      </c>
      <c r="R113" s="110">
        <v>45677</v>
      </c>
      <c r="S113" s="110" t="s">
        <v>203</v>
      </c>
      <c r="T113" s="112" t="str">
        <f ca="1">IF(AND('Inserimento dati'!$B$3=$H$2, TabellaA1[[#This Row],[LUN]]="X"), "X",IF(AND('Inserimento dati'!$B$3=$I$2, TabellaA1[[#This Row],[MAR]]="X"), "X", IF(AND('Inserimento dati'!$B$3=$J$2, TabellaA1[[#This Row],[MER]]="X"), "X",IF(AND('Inserimento dati'!$B$3=$K$2, TabellaA1[[#This Row],[GIO]]="X"), "X", IF(AND('Inserimento dati'!$B$3=$L$2, TabellaA1[[#This Row],[VEN]]="X"), "X","")))))</f>
        <v/>
      </c>
      <c r="U113" s="136" t="str">
        <f t="shared" ca="1" si="6"/>
        <v/>
      </c>
      <c r="V113" s="187">
        <v>45930.833333333336</v>
      </c>
    </row>
    <row r="114" spans="1:22" s="19" customFormat="1" ht="30" x14ac:dyDescent="0.2">
      <c r="A114" s="112"/>
      <c r="B114" s="112" t="str">
        <f t="shared" si="7"/>
        <v>X</v>
      </c>
      <c r="C114" s="112" t="str">
        <f>IF(OR(TabellaA1[[#This Row],[LUN]]="X",TabellaA1[[#This Row],[MAR]]="X",TabellaA1[[#This Row],[MER]]="X",TabellaA1[[#This Row],[GIO]]="X",TabellaA1[[#This Row],[VEN]]="X",),"X","")</f>
        <v/>
      </c>
      <c r="D114" s="113" t="s">
        <v>8</v>
      </c>
      <c r="E114" s="109" t="s">
        <v>451</v>
      </c>
      <c r="F114" s="109">
        <v>300</v>
      </c>
      <c r="G114" s="109" t="s">
        <v>447</v>
      </c>
      <c r="H114" s="111"/>
      <c r="I114" s="111"/>
      <c r="J114" s="111"/>
      <c r="K114" s="111"/>
      <c r="L114" s="111"/>
      <c r="M114" s="109" t="s">
        <v>1258</v>
      </c>
      <c r="N114" s="109"/>
      <c r="O114" s="113"/>
      <c r="P114" s="113"/>
      <c r="Q114" s="109" t="s">
        <v>470</v>
      </c>
      <c r="R114" s="110">
        <v>45677</v>
      </c>
      <c r="S114" s="110" t="s">
        <v>50</v>
      </c>
      <c r="T114" s="112" t="str">
        <f ca="1">IF(AND('Inserimento dati'!$B$3=$H$2, TabellaA1[[#This Row],[LUN]]="X"), "X",IF(AND('Inserimento dati'!$B$3=$I$2, TabellaA1[[#This Row],[MAR]]="X"), "X", IF(AND('Inserimento dati'!$B$3=$J$2, TabellaA1[[#This Row],[MER]]="X"), "X",IF(AND('Inserimento dati'!$B$3=$K$2, TabellaA1[[#This Row],[GIO]]="X"), "X", IF(AND('Inserimento dati'!$B$3=$L$2, TabellaA1[[#This Row],[VEN]]="X"), "X","")))))</f>
        <v/>
      </c>
      <c r="U114" s="136" t="str">
        <f t="shared" ca="1" si="6"/>
        <v/>
      </c>
      <c r="V114" s="187">
        <v>45930.833333333336</v>
      </c>
    </row>
    <row r="115" spans="1:22" s="19" customFormat="1" ht="30" x14ac:dyDescent="0.2">
      <c r="A115" s="112"/>
      <c r="B115" s="112" t="str">
        <f t="shared" si="7"/>
        <v>X</v>
      </c>
      <c r="C115" s="112" t="str">
        <f>IF(OR(TabellaA1[[#This Row],[LUN]]="X",TabellaA1[[#This Row],[MAR]]="X",TabellaA1[[#This Row],[MER]]="X",TabellaA1[[#This Row],[GIO]]="X",TabellaA1[[#This Row],[VEN]]="X",),"X","")</f>
        <v/>
      </c>
      <c r="D115" s="113" t="s">
        <v>8</v>
      </c>
      <c r="E115" s="109" t="s">
        <v>349</v>
      </c>
      <c r="F115" s="109">
        <v>100</v>
      </c>
      <c r="G115" s="109" t="s">
        <v>280</v>
      </c>
      <c r="H115" s="111"/>
      <c r="I115" s="111"/>
      <c r="J115" s="111"/>
      <c r="K115" s="111"/>
      <c r="L115" s="111"/>
      <c r="M115" s="109" t="s">
        <v>1258</v>
      </c>
      <c r="N115" s="109"/>
      <c r="O115" s="113"/>
      <c r="P115" s="113"/>
      <c r="Q115" s="109" t="s">
        <v>422</v>
      </c>
      <c r="R115" s="110">
        <v>45656</v>
      </c>
      <c r="S115" s="110" t="s">
        <v>203</v>
      </c>
      <c r="T115" s="112" t="str">
        <f ca="1">IF(AND('Inserimento dati'!$B$3=$H$2, TabellaA1[[#This Row],[LUN]]="X"), "X",IF(AND('Inserimento dati'!$B$3=$I$2, TabellaA1[[#This Row],[MAR]]="X"), "X", IF(AND('Inserimento dati'!$B$3=$J$2, TabellaA1[[#This Row],[MER]]="X"), "X",IF(AND('Inserimento dati'!$B$3=$K$2, TabellaA1[[#This Row],[GIO]]="X"), "X", IF(AND('Inserimento dati'!$B$3=$L$2, TabellaA1[[#This Row],[VEN]]="X"), "X","")))))</f>
        <v/>
      </c>
      <c r="U115" s="136" t="str">
        <f t="shared" ca="1" si="6"/>
        <v/>
      </c>
      <c r="V115" s="187">
        <v>45930.833333333336</v>
      </c>
    </row>
    <row r="116" spans="1:22" s="19" customFormat="1" ht="30" x14ac:dyDescent="0.2">
      <c r="A116" s="112"/>
      <c r="B116" s="112" t="str">
        <f t="shared" si="7"/>
        <v>X</v>
      </c>
      <c r="C116" s="112" t="str">
        <f>IF(OR(TabellaA1[[#This Row],[LUN]]="X",TabellaA1[[#This Row],[MAR]]="X",TabellaA1[[#This Row],[MER]]="X",TabellaA1[[#This Row],[GIO]]="X",TabellaA1[[#This Row],[VEN]]="X",),"X","")</f>
        <v/>
      </c>
      <c r="D116" s="113" t="s">
        <v>8</v>
      </c>
      <c r="E116" s="109" t="s">
        <v>345</v>
      </c>
      <c r="F116" s="109">
        <v>400</v>
      </c>
      <c r="G116" s="109" t="s">
        <v>343</v>
      </c>
      <c r="H116" s="111"/>
      <c r="I116" s="111"/>
      <c r="J116" s="111"/>
      <c r="K116" s="111"/>
      <c r="L116" s="111"/>
      <c r="M116" s="109" t="s">
        <v>1258</v>
      </c>
      <c r="N116" s="109"/>
      <c r="O116" s="113"/>
      <c r="P116" s="113"/>
      <c r="Q116" s="109" t="s">
        <v>344</v>
      </c>
      <c r="R116" s="110">
        <v>45672</v>
      </c>
      <c r="S116" s="110" t="s">
        <v>342</v>
      </c>
      <c r="T116" s="112" t="str">
        <f ca="1">IF(AND('Inserimento dati'!$B$3=$H$2, TabellaA1[[#This Row],[LUN]]="X"), "X",IF(AND('Inserimento dati'!$B$3=$I$2, TabellaA1[[#This Row],[MAR]]="X"), "X", IF(AND('Inserimento dati'!$B$3=$J$2, TabellaA1[[#This Row],[MER]]="X"), "X",IF(AND('Inserimento dati'!$B$3=$K$2, TabellaA1[[#This Row],[GIO]]="X"), "X", IF(AND('Inserimento dati'!$B$3=$L$2, TabellaA1[[#This Row],[VEN]]="X"), "X","")))))</f>
        <v/>
      </c>
      <c r="U116" s="136" t="str">
        <f t="shared" ca="1" si="6"/>
        <v/>
      </c>
      <c r="V116" s="187">
        <v>45930.833333333336</v>
      </c>
    </row>
    <row r="117" spans="1:22" s="19" customFormat="1" ht="45" x14ac:dyDescent="0.2">
      <c r="A117" s="112"/>
      <c r="B117" s="112" t="str">
        <f t="shared" si="7"/>
        <v>X</v>
      </c>
      <c r="C117" s="112" t="str">
        <f>IF(OR(TabellaA1[[#This Row],[LUN]]="X",TabellaA1[[#This Row],[MAR]]="X",TabellaA1[[#This Row],[MER]]="X",TabellaA1[[#This Row],[GIO]]="X",TabellaA1[[#This Row],[VEN]]="X",),"X","")</f>
        <v/>
      </c>
      <c r="D117" s="113" t="s">
        <v>8</v>
      </c>
      <c r="E117" s="109" t="s">
        <v>346</v>
      </c>
      <c r="F117" s="109">
        <v>100</v>
      </c>
      <c r="G117" s="109" t="s">
        <v>338</v>
      </c>
      <c r="H117" s="111"/>
      <c r="I117" s="111"/>
      <c r="J117" s="111"/>
      <c r="K117" s="111"/>
      <c r="L117" s="111"/>
      <c r="M117" s="109" t="s">
        <v>1258</v>
      </c>
      <c r="N117" s="109"/>
      <c r="O117" s="113"/>
      <c r="P117" s="113"/>
      <c r="Q117" s="109" t="s">
        <v>339</v>
      </c>
      <c r="R117" s="110">
        <v>45672</v>
      </c>
      <c r="S117" s="110" t="s">
        <v>341</v>
      </c>
      <c r="T117" s="112" t="str">
        <f ca="1">IF(AND('Inserimento dati'!$B$3=$H$2, TabellaA1[[#This Row],[LUN]]="X"), "X",IF(AND('Inserimento dati'!$B$3=$I$2, TabellaA1[[#This Row],[MAR]]="X"), "X", IF(AND('Inserimento dati'!$B$3=$J$2, TabellaA1[[#This Row],[MER]]="X"), "X",IF(AND('Inserimento dati'!$B$3=$K$2, TabellaA1[[#This Row],[GIO]]="X"), "X", IF(AND('Inserimento dati'!$B$3=$L$2, TabellaA1[[#This Row],[VEN]]="X"), "X","")))))</f>
        <v/>
      </c>
      <c r="U117" s="136" t="str">
        <f t="shared" ca="1" si="6"/>
        <v/>
      </c>
      <c r="V117" s="187">
        <v>45930.833333333336</v>
      </c>
    </row>
    <row r="118" spans="1:22" s="19" customFormat="1" ht="30" x14ac:dyDescent="0.2">
      <c r="A118" s="112"/>
      <c r="B118" s="112" t="str">
        <f t="shared" si="7"/>
        <v>X</v>
      </c>
      <c r="C118" s="112" t="str">
        <f>IF(OR(TabellaA1[[#This Row],[LUN]]="X",TabellaA1[[#This Row],[MAR]]="X",TabellaA1[[#This Row],[MER]]="X",TabellaA1[[#This Row],[GIO]]="X",TabellaA1[[#This Row],[VEN]]="X",),"X","")</f>
        <v/>
      </c>
      <c r="D118" s="113" t="s">
        <v>8</v>
      </c>
      <c r="E118" s="109" t="s">
        <v>347</v>
      </c>
      <c r="F118" s="109">
        <v>100</v>
      </c>
      <c r="G118" s="109" t="s">
        <v>337</v>
      </c>
      <c r="H118" s="111"/>
      <c r="I118" s="111"/>
      <c r="J118" s="111"/>
      <c r="K118" s="111"/>
      <c r="L118" s="111"/>
      <c r="M118" s="109" t="s">
        <v>1258</v>
      </c>
      <c r="N118" s="109"/>
      <c r="O118" s="113"/>
      <c r="P118" s="113"/>
      <c r="Q118" s="109" t="s">
        <v>352</v>
      </c>
      <c r="R118" s="110">
        <v>45672</v>
      </c>
      <c r="S118" s="110" t="s">
        <v>341</v>
      </c>
      <c r="T118" s="112" t="str">
        <f ca="1">IF(AND('Inserimento dati'!$B$3=$H$2, TabellaA1[[#This Row],[LUN]]="X"), "X",IF(AND('Inserimento dati'!$B$3=$I$2, TabellaA1[[#This Row],[MAR]]="X"), "X", IF(AND('Inserimento dati'!$B$3=$J$2, TabellaA1[[#This Row],[MER]]="X"), "X",IF(AND('Inserimento dati'!$B$3=$K$2, TabellaA1[[#This Row],[GIO]]="X"), "X", IF(AND('Inserimento dati'!$B$3=$L$2, TabellaA1[[#This Row],[VEN]]="X"), "X","")))))</f>
        <v/>
      </c>
      <c r="U118" s="136" t="str">
        <f t="shared" ca="1" si="6"/>
        <v/>
      </c>
      <c r="V118" s="187">
        <v>45930.833333333336</v>
      </c>
    </row>
    <row r="119" spans="1:22" s="19" customFormat="1" ht="45" x14ac:dyDescent="0.2">
      <c r="A119" s="112"/>
      <c r="B119" s="112" t="str">
        <f t="shared" si="7"/>
        <v>X</v>
      </c>
      <c r="C119" s="112" t="str">
        <f>IF(OR(TabellaA1[[#This Row],[LUN]]="X",TabellaA1[[#This Row],[MAR]]="X",TabellaA1[[#This Row],[MER]]="X",TabellaA1[[#This Row],[GIO]]="X",TabellaA1[[#This Row],[VEN]]="X",),"X","")</f>
        <v/>
      </c>
      <c r="D119" s="113" t="s">
        <v>8</v>
      </c>
      <c r="E119" s="109" t="s">
        <v>348</v>
      </c>
      <c r="F119" s="109">
        <v>100</v>
      </c>
      <c r="G119" s="109" t="s">
        <v>336</v>
      </c>
      <c r="H119" s="111"/>
      <c r="I119" s="111"/>
      <c r="J119" s="111"/>
      <c r="K119" s="111"/>
      <c r="L119" s="111"/>
      <c r="M119" s="109" t="s">
        <v>1258</v>
      </c>
      <c r="N119" s="109"/>
      <c r="O119" s="113"/>
      <c r="P119" s="113"/>
      <c r="Q119" s="109" t="s">
        <v>340</v>
      </c>
      <c r="R119" s="110">
        <v>45672</v>
      </c>
      <c r="S119" s="110" t="s">
        <v>342</v>
      </c>
      <c r="T119" s="112" t="str">
        <f ca="1">IF(AND('Inserimento dati'!$B$3=$H$2, TabellaA1[[#This Row],[LUN]]="X"), "X",IF(AND('Inserimento dati'!$B$3=$I$2, TabellaA1[[#This Row],[MAR]]="X"), "X", IF(AND('Inserimento dati'!$B$3=$J$2, TabellaA1[[#This Row],[MER]]="X"), "X",IF(AND('Inserimento dati'!$B$3=$K$2, TabellaA1[[#This Row],[GIO]]="X"), "X", IF(AND('Inserimento dati'!$B$3=$L$2, TabellaA1[[#This Row],[VEN]]="X"), "X","")))))</f>
        <v/>
      </c>
      <c r="U119" s="136" t="str">
        <f t="shared" ca="1" si="6"/>
        <v/>
      </c>
      <c r="V119" s="187">
        <v>45930.833333333336</v>
      </c>
    </row>
    <row r="120" spans="1:22" s="19" customFormat="1" ht="30" x14ac:dyDescent="0.2">
      <c r="A120" s="112"/>
      <c r="B120" s="112" t="str">
        <f t="shared" si="7"/>
        <v>X</v>
      </c>
      <c r="C120" s="112" t="str">
        <f>IF(OR(TabellaA1[[#This Row],[LUN]]="X",TabellaA1[[#This Row],[MAR]]="X",TabellaA1[[#This Row],[MER]]="X",TabellaA1[[#This Row],[GIO]]="X",TabellaA1[[#This Row],[VEN]]="X",),"X","")</f>
        <v/>
      </c>
      <c r="D120" s="113" t="s">
        <v>8</v>
      </c>
      <c r="E120" s="109" t="s">
        <v>99</v>
      </c>
      <c r="F120" s="109">
        <v>100</v>
      </c>
      <c r="G120" s="109" t="s">
        <v>316</v>
      </c>
      <c r="H120" s="111"/>
      <c r="I120" s="111"/>
      <c r="J120" s="111"/>
      <c r="K120" s="111"/>
      <c r="L120" s="111"/>
      <c r="M120" s="109" t="s">
        <v>1258</v>
      </c>
      <c r="N120" s="109"/>
      <c r="O120" s="113"/>
      <c r="P120" s="113"/>
      <c r="Q120" s="109" t="s">
        <v>353</v>
      </c>
      <c r="R120" s="110">
        <v>45671</v>
      </c>
      <c r="S120" s="110" t="s">
        <v>436</v>
      </c>
      <c r="T120" s="112" t="str">
        <f ca="1">IF(AND('Inserimento dati'!$B$3=$H$2, TabellaA1[[#This Row],[LUN]]="X"), "X",IF(AND('Inserimento dati'!$B$3=$I$2, TabellaA1[[#This Row],[MAR]]="X"), "X", IF(AND('Inserimento dati'!$B$3=$J$2, TabellaA1[[#This Row],[MER]]="X"), "X",IF(AND('Inserimento dati'!$B$3=$K$2, TabellaA1[[#This Row],[GIO]]="X"), "X", IF(AND('Inserimento dati'!$B$3=$L$2, TabellaA1[[#This Row],[VEN]]="X"), "X","")))))</f>
        <v/>
      </c>
      <c r="U120" s="136" t="str">
        <f t="shared" ca="1" si="6"/>
        <v>10211872</v>
      </c>
      <c r="V120" s="187">
        <v>45930.833333333336</v>
      </c>
    </row>
    <row r="121" spans="1:22" s="19" customFormat="1" ht="23.25" x14ac:dyDescent="0.2">
      <c r="A121" s="112"/>
      <c r="B121" s="112" t="str">
        <f t="shared" si="7"/>
        <v>X</v>
      </c>
      <c r="C121" s="112" t="str">
        <f>IF(OR(TabellaA1[[#This Row],[LUN]]="X",TabellaA1[[#This Row],[MAR]]="X",TabellaA1[[#This Row],[MER]]="X",TabellaA1[[#This Row],[GIO]]="X",TabellaA1[[#This Row],[VEN]]="X",),"X","")</f>
        <v/>
      </c>
      <c r="D121" s="113" t="s">
        <v>8</v>
      </c>
      <c r="E121" s="109" t="s">
        <v>395</v>
      </c>
      <c r="F121" s="109">
        <v>100</v>
      </c>
      <c r="G121" s="109" t="s">
        <v>281</v>
      </c>
      <c r="H121" s="111"/>
      <c r="I121" s="111"/>
      <c r="J121" s="111"/>
      <c r="K121" s="111"/>
      <c r="L121" s="111"/>
      <c r="M121" s="109" t="s">
        <v>1258</v>
      </c>
      <c r="N121" s="109"/>
      <c r="O121" s="113"/>
      <c r="P121" s="113"/>
      <c r="Q121" s="109"/>
      <c r="R121" s="110">
        <v>45656</v>
      </c>
      <c r="S121" s="110" t="s">
        <v>203</v>
      </c>
      <c r="T121" s="112" t="str">
        <f ca="1">IF(AND('Inserimento dati'!$B$3=$H$2, TabellaA1[[#This Row],[LUN]]="X"), "X",IF(AND('Inserimento dati'!$B$3=$I$2, TabellaA1[[#This Row],[MAR]]="X"), "X", IF(AND('Inserimento dati'!$B$3=$J$2, TabellaA1[[#This Row],[MER]]="X"), "X",IF(AND('Inserimento dati'!$B$3=$K$2, TabellaA1[[#This Row],[GIO]]="X"), "X", IF(AND('Inserimento dati'!$B$3=$L$2, TabellaA1[[#This Row],[VEN]]="X"), "X","")))))</f>
        <v/>
      </c>
      <c r="U121" s="136" t="str">
        <f t="shared" ca="1" si="6"/>
        <v/>
      </c>
      <c r="V121" s="187">
        <v>45930.833333333336</v>
      </c>
    </row>
    <row r="122" spans="1:22" s="19" customFormat="1" ht="30" x14ac:dyDescent="0.2">
      <c r="A122" s="112"/>
      <c r="B122" s="112" t="str">
        <f t="shared" si="7"/>
        <v>X</v>
      </c>
      <c r="C122" s="112" t="str">
        <f>IF(OR(TabellaA1[[#This Row],[LUN]]="X",TabellaA1[[#This Row],[MAR]]="X",TabellaA1[[#This Row],[MER]]="X",TabellaA1[[#This Row],[GIO]]="X",TabellaA1[[#This Row],[VEN]]="X",),"X","")</f>
        <v/>
      </c>
      <c r="D122" s="113" t="s">
        <v>8</v>
      </c>
      <c r="E122" s="109" t="s">
        <v>258</v>
      </c>
      <c r="F122" s="109">
        <v>400</v>
      </c>
      <c r="G122" s="109" t="s">
        <v>264</v>
      </c>
      <c r="H122" s="111"/>
      <c r="I122" s="111"/>
      <c r="J122" s="111"/>
      <c r="K122" s="111"/>
      <c r="L122" s="111"/>
      <c r="M122" s="109" t="s">
        <v>1258</v>
      </c>
      <c r="N122" s="109"/>
      <c r="O122" s="113"/>
      <c r="P122" s="113"/>
      <c r="Q122" s="109"/>
      <c r="R122" s="110">
        <v>45649</v>
      </c>
      <c r="S122" s="110" t="s">
        <v>206</v>
      </c>
      <c r="T122" s="112" t="str">
        <f ca="1">IF(AND('Inserimento dati'!$B$3=$H$2, TabellaA1[[#This Row],[LUN]]="X"), "X",IF(AND('Inserimento dati'!$B$3=$I$2, TabellaA1[[#This Row],[MAR]]="X"), "X", IF(AND('Inserimento dati'!$B$3=$J$2, TabellaA1[[#This Row],[MER]]="X"), "X",IF(AND('Inserimento dati'!$B$3=$K$2, TabellaA1[[#This Row],[GIO]]="X"), "X", IF(AND('Inserimento dati'!$B$3=$L$2, TabellaA1[[#This Row],[VEN]]="X"), "X","")))))</f>
        <v/>
      </c>
      <c r="U122" s="136" t="str">
        <f t="shared" ca="1" si="6"/>
        <v/>
      </c>
      <c r="V122" s="187">
        <v>45930.833333333336</v>
      </c>
    </row>
    <row r="123" spans="1:22" s="19" customFormat="1" ht="23.25" x14ac:dyDescent="0.2">
      <c r="A123" s="112"/>
      <c r="B123" s="112" t="str">
        <f t="shared" si="7"/>
        <v>X</v>
      </c>
      <c r="C123" s="112" t="str">
        <f>IF(OR(TabellaA1[[#This Row],[LUN]]="X",TabellaA1[[#This Row],[MAR]]="X",TabellaA1[[#This Row],[MER]]="X",TabellaA1[[#This Row],[GIO]]="X",TabellaA1[[#This Row],[VEN]]="X",),"X","")</f>
        <v/>
      </c>
      <c r="D123" s="113" t="s">
        <v>8</v>
      </c>
      <c r="E123" s="109" t="s">
        <v>253</v>
      </c>
      <c r="F123" s="109">
        <v>100</v>
      </c>
      <c r="G123" s="109" t="s">
        <v>254</v>
      </c>
      <c r="H123" s="111"/>
      <c r="I123" s="111"/>
      <c r="J123" s="111"/>
      <c r="K123" s="111"/>
      <c r="L123" s="111"/>
      <c r="M123" s="109" t="s">
        <v>1258</v>
      </c>
      <c r="N123" s="109"/>
      <c r="O123" s="113"/>
      <c r="P123" s="113"/>
      <c r="Q123" s="109"/>
      <c r="R123" s="110">
        <v>45646</v>
      </c>
      <c r="S123" s="110" t="s">
        <v>203</v>
      </c>
      <c r="T123" s="112" t="str">
        <f ca="1">IF(AND('Inserimento dati'!$B$3=$H$2, TabellaA1[[#This Row],[LUN]]="X"), "X",IF(AND('Inserimento dati'!$B$3=$I$2, TabellaA1[[#This Row],[MAR]]="X"), "X", IF(AND('Inserimento dati'!$B$3=$J$2, TabellaA1[[#This Row],[MER]]="X"), "X",IF(AND('Inserimento dati'!$B$3=$K$2, TabellaA1[[#This Row],[GIO]]="X"), "X", IF(AND('Inserimento dati'!$B$3=$L$2, TabellaA1[[#This Row],[VEN]]="X"), "X","")))))</f>
        <v/>
      </c>
      <c r="U123" s="136" t="str">
        <f t="shared" ca="1" si="6"/>
        <v/>
      </c>
      <c r="V123" s="187">
        <v>45930.833333333336</v>
      </c>
    </row>
    <row r="124" spans="1:22" s="19" customFormat="1" ht="23.25" x14ac:dyDescent="0.2">
      <c r="A124" s="112"/>
      <c r="B124" s="112" t="str">
        <f t="shared" si="7"/>
        <v>X</v>
      </c>
      <c r="C124" s="112" t="str">
        <f>IF(OR(TabellaA1[[#This Row],[LUN]]="X",TabellaA1[[#This Row],[MAR]]="X",TabellaA1[[#This Row],[MER]]="X",TabellaA1[[#This Row],[GIO]]="X",TabellaA1[[#This Row],[VEN]]="X",),"X","")</f>
        <v/>
      </c>
      <c r="D124" s="113" t="s">
        <v>8</v>
      </c>
      <c r="E124" s="109" t="s">
        <v>252</v>
      </c>
      <c r="F124" s="109">
        <v>100</v>
      </c>
      <c r="G124" s="109" t="s">
        <v>255</v>
      </c>
      <c r="H124" s="111"/>
      <c r="I124" s="111"/>
      <c r="J124" s="111"/>
      <c r="K124" s="111"/>
      <c r="L124" s="111"/>
      <c r="M124" s="109" t="s">
        <v>1258</v>
      </c>
      <c r="N124" s="109"/>
      <c r="O124" s="113"/>
      <c r="P124" s="113"/>
      <c r="Q124" s="109"/>
      <c r="R124" s="110">
        <v>45646</v>
      </c>
      <c r="S124" s="110" t="s">
        <v>203</v>
      </c>
      <c r="T124" s="112" t="str">
        <f ca="1">IF(AND('Inserimento dati'!$B$3=$H$2, TabellaA1[[#This Row],[LUN]]="X"), "X",IF(AND('Inserimento dati'!$B$3=$I$2, TabellaA1[[#This Row],[MAR]]="X"), "X", IF(AND('Inserimento dati'!$B$3=$J$2, TabellaA1[[#This Row],[MER]]="X"), "X",IF(AND('Inserimento dati'!$B$3=$K$2, TabellaA1[[#This Row],[GIO]]="X"), "X", IF(AND('Inserimento dati'!$B$3=$L$2, TabellaA1[[#This Row],[VEN]]="X"), "X","")))))</f>
        <v/>
      </c>
      <c r="U124" s="136" t="str">
        <f t="shared" ca="1" si="6"/>
        <v/>
      </c>
      <c r="V124" s="187">
        <v>45930.833333333336</v>
      </c>
    </row>
    <row r="125" spans="1:22" s="19" customFormat="1" ht="23.25" x14ac:dyDescent="0.2">
      <c r="A125" s="112"/>
      <c r="B125" s="112" t="str">
        <f t="shared" si="7"/>
        <v>X</v>
      </c>
      <c r="C125" s="112" t="str">
        <f>IF(OR(TabellaA1[[#This Row],[LUN]]="X",TabellaA1[[#This Row],[MAR]]="X",TabellaA1[[#This Row],[MER]]="X",TabellaA1[[#This Row],[GIO]]="X",TabellaA1[[#This Row],[VEN]]="X",),"X","")</f>
        <v/>
      </c>
      <c r="D125" s="113" t="s">
        <v>8</v>
      </c>
      <c r="E125" s="109" t="s">
        <v>21</v>
      </c>
      <c r="F125" s="109">
        <v>300</v>
      </c>
      <c r="G125" s="109" t="s">
        <v>22</v>
      </c>
      <c r="H125" s="111"/>
      <c r="I125" s="111"/>
      <c r="J125" s="111"/>
      <c r="K125" s="111"/>
      <c r="L125" s="111"/>
      <c r="M125" s="109" t="s">
        <v>1258</v>
      </c>
      <c r="N125" s="109"/>
      <c r="O125" s="113"/>
      <c r="P125" s="113"/>
      <c r="Q125" s="109"/>
      <c r="R125" s="110"/>
      <c r="S125" s="110"/>
      <c r="T125" s="112" t="str">
        <f ca="1">IF(AND('Inserimento dati'!$B$3=$H$2, TabellaA1[[#This Row],[LUN]]="X"), "X",IF(AND('Inserimento dati'!$B$3=$I$2, TabellaA1[[#This Row],[MAR]]="X"), "X", IF(AND('Inserimento dati'!$B$3=$J$2, TabellaA1[[#This Row],[MER]]="X"), "X",IF(AND('Inserimento dati'!$B$3=$K$2, TabellaA1[[#This Row],[GIO]]="X"), "X", IF(AND('Inserimento dati'!$B$3=$L$2, TabellaA1[[#This Row],[VEN]]="X"), "X","")))))</f>
        <v/>
      </c>
      <c r="U125" s="136" t="str">
        <f t="shared" ca="1" si="6"/>
        <v/>
      </c>
      <c r="V125" s="187">
        <v>45930.833333333336</v>
      </c>
    </row>
    <row r="126" spans="1:22" s="19" customFormat="1" ht="23.25" x14ac:dyDescent="0.2">
      <c r="A126" s="112"/>
      <c r="B126" s="112" t="str">
        <f t="shared" si="7"/>
        <v>X</v>
      </c>
      <c r="C126" s="112" t="str">
        <f>IF(OR(TabellaA1[[#This Row],[LUN]]="X",TabellaA1[[#This Row],[MAR]]="X",TabellaA1[[#This Row],[MER]]="X",TabellaA1[[#This Row],[GIO]]="X",TabellaA1[[#This Row],[VEN]]="X",),"X","")</f>
        <v/>
      </c>
      <c r="D126" s="113" t="s">
        <v>8</v>
      </c>
      <c r="E126" s="109" t="s">
        <v>24</v>
      </c>
      <c r="F126" s="109">
        <v>400</v>
      </c>
      <c r="G126" s="109" t="s">
        <v>25</v>
      </c>
      <c r="H126" s="111"/>
      <c r="I126" s="111"/>
      <c r="J126" s="111"/>
      <c r="K126" s="111"/>
      <c r="L126" s="111"/>
      <c r="M126" s="109" t="s">
        <v>1258</v>
      </c>
      <c r="N126" s="109"/>
      <c r="O126" s="113"/>
      <c r="P126" s="113"/>
      <c r="Q126" s="109"/>
      <c r="R126" s="110"/>
      <c r="S126" s="110"/>
      <c r="T126" s="112" t="str">
        <f ca="1">IF(AND('Inserimento dati'!$B$3=$H$2, TabellaA1[[#This Row],[LUN]]="X"), "X",IF(AND('Inserimento dati'!$B$3=$I$2, TabellaA1[[#This Row],[MAR]]="X"), "X", IF(AND('Inserimento dati'!$B$3=$J$2, TabellaA1[[#This Row],[MER]]="X"), "X",IF(AND('Inserimento dati'!$B$3=$K$2, TabellaA1[[#This Row],[GIO]]="X"), "X", IF(AND('Inserimento dati'!$B$3=$L$2, TabellaA1[[#This Row],[VEN]]="X"), "X","")))))</f>
        <v/>
      </c>
      <c r="U126" s="136" t="str">
        <f t="shared" ca="1" si="6"/>
        <v/>
      </c>
      <c r="V126" s="187">
        <v>45930.833333333336</v>
      </c>
    </row>
    <row r="127" spans="1:22" s="19" customFormat="1" ht="30" x14ac:dyDescent="0.2">
      <c r="A127" s="112"/>
      <c r="B127" s="112" t="str">
        <f t="shared" si="7"/>
        <v>X</v>
      </c>
      <c r="C127" s="112" t="str">
        <f>IF(OR(TabellaA1[[#This Row],[LUN]]="X",TabellaA1[[#This Row],[MAR]]="X",TabellaA1[[#This Row],[MER]]="X",TabellaA1[[#This Row],[GIO]]="X",TabellaA1[[#This Row],[VEN]]="X",),"X","")</f>
        <v/>
      </c>
      <c r="D127" s="113" t="s">
        <v>8</v>
      </c>
      <c r="E127" s="109" t="s">
        <v>16</v>
      </c>
      <c r="F127" s="109">
        <v>900</v>
      </c>
      <c r="G127" s="109" t="s">
        <v>17</v>
      </c>
      <c r="H127" s="111"/>
      <c r="I127" s="111"/>
      <c r="J127" s="111"/>
      <c r="K127" s="111"/>
      <c r="L127" s="111"/>
      <c r="M127" s="109" t="s">
        <v>1258</v>
      </c>
      <c r="N127" s="109"/>
      <c r="O127" s="113"/>
      <c r="P127" s="113"/>
      <c r="Q127" s="109"/>
      <c r="R127" s="110">
        <v>45609</v>
      </c>
      <c r="S127" s="110" t="s">
        <v>11</v>
      </c>
      <c r="T127" s="112" t="str">
        <f ca="1">IF(AND('Inserimento dati'!$B$3=$H$2, TabellaA1[[#This Row],[LUN]]="X"), "X",IF(AND('Inserimento dati'!$B$3=$I$2, TabellaA1[[#This Row],[MAR]]="X"), "X", IF(AND('Inserimento dati'!$B$3=$J$2, TabellaA1[[#This Row],[MER]]="X"), "X",IF(AND('Inserimento dati'!$B$3=$K$2, TabellaA1[[#This Row],[GIO]]="X"), "X", IF(AND('Inserimento dati'!$B$3=$L$2, TabellaA1[[#This Row],[VEN]]="X"), "X","")))))</f>
        <v/>
      </c>
      <c r="U127" s="136" t="str">
        <f t="shared" ca="1" si="6"/>
        <v/>
      </c>
      <c r="V127" s="187">
        <v>45930.833333333336</v>
      </c>
    </row>
    <row r="128" spans="1:22" s="19" customFormat="1" ht="30" x14ac:dyDescent="0.2">
      <c r="A128" s="112"/>
      <c r="B128" s="112" t="str">
        <f t="shared" si="7"/>
        <v>X</v>
      </c>
      <c r="C128" s="112" t="str">
        <f>IF(OR(TabellaA1[[#This Row],[LUN]]="X",TabellaA1[[#This Row],[MAR]]="X",TabellaA1[[#This Row],[MER]]="X",TabellaA1[[#This Row],[GIO]]="X",TabellaA1[[#This Row],[VEN]]="X",),"X","")</f>
        <v/>
      </c>
      <c r="D128" s="113" t="s">
        <v>8</v>
      </c>
      <c r="E128" s="109" t="s">
        <v>19</v>
      </c>
      <c r="F128" s="109">
        <v>900</v>
      </c>
      <c r="G128" s="109" t="s">
        <v>20</v>
      </c>
      <c r="H128" s="111"/>
      <c r="I128" s="111"/>
      <c r="J128" s="111"/>
      <c r="K128" s="111"/>
      <c r="L128" s="111"/>
      <c r="M128" s="109" t="s">
        <v>1258</v>
      </c>
      <c r="N128" s="109"/>
      <c r="O128" s="113"/>
      <c r="P128" s="113"/>
      <c r="Q128" s="109"/>
      <c r="R128" s="110">
        <v>45609</v>
      </c>
      <c r="S128" s="110" t="s">
        <v>11</v>
      </c>
      <c r="T128" s="112" t="str">
        <f ca="1">IF(AND('Inserimento dati'!$B$3=$H$2, TabellaA1[[#This Row],[LUN]]="X"), "X",IF(AND('Inserimento dati'!$B$3=$I$2, TabellaA1[[#This Row],[MAR]]="X"), "X", IF(AND('Inserimento dati'!$B$3=$J$2, TabellaA1[[#This Row],[MER]]="X"), "X",IF(AND('Inserimento dati'!$B$3=$K$2, TabellaA1[[#This Row],[GIO]]="X"), "X", IF(AND('Inserimento dati'!$B$3=$L$2, TabellaA1[[#This Row],[VEN]]="X"), "X","")))))</f>
        <v/>
      </c>
      <c r="U128" s="136" t="str">
        <f t="shared" ca="1" si="6"/>
        <v/>
      </c>
      <c r="V128" s="187">
        <v>45930.833333333336</v>
      </c>
    </row>
    <row r="129" spans="1:22" s="19" customFormat="1" ht="30" x14ac:dyDescent="0.2">
      <c r="A129" s="112"/>
      <c r="B129" s="112" t="str">
        <f t="shared" si="7"/>
        <v>X</v>
      </c>
      <c r="C129" s="112" t="str">
        <f>IF(OR(TabellaA1[[#This Row],[LUN]]="X",TabellaA1[[#This Row],[MAR]]="X",TabellaA1[[#This Row],[MER]]="X",TabellaA1[[#This Row],[GIO]]="X",TabellaA1[[#This Row],[VEN]]="X",),"X","")</f>
        <v/>
      </c>
      <c r="D129" s="113" t="s">
        <v>8</v>
      </c>
      <c r="E129" s="109" t="s">
        <v>26</v>
      </c>
      <c r="F129" s="109">
        <v>300</v>
      </c>
      <c r="G129" s="109" t="s">
        <v>27</v>
      </c>
      <c r="H129" s="111"/>
      <c r="I129" s="111"/>
      <c r="J129" s="111"/>
      <c r="K129" s="111"/>
      <c r="L129" s="111"/>
      <c r="M129" s="109" t="s">
        <v>1258</v>
      </c>
      <c r="N129" s="109"/>
      <c r="O129" s="113"/>
      <c r="P129" s="113"/>
      <c r="Q129" s="109"/>
      <c r="R129" s="110"/>
      <c r="S129" s="110"/>
      <c r="T129" s="112" t="str">
        <f ca="1">IF(AND('Inserimento dati'!$B$3=$H$2, TabellaA1[[#This Row],[LUN]]="X"), "X",IF(AND('Inserimento dati'!$B$3=$I$2, TabellaA1[[#This Row],[MAR]]="X"), "X", IF(AND('Inserimento dati'!$B$3=$J$2, TabellaA1[[#This Row],[MER]]="X"), "X",IF(AND('Inserimento dati'!$B$3=$K$2, TabellaA1[[#This Row],[GIO]]="X"), "X", IF(AND('Inserimento dati'!$B$3=$L$2, TabellaA1[[#This Row],[VEN]]="X"), "X","")))))</f>
        <v/>
      </c>
      <c r="U129" s="136" t="str">
        <f t="shared" ca="1" si="6"/>
        <v/>
      </c>
      <c r="V129" s="187">
        <v>45930.833333333336</v>
      </c>
    </row>
    <row r="130" spans="1:22" s="19" customFormat="1" ht="30" x14ac:dyDescent="0.2">
      <c r="A130" s="112"/>
      <c r="B130" s="112" t="str">
        <f t="shared" si="7"/>
        <v>X</v>
      </c>
      <c r="C130" s="112" t="str">
        <f>IF(OR(TabellaA1[[#This Row],[LUN]]="X",TabellaA1[[#This Row],[MAR]]="X",TabellaA1[[#This Row],[MER]]="X",TabellaA1[[#This Row],[GIO]]="X",TabellaA1[[#This Row],[VEN]]="X",),"X","")</f>
        <v/>
      </c>
      <c r="D130" s="113" t="s">
        <v>8</v>
      </c>
      <c r="E130" s="109" t="s">
        <v>28</v>
      </c>
      <c r="F130" s="109">
        <v>100</v>
      </c>
      <c r="G130" s="109" t="s">
        <v>29</v>
      </c>
      <c r="H130" s="111"/>
      <c r="I130" s="111"/>
      <c r="J130" s="111"/>
      <c r="K130" s="111"/>
      <c r="L130" s="111"/>
      <c r="M130" s="109" t="s">
        <v>1258</v>
      </c>
      <c r="N130" s="109"/>
      <c r="O130" s="113"/>
      <c r="P130" s="113"/>
      <c r="Q130" s="109"/>
      <c r="R130" s="110"/>
      <c r="S130" s="110"/>
      <c r="T130" s="112" t="str">
        <f ca="1">IF(AND('Inserimento dati'!$B$3=$H$2, TabellaA1[[#This Row],[LUN]]="X"), "X",IF(AND('Inserimento dati'!$B$3=$I$2, TabellaA1[[#This Row],[MAR]]="X"), "X", IF(AND('Inserimento dati'!$B$3=$J$2, TabellaA1[[#This Row],[MER]]="X"), "X",IF(AND('Inserimento dati'!$B$3=$K$2, TabellaA1[[#This Row],[GIO]]="X"), "X", IF(AND('Inserimento dati'!$B$3=$L$2, TabellaA1[[#This Row],[VEN]]="X"), "X","")))))</f>
        <v/>
      </c>
      <c r="U130" s="136" t="str">
        <f t="shared" ca="1" si="6"/>
        <v/>
      </c>
      <c r="V130" s="187">
        <v>45930.833333333336</v>
      </c>
    </row>
    <row r="131" spans="1:22" s="19" customFormat="1" ht="23.25" x14ac:dyDescent="0.2">
      <c r="A131" s="112"/>
      <c r="B131" s="112" t="str">
        <f t="shared" si="7"/>
        <v>X</v>
      </c>
      <c r="C131" s="112" t="str">
        <f>IF(OR(TabellaA1[[#This Row],[LUN]]="X",TabellaA1[[#This Row],[MAR]]="X",TabellaA1[[#This Row],[MER]]="X",TabellaA1[[#This Row],[GIO]]="X",TabellaA1[[#This Row],[VEN]]="X",),"X","")</f>
        <v/>
      </c>
      <c r="D131" s="113" t="s">
        <v>8</v>
      </c>
      <c r="E131" s="109" t="s">
        <v>30</v>
      </c>
      <c r="F131" s="109">
        <v>100</v>
      </c>
      <c r="G131" s="109" t="s">
        <v>31</v>
      </c>
      <c r="H131" s="111"/>
      <c r="I131" s="111"/>
      <c r="J131" s="111"/>
      <c r="K131" s="111"/>
      <c r="L131" s="111"/>
      <c r="M131" s="109" t="s">
        <v>1258</v>
      </c>
      <c r="N131" s="109"/>
      <c r="O131" s="113"/>
      <c r="P131" s="113"/>
      <c r="Q131" s="109"/>
      <c r="R131" s="110"/>
      <c r="S131" s="110"/>
      <c r="T131" s="112" t="str">
        <f ca="1">IF(AND('Inserimento dati'!$B$3=$H$2, TabellaA1[[#This Row],[LUN]]="X"), "X",IF(AND('Inserimento dati'!$B$3=$I$2, TabellaA1[[#This Row],[MAR]]="X"), "X", IF(AND('Inserimento dati'!$B$3=$J$2, TabellaA1[[#This Row],[MER]]="X"), "X",IF(AND('Inserimento dati'!$B$3=$K$2, TabellaA1[[#This Row],[GIO]]="X"), "X", IF(AND('Inserimento dati'!$B$3=$L$2, TabellaA1[[#This Row],[VEN]]="X"), "X","")))))</f>
        <v/>
      </c>
      <c r="U131" s="136" t="str">
        <f t="shared" ca="1" si="6"/>
        <v/>
      </c>
      <c r="V131" s="187">
        <v>45930.833333333336</v>
      </c>
    </row>
    <row r="132" spans="1:22" s="19" customFormat="1" ht="23.25" x14ac:dyDescent="0.2">
      <c r="A132" s="112"/>
      <c r="B132" s="112" t="str">
        <f t="shared" si="7"/>
        <v>X</v>
      </c>
      <c r="C132" s="112" t="str">
        <f>IF(OR(TabellaA1[[#This Row],[LUN]]="X",TabellaA1[[#This Row],[MAR]]="X",TabellaA1[[#This Row],[MER]]="X",TabellaA1[[#This Row],[GIO]]="X",TabellaA1[[#This Row],[VEN]]="X",),"X","")</f>
        <v/>
      </c>
      <c r="D132" s="113" t="s">
        <v>8</v>
      </c>
      <c r="E132" s="109" t="s">
        <v>32</v>
      </c>
      <c r="F132" s="109">
        <v>900</v>
      </c>
      <c r="G132" s="109" t="s">
        <v>33</v>
      </c>
      <c r="H132" s="111"/>
      <c r="I132" s="111"/>
      <c r="J132" s="111"/>
      <c r="K132" s="111"/>
      <c r="L132" s="111"/>
      <c r="M132" s="109" t="s">
        <v>1258</v>
      </c>
      <c r="N132" s="109"/>
      <c r="O132" s="113"/>
      <c r="P132" s="113"/>
      <c r="Q132" s="109"/>
      <c r="R132" s="110"/>
      <c r="S132" s="110"/>
      <c r="T132" s="112" t="str">
        <f ca="1">IF(AND('Inserimento dati'!$B$3=$H$2, TabellaA1[[#This Row],[LUN]]="X"), "X",IF(AND('Inserimento dati'!$B$3=$I$2, TabellaA1[[#This Row],[MAR]]="X"), "X", IF(AND('Inserimento dati'!$B$3=$J$2, TabellaA1[[#This Row],[MER]]="X"), "X",IF(AND('Inserimento dati'!$B$3=$K$2, TabellaA1[[#This Row],[GIO]]="X"), "X", IF(AND('Inserimento dati'!$B$3=$L$2, TabellaA1[[#This Row],[VEN]]="X"), "X","")))))</f>
        <v/>
      </c>
      <c r="U132" s="136" t="str">
        <f t="shared" ca="1" si="6"/>
        <v/>
      </c>
      <c r="V132" s="187">
        <v>45930.833333333336</v>
      </c>
    </row>
    <row r="133" spans="1:22" s="19" customFormat="1" ht="23.25" x14ac:dyDescent="0.2">
      <c r="A133" s="112"/>
      <c r="B133" s="112" t="str">
        <f t="shared" si="7"/>
        <v>X</v>
      </c>
      <c r="C133" s="112" t="str">
        <f>IF(OR(TabellaA1[[#This Row],[LUN]]="X",TabellaA1[[#This Row],[MAR]]="X",TabellaA1[[#This Row],[MER]]="X",TabellaA1[[#This Row],[GIO]]="X",TabellaA1[[#This Row],[VEN]]="X",),"X","")</f>
        <v/>
      </c>
      <c r="D133" s="113" t="s">
        <v>8</v>
      </c>
      <c r="E133" s="109" t="s">
        <v>34</v>
      </c>
      <c r="F133" s="109">
        <v>900</v>
      </c>
      <c r="G133" s="109" t="s">
        <v>35</v>
      </c>
      <c r="H133" s="111"/>
      <c r="I133" s="111"/>
      <c r="J133" s="111"/>
      <c r="K133" s="111"/>
      <c r="L133" s="111"/>
      <c r="M133" s="109" t="s">
        <v>1258</v>
      </c>
      <c r="N133" s="109"/>
      <c r="O133" s="113"/>
      <c r="P133" s="113"/>
      <c r="Q133" s="109"/>
      <c r="R133" s="110"/>
      <c r="S133" s="110"/>
      <c r="T133" s="112" t="str">
        <f ca="1">IF(AND('Inserimento dati'!$B$3=$H$2, TabellaA1[[#This Row],[LUN]]="X"), "X",IF(AND('Inserimento dati'!$B$3=$I$2, TabellaA1[[#This Row],[MAR]]="X"), "X", IF(AND('Inserimento dati'!$B$3=$J$2, TabellaA1[[#This Row],[MER]]="X"), "X",IF(AND('Inserimento dati'!$B$3=$K$2, TabellaA1[[#This Row],[GIO]]="X"), "X", IF(AND('Inserimento dati'!$B$3=$L$2, TabellaA1[[#This Row],[VEN]]="X"), "X","")))))</f>
        <v/>
      </c>
      <c r="U133" s="136" t="str">
        <f t="shared" ca="1" si="6"/>
        <v/>
      </c>
      <c r="V133" s="187">
        <v>45930.833333333336</v>
      </c>
    </row>
    <row r="134" spans="1:22" s="19" customFormat="1" ht="23.25" x14ac:dyDescent="0.2">
      <c r="A134" s="112"/>
      <c r="B134" s="112" t="str">
        <f t="shared" si="7"/>
        <v>X</v>
      </c>
      <c r="C134" s="112" t="str">
        <f>IF(OR(TabellaA1[[#This Row],[LUN]]="X",TabellaA1[[#This Row],[MAR]]="X",TabellaA1[[#This Row],[MER]]="X",TabellaA1[[#This Row],[GIO]]="X",TabellaA1[[#This Row],[VEN]]="X",),"X","")</f>
        <v/>
      </c>
      <c r="D134" s="113" t="s">
        <v>8</v>
      </c>
      <c r="E134" s="109" t="s">
        <v>36</v>
      </c>
      <c r="F134" s="109">
        <v>900</v>
      </c>
      <c r="G134" s="109" t="s">
        <v>37</v>
      </c>
      <c r="H134" s="111"/>
      <c r="I134" s="111"/>
      <c r="J134" s="111"/>
      <c r="K134" s="111"/>
      <c r="L134" s="111"/>
      <c r="M134" s="109" t="s">
        <v>1258</v>
      </c>
      <c r="N134" s="109"/>
      <c r="O134" s="113"/>
      <c r="P134" s="113"/>
      <c r="Q134" s="109"/>
      <c r="R134" s="110"/>
      <c r="S134" s="110"/>
      <c r="T134" s="112" t="str">
        <f ca="1">IF(AND('Inserimento dati'!$B$3=$H$2, TabellaA1[[#This Row],[LUN]]="X"), "X",IF(AND('Inserimento dati'!$B$3=$I$2, TabellaA1[[#This Row],[MAR]]="X"), "X", IF(AND('Inserimento dati'!$B$3=$J$2, TabellaA1[[#This Row],[MER]]="X"), "X",IF(AND('Inserimento dati'!$B$3=$K$2, TabellaA1[[#This Row],[GIO]]="X"), "X", IF(AND('Inserimento dati'!$B$3=$L$2, TabellaA1[[#This Row],[VEN]]="X"), "X","")))))</f>
        <v/>
      </c>
      <c r="U134" s="136" t="str">
        <f t="shared" ca="1" si="6"/>
        <v/>
      </c>
      <c r="V134" s="187">
        <v>45930.833333333336</v>
      </c>
    </row>
    <row r="135" spans="1:22" s="19" customFormat="1" ht="23.25" x14ac:dyDescent="0.2">
      <c r="A135" s="112"/>
      <c r="B135" s="112" t="str">
        <f t="shared" si="7"/>
        <v>X</v>
      </c>
      <c r="C135" s="112" t="str">
        <f>IF(OR(TabellaA1[[#This Row],[LUN]]="X",TabellaA1[[#This Row],[MAR]]="X",TabellaA1[[#This Row],[MER]]="X",TabellaA1[[#This Row],[GIO]]="X",TabellaA1[[#This Row],[VEN]]="X",),"X","")</f>
        <v/>
      </c>
      <c r="D135" s="113" t="s">
        <v>8</v>
      </c>
      <c r="E135" s="109" t="s">
        <v>38</v>
      </c>
      <c r="F135" s="109">
        <v>900</v>
      </c>
      <c r="G135" s="109" t="s">
        <v>39</v>
      </c>
      <c r="H135" s="111"/>
      <c r="I135" s="111"/>
      <c r="J135" s="111"/>
      <c r="K135" s="111"/>
      <c r="L135" s="111"/>
      <c r="M135" s="109" t="s">
        <v>1258</v>
      </c>
      <c r="N135" s="109"/>
      <c r="O135" s="113"/>
      <c r="P135" s="113"/>
      <c r="Q135" s="109"/>
      <c r="R135" s="110"/>
      <c r="S135" s="110"/>
      <c r="T135" s="112" t="str">
        <f ca="1">IF(AND('Inserimento dati'!$B$3=$H$2, TabellaA1[[#This Row],[LUN]]="X"), "X",IF(AND('Inserimento dati'!$B$3=$I$2, TabellaA1[[#This Row],[MAR]]="X"), "X", IF(AND('Inserimento dati'!$B$3=$J$2, TabellaA1[[#This Row],[MER]]="X"), "X",IF(AND('Inserimento dati'!$B$3=$K$2, TabellaA1[[#This Row],[GIO]]="X"), "X", IF(AND('Inserimento dati'!$B$3=$L$2, TabellaA1[[#This Row],[VEN]]="X"), "X","")))))</f>
        <v/>
      </c>
      <c r="U135" s="136" t="str">
        <f t="shared" ref="U135:U167" ca="1" si="8">IFERROR(MID(G135,_xlfn.AGGREGATE(15,6,(ROW(INDIRECT("1:"&amp;LEN(G135)-7)))/(ISNUMBER(--MID(G135,ROW(INDIRECT("1:"&amp;LEN(G135)-7)),8))),1),8),"")</f>
        <v/>
      </c>
      <c r="V135" s="187">
        <v>45930.833333333336</v>
      </c>
    </row>
    <row r="136" spans="1:22" s="19" customFormat="1" ht="23.25" x14ac:dyDescent="0.2">
      <c r="A136" s="112"/>
      <c r="B136" s="112" t="str">
        <f t="shared" si="7"/>
        <v>X</v>
      </c>
      <c r="C136" s="112" t="str">
        <f>IF(OR(TabellaA1[[#This Row],[LUN]]="X",TabellaA1[[#This Row],[MAR]]="X",TabellaA1[[#This Row],[MER]]="X",TabellaA1[[#This Row],[GIO]]="X",TabellaA1[[#This Row],[VEN]]="X",),"X","")</f>
        <v/>
      </c>
      <c r="D136" s="113" t="s">
        <v>8</v>
      </c>
      <c r="E136" s="109" t="s">
        <v>40</v>
      </c>
      <c r="F136" s="109">
        <v>300</v>
      </c>
      <c r="G136" s="109" t="s">
        <v>41</v>
      </c>
      <c r="H136" s="111"/>
      <c r="I136" s="111"/>
      <c r="J136" s="111"/>
      <c r="K136" s="111"/>
      <c r="L136" s="111"/>
      <c r="M136" s="109" t="s">
        <v>1258</v>
      </c>
      <c r="N136" s="109"/>
      <c r="O136" s="113"/>
      <c r="P136" s="113"/>
      <c r="Q136" s="109"/>
      <c r="R136" s="110"/>
      <c r="S136" s="110"/>
      <c r="T136" s="112" t="str">
        <f ca="1">IF(AND('Inserimento dati'!$B$3=$H$2, TabellaA1[[#This Row],[LUN]]="X"), "X",IF(AND('Inserimento dati'!$B$3=$I$2, TabellaA1[[#This Row],[MAR]]="X"), "X", IF(AND('Inserimento dati'!$B$3=$J$2, TabellaA1[[#This Row],[MER]]="X"), "X",IF(AND('Inserimento dati'!$B$3=$K$2, TabellaA1[[#This Row],[GIO]]="X"), "X", IF(AND('Inserimento dati'!$B$3=$L$2, TabellaA1[[#This Row],[VEN]]="X"), "X","")))))</f>
        <v/>
      </c>
      <c r="U136" s="136" t="str">
        <f t="shared" ca="1" si="8"/>
        <v/>
      </c>
      <c r="V136" s="187">
        <v>45930.833333333336</v>
      </c>
    </row>
    <row r="137" spans="1:22" s="19" customFormat="1" ht="23.25" x14ac:dyDescent="0.2">
      <c r="A137" s="112"/>
      <c r="B137" s="112" t="str">
        <f t="shared" si="7"/>
        <v>X</v>
      </c>
      <c r="C137" s="112" t="str">
        <f>IF(OR(TabellaA1[[#This Row],[LUN]]="X",TabellaA1[[#This Row],[MAR]]="X",TabellaA1[[#This Row],[MER]]="X",TabellaA1[[#This Row],[GIO]]="X",TabellaA1[[#This Row],[VEN]]="X",),"X","")</f>
        <v/>
      </c>
      <c r="D137" s="113" t="s">
        <v>8</v>
      </c>
      <c r="E137" s="109" t="s">
        <v>42</v>
      </c>
      <c r="F137" s="109">
        <v>300</v>
      </c>
      <c r="G137" s="109" t="s">
        <v>43</v>
      </c>
      <c r="H137" s="111"/>
      <c r="I137" s="111"/>
      <c r="J137" s="111"/>
      <c r="K137" s="111"/>
      <c r="L137" s="111"/>
      <c r="M137" s="109" t="s">
        <v>1258</v>
      </c>
      <c r="N137" s="109"/>
      <c r="O137" s="113"/>
      <c r="P137" s="113"/>
      <c r="Q137" s="109"/>
      <c r="R137" s="110"/>
      <c r="S137" s="110"/>
      <c r="T137" s="112" t="str">
        <f ca="1">IF(AND('Inserimento dati'!$B$3=$H$2, TabellaA1[[#This Row],[LUN]]="X"), "X",IF(AND('Inserimento dati'!$B$3=$I$2, TabellaA1[[#This Row],[MAR]]="X"), "X", IF(AND('Inserimento dati'!$B$3=$J$2, TabellaA1[[#This Row],[MER]]="X"), "X",IF(AND('Inserimento dati'!$B$3=$K$2, TabellaA1[[#This Row],[GIO]]="X"), "X", IF(AND('Inserimento dati'!$B$3=$L$2, TabellaA1[[#This Row],[VEN]]="X"), "X","")))))</f>
        <v/>
      </c>
      <c r="U137" s="136" t="str">
        <f t="shared" ca="1" si="8"/>
        <v/>
      </c>
      <c r="V137" s="187">
        <v>45930.833333333336</v>
      </c>
    </row>
    <row r="138" spans="1:22" s="19" customFormat="1" ht="30" x14ac:dyDescent="0.2">
      <c r="A138" s="112"/>
      <c r="B138" s="112" t="str">
        <f t="shared" si="7"/>
        <v>X</v>
      </c>
      <c r="C138" s="112" t="str">
        <f>IF(OR(TabellaA1[[#This Row],[LUN]]="X",TabellaA1[[#This Row],[MAR]]="X",TabellaA1[[#This Row],[MER]]="X",TabellaA1[[#This Row],[GIO]]="X",TabellaA1[[#This Row],[VEN]]="X",),"X","")</f>
        <v/>
      </c>
      <c r="D138" s="113" t="s">
        <v>8</v>
      </c>
      <c r="E138" s="109" t="s">
        <v>44</v>
      </c>
      <c r="F138" s="109">
        <v>100</v>
      </c>
      <c r="G138" s="109" t="s">
        <v>45</v>
      </c>
      <c r="H138" s="111"/>
      <c r="I138" s="111"/>
      <c r="J138" s="111"/>
      <c r="K138" s="111"/>
      <c r="L138" s="111"/>
      <c r="M138" s="109" t="s">
        <v>1258</v>
      </c>
      <c r="N138" s="109"/>
      <c r="O138" s="113"/>
      <c r="P138" s="113"/>
      <c r="Q138" s="109" t="s">
        <v>46</v>
      </c>
      <c r="R138" s="110"/>
      <c r="S138" s="110"/>
      <c r="T138" s="112" t="str">
        <f ca="1">IF(AND('Inserimento dati'!$B$3=$H$2, TabellaA1[[#This Row],[LUN]]="X"), "X",IF(AND('Inserimento dati'!$B$3=$I$2, TabellaA1[[#This Row],[MAR]]="X"), "X", IF(AND('Inserimento dati'!$B$3=$J$2, TabellaA1[[#This Row],[MER]]="X"), "X",IF(AND('Inserimento dati'!$B$3=$K$2, TabellaA1[[#This Row],[GIO]]="X"), "X", IF(AND('Inserimento dati'!$B$3=$L$2, TabellaA1[[#This Row],[VEN]]="X"), "X","")))))</f>
        <v/>
      </c>
      <c r="U138" s="136" t="str">
        <f t="shared" ca="1" si="8"/>
        <v/>
      </c>
      <c r="V138" s="187">
        <v>45930.833333333336</v>
      </c>
    </row>
    <row r="139" spans="1:22" s="19" customFormat="1" ht="30" x14ac:dyDescent="0.2">
      <c r="A139" s="112"/>
      <c r="B139" s="112" t="str">
        <f t="shared" si="7"/>
        <v>X</v>
      </c>
      <c r="C139" s="112" t="str">
        <f>IF(OR(TabellaA1[[#This Row],[LUN]]="X",TabellaA1[[#This Row],[MAR]]="X",TabellaA1[[#This Row],[MER]]="X",TabellaA1[[#This Row],[GIO]]="X",TabellaA1[[#This Row],[VEN]]="X",),"X","")</f>
        <v/>
      </c>
      <c r="D139" s="113" t="s">
        <v>8</v>
      </c>
      <c r="E139" s="109" t="s">
        <v>47</v>
      </c>
      <c r="F139" s="109">
        <v>100</v>
      </c>
      <c r="G139" s="109" t="s">
        <v>48</v>
      </c>
      <c r="H139" s="111"/>
      <c r="I139" s="111"/>
      <c r="J139" s="111"/>
      <c r="K139" s="111"/>
      <c r="L139" s="111"/>
      <c r="M139" s="109" t="s">
        <v>1258</v>
      </c>
      <c r="N139" s="109"/>
      <c r="O139" s="113"/>
      <c r="P139" s="113"/>
      <c r="Q139" s="109" t="s">
        <v>49</v>
      </c>
      <c r="R139" s="110">
        <v>45602</v>
      </c>
      <c r="S139" s="110" t="s">
        <v>50</v>
      </c>
      <c r="T139" s="112" t="str">
        <f ca="1">IF(AND('Inserimento dati'!$B$3=$H$2, TabellaA1[[#This Row],[LUN]]="X"), "X",IF(AND('Inserimento dati'!$B$3=$I$2, TabellaA1[[#This Row],[MAR]]="X"), "X", IF(AND('Inserimento dati'!$B$3=$J$2, TabellaA1[[#This Row],[MER]]="X"), "X",IF(AND('Inserimento dati'!$B$3=$K$2, TabellaA1[[#This Row],[GIO]]="X"), "X", IF(AND('Inserimento dati'!$B$3=$L$2, TabellaA1[[#This Row],[VEN]]="X"), "X","")))))</f>
        <v/>
      </c>
      <c r="U139" s="136" t="str">
        <f t="shared" ca="1" si="8"/>
        <v/>
      </c>
      <c r="V139" s="187">
        <v>45930.833333333336</v>
      </c>
    </row>
    <row r="140" spans="1:22" s="19" customFormat="1" ht="30" x14ac:dyDescent="0.2">
      <c r="A140" s="112"/>
      <c r="B140" s="112" t="str">
        <f t="shared" ref="B140:B154" si="9">IF(OR(A140="x",A140="X"),"",IF(ISBLANK(A140),"X",""))</f>
        <v>X</v>
      </c>
      <c r="C140" s="112" t="str">
        <f>IF(OR(TabellaA1[[#This Row],[LUN]]="X",TabellaA1[[#This Row],[MAR]]="X",TabellaA1[[#This Row],[MER]]="X",TabellaA1[[#This Row],[GIO]]="X",TabellaA1[[#This Row],[VEN]]="X",),"X","")</f>
        <v/>
      </c>
      <c r="D140" s="113" t="s">
        <v>8</v>
      </c>
      <c r="E140" s="109" t="s">
        <v>201</v>
      </c>
      <c r="F140" s="109">
        <v>100</v>
      </c>
      <c r="G140" s="109" t="s">
        <v>202</v>
      </c>
      <c r="H140" s="111"/>
      <c r="I140" s="111"/>
      <c r="J140" s="111"/>
      <c r="K140" s="111"/>
      <c r="L140" s="111"/>
      <c r="M140" s="109" t="s">
        <v>1258</v>
      </c>
      <c r="N140" s="109"/>
      <c r="O140" s="113"/>
      <c r="P140" s="113"/>
      <c r="Q140" s="109"/>
      <c r="R140" s="110">
        <v>45629</v>
      </c>
      <c r="S140" s="110" t="s">
        <v>203</v>
      </c>
      <c r="T140" s="112" t="str">
        <f ca="1">IF(AND('Inserimento dati'!$B$3=$H$2, TabellaA1[[#This Row],[LUN]]="X"), "X",IF(AND('Inserimento dati'!$B$3=$I$2, TabellaA1[[#This Row],[MAR]]="X"), "X", IF(AND('Inserimento dati'!$B$3=$J$2, TabellaA1[[#This Row],[MER]]="X"), "X",IF(AND('Inserimento dati'!$B$3=$K$2, TabellaA1[[#This Row],[GIO]]="X"), "X", IF(AND('Inserimento dati'!$B$3=$L$2, TabellaA1[[#This Row],[VEN]]="X"), "X","")))))</f>
        <v/>
      </c>
      <c r="U140" s="136" t="str">
        <f t="shared" ca="1" si="8"/>
        <v/>
      </c>
      <c r="V140" s="187">
        <v>45930.833333333336</v>
      </c>
    </row>
    <row r="141" spans="1:22" s="19" customFormat="1" ht="30" x14ac:dyDescent="0.2">
      <c r="A141" s="112"/>
      <c r="B141" s="112" t="str">
        <f t="shared" si="9"/>
        <v>X</v>
      </c>
      <c r="C141" s="112" t="str">
        <f>IF(OR(TabellaA1[[#This Row],[LUN]]="X",TabellaA1[[#This Row],[MAR]]="X",TabellaA1[[#This Row],[MER]]="X",TabellaA1[[#This Row],[GIO]]="X",TabellaA1[[#This Row],[VEN]]="X",),"X","")</f>
        <v/>
      </c>
      <c r="D141" s="113" t="s">
        <v>8</v>
      </c>
      <c r="E141" s="109" t="s">
        <v>9</v>
      </c>
      <c r="F141" s="109">
        <v>300</v>
      </c>
      <c r="G141" s="109" t="s">
        <v>10</v>
      </c>
      <c r="H141" s="111"/>
      <c r="I141" s="111"/>
      <c r="J141" s="111"/>
      <c r="K141" s="111"/>
      <c r="L141" s="111"/>
      <c r="M141" s="109" t="s">
        <v>1258</v>
      </c>
      <c r="N141" s="109"/>
      <c r="O141" s="113"/>
      <c r="P141" s="113"/>
      <c r="Q141" s="109"/>
      <c r="R141" s="110">
        <v>45622</v>
      </c>
      <c r="S141" s="110" t="s">
        <v>11</v>
      </c>
      <c r="T141" s="112" t="str">
        <f ca="1">IF(AND('Inserimento dati'!$B$3=$H$2, TabellaA1[[#This Row],[LUN]]="X"), "X",IF(AND('Inserimento dati'!$B$3=$I$2, TabellaA1[[#This Row],[MAR]]="X"), "X", IF(AND('Inserimento dati'!$B$3=$J$2, TabellaA1[[#This Row],[MER]]="X"), "X",IF(AND('Inserimento dati'!$B$3=$K$2, TabellaA1[[#This Row],[GIO]]="X"), "X", IF(AND('Inserimento dati'!$B$3=$L$2, TabellaA1[[#This Row],[VEN]]="X"), "X","")))))</f>
        <v/>
      </c>
      <c r="U141" s="136" t="str">
        <f t="shared" ca="1" si="8"/>
        <v/>
      </c>
      <c r="V141" s="187">
        <v>45930.833333333336</v>
      </c>
    </row>
    <row r="142" spans="1:22" s="19" customFormat="1" ht="30" x14ac:dyDescent="0.2">
      <c r="A142" s="112"/>
      <c r="B142" s="112" t="str">
        <f t="shared" si="9"/>
        <v>X</v>
      </c>
      <c r="C142" s="112" t="str">
        <f>IF(OR(TabellaA1[[#This Row],[LUN]]="X",TabellaA1[[#This Row],[MAR]]="X",TabellaA1[[#This Row],[MER]]="X",TabellaA1[[#This Row],[GIO]]="X",TabellaA1[[#This Row],[VEN]]="X",),"X","")</f>
        <v/>
      </c>
      <c r="D142" s="113" t="s">
        <v>8</v>
      </c>
      <c r="E142" s="109" t="s">
        <v>12</v>
      </c>
      <c r="F142" s="109">
        <v>100</v>
      </c>
      <c r="G142" s="109" t="s">
        <v>13</v>
      </c>
      <c r="H142" s="111"/>
      <c r="I142" s="111"/>
      <c r="J142" s="111"/>
      <c r="K142" s="111"/>
      <c r="L142" s="111"/>
      <c r="M142" s="109" t="s">
        <v>1258</v>
      </c>
      <c r="N142" s="109"/>
      <c r="O142" s="113"/>
      <c r="P142" s="113"/>
      <c r="Q142" s="109"/>
      <c r="R142" s="110"/>
      <c r="S142" s="110" t="s">
        <v>11</v>
      </c>
      <c r="T142" s="112" t="str">
        <f ca="1">IF(AND('Inserimento dati'!$B$3=$H$2, TabellaA1[[#This Row],[LUN]]="X"), "X",IF(AND('Inserimento dati'!$B$3=$I$2, TabellaA1[[#This Row],[MAR]]="X"), "X", IF(AND('Inserimento dati'!$B$3=$J$2, TabellaA1[[#This Row],[MER]]="X"), "X",IF(AND('Inserimento dati'!$B$3=$K$2, TabellaA1[[#This Row],[GIO]]="X"), "X", IF(AND('Inserimento dati'!$B$3=$L$2, TabellaA1[[#This Row],[VEN]]="X"), "X","")))))</f>
        <v/>
      </c>
      <c r="U142" s="136" t="str">
        <f t="shared" ca="1" si="8"/>
        <v/>
      </c>
      <c r="V142" s="187">
        <v>45930.833333333336</v>
      </c>
    </row>
    <row r="143" spans="1:22" s="19" customFormat="1" ht="30" x14ac:dyDescent="0.2">
      <c r="A143" s="112"/>
      <c r="B143" s="112" t="str">
        <f t="shared" si="9"/>
        <v>X</v>
      </c>
      <c r="C143" s="112" t="str">
        <f>IF(OR(TabellaA1[[#This Row],[LUN]]="X",TabellaA1[[#This Row],[MAR]]="X",TabellaA1[[#This Row],[MER]]="X",TabellaA1[[#This Row],[GIO]]="X",TabellaA1[[#This Row],[VEN]]="X",),"X","")</f>
        <v/>
      </c>
      <c r="D143" s="113" t="s">
        <v>8</v>
      </c>
      <c r="E143" s="109" t="s">
        <v>14</v>
      </c>
      <c r="F143" s="109">
        <v>100</v>
      </c>
      <c r="G143" s="109" t="s">
        <v>15</v>
      </c>
      <c r="H143" s="111"/>
      <c r="I143" s="111"/>
      <c r="J143" s="111"/>
      <c r="K143" s="111"/>
      <c r="L143" s="111"/>
      <c r="M143" s="109" t="s">
        <v>1258</v>
      </c>
      <c r="N143" s="109"/>
      <c r="O143" s="113"/>
      <c r="P143" s="113"/>
      <c r="Q143" s="109"/>
      <c r="R143" s="110"/>
      <c r="S143" s="110" t="s">
        <v>11</v>
      </c>
      <c r="T143" s="112" t="str">
        <f ca="1">IF(AND('Inserimento dati'!$B$3=$H$2, TabellaA1[[#This Row],[LUN]]="X"), "X",IF(AND('Inserimento dati'!$B$3=$I$2, TabellaA1[[#This Row],[MAR]]="X"), "X", IF(AND('Inserimento dati'!$B$3=$J$2, TabellaA1[[#This Row],[MER]]="X"), "X",IF(AND('Inserimento dati'!$B$3=$K$2, TabellaA1[[#This Row],[GIO]]="X"), "X", IF(AND('Inserimento dati'!$B$3=$L$2, TabellaA1[[#This Row],[VEN]]="X"), "X","")))))</f>
        <v/>
      </c>
      <c r="U143" s="135" t="str">
        <f t="shared" ca="1" si="8"/>
        <v/>
      </c>
      <c r="V143" s="187">
        <v>45930.833333333336</v>
      </c>
    </row>
    <row r="144" spans="1:22" s="19" customFormat="1" ht="23.25" x14ac:dyDescent="0.2">
      <c r="A144" s="112"/>
      <c r="B144" s="112" t="str">
        <f t="shared" si="9"/>
        <v>X</v>
      </c>
      <c r="C144" s="112" t="str">
        <f>IF(OR(TabellaA1[[#This Row],[LUN]]="X",TabellaA1[[#This Row],[MAR]]="X",TabellaA1[[#This Row],[MER]]="X",TabellaA1[[#This Row],[GIO]]="X",TabellaA1[[#This Row],[VEN]]="X",),"X","")</f>
        <v/>
      </c>
      <c r="D144" s="113" t="s">
        <v>8</v>
      </c>
      <c r="E144" s="109" t="s">
        <v>172</v>
      </c>
      <c r="F144" s="109">
        <v>200</v>
      </c>
      <c r="G144" s="109" t="s">
        <v>173</v>
      </c>
      <c r="H144" s="111"/>
      <c r="I144" s="111"/>
      <c r="J144" s="111"/>
      <c r="K144" s="111"/>
      <c r="L144" s="111"/>
      <c r="M144" s="109" t="s">
        <v>1258</v>
      </c>
      <c r="N144" s="109"/>
      <c r="O144" s="113"/>
      <c r="P144" s="113"/>
      <c r="Q144" s="109" t="s">
        <v>174</v>
      </c>
      <c r="R144" s="110"/>
      <c r="S144" s="110"/>
      <c r="T144" s="112" t="str">
        <f ca="1">IF(AND('Inserimento dati'!$B$3=$H$2, TabellaA1[[#This Row],[LUN]]="X"), "X",IF(AND('Inserimento dati'!$B$3=$I$2, TabellaA1[[#This Row],[MAR]]="X"), "X", IF(AND('Inserimento dati'!$B$3=$J$2, TabellaA1[[#This Row],[MER]]="X"), "X",IF(AND('Inserimento dati'!$B$3=$K$2, TabellaA1[[#This Row],[GIO]]="X"), "X", IF(AND('Inserimento dati'!$B$3=$L$2, TabellaA1[[#This Row],[VEN]]="X"), "X","")))))</f>
        <v/>
      </c>
      <c r="U144" s="135" t="str">
        <f t="shared" ca="1" si="8"/>
        <v/>
      </c>
      <c r="V144" s="187">
        <v>45930.833333333336</v>
      </c>
    </row>
    <row r="145" spans="1:22" s="19" customFormat="1" ht="30" x14ac:dyDescent="0.2">
      <c r="A145" s="112"/>
      <c r="B145" s="112" t="str">
        <f t="shared" si="9"/>
        <v>X</v>
      </c>
      <c r="C145" s="112" t="str">
        <f>IF(OR(TabellaA1[[#This Row],[LUN]]="X",TabellaA1[[#This Row],[MAR]]="X",TabellaA1[[#This Row],[MER]]="X",TabellaA1[[#This Row],[GIO]]="X",TabellaA1[[#This Row],[VEN]]="X",),"X","")</f>
        <v/>
      </c>
      <c r="D145" s="113" t="s">
        <v>8</v>
      </c>
      <c r="E145" s="109" t="s">
        <v>51</v>
      </c>
      <c r="F145" s="109">
        <v>400</v>
      </c>
      <c r="G145" s="109" t="s">
        <v>52</v>
      </c>
      <c r="H145" s="111"/>
      <c r="I145" s="111"/>
      <c r="J145" s="111"/>
      <c r="K145" s="111"/>
      <c r="L145" s="111"/>
      <c r="M145" s="109" t="s">
        <v>1258</v>
      </c>
      <c r="N145" s="109"/>
      <c r="O145" s="113"/>
      <c r="P145" s="113"/>
      <c r="Q145" s="109"/>
      <c r="R145" s="110"/>
      <c r="S145" s="110"/>
      <c r="T145" s="112" t="str">
        <f ca="1">IF(AND('Inserimento dati'!$B$3=$H$2, TabellaA1[[#This Row],[LUN]]="X"), "X",IF(AND('Inserimento dati'!$B$3=$I$2, TabellaA1[[#This Row],[MAR]]="X"), "X", IF(AND('Inserimento dati'!$B$3=$J$2, TabellaA1[[#This Row],[MER]]="X"), "X",IF(AND('Inserimento dati'!$B$3=$K$2, TabellaA1[[#This Row],[GIO]]="X"), "X", IF(AND('Inserimento dati'!$B$3=$L$2, TabellaA1[[#This Row],[VEN]]="X"), "X","")))))</f>
        <v/>
      </c>
      <c r="U145" s="135" t="str">
        <f t="shared" ca="1" si="8"/>
        <v/>
      </c>
      <c r="V145" s="187">
        <v>45930.833333333336</v>
      </c>
    </row>
    <row r="146" spans="1:22" s="19" customFormat="1" ht="30" x14ac:dyDescent="0.2">
      <c r="A146" s="112"/>
      <c r="B146" s="112" t="str">
        <f t="shared" si="9"/>
        <v>X</v>
      </c>
      <c r="C146" s="112" t="str">
        <f>IF(OR(TabellaA1[[#This Row],[LUN]]="X",TabellaA1[[#This Row],[MAR]]="X",TabellaA1[[#This Row],[MER]]="X",TabellaA1[[#This Row],[GIO]]="X",TabellaA1[[#This Row],[VEN]]="X",),"X","")</f>
        <v/>
      </c>
      <c r="D146" s="113" t="s">
        <v>8</v>
      </c>
      <c r="E146" s="109" t="s">
        <v>53</v>
      </c>
      <c r="F146" s="109">
        <v>400</v>
      </c>
      <c r="G146" s="109" t="s">
        <v>54</v>
      </c>
      <c r="H146" s="111"/>
      <c r="I146" s="111"/>
      <c r="J146" s="111"/>
      <c r="K146" s="111"/>
      <c r="L146" s="111"/>
      <c r="M146" s="109" t="s">
        <v>1258</v>
      </c>
      <c r="N146" s="109"/>
      <c r="O146" s="113"/>
      <c r="P146" s="113"/>
      <c r="Q146" s="109"/>
      <c r="R146" s="110">
        <v>45615</v>
      </c>
      <c r="S146" s="110" t="s">
        <v>11</v>
      </c>
      <c r="T146" s="112" t="str">
        <f ca="1">IF(AND('Inserimento dati'!$B$3=$H$2, TabellaA1[[#This Row],[LUN]]="X"), "X",IF(AND('Inserimento dati'!$B$3=$I$2, TabellaA1[[#This Row],[MAR]]="X"), "X", IF(AND('Inserimento dati'!$B$3=$J$2, TabellaA1[[#This Row],[MER]]="X"), "X",IF(AND('Inserimento dati'!$B$3=$K$2, TabellaA1[[#This Row],[GIO]]="X"), "X", IF(AND('Inserimento dati'!$B$3=$L$2, TabellaA1[[#This Row],[VEN]]="X"), "X","")))))</f>
        <v/>
      </c>
      <c r="U146" s="135" t="str">
        <f t="shared" ca="1" si="8"/>
        <v/>
      </c>
      <c r="V146" s="187">
        <v>45930.833333333336</v>
      </c>
    </row>
    <row r="147" spans="1:22" s="19" customFormat="1" ht="23.25" x14ac:dyDescent="0.2">
      <c r="A147" s="112"/>
      <c r="B147" s="112" t="str">
        <f t="shared" si="9"/>
        <v>X</v>
      </c>
      <c r="C147" s="112" t="str">
        <f>IF(OR(TabellaA1[[#This Row],[LUN]]="X",TabellaA1[[#This Row],[MAR]]="X",TabellaA1[[#This Row],[MER]]="X",TabellaA1[[#This Row],[GIO]]="X",TabellaA1[[#This Row],[VEN]]="X",),"X","")</f>
        <v/>
      </c>
      <c r="D147" s="113" t="s">
        <v>8</v>
      </c>
      <c r="E147" s="109" t="s">
        <v>55</v>
      </c>
      <c r="F147" s="109">
        <v>300</v>
      </c>
      <c r="G147" s="109" t="s">
        <v>56</v>
      </c>
      <c r="H147" s="111"/>
      <c r="I147" s="111"/>
      <c r="J147" s="111"/>
      <c r="K147" s="111"/>
      <c r="L147" s="111"/>
      <c r="M147" s="109" t="s">
        <v>1258</v>
      </c>
      <c r="N147" s="109"/>
      <c r="O147" s="113"/>
      <c r="P147" s="113"/>
      <c r="Q147" s="109"/>
      <c r="R147" s="110"/>
      <c r="S147" s="110"/>
      <c r="T147" s="112" t="str">
        <f ca="1">IF(AND('Inserimento dati'!$B$3=$H$2, TabellaA1[[#This Row],[LUN]]="X"), "X",IF(AND('Inserimento dati'!$B$3=$I$2, TabellaA1[[#This Row],[MAR]]="X"), "X", IF(AND('Inserimento dati'!$B$3=$J$2, TabellaA1[[#This Row],[MER]]="X"), "X",IF(AND('Inserimento dati'!$B$3=$K$2, TabellaA1[[#This Row],[GIO]]="X"), "X", IF(AND('Inserimento dati'!$B$3=$L$2, TabellaA1[[#This Row],[VEN]]="X"), "X","")))))</f>
        <v/>
      </c>
      <c r="U147" s="135" t="str">
        <f t="shared" ca="1" si="8"/>
        <v/>
      </c>
      <c r="V147" s="187">
        <v>45930.833333333336</v>
      </c>
    </row>
    <row r="148" spans="1:22" s="19" customFormat="1" ht="30" x14ac:dyDescent="0.2">
      <c r="A148" s="112"/>
      <c r="B148" s="112" t="str">
        <f t="shared" si="9"/>
        <v>X</v>
      </c>
      <c r="C148" s="112" t="str">
        <f>IF(OR(TabellaA1[[#This Row],[LUN]]="X",TabellaA1[[#This Row],[MAR]]="X",TabellaA1[[#This Row],[MER]]="X",TabellaA1[[#This Row],[GIO]]="X",TabellaA1[[#This Row],[VEN]]="X",),"X","")</f>
        <v/>
      </c>
      <c r="D148" s="113" t="s">
        <v>8</v>
      </c>
      <c r="E148" s="109" t="s">
        <v>57</v>
      </c>
      <c r="F148" s="109">
        <v>900</v>
      </c>
      <c r="G148" s="109" t="s">
        <v>58</v>
      </c>
      <c r="H148" s="111"/>
      <c r="I148" s="111"/>
      <c r="J148" s="111"/>
      <c r="K148" s="111"/>
      <c r="L148" s="111"/>
      <c r="M148" s="109" t="s">
        <v>1258</v>
      </c>
      <c r="N148" s="109"/>
      <c r="O148" s="113"/>
      <c r="P148" s="113"/>
      <c r="Q148" s="109" t="s">
        <v>18</v>
      </c>
      <c r="R148" s="110">
        <v>45609</v>
      </c>
      <c r="S148" s="110" t="s">
        <v>11</v>
      </c>
      <c r="T148" s="112" t="str">
        <f ca="1">IF(AND('Inserimento dati'!$B$3=$H$2, TabellaA1[[#This Row],[LUN]]="X"), "X",IF(AND('Inserimento dati'!$B$3=$I$2, TabellaA1[[#This Row],[MAR]]="X"), "X", IF(AND('Inserimento dati'!$B$3=$J$2, TabellaA1[[#This Row],[MER]]="X"), "X",IF(AND('Inserimento dati'!$B$3=$K$2, TabellaA1[[#This Row],[GIO]]="X"), "X", IF(AND('Inserimento dati'!$B$3=$L$2, TabellaA1[[#This Row],[VEN]]="X"), "X","")))))</f>
        <v/>
      </c>
      <c r="U148" s="135" t="str">
        <f t="shared" ca="1" si="8"/>
        <v/>
      </c>
      <c r="V148" s="187">
        <v>45930.833333333336</v>
      </c>
    </row>
    <row r="149" spans="1:22" s="19" customFormat="1" ht="30" x14ac:dyDescent="0.2">
      <c r="A149" s="112"/>
      <c r="B149" s="112" t="str">
        <f t="shared" si="9"/>
        <v>X</v>
      </c>
      <c r="C149" s="112" t="str">
        <f>IF(OR(TabellaA1[[#This Row],[LUN]]="X",TabellaA1[[#This Row],[MAR]]="X",TabellaA1[[#This Row],[MER]]="X",TabellaA1[[#This Row],[GIO]]="X",TabellaA1[[#This Row],[VEN]]="X",),"X","")</f>
        <v/>
      </c>
      <c r="D149" s="113" t="s">
        <v>8</v>
      </c>
      <c r="E149" s="109" t="s">
        <v>59</v>
      </c>
      <c r="F149" s="109">
        <v>200</v>
      </c>
      <c r="G149" s="109" t="s">
        <v>60</v>
      </c>
      <c r="H149" s="111"/>
      <c r="I149" s="111"/>
      <c r="J149" s="111"/>
      <c r="K149" s="111"/>
      <c r="L149" s="111"/>
      <c r="M149" s="109" t="s">
        <v>1258</v>
      </c>
      <c r="N149" s="109"/>
      <c r="O149" s="113"/>
      <c r="P149" s="113"/>
      <c r="Q149" s="109" t="s">
        <v>1261</v>
      </c>
      <c r="R149" s="110">
        <v>45600</v>
      </c>
      <c r="S149" s="110" t="s">
        <v>11</v>
      </c>
      <c r="T149" s="112" t="str">
        <f ca="1">IF(AND('Inserimento dati'!$B$3=$H$2, TabellaA1[[#This Row],[LUN]]="X"), "X",IF(AND('Inserimento dati'!$B$3=$I$2, TabellaA1[[#This Row],[MAR]]="X"), "X", IF(AND('Inserimento dati'!$B$3=$J$2, TabellaA1[[#This Row],[MER]]="X"), "X",IF(AND('Inserimento dati'!$B$3=$K$2, TabellaA1[[#This Row],[GIO]]="X"), "X", IF(AND('Inserimento dati'!$B$3=$L$2, TabellaA1[[#This Row],[VEN]]="X"), "X","")))))</f>
        <v/>
      </c>
      <c r="U149" s="135" t="str">
        <f t="shared" ca="1" si="8"/>
        <v/>
      </c>
      <c r="V149" s="187">
        <v>45930.833333333336</v>
      </c>
    </row>
    <row r="150" spans="1:22" s="19" customFormat="1" ht="30" x14ac:dyDescent="0.2">
      <c r="A150" s="112"/>
      <c r="B150" s="112" t="str">
        <f t="shared" si="9"/>
        <v>X</v>
      </c>
      <c r="C150" s="112" t="str">
        <f>IF(OR(TabellaA1[[#This Row],[LUN]]="X",TabellaA1[[#This Row],[MAR]]="X",TabellaA1[[#This Row],[MER]]="X",TabellaA1[[#This Row],[GIO]]="X",TabellaA1[[#This Row],[VEN]]="X",),"X","")</f>
        <v/>
      </c>
      <c r="D150" s="113" t="s">
        <v>8</v>
      </c>
      <c r="E150" s="109" t="s">
        <v>61</v>
      </c>
      <c r="F150" s="109">
        <v>200</v>
      </c>
      <c r="G150" s="109" t="s">
        <v>62</v>
      </c>
      <c r="H150" s="111"/>
      <c r="I150" s="111"/>
      <c r="J150" s="111"/>
      <c r="K150" s="111"/>
      <c r="L150" s="111"/>
      <c r="M150" s="109" t="s">
        <v>1258</v>
      </c>
      <c r="N150" s="109"/>
      <c r="O150" s="113"/>
      <c r="P150" s="113"/>
      <c r="Q150" s="109" t="s">
        <v>1261</v>
      </c>
      <c r="R150" s="110">
        <v>45600</v>
      </c>
      <c r="S150" s="110" t="s">
        <v>11</v>
      </c>
      <c r="T150" s="112" t="str">
        <f ca="1">IF(AND('Inserimento dati'!$B$3=$H$2, TabellaA1[[#This Row],[LUN]]="X"), "X",IF(AND('Inserimento dati'!$B$3=$I$2, TabellaA1[[#This Row],[MAR]]="X"), "X", IF(AND('Inserimento dati'!$B$3=$J$2, TabellaA1[[#This Row],[MER]]="X"), "X",IF(AND('Inserimento dati'!$B$3=$K$2, TabellaA1[[#This Row],[GIO]]="X"), "X", IF(AND('Inserimento dati'!$B$3=$L$2, TabellaA1[[#This Row],[VEN]]="X"), "X","")))))</f>
        <v/>
      </c>
      <c r="U150" s="135" t="str">
        <f t="shared" ca="1" si="8"/>
        <v/>
      </c>
      <c r="V150" s="187">
        <v>45930.833333333336</v>
      </c>
    </row>
    <row r="151" spans="1:22" s="19" customFormat="1" ht="23.25" x14ac:dyDescent="0.2">
      <c r="A151" s="112"/>
      <c r="B151" s="112" t="str">
        <f t="shared" si="9"/>
        <v>X</v>
      </c>
      <c r="C151" s="112" t="str">
        <f>IF(OR(TabellaA1[[#This Row],[LUN]]="X",TabellaA1[[#This Row],[MAR]]="X",TabellaA1[[#This Row],[MER]]="X",TabellaA1[[#This Row],[GIO]]="X",TabellaA1[[#This Row],[VEN]]="X",),"X","")</f>
        <v/>
      </c>
      <c r="D151" s="113" t="s">
        <v>8</v>
      </c>
      <c r="E151" s="109" t="s">
        <v>63</v>
      </c>
      <c r="F151" s="109">
        <v>100</v>
      </c>
      <c r="G151" s="109" t="s">
        <v>64</v>
      </c>
      <c r="H151" s="111"/>
      <c r="I151" s="111"/>
      <c r="J151" s="111"/>
      <c r="K151" s="111"/>
      <c r="L151" s="111"/>
      <c r="M151" s="109" t="s">
        <v>1258</v>
      </c>
      <c r="N151" s="109"/>
      <c r="O151" s="113"/>
      <c r="P151" s="113"/>
      <c r="Q151" s="109" t="s">
        <v>65</v>
      </c>
      <c r="R151" s="110"/>
      <c r="S151" s="110"/>
      <c r="T151" s="112" t="str">
        <f ca="1">IF(AND('Inserimento dati'!$B$3=$H$2, TabellaA1[[#This Row],[LUN]]="X"), "X",IF(AND('Inserimento dati'!$B$3=$I$2, TabellaA1[[#This Row],[MAR]]="X"), "X", IF(AND('Inserimento dati'!$B$3=$J$2, TabellaA1[[#This Row],[MER]]="X"), "X",IF(AND('Inserimento dati'!$B$3=$K$2, TabellaA1[[#This Row],[GIO]]="X"), "X", IF(AND('Inserimento dati'!$B$3=$L$2, TabellaA1[[#This Row],[VEN]]="X"), "X","")))))</f>
        <v/>
      </c>
      <c r="U151" s="135" t="str">
        <f t="shared" ca="1" si="8"/>
        <v/>
      </c>
      <c r="V151" s="187">
        <v>45930.833333333336</v>
      </c>
    </row>
    <row r="152" spans="1:22" s="19" customFormat="1" ht="23.25" x14ac:dyDescent="0.2">
      <c r="A152" s="112"/>
      <c r="B152" s="112" t="str">
        <f t="shared" si="9"/>
        <v>X</v>
      </c>
      <c r="C152" s="112" t="str">
        <f>IF(OR(TabellaA1[[#This Row],[LUN]]="X",TabellaA1[[#This Row],[MAR]]="X",TabellaA1[[#This Row],[MER]]="X",TabellaA1[[#This Row],[GIO]]="X",TabellaA1[[#This Row],[VEN]]="X",),"X","")</f>
        <v/>
      </c>
      <c r="D152" s="113" t="s">
        <v>8</v>
      </c>
      <c r="E152" s="109" t="s">
        <v>66</v>
      </c>
      <c r="F152" s="109">
        <v>100</v>
      </c>
      <c r="G152" s="109" t="s">
        <v>67</v>
      </c>
      <c r="H152" s="111"/>
      <c r="I152" s="111"/>
      <c r="J152" s="111"/>
      <c r="K152" s="111"/>
      <c r="L152" s="111"/>
      <c r="M152" s="109" t="s">
        <v>1258</v>
      </c>
      <c r="N152" s="109"/>
      <c r="O152" s="113"/>
      <c r="P152" s="113"/>
      <c r="Q152" s="109" t="s">
        <v>68</v>
      </c>
      <c r="R152" s="110"/>
      <c r="S152" s="110"/>
      <c r="T152" s="112" t="str">
        <f ca="1">IF(AND('Inserimento dati'!$B$3=$H$2, TabellaA1[[#This Row],[LUN]]="X"), "X",IF(AND('Inserimento dati'!$B$3=$I$2, TabellaA1[[#This Row],[MAR]]="X"), "X", IF(AND('Inserimento dati'!$B$3=$J$2, TabellaA1[[#This Row],[MER]]="X"), "X",IF(AND('Inserimento dati'!$B$3=$K$2, TabellaA1[[#This Row],[GIO]]="X"), "X", IF(AND('Inserimento dati'!$B$3=$L$2, TabellaA1[[#This Row],[VEN]]="X"), "X","")))))</f>
        <v/>
      </c>
      <c r="U152" s="135" t="str">
        <f t="shared" ca="1" si="8"/>
        <v/>
      </c>
      <c r="V152" s="187">
        <v>45930.833333333336</v>
      </c>
    </row>
    <row r="153" spans="1:22" s="19" customFormat="1" ht="30" x14ac:dyDescent="0.2">
      <c r="A153" s="112"/>
      <c r="B153" s="112" t="str">
        <f t="shared" si="9"/>
        <v>X</v>
      </c>
      <c r="C153" s="112" t="str">
        <f>IF(OR(TabellaA1[[#This Row],[LUN]]="X",TabellaA1[[#This Row],[MAR]]="X",TabellaA1[[#This Row],[MER]]="X",TabellaA1[[#This Row],[GIO]]="X",TabellaA1[[#This Row],[VEN]]="X",),"X","")</f>
        <v/>
      </c>
      <c r="D153" s="113" t="s">
        <v>8</v>
      </c>
      <c r="E153" s="109" t="s">
        <v>69</v>
      </c>
      <c r="F153" s="109">
        <v>100</v>
      </c>
      <c r="G153" s="109" t="s">
        <v>70</v>
      </c>
      <c r="H153" s="111"/>
      <c r="I153" s="111"/>
      <c r="J153" s="111"/>
      <c r="K153" s="111"/>
      <c r="L153" s="111"/>
      <c r="M153" s="109" t="s">
        <v>1258</v>
      </c>
      <c r="N153" s="109"/>
      <c r="O153" s="113"/>
      <c r="P153" s="113"/>
      <c r="Q153" s="109" t="s">
        <v>71</v>
      </c>
      <c r="R153" s="110">
        <v>45602</v>
      </c>
      <c r="S153" s="110" t="s">
        <v>50</v>
      </c>
      <c r="T153" s="112" t="str">
        <f ca="1">IF(AND('Inserimento dati'!$B$3=$H$2, TabellaA1[[#This Row],[LUN]]="X"), "X",IF(AND('Inserimento dati'!$B$3=$I$2, TabellaA1[[#This Row],[MAR]]="X"), "X", IF(AND('Inserimento dati'!$B$3=$J$2, TabellaA1[[#This Row],[MER]]="X"), "X",IF(AND('Inserimento dati'!$B$3=$K$2, TabellaA1[[#This Row],[GIO]]="X"), "X", IF(AND('Inserimento dati'!$B$3=$L$2, TabellaA1[[#This Row],[VEN]]="X"), "X","")))))</f>
        <v/>
      </c>
      <c r="U153" s="135" t="str">
        <f t="shared" ca="1" si="8"/>
        <v/>
      </c>
      <c r="V153" s="187">
        <v>45930.833333333336</v>
      </c>
    </row>
    <row r="154" spans="1:22" s="19" customFormat="1" ht="30" x14ac:dyDescent="0.2">
      <c r="A154" s="112"/>
      <c r="B154" s="112" t="str">
        <f t="shared" si="9"/>
        <v>X</v>
      </c>
      <c r="C154" s="112" t="str">
        <f>IF(OR(TabellaA1[[#This Row],[LUN]]="X",TabellaA1[[#This Row],[MAR]]="X",TabellaA1[[#This Row],[MER]]="X",TabellaA1[[#This Row],[GIO]]="X",TabellaA1[[#This Row],[VEN]]="X",),"X","")</f>
        <v/>
      </c>
      <c r="D154" s="113" t="s">
        <v>8</v>
      </c>
      <c r="E154" s="109" t="s">
        <v>1292</v>
      </c>
      <c r="F154" s="109">
        <v>400</v>
      </c>
      <c r="G154" s="109" t="s">
        <v>1290</v>
      </c>
      <c r="H154" s="111"/>
      <c r="I154" s="111"/>
      <c r="J154" s="111"/>
      <c r="K154" s="111"/>
      <c r="L154" s="111"/>
      <c r="M154" s="109" t="s">
        <v>1258</v>
      </c>
      <c r="N154" s="110"/>
      <c r="O154" s="167"/>
      <c r="P154" s="167"/>
      <c r="Q154" s="110" t="s">
        <v>1335</v>
      </c>
      <c r="R154" s="110">
        <v>45788</v>
      </c>
      <c r="S154" s="110" t="s">
        <v>673</v>
      </c>
      <c r="T154" s="115" t="str">
        <f ca="1">IF(AND('Inserimento dati'!$B$3=$H$2, TabellaA1[[#This Row],[LUN]]="X"), "X",IF(AND('Inserimento dati'!$B$3=$I$2, TabellaA1[[#This Row],[MAR]]="X"), "X", IF(AND('Inserimento dati'!$B$3=$J$2, TabellaA1[[#This Row],[MER]]="X"), "X",IF(AND('Inserimento dati'!$B$3=$K$2, TabellaA1[[#This Row],[GIO]]="X"), "X", IF(AND('Inserimento dati'!$B$3=$L$2, TabellaA1[[#This Row],[VEN]]="X"), "X","")))))</f>
        <v/>
      </c>
      <c r="U154" s="135" t="str">
        <f t="shared" ca="1" si="8"/>
        <v/>
      </c>
      <c r="V154" s="187">
        <v>45930.833333333336</v>
      </c>
    </row>
    <row r="155" spans="1:22" s="19" customFormat="1" ht="30" x14ac:dyDescent="0.2">
      <c r="A155" s="112"/>
      <c r="B155" s="112"/>
      <c r="C155" s="112" t="str">
        <f>IF(OR(TabellaA1[[#This Row],[LUN]]="X",TabellaA1[[#This Row],[MAR]]="X",TabellaA1[[#This Row],[MER]]="X",TabellaA1[[#This Row],[GIO]]="X",TabellaA1[[#This Row],[VEN]]="X",),"X","")</f>
        <v/>
      </c>
      <c r="D155" s="113" t="s">
        <v>8</v>
      </c>
      <c r="E155" s="109" t="s">
        <v>1433</v>
      </c>
      <c r="F155" s="109">
        <v>400</v>
      </c>
      <c r="G155" s="109" t="s">
        <v>1423</v>
      </c>
      <c r="H155" s="111"/>
      <c r="I155" s="111"/>
      <c r="J155" s="111"/>
      <c r="K155" s="111"/>
      <c r="L155" s="111"/>
      <c r="M155" s="109" t="s">
        <v>1258</v>
      </c>
      <c r="N155" s="110"/>
      <c r="O155" s="167"/>
      <c r="P155" s="167"/>
      <c r="Q155" s="110" t="s">
        <v>1451</v>
      </c>
      <c r="R155" s="110"/>
      <c r="S155" s="110" t="s">
        <v>1452</v>
      </c>
      <c r="T155" s="114" t="str">
        <f ca="1">IF(AND('Inserimento dati'!$B$3=$H$2, TabellaA1[[#This Row],[LUN]]="X"), "X",IF(AND('Inserimento dati'!$B$3=$I$2, TabellaA1[[#This Row],[MAR]]="X"), "X", IF(AND('Inserimento dati'!$B$3=$J$2, TabellaA1[[#This Row],[MER]]="X"), "X",IF(AND('Inserimento dati'!$B$3=$K$2, TabellaA1[[#This Row],[GIO]]="X"), "X", IF(AND('Inserimento dati'!$B$3=$L$2, TabellaA1[[#This Row],[VEN]]="X"), "X","")))))</f>
        <v/>
      </c>
      <c r="U155" s="134" t="str">
        <f t="shared" ca="1" si="8"/>
        <v/>
      </c>
      <c r="V155" s="187">
        <v>45930.833333333336</v>
      </c>
    </row>
    <row r="156" spans="1:22" s="19" customFormat="1" ht="23.25" x14ac:dyDescent="0.2">
      <c r="A156" s="112"/>
      <c r="B156" s="112"/>
      <c r="C156" s="112" t="str">
        <f>IF(OR(TabellaA1[[#This Row],[LUN]]="X",TabellaA1[[#This Row],[MAR]]="X",TabellaA1[[#This Row],[MER]]="X",TabellaA1[[#This Row],[GIO]]="X",TabellaA1[[#This Row],[VEN]]="X",),"X","")</f>
        <v/>
      </c>
      <c r="D156" s="113" t="s">
        <v>8</v>
      </c>
      <c r="E156" s="109" t="s">
        <v>1457</v>
      </c>
      <c r="F156" s="109">
        <v>400</v>
      </c>
      <c r="G156" s="109" t="s">
        <v>1455</v>
      </c>
      <c r="H156" s="111"/>
      <c r="I156" s="111"/>
      <c r="J156" s="111"/>
      <c r="K156" s="111"/>
      <c r="L156" s="111"/>
      <c r="M156" s="109" t="s">
        <v>1258</v>
      </c>
      <c r="N156" s="110"/>
      <c r="O156" s="167"/>
      <c r="P156" s="167"/>
      <c r="Q156" s="110"/>
      <c r="R156" s="110"/>
      <c r="S156" s="110"/>
      <c r="T156" s="114" t="str">
        <f ca="1">IF(AND('Inserimento dati'!$B$3=$H$2, TabellaA1[[#This Row],[LUN]]="X"), "X",IF(AND('Inserimento dati'!$B$3=$I$2, TabellaA1[[#This Row],[MAR]]="X"), "X", IF(AND('Inserimento dati'!$B$3=$J$2, TabellaA1[[#This Row],[MER]]="X"), "X",IF(AND('Inserimento dati'!$B$3=$K$2, TabellaA1[[#This Row],[GIO]]="X"), "X", IF(AND('Inserimento dati'!$B$3=$L$2, TabellaA1[[#This Row],[VEN]]="X"), "X","")))))</f>
        <v/>
      </c>
      <c r="U156" s="134" t="str">
        <f t="shared" ca="1" si="8"/>
        <v/>
      </c>
      <c r="V156" s="187">
        <v>45930.833333333336</v>
      </c>
    </row>
    <row r="157" spans="1:22" s="19" customFormat="1" ht="30" x14ac:dyDescent="0.2">
      <c r="A157" s="112"/>
      <c r="B157" s="112" t="str">
        <f>IF(OR(A157="x",A157="X"),"",IF(ISBLANK(A157),"X",""))</f>
        <v>X</v>
      </c>
      <c r="C157" s="112" t="str">
        <f>IF(OR(TabellaA1[[#This Row],[LUN]]="X",TabellaA1[[#This Row],[MAR]]="X",TabellaA1[[#This Row],[MER]]="X",TabellaA1[[#This Row],[GIO]]="X",TabellaA1[[#This Row],[VEN]]="X",),"X","")</f>
        <v/>
      </c>
      <c r="D157" s="113" t="s">
        <v>8</v>
      </c>
      <c r="E157" s="109" t="s">
        <v>1216</v>
      </c>
      <c r="F157" s="109">
        <v>100</v>
      </c>
      <c r="G157" s="109" t="s">
        <v>1214</v>
      </c>
      <c r="H157" s="111"/>
      <c r="I157" s="111"/>
      <c r="J157" s="111"/>
      <c r="K157" s="111"/>
      <c r="L157" s="111"/>
      <c r="M157" s="110" t="s">
        <v>1258</v>
      </c>
      <c r="N157" s="110"/>
      <c r="O157" s="167"/>
      <c r="P157" s="167"/>
      <c r="Q157" s="110"/>
      <c r="R157" s="110">
        <v>45800</v>
      </c>
      <c r="S157" s="110" t="s">
        <v>1284</v>
      </c>
      <c r="T157" s="112" t="str">
        <f ca="1">IF(AND('Inserimento dati'!$B$3=$H$2, TabellaA1[[#This Row],[LUN]]="X"), "X",IF(AND('Inserimento dati'!$B$3=$I$2, TabellaA1[[#This Row],[MAR]]="X"), "X", IF(AND('Inserimento dati'!$B$3=$J$2, TabellaA1[[#This Row],[MER]]="X"), "X",IF(AND('Inserimento dati'!$B$3=$K$2, TabellaA1[[#This Row],[GIO]]="X"), "X", IF(AND('Inserimento dati'!$B$3=$L$2, TabellaA1[[#This Row],[VEN]]="X"), "X","")))))</f>
        <v/>
      </c>
      <c r="U157" s="135" t="str">
        <f t="shared" ca="1" si="8"/>
        <v/>
      </c>
      <c r="V157" s="187">
        <v>45930.833333333336</v>
      </c>
    </row>
    <row r="158" spans="1:22" s="19" customFormat="1" ht="30" x14ac:dyDescent="0.2">
      <c r="A158" s="112"/>
      <c r="B158" s="112"/>
      <c r="C158" s="112" t="str">
        <f>IF(OR(TabellaA1[[#This Row],[LUN]]="X",TabellaA1[[#This Row],[MAR]]="X",TabellaA1[[#This Row],[MER]]="X",TabellaA1[[#This Row],[GIO]]="X",TabellaA1[[#This Row],[VEN]]="X",),"X","")</f>
        <v/>
      </c>
      <c r="D158" s="113" t="s">
        <v>8</v>
      </c>
      <c r="E158" s="109" t="s">
        <v>1462</v>
      </c>
      <c r="F158" s="109">
        <v>300</v>
      </c>
      <c r="G158" s="109" t="s">
        <v>1461</v>
      </c>
      <c r="H158" s="111"/>
      <c r="I158" s="111"/>
      <c r="J158" s="111"/>
      <c r="K158" s="111"/>
      <c r="L158" s="111"/>
      <c r="M158" s="109" t="s">
        <v>1258</v>
      </c>
      <c r="N158" s="110"/>
      <c r="O158" s="167"/>
      <c r="P158" s="167"/>
      <c r="Q158" s="110" t="s">
        <v>1483</v>
      </c>
      <c r="R158" s="110">
        <v>45803</v>
      </c>
      <c r="S158" s="110" t="s">
        <v>302</v>
      </c>
      <c r="T158" s="114" t="str">
        <f ca="1">IF(AND('Inserimento dati'!$B$3=$H$2, TabellaA1[[#This Row],[LUN]]="X"), "X",IF(AND('Inserimento dati'!$B$3=$I$2, TabellaA1[[#This Row],[MAR]]="X"), "X", IF(AND('Inserimento dati'!$B$3=$J$2, TabellaA1[[#This Row],[MER]]="X"), "X",IF(AND('Inserimento dati'!$B$3=$K$2, TabellaA1[[#This Row],[GIO]]="X"), "X", IF(AND('Inserimento dati'!$B$3=$L$2, TabellaA1[[#This Row],[VEN]]="X"), "X","")))))</f>
        <v/>
      </c>
      <c r="U158" s="134" t="str">
        <f t="shared" ca="1" si="8"/>
        <v/>
      </c>
      <c r="V158" s="187">
        <v>45930.833333333336</v>
      </c>
    </row>
    <row r="159" spans="1:22" s="19" customFormat="1" ht="30" x14ac:dyDescent="0.2">
      <c r="A159" s="112"/>
      <c r="B159" s="112"/>
      <c r="C159" s="112" t="str">
        <f>IF(OR(TabellaA1[[#This Row],[LUN]]="X",TabellaA1[[#This Row],[MAR]]="X",TabellaA1[[#This Row],[MER]]="X",TabellaA1[[#This Row],[GIO]]="X",TabellaA1[[#This Row],[VEN]]="X",),"X","")</f>
        <v/>
      </c>
      <c r="D159" s="113" t="s">
        <v>8</v>
      </c>
      <c r="E159" s="109" t="s">
        <v>1488</v>
      </c>
      <c r="F159" s="109">
        <v>400</v>
      </c>
      <c r="G159" s="109" t="s">
        <v>1487</v>
      </c>
      <c r="H159" s="111"/>
      <c r="I159" s="111"/>
      <c r="J159" s="111"/>
      <c r="K159" s="111"/>
      <c r="L159" s="111"/>
      <c r="M159" s="109" t="s">
        <v>1258</v>
      </c>
      <c r="N159" s="110"/>
      <c r="O159" s="167"/>
      <c r="P159" s="167"/>
      <c r="Q159" s="110" t="s">
        <v>1490</v>
      </c>
      <c r="R159" s="110">
        <v>45804</v>
      </c>
      <c r="S159" s="110" t="s">
        <v>1484</v>
      </c>
      <c r="T159" s="114" t="str">
        <f ca="1">IF(AND('Inserimento dati'!$B$3=$H$2, TabellaA1[[#This Row],[LUN]]="X"), "X",IF(AND('Inserimento dati'!$B$3=$I$2, TabellaA1[[#This Row],[MAR]]="X"), "X", IF(AND('Inserimento dati'!$B$3=$J$2, TabellaA1[[#This Row],[MER]]="X"), "X",IF(AND('Inserimento dati'!$B$3=$K$2, TabellaA1[[#This Row],[GIO]]="X"), "X", IF(AND('Inserimento dati'!$B$3=$L$2, TabellaA1[[#This Row],[VEN]]="X"), "X","")))))</f>
        <v/>
      </c>
      <c r="U159" s="134" t="str">
        <f t="shared" ca="1" si="8"/>
        <v/>
      </c>
      <c r="V159" s="187">
        <v>45930.833333333336</v>
      </c>
    </row>
    <row r="160" spans="1:22" s="19" customFormat="1" ht="30" x14ac:dyDescent="0.2">
      <c r="A160" s="112"/>
      <c r="B160" s="112"/>
      <c r="C160" s="112" t="str">
        <f>IF(OR(TabellaA1[[#This Row],[LUN]]="X",TabellaA1[[#This Row],[MAR]]="X",TabellaA1[[#This Row],[MER]]="X",TabellaA1[[#This Row],[GIO]]="X",TabellaA1[[#This Row],[VEN]]="X",),"X","")</f>
        <v/>
      </c>
      <c r="D160" s="113" t="s">
        <v>8</v>
      </c>
      <c r="E160" s="109" t="s">
        <v>1475</v>
      </c>
      <c r="F160" s="109">
        <v>400</v>
      </c>
      <c r="G160" s="109" t="s">
        <v>1474</v>
      </c>
      <c r="H160" s="111"/>
      <c r="I160" s="111"/>
      <c r="J160" s="111"/>
      <c r="K160" s="111"/>
      <c r="L160" s="111"/>
      <c r="M160" s="109" t="s">
        <v>1258</v>
      </c>
      <c r="N160" s="110"/>
      <c r="O160" s="167"/>
      <c r="P160" s="167"/>
      <c r="Q160" s="110" t="s">
        <v>1485</v>
      </c>
      <c r="R160" s="110">
        <v>45804</v>
      </c>
      <c r="S160" s="110" t="s">
        <v>1484</v>
      </c>
      <c r="T160" s="114" t="str">
        <f ca="1">IF(AND('Inserimento dati'!$B$3=$H$2, TabellaA1[[#This Row],[LUN]]="X"), "X",IF(AND('Inserimento dati'!$B$3=$I$2, TabellaA1[[#This Row],[MAR]]="X"), "X", IF(AND('Inserimento dati'!$B$3=$J$2, TabellaA1[[#This Row],[MER]]="X"), "X",IF(AND('Inserimento dati'!$B$3=$K$2, TabellaA1[[#This Row],[GIO]]="X"), "X", IF(AND('Inserimento dati'!$B$3=$L$2, TabellaA1[[#This Row],[VEN]]="X"), "X","")))))</f>
        <v/>
      </c>
      <c r="U160" s="134" t="str">
        <f t="shared" ca="1" si="8"/>
        <v/>
      </c>
      <c r="V160" s="187">
        <v>45930.833333333336</v>
      </c>
    </row>
    <row r="161" spans="1:22" s="19" customFormat="1" ht="23.25" x14ac:dyDescent="0.2">
      <c r="A161" s="112"/>
      <c r="B161" s="112"/>
      <c r="C161" s="112" t="str">
        <f>IF(OR(TabellaA1[[#This Row],[LUN]]="X",TabellaA1[[#This Row],[MAR]]="X",TabellaA1[[#This Row],[MER]]="X",TabellaA1[[#This Row],[GIO]]="X",TabellaA1[[#This Row],[VEN]]="X",),"X","")</f>
        <v/>
      </c>
      <c r="D161" s="113" t="s">
        <v>8</v>
      </c>
      <c r="E161" s="109" t="s">
        <v>1508</v>
      </c>
      <c r="F161" s="109">
        <v>100</v>
      </c>
      <c r="G161" s="109" t="s">
        <v>1502</v>
      </c>
      <c r="H161" s="111"/>
      <c r="I161" s="111"/>
      <c r="J161" s="111"/>
      <c r="K161" s="111"/>
      <c r="L161" s="111"/>
      <c r="M161" s="109" t="s">
        <v>1258</v>
      </c>
      <c r="N161" s="110"/>
      <c r="O161" s="167"/>
      <c r="P161" s="167"/>
      <c r="Q161" s="110"/>
      <c r="R161" s="110"/>
      <c r="S161" s="110"/>
      <c r="T161" s="114" t="str">
        <f ca="1">IF(AND('Inserimento dati'!$B$3=$H$2, TabellaA1[[#This Row],[LUN]]="X"), "X",IF(AND('Inserimento dati'!$B$3=$I$2, TabellaA1[[#This Row],[MAR]]="X"), "X", IF(AND('Inserimento dati'!$B$3=$J$2, TabellaA1[[#This Row],[MER]]="X"), "X",IF(AND('Inserimento dati'!$B$3=$K$2, TabellaA1[[#This Row],[GIO]]="X"), "X", IF(AND('Inserimento dati'!$B$3=$L$2, TabellaA1[[#This Row],[VEN]]="X"), "X","")))))</f>
        <v/>
      </c>
      <c r="U161" s="134" t="str">
        <f t="shared" ca="1" si="8"/>
        <v/>
      </c>
      <c r="V161" s="187">
        <v>45930.833333333336</v>
      </c>
    </row>
    <row r="162" spans="1:22" s="19" customFormat="1" ht="45" x14ac:dyDescent="0.2">
      <c r="A162" s="112"/>
      <c r="B162" s="112"/>
      <c r="C162" s="112" t="str">
        <f>IF(OR(TabellaA1[[#This Row],[LUN]]="X",TabellaA1[[#This Row],[MAR]]="X",TabellaA1[[#This Row],[MER]]="X",TabellaA1[[#This Row],[GIO]]="X",TabellaA1[[#This Row],[VEN]]="X",),"X","")</f>
        <v/>
      </c>
      <c r="D162" s="113" t="s">
        <v>8</v>
      </c>
      <c r="E162" s="109" t="s">
        <v>1519</v>
      </c>
      <c r="F162" s="109">
        <v>100</v>
      </c>
      <c r="G162" s="109" t="s">
        <v>1518</v>
      </c>
      <c r="H162" s="111"/>
      <c r="I162" s="111"/>
      <c r="J162" s="111"/>
      <c r="K162" s="111"/>
      <c r="L162" s="111"/>
      <c r="M162" s="109" t="s">
        <v>1258</v>
      </c>
      <c r="N162" s="110"/>
      <c r="O162" s="167"/>
      <c r="P162" s="167"/>
      <c r="Q162" s="110" t="s">
        <v>1523</v>
      </c>
      <c r="R162" s="110"/>
      <c r="S162" s="110"/>
      <c r="T162" s="114" t="str">
        <f ca="1">IF(AND('Inserimento dati'!$B$3=$H$2, TabellaA1[[#This Row],[LUN]]="X"), "X",IF(AND('Inserimento dati'!$B$3=$I$2, TabellaA1[[#This Row],[MAR]]="X"), "X", IF(AND('Inserimento dati'!$B$3=$J$2, TabellaA1[[#This Row],[MER]]="X"), "X",IF(AND('Inserimento dati'!$B$3=$K$2, TabellaA1[[#This Row],[GIO]]="X"), "X", IF(AND('Inserimento dati'!$B$3=$L$2, TabellaA1[[#This Row],[VEN]]="X"), "X","")))))</f>
        <v/>
      </c>
      <c r="U162" s="134" t="str">
        <f t="shared" ca="1" si="8"/>
        <v/>
      </c>
      <c r="V162" s="187">
        <v>45930.833333333336</v>
      </c>
    </row>
    <row r="163" spans="1:22" s="19" customFormat="1" ht="30" x14ac:dyDescent="0.2">
      <c r="A163" s="112"/>
      <c r="B163" s="112"/>
      <c r="C163" s="112" t="str">
        <f>IF(OR(TabellaA1[[#This Row],[LUN]]="X",TabellaA1[[#This Row],[MAR]]="X",TabellaA1[[#This Row],[MER]]="X",TabellaA1[[#This Row],[GIO]]="X",TabellaA1[[#This Row],[VEN]]="X",),"X","")</f>
        <v/>
      </c>
      <c r="D163" s="113" t="s">
        <v>8</v>
      </c>
      <c r="E163" s="109" t="s">
        <v>1735</v>
      </c>
      <c r="F163" s="109">
        <v>100</v>
      </c>
      <c r="G163" s="109" t="s">
        <v>1736</v>
      </c>
      <c r="H163" s="111"/>
      <c r="I163" s="111"/>
      <c r="J163" s="111"/>
      <c r="K163" s="111"/>
      <c r="L163" s="111"/>
      <c r="M163" s="109" t="s">
        <v>1258</v>
      </c>
      <c r="N163" s="110"/>
      <c r="O163" s="167"/>
      <c r="P163" s="167"/>
      <c r="Q163" s="110" t="s">
        <v>1743</v>
      </c>
      <c r="R163" s="110">
        <v>45831</v>
      </c>
      <c r="S163" s="110" t="s">
        <v>1744</v>
      </c>
      <c r="T163" s="114" t="str">
        <f ca="1">IF(AND('Inserimento dati'!$B$3=$H$2, TabellaA1[[#This Row],[LUN]]="X"), "X",IF(AND('Inserimento dati'!$B$3=$I$2, TabellaA1[[#This Row],[MAR]]="X"), "X", IF(AND('Inserimento dati'!$B$3=$J$2, TabellaA1[[#This Row],[MER]]="X"), "X",IF(AND('Inserimento dati'!$B$3=$K$2, TabellaA1[[#This Row],[GIO]]="X"), "X", IF(AND('Inserimento dati'!$B$3=$L$2, TabellaA1[[#This Row],[VEN]]="X"), "X","")))))</f>
        <v/>
      </c>
      <c r="U163" s="137" t="str">
        <f t="shared" ca="1" si="8"/>
        <v/>
      </c>
      <c r="V163" s="187">
        <v>45930.833333333336</v>
      </c>
    </row>
    <row r="164" spans="1:22" s="19" customFormat="1" ht="30" x14ac:dyDescent="0.2">
      <c r="A164" s="112"/>
      <c r="B164" s="112"/>
      <c r="C164" s="112" t="str">
        <f>IF(OR(TabellaA1[[#This Row],[LUN]]="X",TabellaA1[[#This Row],[MAR]]="X",TabellaA1[[#This Row],[MER]]="X",TabellaA1[[#This Row],[GIO]]="X",TabellaA1[[#This Row],[VEN]]="X",),"X","")</f>
        <v/>
      </c>
      <c r="D164" s="113" t="s">
        <v>8</v>
      </c>
      <c r="E164" s="109" t="s">
        <v>1737</v>
      </c>
      <c r="F164" s="109">
        <v>100</v>
      </c>
      <c r="G164" s="109" t="s">
        <v>1738</v>
      </c>
      <c r="H164" s="111"/>
      <c r="I164" s="111"/>
      <c r="J164" s="111"/>
      <c r="K164" s="111"/>
      <c r="L164" s="111"/>
      <c r="M164" s="109" t="s">
        <v>1258</v>
      </c>
      <c r="N164" s="110"/>
      <c r="O164" s="167"/>
      <c r="P164" s="167"/>
      <c r="Q164" s="110" t="s">
        <v>1751</v>
      </c>
      <c r="R164" s="110">
        <v>45831</v>
      </c>
      <c r="S164" s="110" t="s">
        <v>50</v>
      </c>
      <c r="T164" s="114" t="str">
        <f ca="1">IF(AND('Inserimento dati'!$B$3=$H$2, TabellaA1[[#This Row],[LUN]]="X"), "X",IF(AND('Inserimento dati'!$B$3=$I$2, TabellaA1[[#This Row],[MAR]]="X"), "X", IF(AND('Inserimento dati'!$B$3=$J$2, TabellaA1[[#This Row],[MER]]="X"), "X",IF(AND('Inserimento dati'!$B$3=$K$2, TabellaA1[[#This Row],[GIO]]="X"), "X", IF(AND('Inserimento dati'!$B$3=$L$2, TabellaA1[[#This Row],[VEN]]="X"), "X","")))))</f>
        <v/>
      </c>
      <c r="U164" s="137" t="str">
        <f t="shared" ca="1" si="8"/>
        <v/>
      </c>
      <c r="V164" s="187">
        <v>45930.833333333336</v>
      </c>
    </row>
    <row r="165" spans="1:22" s="19" customFormat="1" ht="23.25" x14ac:dyDescent="0.2">
      <c r="A165" s="112"/>
      <c r="B165" s="112"/>
      <c r="C165" s="112" t="str">
        <f>IF(OR(TabellaA1[[#This Row],[LUN]]="X",TabellaA1[[#This Row],[MAR]]="X",TabellaA1[[#This Row],[MER]]="X",TabellaA1[[#This Row],[GIO]]="X",TabellaA1[[#This Row],[VEN]]="X",),"X","")</f>
        <v/>
      </c>
      <c r="D165" s="113" t="s">
        <v>8</v>
      </c>
      <c r="E165" s="109" t="s">
        <v>1739</v>
      </c>
      <c r="F165" s="109">
        <v>100</v>
      </c>
      <c r="G165" s="109" t="s">
        <v>1740</v>
      </c>
      <c r="H165" s="111"/>
      <c r="I165" s="111"/>
      <c r="J165" s="111"/>
      <c r="K165" s="111"/>
      <c r="L165" s="111"/>
      <c r="M165" s="109" t="s">
        <v>1258</v>
      </c>
      <c r="N165" s="110"/>
      <c r="O165" s="167"/>
      <c r="P165" s="167"/>
      <c r="Q165" s="110" t="s">
        <v>1752</v>
      </c>
      <c r="R165" s="110">
        <v>45832</v>
      </c>
      <c r="S165" s="110" t="s">
        <v>239</v>
      </c>
      <c r="T165" s="114" t="str">
        <f ca="1">IF(AND('Inserimento dati'!$B$3=$H$2, TabellaA1[[#This Row],[LUN]]="X"), "X",IF(AND('Inserimento dati'!$B$3=$I$2, TabellaA1[[#This Row],[MAR]]="X"), "X", IF(AND('Inserimento dati'!$B$3=$J$2, TabellaA1[[#This Row],[MER]]="X"), "X",IF(AND('Inserimento dati'!$B$3=$K$2, TabellaA1[[#This Row],[GIO]]="X"), "X", IF(AND('Inserimento dati'!$B$3=$L$2, TabellaA1[[#This Row],[VEN]]="X"), "X","")))))</f>
        <v/>
      </c>
      <c r="U165" s="137" t="str">
        <f t="shared" ca="1" si="8"/>
        <v/>
      </c>
      <c r="V165" s="187">
        <v>45930.833333333336</v>
      </c>
    </row>
    <row r="166" spans="1:22" s="19" customFormat="1" ht="23.25" x14ac:dyDescent="0.2">
      <c r="A166" s="112"/>
      <c r="B166" s="112"/>
      <c r="C166" s="112" t="str">
        <f>IF(OR(TabellaA1[[#This Row],[LUN]]="X",TabellaA1[[#This Row],[MAR]]="X",TabellaA1[[#This Row],[MER]]="X",TabellaA1[[#This Row],[GIO]]="X",TabellaA1[[#This Row],[VEN]]="X",),"X","")</f>
        <v/>
      </c>
      <c r="D166" s="113" t="s">
        <v>8</v>
      </c>
      <c r="E166" s="109" t="s">
        <v>2243</v>
      </c>
      <c r="F166" s="109">
        <v>400</v>
      </c>
      <c r="G166" s="109" t="s">
        <v>2244</v>
      </c>
      <c r="H166" s="111"/>
      <c r="I166" s="111"/>
      <c r="J166" s="111"/>
      <c r="K166" s="111"/>
      <c r="L166" s="111"/>
      <c r="M166" s="109" t="s">
        <v>1258</v>
      </c>
      <c r="N166" s="110"/>
      <c r="O166" s="167"/>
      <c r="P166" s="167"/>
      <c r="Q166" s="110" t="s">
        <v>2259</v>
      </c>
      <c r="R166" s="110">
        <v>45841</v>
      </c>
      <c r="S166" s="110" t="s">
        <v>203</v>
      </c>
      <c r="T166" s="114" t="str">
        <f ca="1">IF(AND('Inserimento dati'!$B$3=$H$2, TabellaA1[[#This Row],[LUN]]="X"), "X",IF(AND('Inserimento dati'!$B$3=$I$2, TabellaA1[[#This Row],[MAR]]="X"), "X", IF(AND('Inserimento dati'!$B$3=$J$2, TabellaA1[[#This Row],[MER]]="X"), "X",IF(AND('Inserimento dati'!$B$3=$K$2, TabellaA1[[#This Row],[GIO]]="X"), "X", IF(AND('Inserimento dati'!$B$3=$L$2, TabellaA1[[#This Row],[VEN]]="X"), "X","")))))</f>
        <v/>
      </c>
      <c r="U166" s="137" t="str">
        <f t="shared" ca="1" si="8"/>
        <v/>
      </c>
      <c r="V166" s="187">
        <v>45930.833333333336</v>
      </c>
    </row>
    <row r="167" spans="1:22" s="19" customFormat="1" ht="30" x14ac:dyDescent="0.2">
      <c r="A167" s="112"/>
      <c r="B167" s="112"/>
      <c r="C167" s="112" t="str">
        <f>IF(OR(TabellaA1[[#This Row],[LUN]]="X",TabellaA1[[#This Row],[MAR]]="X",TabellaA1[[#This Row],[MER]]="X",TabellaA1[[#This Row],[GIO]]="X",TabellaA1[[#This Row],[VEN]]="X",),"X","")</f>
        <v/>
      </c>
      <c r="D167" s="113" t="s">
        <v>8</v>
      </c>
      <c r="E167" s="109" t="s">
        <v>2214</v>
      </c>
      <c r="F167" s="109" t="s">
        <v>483</v>
      </c>
      <c r="G167" s="109" t="s">
        <v>2215</v>
      </c>
      <c r="H167" s="111"/>
      <c r="I167" s="111"/>
      <c r="J167" s="128"/>
      <c r="K167" s="128"/>
      <c r="L167" s="128"/>
      <c r="M167" s="110" t="s">
        <v>1258</v>
      </c>
      <c r="N167" s="110"/>
      <c r="O167" s="167"/>
      <c r="P167" s="114"/>
      <c r="Q167" s="109" t="s">
        <v>2260</v>
      </c>
      <c r="R167" s="110">
        <v>45841</v>
      </c>
      <c r="S167" s="109" t="s">
        <v>1673</v>
      </c>
      <c r="T167" s="114" t="str">
        <f ca="1">IF(AND('Inserimento dati'!$B$3=$H$2, TabellaA1[[#This Row],[LUN]]="X"), "X",IF(AND('Inserimento dati'!$B$3=$I$2, TabellaA1[[#This Row],[MAR]]="X"), "X", IF(AND('Inserimento dati'!$B$3=$J$2, TabellaA1[[#This Row],[MER]]="X"), "X",IF(AND('Inserimento dati'!$B$3=$K$2, TabellaA1[[#This Row],[GIO]]="X"), "X", IF(AND('Inserimento dati'!$B$3=$L$2, TabellaA1[[#This Row],[VEN]]="X"), "X","")))))</f>
        <v/>
      </c>
      <c r="U167" s="138" t="str">
        <f t="shared" ca="1" si="8"/>
        <v/>
      </c>
      <c r="V167" s="187">
        <v>45930.833333333336</v>
      </c>
    </row>
    <row r="168" spans="1:22" s="19" customFormat="1" ht="45" x14ac:dyDescent="0.2">
      <c r="A168" s="112"/>
      <c r="B168" s="112"/>
      <c r="C168" s="112" t="str">
        <f>IF(OR(TabellaA1[[#This Row],[LUN]]="X",TabellaA1[[#This Row],[MAR]]="X",TabellaA1[[#This Row],[MER]]="X",TabellaA1[[#This Row],[GIO]]="X",TabellaA1[[#This Row],[VEN]]="X",),"X","")</f>
        <v/>
      </c>
      <c r="D168" s="113" t="s">
        <v>8</v>
      </c>
      <c r="E168" s="109" t="s">
        <v>2317</v>
      </c>
      <c r="F168" s="109">
        <v>100</v>
      </c>
      <c r="G168" s="109" t="s">
        <v>2318</v>
      </c>
      <c r="H168" s="111"/>
      <c r="I168" s="111"/>
      <c r="J168" s="111"/>
      <c r="K168" s="111"/>
      <c r="L168" s="111"/>
      <c r="M168" s="109" t="s">
        <v>1258</v>
      </c>
      <c r="N168" s="110"/>
      <c r="O168" s="167"/>
      <c r="P168" s="167"/>
      <c r="Q168" s="110" t="s">
        <v>2331</v>
      </c>
      <c r="R168" s="110">
        <v>45847</v>
      </c>
      <c r="S168" s="110" t="s">
        <v>302</v>
      </c>
      <c r="T168" s="114" t="str">
        <f ca="1">IF(AND('Inserimento dati'!$B$3=$H$2, TabellaA1[[#This Row],[LUN]]="X"), "X",IF(AND('Inserimento dati'!$B$3=$I$2, TabellaA1[[#This Row],[MAR]]="X"), "X", IF(AND('Inserimento dati'!$B$3=$J$2, TabellaA1[[#This Row],[MER]]="X"), "X",IF(AND('Inserimento dati'!$B$3=$K$2, TabellaA1[[#This Row],[GIO]]="X"), "X", IF(AND('Inserimento dati'!$B$3=$L$2, TabellaA1[[#This Row],[VEN]]="X"), "X","")))))</f>
        <v/>
      </c>
      <c r="U168" s="137"/>
      <c r="V168" s="187">
        <v>45930.833333333336</v>
      </c>
    </row>
    <row r="169" spans="1:22" s="19" customFormat="1" ht="30" x14ac:dyDescent="0.2">
      <c r="A169" s="112"/>
      <c r="B169" s="112"/>
      <c r="C169" s="112" t="str">
        <f>IF(OR(TabellaA1[[#This Row],[LUN]]="X",TabellaA1[[#This Row],[MAR]]="X",TabellaA1[[#This Row],[MER]]="X",TabellaA1[[#This Row],[GIO]]="X",TabellaA1[[#This Row],[VEN]]="X",),"X","")</f>
        <v/>
      </c>
      <c r="D169" s="113" t="s">
        <v>8</v>
      </c>
      <c r="E169" s="109" t="s">
        <v>2378</v>
      </c>
      <c r="F169" s="109">
        <v>100</v>
      </c>
      <c r="G169" s="109" t="s">
        <v>2379</v>
      </c>
      <c r="H169" s="111"/>
      <c r="I169" s="111"/>
      <c r="J169" s="111"/>
      <c r="K169" s="111"/>
      <c r="L169" s="111"/>
      <c r="M169" s="109" t="s">
        <v>1258</v>
      </c>
      <c r="N169" s="110"/>
      <c r="O169" s="167"/>
      <c r="P169" s="167"/>
      <c r="Q169" s="110" t="s">
        <v>2391</v>
      </c>
      <c r="R169" s="110">
        <v>45853</v>
      </c>
      <c r="S169" s="110" t="s">
        <v>554</v>
      </c>
      <c r="T169" s="114" t="str">
        <f ca="1">IF(AND('Inserimento dati'!$B$3=$H$2, TabellaA1[[#This Row],[LUN]]="X"), "X",IF(AND('Inserimento dati'!$B$3=$I$2, TabellaA1[[#This Row],[MAR]]="X"), "X", IF(AND('Inserimento dati'!$B$3=$J$2, TabellaA1[[#This Row],[MER]]="X"), "X",IF(AND('Inserimento dati'!$B$3=$K$2, TabellaA1[[#This Row],[GIO]]="X"), "X", IF(AND('Inserimento dati'!$B$3=$L$2, TabellaA1[[#This Row],[VEN]]="X"), "X","")))))</f>
        <v/>
      </c>
      <c r="U169" s="149"/>
      <c r="V169" s="187">
        <v>45930.833333333336</v>
      </c>
    </row>
    <row r="170" spans="1:22" s="19" customFormat="1" ht="23.25" x14ac:dyDescent="0.2">
      <c r="A170" s="112"/>
      <c r="B170" s="112"/>
      <c r="C170" s="112" t="str">
        <f>IF(OR(TabellaA1[[#This Row],[LUN]]="X",TabellaA1[[#This Row],[MAR]]="X",TabellaA1[[#This Row],[MER]]="X",TabellaA1[[#This Row],[GIO]]="X",TabellaA1[[#This Row],[VEN]]="X",),"X","")</f>
        <v/>
      </c>
      <c r="D170" s="113" t="s">
        <v>8</v>
      </c>
      <c r="E170" s="109" t="s">
        <v>2442</v>
      </c>
      <c r="F170" s="109">
        <v>300</v>
      </c>
      <c r="G170" s="109" t="s">
        <v>2443</v>
      </c>
      <c r="H170" s="111"/>
      <c r="I170" s="111"/>
      <c r="J170" s="111"/>
      <c r="K170" s="111"/>
      <c r="L170" s="111"/>
      <c r="M170" s="109" t="s">
        <v>1258</v>
      </c>
      <c r="N170" s="110"/>
      <c r="O170" s="167"/>
      <c r="P170" s="167"/>
      <c r="Q170" s="110" t="s">
        <v>2446</v>
      </c>
      <c r="R170" s="110">
        <v>45860</v>
      </c>
      <c r="S170" s="110" t="s">
        <v>239</v>
      </c>
      <c r="T170" s="114" t="str">
        <f ca="1">IF(AND('Inserimento dati'!$B$3=$H$2, TabellaA1[[#This Row],[LUN]]="X"), "X",IF(AND('Inserimento dati'!$B$3=$I$2, TabellaA1[[#This Row],[MAR]]="X"), "X", IF(AND('Inserimento dati'!$B$3=$J$2, TabellaA1[[#This Row],[MER]]="X"), "X",IF(AND('Inserimento dati'!$B$3=$K$2, TabellaA1[[#This Row],[GIO]]="X"), "X", IF(AND('Inserimento dati'!$B$3=$L$2, TabellaA1[[#This Row],[VEN]]="X"), "X","")))))</f>
        <v/>
      </c>
      <c r="U170" s="149"/>
      <c r="V170" s="187">
        <v>45930.833333333336</v>
      </c>
    </row>
    <row r="171" spans="1:22" s="19" customFormat="1" ht="30" x14ac:dyDescent="0.2">
      <c r="A171" s="112"/>
      <c r="B171" s="112"/>
      <c r="C171" s="112" t="str">
        <f>IF(OR(TabellaA1[[#This Row],[LUN]]="X",TabellaA1[[#This Row],[MAR]]="X",TabellaA1[[#This Row],[MER]]="X",TabellaA1[[#This Row],[GIO]]="X",TabellaA1[[#This Row],[VEN]]="X",),"X","")</f>
        <v/>
      </c>
      <c r="D171" s="113" t="s">
        <v>8</v>
      </c>
      <c r="E171" s="109" t="s">
        <v>2421</v>
      </c>
      <c r="F171" s="109" t="s">
        <v>483</v>
      </c>
      <c r="G171" s="109" t="s">
        <v>2422</v>
      </c>
      <c r="H171" s="111"/>
      <c r="I171" s="111"/>
      <c r="J171" s="111"/>
      <c r="K171" s="111"/>
      <c r="L171" s="111"/>
      <c r="M171" s="109" t="s">
        <v>1258</v>
      </c>
      <c r="N171" s="110"/>
      <c r="O171" s="167"/>
      <c r="P171" s="167"/>
      <c r="Q171" s="110" t="s">
        <v>2456</v>
      </c>
      <c r="R171" s="110">
        <v>45856</v>
      </c>
      <c r="S171" s="110" t="s">
        <v>1074</v>
      </c>
      <c r="T171" s="114" t="str">
        <f ca="1">IF(AND('Inserimento dati'!$B$3=$H$2, TabellaA1[[#This Row],[LUN]]="X"), "X",IF(AND('Inserimento dati'!$B$3=$I$2, TabellaA1[[#This Row],[MAR]]="X"), "X", IF(AND('Inserimento dati'!$B$3=$J$2, TabellaA1[[#This Row],[MER]]="X"), "X",IF(AND('Inserimento dati'!$B$3=$K$2, TabellaA1[[#This Row],[GIO]]="X"), "X", IF(AND('Inserimento dati'!$B$3=$L$2, TabellaA1[[#This Row],[VEN]]="X"), "X","")))))</f>
        <v/>
      </c>
      <c r="U171" s="149"/>
      <c r="V171" s="187">
        <v>45930.833333333336</v>
      </c>
    </row>
    <row r="172" spans="1:22" s="19" customFormat="1" ht="23.25" x14ac:dyDescent="0.2">
      <c r="A172" s="112"/>
      <c r="B172" s="112"/>
      <c r="C172" s="112" t="str">
        <f>IF(OR(TabellaA1[[#This Row],[LUN]]="X",TabellaA1[[#This Row],[MAR]]="X",TabellaA1[[#This Row],[MER]]="X",TabellaA1[[#This Row],[GIO]]="X",TabellaA1[[#This Row],[VEN]]="X",),"X","")</f>
        <v/>
      </c>
      <c r="D172" s="113" t="s">
        <v>8</v>
      </c>
      <c r="E172" s="109" t="s">
        <v>2222</v>
      </c>
      <c r="F172" s="109">
        <v>200</v>
      </c>
      <c r="G172" s="109" t="s">
        <v>2223</v>
      </c>
      <c r="H172" s="111"/>
      <c r="I172" s="111"/>
      <c r="J172" s="111"/>
      <c r="K172" s="111"/>
      <c r="L172" s="111"/>
      <c r="M172" s="109" t="s">
        <v>1258</v>
      </c>
      <c r="N172" s="110"/>
      <c r="O172" s="167"/>
      <c r="P172" s="167"/>
      <c r="Q172" s="110" t="s">
        <v>2373</v>
      </c>
      <c r="R172" s="110">
        <v>45852</v>
      </c>
      <c r="S172" s="110" t="s">
        <v>203</v>
      </c>
      <c r="T172" s="114" t="str">
        <f ca="1">IF(AND('Inserimento dati'!$B$3=$H$2, TabellaA1[[#This Row],[LUN]]="X"), "X",IF(AND('Inserimento dati'!$B$3=$I$2, TabellaA1[[#This Row],[MAR]]="X"), "X", IF(AND('Inserimento dati'!$B$3=$J$2, TabellaA1[[#This Row],[MER]]="X"), "X",IF(AND('Inserimento dati'!$B$3=$K$2, TabellaA1[[#This Row],[GIO]]="X"), "X", IF(AND('Inserimento dati'!$B$3=$L$2, TabellaA1[[#This Row],[VEN]]="X"), "X","")))))</f>
        <v/>
      </c>
      <c r="U172" s="137" t="str">
        <f ca="1">IFERROR(MID(G172,_xlfn.AGGREGATE(15,6,(ROW(INDIRECT("1:"&amp;LEN(G172)-7)))/(ISNUMBER(--MID(G172,ROW(INDIRECT("1:"&amp;LEN(G172)-7)),8))),1),8),"")</f>
        <v/>
      </c>
      <c r="V172" s="187">
        <v>45930.833333333336</v>
      </c>
    </row>
    <row r="173" spans="1:22" s="19" customFormat="1" ht="23.25" x14ac:dyDescent="0.2">
      <c r="A173" s="112"/>
      <c r="B173" s="112"/>
      <c r="C173" s="112" t="str">
        <f>IF(OR(TabellaA1[[#This Row],[LUN]]="X",TabellaA1[[#This Row],[MAR]]="X",TabellaA1[[#This Row],[MER]]="X",TabellaA1[[#This Row],[GIO]]="X",TabellaA1[[#This Row],[VEN]]="X",),"X","")</f>
        <v/>
      </c>
      <c r="D173" s="113" t="s">
        <v>8</v>
      </c>
      <c r="E173" s="109" t="s">
        <v>2403</v>
      </c>
      <c r="F173" s="109">
        <v>400</v>
      </c>
      <c r="G173" s="109" t="s">
        <v>2404</v>
      </c>
      <c r="H173" s="111"/>
      <c r="I173" s="111"/>
      <c r="J173" s="111"/>
      <c r="K173" s="111"/>
      <c r="L173" s="111"/>
      <c r="M173" s="109" t="s">
        <v>1258</v>
      </c>
      <c r="N173" s="110"/>
      <c r="O173" s="167"/>
      <c r="P173" s="167"/>
      <c r="Q173" s="110" t="s">
        <v>2513</v>
      </c>
      <c r="R173" s="110">
        <v>45868</v>
      </c>
      <c r="S173" s="110" t="s">
        <v>211</v>
      </c>
      <c r="T173" s="114" t="str">
        <f ca="1">IF(AND('Inserimento dati'!$B$3=$H$2, TabellaA1[[#This Row],[LUN]]="X"), "X",IF(AND('Inserimento dati'!$B$3=$I$2, TabellaA1[[#This Row],[MAR]]="X"), "X", IF(AND('Inserimento dati'!$B$3=$J$2, TabellaA1[[#This Row],[MER]]="X"), "X",IF(AND('Inserimento dati'!$B$3=$K$2, TabellaA1[[#This Row],[GIO]]="X"), "X", IF(AND('Inserimento dati'!$B$3=$L$2, TabellaA1[[#This Row],[VEN]]="X"), "X","")))))</f>
        <v/>
      </c>
      <c r="U173" s="149"/>
      <c r="V173" s="187">
        <v>45930.833333333336</v>
      </c>
    </row>
    <row r="174" spans="1:22" s="19" customFormat="1" ht="45" x14ac:dyDescent="0.2">
      <c r="A174" s="112"/>
      <c r="B174" s="112"/>
      <c r="C174" s="112" t="str">
        <f>IF(OR(TabellaA1[[#This Row],[LUN]]="X",TabellaA1[[#This Row],[MAR]]="X",TabellaA1[[#This Row],[MER]]="X",TabellaA1[[#This Row],[GIO]]="X",TabellaA1[[#This Row],[VEN]]="X",),"X","")</f>
        <v/>
      </c>
      <c r="D174" s="113" t="s">
        <v>8</v>
      </c>
      <c r="E174" s="109" t="s">
        <v>2488</v>
      </c>
      <c r="F174" s="109">
        <v>100</v>
      </c>
      <c r="G174" s="109" t="s">
        <v>2489</v>
      </c>
      <c r="H174" s="111"/>
      <c r="I174" s="111"/>
      <c r="J174" s="111"/>
      <c r="K174" s="111"/>
      <c r="L174" s="111"/>
      <c r="M174" s="109" t="s">
        <v>1258</v>
      </c>
      <c r="N174" s="110"/>
      <c r="O174" s="167"/>
      <c r="P174" s="167"/>
      <c r="Q174" s="110" t="s">
        <v>2607</v>
      </c>
      <c r="R174" s="110">
        <v>45882</v>
      </c>
      <c r="S174" s="110" t="s">
        <v>1048</v>
      </c>
      <c r="T174" s="114" t="str">
        <f ca="1">IF(AND('Inserimento dati'!$B$3=$H$2, TabellaA1[[#This Row],[LUN]]="X"), "X",IF(AND('Inserimento dati'!$B$3=$I$2, TabellaA1[[#This Row],[MAR]]="X"), "X", IF(AND('Inserimento dati'!$B$3=$J$2, TabellaA1[[#This Row],[MER]]="X"), "X",IF(AND('Inserimento dati'!$B$3=$K$2, TabellaA1[[#This Row],[GIO]]="X"), "X", IF(AND('Inserimento dati'!$B$3=$L$2, TabellaA1[[#This Row],[VEN]]="X"), "X","")))))</f>
        <v/>
      </c>
      <c r="U174" s="149"/>
      <c r="V174" s="187">
        <v>45930.833333333336</v>
      </c>
    </row>
    <row r="175" spans="1:22" s="19" customFormat="1" ht="30" x14ac:dyDescent="0.2">
      <c r="A175" s="112"/>
      <c r="B175" s="112"/>
      <c r="C175" s="112" t="str">
        <f>IF(OR(TabellaA1[[#This Row],[LUN]]="X",TabellaA1[[#This Row],[MAR]]="X",TabellaA1[[#This Row],[MER]]="X",TabellaA1[[#This Row],[GIO]]="X",TabellaA1[[#This Row],[VEN]]="X",),"X","")</f>
        <v/>
      </c>
      <c r="D175" s="113" t="s">
        <v>8</v>
      </c>
      <c r="E175" s="109" t="s">
        <v>2609</v>
      </c>
      <c r="F175" s="109">
        <v>100</v>
      </c>
      <c r="G175" s="109" t="s">
        <v>2610</v>
      </c>
      <c r="H175" s="111"/>
      <c r="I175" s="111"/>
      <c r="J175" s="111"/>
      <c r="K175" s="111"/>
      <c r="L175" s="111"/>
      <c r="M175" s="109" t="s">
        <v>1258</v>
      </c>
      <c r="N175" s="110"/>
      <c r="O175" s="167"/>
      <c r="P175" s="167"/>
      <c r="Q175" s="110" t="s">
        <v>2628</v>
      </c>
      <c r="R175" s="110">
        <v>45882</v>
      </c>
      <c r="S175" s="110" t="s">
        <v>203</v>
      </c>
      <c r="T175" s="114" t="str">
        <f ca="1">IF(AND('Inserimento dati'!$B$3=$H$2, TabellaA1[[#This Row],[LUN]]="X"), "X",IF(AND('Inserimento dati'!$B$3=$I$2, TabellaA1[[#This Row],[MAR]]="X"), "X", IF(AND('Inserimento dati'!$B$3=$J$2, TabellaA1[[#This Row],[MER]]="X"), "X",IF(AND('Inserimento dati'!$B$3=$K$2, TabellaA1[[#This Row],[GIO]]="X"), "X", IF(AND('Inserimento dati'!$B$3=$L$2, TabellaA1[[#This Row],[VEN]]="X"), "X","")))))</f>
        <v/>
      </c>
      <c r="U175" s="149"/>
      <c r="V175" s="187">
        <v>45930.833333333336</v>
      </c>
    </row>
    <row r="176" spans="1:22" s="19" customFormat="1" ht="23.25" x14ac:dyDescent="0.2">
      <c r="A176" s="112"/>
      <c r="B176" s="112"/>
      <c r="C176" s="112" t="str">
        <f>IF(OR(TabellaA1[[#This Row],[LUN]]="X",TabellaA1[[#This Row],[MAR]]="X",TabellaA1[[#This Row],[MER]]="X",TabellaA1[[#This Row],[GIO]]="X",TabellaA1[[#This Row],[VEN]]="X",),"X","")</f>
        <v/>
      </c>
      <c r="D176" s="113" t="s">
        <v>8</v>
      </c>
      <c r="E176" s="109" t="s">
        <v>2615</v>
      </c>
      <c r="F176" s="109">
        <v>300</v>
      </c>
      <c r="G176" s="109" t="s">
        <v>2616</v>
      </c>
      <c r="H176" s="111"/>
      <c r="I176" s="111"/>
      <c r="J176" s="111"/>
      <c r="K176" s="111"/>
      <c r="L176" s="111"/>
      <c r="M176" s="109" t="s">
        <v>1258</v>
      </c>
      <c r="N176" s="110"/>
      <c r="O176" s="167"/>
      <c r="P176" s="167"/>
      <c r="Q176" s="110" t="s">
        <v>2629</v>
      </c>
      <c r="R176" s="110"/>
      <c r="S176" s="110"/>
      <c r="T176" s="114" t="str">
        <f ca="1">IF(AND('Inserimento dati'!$B$3=$H$2, TabellaA1[[#This Row],[LUN]]="X"), "X",IF(AND('Inserimento dati'!$B$3=$I$2, TabellaA1[[#This Row],[MAR]]="X"), "X", IF(AND('Inserimento dati'!$B$3=$J$2, TabellaA1[[#This Row],[MER]]="X"), "X",IF(AND('Inserimento dati'!$B$3=$K$2, TabellaA1[[#This Row],[GIO]]="X"), "X", IF(AND('Inserimento dati'!$B$3=$L$2, TabellaA1[[#This Row],[VEN]]="X"), "X","")))))</f>
        <v/>
      </c>
      <c r="U176" s="149"/>
      <c r="V176" s="187">
        <v>45930.833333333336</v>
      </c>
    </row>
    <row r="177" spans="1:22" s="19" customFormat="1" ht="23.25" x14ac:dyDescent="0.2">
      <c r="A177" s="112"/>
      <c r="B177" s="112"/>
      <c r="C177" s="112" t="str">
        <f>IF(OR(TabellaA1[[#This Row],[LUN]]="X",TabellaA1[[#This Row],[MAR]]="X",TabellaA1[[#This Row],[MER]]="X",TabellaA1[[#This Row],[GIO]]="X",TabellaA1[[#This Row],[VEN]]="X",),"X","")</f>
        <v/>
      </c>
      <c r="D177" s="113" t="s">
        <v>8</v>
      </c>
      <c r="E177" s="109" t="s">
        <v>2642</v>
      </c>
      <c r="F177" s="109">
        <v>400</v>
      </c>
      <c r="G177" s="109" t="s">
        <v>2643</v>
      </c>
      <c r="H177" s="111"/>
      <c r="I177" s="111"/>
      <c r="J177" s="111"/>
      <c r="K177" s="111"/>
      <c r="L177" s="111"/>
      <c r="M177" s="109" t="s">
        <v>1258</v>
      </c>
      <c r="N177" s="110"/>
      <c r="O177" s="167"/>
      <c r="P177" s="167"/>
      <c r="Q177" s="110" t="s">
        <v>2660</v>
      </c>
      <c r="R177" s="110">
        <v>45888</v>
      </c>
      <c r="S177" s="110" t="s">
        <v>2608</v>
      </c>
      <c r="T177" s="114" t="str">
        <f ca="1">IF(AND('Inserimento dati'!$B$3=$H$2, TabellaA1[[#This Row],[LUN]]="X"), "X",IF(AND('Inserimento dati'!$B$3=$I$2, TabellaA1[[#This Row],[MAR]]="X"), "X", IF(AND('Inserimento dati'!$B$3=$J$2, TabellaA1[[#This Row],[MER]]="X"), "X",IF(AND('Inserimento dati'!$B$3=$K$2, TabellaA1[[#This Row],[GIO]]="X"), "X", IF(AND('Inserimento dati'!$B$3=$L$2, TabellaA1[[#This Row],[VEN]]="X"), "X","")))))</f>
        <v/>
      </c>
      <c r="U177" s="149"/>
      <c r="V177" s="187">
        <v>45930.833333333336</v>
      </c>
    </row>
    <row r="178" spans="1:22" s="19" customFormat="1" ht="45" x14ac:dyDescent="0.2">
      <c r="A178" s="112"/>
      <c r="B178" s="112"/>
      <c r="C178" s="112" t="str">
        <f>IF(OR(TabellaA1[[#This Row],[LUN]]="X",TabellaA1[[#This Row],[MAR]]="X",TabellaA1[[#This Row],[MER]]="X",TabellaA1[[#This Row],[GIO]]="X",TabellaA1[[#This Row],[VEN]]="X",),"X","")</f>
        <v/>
      </c>
      <c r="D178" s="113" t="s">
        <v>8</v>
      </c>
      <c r="E178" s="109" t="s">
        <v>2644</v>
      </c>
      <c r="F178" s="109">
        <v>900</v>
      </c>
      <c r="G178" s="109" t="s">
        <v>2645</v>
      </c>
      <c r="H178" s="111"/>
      <c r="I178" s="111"/>
      <c r="J178" s="111"/>
      <c r="K178" s="111"/>
      <c r="L178" s="111"/>
      <c r="M178" s="109" t="s">
        <v>1258</v>
      </c>
      <c r="N178" s="110"/>
      <c r="O178" s="167"/>
      <c r="P178" s="167"/>
      <c r="Q178" s="110" t="s">
        <v>2665</v>
      </c>
      <c r="R178" s="110">
        <v>45888</v>
      </c>
      <c r="S178" s="110" t="s">
        <v>2608</v>
      </c>
      <c r="T178" s="114" t="str">
        <f ca="1">IF(AND('Inserimento dati'!$B$3=$H$2, TabellaA1[[#This Row],[LUN]]="X"), "X",IF(AND('Inserimento dati'!$B$3=$I$2, TabellaA1[[#This Row],[MAR]]="X"), "X", IF(AND('Inserimento dati'!$B$3=$J$2, TabellaA1[[#This Row],[MER]]="X"), "X",IF(AND('Inserimento dati'!$B$3=$K$2, TabellaA1[[#This Row],[GIO]]="X"), "X", IF(AND('Inserimento dati'!$B$3=$L$2, TabellaA1[[#This Row],[VEN]]="X"), "X","")))))</f>
        <v/>
      </c>
      <c r="U178" s="149"/>
      <c r="V178" s="187">
        <v>45930.833333333336</v>
      </c>
    </row>
    <row r="179" spans="1:22" s="19" customFormat="1" ht="30" x14ac:dyDescent="0.2">
      <c r="A179" s="112"/>
      <c r="B179" s="112"/>
      <c r="C179" s="112" t="str">
        <f>IF(OR(TabellaA1[[#This Row],[LUN]]="X",TabellaA1[[#This Row],[MAR]]="X",TabellaA1[[#This Row],[MER]]="X",TabellaA1[[#This Row],[GIO]]="X",TabellaA1[[#This Row],[VEN]]="X",),"X","")</f>
        <v/>
      </c>
      <c r="D179" s="113" t="s">
        <v>8</v>
      </c>
      <c r="E179" s="109" t="s">
        <v>2695</v>
      </c>
      <c r="F179" s="109">
        <v>200</v>
      </c>
      <c r="G179" s="109" t="s">
        <v>2696</v>
      </c>
      <c r="H179" s="111"/>
      <c r="I179" s="111"/>
      <c r="J179" s="111"/>
      <c r="K179" s="111"/>
      <c r="L179" s="111"/>
      <c r="M179" s="109" t="s">
        <v>1258</v>
      </c>
      <c r="N179" s="110"/>
      <c r="O179" s="167"/>
      <c r="P179" s="167"/>
      <c r="Q179" s="110"/>
      <c r="R179" s="110"/>
      <c r="S179" s="110"/>
      <c r="T179" s="114" t="str">
        <f ca="1">IF(AND('Inserimento dati'!$B$3=$H$2, TabellaA1[[#This Row],[LUN]]="X"), "X",IF(AND('Inserimento dati'!$B$3=$I$2, TabellaA1[[#This Row],[MAR]]="X"), "X", IF(AND('Inserimento dati'!$B$3=$J$2, TabellaA1[[#This Row],[MER]]="X"), "X",IF(AND('Inserimento dati'!$B$3=$K$2, TabellaA1[[#This Row],[GIO]]="X"), "X", IF(AND('Inserimento dati'!$B$3=$L$2, TabellaA1[[#This Row],[VEN]]="X"), "X","")))))</f>
        <v/>
      </c>
      <c r="U179" s="149"/>
      <c r="V179" s="187">
        <v>45930.833333333336</v>
      </c>
    </row>
    <row r="180" spans="1:22" s="19" customFormat="1" ht="30" x14ac:dyDescent="0.2">
      <c r="A180" s="112"/>
      <c r="B180" s="112"/>
      <c r="C180" s="112" t="str">
        <f>IF(OR(TabellaA1[[#This Row],[LUN]]="X",TabellaA1[[#This Row],[MAR]]="X",TabellaA1[[#This Row],[MER]]="X",TabellaA1[[#This Row],[GIO]]="X",TabellaA1[[#This Row],[VEN]]="X",),"X","")</f>
        <v/>
      </c>
      <c r="D180" s="113" t="s">
        <v>8</v>
      </c>
      <c r="E180" s="109" t="s">
        <v>2693</v>
      </c>
      <c r="F180" s="109">
        <v>200</v>
      </c>
      <c r="G180" s="109" t="s">
        <v>2694</v>
      </c>
      <c r="H180" s="111"/>
      <c r="I180" s="111"/>
      <c r="J180" s="111"/>
      <c r="K180" s="111"/>
      <c r="L180" s="111"/>
      <c r="M180" s="109" t="s">
        <v>1258</v>
      </c>
      <c r="N180" s="110"/>
      <c r="O180" s="167"/>
      <c r="P180" s="167"/>
      <c r="Q180" s="110"/>
      <c r="R180" s="110"/>
      <c r="S180" s="110"/>
      <c r="T180" s="114" t="str">
        <f ca="1">IF(AND('Inserimento dati'!$B$3=$H$2, TabellaA1[[#This Row],[LUN]]="X"), "X",IF(AND('Inserimento dati'!$B$3=$I$2, TabellaA1[[#This Row],[MAR]]="X"), "X", IF(AND('Inserimento dati'!$B$3=$J$2, TabellaA1[[#This Row],[MER]]="X"), "X",IF(AND('Inserimento dati'!$B$3=$K$2, TabellaA1[[#This Row],[GIO]]="X"), "X", IF(AND('Inserimento dati'!$B$3=$L$2, TabellaA1[[#This Row],[VEN]]="X"), "X","")))))</f>
        <v/>
      </c>
      <c r="U180" s="149"/>
      <c r="V180" s="187">
        <v>45930.833333333336</v>
      </c>
    </row>
    <row r="181" spans="1:22" s="19" customFormat="1" ht="23.25" x14ac:dyDescent="0.2">
      <c r="A181" s="112"/>
      <c r="B181" s="112"/>
      <c r="C181" s="112" t="str">
        <f>IF(OR(TabellaA1[[#This Row],[LUN]]="X",TabellaA1[[#This Row],[MAR]]="X",TabellaA1[[#This Row],[MER]]="X",TabellaA1[[#This Row],[GIO]]="X",TabellaA1[[#This Row],[VEN]]="X",),"X","")</f>
        <v/>
      </c>
      <c r="D181" s="113" t="s">
        <v>8</v>
      </c>
      <c r="E181" s="109" t="s">
        <v>2715</v>
      </c>
      <c r="F181" s="109">
        <v>100</v>
      </c>
      <c r="G181" s="109" t="s">
        <v>2716</v>
      </c>
      <c r="H181" s="111"/>
      <c r="I181" s="111"/>
      <c r="J181" s="111"/>
      <c r="K181" s="111"/>
      <c r="L181" s="111"/>
      <c r="M181" s="109" t="s">
        <v>1258</v>
      </c>
      <c r="N181" s="110"/>
      <c r="O181" s="167"/>
      <c r="P181" s="167"/>
      <c r="Q181" s="110"/>
      <c r="R181" s="110">
        <v>45895</v>
      </c>
      <c r="S181" s="110" t="s">
        <v>203</v>
      </c>
      <c r="T181" s="114" t="str">
        <f ca="1">IF(AND('Inserimento dati'!$B$3=$H$2, TabellaA1[[#This Row],[LUN]]="X"), "X",IF(AND('Inserimento dati'!$B$3=$I$2, TabellaA1[[#This Row],[MAR]]="X"), "X", IF(AND('Inserimento dati'!$B$3=$J$2, TabellaA1[[#This Row],[MER]]="X"), "X",IF(AND('Inserimento dati'!$B$3=$K$2, TabellaA1[[#This Row],[GIO]]="X"), "X", IF(AND('Inserimento dati'!$B$3=$L$2, TabellaA1[[#This Row],[VEN]]="X"), "X","")))))</f>
        <v/>
      </c>
      <c r="U181" s="149"/>
      <c r="V181" s="187">
        <v>45930.833333333336</v>
      </c>
    </row>
    <row r="182" spans="1:22" s="19" customFormat="1" ht="23.25" x14ac:dyDescent="0.2">
      <c r="A182" s="112"/>
      <c r="B182" s="112"/>
      <c r="C182" s="112" t="str">
        <f>IF(OR(TabellaA1[[#This Row],[LUN]]="X",TabellaA1[[#This Row],[MAR]]="X",TabellaA1[[#This Row],[MER]]="X",TabellaA1[[#This Row],[GIO]]="X",TabellaA1[[#This Row],[VEN]]="X",),"X","")</f>
        <v/>
      </c>
      <c r="D182" s="113" t="s">
        <v>8</v>
      </c>
      <c r="E182" s="109" t="s">
        <v>2697</v>
      </c>
      <c r="F182" s="109">
        <v>300</v>
      </c>
      <c r="G182" s="109" t="s">
        <v>2698</v>
      </c>
      <c r="H182" s="111"/>
      <c r="I182" s="111"/>
      <c r="J182" s="111"/>
      <c r="K182" s="111"/>
      <c r="L182" s="111"/>
      <c r="M182" s="109" t="s">
        <v>1258</v>
      </c>
      <c r="N182" s="110"/>
      <c r="O182" s="167"/>
      <c r="P182" s="167"/>
      <c r="Q182" s="110" t="s">
        <v>2740</v>
      </c>
      <c r="R182" s="110">
        <v>45896</v>
      </c>
      <c r="S182" s="110" t="s">
        <v>203</v>
      </c>
      <c r="T182" s="114" t="str">
        <f ca="1">IF(AND('Inserimento dati'!$B$3=$H$2, TabellaA1[[#This Row],[LUN]]="X"), "X",IF(AND('Inserimento dati'!$B$3=$I$2, TabellaA1[[#This Row],[MAR]]="X"), "X", IF(AND('Inserimento dati'!$B$3=$J$2, TabellaA1[[#This Row],[MER]]="X"), "X",IF(AND('Inserimento dati'!$B$3=$K$2, TabellaA1[[#This Row],[GIO]]="X"), "X", IF(AND('Inserimento dati'!$B$3=$L$2, TabellaA1[[#This Row],[VEN]]="X"), "X","")))))</f>
        <v/>
      </c>
      <c r="U182" s="149"/>
      <c r="V182" s="187">
        <v>45930.833333333336</v>
      </c>
    </row>
    <row r="183" spans="1:22" s="19" customFormat="1" ht="30" x14ac:dyDescent="0.2">
      <c r="A183" s="112"/>
      <c r="B183" s="112"/>
      <c r="C183" s="112" t="str">
        <f>IF(OR(TabellaA1[[#This Row],[LUN]]="X",TabellaA1[[#This Row],[MAR]]="X",TabellaA1[[#This Row],[MER]]="X",TabellaA1[[#This Row],[GIO]]="X",TabellaA1[[#This Row],[VEN]]="X",),"X","")</f>
        <v/>
      </c>
      <c r="D183" s="113" t="s">
        <v>8</v>
      </c>
      <c r="E183" s="109" t="s">
        <v>2722</v>
      </c>
      <c r="F183" s="109">
        <v>300</v>
      </c>
      <c r="G183" s="109" t="s">
        <v>2723</v>
      </c>
      <c r="H183" s="111"/>
      <c r="I183" s="111"/>
      <c r="J183" s="111"/>
      <c r="K183" s="111"/>
      <c r="L183" s="111"/>
      <c r="M183" s="109" t="s">
        <v>1258</v>
      </c>
      <c r="N183" s="110"/>
      <c r="O183" s="167"/>
      <c r="P183" s="167"/>
      <c r="Q183" s="110" t="s">
        <v>2741</v>
      </c>
      <c r="R183" s="110">
        <v>45896</v>
      </c>
      <c r="S183" s="110" t="s">
        <v>203</v>
      </c>
      <c r="T183" s="114" t="str">
        <f ca="1">IF(AND('Inserimento dati'!$B$3=$H$2, TabellaA1[[#This Row],[LUN]]="X"), "X",IF(AND('Inserimento dati'!$B$3=$I$2, TabellaA1[[#This Row],[MAR]]="X"), "X", IF(AND('Inserimento dati'!$B$3=$J$2, TabellaA1[[#This Row],[MER]]="X"), "X",IF(AND('Inserimento dati'!$B$3=$K$2, TabellaA1[[#This Row],[GIO]]="X"), "X", IF(AND('Inserimento dati'!$B$3=$L$2, TabellaA1[[#This Row],[VEN]]="X"), "X","")))))</f>
        <v/>
      </c>
      <c r="U183" s="149"/>
      <c r="V183" s="187">
        <v>45930.833333333336</v>
      </c>
    </row>
    <row r="184" spans="1:22" s="19" customFormat="1" ht="23.25" x14ac:dyDescent="0.2">
      <c r="A184" s="112"/>
      <c r="B184" s="112"/>
      <c r="C184" s="112" t="str">
        <f>IF(OR(TabellaA1[[#This Row],[LUN]]="X",TabellaA1[[#This Row],[MAR]]="X",TabellaA1[[#This Row],[MER]]="X",TabellaA1[[#This Row],[GIO]]="X",TabellaA1[[#This Row],[VEN]]="X",),"X","")</f>
        <v/>
      </c>
      <c r="D184" s="113" t="s">
        <v>8</v>
      </c>
      <c r="E184" s="109" t="s">
        <v>2648</v>
      </c>
      <c r="F184" s="109">
        <v>100</v>
      </c>
      <c r="G184" s="109" t="s">
        <v>2649</v>
      </c>
      <c r="H184" s="111"/>
      <c r="I184" s="111"/>
      <c r="J184" s="111"/>
      <c r="K184" s="111"/>
      <c r="L184" s="111"/>
      <c r="M184" s="109" t="s">
        <v>1258</v>
      </c>
      <c r="N184" s="110"/>
      <c r="O184" s="167"/>
      <c r="P184" s="167"/>
      <c r="Q184" s="110"/>
      <c r="R184" s="110">
        <v>45889</v>
      </c>
      <c r="S184" s="110" t="s">
        <v>203</v>
      </c>
      <c r="T184" s="114" t="str">
        <f ca="1">IF(AND('Inserimento dati'!$B$3=$H$2, TabellaA1[[#This Row],[LUN]]="X"), "X",IF(AND('Inserimento dati'!$B$3=$I$2, TabellaA1[[#This Row],[MAR]]="X"), "X", IF(AND('Inserimento dati'!$B$3=$J$2, TabellaA1[[#This Row],[MER]]="X"), "X",IF(AND('Inserimento dati'!$B$3=$K$2, TabellaA1[[#This Row],[GIO]]="X"), "X", IF(AND('Inserimento dati'!$B$3=$L$2, TabellaA1[[#This Row],[VEN]]="X"), "X","")))))</f>
        <v/>
      </c>
      <c r="U184" s="149"/>
      <c r="V184" s="187">
        <v>45930.833333333336</v>
      </c>
    </row>
    <row r="185" spans="1:22" s="19" customFormat="1" ht="23.25" x14ac:dyDescent="0.2">
      <c r="A185" s="112"/>
      <c r="B185" s="112"/>
      <c r="C185" s="112" t="str">
        <f>IF(OR(TabellaA1[[#This Row],[LUN]]="X",TabellaA1[[#This Row],[MAR]]="X",TabellaA1[[#This Row],[MER]]="X",TabellaA1[[#This Row],[GIO]]="X",TabellaA1[[#This Row],[VEN]]="X",),"X","")</f>
        <v/>
      </c>
      <c r="D185" s="113" t="s">
        <v>8</v>
      </c>
      <c r="E185" s="109" t="s">
        <v>2730</v>
      </c>
      <c r="F185" s="109">
        <v>100</v>
      </c>
      <c r="G185" s="109" t="s">
        <v>2731</v>
      </c>
      <c r="H185" s="111"/>
      <c r="I185" s="111"/>
      <c r="J185" s="111"/>
      <c r="K185" s="111"/>
      <c r="L185" s="111"/>
      <c r="M185" s="109" t="s">
        <v>1258</v>
      </c>
      <c r="N185" s="110"/>
      <c r="O185" s="167"/>
      <c r="P185" s="167"/>
      <c r="Q185" s="110"/>
      <c r="R185" s="110">
        <v>45897</v>
      </c>
      <c r="S185" s="110" t="s">
        <v>203</v>
      </c>
      <c r="T185" s="114" t="str">
        <f ca="1">IF(AND('Inserimento dati'!$B$3=$H$2, TabellaA1[[#This Row],[LUN]]="X"), "X",IF(AND('Inserimento dati'!$B$3=$I$2, TabellaA1[[#This Row],[MAR]]="X"), "X", IF(AND('Inserimento dati'!$B$3=$J$2, TabellaA1[[#This Row],[MER]]="X"), "X",IF(AND('Inserimento dati'!$B$3=$K$2, TabellaA1[[#This Row],[GIO]]="X"), "X", IF(AND('Inserimento dati'!$B$3=$L$2, TabellaA1[[#This Row],[VEN]]="X"), "X","")))))</f>
        <v/>
      </c>
      <c r="U185" s="149"/>
      <c r="V185" s="187">
        <v>45930.833333333336</v>
      </c>
    </row>
    <row r="186" spans="1:22" s="19" customFormat="1" ht="30" x14ac:dyDescent="0.2">
      <c r="A186" s="112"/>
      <c r="B186" s="112"/>
      <c r="C186" s="112" t="str">
        <f>IF(OR(TabellaA1[[#This Row],[LUN]]="X",TabellaA1[[#This Row],[MAR]]="X",TabellaA1[[#This Row],[MER]]="X",TabellaA1[[#This Row],[GIO]]="X",TabellaA1[[#This Row],[VEN]]="X",),"X","")</f>
        <v/>
      </c>
      <c r="D186" s="113" t="s">
        <v>8</v>
      </c>
      <c r="E186" s="109" t="s">
        <v>2732</v>
      </c>
      <c r="F186" s="109">
        <v>900</v>
      </c>
      <c r="G186" s="109" t="s">
        <v>2733</v>
      </c>
      <c r="H186" s="111"/>
      <c r="I186" s="111"/>
      <c r="J186" s="111"/>
      <c r="K186" s="111"/>
      <c r="L186" s="111"/>
      <c r="M186" s="109" t="s">
        <v>1258</v>
      </c>
      <c r="N186" s="110"/>
      <c r="O186" s="167"/>
      <c r="P186" s="167"/>
      <c r="Q186" s="110" t="s">
        <v>149</v>
      </c>
      <c r="R186" s="110">
        <v>45897</v>
      </c>
      <c r="S186" s="110" t="s">
        <v>211</v>
      </c>
      <c r="T186" s="114" t="str">
        <f ca="1">IF(AND('Inserimento dati'!$B$3=$H$2, TabellaA1[[#This Row],[LUN]]="X"), "X",IF(AND('Inserimento dati'!$B$3=$I$2, TabellaA1[[#This Row],[MAR]]="X"), "X", IF(AND('Inserimento dati'!$B$3=$J$2, TabellaA1[[#This Row],[MER]]="X"), "X",IF(AND('Inserimento dati'!$B$3=$K$2, TabellaA1[[#This Row],[GIO]]="X"), "X", IF(AND('Inserimento dati'!$B$3=$L$2, TabellaA1[[#This Row],[VEN]]="X"), "X","")))))</f>
        <v/>
      </c>
      <c r="U186" s="149"/>
      <c r="V186" s="187">
        <v>45930.833333333336</v>
      </c>
    </row>
    <row r="187" spans="1:22" s="19" customFormat="1" ht="23.25" x14ac:dyDescent="0.2">
      <c r="A187" s="112"/>
      <c r="B187" s="112"/>
      <c r="C187" s="112" t="str">
        <f>IF(OR(TabellaA1[[#This Row],[LUN]]="X",TabellaA1[[#This Row],[MAR]]="X",TabellaA1[[#This Row],[MER]]="X",TabellaA1[[#This Row],[GIO]]="X",TabellaA1[[#This Row],[VEN]]="X",),"X","")</f>
        <v/>
      </c>
      <c r="D187" s="113" t="s">
        <v>8</v>
      </c>
      <c r="E187" s="109" t="s">
        <v>2746</v>
      </c>
      <c r="F187" s="109">
        <v>400</v>
      </c>
      <c r="G187" s="109" t="s">
        <v>2747</v>
      </c>
      <c r="H187" s="111"/>
      <c r="I187" s="111"/>
      <c r="J187" s="111"/>
      <c r="K187" s="111"/>
      <c r="L187" s="111"/>
      <c r="M187" s="109" t="s">
        <v>1258</v>
      </c>
      <c r="N187" s="110"/>
      <c r="O187" s="167"/>
      <c r="P187" s="167"/>
      <c r="Q187" s="110"/>
      <c r="R187" s="110">
        <v>45898</v>
      </c>
      <c r="S187" s="110" t="s">
        <v>203</v>
      </c>
      <c r="T187" s="114" t="str">
        <f ca="1">IF(AND('Inserimento dati'!$B$3=$H$2, TabellaA1[[#This Row],[LUN]]="X"), "X",IF(AND('Inserimento dati'!$B$3=$I$2, TabellaA1[[#This Row],[MAR]]="X"), "X", IF(AND('Inserimento dati'!$B$3=$J$2, TabellaA1[[#This Row],[MER]]="X"), "X",IF(AND('Inserimento dati'!$B$3=$K$2, TabellaA1[[#This Row],[GIO]]="X"), "X", IF(AND('Inserimento dati'!$B$3=$L$2, TabellaA1[[#This Row],[VEN]]="X"), "X","")))))</f>
        <v/>
      </c>
      <c r="U187" s="149"/>
      <c r="V187" s="187">
        <v>45930.833333333336</v>
      </c>
    </row>
    <row r="188" spans="1:22" s="19" customFormat="1" ht="30" x14ac:dyDescent="0.2">
      <c r="A188" s="112"/>
      <c r="B188" s="112"/>
      <c r="C188" s="112" t="str">
        <f>IF(OR(TabellaA1[[#This Row],[LUN]]="X",TabellaA1[[#This Row],[MAR]]="X",TabellaA1[[#This Row],[MER]]="X",TabellaA1[[#This Row],[GIO]]="X",TabellaA1[[#This Row],[VEN]]="X",),"X","")</f>
        <v/>
      </c>
      <c r="D188" s="113" t="s">
        <v>8</v>
      </c>
      <c r="E188" s="109" t="s">
        <v>2734</v>
      </c>
      <c r="F188" s="109">
        <v>900</v>
      </c>
      <c r="G188" s="109" t="s">
        <v>2735</v>
      </c>
      <c r="H188" s="111"/>
      <c r="I188" s="111"/>
      <c r="J188" s="111"/>
      <c r="K188" s="111"/>
      <c r="L188" s="111"/>
      <c r="M188" s="109" t="s">
        <v>1258</v>
      </c>
      <c r="N188" s="110"/>
      <c r="O188" s="167"/>
      <c r="P188" s="167"/>
      <c r="Q188" s="110" t="s">
        <v>2752</v>
      </c>
      <c r="R188" s="110">
        <v>45898</v>
      </c>
      <c r="S188" s="110" t="s">
        <v>203</v>
      </c>
      <c r="T188" s="114" t="str">
        <f ca="1">IF(AND('Inserimento dati'!$B$3=$H$2, TabellaA1[[#This Row],[LUN]]="X"), "X",IF(AND('Inserimento dati'!$B$3=$I$2, TabellaA1[[#This Row],[MAR]]="X"), "X", IF(AND('Inserimento dati'!$B$3=$J$2, TabellaA1[[#This Row],[MER]]="X"), "X",IF(AND('Inserimento dati'!$B$3=$K$2, TabellaA1[[#This Row],[GIO]]="X"), "X", IF(AND('Inserimento dati'!$B$3=$L$2, TabellaA1[[#This Row],[VEN]]="X"), "X","")))))</f>
        <v/>
      </c>
      <c r="U188" s="149"/>
      <c r="V188" s="187">
        <v>45930.833333333336</v>
      </c>
    </row>
    <row r="189" spans="1:22" s="19" customFormat="1" ht="23.25" x14ac:dyDescent="0.2">
      <c r="A189" s="112"/>
      <c r="B189" s="112"/>
      <c r="C189" s="112" t="str">
        <f>IF(OR(TabellaA1[[#This Row],[LUN]]="X",TabellaA1[[#This Row],[MAR]]="X",TabellaA1[[#This Row],[MER]]="X",TabellaA1[[#This Row],[GIO]]="X",TabellaA1[[#This Row],[VEN]]="X",),"X","")</f>
        <v/>
      </c>
      <c r="D189" s="113" t="s">
        <v>8</v>
      </c>
      <c r="E189" s="109" t="s">
        <v>2754</v>
      </c>
      <c r="F189" s="109">
        <v>900</v>
      </c>
      <c r="G189" s="109" t="s">
        <v>2755</v>
      </c>
      <c r="H189" s="111"/>
      <c r="I189" s="111"/>
      <c r="J189" s="111"/>
      <c r="K189" s="111"/>
      <c r="L189" s="111"/>
      <c r="M189" s="109" t="s">
        <v>1258</v>
      </c>
      <c r="N189" s="110"/>
      <c r="O189" s="167"/>
      <c r="P189" s="167"/>
      <c r="Q189" s="110" t="s">
        <v>2780</v>
      </c>
      <c r="R189" s="110">
        <v>45901</v>
      </c>
      <c r="S189" s="110" t="s">
        <v>203</v>
      </c>
      <c r="T189" s="114" t="str">
        <f ca="1">IF(AND('Inserimento dati'!$B$3=$H$2, TabellaA1[[#This Row],[LUN]]="X"), "X",IF(AND('Inserimento dati'!$B$3=$I$2, TabellaA1[[#This Row],[MAR]]="X"), "X", IF(AND('Inserimento dati'!$B$3=$J$2, TabellaA1[[#This Row],[MER]]="X"), "X",IF(AND('Inserimento dati'!$B$3=$K$2, TabellaA1[[#This Row],[GIO]]="X"), "X", IF(AND('Inserimento dati'!$B$3=$L$2, TabellaA1[[#This Row],[VEN]]="X"), "X","")))))</f>
        <v/>
      </c>
      <c r="U189" s="149"/>
      <c r="V189" s="187">
        <v>45930.833333333336</v>
      </c>
    </row>
    <row r="190" spans="1:22" s="19" customFormat="1" ht="23.25" x14ac:dyDescent="0.2">
      <c r="A190" s="112"/>
      <c r="B190" s="112"/>
      <c r="C190" s="112" t="str">
        <f>IF(OR(TabellaA1[[#This Row],[LUN]]="X",TabellaA1[[#This Row],[MAR]]="X",TabellaA1[[#This Row],[MER]]="X",TabellaA1[[#This Row],[GIO]]="X",TabellaA1[[#This Row],[VEN]]="X",),"X","")</f>
        <v/>
      </c>
      <c r="D190" s="113" t="s">
        <v>8</v>
      </c>
      <c r="E190" s="109" t="s">
        <v>2784</v>
      </c>
      <c r="F190" s="109" t="s">
        <v>483</v>
      </c>
      <c r="G190" s="109" t="s">
        <v>2785</v>
      </c>
      <c r="H190" s="111"/>
      <c r="I190" s="111"/>
      <c r="J190" s="111"/>
      <c r="K190" s="111"/>
      <c r="L190" s="111"/>
      <c r="M190" s="109" t="s">
        <v>1258</v>
      </c>
      <c r="N190" s="110"/>
      <c r="O190" s="167"/>
      <c r="P190" s="167"/>
      <c r="Q190" s="110" t="s">
        <v>2802</v>
      </c>
      <c r="R190" s="110">
        <v>45903</v>
      </c>
      <c r="S190" s="110" t="s">
        <v>203</v>
      </c>
      <c r="T190" s="114" t="str">
        <f ca="1">IF(AND('Inserimento dati'!$B$3=$H$2, TabellaA1[[#This Row],[LUN]]="X"), "X",IF(AND('Inserimento dati'!$B$3=$I$2, TabellaA1[[#This Row],[MAR]]="X"), "X", IF(AND('Inserimento dati'!$B$3=$J$2, TabellaA1[[#This Row],[MER]]="X"), "X",IF(AND('Inserimento dati'!$B$3=$K$2, TabellaA1[[#This Row],[GIO]]="X"), "X", IF(AND('Inserimento dati'!$B$3=$L$2, TabellaA1[[#This Row],[VEN]]="X"), "X","")))))</f>
        <v/>
      </c>
      <c r="U190" s="149"/>
      <c r="V190" s="187">
        <v>45930.833333333336</v>
      </c>
    </row>
    <row r="191" spans="1:22" s="19" customFormat="1" ht="23.25" x14ac:dyDescent="0.2">
      <c r="A191" s="112"/>
      <c r="B191" s="112"/>
      <c r="C191" s="112" t="str">
        <f>IF(OR(TabellaA1[[#This Row],[LUN]]="X",TabellaA1[[#This Row],[MAR]]="X",TabellaA1[[#This Row],[MER]]="X",TabellaA1[[#This Row],[GIO]]="X",TabellaA1[[#This Row],[VEN]]="X",),"X","")</f>
        <v/>
      </c>
      <c r="D191" s="113" t="s">
        <v>8</v>
      </c>
      <c r="E191" s="109" t="s">
        <v>2758</v>
      </c>
      <c r="F191" s="109">
        <v>200</v>
      </c>
      <c r="G191" s="109" t="s">
        <v>2759</v>
      </c>
      <c r="H191" s="111"/>
      <c r="I191" s="111"/>
      <c r="J191" s="111"/>
      <c r="K191" s="111"/>
      <c r="L191" s="111"/>
      <c r="M191" s="109" t="s">
        <v>1258</v>
      </c>
      <c r="N191" s="110"/>
      <c r="O191" s="167"/>
      <c r="P191" s="167"/>
      <c r="Q191" s="110"/>
      <c r="R191" s="110"/>
      <c r="S191" s="110"/>
      <c r="T191" s="114" t="str">
        <f ca="1">IF(AND('Inserimento dati'!$B$3=$H$2, TabellaA1[[#This Row],[LUN]]="X"), "X",IF(AND('Inserimento dati'!$B$3=$I$2, TabellaA1[[#This Row],[MAR]]="X"), "X", IF(AND('Inserimento dati'!$B$3=$J$2, TabellaA1[[#This Row],[MER]]="X"), "X",IF(AND('Inserimento dati'!$B$3=$K$2, TabellaA1[[#This Row],[GIO]]="X"), "X", IF(AND('Inserimento dati'!$B$3=$L$2, TabellaA1[[#This Row],[VEN]]="X"), "X","")))))</f>
        <v/>
      </c>
      <c r="U191" s="149"/>
      <c r="V191" s="187">
        <v>45930.833333333336</v>
      </c>
    </row>
    <row r="192" spans="1:22" s="19" customFormat="1" ht="23.25" x14ac:dyDescent="0.2">
      <c r="A192" s="112"/>
      <c r="B192" s="112"/>
      <c r="C192" s="112" t="str">
        <f>IF(OR(TabellaA1[[#This Row],[LUN]]="X",TabellaA1[[#This Row],[MAR]]="X",TabellaA1[[#This Row],[MER]]="X",TabellaA1[[#This Row],[GIO]]="X",TabellaA1[[#This Row],[VEN]]="X",),"X","")</f>
        <v/>
      </c>
      <c r="D192" s="113" t="s">
        <v>8</v>
      </c>
      <c r="E192" s="109" t="s">
        <v>2821</v>
      </c>
      <c r="F192" s="109">
        <v>100</v>
      </c>
      <c r="G192" s="109" t="s">
        <v>2822</v>
      </c>
      <c r="H192" s="111"/>
      <c r="I192" s="111"/>
      <c r="J192" s="111"/>
      <c r="K192" s="111"/>
      <c r="L192" s="111"/>
      <c r="M192" s="109" t="s">
        <v>1258</v>
      </c>
      <c r="N192" s="110"/>
      <c r="O192" s="167"/>
      <c r="P192" s="167"/>
      <c r="Q192" s="110"/>
      <c r="R192" s="110"/>
      <c r="S192" s="110"/>
      <c r="T192" s="114" t="str">
        <f ca="1">IF(AND('Inserimento dati'!$B$3=$H$2, TabellaA1[[#This Row],[LUN]]="X"), "X",IF(AND('Inserimento dati'!$B$3=$I$2, TabellaA1[[#This Row],[MAR]]="X"), "X", IF(AND('Inserimento dati'!$B$3=$J$2, TabellaA1[[#This Row],[MER]]="X"), "X",IF(AND('Inserimento dati'!$B$3=$K$2, TabellaA1[[#This Row],[GIO]]="X"), "X", IF(AND('Inserimento dati'!$B$3=$L$2, TabellaA1[[#This Row],[VEN]]="X"), "X","")))))</f>
        <v/>
      </c>
      <c r="U192" s="149"/>
      <c r="V192" s="187">
        <v>45930.833333333336</v>
      </c>
    </row>
    <row r="193" spans="1:22" s="19" customFormat="1" ht="30" x14ac:dyDescent="0.2">
      <c r="A193" s="112"/>
      <c r="B193" s="112"/>
      <c r="C193" s="112" t="str">
        <f>IF(OR(TabellaA1[[#This Row],[LUN]]="X",TabellaA1[[#This Row],[MAR]]="X",TabellaA1[[#This Row],[MER]]="X",TabellaA1[[#This Row],[GIO]]="X",TabellaA1[[#This Row],[VEN]]="X",),"X","")</f>
        <v/>
      </c>
      <c r="D193" s="113" t="s">
        <v>8</v>
      </c>
      <c r="E193" s="109" t="s">
        <v>2812</v>
      </c>
      <c r="F193" s="109">
        <v>100</v>
      </c>
      <c r="G193" s="109" t="s">
        <v>2813</v>
      </c>
      <c r="H193" s="111"/>
      <c r="I193" s="111"/>
      <c r="J193" s="111"/>
      <c r="K193" s="111"/>
      <c r="L193" s="111"/>
      <c r="M193" s="109" t="s">
        <v>1258</v>
      </c>
      <c r="N193" s="110"/>
      <c r="O193" s="167"/>
      <c r="P193" s="167"/>
      <c r="Q193" s="110"/>
      <c r="R193" s="110"/>
      <c r="S193" s="110"/>
      <c r="T193" s="114" t="str">
        <f ca="1">IF(AND('Inserimento dati'!$B$3=$H$2, TabellaA1[[#This Row],[LUN]]="X"), "X",IF(AND('Inserimento dati'!$B$3=$I$2, TabellaA1[[#This Row],[MAR]]="X"), "X", IF(AND('Inserimento dati'!$B$3=$J$2, TabellaA1[[#This Row],[MER]]="X"), "X",IF(AND('Inserimento dati'!$B$3=$K$2, TabellaA1[[#This Row],[GIO]]="X"), "X", IF(AND('Inserimento dati'!$B$3=$L$2, TabellaA1[[#This Row],[VEN]]="X"), "X","")))))</f>
        <v/>
      </c>
      <c r="U193" s="149"/>
      <c r="V193" s="187">
        <v>45930.833333333336</v>
      </c>
    </row>
    <row r="194" spans="1:22" s="19" customFormat="1" ht="23.25" x14ac:dyDescent="0.2">
      <c r="A194" s="112"/>
      <c r="B194" s="112"/>
      <c r="C194" s="112" t="str">
        <f>IF(OR(TabellaA1[[#This Row],[LUN]]="X",TabellaA1[[#This Row],[MAR]]="X",TabellaA1[[#This Row],[MER]]="X",TabellaA1[[#This Row],[GIO]]="X",TabellaA1[[#This Row],[VEN]]="X",),"X","")</f>
        <v/>
      </c>
      <c r="D194" s="113" t="s">
        <v>8</v>
      </c>
      <c r="E194" s="109" t="s">
        <v>2831</v>
      </c>
      <c r="F194" s="109">
        <v>100</v>
      </c>
      <c r="G194" s="109" t="s">
        <v>2832</v>
      </c>
      <c r="H194" s="111"/>
      <c r="I194" s="111"/>
      <c r="J194" s="111"/>
      <c r="K194" s="111"/>
      <c r="L194" s="111"/>
      <c r="M194" s="109" t="s">
        <v>1258</v>
      </c>
      <c r="N194" s="110"/>
      <c r="O194" s="167"/>
      <c r="P194" s="167"/>
      <c r="Q194" s="110" t="s">
        <v>1640</v>
      </c>
      <c r="R194" s="110">
        <v>45905</v>
      </c>
      <c r="S194" s="110" t="s">
        <v>203</v>
      </c>
      <c r="T194" s="114" t="str">
        <f ca="1">IF(AND('Inserimento dati'!$B$3=$H$2, TabellaA1[[#This Row],[LUN]]="X"), "X",IF(AND('Inserimento dati'!$B$3=$I$2, TabellaA1[[#This Row],[MAR]]="X"), "X", IF(AND('Inserimento dati'!$B$3=$J$2, TabellaA1[[#This Row],[MER]]="X"), "X",IF(AND('Inserimento dati'!$B$3=$K$2, TabellaA1[[#This Row],[GIO]]="X"), "X", IF(AND('Inserimento dati'!$B$3=$L$2, TabellaA1[[#This Row],[VEN]]="X"), "X","")))))</f>
        <v/>
      </c>
      <c r="U194" s="149"/>
      <c r="V194" s="187">
        <v>45930.833333333336</v>
      </c>
    </row>
    <row r="195" spans="1:22" s="19" customFormat="1" ht="23.25" x14ac:dyDescent="0.2">
      <c r="A195" s="112"/>
      <c r="B195" s="112"/>
      <c r="C195" s="112" t="str">
        <f>IF(OR(TabellaA1[[#This Row],[LUN]]="X",TabellaA1[[#This Row],[MAR]]="X",TabellaA1[[#This Row],[MER]]="X",TabellaA1[[#This Row],[GIO]]="X",TabellaA1[[#This Row],[VEN]]="X",),"X","")</f>
        <v/>
      </c>
      <c r="D195" s="113" t="s">
        <v>8</v>
      </c>
      <c r="E195" s="109" t="s">
        <v>2833</v>
      </c>
      <c r="F195" s="109">
        <v>100</v>
      </c>
      <c r="G195" s="109" t="s">
        <v>2834</v>
      </c>
      <c r="H195" s="111"/>
      <c r="I195" s="111"/>
      <c r="J195" s="111"/>
      <c r="K195" s="111"/>
      <c r="L195" s="111"/>
      <c r="M195" s="109" t="s">
        <v>1258</v>
      </c>
      <c r="N195" s="110"/>
      <c r="O195" s="167"/>
      <c r="P195" s="167"/>
      <c r="Q195" s="110"/>
      <c r="R195" s="110">
        <v>45905</v>
      </c>
      <c r="S195" s="110" t="s">
        <v>203</v>
      </c>
      <c r="T195" s="114" t="str">
        <f ca="1">IF(AND('Inserimento dati'!$B$3=$H$2, TabellaA1[[#This Row],[LUN]]="X"), "X",IF(AND('Inserimento dati'!$B$3=$I$2, TabellaA1[[#This Row],[MAR]]="X"), "X", IF(AND('Inserimento dati'!$B$3=$J$2, TabellaA1[[#This Row],[MER]]="X"), "X",IF(AND('Inserimento dati'!$B$3=$K$2, TabellaA1[[#This Row],[GIO]]="X"), "X", IF(AND('Inserimento dati'!$B$3=$L$2, TabellaA1[[#This Row],[VEN]]="X"), "X","")))))</f>
        <v/>
      </c>
      <c r="U195" s="149"/>
      <c r="V195" s="187">
        <v>45930.833333333336</v>
      </c>
    </row>
    <row r="196" spans="1:22" s="19" customFormat="1" ht="23.25" x14ac:dyDescent="0.2">
      <c r="A196" s="112"/>
      <c r="B196" s="112"/>
      <c r="C196" s="112" t="str">
        <f>IF(OR(TabellaA1[[#This Row],[LUN]]="X",TabellaA1[[#This Row],[MAR]]="X",TabellaA1[[#This Row],[MER]]="X",TabellaA1[[#This Row],[GIO]]="X",TabellaA1[[#This Row],[VEN]]="X",),"X","")</f>
        <v/>
      </c>
      <c r="D196" s="113" t="s">
        <v>8</v>
      </c>
      <c r="E196" s="109" t="s">
        <v>2852</v>
      </c>
      <c r="F196" s="109">
        <v>100</v>
      </c>
      <c r="G196" s="109" t="s">
        <v>2853</v>
      </c>
      <c r="H196" s="111"/>
      <c r="I196" s="111"/>
      <c r="J196" s="111"/>
      <c r="K196" s="111"/>
      <c r="L196" s="111"/>
      <c r="M196" s="109" t="s">
        <v>1258</v>
      </c>
      <c r="N196" s="110"/>
      <c r="O196" s="167"/>
      <c r="P196" s="167"/>
      <c r="Q196" s="110" t="s">
        <v>1640</v>
      </c>
      <c r="R196" s="110">
        <v>45908</v>
      </c>
      <c r="S196" s="110" t="s">
        <v>2608</v>
      </c>
      <c r="T196" s="114" t="str">
        <f ca="1">IF(AND('Inserimento dati'!$B$3=$H$2, TabellaA1[[#This Row],[LUN]]="X"), "X",IF(AND('Inserimento dati'!$B$3=$I$2, TabellaA1[[#This Row],[MAR]]="X"), "X", IF(AND('Inserimento dati'!$B$3=$J$2, TabellaA1[[#This Row],[MER]]="X"), "X",IF(AND('Inserimento dati'!$B$3=$K$2, TabellaA1[[#This Row],[GIO]]="X"), "X", IF(AND('Inserimento dati'!$B$3=$L$2, TabellaA1[[#This Row],[VEN]]="X"), "X","")))))</f>
        <v/>
      </c>
      <c r="U196" s="149"/>
      <c r="V196" s="187">
        <v>45930.833333333336</v>
      </c>
    </row>
    <row r="197" spans="1:22" s="19" customFormat="1" ht="30" x14ac:dyDescent="0.2">
      <c r="A197" s="112"/>
      <c r="B197" s="112"/>
      <c r="C197" s="112" t="str">
        <f>IF(OR(TabellaA1[[#This Row],[LUN]]="X",TabellaA1[[#This Row],[MAR]]="X",TabellaA1[[#This Row],[MER]]="X",TabellaA1[[#This Row],[GIO]]="X",TabellaA1[[#This Row],[VEN]]="X",),"X","")</f>
        <v/>
      </c>
      <c r="D197" s="113" t="s">
        <v>8</v>
      </c>
      <c r="E197" s="109" t="s">
        <v>2859</v>
      </c>
      <c r="F197" s="109">
        <v>100</v>
      </c>
      <c r="G197" s="109" t="s">
        <v>2860</v>
      </c>
      <c r="H197" s="111"/>
      <c r="I197" s="111"/>
      <c r="J197" s="111"/>
      <c r="K197" s="111"/>
      <c r="L197" s="111"/>
      <c r="M197" s="109" t="s">
        <v>1258</v>
      </c>
      <c r="N197" s="110"/>
      <c r="O197" s="167"/>
      <c r="P197" s="167"/>
      <c r="Q197" s="110"/>
      <c r="R197" s="110"/>
      <c r="S197" s="110"/>
      <c r="T197" s="114" t="str">
        <f ca="1">IF(AND('Inserimento dati'!$B$3=$H$2, TabellaA1[[#This Row],[LUN]]="X"), "X",IF(AND('Inserimento dati'!$B$3=$I$2, TabellaA1[[#This Row],[MAR]]="X"), "X", IF(AND('Inserimento dati'!$B$3=$J$2, TabellaA1[[#This Row],[MER]]="X"), "X",IF(AND('Inserimento dati'!$B$3=$K$2, TabellaA1[[#This Row],[GIO]]="X"), "X", IF(AND('Inserimento dati'!$B$3=$L$2, TabellaA1[[#This Row],[VEN]]="X"), "X","")))))</f>
        <v/>
      </c>
      <c r="U197" s="149"/>
      <c r="V197" s="187">
        <v>45930.833333333336</v>
      </c>
    </row>
    <row r="198" spans="1:22" s="19" customFormat="1" ht="30" x14ac:dyDescent="0.2">
      <c r="A198" s="112"/>
      <c r="B198" s="112"/>
      <c r="C198" s="112" t="str">
        <f>IF(OR(TabellaA1[[#This Row],[LUN]]="X",TabellaA1[[#This Row],[MAR]]="X",TabellaA1[[#This Row],[MER]]="X",TabellaA1[[#This Row],[GIO]]="X",TabellaA1[[#This Row],[VEN]]="X",),"X","")</f>
        <v/>
      </c>
      <c r="D198" s="113" t="s">
        <v>8</v>
      </c>
      <c r="E198" s="109" t="s">
        <v>2886</v>
      </c>
      <c r="F198" s="109">
        <v>100</v>
      </c>
      <c r="G198" s="109" t="s">
        <v>2887</v>
      </c>
      <c r="H198" s="111"/>
      <c r="I198" s="111"/>
      <c r="J198" s="111"/>
      <c r="K198" s="111"/>
      <c r="L198" s="111"/>
      <c r="M198" s="109" t="s">
        <v>1258</v>
      </c>
      <c r="N198" s="110"/>
      <c r="O198" s="167"/>
      <c r="P198" s="167"/>
      <c r="Q198" s="110" t="s">
        <v>2926</v>
      </c>
      <c r="R198" s="110">
        <v>45911</v>
      </c>
      <c r="S198" s="110" t="s">
        <v>2603</v>
      </c>
      <c r="T198" s="114" t="str">
        <f ca="1">IF(AND('Inserimento dati'!$B$3=$H$2, TabellaA1[[#This Row],[LUN]]="X"), "X",IF(AND('Inserimento dati'!$B$3=$I$2, TabellaA1[[#This Row],[MAR]]="X"), "X", IF(AND('Inserimento dati'!$B$3=$J$2, TabellaA1[[#This Row],[MER]]="X"), "X",IF(AND('Inserimento dati'!$B$3=$K$2, TabellaA1[[#This Row],[GIO]]="X"), "X", IF(AND('Inserimento dati'!$B$3=$L$2, TabellaA1[[#This Row],[VEN]]="X"), "X","")))))</f>
        <v/>
      </c>
      <c r="U198" s="149"/>
      <c r="V198" s="187">
        <v>45930.833333333336</v>
      </c>
    </row>
    <row r="199" spans="1:22" s="19" customFormat="1" ht="30" x14ac:dyDescent="0.2">
      <c r="A199" s="112"/>
      <c r="B199" s="112"/>
      <c r="C199" s="112" t="str">
        <f>IF(OR(TabellaA1[[#This Row],[LUN]]="X",TabellaA1[[#This Row],[MAR]]="X",TabellaA1[[#This Row],[MER]]="X",TabellaA1[[#This Row],[GIO]]="X",TabellaA1[[#This Row],[VEN]]="X",),"X","")</f>
        <v/>
      </c>
      <c r="D199" s="113" t="s">
        <v>8</v>
      </c>
      <c r="E199" s="109" t="s">
        <v>2858</v>
      </c>
      <c r="F199" s="109">
        <v>100</v>
      </c>
      <c r="G199" s="109" t="s">
        <v>2217</v>
      </c>
      <c r="H199" s="111"/>
      <c r="I199" s="111"/>
      <c r="J199" s="111"/>
      <c r="K199" s="111"/>
      <c r="L199" s="111"/>
      <c r="M199" s="109" t="s">
        <v>1258</v>
      </c>
      <c r="N199" s="110"/>
      <c r="O199" s="167"/>
      <c r="P199" s="167"/>
      <c r="Q199" s="110" t="s">
        <v>2985</v>
      </c>
      <c r="R199" s="110">
        <v>45915</v>
      </c>
      <c r="S199" s="110" t="s">
        <v>203</v>
      </c>
      <c r="T199" s="114" t="str">
        <f ca="1">IF(AND('Inserimento dati'!$B$3=$H$2, TabellaA1[[#This Row],[LUN]]="X"), "X",IF(AND('Inserimento dati'!$B$3=$I$2, TabellaA1[[#This Row],[MAR]]="X"), "X", IF(AND('Inserimento dati'!$B$3=$J$2, TabellaA1[[#This Row],[MER]]="X"), "X",IF(AND('Inserimento dati'!$B$3=$K$2, TabellaA1[[#This Row],[GIO]]="X"), "X", IF(AND('Inserimento dati'!$B$3=$L$2, TabellaA1[[#This Row],[VEN]]="X"), "X","")))))</f>
        <v/>
      </c>
      <c r="U199" s="149"/>
      <c r="V199" s="187">
        <v>45930.833333333336</v>
      </c>
    </row>
    <row r="200" spans="1:22" s="19" customFormat="1" ht="45" x14ac:dyDescent="0.2">
      <c r="A200" s="112"/>
      <c r="B200" s="112"/>
      <c r="C200" s="112" t="str">
        <f>IF(OR(TabellaA1[[#This Row],[LUN]]="X",TabellaA1[[#This Row],[MAR]]="X",TabellaA1[[#This Row],[MER]]="X",TabellaA1[[#This Row],[GIO]]="X",TabellaA1[[#This Row],[VEN]]="X",),"X","")</f>
        <v/>
      </c>
      <c r="D200" s="113" t="s">
        <v>8</v>
      </c>
      <c r="E200" s="109" t="s">
        <v>2854</v>
      </c>
      <c r="F200" s="109">
        <v>100</v>
      </c>
      <c r="G200" s="109" t="s">
        <v>2855</v>
      </c>
      <c r="H200" s="111"/>
      <c r="I200" s="111"/>
      <c r="J200" s="111"/>
      <c r="K200" s="111"/>
      <c r="L200" s="111"/>
      <c r="M200" s="109" t="s">
        <v>1258</v>
      </c>
      <c r="N200" s="110"/>
      <c r="O200" s="167"/>
      <c r="P200" s="167"/>
      <c r="Q200" s="110" t="s">
        <v>2984</v>
      </c>
      <c r="R200" s="110">
        <v>45916</v>
      </c>
      <c r="S200" s="110" t="s">
        <v>203</v>
      </c>
      <c r="T200" s="114" t="str">
        <f ca="1">IF(AND('Inserimento dati'!$B$3=$H$2, TabellaA1[[#This Row],[LUN]]="X"), "X",IF(AND('Inserimento dati'!$B$3=$I$2, TabellaA1[[#This Row],[MAR]]="X"), "X", IF(AND('Inserimento dati'!$B$3=$J$2, TabellaA1[[#This Row],[MER]]="X"), "X",IF(AND('Inserimento dati'!$B$3=$K$2, TabellaA1[[#This Row],[GIO]]="X"), "X", IF(AND('Inserimento dati'!$B$3=$L$2, TabellaA1[[#This Row],[VEN]]="X"), "X","")))))</f>
        <v/>
      </c>
      <c r="U200" s="149"/>
      <c r="V200" s="187">
        <v>45930.833333333336</v>
      </c>
    </row>
    <row r="201" spans="1:22" s="19" customFormat="1" ht="23.25" x14ac:dyDescent="0.2">
      <c r="A201" s="112"/>
      <c r="B201" s="112"/>
      <c r="C201" s="112" t="str">
        <f>IF(OR(TabellaA1[[#This Row],[LUN]]="X",TabellaA1[[#This Row],[MAR]]="X",TabellaA1[[#This Row],[MER]]="X",TabellaA1[[#This Row],[GIO]]="X",TabellaA1[[#This Row],[VEN]]="X",),"X","")</f>
        <v/>
      </c>
      <c r="D201" s="113" t="s">
        <v>8</v>
      </c>
      <c r="E201" s="109" t="s">
        <v>3027</v>
      </c>
      <c r="F201" s="109">
        <v>100</v>
      </c>
      <c r="G201" s="109" t="s">
        <v>3028</v>
      </c>
      <c r="H201" s="111"/>
      <c r="I201" s="111"/>
      <c r="J201" s="111"/>
      <c r="K201" s="111"/>
      <c r="L201" s="111"/>
      <c r="M201" s="109" t="s">
        <v>1258</v>
      </c>
      <c r="N201" s="110"/>
      <c r="O201" s="167"/>
      <c r="P201" s="167"/>
      <c r="Q201" s="110" t="s">
        <v>3040</v>
      </c>
      <c r="R201" s="110">
        <v>45922</v>
      </c>
      <c r="S201" s="110" t="s">
        <v>203</v>
      </c>
      <c r="T201" s="114" t="str">
        <f ca="1">IF(AND('Inserimento dati'!$B$3=$H$2, TabellaA1[[#This Row],[LUN]]="X"), "X",IF(AND('Inserimento dati'!$B$3=$I$2, TabellaA1[[#This Row],[MAR]]="X"), "X", IF(AND('Inserimento dati'!$B$3=$J$2, TabellaA1[[#This Row],[MER]]="X"), "X",IF(AND('Inserimento dati'!$B$3=$K$2, TabellaA1[[#This Row],[GIO]]="X"), "X", IF(AND('Inserimento dati'!$B$3=$L$2, TabellaA1[[#This Row],[VEN]]="X"), "X","")))))</f>
        <v/>
      </c>
      <c r="U201" s="149"/>
      <c r="V201" s="187">
        <v>45930.833333333336</v>
      </c>
    </row>
    <row r="202" spans="1:22" s="19" customFormat="1" ht="23.25" x14ac:dyDescent="0.2">
      <c r="A202" s="112"/>
      <c r="B202" s="112"/>
      <c r="C202" s="112" t="str">
        <f>IF(OR(TabellaA1[[#This Row],[LUN]]="X",TabellaA1[[#This Row],[MAR]]="X",TabellaA1[[#This Row],[MER]]="X",TabellaA1[[#This Row],[GIO]]="X",TabellaA1[[#This Row],[VEN]]="X",),"X","")</f>
        <v/>
      </c>
      <c r="D202" s="113" t="s">
        <v>8</v>
      </c>
      <c r="E202" s="109" t="s">
        <v>2936</v>
      </c>
      <c r="F202" s="109">
        <v>400</v>
      </c>
      <c r="G202" s="109" t="s">
        <v>2937</v>
      </c>
      <c r="H202" s="111"/>
      <c r="I202" s="111"/>
      <c r="J202" s="111"/>
      <c r="K202" s="111"/>
      <c r="L202" s="111"/>
      <c r="M202" s="109" t="s">
        <v>1036</v>
      </c>
      <c r="N202" s="110"/>
      <c r="O202" s="167"/>
      <c r="P202" s="167"/>
      <c r="Q202" s="110"/>
      <c r="R202" s="110"/>
      <c r="S202" s="110"/>
      <c r="T202" s="114" t="str">
        <f ca="1">IF(AND('Inserimento dati'!$B$3=$H$2, TabellaA1[[#This Row],[LUN]]="X"), "X",IF(AND('Inserimento dati'!$B$3=$I$2, TabellaA1[[#This Row],[MAR]]="X"), "X", IF(AND('Inserimento dati'!$B$3=$J$2, TabellaA1[[#This Row],[MER]]="X"), "X",IF(AND('Inserimento dati'!$B$3=$K$2, TabellaA1[[#This Row],[GIO]]="X"), "X", IF(AND('Inserimento dati'!$B$3=$L$2, TabellaA1[[#This Row],[VEN]]="X"), "X","")))))</f>
        <v/>
      </c>
      <c r="U202" s="149"/>
      <c r="V202" s="187">
        <v>45930.833333333336</v>
      </c>
    </row>
    <row r="203" spans="1:22" s="19" customFormat="1" ht="30" x14ac:dyDescent="0.2">
      <c r="A203" s="112"/>
      <c r="B203" s="112"/>
      <c r="C203" s="112" t="str">
        <f>IF(OR(TabellaA1[[#This Row],[LUN]]="X",TabellaA1[[#This Row],[MAR]]="X",TabellaA1[[#This Row],[MER]]="X",TabellaA1[[#This Row],[GIO]]="X",TabellaA1[[#This Row],[VEN]]="X",),"X","")</f>
        <v/>
      </c>
      <c r="D203" s="113" t="s">
        <v>8</v>
      </c>
      <c r="E203" s="109" t="s">
        <v>2481</v>
      </c>
      <c r="F203" s="109">
        <v>400</v>
      </c>
      <c r="G203" s="109" t="s">
        <v>2482</v>
      </c>
      <c r="H203" s="111"/>
      <c r="I203" s="111"/>
      <c r="J203" s="111"/>
      <c r="K203" s="111"/>
      <c r="L203" s="111"/>
      <c r="M203" s="109" t="s">
        <v>1036</v>
      </c>
      <c r="N203" s="110"/>
      <c r="O203" s="167"/>
      <c r="P203" s="167"/>
      <c r="Q203" s="110"/>
      <c r="R203" s="110"/>
      <c r="S203" s="110"/>
      <c r="T203" s="114" t="str">
        <f ca="1">IF(AND('Inserimento dati'!$B$3=$H$2, TabellaA1[[#This Row],[LUN]]="X"), "X",IF(AND('Inserimento dati'!$B$3=$I$2, TabellaA1[[#This Row],[MAR]]="X"), "X", IF(AND('Inserimento dati'!$B$3=$J$2, TabellaA1[[#This Row],[MER]]="X"), "X",IF(AND('Inserimento dati'!$B$3=$K$2, TabellaA1[[#This Row],[GIO]]="X"), "X", IF(AND('Inserimento dati'!$B$3=$L$2, TabellaA1[[#This Row],[VEN]]="X"), "X","")))))</f>
        <v/>
      </c>
      <c r="U203" s="149"/>
      <c r="V203" s="187">
        <v>45930.833333333336</v>
      </c>
    </row>
    <row r="204" spans="1:22" s="19" customFormat="1" ht="30" x14ac:dyDescent="0.2">
      <c r="A204" s="112"/>
      <c r="B204" s="112"/>
      <c r="C204" s="112" t="str">
        <f>IF(OR(TabellaA1[[#This Row],[LUN]]="X",TabellaA1[[#This Row],[MAR]]="X",TabellaA1[[#This Row],[MER]]="X",TabellaA1[[#This Row],[GIO]]="X",TabellaA1[[#This Row],[VEN]]="X",),"X","")</f>
        <v/>
      </c>
      <c r="D204" s="113" t="s">
        <v>8</v>
      </c>
      <c r="E204" s="109" t="s">
        <v>2423</v>
      </c>
      <c r="F204" s="109" t="s">
        <v>483</v>
      </c>
      <c r="G204" s="109" t="s">
        <v>2424</v>
      </c>
      <c r="H204" s="111"/>
      <c r="I204" s="111"/>
      <c r="J204" s="111"/>
      <c r="K204" s="111"/>
      <c r="L204" s="111"/>
      <c r="M204" s="109" t="s">
        <v>1036</v>
      </c>
      <c r="N204" s="110"/>
      <c r="O204" s="167"/>
      <c r="P204" s="167"/>
      <c r="Q204" s="110"/>
      <c r="R204" s="110"/>
      <c r="S204" s="110"/>
      <c r="T204" s="114" t="str">
        <f ca="1">IF(AND('Inserimento dati'!$B$3=$H$2, TabellaA1[[#This Row],[LUN]]="X"), "X",IF(AND('Inserimento dati'!$B$3=$I$2, TabellaA1[[#This Row],[MAR]]="X"), "X", IF(AND('Inserimento dati'!$B$3=$J$2, TabellaA1[[#This Row],[MER]]="X"), "X",IF(AND('Inserimento dati'!$B$3=$K$2, TabellaA1[[#This Row],[GIO]]="X"), "X", IF(AND('Inserimento dati'!$B$3=$L$2, TabellaA1[[#This Row],[VEN]]="X"), "X","")))))</f>
        <v/>
      </c>
      <c r="U204" s="149"/>
      <c r="V204" s="187">
        <v>45930.833333333336</v>
      </c>
    </row>
    <row r="205" spans="1:22" s="19" customFormat="1" ht="30" x14ac:dyDescent="0.2">
      <c r="A205" s="112"/>
      <c r="B205" s="112"/>
      <c r="C205" s="112" t="str">
        <f>IF(OR(TabellaA1[[#This Row],[LUN]]="X",TabellaA1[[#This Row],[MAR]]="X",TabellaA1[[#This Row],[MER]]="X",TabellaA1[[#This Row],[GIO]]="X",TabellaA1[[#This Row],[VEN]]="X",),"X","")</f>
        <v/>
      </c>
      <c r="D205" s="113" t="s">
        <v>8</v>
      </c>
      <c r="E205" s="109" t="s">
        <v>2361</v>
      </c>
      <c r="F205" s="109">
        <v>400</v>
      </c>
      <c r="G205" s="109" t="s">
        <v>2362</v>
      </c>
      <c r="H205" s="111"/>
      <c r="I205" s="111"/>
      <c r="J205" s="111"/>
      <c r="K205" s="111"/>
      <c r="L205" s="111"/>
      <c r="M205" s="109" t="s">
        <v>1036</v>
      </c>
      <c r="N205" s="110"/>
      <c r="O205" s="167"/>
      <c r="P205" s="167"/>
      <c r="Q205" s="110"/>
      <c r="R205" s="110"/>
      <c r="S205" s="110"/>
      <c r="T205" s="114" t="str">
        <f ca="1">IF(AND('Inserimento dati'!$B$3=$H$2, TabellaA1[[#This Row],[LUN]]="X"), "X",IF(AND('Inserimento dati'!$B$3=$I$2, TabellaA1[[#This Row],[MAR]]="X"), "X", IF(AND('Inserimento dati'!$B$3=$J$2, TabellaA1[[#This Row],[MER]]="X"), "X",IF(AND('Inserimento dati'!$B$3=$K$2, TabellaA1[[#This Row],[GIO]]="X"), "X", IF(AND('Inserimento dati'!$B$3=$L$2, TabellaA1[[#This Row],[VEN]]="X"), "X","")))))</f>
        <v/>
      </c>
      <c r="U205" s="149"/>
      <c r="V205" s="187">
        <v>45930.833333333336</v>
      </c>
    </row>
    <row r="206" spans="1:22" s="19" customFormat="1" ht="30" x14ac:dyDescent="0.2">
      <c r="A206" s="112"/>
      <c r="B206" s="112"/>
      <c r="C206" s="112" t="str">
        <f>IF(OR(TabellaA1[[#This Row],[LUN]]="X",TabellaA1[[#This Row],[MAR]]="X",TabellaA1[[#This Row],[MER]]="X",TabellaA1[[#This Row],[GIO]]="X",TabellaA1[[#This Row],[VEN]]="X",),"X","")</f>
        <v/>
      </c>
      <c r="D206" s="113" t="s">
        <v>8</v>
      </c>
      <c r="E206" s="109" t="s">
        <v>2284</v>
      </c>
      <c r="F206" s="109">
        <v>400</v>
      </c>
      <c r="G206" s="109" t="s">
        <v>2280</v>
      </c>
      <c r="H206" s="111"/>
      <c r="I206" s="111"/>
      <c r="J206" s="111"/>
      <c r="K206" s="111"/>
      <c r="L206" s="111"/>
      <c r="M206" s="109" t="s">
        <v>1036</v>
      </c>
      <c r="N206" s="110"/>
      <c r="O206" s="167"/>
      <c r="P206" s="167"/>
      <c r="Q206" s="110"/>
      <c r="R206" s="110"/>
      <c r="S206" s="110"/>
      <c r="T206" s="114" t="str">
        <f ca="1">IF(AND('Inserimento dati'!$B$3=$H$2, TabellaA1[[#This Row],[LUN]]="X"), "X",IF(AND('Inserimento dati'!$B$3=$I$2, TabellaA1[[#This Row],[MAR]]="X"), "X", IF(AND('Inserimento dati'!$B$3=$J$2, TabellaA1[[#This Row],[MER]]="X"), "X",IF(AND('Inserimento dati'!$B$3=$K$2, TabellaA1[[#This Row],[GIO]]="X"), "X", IF(AND('Inserimento dati'!$B$3=$L$2, TabellaA1[[#This Row],[VEN]]="X"), "X","")))))</f>
        <v/>
      </c>
      <c r="U206" s="137" t="str">
        <f t="shared" ref="U206:U227" ca="1" si="10">IFERROR(MID(G206,_xlfn.AGGREGATE(15,6,(ROW(INDIRECT("1:"&amp;LEN(G206)-7)))/(ISNUMBER(--MID(G206,ROW(INDIRECT("1:"&amp;LEN(G206)-7)),8))),1),8),"")</f>
        <v>18000155</v>
      </c>
      <c r="V206" s="187">
        <v>45930.833333333336</v>
      </c>
    </row>
    <row r="207" spans="1:22" s="19" customFormat="1" ht="30" x14ac:dyDescent="0.2">
      <c r="A207" s="112"/>
      <c r="B207" s="112"/>
      <c r="C207" s="112" t="str">
        <f>IF(OR(TabellaA1[[#This Row],[LUN]]="X",TabellaA1[[#This Row],[MAR]]="X",TabellaA1[[#This Row],[MER]]="X",TabellaA1[[#This Row],[GIO]]="X",TabellaA1[[#This Row],[VEN]]="X",),"X","")</f>
        <v/>
      </c>
      <c r="D207" s="113" t="s">
        <v>8</v>
      </c>
      <c r="E207" s="109" t="s">
        <v>1763</v>
      </c>
      <c r="F207" s="109">
        <v>100</v>
      </c>
      <c r="G207" s="109" t="s">
        <v>1764</v>
      </c>
      <c r="H207" s="111"/>
      <c r="I207" s="111"/>
      <c r="J207" s="111"/>
      <c r="K207" s="111"/>
      <c r="L207" s="111"/>
      <c r="M207" s="109" t="s">
        <v>1036</v>
      </c>
      <c r="N207" s="110"/>
      <c r="O207" s="167"/>
      <c r="P207" s="167"/>
      <c r="Q207" s="110" t="s">
        <v>1765</v>
      </c>
      <c r="R207" s="110">
        <v>45833</v>
      </c>
      <c r="S207" s="110" t="s">
        <v>1279</v>
      </c>
      <c r="T207" s="114" t="str">
        <f ca="1">IF(AND('Inserimento dati'!$B$3=$H$2, TabellaA1[[#This Row],[LUN]]="X"), "X",IF(AND('Inserimento dati'!$B$3=$I$2, TabellaA1[[#This Row],[MAR]]="X"), "X", IF(AND('Inserimento dati'!$B$3=$J$2, TabellaA1[[#This Row],[MER]]="X"), "X",IF(AND('Inserimento dati'!$B$3=$K$2, TabellaA1[[#This Row],[GIO]]="X"), "X", IF(AND('Inserimento dati'!$B$3=$L$2, TabellaA1[[#This Row],[VEN]]="X"), "X","")))))</f>
        <v/>
      </c>
      <c r="U207" s="137" t="str">
        <f t="shared" ca="1" si="10"/>
        <v/>
      </c>
      <c r="V207" s="187">
        <v>45930.833333333336</v>
      </c>
    </row>
    <row r="208" spans="1:22" s="19" customFormat="1" ht="45" x14ac:dyDescent="0.2">
      <c r="A208" s="112"/>
      <c r="B208" s="112"/>
      <c r="C208" s="112" t="str">
        <f>IF(OR(TabellaA1[[#This Row],[LUN]]="X",TabellaA1[[#This Row],[MAR]]="X",TabellaA1[[#This Row],[MER]]="X",TabellaA1[[#This Row],[GIO]]="X",TabellaA1[[#This Row],[VEN]]="X",),"X","")</f>
        <v/>
      </c>
      <c r="D208" s="113" t="s">
        <v>8</v>
      </c>
      <c r="E208" s="109" t="s">
        <v>1695</v>
      </c>
      <c r="F208" s="109">
        <v>100</v>
      </c>
      <c r="G208" s="109" t="s">
        <v>1696</v>
      </c>
      <c r="H208" s="111"/>
      <c r="I208" s="111"/>
      <c r="J208" s="111"/>
      <c r="K208" s="111"/>
      <c r="L208" s="111"/>
      <c r="M208" s="109" t="s">
        <v>1036</v>
      </c>
      <c r="N208" s="110"/>
      <c r="O208" s="167"/>
      <c r="P208" s="167"/>
      <c r="Q208" s="110" t="s">
        <v>1704</v>
      </c>
      <c r="R208" s="110">
        <v>45824</v>
      </c>
      <c r="S208" s="110" t="s">
        <v>203</v>
      </c>
      <c r="T208" s="114" t="str">
        <f ca="1">IF(AND('Inserimento dati'!$B$3=$H$2, TabellaA1[[#This Row],[LUN]]="X"), "X",IF(AND('Inserimento dati'!$B$3=$I$2, TabellaA1[[#This Row],[MAR]]="X"), "X", IF(AND('Inserimento dati'!$B$3=$J$2, TabellaA1[[#This Row],[MER]]="X"), "X",IF(AND('Inserimento dati'!$B$3=$K$2, TabellaA1[[#This Row],[GIO]]="X"), "X", IF(AND('Inserimento dati'!$B$3=$L$2, TabellaA1[[#This Row],[VEN]]="X"), "X","")))))</f>
        <v/>
      </c>
      <c r="U208" s="137" t="str">
        <f t="shared" ca="1" si="10"/>
        <v/>
      </c>
      <c r="V208" s="187">
        <v>45930.833333333336</v>
      </c>
    </row>
    <row r="209" spans="1:22" s="19" customFormat="1" ht="23.25" x14ac:dyDescent="0.2">
      <c r="A209" s="112"/>
      <c r="B209" s="112"/>
      <c r="C209" s="112" t="str">
        <f>IF(OR(TabellaA1[[#This Row],[LUN]]="X",TabellaA1[[#This Row],[MAR]]="X",TabellaA1[[#This Row],[MER]]="X",TabellaA1[[#This Row],[GIO]]="X",TabellaA1[[#This Row],[VEN]]="X",),"X","")</f>
        <v/>
      </c>
      <c r="D209" s="113" t="s">
        <v>8</v>
      </c>
      <c r="E209" s="109" t="s">
        <v>1687</v>
      </c>
      <c r="F209" s="109">
        <v>100</v>
      </c>
      <c r="G209" s="109" t="s">
        <v>1688</v>
      </c>
      <c r="H209" s="111"/>
      <c r="I209" s="111"/>
      <c r="J209" s="111"/>
      <c r="K209" s="111"/>
      <c r="L209" s="111"/>
      <c r="M209" s="109" t="s">
        <v>1036</v>
      </c>
      <c r="N209" s="110"/>
      <c r="O209" s="167"/>
      <c r="P209" s="167"/>
      <c r="Q209" s="110"/>
      <c r="R209" s="110"/>
      <c r="S209" s="110"/>
      <c r="T209" s="114" t="str">
        <f ca="1">IF(AND('Inserimento dati'!$B$3=$H$2, TabellaA1[[#This Row],[LUN]]="X"), "X",IF(AND('Inserimento dati'!$B$3=$I$2, TabellaA1[[#This Row],[MAR]]="X"), "X", IF(AND('Inserimento dati'!$B$3=$J$2, TabellaA1[[#This Row],[MER]]="X"), "X",IF(AND('Inserimento dati'!$B$3=$K$2, TabellaA1[[#This Row],[GIO]]="X"), "X", IF(AND('Inserimento dati'!$B$3=$L$2, TabellaA1[[#This Row],[VEN]]="X"), "X","")))))</f>
        <v/>
      </c>
      <c r="U209" s="137" t="str">
        <f t="shared" ca="1" si="10"/>
        <v/>
      </c>
      <c r="V209" s="187">
        <v>45930.833333333336</v>
      </c>
    </row>
    <row r="210" spans="1:22" s="19" customFormat="1" ht="23.25" x14ac:dyDescent="0.2">
      <c r="A210" s="112"/>
      <c r="B210" s="112" t="str">
        <f>IF(OR(A210="x",A210="X"),"",IF(ISBLANK(A210),"X",""))</f>
        <v>X</v>
      </c>
      <c r="C210" s="112" t="str">
        <f>IF(OR(TabellaA1[[#This Row],[LUN]]="X",TabellaA1[[#This Row],[MAR]]="X",TabellaA1[[#This Row],[MER]]="X",TabellaA1[[#This Row],[GIO]]="X",TabellaA1[[#This Row],[VEN]]="X",),"X","")</f>
        <v/>
      </c>
      <c r="D210" s="113" t="s">
        <v>8</v>
      </c>
      <c r="E210" s="109" t="s">
        <v>1679</v>
      </c>
      <c r="F210" s="109">
        <v>200</v>
      </c>
      <c r="G210" s="109" t="s">
        <v>1680</v>
      </c>
      <c r="H210" s="111"/>
      <c r="I210" s="111"/>
      <c r="J210" s="111"/>
      <c r="K210" s="111"/>
      <c r="L210" s="111"/>
      <c r="M210" s="109" t="s">
        <v>1036</v>
      </c>
      <c r="N210" s="110"/>
      <c r="O210" s="167"/>
      <c r="P210" s="167"/>
      <c r="Q210" s="110"/>
      <c r="R210" s="110"/>
      <c r="S210" s="110"/>
      <c r="T210" s="114" t="str">
        <f ca="1">IF(AND('Inserimento dati'!$B$3=$H$2, TabellaA1[[#This Row],[LUN]]="X"), "X",IF(AND('Inserimento dati'!$B$3=$I$2, TabellaA1[[#This Row],[MAR]]="X"), "X", IF(AND('Inserimento dati'!$B$3=$J$2, TabellaA1[[#This Row],[MER]]="X"), "X",IF(AND('Inserimento dati'!$B$3=$K$2, TabellaA1[[#This Row],[GIO]]="X"), "X", IF(AND('Inserimento dati'!$B$3=$L$2, TabellaA1[[#This Row],[VEN]]="X"), "X","")))))</f>
        <v/>
      </c>
      <c r="U210" s="134" t="str">
        <f t="shared" ca="1" si="10"/>
        <v/>
      </c>
      <c r="V210" s="187">
        <v>45930.833333333336</v>
      </c>
    </row>
    <row r="211" spans="1:22" s="19" customFormat="1" ht="23.25" x14ac:dyDescent="0.2">
      <c r="A211" s="112"/>
      <c r="B211" s="112" t="str">
        <f>IF(OR(A211="x",A211="X"),"",IF(ISBLANK(A211),"X",""))</f>
        <v>X</v>
      </c>
      <c r="C211" s="112" t="str">
        <f>IF(OR(TabellaA1[[#This Row],[LUN]]="X",TabellaA1[[#This Row],[MAR]]="X",TabellaA1[[#This Row],[MER]]="X",TabellaA1[[#This Row],[GIO]]="X",TabellaA1[[#This Row],[VEN]]="X",),"X","")</f>
        <v/>
      </c>
      <c r="D211" s="113" t="s">
        <v>8</v>
      </c>
      <c r="E211" s="109" t="s">
        <v>1619</v>
      </c>
      <c r="F211" s="109" t="s">
        <v>483</v>
      </c>
      <c r="G211" s="109" t="s">
        <v>1620</v>
      </c>
      <c r="H211" s="111"/>
      <c r="I211" s="111"/>
      <c r="J211" s="111"/>
      <c r="K211" s="111"/>
      <c r="L211" s="111"/>
      <c r="M211" s="109" t="s">
        <v>1036</v>
      </c>
      <c r="N211" s="110"/>
      <c r="O211" s="167"/>
      <c r="P211" s="167"/>
      <c r="Q211" s="110" t="s">
        <v>1640</v>
      </c>
      <c r="R211" s="110">
        <v>45771</v>
      </c>
      <c r="S211" s="110" t="s">
        <v>239</v>
      </c>
      <c r="T211" s="114" t="str">
        <f ca="1">IF(AND('Inserimento dati'!$B$3=$H$2, TabellaA1[[#This Row],[LUN]]="X"), "X",IF(AND('Inserimento dati'!$B$3=$I$2, TabellaA1[[#This Row],[MAR]]="X"), "X", IF(AND('Inserimento dati'!$B$3=$J$2, TabellaA1[[#This Row],[MER]]="X"), "X",IF(AND('Inserimento dati'!$B$3=$K$2, TabellaA1[[#This Row],[GIO]]="X"), "X", IF(AND('Inserimento dati'!$B$3=$L$2, TabellaA1[[#This Row],[VEN]]="X"), "X","")))))</f>
        <v/>
      </c>
      <c r="U211" s="134" t="str">
        <f t="shared" ca="1" si="10"/>
        <v/>
      </c>
      <c r="V211" s="187">
        <v>45930.833333333336</v>
      </c>
    </row>
    <row r="212" spans="1:22" s="19" customFormat="1" ht="30" x14ac:dyDescent="0.2">
      <c r="A212" s="112"/>
      <c r="B212" s="112" t="str">
        <f>IF(OR(A212="x",A212="X"),"",IF(ISBLANK(A212),"X",""))</f>
        <v>X</v>
      </c>
      <c r="C212" s="112" t="str">
        <f>IF(OR(TabellaA1[[#This Row],[LUN]]="X",TabellaA1[[#This Row],[MAR]]="X",TabellaA1[[#This Row],[MER]]="X",TabellaA1[[#This Row],[GIO]]="X",TabellaA1[[#This Row],[VEN]]="X",),"X","")</f>
        <v/>
      </c>
      <c r="D212" s="113" t="s">
        <v>8</v>
      </c>
      <c r="E212" s="109" t="s">
        <v>1442</v>
      </c>
      <c r="F212" s="109">
        <v>200</v>
      </c>
      <c r="G212" s="109" t="s">
        <v>1443</v>
      </c>
      <c r="H212" s="111"/>
      <c r="I212" s="111"/>
      <c r="J212" s="111"/>
      <c r="K212" s="111"/>
      <c r="L212" s="111"/>
      <c r="M212" s="109" t="s">
        <v>1036</v>
      </c>
      <c r="N212" s="110"/>
      <c r="O212" s="167"/>
      <c r="P212" s="167"/>
      <c r="Q212" s="110"/>
      <c r="R212" s="110">
        <v>45798</v>
      </c>
      <c r="S212" s="110" t="s">
        <v>302</v>
      </c>
      <c r="T212" s="114" t="str">
        <f ca="1">IF(AND('Inserimento dati'!$B$3=$H$2, TabellaA1[[#This Row],[LUN]]="X"), "X",IF(AND('Inserimento dati'!$B$3=$I$2, TabellaA1[[#This Row],[MAR]]="X"), "X", IF(AND('Inserimento dati'!$B$3=$J$2, TabellaA1[[#This Row],[MER]]="X"), "X",IF(AND('Inserimento dati'!$B$3=$K$2, TabellaA1[[#This Row],[GIO]]="X"), "X", IF(AND('Inserimento dati'!$B$3=$L$2, TabellaA1[[#This Row],[VEN]]="X"), "X","")))))</f>
        <v/>
      </c>
      <c r="U212" s="134" t="str">
        <f t="shared" ca="1" si="10"/>
        <v/>
      </c>
      <c r="V212" s="187">
        <v>45930.833333333336</v>
      </c>
    </row>
    <row r="213" spans="1:22" s="19" customFormat="1" ht="30" x14ac:dyDescent="0.2">
      <c r="A213" s="112"/>
      <c r="B213" s="112"/>
      <c r="C213" s="112" t="str">
        <f>IF(OR(TabellaA1[[#This Row],[LUN]]="X",TabellaA1[[#This Row],[MAR]]="X",TabellaA1[[#This Row],[MER]]="X",TabellaA1[[#This Row],[GIO]]="X",TabellaA1[[#This Row],[VEN]]="X",),"X","")</f>
        <v/>
      </c>
      <c r="D213" s="113" t="s">
        <v>8</v>
      </c>
      <c r="E213" s="109" t="s">
        <v>1432</v>
      </c>
      <c r="F213" s="109">
        <v>900</v>
      </c>
      <c r="G213" s="109" t="s">
        <v>1424</v>
      </c>
      <c r="H213" s="111"/>
      <c r="I213" s="111"/>
      <c r="J213" s="111"/>
      <c r="K213" s="111"/>
      <c r="L213" s="111"/>
      <c r="M213" s="109" t="s">
        <v>1036</v>
      </c>
      <c r="N213" s="110"/>
      <c r="O213" s="167"/>
      <c r="P213" s="167"/>
      <c r="Q213" s="110"/>
      <c r="R213" s="110"/>
      <c r="S213" s="110" t="s">
        <v>1452</v>
      </c>
      <c r="T213" s="114" t="str">
        <f ca="1">IF(AND('Inserimento dati'!$B$3=$H$2, TabellaA1[[#This Row],[LUN]]="X"), "X",IF(AND('Inserimento dati'!$B$3=$I$2, TabellaA1[[#This Row],[MAR]]="X"), "X", IF(AND('Inserimento dati'!$B$3=$J$2, TabellaA1[[#This Row],[MER]]="X"), "X",IF(AND('Inserimento dati'!$B$3=$K$2, TabellaA1[[#This Row],[GIO]]="X"), "X", IF(AND('Inserimento dati'!$B$3=$L$2, TabellaA1[[#This Row],[VEN]]="X"), "X","")))))</f>
        <v/>
      </c>
      <c r="U213" s="134" t="str">
        <f t="shared" ca="1" si="10"/>
        <v/>
      </c>
      <c r="V213" s="187">
        <v>45930.833333333336</v>
      </c>
    </row>
    <row r="214" spans="1:22" s="19" customFormat="1" ht="23.25" x14ac:dyDescent="0.2">
      <c r="A214" s="112"/>
      <c r="B214" s="112" t="str">
        <f t="shared" ref="B214:B219" si="11">IF(OR(A214="x",A214="X"),"",IF(ISBLANK(A214),"X",""))</f>
        <v>X</v>
      </c>
      <c r="C214" s="112" t="str">
        <f>IF(OR(TabellaA1[[#This Row],[LUN]]="X",TabellaA1[[#This Row],[MAR]]="X",TabellaA1[[#This Row],[MER]]="X",TabellaA1[[#This Row],[GIO]]="X",TabellaA1[[#This Row],[VEN]]="X",),"X","")</f>
        <v/>
      </c>
      <c r="D214" s="113" t="s">
        <v>8</v>
      </c>
      <c r="E214" s="109" t="s">
        <v>1345</v>
      </c>
      <c r="F214" s="109">
        <v>400</v>
      </c>
      <c r="G214" s="109" t="s">
        <v>1342</v>
      </c>
      <c r="H214" s="111"/>
      <c r="I214" s="111"/>
      <c r="J214" s="111"/>
      <c r="K214" s="111"/>
      <c r="L214" s="111"/>
      <c r="M214" s="109" t="s">
        <v>1036</v>
      </c>
      <c r="N214" s="110"/>
      <c r="O214" s="167"/>
      <c r="P214" s="167"/>
      <c r="Q214" s="110"/>
      <c r="R214" s="110"/>
      <c r="S214" s="110"/>
      <c r="T214" s="114" t="str">
        <f ca="1">IF(AND('Inserimento dati'!$B$3=$H$2, TabellaA1[[#This Row],[LUN]]="X"), "X",IF(AND('Inserimento dati'!$B$3=$I$2, TabellaA1[[#This Row],[MAR]]="X"), "X", IF(AND('Inserimento dati'!$B$3=$J$2, TabellaA1[[#This Row],[MER]]="X"), "X",IF(AND('Inserimento dati'!$B$3=$K$2, TabellaA1[[#This Row],[GIO]]="X"), "X", IF(AND('Inserimento dati'!$B$3=$L$2, TabellaA1[[#This Row],[VEN]]="X"), "X","")))))</f>
        <v/>
      </c>
      <c r="U214" s="135" t="str">
        <f t="shared" ca="1" si="10"/>
        <v/>
      </c>
      <c r="V214" s="187">
        <v>45930.833333333336</v>
      </c>
    </row>
    <row r="215" spans="1:22" s="19" customFormat="1" ht="23.25" x14ac:dyDescent="0.2">
      <c r="A215" s="112"/>
      <c r="B215" s="112" t="str">
        <f t="shared" si="11"/>
        <v>X</v>
      </c>
      <c r="C215" s="112" t="str">
        <f>IF(OR(TabellaA1[[#This Row],[LUN]]="X",TabellaA1[[#This Row],[MAR]]="X",TabellaA1[[#This Row],[MER]]="X",TabellaA1[[#This Row],[GIO]]="X",TabellaA1[[#This Row],[VEN]]="X",),"X","")</f>
        <v/>
      </c>
      <c r="D215" s="113" t="s">
        <v>8</v>
      </c>
      <c r="E215" s="109" t="s">
        <v>1104</v>
      </c>
      <c r="F215" s="109">
        <v>300</v>
      </c>
      <c r="G215" s="109" t="s">
        <v>1100</v>
      </c>
      <c r="H215" s="111"/>
      <c r="I215" s="111"/>
      <c r="J215" s="111"/>
      <c r="K215" s="111"/>
      <c r="L215" s="111"/>
      <c r="M215" s="110" t="s">
        <v>1036</v>
      </c>
      <c r="N215" s="110"/>
      <c r="O215" s="167"/>
      <c r="P215" s="167"/>
      <c r="Q215" s="110" t="s">
        <v>1181</v>
      </c>
      <c r="R215" s="110"/>
      <c r="S215" s="110"/>
      <c r="T215" s="112" t="str">
        <f ca="1">IF(AND('Inserimento dati'!$B$3=$H$2, TabellaA1[[#This Row],[LUN]]="X"), "X",IF(AND('Inserimento dati'!$B$3=$I$2, TabellaA1[[#This Row],[MAR]]="X"), "X", IF(AND('Inserimento dati'!$B$3=$J$2, TabellaA1[[#This Row],[MER]]="X"), "X",IF(AND('Inserimento dati'!$B$3=$K$2, TabellaA1[[#This Row],[GIO]]="X"), "X", IF(AND('Inserimento dati'!$B$3=$L$2, TabellaA1[[#This Row],[VEN]]="X"), "X","")))))</f>
        <v/>
      </c>
      <c r="U215" s="135" t="str">
        <f t="shared" ca="1" si="10"/>
        <v/>
      </c>
      <c r="V215" s="187">
        <v>45930.833333333336</v>
      </c>
    </row>
    <row r="216" spans="1:22" s="19" customFormat="1" ht="30" x14ac:dyDescent="0.2">
      <c r="A216" s="112"/>
      <c r="B216" s="112" t="str">
        <f t="shared" si="11"/>
        <v>X</v>
      </c>
      <c r="C216" s="112" t="str">
        <f>IF(OR(TabellaA1[[#This Row],[LUN]]="X",TabellaA1[[#This Row],[MAR]]="X",TabellaA1[[#This Row],[MER]]="X",TabellaA1[[#This Row],[GIO]]="X",TabellaA1[[#This Row],[VEN]]="X",),"X","")</f>
        <v/>
      </c>
      <c r="D216" s="113" t="s">
        <v>8</v>
      </c>
      <c r="E216" s="109" t="s">
        <v>1298</v>
      </c>
      <c r="F216" s="109">
        <v>100</v>
      </c>
      <c r="G216" s="109" t="s">
        <v>1295</v>
      </c>
      <c r="H216" s="111"/>
      <c r="I216" s="111"/>
      <c r="J216" s="111"/>
      <c r="K216" s="111"/>
      <c r="L216" s="111"/>
      <c r="M216" s="110" t="s">
        <v>1036</v>
      </c>
      <c r="N216" s="110"/>
      <c r="O216" s="167"/>
      <c r="P216" s="167"/>
      <c r="Q216" s="110" t="s">
        <v>1296</v>
      </c>
      <c r="R216" s="110">
        <v>45785</v>
      </c>
      <c r="S216" s="110"/>
      <c r="T216" s="114" t="str">
        <f ca="1">IF(AND('Inserimento dati'!$B$3=$H$2, TabellaA1[[#This Row],[LUN]]="X"), "X",IF(AND('Inserimento dati'!$B$3=$I$2, TabellaA1[[#This Row],[MAR]]="X"), "X", IF(AND('Inserimento dati'!$B$3=$J$2, TabellaA1[[#This Row],[MER]]="X"), "X",IF(AND('Inserimento dati'!$B$3=$K$2, TabellaA1[[#This Row],[GIO]]="X"), "X", IF(AND('Inserimento dati'!$B$3=$L$2, TabellaA1[[#This Row],[VEN]]="X"), "X","")))))</f>
        <v/>
      </c>
      <c r="U216" s="135" t="str">
        <f t="shared" ca="1" si="10"/>
        <v/>
      </c>
      <c r="V216" s="187">
        <v>45930.833333333336</v>
      </c>
    </row>
    <row r="217" spans="1:22" s="19" customFormat="1" ht="30" x14ac:dyDescent="0.2">
      <c r="A217" s="112"/>
      <c r="B217" s="112" t="str">
        <f t="shared" si="11"/>
        <v>X</v>
      </c>
      <c r="C217" s="112" t="str">
        <f>IF(OR(TabellaA1[[#This Row],[LUN]]="X",TabellaA1[[#This Row],[MAR]]="X",TabellaA1[[#This Row],[MER]]="X",TabellaA1[[#This Row],[GIO]]="X",TabellaA1[[#This Row],[VEN]]="X",),"X","")</f>
        <v/>
      </c>
      <c r="D217" s="113" t="s">
        <v>8</v>
      </c>
      <c r="E217" s="109" t="s">
        <v>1312</v>
      </c>
      <c r="F217" s="109">
        <v>100</v>
      </c>
      <c r="G217" s="109" t="s">
        <v>1309</v>
      </c>
      <c r="H217" s="111"/>
      <c r="I217" s="111"/>
      <c r="J217" s="111"/>
      <c r="K217" s="111"/>
      <c r="L217" s="111"/>
      <c r="M217" s="109" t="s">
        <v>1036</v>
      </c>
      <c r="N217" s="110"/>
      <c r="O217" s="167"/>
      <c r="P217" s="167"/>
      <c r="Q217" s="110"/>
      <c r="R217" s="110">
        <v>45788</v>
      </c>
      <c r="S217" s="110" t="s">
        <v>50</v>
      </c>
      <c r="T217" s="114" t="str">
        <f ca="1">IF(AND('Inserimento dati'!$B$3=$H$2, TabellaA1[[#This Row],[LUN]]="X"), "X",IF(AND('Inserimento dati'!$B$3=$I$2, TabellaA1[[#This Row],[MAR]]="X"), "X", IF(AND('Inserimento dati'!$B$3=$J$2, TabellaA1[[#This Row],[MER]]="X"), "X",IF(AND('Inserimento dati'!$B$3=$K$2, TabellaA1[[#This Row],[GIO]]="X"), "X", IF(AND('Inserimento dati'!$B$3=$L$2, TabellaA1[[#This Row],[VEN]]="X"), "X","")))))</f>
        <v/>
      </c>
      <c r="U217" s="135" t="str">
        <f t="shared" ca="1" si="10"/>
        <v/>
      </c>
      <c r="V217" s="187">
        <v>45930.833333333336</v>
      </c>
    </row>
    <row r="218" spans="1:22" s="19" customFormat="1" ht="30" x14ac:dyDescent="0.2">
      <c r="A218" s="112"/>
      <c r="B218" s="112" t="str">
        <f t="shared" si="11"/>
        <v>X</v>
      </c>
      <c r="C218" s="112" t="str">
        <f>IF(OR(TabellaA1[[#This Row],[LUN]]="X",TabellaA1[[#This Row],[MAR]]="X",TabellaA1[[#This Row],[MER]]="X",TabellaA1[[#This Row],[GIO]]="X",TabellaA1[[#This Row],[VEN]]="X",),"X","")</f>
        <v/>
      </c>
      <c r="D218" s="113" t="s">
        <v>8</v>
      </c>
      <c r="E218" s="109" t="s">
        <v>1341</v>
      </c>
      <c r="F218" s="109">
        <v>100</v>
      </c>
      <c r="G218" s="109" t="s">
        <v>1340</v>
      </c>
      <c r="H218" s="111"/>
      <c r="I218" s="111"/>
      <c r="J218" s="111"/>
      <c r="K218" s="111"/>
      <c r="L218" s="111"/>
      <c r="M218" s="109" t="s">
        <v>1036</v>
      </c>
      <c r="N218" s="110"/>
      <c r="O218" s="167"/>
      <c r="P218" s="167"/>
      <c r="Q218" s="110" t="s">
        <v>1371</v>
      </c>
      <c r="R218" s="110">
        <v>45792</v>
      </c>
      <c r="S218" s="110" t="s">
        <v>693</v>
      </c>
      <c r="T218" s="114" t="str">
        <f ca="1">IF(AND('Inserimento dati'!$B$3=$H$2, TabellaA1[[#This Row],[LUN]]="X"), "X",IF(AND('Inserimento dati'!$B$3=$I$2, TabellaA1[[#This Row],[MAR]]="X"), "X", IF(AND('Inserimento dati'!$B$3=$J$2, TabellaA1[[#This Row],[MER]]="X"), "X",IF(AND('Inserimento dati'!$B$3=$K$2, TabellaA1[[#This Row],[GIO]]="X"), "X", IF(AND('Inserimento dati'!$B$3=$L$2, TabellaA1[[#This Row],[VEN]]="X"), "X","")))))</f>
        <v/>
      </c>
      <c r="U218" s="135" t="str">
        <f t="shared" ca="1" si="10"/>
        <v/>
      </c>
      <c r="V218" s="187">
        <v>45930.833333333336</v>
      </c>
    </row>
    <row r="219" spans="1:22" s="19" customFormat="1" ht="23.25" x14ac:dyDescent="0.2">
      <c r="A219" s="112"/>
      <c r="B219" s="112" t="str">
        <f t="shared" si="11"/>
        <v>X</v>
      </c>
      <c r="C219" s="112" t="str">
        <f>IF(OR(TabellaA1[[#This Row],[LUN]]="X",TabellaA1[[#This Row],[MAR]]="X",TabellaA1[[#This Row],[MER]]="X",TabellaA1[[#This Row],[GIO]]="X",TabellaA1[[#This Row],[VEN]]="X",),"X","")</f>
        <v/>
      </c>
      <c r="D219" s="113" t="s">
        <v>8</v>
      </c>
      <c r="E219" s="109" t="s">
        <v>1376</v>
      </c>
      <c r="F219" s="109">
        <v>300</v>
      </c>
      <c r="G219" s="109" t="s">
        <v>1375</v>
      </c>
      <c r="H219" s="111"/>
      <c r="I219" s="111"/>
      <c r="J219" s="111"/>
      <c r="K219" s="111"/>
      <c r="L219" s="111"/>
      <c r="M219" s="109" t="s">
        <v>1036</v>
      </c>
      <c r="N219" s="110"/>
      <c r="O219" s="167"/>
      <c r="P219" s="167"/>
      <c r="Q219" s="110"/>
      <c r="R219" s="110"/>
      <c r="S219" s="110"/>
      <c r="T219" s="114" t="str">
        <f ca="1">IF(AND('Inserimento dati'!$B$3=$H$2, TabellaA1[[#This Row],[LUN]]="X"), "X",IF(AND('Inserimento dati'!$B$3=$I$2, TabellaA1[[#This Row],[MAR]]="X"), "X", IF(AND('Inserimento dati'!$B$3=$J$2, TabellaA1[[#This Row],[MER]]="X"), "X",IF(AND('Inserimento dati'!$B$3=$K$2, TabellaA1[[#This Row],[GIO]]="X"), "X", IF(AND('Inserimento dati'!$B$3=$L$2, TabellaA1[[#This Row],[VEN]]="X"), "X","")))))</f>
        <v/>
      </c>
      <c r="U219" s="135" t="str">
        <f t="shared" ca="1" si="10"/>
        <v/>
      </c>
      <c r="V219" s="187">
        <v>45930.833333333336</v>
      </c>
    </row>
    <row r="220" spans="1:22" s="19" customFormat="1" ht="30" x14ac:dyDescent="0.2">
      <c r="A220" s="112"/>
      <c r="B220" s="112"/>
      <c r="C220" s="112" t="str">
        <f>IF(OR(TabellaA1[[#This Row],[LUN]]="X",TabellaA1[[#This Row],[MAR]]="X",TabellaA1[[#This Row],[MER]]="X",TabellaA1[[#This Row],[GIO]]="X",TabellaA1[[#This Row],[VEN]]="X",),"X","")</f>
        <v/>
      </c>
      <c r="D220" s="113" t="s">
        <v>8</v>
      </c>
      <c r="E220" s="109" t="s">
        <v>1463</v>
      </c>
      <c r="F220" s="109">
        <v>200</v>
      </c>
      <c r="G220" s="109" t="s">
        <v>1460</v>
      </c>
      <c r="H220" s="111"/>
      <c r="I220" s="111"/>
      <c r="J220" s="111"/>
      <c r="K220" s="111"/>
      <c r="L220" s="111"/>
      <c r="M220" s="109" t="s">
        <v>1036</v>
      </c>
      <c r="N220" s="110"/>
      <c r="O220" s="167"/>
      <c r="P220" s="167"/>
      <c r="Q220" s="110"/>
      <c r="R220" s="110">
        <v>45804</v>
      </c>
      <c r="S220" s="110" t="s">
        <v>1484</v>
      </c>
      <c r="T220" s="114" t="str">
        <f ca="1">IF(AND('Inserimento dati'!$B$3=$H$2, TabellaA1[[#This Row],[LUN]]="X"), "X",IF(AND('Inserimento dati'!$B$3=$I$2, TabellaA1[[#This Row],[MAR]]="X"), "X", IF(AND('Inserimento dati'!$B$3=$J$2, TabellaA1[[#This Row],[MER]]="X"), "X",IF(AND('Inserimento dati'!$B$3=$K$2, TabellaA1[[#This Row],[GIO]]="X"), "X", IF(AND('Inserimento dati'!$B$3=$L$2, TabellaA1[[#This Row],[VEN]]="X"), "X","")))))</f>
        <v/>
      </c>
      <c r="U220" s="134" t="str">
        <f t="shared" ca="1" si="10"/>
        <v/>
      </c>
      <c r="V220" s="187">
        <v>45930.833333333336</v>
      </c>
    </row>
    <row r="221" spans="1:22" s="19" customFormat="1" ht="30" x14ac:dyDescent="0.2">
      <c r="A221" s="112"/>
      <c r="B221" s="112" t="str">
        <f>IF(OR(A221="x",A221="X"),"",IF(ISBLANK(A221),"X",""))</f>
        <v>X</v>
      </c>
      <c r="C221" s="112" t="str">
        <f>IF(OR(TabellaA1[[#This Row],[LUN]]="X",TabellaA1[[#This Row],[MAR]]="X",TabellaA1[[#This Row],[MER]]="X",TabellaA1[[#This Row],[GIO]]="X",TabellaA1[[#This Row],[VEN]]="X",),"X","")</f>
        <v/>
      </c>
      <c r="D221" s="113" t="s">
        <v>8</v>
      </c>
      <c r="E221" s="109" t="s">
        <v>1655</v>
      </c>
      <c r="F221" s="109">
        <v>900</v>
      </c>
      <c r="G221" s="109" t="s">
        <v>1656</v>
      </c>
      <c r="H221" s="111"/>
      <c r="I221" s="111"/>
      <c r="J221" s="111"/>
      <c r="K221" s="111"/>
      <c r="L221" s="111"/>
      <c r="M221" s="109" t="s">
        <v>1036</v>
      </c>
      <c r="N221" s="110"/>
      <c r="O221" s="167"/>
      <c r="P221" s="167"/>
      <c r="Q221" s="110"/>
      <c r="R221" s="110">
        <v>45818</v>
      </c>
      <c r="S221" s="110" t="s">
        <v>239</v>
      </c>
      <c r="T221" s="114" t="str">
        <f ca="1">IF(AND('Inserimento dati'!$B$3=$H$2, TabellaA1[[#This Row],[LUN]]="X"), "X",IF(AND('Inserimento dati'!$B$3=$I$2, TabellaA1[[#This Row],[MAR]]="X"), "X", IF(AND('Inserimento dati'!$B$3=$J$2, TabellaA1[[#This Row],[MER]]="X"), "X",IF(AND('Inserimento dati'!$B$3=$K$2, TabellaA1[[#This Row],[GIO]]="X"), "X", IF(AND('Inserimento dati'!$B$3=$L$2, TabellaA1[[#This Row],[VEN]]="X"), "X","")))))</f>
        <v/>
      </c>
      <c r="U221" s="134" t="str">
        <f t="shared" ca="1" si="10"/>
        <v/>
      </c>
      <c r="V221" s="187">
        <v>45930.833333333336</v>
      </c>
    </row>
    <row r="222" spans="1:22" s="19" customFormat="1" ht="30" x14ac:dyDescent="0.2">
      <c r="A222" s="112"/>
      <c r="B222" s="112"/>
      <c r="C222" s="112" t="str">
        <f>IF(OR(TabellaA1[[#This Row],[LUN]]="X",TabellaA1[[#This Row],[MAR]]="X",TabellaA1[[#This Row],[MER]]="X",TabellaA1[[#This Row],[GIO]]="X",TabellaA1[[#This Row],[VEN]]="X",),"X","")</f>
        <v/>
      </c>
      <c r="D222" s="113" t="s">
        <v>8</v>
      </c>
      <c r="E222" s="109" t="s">
        <v>1580</v>
      </c>
      <c r="F222" s="109">
        <v>200</v>
      </c>
      <c r="G222" s="109" t="s">
        <v>1577</v>
      </c>
      <c r="H222" s="111"/>
      <c r="I222" s="111"/>
      <c r="J222" s="111"/>
      <c r="K222" s="111"/>
      <c r="L222" s="111"/>
      <c r="M222" s="109" t="s">
        <v>1036</v>
      </c>
      <c r="N222" s="110"/>
      <c r="O222" s="167"/>
      <c r="P222" s="167"/>
      <c r="Q222" s="110"/>
      <c r="R222" s="110"/>
      <c r="S222" s="110"/>
      <c r="T222" s="114" t="str">
        <f ca="1">IF(AND('Inserimento dati'!$B$3=$H$2, TabellaA1[[#This Row],[LUN]]="X"), "X",IF(AND('Inserimento dati'!$B$3=$I$2, TabellaA1[[#This Row],[MAR]]="X"), "X", IF(AND('Inserimento dati'!$B$3=$J$2, TabellaA1[[#This Row],[MER]]="X"), "X",IF(AND('Inserimento dati'!$B$3=$K$2, TabellaA1[[#This Row],[GIO]]="X"), "X", IF(AND('Inserimento dati'!$B$3=$L$2, TabellaA1[[#This Row],[VEN]]="X"), "X","")))))</f>
        <v/>
      </c>
      <c r="U222" s="134" t="str">
        <f t="shared" ca="1" si="10"/>
        <v/>
      </c>
      <c r="V222" s="187">
        <v>45930.833333333336</v>
      </c>
    </row>
    <row r="223" spans="1:22" s="19" customFormat="1" ht="45" x14ac:dyDescent="0.2">
      <c r="A223" s="112"/>
      <c r="B223" s="112"/>
      <c r="C223" s="112" t="str">
        <f>IF(OR(TabellaA1[[#This Row],[LUN]]="X",TabellaA1[[#This Row],[MAR]]="X",TabellaA1[[#This Row],[MER]]="X",TabellaA1[[#This Row],[GIO]]="X",TabellaA1[[#This Row],[VEN]]="X",),"X","")</f>
        <v/>
      </c>
      <c r="D223" s="113" t="s">
        <v>8</v>
      </c>
      <c r="E223" s="109" t="s">
        <v>1741</v>
      </c>
      <c r="F223" s="109">
        <v>100</v>
      </c>
      <c r="G223" s="109" t="s">
        <v>1742</v>
      </c>
      <c r="H223" s="111"/>
      <c r="I223" s="111"/>
      <c r="J223" s="111"/>
      <c r="K223" s="111"/>
      <c r="L223" s="111"/>
      <c r="M223" s="109" t="s">
        <v>1036</v>
      </c>
      <c r="N223" s="110"/>
      <c r="O223" s="167"/>
      <c r="P223" s="167"/>
      <c r="Q223" s="110" t="s">
        <v>1779</v>
      </c>
      <c r="R223" s="110">
        <v>45831</v>
      </c>
      <c r="S223" s="110" t="s">
        <v>1780</v>
      </c>
      <c r="T223" s="114" t="str">
        <f ca="1">IF(AND('Inserimento dati'!$B$3=$H$2, TabellaA1[[#This Row],[LUN]]="X"), "X",IF(AND('Inserimento dati'!$B$3=$I$2, TabellaA1[[#This Row],[MAR]]="X"), "X", IF(AND('Inserimento dati'!$B$3=$J$2, TabellaA1[[#This Row],[MER]]="X"), "X",IF(AND('Inserimento dati'!$B$3=$K$2, TabellaA1[[#This Row],[GIO]]="X"), "X", IF(AND('Inserimento dati'!$B$3=$L$2, TabellaA1[[#This Row],[VEN]]="X"), "X","")))))</f>
        <v/>
      </c>
      <c r="U223" s="137" t="str">
        <f t="shared" ca="1" si="10"/>
        <v/>
      </c>
      <c r="V223" s="187">
        <v>45930.833333333336</v>
      </c>
    </row>
    <row r="224" spans="1:22" s="19" customFormat="1" ht="30" x14ac:dyDescent="0.2">
      <c r="A224" s="112"/>
      <c r="B224" s="112"/>
      <c r="C224" s="112" t="str">
        <f>IF(OR(TabellaA1[[#This Row],[LUN]]="X",TabellaA1[[#This Row],[MAR]]="X",TabellaA1[[#This Row],[MER]]="X",TabellaA1[[#This Row],[GIO]]="X",TabellaA1[[#This Row],[VEN]]="X",),"X","")</f>
        <v/>
      </c>
      <c r="D224" s="113" t="s">
        <v>8</v>
      </c>
      <c r="E224" s="109" t="s">
        <v>1775</v>
      </c>
      <c r="F224" s="109">
        <v>100</v>
      </c>
      <c r="G224" s="109" t="s">
        <v>1776</v>
      </c>
      <c r="H224" s="111"/>
      <c r="I224" s="111"/>
      <c r="J224" s="111"/>
      <c r="K224" s="111"/>
      <c r="L224" s="111"/>
      <c r="M224" s="109" t="s">
        <v>1036</v>
      </c>
      <c r="N224" s="110"/>
      <c r="O224" s="167"/>
      <c r="P224" s="167"/>
      <c r="Q224" s="110"/>
      <c r="R224" s="110"/>
      <c r="S224" s="110"/>
      <c r="T224" s="114" t="str">
        <f ca="1">IF(AND('Inserimento dati'!$B$3=$H$2, TabellaA1[[#This Row],[LUN]]="X"), "X",IF(AND('Inserimento dati'!$B$3=$I$2, TabellaA1[[#This Row],[MAR]]="X"), "X", IF(AND('Inserimento dati'!$B$3=$J$2, TabellaA1[[#This Row],[MER]]="X"), "X",IF(AND('Inserimento dati'!$B$3=$K$2, TabellaA1[[#This Row],[GIO]]="X"), "X", IF(AND('Inserimento dati'!$B$3=$L$2, TabellaA1[[#This Row],[VEN]]="X"), "X","")))))</f>
        <v/>
      </c>
      <c r="U224" s="137" t="str">
        <f t="shared" ca="1" si="10"/>
        <v/>
      </c>
      <c r="V224" s="187">
        <v>45930.833333333336</v>
      </c>
    </row>
    <row r="225" spans="1:22" s="19" customFormat="1" ht="23.25" x14ac:dyDescent="0.2">
      <c r="A225" s="112"/>
      <c r="B225" s="112"/>
      <c r="C225" s="112" t="str">
        <f>IF(OR(TabellaA1[[#This Row],[LUN]]="X",TabellaA1[[#This Row],[MAR]]="X",TabellaA1[[#This Row],[MER]]="X",TabellaA1[[#This Row],[GIO]]="X",TabellaA1[[#This Row],[VEN]]="X",),"X","")</f>
        <v/>
      </c>
      <c r="D225" s="113" t="s">
        <v>8</v>
      </c>
      <c r="E225" s="109" t="s">
        <v>1759</v>
      </c>
      <c r="F225" s="109">
        <v>400</v>
      </c>
      <c r="G225" s="109" t="s">
        <v>1760</v>
      </c>
      <c r="H225" s="111"/>
      <c r="I225" s="111"/>
      <c r="J225" s="111"/>
      <c r="K225" s="111"/>
      <c r="L225" s="111"/>
      <c r="M225" s="109" t="s">
        <v>1036</v>
      </c>
      <c r="N225" s="110"/>
      <c r="O225" s="167"/>
      <c r="P225" s="167"/>
      <c r="Q225" s="110"/>
      <c r="R225" s="110"/>
      <c r="S225" s="110"/>
      <c r="T225" s="114" t="str">
        <f ca="1">IF(AND('Inserimento dati'!$B$3=$H$2, TabellaA1[[#This Row],[LUN]]="X"), "X",IF(AND('Inserimento dati'!$B$3=$I$2, TabellaA1[[#This Row],[MAR]]="X"), "X", IF(AND('Inserimento dati'!$B$3=$J$2, TabellaA1[[#This Row],[MER]]="X"), "X",IF(AND('Inserimento dati'!$B$3=$K$2, TabellaA1[[#This Row],[GIO]]="X"), "X", IF(AND('Inserimento dati'!$B$3=$L$2, TabellaA1[[#This Row],[VEN]]="X"), "X","")))))</f>
        <v/>
      </c>
      <c r="U225" s="137" t="str">
        <f t="shared" ca="1" si="10"/>
        <v/>
      </c>
      <c r="V225" s="187">
        <v>45930.833333333336</v>
      </c>
    </row>
    <row r="226" spans="1:22" s="19" customFormat="1" ht="30" x14ac:dyDescent="0.2">
      <c r="A226" s="112"/>
      <c r="B226" s="112"/>
      <c r="C226" s="112" t="str">
        <f>IF(OR(TabellaA1[[#This Row],[LUN]]="X",TabellaA1[[#This Row],[MAR]]="X",TabellaA1[[#This Row],[MER]]="X",TabellaA1[[#This Row],[GIO]]="X",TabellaA1[[#This Row],[VEN]]="X",),"X","")</f>
        <v/>
      </c>
      <c r="D226" s="113" t="s">
        <v>8</v>
      </c>
      <c r="E226" s="109" t="s">
        <v>1761</v>
      </c>
      <c r="F226" s="109">
        <v>300</v>
      </c>
      <c r="G226" s="109" t="s">
        <v>1762</v>
      </c>
      <c r="H226" s="111"/>
      <c r="I226" s="111"/>
      <c r="J226" s="111"/>
      <c r="K226" s="111"/>
      <c r="L226" s="111"/>
      <c r="M226" s="109" t="s">
        <v>1036</v>
      </c>
      <c r="N226" s="110"/>
      <c r="O226" s="167"/>
      <c r="P226" s="167"/>
      <c r="Q226" s="110" t="s">
        <v>2261</v>
      </c>
      <c r="R226" s="110">
        <v>45841</v>
      </c>
      <c r="S226" s="110" t="s">
        <v>211</v>
      </c>
      <c r="T226" s="114" t="str">
        <f ca="1">IF(AND('Inserimento dati'!$B$3=$H$2, TabellaA1[[#This Row],[LUN]]="X"), "X",IF(AND('Inserimento dati'!$B$3=$I$2, TabellaA1[[#This Row],[MAR]]="X"), "X", IF(AND('Inserimento dati'!$B$3=$J$2, TabellaA1[[#This Row],[MER]]="X"), "X",IF(AND('Inserimento dati'!$B$3=$K$2, TabellaA1[[#This Row],[GIO]]="X"), "X", IF(AND('Inserimento dati'!$B$3=$L$2, TabellaA1[[#This Row],[VEN]]="X"), "X","")))))</f>
        <v/>
      </c>
      <c r="U226" s="137" t="str">
        <f t="shared" ca="1" si="10"/>
        <v/>
      </c>
      <c r="V226" s="187">
        <v>45930.833333333336</v>
      </c>
    </row>
    <row r="227" spans="1:22" s="19" customFormat="1" ht="30" x14ac:dyDescent="0.2">
      <c r="A227" s="112"/>
      <c r="B227" s="112"/>
      <c r="C227" s="112" t="str">
        <f>IF(OR(TabellaA1[[#This Row],[LUN]]="X",TabellaA1[[#This Row],[MAR]]="X",TabellaA1[[#This Row],[MER]]="X",TabellaA1[[#This Row],[GIO]]="X",TabellaA1[[#This Row],[VEN]]="X",),"X","")</f>
        <v/>
      </c>
      <c r="D227" s="113" t="s">
        <v>8</v>
      </c>
      <c r="E227" s="109" t="s">
        <v>2216</v>
      </c>
      <c r="F227" s="109">
        <v>100</v>
      </c>
      <c r="G227" s="109" t="s">
        <v>2217</v>
      </c>
      <c r="H227" s="111"/>
      <c r="I227" s="111"/>
      <c r="J227" s="111"/>
      <c r="K227" s="111"/>
      <c r="L227" s="111"/>
      <c r="M227" s="109" t="s">
        <v>1036</v>
      </c>
      <c r="N227" s="110"/>
      <c r="O227" s="167"/>
      <c r="P227" s="167"/>
      <c r="Q227" s="110"/>
      <c r="R227" s="110"/>
      <c r="S227" s="110"/>
      <c r="T227" s="114" t="str">
        <f ca="1">IF(AND('Inserimento dati'!$B$3=$H$2, TabellaA1[[#This Row],[LUN]]="X"), "X",IF(AND('Inserimento dati'!$B$3=$I$2, TabellaA1[[#This Row],[MAR]]="X"), "X", IF(AND('Inserimento dati'!$B$3=$J$2, TabellaA1[[#This Row],[MER]]="X"), "X",IF(AND('Inserimento dati'!$B$3=$K$2, TabellaA1[[#This Row],[GIO]]="X"), "X", IF(AND('Inserimento dati'!$B$3=$L$2, TabellaA1[[#This Row],[VEN]]="X"), "X","")))))</f>
        <v/>
      </c>
      <c r="U227" s="137" t="str">
        <f t="shared" ca="1" si="10"/>
        <v/>
      </c>
      <c r="V227" s="187">
        <v>45930.833333333336</v>
      </c>
    </row>
    <row r="228" spans="1:22" s="19" customFormat="1" ht="30" x14ac:dyDescent="0.2">
      <c r="A228" s="112"/>
      <c r="B228" s="112"/>
      <c r="C228" s="112" t="str">
        <f>IF(OR(TabellaA1[[#This Row],[LUN]]="X",TabellaA1[[#This Row],[MAR]]="X",TabellaA1[[#This Row],[MER]]="X",TabellaA1[[#This Row],[GIO]]="X",TabellaA1[[#This Row],[VEN]]="X",),"X","")</f>
        <v/>
      </c>
      <c r="D228" s="113" t="s">
        <v>8</v>
      </c>
      <c r="E228" s="109" t="s">
        <v>2353</v>
      </c>
      <c r="F228" s="109">
        <v>400</v>
      </c>
      <c r="G228" s="109" t="s">
        <v>2354</v>
      </c>
      <c r="H228" s="111"/>
      <c r="I228" s="111"/>
      <c r="J228" s="111"/>
      <c r="K228" s="111"/>
      <c r="L228" s="111"/>
      <c r="M228" s="109" t="s">
        <v>1036</v>
      </c>
      <c r="N228" s="110"/>
      <c r="O228" s="167"/>
      <c r="P228" s="167"/>
      <c r="Q228" s="110"/>
      <c r="R228" s="110"/>
      <c r="S228" s="110"/>
      <c r="T228" s="114" t="str">
        <f ca="1">IF(AND('Inserimento dati'!$B$3=$H$2, TabellaA1[[#This Row],[LUN]]="X"), "X",IF(AND('Inserimento dati'!$B$3=$I$2, TabellaA1[[#This Row],[MAR]]="X"), "X", IF(AND('Inserimento dati'!$B$3=$J$2, TabellaA1[[#This Row],[MER]]="X"), "X",IF(AND('Inserimento dati'!$B$3=$K$2, TabellaA1[[#This Row],[GIO]]="X"), "X", IF(AND('Inserimento dati'!$B$3=$L$2, TabellaA1[[#This Row],[VEN]]="X"), "X","")))))</f>
        <v/>
      </c>
      <c r="U228" s="149"/>
      <c r="V228" s="187">
        <v>45930.833333333336</v>
      </c>
    </row>
    <row r="229" spans="1:22" s="19" customFormat="1" ht="30" x14ac:dyDescent="0.2">
      <c r="A229" s="112"/>
      <c r="B229" s="112"/>
      <c r="C229" s="112" t="str">
        <f>IF(OR(TabellaA1[[#This Row],[LUN]]="X",TabellaA1[[#This Row],[MAR]]="X",TabellaA1[[#This Row],[MER]]="X",TabellaA1[[#This Row],[GIO]]="X",TabellaA1[[#This Row],[VEN]]="X",),"X","")</f>
        <v/>
      </c>
      <c r="D229" s="113" t="s">
        <v>8</v>
      </c>
      <c r="E229" s="109" t="s">
        <v>2399</v>
      </c>
      <c r="F229" s="109">
        <v>400</v>
      </c>
      <c r="G229" s="109" t="s">
        <v>2400</v>
      </c>
      <c r="H229" s="111"/>
      <c r="I229" s="111"/>
      <c r="J229" s="111"/>
      <c r="K229" s="111"/>
      <c r="L229" s="111"/>
      <c r="M229" s="109" t="s">
        <v>1036</v>
      </c>
      <c r="N229" s="110"/>
      <c r="O229" s="167"/>
      <c r="P229" s="167"/>
      <c r="Q229" s="110"/>
      <c r="R229" s="110"/>
      <c r="S229" s="110"/>
      <c r="T229" s="114" t="str">
        <f ca="1">IF(AND('Inserimento dati'!$B$3=$H$2, TabellaA1[[#This Row],[LUN]]="X"), "X",IF(AND('Inserimento dati'!$B$3=$I$2, TabellaA1[[#This Row],[MAR]]="X"), "X", IF(AND('Inserimento dati'!$B$3=$J$2, TabellaA1[[#This Row],[MER]]="X"), "X",IF(AND('Inserimento dati'!$B$3=$K$2, TabellaA1[[#This Row],[GIO]]="X"), "X", IF(AND('Inserimento dati'!$B$3=$L$2, TabellaA1[[#This Row],[VEN]]="X"), "X","")))))</f>
        <v/>
      </c>
      <c r="U229" s="149"/>
      <c r="V229" s="187">
        <v>45930.833333333336</v>
      </c>
    </row>
    <row r="230" spans="1:22" s="19" customFormat="1" ht="30" x14ac:dyDescent="0.2">
      <c r="A230" s="112"/>
      <c r="B230" s="112"/>
      <c r="C230" s="112" t="str">
        <f>IF(OR(TabellaA1[[#This Row],[LUN]]="X",TabellaA1[[#This Row],[MAR]]="X",TabellaA1[[#This Row],[MER]]="X",TabellaA1[[#This Row],[GIO]]="X",TabellaA1[[#This Row],[VEN]]="X",),"X","")</f>
        <v/>
      </c>
      <c r="D230" s="113" t="s">
        <v>8</v>
      </c>
      <c r="E230" s="109" t="s">
        <v>2401</v>
      </c>
      <c r="F230" s="109" t="s">
        <v>483</v>
      </c>
      <c r="G230" s="109" t="s">
        <v>2402</v>
      </c>
      <c r="H230" s="111"/>
      <c r="I230" s="111"/>
      <c r="J230" s="111"/>
      <c r="K230" s="111"/>
      <c r="L230" s="111"/>
      <c r="M230" s="109" t="s">
        <v>1036</v>
      </c>
      <c r="N230" s="110"/>
      <c r="O230" s="167"/>
      <c r="P230" s="167"/>
      <c r="Q230" s="110"/>
      <c r="R230" s="110"/>
      <c r="S230" s="110"/>
      <c r="T230" s="114" t="str">
        <f ca="1">IF(AND('Inserimento dati'!$B$3=$H$2, TabellaA1[[#This Row],[LUN]]="X"), "X",IF(AND('Inserimento dati'!$B$3=$I$2, TabellaA1[[#This Row],[MAR]]="X"), "X", IF(AND('Inserimento dati'!$B$3=$J$2, TabellaA1[[#This Row],[MER]]="X"), "X",IF(AND('Inserimento dati'!$B$3=$K$2, TabellaA1[[#This Row],[GIO]]="X"), "X", IF(AND('Inserimento dati'!$B$3=$L$2, TabellaA1[[#This Row],[VEN]]="X"), "X","")))))</f>
        <v/>
      </c>
      <c r="U230" s="149"/>
      <c r="V230" s="187">
        <v>45930.833333333336</v>
      </c>
    </row>
    <row r="231" spans="1:22" s="19" customFormat="1" ht="30" x14ac:dyDescent="0.2">
      <c r="A231" s="112"/>
      <c r="B231" s="112"/>
      <c r="C231" s="112" t="str">
        <f>IF(OR(TabellaA1[[#This Row],[LUN]]="X",TabellaA1[[#This Row],[MAR]]="X",TabellaA1[[#This Row],[MER]]="X",TabellaA1[[#This Row],[GIO]]="X",TabellaA1[[#This Row],[VEN]]="X",),"X","")</f>
        <v/>
      </c>
      <c r="D231" s="113" t="s">
        <v>8</v>
      </c>
      <c r="E231" s="109" t="s">
        <v>2438</v>
      </c>
      <c r="F231" s="109" t="s">
        <v>483</v>
      </c>
      <c r="G231" s="109" t="s">
        <v>2439</v>
      </c>
      <c r="H231" s="111"/>
      <c r="I231" s="111"/>
      <c r="J231" s="111"/>
      <c r="K231" s="111"/>
      <c r="L231" s="111"/>
      <c r="M231" s="109" t="s">
        <v>1036</v>
      </c>
      <c r="N231" s="110"/>
      <c r="O231" s="167"/>
      <c r="P231" s="167"/>
      <c r="Q231" s="110"/>
      <c r="R231" s="110"/>
      <c r="S231" s="110"/>
      <c r="T231" s="114" t="str">
        <f ca="1">IF(AND('Inserimento dati'!$B$3=$H$2, TabellaA1[[#This Row],[LUN]]="X"), "X",IF(AND('Inserimento dati'!$B$3=$I$2, TabellaA1[[#This Row],[MAR]]="X"), "X", IF(AND('Inserimento dati'!$B$3=$J$2, TabellaA1[[#This Row],[MER]]="X"), "X",IF(AND('Inserimento dati'!$B$3=$K$2, TabellaA1[[#This Row],[GIO]]="X"), "X", IF(AND('Inserimento dati'!$B$3=$L$2, TabellaA1[[#This Row],[VEN]]="X"), "X","")))))</f>
        <v/>
      </c>
      <c r="U231" s="149"/>
      <c r="V231" s="187">
        <v>45930.833333333336</v>
      </c>
    </row>
    <row r="232" spans="1:22" s="19" customFormat="1" ht="23.25" x14ac:dyDescent="0.2">
      <c r="A232" s="112"/>
      <c r="B232" s="112"/>
      <c r="C232" s="112" t="str">
        <f>IF(OR(TabellaA1[[#This Row],[LUN]]="X",TabellaA1[[#This Row],[MAR]]="X",TabellaA1[[#This Row],[MER]]="X",TabellaA1[[#This Row],[GIO]]="X",TabellaA1[[#This Row],[VEN]]="X",),"X","")</f>
        <v/>
      </c>
      <c r="D232" s="113" t="s">
        <v>8</v>
      </c>
      <c r="E232" s="109" t="s">
        <v>2430</v>
      </c>
      <c r="F232" s="109">
        <v>100</v>
      </c>
      <c r="G232" s="109" t="s">
        <v>2431</v>
      </c>
      <c r="H232" s="111"/>
      <c r="I232" s="111"/>
      <c r="J232" s="111"/>
      <c r="K232" s="111"/>
      <c r="L232" s="111"/>
      <c r="M232" s="109" t="s">
        <v>1036</v>
      </c>
      <c r="N232" s="110"/>
      <c r="O232" s="167"/>
      <c r="P232" s="167"/>
      <c r="Q232" s="110"/>
      <c r="R232" s="110"/>
      <c r="S232" s="110"/>
      <c r="T232" s="114" t="str">
        <f ca="1">IF(AND('Inserimento dati'!$B$3=$H$2, TabellaA1[[#This Row],[LUN]]="X"), "X",IF(AND('Inserimento dati'!$B$3=$I$2, TabellaA1[[#This Row],[MAR]]="X"), "X", IF(AND('Inserimento dati'!$B$3=$J$2, TabellaA1[[#This Row],[MER]]="X"), "X",IF(AND('Inserimento dati'!$B$3=$K$2, TabellaA1[[#This Row],[GIO]]="X"), "X", IF(AND('Inserimento dati'!$B$3=$L$2, TabellaA1[[#This Row],[VEN]]="X"), "X","")))))</f>
        <v/>
      </c>
      <c r="U232" s="149"/>
      <c r="V232" s="187">
        <v>45930.833333333336</v>
      </c>
    </row>
    <row r="233" spans="1:22" s="19" customFormat="1" ht="23.25" x14ac:dyDescent="0.2">
      <c r="A233" s="112"/>
      <c r="B233" s="112"/>
      <c r="C233" s="112" t="str">
        <f>IF(OR(TabellaA1[[#This Row],[LUN]]="X",TabellaA1[[#This Row],[MAR]]="X",TabellaA1[[#This Row],[MER]]="X",TabellaA1[[#This Row],[GIO]]="X",TabellaA1[[#This Row],[VEN]]="X",),"X","")</f>
        <v/>
      </c>
      <c r="D233" s="113" t="s">
        <v>8</v>
      </c>
      <c r="E233" s="109" t="s">
        <v>2436</v>
      </c>
      <c r="F233" s="109">
        <v>100</v>
      </c>
      <c r="G233" s="109" t="s">
        <v>2437</v>
      </c>
      <c r="H233" s="111"/>
      <c r="I233" s="111"/>
      <c r="J233" s="111"/>
      <c r="K233" s="111"/>
      <c r="L233" s="111"/>
      <c r="M233" s="109" t="s">
        <v>1036</v>
      </c>
      <c r="N233" s="110"/>
      <c r="O233" s="167"/>
      <c r="P233" s="167"/>
      <c r="Q233" s="110"/>
      <c r="R233" s="110"/>
      <c r="S233" s="110"/>
      <c r="T233" s="114" t="str">
        <f ca="1">IF(AND('Inserimento dati'!$B$3=$H$2, TabellaA1[[#This Row],[LUN]]="X"), "X",IF(AND('Inserimento dati'!$B$3=$I$2, TabellaA1[[#This Row],[MAR]]="X"), "X", IF(AND('Inserimento dati'!$B$3=$J$2, TabellaA1[[#This Row],[MER]]="X"), "X",IF(AND('Inserimento dati'!$B$3=$K$2, TabellaA1[[#This Row],[GIO]]="X"), "X", IF(AND('Inserimento dati'!$B$3=$L$2, TabellaA1[[#This Row],[VEN]]="X"), "X","")))))</f>
        <v/>
      </c>
      <c r="U233" s="149"/>
      <c r="V233" s="187">
        <v>45930.833333333336</v>
      </c>
    </row>
    <row r="234" spans="1:22" s="19" customFormat="1" ht="30" x14ac:dyDescent="0.2">
      <c r="A234" s="112"/>
      <c r="B234" s="112"/>
      <c r="C234" s="112" t="str">
        <f>IF(OR(TabellaA1[[#This Row],[LUN]]="X",TabellaA1[[#This Row],[MAR]]="X",TabellaA1[[#This Row],[MER]]="X",TabellaA1[[#This Row],[GIO]]="X",TabellaA1[[#This Row],[VEN]]="X",),"X","")</f>
        <v/>
      </c>
      <c r="D234" s="113" t="s">
        <v>8</v>
      </c>
      <c r="E234" s="109" t="s">
        <v>2461</v>
      </c>
      <c r="F234" s="109">
        <v>400</v>
      </c>
      <c r="G234" s="109" t="s">
        <v>2462</v>
      </c>
      <c r="H234" s="111"/>
      <c r="I234" s="111"/>
      <c r="J234" s="111"/>
      <c r="K234" s="111"/>
      <c r="L234" s="111"/>
      <c r="M234" s="109" t="s">
        <v>1036</v>
      </c>
      <c r="N234" s="110"/>
      <c r="O234" s="167"/>
      <c r="P234" s="167"/>
      <c r="Q234" s="110" t="s">
        <v>2475</v>
      </c>
      <c r="R234" s="110">
        <v>45861</v>
      </c>
      <c r="S234" s="110" t="s">
        <v>239</v>
      </c>
      <c r="T234" s="114" t="str">
        <f ca="1">IF(AND('Inserimento dati'!$B$3=$H$2, TabellaA1[[#This Row],[LUN]]="X"), "X",IF(AND('Inserimento dati'!$B$3=$I$2, TabellaA1[[#This Row],[MAR]]="X"), "X", IF(AND('Inserimento dati'!$B$3=$J$2, TabellaA1[[#This Row],[MER]]="X"), "X",IF(AND('Inserimento dati'!$B$3=$K$2, TabellaA1[[#This Row],[GIO]]="X"), "X", IF(AND('Inserimento dati'!$B$3=$L$2, TabellaA1[[#This Row],[VEN]]="X"), "X","")))))</f>
        <v/>
      </c>
      <c r="U234" s="149"/>
      <c r="V234" s="187">
        <v>45930.833333333336</v>
      </c>
    </row>
    <row r="235" spans="1:22" s="19" customFormat="1" ht="30" x14ac:dyDescent="0.2">
      <c r="A235" s="112"/>
      <c r="B235" s="112"/>
      <c r="C235" s="112" t="str">
        <f>IF(OR(TabellaA1[[#This Row],[LUN]]="X",TabellaA1[[#This Row],[MAR]]="X",TabellaA1[[#This Row],[MER]]="X",TabellaA1[[#This Row],[GIO]]="X",TabellaA1[[#This Row],[VEN]]="X",),"X","")</f>
        <v/>
      </c>
      <c r="D235" s="113" t="s">
        <v>8</v>
      </c>
      <c r="E235" s="109" t="s">
        <v>2432</v>
      </c>
      <c r="F235" s="109" t="s">
        <v>483</v>
      </c>
      <c r="G235" s="109" t="s">
        <v>2433</v>
      </c>
      <c r="H235" s="111"/>
      <c r="I235" s="111"/>
      <c r="J235" s="111"/>
      <c r="K235" s="111"/>
      <c r="L235" s="111"/>
      <c r="M235" s="109" t="s">
        <v>1036</v>
      </c>
      <c r="N235" s="110"/>
      <c r="O235" s="167"/>
      <c r="P235" s="167"/>
      <c r="Q235" s="110"/>
      <c r="R235" s="110"/>
      <c r="S235" s="110"/>
      <c r="T235" s="114" t="str">
        <f ca="1">IF(AND('Inserimento dati'!$B$3=$H$2, TabellaA1[[#This Row],[LUN]]="X"), "X",IF(AND('Inserimento dati'!$B$3=$I$2, TabellaA1[[#This Row],[MAR]]="X"), "X", IF(AND('Inserimento dati'!$B$3=$J$2, TabellaA1[[#This Row],[MER]]="X"), "X",IF(AND('Inserimento dati'!$B$3=$K$2, TabellaA1[[#This Row],[GIO]]="X"), "X", IF(AND('Inserimento dati'!$B$3=$L$2, TabellaA1[[#This Row],[VEN]]="X"), "X","")))))</f>
        <v/>
      </c>
      <c r="U235" s="149"/>
      <c r="V235" s="187">
        <v>45930.833333333336</v>
      </c>
    </row>
    <row r="236" spans="1:22" s="19" customFormat="1" ht="30" x14ac:dyDescent="0.2">
      <c r="A236" s="112"/>
      <c r="B236" s="112"/>
      <c r="C236" s="112" t="str">
        <f>IF(OR(TabellaA1[[#This Row],[LUN]]="X",TabellaA1[[#This Row],[MAR]]="X",TabellaA1[[#This Row],[MER]]="X",TabellaA1[[#This Row],[GIO]]="X",TabellaA1[[#This Row],[VEN]]="X",),"X","")</f>
        <v/>
      </c>
      <c r="D236" s="113" t="s">
        <v>8</v>
      </c>
      <c r="E236" s="109" t="s">
        <v>2434</v>
      </c>
      <c r="F236" s="109" t="s">
        <v>483</v>
      </c>
      <c r="G236" s="109" t="s">
        <v>2435</v>
      </c>
      <c r="H236" s="111"/>
      <c r="I236" s="111"/>
      <c r="J236" s="111"/>
      <c r="K236" s="111"/>
      <c r="L236" s="111"/>
      <c r="M236" s="109" t="s">
        <v>1036</v>
      </c>
      <c r="N236" s="110"/>
      <c r="O236" s="167"/>
      <c r="P236" s="167"/>
      <c r="Q236" s="110"/>
      <c r="R236" s="110"/>
      <c r="S236" s="110"/>
      <c r="T236" s="114" t="str">
        <f ca="1">IF(AND('Inserimento dati'!$B$3=$H$2, TabellaA1[[#This Row],[LUN]]="X"), "X",IF(AND('Inserimento dati'!$B$3=$I$2, TabellaA1[[#This Row],[MAR]]="X"), "X", IF(AND('Inserimento dati'!$B$3=$J$2, TabellaA1[[#This Row],[MER]]="X"), "X",IF(AND('Inserimento dati'!$B$3=$K$2, TabellaA1[[#This Row],[GIO]]="X"), "X", IF(AND('Inserimento dati'!$B$3=$L$2, TabellaA1[[#This Row],[VEN]]="X"), "X","")))))</f>
        <v/>
      </c>
      <c r="U236" s="149"/>
      <c r="V236" s="187">
        <v>45930.833333333336</v>
      </c>
    </row>
    <row r="237" spans="1:22" s="19" customFormat="1" ht="45" x14ac:dyDescent="0.2">
      <c r="A237" s="112"/>
      <c r="B237" s="112"/>
      <c r="C237" s="112" t="str">
        <f>IF(OR(TabellaA1[[#This Row],[LUN]]="X",TabellaA1[[#This Row],[MAR]]="X",TabellaA1[[#This Row],[MER]]="X",TabellaA1[[#This Row],[GIO]]="X",TabellaA1[[#This Row],[VEN]]="X",),"X","")</f>
        <v/>
      </c>
      <c r="D237" s="113" t="s">
        <v>8</v>
      </c>
      <c r="E237" s="109" t="s">
        <v>2412</v>
      </c>
      <c r="F237" s="109">
        <v>200</v>
      </c>
      <c r="G237" s="109" t="s">
        <v>2413</v>
      </c>
      <c r="H237" s="111"/>
      <c r="I237" s="111"/>
      <c r="J237" s="111"/>
      <c r="K237" s="111"/>
      <c r="L237" s="111"/>
      <c r="M237" s="109" t="s">
        <v>1036</v>
      </c>
      <c r="N237" s="110"/>
      <c r="O237" s="167"/>
      <c r="P237" s="167"/>
      <c r="Q237" s="110" t="s">
        <v>2514</v>
      </c>
      <c r="R237" s="110">
        <v>45868</v>
      </c>
      <c r="S237" s="110" t="s">
        <v>211</v>
      </c>
      <c r="T237" s="114" t="str">
        <f ca="1">IF(AND('Inserimento dati'!$B$3=$H$2, TabellaA1[[#This Row],[LUN]]="X"), "X",IF(AND('Inserimento dati'!$B$3=$I$2, TabellaA1[[#This Row],[MAR]]="X"), "X", IF(AND('Inserimento dati'!$B$3=$J$2, TabellaA1[[#This Row],[MER]]="X"), "X",IF(AND('Inserimento dati'!$B$3=$K$2, TabellaA1[[#This Row],[GIO]]="X"), "X", IF(AND('Inserimento dati'!$B$3=$L$2, TabellaA1[[#This Row],[VEN]]="X"), "X","")))))</f>
        <v/>
      </c>
      <c r="U237" s="149"/>
      <c r="V237" s="187">
        <v>45930.833333333336</v>
      </c>
    </row>
    <row r="238" spans="1:22" s="19" customFormat="1" ht="23.25" x14ac:dyDescent="0.2">
      <c r="A238" s="112"/>
      <c r="B238" s="112"/>
      <c r="C238" s="112" t="str">
        <f>IF(OR(TabellaA1[[#This Row],[LUN]]="X",TabellaA1[[#This Row],[MAR]]="X",TabellaA1[[#This Row],[MER]]="X",TabellaA1[[#This Row],[GIO]]="X",TabellaA1[[#This Row],[VEN]]="X",),"X","")</f>
        <v/>
      </c>
      <c r="D238" s="113" t="s">
        <v>8</v>
      </c>
      <c r="E238" s="109" t="s">
        <v>2549</v>
      </c>
      <c r="F238" s="109">
        <v>400</v>
      </c>
      <c r="G238" s="109" t="s">
        <v>2550</v>
      </c>
      <c r="H238" s="111"/>
      <c r="I238" s="111"/>
      <c r="J238" s="111"/>
      <c r="K238" s="111"/>
      <c r="L238" s="111"/>
      <c r="M238" s="109" t="s">
        <v>1036</v>
      </c>
      <c r="N238" s="110"/>
      <c r="O238" s="167"/>
      <c r="P238" s="167"/>
      <c r="Q238" s="110"/>
      <c r="R238" s="110"/>
      <c r="S238" s="110"/>
      <c r="T238" s="114" t="str">
        <f ca="1">IF(AND('Inserimento dati'!$B$3=$H$2, TabellaA1[[#This Row],[LUN]]="X"), "X",IF(AND('Inserimento dati'!$B$3=$I$2, TabellaA1[[#This Row],[MAR]]="X"), "X", IF(AND('Inserimento dati'!$B$3=$J$2, TabellaA1[[#This Row],[MER]]="X"), "X",IF(AND('Inserimento dati'!$B$3=$K$2, TabellaA1[[#This Row],[GIO]]="X"), "X", IF(AND('Inserimento dati'!$B$3=$L$2, TabellaA1[[#This Row],[VEN]]="X"), "X","")))))</f>
        <v/>
      </c>
      <c r="U238" s="149"/>
      <c r="V238" s="187">
        <v>45930.833333333336</v>
      </c>
    </row>
    <row r="239" spans="1:22" s="19" customFormat="1" ht="23.25" x14ac:dyDescent="0.2">
      <c r="A239" s="112"/>
      <c r="B239" s="112"/>
      <c r="C239" s="112" t="str">
        <f>IF(OR(TabellaA1[[#This Row],[LUN]]="X",TabellaA1[[#This Row],[MAR]]="X",TabellaA1[[#This Row],[MER]]="X",TabellaA1[[#This Row],[GIO]]="X",TabellaA1[[#This Row],[VEN]]="X",),"X","")</f>
        <v/>
      </c>
      <c r="D239" s="113" t="s">
        <v>8</v>
      </c>
      <c r="E239" s="109" t="s">
        <v>2551</v>
      </c>
      <c r="F239" s="109">
        <v>100</v>
      </c>
      <c r="G239" s="109" t="s">
        <v>2552</v>
      </c>
      <c r="H239" s="111"/>
      <c r="I239" s="111"/>
      <c r="J239" s="111"/>
      <c r="K239" s="111"/>
      <c r="L239" s="111"/>
      <c r="M239" s="109" t="s">
        <v>1036</v>
      </c>
      <c r="N239" s="110"/>
      <c r="O239" s="167"/>
      <c r="P239" s="167"/>
      <c r="Q239" s="110"/>
      <c r="R239" s="110"/>
      <c r="S239" s="110"/>
      <c r="T239" s="114" t="str">
        <f ca="1">IF(AND('Inserimento dati'!$B$3=$H$2, TabellaA1[[#This Row],[LUN]]="X"), "X",IF(AND('Inserimento dati'!$B$3=$I$2, TabellaA1[[#This Row],[MAR]]="X"), "X", IF(AND('Inserimento dati'!$B$3=$J$2, TabellaA1[[#This Row],[MER]]="X"), "X",IF(AND('Inserimento dati'!$B$3=$K$2, TabellaA1[[#This Row],[GIO]]="X"), "X", IF(AND('Inserimento dati'!$B$3=$L$2, TabellaA1[[#This Row],[VEN]]="X"), "X","")))))</f>
        <v/>
      </c>
      <c r="U239" s="149"/>
      <c r="V239" s="187">
        <v>45930.833333333336</v>
      </c>
    </row>
    <row r="240" spans="1:22" s="19" customFormat="1" ht="30" x14ac:dyDescent="0.2">
      <c r="A240" s="112"/>
      <c r="B240" s="112"/>
      <c r="C240" s="112" t="str">
        <f>IF(OR(TabellaA1[[#This Row],[LUN]]="X",TabellaA1[[#This Row],[MAR]]="X",TabellaA1[[#This Row],[MER]]="X",TabellaA1[[#This Row],[GIO]]="X",TabellaA1[[#This Row],[VEN]]="X",),"X","")</f>
        <v/>
      </c>
      <c r="D240" s="113" t="s">
        <v>8</v>
      </c>
      <c r="E240" s="109" t="s">
        <v>2861</v>
      </c>
      <c r="F240" s="109">
        <v>100</v>
      </c>
      <c r="G240" s="109" t="s">
        <v>2862</v>
      </c>
      <c r="H240" s="111"/>
      <c r="I240" s="111"/>
      <c r="J240" s="111"/>
      <c r="K240" s="111"/>
      <c r="L240" s="111"/>
      <c r="M240" s="109" t="s">
        <v>1036</v>
      </c>
      <c r="N240" s="110"/>
      <c r="O240" s="167"/>
      <c r="P240" s="167"/>
      <c r="Q240" s="110"/>
      <c r="R240" s="110"/>
      <c r="S240" s="110"/>
      <c r="T240" s="114" t="str">
        <f ca="1">IF(AND('Inserimento dati'!$B$3=$H$2, TabellaA1[[#This Row],[LUN]]="X"), "X",IF(AND('Inserimento dati'!$B$3=$I$2, TabellaA1[[#This Row],[MAR]]="X"), "X", IF(AND('Inserimento dati'!$B$3=$J$2, TabellaA1[[#This Row],[MER]]="X"), "X",IF(AND('Inserimento dati'!$B$3=$K$2, TabellaA1[[#This Row],[GIO]]="X"), "X", IF(AND('Inserimento dati'!$B$3=$L$2, TabellaA1[[#This Row],[VEN]]="X"), "X","")))))</f>
        <v/>
      </c>
      <c r="U240" s="149"/>
      <c r="V240" s="187">
        <v>45930.833333333336</v>
      </c>
    </row>
    <row r="241" spans="1:22" s="19" customFormat="1" ht="30" x14ac:dyDescent="0.2">
      <c r="A241" s="112"/>
      <c r="B241" s="112"/>
      <c r="C241" s="112" t="str">
        <f>IF(OR(TabellaA1[[#This Row],[LUN]]="X",TabellaA1[[#This Row],[MAR]]="X",TabellaA1[[#This Row],[MER]]="X",TabellaA1[[#This Row],[GIO]]="X",TabellaA1[[#This Row],[VEN]]="X",),"X","")</f>
        <v/>
      </c>
      <c r="D241" s="113" t="s">
        <v>8</v>
      </c>
      <c r="E241" s="109" t="s">
        <v>2856</v>
      </c>
      <c r="F241" s="109">
        <v>900</v>
      </c>
      <c r="G241" s="109" t="s">
        <v>2857</v>
      </c>
      <c r="H241" s="111"/>
      <c r="I241" s="111"/>
      <c r="J241" s="111"/>
      <c r="K241" s="111"/>
      <c r="L241" s="111"/>
      <c r="M241" s="109" t="s">
        <v>1036</v>
      </c>
      <c r="N241" s="110"/>
      <c r="O241" s="167"/>
      <c r="P241" s="167"/>
      <c r="Q241" s="110"/>
      <c r="R241" s="110"/>
      <c r="S241" s="110"/>
      <c r="T241" s="114" t="str">
        <f ca="1">IF(AND('Inserimento dati'!$B$3=$H$2, TabellaA1[[#This Row],[LUN]]="X"), "X",IF(AND('Inserimento dati'!$B$3=$I$2, TabellaA1[[#This Row],[MAR]]="X"), "X", IF(AND('Inserimento dati'!$B$3=$J$2, TabellaA1[[#This Row],[MER]]="X"), "X",IF(AND('Inserimento dati'!$B$3=$K$2, TabellaA1[[#This Row],[GIO]]="X"), "X", IF(AND('Inserimento dati'!$B$3=$L$2, TabellaA1[[#This Row],[VEN]]="X"), "X","")))))</f>
        <v/>
      </c>
      <c r="U241" s="149"/>
      <c r="V241" s="187">
        <v>45930.833333333336</v>
      </c>
    </row>
    <row r="242" spans="1:22" s="19" customFormat="1" ht="30" x14ac:dyDescent="0.2">
      <c r="A242" s="112"/>
      <c r="B242" s="112"/>
      <c r="C242" s="112" t="str">
        <f>IF(OR(TabellaA1[[#This Row],[LUN]]="X",TabellaA1[[#This Row],[MAR]]="X",TabellaA1[[#This Row],[MER]]="X",TabellaA1[[#This Row],[GIO]]="X",TabellaA1[[#This Row],[VEN]]="X",),"X","")</f>
        <v/>
      </c>
      <c r="D242" s="113" t="s">
        <v>8</v>
      </c>
      <c r="E242" s="109" t="s">
        <v>2459</v>
      </c>
      <c r="F242" s="109">
        <v>100</v>
      </c>
      <c r="G242" s="109" t="s">
        <v>2460</v>
      </c>
      <c r="H242" s="111"/>
      <c r="I242" s="111"/>
      <c r="J242" s="111"/>
      <c r="K242" s="111"/>
      <c r="L242" s="111"/>
      <c r="M242" s="109" t="s">
        <v>1036</v>
      </c>
      <c r="N242" s="110"/>
      <c r="O242" s="167"/>
      <c r="P242" s="167"/>
      <c r="Q242" s="110" t="s">
        <v>2474</v>
      </c>
      <c r="R242" s="110">
        <v>45862</v>
      </c>
      <c r="S242" s="110" t="s">
        <v>693</v>
      </c>
      <c r="T242" s="114" t="str">
        <f ca="1">IF(AND('Inserimento dati'!$B$3=$H$2, TabellaA1[[#This Row],[LUN]]="X"), "X",IF(AND('Inserimento dati'!$B$3=$I$2, TabellaA1[[#This Row],[MAR]]="X"), "X", IF(AND('Inserimento dati'!$B$3=$J$2, TabellaA1[[#This Row],[MER]]="X"), "X",IF(AND('Inserimento dati'!$B$3=$K$2, TabellaA1[[#This Row],[GIO]]="X"), "X", IF(AND('Inserimento dati'!$B$3=$L$2, TabellaA1[[#This Row],[VEN]]="X"), "X","")))))</f>
        <v/>
      </c>
      <c r="U242" s="149"/>
      <c r="V242" s="187">
        <v>45930.833333333336</v>
      </c>
    </row>
    <row r="243" spans="1:22" s="19" customFormat="1" ht="23.25" x14ac:dyDescent="0.2">
      <c r="A243" s="112"/>
      <c r="B243" s="112"/>
      <c r="C243" s="112" t="str">
        <f>IF(OR(TabellaA1[[#This Row],[LUN]]="X",TabellaA1[[#This Row],[MAR]]="X",TabellaA1[[#This Row],[MER]]="X",TabellaA1[[#This Row],[GIO]]="X",TabellaA1[[#This Row],[VEN]]="X",),"X","")</f>
        <v/>
      </c>
      <c r="D243" s="113" t="s">
        <v>8</v>
      </c>
      <c r="E243" s="109" t="s">
        <v>2928</v>
      </c>
      <c r="F243" s="109">
        <v>100</v>
      </c>
      <c r="G243" s="109" t="s">
        <v>2929</v>
      </c>
      <c r="H243" s="111"/>
      <c r="I243" s="111"/>
      <c r="J243" s="111"/>
      <c r="K243" s="111"/>
      <c r="L243" s="111"/>
      <c r="M243" s="109" t="s">
        <v>1036</v>
      </c>
      <c r="N243" s="110"/>
      <c r="O243" s="167"/>
      <c r="P243" s="167"/>
      <c r="Q243" s="110"/>
      <c r="R243" s="110"/>
      <c r="S243" s="110"/>
      <c r="T243" s="114" t="str">
        <f ca="1">IF(AND('Inserimento dati'!$B$3=$H$2, TabellaA1[[#This Row],[LUN]]="X"), "X",IF(AND('Inserimento dati'!$B$3=$I$2, TabellaA1[[#This Row],[MAR]]="X"), "X", IF(AND('Inserimento dati'!$B$3=$J$2, TabellaA1[[#This Row],[MER]]="X"), "X",IF(AND('Inserimento dati'!$B$3=$K$2, TabellaA1[[#This Row],[GIO]]="X"), "X", IF(AND('Inserimento dati'!$B$3=$L$2, TabellaA1[[#This Row],[VEN]]="X"), "X","")))))</f>
        <v/>
      </c>
      <c r="U243" s="149"/>
      <c r="V243" s="187">
        <v>45930.833333333336</v>
      </c>
    </row>
    <row r="244" spans="1:22" s="19" customFormat="1" ht="23.25" x14ac:dyDescent="0.2">
      <c r="A244" s="112"/>
      <c r="B244" s="112"/>
      <c r="C244" s="112" t="str">
        <f>IF(OR(TabellaA1[[#This Row],[LUN]]="X",TabellaA1[[#This Row],[MAR]]="X",TabellaA1[[#This Row],[MER]]="X",TabellaA1[[#This Row],[GIO]]="X",TabellaA1[[#This Row],[VEN]]="X",),"X","")</f>
        <v/>
      </c>
      <c r="D244" s="113" t="s">
        <v>8</v>
      </c>
      <c r="E244" s="109" t="s">
        <v>3025</v>
      </c>
      <c r="F244" s="109">
        <v>300</v>
      </c>
      <c r="G244" s="109" t="s">
        <v>3026</v>
      </c>
      <c r="H244" s="111"/>
      <c r="I244" s="111"/>
      <c r="J244" s="111"/>
      <c r="K244" s="111"/>
      <c r="L244" s="111"/>
      <c r="M244" s="109" t="s">
        <v>1036</v>
      </c>
      <c r="N244" s="110"/>
      <c r="O244" s="167"/>
      <c r="P244" s="167"/>
      <c r="Q244" s="110"/>
      <c r="R244" s="110"/>
      <c r="S244" s="110"/>
      <c r="T244" s="114" t="str">
        <f ca="1">IF(AND('Inserimento dati'!$B$3=$H$2, TabellaA1[[#This Row],[LUN]]="X"), "X",IF(AND('Inserimento dati'!$B$3=$I$2, TabellaA1[[#This Row],[MAR]]="X"), "X", IF(AND('Inserimento dati'!$B$3=$J$2, TabellaA1[[#This Row],[MER]]="X"), "X",IF(AND('Inserimento dati'!$B$3=$K$2, TabellaA1[[#This Row],[GIO]]="X"), "X", IF(AND('Inserimento dati'!$B$3=$L$2, TabellaA1[[#This Row],[VEN]]="X"), "X","")))))</f>
        <v/>
      </c>
      <c r="U244" s="149"/>
      <c r="V244" s="187">
        <v>45930.833333333336</v>
      </c>
    </row>
    <row r="245" spans="1:22" s="19" customFormat="1" ht="30" x14ac:dyDescent="0.2">
      <c r="A245" s="112"/>
      <c r="B245" s="112"/>
      <c r="C245" s="112" t="str">
        <f>IF(OR(TabellaA1[[#This Row],[LUN]]="X",TabellaA1[[#This Row],[MAR]]="X",TabellaA1[[#This Row],[MER]]="X",TabellaA1[[#This Row],[GIO]]="X",TabellaA1[[#This Row],[VEN]]="X",),"X","")</f>
        <v/>
      </c>
      <c r="D245" s="113" t="s">
        <v>8</v>
      </c>
      <c r="E245" s="109" t="s">
        <v>2954</v>
      </c>
      <c r="F245" s="109">
        <v>400</v>
      </c>
      <c r="G245" s="109" t="s">
        <v>2955</v>
      </c>
      <c r="H245" s="111"/>
      <c r="I245" s="111"/>
      <c r="J245" s="111"/>
      <c r="K245" s="111"/>
      <c r="L245" s="111"/>
      <c r="M245" s="109" t="s">
        <v>1036</v>
      </c>
      <c r="N245" s="110"/>
      <c r="O245" s="167"/>
      <c r="P245" s="167"/>
      <c r="Q245" s="110" t="s">
        <v>2994</v>
      </c>
      <c r="R245" s="110">
        <v>45917</v>
      </c>
      <c r="S245" s="110" t="s">
        <v>203</v>
      </c>
      <c r="T245" s="114" t="str">
        <f ca="1">IF(AND('Inserimento dati'!$B$3=$H$2, TabellaA1[[#This Row],[LUN]]="X"), "X",IF(AND('Inserimento dati'!$B$3=$I$2, TabellaA1[[#This Row],[MAR]]="X"), "X", IF(AND('Inserimento dati'!$B$3=$J$2, TabellaA1[[#This Row],[MER]]="X"), "X",IF(AND('Inserimento dati'!$B$3=$K$2, TabellaA1[[#This Row],[GIO]]="X"), "X", IF(AND('Inserimento dati'!$B$3=$L$2, TabellaA1[[#This Row],[VEN]]="X"), "X","")))))</f>
        <v/>
      </c>
      <c r="U245" s="149"/>
      <c r="V245" s="187">
        <v>45930.833333333336</v>
      </c>
    </row>
    <row r="246" spans="1:22" s="19" customFormat="1" ht="30" x14ac:dyDescent="0.2">
      <c r="A246" s="112"/>
      <c r="B246" s="112"/>
      <c r="C246" s="112" t="str">
        <f>IF(OR(TabellaA1[[#This Row],[LUN]]="X",TabellaA1[[#This Row],[MAR]]="X",TabellaA1[[#This Row],[MER]]="X",TabellaA1[[#This Row],[GIO]]="X",TabellaA1[[#This Row],[VEN]]="X",),"X","")</f>
        <v/>
      </c>
      <c r="D246" s="113" t="s">
        <v>8</v>
      </c>
      <c r="E246" s="109" t="s">
        <v>3103</v>
      </c>
      <c r="F246" s="109">
        <v>100</v>
      </c>
      <c r="G246" s="109" t="s">
        <v>3104</v>
      </c>
      <c r="H246" s="111"/>
      <c r="I246" s="111"/>
      <c r="J246" s="111"/>
      <c r="K246" s="111"/>
      <c r="L246" s="111"/>
      <c r="M246" s="109" t="s">
        <v>1036</v>
      </c>
      <c r="N246" s="110"/>
      <c r="O246" s="167"/>
      <c r="P246" s="167"/>
      <c r="Q246" s="110"/>
      <c r="R246" s="110"/>
      <c r="S246" s="110"/>
      <c r="T246" s="114" t="str">
        <f ca="1">IF(AND('Inserimento dati'!$B$3=$H$2, TabellaA1[[#This Row],[LUN]]="X"), "X",IF(AND('Inserimento dati'!$B$3=$I$2, TabellaA1[[#This Row],[MAR]]="X"), "X", IF(AND('Inserimento dati'!$B$3=$J$2, TabellaA1[[#This Row],[MER]]="X"), "X",IF(AND('Inserimento dati'!$B$3=$K$2, TabellaA1[[#This Row],[GIO]]="X"), "X", IF(AND('Inserimento dati'!$B$3=$L$2, TabellaA1[[#This Row],[VEN]]="X"), "X","")))))</f>
        <v/>
      </c>
      <c r="U246" s="149"/>
      <c r="V246" s="187">
        <v>45930.833333333336</v>
      </c>
    </row>
    <row r="247" spans="1:22" s="19" customFormat="1" ht="30" x14ac:dyDescent="0.2">
      <c r="A247" s="112"/>
      <c r="B247" s="112"/>
      <c r="C247" s="112" t="str">
        <f>IF(OR(TabellaA1[[#This Row],[LUN]]="X",TabellaA1[[#This Row],[MAR]]="X",TabellaA1[[#This Row],[MER]]="X",TabellaA1[[#This Row],[GIO]]="X",TabellaA1[[#This Row],[VEN]]="X",),"X","")</f>
        <v>X</v>
      </c>
      <c r="D247" s="113" t="s">
        <v>8</v>
      </c>
      <c r="E247" s="109" t="s">
        <v>3128</v>
      </c>
      <c r="F247" s="109">
        <v>200</v>
      </c>
      <c r="G247" s="109" t="s">
        <v>3129</v>
      </c>
      <c r="H247" s="111" t="s">
        <v>23</v>
      </c>
      <c r="I247" s="111" t="s">
        <v>23</v>
      </c>
      <c r="J247" s="111"/>
      <c r="K247" s="111"/>
      <c r="L247" s="111"/>
      <c r="M247" s="109" t="s">
        <v>1036</v>
      </c>
      <c r="N247" s="110"/>
      <c r="O247" s="167"/>
      <c r="P247" s="167"/>
      <c r="Q247" s="110"/>
      <c r="R247" s="110"/>
      <c r="S247" s="110"/>
      <c r="T247" s="114" t="str">
        <f ca="1">IF(AND('Inserimento dati'!$B$3=$H$2, TabellaA1[[#This Row],[LUN]]="X"), "X",IF(AND('Inserimento dati'!$B$3=$I$2, TabellaA1[[#This Row],[MAR]]="X"), "X", IF(AND('Inserimento dati'!$B$3=$J$2, TabellaA1[[#This Row],[MER]]="X"), "X",IF(AND('Inserimento dati'!$B$3=$K$2, TabellaA1[[#This Row],[GIO]]="X"), "X", IF(AND('Inserimento dati'!$B$3=$L$2, TabellaA1[[#This Row],[VEN]]="X"), "X","")))))</f>
        <v>X</v>
      </c>
      <c r="U247" s="149"/>
      <c r="V247" s="187">
        <v>45930.833333333336</v>
      </c>
    </row>
    <row r="248" spans="1:22" s="2" customFormat="1" ht="23.25" x14ac:dyDescent="0.25">
      <c r="A248" s="112"/>
      <c r="B248" s="112"/>
      <c r="C248" s="112" t="str">
        <f>IF(OR(TabellaA1[[#This Row],[LUN]]="X",TabellaA1[[#This Row],[MAR]]="X",TabellaA1[[#This Row],[MER]]="X",TabellaA1[[#This Row],[GIO]]="X",TabellaA1[[#This Row],[VEN]]="X",),"X","")</f>
        <v>X</v>
      </c>
      <c r="D248" s="113" t="s">
        <v>8</v>
      </c>
      <c r="E248" s="109" t="s">
        <v>3132</v>
      </c>
      <c r="F248" s="109">
        <v>400</v>
      </c>
      <c r="G248" s="109" t="s">
        <v>3133</v>
      </c>
      <c r="H248" s="111" t="s">
        <v>23</v>
      </c>
      <c r="I248" s="111" t="s">
        <v>23</v>
      </c>
      <c r="J248" s="111"/>
      <c r="K248" s="111"/>
      <c r="L248" s="111"/>
      <c r="M248" s="109" t="s">
        <v>1036</v>
      </c>
      <c r="N248" s="110"/>
      <c r="O248" s="167"/>
      <c r="P248" s="167"/>
      <c r="Q248" s="110"/>
      <c r="R248" s="110"/>
      <c r="S248" s="110"/>
      <c r="T248" s="114" t="str">
        <f ca="1">IF(AND('Inserimento dati'!$B$3=$H$2, TabellaA1[[#This Row],[LUN]]="X"), "X",IF(AND('Inserimento dati'!$B$3=$I$2, TabellaA1[[#This Row],[MAR]]="X"), "X", IF(AND('Inserimento dati'!$B$3=$J$2, TabellaA1[[#This Row],[MER]]="X"), "X",IF(AND('Inserimento dati'!$B$3=$K$2, TabellaA1[[#This Row],[GIO]]="X"), "X", IF(AND('Inserimento dati'!$B$3=$L$2, TabellaA1[[#This Row],[VEN]]="X"), "X","")))))</f>
        <v>X</v>
      </c>
      <c r="U248" s="149"/>
      <c r="V248" s="189">
        <v>45930.833333333336</v>
      </c>
    </row>
    <row r="249" spans="1:22" s="2" customFormat="1" ht="30" x14ac:dyDescent="0.25">
      <c r="A249" s="112"/>
      <c r="B249" s="112"/>
      <c r="C249" s="112" t="str">
        <f>IF(OR(TabellaA1[[#This Row],[LUN]]="X",TabellaA1[[#This Row],[MAR]]="X",TabellaA1[[#This Row],[MER]]="X",TabellaA1[[#This Row],[GIO]]="X",TabellaA1[[#This Row],[VEN]]="X",),"X","")</f>
        <v>X</v>
      </c>
      <c r="D249" s="113" t="s">
        <v>8</v>
      </c>
      <c r="E249" s="109" t="s">
        <v>3114</v>
      </c>
      <c r="F249" s="109">
        <v>400</v>
      </c>
      <c r="G249" s="109" t="s">
        <v>3115</v>
      </c>
      <c r="H249" s="111" t="s">
        <v>23</v>
      </c>
      <c r="I249" s="111" t="s">
        <v>23</v>
      </c>
      <c r="J249" s="111" t="s">
        <v>23</v>
      </c>
      <c r="K249" s="111" t="s">
        <v>23</v>
      </c>
      <c r="L249" s="111" t="s">
        <v>23</v>
      </c>
      <c r="M249" s="109" t="s">
        <v>1036</v>
      </c>
      <c r="N249" s="110"/>
      <c r="O249" s="167"/>
      <c r="P249" s="167"/>
      <c r="Q249" s="110"/>
      <c r="R249" s="110"/>
      <c r="S249" s="110"/>
      <c r="T249" s="114" t="str">
        <f ca="1">IF(AND('Inserimento dati'!$B$3=$H$2, TabellaA1[[#This Row],[LUN]]="X"), "X",IF(AND('Inserimento dati'!$B$3=$I$2, TabellaA1[[#This Row],[MAR]]="X"), "X", IF(AND('Inserimento dati'!$B$3=$J$2, TabellaA1[[#This Row],[MER]]="X"), "X",IF(AND('Inserimento dati'!$B$3=$K$2, TabellaA1[[#This Row],[GIO]]="X"), "X", IF(AND('Inserimento dati'!$B$3=$L$2, TabellaA1[[#This Row],[VEN]]="X"), "X","")))))</f>
        <v>X</v>
      </c>
      <c r="U249" s="149"/>
      <c r="V249" s="189">
        <v>45930.833333333336</v>
      </c>
    </row>
    <row r="250" spans="1:22" s="2" customFormat="1" ht="45" x14ac:dyDescent="0.25">
      <c r="A250" s="112"/>
      <c r="B250" s="112"/>
      <c r="C250" s="112" t="str">
        <f>IF(OR(TabellaA1[[#This Row],[LUN]]="X",TabellaA1[[#This Row],[MAR]]="X",TabellaA1[[#This Row],[MER]]="X",TabellaA1[[#This Row],[GIO]]="X",TabellaA1[[#This Row],[VEN]]="X",),"X","")</f>
        <v>X</v>
      </c>
      <c r="D250" s="113" t="s">
        <v>8</v>
      </c>
      <c r="E250" s="109" t="s">
        <v>3116</v>
      </c>
      <c r="F250" s="109">
        <v>400</v>
      </c>
      <c r="G250" s="109" t="s">
        <v>3117</v>
      </c>
      <c r="H250" s="111" t="s">
        <v>23</v>
      </c>
      <c r="I250" s="111" t="s">
        <v>23</v>
      </c>
      <c r="J250" s="111" t="s">
        <v>23</v>
      </c>
      <c r="K250" s="111" t="s">
        <v>23</v>
      </c>
      <c r="L250" s="111" t="s">
        <v>23</v>
      </c>
      <c r="M250" s="109" t="s">
        <v>1036</v>
      </c>
      <c r="N250" s="110"/>
      <c r="O250" s="167"/>
      <c r="P250" s="167"/>
      <c r="Q250" s="110"/>
      <c r="R250" s="110"/>
      <c r="S250" s="110"/>
      <c r="T250" s="114" t="str">
        <f ca="1">IF(AND('Inserimento dati'!$B$3=$H$2, TabellaA1[[#This Row],[LUN]]="X"), "X",IF(AND('Inserimento dati'!$B$3=$I$2, TabellaA1[[#This Row],[MAR]]="X"), "X", IF(AND('Inserimento dati'!$B$3=$J$2, TabellaA1[[#This Row],[MER]]="X"), "X",IF(AND('Inserimento dati'!$B$3=$K$2, TabellaA1[[#This Row],[GIO]]="X"), "X", IF(AND('Inserimento dati'!$B$3=$L$2, TabellaA1[[#This Row],[VEN]]="X"), "X","")))))</f>
        <v>X</v>
      </c>
      <c r="U250" s="149"/>
      <c r="V250" s="189">
        <v>45930.833333333336</v>
      </c>
    </row>
    <row r="251" spans="1:22" s="2" customFormat="1" ht="30" x14ac:dyDescent="0.25">
      <c r="A251" s="112"/>
      <c r="B251" s="112"/>
      <c r="C251" s="112" t="str">
        <f>IF(OR(TabellaA1[[#This Row],[LUN]]="X",TabellaA1[[#This Row],[MAR]]="X",TabellaA1[[#This Row],[MER]]="X",TabellaA1[[#This Row],[GIO]]="X",TabellaA1[[#This Row],[VEN]]="X",),"X","")</f>
        <v>X</v>
      </c>
      <c r="D251" s="113" t="s">
        <v>8</v>
      </c>
      <c r="E251" s="109" t="s">
        <v>3118</v>
      </c>
      <c r="F251" s="109">
        <v>400</v>
      </c>
      <c r="G251" s="109" t="s">
        <v>3119</v>
      </c>
      <c r="H251" s="111" t="s">
        <v>23</v>
      </c>
      <c r="I251" s="111" t="s">
        <v>23</v>
      </c>
      <c r="J251" s="111" t="s">
        <v>23</v>
      </c>
      <c r="K251" s="111" t="s">
        <v>23</v>
      </c>
      <c r="L251" s="111" t="s">
        <v>23</v>
      </c>
      <c r="M251" s="109" t="s">
        <v>1036</v>
      </c>
      <c r="N251" s="110"/>
      <c r="O251" s="167"/>
      <c r="P251" s="167"/>
      <c r="Q251" s="110"/>
      <c r="R251" s="110"/>
      <c r="S251" s="110"/>
      <c r="T251" s="114" t="str">
        <f ca="1">IF(AND('Inserimento dati'!$B$3=$H$2, TabellaA1[[#This Row],[LUN]]="X"), "X",IF(AND('Inserimento dati'!$B$3=$I$2, TabellaA1[[#This Row],[MAR]]="X"), "X", IF(AND('Inserimento dati'!$B$3=$J$2, TabellaA1[[#This Row],[MER]]="X"), "X",IF(AND('Inserimento dati'!$B$3=$K$2, TabellaA1[[#This Row],[GIO]]="X"), "X", IF(AND('Inserimento dati'!$B$3=$L$2, TabellaA1[[#This Row],[VEN]]="X"), "X","")))))</f>
        <v>X</v>
      </c>
      <c r="U251" s="149"/>
      <c r="V251" s="189">
        <v>45930.833333333336</v>
      </c>
    </row>
    <row r="252" spans="1:22" s="2" customFormat="1" ht="30" x14ac:dyDescent="0.25">
      <c r="A252" s="112"/>
      <c r="B252" s="112"/>
      <c r="C252" s="112" t="str">
        <f>IF(OR(TabellaA1[[#This Row],[LUN]]="X",TabellaA1[[#This Row],[MAR]]="X",TabellaA1[[#This Row],[MER]]="X",TabellaA1[[#This Row],[GIO]]="X",TabellaA1[[#This Row],[VEN]]="X",),"X","")</f>
        <v>X</v>
      </c>
      <c r="D252" s="113" t="s">
        <v>8</v>
      </c>
      <c r="E252" s="109" t="s">
        <v>3120</v>
      </c>
      <c r="F252" s="109">
        <v>100</v>
      </c>
      <c r="G252" s="109" t="s">
        <v>3104</v>
      </c>
      <c r="H252" s="111" t="s">
        <v>23</v>
      </c>
      <c r="I252" s="111" t="s">
        <v>23</v>
      </c>
      <c r="J252" s="111"/>
      <c r="K252" s="111"/>
      <c r="L252" s="111"/>
      <c r="M252" s="109" t="s">
        <v>1036</v>
      </c>
      <c r="N252" s="110"/>
      <c r="O252" s="167"/>
      <c r="P252" s="167"/>
      <c r="Q252" s="110"/>
      <c r="R252" s="110"/>
      <c r="S252" s="110"/>
      <c r="T252" s="114" t="str">
        <f ca="1">IF(AND('Inserimento dati'!$B$3=$H$2, TabellaA1[[#This Row],[LUN]]="X"), "X",IF(AND('Inserimento dati'!$B$3=$I$2, TabellaA1[[#This Row],[MAR]]="X"), "X", IF(AND('Inserimento dati'!$B$3=$J$2, TabellaA1[[#This Row],[MER]]="X"), "X",IF(AND('Inserimento dati'!$B$3=$K$2, TabellaA1[[#This Row],[GIO]]="X"), "X", IF(AND('Inserimento dati'!$B$3=$L$2, TabellaA1[[#This Row],[VEN]]="X"), "X","")))))</f>
        <v>X</v>
      </c>
      <c r="U252" s="149"/>
      <c r="V252" s="189">
        <v>45930.833333333336</v>
      </c>
    </row>
    <row r="253" spans="1:22" s="2" customFormat="1" ht="23.25" x14ac:dyDescent="0.25">
      <c r="A253" s="112"/>
      <c r="B253" s="112"/>
      <c r="C253" s="112" t="str">
        <f>IF(OR(TabellaA1[[#This Row],[LUN]]="X",TabellaA1[[#This Row],[MAR]]="X",TabellaA1[[#This Row],[MER]]="X",TabellaA1[[#This Row],[GIO]]="X",TabellaA1[[#This Row],[VEN]]="X",),"X","")</f>
        <v/>
      </c>
      <c r="D253" s="113" t="s">
        <v>8</v>
      </c>
      <c r="E253" s="109" t="s">
        <v>2756</v>
      </c>
      <c r="F253" s="109">
        <v>400</v>
      </c>
      <c r="G253" s="109" t="s">
        <v>2757</v>
      </c>
      <c r="H253" s="111"/>
      <c r="I253" s="111"/>
      <c r="J253" s="111"/>
      <c r="K253" s="111"/>
      <c r="L253" s="111"/>
      <c r="M253" s="109" t="s">
        <v>1257</v>
      </c>
      <c r="N253" s="110"/>
      <c r="O253" s="167"/>
      <c r="P253" s="167"/>
      <c r="Q253" s="110" t="s">
        <v>2779</v>
      </c>
      <c r="R253" s="110">
        <v>45901</v>
      </c>
      <c r="S253" s="110" t="s">
        <v>203</v>
      </c>
      <c r="T253" s="114" t="str">
        <f ca="1">IF(AND('Inserimento dati'!$B$3=$H$2, TabellaA1[[#This Row],[LUN]]="X"), "X",IF(AND('Inserimento dati'!$B$3=$I$2, TabellaA1[[#This Row],[MAR]]="X"), "X", IF(AND('Inserimento dati'!$B$3=$J$2, TabellaA1[[#This Row],[MER]]="X"), "X",IF(AND('Inserimento dati'!$B$3=$K$2, TabellaA1[[#This Row],[GIO]]="X"), "X", IF(AND('Inserimento dati'!$B$3=$L$2, TabellaA1[[#This Row],[VEN]]="X"), "X","")))))</f>
        <v/>
      </c>
      <c r="U253" s="149"/>
      <c r="V253" s="189">
        <v>45930.833333333336</v>
      </c>
    </row>
    <row r="254" spans="1:22" s="2" customFormat="1" ht="30" x14ac:dyDescent="0.25">
      <c r="A254" s="112"/>
      <c r="B254" s="112"/>
      <c r="C254" s="112" t="str">
        <f>IF(OR(TabellaA1[[#This Row],[LUN]]="X",TabellaA1[[#This Row],[MAR]]="X",TabellaA1[[#This Row],[MER]]="X",TabellaA1[[#This Row],[GIO]]="X",TabellaA1[[#This Row],[VEN]]="X",),"X","")</f>
        <v/>
      </c>
      <c r="D254" s="113" t="s">
        <v>8</v>
      </c>
      <c r="E254" s="109" t="s">
        <v>2656</v>
      </c>
      <c r="F254" s="109">
        <v>100</v>
      </c>
      <c r="G254" s="109" t="s">
        <v>2657</v>
      </c>
      <c r="H254" s="111"/>
      <c r="I254" s="111"/>
      <c r="J254" s="111"/>
      <c r="K254" s="111"/>
      <c r="L254" s="111"/>
      <c r="M254" s="109" t="s">
        <v>1257</v>
      </c>
      <c r="N254" s="110"/>
      <c r="O254" s="167"/>
      <c r="P254" s="167"/>
      <c r="Q254" s="110" t="s">
        <v>2677</v>
      </c>
      <c r="R254" s="110">
        <v>45889</v>
      </c>
      <c r="S254" s="110" t="s">
        <v>203</v>
      </c>
      <c r="T254" s="114" t="str">
        <f ca="1">IF(AND('Inserimento dati'!$B$3=$H$2, TabellaA1[[#This Row],[LUN]]="X"), "X",IF(AND('Inserimento dati'!$B$3=$I$2, TabellaA1[[#This Row],[MAR]]="X"), "X", IF(AND('Inserimento dati'!$B$3=$J$2, TabellaA1[[#This Row],[MER]]="X"), "X",IF(AND('Inserimento dati'!$B$3=$K$2, TabellaA1[[#This Row],[GIO]]="X"), "X", IF(AND('Inserimento dati'!$B$3=$L$2, TabellaA1[[#This Row],[VEN]]="X"), "X","")))))</f>
        <v/>
      </c>
      <c r="U254" s="149"/>
      <c r="V254" s="189">
        <v>45930.833333333336</v>
      </c>
    </row>
    <row r="255" spans="1:22" ht="45" x14ac:dyDescent="0.25">
      <c r="A255" s="112"/>
      <c r="B255" s="112"/>
      <c r="C255" s="112" t="str">
        <f>IF(OR(TabellaA1[[#This Row],[LUN]]="X",TabellaA1[[#This Row],[MAR]]="X",TabellaA1[[#This Row],[MER]]="X",TabellaA1[[#This Row],[GIO]]="X",TabellaA1[[#This Row],[VEN]]="X",),"X","")</f>
        <v/>
      </c>
      <c r="D255" s="113" t="s">
        <v>8</v>
      </c>
      <c r="E255" s="109" t="s">
        <v>2490</v>
      </c>
      <c r="F255" s="109">
        <v>200</v>
      </c>
      <c r="G255" s="109" t="s">
        <v>2491</v>
      </c>
      <c r="H255" s="111"/>
      <c r="I255" s="111"/>
      <c r="J255" s="111"/>
      <c r="K255" s="111"/>
      <c r="L255" s="111"/>
      <c r="M255" s="109" t="s">
        <v>1257</v>
      </c>
      <c r="N255" s="110"/>
      <c r="O255" s="167" t="s">
        <v>23</v>
      </c>
      <c r="P255" s="167" t="s">
        <v>23</v>
      </c>
      <c r="Q255" s="110" t="s">
        <v>2678</v>
      </c>
      <c r="R255" s="110">
        <v>45889</v>
      </c>
      <c r="S255" s="110" t="s">
        <v>2668</v>
      </c>
      <c r="T255" s="114" t="str">
        <f ca="1">IF(AND('Inserimento dati'!$B$3=$H$2, TabellaA1[[#This Row],[LUN]]="X"), "X",IF(AND('Inserimento dati'!$B$3=$I$2, TabellaA1[[#This Row],[MAR]]="X"), "X", IF(AND('Inserimento dati'!$B$3=$J$2, TabellaA1[[#This Row],[MER]]="X"), "X",IF(AND('Inserimento dati'!$B$3=$K$2, TabellaA1[[#This Row],[GIO]]="X"), "X", IF(AND('Inserimento dati'!$B$3=$L$2, TabellaA1[[#This Row],[VEN]]="X"), "X","")))))</f>
        <v/>
      </c>
      <c r="U255" s="149"/>
      <c r="V255" s="190">
        <v>45930.833333333336</v>
      </c>
    </row>
    <row r="256" spans="1:22" ht="30" x14ac:dyDescent="0.25">
      <c r="A256" s="112"/>
      <c r="B256" s="112"/>
      <c r="C256" s="112" t="str">
        <f>IF(OR(TabellaA1[[#This Row],[LUN]]="X",TabellaA1[[#This Row],[MAR]]="X",TabellaA1[[#This Row],[MER]]="X",TabellaA1[[#This Row],[GIO]]="X",TabellaA1[[#This Row],[VEN]]="X",),"X","")</f>
        <v/>
      </c>
      <c r="D256" s="113" t="s">
        <v>8</v>
      </c>
      <c r="E256" s="109" t="s">
        <v>2646</v>
      </c>
      <c r="F256" s="109">
        <v>900</v>
      </c>
      <c r="G256" s="109" t="s">
        <v>2647</v>
      </c>
      <c r="H256" s="111"/>
      <c r="I256" s="111"/>
      <c r="J256" s="111"/>
      <c r="K256" s="111"/>
      <c r="L256" s="111"/>
      <c r="M256" s="109" t="s">
        <v>1257</v>
      </c>
      <c r="N256" s="110"/>
      <c r="O256" s="167"/>
      <c r="P256" s="167"/>
      <c r="Q256" s="110" t="s">
        <v>2659</v>
      </c>
      <c r="R256" s="110">
        <v>45888</v>
      </c>
      <c r="S256" s="110" t="s">
        <v>2608</v>
      </c>
      <c r="T256" s="114" t="str">
        <f ca="1">IF(AND('Inserimento dati'!$B$3=$H$2, TabellaA1[[#This Row],[LUN]]="X"), "X",IF(AND('Inserimento dati'!$B$3=$I$2, TabellaA1[[#This Row],[MAR]]="X"), "X", IF(AND('Inserimento dati'!$B$3=$J$2, TabellaA1[[#This Row],[MER]]="X"), "X",IF(AND('Inserimento dati'!$B$3=$K$2, TabellaA1[[#This Row],[GIO]]="X"), "X", IF(AND('Inserimento dati'!$B$3=$L$2, TabellaA1[[#This Row],[VEN]]="X"), "X","")))))</f>
        <v/>
      </c>
      <c r="U256" s="149"/>
      <c r="V256" s="190">
        <v>45930.833333333336</v>
      </c>
    </row>
    <row r="257" spans="1:22" ht="30" x14ac:dyDescent="0.25">
      <c r="A257" s="112"/>
      <c r="B257" s="112"/>
      <c r="C257" s="112" t="str">
        <f>IF(OR(TabellaA1[[#This Row],[LUN]]="X",TabellaA1[[#This Row],[MAR]]="X",TabellaA1[[#This Row],[MER]]="X",TabellaA1[[#This Row],[GIO]]="X",TabellaA1[[#This Row],[VEN]]="X",),"X","")</f>
        <v/>
      </c>
      <c r="D257" s="113" t="s">
        <v>8</v>
      </c>
      <c r="E257" s="109" t="s">
        <v>2584</v>
      </c>
      <c r="F257" s="109">
        <v>300</v>
      </c>
      <c r="G257" s="109" t="s">
        <v>2585</v>
      </c>
      <c r="H257" s="111"/>
      <c r="I257" s="111"/>
      <c r="J257" s="111"/>
      <c r="K257" s="111"/>
      <c r="L257" s="111"/>
      <c r="M257" s="109" t="s">
        <v>1257</v>
      </c>
      <c r="N257" s="110"/>
      <c r="O257" s="167" t="s">
        <v>23</v>
      </c>
      <c r="P257" s="167"/>
      <c r="Q257" s="110" t="s">
        <v>2604</v>
      </c>
      <c r="R257" s="110">
        <v>45881</v>
      </c>
      <c r="S257" s="110" t="s">
        <v>2603</v>
      </c>
      <c r="T257" s="114" t="str">
        <f ca="1">IF(AND('Inserimento dati'!$B$3=$H$2, TabellaA1[[#This Row],[LUN]]="X"), "X",IF(AND('Inserimento dati'!$B$3=$I$2, TabellaA1[[#This Row],[MAR]]="X"), "X", IF(AND('Inserimento dati'!$B$3=$J$2, TabellaA1[[#This Row],[MER]]="X"), "X",IF(AND('Inserimento dati'!$B$3=$K$2, TabellaA1[[#This Row],[GIO]]="X"), "X", IF(AND('Inserimento dati'!$B$3=$L$2, TabellaA1[[#This Row],[VEN]]="X"), "X","")))))</f>
        <v/>
      </c>
      <c r="U257" s="149"/>
      <c r="V257" s="190">
        <v>45930.833333333336</v>
      </c>
    </row>
    <row r="258" spans="1:22" ht="23.25" x14ac:dyDescent="0.25">
      <c r="A258" s="112"/>
      <c r="B258" s="112"/>
      <c r="C258" s="112" t="str">
        <f>IF(OR(TabellaA1[[#This Row],[LUN]]="X",TabellaA1[[#This Row],[MAR]]="X",TabellaA1[[#This Row],[MER]]="X",TabellaA1[[#This Row],[GIO]]="X",TabellaA1[[#This Row],[VEN]]="X",),"X","")</f>
        <v/>
      </c>
      <c r="D258" s="113" t="s">
        <v>8</v>
      </c>
      <c r="E258" s="109" t="s">
        <v>2521</v>
      </c>
      <c r="F258" s="109">
        <v>200</v>
      </c>
      <c r="G258" s="109" t="s">
        <v>2522</v>
      </c>
      <c r="H258" s="111"/>
      <c r="I258" s="111"/>
      <c r="J258" s="111"/>
      <c r="K258" s="111"/>
      <c r="L258" s="111"/>
      <c r="M258" s="109" t="s">
        <v>1257</v>
      </c>
      <c r="N258" s="110" t="s">
        <v>23</v>
      </c>
      <c r="O258" s="167"/>
      <c r="P258" s="167"/>
      <c r="Q258" s="110" t="s">
        <v>2525</v>
      </c>
      <c r="R258" s="110">
        <v>45869</v>
      </c>
      <c r="S258" s="110" t="s">
        <v>1074</v>
      </c>
      <c r="T258" s="114" t="str">
        <f ca="1">IF(AND('Inserimento dati'!$B$3=$H$2, TabellaA1[[#This Row],[LUN]]="X"), "X",IF(AND('Inserimento dati'!$B$3=$I$2, TabellaA1[[#This Row],[MAR]]="X"), "X", IF(AND('Inserimento dati'!$B$3=$J$2, TabellaA1[[#This Row],[MER]]="X"), "X",IF(AND('Inserimento dati'!$B$3=$K$2, TabellaA1[[#This Row],[GIO]]="X"), "X", IF(AND('Inserimento dati'!$B$3=$L$2, TabellaA1[[#This Row],[VEN]]="X"), "X","")))))</f>
        <v/>
      </c>
      <c r="U258" s="149"/>
      <c r="V258" s="190">
        <v>45930.833333333336</v>
      </c>
    </row>
    <row r="259" spans="1:22" ht="30" x14ac:dyDescent="0.25">
      <c r="A259" s="112"/>
      <c r="B259" s="112"/>
      <c r="C259" s="112" t="str">
        <f>IF(OR(TabellaA1[[#This Row],[LUN]]="X",TabellaA1[[#This Row],[MAR]]="X",TabellaA1[[#This Row],[MER]]="X",TabellaA1[[#This Row],[GIO]]="X",TabellaA1[[#This Row],[VEN]]="X",),"X","")</f>
        <v/>
      </c>
      <c r="D259" s="113" t="s">
        <v>8</v>
      </c>
      <c r="E259" s="109" t="s">
        <v>2444</v>
      </c>
      <c r="F259" s="109" t="s">
        <v>483</v>
      </c>
      <c r="G259" s="109" t="s">
        <v>2445</v>
      </c>
      <c r="H259" s="111"/>
      <c r="I259" s="111"/>
      <c r="J259" s="111"/>
      <c r="K259" s="111"/>
      <c r="L259" s="111"/>
      <c r="M259" s="109" t="s">
        <v>1257</v>
      </c>
      <c r="N259" s="110"/>
      <c r="O259" s="167"/>
      <c r="P259" s="167"/>
      <c r="Q259" s="110"/>
      <c r="R259" s="110"/>
      <c r="S259" s="110"/>
      <c r="T259" s="114" t="str">
        <f ca="1">IF(AND('Inserimento dati'!$B$3=$H$2, TabellaA1[[#This Row],[LUN]]="X"), "X",IF(AND('Inserimento dati'!$B$3=$I$2, TabellaA1[[#This Row],[MAR]]="X"), "X", IF(AND('Inserimento dati'!$B$3=$J$2, TabellaA1[[#This Row],[MER]]="X"), "X",IF(AND('Inserimento dati'!$B$3=$K$2, TabellaA1[[#This Row],[GIO]]="X"), "X", IF(AND('Inserimento dati'!$B$3=$L$2, TabellaA1[[#This Row],[VEN]]="X"), "X","")))))</f>
        <v/>
      </c>
      <c r="U259" s="149"/>
      <c r="V259" s="190">
        <v>45930.833333333336</v>
      </c>
    </row>
    <row r="260" spans="1:22" ht="45" x14ac:dyDescent="0.25">
      <c r="A260" s="112"/>
      <c r="B260" s="112"/>
      <c r="C260" s="112" t="str">
        <f>IF(OR(TabellaA1[[#This Row],[LUN]]="X",TabellaA1[[#This Row],[MAR]]="X",TabellaA1[[#This Row],[MER]]="X",TabellaA1[[#This Row],[GIO]]="X",TabellaA1[[#This Row],[VEN]]="X",),"X","")</f>
        <v/>
      </c>
      <c r="D260" s="113" t="s">
        <v>8</v>
      </c>
      <c r="E260" s="109" t="s">
        <v>1581</v>
      </c>
      <c r="F260" s="109">
        <v>200</v>
      </c>
      <c r="G260" s="109" t="s">
        <v>1576</v>
      </c>
      <c r="H260" s="111"/>
      <c r="I260" s="111"/>
      <c r="J260" s="111"/>
      <c r="K260" s="111"/>
      <c r="L260" s="111"/>
      <c r="M260" s="109" t="s">
        <v>1257</v>
      </c>
      <c r="N260" s="110"/>
      <c r="O260" s="167"/>
      <c r="P260" s="167"/>
      <c r="Q260" s="110" t="s">
        <v>1644</v>
      </c>
      <c r="R260" s="110">
        <v>45817</v>
      </c>
      <c r="S260" s="110" t="s">
        <v>239</v>
      </c>
      <c r="T260" s="114" t="str">
        <f ca="1">IF(AND('Inserimento dati'!$B$3=$H$2, TabellaA1[[#This Row],[LUN]]="X"), "X",IF(AND('Inserimento dati'!$B$3=$I$2, TabellaA1[[#This Row],[MAR]]="X"), "X", IF(AND('Inserimento dati'!$B$3=$J$2, TabellaA1[[#This Row],[MER]]="X"), "X",IF(AND('Inserimento dati'!$B$3=$K$2, TabellaA1[[#This Row],[GIO]]="X"), "X", IF(AND('Inserimento dati'!$B$3=$L$2, TabellaA1[[#This Row],[VEN]]="X"), "X","")))))</f>
        <v/>
      </c>
      <c r="U260" s="134" t="str">
        <f t="shared" ref="U260:U269" ca="1" si="12">IFERROR(MID(G260,_xlfn.AGGREGATE(15,6,(ROW(INDIRECT("1:"&amp;LEN(G260)-7)))/(ISNUMBER(--MID(G260,ROW(INDIRECT("1:"&amp;LEN(G260)-7)),8))),1),8),"")</f>
        <v/>
      </c>
      <c r="V260" s="190">
        <v>45930.833333333336</v>
      </c>
    </row>
    <row r="261" spans="1:22" ht="45" x14ac:dyDescent="0.25">
      <c r="A261" s="112"/>
      <c r="B261" s="112"/>
      <c r="C261" s="112" t="str">
        <f>IF(OR(TabellaA1[[#This Row],[LUN]]="X",TabellaA1[[#This Row],[MAR]]="X",TabellaA1[[#This Row],[MER]]="X",TabellaA1[[#This Row],[GIO]]="X",TabellaA1[[#This Row],[VEN]]="X",),"X","")</f>
        <v/>
      </c>
      <c r="D261" s="113" t="s">
        <v>8</v>
      </c>
      <c r="E261" s="109" t="s">
        <v>1582</v>
      </c>
      <c r="F261" s="109">
        <v>200</v>
      </c>
      <c r="G261" s="109" t="s">
        <v>1575</v>
      </c>
      <c r="H261" s="111"/>
      <c r="I261" s="111"/>
      <c r="J261" s="111"/>
      <c r="K261" s="111"/>
      <c r="L261" s="111"/>
      <c r="M261" s="109" t="s">
        <v>1257</v>
      </c>
      <c r="N261" s="110"/>
      <c r="O261" s="167"/>
      <c r="P261" s="167"/>
      <c r="Q261" s="110" t="s">
        <v>1643</v>
      </c>
      <c r="R261" s="110">
        <v>45817</v>
      </c>
      <c r="S261" s="110" t="s">
        <v>239</v>
      </c>
      <c r="T261" s="114" t="str">
        <f ca="1">IF(AND('Inserimento dati'!$B$3=$H$2, TabellaA1[[#This Row],[LUN]]="X"), "X",IF(AND('Inserimento dati'!$B$3=$I$2, TabellaA1[[#This Row],[MAR]]="X"), "X", IF(AND('Inserimento dati'!$B$3=$J$2, TabellaA1[[#This Row],[MER]]="X"), "X",IF(AND('Inserimento dati'!$B$3=$K$2, TabellaA1[[#This Row],[GIO]]="X"), "X", IF(AND('Inserimento dati'!$B$3=$L$2, TabellaA1[[#This Row],[VEN]]="X"), "X","")))))</f>
        <v/>
      </c>
      <c r="U261" s="134" t="str">
        <f t="shared" ca="1" si="12"/>
        <v/>
      </c>
      <c r="V261" s="190">
        <v>45930.833333333336</v>
      </c>
    </row>
    <row r="262" spans="1:22" ht="45" x14ac:dyDescent="0.25">
      <c r="A262" s="112"/>
      <c r="B262" s="112" t="str">
        <f t="shared" ref="B262:B269" si="13">IF(OR(A262="x",A262="X"),"",IF(ISBLANK(A262),"X",""))</f>
        <v>X</v>
      </c>
      <c r="C262" s="112" t="str">
        <f>IF(OR(TabellaA1[[#This Row],[LUN]]="X",TabellaA1[[#This Row],[MAR]]="X",TabellaA1[[#This Row],[MER]]="X",TabellaA1[[#This Row],[GIO]]="X",TabellaA1[[#This Row],[VEN]]="X",),"X","")</f>
        <v/>
      </c>
      <c r="D262" s="113" t="s">
        <v>8</v>
      </c>
      <c r="E262" s="109" t="s">
        <v>1291</v>
      </c>
      <c r="F262" s="109">
        <v>400</v>
      </c>
      <c r="G262" s="109" t="s">
        <v>1332</v>
      </c>
      <c r="H262" s="111"/>
      <c r="I262" s="111"/>
      <c r="J262" s="111"/>
      <c r="K262" s="111"/>
      <c r="L262" s="111"/>
      <c r="M262" s="109" t="s">
        <v>1257</v>
      </c>
      <c r="N262" s="110"/>
      <c r="O262" s="167"/>
      <c r="P262" s="167"/>
      <c r="Q262" s="110" t="s">
        <v>1333</v>
      </c>
      <c r="R262" s="110">
        <v>45788</v>
      </c>
      <c r="S262" s="110" t="s">
        <v>673</v>
      </c>
      <c r="T262" s="115" t="str">
        <f ca="1">IF(AND('Inserimento dati'!$B$3=$H$2, TabellaA1[[#This Row],[LUN]]="X"), "X",IF(AND('Inserimento dati'!$B$3=$I$2, TabellaA1[[#This Row],[MAR]]="X"), "X", IF(AND('Inserimento dati'!$B$3=$J$2, TabellaA1[[#This Row],[MER]]="X"), "X",IF(AND('Inserimento dati'!$B$3=$K$2, TabellaA1[[#This Row],[GIO]]="X"), "X", IF(AND('Inserimento dati'!$B$3=$L$2, TabellaA1[[#This Row],[VEN]]="X"), "X","")))))</f>
        <v/>
      </c>
      <c r="U262" s="135" t="str">
        <f t="shared" ca="1" si="12"/>
        <v/>
      </c>
      <c r="V262" s="190">
        <v>45930.833333333336</v>
      </c>
    </row>
    <row r="263" spans="1:22" ht="30" x14ac:dyDescent="0.25">
      <c r="A263" s="112"/>
      <c r="B263" s="112" t="str">
        <f t="shared" si="13"/>
        <v>X</v>
      </c>
      <c r="C263" s="112" t="str">
        <f>IF(OR(TabellaA1[[#This Row],[LUN]]="X",TabellaA1[[#This Row],[MAR]]="X",TabellaA1[[#This Row],[MER]]="X",TabellaA1[[#This Row],[GIO]]="X",TabellaA1[[#This Row],[VEN]]="X",),"X","")</f>
        <v/>
      </c>
      <c r="D263" s="113" t="s">
        <v>8</v>
      </c>
      <c r="E263" s="109" t="s">
        <v>1246</v>
      </c>
      <c r="F263" s="109">
        <v>200</v>
      </c>
      <c r="G263" s="109" t="s">
        <v>1245</v>
      </c>
      <c r="H263" s="111"/>
      <c r="I263" s="111"/>
      <c r="J263" s="111"/>
      <c r="K263" s="111"/>
      <c r="L263" s="111"/>
      <c r="M263" s="110" t="s">
        <v>1257</v>
      </c>
      <c r="N263" s="110"/>
      <c r="O263" s="167"/>
      <c r="P263" s="167"/>
      <c r="Q263" s="110" t="s">
        <v>1286</v>
      </c>
      <c r="R263" s="110">
        <v>45784</v>
      </c>
      <c r="S263" s="110" t="s">
        <v>1284</v>
      </c>
      <c r="T263" s="112" t="str">
        <f ca="1">IF(AND('Inserimento dati'!$B$3=$H$2, TabellaA1[[#This Row],[LUN]]="X"), "X",IF(AND('Inserimento dati'!$B$3=$I$2, TabellaA1[[#This Row],[MAR]]="X"), "X", IF(AND('Inserimento dati'!$B$3=$J$2, TabellaA1[[#This Row],[MER]]="X"), "X",IF(AND('Inserimento dati'!$B$3=$K$2, TabellaA1[[#This Row],[GIO]]="X"), "X", IF(AND('Inserimento dati'!$B$3=$L$2, TabellaA1[[#This Row],[VEN]]="X"), "X","")))))</f>
        <v/>
      </c>
      <c r="U263" s="135" t="str">
        <f t="shared" ca="1" si="12"/>
        <v/>
      </c>
      <c r="V263" s="190">
        <v>45930.833333333336</v>
      </c>
    </row>
    <row r="264" spans="1:22" ht="30" x14ac:dyDescent="0.25">
      <c r="A264" s="112"/>
      <c r="B264" s="112" t="str">
        <f t="shared" si="13"/>
        <v>X</v>
      </c>
      <c r="C264" s="112" t="str">
        <f>IF(OR(TabellaA1[[#This Row],[LUN]]="X",TabellaA1[[#This Row],[MAR]]="X",TabellaA1[[#This Row],[MER]]="X",TabellaA1[[#This Row],[GIO]]="X",TabellaA1[[#This Row],[VEN]]="X",),"X","")</f>
        <v/>
      </c>
      <c r="D264" s="113" t="s">
        <v>8</v>
      </c>
      <c r="E264" s="109" t="s">
        <v>1148</v>
      </c>
      <c r="F264" s="109" t="s">
        <v>483</v>
      </c>
      <c r="G264" s="109" t="s">
        <v>1145</v>
      </c>
      <c r="H264" s="111"/>
      <c r="I264" s="111"/>
      <c r="J264" s="111"/>
      <c r="K264" s="111"/>
      <c r="L264" s="111"/>
      <c r="M264" s="110" t="s">
        <v>1257</v>
      </c>
      <c r="N264" s="110"/>
      <c r="O264" s="167"/>
      <c r="P264" s="167"/>
      <c r="Q264" s="110" t="s">
        <v>1151</v>
      </c>
      <c r="R264" s="110">
        <v>45770</v>
      </c>
      <c r="S264" s="110" t="s">
        <v>239</v>
      </c>
      <c r="T264" s="112" t="str">
        <f ca="1">IF(AND('Inserimento dati'!$B$3=$H$2, TabellaA1[[#This Row],[LUN]]="X"), "X",IF(AND('Inserimento dati'!$B$3=$I$2, TabellaA1[[#This Row],[MAR]]="X"), "X", IF(AND('Inserimento dati'!$B$3=$J$2, TabellaA1[[#This Row],[MER]]="X"), "X",IF(AND('Inserimento dati'!$B$3=$K$2, TabellaA1[[#This Row],[GIO]]="X"), "X", IF(AND('Inserimento dati'!$B$3=$L$2, TabellaA1[[#This Row],[VEN]]="X"), "X","")))))</f>
        <v/>
      </c>
      <c r="U264" s="135" t="str">
        <f t="shared" ca="1" si="12"/>
        <v/>
      </c>
      <c r="V264" s="190">
        <v>45930.833333333336</v>
      </c>
    </row>
    <row r="265" spans="1:22" ht="30" x14ac:dyDescent="0.25">
      <c r="A265" s="112"/>
      <c r="B265" s="112" t="str">
        <f t="shared" si="13"/>
        <v>X</v>
      </c>
      <c r="C265" s="112" t="str">
        <f>IF(OR(TabellaA1[[#This Row],[LUN]]="X",TabellaA1[[#This Row],[MAR]]="X",TabellaA1[[#This Row],[MER]]="X",TabellaA1[[#This Row],[GIO]]="X",TabellaA1[[#This Row],[VEN]]="X",),"X","")</f>
        <v/>
      </c>
      <c r="D265" s="113" t="s">
        <v>8</v>
      </c>
      <c r="E265" s="109" t="s">
        <v>1085</v>
      </c>
      <c r="F265" s="109">
        <v>100</v>
      </c>
      <c r="G265" s="109" t="s">
        <v>1078</v>
      </c>
      <c r="H265" s="111"/>
      <c r="I265" s="111"/>
      <c r="J265" s="111"/>
      <c r="K265" s="111"/>
      <c r="L265" s="111"/>
      <c r="M265" s="110" t="s">
        <v>1257</v>
      </c>
      <c r="N265" s="110"/>
      <c r="O265" s="167"/>
      <c r="P265" s="167"/>
      <c r="Q265" s="110" t="s">
        <v>1265</v>
      </c>
      <c r="R265" s="110">
        <v>45762</v>
      </c>
      <c r="S265" s="110" t="s">
        <v>50</v>
      </c>
      <c r="T265" s="112" t="str">
        <f ca="1">IF(AND('Inserimento dati'!$B$3=$H$2, TabellaA1[[#This Row],[LUN]]="X"), "X",IF(AND('Inserimento dati'!$B$3=$I$2, TabellaA1[[#This Row],[MAR]]="X"), "X", IF(AND('Inserimento dati'!$B$3=$J$2, TabellaA1[[#This Row],[MER]]="X"), "X",IF(AND('Inserimento dati'!$B$3=$K$2, TabellaA1[[#This Row],[GIO]]="X"), "X", IF(AND('Inserimento dati'!$B$3=$L$2, TabellaA1[[#This Row],[VEN]]="X"), "X","")))))</f>
        <v/>
      </c>
      <c r="U265" s="135" t="str">
        <f t="shared" ca="1" si="12"/>
        <v/>
      </c>
      <c r="V265" s="190">
        <v>45930.833333333336</v>
      </c>
    </row>
    <row r="266" spans="1:22" ht="30" x14ac:dyDescent="0.25">
      <c r="A266" s="112"/>
      <c r="B266" s="112" t="str">
        <f t="shared" si="13"/>
        <v>X</v>
      </c>
      <c r="C266" s="112" t="str">
        <f>IF(OR(TabellaA1[[#This Row],[LUN]]="X",TabellaA1[[#This Row],[MAR]]="X",TabellaA1[[#This Row],[MER]]="X",TabellaA1[[#This Row],[GIO]]="X",TabellaA1[[#This Row],[VEN]]="X",),"X","")</f>
        <v/>
      </c>
      <c r="D266" s="113" t="s">
        <v>8</v>
      </c>
      <c r="E266" s="109" t="s">
        <v>917</v>
      </c>
      <c r="F266" s="109">
        <v>400</v>
      </c>
      <c r="G266" s="109" t="s">
        <v>906</v>
      </c>
      <c r="H266" s="111"/>
      <c r="I266" s="111"/>
      <c r="J266" s="111"/>
      <c r="K266" s="111"/>
      <c r="L266" s="111"/>
      <c r="M266" s="110" t="s">
        <v>1257</v>
      </c>
      <c r="N266" s="110"/>
      <c r="O266" s="167"/>
      <c r="P266" s="167"/>
      <c r="Q266" s="110" t="s">
        <v>931</v>
      </c>
      <c r="R266" s="110">
        <v>45722</v>
      </c>
      <c r="S266" s="110" t="s">
        <v>635</v>
      </c>
      <c r="T266" s="112" t="str">
        <f ca="1">IF(AND('Inserimento dati'!$B$3=$H$2, TabellaA1[[#This Row],[LUN]]="X"), "X",IF(AND('Inserimento dati'!$B$3=$I$2, TabellaA1[[#This Row],[MAR]]="X"), "X", IF(AND('Inserimento dati'!$B$3=$J$2, TabellaA1[[#This Row],[MER]]="X"), "X",IF(AND('Inserimento dati'!$B$3=$K$2, TabellaA1[[#This Row],[GIO]]="X"), "X", IF(AND('Inserimento dati'!$B$3=$L$2, TabellaA1[[#This Row],[VEN]]="X"), "X","")))))</f>
        <v/>
      </c>
      <c r="U266" s="135" t="str">
        <f t="shared" ca="1" si="12"/>
        <v/>
      </c>
      <c r="V266" s="190">
        <v>45930.833333333336</v>
      </c>
    </row>
    <row r="267" spans="1:22" ht="30" x14ac:dyDescent="0.25">
      <c r="A267" s="112"/>
      <c r="B267" s="112" t="str">
        <f t="shared" si="13"/>
        <v>X</v>
      </c>
      <c r="C267" s="112" t="str">
        <f>IF(OR(TabellaA1[[#This Row],[LUN]]="X",TabellaA1[[#This Row],[MAR]]="X",TabellaA1[[#This Row],[MER]]="X",TabellaA1[[#This Row],[GIO]]="X",TabellaA1[[#This Row],[VEN]]="X",),"X","")</f>
        <v/>
      </c>
      <c r="D267" s="113" t="s">
        <v>8</v>
      </c>
      <c r="E267" s="109" t="s">
        <v>764</v>
      </c>
      <c r="F267" s="109">
        <v>100</v>
      </c>
      <c r="G267" s="109" t="s">
        <v>763</v>
      </c>
      <c r="H267" s="111"/>
      <c r="I267" s="111"/>
      <c r="J267" s="111"/>
      <c r="K267" s="111"/>
      <c r="L267" s="111"/>
      <c r="M267" s="110" t="s">
        <v>1257</v>
      </c>
      <c r="N267" s="110"/>
      <c r="O267" s="167"/>
      <c r="P267" s="167"/>
      <c r="Q267" s="110" t="s">
        <v>1119</v>
      </c>
      <c r="R267" s="110">
        <v>45714</v>
      </c>
      <c r="S267" s="110" t="s">
        <v>635</v>
      </c>
      <c r="T267" s="116" t="str">
        <f ca="1">IF(AND('Inserimento dati'!$B$3=$H$2, TabellaA1[[#This Row],[LUN]]="X"), "X",IF(AND('Inserimento dati'!$B$3=$I$2, TabellaA1[[#This Row],[MAR]]="X"), "X", IF(AND('Inserimento dati'!$B$3=$J$2, TabellaA1[[#This Row],[MER]]="X"), "X",IF(AND('Inserimento dati'!$B$3=$K$2, TabellaA1[[#This Row],[GIO]]="X"), "X", IF(AND('Inserimento dati'!$B$3=$L$2, TabellaA1[[#This Row],[VEN]]="X"), "X","")))))</f>
        <v/>
      </c>
      <c r="U267" s="135" t="str">
        <f t="shared" ca="1" si="12"/>
        <v/>
      </c>
      <c r="V267" s="190">
        <v>45930.833333333336</v>
      </c>
    </row>
    <row r="268" spans="1:22" ht="30" x14ac:dyDescent="0.25">
      <c r="A268" s="112"/>
      <c r="B268" s="112" t="str">
        <f t="shared" si="13"/>
        <v>X</v>
      </c>
      <c r="C268" s="112" t="str">
        <f>IF(OR(TabellaA1[[#This Row],[LUN]]="X",TabellaA1[[#This Row],[MAR]]="X",TabellaA1[[#This Row],[MER]]="X",TabellaA1[[#This Row],[GIO]]="X",TabellaA1[[#This Row],[VEN]]="X",),"X","")</f>
        <v/>
      </c>
      <c r="D268" s="113" t="s">
        <v>8</v>
      </c>
      <c r="E268" s="109" t="s">
        <v>429</v>
      </c>
      <c r="F268" s="109">
        <v>200</v>
      </c>
      <c r="G268" s="109" t="s">
        <v>426</v>
      </c>
      <c r="H268" s="111"/>
      <c r="I268" s="111"/>
      <c r="J268" s="111"/>
      <c r="K268" s="111"/>
      <c r="L268" s="111"/>
      <c r="M268" s="109" t="s">
        <v>1257</v>
      </c>
      <c r="N268" s="109"/>
      <c r="O268" s="113" t="s">
        <v>23</v>
      </c>
      <c r="P268" s="113"/>
      <c r="Q268" s="109" t="s">
        <v>502</v>
      </c>
      <c r="R268" s="110">
        <v>45680</v>
      </c>
      <c r="S268" s="110" t="s">
        <v>50</v>
      </c>
      <c r="T268" s="112" t="str">
        <f ca="1">IF(AND('Inserimento dati'!$B$3=$H$2, TabellaA1[[#This Row],[LUN]]="X"), "X",IF(AND('Inserimento dati'!$B$3=$I$2, TabellaA1[[#This Row],[MAR]]="X"), "X", IF(AND('Inserimento dati'!$B$3=$J$2, TabellaA1[[#This Row],[MER]]="X"), "X",IF(AND('Inserimento dati'!$B$3=$K$2, TabellaA1[[#This Row],[GIO]]="X"), "X", IF(AND('Inserimento dati'!$B$3=$L$2, TabellaA1[[#This Row],[VEN]]="X"), "X","")))))</f>
        <v/>
      </c>
      <c r="U268" s="135" t="str">
        <f t="shared" ca="1" si="12"/>
        <v/>
      </c>
      <c r="V268" s="190">
        <v>45930.833333333336</v>
      </c>
    </row>
    <row r="269" spans="1:22" ht="45" x14ac:dyDescent="0.25">
      <c r="A269" s="112"/>
      <c r="B269" s="112" t="str">
        <f t="shared" si="13"/>
        <v>X</v>
      </c>
      <c r="C269" s="112" t="str">
        <f>IF(OR(TabellaA1[[#This Row],[LUN]]="X",TabellaA1[[#This Row],[MAR]]="X",TabellaA1[[#This Row],[MER]]="X",TabellaA1[[#This Row],[GIO]]="X",TabellaA1[[#This Row],[VEN]]="X",),"X","")</f>
        <v/>
      </c>
      <c r="D269" s="113" t="s">
        <v>8</v>
      </c>
      <c r="E269" s="109" t="s">
        <v>351</v>
      </c>
      <c r="F269" s="109">
        <v>200</v>
      </c>
      <c r="G269" s="109" t="s">
        <v>240</v>
      </c>
      <c r="H269" s="111"/>
      <c r="I269" s="111"/>
      <c r="J269" s="111"/>
      <c r="K269" s="111"/>
      <c r="L269" s="111"/>
      <c r="M269" s="109" t="s">
        <v>1257</v>
      </c>
      <c r="N269" s="109"/>
      <c r="O269" s="113" t="s">
        <v>23</v>
      </c>
      <c r="P269" s="113"/>
      <c r="Q269" s="109" t="s">
        <v>361</v>
      </c>
      <c r="R269" s="110">
        <v>45644</v>
      </c>
      <c r="S269" s="110" t="s">
        <v>206</v>
      </c>
      <c r="T269" s="112" t="str">
        <f ca="1">IF(AND('Inserimento dati'!$B$3=$H$2, TabellaA1[[#This Row],[LUN]]="X"), "X",IF(AND('Inserimento dati'!$B$3=$I$2, TabellaA1[[#This Row],[MAR]]="X"), "X", IF(AND('Inserimento dati'!$B$3=$J$2, TabellaA1[[#This Row],[MER]]="X"), "X",IF(AND('Inserimento dati'!$B$3=$K$2, TabellaA1[[#This Row],[GIO]]="X"), "X", IF(AND('Inserimento dati'!$B$3=$L$2, TabellaA1[[#This Row],[VEN]]="X"), "X","")))))</f>
        <v/>
      </c>
      <c r="U269" s="135" t="str">
        <f t="shared" ca="1" si="12"/>
        <v/>
      </c>
      <c r="V269" s="190">
        <v>45930.833333333336</v>
      </c>
    </row>
    <row r="270" spans="1:22" s="5" customFormat="1" ht="30" x14ac:dyDescent="0.25">
      <c r="A270" s="112"/>
      <c r="B270" s="112"/>
      <c r="C270" s="112" t="str">
        <f>IF(OR(TabellaA1[[#This Row],[LUN]]="X",TabellaA1[[#This Row],[MAR]]="X",TabellaA1[[#This Row],[MER]]="X",TabellaA1[[#This Row],[GIO]]="X",TabellaA1[[#This Row],[VEN]]="X",),"X","")</f>
        <v>X</v>
      </c>
      <c r="D270" s="113" t="s">
        <v>8</v>
      </c>
      <c r="E270" s="109" t="s">
        <v>3121</v>
      </c>
      <c r="F270" s="109">
        <v>400</v>
      </c>
      <c r="G270" s="109" t="s">
        <v>3122</v>
      </c>
      <c r="H270" s="111" t="s">
        <v>23</v>
      </c>
      <c r="I270" s="111" t="s">
        <v>23</v>
      </c>
      <c r="J270" s="111"/>
      <c r="K270" s="111"/>
      <c r="L270" s="111"/>
      <c r="M270" s="109" t="s">
        <v>3062</v>
      </c>
      <c r="N270" s="110"/>
      <c r="O270" s="167"/>
      <c r="P270" s="167"/>
      <c r="Q270" s="110"/>
      <c r="R270" s="110"/>
      <c r="S270" s="110"/>
      <c r="T270" s="114" t="str">
        <f ca="1">IF(AND('Inserimento dati'!$B$3=$H$2, TabellaA1[[#This Row],[LUN]]="X"), "X",IF(AND('Inserimento dati'!$B$3=$I$2, TabellaA1[[#This Row],[MAR]]="X"), "X", IF(AND('Inserimento dati'!$B$3=$J$2, TabellaA1[[#This Row],[MER]]="X"), "X",IF(AND('Inserimento dati'!$B$3=$K$2, TabellaA1[[#This Row],[GIO]]="X"), "X", IF(AND('Inserimento dati'!$B$3=$L$2, TabellaA1[[#This Row],[VEN]]="X"), "X","")))))</f>
        <v>X</v>
      </c>
      <c r="U270" s="149"/>
      <c r="V270" s="191">
        <v>45930.833333333336</v>
      </c>
    </row>
    <row r="271" spans="1:22" ht="60" x14ac:dyDescent="0.25">
      <c r="A271" s="112"/>
      <c r="B271" s="112"/>
      <c r="C271" s="112" t="str">
        <f>IF(OR(TabellaA1[[#This Row],[LUN]]="X",TabellaA1[[#This Row],[MAR]]="X",TabellaA1[[#This Row],[MER]]="X",TabellaA1[[#This Row],[GIO]]="X",TabellaA1[[#This Row],[VEN]]="X",),"X","")</f>
        <v/>
      </c>
      <c r="D271" s="113" t="s">
        <v>8</v>
      </c>
      <c r="E271" s="109" t="s">
        <v>3105</v>
      </c>
      <c r="F271" s="109">
        <v>100</v>
      </c>
      <c r="G271" s="109" t="s">
        <v>3106</v>
      </c>
      <c r="H271" s="111"/>
      <c r="I271" s="111"/>
      <c r="J271" s="111"/>
      <c r="K271" s="111"/>
      <c r="L271" s="111"/>
      <c r="M271" s="109" t="s">
        <v>3112</v>
      </c>
      <c r="N271" s="110"/>
      <c r="O271" s="167"/>
      <c r="P271" s="167"/>
      <c r="Q271" s="110" t="s">
        <v>3127</v>
      </c>
      <c r="R271" s="110"/>
      <c r="S271" s="110" t="s">
        <v>203</v>
      </c>
      <c r="T271" s="114" t="str">
        <f ca="1">IF(AND('Inserimento dati'!$B$3=$H$2, TabellaA1[[#This Row],[LUN]]="X"), "X",IF(AND('Inserimento dati'!$B$3=$I$2, TabellaA1[[#This Row],[MAR]]="X"), "X", IF(AND('Inserimento dati'!$B$3=$J$2, TabellaA1[[#This Row],[MER]]="X"), "X",IF(AND('Inserimento dati'!$B$3=$K$2, TabellaA1[[#This Row],[GIO]]="X"), "X", IF(AND('Inserimento dati'!$B$3=$L$2, TabellaA1[[#This Row],[VEN]]="X"), "X","")))))</f>
        <v/>
      </c>
      <c r="U271" s="149"/>
      <c r="V271" s="190">
        <v>45930.833333333336</v>
      </c>
    </row>
  </sheetData>
  <mergeCells count="2">
    <mergeCell ref="A1:D1"/>
    <mergeCell ref="N2:P2"/>
  </mergeCells>
  <conditionalFormatting sqref="M267:S271 E114:G271 M114:S257">
    <cfRule type="expression" dxfId="8145" priority="1927">
      <formula>SEARCH("IN CORSO",$M114)&gt;0</formula>
    </cfRule>
    <cfRule type="expression" dxfId="8144" priority="1928">
      <formula>SEARCH("CHIUSO",$M114)&gt;0</formula>
    </cfRule>
    <cfRule type="expression" dxfId="8143" priority="1929">
      <formula>SEARCH("EMESSO",$M114)&gt;0</formula>
    </cfRule>
    <cfRule type="expression" dxfId="8142" priority="1930">
      <formula>SEARCH("RICHIESTO",$M114)&gt;0</formula>
    </cfRule>
    <cfRule type="expression" dxfId="8141" priority="1931">
      <formula>SEARCH("DA CHIUDERE",$M114)&gt;0</formula>
    </cfRule>
    <cfRule type="expression" dxfId="8140" priority="1932">
      <formula>SEARCH("INTERROTTO",$M114)&gt;0</formula>
    </cfRule>
  </conditionalFormatting>
  <conditionalFormatting sqref="E113:G113 M113:S113">
    <cfRule type="expression" dxfId="8139" priority="1921">
      <formula>SEARCH("IN CORSO",$M113)&gt;0</formula>
    </cfRule>
    <cfRule type="expression" dxfId="8138" priority="1922">
      <formula>SEARCH("CHIUSO",$M113)&gt;0</formula>
    </cfRule>
    <cfRule type="expression" dxfId="8137" priority="1923">
      <formula>SEARCH("EMESSO",$M113)&gt;0</formula>
    </cfRule>
    <cfRule type="expression" dxfId="8136" priority="1924">
      <formula>SEARCH("RICHIESTO",$M113)&gt;0</formula>
    </cfRule>
    <cfRule type="expression" dxfId="8135" priority="1925">
      <formula>SEARCH("DA CHIUDERE",$M113)&gt;0</formula>
    </cfRule>
    <cfRule type="expression" dxfId="8134" priority="1926">
      <formula>SEARCH("INTERROTTO",$M113)&gt;0</formula>
    </cfRule>
  </conditionalFormatting>
  <conditionalFormatting sqref="E112:G112 M112:S112">
    <cfRule type="expression" dxfId="8133" priority="1915">
      <formula>SEARCH("IN CORSO",$M112)&gt;0</formula>
    </cfRule>
    <cfRule type="expression" dxfId="8132" priority="1916">
      <formula>SEARCH("CHIUSO",$M112)&gt;0</formula>
    </cfRule>
    <cfRule type="expression" dxfId="8131" priority="1917">
      <formula>SEARCH("EMESSO",$M112)&gt;0</formula>
    </cfRule>
    <cfRule type="expression" dxfId="8130" priority="1918">
      <formula>SEARCH("RICHIESTO",$M112)&gt;0</formula>
    </cfRule>
    <cfRule type="expression" dxfId="8129" priority="1919">
      <formula>SEARCH("DA CHIUDERE",$M112)&gt;0</formula>
    </cfRule>
    <cfRule type="expression" dxfId="8128" priority="1920">
      <formula>SEARCH("INTERROTTO",$M112)&gt;0</formula>
    </cfRule>
  </conditionalFormatting>
  <conditionalFormatting sqref="M258 M265">
    <cfRule type="expression" dxfId="8127" priority="1909">
      <formula>SEARCH("IN CORSO",$M258)&gt;0</formula>
    </cfRule>
    <cfRule type="expression" dxfId="8126" priority="1910">
      <formula>SEARCH("CHIUSO",$M258)&gt;0</formula>
    </cfRule>
    <cfRule type="expression" dxfId="8125" priority="1911">
      <formula>SEARCH("EMESSO",$M258)&gt;0</formula>
    </cfRule>
    <cfRule type="expression" dxfId="8124" priority="1912">
      <formula>SEARCH("RICHIESTO",$M258)&gt;0</formula>
    </cfRule>
    <cfRule type="expression" dxfId="8123" priority="1913">
      <formula>SEARCH("DA CHIUDERE",$M258)&gt;0</formula>
    </cfRule>
    <cfRule type="expression" dxfId="8122" priority="1914">
      <formula>SEARCH("INTERROTTO",$M258)&gt;0</formula>
    </cfRule>
  </conditionalFormatting>
  <conditionalFormatting sqref="E111:G111 M111:S111">
    <cfRule type="expression" dxfId="8121" priority="1903">
      <formula>SEARCH("IN CORSO",$M111)&gt;0</formula>
    </cfRule>
    <cfRule type="expression" dxfId="8120" priority="1904">
      <formula>SEARCH("CHIUSO",$M111)&gt;0</formula>
    </cfRule>
    <cfRule type="expression" dxfId="8119" priority="1905">
      <formula>SEARCH("EMESSO",$M111)&gt;0</formula>
    </cfRule>
    <cfRule type="expression" dxfId="8118" priority="1906">
      <formula>SEARCH("RICHIESTO",$M111)&gt;0</formula>
    </cfRule>
    <cfRule type="expression" dxfId="8117" priority="1907">
      <formula>SEARCH("DA CHIUDERE",$M111)&gt;0</formula>
    </cfRule>
    <cfRule type="expression" dxfId="8116" priority="1908">
      <formula>SEARCH("INTERROTTO",$M111)&gt;0</formula>
    </cfRule>
  </conditionalFormatting>
  <conditionalFormatting sqref="E110:G110 N110:S110">
    <cfRule type="expression" dxfId="8115" priority="1897">
      <formula>SEARCH("IN CORSO",$M110)&gt;0</formula>
    </cfRule>
    <cfRule type="expression" dxfId="8114" priority="1898">
      <formula>SEARCH("CHIUSO",$M110)&gt;0</formula>
    </cfRule>
    <cfRule type="expression" dxfId="8113" priority="1899">
      <formula>SEARCH("EMESSO",$M110)&gt;0</formula>
    </cfRule>
    <cfRule type="expression" dxfId="8112" priority="1900">
      <formula>SEARCH("RICHIESTO",$M110)&gt;0</formula>
    </cfRule>
    <cfRule type="expression" dxfId="8111" priority="1901">
      <formula>SEARCH("DA CHIUDERE",$M110)&gt;0</formula>
    </cfRule>
    <cfRule type="expression" dxfId="8110" priority="1902">
      <formula>SEARCH("INTERROTTO",$M110)&gt;0</formula>
    </cfRule>
  </conditionalFormatting>
  <conditionalFormatting sqref="E109:G109 M109:S109">
    <cfRule type="expression" dxfId="8109" priority="1891">
      <formula>SEARCH("IN CORSO",$M109)&gt;0</formula>
    </cfRule>
    <cfRule type="expression" dxfId="8108" priority="1892">
      <formula>SEARCH("CHIUSO",$M109)&gt;0</formula>
    </cfRule>
    <cfRule type="expression" dxfId="8107" priority="1893">
      <formula>SEARCH("EMESSO",$M109)&gt;0</formula>
    </cfRule>
    <cfRule type="expression" dxfId="8106" priority="1894">
      <formula>SEARCH("RICHIESTO",$M109)&gt;0</formula>
    </cfRule>
    <cfRule type="expression" dxfId="8105" priority="1895">
      <formula>SEARCH("DA CHIUDERE",$M109)&gt;0</formula>
    </cfRule>
    <cfRule type="expression" dxfId="8104" priority="1896">
      <formula>SEARCH("INTERROTTO",$M109)&gt;0</formula>
    </cfRule>
  </conditionalFormatting>
  <conditionalFormatting sqref="M110">
    <cfRule type="expression" dxfId="8103" priority="1885">
      <formula>SEARCH("IN CORSO",$M110)&gt;0</formula>
    </cfRule>
    <cfRule type="expression" dxfId="8102" priority="1886">
      <formula>SEARCH("CHIUSO",$M110)&gt;0</formula>
    </cfRule>
    <cfRule type="expression" dxfId="8101" priority="1887">
      <formula>SEARCH("EMESSO",$M110)&gt;0</formula>
    </cfRule>
    <cfRule type="expression" dxfId="8100" priority="1888">
      <formula>SEARCH("RICHIESTO",$M110)&gt;0</formula>
    </cfRule>
    <cfRule type="expression" dxfId="8099" priority="1889">
      <formula>SEARCH("DA CHIUDERE",$M110)&gt;0</formula>
    </cfRule>
    <cfRule type="expression" dxfId="8098" priority="1890">
      <formula>SEARCH("INTERROTTO",$M110)&gt;0</formula>
    </cfRule>
  </conditionalFormatting>
  <conditionalFormatting sqref="E108:G108 M108:S108">
    <cfRule type="expression" dxfId="8097" priority="1879">
      <formula>SEARCH("IN CORSO",$M108)&gt;0</formula>
    </cfRule>
    <cfRule type="expression" dxfId="8096" priority="1880">
      <formula>SEARCH("CHIUSO",$M108)&gt;0</formula>
    </cfRule>
    <cfRule type="expression" dxfId="8095" priority="1881">
      <formula>SEARCH("EMESSO",$M108)&gt;0</formula>
    </cfRule>
    <cfRule type="expression" dxfId="8094" priority="1882">
      <formula>SEARCH("RICHIESTO",$M108)&gt;0</formula>
    </cfRule>
    <cfRule type="expression" dxfId="8093" priority="1883">
      <formula>SEARCH("DA CHIUDERE",$M108)&gt;0</formula>
    </cfRule>
    <cfRule type="expression" dxfId="8092" priority="1884">
      <formula>SEARCH("INTERROTTO",$M108)&gt;0</formula>
    </cfRule>
  </conditionalFormatting>
  <conditionalFormatting sqref="E107:G107 M107:Q107">
    <cfRule type="expression" dxfId="8091" priority="1873">
      <formula>SEARCH("IN CORSO",$M107)&gt;0</formula>
    </cfRule>
    <cfRule type="expression" dxfId="8090" priority="1874">
      <formula>SEARCH("CHIUSO",$M107)&gt;0</formula>
    </cfRule>
    <cfRule type="expression" dxfId="8089" priority="1875">
      <formula>SEARCH("EMESSO",$M107)&gt;0</formula>
    </cfRule>
    <cfRule type="expression" dxfId="8088" priority="1876">
      <formula>SEARCH("RICHIESTO",$M107)&gt;0</formula>
    </cfRule>
    <cfRule type="expression" dxfId="8087" priority="1877">
      <formula>SEARCH("DA CHIUDERE",$M107)&gt;0</formula>
    </cfRule>
    <cfRule type="expression" dxfId="8086" priority="1878">
      <formula>SEARCH("INTERROTTO",$M107)&gt;0</formula>
    </cfRule>
  </conditionalFormatting>
  <conditionalFormatting sqref="M266">
    <cfRule type="expression" dxfId="8085" priority="1861">
      <formula>SEARCH("IN CORSO",$M266)&gt;0</formula>
    </cfRule>
    <cfRule type="expression" dxfId="8084" priority="1862">
      <formula>SEARCH("CHIUSO",$M266)&gt;0</formula>
    </cfRule>
    <cfRule type="expression" dxfId="8083" priority="1863">
      <formula>SEARCH("EMESSO",$M266)&gt;0</formula>
    </cfRule>
    <cfRule type="expression" dxfId="8082" priority="1864">
      <formula>SEARCH("RICHIESTO",$M266)&gt;0</formula>
    </cfRule>
    <cfRule type="expression" dxfId="8081" priority="1865">
      <formula>SEARCH("DA CHIUDERE",$M266)&gt;0</formula>
    </cfRule>
    <cfRule type="expression" dxfId="8080" priority="1866">
      <formula>SEARCH("INTERROTTO",$M266)&gt;0</formula>
    </cfRule>
  </conditionalFormatting>
  <conditionalFormatting sqref="E106:G106 M106:Q106">
    <cfRule type="expression" dxfId="8079" priority="1855">
      <formula>SEARCH("IN CORSO",$M106)&gt;0</formula>
    </cfRule>
    <cfRule type="expression" dxfId="8078" priority="1856">
      <formula>SEARCH("CHIUSO",$M106)&gt;0</formula>
    </cfRule>
    <cfRule type="expression" dxfId="8077" priority="1857">
      <formula>SEARCH("EMESSO",$M106)&gt;0</formula>
    </cfRule>
    <cfRule type="expression" dxfId="8076" priority="1858">
      <formula>SEARCH("RICHIESTO",$M106)&gt;0</formula>
    </cfRule>
    <cfRule type="expression" dxfId="8075" priority="1859">
      <formula>SEARCH("DA CHIUDERE",$M106)&gt;0</formula>
    </cfRule>
    <cfRule type="expression" dxfId="8074" priority="1860">
      <formula>SEARCH("INTERROTTO",$M106)&gt;0</formula>
    </cfRule>
  </conditionalFormatting>
  <conditionalFormatting sqref="R106:S106">
    <cfRule type="expression" dxfId="8073" priority="1849">
      <formula>SEARCH("IN CORSO",$M106)&gt;0</formula>
    </cfRule>
    <cfRule type="expression" dxfId="8072" priority="1850">
      <formula>SEARCH("CHIUSO",$M106)&gt;0</formula>
    </cfRule>
    <cfRule type="expression" dxfId="8071" priority="1851">
      <formula>SEARCH("EMESSO",$M106)&gt;0</formula>
    </cfRule>
    <cfRule type="expression" dxfId="8070" priority="1852">
      <formula>SEARCH("RICHIESTO",$M106)&gt;0</formula>
    </cfRule>
    <cfRule type="expression" dxfId="8069" priority="1853">
      <formula>SEARCH("DA CHIUDERE",$M106)&gt;0</formula>
    </cfRule>
    <cfRule type="expression" dxfId="8068" priority="1854">
      <formula>SEARCH("INTERROTTO",$M106)&gt;0</formula>
    </cfRule>
  </conditionalFormatting>
  <conditionalFormatting sqref="E105:G105 M105:Q105">
    <cfRule type="expression" dxfId="8067" priority="1843">
      <formula>SEARCH("IN CORSO",$M105)&gt;0</formula>
    </cfRule>
    <cfRule type="expression" dxfId="8066" priority="1844">
      <formula>SEARCH("CHIUSO",$M105)&gt;0</formula>
    </cfRule>
    <cfRule type="expression" dxfId="8065" priority="1845">
      <formula>SEARCH("EMESSO",$M105)&gt;0</formula>
    </cfRule>
    <cfRule type="expression" dxfId="8064" priority="1846">
      <formula>SEARCH("RICHIESTO",$M105)&gt;0</formula>
    </cfRule>
    <cfRule type="expression" dxfId="8063" priority="1847">
      <formula>SEARCH("DA CHIUDERE",$M105)&gt;0</formula>
    </cfRule>
    <cfRule type="expression" dxfId="8062" priority="1848">
      <formula>SEARCH("INTERROTTO",$M105)&gt;0</formula>
    </cfRule>
  </conditionalFormatting>
  <conditionalFormatting sqref="R105:S105">
    <cfRule type="expression" dxfId="8061" priority="1837">
      <formula>SEARCH("IN CORSO",$M105)&gt;0</formula>
    </cfRule>
    <cfRule type="expression" dxfId="8060" priority="1838">
      <formula>SEARCH("CHIUSO",$M105)&gt;0</formula>
    </cfRule>
    <cfRule type="expression" dxfId="8059" priority="1839">
      <formula>SEARCH("EMESSO",$M105)&gt;0</formula>
    </cfRule>
    <cfRule type="expression" dxfId="8058" priority="1840">
      <formula>SEARCH("RICHIESTO",$M105)&gt;0</formula>
    </cfRule>
    <cfRule type="expression" dxfId="8057" priority="1841">
      <formula>SEARCH("DA CHIUDERE",$M105)&gt;0</formula>
    </cfRule>
    <cfRule type="expression" dxfId="8056" priority="1842">
      <formula>SEARCH("INTERROTTO",$M105)&gt;0</formula>
    </cfRule>
  </conditionalFormatting>
  <conditionalFormatting sqref="E103:G103 N103:Q103">
    <cfRule type="expression" dxfId="8055" priority="1813">
      <formula>SEARCH("IN CORSO",$M103)&gt;0</formula>
    </cfRule>
    <cfRule type="expression" dxfId="8054" priority="1814">
      <formula>SEARCH("CHIUSO",$M103)&gt;0</formula>
    </cfRule>
    <cfRule type="expression" dxfId="8053" priority="1815">
      <formula>SEARCH("EMESSO",$M103)&gt;0</formula>
    </cfRule>
    <cfRule type="expression" dxfId="8052" priority="1816">
      <formula>SEARCH("RICHIESTO",$M103)&gt;0</formula>
    </cfRule>
    <cfRule type="expression" dxfId="8051" priority="1817">
      <formula>SEARCH("DA CHIUDERE",$M103)&gt;0</formula>
    </cfRule>
    <cfRule type="expression" dxfId="8050" priority="1818">
      <formula>SEARCH("INTERROTTO",$M103)&gt;0</formula>
    </cfRule>
  </conditionalFormatting>
  <conditionalFormatting sqref="R103:S103">
    <cfRule type="expression" dxfId="8049" priority="1807">
      <formula>SEARCH("IN CORSO",$M103)&gt;0</formula>
    </cfRule>
    <cfRule type="expression" dxfId="8048" priority="1808">
      <formula>SEARCH("CHIUSO",$M103)&gt;0</formula>
    </cfRule>
    <cfRule type="expression" dxfId="8047" priority="1809">
      <formula>SEARCH("EMESSO",$M103)&gt;0</formula>
    </cfRule>
    <cfRule type="expression" dxfId="8046" priority="1810">
      <formula>SEARCH("RICHIESTO",$M103)&gt;0</formula>
    </cfRule>
    <cfRule type="expression" dxfId="8045" priority="1811">
      <formula>SEARCH("DA CHIUDERE",$M103)&gt;0</formula>
    </cfRule>
    <cfRule type="expression" dxfId="8044" priority="1812">
      <formula>SEARCH("INTERROTTO",$M103)&gt;0</formula>
    </cfRule>
  </conditionalFormatting>
  <conditionalFormatting sqref="M103">
    <cfRule type="expression" dxfId="8043" priority="1801">
      <formula>SEARCH("IN CORSO",$M103)&gt;0</formula>
    </cfRule>
    <cfRule type="expression" dxfId="8042" priority="1802">
      <formula>SEARCH("CHIUSO",$M103)&gt;0</formula>
    </cfRule>
    <cfRule type="expression" dxfId="8041" priority="1803">
      <formula>SEARCH("EMESSO",$M103)&gt;0</formula>
    </cfRule>
    <cfRule type="expression" dxfId="8040" priority="1804">
      <formula>SEARCH("RICHIESTO",$M103)&gt;0</formula>
    </cfRule>
    <cfRule type="expression" dxfId="8039" priority="1805">
      <formula>SEARCH("DA CHIUDERE",$M103)&gt;0</formula>
    </cfRule>
    <cfRule type="expression" dxfId="8038" priority="1806">
      <formula>SEARCH("INTERROTTO",$M103)&gt;0</formula>
    </cfRule>
  </conditionalFormatting>
  <conditionalFormatting sqref="E102:G102 N102:Q102">
    <cfRule type="expression" dxfId="8037" priority="1795">
      <formula>SEARCH("IN CORSO",$M102)&gt;0</formula>
    </cfRule>
    <cfRule type="expression" dxfId="8036" priority="1796">
      <formula>SEARCH("CHIUSO",$M102)&gt;0</formula>
    </cfRule>
    <cfRule type="expression" dxfId="8035" priority="1797">
      <formula>SEARCH("EMESSO",$M102)&gt;0</formula>
    </cfRule>
    <cfRule type="expression" dxfId="8034" priority="1798">
      <formula>SEARCH("RICHIESTO",$M102)&gt;0</formula>
    </cfRule>
    <cfRule type="expression" dxfId="8033" priority="1799">
      <formula>SEARCH("DA CHIUDERE",$M102)&gt;0</formula>
    </cfRule>
    <cfRule type="expression" dxfId="8032" priority="1800">
      <formula>SEARCH("INTERROTTO",$M102)&gt;0</formula>
    </cfRule>
  </conditionalFormatting>
  <conditionalFormatting sqref="R102:S102">
    <cfRule type="expression" dxfId="8031" priority="1789">
      <formula>SEARCH("IN CORSO",$M102)&gt;0</formula>
    </cfRule>
    <cfRule type="expression" dxfId="8030" priority="1790">
      <formula>SEARCH("CHIUSO",$M102)&gt;0</formula>
    </cfRule>
    <cfRule type="expression" dxfId="8029" priority="1791">
      <formula>SEARCH("EMESSO",$M102)&gt;0</formula>
    </cfRule>
    <cfRule type="expression" dxfId="8028" priority="1792">
      <formula>SEARCH("RICHIESTO",$M102)&gt;0</formula>
    </cfRule>
    <cfRule type="expression" dxfId="8027" priority="1793">
      <formula>SEARCH("DA CHIUDERE",$M102)&gt;0</formula>
    </cfRule>
    <cfRule type="expression" dxfId="8026" priority="1794">
      <formula>SEARCH("INTERROTTO",$M102)&gt;0</formula>
    </cfRule>
  </conditionalFormatting>
  <conditionalFormatting sqref="M102">
    <cfRule type="expression" dxfId="8025" priority="1783">
      <formula>SEARCH("IN CORSO",$M102)&gt;0</formula>
    </cfRule>
    <cfRule type="expression" dxfId="8024" priority="1784">
      <formula>SEARCH("CHIUSO",$M102)&gt;0</formula>
    </cfRule>
    <cfRule type="expression" dxfId="8023" priority="1785">
      <formula>SEARCH("EMESSO",$M102)&gt;0</formula>
    </cfRule>
    <cfRule type="expression" dxfId="8022" priority="1786">
      <formula>SEARCH("RICHIESTO",$M102)&gt;0</formula>
    </cfRule>
    <cfRule type="expression" dxfId="8021" priority="1787">
      <formula>SEARCH("DA CHIUDERE",$M102)&gt;0</formula>
    </cfRule>
    <cfRule type="expression" dxfId="8020" priority="1788">
      <formula>SEARCH("INTERROTTO",$M102)&gt;0</formula>
    </cfRule>
  </conditionalFormatting>
  <conditionalFormatting sqref="E101:G101 N101:Q101">
    <cfRule type="expression" dxfId="8019" priority="1777">
      <formula>SEARCH("IN CORSO",$M101)&gt;0</formula>
    </cfRule>
    <cfRule type="expression" dxfId="8018" priority="1778">
      <formula>SEARCH("CHIUSO",$M101)&gt;0</formula>
    </cfRule>
    <cfRule type="expression" dxfId="8017" priority="1779">
      <formula>SEARCH("EMESSO",$M101)&gt;0</formula>
    </cfRule>
    <cfRule type="expression" dxfId="8016" priority="1780">
      <formula>SEARCH("RICHIESTO",$M101)&gt;0</formula>
    </cfRule>
    <cfRule type="expression" dxfId="8015" priority="1781">
      <formula>SEARCH("DA CHIUDERE",$M101)&gt;0</formula>
    </cfRule>
    <cfRule type="expression" dxfId="8014" priority="1782">
      <formula>SEARCH("INTERROTTO",$M101)&gt;0</formula>
    </cfRule>
  </conditionalFormatting>
  <conditionalFormatting sqref="R101:S101">
    <cfRule type="expression" dxfId="8013" priority="1771">
      <formula>SEARCH("IN CORSO",$M101)&gt;0</formula>
    </cfRule>
    <cfRule type="expression" dxfId="8012" priority="1772">
      <formula>SEARCH("CHIUSO",$M101)&gt;0</formula>
    </cfRule>
    <cfRule type="expression" dxfId="8011" priority="1773">
      <formula>SEARCH("EMESSO",$M101)&gt;0</formula>
    </cfRule>
    <cfRule type="expression" dxfId="8010" priority="1774">
      <formula>SEARCH("RICHIESTO",$M101)&gt;0</formula>
    </cfRule>
    <cfRule type="expression" dxfId="8009" priority="1775">
      <formula>SEARCH("DA CHIUDERE",$M101)&gt;0</formula>
    </cfRule>
    <cfRule type="expression" dxfId="8008" priority="1776">
      <formula>SEARCH("INTERROTTO",$M101)&gt;0</formula>
    </cfRule>
  </conditionalFormatting>
  <conditionalFormatting sqref="M101">
    <cfRule type="expression" dxfId="8007" priority="1765">
      <formula>SEARCH("IN CORSO",$M101)&gt;0</formula>
    </cfRule>
    <cfRule type="expression" dxfId="8006" priority="1766">
      <formula>SEARCH("CHIUSO",$M101)&gt;0</formula>
    </cfRule>
    <cfRule type="expression" dxfId="8005" priority="1767">
      <formula>SEARCH("EMESSO",$M101)&gt;0</formula>
    </cfRule>
    <cfRule type="expression" dxfId="8004" priority="1768">
      <formula>SEARCH("RICHIESTO",$M101)&gt;0</formula>
    </cfRule>
    <cfRule type="expression" dxfId="8003" priority="1769">
      <formula>SEARCH("DA CHIUDERE",$M101)&gt;0</formula>
    </cfRule>
    <cfRule type="expression" dxfId="8002" priority="1770">
      <formula>SEARCH("INTERROTTO",$M101)&gt;0</formula>
    </cfRule>
  </conditionalFormatting>
  <conditionalFormatting sqref="E100:G100 N100:Q100">
    <cfRule type="expression" dxfId="8001" priority="1759">
      <formula>SEARCH("IN CORSO",$M100)&gt;0</formula>
    </cfRule>
    <cfRule type="expression" dxfId="8000" priority="1760">
      <formula>SEARCH("CHIUSO",$M100)&gt;0</formula>
    </cfRule>
    <cfRule type="expression" dxfId="7999" priority="1761">
      <formula>SEARCH("EMESSO",$M100)&gt;0</formula>
    </cfRule>
    <cfRule type="expression" dxfId="7998" priority="1762">
      <formula>SEARCH("RICHIESTO",$M100)&gt;0</formula>
    </cfRule>
    <cfRule type="expression" dxfId="7997" priority="1763">
      <formula>SEARCH("DA CHIUDERE",$M100)&gt;0</formula>
    </cfRule>
    <cfRule type="expression" dxfId="7996" priority="1764">
      <formula>SEARCH("INTERROTTO",$M100)&gt;0</formula>
    </cfRule>
  </conditionalFormatting>
  <conditionalFormatting sqref="R100:S100">
    <cfRule type="expression" dxfId="7995" priority="1753">
      <formula>SEARCH("IN CORSO",$M100)&gt;0</formula>
    </cfRule>
    <cfRule type="expression" dxfId="7994" priority="1754">
      <formula>SEARCH("CHIUSO",$M100)&gt;0</formula>
    </cfRule>
    <cfRule type="expression" dxfId="7993" priority="1755">
      <formula>SEARCH("EMESSO",$M100)&gt;0</formula>
    </cfRule>
    <cfRule type="expression" dxfId="7992" priority="1756">
      <formula>SEARCH("RICHIESTO",$M100)&gt;0</formula>
    </cfRule>
    <cfRule type="expression" dxfId="7991" priority="1757">
      <formula>SEARCH("DA CHIUDERE",$M100)&gt;0</formula>
    </cfRule>
    <cfRule type="expression" dxfId="7990" priority="1758">
      <formula>SEARCH("INTERROTTO",$M100)&gt;0</formula>
    </cfRule>
  </conditionalFormatting>
  <conditionalFormatting sqref="M100">
    <cfRule type="expression" dxfId="7989" priority="1747">
      <formula>SEARCH("IN CORSO",$M100)&gt;0</formula>
    </cfRule>
    <cfRule type="expression" dxfId="7988" priority="1748">
      <formula>SEARCH("CHIUSO",$M100)&gt;0</formula>
    </cfRule>
    <cfRule type="expression" dxfId="7987" priority="1749">
      <formula>SEARCH("EMESSO",$M100)&gt;0</formula>
    </cfRule>
    <cfRule type="expression" dxfId="7986" priority="1750">
      <formula>SEARCH("RICHIESTO",$M100)&gt;0</formula>
    </cfRule>
    <cfRule type="expression" dxfId="7985" priority="1751">
      <formula>SEARCH("DA CHIUDERE",$M100)&gt;0</formula>
    </cfRule>
    <cfRule type="expression" dxfId="7984" priority="1752">
      <formula>SEARCH("INTERROTTO",$M100)&gt;0</formula>
    </cfRule>
  </conditionalFormatting>
  <conditionalFormatting sqref="E99:G99 N99:Q99">
    <cfRule type="expression" dxfId="7983" priority="1741">
      <formula>SEARCH("IN CORSO",$M99)&gt;0</formula>
    </cfRule>
    <cfRule type="expression" dxfId="7982" priority="1742">
      <formula>SEARCH("CHIUSO",$M99)&gt;0</formula>
    </cfRule>
    <cfRule type="expression" dxfId="7981" priority="1743">
      <formula>SEARCH("EMESSO",$M99)&gt;0</formula>
    </cfRule>
    <cfRule type="expression" dxfId="7980" priority="1744">
      <formula>SEARCH("RICHIESTO",$M99)&gt;0</formula>
    </cfRule>
    <cfRule type="expression" dxfId="7979" priority="1745">
      <formula>SEARCH("DA CHIUDERE",$M99)&gt;0</formula>
    </cfRule>
    <cfRule type="expression" dxfId="7978" priority="1746">
      <formula>SEARCH("INTERROTTO",$M99)&gt;0</formula>
    </cfRule>
  </conditionalFormatting>
  <conditionalFormatting sqref="R99:S99">
    <cfRule type="expression" dxfId="7977" priority="1735">
      <formula>SEARCH("IN CORSO",$M99)&gt;0</formula>
    </cfRule>
    <cfRule type="expression" dxfId="7976" priority="1736">
      <formula>SEARCH("CHIUSO",$M99)&gt;0</formula>
    </cfRule>
    <cfRule type="expression" dxfId="7975" priority="1737">
      <formula>SEARCH("EMESSO",$M99)&gt;0</formula>
    </cfRule>
    <cfRule type="expression" dxfId="7974" priority="1738">
      <formula>SEARCH("RICHIESTO",$M99)&gt;0</formula>
    </cfRule>
    <cfRule type="expression" dxfId="7973" priority="1739">
      <formula>SEARCH("DA CHIUDERE",$M99)&gt;0</formula>
    </cfRule>
    <cfRule type="expression" dxfId="7972" priority="1740">
      <formula>SEARCH("INTERROTTO",$M99)&gt;0</formula>
    </cfRule>
  </conditionalFormatting>
  <conditionalFormatting sqref="M99">
    <cfRule type="expression" dxfId="7971" priority="1729">
      <formula>SEARCH("IN CORSO",$M99)&gt;0</formula>
    </cfRule>
    <cfRule type="expression" dxfId="7970" priority="1730">
      <formula>SEARCH("CHIUSO",$M99)&gt;0</formula>
    </cfRule>
    <cfRule type="expression" dxfId="7969" priority="1731">
      <formula>SEARCH("EMESSO",$M99)&gt;0</formula>
    </cfRule>
    <cfRule type="expression" dxfId="7968" priority="1732">
      <formula>SEARCH("RICHIESTO",$M99)&gt;0</formula>
    </cfRule>
    <cfRule type="expression" dxfId="7967" priority="1733">
      <formula>SEARCH("DA CHIUDERE",$M99)&gt;0</formula>
    </cfRule>
    <cfRule type="expression" dxfId="7966" priority="1734">
      <formula>SEARCH("INTERROTTO",$M99)&gt;0</formula>
    </cfRule>
  </conditionalFormatting>
  <conditionalFormatting sqref="E98:G98 N98:Q98">
    <cfRule type="expression" dxfId="7965" priority="1723">
      <formula>SEARCH("IN CORSO",$M98)&gt;0</formula>
    </cfRule>
    <cfRule type="expression" dxfId="7964" priority="1724">
      <formula>SEARCH("CHIUSO",$M98)&gt;0</formula>
    </cfRule>
    <cfRule type="expression" dxfId="7963" priority="1725">
      <formula>SEARCH("EMESSO",$M98)&gt;0</formula>
    </cfRule>
    <cfRule type="expression" dxfId="7962" priority="1726">
      <formula>SEARCH("RICHIESTO",$M98)&gt;0</formula>
    </cfRule>
    <cfRule type="expression" dxfId="7961" priority="1727">
      <formula>SEARCH("DA CHIUDERE",$M98)&gt;0</formula>
    </cfRule>
    <cfRule type="expression" dxfId="7960" priority="1728">
      <formula>SEARCH("INTERROTTO",$M98)&gt;0</formula>
    </cfRule>
  </conditionalFormatting>
  <conditionalFormatting sqref="R98:S98">
    <cfRule type="expression" dxfId="7959" priority="1717">
      <formula>SEARCH("IN CORSO",$M98)&gt;0</formula>
    </cfRule>
    <cfRule type="expression" dxfId="7958" priority="1718">
      <formula>SEARCH("CHIUSO",$M98)&gt;0</formula>
    </cfRule>
    <cfRule type="expression" dxfId="7957" priority="1719">
      <formula>SEARCH("EMESSO",$M98)&gt;0</formula>
    </cfRule>
    <cfRule type="expression" dxfId="7956" priority="1720">
      <formula>SEARCH("RICHIESTO",$M98)&gt;0</formula>
    </cfRule>
    <cfRule type="expression" dxfId="7955" priority="1721">
      <formula>SEARCH("DA CHIUDERE",$M98)&gt;0</formula>
    </cfRule>
    <cfRule type="expression" dxfId="7954" priority="1722">
      <formula>SEARCH("INTERROTTO",$M98)&gt;0</formula>
    </cfRule>
  </conditionalFormatting>
  <conditionalFormatting sqref="M98">
    <cfRule type="expression" dxfId="7953" priority="1711">
      <formula>SEARCH("IN CORSO",$M98)&gt;0</formula>
    </cfRule>
    <cfRule type="expression" dxfId="7952" priority="1712">
      <formula>SEARCH("CHIUSO",$M98)&gt;0</formula>
    </cfRule>
    <cfRule type="expression" dxfId="7951" priority="1713">
      <formula>SEARCH("EMESSO",$M98)&gt;0</formula>
    </cfRule>
    <cfRule type="expression" dxfId="7950" priority="1714">
      <formula>SEARCH("RICHIESTO",$M98)&gt;0</formula>
    </cfRule>
    <cfRule type="expression" dxfId="7949" priority="1715">
      <formula>SEARCH("DA CHIUDERE",$M98)&gt;0</formula>
    </cfRule>
    <cfRule type="expression" dxfId="7948" priority="1716">
      <formula>SEARCH("INTERROTTO",$M98)&gt;0</formula>
    </cfRule>
  </conditionalFormatting>
  <conditionalFormatting sqref="E97:G97 N97:Q97">
    <cfRule type="expression" dxfId="7947" priority="1705">
      <formula>SEARCH("IN CORSO",$M97)&gt;0</formula>
    </cfRule>
    <cfRule type="expression" dxfId="7946" priority="1706">
      <formula>SEARCH("CHIUSO",$M97)&gt;0</formula>
    </cfRule>
    <cfRule type="expression" dxfId="7945" priority="1707">
      <formula>SEARCH("EMESSO",$M97)&gt;0</formula>
    </cfRule>
    <cfRule type="expression" dxfId="7944" priority="1708">
      <formula>SEARCH("RICHIESTO",$M97)&gt;0</formula>
    </cfRule>
    <cfRule type="expression" dxfId="7943" priority="1709">
      <formula>SEARCH("DA CHIUDERE",$M97)&gt;0</formula>
    </cfRule>
    <cfRule type="expression" dxfId="7942" priority="1710">
      <formula>SEARCH("INTERROTTO",$M97)&gt;0</formula>
    </cfRule>
  </conditionalFormatting>
  <conditionalFormatting sqref="R97:S97">
    <cfRule type="expression" dxfId="7941" priority="1699">
      <formula>SEARCH("IN CORSO",$M97)&gt;0</formula>
    </cfRule>
    <cfRule type="expression" dxfId="7940" priority="1700">
      <formula>SEARCH("CHIUSO",$M97)&gt;0</formula>
    </cfRule>
    <cfRule type="expression" dxfId="7939" priority="1701">
      <formula>SEARCH("EMESSO",$M97)&gt;0</formula>
    </cfRule>
    <cfRule type="expression" dxfId="7938" priority="1702">
      <formula>SEARCH("RICHIESTO",$M97)&gt;0</formula>
    </cfRule>
    <cfRule type="expression" dxfId="7937" priority="1703">
      <formula>SEARCH("DA CHIUDERE",$M97)&gt;0</formula>
    </cfRule>
    <cfRule type="expression" dxfId="7936" priority="1704">
      <formula>SEARCH("INTERROTTO",$M97)&gt;0</formula>
    </cfRule>
  </conditionalFormatting>
  <conditionalFormatting sqref="M97">
    <cfRule type="expression" dxfId="7935" priority="1693">
      <formula>SEARCH("IN CORSO",$M97)&gt;0</formula>
    </cfRule>
    <cfRule type="expression" dxfId="7934" priority="1694">
      <formula>SEARCH("CHIUSO",$M97)&gt;0</formula>
    </cfRule>
    <cfRule type="expression" dxfId="7933" priority="1695">
      <formula>SEARCH("EMESSO",$M97)&gt;0</formula>
    </cfRule>
    <cfRule type="expression" dxfId="7932" priority="1696">
      <formula>SEARCH("RICHIESTO",$M97)&gt;0</formula>
    </cfRule>
    <cfRule type="expression" dxfId="7931" priority="1697">
      <formula>SEARCH("DA CHIUDERE",$M97)&gt;0</formula>
    </cfRule>
    <cfRule type="expression" dxfId="7930" priority="1698">
      <formula>SEARCH("INTERROTTO",$M97)&gt;0</formula>
    </cfRule>
  </conditionalFormatting>
  <conditionalFormatting sqref="E96:G96 N96:Q96">
    <cfRule type="expression" dxfId="7929" priority="1687">
      <formula>SEARCH("IN CORSO",$M96)&gt;0</formula>
    </cfRule>
    <cfRule type="expression" dxfId="7928" priority="1688">
      <formula>SEARCH("CHIUSO",$M96)&gt;0</formula>
    </cfRule>
    <cfRule type="expression" dxfId="7927" priority="1689">
      <formula>SEARCH("EMESSO",$M96)&gt;0</formula>
    </cfRule>
    <cfRule type="expression" dxfId="7926" priority="1690">
      <formula>SEARCH("RICHIESTO",$M96)&gt;0</formula>
    </cfRule>
    <cfRule type="expression" dxfId="7925" priority="1691">
      <formula>SEARCH("DA CHIUDERE",$M96)&gt;0</formula>
    </cfRule>
    <cfRule type="expression" dxfId="7924" priority="1692">
      <formula>SEARCH("INTERROTTO",$M96)&gt;0</formula>
    </cfRule>
  </conditionalFormatting>
  <conditionalFormatting sqref="R96:S96">
    <cfRule type="expression" dxfId="7923" priority="1681">
      <formula>SEARCH("IN CORSO",$M96)&gt;0</formula>
    </cfRule>
    <cfRule type="expression" dxfId="7922" priority="1682">
      <formula>SEARCH("CHIUSO",$M96)&gt;0</formula>
    </cfRule>
    <cfRule type="expression" dxfId="7921" priority="1683">
      <formula>SEARCH("EMESSO",$M96)&gt;0</formula>
    </cfRule>
    <cfRule type="expression" dxfId="7920" priority="1684">
      <formula>SEARCH("RICHIESTO",$M96)&gt;0</formula>
    </cfRule>
    <cfRule type="expression" dxfId="7919" priority="1685">
      <formula>SEARCH("DA CHIUDERE",$M96)&gt;0</formula>
    </cfRule>
    <cfRule type="expression" dxfId="7918" priority="1686">
      <formula>SEARCH("INTERROTTO",$M96)&gt;0</formula>
    </cfRule>
  </conditionalFormatting>
  <conditionalFormatting sqref="M96">
    <cfRule type="expression" dxfId="7917" priority="1675">
      <formula>SEARCH("IN CORSO",$M96)&gt;0</formula>
    </cfRule>
    <cfRule type="expression" dxfId="7916" priority="1676">
      <formula>SEARCH("CHIUSO",$M96)&gt;0</formula>
    </cfRule>
    <cfRule type="expression" dxfId="7915" priority="1677">
      <formula>SEARCH("EMESSO",$M96)&gt;0</formula>
    </cfRule>
    <cfRule type="expression" dxfId="7914" priority="1678">
      <formula>SEARCH("RICHIESTO",$M96)&gt;0</formula>
    </cfRule>
    <cfRule type="expression" dxfId="7913" priority="1679">
      <formula>SEARCH("DA CHIUDERE",$M96)&gt;0</formula>
    </cfRule>
    <cfRule type="expression" dxfId="7912" priority="1680">
      <formula>SEARCH("INTERROTTO",$M96)&gt;0</formula>
    </cfRule>
  </conditionalFormatting>
  <conditionalFormatting sqref="E95:G95 N95:Q95">
    <cfRule type="expression" dxfId="7911" priority="1669">
      <formula>SEARCH("IN CORSO",$M95)&gt;0</formula>
    </cfRule>
    <cfRule type="expression" dxfId="7910" priority="1670">
      <formula>SEARCH("CHIUSO",$M95)&gt;0</formula>
    </cfRule>
    <cfRule type="expression" dxfId="7909" priority="1671">
      <formula>SEARCH("EMESSO",$M95)&gt;0</formula>
    </cfRule>
    <cfRule type="expression" dxfId="7908" priority="1672">
      <formula>SEARCH("RICHIESTO",$M95)&gt;0</formula>
    </cfRule>
    <cfRule type="expression" dxfId="7907" priority="1673">
      <formula>SEARCH("DA CHIUDERE",$M95)&gt;0</formula>
    </cfRule>
    <cfRule type="expression" dxfId="7906" priority="1674">
      <formula>SEARCH("INTERROTTO",$M95)&gt;0</formula>
    </cfRule>
  </conditionalFormatting>
  <conditionalFormatting sqref="R95:S95">
    <cfRule type="expression" dxfId="7905" priority="1663">
      <formula>SEARCH("IN CORSO",$M95)&gt;0</formula>
    </cfRule>
    <cfRule type="expression" dxfId="7904" priority="1664">
      <formula>SEARCH("CHIUSO",$M95)&gt;0</formula>
    </cfRule>
    <cfRule type="expression" dxfId="7903" priority="1665">
      <formula>SEARCH("EMESSO",$M95)&gt;0</formula>
    </cfRule>
    <cfRule type="expression" dxfId="7902" priority="1666">
      <formula>SEARCH("RICHIESTO",$M95)&gt;0</formula>
    </cfRule>
    <cfRule type="expression" dxfId="7901" priority="1667">
      <formula>SEARCH("DA CHIUDERE",$M95)&gt;0</formula>
    </cfRule>
    <cfRule type="expression" dxfId="7900" priority="1668">
      <formula>SEARCH("INTERROTTO",$M95)&gt;0</formula>
    </cfRule>
  </conditionalFormatting>
  <conditionalFormatting sqref="M95">
    <cfRule type="expression" dxfId="7899" priority="1657">
      <formula>SEARCH("IN CORSO",$M95)&gt;0</formula>
    </cfRule>
    <cfRule type="expression" dxfId="7898" priority="1658">
      <formula>SEARCH("CHIUSO",$M95)&gt;0</formula>
    </cfRule>
    <cfRule type="expression" dxfId="7897" priority="1659">
      <formula>SEARCH("EMESSO",$M95)&gt;0</formula>
    </cfRule>
    <cfRule type="expression" dxfId="7896" priority="1660">
      <formula>SEARCH("RICHIESTO",$M95)&gt;0</formula>
    </cfRule>
    <cfRule type="expression" dxfId="7895" priority="1661">
      <formula>SEARCH("DA CHIUDERE",$M95)&gt;0</formula>
    </cfRule>
    <cfRule type="expression" dxfId="7894" priority="1662">
      <formula>SEARCH("INTERROTTO",$M95)&gt;0</formula>
    </cfRule>
  </conditionalFormatting>
  <conditionalFormatting sqref="N258:S258 N265:S266 M259:S264">
    <cfRule type="expression" dxfId="7893" priority="1933">
      <formula>SEARCH("IN CORSO",$M258)&gt;0</formula>
    </cfRule>
    <cfRule type="expression" dxfId="7892" priority="1934">
      <formula>SEARCH("CHIUSO",$M258)&gt;0</formula>
    </cfRule>
    <cfRule type="expression" dxfId="7891" priority="1935">
      <formula>SEARCH("EMESSO",$M258)&gt;0</formula>
    </cfRule>
    <cfRule type="expression" dxfId="7890" priority="1936">
      <formula>SEARCH("RICHIESTO",$M258)&gt;0</formula>
    </cfRule>
    <cfRule type="expression" dxfId="7889" priority="1937">
      <formula>SEARCH("DA CHIUDERE",$M258)&gt;0</formula>
    </cfRule>
    <cfRule type="expression" dxfId="7888" priority="1938">
      <formula>SEARCH("INTERROTTO",$M258)&gt;0</formula>
    </cfRule>
  </conditionalFormatting>
  <conditionalFormatting sqref="R107:S107">
    <cfRule type="expression" dxfId="7887" priority="1867">
      <formula>SEARCH("IN CORSO",$M107)&gt;0</formula>
    </cfRule>
    <cfRule type="expression" dxfId="7886" priority="1868">
      <formula>SEARCH("CHIUSO",$M107)&gt;0</formula>
    </cfRule>
    <cfRule type="expression" dxfId="7885" priority="1869">
      <formula>SEARCH("EMESSO",$M107)&gt;0</formula>
    </cfRule>
    <cfRule type="expression" dxfId="7884" priority="1870">
      <formula>SEARCH("RICHIESTO",$M107)&gt;0</formula>
    </cfRule>
    <cfRule type="expression" dxfId="7883" priority="1871">
      <formula>SEARCH("DA CHIUDERE",$M107)&gt;0</formula>
    </cfRule>
    <cfRule type="expression" dxfId="7882" priority="1872">
      <formula>SEARCH("INTERROTTO",$M107)&gt;0</formula>
    </cfRule>
  </conditionalFormatting>
  <conditionalFormatting sqref="E104:G104 N104:Q104">
    <cfRule type="expression" dxfId="7881" priority="1831">
      <formula>SEARCH("IN CORSO",$M104)&gt;0</formula>
    </cfRule>
    <cfRule type="expression" dxfId="7880" priority="1832">
      <formula>SEARCH("CHIUSO",$M104)&gt;0</formula>
    </cfRule>
    <cfRule type="expression" dxfId="7879" priority="1833">
      <formula>SEARCH("EMESSO",$M104)&gt;0</formula>
    </cfRule>
    <cfRule type="expression" dxfId="7878" priority="1834">
      <formula>SEARCH("RICHIESTO",$M104)&gt;0</formula>
    </cfRule>
    <cfRule type="expression" dxfId="7877" priority="1835">
      <formula>SEARCH("DA CHIUDERE",$M104)&gt;0</formula>
    </cfRule>
    <cfRule type="expression" dxfId="7876" priority="1836">
      <formula>SEARCH("INTERROTTO",$M104)&gt;0</formula>
    </cfRule>
  </conditionalFormatting>
  <conditionalFormatting sqref="R104:S104">
    <cfRule type="expression" dxfId="7875" priority="1825">
      <formula>SEARCH("IN CORSO",$M104)&gt;0</formula>
    </cfRule>
    <cfRule type="expression" dxfId="7874" priority="1826">
      <formula>SEARCH("CHIUSO",$M104)&gt;0</formula>
    </cfRule>
    <cfRule type="expression" dxfId="7873" priority="1827">
      <formula>SEARCH("EMESSO",$M104)&gt;0</formula>
    </cfRule>
    <cfRule type="expression" dxfId="7872" priority="1828">
      <formula>SEARCH("RICHIESTO",$M104)&gt;0</formula>
    </cfRule>
    <cfRule type="expression" dxfId="7871" priority="1829">
      <formula>SEARCH("DA CHIUDERE",$M104)&gt;0</formula>
    </cfRule>
    <cfRule type="expression" dxfId="7870" priority="1830">
      <formula>SEARCH("INTERROTTO",$M104)&gt;0</formula>
    </cfRule>
  </conditionalFormatting>
  <conditionalFormatting sqref="M104">
    <cfRule type="expression" dxfId="7869" priority="1819">
      <formula>SEARCH("IN CORSO",$M104)&gt;0</formula>
    </cfRule>
    <cfRule type="expression" dxfId="7868" priority="1820">
      <formula>SEARCH("CHIUSO",$M104)&gt;0</formula>
    </cfRule>
    <cfRule type="expression" dxfId="7867" priority="1821">
      <formula>SEARCH("EMESSO",$M104)&gt;0</formula>
    </cfRule>
    <cfRule type="expression" dxfId="7866" priority="1822">
      <formula>SEARCH("RICHIESTO",$M104)&gt;0</formula>
    </cfRule>
    <cfRule type="expression" dxfId="7865" priority="1823">
      <formula>SEARCH("DA CHIUDERE",$M104)&gt;0</formula>
    </cfRule>
    <cfRule type="expression" dxfId="7864" priority="1824">
      <formula>SEARCH("INTERROTTO",$M104)&gt;0</formula>
    </cfRule>
  </conditionalFormatting>
  <conditionalFormatting sqref="E94:G94 N94:Q94">
    <cfRule type="expression" dxfId="7863" priority="1651">
      <formula>SEARCH("IN CORSO",$M94)&gt;0</formula>
    </cfRule>
    <cfRule type="expression" dxfId="7862" priority="1652">
      <formula>SEARCH("CHIUSO",$M94)&gt;0</formula>
    </cfRule>
    <cfRule type="expression" dxfId="7861" priority="1653">
      <formula>SEARCH("EMESSO",$M94)&gt;0</formula>
    </cfRule>
    <cfRule type="expression" dxfId="7860" priority="1654">
      <formula>SEARCH("RICHIESTO",$M94)&gt;0</formula>
    </cfRule>
    <cfRule type="expression" dxfId="7859" priority="1655">
      <formula>SEARCH("DA CHIUDERE",$M94)&gt;0</formula>
    </cfRule>
    <cfRule type="expression" dxfId="7858" priority="1656">
      <formula>SEARCH("INTERROTTO",$M94)&gt;0</formula>
    </cfRule>
  </conditionalFormatting>
  <conditionalFormatting sqref="R94:S94">
    <cfRule type="expression" dxfId="7857" priority="1645">
      <formula>SEARCH("IN CORSO",$M94)&gt;0</formula>
    </cfRule>
    <cfRule type="expression" dxfId="7856" priority="1646">
      <formula>SEARCH("CHIUSO",$M94)&gt;0</formula>
    </cfRule>
    <cfRule type="expression" dxfId="7855" priority="1647">
      <formula>SEARCH("EMESSO",$M94)&gt;0</formula>
    </cfRule>
    <cfRule type="expression" dxfId="7854" priority="1648">
      <formula>SEARCH("RICHIESTO",$M94)&gt;0</formula>
    </cfRule>
    <cfRule type="expression" dxfId="7853" priority="1649">
      <formula>SEARCH("DA CHIUDERE",$M94)&gt;0</formula>
    </cfRule>
    <cfRule type="expression" dxfId="7852" priority="1650">
      <formula>SEARCH("INTERROTTO",$M94)&gt;0</formula>
    </cfRule>
  </conditionalFormatting>
  <conditionalFormatting sqref="M94">
    <cfRule type="expression" dxfId="7851" priority="1639">
      <formula>SEARCH("IN CORSO",$M94)&gt;0</formula>
    </cfRule>
    <cfRule type="expression" dxfId="7850" priority="1640">
      <formula>SEARCH("CHIUSO",$M94)&gt;0</formula>
    </cfRule>
    <cfRule type="expression" dxfId="7849" priority="1641">
      <formula>SEARCH("EMESSO",$M94)&gt;0</formula>
    </cfRule>
    <cfRule type="expression" dxfId="7848" priority="1642">
      <formula>SEARCH("RICHIESTO",$M94)&gt;0</formula>
    </cfRule>
    <cfRule type="expression" dxfId="7847" priority="1643">
      <formula>SEARCH("DA CHIUDERE",$M94)&gt;0</formula>
    </cfRule>
    <cfRule type="expression" dxfId="7846" priority="1644">
      <formula>SEARCH("INTERROTTO",$M94)&gt;0</formula>
    </cfRule>
  </conditionalFormatting>
  <conditionalFormatting sqref="E93:G93 N93:Q93">
    <cfRule type="expression" dxfId="7845" priority="1633">
      <formula>SEARCH("IN CORSO",$M93)&gt;0</formula>
    </cfRule>
    <cfRule type="expression" dxfId="7844" priority="1634">
      <formula>SEARCH("CHIUSO",$M93)&gt;0</formula>
    </cfRule>
    <cfRule type="expression" dxfId="7843" priority="1635">
      <formula>SEARCH("EMESSO",$M93)&gt;0</formula>
    </cfRule>
    <cfRule type="expression" dxfId="7842" priority="1636">
      <formula>SEARCH("RICHIESTO",$M93)&gt;0</formula>
    </cfRule>
    <cfRule type="expression" dxfId="7841" priority="1637">
      <formula>SEARCH("DA CHIUDERE",$M93)&gt;0</formula>
    </cfRule>
    <cfRule type="expression" dxfId="7840" priority="1638">
      <formula>SEARCH("INTERROTTO",$M93)&gt;0</formula>
    </cfRule>
  </conditionalFormatting>
  <conditionalFormatting sqref="R93:S93">
    <cfRule type="expression" dxfId="7839" priority="1627">
      <formula>SEARCH("IN CORSO",$M93)&gt;0</formula>
    </cfRule>
    <cfRule type="expression" dxfId="7838" priority="1628">
      <formula>SEARCH("CHIUSO",$M93)&gt;0</formula>
    </cfRule>
    <cfRule type="expression" dxfId="7837" priority="1629">
      <formula>SEARCH("EMESSO",$M93)&gt;0</formula>
    </cfRule>
    <cfRule type="expression" dxfId="7836" priority="1630">
      <formula>SEARCH("RICHIESTO",$M93)&gt;0</formula>
    </cfRule>
    <cfRule type="expression" dxfId="7835" priority="1631">
      <formula>SEARCH("DA CHIUDERE",$M93)&gt;0</formula>
    </cfRule>
    <cfRule type="expression" dxfId="7834" priority="1632">
      <formula>SEARCH("INTERROTTO",$M93)&gt;0</formula>
    </cfRule>
  </conditionalFormatting>
  <conditionalFormatting sqref="M93">
    <cfRule type="expression" dxfId="7833" priority="1621">
      <formula>SEARCH("IN CORSO",$M93)&gt;0</formula>
    </cfRule>
    <cfRule type="expression" dxfId="7832" priority="1622">
      <formula>SEARCH("CHIUSO",$M93)&gt;0</formula>
    </cfRule>
    <cfRule type="expression" dxfId="7831" priority="1623">
      <formula>SEARCH("EMESSO",$M93)&gt;0</formula>
    </cfRule>
    <cfRule type="expression" dxfId="7830" priority="1624">
      <formula>SEARCH("RICHIESTO",$M93)&gt;0</formula>
    </cfRule>
    <cfRule type="expression" dxfId="7829" priority="1625">
      <formula>SEARCH("DA CHIUDERE",$M93)&gt;0</formula>
    </cfRule>
    <cfRule type="expression" dxfId="7828" priority="1626">
      <formula>SEARCH("INTERROTTO",$M93)&gt;0</formula>
    </cfRule>
  </conditionalFormatting>
  <conditionalFormatting sqref="E92:G92 N92:Q92">
    <cfRule type="expression" dxfId="7827" priority="1615">
      <formula>SEARCH("IN CORSO",$M92)&gt;0</formula>
    </cfRule>
    <cfRule type="expression" dxfId="7826" priority="1616">
      <formula>SEARCH("CHIUSO",$M92)&gt;0</formula>
    </cfRule>
    <cfRule type="expression" dxfId="7825" priority="1617">
      <formula>SEARCH("EMESSO",$M92)&gt;0</formula>
    </cfRule>
    <cfRule type="expression" dxfId="7824" priority="1618">
      <formula>SEARCH("RICHIESTO",$M92)&gt;0</formula>
    </cfRule>
    <cfRule type="expression" dxfId="7823" priority="1619">
      <formula>SEARCH("DA CHIUDERE",$M92)&gt;0</formula>
    </cfRule>
    <cfRule type="expression" dxfId="7822" priority="1620">
      <formula>SEARCH("INTERROTTO",$M92)&gt;0</formula>
    </cfRule>
  </conditionalFormatting>
  <conditionalFormatting sqref="R92:S92">
    <cfRule type="expression" dxfId="7821" priority="1609">
      <formula>SEARCH("IN CORSO",$M92)&gt;0</formula>
    </cfRule>
    <cfRule type="expression" dxfId="7820" priority="1610">
      <formula>SEARCH("CHIUSO",$M92)&gt;0</formula>
    </cfRule>
    <cfRule type="expression" dxfId="7819" priority="1611">
      <formula>SEARCH("EMESSO",$M92)&gt;0</formula>
    </cfRule>
    <cfRule type="expression" dxfId="7818" priority="1612">
      <formula>SEARCH("RICHIESTO",$M92)&gt;0</formula>
    </cfRule>
    <cfRule type="expression" dxfId="7817" priority="1613">
      <formula>SEARCH("DA CHIUDERE",$M92)&gt;0</formula>
    </cfRule>
    <cfRule type="expression" dxfId="7816" priority="1614">
      <formula>SEARCH("INTERROTTO",$M92)&gt;0</formula>
    </cfRule>
  </conditionalFormatting>
  <conditionalFormatting sqref="M92">
    <cfRule type="expression" dxfId="7815" priority="1603">
      <formula>SEARCH("IN CORSO",$M92)&gt;0</formula>
    </cfRule>
    <cfRule type="expression" dxfId="7814" priority="1604">
      <formula>SEARCH("CHIUSO",$M92)&gt;0</formula>
    </cfRule>
    <cfRule type="expression" dxfId="7813" priority="1605">
      <formula>SEARCH("EMESSO",$M92)&gt;0</formula>
    </cfRule>
    <cfRule type="expression" dxfId="7812" priority="1606">
      <formula>SEARCH("RICHIESTO",$M92)&gt;0</formula>
    </cfRule>
    <cfRule type="expression" dxfId="7811" priority="1607">
      <formula>SEARCH("DA CHIUDERE",$M92)&gt;0</formula>
    </cfRule>
    <cfRule type="expression" dxfId="7810" priority="1608">
      <formula>SEARCH("INTERROTTO",$M92)&gt;0</formula>
    </cfRule>
  </conditionalFormatting>
  <conditionalFormatting sqref="E91:G91 N91:Q91">
    <cfRule type="expression" dxfId="7809" priority="1597">
      <formula>SEARCH("IN CORSO",$M91)&gt;0</formula>
    </cfRule>
    <cfRule type="expression" dxfId="7808" priority="1598">
      <formula>SEARCH("CHIUSO",$M91)&gt;0</formula>
    </cfRule>
    <cfRule type="expression" dxfId="7807" priority="1599">
      <formula>SEARCH("EMESSO",$M91)&gt;0</formula>
    </cfRule>
    <cfRule type="expression" dxfId="7806" priority="1600">
      <formula>SEARCH("RICHIESTO",$M91)&gt;0</formula>
    </cfRule>
    <cfRule type="expression" dxfId="7805" priority="1601">
      <formula>SEARCH("DA CHIUDERE",$M91)&gt;0</formula>
    </cfRule>
    <cfRule type="expression" dxfId="7804" priority="1602">
      <formula>SEARCH("INTERROTTO",$M91)&gt;0</formula>
    </cfRule>
  </conditionalFormatting>
  <conditionalFormatting sqref="R91:S91">
    <cfRule type="expression" dxfId="7803" priority="1591">
      <formula>SEARCH("IN CORSO",$M91)&gt;0</formula>
    </cfRule>
    <cfRule type="expression" dxfId="7802" priority="1592">
      <formula>SEARCH("CHIUSO",$M91)&gt;0</formula>
    </cfRule>
    <cfRule type="expression" dxfId="7801" priority="1593">
      <formula>SEARCH("EMESSO",$M91)&gt;0</formula>
    </cfRule>
    <cfRule type="expression" dxfId="7800" priority="1594">
      <formula>SEARCH("RICHIESTO",$M91)&gt;0</formula>
    </cfRule>
    <cfRule type="expression" dxfId="7799" priority="1595">
      <formula>SEARCH("DA CHIUDERE",$M91)&gt;0</formula>
    </cfRule>
    <cfRule type="expression" dxfId="7798" priority="1596">
      <formula>SEARCH("INTERROTTO",$M91)&gt;0</formula>
    </cfRule>
  </conditionalFormatting>
  <conditionalFormatting sqref="M91">
    <cfRule type="expression" dxfId="7797" priority="1585">
      <formula>SEARCH("IN CORSO",$M91)&gt;0</formula>
    </cfRule>
    <cfRule type="expression" dxfId="7796" priority="1586">
      <formula>SEARCH("CHIUSO",$M91)&gt;0</formula>
    </cfRule>
    <cfRule type="expression" dxfId="7795" priority="1587">
      <formula>SEARCH("EMESSO",$M91)&gt;0</formula>
    </cfRule>
    <cfRule type="expression" dxfId="7794" priority="1588">
      <formula>SEARCH("RICHIESTO",$M91)&gt;0</formula>
    </cfRule>
    <cfRule type="expression" dxfId="7793" priority="1589">
      <formula>SEARCH("DA CHIUDERE",$M91)&gt;0</formula>
    </cfRule>
    <cfRule type="expression" dxfId="7792" priority="1590">
      <formula>SEARCH("INTERROTTO",$M91)&gt;0</formula>
    </cfRule>
  </conditionalFormatting>
  <conditionalFormatting sqref="E90:G90 N90:Q90">
    <cfRule type="expression" dxfId="7791" priority="1579">
      <formula>SEARCH("IN CORSO",$M90)&gt;0</formula>
    </cfRule>
    <cfRule type="expression" dxfId="7790" priority="1580">
      <formula>SEARCH("CHIUSO",$M90)&gt;0</formula>
    </cfRule>
    <cfRule type="expression" dxfId="7789" priority="1581">
      <formula>SEARCH("EMESSO",$M90)&gt;0</formula>
    </cfRule>
    <cfRule type="expression" dxfId="7788" priority="1582">
      <formula>SEARCH("RICHIESTO",$M90)&gt;0</formula>
    </cfRule>
    <cfRule type="expression" dxfId="7787" priority="1583">
      <formula>SEARCH("DA CHIUDERE",$M90)&gt;0</formula>
    </cfRule>
    <cfRule type="expression" dxfId="7786" priority="1584">
      <formula>SEARCH("INTERROTTO",$M90)&gt;0</formula>
    </cfRule>
  </conditionalFormatting>
  <conditionalFormatting sqref="R90:S90">
    <cfRule type="expression" dxfId="7785" priority="1573">
      <formula>SEARCH("IN CORSO",$M90)&gt;0</formula>
    </cfRule>
    <cfRule type="expression" dxfId="7784" priority="1574">
      <formula>SEARCH("CHIUSO",$M90)&gt;0</formula>
    </cfRule>
    <cfRule type="expression" dxfId="7783" priority="1575">
      <formula>SEARCH("EMESSO",$M90)&gt;0</formula>
    </cfRule>
    <cfRule type="expression" dxfId="7782" priority="1576">
      <formula>SEARCH("RICHIESTO",$M90)&gt;0</formula>
    </cfRule>
    <cfRule type="expression" dxfId="7781" priority="1577">
      <formula>SEARCH("DA CHIUDERE",$M90)&gt;0</formula>
    </cfRule>
    <cfRule type="expression" dxfId="7780" priority="1578">
      <formula>SEARCH("INTERROTTO",$M90)&gt;0</formula>
    </cfRule>
  </conditionalFormatting>
  <conditionalFormatting sqref="M90">
    <cfRule type="expression" dxfId="7779" priority="1567">
      <formula>SEARCH("IN CORSO",$M90)&gt;0</formula>
    </cfRule>
    <cfRule type="expression" dxfId="7778" priority="1568">
      <formula>SEARCH("CHIUSO",$M90)&gt;0</formula>
    </cfRule>
    <cfRule type="expression" dxfId="7777" priority="1569">
      <formula>SEARCH("EMESSO",$M90)&gt;0</formula>
    </cfRule>
    <cfRule type="expression" dxfId="7776" priority="1570">
      <formula>SEARCH("RICHIESTO",$M90)&gt;0</formula>
    </cfRule>
    <cfRule type="expression" dxfId="7775" priority="1571">
      <formula>SEARCH("DA CHIUDERE",$M90)&gt;0</formula>
    </cfRule>
    <cfRule type="expression" dxfId="7774" priority="1572">
      <formula>SEARCH("INTERROTTO",$M90)&gt;0</formula>
    </cfRule>
  </conditionalFormatting>
  <conditionalFormatting sqref="E89:G89 N89:Q89">
    <cfRule type="expression" dxfId="7773" priority="1561">
      <formula>SEARCH("IN CORSO",$M89)&gt;0</formula>
    </cfRule>
    <cfRule type="expression" dxfId="7772" priority="1562">
      <formula>SEARCH("CHIUSO",$M89)&gt;0</formula>
    </cfRule>
    <cfRule type="expression" dxfId="7771" priority="1563">
      <formula>SEARCH("EMESSO",$M89)&gt;0</formula>
    </cfRule>
    <cfRule type="expression" dxfId="7770" priority="1564">
      <formula>SEARCH("RICHIESTO",$M89)&gt;0</formula>
    </cfRule>
    <cfRule type="expression" dxfId="7769" priority="1565">
      <formula>SEARCH("DA CHIUDERE",$M89)&gt;0</formula>
    </cfRule>
    <cfRule type="expression" dxfId="7768" priority="1566">
      <formula>SEARCH("INTERROTTO",$M89)&gt;0</formula>
    </cfRule>
  </conditionalFormatting>
  <conditionalFormatting sqref="R89:S89">
    <cfRule type="expression" dxfId="7767" priority="1555">
      <formula>SEARCH("IN CORSO",$M89)&gt;0</formula>
    </cfRule>
    <cfRule type="expression" dxfId="7766" priority="1556">
      <formula>SEARCH("CHIUSO",$M89)&gt;0</formula>
    </cfRule>
    <cfRule type="expression" dxfId="7765" priority="1557">
      <formula>SEARCH("EMESSO",$M89)&gt;0</formula>
    </cfRule>
    <cfRule type="expression" dxfId="7764" priority="1558">
      <formula>SEARCH("RICHIESTO",$M89)&gt;0</formula>
    </cfRule>
    <cfRule type="expression" dxfId="7763" priority="1559">
      <formula>SEARCH("DA CHIUDERE",$M89)&gt;0</formula>
    </cfRule>
    <cfRule type="expression" dxfId="7762" priority="1560">
      <formula>SEARCH("INTERROTTO",$M89)&gt;0</formula>
    </cfRule>
  </conditionalFormatting>
  <conditionalFormatting sqref="M89">
    <cfRule type="expression" dxfId="7761" priority="1549">
      <formula>SEARCH("IN CORSO",$M89)&gt;0</formula>
    </cfRule>
    <cfRule type="expression" dxfId="7760" priority="1550">
      <formula>SEARCH("CHIUSO",$M89)&gt;0</formula>
    </cfRule>
    <cfRule type="expression" dxfId="7759" priority="1551">
      <formula>SEARCH("EMESSO",$M89)&gt;0</formula>
    </cfRule>
    <cfRule type="expression" dxfId="7758" priority="1552">
      <formula>SEARCH("RICHIESTO",$M89)&gt;0</formula>
    </cfRule>
    <cfRule type="expression" dxfId="7757" priority="1553">
      <formula>SEARCH("DA CHIUDERE",$M89)&gt;0</formula>
    </cfRule>
    <cfRule type="expression" dxfId="7756" priority="1554">
      <formula>SEARCH("INTERROTTO",$M89)&gt;0</formula>
    </cfRule>
  </conditionalFormatting>
  <conditionalFormatting sqref="E88:G88 N88:Q88">
    <cfRule type="expression" dxfId="7755" priority="1543">
      <formula>SEARCH("IN CORSO",$M88)&gt;0</formula>
    </cfRule>
    <cfRule type="expression" dxfId="7754" priority="1544">
      <formula>SEARCH("CHIUSO",$M88)&gt;0</formula>
    </cfRule>
    <cfRule type="expression" dxfId="7753" priority="1545">
      <formula>SEARCH("EMESSO",$M88)&gt;0</formula>
    </cfRule>
    <cfRule type="expression" dxfId="7752" priority="1546">
      <formula>SEARCH("RICHIESTO",$M88)&gt;0</formula>
    </cfRule>
    <cfRule type="expression" dxfId="7751" priority="1547">
      <formula>SEARCH("DA CHIUDERE",$M88)&gt;0</formula>
    </cfRule>
    <cfRule type="expression" dxfId="7750" priority="1548">
      <formula>SEARCH("INTERROTTO",$M88)&gt;0</formula>
    </cfRule>
  </conditionalFormatting>
  <conditionalFormatting sqref="R88:S88">
    <cfRule type="expression" dxfId="7749" priority="1537">
      <formula>SEARCH("IN CORSO",$M88)&gt;0</formula>
    </cfRule>
    <cfRule type="expression" dxfId="7748" priority="1538">
      <formula>SEARCH("CHIUSO",$M88)&gt;0</formula>
    </cfRule>
    <cfRule type="expression" dxfId="7747" priority="1539">
      <formula>SEARCH("EMESSO",$M88)&gt;0</formula>
    </cfRule>
    <cfRule type="expression" dxfId="7746" priority="1540">
      <formula>SEARCH("RICHIESTO",$M88)&gt;0</formula>
    </cfRule>
    <cfRule type="expression" dxfId="7745" priority="1541">
      <formula>SEARCH("DA CHIUDERE",$M88)&gt;0</formula>
    </cfRule>
    <cfRule type="expression" dxfId="7744" priority="1542">
      <formula>SEARCH("INTERROTTO",$M88)&gt;0</formula>
    </cfRule>
  </conditionalFormatting>
  <conditionalFormatting sqref="M88">
    <cfRule type="expression" dxfId="7743" priority="1531">
      <formula>SEARCH("IN CORSO",$M88)&gt;0</formula>
    </cfRule>
    <cfRule type="expression" dxfId="7742" priority="1532">
      <formula>SEARCH("CHIUSO",$M88)&gt;0</formula>
    </cfRule>
    <cfRule type="expression" dxfId="7741" priority="1533">
      <formula>SEARCH("EMESSO",$M88)&gt;0</formula>
    </cfRule>
    <cfRule type="expression" dxfId="7740" priority="1534">
      <formula>SEARCH("RICHIESTO",$M88)&gt;0</formula>
    </cfRule>
    <cfRule type="expression" dxfId="7739" priority="1535">
      <formula>SEARCH("DA CHIUDERE",$M88)&gt;0</formula>
    </cfRule>
    <cfRule type="expression" dxfId="7738" priority="1536">
      <formula>SEARCH("INTERROTTO",$M88)&gt;0</formula>
    </cfRule>
  </conditionalFormatting>
  <conditionalFormatting sqref="E87:G87 N87:Q87">
    <cfRule type="expression" dxfId="7737" priority="1525">
      <formula>SEARCH("IN CORSO",$M87)&gt;0</formula>
    </cfRule>
    <cfRule type="expression" dxfId="7736" priority="1526">
      <formula>SEARCH("CHIUSO",$M87)&gt;0</formula>
    </cfRule>
    <cfRule type="expression" dxfId="7735" priority="1527">
      <formula>SEARCH("EMESSO",$M87)&gt;0</formula>
    </cfRule>
    <cfRule type="expression" dxfId="7734" priority="1528">
      <formula>SEARCH("RICHIESTO",$M87)&gt;0</formula>
    </cfRule>
    <cfRule type="expression" dxfId="7733" priority="1529">
      <formula>SEARCH("DA CHIUDERE",$M87)&gt;0</formula>
    </cfRule>
    <cfRule type="expression" dxfId="7732" priority="1530">
      <formula>SEARCH("INTERROTTO",$M87)&gt;0</formula>
    </cfRule>
  </conditionalFormatting>
  <conditionalFormatting sqref="R87:S87">
    <cfRule type="expression" dxfId="7731" priority="1519">
      <formula>SEARCH("IN CORSO",$M87)&gt;0</formula>
    </cfRule>
    <cfRule type="expression" dxfId="7730" priority="1520">
      <formula>SEARCH("CHIUSO",$M87)&gt;0</formula>
    </cfRule>
    <cfRule type="expression" dxfId="7729" priority="1521">
      <formula>SEARCH("EMESSO",$M87)&gt;0</formula>
    </cfRule>
    <cfRule type="expression" dxfId="7728" priority="1522">
      <formula>SEARCH("RICHIESTO",$M87)&gt;0</formula>
    </cfRule>
    <cfRule type="expression" dxfId="7727" priority="1523">
      <formula>SEARCH("DA CHIUDERE",$M87)&gt;0</formula>
    </cfRule>
    <cfRule type="expression" dxfId="7726" priority="1524">
      <formula>SEARCH("INTERROTTO",$M87)&gt;0</formula>
    </cfRule>
  </conditionalFormatting>
  <conditionalFormatting sqref="M87">
    <cfRule type="expression" dxfId="7725" priority="1513">
      <formula>SEARCH("IN CORSO",$M87)&gt;0</formula>
    </cfRule>
    <cfRule type="expression" dxfId="7724" priority="1514">
      <formula>SEARCH("CHIUSO",$M87)&gt;0</formula>
    </cfRule>
    <cfRule type="expression" dxfId="7723" priority="1515">
      <formula>SEARCH("EMESSO",$M87)&gt;0</formula>
    </cfRule>
    <cfRule type="expression" dxfId="7722" priority="1516">
      <formula>SEARCH("RICHIESTO",$M87)&gt;0</formula>
    </cfRule>
    <cfRule type="expression" dxfId="7721" priority="1517">
      <formula>SEARCH("DA CHIUDERE",$M87)&gt;0</formula>
    </cfRule>
    <cfRule type="expression" dxfId="7720" priority="1518">
      <formula>SEARCH("INTERROTTO",$M87)&gt;0</formula>
    </cfRule>
  </conditionalFormatting>
  <conditionalFormatting sqref="E86:G86 N86:Q86">
    <cfRule type="expression" dxfId="7719" priority="1507">
      <formula>SEARCH("IN CORSO",$M86)&gt;0</formula>
    </cfRule>
    <cfRule type="expression" dxfId="7718" priority="1508">
      <formula>SEARCH("CHIUSO",$M86)&gt;0</formula>
    </cfRule>
    <cfRule type="expression" dxfId="7717" priority="1509">
      <formula>SEARCH("EMESSO",$M86)&gt;0</formula>
    </cfRule>
    <cfRule type="expression" dxfId="7716" priority="1510">
      <formula>SEARCH("RICHIESTO",$M86)&gt;0</formula>
    </cfRule>
    <cfRule type="expression" dxfId="7715" priority="1511">
      <formula>SEARCH("DA CHIUDERE",$M86)&gt;0</formula>
    </cfRule>
    <cfRule type="expression" dxfId="7714" priority="1512">
      <formula>SEARCH("INTERROTTO",$M86)&gt;0</formula>
    </cfRule>
  </conditionalFormatting>
  <conditionalFormatting sqref="R86:S86">
    <cfRule type="expression" dxfId="7713" priority="1501">
      <formula>SEARCH("IN CORSO",$M86)&gt;0</formula>
    </cfRule>
    <cfRule type="expression" dxfId="7712" priority="1502">
      <formula>SEARCH("CHIUSO",$M86)&gt;0</formula>
    </cfRule>
    <cfRule type="expression" dxfId="7711" priority="1503">
      <formula>SEARCH("EMESSO",$M86)&gt;0</formula>
    </cfRule>
    <cfRule type="expression" dxfId="7710" priority="1504">
      <formula>SEARCH("RICHIESTO",$M86)&gt;0</formula>
    </cfRule>
    <cfRule type="expression" dxfId="7709" priority="1505">
      <formula>SEARCH("DA CHIUDERE",$M86)&gt;0</formula>
    </cfRule>
    <cfRule type="expression" dxfId="7708" priority="1506">
      <formula>SEARCH("INTERROTTO",$M86)&gt;0</formula>
    </cfRule>
  </conditionalFormatting>
  <conditionalFormatting sqref="M86">
    <cfRule type="expression" dxfId="7707" priority="1495">
      <formula>SEARCH("IN CORSO",$M86)&gt;0</formula>
    </cfRule>
    <cfRule type="expression" dxfId="7706" priority="1496">
      <formula>SEARCH("CHIUSO",$M86)&gt;0</formula>
    </cfRule>
    <cfRule type="expression" dxfId="7705" priority="1497">
      <formula>SEARCH("EMESSO",$M86)&gt;0</formula>
    </cfRule>
    <cfRule type="expression" dxfId="7704" priority="1498">
      <formula>SEARCH("RICHIESTO",$M86)&gt;0</formula>
    </cfRule>
    <cfRule type="expression" dxfId="7703" priority="1499">
      <formula>SEARCH("DA CHIUDERE",$M86)&gt;0</formula>
    </cfRule>
    <cfRule type="expression" dxfId="7702" priority="1500">
      <formula>SEARCH("INTERROTTO",$M86)&gt;0</formula>
    </cfRule>
  </conditionalFormatting>
  <conditionalFormatting sqref="E85:G85 N85:Q85">
    <cfRule type="expression" dxfId="7701" priority="1489">
      <formula>SEARCH("IN CORSO",$M85)&gt;0</formula>
    </cfRule>
    <cfRule type="expression" dxfId="7700" priority="1490">
      <formula>SEARCH("CHIUSO",$M85)&gt;0</formula>
    </cfRule>
    <cfRule type="expression" dxfId="7699" priority="1491">
      <formula>SEARCH("EMESSO",$M85)&gt;0</formula>
    </cfRule>
    <cfRule type="expression" dxfId="7698" priority="1492">
      <formula>SEARCH("RICHIESTO",$M85)&gt;0</formula>
    </cfRule>
    <cfRule type="expression" dxfId="7697" priority="1493">
      <formula>SEARCH("DA CHIUDERE",$M85)&gt;0</formula>
    </cfRule>
    <cfRule type="expression" dxfId="7696" priority="1494">
      <formula>SEARCH("INTERROTTO",$M85)&gt;0</formula>
    </cfRule>
  </conditionalFormatting>
  <conditionalFormatting sqref="R85:S85">
    <cfRule type="expression" dxfId="7695" priority="1483">
      <formula>SEARCH("IN CORSO",$M85)&gt;0</formula>
    </cfRule>
    <cfRule type="expression" dxfId="7694" priority="1484">
      <formula>SEARCH("CHIUSO",$M85)&gt;0</formula>
    </cfRule>
    <cfRule type="expression" dxfId="7693" priority="1485">
      <formula>SEARCH("EMESSO",$M85)&gt;0</formula>
    </cfRule>
    <cfRule type="expression" dxfId="7692" priority="1486">
      <formula>SEARCH("RICHIESTO",$M85)&gt;0</formula>
    </cfRule>
    <cfRule type="expression" dxfId="7691" priority="1487">
      <formula>SEARCH("DA CHIUDERE",$M85)&gt;0</formula>
    </cfRule>
    <cfRule type="expression" dxfId="7690" priority="1488">
      <formula>SEARCH("INTERROTTO",$M85)&gt;0</formula>
    </cfRule>
  </conditionalFormatting>
  <conditionalFormatting sqref="M85">
    <cfRule type="expression" dxfId="7689" priority="1477">
      <formula>SEARCH("IN CORSO",$M85)&gt;0</formula>
    </cfRule>
    <cfRule type="expression" dxfId="7688" priority="1478">
      <formula>SEARCH("CHIUSO",$M85)&gt;0</formula>
    </cfRule>
    <cfRule type="expression" dxfId="7687" priority="1479">
      <formula>SEARCH("EMESSO",$M85)&gt;0</formula>
    </cfRule>
    <cfRule type="expression" dxfId="7686" priority="1480">
      <formula>SEARCH("RICHIESTO",$M85)&gt;0</formula>
    </cfRule>
    <cfRule type="expression" dxfId="7685" priority="1481">
      <formula>SEARCH("DA CHIUDERE",$M85)&gt;0</formula>
    </cfRule>
    <cfRule type="expression" dxfId="7684" priority="1482">
      <formula>SEARCH("INTERROTTO",$M85)&gt;0</formula>
    </cfRule>
  </conditionalFormatting>
  <conditionalFormatting sqref="E84:G84 N84:Q84">
    <cfRule type="expression" dxfId="7683" priority="1471">
      <formula>SEARCH("IN CORSO",$M84)&gt;0</formula>
    </cfRule>
    <cfRule type="expression" dxfId="7682" priority="1472">
      <formula>SEARCH("CHIUSO",$M84)&gt;0</formula>
    </cfRule>
    <cfRule type="expression" dxfId="7681" priority="1473">
      <formula>SEARCH("EMESSO",$M84)&gt;0</formula>
    </cfRule>
    <cfRule type="expression" dxfId="7680" priority="1474">
      <formula>SEARCH("RICHIESTO",$M84)&gt;0</formula>
    </cfRule>
    <cfRule type="expression" dxfId="7679" priority="1475">
      <formula>SEARCH("DA CHIUDERE",$M84)&gt;0</formula>
    </cfRule>
    <cfRule type="expression" dxfId="7678" priority="1476">
      <formula>SEARCH("INTERROTTO",$M84)&gt;0</formula>
    </cfRule>
  </conditionalFormatting>
  <conditionalFormatting sqref="R84:S84">
    <cfRule type="expression" dxfId="7677" priority="1465">
      <formula>SEARCH("IN CORSO",$M84)&gt;0</formula>
    </cfRule>
    <cfRule type="expression" dxfId="7676" priority="1466">
      <formula>SEARCH("CHIUSO",$M84)&gt;0</formula>
    </cfRule>
    <cfRule type="expression" dxfId="7675" priority="1467">
      <formula>SEARCH("EMESSO",$M84)&gt;0</formula>
    </cfRule>
    <cfRule type="expression" dxfId="7674" priority="1468">
      <formula>SEARCH("RICHIESTO",$M84)&gt;0</formula>
    </cfRule>
    <cfRule type="expression" dxfId="7673" priority="1469">
      <formula>SEARCH("DA CHIUDERE",$M84)&gt;0</formula>
    </cfRule>
    <cfRule type="expression" dxfId="7672" priority="1470">
      <formula>SEARCH("INTERROTTO",$M84)&gt;0</formula>
    </cfRule>
  </conditionalFormatting>
  <conditionalFormatting sqref="M84">
    <cfRule type="expression" dxfId="7671" priority="1459">
      <formula>SEARCH("IN CORSO",$M84)&gt;0</formula>
    </cfRule>
    <cfRule type="expression" dxfId="7670" priority="1460">
      <formula>SEARCH("CHIUSO",$M84)&gt;0</formula>
    </cfRule>
    <cfRule type="expression" dxfId="7669" priority="1461">
      <formula>SEARCH("EMESSO",$M84)&gt;0</formula>
    </cfRule>
    <cfRule type="expression" dxfId="7668" priority="1462">
      <formula>SEARCH("RICHIESTO",$M84)&gt;0</formula>
    </cfRule>
    <cfRule type="expression" dxfId="7667" priority="1463">
      <formula>SEARCH("DA CHIUDERE",$M84)&gt;0</formula>
    </cfRule>
    <cfRule type="expression" dxfId="7666" priority="1464">
      <formula>SEARCH("INTERROTTO",$M84)&gt;0</formula>
    </cfRule>
  </conditionalFormatting>
  <conditionalFormatting sqref="E83:G83 N83:Q83">
    <cfRule type="expression" dxfId="7665" priority="1435">
      <formula>SEARCH("IN CORSO",$M83)&gt;0</formula>
    </cfRule>
    <cfRule type="expression" dxfId="7664" priority="1436">
      <formula>SEARCH("CHIUSO",$M83)&gt;0</formula>
    </cfRule>
    <cfRule type="expression" dxfId="7663" priority="1437">
      <formula>SEARCH("EMESSO",$M83)&gt;0</formula>
    </cfRule>
    <cfRule type="expression" dxfId="7662" priority="1438">
      <formula>SEARCH("RICHIESTO",$M83)&gt;0</formula>
    </cfRule>
    <cfRule type="expression" dxfId="7661" priority="1439">
      <formula>SEARCH("DA CHIUDERE",$M83)&gt;0</formula>
    </cfRule>
    <cfRule type="expression" dxfId="7660" priority="1440">
      <formula>SEARCH("INTERROTTO",$M83)&gt;0</formula>
    </cfRule>
  </conditionalFormatting>
  <conditionalFormatting sqref="R83:S83">
    <cfRule type="expression" dxfId="7659" priority="1429">
      <formula>SEARCH("IN CORSO",$M83)&gt;0</formula>
    </cfRule>
    <cfRule type="expression" dxfId="7658" priority="1430">
      <formula>SEARCH("CHIUSO",$M83)&gt;0</formula>
    </cfRule>
    <cfRule type="expression" dxfId="7657" priority="1431">
      <formula>SEARCH("EMESSO",$M83)&gt;0</formula>
    </cfRule>
    <cfRule type="expression" dxfId="7656" priority="1432">
      <formula>SEARCH("RICHIESTO",$M83)&gt;0</formula>
    </cfRule>
    <cfRule type="expression" dxfId="7655" priority="1433">
      <formula>SEARCH("DA CHIUDERE",$M83)&gt;0</formula>
    </cfRule>
    <cfRule type="expression" dxfId="7654" priority="1434">
      <formula>SEARCH("INTERROTTO",$M83)&gt;0</formula>
    </cfRule>
  </conditionalFormatting>
  <conditionalFormatting sqref="M83">
    <cfRule type="expression" dxfId="7653" priority="1423">
      <formula>SEARCH("IN CORSO",$M83)&gt;0</formula>
    </cfRule>
    <cfRule type="expression" dxfId="7652" priority="1424">
      <formula>SEARCH("CHIUSO",$M83)&gt;0</formula>
    </cfRule>
    <cfRule type="expression" dxfId="7651" priority="1425">
      <formula>SEARCH("EMESSO",$M83)&gt;0</formula>
    </cfRule>
    <cfRule type="expression" dxfId="7650" priority="1426">
      <formula>SEARCH("RICHIESTO",$M83)&gt;0</formula>
    </cfRule>
    <cfRule type="expression" dxfId="7649" priority="1427">
      <formula>SEARCH("DA CHIUDERE",$M83)&gt;0</formula>
    </cfRule>
    <cfRule type="expression" dxfId="7648" priority="1428">
      <formula>SEARCH("INTERROTTO",$M83)&gt;0</formula>
    </cfRule>
  </conditionalFormatting>
  <conditionalFormatting sqref="E82:G82 N82:Q82">
    <cfRule type="expression" dxfId="7647" priority="1417">
      <formula>SEARCH("IN CORSO",$M82)&gt;0</formula>
    </cfRule>
    <cfRule type="expression" dxfId="7646" priority="1418">
      <formula>SEARCH("CHIUSO",$M82)&gt;0</formula>
    </cfRule>
    <cfRule type="expression" dxfId="7645" priority="1419">
      <formula>SEARCH("EMESSO",$M82)&gt;0</formula>
    </cfRule>
    <cfRule type="expression" dxfId="7644" priority="1420">
      <formula>SEARCH("RICHIESTO",$M82)&gt;0</formula>
    </cfRule>
    <cfRule type="expression" dxfId="7643" priority="1421">
      <formula>SEARCH("DA CHIUDERE",$M82)&gt;0</formula>
    </cfRule>
    <cfRule type="expression" dxfId="7642" priority="1422">
      <formula>SEARCH("INTERROTTO",$M82)&gt;0</formula>
    </cfRule>
  </conditionalFormatting>
  <conditionalFormatting sqref="R82:S82">
    <cfRule type="expression" dxfId="7641" priority="1411">
      <formula>SEARCH("IN CORSO",$M82)&gt;0</formula>
    </cfRule>
    <cfRule type="expression" dxfId="7640" priority="1412">
      <formula>SEARCH("CHIUSO",$M82)&gt;0</formula>
    </cfRule>
    <cfRule type="expression" dxfId="7639" priority="1413">
      <formula>SEARCH("EMESSO",$M82)&gt;0</formula>
    </cfRule>
    <cfRule type="expression" dxfId="7638" priority="1414">
      <formula>SEARCH("RICHIESTO",$M82)&gt;0</formula>
    </cfRule>
    <cfRule type="expression" dxfId="7637" priority="1415">
      <formula>SEARCH("DA CHIUDERE",$M82)&gt;0</formula>
    </cfRule>
    <cfRule type="expression" dxfId="7636" priority="1416">
      <formula>SEARCH("INTERROTTO",$M82)&gt;0</formula>
    </cfRule>
  </conditionalFormatting>
  <conditionalFormatting sqref="M82">
    <cfRule type="expression" dxfId="7635" priority="1405">
      <formula>SEARCH("IN CORSO",$M82)&gt;0</formula>
    </cfRule>
    <cfRule type="expression" dxfId="7634" priority="1406">
      <formula>SEARCH("CHIUSO",$M82)&gt;0</formula>
    </cfRule>
    <cfRule type="expression" dxfId="7633" priority="1407">
      <formula>SEARCH("EMESSO",$M82)&gt;0</formula>
    </cfRule>
    <cfRule type="expression" dxfId="7632" priority="1408">
      <formula>SEARCH("RICHIESTO",$M82)&gt;0</formula>
    </cfRule>
    <cfRule type="expression" dxfId="7631" priority="1409">
      <formula>SEARCH("DA CHIUDERE",$M82)&gt;0</formula>
    </cfRule>
    <cfRule type="expression" dxfId="7630" priority="1410">
      <formula>SEARCH("INTERROTTO",$M82)&gt;0</formula>
    </cfRule>
  </conditionalFormatting>
  <conditionalFormatting sqref="E81:G81 N81:Q81">
    <cfRule type="expression" dxfId="7629" priority="1399">
      <formula>SEARCH("IN CORSO",$M81)&gt;0</formula>
    </cfRule>
    <cfRule type="expression" dxfId="7628" priority="1400">
      <formula>SEARCH("CHIUSO",$M81)&gt;0</formula>
    </cfRule>
    <cfRule type="expression" dxfId="7627" priority="1401">
      <formula>SEARCH("EMESSO",$M81)&gt;0</formula>
    </cfRule>
    <cfRule type="expression" dxfId="7626" priority="1402">
      <formula>SEARCH("RICHIESTO",$M81)&gt;0</formula>
    </cfRule>
    <cfRule type="expression" dxfId="7625" priority="1403">
      <formula>SEARCH("DA CHIUDERE",$M81)&gt;0</formula>
    </cfRule>
    <cfRule type="expression" dxfId="7624" priority="1404">
      <formula>SEARCH("INTERROTTO",$M81)&gt;0</formula>
    </cfRule>
  </conditionalFormatting>
  <conditionalFormatting sqref="R81:S81">
    <cfRule type="expression" dxfId="7623" priority="1393">
      <formula>SEARCH("IN CORSO",$M81)&gt;0</formula>
    </cfRule>
    <cfRule type="expression" dxfId="7622" priority="1394">
      <formula>SEARCH("CHIUSO",$M81)&gt;0</formula>
    </cfRule>
    <cfRule type="expression" dxfId="7621" priority="1395">
      <formula>SEARCH("EMESSO",$M81)&gt;0</formula>
    </cfRule>
    <cfRule type="expression" dxfId="7620" priority="1396">
      <formula>SEARCH("RICHIESTO",$M81)&gt;0</formula>
    </cfRule>
    <cfRule type="expression" dxfId="7619" priority="1397">
      <formula>SEARCH("DA CHIUDERE",$M81)&gt;0</formula>
    </cfRule>
    <cfRule type="expression" dxfId="7618" priority="1398">
      <formula>SEARCH("INTERROTTO",$M81)&gt;0</formula>
    </cfRule>
  </conditionalFormatting>
  <conditionalFormatting sqref="M81">
    <cfRule type="expression" dxfId="7617" priority="1387">
      <formula>SEARCH("IN CORSO",$M81)&gt;0</formula>
    </cfRule>
    <cfRule type="expression" dxfId="7616" priority="1388">
      <formula>SEARCH("CHIUSO",$M81)&gt;0</formula>
    </cfRule>
    <cfRule type="expression" dxfId="7615" priority="1389">
      <formula>SEARCH("EMESSO",$M81)&gt;0</formula>
    </cfRule>
    <cfRule type="expression" dxfId="7614" priority="1390">
      <formula>SEARCH("RICHIESTO",$M81)&gt;0</formula>
    </cfRule>
    <cfRule type="expression" dxfId="7613" priority="1391">
      <formula>SEARCH("DA CHIUDERE",$M81)&gt;0</formula>
    </cfRule>
    <cfRule type="expression" dxfId="7612" priority="1392">
      <formula>SEARCH("INTERROTTO",$M81)&gt;0</formula>
    </cfRule>
  </conditionalFormatting>
  <conditionalFormatting sqref="E80:G80 N80:Q80">
    <cfRule type="expression" dxfId="7611" priority="1381">
      <formula>SEARCH("IN CORSO",$M80)&gt;0</formula>
    </cfRule>
    <cfRule type="expression" dxfId="7610" priority="1382">
      <formula>SEARCH("CHIUSO",$M80)&gt;0</formula>
    </cfRule>
    <cfRule type="expression" dxfId="7609" priority="1383">
      <formula>SEARCH("EMESSO",$M80)&gt;0</formula>
    </cfRule>
    <cfRule type="expression" dxfId="7608" priority="1384">
      <formula>SEARCH("RICHIESTO",$M80)&gt;0</formula>
    </cfRule>
    <cfRule type="expression" dxfId="7607" priority="1385">
      <formula>SEARCH("DA CHIUDERE",$M80)&gt;0</formula>
    </cfRule>
    <cfRule type="expression" dxfId="7606" priority="1386">
      <formula>SEARCH("INTERROTTO",$M80)&gt;0</formula>
    </cfRule>
  </conditionalFormatting>
  <conditionalFormatting sqref="R80:S80">
    <cfRule type="expression" dxfId="7605" priority="1375">
      <formula>SEARCH("IN CORSO",$M80)&gt;0</formula>
    </cfRule>
    <cfRule type="expression" dxfId="7604" priority="1376">
      <formula>SEARCH("CHIUSO",$M80)&gt;0</formula>
    </cfRule>
    <cfRule type="expression" dxfId="7603" priority="1377">
      <formula>SEARCH("EMESSO",$M80)&gt;0</formula>
    </cfRule>
    <cfRule type="expression" dxfId="7602" priority="1378">
      <formula>SEARCH("RICHIESTO",$M80)&gt;0</formula>
    </cfRule>
    <cfRule type="expression" dxfId="7601" priority="1379">
      <formula>SEARCH("DA CHIUDERE",$M80)&gt;0</formula>
    </cfRule>
    <cfRule type="expression" dxfId="7600" priority="1380">
      <formula>SEARCH("INTERROTTO",$M80)&gt;0</formula>
    </cfRule>
  </conditionalFormatting>
  <conditionalFormatting sqref="M80">
    <cfRule type="expression" dxfId="7599" priority="1369">
      <formula>SEARCH("IN CORSO",$M80)&gt;0</formula>
    </cfRule>
    <cfRule type="expression" dxfId="7598" priority="1370">
      <formula>SEARCH("CHIUSO",$M80)&gt;0</formula>
    </cfRule>
    <cfRule type="expression" dxfId="7597" priority="1371">
      <formula>SEARCH("EMESSO",$M80)&gt;0</formula>
    </cfRule>
    <cfRule type="expression" dxfId="7596" priority="1372">
      <formula>SEARCH("RICHIESTO",$M80)&gt;0</formula>
    </cfRule>
    <cfRule type="expression" dxfId="7595" priority="1373">
      <formula>SEARCH("DA CHIUDERE",$M80)&gt;0</formula>
    </cfRule>
    <cfRule type="expression" dxfId="7594" priority="1374">
      <formula>SEARCH("INTERROTTO",$M80)&gt;0</formula>
    </cfRule>
  </conditionalFormatting>
  <conditionalFormatting sqref="E79:G79 N79:Q79">
    <cfRule type="expression" dxfId="7593" priority="1363">
      <formula>SEARCH("IN CORSO",$M79)&gt;0</formula>
    </cfRule>
    <cfRule type="expression" dxfId="7592" priority="1364">
      <formula>SEARCH("CHIUSO",$M79)&gt;0</formula>
    </cfRule>
    <cfRule type="expression" dxfId="7591" priority="1365">
      <formula>SEARCH("EMESSO",$M79)&gt;0</formula>
    </cfRule>
    <cfRule type="expression" dxfId="7590" priority="1366">
      <formula>SEARCH("RICHIESTO",$M79)&gt;0</formula>
    </cfRule>
    <cfRule type="expression" dxfId="7589" priority="1367">
      <formula>SEARCH("DA CHIUDERE",$M79)&gt;0</formula>
    </cfRule>
    <cfRule type="expression" dxfId="7588" priority="1368">
      <formula>SEARCH("INTERROTTO",$M79)&gt;0</formula>
    </cfRule>
  </conditionalFormatting>
  <conditionalFormatting sqref="R79:S79">
    <cfRule type="expression" dxfId="7587" priority="1357">
      <formula>SEARCH("IN CORSO",$M79)&gt;0</formula>
    </cfRule>
    <cfRule type="expression" dxfId="7586" priority="1358">
      <formula>SEARCH("CHIUSO",$M79)&gt;0</formula>
    </cfRule>
    <cfRule type="expression" dxfId="7585" priority="1359">
      <formula>SEARCH("EMESSO",$M79)&gt;0</formula>
    </cfRule>
    <cfRule type="expression" dxfId="7584" priority="1360">
      <formula>SEARCH("RICHIESTO",$M79)&gt;0</formula>
    </cfRule>
    <cfRule type="expression" dxfId="7583" priority="1361">
      <formula>SEARCH("DA CHIUDERE",$M79)&gt;0</formula>
    </cfRule>
    <cfRule type="expression" dxfId="7582" priority="1362">
      <formula>SEARCH("INTERROTTO",$M79)&gt;0</formula>
    </cfRule>
  </conditionalFormatting>
  <conditionalFormatting sqref="M79">
    <cfRule type="expression" dxfId="7581" priority="1351">
      <formula>SEARCH("IN CORSO",$M79)&gt;0</formula>
    </cfRule>
    <cfRule type="expression" dxfId="7580" priority="1352">
      <formula>SEARCH("CHIUSO",$M79)&gt;0</formula>
    </cfRule>
    <cfRule type="expression" dxfId="7579" priority="1353">
      <formula>SEARCH("EMESSO",$M79)&gt;0</formula>
    </cfRule>
    <cfRule type="expression" dxfId="7578" priority="1354">
      <formula>SEARCH("RICHIESTO",$M79)&gt;0</formula>
    </cfRule>
    <cfRule type="expression" dxfId="7577" priority="1355">
      <formula>SEARCH("DA CHIUDERE",$M79)&gt;0</formula>
    </cfRule>
    <cfRule type="expression" dxfId="7576" priority="1356">
      <formula>SEARCH("INTERROTTO",$M79)&gt;0</formula>
    </cfRule>
  </conditionalFormatting>
  <conditionalFormatting sqref="E78:G78 N78:Q78">
    <cfRule type="expression" dxfId="7575" priority="1345">
      <formula>SEARCH("IN CORSO",$M78)&gt;0</formula>
    </cfRule>
    <cfRule type="expression" dxfId="7574" priority="1346">
      <formula>SEARCH("CHIUSO",$M78)&gt;0</formula>
    </cfRule>
    <cfRule type="expression" dxfId="7573" priority="1347">
      <formula>SEARCH("EMESSO",$M78)&gt;0</formula>
    </cfRule>
    <cfRule type="expression" dxfId="7572" priority="1348">
      <formula>SEARCH("RICHIESTO",$M78)&gt;0</formula>
    </cfRule>
    <cfRule type="expression" dxfId="7571" priority="1349">
      <formula>SEARCH("DA CHIUDERE",$M78)&gt;0</formula>
    </cfRule>
    <cfRule type="expression" dxfId="7570" priority="1350">
      <formula>SEARCH("INTERROTTO",$M78)&gt;0</formula>
    </cfRule>
  </conditionalFormatting>
  <conditionalFormatting sqref="R78:S78">
    <cfRule type="expression" dxfId="7569" priority="1339">
      <formula>SEARCH("IN CORSO",$M78)&gt;0</formula>
    </cfRule>
    <cfRule type="expression" dxfId="7568" priority="1340">
      <formula>SEARCH("CHIUSO",$M78)&gt;0</formula>
    </cfRule>
    <cfRule type="expression" dxfId="7567" priority="1341">
      <formula>SEARCH("EMESSO",$M78)&gt;0</formula>
    </cfRule>
    <cfRule type="expression" dxfId="7566" priority="1342">
      <formula>SEARCH("RICHIESTO",$M78)&gt;0</formula>
    </cfRule>
    <cfRule type="expression" dxfId="7565" priority="1343">
      <formula>SEARCH("DA CHIUDERE",$M78)&gt;0</formula>
    </cfRule>
    <cfRule type="expression" dxfId="7564" priority="1344">
      <formula>SEARCH("INTERROTTO",$M78)&gt;0</formula>
    </cfRule>
  </conditionalFormatting>
  <conditionalFormatting sqref="M78">
    <cfRule type="expression" dxfId="7563" priority="1333">
      <formula>SEARCH("IN CORSO",$M78)&gt;0</formula>
    </cfRule>
    <cfRule type="expression" dxfId="7562" priority="1334">
      <formula>SEARCH("CHIUSO",$M78)&gt;0</formula>
    </cfRule>
    <cfRule type="expression" dxfId="7561" priority="1335">
      <formula>SEARCH("EMESSO",$M78)&gt;0</formula>
    </cfRule>
    <cfRule type="expression" dxfId="7560" priority="1336">
      <formula>SEARCH("RICHIESTO",$M78)&gt;0</formula>
    </cfRule>
    <cfRule type="expression" dxfId="7559" priority="1337">
      <formula>SEARCH("DA CHIUDERE",$M78)&gt;0</formula>
    </cfRule>
    <cfRule type="expression" dxfId="7558" priority="1338">
      <formula>SEARCH("INTERROTTO",$M78)&gt;0</formula>
    </cfRule>
  </conditionalFormatting>
  <conditionalFormatting sqref="E77:G77 N77:Q77">
    <cfRule type="expression" dxfId="7557" priority="1327">
      <formula>SEARCH("IN CORSO",$M77)&gt;0</formula>
    </cfRule>
    <cfRule type="expression" dxfId="7556" priority="1328">
      <formula>SEARCH("CHIUSO",$M77)&gt;0</formula>
    </cfRule>
    <cfRule type="expression" dxfId="7555" priority="1329">
      <formula>SEARCH("EMESSO",$M77)&gt;0</formula>
    </cfRule>
    <cfRule type="expression" dxfId="7554" priority="1330">
      <formula>SEARCH("RICHIESTO",$M77)&gt;0</formula>
    </cfRule>
    <cfRule type="expression" dxfId="7553" priority="1331">
      <formula>SEARCH("DA CHIUDERE",$M77)&gt;0</formula>
    </cfRule>
    <cfRule type="expression" dxfId="7552" priority="1332">
      <formula>SEARCH("INTERROTTO",$M77)&gt;0</formula>
    </cfRule>
  </conditionalFormatting>
  <conditionalFormatting sqref="R77:S77">
    <cfRule type="expression" dxfId="7551" priority="1321">
      <formula>SEARCH("IN CORSO",$M77)&gt;0</formula>
    </cfRule>
    <cfRule type="expression" dxfId="7550" priority="1322">
      <formula>SEARCH("CHIUSO",$M77)&gt;0</formula>
    </cfRule>
    <cfRule type="expression" dxfId="7549" priority="1323">
      <formula>SEARCH("EMESSO",$M77)&gt;0</formula>
    </cfRule>
    <cfRule type="expression" dxfId="7548" priority="1324">
      <formula>SEARCH("RICHIESTO",$M77)&gt;0</formula>
    </cfRule>
    <cfRule type="expression" dxfId="7547" priority="1325">
      <formula>SEARCH("DA CHIUDERE",$M77)&gt;0</formula>
    </cfRule>
    <cfRule type="expression" dxfId="7546" priority="1326">
      <formula>SEARCH("INTERROTTO",$M77)&gt;0</formula>
    </cfRule>
  </conditionalFormatting>
  <conditionalFormatting sqref="M77">
    <cfRule type="expression" dxfId="7545" priority="1315">
      <formula>SEARCH("IN CORSO",$M77)&gt;0</formula>
    </cfRule>
    <cfRule type="expression" dxfId="7544" priority="1316">
      <formula>SEARCH("CHIUSO",$M77)&gt;0</formula>
    </cfRule>
    <cfRule type="expression" dxfId="7543" priority="1317">
      <formula>SEARCH("EMESSO",$M77)&gt;0</formula>
    </cfRule>
    <cfRule type="expression" dxfId="7542" priority="1318">
      <formula>SEARCH("RICHIESTO",$M77)&gt;0</formula>
    </cfRule>
    <cfRule type="expression" dxfId="7541" priority="1319">
      <formula>SEARCH("DA CHIUDERE",$M77)&gt;0</formula>
    </cfRule>
    <cfRule type="expression" dxfId="7540" priority="1320">
      <formula>SEARCH("INTERROTTO",$M77)&gt;0</formula>
    </cfRule>
  </conditionalFormatting>
  <conditionalFormatting sqref="E76:G76 N76:Q76">
    <cfRule type="expression" dxfId="7539" priority="1309">
      <formula>SEARCH("IN CORSO",$M76)&gt;0</formula>
    </cfRule>
    <cfRule type="expression" dxfId="7538" priority="1310">
      <formula>SEARCH("CHIUSO",$M76)&gt;0</formula>
    </cfRule>
    <cfRule type="expression" dxfId="7537" priority="1311">
      <formula>SEARCH("EMESSO",$M76)&gt;0</formula>
    </cfRule>
    <cfRule type="expression" dxfId="7536" priority="1312">
      <formula>SEARCH("RICHIESTO",$M76)&gt;0</formula>
    </cfRule>
    <cfRule type="expression" dxfId="7535" priority="1313">
      <formula>SEARCH("DA CHIUDERE",$M76)&gt;0</formula>
    </cfRule>
    <cfRule type="expression" dxfId="7534" priority="1314">
      <formula>SEARCH("INTERROTTO",$M76)&gt;0</formula>
    </cfRule>
  </conditionalFormatting>
  <conditionalFormatting sqref="R76:S76">
    <cfRule type="expression" dxfId="7533" priority="1303">
      <formula>SEARCH("IN CORSO",$M76)&gt;0</formula>
    </cfRule>
    <cfRule type="expression" dxfId="7532" priority="1304">
      <formula>SEARCH("CHIUSO",$M76)&gt;0</formula>
    </cfRule>
    <cfRule type="expression" dxfId="7531" priority="1305">
      <formula>SEARCH("EMESSO",$M76)&gt;0</formula>
    </cfRule>
    <cfRule type="expression" dxfId="7530" priority="1306">
      <formula>SEARCH("RICHIESTO",$M76)&gt;0</formula>
    </cfRule>
    <cfRule type="expression" dxfId="7529" priority="1307">
      <formula>SEARCH("DA CHIUDERE",$M76)&gt;0</formula>
    </cfRule>
    <cfRule type="expression" dxfId="7528" priority="1308">
      <formula>SEARCH("INTERROTTO",$M76)&gt;0</formula>
    </cfRule>
  </conditionalFormatting>
  <conditionalFormatting sqref="M76">
    <cfRule type="expression" dxfId="7527" priority="1297">
      <formula>SEARCH("IN CORSO",$M76)&gt;0</formula>
    </cfRule>
    <cfRule type="expression" dxfId="7526" priority="1298">
      <formula>SEARCH("CHIUSO",$M76)&gt;0</formula>
    </cfRule>
    <cfRule type="expression" dxfId="7525" priority="1299">
      <formula>SEARCH("EMESSO",$M76)&gt;0</formula>
    </cfRule>
    <cfRule type="expression" dxfId="7524" priority="1300">
      <formula>SEARCH("RICHIESTO",$M76)&gt;0</formula>
    </cfRule>
    <cfRule type="expression" dxfId="7523" priority="1301">
      <formula>SEARCH("DA CHIUDERE",$M76)&gt;0</formula>
    </cfRule>
    <cfRule type="expression" dxfId="7522" priority="1302">
      <formula>SEARCH("INTERROTTO",$M76)&gt;0</formula>
    </cfRule>
  </conditionalFormatting>
  <conditionalFormatting sqref="E75:G75 N75:Q75">
    <cfRule type="expression" dxfId="7521" priority="1291">
      <formula>SEARCH("IN CORSO",$M75)&gt;0</formula>
    </cfRule>
    <cfRule type="expression" dxfId="7520" priority="1292">
      <formula>SEARCH("CHIUSO",$M75)&gt;0</formula>
    </cfRule>
    <cfRule type="expression" dxfId="7519" priority="1293">
      <formula>SEARCH("EMESSO",$M75)&gt;0</formula>
    </cfRule>
    <cfRule type="expression" dxfId="7518" priority="1294">
      <formula>SEARCH("RICHIESTO",$M75)&gt;0</formula>
    </cfRule>
    <cfRule type="expression" dxfId="7517" priority="1295">
      <formula>SEARCH("DA CHIUDERE",$M75)&gt;0</formula>
    </cfRule>
    <cfRule type="expression" dxfId="7516" priority="1296">
      <formula>SEARCH("INTERROTTO",$M75)&gt;0</formula>
    </cfRule>
  </conditionalFormatting>
  <conditionalFormatting sqref="R75:S75">
    <cfRule type="expression" dxfId="7515" priority="1285">
      <formula>SEARCH("IN CORSO",$M75)&gt;0</formula>
    </cfRule>
    <cfRule type="expression" dxfId="7514" priority="1286">
      <formula>SEARCH("CHIUSO",$M75)&gt;0</formula>
    </cfRule>
    <cfRule type="expression" dxfId="7513" priority="1287">
      <formula>SEARCH("EMESSO",$M75)&gt;0</formula>
    </cfRule>
    <cfRule type="expression" dxfId="7512" priority="1288">
      <formula>SEARCH("RICHIESTO",$M75)&gt;0</formula>
    </cfRule>
    <cfRule type="expression" dxfId="7511" priority="1289">
      <formula>SEARCH("DA CHIUDERE",$M75)&gt;0</formula>
    </cfRule>
    <cfRule type="expression" dxfId="7510" priority="1290">
      <formula>SEARCH("INTERROTTO",$M75)&gt;0</formula>
    </cfRule>
  </conditionalFormatting>
  <conditionalFormatting sqref="M75">
    <cfRule type="expression" dxfId="7509" priority="1279">
      <formula>SEARCH("IN CORSO",$M75)&gt;0</formula>
    </cfRule>
    <cfRule type="expression" dxfId="7508" priority="1280">
      <formula>SEARCH("CHIUSO",$M75)&gt;0</formula>
    </cfRule>
    <cfRule type="expression" dxfId="7507" priority="1281">
      <formula>SEARCH("EMESSO",$M75)&gt;0</formula>
    </cfRule>
    <cfRule type="expression" dxfId="7506" priority="1282">
      <formula>SEARCH("RICHIESTO",$M75)&gt;0</formula>
    </cfRule>
    <cfRule type="expression" dxfId="7505" priority="1283">
      <formula>SEARCH("DA CHIUDERE",$M75)&gt;0</formula>
    </cfRule>
    <cfRule type="expression" dxfId="7504" priority="1284">
      <formula>SEARCH("INTERROTTO",$M75)&gt;0</formula>
    </cfRule>
  </conditionalFormatting>
  <conditionalFormatting sqref="E74:G74 N74:Q74">
    <cfRule type="expression" dxfId="7503" priority="1273">
      <formula>SEARCH("IN CORSO",$M74)&gt;0</formula>
    </cfRule>
    <cfRule type="expression" dxfId="7502" priority="1274">
      <formula>SEARCH("CHIUSO",$M74)&gt;0</formula>
    </cfRule>
    <cfRule type="expression" dxfId="7501" priority="1275">
      <formula>SEARCH("EMESSO",$M74)&gt;0</formula>
    </cfRule>
    <cfRule type="expression" dxfId="7500" priority="1276">
      <formula>SEARCH("RICHIESTO",$M74)&gt;0</formula>
    </cfRule>
    <cfRule type="expression" dxfId="7499" priority="1277">
      <formula>SEARCH("DA CHIUDERE",$M74)&gt;0</formula>
    </cfRule>
    <cfRule type="expression" dxfId="7498" priority="1278">
      <formula>SEARCH("INTERROTTO",$M74)&gt;0</formula>
    </cfRule>
  </conditionalFormatting>
  <conditionalFormatting sqref="R74:S74">
    <cfRule type="expression" dxfId="7497" priority="1267">
      <formula>SEARCH("IN CORSO",$M74)&gt;0</formula>
    </cfRule>
    <cfRule type="expression" dxfId="7496" priority="1268">
      <formula>SEARCH("CHIUSO",$M74)&gt;0</formula>
    </cfRule>
    <cfRule type="expression" dxfId="7495" priority="1269">
      <formula>SEARCH("EMESSO",$M74)&gt;0</formula>
    </cfRule>
    <cfRule type="expression" dxfId="7494" priority="1270">
      <formula>SEARCH("RICHIESTO",$M74)&gt;0</formula>
    </cfRule>
    <cfRule type="expression" dxfId="7493" priority="1271">
      <formula>SEARCH("DA CHIUDERE",$M74)&gt;0</formula>
    </cfRule>
    <cfRule type="expression" dxfId="7492" priority="1272">
      <formula>SEARCH("INTERROTTO",$M74)&gt;0</formula>
    </cfRule>
  </conditionalFormatting>
  <conditionalFormatting sqref="M74">
    <cfRule type="expression" dxfId="7491" priority="1261">
      <formula>SEARCH("IN CORSO",$M74)&gt;0</formula>
    </cfRule>
    <cfRule type="expression" dxfId="7490" priority="1262">
      <formula>SEARCH("CHIUSO",$M74)&gt;0</formula>
    </cfRule>
    <cfRule type="expression" dxfId="7489" priority="1263">
      <formula>SEARCH("EMESSO",$M74)&gt;0</formula>
    </cfRule>
    <cfRule type="expression" dxfId="7488" priority="1264">
      <formula>SEARCH("RICHIESTO",$M74)&gt;0</formula>
    </cfRule>
    <cfRule type="expression" dxfId="7487" priority="1265">
      <formula>SEARCH("DA CHIUDERE",$M74)&gt;0</formula>
    </cfRule>
    <cfRule type="expression" dxfId="7486" priority="1266">
      <formula>SEARCH("INTERROTTO",$M74)&gt;0</formula>
    </cfRule>
  </conditionalFormatting>
  <conditionalFormatting sqref="E73:G73 N73:Q73">
    <cfRule type="expression" dxfId="7485" priority="1255">
      <formula>SEARCH("IN CORSO",$M73)&gt;0</formula>
    </cfRule>
    <cfRule type="expression" dxfId="7484" priority="1256">
      <formula>SEARCH("CHIUSO",$M73)&gt;0</formula>
    </cfRule>
    <cfRule type="expression" dxfId="7483" priority="1257">
      <formula>SEARCH("EMESSO",$M73)&gt;0</formula>
    </cfRule>
    <cfRule type="expression" dxfId="7482" priority="1258">
      <formula>SEARCH("RICHIESTO",$M73)&gt;0</formula>
    </cfRule>
    <cfRule type="expression" dxfId="7481" priority="1259">
      <formula>SEARCH("DA CHIUDERE",$M73)&gt;0</formula>
    </cfRule>
    <cfRule type="expression" dxfId="7480" priority="1260">
      <formula>SEARCH("INTERROTTO",$M73)&gt;0</formula>
    </cfRule>
  </conditionalFormatting>
  <conditionalFormatting sqref="R73:S73">
    <cfRule type="expression" dxfId="7479" priority="1249">
      <formula>SEARCH("IN CORSO",$M73)&gt;0</formula>
    </cfRule>
    <cfRule type="expression" dxfId="7478" priority="1250">
      <formula>SEARCH("CHIUSO",$M73)&gt;0</formula>
    </cfRule>
    <cfRule type="expression" dxfId="7477" priority="1251">
      <formula>SEARCH("EMESSO",$M73)&gt;0</formula>
    </cfRule>
    <cfRule type="expression" dxfId="7476" priority="1252">
      <formula>SEARCH("RICHIESTO",$M73)&gt;0</formula>
    </cfRule>
    <cfRule type="expression" dxfId="7475" priority="1253">
      <formula>SEARCH("DA CHIUDERE",$M73)&gt;0</formula>
    </cfRule>
    <cfRule type="expression" dxfId="7474" priority="1254">
      <formula>SEARCH("INTERROTTO",$M73)&gt;0</formula>
    </cfRule>
  </conditionalFormatting>
  <conditionalFormatting sqref="M73">
    <cfRule type="expression" dxfId="7473" priority="1243">
      <formula>SEARCH("IN CORSO",$M73)&gt;0</formula>
    </cfRule>
    <cfRule type="expression" dxfId="7472" priority="1244">
      <formula>SEARCH("CHIUSO",$M73)&gt;0</formula>
    </cfRule>
    <cfRule type="expression" dxfId="7471" priority="1245">
      <formula>SEARCH("EMESSO",$M73)&gt;0</formula>
    </cfRule>
    <cfRule type="expression" dxfId="7470" priority="1246">
      <formula>SEARCH("RICHIESTO",$M73)&gt;0</formula>
    </cfRule>
    <cfRule type="expression" dxfId="7469" priority="1247">
      <formula>SEARCH("DA CHIUDERE",$M73)&gt;0</formula>
    </cfRule>
    <cfRule type="expression" dxfId="7468" priority="1248">
      <formula>SEARCH("INTERROTTO",$M73)&gt;0</formula>
    </cfRule>
  </conditionalFormatting>
  <conditionalFormatting sqref="E72:G72 N72:Q72">
    <cfRule type="expression" dxfId="7467" priority="1237">
      <formula>SEARCH("IN CORSO",$M72)&gt;0</formula>
    </cfRule>
    <cfRule type="expression" dxfId="7466" priority="1238">
      <formula>SEARCH("CHIUSO",$M72)&gt;0</formula>
    </cfRule>
    <cfRule type="expression" dxfId="7465" priority="1239">
      <formula>SEARCH("EMESSO",$M72)&gt;0</formula>
    </cfRule>
    <cfRule type="expression" dxfId="7464" priority="1240">
      <formula>SEARCH("RICHIESTO",$M72)&gt;0</formula>
    </cfRule>
    <cfRule type="expression" dxfId="7463" priority="1241">
      <formula>SEARCH("DA CHIUDERE",$M72)&gt;0</formula>
    </cfRule>
    <cfRule type="expression" dxfId="7462" priority="1242">
      <formula>SEARCH("INTERROTTO",$M72)&gt;0</formula>
    </cfRule>
  </conditionalFormatting>
  <conditionalFormatting sqref="R72:S72">
    <cfRule type="expression" dxfId="7461" priority="1231">
      <formula>SEARCH("IN CORSO",$M72)&gt;0</formula>
    </cfRule>
    <cfRule type="expression" dxfId="7460" priority="1232">
      <formula>SEARCH("CHIUSO",$M72)&gt;0</formula>
    </cfRule>
    <cfRule type="expression" dxfId="7459" priority="1233">
      <formula>SEARCH("EMESSO",$M72)&gt;0</formula>
    </cfRule>
    <cfRule type="expression" dxfId="7458" priority="1234">
      <formula>SEARCH("RICHIESTO",$M72)&gt;0</formula>
    </cfRule>
    <cfRule type="expression" dxfId="7457" priority="1235">
      <formula>SEARCH("DA CHIUDERE",$M72)&gt;0</formula>
    </cfRule>
    <cfRule type="expression" dxfId="7456" priority="1236">
      <formula>SEARCH("INTERROTTO",$M72)&gt;0</formula>
    </cfRule>
  </conditionalFormatting>
  <conditionalFormatting sqref="M72">
    <cfRule type="expression" dxfId="7455" priority="1225">
      <formula>SEARCH("IN CORSO",$M72)&gt;0</formula>
    </cfRule>
    <cfRule type="expression" dxfId="7454" priority="1226">
      <formula>SEARCH("CHIUSO",$M72)&gt;0</formula>
    </cfRule>
    <cfRule type="expression" dxfId="7453" priority="1227">
      <formula>SEARCH("EMESSO",$M72)&gt;0</formula>
    </cfRule>
    <cfRule type="expression" dxfId="7452" priority="1228">
      <formula>SEARCH("RICHIESTO",$M72)&gt;0</formula>
    </cfRule>
    <cfRule type="expression" dxfId="7451" priority="1229">
      <formula>SEARCH("DA CHIUDERE",$M72)&gt;0</formula>
    </cfRule>
    <cfRule type="expression" dxfId="7450" priority="1230">
      <formula>SEARCH("INTERROTTO",$M72)&gt;0</formula>
    </cfRule>
  </conditionalFormatting>
  <conditionalFormatting sqref="E71:G71 N71:Q71">
    <cfRule type="expression" dxfId="7449" priority="1219">
      <formula>SEARCH("IN CORSO",$M71)&gt;0</formula>
    </cfRule>
    <cfRule type="expression" dxfId="7448" priority="1220">
      <formula>SEARCH("CHIUSO",$M71)&gt;0</formula>
    </cfRule>
    <cfRule type="expression" dxfId="7447" priority="1221">
      <formula>SEARCH("EMESSO",$M71)&gt;0</formula>
    </cfRule>
    <cfRule type="expression" dxfId="7446" priority="1222">
      <formula>SEARCH("RICHIESTO",$M71)&gt;0</formula>
    </cfRule>
    <cfRule type="expression" dxfId="7445" priority="1223">
      <formula>SEARCH("DA CHIUDERE",$M71)&gt;0</formula>
    </cfRule>
    <cfRule type="expression" dxfId="7444" priority="1224">
      <formula>SEARCH("INTERROTTO",$M71)&gt;0</formula>
    </cfRule>
  </conditionalFormatting>
  <conditionalFormatting sqref="R71:S71">
    <cfRule type="expression" dxfId="7443" priority="1213">
      <formula>SEARCH("IN CORSO",$M71)&gt;0</formula>
    </cfRule>
    <cfRule type="expression" dxfId="7442" priority="1214">
      <formula>SEARCH("CHIUSO",$M71)&gt;0</formula>
    </cfRule>
    <cfRule type="expression" dxfId="7441" priority="1215">
      <formula>SEARCH("EMESSO",$M71)&gt;0</formula>
    </cfRule>
    <cfRule type="expression" dxfId="7440" priority="1216">
      <formula>SEARCH("RICHIESTO",$M71)&gt;0</formula>
    </cfRule>
    <cfRule type="expression" dxfId="7439" priority="1217">
      <formula>SEARCH("DA CHIUDERE",$M71)&gt;0</formula>
    </cfRule>
    <cfRule type="expression" dxfId="7438" priority="1218">
      <formula>SEARCH("INTERROTTO",$M71)&gt;0</formula>
    </cfRule>
  </conditionalFormatting>
  <conditionalFormatting sqref="M71">
    <cfRule type="expression" dxfId="7437" priority="1207">
      <formula>SEARCH("IN CORSO",$M71)&gt;0</formula>
    </cfRule>
    <cfRule type="expression" dxfId="7436" priority="1208">
      <formula>SEARCH("CHIUSO",$M71)&gt;0</formula>
    </cfRule>
    <cfRule type="expression" dxfId="7435" priority="1209">
      <formula>SEARCH("EMESSO",$M71)&gt;0</formula>
    </cfRule>
    <cfRule type="expression" dxfId="7434" priority="1210">
      <formula>SEARCH("RICHIESTO",$M71)&gt;0</formula>
    </cfRule>
    <cfRule type="expression" dxfId="7433" priority="1211">
      <formula>SEARCH("DA CHIUDERE",$M71)&gt;0</formula>
    </cfRule>
    <cfRule type="expression" dxfId="7432" priority="1212">
      <formula>SEARCH("INTERROTTO",$M71)&gt;0</formula>
    </cfRule>
  </conditionalFormatting>
  <conditionalFormatting sqref="E70:G70 N70:Q70">
    <cfRule type="expression" dxfId="7431" priority="1201">
      <formula>SEARCH("IN CORSO",$M70)&gt;0</formula>
    </cfRule>
    <cfRule type="expression" dxfId="7430" priority="1202">
      <formula>SEARCH("CHIUSO",$M70)&gt;0</formula>
    </cfRule>
    <cfRule type="expression" dxfId="7429" priority="1203">
      <formula>SEARCH("EMESSO",$M70)&gt;0</formula>
    </cfRule>
    <cfRule type="expression" dxfId="7428" priority="1204">
      <formula>SEARCH("RICHIESTO",$M70)&gt;0</formula>
    </cfRule>
    <cfRule type="expression" dxfId="7427" priority="1205">
      <formula>SEARCH("DA CHIUDERE",$M70)&gt;0</formula>
    </cfRule>
    <cfRule type="expression" dxfId="7426" priority="1206">
      <formula>SEARCH("INTERROTTO",$M70)&gt;0</formula>
    </cfRule>
  </conditionalFormatting>
  <conditionalFormatting sqref="R70:S70">
    <cfRule type="expression" dxfId="7425" priority="1195">
      <formula>SEARCH("IN CORSO",$M70)&gt;0</formula>
    </cfRule>
    <cfRule type="expression" dxfId="7424" priority="1196">
      <formula>SEARCH("CHIUSO",$M70)&gt;0</formula>
    </cfRule>
    <cfRule type="expression" dxfId="7423" priority="1197">
      <formula>SEARCH("EMESSO",$M70)&gt;0</formula>
    </cfRule>
    <cfRule type="expression" dxfId="7422" priority="1198">
      <formula>SEARCH("RICHIESTO",$M70)&gt;0</formula>
    </cfRule>
    <cfRule type="expression" dxfId="7421" priority="1199">
      <formula>SEARCH("DA CHIUDERE",$M70)&gt;0</formula>
    </cfRule>
    <cfRule type="expression" dxfId="7420" priority="1200">
      <formula>SEARCH("INTERROTTO",$M70)&gt;0</formula>
    </cfRule>
  </conditionalFormatting>
  <conditionalFormatting sqref="M70">
    <cfRule type="expression" dxfId="7419" priority="1189">
      <formula>SEARCH("IN CORSO",$M70)&gt;0</formula>
    </cfRule>
    <cfRule type="expression" dxfId="7418" priority="1190">
      <formula>SEARCH("CHIUSO",$M70)&gt;0</formula>
    </cfRule>
    <cfRule type="expression" dxfId="7417" priority="1191">
      <formula>SEARCH("EMESSO",$M70)&gt;0</formula>
    </cfRule>
    <cfRule type="expression" dxfId="7416" priority="1192">
      <formula>SEARCH("RICHIESTO",$M70)&gt;0</formula>
    </cfRule>
    <cfRule type="expression" dxfId="7415" priority="1193">
      <formula>SEARCH("DA CHIUDERE",$M70)&gt;0</formula>
    </cfRule>
    <cfRule type="expression" dxfId="7414" priority="1194">
      <formula>SEARCH("INTERROTTO",$M70)&gt;0</formula>
    </cfRule>
  </conditionalFormatting>
  <conditionalFormatting sqref="E69:G69 N69:Q69">
    <cfRule type="expression" dxfId="7413" priority="1183">
      <formula>SEARCH("IN CORSO",$M69)&gt;0</formula>
    </cfRule>
    <cfRule type="expression" dxfId="7412" priority="1184">
      <formula>SEARCH("CHIUSO",$M69)&gt;0</formula>
    </cfRule>
    <cfRule type="expression" dxfId="7411" priority="1185">
      <formula>SEARCH("EMESSO",$M69)&gt;0</formula>
    </cfRule>
    <cfRule type="expression" dxfId="7410" priority="1186">
      <formula>SEARCH("RICHIESTO",$M69)&gt;0</formula>
    </cfRule>
    <cfRule type="expression" dxfId="7409" priority="1187">
      <formula>SEARCH("DA CHIUDERE",$M69)&gt;0</formula>
    </cfRule>
    <cfRule type="expression" dxfId="7408" priority="1188">
      <formula>SEARCH("INTERROTTO",$M69)&gt;0</formula>
    </cfRule>
  </conditionalFormatting>
  <conditionalFormatting sqref="R69:S69">
    <cfRule type="expression" dxfId="7407" priority="1177">
      <formula>SEARCH("IN CORSO",$M69)&gt;0</formula>
    </cfRule>
    <cfRule type="expression" dxfId="7406" priority="1178">
      <formula>SEARCH("CHIUSO",$M69)&gt;0</formula>
    </cfRule>
    <cfRule type="expression" dxfId="7405" priority="1179">
      <formula>SEARCH("EMESSO",$M69)&gt;0</formula>
    </cfRule>
    <cfRule type="expression" dxfId="7404" priority="1180">
      <formula>SEARCH("RICHIESTO",$M69)&gt;0</formula>
    </cfRule>
    <cfRule type="expression" dxfId="7403" priority="1181">
      <formula>SEARCH("DA CHIUDERE",$M69)&gt;0</formula>
    </cfRule>
    <cfRule type="expression" dxfId="7402" priority="1182">
      <formula>SEARCH("INTERROTTO",$M69)&gt;0</formula>
    </cfRule>
  </conditionalFormatting>
  <conditionalFormatting sqref="M69">
    <cfRule type="expression" dxfId="7401" priority="1171">
      <formula>SEARCH("IN CORSO",$M69)&gt;0</formula>
    </cfRule>
    <cfRule type="expression" dxfId="7400" priority="1172">
      <formula>SEARCH("CHIUSO",$M69)&gt;0</formula>
    </cfRule>
    <cfRule type="expression" dxfId="7399" priority="1173">
      <formula>SEARCH("EMESSO",$M69)&gt;0</formula>
    </cfRule>
    <cfRule type="expression" dxfId="7398" priority="1174">
      <formula>SEARCH("RICHIESTO",$M69)&gt;0</formula>
    </cfRule>
    <cfRule type="expression" dxfId="7397" priority="1175">
      <formula>SEARCH("DA CHIUDERE",$M69)&gt;0</formula>
    </cfRule>
    <cfRule type="expression" dxfId="7396" priority="1176">
      <formula>SEARCH("INTERROTTO",$M69)&gt;0</formula>
    </cfRule>
  </conditionalFormatting>
  <conditionalFormatting sqref="E68:G68 N68:Q68">
    <cfRule type="expression" dxfId="7395" priority="1165">
      <formula>SEARCH("IN CORSO",$M68)&gt;0</formula>
    </cfRule>
    <cfRule type="expression" dxfId="7394" priority="1166">
      <formula>SEARCH("CHIUSO",$M68)&gt;0</formula>
    </cfRule>
    <cfRule type="expression" dxfId="7393" priority="1167">
      <formula>SEARCH("EMESSO",$M68)&gt;0</formula>
    </cfRule>
    <cfRule type="expression" dxfId="7392" priority="1168">
      <formula>SEARCH("RICHIESTO",$M68)&gt;0</formula>
    </cfRule>
    <cfRule type="expression" dxfId="7391" priority="1169">
      <formula>SEARCH("DA CHIUDERE",$M68)&gt;0</formula>
    </cfRule>
    <cfRule type="expression" dxfId="7390" priority="1170">
      <formula>SEARCH("INTERROTTO",$M68)&gt;0</formula>
    </cfRule>
  </conditionalFormatting>
  <conditionalFormatting sqref="R68:S68">
    <cfRule type="expression" dxfId="7389" priority="1159">
      <formula>SEARCH("IN CORSO",$M68)&gt;0</formula>
    </cfRule>
    <cfRule type="expression" dxfId="7388" priority="1160">
      <formula>SEARCH("CHIUSO",$M68)&gt;0</formula>
    </cfRule>
    <cfRule type="expression" dxfId="7387" priority="1161">
      <formula>SEARCH("EMESSO",$M68)&gt;0</formula>
    </cfRule>
    <cfRule type="expression" dxfId="7386" priority="1162">
      <formula>SEARCH("RICHIESTO",$M68)&gt;0</formula>
    </cfRule>
    <cfRule type="expression" dxfId="7385" priority="1163">
      <formula>SEARCH("DA CHIUDERE",$M68)&gt;0</formula>
    </cfRule>
    <cfRule type="expression" dxfId="7384" priority="1164">
      <formula>SEARCH("INTERROTTO",$M68)&gt;0</formula>
    </cfRule>
  </conditionalFormatting>
  <conditionalFormatting sqref="M68">
    <cfRule type="expression" dxfId="7383" priority="1153">
      <formula>SEARCH("IN CORSO",$M68)&gt;0</formula>
    </cfRule>
    <cfRule type="expression" dxfId="7382" priority="1154">
      <formula>SEARCH("CHIUSO",$M68)&gt;0</formula>
    </cfRule>
    <cfRule type="expression" dxfId="7381" priority="1155">
      <formula>SEARCH("EMESSO",$M68)&gt;0</formula>
    </cfRule>
    <cfRule type="expression" dxfId="7380" priority="1156">
      <formula>SEARCH("RICHIESTO",$M68)&gt;0</formula>
    </cfRule>
    <cfRule type="expression" dxfId="7379" priority="1157">
      <formula>SEARCH("DA CHIUDERE",$M68)&gt;0</formula>
    </cfRule>
    <cfRule type="expression" dxfId="7378" priority="1158">
      <formula>SEARCH("INTERROTTO",$M68)&gt;0</formula>
    </cfRule>
  </conditionalFormatting>
  <conditionalFormatting sqref="E67:G67 N67:Q67">
    <cfRule type="expression" dxfId="7377" priority="1147">
      <formula>SEARCH("IN CORSO",$M67)&gt;0</formula>
    </cfRule>
    <cfRule type="expression" dxfId="7376" priority="1148">
      <formula>SEARCH("CHIUSO",$M67)&gt;0</formula>
    </cfRule>
    <cfRule type="expression" dxfId="7375" priority="1149">
      <formula>SEARCH("EMESSO",$M67)&gt;0</formula>
    </cfRule>
    <cfRule type="expression" dxfId="7374" priority="1150">
      <formula>SEARCH("RICHIESTO",$M67)&gt;0</formula>
    </cfRule>
    <cfRule type="expression" dxfId="7373" priority="1151">
      <formula>SEARCH("DA CHIUDERE",$M67)&gt;0</formula>
    </cfRule>
    <cfRule type="expression" dxfId="7372" priority="1152">
      <formula>SEARCH("INTERROTTO",$M67)&gt;0</formula>
    </cfRule>
  </conditionalFormatting>
  <conditionalFormatting sqref="R67:S67">
    <cfRule type="expression" dxfId="7371" priority="1141">
      <formula>SEARCH("IN CORSO",$M67)&gt;0</formula>
    </cfRule>
    <cfRule type="expression" dxfId="7370" priority="1142">
      <formula>SEARCH("CHIUSO",$M67)&gt;0</formula>
    </cfRule>
    <cfRule type="expression" dxfId="7369" priority="1143">
      <formula>SEARCH("EMESSO",$M67)&gt;0</formula>
    </cfRule>
    <cfRule type="expression" dxfId="7368" priority="1144">
      <formula>SEARCH("RICHIESTO",$M67)&gt;0</formula>
    </cfRule>
    <cfRule type="expression" dxfId="7367" priority="1145">
      <formula>SEARCH("DA CHIUDERE",$M67)&gt;0</formula>
    </cfRule>
    <cfRule type="expression" dxfId="7366" priority="1146">
      <formula>SEARCH("INTERROTTO",$M67)&gt;0</formula>
    </cfRule>
  </conditionalFormatting>
  <conditionalFormatting sqref="M67">
    <cfRule type="expression" dxfId="7365" priority="1135">
      <formula>SEARCH("IN CORSO",$M67)&gt;0</formula>
    </cfRule>
    <cfRule type="expression" dxfId="7364" priority="1136">
      <formula>SEARCH("CHIUSO",$M67)&gt;0</formula>
    </cfRule>
    <cfRule type="expression" dxfId="7363" priority="1137">
      <formula>SEARCH("EMESSO",$M67)&gt;0</formula>
    </cfRule>
    <cfRule type="expression" dxfId="7362" priority="1138">
      <formula>SEARCH("RICHIESTO",$M67)&gt;0</formula>
    </cfRule>
    <cfRule type="expression" dxfId="7361" priority="1139">
      <formula>SEARCH("DA CHIUDERE",$M67)&gt;0</formula>
    </cfRule>
    <cfRule type="expression" dxfId="7360" priority="1140">
      <formula>SEARCH("INTERROTTO",$M67)&gt;0</formula>
    </cfRule>
  </conditionalFormatting>
  <conditionalFormatting sqref="E66:G66 N66:Q66">
    <cfRule type="expression" dxfId="7359" priority="1129">
      <formula>SEARCH("IN CORSO",$M66)&gt;0</formula>
    </cfRule>
    <cfRule type="expression" dxfId="7358" priority="1130">
      <formula>SEARCH("CHIUSO",$M66)&gt;0</formula>
    </cfRule>
    <cfRule type="expression" dxfId="7357" priority="1131">
      <formula>SEARCH("EMESSO",$M66)&gt;0</formula>
    </cfRule>
    <cfRule type="expression" dxfId="7356" priority="1132">
      <formula>SEARCH("RICHIESTO",$M66)&gt;0</formula>
    </cfRule>
    <cfRule type="expression" dxfId="7355" priority="1133">
      <formula>SEARCH("DA CHIUDERE",$M66)&gt;0</formula>
    </cfRule>
    <cfRule type="expression" dxfId="7354" priority="1134">
      <formula>SEARCH("INTERROTTO",$M66)&gt;0</formula>
    </cfRule>
  </conditionalFormatting>
  <conditionalFormatting sqref="R66:S66">
    <cfRule type="expression" dxfId="7353" priority="1123">
      <formula>SEARCH("IN CORSO",$M66)&gt;0</formula>
    </cfRule>
    <cfRule type="expression" dxfId="7352" priority="1124">
      <formula>SEARCH("CHIUSO",$M66)&gt;0</formula>
    </cfRule>
    <cfRule type="expression" dxfId="7351" priority="1125">
      <formula>SEARCH("EMESSO",$M66)&gt;0</formula>
    </cfRule>
    <cfRule type="expression" dxfId="7350" priority="1126">
      <formula>SEARCH("RICHIESTO",$M66)&gt;0</formula>
    </cfRule>
    <cfRule type="expression" dxfId="7349" priority="1127">
      <formula>SEARCH("DA CHIUDERE",$M66)&gt;0</formula>
    </cfRule>
    <cfRule type="expression" dxfId="7348" priority="1128">
      <formula>SEARCH("INTERROTTO",$M66)&gt;0</formula>
    </cfRule>
  </conditionalFormatting>
  <conditionalFormatting sqref="M66">
    <cfRule type="expression" dxfId="7347" priority="1117">
      <formula>SEARCH("IN CORSO",$M66)&gt;0</formula>
    </cfRule>
    <cfRule type="expression" dxfId="7346" priority="1118">
      <formula>SEARCH("CHIUSO",$M66)&gt;0</formula>
    </cfRule>
    <cfRule type="expression" dxfId="7345" priority="1119">
      <formula>SEARCH("EMESSO",$M66)&gt;0</formula>
    </cfRule>
    <cfRule type="expression" dxfId="7344" priority="1120">
      <formula>SEARCH("RICHIESTO",$M66)&gt;0</formula>
    </cfRule>
    <cfRule type="expression" dxfId="7343" priority="1121">
      <formula>SEARCH("DA CHIUDERE",$M66)&gt;0</formula>
    </cfRule>
    <cfRule type="expression" dxfId="7342" priority="1122">
      <formula>SEARCH("INTERROTTO",$M66)&gt;0</formula>
    </cfRule>
  </conditionalFormatting>
  <conditionalFormatting sqref="E65:G65 N65:Q65">
    <cfRule type="expression" dxfId="7341" priority="1111">
      <formula>SEARCH("IN CORSO",$M65)&gt;0</formula>
    </cfRule>
    <cfRule type="expression" dxfId="7340" priority="1112">
      <formula>SEARCH("CHIUSO",$M65)&gt;0</formula>
    </cfRule>
    <cfRule type="expression" dxfId="7339" priority="1113">
      <formula>SEARCH("EMESSO",$M65)&gt;0</formula>
    </cfRule>
    <cfRule type="expression" dxfId="7338" priority="1114">
      <formula>SEARCH("RICHIESTO",$M65)&gt;0</formula>
    </cfRule>
    <cfRule type="expression" dxfId="7337" priority="1115">
      <formula>SEARCH("DA CHIUDERE",$M65)&gt;0</formula>
    </cfRule>
    <cfRule type="expression" dxfId="7336" priority="1116">
      <formula>SEARCH("INTERROTTO",$M65)&gt;0</formula>
    </cfRule>
  </conditionalFormatting>
  <conditionalFormatting sqref="R65:S65">
    <cfRule type="expression" dxfId="7335" priority="1105">
      <formula>SEARCH("IN CORSO",$M65)&gt;0</formula>
    </cfRule>
    <cfRule type="expression" dxfId="7334" priority="1106">
      <formula>SEARCH("CHIUSO",$M65)&gt;0</formula>
    </cfRule>
    <cfRule type="expression" dxfId="7333" priority="1107">
      <formula>SEARCH("EMESSO",$M65)&gt;0</formula>
    </cfRule>
    <cfRule type="expression" dxfId="7332" priority="1108">
      <formula>SEARCH("RICHIESTO",$M65)&gt;0</formula>
    </cfRule>
    <cfRule type="expression" dxfId="7331" priority="1109">
      <formula>SEARCH("DA CHIUDERE",$M65)&gt;0</formula>
    </cfRule>
    <cfRule type="expression" dxfId="7330" priority="1110">
      <formula>SEARCH("INTERROTTO",$M65)&gt;0</formula>
    </cfRule>
  </conditionalFormatting>
  <conditionalFormatting sqref="M65">
    <cfRule type="expression" dxfId="7329" priority="1099">
      <formula>SEARCH("IN CORSO",$M65)&gt;0</formula>
    </cfRule>
    <cfRule type="expression" dxfId="7328" priority="1100">
      <formula>SEARCH("CHIUSO",$M65)&gt;0</formula>
    </cfRule>
    <cfRule type="expression" dxfId="7327" priority="1101">
      <formula>SEARCH("EMESSO",$M65)&gt;0</formula>
    </cfRule>
    <cfRule type="expression" dxfId="7326" priority="1102">
      <formula>SEARCH("RICHIESTO",$M65)&gt;0</formula>
    </cfRule>
    <cfRule type="expression" dxfId="7325" priority="1103">
      <formula>SEARCH("DA CHIUDERE",$M65)&gt;0</formula>
    </cfRule>
    <cfRule type="expression" dxfId="7324" priority="1104">
      <formula>SEARCH("INTERROTTO",$M65)&gt;0</formula>
    </cfRule>
  </conditionalFormatting>
  <conditionalFormatting sqref="E64:G64 N64:Q64">
    <cfRule type="expression" dxfId="7323" priority="1093">
      <formula>SEARCH("IN CORSO",$M64)&gt;0</formula>
    </cfRule>
    <cfRule type="expression" dxfId="7322" priority="1094">
      <formula>SEARCH("CHIUSO",$M64)&gt;0</formula>
    </cfRule>
    <cfRule type="expression" dxfId="7321" priority="1095">
      <formula>SEARCH("EMESSO",$M64)&gt;0</formula>
    </cfRule>
    <cfRule type="expression" dxfId="7320" priority="1096">
      <formula>SEARCH("RICHIESTO",$M64)&gt;0</formula>
    </cfRule>
    <cfRule type="expression" dxfId="7319" priority="1097">
      <formula>SEARCH("DA CHIUDERE",$M64)&gt;0</formula>
    </cfRule>
    <cfRule type="expression" dxfId="7318" priority="1098">
      <formula>SEARCH("INTERROTTO",$M64)&gt;0</formula>
    </cfRule>
  </conditionalFormatting>
  <conditionalFormatting sqref="R64:S64">
    <cfRule type="expression" dxfId="7317" priority="1087">
      <formula>SEARCH("IN CORSO",$M64)&gt;0</formula>
    </cfRule>
    <cfRule type="expression" dxfId="7316" priority="1088">
      <formula>SEARCH("CHIUSO",$M64)&gt;0</formula>
    </cfRule>
    <cfRule type="expression" dxfId="7315" priority="1089">
      <formula>SEARCH("EMESSO",$M64)&gt;0</formula>
    </cfRule>
    <cfRule type="expression" dxfId="7314" priority="1090">
      <formula>SEARCH("RICHIESTO",$M64)&gt;0</formula>
    </cfRule>
    <cfRule type="expression" dxfId="7313" priority="1091">
      <formula>SEARCH("DA CHIUDERE",$M64)&gt;0</formula>
    </cfRule>
    <cfRule type="expression" dxfId="7312" priority="1092">
      <formula>SEARCH("INTERROTTO",$M64)&gt;0</formula>
    </cfRule>
  </conditionalFormatting>
  <conditionalFormatting sqref="M64">
    <cfRule type="expression" dxfId="7311" priority="1081">
      <formula>SEARCH("IN CORSO",$M64)&gt;0</formula>
    </cfRule>
    <cfRule type="expression" dxfId="7310" priority="1082">
      <formula>SEARCH("CHIUSO",$M64)&gt;0</formula>
    </cfRule>
    <cfRule type="expression" dxfId="7309" priority="1083">
      <formula>SEARCH("EMESSO",$M64)&gt;0</formula>
    </cfRule>
    <cfRule type="expression" dxfId="7308" priority="1084">
      <formula>SEARCH("RICHIESTO",$M64)&gt;0</formula>
    </cfRule>
    <cfRule type="expression" dxfId="7307" priority="1085">
      <formula>SEARCH("DA CHIUDERE",$M64)&gt;0</formula>
    </cfRule>
    <cfRule type="expression" dxfId="7306" priority="1086">
      <formula>SEARCH("INTERROTTO",$M64)&gt;0</formula>
    </cfRule>
  </conditionalFormatting>
  <conditionalFormatting sqref="E63:G63 N63:Q63">
    <cfRule type="expression" dxfId="7305" priority="1075">
      <formula>SEARCH("IN CORSO",$M63)&gt;0</formula>
    </cfRule>
    <cfRule type="expression" dxfId="7304" priority="1076">
      <formula>SEARCH("CHIUSO",$M63)&gt;0</formula>
    </cfRule>
    <cfRule type="expression" dxfId="7303" priority="1077">
      <formula>SEARCH("EMESSO",$M63)&gt;0</formula>
    </cfRule>
    <cfRule type="expression" dxfId="7302" priority="1078">
      <formula>SEARCH("RICHIESTO",$M63)&gt;0</formula>
    </cfRule>
    <cfRule type="expression" dxfId="7301" priority="1079">
      <formula>SEARCH("DA CHIUDERE",$M63)&gt;0</formula>
    </cfRule>
    <cfRule type="expression" dxfId="7300" priority="1080">
      <formula>SEARCH("INTERROTTO",$M63)&gt;0</formula>
    </cfRule>
  </conditionalFormatting>
  <conditionalFormatting sqref="R63:S63">
    <cfRule type="expression" dxfId="7299" priority="1069">
      <formula>SEARCH("IN CORSO",$M63)&gt;0</formula>
    </cfRule>
    <cfRule type="expression" dxfId="7298" priority="1070">
      <formula>SEARCH("CHIUSO",$M63)&gt;0</formula>
    </cfRule>
    <cfRule type="expression" dxfId="7297" priority="1071">
      <formula>SEARCH("EMESSO",$M63)&gt;0</formula>
    </cfRule>
    <cfRule type="expression" dxfId="7296" priority="1072">
      <formula>SEARCH("RICHIESTO",$M63)&gt;0</formula>
    </cfRule>
    <cfRule type="expression" dxfId="7295" priority="1073">
      <formula>SEARCH("DA CHIUDERE",$M63)&gt;0</formula>
    </cfRule>
    <cfRule type="expression" dxfId="7294" priority="1074">
      <formula>SEARCH("INTERROTTO",$M63)&gt;0</formula>
    </cfRule>
  </conditionalFormatting>
  <conditionalFormatting sqref="M63">
    <cfRule type="expression" dxfId="7293" priority="1063">
      <formula>SEARCH("IN CORSO",$M63)&gt;0</formula>
    </cfRule>
    <cfRule type="expression" dxfId="7292" priority="1064">
      <formula>SEARCH("CHIUSO",$M63)&gt;0</formula>
    </cfRule>
    <cfRule type="expression" dxfId="7291" priority="1065">
      <formula>SEARCH("EMESSO",$M63)&gt;0</formula>
    </cfRule>
    <cfRule type="expression" dxfId="7290" priority="1066">
      <formula>SEARCH("RICHIESTO",$M63)&gt;0</formula>
    </cfRule>
    <cfRule type="expression" dxfId="7289" priority="1067">
      <formula>SEARCH("DA CHIUDERE",$M63)&gt;0</formula>
    </cfRule>
    <cfRule type="expression" dxfId="7288" priority="1068">
      <formula>SEARCH("INTERROTTO",$M63)&gt;0</formula>
    </cfRule>
  </conditionalFormatting>
  <conditionalFormatting sqref="E62:G62 N62:Q62">
    <cfRule type="expression" dxfId="7287" priority="1057">
      <formula>SEARCH("IN CORSO",$M62)&gt;0</formula>
    </cfRule>
    <cfRule type="expression" dxfId="7286" priority="1058">
      <formula>SEARCH("CHIUSO",$M62)&gt;0</formula>
    </cfRule>
    <cfRule type="expression" dxfId="7285" priority="1059">
      <formula>SEARCH("EMESSO",$M62)&gt;0</formula>
    </cfRule>
    <cfRule type="expression" dxfId="7284" priority="1060">
      <formula>SEARCH("RICHIESTO",$M62)&gt;0</formula>
    </cfRule>
    <cfRule type="expression" dxfId="7283" priority="1061">
      <formula>SEARCH("DA CHIUDERE",$M62)&gt;0</formula>
    </cfRule>
    <cfRule type="expression" dxfId="7282" priority="1062">
      <formula>SEARCH("INTERROTTO",$M62)&gt;0</formula>
    </cfRule>
  </conditionalFormatting>
  <conditionalFormatting sqref="R62:S62">
    <cfRule type="expression" dxfId="7281" priority="1051">
      <formula>SEARCH("IN CORSO",$M62)&gt;0</formula>
    </cfRule>
    <cfRule type="expression" dxfId="7280" priority="1052">
      <formula>SEARCH("CHIUSO",$M62)&gt;0</formula>
    </cfRule>
    <cfRule type="expression" dxfId="7279" priority="1053">
      <formula>SEARCH("EMESSO",$M62)&gt;0</formula>
    </cfRule>
    <cfRule type="expression" dxfId="7278" priority="1054">
      <formula>SEARCH("RICHIESTO",$M62)&gt;0</formula>
    </cfRule>
    <cfRule type="expression" dxfId="7277" priority="1055">
      <formula>SEARCH("DA CHIUDERE",$M62)&gt;0</formula>
    </cfRule>
    <cfRule type="expression" dxfId="7276" priority="1056">
      <formula>SEARCH("INTERROTTO",$M62)&gt;0</formula>
    </cfRule>
  </conditionalFormatting>
  <conditionalFormatting sqref="M62">
    <cfRule type="expression" dxfId="7275" priority="1045">
      <formula>SEARCH("IN CORSO",$M62)&gt;0</formula>
    </cfRule>
    <cfRule type="expression" dxfId="7274" priority="1046">
      <formula>SEARCH("CHIUSO",$M62)&gt;0</formula>
    </cfRule>
    <cfRule type="expression" dxfId="7273" priority="1047">
      <formula>SEARCH("EMESSO",$M62)&gt;0</formula>
    </cfRule>
    <cfRule type="expression" dxfId="7272" priority="1048">
      <formula>SEARCH("RICHIESTO",$M62)&gt;0</formula>
    </cfRule>
    <cfRule type="expression" dxfId="7271" priority="1049">
      <formula>SEARCH("DA CHIUDERE",$M62)&gt;0</formula>
    </cfRule>
    <cfRule type="expression" dxfId="7270" priority="1050">
      <formula>SEARCH("INTERROTTO",$M62)&gt;0</formula>
    </cfRule>
  </conditionalFormatting>
  <conditionalFormatting sqref="E61:G61 N61:Q61">
    <cfRule type="expression" dxfId="7269" priority="1039">
      <formula>SEARCH("IN CORSO",$M61)&gt;0</formula>
    </cfRule>
    <cfRule type="expression" dxfId="7268" priority="1040">
      <formula>SEARCH("CHIUSO",$M61)&gt;0</formula>
    </cfRule>
    <cfRule type="expression" dxfId="7267" priority="1041">
      <formula>SEARCH("EMESSO",$M61)&gt;0</formula>
    </cfRule>
    <cfRule type="expression" dxfId="7266" priority="1042">
      <formula>SEARCH("RICHIESTO",$M61)&gt;0</formula>
    </cfRule>
    <cfRule type="expression" dxfId="7265" priority="1043">
      <formula>SEARCH("DA CHIUDERE",$M61)&gt;0</formula>
    </cfRule>
    <cfRule type="expression" dxfId="7264" priority="1044">
      <formula>SEARCH("INTERROTTO",$M61)&gt;0</formula>
    </cfRule>
  </conditionalFormatting>
  <conditionalFormatting sqref="R61:S61">
    <cfRule type="expression" dxfId="7263" priority="1033">
      <formula>SEARCH("IN CORSO",$M61)&gt;0</formula>
    </cfRule>
    <cfRule type="expression" dxfId="7262" priority="1034">
      <formula>SEARCH("CHIUSO",$M61)&gt;0</formula>
    </cfRule>
    <cfRule type="expression" dxfId="7261" priority="1035">
      <formula>SEARCH("EMESSO",$M61)&gt;0</formula>
    </cfRule>
    <cfRule type="expression" dxfId="7260" priority="1036">
      <formula>SEARCH("RICHIESTO",$M61)&gt;0</formula>
    </cfRule>
    <cfRule type="expression" dxfId="7259" priority="1037">
      <formula>SEARCH("DA CHIUDERE",$M61)&gt;0</formula>
    </cfRule>
    <cfRule type="expression" dxfId="7258" priority="1038">
      <formula>SEARCH("INTERROTTO",$M61)&gt;0</formula>
    </cfRule>
  </conditionalFormatting>
  <conditionalFormatting sqref="M61">
    <cfRule type="expression" dxfId="7257" priority="1027">
      <formula>SEARCH("IN CORSO",$M61)&gt;0</formula>
    </cfRule>
    <cfRule type="expression" dxfId="7256" priority="1028">
      <formula>SEARCH("CHIUSO",$M61)&gt;0</formula>
    </cfRule>
    <cfRule type="expression" dxfId="7255" priority="1029">
      <formula>SEARCH("EMESSO",$M61)&gt;0</formula>
    </cfRule>
    <cfRule type="expression" dxfId="7254" priority="1030">
      <formula>SEARCH("RICHIESTO",$M61)&gt;0</formula>
    </cfRule>
    <cfRule type="expression" dxfId="7253" priority="1031">
      <formula>SEARCH("DA CHIUDERE",$M61)&gt;0</formula>
    </cfRule>
    <cfRule type="expression" dxfId="7252" priority="1032">
      <formula>SEARCH("INTERROTTO",$M61)&gt;0</formula>
    </cfRule>
  </conditionalFormatting>
  <conditionalFormatting sqref="E60:G60 N60:Q60">
    <cfRule type="expression" dxfId="7251" priority="1021">
      <formula>SEARCH("IN CORSO",$M60)&gt;0</formula>
    </cfRule>
    <cfRule type="expression" dxfId="7250" priority="1022">
      <formula>SEARCH("CHIUSO",$M60)&gt;0</formula>
    </cfRule>
    <cfRule type="expression" dxfId="7249" priority="1023">
      <formula>SEARCH("EMESSO",$M60)&gt;0</formula>
    </cfRule>
    <cfRule type="expression" dxfId="7248" priority="1024">
      <formula>SEARCH("RICHIESTO",$M60)&gt;0</formula>
    </cfRule>
    <cfRule type="expression" dxfId="7247" priority="1025">
      <formula>SEARCH("DA CHIUDERE",$M60)&gt;0</formula>
    </cfRule>
    <cfRule type="expression" dxfId="7246" priority="1026">
      <formula>SEARCH("INTERROTTO",$M60)&gt;0</formula>
    </cfRule>
  </conditionalFormatting>
  <conditionalFormatting sqref="R60:S60">
    <cfRule type="expression" dxfId="7245" priority="1015">
      <formula>SEARCH("IN CORSO",$M60)&gt;0</formula>
    </cfRule>
    <cfRule type="expression" dxfId="7244" priority="1016">
      <formula>SEARCH("CHIUSO",$M60)&gt;0</formula>
    </cfRule>
    <cfRule type="expression" dxfId="7243" priority="1017">
      <formula>SEARCH("EMESSO",$M60)&gt;0</formula>
    </cfRule>
    <cfRule type="expression" dxfId="7242" priority="1018">
      <formula>SEARCH("RICHIESTO",$M60)&gt;0</formula>
    </cfRule>
    <cfRule type="expression" dxfId="7241" priority="1019">
      <formula>SEARCH("DA CHIUDERE",$M60)&gt;0</formula>
    </cfRule>
    <cfRule type="expression" dxfId="7240" priority="1020">
      <formula>SEARCH("INTERROTTO",$M60)&gt;0</formula>
    </cfRule>
  </conditionalFormatting>
  <conditionalFormatting sqref="M60">
    <cfRule type="expression" dxfId="7239" priority="1009">
      <formula>SEARCH("IN CORSO",$M60)&gt;0</formula>
    </cfRule>
    <cfRule type="expression" dxfId="7238" priority="1010">
      <formula>SEARCH("CHIUSO",$M60)&gt;0</formula>
    </cfRule>
    <cfRule type="expression" dxfId="7237" priority="1011">
      <formula>SEARCH("EMESSO",$M60)&gt;0</formula>
    </cfRule>
    <cfRule type="expression" dxfId="7236" priority="1012">
      <formula>SEARCH("RICHIESTO",$M60)&gt;0</formula>
    </cfRule>
    <cfRule type="expression" dxfId="7235" priority="1013">
      <formula>SEARCH("DA CHIUDERE",$M60)&gt;0</formula>
    </cfRule>
    <cfRule type="expression" dxfId="7234" priority="1014">
      <formula>SEARCH("INTERROTTO",$M60)&gt;0</formula>
    </cfRule>
  </conditionalFormatting>
  <conditionalFormatting sqref="E59:G59 N59:Q59">
    <cfRule type="expression" dxfId="7233" priority="1003">
      <formula>SEARCH("IN CORSO",$M59)&gt;0</formula>
    </cfRule>
    <cfRule type="expression" dxfId="7232" priority="1004">
      <formula>SEARCH("CHIUSO",$M59)&gt;0</formula>
    </cfRule>
    <cfRule type="expression" dxfId="7231" priority="1005">
      <formula>SEARCH("EMESSO",$M59)&gt;0</formula>
    </cfRule>
    <cfRule type="expression" dxfId="7230" priority="1006">
      <formula>SEARCH("RICHIESTO",$M59)&gt;0</formula>
    </cfRule>
    <cfRule type="expression" dxfId="7229" priority="1007">
      <formula>SEARCH("DA CHIUDERE",$M59)&gt;0</formula>
    </cfRule>
    <cfRule type="expression" dxfId="7228" priority="1008">
      <formula>SEARCH("INTERROTTO",$M59)&gt;0</formula>
    </cfRule>
  </conditionalFormatting>
  <conditionalFormatting sqref="R59:S59">
    <cfRule type="expression" dxfId="7227" priority="997">
      <formula>SEARCH("IN CORSO",$M59)&gt;0</formula>
    </cfRule>
    <cfRule type="expression" dxfId="7226" priority="998">
      <formula>SEARCH("CHIUSO",$M59)&gt;0</formula>
    </cfRule>
    <cfRule type="expression" dxfId="7225" priority="999">
      <formula>SEARCH("EMESSO",$M59)&gt;0</formula>
    </cfRule>
    <cfRule type="expression" dxfId="7224" priority="1000">
      <formula>SEARCH("RICHIESTO",$M59)&gt;0</formula>
    </cfRule>
    <cfRule type="expression" dxfId="7223" priority="1001">
      <formula>SEARCH("DA CHIUDERE",$M59)&gt;0</formula>
    </cfRule>
    <cfRule type="expression" dxfId="7222" priority="1002">
      <formula>SEARCH("INTERROTTO",$M59)&gt;0</formula>
    </cfRule>
  </conditionalFormatting>
  <conditionalFormatting sqref="M59">
    <cfRule type="expression" dxfId="7221" priority="991">
      <formula>SEARCH("IN CORSO",$M59)&gt;0</formula>
    </cfRule>
    <cfRule type="expression" dxfId="7220" priority="992">
      <formula>SEARCH("CHIUSO",$M59)&gt;0</formula>
    </cfRule>
    <cfRule type="expression" dxfId="7219" priority="993">
      <formula>SEARCH("EMESSO",$M59)&gt;0</formula>
    </cfRule>
    <cfRule type="expression" dxfId="7218" priority="994">
      <formula>SEARCH("RICHIESTO",$M59)&gt;0</formula>
    </cfRule>
    <cfRule type="expression" dxfId="7217" priority="995">
      <formula>SEARCH("DA CHIUDERE",$M59)&gt;0</formula>
    </cfRule>
    <cfRule type="expression" dxfId="7216" priority="996">
      <formula>SEARCH("INTERROTTO",$M59)&gt;0</formula>
    </cfRule>
  </conditionalFormatting>
  <conditionalFormatting sqref="E58:G58 N58:Q58">
    <cfRule type="expression" dxfId="7215" priority="985">
      <formula>SEARCH("IN CORSO",$M58)&gt;0</formula>
    </cfRule>
    <cfRule type="expression" dxfId="7214" priority="986">
      <formula>SEARCH("CHIUSO",$M58)&gt;0</formula>
    </cfRule>
    <cfRule type="expression" dxfId="7213" priority="987">
      <formula>SEARCH("EMESSO",$M58)&gt;0</formula>
    </cfRule>
    <cfRule type="expression" dxfId="7212" priority="988">
      <formula>SEARCH("RICHIESTO",$M58)&gt;0</formula>
    </cfRule>
    <cfRule type="expression" dxfId="7211" priority="989">
      <formula>SEARCH("DA CHIUDERE",$M58)&gt;0</formula>
    </cfRule>
    <cfRule type="expression" dxfId="7210" priority="990">
      <formula>SEARCH("INTERROTTO",$M58)&gt;0</formula>
    </cfRule>
  </conditionalFormatting>
  <conditionalFormatting sqref="R58:S58">
    <cfRule type="expression" dxfId="7209" priority="979">
      <formula>SEARCH("IN CORSO",$M58)&gt;0</formula>
    </cfRule>
    <cfRule type="expression" dxfId="7208" priority="980">
      <formula>SEARCH("CHIUSO",$M58)&gt;0</formula>
    </cfRule>
    <cfRule type="expression" dxfId="7207" priority="981">
      <formula>SEARCH("EMESSO",$M58)&gt;0</formula>
    </cfRule>
    <cfRule type="expression" dxfId="7206" priority="982">
      <formula>SEARCH("RICHIESTO",$M58)&gt;0</formula>
    </cfRule>
    <cfRule type="expression" dxfId="7205" priority="983">
      <formula>SEARCH("DA CHIUDERE",$M58)&gt;0</formula>
    </cfRule>
    <cfRule type="expression" dxfId="7204" priority="984">
      <formula>SEARCH("INTERROTTO",$M58)&gt;0</formula>
    </cfRule>
  </conditionalFormatting>
  <conditionalFormatting sqref="M58">
    <cfRule type="expression" dxfId="7203" priority="973">
      <formula>SEARCH("IN CORSO",$M58)&gt;0</formula>
    </cfRule>
    <cfRule type="expression" dxfId="7202" priority="974">
      <formula>SEARCH("CHIUSO",$M58)&gt;0</formula>
    </cfRule>
    <cfRule type="expression" dxfId="7201" priority="975">
      <formula>SEARCH("EMESSO",$M58)&gt;0</formula>
    </cfRule>
    <cfRule type="expression" dxfId="7200" priority="976">
      <formula>SEARCH("RICHIESTO",$M58)&gt;0</formula>
    </cfRule>
    <cfRule type="expression" dxfId="7199" priority="977">
      <formula>SEARCH("DA CHIUDERE",$M58)&gt;0</formula>
    </cfRule>
    <cfRule type="expression" dxfId="7198" priority="978">
      <formula>SEARCH("INTERROTTO",$M58)&gt;0</formula>
    </cfRule>
  </conditionalFormatting>
  <conditionalFormatting sqref="E57:G57 N57:Q57">
    <cfRule type="expression" dxfId="7197" priority="967">
      <formula>SEARCH("IN CORSO",$M57)&gt;0</formula>
    </cfRule>
    <cfRule type="expression" dxfId="7196" priority="968">
      <formula>SEARCH("CHIUSO",$M57)&gt;0</formula>
    </cfRule>
    <cfRule type="expression" dxfId="7195" priority="969">
      <formula>SEARCH("EMESSO",$M57)&gt;0</formula>
    </cfRule>
    <cfRule type="expression" dxfId="7194" priority="970">
      <formula>SEARCH("RICHIESTO",$M57)&gt;0</formula>
    </cfRule>
    <cfRule type="expression" dxfId="7193" priority="971">
      <formula>SEARCH("DA CHIUDERE",$M57)&gt;0</formula>
    </cfRule>
    <cfRule type="expression" dxfId="7192" priority="972">
      <formula>SEARCH("INTERROTTO",$M57)&gt;0</formula>
    </cfRule>
  </conditionalFormatting>
  <conditionalFormatting sqref="R57:S57">
    <cfRule type="expression" dxfId="7191" priority="961">
      <formula>SEARCH("IN CORSO",$M57)&gt;0</formula>
    </cfRule>
    <cfRule type="expression" dxfId="7190" priority="962">
      <formula>SEARCH("CHIUSO",$M57)&gt;0</formula>
    </cfRule>
    <cfRule type="expression" dxfId="7189" priority="963">
      <formula>SEARCH("EMESSO",$M57)&gt;0</formula>
    </cfRule>
    <cfRule type="expression" dxfId="7188" priority="964">
      <formula>SEARCH("RICHIESTO",$M57)&gt;0</formula>
    </cfRule>
    <cfRule type="expression" dxfId="7187" priority="965">
      <formula>SEARCH("DA CHIUDERE",$M57)&gt;0</formula>
    </cfRule>
    <cfRule type="expression" dxfId="7186" priority="966">
      <formula>SEARCH("INTERROTTO",$M57)&gt;0</formula>
    </cfRule>
  </conditionalFormatting>
  <conditionalFormatting sqref="M57">
    <cfRule type="expression" dxfId="7185" priority="955">
      <formula>SEARCH("IN CORSO",$M57)&gt;0</formula>
    </cfRule>
    <cfRule type="expression" dxfId="7184" priority="956">
      <formula>SEARCH("CHIUSO",$M57)&gt;0</formula>
    </cfRule>
    <cfRule type="expression" dxfId="7183" priority="957">
      <formula>SEARCH("EMESSO",$M57)&gt;0</formula>
    </cfRule>
    <cfRule type="expression" dxfId="7182" priority="958">
      <formula>SEARCH("RICHIESTO",$M57)&gt;0</formula>
    </cfRule>
    <cfRule type="expression" dxfId="7181" priority="959">
      <formula>SEARCH("DA CHIUDERE",$M57)&gt;0</formula>
    </cfRule>
    <cfRule type="expression" dxfId="7180" priority="960">
      <formula>SEARCH("INTERROTTO",$M57)&gt;0</formula>
    </cfRule>
  </conditionalFormatting>
  <conditionalFormatting sqref="E56:G56 N56:Q56">
    <cfRule type="expression" dxfId="7179" priority="949">
      <formula>SEARCH("IN CORSO",$M56)&gt;0</formula>
    </cfRule>
    <cfRule type="expression" dxfId="7178" priority="950">
      <formula>SEARCH("CHIUSO",$M56)&gt;0</formula>
    </cfRule>
    <cfRule type="expression" dxfId="7177" priority="951">
      <formula>SEARCH("EMESSO",$M56)&gt;0</formula>
    </cfRule>
    <cfRule type="expression" dxfId="7176" priority="952">
      <formula>SEARCH("RICHIESTO",$M56)&gt;0</formula>
    </cfRule>
    <cfRule type="expression" dxfId="7175" priority="953">
      <formula>SEARCH("DA CHIUDERE",$M56)&gt;0</formula>
    </cfRule>
    <cfRule type="expression" dxfId="7174" priority="954">
      <formula>SEARCH("INTERROTTO",$M56)&gt;0</formula>
    </cfRule>
  </conditionalFormatting>
  <conditionalFormatting sqref="R56:S56">
    <cfRule type="expression" dxfId="7173" priority="943">
      <formula>SEARCH("IN CORSO",$M56)&gt;0</formula>
    </cfRule>
    <cfRule type="expression" dxfId="7172" priority="944">
      <formula>SEARCH("CHIUSO",$M56)&gt;0</formula>
    </cfRule>
    <cfRule type="expression" dxfId="7171" priority="945">
      <formula>SEARCH("EMESSO",$M56)&gt;0</formula>
    </cfRule>
    <cfRule type="expression" dxfId="7170" priority="946">
      <formula>SEARCH("RICHIESTO",$M56)&gt;0</formula>
    </cfRule>
    <cfRule type="expression" dxfId="7169" priority="947">
      <formula>SEARCH("DA CHIUDERE",$M56)&gt;0</formula>
    </cfRule>
    <cfRule type="expression" dxfId="7168" priority="948">
      <formula>SEARCH("INTERROTTO",$M56)&gt;0</formula>
    </cfRule>
  </conditionalFormatting>
  <conditionalFormatting sqref="M56">
    <cfRule type="expression" dxfId="7167" priority="937">
      <formula>SEARCH("IN CORSO",$M56)&gt;0</formula>
    </cfRule>
    <cfRule type="expression" dxfId="7166" priority="938">
      <formula>SEARCH("CHIUSO",$M56)&gt;0</formula>
    </cfRule>
    <cfRule type="expression" dxfId="7165" priority="939">
      <formula>SEARCH("EMESSO",$M56)&gt;0</formula>
    </cfRule>
    <cfRule type="expression" dxfId="7164" priority="940">
      <formula>SEARCH("RICHIESTO",$M56)&gt;0</formula>
    </cfRule>
    <cfRule type="expression" dxfId="7163" priority="941">
      <formula>SEARCH("DA CHIUDERE",$M56)&gt;0</formula>
    </cfRule>
    <cfRule type="expression" dxfId="7162" priority="942">
      <formula>SEARCH("INTERROTTO",$M56)&gt;0</formula>
    </cfRule>
  </conditionalFormatting>
  <conditionalFormatting sqref="E55:G55 N55:Q55">
    <cfRule type="expression" dxfId="7161" priority="931">
      <formula>SEARCH("IN CORSO",$M55)&gt;0</formula>
    </cfRule>
    <cfRule type="expression" dxfId="7160" priority="932">
      <formula>SEARCH("CHIUSO",$M55)&gt;0</formula>
    </cfRule>
    <cfRule type="expression" dxfId="7159" priority="933">
      <formula>SEARCH("EMESSO",$M55)&gt;0</formula>
    </cfRule>
    <cfRule type="expression" dxfId="7158" priority="934">
      <formula>SEARCH("RICHIESTO",$M55)&gt;0</formula>
    </cfRule>
    <cfRule type="expression" dxfId="7157" priority="935">
      <formula>SEARCH("DA CHIUDERE",$M55)&gt;0</formula>
    </cfRule>
    <cfRule type="expression" dxfId="7156" priority="936">
      <formula>SEARCH("INTERROTTO",$M55)&gt;0</formula>
    </cfRule>
  </conditionalFormatting>
  <conditionalFormatting sqref="R55:S55">
    <cfRule type="expression" dxfId="7155" priority="925">
      <formula>SEARCH("IN CORSO",$M55)&gt;0</formula>
    </cfRule>
    <cfRule type="expression" dxfId="7154" priority="926">
      <formula>SEARCH("CHIUSO",$M55)&gt;0</formula>
    </cfRule>
    <cfRule type="expression" dxfId="7153" priority="927">
      <formula>SEARCH("EMESSO",$M55)&gt;0</formula>
    </cfRule>
    <cfRule type="expression" dxfId="7152" priority="928">
      <formula>SEARCH("RICHIESTO",$M55)&gt;0</formula>
    </cfRule>
    <cfRule type="expression" dxfId="7151" priority="929">
      <formula>SEARCH("DA CHIUDERE",$M55)&gt;0</formula>
    </cfRule>
    <cfRule type="expression" dxfId="7150" priority="930">
      <formula>SEARCH("INTERROTTO",$M55)&gt;0</formula>
    </cfRule>
  </conditionalFormatting>
  <conditionalFormatting sqref="M55">
    <cfRule type="expression" dxfId="7149" priority="919">
      <formula>SEARCH("IN CORSO",$M55)&gt;0</formula>
    </cfRule>
    <cfRule type="expression" dxfId="7148" priority="920">
      <formula>SEARCH("CHIUSO",$M55)&gt;0</formula>
    </cfRule>
    <cfRule type="expression" dxfId="7147" priority="921">
      <formula>SEARCH("EMESSO",$M55)&gt;0</formula>
    </cfRule>
    <cfRule type="expression" dxfId="7146" priority="922">
      <formula>SEARCH("RICHIESTO",$M55)&gt;0</formula>
    </cfRule>
    <cfRule type="expression" dxfId="7145" priority="923">
      <formula>SEARCH("DA CHIUDERE",$M55)&gt;0</formula>
    </cfRule>
    <cfRule type="expression" dxfId="7144" priority="924">
      <formula>SEARCH("INTERROTTO",$M55)&gt;0</formula>
    </cfRule>
  </conditionalFormatting>
  <conditionalFormatting sqref="E54:G54 N54:Q54">
    <cfRule type="expression" dxfId="7143" priority="913">
      <formula>SEARCH("IN CORSO",$M54)&gt;0</formula>
    </cfRule>
    <cfRule type="expression" dxfId="7142" priority="914">
      <formula>SEARCH("CHIUSO",$M54)&gt;0</formula>
    </cfRule>
    <cfRule type="expression" dxfId="7141" priority="915">
      <formula>SEARCH("EMESSO",$M54)&gt;0</formula>
    </cfRule>
    <cfRule type="expression" dxfId="7140" priority="916">
      <formula>SEARCH("RICHIESTO",$M54)&gt;0</formula>
    </cfRule>
    <cfRule type="expression" dxfId="7139" priority="917">
      <formula>SEARCH("DA CHIUDERE",$M54)&gt;0</formula>
    </cfRule>
    <cfRule type="expression" dxfId="7138" priority="918">
      <formula>SEARCH("INTERROTTO",$M54)&gt;0</formula>
    </cfRule>
  </conditionalFormatting>
  <conditionalFormatting sqref="R54:S54">
    <cfRule type="expression" dxfId="7137" priority="907">
      <formula>SEARCH("IN CORSO",$M54)&gt;0</formula>
    </cfRule>
    <cfRule type="expression" dxfId="7136" priority="908">
      <formula>SEARCH("CHIUSO",$M54)&gt;0</formula>
    </cfRule>
    <cfRule type="expression" dxfId="7135" priority="909">
      <formula>SEARCH("EMESSO",$M54)&gt;0</formula>
    </cfRule>
    <cfRule type="expression" dxfId="7134" priority="910">
      <formula>SEARCH("RICHIESTO",$M54)&gt;0</formula>
    </cfRule>
    <cfRule type="expression" dxfId="7133" priority="911">
      <formula>SEARCH("DA CHIUDERE",$M54)&gt;0</formula>
    </cfRule>
    <cfRule type="expression" dxfId="7132" priority="912">
      <formula>SEARCH("INTERROTTO",$M54)&gt;0</formula>
    </cfRule>
  </conditionalFormatting>
  <conditionalFormatting sqref="M54">
    <cfRule type="expression" dxfId="7131" priority="901">
      <formula>SEARCH("IN CORSO",$M54)&gt;0</formula>
    </cfRule>
    <cfRule type="expression" dxfId="7130" priority="902">
      <formula>SEARCH("CHIUSO",$M54)&gt;0</formula>
    </cfRule>
    <cfRule type="expression" dxfId="7129" priority="903">
      <formula>SEARCH("EMESSO",$M54)&gt;0</formula>
    </cfRule>
    <cfRule type="expression" dxfId="7128" priority="904">
      <formula>SEARCH("RICHIESTO",$M54)&gt;0</formula>
    </cfRule>
    <cfRule type="expression" dxfId="7127" priority="905">
      <formula>SEARCH("DA CHIUDERE",$M54)&gt;0</formula>
    </cfRule>
    <cfRule type="expression" dxfId="7126" priority="906">
      <formula>SEARCH("INTERROTTO",$M54)&gt;0</formula>
    </cfRule>
  </conditionalFormatting>
  <conditionalFormatting sqref="E53:G53 N53:Q53">
    <cfRule type="expression" dxfId="7125" priority="895">
      <formula>SEARCH("IN CORSO",$M53)&gt;0</formula>
    </cfRule>
    <cfRule type="expression" dxfId="7124" priority="896">
      <formula>SEARCH("CHIUSO",$M53)&gt;0</formula>
    </cfRule>
    <cfRule type="expression" dxfId="7123" priority="897">
      <formula>SEARCH("EMESSO",$M53)&gt;0</formula>
    </cfRule>
    <cfRule type="expression" dxfId="7122" priority="898">
      <formula>SEARCH("RICHIESTO",$M53)&gt;0</formula>
    </cfRule>
    <cfRule type="expression" dxfId="7121" priority="899">
      <formula>SEARCH("DA CHIUDERE",$M53)&gt;0</formula>
    </cfRule>
    <cfRule type="expression" dxfId="7120" priority="900">
      <formula>SEARCH("INTERROTTO",$M53)&gt;0</formula>
    </cfRule>
  </conditionalFormatting>
  <conditionalFormatting sqref="R53:S53">
    <cfRule type="expression" dxfId="7119" priority="889">
      <formula>SEARCH("IN CORSO",$M53)&gt;0</formula>
    </cfRule>
    <cfRule type="expression" dxfId="7118" priority="890">
      <formula>SEARCH("CHIUSO",$M53)&gt;0</formula>
    </cfRule>
    <cfRule type="expression" dxfId="7117" priority="891">
      <formula>SEARCH("EMESSO",$M53)&gt;0</formula>
    </cfRule>
    <cfRule type="expression" dxfId="7116" priority="892">
      <formula>SEARCH("RICHIESTO",$M53)&gt;0</formula>
    </cfRule>
    <cfRule type="expression" dxfId="7115" priority="893">
      <formula>SEARCH("DA CHIUDERE",$M53)&gt;0</formula>
    </cfRule>
    <cfRule type="expression" dxfId="7114" priority="894">
      <formula>SEARCH("INTERROTTO",$M53)&gt;0</formula>
    </cfRule>
  </conditionalFormatting>
  <conditionalFormatting sqref="M53">
    <cfRule type="expression" dxfId="7113" priority="883">
      <formula>SEARCH("IN CORSO",$M53)&gt;0</formula>
    </cfRule>
    <cfRule type="expression" dxfId="7112" priority="884">
      <formula>SEARCH("CHIUSO",$M53)&gt;0</formula>
    </cfRule>
    <cfRule type="expression" dxfId="7111" priority="885">
      <formula>SEARCH("EMESSO",$M53)&gt;0</formula>
    </cfRule>
    <cfRule type="expression" dxfId="7110" priority="886">
      <formula>SEARCH("RICHIESTO",$M53)&gt;0</formula>
    </cfRule>
    <cfRule type="expression" dxfId="7109" priority="887">
      <formula>SEARCH("DA CHIUDERE",$M53)&gt;0</formula>
    </cfRule>
    <cfRule type="expression" dxfId="7108" priority="888">
      <formula>SEARCH("INTERROTTO",$M53)&gt;0</formula>
    </cfRule>
  </conditionalFormatting>
  <conditionalFormatting sqref="E52:G52 N52:Q52">
    <cfRule type="expression" dxfId="7107" priority="877">
      <formula>SEARCH("IN CORSO",$M52)&gt;0</formula>
    </cfRule>
    <cfRule type="expression" dxfId="7106" priority="878">
      <formula>SEARCH("CHIUSO",$M52)&gt;0</formula>
    </cfRule>
    <cfRule type="expression" dxfId="7105" priority="879">
      <formula>SEARCH("EMESSO",$M52)&gt;0</formula>
    </cfRule>
    <cfRule type="expression" dxfId="7104" priority="880">
      <formula>SEARCH("RICHIESTO",$M52)&gt;0</formula>
    </cfRule>
    <cfRule type="expression" dxfId="7103" priority="881">
      <formula>SEARCH("DA CHIUDERE",$M52)&gt;0</formula>
    </cfRule>
    <cfRule type="expression" dxfId="7102" priority="882">
      <formula>SEARCH("INTERROTTO",$M52)&gt;0</formula>
    </cfRule>
  </conditionalFormatting>
  <conditionalFormatting sqref="R52:S52">
    <cfRule type="expression" dxfId="7101" priority="871">
      <formula>SEARCH("IN CORSO",$M52)&gt;0</formula>
    </cfRule>
    <cfRule type="expression" dxfId="7100" priority="872">
      <formula>SEARCH("CHIUSO",$M52)&gt;0</formula>
    </cfRule>
    <cfRule type="expression" dxfId="7099" priority="873">
      <formula>SEARCH("EMESSO",$M52)&gt;0</formula>
    </cfRule>
    <cfRule type="expression" dxfId="7098" priority="874">
      <formula>SEARCH("RICHIESTO",$M52)&gt;0</formula>
    </cfRule>
    <cfRule type="expression" dxfId="7097" priority="875">
      <formula>SEARCH("DA CHIUDERE",$M52)&gt;0</formula>
    </cfRule>
    <cfRule type="expression" dxfId="7096" priority="876">
      <formula>SEARCH("INTERROTTO",$M52)&gt;0</formula>
    </cfRule>
  </conditionalFormatting>
  <conditionalFormatting sqref="M52">
    <cfRule type="expression" dxfId="7095" priority="865">
      <formula>SEARCH("IN CORSO",$M52)&gt;0</formula>
    </cfRule>
    <cfRule type="expression" dxfId="7094" priority="866">
      <formula>SEARCH("CHIUSO",$M52)&gt;0</formula>
    </cfRule>
    <cfRule type="expression" dxfId="7093" priority="867">
      <formula>SEARCH("EMESSO",$M52)&gt;0</formula>
    </cfRule>
    <cfRule type="expression" dxfId="7092" priority="868">
      <formula>SEARCH("RICHIESTO",$M52)&gt;0</formula>
    </cfRule>
    <cfRule type="expression" dxfId="7091" priority="869">
      <formula>SEARCH("DA CHIUDERE",$M52)&gt;0</formula>
    </cfRule>
    <cfRule type="expression" dxfId="7090" priority="870">
      <formula>SEARCH("INTERROTTO",$M52)&gt;0</formula>
    </cfRule>
  </conditionalFormatting>
  <conditionalFormatting sqref="E51:G51 N51:Q51">
    <cfRule type="expression" dxfId="7089" priority="859">
      <formula>SEARCH("IN CORSO",$M51)&gt;0</formula>
    </cfRule>
    <cfRule type="expression" dxfId="7088" priority="860">
      <formula>SEARCH("CHIUSO",$M51)&gt;0</formula>
    </cfRule>
    <cfRule type="expression" dxfId="7087" priority="861">
      <formula>SEARCH("EMESSO",$M51)&gt;0</formula>
    </cfRule>
    <cfRule type="expression" dxfId="7086" priority="862">
      <formula>SEARCH("RICHIESTO",$M51)&gt;0</formula>
    </cfRule>
    <cfRule type="expression" dxfId="7085" priority="863">
      <formula>SEARCH("DA CHIUDERE",$M51)&gt;0</formula>
    </cfRule>
    <cfRule type="expression" dxfId="7084" priority="864">
      <formula>SEARCH("INTERROTTO",$M51)&gt;0</formula>
    </cfRule>
  </conditionalFormatting>
  <conditionalFormatting sqref="R51:S51">
    <cfRule type="expression" dxfId="7083" priority="853">
      <formula>SEARCH("IN CORSO",$M51)&gt;0</formula>
    </cfRule>
    <cfRule type="expression" dxfId="7082" priority="854">
      <formula>SEARCH("CHIUSO",$M51)&gt;0</formula>
    </cfRule>
    <cfRule type="expression" dxfId="7081" priority="855">
      <formula>SEARCH("EMESSO",$M51)&gt;0</formula>
    </cfRule>
    <cfRule type="expression" dxfId="7080" priority="856">
      <formula>SEARCH("RICHIESTO",$M51)&gt;0</formula>
    </cfRule>
    <cfRule type="expression" dxfId="7079" priority="857">
      <formula>SEARCH("DA CHIUDERE",$M51)&gt;0</formula>
    </cfRule>
    <cfRule type="expression" dxfId="7078" priority="858">
      <formula>SEARCH("INTERROTTO",$M51)&gt;0</formula>
    </cfRule>
  </conditionalFormatting>
  <conditionalFormatting sqref="M51">
    <cfRule type="expression" dxfId="7077" priority="847">
      <formula>SEARCH("IN CORSO",$M51)&gt;0</formula>
    </cfRule>
    <cfRule type="expression" dxfId="7076" priority="848">
      <formula>SEARCH("CHIUSO",$M51)&gt;0</formula>
    </cfRule>
    <cfRule type="expression" dxfId="7075" priority="849">
      <formula>SEARCH("EMESSO",$M51)&gt;0</formula>
    </cfRule>
    <cfRule type="expression" dxfId="7074" priority="850">
      <formula>SEARCH("RICHIESTO",$M51)&gt;0</formula>
    </cfRule>
    <cfRule type="expression" dxfId="7073" priority="851">
      <formula>SEARCH("DA CHIUDERE",$M51)&gt;0</formula>
    </cfRule>
    <cfRule type="expression" dxfId="7072" priority="852">
      <formula>SEARCH("INTERROTTO",$M51)&gt;0</formula>
    </cfRule>
  </conditionalFormatting>
  <conditionalFormatting sqref="E50:G50 N50:Q50">
    <cfRule type="expression" dxfId="7071" priority="841">
      <formula>SEARCH("IN CORSO",$M50)&gt;0</formula>
    </cfRule>
    <cfRule type="expression" dxfId="7070" priority="842">
      <formula>SEARCH("CHIUSO",$M50)&gt;0</formula>
    </cfRule>
    <cfRule type="expression" dxfId="7069" priority="843">
      <formula>SEARCH("EMESSO",$M50)&gt;0</formula>
    </cfRule>
    <cfRule type="expression" dxfId="7068" priority="844">
      <formula>SEARCH("RICHIESTO",$M50)&gt;0</formula>
    </cfRule>
    <cfRule type="expression" dxfId="7067" priority="845">
      <formula>SEARCH("DA CHIUDERE",$M50)&gt;0</formula>
    </cfRule>
    <cfRule type="expression" dxfId="7066" priority="846">
      <formula>SEARCH("INTERROTTO",$M50)&gt;0</formula>
    </cfRule>
  </conditionalFormatting>
  <conditionalFormatting sqref="R50:S50">
    <cfRule type="expression" dxfId="7065" priority="835">
      <formula>SEARCH("IN CORSO",$M50)&gt;0</formula>
    </cfRule>
    <cfRule type="expression" dxfId="7064" priority="836">
      <formula>SEARCH("CHIUSO",$M50)&gt;0</formula>
    </cfRule>
    <cfRule type="expression" dxfId="7063" priority="837">
      <formula>SEARCH("EMESSO",$M50)&gt;0</formula>
    </cfRule>
    <cfRule type="expression" dxfId="7062" priority="838">
      <formula>SEARCH("RICHIESTO",$M50)&gt;0</formula>
    </cfRule>
    <cfRule type="expression" dxfId="7061" priority="839">
      <formula>SEARCH("DA CHIUDERE",$M50)&gt;0</formula>
    </cfRule>
    <cfRule type="expression" dxfId="7060" priority="840">
      <formula>SEARCH("INTERROTTO",$M50)&gt;0</formula>
    </cfRule>
  </conditionalFormatting>
  <conditionalFormatting sqref="M50">
    <cfRule type="expression" dxfId="7059" priority="829">
      <formula>SEARCH("IN CORSO",$M50)&gt;0</formula>
    </cfRule>
    <cfRule type="expression" dxfId="7058" priority="830">
      <formula>SEARCH("CHIUSO",$M50)&gt;0</formula>
    </cfRule>
    <cfRule type="expression" dxfId="7057" priority="831">
      <formula>SEARCH("EMESSO",$M50)&gt;0</formula>
    </cfRule>
    <cfRule type="expression" dxfId="7056" priority="832">
      <formula>SEARCH("RICHIESTO",$M50)&gt;0</formula>
    </cfRule>
    <cfRule type="expression" dxfId="7055" priority="833">
      <formula>SEARCH("DA CHIUDERE",$M50)&gt;0</formula>
    </cfRule>
    <cfRule type="expression" dxfId="7054" priority="834">
      <formula>SEARCH("INTERROTTO",$M50)&gt;0</formula>
    </cfRule>
  </conditionalFormatting>
  <conditionalFormatting sqref="E49:G49 N49:Q49">
    <cfRule type="expression" dxfId="7053" priority="823">
      <formula>SEARCH("IN CORSO",$M49)&gt;0</formula>
    </cfRule>
    <cfRule type="expression" dxfId="7052" priority="824">
      <formula>SEARCH("CHIUSO",$M49)&gt;0</formula>
    </cfRule>
    <cfRule type="expression" dxfId="7051" priority="825">
      <formula>SEARCH("EMESSO",$M49)&gt;0</formula>
    </cfRule>
    <cfRule type="expression" dxfId="7050" priority="826">
      <formula>SEARCH("RICHIESTO",$M49)&gt;0</formula>
    </cfRule>
    <cfRule type="expression" dxfId="7049" priority="827">
      <formula>SEARCH("DA CHIUDERE",$M49)&gt;0</formula>
    </cfRule>
    <cfRule type="expression" dxfId="7048" priority="828">
      <formula>SEARCH("INTERROTTO",$M49)&gt;0</formula>
    </cfRule>
  </conditionalFormatting>
  <conditionalFormatting sqref="R49:S49">
    <cfRule type="expression" dxfId="7047" priority="817">
      <formula>SEARCH("IN CORSO",$M49)&gt;0</formula>
    </cfRule>
    <cfRule type="expression" dxfId="7046" priority="818">
      <formula>SEARCH("CHIUSO",$M49)&gt;0</formula>
    </cfRule>
    <cfRule type="expression" dxfId="7045" priority="819">
      <formula>SEARCH("EMESSO",$M49)&gt;0</formula>
    </cfRule>
    <cfRule type="expression" dxfId="7044" priority="820">
      <formula>SEARCH("RICHIESTO",$M49)&gt;0</formula>
    </cfRule>
    <cfRule type="expression" dxfId="7043" priority="821">
      <formula>SEARCH("DA CHIUDERE",$M49)&gt;0</formula>
    </cfRule>
    <cfRule type="expression" dxfId="7042" priority="822">
      <formula>SEARCH("INTERROTTO",$M49)&gt;0</formula>
    </cfRule>
  </conditionalFormatting>
  <conditionalFormatting sqref="M49">
    <cfRule type="expression" dxfId="7041" priority="811">
      <formula>SEARCH("IN CORSO",$M49)&gt;0</formula>
    </cfRule>
    <cfRule type="expression" dxfId="7040" priority="812">
      <formula>SEARCH("CHIUSO",$M49)&gt;0</formula>
    </cfRule>
    <cfRule type="expression" dxfId="7039" priority="813">
      <formula>SEARCH("EMESSO",$M49)&gt;0</formula>
    </cfRule>
    <cfRule type="expression" dxfId="7038" priority="814">
      <formula>SEARCH("RICHIESTO",$M49)&gt;0</formula>
    </cfRule>
    <cfRule type="expression" dxfId="7037" priority="815">
      <formula>SEARCH("DA CHIUDERE",$M49)&gt;0</formula>
    </cfRule>
    <cfRule type="expression" dxfId="7036" priority="816">
      <formula>SEARCH("INTERROTTO",$M49)&gt;0</formula>
    </cfRule>
  </conditionalFormatting>
  <conditionalFormatting sqref="E48:G48 N48:Q48">
    <cfRule type="expression" dxfId="7035" priority="805">
      <formula>SEARCH("IN CORSO",$M48)&gt;0</formula>
    </cfRule>
    <cfRule type="expression" dxfId="7034" priority="806">
      <formula>SEARCH("CHIUSO",$M48)&gt;0</formula>
    </cfRule>
    <cfRule type="expression" dxfId="7033" priority="807">
      <formula>SEARCH("EMESSO",$M48)&gt;0</formula>
    </cfRule>
    <cfRule type="expression" dxfId="7032" priority="808">
      <formula>SEARCH("RICHIESTO",$M48)&gt;0</formula>
    </cfRule>
    <cfRule type="expression" dxfId="7031" priority="809">
      <formula>SEARCH("DA CHIUDERE",$M48)&gt;0</formula>
    </cfRule>
    <cfRule type="expression" dxfId="7030" priority="810">
      <formula>SEARCH("INTERROTTO",$M48)&gt;0</formula>
    </cfRule>
  </conditionalFormatting>
  <conditionalFormatting sqref="R48:S48">
    <cfRule type="expression" dxfId="7029" priority="799">
      <formula>SEARCH("IN CORSO",$M48)&gt;0</formula>
    </cfRule>
    <cfRule type="expression" dxfId="7028" priority="800">
      <formula>SEARCH("CHIUSO",$M48)&gt;0</formula>
    </cfRule>
    <cfRule type="expression" dxfId="7027" priority="801">
      <formula>SEARCH("EMESSO",$M48)&gt;0</formula>
    </cfRule>
    <cfRule type="expression" dxfId="7026" priority="802">
      <formula>SEARCH("RICHIESTO",$M48)&gt;0</formula>
    </cfRule>
    <cfRule type="expression" dxfId="7025" priority="803">
      <formula>SEARCH("DA CHIUDERE",$M48)&gt;0</formula>
    </cfRule>
    <cfRule type="expression" dxfId="7024" priority="804">
      <formula>SEARCH("INTERROTTO",$M48)&gt;0</formula>
    </cfRule>
  </conditionalFormatting>
  <conditionalFormatting sqref="M48">
    <cfRule type="expression" dxfId="7023" priority="793">
      <formula>SEARCH("IN CORSO",$M48)&gt;0</formula>
    </cfRule>
    <cfRule type="expression" dxfId="7022" priority="794">
      <formula>SEARCH("CHIUSO",$M48)&gt;0</formula>
    </cfRule>
    <cfRule type="expression" dxfId="7021" priority="795">
      <formula>SEARCH("EMESSO",$M48)&gt;0</formula>
    </cfRule>
    <cfRule type="expression" dxfId="7020" priority="796">
      <formula>SEARCH("RICHIESTO",$M48)&gt;0</formula>
    </cfRule>
    <cfRule type="expression" dxfId="7019" priority="797">
      <formula>SEARCH("DA CHIUDERE",$M48)&gt;0</formula>
    </cfRule>
    <cfRule type="expression" dxfId="7018" priority="798">
      <formula>SEARCH("INTERROTTO",$M48)&gt;0</formula>
    </cfRule>
  </conditionalFormatting>
  <conditionalFormatting sqref="E47:G47 N47:Q47">
    <cfRule type="expression" dxfId="7017" priority="787">
      <formula>SEARCH("IN CORSO",$M47)&gt;0</formula>
    </cfRule>
    <cfRule type="expression" dxfId="7016" priority="788">
      <formula>SEARCH("CHIUSO",$M47)&gt;0</formula>
    </cfRule>
    <cfRule type="expression" dxfId="7015" priority="789">
      <formula>SEARCH("EMESSO",$M47)&gt;0</formula>
    </cfRule>
    <cfRule type="expression" dxfId="7014" priority="790">
      <formula>SEARCH("RICHIESTO",$M47)&gt;0</formula>
    </cfRule>
    <cfRule type="expression" dxfId="7013" priority="791">
      <formula>SEARCH("DA CHIUDERE",$M47)&gt;0</formula>
    </cfRule>
    <cfRule type="expression" dxfId="7012" priority="792">
      <formula>SEARCH("INTERROTTO",$M47)&gt;0</formula>
    </cfRule>
  </conditionalFormatting>
  <conditionalFormatting sqref="R47:S47">
    <cfRule type="expression" dxfId="7011" priority="781">
      <formula>SEARCH("IN CORSO",$M47)&gt;0</formula>
    </cfRule>
    <cfRule type="expression" dxfId="7010" priority="782">
      <formula>SEARCH("CHIUSO",$M47)&gt;0</formula>
    </cfRule>
    <cfRule type="expression" dxfId="7009" priority="783">
      <formula>SEARCH("EMESSO",$M47)&gt;0</formula>
    </cfRule>
    <cfRule type="expression" dxfId="7008" priority="784">
      <formula>SEARCH("RICHIESTO",$M47)&gt;0</formula>
    </cfRule>
    <cfRule type="expression" dxfId="7007" priority="785">
      <formula>SEARCH("DA CHIUDERE",$M47)&gt;0</formula>
    </cfRule>
    <cfRule type="expression" dxfId="7006" priority="786">
      <formula>SEARCH("INTERROTTO",$M47)&gt;0</formula>
    </cfRule>
  </conditionalFormatting>
  <conditionalFormatting sqref="M47">
    <cfRule type="expression" dxfId="7005" priority="775">
      <formula>SEARCH("IN CORSO",$M47)&gt;0</formula>
    </cfRule>
    <cfRule type="expression" dxfId="7004" priority="776">
      <formula>SEARCH("CHIUSO",$M47)&gt;0</formula>
    </cfRule>
    <cfRule type="expression" dxfId="7003" priority="777">
      <formula>SEARCH("EMESSO",$M47)&gt;0</formula>
    </cfRule>
    <cfRule type="expression" dxfId="7002" priority="778">
      <formula>SEARCH("RICHIESTO",$M47)&gt;0</formula>
    </cfRule>
    <cfRule type="expression" dxfId="7001" priority="779">
      <formula>SEARCH("DA CHIUDERE",$M47)&gt;0</formula>
    </cfRule>
    <cfRule type="expression" dxfId="7000" priority="780">
      <formula>SEARCH("INTERROTTO",$M47)&gt;0</formula>
    </cfRule>
  </conditionalFormatting>
  <conditionalFormatting sqref="E46:G46 N46:Q46">
    <cfRule type="expression" dxfId="6999" priority="769">
      <formula>SEARCH("IN CORSO",$M46)&gt;0</formula>
    </cfRule>
    <cfRule type="expression" dxfId="6998" priority="770">
      <formula>SEARCH("CHIUSO",$M46)&gt;0</formula>
    </cfRule>
    <cfRule type="expression" dxfId="6997" priority="771">
      <formula>SEARCH("EMESSO",$M46)&gt;0</formula>
    </cfRule>
    <cfRule type="expression" dxfId="6996" priority="772">
      <formula>SEARCH("RICHIESTO",$M46)&gt;0</formula>
    </cfRule>
    <cfRule type="expression" dxfId="6995" priority="773">
      <formula>SEARCH("DA CHIUDERE",$M46)&gt;0</formula>
    </cfRule>
    <cfRule type="expression" dxfId="6994" priority="774">
      <formula>SEARCH("INTERROTTO",$M46)&gt;0</formula>
    </cfRule>
  </conditionalFormatting>
  <conditionalFormatting sqref="R46:S46">
    <cfRule type="expression" dxfId="6993" priority="763">
      <formula>SEARCH("IN CORSO",$M46)&gt;0</formula>
    </cfRule>
    <cfRule type="expression" dxfId="6992" priority="764">
      <formula>SEARCH("CHIUSO",$M46)&gt;0</formula>
    </cfRule>
    <cfRule type="expression" dxfId="6991" priority="765">
      <formula>SEARCH("EMESSO",$M46)&gt;0</formula>
    </cfRule>
    <cfRule type="expression" dxfId="6990" priority="766">
      <formula>SEARCH("RICHIESTO",$M46)&gt;0</formula>
    </cfRule>
    <cfRule type="expression" dxfId="6989" priority="767">
      <formula>SEARCH("DA CHIUDERE",$M46)&gt;0</formula>
    </cfRule>
    <cfRule type="expression" dxfId="6988" priority="768">
      <formula>SEARCH("INTERROTTO",$M46)&gt;0</formula>
    </cfRule>
  </conditionalFormatting>
  <conditionalFormatting sqref="M46">
    <cfRule type="expression" dxfId="6987" priority="757">
      <formula>SEARCH("IN CORSO",$M46)&gt;0</formula>
    </cfRule>
    <cfRule type="expression" dxfId="6986" priority="758">
      <formula>SEARCH("CHIUSO",$M46)&gt;0</formula>
    </cfRule>
    <cfRule type="expression" dxfId="6985" priority="759">
      <formula>SEARCH("EMESSO",$M46)&gt;0</formula>
    </cfRule>
    <cfRule type="expression" dxfId="6984" priority="760">
      <formula>SEARCH("RICHIESTO",$M46)&gt;0</formula>
    </cfRule>
    <cfRule type="expression" dxfId="6983" priority="761">
      <formula>SEARCH("DA CHIUDERE",$M46)&gt;0</formula>
    </cfRule>
    <cfRule type="expression" dxfId="6982" priority="762">
      <formula>SEARCH("INTERROTTO",$M46)&gt;0</formula>
    </cfRule>
  </conditionalFormatting>
  <conditionalFormatting sqref="E45:G45 N45:Q45">
    <cfRule type="expression" dxfId="6981" priority="751">
      <formula>SEARCH("IN CORSO",$M45)&gt;0</formula>
    </cfRule>
    <cfRule type="expression" dxfId="6980" priority="752">
      <formula>SEARCH("CHIUSO",$M45)&gt;0</formula>
    </cfRule>
    <cfRule type="expression" dxfId="6979" priority="753">
      <formula>SEARCH("EMESSO",$M45)&gt;0</formula>
    </cfRule>
    <cfRule type="expression" dxfId="6978" priority="754">
      <formula>SEARCH("RICHIESTO",$M45)&gt;0</formula>
    </cfRule>
    <cfRule type="expression" dxfId="6977" priority="755">
      <formula>SEARCH("DA CHIUDERE",$M45)&gt;0</formula>
    </cfRule>
    <cfRule type="expression" dxfId="6976" priority="756">
      <formula>SEARCH("INTERROTTO",$M45)&gt;0</formula>
    </cfRule>
  </conditionalFormatting>
  <conditionalFormatting sqref="R45:S45">
    <cfRule type="expression" dxfId="6975" priority="745">
      <formula>SEARCH("IN CORSO",$M45)&gt;0</formula>
    </cfRule>
    <cfRule type="expression" dxfId="6974" priority="746">
      <formula>SEARCH("CHIUSO",$M45)&gt;0</formula>
    </cfRule>
    <cfRule type="expression" dxfId="6973" priority="747">
      <formula>SEARCH("EMESSO",$M45)&gt;0</formula>
    </cfRule>
    <cfRule type="expression" dxfId="6972" priority="748">
      <formula>SEARCH("RICHIESTO",$M45)&gt;0</formula>
    </cfRule>
    <cfRule type="expression" dxfId="6971" priority="749">
      <formula>SEARCH("DA CHIUDERE",$M45)&gt;0</formula>
    </cfRule>
    <cfRule type="expression" dxfId="6970" priority="750">
      <formula>SEARCH("INTERROTTO",$M45)&gt;0</formula>
    </cfRule>
  </conditionalFormatting>
  <conditionalFormatting sqref="M45">
    <cfRule type="expression" dxfId="6969" priority="739">
      <formula>SEARCH("IN CORSO",$M45)&gt;0</formula>
    </cfRule>
    <cfRule type="expression" dxfId="6968" priority="740">
      <formula>SEARCH("CHIUSO",$M45)&gt;0</formula>
    </cfRule>
    <cfRule type="expression" dxfId="6967" priority="741">
      <formula>SEARCH("EMESSO",$M45)&gt;0</formula>
    </cfRule>
    <cfRule type="expression" dxfId="6966" priority="742">
      <formula>SEARCH("RICHIESTO",$M45)&gt;0</formula>
    </cfRule>
    <cfRule type="expression" dxfId="6965" priority="743">
      <formula>SEARCH("DA CHIUDERE",$M45)&gt;0</formula>
    </cfRule>
    <cfRule type="expression" dxfId="6964" priority="744">
      <formula>SEARCH("INTERROTTO",$M45)&gt;0</formula>
    </cfRule>
  </conditionalFormatting>
  <conditionalFormatting sqref="E44:G44 N44:Q44">
    <cfRule type="expression" dxfId="6963" priority="733">
      <formula>SEARCH("IN CORSO",$M44)&gt;0</formula>
    </cfRule>
    <cfRule type="expression" dxfId="6962" priority="734">
      <formula>SEARCH("CHIUSO",$M44)&gt;0</formula>
    </cfRule>
    <cfRule type="expression" dxfId="6961" priority="735">
      <formula>SEARCH("EMESSO",$M44)&gt;0</formula>
    </cfRule>
    <cfRule type="expression" dxfId="6960" priority="736">
      <formula>SEARCH("RICHIESTO",$M44)&gt;0</formula>
    </cfRule>
    <cfRule type="expression" dxfId="6959" priority="737">
      <formula>SEARCH("DA CHIUDERE",$M44)&gt;0</formula>
    </cfRule>
    <cfRule type="expression" dxfId="6958" priority="738">
      <formula>SEARCH("INTERROTTO",$M44)&gt;0</formula>
    </cfRule>
  </conditionalFormatting>
  <conditionalFormatting sqref="R44:S44">
    <cfRule type="expression" dxfId="6957" priority="727">
      <formula>SEARCH("IN CORSO",$M44)&gt;0</formula>
    </cfRule>
    <cfRule type="expression" dxfId="6956" priority="728">
      <formula>SEARCH("CHIUSO",$M44)&gt;0</formula>
    </cfRule>
    <cfRule type="expression" dxfId="6955" priority="729">
      <formula>SEARCH("EMESSO",$M44)&gt;0</formula>
    </cfRule>
    <cfRule type="expression" dxfId="6954" priority="730">
      <formula>SEARCH("RICHIESTO",$M44)&gt;0</formula>
    </cfRule>
    <cfRule type="expression" dxfId="6953" priority="731">
      <formula>SEARCH("DA CHIUDERE",$M44)&gt;0</formula>
    </cfRule>
    <cfRule type="expression" dxfId="6952" priority="732">
      <formula>SEARCH("INTERROTTO",$M44)&gt;0</formula>
    </cfRule>
  </conditionalFormatting>
  <conditionalFormatting sqref="M44">
    <cfRule type="expression" dxfId="6951" priority="721">
      <formula>SEARCH("IN CORSO",$M44)&gt;0</formula>
    </cfRule>
    <cfRule type="expression" dxfId="6950" priority="722">
      <formula>SEARCH("CHIUSO",$M44)&gt;0</formula>
    </cfRule>
    <cfRule type="expression" dxfId="6949" priority="723">
      <formula>SEARCH("EMESSO",$M44)&gt;0</formula>
    </cfRule>
    <cfRule type="expression" dxfId="6948" priority="724">
      <formula>SEARCH("RICHIESTO",$M44)&gt;0</formula>
    </cfRule>
    <cfRule type="expression" dxfId="6947" priority="725">
      <formula>SEARCH("DA CHIUDERE",$M44)&gt;0</formula>
    </cfRule>
    <cfRule type="expression" dxfId="6946" priority="726">
      <formula>SEARCH("INTERROTTO",$M44)&gt;0</formula>
    </cfRule>
  </conditionalFormatting>
  <conditionalFormatting sqref="E43:G43 N43:Q43">
    <cfRule type="expression" dxfId="6945" priority="715">
      <formula>SEARCH("IN CORSO",$M43)&gt;0</formula>
    </cfRule>
    <cfRule type="expression" dxfId="6944" priority="716">
      <formula>SEARCH("CHIUSO",$M43)&gt;0</formula>
    </cfRule>
    <cfRule type="expression" dxfId="6943" priority="717">
      <formula>SEARCH("EMESSO",$M43)&gt;0</formula>
    </cfRule>
    <cfRule type="expression" dxfId="6942" priority="718">
      <formula>SEARCH("RICHIESTO",$M43)&gt;0</formula>
    </cfRule>
    <cfRule type="expression" dxfId="6941" priority="719">
      <formula>SEARCH("DA CHIUDERE",$M43)&gt;0</formula>
    </cfRule>
    <cfRule type="expression" dxfId="6940" priority="720">
      <formula>SEARCH("INTERROTTO",$M43)&gt;0</formula>
    </cfRule>
  </conditionalFormatting>
  <conditionalFormatting sqref="R43:S43">
    <cfRule type="expression" dxfId="6939" priority="709">
      <formula>SEARCH("IN CORSO",$M43)&gt;0</formula>
    </cfRule>
    <cfRule type="expression" dxfId="6938" priority="710">
      <formula>SEARCH("CHIUSO",$M43)&gt;0</formula>
    </cfRule>
    <cfRule type="expression" dxfId="6937" priority="711">
      <formula>SEARCH("EMESSO",$M43)&gt;0</formula>
    </cfRule>
    <cfRule type="expression" dxfId="6936" priority="712">
      <formula>SEARCH("RICHIESTO",$M43)&gt;0</formula>
    </cfRule>
    <cfRule type="expression" dxfId="6935" priority="713">
      <formula>SEARCH("DA CHIUDERE",$M43)&gt;0</formula>
    </cfRule>
    <cfRule type="expression" dxfId="6934" priority="714">
      <formula>SEARCH("INTERROTTO",$M43)&gt;0</formula>
    </cfRule>
  </conditionalFormatting>
  <conditionalFormatting sqref="M43">
    <cfRule type="expression" dxfId="6933" priority="703">
      <formula>SEARCH("IN CORSO",$M43)&gt;0</formula>
    </cfRule>
    <cfRule type="expression" dxfId="6932" priority="704">
      <formula>SEARCH("CHIUSO",$M43)&gt;0</formula>
    </cfRule>
    <cfRule type="expression" dxfId="6931" priority="705">
      <formula>SEARCH("EMESSO",$M43)&gt;0</formula>
    </cfRule>
    <cfRule type="expression" dxfId="6930" priority="706">
      <formula>SEARCH("RICHIESTO",$M43)&gt;0</formula>
    </cfRule>
    <cfRule type="expression" dxfId="6929" priority="707">
      <formula>SEARCH("DA CHIUDERE",$M43)&gt;0</formula>
    </cfRule>
    <cfRule type="expression" dxfId="6928" priority="708">
      <formula>SEARCH("INTERROTTO",$M43)&gt;0</formula>
    </cfRule>
  </conditionalFormatting>
  <conditionalFormatting sqref="E42:G42 N42:Q42">
    <cfRule type="expression" dxfId="6927" priority="697">
      <formula>SEARCH("IN CORSO",$M42)&gt;0</formula>
    </cfRule>
    <cfRule type="expression" dxfId="6926" priority="698">
      <formula>SEARCH("CHIUSO",$M42)&gt;0</formula>
    </cfRule>
    <cfRule type="expression" dxfId="6925" priority="699">
      <formula>SEARCH("EMESSO",$M42)&gt;0</formula>
    </cfRule>
    <cfRule type="expression" dxfId="6924" priority="700">
      <formula>SEARCH("RICHIESTO",$M42)&gt;0</formula>
    </cfRule>
    <cfRule type="expression" dxfId="6923" priority="701">
      <formula>SEARCH("DA CHIUDERE",$M42)&gt;0</formula>
    </cfRule>
    <cfRule type="expression" dxfId="6922" priority="702">
      <formula>SEARCH("INTERROTTO",$M42)&gt;0</formula>
    </cfRule>
  </conditionalFormatting>
  <conditionalFormatting sqref="R42:S42">
    <cfRule type="expression" dxfId="6921" priority="691">
      <formula>SEARCH("IN CORSO",$M42)&gt;0</formula>
    </cfRule>
    <cfRule type="expression" dxfId="6920" priority="692">
      <formula>SEARCH("CHIUSO",$M42)&gt;0</formula>
    </cfRule>
    <cfRule type="expression" dxfId="6919" priority="693">
      <formula>SEARCH("EMESSO",$M42)&gt;0</formula>
    </cfRule>
    <cfRule type="expression" dxfId="6918" priority="694">
      <formula>SEARCH("RICHIESTO",$M42)&gt;0</formula>
    </cfRule>
    <cfRule type="expression" dxfId="6917" priority="695">
      <formula>SEARCH("DA CHIUDERE",$M42)&gt;0</formula>
    </cfRule>
    <cfRule type="expression" dxfId="6916" priority="696">
      <formula>SEARCH("INTERROTTO",$M42)&gt;0</formula>
    </cfRule>
  </conditionalFormatting>
  <conditionalFormatting sqref="M42">
    <cfRule type="expression" dxfId="6915" priority="685">
      <formula>SEARCH("IN CORSO",$M42)&gt;0</formula>
    </cfRule>
    <cfRule type="expression" dxfId="6914" priority="686">
      <formula>SEARCH("CHIUSO",$M42)&gt;0</formula>
    </cfRule>
    <cfRule type="expression" dxfId="6913" priority="687">
      <formula>SEARCH("EMESSO",$M42)&gt;0</formula>
    </cfRule>
    <cfRule type="expression" dxfId="6912" priority="688">
      <formula>SEARCH("RICHIESTO",$M42)&gt;0</formula>
    </cfRule>
    <cfRule type="expression" dxfId="6911" priority="689">
      <formula>SEARCH("DA CHIUDERE",$M42)&gt;0</formula>
    </cfRule>
    <cfRule type="expression" dxfId="6910" priority="690">
      <formula>SEARCH("INTERROTTO",$M42)&gt;0</formula>
    </cfRule>
  </conditionalFormatting>
  <conditionalFormatting sqref="E41:G41 N41:Q41">
    <cfRule type="expression" dxfId="6909" priority="679">
      <formula>SEARCH("IN CORSO",$M41)&gt;0</formula>
    </cfRule>
    <cfRule type="expression" dxfId="6908" priority="680">
      <formula>SEARCH("CHIUSO",$M41)&gt;0</formula>
    </cfRule>
    <cfRule type="expression" dxfId="6907" priority="681">
      <formula>SEARCH("EMESSO",$M41)&gt;0</formula>
    </cfRule>
    <cfRule type="expression" dxfId="6906" priority="682">
      <formula>SEARCH("RICHIESTO",$M41)&gt;0</formula>
    </cfRule>
    <cfRule type="expression" dxfId="6905" priority="683">
      <formula>SEARCH("DA CHIUDERE",$M41)&gt;0</formula>
    </cfRule>
    <cfRule type="expression" dxfId="6904" priority="684">
      <formula>SEARCH("INTERROTTO",$M41)&gt;0</formula>
    </cfRule>
  </conditionalFormatting>
  <conditionalFormatting sqref="R41:S41">
    <cfRule type="expression" dxfId="6903" priority="673">
      <formula>SEARCH("IN CORSO",$M41)&gt;0</formula>
    </cfRule>
    <cfRule type="expression" dxfId="6902" priority="674">
      <formula>SEARCH("CHIUSO",$M41)&gt;0</formula>
    </cfRule>
    <cfRule type="expression" dxfId="6901" priority="675">
      <formula>SEARCH("EMESSO",$M41)&gt;0</formula>
    </cfRule>
    <cfRule type="expression" dxfId="6900" priority="676">
      <formula>SEARCH("RICHIESTO",$M41)&gt;0</formula>
    </cfRule>
    <cfRule type="expression" dxfId="6899" priority="677">
      <formula>SEARCH("DA CHIUDERE",$M41)&gt;0</formula>
    </cfRule>
    <cfRule type="expression" dxfId="6898" priority="678">
      <formula>SEARCH("INTERROTTO",$M41)&gt;0</formula>
    </cfRule>
  </conditionalFormatting>
  <conditionalFormatting sqref="M41">
    <cfRule type="expression" dxfId="6897" priority="667">
      <formula>SEARCH("IN CORSO",$M41)&gt;0</formula>
    </cfRule>
    <cfRule type="expression" dxfId="6896" priority="668">
      <formula>SEARCH("CHIUSO",$M41)&gt;0</formula>
    </cfRule>
    <cfRule type="expression" dxfId="6895" priority="669">
      <formula>SEARCH("EMESSO",$M41)&gt;0</formula>
    </cfRule>
    <cfRule type="expression" dxfId="6894" priority="670">
      <formula>SEARCH("RICHIESTO",$M41)&gt;0</formula>
    </cfRule>
    <cfRule type="expression" dxfId="6893" priority="671">
      <formula>SEARCH("DA CHIUDERE",$M41)&gt;0</formula>
    </cfRule>
    <cfRule type="expression" dxfId="6892" priority="672">
      <formula>SEARCH("INTERROTTO",$M41)&gt;0</formula>
    </cfRule>
  </conditionalFormatting>
  <conditionalFormatting sqref="E40:G40 N40:Q40">
    <cfRule type="expression" dxfId="6891" priority="661">
      <formula>SEARCH("IN CORSO",$M40)&gt;0</formula>
    </cfRule>
    <cfRule type="expression" dxfId="6890" priority="662">
      <formula>SEARCH("CHIUSO",$M40)&gt;0</formula>
    </cfRule>
    <cfRule type="expression" dxfId="6889" priority="663">
      <formula>SEARCH("EMESSO",$M40)&gt;0</formula>
    </cfRule>
    <cfRule type="expression" dxfId="6888" priority="664">
      <formula>SEARCH("RICHIESTO",$M40)&gt;0</formula>
    </cfRule>
    <cfRule type="expression" dxfId="6887" priority="665">
      <formula>SEARCH("DA CHIUDERE",$M40)&gt;0</formula>
    </cfRule>
    <cfRule type="expression" dxfId="6886" priority="666">
      <formula>SEARCH("INTERROTTO",$M40)&gt;0</formula>
    </cfRule>
  </conditionalFormatting>
  <conditionalFormatting sqref="R40:S40">
    <cfRule type="expression" dxfId="6885" priority="655">
      <formula>SEARCH("IN CORSO",$M40)&gt;0</formula>
    </cfRule>
    <cfRule type="expression" dxfId="6884" priority="656">
      <formula>SEARCH("CHIUSO",$M40)&gt;0</formula>
    </cfRule>
    <cfRule type="expression" dxfId="6883" priority="657">
      <formula>SEARCH("EMESSO",$M40)&gt;0</formula>
    </cfRule>
    <cfRule type="expression" dxfId="6882" priority="658">
      <formula>SEARCH("RICHIESTO",$M40)&gt;0</formula>
    </cfRule>
    <cfRule type="expression" dxfId="6881" priority="659">
      <formula>SEARCH("DA CHIUDERE",$M40)&gt;0</formula>
    </cfRule>
    <cfRule type="expression" dxfId="6880" priority="660">
      <formula>SEARCH("INTERROTTO",$M40)&gt;0</formula>
    </cfRule>
  </conditionalFormatting>
  <conditionalFormatting sqref="M40">
    <cfRule type="expression" dxfId="6879" priority="649">
      <formula>SEARCH("IN CORSO",$M40)&gt;0</formula>
    </cfRule>
    <cfRule type="expression" dxfId="6878" priority="650">
      <formula>SEARCH("CHIUSO",$M40)&gt;0</formula>
    </cfRule>
    <cfRule type="expression" dxfId="6877" priority="651">
      <formula>SEARCH("EMESSO",$M40)&gt;0</formula>
    </cfRule>
    <cfRule type="expression" dxfId="6876" priority="652">
      <formula>SEARCH("RICHIESTO",$M40)&gt;0</formula>
    </cfRule>
    <cfRule type="expression" dxfId="6875" priority="653">
      <formula>SEARCH("DA CHIUDERE",$M40)&gt;0</formula>
    </cfRule>
    <cfRule type="expression" dxfId="6874" priority="654">
      <formula>SEARCH("INTERROTTO",$M40)&gt;0</formula>
    </cfRule>
  </conditionalFormatting>
  <conditionalFormatting sqref="E39:G39 N39:Q39">
    <cfRule type="expression" dxfId="6873" priority="643">
      <formula>SEARCH("IN CORSO",$M39)&gt;0</formula>
    </cfRule>
    <cfRule type="expression" dxfId="6872" priority="644">
      <formula>SEARCH("CHIUSO",$M39)&gt;0</formula>
    </cfRule>
    <cfRule type="expression" dxfId="6871" priority="645">
      <formula>SEARCH("EMESSO",$M39)&gt;0</formula>
    </cfRule>
    <cfRule type="expression" dxfId="6870" priority="646">
      <formula>SEARCH("RICHIESTO",$M39)&gt;0</formula>
    </cfRule>
    <cfRule type="expression" dxfId="6869" priority="647">
      <formula>SEARCH("DA CHIUDERE",$M39)&gt;0</formula>
    </cfRule>
    <cfRule type="expression" dxfId="6868" priority="648">
      <formula>SEARCH("INTERROTTO",$M39)&gt;0</formula>
    </cfRule>
  </conditionalFormatting>
  <conditionalFormatting sqref="R39:S39">
    <cfRule type="expression" dxfId="6867" priority="637">
      <formula>SEARCH("IN CORSO",$M39)&gt;0</formula>
    </cfRule>
    <cfRule type="expression" dxfId="6866" priority="638">
      <formula>SEARCH("CHIUSO",$M39)&gt;0</formula>
    </cfRule>
    <cfRule type="expression" dxfId="6865" priority="639">
      <formula>SEARCH("EMESSO",$M39)&gt;0</formula>
    </cfRule>
    <cfRule type="expression" dxfId="6864" priority="640">
      <formula>SEARCH("RICHIESTO",$M39)&gt;0</formula>
    </cfRule>
    <cfRule type="expression" dxfId="6863" priority="641">
      <formula>SEARCH("DA CHIUDERE",$M39)&gt;0</formula>
    </cfRule>
    <cfRule type="expression" dxfId="6862" priority="642">
      <formula>SEARCH("INTERROTTO",$M39)&gt;0</formula>
    </cfRule>
  </conditionalFormatting>
  <conditionalFormatting sqref="M39">
    <cfRule type="expression" dxfId="6861" priority="631">
      <formula>SEARCH("IN CORSO",$M39)&gt;0</formula>
    </cfRule>
    <cfRule type="expression" dxfId="6860" priority="632">
      <formula>SEARCH("CHIUSO",$M39)&gt;0</formula>
    </cfRule>
    <cfRule type="expression" dxfId="6859" priority="633">
      <formula>SEARCH("EMESSO",$M39)&gt;0</formula>
    </cfRule>
    <cfRule type="expression" dxfId="6858" priority="634">
      <formula>SEARCH("RICHIESTO",$M39)&gt;0</formula>
    </cfRule>
    <cfRule type="expression" dxfId="6857" priority="635">
      <formula>SEARCH("DA CHIUDERE",$M39)&gt;0</formula>
    </cfRule>
    <cfRule type="expression" dxfId="6856" priority="636">
      <formula>SEARCH("INTERROTTO",$M39)&gt;0</formula>
    </cfRule>
  </conditionalFormatting>
  <conditionalFormatting sqref="E38:G38 N38:Q38">
    <cfRule type="expression" dxfId="6855" priority="625">
      <formula>SEARCH("IN CORSO",$M38)&gt;0</formula>
    </cfRule>
    <cfRule type="expression" dxfId="6854" priority="626">
      <formula>SEARCH("CHIUSO",$M38)&gt;0</formula>
    </cfRule>
    <cfRule type="expression" dxfId="6853" priority="627">
      <formula>SEARCH("EMESSO",$M38)&gt;0</formula>
    </cfRule>
    <cfRule type="expression" dxfId="6852" priority="628">
      <formula>SEARCH("RICHIESTO",$M38)&gt;0</formula>
    </cfRule>
    <cfRule type="expression" dxfId="6851" priority="629">
      <formula>SEARCH("DA CHIUDERE",$M38)&gt;0</formula>
    </cfRule>
    <cfRule type="expression" dxfId="6850" priority="630">
      <formula>SEARCH("INTERROTTO",$M38)&gt;0</formula>
    </cfRule>
  </conditionalFormatting>
  <conditionalFormatting sqref="R38:S38">
    <cfRule type="expression" dxfId="6849" priority="619">
      <formula>SEARCH("IN CORSO",$M38)&gt;0</formula>
    </cfRule>
    <cfRule type="expression" dxfId="6848" priority="620">
      <formula>SEARCH("CHIUSO",$M38)&gt;0</formula>
    </cfRule>
    <cfRule type="expression" dxfId="6847" priority="621">
      <formula>SEARCH("EMESSO",$M38)&gt;0</formula>
    </cfRule>
    <cfRule type="expression" dxfId="6846" priority="622">
      <formula>SEARCH("RICHIESTO",$M38)&gt;0</formula>
    </cfRule>
    <cfRule type="expression" dxfId="6845" priority="623">
      <formula>SEARCH("DA CHIUDERE",$M38)&gt;0</formula>
    </cfRule>
    <cfRule type="expression" dxfId="6844" priority="624">
      <formula>SEARCH("INTERROTTO",$M38)&gt;0</formula>
    </cfRule>
  </conditionalFormatting>
  <conditionalFormatting sqref="M38">
    <cfRule type="expression" dxfId="6843" priority="613">
      <formula>SEARCH("IN CORSO",$M38)&gt;0</formula>
    </cfRule>
    <cfRule type="expression" dxfId="6842" priority="614">
      <formula>SEARCH("CHIUSO",$M38)&gt;0</formula>
    </cfRule>
    <cfRule type="expression" dxfId="6841" priority="615">
      <formula>SEARCH("EMESSO",$M38)&gt;0</formula>
    </cfRule>
    <cfRule type="expression" dxfId="6840" priority="616">
      <formula>SEARCH("RICHIESTO",$M38)&gt;0</formula>
    </cfRule>
    <cfRule type="expression" dxfId="6839" priority="617">
      <formula>SEARCH("DA CHIUDERE",$M38)&gt;0</formula>
    </cfRule>
    <cfRule type="expression" dxfId="6838" priority="618">
      <formula>SEARCH("INTERROTTO",$M38)&gt;0</formula>
    </cfRule>
  </conditionalFormatting>
  <conditionalFormatting sqref="E37:G37 N37:Q37">
    <cfRule type="expression" dxfId="6837" priority="607">
      <formula>SEARCH("IN CORSO",$M37)&gt;0</formula>
    </cfRule>
    <cfRule type="expression" dxfId="6836" priority="608">
      <formula>SEARCH("CHIUSO",$M37)&gt;0</formula>
    </cfRule>
    <cfRule type="expression" dxfId="6835" priority="609">
      <formula>SEARCH("EMESSO",$M37)&gt;0</formula>
    </cfRule>
    <cfRule type="expression" dxfId="6834" priority="610">
      <formula>SEARCH("RICHIESTO",$M37)&gt;0</formula>
    </cfRule>
    <cfRule type="expression" dxfId="6833" priority="611">
      <formula>SEARCH("DA CHIUDERE",$M37)&gt;0</formula>
    </cfRule>
    <cfRule type="expression" dxfId="6832" priority="612">
      <formula>SEARCH("INTERROTTO",$M37)&gt;0</formula>
    </cfRule>
  </conditionalFormatting>
  <conditionalFormatting sqref="R37:S37">
    <cfRule type="expression" dxfId="6831" priority="601">
      <formula>SEARCH("IN CORSO",$M37)&gt;0</formula>
    </cfRule>
    <cfRule type="expression" dxfId="6830" priority="602">
      <formula>SEARCH("CHIUSO",$M37)&gt;0</formula>
    </cfRule>
    <cfRule type="expression" dxfId="6829" priority="603">
      <formula>SEARCH("EMESSO",$M37)&gt;0</formula>
    </cfRule>
    <cfRule type="expression" dxfId="6828" priority="604">
      <formula>SEARCH("RICHIESTO",$M37)&gt;0</formula>
    </cfRule>
    <cfRule type="expression" dxfId="6827" priority="605">
      <formula>SEARCH("DA CHIUDERE",$M37)&gt;0</formula>
    </cfRule>
    <cfRule type="expression" dxfId="6826" priority="606">
      <formula>SEARCH("INTERROTTO",$M37)&gt;0</formula>
    </cfRule>
  </conditionalFormatting>
  <conditionalFormatting sqref="M37">
    <cfRule type="expression" dxfId="6825" priority="595">
      <formula>SEARCH("IN CORSO",$M37)&gt;0</formula>
    </cfRule>
    <cfRule type="expression" dxfId="6824" priority="596">
      <formula>SEARCH("CHIUSO",$M37)&gt;0</formula>
    </cfRule>
    <cfRule type="expression" dxfId="6823" priority="597">
      <formula>SEARCH("EMESSO",$M37)&gt;0</formula>
    </cfRule>
    <cfRule type="expression" dxfId="6822" priority="598">
      <formula>SEARCH("RICHIESTO",$M37)&gt;0</formula>
    </cfRule>
    <cfRule type="expression" dxfId="6821" priority="599">
      <formula>SEARCH("DA CHIUDERE",$M37)&gt;0</formula>
    </cfRule>
    <cfRule type="expression" dxfId="6820" priority="600">
      <formula>SEARCH("INTERROTTO",$M37)&gt;0</formula>
    </cfRule>
  </conditionalFormatting>
  <conditionalFormatting sqref="E36:G36 N36:Q36">
    <cfRule type="expression" dxfId="6819" priority="589">
      <formula>SEARCH("IN CORSO",$M36)&gt;0</formula>
    </cfRule>
    <cfRule type="expression" dxfId="6818" priority="590">
      <formula>SEARCH("CHIUSO",$M36)&gt;0</formula>
    </cfRule>
    <cfRule type="expression" dxfId="6817" priority="591">
      <formula>SEARCH("EMESSO",$M36)&gt;0</formula>
    </cfRule>
    <cfRule type="expression" dxfId="6816" priority="592">
      <formula>SEARCH("RICHIESTO",$M36)&gt;0</formula>
    </cfRule>
    <cfRule type="expression" dxfId="6815" priority="593">
      <formula>SEARCH("DA CHIUDERE",$M36)&gt;0</formula>
    </cfRule>
    <cfRule type="expression" dxfId="6814" priority="594">
      <formula>SEARCH("INTERROTTO",$M36)&gt;0</formula>
    </cfRule>
  </conditionalFormatting>
  <conditionalFormatting sqref="R36:S36">
    <cfRule type="expression" dxfId="6813" priority="583">
      <formula>SEARCH("IN CORSO",$M36)&gt;0</formula>
    </cfRule>
    <cfRule type="expression" dxfId="6812" priority="584">
      <formula>SEARCH("CHIUSO",$M36)&gt;0</formula>
    </cfRule>
    <cfRule type="expression" dxfId="6811" priority="585">
      <formula>SEARCH("EMESSO",$M36)&gt;0</formula>
    </cfRule>
    <cfRule type="expression" dxfId="6810" priority="586">
      <formula>SEARCH("RICHIESTO",$M36)&gt;0</formula>
    </cfRule>
    <cfRule type="expression" dxfId="6809" priority="587">
      <formula>SEARCH("DA CHIUDERE",$M36)&gt;0</formula>
    </cfRule>
    <cfRule type="expression" dxfId="6808" priority="588">
      <formula>SEARCH("INTERROTTO",$M36)&gt;0</formula>
    </cfRule>
  </conditionalFormatting>
  <conditionalFormatting sqref="M36">
    <cfRule type="expression" dxfId="6807" priority="577">
      <formula>SEARCH("IN CORSO",$M36)&gt;0</formula>
    </cfRule>
    <cfRule type="expression" dxfId="6806" priority="578">
      <formula>SEARCH("CHIUSO",$M36)&gt;0</formula>
    </cfRule>
    <cfRule type="expression" dxfId="6805" priority="579">
      <formula>SEARCH("EMESSO",$M36)&gt;0</formula>
    </cfRule>
    <cfRule type="expression" dxfId="6804" priority="580">
      <formula>SEARCH("RICHIESTO",$M36)&gt;0</formula>
    </cfRule>
    <cfRule type="expression" dxfId="6803" priority="581">
      <formula>SEARCH("DA CHIUDERE",$M36)&gt;0</formula>
    </cfRule>
    <cfRule type="expression" dxfId="6802" priority="582">
      <formula>SEARCH("INTERROTTO",$M36)&gt;0</formula>
    </cfRule>
  </conditionalFormatting>
  <conditionalFormatting sqref="E35:G35 N35:Q35">
    <cfRule type="expression" dxfId="6801" priority="571">
      <formula>SEARCH("IN CORSO",$M35)&gt;0</formula>
    </cfRule>
    <cfRule type="expression" dxfId="6800" priority="572">
      <formula>SEARCH("CHIUSO",$M35)&gt;0</formula>
    </cfRule>
    <cfRule type="expression" dxfId="6799" priority="573">
      <formula>SEARCH("EMESSO",$M35)&gt;0</formula>
    </cfRule>
    <cfRule type="expression" dxfId="6798" priority="574">
      <formula>SEARCH("RICHIESTO",$M35)&gt;0</formula>
    </cfRule>
    <cfRule type="expression" dxfId="6797" priority="575">
      <formula>SEARCH("DA CHIUDERE",$M35)&gt;0</formula>
    </cfRule>
    <cfRule type="expression" dxfId="6796" priority="576">
      <formula>SEARCH("INTERROTTO",$M35)&gt;0</formula>
    </cfRule>
  </conditionalFormatting>
  <conditionalFormatting sqref="R35:S35">
    <cfRule type="expression" dxfId="6795" priority="565">
      <formula>SEARCH("IN CORSO",$M35)&gt;0</formula>
    </cfRule>
    <cfRule type="expression" dxfId="6794" priority="566">
      <formula>SEARCH("CHIUSO",$M35)&gt;0</formula>
    </cfRule>
    <cfRule type="expression" dxfId="6793" priority="567">
      <formula>SEARCH("EMESSO",$M35)&gt;0</formula>
    </cfRule>
    <cfRule type="expression" dxfId="6792" priority="568">
      <formula>SEARCH("RICHIESTO",$M35)&gt;0</formula>
    </cfRule>
    <cfRule type="expression" dxfId="6791" priority="569">
      <formula>SEARCH("DA CHIUDERE",$M35)&gt;0</formula>
    </cfRule>
    <cfRule type="expression" dxfId="6790" priority="570">
      <formula>SEARCH("INTERROTTO",$M35)&gt;0</formula>
    </cfRule>
  </conditionalFormatting>
  <conditionalFormatting sqref="M35">
    <cfRule type="expression" dxfId="6789" priority="559">
      <formula>SEARCH("IN CORSO",$M35)&gt;0</formula>
    </cfRule>
    <cfRule type="expression" dxfId="6788" priority="560">
      <formula>SEARCH("CHIUSO",$M35)&gt;0</formula>
    </cfRule>
    <cfRule type="expression" dxfId="6787" priority="561">
      <formula>SEARCH("EMESSO",$M35)&gt;0</formula>
    </cfRule>
    <cfRule type="expression" dxfId="6786" priority="562">
      <formula>SEARCH("RICHIESTO",$M35)&gt;0</formula>
    </cfRule>
    <cfRule type="expression" dxfId="6785" priority="563">
      <formula>SEARCH("DA CHIUDERE",$M35)&gt;0</formula>
    </cfRule>
    <cfRule type="expression" dxfId="6784" priority="564">
      <formula>SEARCH("INTERROTTO",$M35)&gt;0</formula>
    </cfRule>
  </conditionalFormatting>
  <conditionalFormatting sqref="E34:G34 N34:Q34">
    <cfRule type="expression" dxfId="6783" priority="553">
      <formula>SEARCH("IN CORSO",$M34)&gt;0</formula>
    </cfRule>
    <cfRule type="expression" dxfId="6782" priority="554">
      <formula>SEARCH("CHIUSO",$M34)&gt;0</formula>
    </cfRule>
    <cfRule type="expression" dxfId="6781" priority="555">
      <formula>SEARCH("EMESSO",$M34)&gt;0</formula>
    </cfRule>
    <cfRule type="expression" dxfId="6780" priority="556">
      <formula>SEARCH("RICHIESTO",$M34)&gt;0</formula>
    </cfRule>
    <cfRule type="expression" dxfId="6779" priority="557">
      <formula>SEARCH("DA CHIUDERE",$M34)&gt;0</formula>
    </cfRule>
    <cfRule type="expression" dxfId="6778" priority="558">
      <formula>SEARCH("INTERROTTO",$M34)&gt;0</formula>
    </cfRule>
  </conditionalFormatting>
  <conditionalFormatting sqref="R34:S34">
    <cfRule type="expression" dxfId="6777" priority="547">
      <formula>SEARCH("IN CORSO",$M34)&gt;0</formula>
    </cfRule>
    <cfRule type="expression" dxfId="6776" priority="548">
      <formula>SEARCH("CHIUSO",$M34)&gt;0</formula>
    </cfRule>
    <cfRule type="expression" dxfId="6775" priority="549">
      <formula>SEARCH("EMESSO",$M34)&gt;0</formula>
    </cfRule>
    <cfRule type="expression" dxfId="6774" priority="550">
      <formula>SEARCH("RICHIESTO",$M34)&gt;0</formula>
    </cfRule>
    <cfRule type="expression" dxfId="6773" priority="551">
      <formula>SEARCH("DA CHIUDERE",$M34)&gt;0</formula>
    </cfRule>
    <cfRule type="expression" dxfId="6772" priority="552">
      <formula>SEARCH("INTERROTTO",$M34)&gt;0</formula>
    </cfRule>
  </conditionalFormatting>
  <conditionalFormatting sqref="M34">
    <cfRule type="expression" dxfId="6771" priority="541">
      <formula>SEARCH("IN CORSO",$M34)&gt;0</formula>
    </cfRule>
    <cfRule type="expression" dxfId="6770" priority="542">
      <formula>SEARCH("CHIUSO",$M34)&gt;0</formula>
    </cfRule>
    <cfRule type="expression" dxfId="6769" priority="543">
      <formula>SEARCH("EMESSO",$M34)&gt;0</formula>
    </cfRule>
    <cfRule type="expression" dxfId="6768" priority="544">
      <formula>SEARCH("RICHIESTO",$M34)&gt;0</formula>
    </cfRule>
    <cfRule type="expression" dxfId="6767" priority="545">
      <formula>SEARCH("DA CHIUDERE",$M34)&gt;0</formula>
    </cfRule>
    <cfRule type="expression" dxfId="6766" priority="546">
      <formula>SEARCH("INTERROTTO",$M34)&gt;0</formula>
    </cfRule>
  </conditionalFormatting>
  <conditionalFormatting sqref="E33:G33 N33:Q33">
    <cfRule type="expression" dxfId="6765" priority="535">
      <formula>SEARCH("IN CORSO",$M33)&gt;0</formula>
    </cfRule>
    <cfRule type="expression" dxfId="6764" priority="536">
      <formula>SEARCH("CHIUSO",$M33)&gt;0</formula>
    </cfRule>
    <cfRule type="expression" dxfId="6763" priority="537">
      <formula>SEARCH("EMESSO",$M33)&gt;0</formula>
    </cfRule>
    <cfRule type="expression" dxfId="6762" priority="538">
      <formula>SEARCH("RICHIESTO",$M33)&gt;0</formula>
    </cfRule>
    <cfRule type="expression" dxfId="6761" priority="539">
      <formula>SEARCH("DA CHIUDERE",$M33)&gt;0</formula>
    </cfRule>
    <cfRule type="expression" dxfId="6760" priority="540">
      <formula>SEARCH("INTERROTTO",$M33)&gt;0</formula>
    </cfRule>
  </conditionalFormatting>
  <conditionalFormatting sqref="R33:S33">
    <cfRule type="expression" dxfId="6759" priority="529">
      <formula>SEARCH("IN CORSO",$M33)&gt;0</formula>
    </cfRule>
    <cfRule type="expression" dxfId="6758" priority="530">
      <formula>SEARCH("CHIUSO",$M33)&gt;0</formula>
    </cfRule>
    <cfRule type="expression" dxfId="6757" priority="531">
      <formula>SEARCH("EMESSO",$M33)&gt;0</formula>
    </cfRule>
    <cfRule type="expression" dxfId="6756" priority="532">
      <formula>SEARCH("RICHIESTO",$M33)&gt;0</formula>
    </cfRule>
    <cfRule type="expression" dxfId="6755" priority="533">
      <formula>SEARCH("DA CHIUDERE",$M33)&gt;0</formula>
    </cfRule>
    <cfRule type="expression" dxfId="6754" priority="534">
      <formula>SEARCH("INTERROTTO",$M33)&gt;0</formula>
    </cfRule>
  </conditionalFormatting>
  <conditionalFormatting sqref="M33">
    <cfRule type="expression" dxfId="6753" priority="523">
      <formula>SEARCH("IN CORSO",$M33)&gt;0</formula>
    </cfRule>
    <cfRule type="expression" dxfId="6752" priority="524">
      <formula>SEARCH("CHIUSO",$M33)&gt;0</formula>
    </cfRule>
    <cfRule type="expression" dxfId="6751" priority="525">
      <formula>SEARCH("EMESSO",$M33)&gt;0</formula>
    </cfRule>
    <cfRule type="expression" dxfId="6750" priority="526">
      <formula>SEARCH("RICHIESTO",$M33)&gt;0</formula>
    </cfRule>
    <cfRule type="expression" dxfId="6749" priority="527">
      <formula>SEARCH("DA CHIUDERE",$M33)&gt;0</formula>
    </cfRule>
    <cfRule type="expression" dxfId="6748" priority="528">
      <formula>SEARCH("INTERROTTO",$M33)&gt;0</formula>
    </cfRule>
  </conditionalFormatting>
  <conditionalFormatting sqref="E32:G32 N32:Q32">
    <cfRule type="expression" dxfId="6747" priority="517">
      <formula>SEARCH("IN CORSO",$M32)&gt;0</formula>
    </cfRule>
    <cfRule type="expression" dxfId="6746" priority="518">
      <formula>SEARCH("CHIUSO",$M32)&gt;0</formula>
    </cfRule>
    <cfRule type="expression" dxfId="6745" priority="519">
      <formula>SEARCH("EMESSO",$M32)&gt;0</formula>
    </cfRule>
    <cfRule type="expression" dxfId="6744" priority="520">
      <formula>SEARCH("RICHIESTO",$M32)&gt;0</formula>
    </cfRule>
    <cfRule type="expression" dxfId="6743" priority="521">
      <formula>SEARCH("DA CHIUDERE",$M32)&gt;0</formula>
    </cfRule>
    <cfRule type="expression" dxfId="6742" priority="522">
      <formula>SEARCH("INTERROTTO",$M32)&gt;0</formula>
    </cfRule>
  </conditionalFormatting>
  <conditionalFormatting sqref="R32:S32">
    <cfRule type="expression" dxfId="6741" priority="511">
      <formula>SEARCH("IN CORSO",$M32)&gt;0</formula>
    </cfRule>
    <cfRule type="expression" dxfId="6740" priority="512">
      <formula>SEARCH("CHIUSO",$M32)&gt;0</formula>
    </cfRule>
    <cfRule type="expression" dxfId="6739" priority="513">
      <formula>SEARCH("EMESSO",$M32)&gt;0</formula>
    </cfRule>
    <cfRule type="expression" dxfId="6738" priority="514">
      <formula>SEARCH("RICHIESTO",$M32)&gt;0</formula>
    </cfRule>
    <cfRule type="expression" dxfId="6737" priority="515">
      <formula>SEARCH("DA CHIUDERE",$M32)&gt;0</formula>
    </cfRule>
    <cfRule type="expression" dxfId="6736" priority="516">
      <formula>SEARCH("INTERROTTO",$M32)&gt;0</formula>
    </cfRule>
  </conditionalFormatting>
  <conditionalFormatting sqref="M32">
    <cfRule type="expression" dxfId="6735" priority="505">
      <formula>SEARCH("IN CORSO",$M32)&gt;0</formula>
    </cfRule>
    <cfRule type="expression" dxfId="6734" priority="506">
      <formula>SEARCH("CHIUSO",$M32)&gt;0</formula>
    </cfRule>
    <cfRule type="expression" dxfId="6733" priority="507">
      <formula>SEARCH("EMESSO",$M32)&gt;0</formula>
    </cfRule>
    <cfRule type="expression" dxfId="6732" priority="508">
      <formula>SEARCH("RICHIESTO",$M32)&gt;0</formula>
    </cfRule>
    <cfRule type="expression" dxfId="6731" priority="509">
      <formula>SEARCH("DA CHIUDERE",$M32)&gt;0</formula>
    </cfRule>
    <cfRule type="expression" dxfId="6730" priority="510">
      <formula>SEARCH("INTERROTTO",$M32)&gt;0</formula>
    </cfRule>
  </conditionalFormatting>
  <conditionalFormatting sqref="E31:G31 N31:Q31">
    <cfRule type="expression" dxfId="6729" priority="499">
      <formula>SEARCH("IN CORSO",$M31)&gt;0</formula>
    </cfRule>
    <cfRule type="expression" dxfId="6728" priority="500">
      <formula>SEARCH("CHIUSO",$M31)&gt;0</formula>
    </cfRule>
    <cfRule type="expression" dxfId="6727" priority="501">
      <formula>SEARCH("EMESSO",$M31)&gt;0</formula>
    </cfRule>
    <cfRule type="expression" dxfId="6726" priority="502">
      <formula>SEARCH("RICHIESTO",$M31)&gt;0</formula>
    </cfRule>
    <cfRule type="expression" dxfId="6725" priority="503">
      <formula>SEARCH("DA CHIUDERE",$M31)&gt;0</formula>
    </cfRule>
    <cfRule type="expression" dxfId="6724" priority="504">
      <formula>SEARCH("INTERROTTO",$M31)&gt;0</formula>
    </cfRule>
  </conditionalFormatting>
  <conditionalFormatting sqref="R31:S31">
    <cfRule type="expression" dxfId="6723" priority="493">
      <formula>SEARCH("IN CORSO",$M31)&gt;0</formula>
    </cfRule>
    <cfRule type="expression" dxfId="6722" priority="494">
      <formula>SEARCH("CHIUSO",$M31)&gt;0</formula>
    </cfRule>
    <cfRule type="expression" dxfId="6721" priority="495">
      <formula>SEARCH("EMESSO",$M31)&gt;0</formula>
    </cfRule>
    <cfRule type="expression" dxfId="6720" priority="496">
      <formula>SEARCH("RICHIESTO",$M31)&gt;0</formula>
    </cfRule>
    <cfRule type="expression" dxfId="6719" priority="497">
      <formula>SEARCH("DA CHIUDERE",$M31)&gt;0</formula>
    </cfRule>
    <cfRule type="expression" dxfId="6718" priority="498">
      <formula>SEARCH("INTERROTTO",$M31)&gt;0</formula>
    </cfRule>
  </conditionalFormatting>
  <conditionalFormatting sqref="M31">
    <cfRule type="expression" dxfId="6717" priority="487">
      <formula>SEARCH("IN CORSO",$M31)&gt;0</formula>
    </cfRule>
    <cfRule type="expression" dxfId="6716" priority="488">
      <formula>SEARCH("CHIUSO",$M31)&gt;0</formula>
    </cfRule>
    <cfRule type="expression" dxfId="6715" priority="489">
      <formula>SEARCH("EMESSO",$M31)&gt;0</formula>
    </cfRule>
    <cfRule type="expression" dxfId="6714" priority="490">
      <formula>SEARCH("RICHIESTO",$M31)&gt;0</formula>
    </cfRule>
    <cfRule type="expression" dxfId="6713" priority="491">
      <formula>SEARCH("DA CHIUDERE",$M31)&gt;0</formula>
    </cfRule>
    <cfRule type="expression" dxfId="6712" priority="492">
      <formula>SEARCH("INTERROTTO",$M31)&gt;0</formula>
    </cfRule>
  </conditionalFormatting>
  <conditionalFormatting sqref="E30:G30 N30:Q30">
    <cfRule type="expression" dxfId="6711" priority="481">
      <formula>SEARCH("IN CORSO",$M30)&gt;0</formula>
    </cfRule>
    <cfRule type="expression" dxfId="6710" priority="482">
      <formula>SEARCH("CHIUSO",$M30)&gt;0</formula>
    </cfRule>
    <cfRule type="expression" dxfId="6709" priority="483">
      <formula>SEARCH("EMESSO",$M30)&gt;0</formula>
    </cfRule>
    <cfRule type="expression" dxfId="6708" priority="484">
      <formula>SEARCH("RICHIESTO",$M30)&gt;0</formula>
    </cfRule>
    <cfRule type="expression" dxfId="6707" priority="485">
      <formula>SEARCH("DA CHIUDERE",$M30)&gt;0</formula>
    </cfRule>
    <cfRule type="expression" dxfId="6706" priority="486">
      <formula>SEARCH("INTERROTTO",$M30)&gt;0</formula>
    </cfRule>
  </conditionalFormatting>
  <conditionalFormatting sqref="R30:S30">
    <cfRule type="expression" dxfId="6705" priority="475">
      <formula>SEARCH("IN CORSO",$M30)&gt;0</formula>
    </cfRule>
    <cfRule type="expression" dxfId="6704" priority="476">
      <formula>SEARCH("CHIUSO",$M30)&gt;0</formula>
    </cfRule>
    <cfRule type="expression" dxfId="6703" priority="477">
      <formula>SEARCH("EMESSO",$M30)&gt;0</formula>
    </cfRule>
    <cfRule type="expression" dxfId="6702" priority="478">
      <formula>SEARCH("RICHIESTO",$M30)&gt;0</formula>
    </cfRule>
    <cfRule type="expression" dxfId="6701" priority="479">
      <formula>SEARCH("DA CHIUDERE",$M30)&gt;0</formula>
    </cfRule>
    <cfRule type="expression" dxfId="6700" priority="480">
      <formula>SEARCH("INTERROTTO",$M30)&gt;0</formula>
    </cfRule>
  </conditionalFormatting>
  <conditionalFormatting sqref="M30">
    <cfRule type="expression" dxfId="6699" priority="469">
      <formula>SEARCH("IN CORSO",$M30)&gt;0</formula>
    </cfRule>
    <cfRule type="expression" dxfId="6698" priority="470">
      <formula>SEARCH("CHIUSO",$M30)&gt;0</formula>
    </cfRule>
    <cfRule type="expression" dxfId="6697" priority="471">
      <formula>SEARCH("EMESSO",$M30)&gt;0</formula>
    </cfRule>
    <cfRule type="expression" dxfId="6696" priority="472">
      <formula>SEARCH("RICHIESTO",$M30)&gt;0</formula>
    </cfRule>
    <cfRule type="expression" dxfId="6695" priority="473">
      <formula>SEARCH("DA CHIUDERE",$M30)&gt;0</formula>
    </cfRule>
    <cfRule type="expression" dxfId="6694" priority="474">
      <formula>SEARCH("INTERROTTO",$M30)&gt;0</formula>
    </cfRule>
  </conditionalFormatting>
  <conditionalFormatting sqref="E29:G29 N29:Q29">
    <cfRule type="expression" dxfId="6693" priority="463">
      <formula>SEARCH("IN CORSO",$M29)&gt;0</formula>
    </cfRule>
    <cfRule type="expression" dxfId="6692" priority="464">
      <formula>SEARCH("CHIUSO",$M29)&gt;0</formula>
    </cfRule>
    <cfRule type="expression" dxfId="6691" priority="465">
      <formula>SEARCH("EMESSO",$M29)&gt;0</formula>
    </cfRule>
    <cfRule type="expression" dxfId="6690" priority="466">
      <formula>SEARCH("RICHIESTO",$M29)&gt;0</formula>
    </cfRule>
    <cfRule type="expression" dxfId="6689" priority="467">
      <formula>SEARCH("DA CHIUDERE",$M29)&gt;0</formula>
    </cfRule>
    <cfRule type="expression" dxfId="6688" priority="468">
      <formula>SEARCH("INTERROTTO",$M29)&gt;0</formula>
    </cfRule>
  </conditionalFormatting>
  <conditionalFormatting sqref="R29:S29">
    <cfRule type="expression" dxfId="6687" priority="457">
      <formula>SEARCH("IN CORSO",$M29)&gt;0</formula>
    </cfRule>
    <cfRule type="expression" dxfId="6686" priority="458">
      <formula>SEARCH("CHIUSO",$M29)&gt;0</formula>
    </cfRule>
    <cfRule type="expression" dxfId="6685" priority="459">
      <formula>SEARCH("EMESSO",$M29)&gt;0</formula>
    </cfRule>
    <cfRule type="expression" dxfId="6684" priority="460">
      <formula>SEARCH("RICHIESTO",$M29)&gt;0</formula>
    </cfRule>
    <cfRule type="expression" dxfId="6683" priority="461">
      <formula>SEARCH("DA CHIUDERE",$M29)&gt;0</formula>
    </cfRule>
    <cfRule type="expression" dxfId="6682" priority="462">
      <formula>SEARCH("INTERROTTO",$M29)&gt;0</formula>
    </cfRule>
  </conditionalFormatting>
  <conditionalFormatting sqref="M29">
    <cfRule type="expression" dxfId="6681" priority="451">
      <formula>SEARCH("IN CORSO",$M29)&gt;0</formula>
    </cfRule>
    <cfRule type="expression" dxfId="6680" priority="452">
      <formula>SEARCH("CHIUSO",$M29)&gt;0</formula>
    </cfRule>
    <cfRule type="expression" dxfId="6679" priority="453">
      <formula>SEARCH("EMESSO",$M29)&gt;0</formula>
    </cfRule>
    <cfRule type="expression" dxfId="6678" priority="454">
      <formula>SEARCH("RICHIESTO",$M29)&gt;0</formula>
    </cfRule>
    <cfRule type="expression" dxfId="6677" priority="455">
      <formula>SEARCH("DA CHIUDERE",$M29)&gt;0</formula>
    </cfRule>
    <cfRule type="expression" dxfId="6676" priority="456">
      <formula>SEARCH("INTERROTTO",$M29)&gt;0</formula>
    </cfRule>
  </conditionalFormatting>
  <conditionalFormatting sqref="E28:G28 N28:Q28">
    <cfRule type="expression" dxfId="6675" priority="445">
      <formula>SEARCH("IN CORSO",$M28)&gt;0</formula>
    </cfRule>
    <cfRule type="expression" dxfId="6674" priority="446">
      <formula>SEARCH("CHIUSO",$M28)&gt;0</formula>
    </cfRule>
    <cfRule type="expression" dxfId="6673" priority="447">
      <formula>SEARCH("EMESSO",$M28)&gt;0</formula>
    </cfRule>
    <cfRule type="expression" dxfId="6672" priority="448">
      <formula>SEARCH("RICHIESTO",$M28)&gt;0</formula>
    </cfRule>
    <cfRule type="expression" dxfId="6671" priority="449">
      <formula>SEARCH("DA CHIUDERE",$M28)&gt;0</formula>
    </cfRule>
    <cfRule type="expression" dxfId="6670" priority="450">
      <formula>SEARCH("INTERROTTO",$M28)&gt;0</formula>
    </cfRule>
  </conditionalFormatting>
  <conditionalFormatting sqref="R28:S28">
    <cfRule type="expression" dxfId="6669" priority="439">
      <formula>SEARCH("IN CORSO",$M28)&gt;0</formula>
    </cfRule>
    <cfRule type="expression" dxfId="6668" priority="440">
      <formula>SEARCH("CHIUSO",$M28)&gt;0</formula>
    </cfRule>
    <cfRule type="expression" dxfId="6667" priority="441">
      <formula>SEARCH("EMESSO",$M28)&gt;0</formula>
    </cfRule>
    <cfRule type="expression" dxfId="6666" priority="442">
      <formula>SEARCH("RICHIESTO",$M28)&gt;0</formula>
    </cfRule>
    <cfRule type="expression" dxfId="6665" priority="443">
      <formula>SEARCH("DA CHIUDERE",$M28)&gt;0</formula>
    </cfRule>
    <cfRule type="expression" dxfId="6664" priority="444">
      <formula>SEARCH("INTERROTTO",$M28)&gt;0</formula>
    </cfRule>
  </conditionalFormatting>
  <conditionalFormatting sqref="M28">
    <cfRule type="expression" dxfId="6663" priority="433">
      <formula>SEARCH("IN CORSO",$M28)&gt;0</formula>
    </cfRule>
    <cfRule type="expression" dxfId="6662" priority="434">
      <formula>SEARCH("CHIUSO",$M28)&gt;0</formula>
    </cfRule>
    <cfRule type="expression" dxfId="6661" priority="435">
      <formula>SEARCH("EMESSO",$M28)&gt;0</formula>
    </cfRule>
    <cfRule type="expression" dxfId="6660" priority="436">
      <formula>SEARCH("RICHIESTO",$M28)&gt;0</formula>
    </cfRule>
    <cfRule type="expression" dxfId="6659" priority="437">
      <formula>SEARCH("DA CHIUDERE",$M28)&gt;0</formula>
    </cfRule>
    <cfRule type="expression" dxfId="6658" priority="438">
      <formula>SEARCH("INTERROTTO",$M28)&gt;0</formula>
    </cfRule>
  </conditionalFormatting>
  <conditionalFormatting sqref="E27:G27 N27:Q27">
    <cfRule type="expression" dxfId="6657" priority="427">
      <formula>SEARCH("IN CORSO",$M27)&gt;0</formula>
    </cfRule>
    <cfRule type="expression" dxfId="6656" priority="428">
      <formula>SEARCH("CHIUSO",$M27)&gt;0</formula>
    </cfRule>
    <cfRule type="expression" dxfId="6655" priority="429">
      <formula>SEARCH("EMESSO",$M27)&gt;0</formula>
    </cfRule>
    <cfRule type="expression" dxfId="6654" priority="430">
      <formula>SEARCH("RICHIESTO",$M27)&gt;0</formula>
    </cfRule>
    <cfRule type="expression" dxfId="6653" priority="431">
      <formula>SEARCH("DA CHIUDERE",$M27)&gt;0</formula>
    </cfRule>
    <cfRule type="expression" dxfId="6652" priority="432">
      <formula>SEARCH("INTERROTTO",$M27)&gt;0</formula>
    </cfRule>
  </conditionalFormatting>
  <conditionalFormatting sqref="R27:S27">
    <cfRule type="expression" dxfId="6651" priority="421">
      <formula>SEARCH("IN CORSO",$M27)&gt;0</formula>
    </cfRule>
    <cfRule type="expression" dxfId="6650" priority="422">
      <formula>SEARCH("CHIUSO",$M27)&gt;0</formula>
    </cfRule>
    <cfRule type="expression" dxfId="6649" priority="423">
      <formula>SEARCH("EMESSO",$M27)&gt;0</formula>
    </cfRule>
    <cfRule type="expression" dxfId="6648" priority="424">
      <formula>SEARCH("RICHIESTO",$M27)&gt;0</formula>
    </cfRule>
    <cfRule type="expression" dxfId="6647" priority="425">
      <formula>SEARCH("DA CHIUDERE",$M27)&gt;0</formula>
    </cfRule>
    <cfRule type="expression" dxfId="6646" priority="426">
      <formula>SEARCH("INTERROTTO",$M27)&gt;0</formula>
    </cfRule>
  </conditionalFormatting>
  <conditionalFormatting sqref="M27">
    <cfRule type="expression" dxfId="6645" priority="415">
      <formula>SEARCH("IN CORSO",$M27)&gt;0</formula>
    </cfRule>
    <cfRule type="expression" dxfId="6644" priority="416">
      <formula>SEARCH("CHIUSO",$M27)&gt;0</formula>
    </cfRule>
    <cfRule type="expression" dxfId="6643" priority="417">
      <formula>SEARCH("EMESSO",$M27)&gt;0</formula>
    </cfRule>
    <cfRule type="expression" dxfId="6642" priority="418">
      <formula>SEARCH("RICHIESTO",$M27)&gt;0</formula>
    </cfRule>
    <cfRule type="expression" dxfId="6641" priority="419">
      <formula>SEARCH("DA CHIUDERE",$M27)&gt;0</formula>
    </cfRule>
    <cfRule type="expression" dxfId="6640" priority="420">
      <formula>SEARCH("INTERROTTO",$M27)&gt;0</formula>
    </cfRule>
  </conditionalFormatting>
  <conditionalFormatting sqref="E26:G26 N26:Q26">
    <cfRule type="expression" dxfId="6639" priority="409">
      <formula>SEARCH("IN CORSO",$M26)&gt;0</formula>
    </cfRule>
    <cfRule type="expression" dxfId="6638" priority="410">
      <formula>SEARCH("CHIUSO",$M26)&gt;0</formula>
    </cfRule>
    <cfRule type="expression" dxfId="6637" priority="411">
      <formula>SEARCH("EMESSO",$M26)&gt;0</formula>
    </cfRule>
    <cfRule type="expression" dxfId="6636" priority="412">
      <formula>SEARCH("RICHIESTO",$M26)&gt;0</formula>
    </cfRule>
    <cfRule type="expression" dxfId="6635" priority="413">
      <formula>SEARCH("DA CHIUDERE",$M26)&gt;0</formula>
    </cfRule>
    <cfRule type="expression" dxfId="6634" priority="414">
      <formula>SEARCH("INTERROTTO",$M26)&gt;0</formula>
    </cfRule>
  </conditionalFormatting>
  <conditionalFormatting sqref="R26:S26">
    <cfRule type="expression" dxfId="6633" priority="403">
      <formula>SEARCH("IN CORSO",$M26)&gt;0</formula>
    </cfRule>
    <cfRule type="expression" dxfId="6632" priority="404">
      <formula>SEARCH("CHIUSO",$M26)&gt;0</formula>
    </cfRule>
    <cfRule type="expression" dxfId="6631" priority="405">
      <formula>SEARCH("EMESSO",$M26)&gt;0</formula>
    </cfRule>
    <cfRule type="expression" dxfId="6630" priority="406">
      <formula>SEARCH("RICHIESTO",$M26)&gt;0</formula>
    </cfRule>
    <cfRule type="expression" dxfId="6629" priority="407">
      <formula>SEARCH("DA CHIUDERE",$M26)&gt;0</formula>
    </cfRule>
    <cfRule type="expression" dxfId="6628" priority="408">
      <formula>SEARCH("INTERROTTO",$M26)&gt;0</formula>
    </cfRule>
  </conditionalFormatting>
  <conditionalFormatting sqref="M26">
    <cfRule type="expression" dxfId="6627" priority="397">
      <formula>SEARCH("IN CORSO",$M26)&gt;0</formula>
    </cfRule>
    <cfRule type="expression" dxfId="6626" priority="398">
      <formula>SEARCH("CHIUSO",$M26)&gt;0</formula>
    </cfRule>
    <cfRule type="expression" dxfId="6625" priority="399">
      <formula>SEARCH("EMESSO",$M26)&gt;0</formula>
    </cfRule>
    <cfRule type="expression" dxfId="6624" priority="400">
      <formula>SEARCH("RICHIESTO",$M26)&gt;0</formula>
    </cfRule>
    <cfRule type="expression" dxfId="6623" priority="401">
      <formula>SEARCH("DA CHIUDERE",$M26)&gt;0</formula>
    </cfRule>
    <cfRule type="expression" dxfId="6622" priority="402">
      <formula>SEARCH("INTERROTTO",$M26)&gt;0</formula>
    </cfRule>
  </conditionalFormatting>
  <conditionalFormatting sqref="E25:G25 N25:Q25">
    <cfRule type="expression" dxfId="6621" priority="391">
      <formula>SEARCH("IN CORSO",$M25)&gt;0</formula>
    </cfRule>
    <cfRule type="expression" dxfId="6620" priority="392">
      <formula>SEARCH("CHIUSO",$M25)&gt;0</formula>
    </cfRule>
    <cfRule type="expression" dxfId="6619" priority="393">
      <formula>SEARCH("EMESSO",$M25)&gt;0</formula>
    </cfRule>
    <cfRule type="expression" dxfId="6618" priority="394">
      <formula>SEARCH("RICHIESTO",$M25)&gt;0</formula>
    </cfRule>
    <cfRule type="expression" dxfId="6617" priority="395">
      <formula>SEARCH("DA CHIUDERE",$M25)&gt;0</formula>
    </cfRule>
    <cfRule type="expression" dxfId="6616" priority="396">
      <formula>SEARCH("INTERROTTO",$M25)&gt;0</formula>
    </cfRule>
  </conditionalFormatting>
  <conditionalFormatting sqref="R25:S25">
    <cfRule type="expression" dxfId="6615" priority="385">
      <formula>SEARCH("IN CORSO",$M25)&gt;0</formula>
    </cfRule>
    <cfRule type="expression" dxfId="6614" priority="386">
      <formula>SEARCH("CHIUSO",$M25)&gt;0</formula>
    </cfRule>
    <cfRule type="expression" dxfId="6613" priority="387">
      <formula>SEARCH("EMESSO",$M25)&gt;0</formula>
    </cfRule>
    <cfRule type="expression" dxfId="6612" priority="388">
      <formula>SEARCH("RICHIESTO",$M25)&gt;0</formula>
    </cfRule>
    <cfRule type="expression" dxfId="6611" priority="389">
      <formula>SEARCH("DA CHIUDERE",$M25)&gt;0</formula>
    </cfRule>
    <cfRule type="expression" dxfId="6610" priority="390">
      <formula>SEARCH("INTERROTTO",$M25)&gt;0</formula>
    </cfRule>
  </conditionalFormatting>
  <conditionalFormatting sqref="M25">
    <cfRule type="expression" dxfId="6609" priority="379">
      <formula>SEARCH("IN CORSO",$M25)&gt;0</formula>
    </cfRule>
    <cfRule type="expression" dxfId="6608" priority="380">
      <formula>SEARCH("CHIUSO",$M25)&gt;0</formula>
    </cfRule>
    <cfRule type="expression" dxfId="6607" priority="381">
      <formula>SEARCH("EMESSO",$M25)&gt;0</formula>
    </cfRule>
    <cfRule type="expression" dxfId="6606" priority="382">
      <formula>SEARCH("RICHIESTO",$M25)&gt;0</formula>
    </cfRule>
    <cfRule type="expression" dxfId="6605" priority="383">
      <formula>SEARCH("DA CHIUDERE",$M25)&gt;0</formula>
    </cfRule>
    <cfRule type="expression" dxfId="6604" priority="384">
      <formula>SEARCH("INTERROTTO",$M25)&gt;0</formula>
    </cfRule>
  </conditionalFormatting>
  <conditionalFormatting sqref="E24:G24 N24:Q24">
    <cfRule type="expression" dxfId="6603" priority="373">
      <formula>SEARCH("IN CORSO",$M24)&gt;0</formula>
    </cfRule>
    <cfRule type="expression" dxfId="6602" priority="374">
      <formula>SEARCH("CHIUSO",$M24)&gt;0</formula>
    </cfRule>
    <cfRule type="expression" dxfId="6601" priority="375">
      <formula>SEARCH("EMESSO",$M24)&gt;0</formula>
    </cfRule>
    <cfRule type="expression" dxfId="6600" priority="376">
      <formula>SEARCH("RICHIESTO",$M24)&gt;0</formula>
    </cfRule>
    <cfRule type="expression" dxfId="6599" priority="377">
      <formula>SEARCH("DA CHIUDERE",$M24)&gt;0</formula>
    </cfRule>
    <cfRule type="expression" dxfId="6598" priority="378">
      <formula>SEARCH("INTERROTTO",$M24)&gt;0</formula>
    </cfRule>
  </conditionalFormatting>
  <conditionalFormatting sqref="R24:S24">
    <cfRule type="expression" dxfId="6597" priority="367">
      <formula>SEARCH("IN CORSO",$M24)&gt;0</formula>
    </cfRule>
    <cfRule type="expression" dxfId="6596" priority="368">
      <formula>SEARCH("CHIUSO",$M24)&gt;0</formula>
    </cfRule>
    <cfRule type="expression" dxfId="6595" priority="369">
      <formula>SEARCH("EMESSO",$M24)&gt;0</formula>
    </cfRule>
    <cfRule type="expression" dxfId="6594" priority="370">
      <formula>SEARCH("RICHIESTO",$M24)&gt;0</formula>
    </cfRule>
    <cfRule type="expression" dxfId="6593" priority="371">
      <formula>SEARCH("DA CHIUDERE",$M24)&gt;0</formula>
    </cfRule>
    <cfRule type="expression" dxfId="6592" priority="372">
      <formula>SEARCH("INTERROTTO",$M24)&gt;0</formula>
    </cfRule>
  </conditionalFormatting>
  <conditionalFormatting sqref="M24">
    <cfRule type="expression" dxfId="6591" priority="361">
      <formula>SEARCH("IN CORSO",$M24)&gt;0</formula>
    </cfRule>
    <cfRule type="expression" dxfId="6590" priority="362">
      <formula>SEARCH("CHIUSO",$M24)&gt;0</formula>
    </cfRule>
    <cfRule type="expression" dxfId="6589" priority="363">
      <formula>SEARCH("EMESSO",$M24)&gt;0</formula>
    </cfRule>
    <cfRule type="expression" dxfId="6588" priority="364">
      <formula>SEARCH("RICHIESTO",$M24)&gt;0</formula>
    </cfRule>
    <cfRule type="expression" dxfId="6587" priority="365">
      <formula>SEARCH("DA CHIUDERE",$M24)&gt;0</formula>
    </cfRule>
    <cfRule type="expression" dxfId="6586" priority="366">
      <formula>SEARCH("INTERROTTO",$M24)&gt;0</formula>
    </cfRule>
  </conditionalFormatting>
  <conditionalFormatting sqref="E23:G23 N23:Q23">
    <cfRule type="expression" dxfId="6585" priority="355">
      <formula>SEARCH("IN CORSO",$M23)&gt;0</formula>
    </cfRule>
    <cfRule type="expression" dxfId="6584" priority="356">
      <formula>SEARCH("CHIUSO",$M23)&gt;0</formula>
    </cfRule>
    <cfRule type="expression" dxfId="6583" priority="357">
      <formula>SEARCH("EMESSO",$M23)&gt;0</formula>
    </cfRule>
    <cfRule type="expression" dxfId="6582" priority="358">
      <formula>SEARCH("RICHIESTO",$M23)&gt;0</formula>
    </cfRule>
    <cfRule type="expression" dxfId="6581" priority="359">
      <formula>SEARCH("DA CHIUDERE",$M23)&gt;0</formula>
    </cfRule>
    <cfRule type="expression" dxfId="6580" priority="360">
      <formula>SEARCH("INTERROTTO",$M23)&gt;0</formula>
    </cfRule>
  </conditionalFormatting>
  <conditionalFormatting sqref="R23:S23">
    <cfRule type="expression" dxfId="6579" priority="349">
      <formula>SEARCH("IN CORSO",$M23)&gt;0</formula>
    </cfRule>
    <cfRule type="expression" dxfId="6578" priority="350">
      <formula>SEARCH("CHIUSO",$M23)&gt;0</formula>
    </cfRule>
    <cfRule type="expression" dxfId="6577" priority="351">
      <formula>SEARCH("EMESSO",$M23)&gt;0</formula>
    </cfRule>
    <cfRule type="expression" dxfId="6576" priority="352">
      <formula>SEARCH("RICHIESTO",$M23)&gt;0</formula>
    </cfRule>
    <cfRule type="expression" dxfId="6575" priority="353">
      <formula>SEARCH("DA CHIUDERE",$M23)&gt;0</formula>
    </cfRule>
    <cfRule type="expression" dxfId="6574" priority="354">
      <formula>SEARCH("INTERROTTO",$M23)&gt;0</formula>
    </cfRule>
  </conditionalFormatting>
  <conditionalFormatting sqref="M23">
    <cfRule type="expression" dxfId="6573" priority="343">
      <formula>SEARCH("IN CORSO",$M23)&gt;0</formula>
    </cfRule>
    <cfRule type="expression" dxfId="6572" priority="344">
      <formula>SEARCH("CHIUSO",$M23)&gt;0</formula>
    </cfRule>
    <cfRule type="expression" dxfId="6571" priority="345">
      <formula>SEARCH("EMESSO",$M23)&gt;0</formula>
    </cfRule>
    <cfRule type="expression" dxfId="6570" priority="346">
      <formula>SEARCH("RICHIESTO",$M23)&gt;0</formula>
    </cfRule>
    <cfRule type="expression" dxfId="6569" priority="347">
      <formula>SEARCH("DA CHIUDERE",$M23)&gt;0</formula>
    </cfRule>
    <cfRule type="expression" dxfId="6568" priority="348">
      <formula>SEARCH("INTERROTTO",$M23)&gt;0</formula>
    </cfRule>
  </conditionalFormatting>
  <conditionalFormatting sqref="E22:G22 N22:Q22">
    <cfRule type="expression" dxfId="6567" priority="337">
      <formula>SEARCH("IN CORSO",$M22)&gt;0</formula>
    </cfRule>
    <cfRule type="expression" dxfId="6566" priority="338">
      <formula>SEARCH("CHIUSO",$M22)&gt;0</formula>
    </cfRule>
    <cfRule type="expression" dxfId="6565" priority="339">
      <formula>SEARCH("EMESSO",$M22)&gt;0</formula>
    </cfRule>
    <cfRule type="expression" dxfId="6564" priority="340">
      <formula>SEARCH("RICHIESTO",$M22)&gt;0</formula>
    </cfRule>
    <cfRule type="expression" dxfId="6563" priority="341">
      <formula>SEARCH("DA CHIUDERE",$M22)&gt;0</formula>
    </cfRule>
    <cfRule type="expression" dxfId="6562" priority="342">
      <formula>SEARCH("INTERROTTO",$M22)&gt;0</formula>
    </cfRule>
  </conditionalFormatting>
  <conditionalFormatting sqref="R22:S22">
    <cfRule type="expression" dxfId="6561" priority="331">
      <formula>SEARCH("IN CORSO",$M22)&gt;0</formula>
    </cfRule>
    <cfRule type="expression" dxfId="6560" priority="332">
      <formula>SEARCH("CHIUSO",$M22)&gt;0</formula>
    </cfRule>
    <cfRule type="expression" dxfId="6559" priority="333">
      <formula>SEARCH("EMESSO",$M22)&gt;0</formula>
    </cfRule>
    <cfRule type="expression" dxfId="6558" priority="334">
      <formula>SEARCH("RICHIESTO",$M22)&gt;0</formula>
    </cfRule>
    <cfRule type="expression" dxfId="6557" priority="335">
      <formula>SEARCH("DA CHIUDERE",$M22)&gt;0</formula>
    </cfRule>
    <cfRule type="expression" dxfId="6556" priority="336">
      <formula>SEARCH("INTERROTTO",$M22)&gt;0</formula>
    </cfRule>
  </conditionalFormatting>
  <conditionalFormatting sqref="M22">
    <cfRule type="expression" dxfId="6555" priority="325">
      <formula>SEARCH("IN CORSO",$M22)&gt;0</formula>
    </cfRule>
    <cfRule type="expression" dxfId="6554" priority="326">
      <formula>SEARCH("CHIUSO",$M22)&gt;0</formula>
    </cfRule>
    <cfRule type="expression" dxfId="6553" priority="327">
      <formula>SEARCH("EMESSO",$M22)&gt;0</formula>
    </cfRule>
    <cfRule type="expression" dxfId="6552" priority="328">
      <formula>SEARCH("RICHIESTO",$M22)&gt;0</formula>
    </cfRule>
    <cfRule type="expression" dxfId="6551" priority="329">
      <formula>SEARCH("DA CHIUDERE",$M22)&gt;0</formula>
    </cfRule>
    <cfRule type="expression" dxfId="6550" priority="330">
      <formula>SEARCH("INTERROTTO",$M22)&gt;0</formula>
    </cfRule>
  </conditionalFormatting>
  <conditionalFormatting sqref="E21:G21 N21:Q21">
    <cfRule type="expression" dxfId="6549" priority="319">
      <formula>SEARCH("IN CORSO",$M21)&gt;0</formula>
    </cfRule>
    <cfRule type="expression" dxfId="6548" priority="320">
      <formula>SEARCH("CHIUSO",$M21)&gt;0</formula>
    </cfRule>
    <cfRule type="expression" dxfId="6547" priority="321">
      <formula>SEARCH("EMESSO",$M21)&gt;0</formula>
    </cfRule>
    <cfRule type="expression" dxfId="6546" priority="322">
      <formula>SEARCH("RICHIESTO",$M21)&gt;0</formula>
    </cfRule>
    <cfRule type="expression" dxfId="6545" priority="323">
      <formula>SEARCH("DA CHIUDERE",$M21)&gt;0</formula>
    </cfRule>
    <cfRule type="expression" dxfId="6544" priority="324">
      <formula>SEARCH("INTERROTTO",$M21)&gt;0</formula>
    </cfRule>
  </conditionalFormatting>
  <conditionalFormatting sqref="R21:S21">
    <cfRule type="expression" dxfId="6543" priority="313">
      <formula>SEARCH("IN CORSO",$M21)&gt;0</formula>
    </cfRule>
    <cfRule type="expression" dxfId="6542" priority="314">
      <formula>SEARCH("CHIUSO",$M21)&gt;0</formula>
    </cfRule>
    <cfRule type="expression" dxfId="6541" priority="315">
      <formula>SEARCH("EMESSO",$M21)&gt;0</formula>
    </cfRule>
    <cfRule type="expression" dxfId="6540" priority="316">
      <formula>SEARCH("RICHIESTO",$M21)&gt;0</formula>
    </cfRule>
    <cfRule type="expression" dxfId="6539" priority="317">
      <formula>SEARCH("DA CHIUDERE",$M21)&gt;0</formula>
    </cfRule>
    <cfRule type="expression" dxfId="6538" priority="318">
      <formula>SEARCH("INTERROTTO",$M21)&gt;0</formula>
    </cfRule>
  </conditionalFormatting>
  <conditionalFormatting sqref="M21">
    <cfRule type="expression" dxfId="6537" priority="307">
      <formula>SEARCH("IN CORSO",$M21)&gt;0</formula>
    </cfRule>
    <cfRule type="expression" dxfId="6536" priority="308">
      <formula>SEARCH("CHIUSO",$M21)&gt;0</formula>
    </cfRule>
    <cfRule type="expression" dxfId="6535" priority="309">
      <formula>SEARCH("EMESSO",$M21)&gt;0</formula>
    </cfRule>
    <cfRule type="expression" dxfId="6534" priority="310">
      <formula>SEARCH("RICHIESTO",$M21)&gt;0</formula>
    </cfRule>
    <cfRule type="expression" dxfId="6533" priority="311">
      <formula>SEARCH("DA CHIUDERE",$M21)&gt;0</formula>
    </cfRule>
    <cfRule type="expression" dxfId="6532" priority="312">
      <formula>SEARCH("INTERROTTO",$M21)&gt;0</formula>
    </cfRule>
  </conditionalFormatting>
  <conditionalFormatting sqref="E20:G20 N20:Q20">
    <cfRule type="expression" dxfId="6531" priority="301">
      <formula>SEARCH("IN CORSO",$M20)&gt;0</formula>
    </cfRule>
    <cfRule type="expression" dxfId="6530" priority="302">
      <formula>SEARCH("CHIUSO",$M20)&gt;0</formula>
    </cfRule>
    <cfRule type="expression" dxfId="6529" priority="303">
      <formula>SEARCH("EMESSO",$M20)&gt;0</formula>
    </cfRule>
    <cfRule type="expression" dxfId="6528" priority="304">
      <formula>SEARCH("RICHIESTO",$M20)&gt;0</formula>
    </cfRule>
    <cfRule type="expression" dxfId="6527" priority="305">
      <formula>SEARCH("DA CHIUDERE",$M20)&gt;0</formula>
    </cfRule>
    <cfRule type="expression" dxfId="6526" priority="306">
      <formula>SEARCH("INTERROTTO",$M20)&gt;0</formula>
    </cfRule>
  </conditionalFormatting>
  <conditionalFormatting sqref="R20:S20">
    <cfRule type="expression" dxfId="6525" priority="295">
      <formula>SEARCH("IN CORSO",$M20)&gt;0</formula>
    </cfRule>
    <cfRule type="expression" dxfId="6524" priority="296">
      <formula>SEARCH("CHIUSO",$M20)&gt;0</formula>
    </cfRule>
    <cfRule type="expression" dxfId="6523" priority="297">
      <formula>SEARCH("EMESSO",$M20)&gt;0</formula>
    </cfRule>
    <cfRule type="expression" dxfId="6522" priority="298">
      <formula>SEARCH("RICHIESTO",$M20)&gt;0</formula>
    </cfRule>
    <cfRule type="expression" dxfId="6521" priority="299">
      <formula>SEARCH("DA CHIUDERE",$M20)&gt;0</formula>
    </cfRule>
    <cfRule type="expression" dxfId="6520" priority="300">
      <formula>SEARCH("INTERROTTO",$M20)&gt;0</formula>
    </cfRule>
  </conditionalFormatting>
  <conditionalFormatting sqref="M20">
    <cfRule type="expression" dxfId="6519" priority="289">
      <formula>SEARCH("IN CORSO",$M20)&gt;0</formula>
    </cfRule>
    <cfRule type="expression" dxfId="6518" priority="290">
      <formula>SEARCH("CHIUSO",$M20)&gt;0</formula>
    </cfRule>
    <cfRule type="expression" dxfId="6517" priority="291">
      <formula>SEARCH("EMESSO",$M20)&gt;0</formula>
    </cfRule>
    <cfRule type="expression" dxfId="6516" priority="292">
      <formula>SEARCH("RICHIESTO",$M20)&gt;0</formula>
    </cfRule>
    <cfRule type="expression" dxfId="6515" priority="293">
      <formula>SEARCH("DA CHIUDERE",$M20)&gt;0</formula>
    </cfRule>
    <cfRule type="expression" dxfId="6514" priority="294">
      <formula>SEARCH("INTERROTTO",$M20)&gt;0</formula>
    </cfRule>
  </conditionalFormatting>
  <conditionalFormatting sqref="E19:G19 N19:Q19">
    <cfRule type="expression" dxfId="6513" priority="283">
      <formula>SEARCH("IN CORSO",$M19)&gt;0</formula>
    </cfRule>
    <cfRule type="expression" dxfId="6512" priority="284">
      <formula>SEARCH("CHIUSO",$M19)&gt;0</formula>
    </cfRule>
    <cfRule type="expression" dxfId="6511" priority="285">
      <formula>SEARCH("EMESSO",$M19)&gt;0</formula>
    </cfRule>
    <cfRule type="expression" dxfId="6510" priority="286">
      <formula>SEARCH("RICHIESTO",$M19)&gt;0</formula>
    </cfRule>
    <cfRule type="expression" dxfId="6509" priority="287">
      <formula>SEARCH("DA CHIUDERE",$M19)&gt;0</formula>
    </cfRule>
    <cfRule type="expression" dxfId="6508" priority="288">
      <formula>SEARCH("INTERROTTO",$M19)&gt;0</formula>
    </cfRule>
  </conditionalFormatting>
  <conditionalFormatting sqref="R19:S19">
    <cfRule type="expression" dxfId="6507" priority="277">
      <formula>SEARCH("IN CORSO",$M19)&gt;0</formula>
    </cfRule>
    <cfRule type="expression" dxfId="6506" priority="278">
      <formula>SEARCH("CHIUSO",$M19)&gt;0</formula>
    </cfRule>
    <cfRule type="expression" dxfId="6505" priority="279">
      <formula>SEARCH("EMESSO",$M19)&gt;0</formula>
    </cfRule>
    <cfRule type="expression" dxfId="6504" priority="280">
      <formula>SEARCH("RICHIESTO",$M19)&gt;0</formula>
    </cfRule>
    <cfRule type="expression" dxfId="6503" priority="281">
      <formula>SEARCH("DA CHIUDERE",$M19)&gt;0</formula>
    </cfRule>
    <cfRule type="expression" dxfId="6502" priority="282">
      <formula>SEARCH("INTERROTTO",$M19)&gt;0</formula>
    </cfRule>
  </conditionalFormatting>
  <conditionalFormatting sqref="M19">
    <cfRule type="expression" dxfId="6501" priority="271">
      <formula>SEARCH("IN CORSO",$M19)&gt;0</formula>
    </cfRule>
    <cfRule type="expression" dxfId="6500" priority="272">
      <formula>SEARCH("CHIUSO",$M19)&gt;0</formula>
    </cfRule>
    <cfRule type="expression" dxfId="6499" priority="273">
      <formula>SEARCH("EMESSO",$M19)&gt;0</formula>
    </cfRule>
    <cfRule type="expression" dxfId="6498" priority="274">
      <formula>SEARCH("RICHIESTO",$M19)&gt;0</formula>
    </cfRule>
    <cfRule type="expression" dxfId="6497" priority="275">
      <formula>SEARCH("DA CHIUDERE",$M19)&gt;0</formula>
    </cfRule>
    <cfRule type="expression" dxfId="6496" priority="276">
      <formula>SEARCH("INTERROTTO",$M19)&gt;0</formula>
    </cfRule>
  </conditionalFormatting>
  <conditionalFormatting sqref="E18:G18 N18:Q18">
    <cfRule type="expression" dxfId="6495" priority="265">
      <formula>SEARCH("IN CORSO",$M18)&gt;0</formula>
    </cfRule>
    <cfRule type="expression" dxfId="6494" priority="266">
      <formula>SEARCH("CHIUSO",$M18)&gt;0</formula>
    </cfRule>
    <cfRule type="expression" dxfId="6493" priority="267">
      <formula>SEARCH("EMESSO",$M18)&gt;0</formula>
    </cfRule>
    <cfRule type="expression" dxfId="6492" priority="268">
      <formula>SEARCH("RICHIESTO",$M18)&gt;0</formula>
    </cfRule>
    <cfRule type="expression" dxfId="6491" priority="269">
      <formula>SEARCH("DA CHIUDERE",$M18)&gt;0</formula>
    </cfRule>
    <cfRule type="expression" dxfId="6490" priority="270">
      <formula>SEARCH("INTERROTTO",$M18)&gt;0</formula>
    </cfRule>
  </conditionalFormatting>
  <conditionalFormatting sqref="R18:S18">
    <cfRule type="expression" dxfId="6489" priority="259">
      <formula>SEARCH("IN CORSO",$M18)&gt;0</formula>
    </cfRule>
    <cfRule type="expression" dxfId="6488" priority="260">
      <formula>SEARCH("CHIUSO",$M18)&gt;0</formula>
    </cfRule>
    <cfRule type="expression" dxfId="6487" priority="261">
      <formula>SEARCH("EMESSO",$M18)&gt;0</formula>
    </cfRule>
    <cfRule type="expression" dxfId="6486" priority="262">
      <formula>SEARCH("RICHIESTO",$M18)&gt;0</formula>
    </cfRule>
    <cfRule type="expression" dxfId="6485" priority="263">
      <formula>SEARCH("DA CHIUDERE",$M18)&gt;0</formula>
    </cfRule>
    <cfRule type="expression" dxfId="6484" priority="264">
      <formula>SEARCH("INTERROTTO",$M18)&gt;0</formula>
    </cfRule>
  </conditionalFormatting>
  <conditionalFormatting sqref="M18">
    <cfRule type="expression" dxfId="6483" priority="253">
      <formula>SEARCH("IN CORSO",$M18)&gt;0</formula>
    </cfRule>
    <cfRule type="expression" dxfId="6482" priority="254">
      <formula>SEARCH("CHIUSO",$M18)&gt;0</formula>
    </cfRule>
    <cfRule type="expression" dxfId="6481" priority="255">
      <formula>SEARCH("EMESSO",$M18)&gt;0</formula>
    </cfRule>
    <cfRule type="expression" dxfId="6480" priority="256">
      <formula>SEARCH("RICHIESTO",$M18)&gt;0</formula>
    </cfRule>
    <cfRule type="expression" dxfId="6479" priority="257">
      <formula>SEARCH("DA CHIUDERE",$M18)&gt;0</formula>
    </cfRule>
    <cfRule type="expression" dxfId="6478" priority="258">
      <formula>SEARCH("INTERROTTO",$M18)&gt;0</formula>
    </cfRule>
  </conditionalFormatting>
  <conditionalFormatting sqref="E17:G17 N17:Q17">
    <cfRule type="expression" dxfId="6477" priority="247">
      <formula>SEARCH("IN CORSO",$M17)&gt;0</formula>
    </cfRule>
    <cfRule type="expression" dxfId="6476" priority="248">
      <formula>SEARCH("CHIUSO",$M17)&gt;0</formula>
    </cfRule>
    <cfRule type="expression" dxfId="6475" priority="249">
      <formula>SEARCH("EMESSO",$M17)&gt;0</formula>
    </cfRule>
    <cfRule type="expression" dxfId="6474" priority="250">
      <formula>SEARCH("RICHIESTO",$M17)&gt;0</formula>
    </cfRule>
    <cfRule type="expression" dxfId="6473" priority="251">
      <formula>SEARCH("DA CHIUDERE",$M17)&gt;0</formula>
    </cfRule>
    <cfRule type="expression" dxfId="6472" priority="252">
      <formula>SEARCH("INTERROTTO",$M17)&gt;0</formula>
    </cfRule>
  </conditionalFormatting>
  <conditionalFormatting sqref="R17:S17">
    <cfRule type="expression" dxfId="6471" priority="241">
      <formula>SEARCH("IN CORSO",$M17)&gt;0</formula>
    </cfRule>
    <cfRule type="expression" dxfId="6470" priority="242">
      <formula>SEARCH("CHIUSO",$M17)&gt;0</formula>
    </cfRule>
    <cfRule type="expression" dxfId="6469" priority="243">
      <formula>SEARCH("EMESSO",$M17)&gt;0</formula>
    </cfRule>
    <cfRule type="expression" dxfId="6468" priority="244">
      <formula>SEARCH("RICHIESTO",$M17)&gt;0</formula>
    </cfRule>
    <cfRule type="expression" dxfId="6467" priority="245">
      <formula>SEARCH("DA CHIUDERE",$M17)&gt;0</formula>
    </cfRule>
    <cfRule type="expression" dxfId="6466" priority="246">
      <formula>SEARCH("INTERROTTO",$M17)&gt;0</formula>
    </cfRule>
  </conditionalFormatting>
  <conditionalFormatting sqref="M17">
    <cfRule type="expression" dxfId="6465" priority="235">
      <formula>SEARCH("IN CORSO",$M17)&gt;0</formula>
    </cfRule>
    <cfRule type="expression" dxfId="6464" priority="236">
      <formula>SEARCH("CHIUSO",$M17)&gt;0</formula>
    </cfRule>
    <cfRule type="expression" dxfId="6463" priority="237">
      <formula>SEARCH("EMESSO",$M17)&gt;0</formula>
    </cfRule>
    <cfRule type="expression" dxfId="6462" priority="238">
      <formula>SEARCH("RICHIESTO",$M17)&gt;0</formula>
    </cfRule>
    <cfRule type="expression" dxfId="6461" priority="239">
      <formula>SEARCH("DA CHIUDERE",$M17)&gt;0</formula>
    </cfRule>
    <cfRule type="expression" dxfId="6460" priority="240">
      <formula>SEARCH("INTERROTTO",$M17)&gt;0</formula>
    </cfRule>
  </conditionalFormatting>
  <conditionalFormatting sqref="E16:G16 N16:Q16">
    <cfRule type="expression" dxfId="6459" priority="229">
      <formula>SEARCH("IN CORSO",$M16)&gt;0</formula>
    </cfRule>
    <cfRule type="expression" dxfId="6458" priority="230">
      <formula>SEARCH("CHIUSO",$M16)&gt;0</formula>
    </cfRule>
    <cfRule type="expression" dxfId="6457" priority="231">
      <formula>SEARCH("EMESSO",$M16)&gt;0</formula>
    </cfRule>
    <cfRule type="expression" dxfId="6456" priority="232">
      <formula>SEARCH("RICHIESTO",$M16)&gt;0</formula>
    </cfRule>
    <cfRule type="expression" dxfId="6455" priority="233">
      <formula>SEARCH("DA CHIUDERE",$M16)&gt;0</formula>
    </cfRule>
    <cfRule type="expression" dxfId="6454" priority="234">
      <formula>SEARCH("INTERROTTO",$M16)&gt;0</formula>
    </cfRule>
  </conditionalFormatting>
  <conditionalFormatting sqref="R16:S16">
    <cfRule type="expression" dxfId="6453" priority="223">
      <formula>SEARCH("IN CORSO",$M16)&gt;0</formula>
    </cfRule>
    <cfRule type="expression" dxfId="6452" priority="224">
      <formula>SEARCH("CHIUSO",$M16)&gt;0</formula>
    </cfRule>
    <cfRule type="expression" dxfId="6451" priority="225">
      <formula>SEARCH("EMESSO",$M16)&gt;0</formula>
    </cfRule>
    <cfRule type="expression" dxfId="6450" priority="226">
      <formula>SEARCH("RICHIESTO",$M16)&gt;0</formula>
    </cfRule>
    <cfRule type="expression" dxfId="6449" priority="227">
      <formula>SEARCH("DA CHIUDERE",$M16)&gt;0</formula>
    </cfRule>
    <cfRule type="expression" dxfId="6448" priority="228">
      <formula>SEARCH("INTERROTTO",$M16)&gt;0</formula>
    </cfRule>
  </conditionalFormatting>
  <conditionalFormatting sqref="M16">
    <cfRule type="expression" dxfId="6447" priority="217">
      <formula>SEARCH("IN CORSO",$M16)&gt;0</formula>
    </cfRule>
    <cfRule type="expression" dxfId="6446" priority="218">
      <formula>SEARCH("CHIUSO",$M16)&gt;0</formula>
    </cfRule>
    <cfRule type="expression" dxfId="6445" priority="219">
      <formula>SEARCH("EMESSO",$M16)&gt;0</formula>
    </cfRule>
    <cfRule type="expression" dxfId="6444" priority="220">
      <formula>SEARCH("RICHIESTO",$M16)&gt;0</formula>
    </cfRule>
    <cfRule type="expression" dxfId="6443" priority="221">
      <formula>SEARCH("DA CHIUDERE",$M16)&gt;0</formula>
    </cfRule>
    <cfRule type="expression" dxfId="6442" priority="222">
      <formula>SEARCH("INTERROTTO",$M16)&gt;0</formula>
    </cfRule>
  </conditionalFormatting>
  <conditionalFormatting sqref="E15:G15 N15:Q15">
    <cfRule type="expression" dxfId="6441" priority="211">
      <formula>SEARCH("IN CORSO",$M15)&gt;0</formula>
    </cfRule>
    <cfRule type="expression" dxfId="6440" priority="212">
      <formula>SEARCH("CHIUSO",$M15)&gt;0</formula>
    </cfRule>
    <cfRule type="expression" dxfId="6439" priority="213">
      <formula>SEARCH("EMESSO",$M15)&gt;0</formula>
    </cfRule>
    <cfRule type="expression" dxfId="6438" priority="214">
      <formula>SEARCH("RICHIESTO",$M15)&gt;0</formula>
    </cfRule>
    <cfRule type="expression" dxfId="6437" priority="215">
      <formula>SEARCH("DA CHIUDERE",$M15)&gt;0</formula>
    </cfRule>
    <cfRule type="expression" dxfId="6436" priority="216">
      <formula>SEARCH("INTERROTTO",$M15)&gt;0</formula>
    </cfRule>
  </conditionalFormatting>
  <conditionalFormatting sqref="R15:S15">
    <cfRule type="expression" dxfId="6435" priority="205">
      <formula>SEARCH("IN CORSO",$M15)&gt;0</formula>
    </cfRule>
    <cfRule type="expression" dxfId="6434" priority="206">
      <formula>SEARCH("CHIUSO",$M15)&gt;0</formula>
    </cfRule>
    <cfRule type="expression" dxfId="6433" priority="207">
      <formula>SEARCH("EMESSO",$M15)&gt;0</formula>
    </cfRule>
    <cfRule type="expression" dxfId="6432" priority="208">
      <formula>SEARCH("RICHIESTO",$M15)&gt;0</formula>
    </cfRule>
    <cfRule type="expression" dxfId="6431" priority="209">
      <formula>SEARCH("DA CHIUDERE",$M15)&gt;0</formula>
    </cfRule>
    <cfRule type="expression" dxfId="6430" priority="210">
      <formula>SEARCH("INTERROTTO",$M15)&gt;0</formula>
    </cfRule>
  </conditionalFormatting>
  <conditionalFormatting sqref="M15">
    <cfRule type="expression" dxfId="6429" priority="199">
      <formula>SEARCH("IN CORSO",$M15)&gt;0</formula>
    </cfRule>
    <cfRule type="expression" dxfId="6428" priority="200">
      <formula>SEARCH("CHIUSO",$M15)&gt;0</formula>
    </cfRule>
    <cfRule type="expression" dxfId="6427" priority="201">
      <formula>SEARCH("EMESSO",$M15)&gt;0</formula>
    </cfRule>
    <cfRule type="expression" dxfId="6426" priority="202">
      <formula>SEARCH("RICHIESTO",$M15)&gt;0</formula>
    </cfRule>
    <cfRule type="expression" dxfId="6425" priority="203">
      <formula>SEARCH("DA CHIUDERE",$M15)&gt;0</formula>
    </cfRule>
    <cfRule type="expression" dxfId="6424" priority="204">
      <formula>SEARCH("INTERROTTO",$M15)&gt;0</formula>
    </cfRule>
  </conditionalFormatting>
  <conditionalFormatting sqref="E14:G14 N14:Q14">
    <cfRule type="expression" dxfId="6423" priority="193">
      <formula>SEARCH("IN CORSO",$M14)&gt;0</formula>
    </cfRule>
    <cfRule type="expression" dxfId="6422" priority="194">
      <formula>SEARCH("CHIUSO",$M14)&gt;0</formula>
    </cfRule>
    <cfRule type="expression" dxfId="6421" priority="195">
      <formula>SEARCH("EMESSO",$M14)&gt;0</formula>
    </cfRule>
    <cfRule type="expression" dxfId="6420" priority="196">
      <formula>SEARCH("RICHIESTO",$M14)&gt;0</formula>
    </cfRule>
    <cfRule type="expression" dxfId="6419" priority="197">
      <formula>SEARCH("DA CHIUDERE",$M14)&gt;0</formula>
    </cfRule>
    <cfRule type="expression" dxfId="6418" priority="198">
      <formula>SEARCH("INTERROTTO",$M14)&gt;0</formula>
    </cfRule>
  </conditionalFormatting>
  <conditionalFormatting sqref="R14:S14">
    <cfRule type="expression" dxfId="6417" priority="187">
      <formula>SEARCH("IN CORSO",$M14)&gt;0</formula>
    </cfRule>
    <cfRule type="expression" dxfId="6416" priority="188">
      <formula>SEARCH("CHIUSO",$M14)&gt;0</formula>
    </cfRule>
    <cfRule type="expression" dxfId="6415" priority="189">
      <formula>SEARCH("EMESSO",$M14)&gt;0</formula>
    </cfRule>
    <cfRule type="expression" dxfId="6414" priority="190">
      <formula>SEARCH("RICHIESTO",$M14)&gt;0</formula>
    </cfRule>
    <cfRule type="expression" dxfId="6413" priority="191">
      <formula>SEARCH("DA CHIUDERE",$M14)&gt;0</formula>
    </cfRule>
    <cfRule type="expression" dxfId="6412" priority="192">
      <formula>SEARCH("INTERROTTO",$M14)&gt;0</formula>
    </cfRule>
  </conditionalFormatting>
  <conditionalFormatting sqref="M14">
    <cfRule type="expression" dxfId="6411" priority="181">
      <formula>SEARCH("IN CORSO",$M14)&gt;0</formula>
    </cfRule>
    <cfRule type="expression" dxfId="6410" priority="182">
      <formula>SEARCH("CHIUSO",$M14)&gt;0</formula>
    </cfRule>
    <cfRule type="expression" dxfId="6409" priority="183">
      <formula>SEARCH("EMESSO",$M14)&gt;0</formula>
    </cfRule>
    <cfRule type="expression" dxfId="6408" priority="184">
      <formula>SEARCH("RICHIESTO",$M14)&gt;0</formula>
    </cfRule>
    <cfRule type="expression" dxfId="6407" priority="185">
      <formula>SEARCH("DA CHIUDERE",$M14)&gt;0</formula>
    </cfRule>
    <cfRule type="expression" dxfId="6406" priority="186">
      <formula>SEARCH("INTERROTTO",$M14)&gt;0</formula>
    </cfRule>
  </conditionalFormatting>
  <conditionalFormatting sqref="E13:G13 N13:Q13">
    <cfRule type="expression" dxfId="6405" priority="175">
      <formula>SEARCH("IN CORSO",$M13)&gt;0</formula>
    </cfRule>
    <cfRule type="expression" dxfId="6404" priority="176">
      <formula>SEARCH("CHIUSO",$M13)&gt;0</formula>
    </cfRule>
    <cfRule type="expression" dxfId="6403" priority="177">
      <formula>SEARCH("EMESSO",$M13)&gt;0</formula>
    </cfRule>
    <cfRule type="expression" dxfId="6402" priority="178">
      <formula>SEARCH("RICHIESTO",$M13)&gt;0</formula>
    </cfRule>
    <cfRule type="expression" dxfId="6401" priority="179">
      <formula>SEARCH("DA CHIUDERE",$M13)&gt;0</formula>
    </cfRule>
    <cfRule type="expression" dxfId="6400" priority="180">
      <formula>SEARCH("INTERROTTO",$M13)&gt;0</formula>
    </cfRule>
  </conditionalFormatting>
  <conditionalFormatting sqref="R13:S13">
    <cfRule type="expression" dxfId="6399" priority="169">
      <formula>SEARCH("IN CORSO",$M13)&gt;0</formula>
    </cfRule>
    <cfRule type="expression" dxfId="6398" priority="170">
      <formula>SEARCH("CHIUSO",$M13)&gt;0</formula>
    </cfRule>
    <cfRule type="expression" dxfId="6397" priority="171">
      <formula>SEARCH("EMESSO",$M13)&gt;0</formula>
    </cfRule>
    <cfRule type="expression" dxfId="6396" priority="172">
      <formula>SEARCH("RICHIESTO",$M13)&gt;0</formula>
    </cfRule>
    <cfRule type="expression" dxfId="6395" priority="173">
      <formula>SEARCH("DA CHIUDERE",$M13)&gt;0</formula>
    </cfRule>
    <cfRule type="expression" dxfId="6394" priority="174">
      <formula>SEARCH("INTERROTTO",$M13)&gt;0</formula>
    </cfRule>
  </conditionalFormatting>
  <conditionalFormatting sqref="M13">
    <cfRule type="expression" dxfId="6393" priority="163">
      <formula>SEARCH("IN CORSO",$M13)&gt;0</formula>
    </cfRule>
    <cfRule type="expression" dxfId="6392" priority="164">
      <formula>SEARCH("CHIUSO",$M13)&gt;0</formula>
    </cfRule>
    <cfRule type="expression" dxfId="6391" priority="165">
      <formula>SEARCH("EMESSO",$M13)&gt;0</formula>
    </cfRule>
    <cfRule type="expression" dxfId="6390" priority="166">
      <formula>SEARCH("RICHIESTO",$M13)&gt;0</formula>
    </cfRule>
    <cfRule type="expression" dxfId="6389" priority="167">
      <formula>SEARCH("DA CHIUDERE",$M13)&gt;0</formula>
    </cfRule>
    <cfRule type="expression" dxfId="6388" priority="168">
      <formula>SEARCH("INTERROTTO",$M13)&gt;0</formula>
    </cfRule>
  </conditionalFormatting>
  <conditionalFormatting sqref="E12:G12 N12:Q12">
    <cfRule type="expression" dxfId="6387" priority="157">
      <formula>SEARCH("IN CORSO",$M12)&gt;0</formula>
    </cfRule>
    <cfRule type="expression" dxfId="6386" priority="158">
      <formula>SEARCH("CHIUSO",$M12)&gt;0</formula>
    </cfRule>
    <cfRule type="expression" dxfId="6385" priority="159">
      <formula>SEARCH("EMESSO",$M12)&gt;0</formula>
    </cfRule>
    <cfRule type="expression" dxfId="6384" priority="160">
      <formula>SEARCH("RICHIESTO",$M12)&gt;0</formula>
    </cfRule>
    <cfRule type="expression" dxfId="6383" priority="161">
      <formula>SEARCH("DA CHIUDERE",$M12)&gt;0</formula>
    </cfRule>
    <cfRule type="expression" dxfId="6382" priority="162">
      <formula>SEARCH("INTERROTTO",$M12)&gt;0</formula>
    </cfRule>
  </conditionalFormatting>
  <conditionalFormatting sqref="R12:S12">
    <cfRule type="expression" dxfId="6381" priority="151">
      <formula>SEARCH("IN CORSO",$M12)&gt;0</formula>
    </cfRule>
    <cfRule type="expression" dxfId="6380" priority="152">
      <formula>SEARCH("CHIUSO",$M12)&gt;0</formula>
    </cfRule>
    <cfRule type="expression" dxfId="6379" priority="153">
      <formula>SEARCH("EMESSO",$M12)&gt;0</formula>
    </cfRule>
    <cfRule type="expression" dxfId="6378" priority="154">
      <formula>SEARCH("RICHIESTO",$M12)&gt;0</formula>
    </cfRule>
    <cfRule type="expression" dxfId="6377" priority="155">
      <formula>SEARCH("DA CHIUDERE",$M12)&gt;0</formula>
    </cfRule>
    <cfRule type="expression" dxfId="6376" priority="156">
      <formula>SEARCH("INTERROTTO",$M12)&gt;0</formula>
    </cfRule>
  </conditionalFormatting>
  <conditionalFormatting sqref="M12">
    <cfRule type="expression" dxfId="6375" priority="145">
      <formula>SEARCH("IN CORSO",$M12)&gt;0</formula>
    </cfRule>
    <cfRule type="expression" dxfId="6374" priority="146">
      <formula>SEARCH("CHIUSO",$M12)&gt;0</formula>
    </cfRule>
    <cfRule type="expression" dxfId="6373" priority="147">
      <formula>SEARCH("EMESSO",$M12)&gt;0</formula>
    </cfRule>
    <cfRule type="expression" dxfId="6372" priority="148">
      <formula>SEARCH("RICHIESTO",$M12)&gt;0</formula>
    </cfRule>
    <cfRule type="expression" dxfId="6371" priority="149">
      <formula>SEARCH("DA CHIUDERE",$M12)&gt;0</formula>
    </cfRule>
    <cfRule type="expression" dxfId="6370" priority="150">
      <formula>SEARCH("INTERROTTO",$M12)&gt;0</formula>
    </cfRule>
  </conditionalFormatting>
  <conditionalFormatting sqref="E11:G11 N11:Q11">
    <cfRule type="expression" dxfId="6369" priority="139">
      <formula>SEARCH("IN CORSO",$M11)&gt;0</formula>
    </cfRule>
    <cfRule type="expression" dxfId="6368" priority="140">
      <formula>SEARCH("CHIUSO",$M11)&gt;0</formula>
    </cfRule>
    <cfRule type="expression" dxfId="6367" priority="141">
      <formula>SEARCH("EMESSO",$M11)&gt;0</formula>
    </cfRule>
    <cfRule type="expression" dxfId="6366" priority="142">
      <formula>SEARCH("RICHIESTO",$M11)&gt;0</formula>
    </cfRule>
    <cfRule type="expression" dxfId="6365" priority="143">
      <formula>SEARCH("DA CHIUDERE",$M11)&gt;0</formula>
    </cfRule>
    <cfRule type="expression" dxfId="6364" priority="144">
      <formula>SEARCH("INTERROTTO",$M11)&gt;0</formula>
    </cfRule>
  </conditionalFormatting>
  <conditionalFormatting sqref="R11:S11">
    <cfRule type="expression" dxfId="6363" priority="133">
      <formula>SEARCH("IN CORSO",$M11)&gt;0</formula>
    </cfRule>
    <cfRule type="expression" dxfId="6362" priority="134">
      <formula>SEARCH("CHIUSO",$M11)&gt;0</formula>
    </cfRule>
    <cfRule type="expression" dxfId="6361" priority="135">
      <formula>SEARCH("EMESSO",$M11)&gt;0</formula>
    </cfRule>
    <cfRule type="expression" dxfId="6360" priority="136">
      <formula>SEARCH("RICHIESTO",$M11)&gt;0</formula>
    </cfRule>
    <cfRule type="expression" dxfId="6359" priority="137">
      <formula>SEARCH("DA CHIUDERE",$M11)&gt;0</formula>
    </cfRule>
    <cfRule type="expression" dxfId="6358" priority="138">
      <formula>SEARCH("INTERROTTO",$M11)&gt;0</formula>
    </cfRule>
  </conditionalFormatting>
  <conditionalFormatting sqref="M11">
    <cfRule type="expression" dxfId="6357" priority="127">
      <formula>SEARCH("IN CORSO",$M11)&gt;0</formula>
    </cfRule>
    <cfRule type="expression" dxfId="6356" priority="128">
      <formula>SEARCH("CHIUSO",$M11)&gt;0</formula>
    </cfRule>
    <cfRule type="expression" dxfId="6355" priority="129">
      <formula>SEARCH("EMESSO",$M11)&gt;0</formula>
    </cfRule>
    <cfRule type="expression" dxfId="6354" priority="130">
      <formula>SEARCH("RICHIESTO",$M11)&gt;0</formula>
    </cfRule>
    <cfRule type="expression" dxfId="6353" priority="131">
      <formula>SEARCH("DA CHIUDERE",$M11)&gt;0</formula>
    </cfRule>
    <cfRule type="expression" dxfId="6352" priority="132">
      <formula>SEARCH("INTERROTTO",$M11)&gt;0</formula>
    </cfRule>
  </conditionalFormatting>
  <conditionalFormatting sqref="E10:G10 N10:Q10">
    <cfRule type="expression" dxfId="6351" priority="121">
      <formula>SEARCH("IN CORSO",$M10)&gt;0</formula>
    </cfRule>
    <cfRule type="expression" dxfId="6350" priority="122">
      <formula>SEARCH("CHIUSO",$M10)&gt;0</formula>
    </cfRule>
    <cfRule type="expression" dxfId="6349" priority="123">
      <formula>SEARCH("EMESSO",$M10)&gt;0</formula>
    </cfRule>
    <cfRule type="expression" dxfId="6348" priority="124">
      <formula>SEARCH("RICHIESTO",$M10)&gt;0</formula>
    </cfRule>
    <cfRule type="expression" dxfId="6347" priority="125">
      <formula>SEARCH("DA CHIUDERE",$M10)&gt;0</formula>
    </cfRule>
    <cfRule type="expression" dxfId="6346" priority="126">
      <formula>SEARCH("INTERROTTO",$M10)&gt;0</formula>
    </cfRule>
  </conditionalFormatting>
  <conditionalFormatting sqref="R10:S10">
    <cfRule type="expression" dxfId="6345" priority="115">
      <formula>SEARCH("IN CORSO",$M10)&gt;0</formula>
    </cfRule>
    <cfRule type="expression" dxfId="6344" priority="116">
      <formula>SEARCH("CHIUSO",$M10)&gt;0</formula>
    </cfRule>
    <cfRule type="expression" dxfId="6343" priority="117">
      <formula>SEARCH("EMESSO",$M10)&gt;0</formula>
    </cfRule>
    <cfRule type="expression" dxfId="6342" priority="118">
      <formula>SEARCH("RICHIESTO",$M10)&gt;0</formula>
    </cfRule>
    <cfRule type="expression" dxfId="6341" priority="119">
      <formula>SEARCH("DA CHIUDERE",$M10)&gt;0</formula>
    </cfRule>
    <cfRule type="expression" dxfId="6340" priority="120">
      <formula>SEARCH("INTERROTTO",$M10)&gt;0</formula>
    </cfRule>
  </conditionalFormatting>
  <conditionalFormatting sqref="M10">
    <cfRule type="expression" dxfId="6339" priority="109">
      <formula>SEARCH("IN CORSO",$M10)&gt;0</formula>
    </cfRule>
    <cfRule type="expression" dxfId="6338" priority="110">
      <formula>SEARCH("CHIUSO",$M10)&gt;0</formula>
    </cfRule>
    <cfRule type="expression" dxfId="6337" priority="111">
      <formula>SEARCH("EMESSO",$M10)&gt;0</formula>
    </cfRule>
    <cfRule type="expression" dxfId="6336" priority="112">
      <formula>SEARCH("RICHIESTO",$M10)&gt;0</formula>
    </cfRule>
    <cfRule type="expression" dxfId="6335" priority="113">
      <formula>SEARCH("DA CHIUDERE",$M10)&gt;0</formula>
    </cfRule>
    <cfRule type="expression" dxfId="6334" priority="114">
      <formula>SEARCH("INTERROTTO",$M10)&gt;0</formula>
    </cfRule>
  </conditionalFormatting>
  <conditionalFormatting sqref="E9:G9 N9:Q9">
    <cfRule type="expression" dxfId="6333" priority="103">
      <formula>SEARCH("IN CORSO",$M9)&gt;0</formula>
    </cfRule>
    <cfRule type="expression" dxfId="6332" priority="104">
      <formula>SEARCH("CHIUSO",$M9)&gt;0</formula>
    </cfRule>
    <cfRule type="expression" dxfId="6331" priority="105">
      <formula>SEARCH("EMESSO",$M9)&gt;0</formula>
    </cfRule>
    <cfRule type="expression" dxfId="6330" priority="106">
      <formula>SEARCH("RICHIESTO",$M9)&gt;0</formula>
    </cfRule>
    <cfRule type="expression" dxfId="6329" priority="107">
      <formula>SEARCH("DA CHIUDERE",$M9)&gt;0</formula>
    </cfRule>
    <cfRule type="expression" dxfId="6328" priority="108">
      <formula>SEARCH("INTERROTTO",$M9)&gt;0</formula>
    </cfRule>
  </conditionalFormatting>
  <conditionalFormatting sqref="R9:S9">
    <cfRule type="expression" dxfId="6327" priority="97">
      <formula>SEARCH("IN CORSO",$M9)&gt;0</formula>
    </cfRule>
    <cfRule type="expression" dxfId="6326" priority="98">
      <formula>SEARCH("CHIUSO",$M9)&gt;0</formula>
    </cfRule>
    <cfRule type="expression" dxfId="6325" priority="99">
      <formula>SEARCH("EMESSO",$M9)&gt;0</formula>
    </cfRule>
    <cfRule type="expression" dxfId="6324" priority="100">
      <formula>SEARCH("RICHIESTO",$M9)&gt;0</formula>
    </cfRule>
    <cfRule type="expression" dxfId="6323" priority="101">
      <formula>SEARCH("DA CHIUDERE",$M9)&gt;0</formula>
    </cfRule>
    <cfRule type="expression" dxfId="6322" priority="102">
      <formula>SEARCH("INTERROTTO",$M9)&gt;0</formula>
    </cfRule>
  </conditionalFormatting>
  <conditionalFormatting sqref="M9">
    <cfRule type="expression" dxfId="6321" priority="91">
      <formula>SEARCH("IN CORSO",$M9)&gt;0</formula>
    </cfRule>
    <cfRule type="expression" dxfId="6320" priority="92">
      <formula>SEARCH("CHIUSO",$M9)&gt;0</formula>
    </cfRule>
    <cfRule type="expression" dxfId="6319" priority="93">
      <formula>SEARCH("EMESSO",$M9)&gt;0</formula>
    </cfRule>
    <cfRule type="expression" dxfId="6318" priority="94">
      <formula>SEARCH("RICHIESTO",$M9)&gt;0</formula>
    </cfRule>
    <cfRule type="expression" dxfId="6317" priority="95">
      <formula>SEARCH("DA CHIUDERE",$M9)&gt;0</formula>
    </cfRule>
    <cfRule type="expression" dxfId="6316" priority="96">
      <formula>SEARCH("INTERROTTO",$M9)&gt;0</formula>
    </cfRule>
  </conditionalFormatting>
  <conditionalFormatting sqref="E8:G8 N8:Q8">
    <cfRule type="expression" dxfId="6315" priority="85">
      <formula>SEARCH("IN CORSO",$M8)&gt;0</formula>
    </cfRule>
    <cfRule type="expression" dxfId="6314" priority="86">
      <formula>SEARCH("CHIUSO",$M8)&gt;0</formula>
    </cfRule>
    <cfRule type="expression" dxfId="6313" priority="87">
      <formula>SEARCH("EMESSO",$M8)&gt;0</formula>
    </cfRule>
    <cfRule type="expression" dxfId="6312" priority="88">
      <formula>SEARCH("RICHIESTO",$M8)&gt;0</formula>
    </cfRule>
    <cfRule type="expression" dxfId="6311" priority="89">
      <formula>SEARCH("DA CHIUDERE",$M8)&gt;0</formula>
    </cfRule>
    <cfRule type="expression" dxfId="6310" priority="90">
      <formula>SEARCH("INTERROTTO",$M8)&gt;0</formula>
    </cfRule>
  </conditionalFormatting>
  <conditionalFormatting sqref="R8:S8">
    <cfRule type="expression" dxfId="6309" priority="79">
      <formula>SEARCH("IN CORSO",$M8)&gt;0</formula>
    </cfRule>
    <cfRule type="expression" dxfId="6308" priority="80">
      <formula>SEARCH("CHIUSO",$M8)&gt;0</formula>
    </cfRule>
    <cfRule type="expression" dxfId="6307" priority="81">
      <formula>SEARCH("EMESSO",$M8)&gt;0</formula>
    </cfRule>
    <cfRule type="expression" dxfId="6306" priority="82">
      <formula>SEARCH("RICHIESTO",$M8)&gt;0</formula>
    </cfRule>
    <cfRule type="expression" dxfId="6305" priority="83">
      <formula>SEARCH("DA CHIUDERE",$M8)&gt;0</formula>
    </cfRule>
    <cfRule type="expression" dxfId="6304" priority="84">
      <formula>SEARCH("INTERROTTO",$M8)&gt;0</formula>
    </cfRule>
  </conditionalFormatting>
  <conditionalFormatting sqref="M8">
    <cfRule type="expression" dxfId="6303" priority="73">
      <formula>SEARCH("IN CORSO",$M8)&gt;0</formula>
    </cfRule>
    <cfRule type="expression" dxfId="6302" priority="74">
      <formula>SEARCH("CHIUSO",$M8)&gt;0</formula>
    </cfRule>
    <cfRule type="expression" dxfId="6301" priority="75">
      <formula>SEARCH("EMESSO",$M8)&gt;0</formula>
    </cfRule>
    <cfRule type="expression" dxfId="6300" priority="76">
      <formula>SEARCH("RICHIESTO",$M8)&gt;0</formula>
    </cfRule>
    <cfRule type="expression" dxfId="6299" priority="77">
      <formula>SEARCH("DA CHIUDERE",$M8)&gt;0</formula>
    </cfRule>
    <cfRule type="expression" dxfId="6298" priority="78">
      <formula>SEARCH("INTERROTTO",$M8)&gt;0</formula>
    </cfRule>
  </conditionalFormatting>
  <conditionalFormatting sqref="E7:G7 N7:Q7">
    <cfRule type="expression" dxfId="6297" priority="67">
      <formula>SEARCH("IN CORSO",$M7)&gt;0</formula>
    </cfRule>
    <cfRule type="expression" dxfId="6296" priority="68">
      <formula>SEARCH("CHIUSO",$M7)&gt;0</formula>
    </cfRule>
    <cfRule type="expression" dxfId="6295" priority="69">
      <formula>SEARCH("EMESSO",$M7)&gt;0</formula>
    </cfRule>
    <cfRule type="expression" dxfId="6294" priority="70">
      <formula>SEARCH("RICHIESTO",$M7)&gt;0</formula>
    </cfRule>
    <cfRule type="expression" dxfId="6293" priority="71">
      <formula>SEARCH("DA CHIUDERE",$M7)&gt;0</formula>
    </cfRule>
    <cfRule type="expression" dxfId="6292" priority="72">
      <formula>SEARCH("INTERROTTO",$M7)&gt;0</formula>
    </cfRule>
  </conditionalFormatting>
  <conditionalFormatting sqref="R7:S7">
    <cfRule type="expression" dxfId="6291" priority="61">
      <formula>SEARCH("IN CORSO",$M7)&gt;0</formula>
    </cfRule>
    <cfRule type="expression" dxfId="6290" priority="62">
      <formula>SEARCH("CHIUSO",$M7)&gt;0</formula>
    </cfRule>
    <cfRule type="expression" dxfId="6289" priority="63">
      <formula>SEARCH("EMESSO",$M7)&gt;0</formula>
    </cfRule>
    <cfRule type="expression" dxfId="6288" priority="64">
      <formula>SEARCH("RICHIESTO",$M7)&gt;0</formula>
    </cfRule>
    <cfRule type="expression" dxfId="6287" priority="65">
      <formula>SEARCH("DA CHIUDERE",$M7)&gt;0</formula>
    </cfRule>
    <cfRule type="expression" dxfId="6286" priority="66">
      <formula>SEARCH("INTERROTTO",$M7)&gt;0</formula>
    </cfRule>
  </conditionalFormatting>
  <conditionalFormatting sqref="M7">
    <cfRule type="expression" dxfId="6285" priority="55">
      <formula>SEARCH("IN CORSO",$M7)&gt;0</formula>
    </cfRule>
    <cfRule type="expression" dxfId="6284" priority="56">
      <formula>SEARCH("CHIUSO",$M7)&gt;0</formula>
    </cfRule>
    <cfRule type="expression" dxfId="6283" priority="57">
      <formula>SEARCH("EMESSO",$M7)&gt;0</formula>
    </cfRule>
    <cfRule type="expression" dxfId="6282" priority="58">
      <formula>SEARCH("RICHIESTO",$M7)&gt;0</formula>
    </cfRule>
    <cfRule type="expression" dxfId="6281" priority="59">
      <formula>SEARCH("DA CHIUDERE",$M7)&gt;0</formula>
    </cfRule>
    <cfRule type="expression" dxfId="6280" priority="60">
      <formula>SEARCH("INTERROTTO",$M7)&gt;0</formula>
    </cfRule>
  </conditionalFormatting>
  <conditionalFormatting sqref="E6:G6 N6:Q6">
    <cfRule type="expression" dxfId="6279" priority="49">
      <formula>SEARCH("IN CORSO",$M6)&gt;0</formula>
    </cfRule>
    <cfRule type="expression" dxfId="6278" priority="50">
      <formula>SEARCH("CHIUSO",$M6)&gt;0</formula>
    </cfRule>
    <cfRule type="expression" dxfId="6277" priority="51">
      <formula>SEARCH("EMESSO",$M6)&gt;0</formula>
    </cfRule>
    <cfRule type="expression" dxfId="6276" priority="52">
      <formula>SEARCH("RICHIESTO",$M6)&gt;0</formula>
    </cfRule>
    <cfRule type="expression" dxfId="6275" priority="53">
      <formula>SEARCH("DA CHIUDERE",$M6)&gt;0</formula>
    </cfRule>
    <cfRule type="expression" dxfId="6274" priority="54">
      <formula>SEARCH("INTERROTTO",$M6)&gt;0</formula>
    </cfRule>
  </conditionalFormatting>
  <conditionalFormatting sqref="R6:S6">
    <cfRule type="expression" dxfId="6273" priority="43">
      <formula>SEARCH("IN CORSO",$M6)&gt;0</formula>
    </cfRule>
    <cfRule type="expression" dxfId="6272" priority="44">
      <formula>SEARCH("CHIUSO",$M6)&gt;0</formula>
    </cfRule>
    <cfRule type="expression" dxfId="6271" priority="45">
      <formula>SEARCH("EMESSO",$M6)&gt;0</formula>
    </cfRule>
    <cfRule type="expression" dxfId="6270" priority="46">
      <formula>SEARCH("RICHIESTO",$M6)&gt;0</formula>
    </cfRule>
    <cfRule type="expression" dxfId="6269" priority="47">
      <formula>SEARCH("DA CHIUDERE",$M6)&gt;0</formula>
    </cfRule>
    <cfRule type="expression" dxfId="6268" priority="48">
      <formula>SEARCH("INTERROTTO",$M6)&gt;0</formula>
    </cfRule>
  </conditionalFormatting>
  <conditionalFormatting sqref="M6">
    <cfRule type="expression" dxfId="6267" priority="37">
      <formula>SEARCH("IN CORSO",$M6)&gt;0</formula>
    </cfRule>
    <cfRule type="expression" dxfId="6266" priority="38">
      <formula>SEARCH("CHIUSO",$M6)&gt;0</formula>
    </cfRule>
    <cfRule type="expression" dxfId="6265" priority="39">
      <formula>SEARCH("EMESSO",$M6)&gt;0</formula>
    </cfRule>
    <cfRule type="expression" dxfId="6264" priority="40">
      <formula>SEARCH("RICHIESTO",$M6)&gt;0</formula>
    </cfRule>
    <cfRule type="expression" dxfId="6263" priority="41">
      <formula>SEARCH("DA CHIUDERE",$M6)&gt;0</formula>
    </cfRule>
    <cfRule type="expression" dxfId="6262" priority="42">
      <formula>SEARCH("INTERROTTO",$M6)&gt;0</formula>
    </cfRule>
  </conditionalFormatting>
  <conditionalFormatting sqref="E5:G5 N5:Q5">
    <cfRule type="expression" dxfId="6261" priority="31">
      <formula>SEARCH("IN CORSO",$M5)&gt;0</formula>
    </cfRule>
    <cfRule type="expression" dxfId="6260" priority="32">
      <formula>SEARCH("CHIUSO",$M5)&gt;0</formula>
    </cfRule>
    <cfRule type="expression" dxfId="6259" priority="33">
      <formula>SEARCH("EMESSO",$M5)&gt;0</formula>
    </cfRule>
    <cfRule type="expression" dxfId="6258" priority="34">
      <formula>SEARCH("RICHIESTO",$M5)&gt;0</formula>
    </cfRule>
    <cfRule type="expression" dxfId="6257" priority="35">
      <formula>SEARCH("DA CHIUDERE",$M5)&gt;0</formula>
    </cfRule>
    <cfRule type="expression" dxfId="6256" priority="36">
      <formula>SEARCH("INTERROTTO",$M5)&gt;0</formula>
    </cfRule>
  </conditionalFormatting>
  <conditionalFormatting sqref="R5:S5">
    <cfRule type="expression" dxfId="6255" priority="25">
      <formula>SEARCH("IN CORSO",$M5)&gt;0</formula>
    </cfRule>
    <cfRule type="expression" dxfId="6254" priority="26">
      <formula>SEARCH("CHIUSO",$M5)&gt;0</formula>
    </cfRule>
    <cfRule type="expression" dxfId="6253" priority="27">
      <formula>SEARCH("EMESSO",$M5)&gt;0</formula>
    </cfRule>
    <cfRule type="expression" dxfId="6252" priority="28">
      <formula>SEARCH("RICHIESTO",$M5)&gt;0</formula>
    </cfRule>
    <cfRule type="expression" dxfId="6251" priority="29">
      <formula>SEARCH("DA CHIUDERE",$M5)&gt;0</formula>
    </cfRule>
    <cfRule type="expression" dxfId="6250" priority="30">
      <formula>SEARCH("INTERROTTO",$M5)&gt;0</formula>
    </cfRule>
  </conditionalFormatting>
  <conditionalFormatting sqref="M5">
    <cfRule type="expression" dxfId="6249" priority="19">
      <formula>SEARCH("IN CORSO",$M5)&gt;0</formula>
    </cfRule>
    <cfRule type="expression" dxfId="6248" priority="20">
      <formula>SEARCH("CHIUSO",$M5)&gt;0</formula>
    </cfRule>
    <cfRule type="expression" dxfId="6247" priority="21">
      <formula>SEARCH("EMESSO",$M5)&gt;0</formula>
    </cfRule>
    <cfRule type="expression" dxfId="6246" priority="22">
      <formula>SEARCH("RICHIESTO",$M5)&gt;0</formula>
    </cfRule>
    <cfRule type="expression" dxfId="6245" priority="23">
      <formula>SEARCH("DA CHIUDERE",$M5)&gt;0</formula>
    </cfRule>
    <cfRule type="expression" dxfId="6244" priority="24">
      <formula>SEARCH("INTERROTTO",$M5)&gt;0</formula>
    </cfRule>
  </conditionalFormatting>
  <conditionalFormatting sqref="E4:G4 N4:Q4">
    <cfRule type="expression" dxfId="6243" priority="13">
      <formula>SEARCH("IN CORSO",$M4)&gt;0</formula>
    </cfRule>
    <cfRule type="expression" dxfId="6242" priority="14">
      <formula>SEARCH("CHIUSO",$M4)&gt;0</formula>
    </cfRule>
    <cfRule type="expression" dxfId="6241" priority="15">
      <formula>SEARCH("EMESSO",$M4)&gt;0</formula>
    </cfRule>
    <cfRule type="expression" dxfId="6240" priority="16">
      <formula>SEARCH("RICHIESTO",$M4)&gt;0</formula>
    </cfRule>
    <cfRule type="expression" dxfId="6239" priority="17">
      <formula>SEARCH("DA CHIUDERE",$M4)&gt;0</formula>
    </cfRule>
    <cfRule type="expression" dxfId="6238" priority="18">
      <formula>SEARCH("INTERROTTO",$M4)&gt;0</formula>
    </cfRule>
  </conditionalFormatting>
  <conditionalFormatting sqref="R4:S4">
    <cfRule type="expression" dxfId="6237" priority="7">
      <formula>SEARCH("IN CORSO",$M4)&gt;0</formula>
    </cfRule>
    <cfRule type="expression" dxfId="6236" priority="8">
      <formula>SEARCH("CHIUSO",$M4)&gt;0</formula>
    </cfRule>
    <cfRule type="expression" dxfId="6235" priority="9">
      <formula>SEARCH("EMESSO",$M4)&gt;0</formula>
    </cfRule>
    <cfRule type="expression" dxfId="6234" priority="10">
      <formula>SEARCH("RICHIESTO",$M4)&gt;0</formula>
    </cfRule>
    <cfRule type="expression" dxfId="6233" priority="11">
      <formula>SEARCH("DA CHIUDERE",$M4)&gt;0</formula>
    </cfRule>
    <cfRule type="expression" dxfId="6232" priority="12">
      <formula>SEARCH("INTERROTTO",$M4)&gt;0</formula>
    </cfRule>
  </conditionalFormatting>
  <conditionalFormatting sqref="M4">
    <cfRule type="expression" dxfId="6231" priority="1">
      <formula>SEARCH("IN CORSO",$M4)&gt;0</formula>
    </cfRule>
    <cfRule type="expression" dxfId="6230" priority="2">
      <formula>SEARCH("CHIUSO",$M4)&gt;0</formula>
    </cfRule>
    <cfRule type="expression" dxfId="6229" priority="3">
      <formula>SEARCH("EMESSO",$M4)&gt;0</formula>
    </cfRule>
    <cfRule type="expression" dxfId="6228" priority="4">
      <formula>SEARCH("RICHIESTO",$M4)&gt;0</formula>
    </cfRule>
    <cfRule type="expression" dxfId="6227" priority="5">
      <formula>SEARCH("DA CHIUDERE",$M4)&gt;0</formula>
    </cfRule>
    <cfRule type="expression" dxfId="6226" priority="6">
      <formula>SEARCH("INTERROTTO",$M4)&gt;0</formula>
    </cfRule>
  </conditionalFormatting>
  <dataValidations count="1">
    <dataValidation type="list" allowBlank="1" showInputMessage="1" showErrorMessage="1" sqref="M4:M271" xr:uid="{DBDB9678-6AC5-441E-B00D-67ACF153FC24}">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78"/>
  <sheetViews>
    <sheetView topLeftCell="E4" workbookViewId="0">
      <selection activeCell="A4" sqref="A4:U178"/>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16384" width="8.5" style="10"/>
  </cols>
  <sheetData>
    <row r="1" spans="1:22" ht="128.1" customHeight="1" x14ac:dyDescent="0.35">
      <c r="A1" s="194"/>
      <c r="B1" s="194"/>
      <c r="C1" s="194"/>
      <c r="D1" s="194"/>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5" t="s">
        <v>1256</v>
      </c>
      <c r="O2" s="195"/>
      <c r="P2" s="195"/>
      <c r="Q2" s="40"/>
    </row>
    <row r="3" spans="1:22"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c r="V3" s="19" t="s">
        <v>3158</v>
      </c>
    </row>
    <row r="4" spans="1:22" s="19" customFormat="1" ht="30" x14ac:dyDescent="0.2">
      <c r="A4" s="112"/>
      <c r="B4" s="112"/>
      <c r="C4" s="112" t="str">
        <f>IF(OR(Tabella1[[#This Row],[LUN]]="X",Tabella1[[#This Row],[MAR]]="X",Tabella1[[#This Row],[MER]]="X",Tabella1[[#This Row],[GIO]]="X",Tabella1[[#This Row],[VEN]]="X",),"X","")</f>
        <v/>
      </c>
      <c r="D4" s="113" t="s">
        <v>72</v>
      </c>
      <c r="E4" s="109" t="s">
        <v>1757</v>
      </c>
      <c r="F4" s="109">
        <v>500</v>
      </c>
      <c r="G4" s="109" t="s">
        <v>1758</v>
      </c>
      <c r="H4" s="111"/>
      <c r="I4" s="111"/>
      <c r="J4" s="111"/>
      <c r="K4" s="111"/>
      <c r="L4" s="111"/>
      <c r="M4" s="92" t="s">
        <v>1258</v>
      </c>
      <c r="N4" s="110"/>
      <c r="O4" s="167"/>
      <c r="P4" s="110"/>
      <c r="Q4" s="109" t="s">
        <v>2248</v>
      </c>
      <c r="R4" s="110">
        <v>45840</v>
      </c>
      <c r="S4" s="110" t="s">
        <v>102</v>
      </c>
      <c r="T4" s="114" t="str">
        <f ca="1">IF(AND('Inserimento dati'!$B$3=$H$2, Tabella1[[#This Row],[LUN]]="X"), "X",IF(AND('Inserimento dati'!$B$3=$I$2, Tabella1[[#This Row],[MAR]]="X"), "X", IF(AND('Inserimento dati'!$B$3=$J$2, Tabella1[[#This Row],[MER]]="X"), "X",IF(AND('Inserimento dati'!$B$3=$K$2, Tabella1[[#This Row],[GIO]]="X"), "X", IF(AND('Inserimento dati'!$B$3=$L$2, Tabella1[[#This Row],[VEN]]="X"), "X","")))))</f>
        <v/>
      </c>
      <c r="U4" s="129" t="str">
        <f ca="1">IFERROR(MID(G4,_xlfn.AGGREGATE(15,6,(ROW(INDIRECT("1:"&amp;LEN(G4)-7)))/(ISNUMBER(--MID(G4,ROW(INDIRECT("1:"&amp;LEN(G4)-7)),8))),1),8),"")</f>
        <v/>
      </c>
      <c r="V4" s="187">
        <v>45930.833333333336</v>
      </c>
    </row>
    <row r="5" spans="1:22" s="19" customFormat="1" ht="30" x14ac:dyDescent="0.2">
      <c r="A5" s="112"/>
      <c r="B5" s="112"/>
      <c r="C5" s="112" t="str">
        <f>IF(OR(Tabella1[[#This Row],[LUN]]="X",Tabella1[[#This Row],[MAR]]="X",Tabella1[[#This Row],[MER]]="X",Tabella1[[#This Row],[GIO]]="X",Tabella1[[#This Row],[VEN]]="X",),"X","")</f>
        <v/>
      </c>
      <c r="D5" s="113" t="s">
        <v>72</v>
      </c>
      <c r="E5" s="109" t="s">
        <v>2590</v>
      </c>
      <c r="F5" s="109">
        <v>600</v>
      </c>
      <c r="G5" s="109" t="s">
        <v>2591</v>
      </c>
      <c r="H5" s="111"/>
      <c r="I5" s="111"/>
      <c r="J5" s="111"/>
      <c r="K5" s="111"/>
      <c r="L5" s="111"/>
      <c r="M5" s="92" t="s">
        <v>1258</v>
      </c>
      <c r="N5" s="110"/>
      <c r="O5" s="167"/>
      <c r="P5" s="110"/>
      <c r="Q5" s="109" t="s">
        <v>2594</v>
      </c>
      <c r="R5" s="110">
        <v>45881</v>
      </c>
      <c r="S5" s="110" t="s">
        <v>2595</v>
      </c>
      <c r="T5" s="114" t="str">
        <f ca="1">IF(AND('Inserimento dati'!$B$3=$H$2, Tabella1[[#This Row],[LUN]]="X"), "X",IF(AND('Inserimento dati'!$B$3=$I$2, Tabella1[[#This Row],[MAR]]="X"), "X", IF(AND('Inserimento dati'!$B$3=$J$2, Tabella1[[#This Row],[MER]]="X"), "X",IF(AND('Inserimento dati'!$B$3=$K$2, Tabella1[[#This Row],[GIO]]="X"), "X", IF(AND('Inserimento dati'!$B$3=$L$2, Tabella1[[#This Row],[VEN]]="X"), "X","")))))</f>
        <v/>
      </c>
      <c r="U5" s="93"/>
      <c r="V5" s="187">
        <v>45930.833333333336</v>
      </c>
    </row>
    <row r="6" spans="1:22" s="19" customFormat="1" ht="30" x14ac:dyDescent="0.2">
      <c r="A6" s="112"/>
      <c r="B6" s="112"/>
      <c r="C6" s="112" t="str">
        <f>IF(OR(Tabella1[[#This Row],[LUN]]="X",Tabella1[[#This Row],[MAR]]="X",Tabella1[[#This Row],[MER]]="X",Tabella1[[#This Row],[GIO]]="X",Tabella1[[#This Row],[VEN]]="X",),"X","")</f>
        <v/>
      </c>
      <c r="D6" s="113" t="s">
        <v>72</v>
      </c>
      <c r="E6" s="109" t="s">
        <v>2592</v>
      </c>
      <c r="F6" s="109">
        <v>600</v>
      </c>
      <c r="G6" s="109" t="s">
        <v>2593</v>
      </c>
      <c r="H6" s="111"/>
      <c r="I6" s="111"/>
      <c r="J6" s="111"/>
      <c r="K6" s="111"/>
      <c r="L6" s="111"/>
      <c r="M6" s="92" t="s">
        <v>1258</v>
      </c>
      <c r="N6" s="110"/>
      <c r="O6" s="167"/>
      <c r="P6" s="110"/>
      <c r="Q6" s="109" t="s">
        <v>2594</v>
      </c>
      <c r="R6" s="110">
        <v>45881</v>
      </c>
      <c r="S6" s="110" t="s">
        <v>2595</v>
      </c>
      <c r="T6" s="114" t="str">
        <f ca="1">IF(AND('Inserimento dati'!$B$3=$H$2, Tabella1[[#This Row],[LUN]]="X"), "X",IF(AND('Inserimento dati'!$B$3=$I$2, Tabella1[[#This Row],[MAR]]="X"), "X", IF(AND('Inserimento dati'!$B$3=$J$2, Tabella1[[#This Row],[MER]]="X"), "X",IF(AND('Inserimento dati'!$B$3=$K$2, Tabella1[[#This Row],[GIO]]="X"), "X", IF(AND('Inserimento dati'!$B$3=$L$2, Tabella1[[#This Row],[VEN]]="X"), "X","")))))</f>
        <v/>
      </c>
      <c r="U6" s="93"/>
      <c r="V6" s="187">
        <v>45930.833333333336</v>
      </c>
    </row>
    <row r="7" spans="1:22" s="19" customFormat="1" ht="23.25" x14ac:dyDescent="0.2">
      <c r="A7" s="112"/>
      <c r="B7" s="112"/>
      <c r="C7" s="112" t="str">
        <f>IF(OR(Tabella1[[#This Row],[LUN]]="X",Tabella1[[#This Row],[MAR]]="X",Tabella1[[#This Row],[MER]]="X",Tabella1[[#This Row],[GIO]]="X",Tabella1[[#This Row],[VEN]]="X",),"X","")</f>
        <v/>
      </c>
      <c r="D7" s="113" t="s">
        <v>72</v>
      </c>
      <c r="E7" s="109" t="s">
        <v>2305</v>
      </c>
      <c r="F7" s="109">
        <v>1000</v>
      </c>
      <c r="G7" s="109" t="s">
        <v>2306</v>
      </c>
      <c r="H7" s="111"/>
      <c r="I7" s="111"/>
      <c r="J7" s="111"/>
      <c r="K7" s="111"/>
      <c r="L7" s="111"/>
      <c r="M7" s="92" t="s">
        <v>1258</v>
      </c>
      <c r="N7" s="110"/>
      <c r="O7" s="167"/>
      <c r="P7" s="110"/>
      <c r="Q7" s="109" t="s">
        <v>1640</v>
      </c>
      <c r="R7" s="110">
        <v>45845</v>
      </c>
      <c r="S7" s="110" t="s">
        <v>554</v>
      </c>
      <c r="T7" s="114" t="str">
        <f ca="1">IF(AND('Inserimento dati'!$B$3=$H$2, Tabella1[[#This Row],[LUN]]="X"), "X",IF(AND('Inserimento dati'!$B$3=$I$2, Tabella1[[#This Row],[MAR]]="X"), "X", IF(AND('Inserimento dati'!$B$3=$J$2, Tabella1[[#This Row],[MER]]="X"), "X",IF(AND('Inserimento dati'!$B$3=$K$2, Tabella1[[#This Row],[GIO]]="X"), "X", IF(AND('Inserimento dati'!$B$3=$L$2, Tabella1[[#This Row],[VEN]]="X"), "X","")))))</f>
        <v/>
      </c>
      <c r="U7" s="129"/>
      <c r="V7" s="187">
        <v>45930.833333333336</v>
      </c>
    </row>
    <row r="8" spans="1:22" s="19" customFormat="1" ht="30" x14ac:dyDescent="0.2">
      <c r="A8" s="112"/>
      <c r="B8" s="112" t="str">
        <f t="shared" ref="B8:B39" si="0">IF(OR(A8="x",A8="X"),"",IF(ISBLANK(A8),"X",""))</f>
        <v>X</v>
      </c>
      <c r="C8" s="112" t="str">
        <f>IF(OR(Tabella1[[#This Row],[LUN]]="X",Tabella1[[#This Row],[MAR]]="X",Tabella1[[#This Row],[MER]]="X",Tabella1[[#This Row],[GIO]]="X",Tabella1[[#This Row],[VEN]]="X",),"X","")</f>
        <v/>
      </c>
      <c r="D8" s="113" t="s">
        <v>72</v>
      </c>
      <c r="E8" s="109" t="s">
        <v>1681</v>
      </c>
      <c r="F8" s="109">
        <v>600</v>
      </c>
      <c r="G8" s="109" t="s">
        <v>1682</v>
      </c>
      <c r="H8" s="111"/>
      <c r="I8" s="111"/>
      <c r="J8" s="111"/>
      <c r="K8" s="111"/>
      <c r="L8" s="111"/>
      <c r="M8" s="92" t="s">
        <v>1258</v>
      </c>
      <c r="N8" s="110"/>
      <c r="O8" s="167"/>
      <c r="P8" s="110"/>
      <c r="Q8" s="109" t="s">
        <v>1640</v>
      </c>
      <c r="R8" s="110">
        <v>45821</v>
      </c>
      <c r="S8" s="110" t="s">
        <v>554</v>
      </c>
      <c r="T8" s="114" t="str">
        <f ca="1">IF(AND('Inserimento dati'!$B$3=$H$2, Tabella1[[#This Row],[LUN]]="X"), "X",IF(AND('Inserimento dati'!$B$3=$I$2, Tabella1[[#This Row],[MAR]]="X"), "X", IF(AND('Inserimento dati'!$B$3=$J$2, Tabella1[[#This Row],[MER]]="X"), "X",IF(AND('Inserimento dati'!$B$3=$K$2, Tabella1[[#This Row],[GIO]]="X"), "X", IF(AND('Inserimento dati'!$B$3=$L$2, Tabella1[[#This Row],[VEN]]="X"), "X","")))))</f>
        <v/>
      </c>
      <c r="U8" s="130" t="str">
        <f t="shared" ref="U8:U39" ca="1" si="1">IFERROR(MID(G8,_xlfn.AGGREGATE(15,6,(ROW(INDIRECT("1:"&amp;LEN(G8)-7)))/(ISNUMBER(--MID(G8,ROW(INDIRECT("1:"&amp;LEN(G8)-7)),8))),1),8),"")</f>
        <v/>
      </c>
      <c r="V8" s="187">
        <v>45930.833333333336</v>
      </c>
    </row>
    <row r="9" spans="1:22" s="19" customFormat="1" ht="30" x14ac:dyDescent="0.2">
      <c r="A9" s="112"/>
      <c r="B9" s="112" t="str">
        <f t="shared" si="0"/>
        <v>X</v>
      </c>
      <c r="C9" s="112" t="str">
        <f>IF(OR(Tabella1[[#This Row],[LUN]]="X",Tabella1[[#This Row],[MAR]]="X",Tabella1[[#This Row],[MER]]="X",Tabella1[[#This Row],[GIO]]="X",Tabella1[[#This Row],[VEN]]="X",),"X","")</f>
        <v/>
      </c>
      <c r="D9" s="113" t="s">
        <v>72</v>
      </c>
      <c r="E9" s="109" t="s">
        <v>1632</v>
      </c>
      <c r="F9" s="109">
        <v>500</v>
      </c>
      <c r="G9" s="109" t="s">
        <v>1633</v>
      </c>
      <c r="H9" s="111"/>
      <c r="I9" s="111"/>
      <c r="J9" s="111"/>
      <c r="K9" s="111"/>
      <c r="L9" s="111"/>
      <c r="M9" s="92" t="s">
        <v>1258</v>
      </c>
      <c r="N9" s="110"/>
      <c r="O9" s="167"/>
      <c r="P9" s="110"/>
      <c r="Q9" s="109" t="s">
        <v>1667</v>
      </c>
      <c r="R9" s="110">
        <v>45803</v>
      </c>
      <c r="S9" s="110" t="s">
        <v>1668</v>
      </c>
      <c r="T9" s="114" t="str">
        <f ca="1">IF(AND('Inserimento dati'!$B$3=$H$2, Tabella1[[#This Row],[LUN]]="X"), "X",IF(AND('Inserimento dati'!$B$3=$I$2, Tabella1[[#This Row],[MAR]]="X"), "X", IF(AND('Inserimento dati'!$B$3=$J$2, Tabella1[[#This Row],[MER]]="X"), "X",IF(AND('Inserimento dati'!$B$3=$K$2, Tabella1[[#This Row],[GIO]]="X"), "X", IF(AND('Inserimento dati'!$B$3=$L$2, Tabella1[[#This Row],[VEN]]="X"), "X","")))))</f>
        <v/>
      </c>
      <c r="U9" s="130" t="str">
        <f t="shared" ca="1" si="1"/>
        <v/>
      </c>
      <c r="V9" s="187">
        <v>45930.833333333336</v>
      </c>
    </row>
    <row r="10" spans="1:22" s="19" customFormat="1" ht="23.25" x14ac:dyDescent="0.2">
      <c r="A10" s="112"/>
      <c r="B10" s="112" t="str">
        <f t="shared" si="0"/>
        <v>X</v>
      </c>
      <c r="C10" s="112" t="str">
        <f>IF(OR(Tabella1[[#This Row],[LUN]]="X",Tabella1[[#This Row],[MAR]]="X",Tabella1[[#This Row],[MER]]="X",Tabella1[[#This Row],[GIO]]="X",Tabella1[[#This Row],[VEN]]="X",),"X","")</f>
        <v/>
      </c>
      <c r="D10" s="113" t="s">
        <v>72</v>
      </c>
      <c r="E10" s="109" t="s">
        <v>1661</v>
      </c>
      <c r="F10" s="109">
        <v>1000</v>
      </c>
      <c r="G10" s="109" t="s">
        <v>1662</v>
      </c>
      <c r="H10" s="111"/>
      <c r="I10" s="111"/>
      <c r="J10" s="111"/>
      <c r="K10" s="111"/>
      <c r="L10" s="111"/>
      <c r="M10" s="92" t="s">
        <v>1258</v>
      </c>
      <c r="N10" s="110"/>
      <c r="O10" s="167"/>
      <c r="P10" s="110"/>
      <c r="Q10" s="109" t="s">
        <v>1669</v>
      </c>
      <c r="R10" s="110">
        <v>45819</v>
      </c>
      <c r="S10" s="110" t="s">
        <v>239</v>
      </c>
      <c r="T10" s="114" t="str">
        <f ca="1">IF(AND('Inserimento dati'!$B$3=$H$2, Tabella1[[#This Row],[LUN]]="X"), "X",IF(AND('Inserimento dati'!$B$3=$I$2, Tabella1[[#This Row],[MAR]]="X"), "X", IF(AND('Inserimento dati'!$B$3=$J$2, Tabella1[[#This Row],[MER]]="X"), "X",IF(AND('Inserimento dati'!$B$3=$K$2, Tabella1[[#This Row],[GIO]]="X"), "X", IF(AND('Inserimento dati'!$B$3=$L$2, Tabella1[[#This Row],[VEN]]="X"), "X","")))))</f>
        <v/>
      </c>
      <c r="U10" s="130" t="str">
        <f t="shared" ca="1" si="1"/>
        <v/>
      </c>
      <c r="V10" s="187">
        <v>45930.833333333336</v>
      </c>
    </row>
    <row r="11" spans="1:22" s="19" customFormat="1" ht="23.25" x14ac:dyDescent="0.2">
      <c r="A11" s="112"/>
      <c r="B11" s="112" t="str">
        <f t="shared" si="0"/>
        <v>X</v>
      </c>
      <c r="C11" s="112" t="str">
        <f>IF(OR(Tabella1[[#This Row],[LUN]]="X",Tabella1[[#This Row],[MAR]]="X",Tabella1[[#This Row],[MER]]="X",Tabella1[[#This Row],[GIO]]="X",Tabella1[[#This Row],[VEN]]="X",),"X","")</f>
        <v/>
      </c>
      <c r="D11" s="113" t="s">
        <v>72</v>
      </c>
      <c r="E11" s="109" t="s">
        <v>1651</v>
      </c>
      <c r="F11" s="109">
        <v>500</v>
      </c>
      <c r="G11" s="109" t="s">
        <v>1652</v>
      </c>
      <c r="H11" s="111"/>
      <c r="I11" s="111"/>
      <c r="J11" s="111"/>
      <c r="K11" s="111"/>
      <c r="L11" s="111"/>
      <c r="M11" s="92" t="s">
        <v>1258</v>
      </c>
      <c r="N11" s="110"/>
      <c r="O11" s="167"/>
      <c r="P11" s="110"/>
      <c r="Q11" s="109"/>
      <c r="R11" s="110"/>
      <c r="S11" s="110"/>
      <c r="T11" s="114" t="str">
        <f ca="1">IF(AND('Inserimento dati'!$B$3=$H$2, Tabella1[[#This Row],[LUN]]="X"), "X",IF(AND('Inserimento dati'!$B$3=$I$2, Tabella1[[#This Row],[MAR]]="X"), "X", IF(AND('Inserimento dati'!$B$3=$J$2, Tabella1[[#This Row],[MER]]="X"), "X",IF(AND('Inserimento dati'!$B$3=$K$2, Tabella1[[#This Row],[GIO]]="X"), "X", IF(AND('Inserimento dati'!$B$3=$L$2, Tabella1[[#This Row],[VEN]]="X"), "X","")))))</f>
        <v/>
      </c>
      <c r="U11" s="130" t="str">
        <f t="shared" ca="1" si="1"/>
        <v/>
      </c>
      <c r="V11" s="187">
        <v>45930.833333333336</v>
      </c>
    </row>
    <row r="12" spans="1:22" s="19" customFormat="1" ht="23.25" x14ac:dyDescent="0.2">
      <c r="A12" s="112"/>
      <c r="B12" s="112" t="str">
        <f t="shared" si="0"/>
        <v>X</v>
      </c>
      <c r="C12" s="112" t="str">
        <f>IF(OR(Tabella1[[#This Row],[LUN]]="X",Tabella1[[#This Row],[MAR]]="X",Tabella1[[#This Row],[MER]]="X",Tabella1[[#This Row],[GIO]]="X",Tabella1[[#This Row],[VEN]]="X",),"X","")</f>
        <v/>
      </c>
      <c r="D12" s="113" t="s">
        <v>72</v>
      </c>
      <c r="E12" s="109" t="s">
        <v>1623</v>
      </c>
      <c r="F12" s="109">
        <v>500</v>
      </c>
      <c r="G12" s="109" t="s">
        <v>1624</v>
      </c>
      <c r="H12" s="111"/>
      <c r="I12" s="111"/>
      <c r="J12" s="111"/>
      <c r="K12" s="111"/>
      <c r="L12" s="111"/>
      <c r="M12" s="92" t="s">
        <v>1258</v>
      </c>
      <c r="N12" s="110"/>
      <c r="O12" s="167"/>
      <c r="P12" s="110"/>
      <c r="Q12" s="109" t="s">
        <v>1640</v>
      </c>
      <c r="R12" s="110">
        <v>45790</v>
      </c>
      <c r="S12" s="110" t="s">
        <v>239</v>
      </c>
      <c r="T12" s="114" t="str">
        <f ca="1">IF(AND('Inserimento dati'!$B$3=$H$2, Tabella1[[#This Row],[LUN]]="X"), "X",IF(AND('Inserimento dati'!$B$3=$I$2, Tabella1[[#This Row],[MAR]]="X"), "X", IF(AND('Inserimento dati'!$B$3=$J$2, Tabella1[[#This Row],[MER]]="X"), "X",IF(AND('Inserimento dati'!$B$3=$K$2, Tabella1[[#This Row],[GIO]]="X"), "X", IF(AND('Inserimento dati'!$B$3=$L$2, Tabella1[[#This Row],[VEN]]="X"), "X","")))))</f>
        <v/>
      </c>
      <c r="U12" s="130" t="str">
        <f t="shared" ca="1" si="1"/>
        <v/>
      </c>
      <c r="V12" s="187">
        <v>45930.833333333336</v>
      </c>
    </row>
    <row r="13" spans="1:22" s="19" customFormat="1" ht="23.25" x14ac:dyDescent="0.2">
      <c r="A13" s="112"/>
      <c r="B13" s="112" t="str">
        <f t="shared" si="0"/>
        <v>X</v>
      </c>
      <c r="C13" s="112" t="str">
        <f>IF(OR(Tabella1[[#This Row],[LUN]]="X",Tabella1[[#This Row],[MAR]]="X",Tabella1[[#This Row],[MER]]="X",Tabella1[[#This Row],[GIO]]="X",Tabella1[[#This Row],[VEN]]="X",),"X","")</f>
        <v/>
      </c>
      <c r="D13" s="113" t="s">
        <v>72</v>
      </c>
      <c r="E13" s="109" t="s">
        <v>1630</v>
      </c>
      <c r="F13" s="109">
        <v>500</v>
      </c>
      <c r="G13" s="109" t="s">
        <v>1631</v>
      </c>
      <c r="H13" s="111"/>
      <c r="I13" s="111"/>
      <c r="J13" s="111"/>
      <c r="K13" s="111"/>
      <c r="L13" s="111"/>
      <c r="M13" s="92" t="s">
        <v>1258</v>
      </c>
      <c r="N13" s="110"/>
      <c r="O13" s="167"/>
      <c r="P13" s="110"/>
      <c r="Q13" s="109" t="s">
        <v>1640</v>
      </c>
      <c r="R13" s="110">
        <v>45800</v>
      </c>
      <c r="S13" s="110" t="s">
        <v>203</v>
      </c>
      <c r="T13" s="114" t="str">
        <f ca="1">IF(AND('Inserimento dati'!$B$3=$H$2, Tabella1[[#This Row],[LUN]]="X"), "X",IF(AND('Inserimento dati'!$B$3=$I$2, Tabella1[[#This Row],[MAR]]="X"), "X", IF(AND('Inserimento dati'!$B$3=$J$2, Tabella1[[#This Row],[MER]]="X"), "X",IF(AND('Inserimento dati'!$B$3=$K$2, Tabella1[[#This Row],[GIO]]="X"), "X", IF(AND('Inserimento dati'!$B$3=$L$2, Tabella1[[#This Row],[VEN]]="X"), "X","")))))</f>
        <v/>
      </c>
      <c r="U13" s="130" t="str">
        <f t="shared" ca="1" si="1"/>
        <v/>
      </c>
      <c r="V13" s="187">
        <v>45930.833333333336</v>
      </c>
    </row>
    <row r="14" spans="1:22" s="19" customFormat="1" ht="23.25" x14ac:dyDescent="0.2">
      <c r="A14" s="112"/>
      <c r="B14" s="112" t="str">
        <f t="shared" si="0"/>
        <v>X</v>
      </c>
      <c r="C14" s="112" t="str">
        <f>IF(OR(Tabella1[[#This Row],[LUN]]="X",Tabella1[[#This Row],[MAR]]="X",Tabella1[[#This Row],[MER]]="X",Tabella1[[#This Row],[GIO]]="X",Tabella1[[#This Row],[VEN]]="X",),"X","")</f>
        <v/>
      </c>
      <c r="D14" s="113" t="s">
        <v>72</v>
      </c>
      <c r="E14" s="109" t="s">
        <v>1636</v>
      </c>
      <c r="F14" s="109">
        <v>1000</v>
      </c>
      <c r="G14" s="109" t="s">
        <v>1600</v>
      </c>
      <c r="H14" s="111"/>
      <c r="I14" s="111"/>
      <c r="J14" s="111"/>
      <c r="K14" s="111"/>
      <c r="L14" s="111"/>
      <c r="M14" s="92" t="s">
        <v>1258</v>
      </c>
      <c r="N14" s="110"/>
      <c r="O14" s="167"/>
      <c r="P14" s="110"/>
      <c r="Q14" s="109" t="s">
        <v>1640</v>
      </c>
      <c r="R14" s="110">
        <v>45807</v>
      </c>
      <c r="S14" s="110" t="s">
        <v>239</v>
      </c>
      <c r="T14" s="114" t="str">
        <f ca="1">IF(AND('Inserimento dati'!$B$3=$H$2, Tabella1[[#This Row],[LUN]]="X"), "X",IF(AND('Inserimento dati'!$B$3=$I$2, Tabella1[[#This Row],[MAR]]="X"), "X", IF(AND('Inserimento dati'!$B$3=$J$2, Tabella1[[#This Row],[MER]]="X"), "X",IF(AND('Inserimento dati'!$B$3=$K$2, Tabella1[[#This Row],[GIO]]="X"), "X", IF(AND('Inserimento dati'!$B$3=$L$2, Tabella1[[#This Row],[VEN]]="X"), "X","")))))</f>
        <v/>
      </c>
      <c r="U14" s="130" t="str">
        <f t="shared" ca="1" si="1"/>
        <v/>
      </c>
      <c r="V14" s="187">
        <v>45930.833333333336</v>
      </c>
    </row>
    <row r="15" spans="1:22" s="19" customFormat="1" ht="23.25" x14ac:dyDescent="0.2">
      <c r="A15" s="112"/>
      <c r="B15" s="112" t="str">
        <f t="shared" si="0"/>
        <v>X</v>
      </c>
      <c r="C15" s="112" t="str">
        <f>IF(OR(Tabella1[[#This Row],[LUN]]="X",Tabella1[[#This Row],[MAR]]="X",Tabella1[[#This Row],[MER]]="X",Tabella1[[#This Row],[GIO]]="X",Tabella1[[#This Row],[VEN]]="X",),"X","")</f>
        <v/>
      </c>
      <c r="D15" s="113" t="s">
        <v>72</v>
      </c>
      <c r="E15" s="109" t="s">
        <v>1638</v>
      </c>
      <c r="F15" s="109">
        <v>500</v>
      </c>
      <c r="G15" s="109" t="s">
        <v>1639</v>
      </c>
      <c r="H15" s="111"/>
      <c r="I15" s="111"/>
      <c r="J15" s="111"/>
      <c r="K15" s="111"/>
      <c r="L15" s="111"/>
      <c r="M15" s="92" t="s">
        <v>1258</v>
      </c>
      <c r="N15" s="110"/>
      <c r="O15" s="167"/>
      <c r="P15" s="110"/>
      <c r="Q15" s="109" t="s">
        <v>1640</v>
      </c>
      <c r="R15" s="110">
        <v>45808</v>
      </c>
      <c r="S15" s="110" t="s">
        <v>1074</v>
      </c>
      <c r="T15" s="114" t="str">
        <f ca="1">IF(AND('Inserimento dati'!$B$3=$H$2, Tabella1[[#This Row],[LUN]]="X"), "X",IF(AND('Inserimento dati'!$B$3=$I$2, Tabella1[[#This Row],[MAR]]="X"), "X", IF(AND('Inserimento dati'!$B$3=$J$2, Tabella1[[#This Row],[MER]]="X"), "X",IF(AND('Inserimento dati'!$B$3=$K$2, Tabella1[[#This Row],[GIO]]="X"), "X", IF(AND('Inserimento dati'!$B$3=$L$2, Tabella1[[#This Row],[VEN]]="X"), "X","")))))</f>
        <v/>
      </c>
      <c r="U15" s="130" t="str">
        <f t="shared" ca="1" si="1"/>
        <v/>
      </c>
      <c r="V15" s="187">
        <v>45930.833333333336</v>
      </c>
    </row>
    <row r="16" spans="1:22" s="19" customFormat="1" ht="23.25" x14ac:dyDescent="0.2">
      <c r="A16" s="112"/>
      <c r="B16" s="112" t="str">
        <f t="shared" si="0"/>
        <v>X</v>
      </c>
      <c r="C16" s="112" t="str">
        <f>IF(OR(Tabella1[[#This Row],[LUN]]="X",Tabella1[[#This Row],[MAR]]="X",Tabella1[[#This Row],[MER]]="X",Tabella1[[#This Row],[GIO]]="X",Tabella1[[#This Row],[VEN]]="X",),"X","")</f>
        <v/>
      </c>
      <c r="D16" s="113" t="s">
        <v>72</v>
      </c>
      <c r="E16" s="109" t="s">
        <v>1599</v>
      </c>
      <c r="F16" s="109">
        <v>1000</v>
      </c>
      <c r="G16" s="109" t="s">
        <v>1600</v>
      </c>
      <c r="H16" s="111"/>
      <c r="I16" s="111"/>
      <c r="J16" s="111"/>
      <c r="K16" s="111"/>
      <c r="L16" s="111"/>
      <c r="M16" s="92" t="s">
        <v>1258</v>
      </c>
      <c r="N16" s="110"/>
      <c r="O16" s="167"/>
      <c r="P16" s="110"/>
      <c r="Q16" s="109"/>
      <c r="R16" s="110">
        <v>45814</v>
      </c>
      <c r="S16" s="110" t="s">
        <v>1074</v>
      </c>
      <c r="T16" s="114" t="str">
        <f ca="1">IF(AND('Inserimento dati'!$B$3=$H$2, Tabella1[[#This Row],[LUN]]="X"), "X",IF(AND('Inserimento dati'!$B$3=$I$2, Tabella1[[#This Row],[MAR]]="X"), "X", IF(AND('Inserimento dati'!$B$3=$J$2, Tabella1[[#This Row],[MER]]="X"), "X",IF(AND('Inserimento dati'!$B$3=$K$2, Tabella1[[#This Row],[GIO]]="X"), "X", IF(AND('Inserimento dati'!$B$3=$L$2, Tabella1[[#This Row],[VEN]]="X"), "X","")))))</f>
        <v/>
      </c>
      <c r="U16" s="130" t="str">
        <f t="shared" ca="1" si="1"/>
        <v/>
      </c>
      <c r="V16" s="187">
        <v>45930.833333333336</v>
      </c>
    </row>
    <row r="17" spans="1:22" s="19" customFormat="1" ht="45" x14ac:dyDescent="0.2">
      <c r="A17" s="112"/>
      <c r="B17" s="112" t="str">
        <f t="shared" si="0"/>
        <v>X</v>
      </c>
      <c r="C17" s="112" t="str">
        <f>IF(OR(Tabella1[[#This Row],[LUN]]="X",Tabella1[[#This Row],[MAR]]="X",Tabella1[[#This Row],[MER]]="X",Tabella1[[#This Row],[GIO]]="X",Tabella1[[#This Row],[VEN]]="X",),"X","")</f>
        <v/>
      </c>
      <c r="D17" s="113" t="s">
        <v>72</v>
      </c>
      <c r="E17" s="109" t="s">
        <v>1244</v>
      </c>
      <c r="F17" s="109">
        <v>1000</v>
      </c>
      <c r="G17" s="109" t="s">
        <v>1240</v>
      </c>
      <c r="H17" s="111"/>
      <c r="I17" s="111"/>
      <c r="J17" s="111"/>
      <c r="K17" s="111"/>
      <c r="L17" s="111"/>
      <c r="M17" s="92" t="s">
        <v>1258</v>
      </c>
      <c r="N17" s="110"/>
      <c r="O17" s="167"/>
      <c r="P17" s="110"/>
      <c r="Q17" s="109" t="s">
        <v>1242</v>
      </c>
      <c r="R17" s="110">
        <v>45782</v>
      </c>
      <c r="S17" s="110" t="s">
        <v>102</v>
      </c>
      <c r="T17" s="112" t="str">
        <f ca="1">IF(AND('Inserimento dati'!$B$3=$H$2, Tabella1[[#This Row],[LUN]]="X"), "X",IF(AND('Inserimento dati'!$B$3=$I$2, Tabella1[[#This Row],[MAR]]="X"), "X", IF(AND('Inserimento dati'!$B$3=$J$2, Tabella1[[#This Row],[MER]]="X"), "X",IF(AND('Inserimento dati'!$B$3=$K$2, Tabella1[[#This Row],[GIO]]="X"), "X", IF(AND('Inserimento dati'!$B$3=$L$2, Tabella1[[#This Row],[VEN]]="X"), "X","")))))</f>
        <v/>
      </c>
      <c r="U17" s="131" t="str">
        <f t="shared" ca="1" si="1"/>
        <v/>
      </c>
      <c r="V17" s="187">
        <v>45930.833333333336</v>
      </c>
    </row>
    <row r="18" spans="1:22" s="19" customFormat="1" ht="23.25" x14ac:dyDescent="0.2">
      <c r="A18" s="112"/>
      <c r="B18" s="112" t="str">
        <f t="shared" si="0"/>
        <v>X</v>
      </c>
      <c r="C18" s="112" t="str">
        <f>IF(OR(Tabella1[[#This Row],[LUN]]="X",Tabella1[[#This Row],[MAR]]="X",Tabella1[[#This Row],[MER]]="X",Tabella1[[#This Row],[GIO]]="X",Tabella1[[#This Row],[VEN]]="X",),"X","")</f>
        <v/>
      </c>
      <c r="D18" s="113" t="s">
        <v>72</v>
      </c>
      <c r="E18" s="109" t="s">
        <v>1218</v>
      </c>
      <c r="F18" s="109">
        <v>500</v>
      </c>
      <c r="G18" s="109" t="s">
        <v>1213</v>
      </c>
      <c r="H18" s="111"/>
      <c r="I18" s="111"/>
      <c r="J18" s="111"/>
      <c r="K18" s="111"/>
      <c r="L18" s="111"/>
      <c r="M18" s="110" t="s">
        <v>1258</v>
      </c>
      <c r="N18" s="110"/>
      <c r="O18" s="167"/>
      <c r="P18" s="110"/>
      <c r="Q18" s="109" t="s">
        <v>1236</v>
      </c>
      <c r="R18" s="110">
        <v>45782</v>
      </c>
      <c r="S18" s="110" t="s">
        <v>203</v>
      </c>
      <c r="T18" s="112" t="str">
        <f ca="1">IF(AND('Inserimento dati'!$B$3=$H$2, Tabella1[[#This Row],[LUN]]="X"), "X",IF(AND('Inserimento dati'!$B$3=$I$2, Tabella1[[#This Row],[MAR]]="X"), "X", IF(AND('Inserimento dati'!$B$3=$J$2, Tabella1[[#This Row],[MER]]="X"), "X",IF(AND('Inserimento dati'!$B$3=$K$2, Tabella1[[#This Row],[GIO]]="X"), "X", IF(AND('Inserimento dati'!$B$3=$L$2, Tabella1[[#This Row],[VEN]]="X"), "X","")))))</f>
        <v/>
      </c>
      <c r="U18" s="131" t="str">
        <f t="shared" ca="1" si="1"/>
        <v/>
      </c>
      <c r="V18" s="187">
        <v>45930.833333333336</v>
      </c>
    </row>
    <row r="19" spans="1:22" s="19" customFormat="1" ht="30" x14ac:dyDescent="0.2">
      <c r="A19" s="112"/>
      <c r="B19" s="112" t="str">
        <f t="shared" si="0"/>
        <v>X</v>
      </c>
      <c r="C19" s="112" t="str">
        <f>IF(OR(Tabella1[[#This Row],[LUN]]="X",Tabella1[[#This Row],[MAR]]="X",Tabella1[[#This Row],[MER]]="X",Tabella1[[#This Row],[GIO]]="X",Tabella1[[#This Row],[VEN]]="X",),"X","")</f>
        <v/>
      </c>
      <c r="D19" s="113" t="s">
        <v>72</v>
      </c>
      <c r="E19" s="109" t="s">
        <v>1201</v>
      </c>
      <c r="F19" s="109">
        <v>600</v>
      </c>
      <c r="G19" s="109" t="s">
        <v>1200</v>
      </c>
      <c r="H19" s="111"/>
      <c r="I19" s="111"/>
      <c r="J19" s="111"/>
      <c r="K19" s="111"/>
      <c r="L19" s="111"/>
      <c r="M19" s="110" t="s">
        <v>1258</v>
      </c>
      <c r="N19" s="110"/>
      <c r="O19" s="167"/>
      <c r="P19" s="110"/>
      <c r="Q19" s="109" t="s">
        <v>1226</v>
      </c>
      <c r="R19" s="110">
        <v>45779</v>
      </c>
      <c r="S19" s="110" t="s">
        <v>203</v>
      </c>
      <c r="T19" s="112" t="str">
        <f ca="1">IF(AND('Inserimento dati'!$B$3=$H$2, Tabella1[[#This Row],[LUN]]="X"), "X",IF(AND('Inserimento dati'!$B$3=$I$2, Tabella1[[#This Row],[MAR]]="X"), "X", IF(AND('Inserimento dati'!$B$3=$J$2, Tabella1[[#This Row],[MER]]="X"), "X",IF(AND('Inserimento dati'!$B$3=$K$2, Tabella1[[#This Row],[GIO]]="X"), "X", IF(AND('Inserimento dati'!$B$3=$L$2, Tabella1[[#This Row],[VEN]]="X"), "X","")))))</f>
        <v/>
      </c>
      <c r="U19" s="131" t="str">
        <f t="shared" ca="1" si="1"/>
        <v/>
      </c>
      <c r="V19" s="187">
        <v>45930.833333333336</v>
      </c>
    </row>
    <row r="20" spans="1:22" s="19" customFormat="1" ht="30" x14ac:dyDescent="0.2">
      <c r="A20" s="112"/>
      <c r="B20" s="112" t="str">
        <f t="shared" si="0"/>
        <v>X</v>
      </c>
      <c r="C20" s="112" t="str">
        <f>IF(OR(Tabella1[[#This Row],[LUN]]="X",Tabella1[[#This Row],[MAR]]="X",Tabella1[[#This Row],[MER]]="X",Tabella1[[#This Row],[GIO]]="X",Tabella1[[#This Row],[VEN]]="X",),"X","")</f>
        <v/>
      </c>
      <c r="D20" s="113" t="s">
        <v>72</v>
      </c>
      <c r="E20" s="109" t="s">
        <v>1143</v>
      </c>
      <c r="F20" s="109">
        <v>1000</v>
      </c>
      <c r="G20" s="109" t="s">
        <v>1141</v>
      </c>
      <c r="H20" s="111"/>
      <c r="I20" s="111"/>
      <c r="J20" s="111"/>
      <c r="K20" s="111"/>
      <c r="L20" s="111"/>
      <c r="M20" s="110" t="s">
        <v>1258</v>
      </c>
      <c r="N20" s="110"/>
      <c r="O20" s="167"/>
      <c r="P20" s="110"/>
      <c r="Q20" s="109"/>
      <c r="R20" s="110"/>
      <c r="S20" s="110"/>
      <c r="T20" s="112" t="str">
        <f ca="1">IF(AND('Inserimento dati'!$B$3=$H$2, Tabella1[[#This Row],[LUN]]="X"), "X",IF(AND('Inserimento dati'!$B$3=$I$2, Tabella1[[#This Row],[MAR]]="X"), "X", IF(AND('Inserimento dati'!$B$3=$J$2, Tabella1[[#This Row],[MER]]="X"), "X",IF(AND('Inserimento dati'!$B$3=$K$2, Tabella1[[#This Row],[GIO]]="X"), "X", IF(AND('Inserimento dati'!$B$3=$L$2, Tabella1[[#This Row],[VEN]]="X"), "X","")))))</f>
        <v/>
      </c>
      <c r="U20" s="131" t="str">
        <f t="shared" ca="1" si="1"/>
        <v/>
      </c>
      <c r="V20" s="187">
        <v>45930.833333333336</v>
      </c>
    </row>
    <row r="21" spans="1:22" s="19" customFormat="1" ht="23.25" x14ac:dyDescent="0.2">
      <c r="A21" s="112"/>
      <c r="B21" s="112" t="str">
        <f t="shared" si="0"/>
        <v>X</v>
      </c>
      <c r="C21" s="112" t="str">
        <f>IF(OR(Tabella1[[#This Row],[LUN]]="X",Tabella1[[#This Row],[MAR]]="X",Tabella1[[#This Row],[MER]]="X",Tabella1[[#This Row],[GIO]]="X",Tabella1[[#This Row],[VEN]]="X",),"X","")</f>
        <v/>
      </c>
      <c r="D21" s="113" t="s">
        <v>72</v>
      </c>
      <c r="E21" s="109" t="s">
        <v>1289</v>
      </c>
      <c r="F21" s="109">
        <v>500</v>
      </c>
      <c r="G21" s="109" t="s">
        <v>1310</v>
      </c>
      <c r="H21" s="111"/>
      <c r="I21" s="111"/>
      <c r="J21" s="111"/>
      <c r="K21" s="111"/>
      <c r="L21" s="111"/>
      <c r="M21" s="110" t="s">
        <v>1258</v>
      </c>
      <c r="N21" s="110"/>
      <c r="O21" s="167"/>
      <c r="P21" s="110"/>
      <c r="Q21" s="109" t="s">
        <v>1307</v>
      </c>
      <c r="R21" s="110">
        <v>45785</v>
      </c>
      <c r="S21" s="110" t="s">
        <v>203</v>
      </c>
      <c r="T21" s="115" t="str">
        <f ca="1">IF(AND('Inserimento dati'!$B$3=$H$2, Tabella1[[#This Row],[LUN]]="X"), "X",IF(AND('Inserimento dati'!$B$3=$I$2, Tabella1[[#This Row],[MAR]]="X"), "X", IF(AND('Inserimento dati'!$B$3=$J$2, Tabella1[[#This Row],[MER]]="X"), "X",IF(AND('Inserimento dati'!$B$3=$K$2, Tabella1[[#This Row],[GIO]]="X"), "X", IF(AND('Inserimento dati'!$B$3=$L$2, Tabella1[[#This Row],[VEN]]="X"), "X","")))))</f>
        <v/>
      </c>
      <c r="U21" s="131" t="str">
        <f t="shared" ca="1" si="1"/>
        <v/>
      </c>
      <c r="V21" s="187">
        <v>45930.833333333336</v>
      </c>
    </row>
    <row r="22" spans="1:22" s="19" customFormat="1" ht="30" x14ac:dyDescent="0.2">
      <c r="A22" s="112"/>
      <c r="B22" s="112" t="str">
        <f t="shared" si="0"/>
        <v>X</v>
      </c>
      <c r="C22" s="112" t="str">
        <f>IF(OR(Tabella1[[#This Row],[LUN]]="X",Tabella1[[#This Row],[MAR]]="X",Tabella1[[#This Row],[MER]]="X",Tabella1[[#This Row],[GIO]]="X",Tabella1[[#This Row],[VEN]]="X",),"X","")</f>
        <v/>
      </c>
      <c r="D22" s="113" t="s">
        <v>72</v>
      </c>
      <c r="E22" s="109" t="s">
        <v>1165</v>
      </c>
      <c r="F22" s="109">
        <v>600</v>
      </c>
      <c r="G22" s="109" t="s">
        <v>1161</v>
      </c>
      <c r="H22" s="111"/>
      <c r="I22" s="111"/>
      <c r="J22" s="111"/>
      <c r="K22" s="111"/>
      <c r="L22" s="111"/>
      <c r="M22" s="110" t="s">
        <v>1258</v>
      </c>
      <c r="N22" s="110"/>
      <c r="O22" s="167"/>
      <c r="P22" s="110"/>
      <c r="Q22" s="109" t="s">
        <v>1185</v>
      </c>
      <c r="R22" s="110">
        <v>45775</v>
      </c>
      <c r="S22" s="110" t="s">
        <v>1186</v>
      </c>
      <c r="T22" s="112" t="str">
        <f ca="1">IF(AND('Inserimento dati'!$B$3=$H$2, Tabella1[[#This Row],[LUN]]="X"), "X",IF(AND('Inserimento dati'!$B$3=$I$2, Tabella1[[#This Row],[MAR]]="X"), "X", IF(AND('Inserimento dati'!$B$3=$J$2, Tabella1[[#This Row],[MER]]="X"), "X",IF(AND('Inserimento dati'!$B$3=$K$2, Tabella1[[#This Row],[GIO]]="X"), "X", IF(AND('Inserimento dati'!$B$3=$L$2, Tabella1[[#This Row],[VEN]]="X"), "X","")))))</f>
        <v/>
      </c>
      <c r="U22" s="131" t="str">
        <f t="shared" ca="1" si="1"/>
        <v/>
      </c>
      <c r="V22" s="187">
        <v>45930.833333333336</v>
      </c>
    </row>
    <row r="23" spans="1:22" s="19" customFormat="1" ht="30" x14ac:dyDescent="0.2">
      <c r="A23" s="112"/>
      <c r="B23" s="112" t="str">
        <f t="shared" si="0"/>
        <v>X</v>
      </c>
      <c r="C23" s="112" t="str">
        <f>IF(OR(Tabella1[[#This Row],[LUN]]="X",Tabella1[[#This Row],[MAR]]="X",Tabella1[[#This Row],[MER]]="X",Tabella1[[#This Row],[GIO]]="X",Tabella1[[#This Row],[VEN]]="X",),"X","")</f>
        <v/>
      </c>
      <c r="D23" s="113" t="s">
        <v>72</v>
      </c>
      <c r="E23" s="109" t="s">
        <v>1135</v>
      </c>
      <c r="F23" s="109">
        <v>500</v>
      </c>
      <c r="G23" s="109" t="s">
        <v>1130</v>
      </c>
      <c r="H23" s="111"/>
      <c r="I23" s="111"/>
      <c r="J23" s="111"/>
      <c r="K23" s="111"/>
      <c r="L23" s="111"/>
      <c r="M23" s="110" t="s">
        <v>1258</v>
      </c>
      <c r="N23" s="110"/>
      <c r="O23" s="167"/>
      <c r="P23" s="110"/>
      <c r="Q23" s="109"/>
      <c r="R23" s="110"/>
      <c r="S23" s="110"/>
      <c r="T23" s="112" t="str">
        <f ca="1">IF(AND('Inserimento dati'!$B$3=$H$2, Tabella1[[#This Row],[LUN]]="X"), "X",IF(AND('Inserimento dati'!$B$3=$I$2, Tabella1[[#This Row],[MAR]]="X"), "X", IF(AND('Inserimento dati'!$B$3=$J$2, Tabella1[[#This Row],[MER]]="X"), "X",IF(AND('Inserimento dati'!$B$3=$K$2, Tabella1[[#This Row],[GIO]]="X"), "X", IF(AND('Inserimento dati'!$B$3=$L$2, Tabella1[[#This Row],[VEN]]="X"), "X","")))))</f>
        <v/>
      </c>
      <c r="U23" s="131" t="str">
        <f t="shared" ca="1" si="1"/>
        <v/>
      </c>
      <c r="V23" s="187">
        <v>45930.833333333336</v>
      </c>
    </row>
    <row r="24" spans="1:22" s="19" customFormat="1" ht="45" x14ac:dyDescent="0.2">
      <c r="A24" s="112"/>
      <c r="B24" s="112" t="str">
        <f t="shared" si="0"/>
        <v>X</v>
      </c>
      <c r="C24" s="112" t="str">
        <f>IF(OR(Tabella1[[#This Row],[LUN]]="X",Tabella1[[#This Row],[MAR]]="X",Tabella1[[#This Row],[MER]]="X",Tabella1[[#This Row],[GIO]]="X",Tabella1[[#This Row],[VEN]]="X",),"X","")</f>
        <v/>
      </c>
      <c r="D24" s="113" t="s">
        <v>72</v>
      </c>
      <c r="E24" s="109" t="s">
        <v>1140</v>
      </c>
      <c r="F24" s="109">
        <v>500</v>
      </c>
      <c r="G24" s="109" t="s">
        <v>1139</v>
      </c>
      <c r="H24" s="111"/>
      <c r="I24" s="111"/>
      <c r="J24" s="111"/>
      <c r="K24" s="111"/>
      <c r="L24" s="111"/>
      <c r="M24" s="110" t="s">
        <v>1258</v>
      </c>
      <c r="N24" s="110"/>
      <c r="O24" s="167"/>
      <c r="P24" s="110"/>
      <c r="Q24" s="109"/>
      <c r="R24" s="110"/>
      <c r="S24" s="110"/>
      <c r="T24" s="112" t="str">
        <f ca="1">IF(AND('Inserimento dati'!$B$3=$H$2, Tabella1[[#This Row],[LUN]]="X"), "X",IF(AND('Inserimento dati'!$B$3=$I$2, Tabella1[[#This Row],[MAR]]="X"), "X", IF(AND('Inserimento dati'!$B$3=$J$2, Tabella1[[#This Row],[MER]]="X"), "X",IF(AND('Inserimento dati'!$B$3=$K$2, Tabella1[[#This Row],[GIO]]="X"), "X", IF(AND('Inserimento dati'!$B$3=$L$2, Tabella1[[#This Row],[VEN]]="X"), "X","")))))</f>
        <v/>
      </c>
      <c r="U24" s="131" t="str">
        <f t="shared" ca="1" si="1"/>
        <v/>
      </c>
      <c r="V24" s="187">
        <v>45930.833333333336</v>
      </c>
    </row>
    <row r="25" spans="1:22" s="19" customFormat="1" ht="30" x14ac:dyDescent="0.2">
      <c r="A25" s="112"/>
      <c r="B25" s="112" t="str">
        <f t="shared" si="0"/>
        <v>X</v>
      </c>
      <c r="C25" s="112" t="str">
        <f>IF(OR(Tabella1[[#This Row],[LUN]]="X",Tabella1[[#This Row],[MAR]]="X",Tabella1[[#This Row],[MER]]="X",Tabella1[[#This Row],[GIO]]="X",Tabella1[[#This Row],[VEN]]="X",),"X","")</f>
        <v/>
      </c>
      <c r="D25" s="113" t="s">
        <v>72</v>
      </c>
      <c r="E25" s="109" t="s">
        <v>726</v>
      </c>
      <c r="F25" s="109">
        <v>1000</v>
      </c>
      <c r="G25" s="109" t="s">
        <v>719</v>
      </c>
      <c r="H25" s="111"/>
      <c r="I25" s="111"/>
      <c r="J25" s="111"/>
      <c r="K25" s="111"/>
      <c r="L25" s="111"/>
      <c r="M25" s="110" t="s">
        <v>1258</v>
      </c>
      <c r="N25" s="110"/>
      <c r="O25" s="167"/>
      <c r="P25" s="110"/>
      <c r="Q25" s="109" t="s">
        <v>1127</v>
      </c>
      <c r="R25" s="110">
        <v>45707</v>
      </c>
      <c r="S25" s="110" t="s">
        <v>102</v>
      </c>
      <c r="T25" s="112" t="str">
        <f ca="1">IF(AND('Inserimento dati'!$B$3=$H$2, Tabella1[[#This Row],[LUN]]="X"), "X",IF(AND('Inserimento dati'!$B$3=$I$2, Tabella1[[#This Row],[MAR]]="X"), "X", IF(AND('Inserimento dati'!$B$3=$J$2, Tabella1[[#This Row],[MER]]="X"), "X",IF(AND('Inserimento dati'!$B$3=$K$2, Tabella1[[#This Row],[GIO]]="X"), "X", IF(AND('Inserimento dati'!$B$3=$L$2, Tabella1[[#This Row],[VEN]]="X"), "X","")))))</f>
        <v/>
      </c>
      <c r="U25" s="131" t="str">
        <f t="shared" ca="1" si="1"/>
        <v/>
      </c>
      <c r="V25" s="187">
        <v>45930.833333333336</v>
      </c>
    </row>
    <row r="26" spans="1:22" s="19" customFormat="1" ht="30" x14ac:dyDescent="0.2">
      <c r="A26" s="112"/>
      <c r="B26" s="112" t="str">
        <f t="shared" si="0"/>
        <v>X</v>
      </c>
      <c r="C26" s="112" t="str">
        <f>IF(OR(Tabella1[[#This Row],[LUN]]="X",Tabella1[[#This Row],[MAR]]="X",Tabella1[[#This Row],[MER]]="X",Tabella1[[#This Row],[GIO]]="X",Tabella1[[#This Row],[VEN]]="X",),"X","")</f>
        <v/>
      </c>
      <c r="D26" s="113" t="s">
        <v>72</v>
      </c>
      <c r="E26" s="109" t="s">
        <v>678</v>
      </c>
      <c r="F26" s="109">
        <v>500</v>
      </c>
      <c r="G26" s="109" t="s">
        <v>672</v>
      </c>
      <c r="H26" s="111"/>
      <c r="I26" s="111"/>
      <c r="J26" s="111"/>
      <c r="K26" s="111"/>
      <c r="L26" s="111"/>
      <c r="M26" s="110" t="s">
        <v>1258</v>
      </c>
      <c r="N26" s="110"/>
      <c r="O26" s="167" t="s">
        <v>23</v>
      </c>
      <c r="P26" s="110" t="s">
        <v>23</v>
      </c>
      <c r="Q26" s="109" t="s">
        <v>1126</v>
      </c>
      <c r="R26" s="110">
        <v>45700</v>
      </c>
      <c r="S26" s="110" t="s">
        <v>102</v>
      </c>
      <c r="T26" s="112" t="str">
        <f ca="1">IF(AND('Inserimento dati'!$B$3=$H$2, Tabella1[[#This Row],[LUN]]="X"), "X",IF(AND('Inserimento dati'!$B$3=$I$2, Tabella1[[#This Row],[MAR]]="X"), "X", IF(AND('Inserimento dati'!$B$3=$J$2, Tabella1[[#This Row],[MER]]="X"), "X",IF(AND('Inserimento dati'!$B$3=$K$2, Tabella1[[#This Row],[GIO]]="X"), "X", IF(AND('Inserimento dati'!$B$3=$L$2, Tabella1[[#This Row],[VEN]]="X"), "X","")))))</f>
        <v/>
      </c>
      <c r="U26" s="131" t="str">
        <f t="shared" ca="1" si="1"/>
        <v/>
      </c>
      <c r="V26" s="187">
        <v>45930.833333333336</v>
      </c>
    </row>
    <row r="27" spans="1:22" s="19" customFormat="1" ht="30" x14ac:dyDescent="0.2">
      <c r="A27" s="112"/>
      <c r="B27" s="112" t="str">
        <f t="shared" si="0"/>
        <v>X</v>
      </c>
      <c r="C27" s="112" t="str">
        <f>IF(OR(Tabella1[[#This Row],[LUN]]="X",Tabella1[[#This Row],[MAR]]="X",Tabella1[[#This Row],[MER]]="X",Tabella1[[#This Row],[GIO]]="X",Tabella1[[#This Row],[VEN]]="X",),"X","")</f>
        <v/>
      </c>
      <c r="D27" s="113" t="s">
        <v>72</v>
      </c>
      <c r="E27" s="109" t="s">
        <v>1105</v>
      </c>
      <c r="F27" s="109">
        <v>500</v>
      </c>
      <c r="G27" s="109" t="s">
        <v>1102</v>
      </c>
      <c r="H27" s="111"/>
      <c r="I27" s="111"/>
      <c r="J27" s="111"/>
      <c r="K27" s="111"/>
      <c r="L27" s="111"/>
      <c r="M27" s="110" t="s">
        <v>1258</v>
      </c>
      <c r="N27" s="110"/>
      <c r="O27" s="167"/>
      <c r="P27" s="110"/>
      <c r="Q27" s="109"/>
      <c r="R27" s="110">
        <v>45763</v>
      </c>
      <c r="S27" s="110" t="s">
        <v>211</v>
      </c>
      <c r="T27" s="112" t="str">
        <f ca="1">IF(AND('Inserimento dati'!$B$3=$H$2, Tabella1[[#This Row],[LUN]]="X"), "X",IF(AND('Inserimento dati'!$B$3=$I$2, Tabella1[[#This Row],[MAR]]="X"), "X", IF(AND('Inserimento dati'!$B$3=$J$2, Tabella1[[#This Row],[MER]]="X"), "X",IF(AND('Inserimento dati'!$B$3=$K$2, Tabella1[[#This Row],[GIO]]="X"), "X", IF(AND('Inserimento dati'!$B$3=$L$2, Tabella1[[#This Row],[VEN]]="X"), "X","")))))</f>
        <v/>
      </c>
      <c r="U27" s="131" t="str">
        <f t="shared" ca="1" si="1"/>
        <v/>
      </c>
      <c r="V27" s="187">
        <v>45930.833333333336</v>
      </c>
    </row>
    <row r="28" spans="1:22" s="19" customFormat="1" ht="23.25" x14ac:dyDescent="0.2">
      <c r="A28" s="112"/>
      <c r="B28" s="112" t="str">
        <f t="shared" si="0"/>
        <v>X</v>
      </c>
      <c r="C28" s="112" t="str">
        <f>IF(OR(Tabella1[[#This Row],[LUN]]="X",Tabella1[[#This Row],[MAR]]="X",Tabella1[[#This Row],[MER]]="X",Tabella1[[#This Row],[GIO]]="X",Tabella1[[#This Row],[VEN]]="X",),"X","")</f>
        <v/>
      </c>
      <c r="D28" s="113" t="s">
        <v>72</v>
      </c>
      <c r="E28" s="109" t="s">
        <v>1094</v>
      </c>
      <c r="F28" s="109">
        <v>500</v>
      </c>
      <c r="G28" s="109" t="s">
        <v>1091</v>
      </c>
      <c r="H28" s="111"/>
      <c r="I28" s="111"/>
      <c r="J28" s="111"/>
      <c r="K28" s="111"/>
      <c r="L28" s="111"/>
      <c r="M28" s="110" t="s">
        <v>1258</v>
      </c>
      <c r="N28" s="110"/>
      <c r="O28" s="167"/>
      <c r="P28" s="110"/>
      <c r="Q28" s="109"/>
      <c r="R28" s="110">
        <v>45763</v>
      </c>
      <c r="S28" s="110" t="s">
        <v>211</v>
      </c>
      <c r="T28" s="112" t="str">
        <f ca="1">IF(AND('Inserimento dati'!$B$3=$H$2, Tabella1[[#This Row],[LUN]]="X"), "X",IF(AND('Inserimento dati'!$B$3=$I$2, Tabella1[[#This Row],[MAR]]="X"), "X", IF(AND('Inserimento dati'!$B$3=$J$2, Tabella1[[#This Row],[MER]]="X"), "X",IF(AND('Inserimento dati'!$B$3=$K$2, Tabella1[[#This Row],[GIO]]="X"), "X", IF(AND('Inserimento dati'!$B$3=$L$2, Tabella1[[#This Row],[VEN]]="X"), "X","")))))</f>
        <v/>
      </c>
      <c r="U28" s="131" t="str">
        <f t="shared" ca="1" si="1"/>
        <v/>
      </c>
      <c r="V28" s="187">
        <v>45930.833333333336</v>
      </c>
    </row>
    <row r="29" spans="1:22" s="19" customFormat="1" ht="23.25" x14ac:dyDescent="0.2">
      <c r="A29" s="112"/>
      <c r="B29" s="112" t="str">
        <f t="shared" si="0"/>
        <v>X</v>
      </c>
      <c r="C29" s="112" t="str">
        <f>IF(OR(Tabella1[[#This Row],[LUN]]="X",Tabella1[[#This Row],[MAR]]="X",Tabella1[[#This Row],[MER]]="X",Tabella1[[#This Row],[GIO]]="X",Tabella1[[#This Row],[VEN]]="X",),"X","")</f>
        <v/>
      </c>
      <c r="D29" s="113" t="s">
        <v>72</v>
      </c>
      <c r="E29" s="109" t="s">
        <v>853</v>
      </c>
      <c r="F29" s="109">
        <v>600</v>
      </c>
      <c r="G29" s="109" t="s">
        <v>1001</v>
      </c>
      <c r="H29" s="111"/>
      <c r="I29" s="111"/>
      <c r="J29" s="111"/>
      <c r="K29" s="111"/>
      <c r="L29" s="111"/>
      <c r="M29" s="110" t="s">
        <v>1258</v>
      </c>
      <c r="N29" s="110"/>
      <c r="O29" s="167"/>
      <c r="P29" s="110"/>
      <c r="Q29" s="109"/>
      <c r="R29" s="110"/>
      <c r="S29" s="110" t="s">
        <v>635</v>
      </c>
      <c r="T29" s="112" t="str">
        <f ca="1">IF(AND('Inserimento dati'!$B$3=$H$2, Tabella1[[#This Row],[LUN]]="X"), "X",IF(AND('Inserimento dati'!$B$3=$I$2, Tabella1[[#This Row],[MAR]]="X"), "X", IF(AND('Inserimento dati'!$B$3=$J$2, Tabella1[[#This Row],[MER]]="X"), "X",IF(AND('Inserimento dati'!$B$3=$K$2, Tabella1[[#This Row],[GIO]]="X"), "X", IF(AND('Inserimento dati'!$B$3=$L$2, Tabella1[[#This Row],[VEN]]="X"), "X","")))))</f>
        <v/>
      </c>
      <c r="U29" s="131" t="str">
        <f t="shared" ca="1" si="1"/>
        <v/>
      </c>
      <c r="V29" s="187">
        <v>45930.833333333336</v>
      </c>
    </row>
    <row r="30" spans="1:22" s="19" customFormat="1" ht="30" x14ac:dyDescent="0.2">
      <c r="A30" s="112"/>
      <c r="B30" s="112" t="str">
        <f t="shared" si="0"/>
        <v>X</v>
      </c>
      <c r="C30" s="112" t="str">
        <f>IF(OR(Tabella1[[#This Row],[LUN]]="X",Tabella1[[#This Row],[MAR]]="X",Tabella1[[#This Row],[MER]]="X",Tabella1[[#This Row],[GIO]]="X",Tabella1[[#This Row],[VEN]]="X",),"X","")</f>
        <v/>
      </c>
      <c r="D30" s="113" t="s">
        <v>72</v>
      </c>
      <c r="E30" s="109" t="s">
        <v>1114</v>
      </c>
      <c r="F30" s="109">
        <v>1000</v>
      </c>
      <c r="G30" s="109" t="s">
        <v>1111</v>
      </c>
      <c r="H30" s="111"/>
      <c r="I30" s="111"/>
      <c r="J30" s="111"/>
      <c r="K30" s="111"/>
      <c r="L30" s="111"/>
      <c r="M30" s="110" t="s">
        <v>1258</v>
      </c>
      <c r="N30" s="110"/>
      <c r="O30" s="167"/>
      <c r="P30" s="110"/>
      <c r="Q30" s="109" t="s">
        <v>1113</v>
      </c>
      <c r="R30" s="110">
        <v>45762</v>
      </c>
      <c r="S30" s="110" t="s">
        <v>1112</v>
      </c>
      <c r="T30" s="112" t="str">
        <f ca="1">IF(AND('Inserimento dati'!$B$3=$H$2, Tabella1[[#This Row],[LUN]]="X"), "X",IF(AND('Inserimento dati'!$B$3=$I$2, Tabella1[[#This Row],[MAR]]="X"), "X", IF(AND('Inserimento dati'!$B$3=$J$2, Tabella1[[#This Row],[MER]]="X"), "X",IF(AND('Inserimento dati'!$B$3=$K$2, Tabella1[[#This Row],[GIO]]="X"), "X", IF(AND('Inserimento dati'!$B$3=$L$2, Tabella1[[#This Row],[VEN]]="X"), "X","")))))</f>
        <v/>
      </c>
      <c r="U30" s="131" t="str">
        <f t="shared" ca="1" si="1"/>
        <v/>
      </c>
      <c r="V30" s="187">
        <v>45930.833333333336</v>
      </c>
    </row>
    <row r="31" spans="1:22" s="19" customFormat="1" ht="23.25" x14ac:dyDescent="0.2">
      <c r="A31" s="112"/>
      <c r="B31" s="112" t="str">
        <f t="shared" si="0"/>
        <v>X</v>
      </c>
      <c r="C31" s="112" t="str">
        <f>IF(OR(Tabella1[[#This Row],[LUN]]="X",Tabella1[[#This Row],[MAR]]="X",Tabella1[[#This Row],[MER]]="X",Tabella1[[#This Row],[GIO]]="X",Tabella1[[#This Row],[VEN]]="X",),"X","")</f>
        <v/>
      </c>
      <c r="D31" s="113" t="s">
        <v>72</v>
      </c>
      <c r="E31" s="109" t="s">
        <v>1089</v>
      </c>
      <c r="F31" s="109" t="s">
        <v>1088</v>
      </c>
      <c r="G31" s="109" t="s">
        <v>1087</v>
      </c>
      <c r="H31" s="111"/>
      <c r="I31" s="111"/>
      <c r="J31" s="111"/>
      <c r="K31" s="111"/>
      <c r="L31" s="111"/>
      <c r="M31" s="110" t="s">
        <v>1258</v>
      </c>
      <c r="N31" s="110"/>
      <c r="O31" s="167"/>
      <c r="P31" s="110"/>
      <c r="Q31" s="109"/>
      <c r="R31" s="110"/>
      <c r="S31" s="110"/>
      <c r="T31" s="112" t="str">
        <f ca="1">IF(AND('Inserimento dati'!$B$3=$H$2, Tabella1[[#This Row],[LUN]]="X"), "X",IF(AND('Inserimento dati'!$B$3=$I$2, Tabella1[[#This Row],[MAR]]="X"), "X", IF(AND('Inserimento dati'!$B$3=$J$2, Tabella1[[#This Row],[MER]]="X"), "X",IF(AND('Inserimento dati'!$B$3=$K$2, Tabella1[[#This Row],[GIO]]="X"), "X", IF(AND('Inserimento dati'!$B$3=$L$2, Tabella1[[#This Row],[VEN]]="X"), "X","")))))</f>
        <v/>
      </c>
      <c r="U31" s="131" t="str">
        <f t="shared" ca="1" si="1"/>
        <v/>
      </c>
      <c r="V31" s="187">
        <v>45930.833333333336</v>
      </c>
    </row>
    <row r="32" spans="1:22" s="19" customFormat="1" ht="30" x14ac:dyDescent="0.2">
      <c r="A32" s="112"/>
      <c r="B32" s="112" t="str">
        <f t="shared" si="0"/>
        <v>X</v>
      </c>
      <c r="C32" s="112" t="str">
        <f>IF(OR(Tabella1[[#This Row],[LUN]]="X",Tabella1[[#This Row],[MAR]]="X",Tabella1[[#This Row],[MER]]="X",Tabella1[[#This Row],[GIO]]="X",Tabella1[[#This Row],[VEN]]="X",),"X","")</f>
        <v/>
      </c>
      <c r="D32" s="113" t="s">
        <v>72</v>
      </c>
      <c r="E32" s="109" t="s">
        <v>1006</v>
      </c>
      <c r="F32" s="109">
        <v>1000</v>
      </c>
      <c r="G32" s="109" t="s">
        <v>998</v>
      </c>
      <c r="H32" s="111"/>
      <c r="I32" s="111"/>
      <c r="J32" s="111"/>
      <c r="K32" s="111"/>
      <c r="L32" s="111"/>
      <c r="M32" s="110" t="s">
        <v>1258</v>
      </c>
      <c r="N32" s="110"/>
      <c r="O32" s="167"/>
      <c r="P32" s="110"/>
      <c r="Q32" s="109"/>
      <c r="R32" s="110"/>
      <c r="S32" s="110"/>
      <c r="T32" s="112" t="str">
        <f ca="1">IF(AND('Inserimento dati'!$B$3=$H$2, Tabella1[[#This Row],[LUN]]="X"), "X",IF(AND('Inserimento dati'!$B$3=$I$2, Tabella1[[#This Row],[MAR]]="X"), "X", IF(AND('Inserimento dati'!$B$3=$J$2, Tabella1[[#This Row],[MER]]="X"), "X",IF(AND('Inserimento dati'!$B$3=$K$2, Tabella1[[#This Row],[GIO]]="X"), "X", IF(AND('Inserimento dati'!$B$3=$L$2, Tabella1[[#This Row],[VEN]]="X"), "X","")))))</f>
        <v/>
      </c>
      <c r="U32" s="131" t="str">
        <f t="shared" ca="1" si="1"/>
        <v/>
      </c>
      <c r="V32" s="187">
        <v>45930.833333333336</v>
      </c>
    </row>
    <row r="33" spans="1:22" s="19" customFormat="1" ht="60" x14ac:dyDescent="0.2">
      <c r="A33" s="112"/>
      <c r="B33" s="112" t="str">
        <f t="shared" si="0"/>
        <v>X</v>
      </c>
      <c r="C33" s="112" t="str">
        <f>IF(OR(Tabella1[[#This Row],[LUN]]="X",Tabella1[[#This Row],[MAR]]="X",Tabella1[[#This Row],[MER]]="X",Tabella1[[#This Row],[GIO]]="X",Tabella1[[#This Row],[VEN]]="X",),"X","")</f>
        <v/>
      </c>
      <c r="D33" s="113" t="s">
        <v>72</v>
      </c>
      <c r="E33" s="109" t="s">
        <v>1016</v>
      </c>
      <c r="F33" s="109">
        <v>600</v>
      </c>
      <c r="G33" s="109" t="s">
        <v>1009</v>
      </c>
      <c r="H33" s="111"/>
      <c r="I33" s="111"/>
      <c r="J33" s="111"/>
      <c r="K33" s="111"/>
      <c r="L33" s="111"/>
      <c r="M33" s="110" t="s">
        <v>1258</v>
      </c>
      <c r="N33" s="110"/>
      <c r="O33" s="167"/>
      <c r="P33" s="110"/>
      <c r="Q33" s="109" t="s">
        <v>1035</v>
      </c>
      <c r="R33" s="110">
        <v>45747</v>
      </c>
      <c r="S33" s="110" t="s">
        <v>206</v>
      </c>
      <c r="T33" s="112" t="str">
        <f ca="1">IF(AND('Inserimento dati'!$B$3=$H$2, Tabella1[[#This Row],[LUN]]="X"), "X",IF(AND('Inserimento dati'!$B$3=$I$2, Tabella1[[#This Row],[MAR]]="X"), "X", IF(AND('Inserimento dati'!$B$3=$J$2, Tabella1[[#This Row],[MER]]="X"), "X",IF(AND('Inserimento dati'!$B$3=$K$2, Tabella1[[#This Row],[GIO]]="X"), "X", IF(AND('Inserimento dati'!$B$3=$L$2, Tabella1[[#This Row],[VEN]]="X"), "X","")))))</f>
        <v/>
      </c>
      <c r="U33" s="131" t="str">
        <f t="shared" ca="1" si="1"/>
        <v/>
      </c>
      <c r="V33" s="187">
        <v>45930.833333333336</v>
      </c>
    </row>
    <row r="34" spans="1:22" s="19" customFormat="1" ht="23.25" x14ac:dyDescent="0.2">
      <c r="A34" s="112"/>
      <c r="B34" s="112" t="str">
        <f t="shared" si="0"/>
        <v>X</v>
      </c>
      <c r="C34" s="112" t="str">
        <f>IF(OR(Tabella1[[#This Row],[LUN]]="X",Tabella1[[#This Row],[MAR]]="X",Tabella1[[#This Row],[MER]]="X",Tabella1[[#This Row],[GIO]]="X",Tabella1[[#This Row],[VEN]]="X",),"X","")</f>
        <v/>
      </c>
      <c r="D34" s="113" t="s">
        <v>72</v>
      </c>
      <c r="E34" s="109" t="s">
        <v>1015</v>
      </c>
      <c r="F34" s="109">
        <v>1000</v>
      </c>
      <c r="G34" s="109" t="s">
        <v>1010</v>
      </c>
      <c r="H34" s="111"/>
      <c r="I34" s="111"/>
      <c r="J34" s="111"/>
      <c r="K34" s="111"/>
      <c r="L34" s="111"/>
      <c r="M34" s="110" t="s">
        <v>1258</v>
      </c>
      <c r="N34" s="110"/>
      <c r="O34" s="167"/>
      <c r="P34" s="110"/>
      <c r="Q34" s="109"/>
      <c r="R34" s="110"/>
      <c r="S34" s="110"/>
      <c r="T34" s="112" t="str">
        <f ca="1">IF(AND('Inserimento dati'!$B$3=$H$2, Tabella1[[#This Row],[LUN]]="X"), "X",IF(AND('Inserimento dati'!$B$3=$I$2, Tabella1[[#This Row],[MAR]]="X"), "X", IF(AND('Inserimento dati'!$B$3=$J$2, Tabella1[[#This Row],[MER]]="X"), "X",IF(AND('Inserimento dati'!$B$3=$K$2, Tabella1[[#This Row],[GIO]]="X"), "X", IF(AND('Inserimento dati'!$B$3=$L$2, Tabella1[[#This Row],[VEN]]="X"), "X","")))))</f>
        <v/>
      </c>
      <c r="U34" s="131" t="str">
        <f t="shared" ca="1" si="1"/>
        <v/>
      </c>
      <c r="V34" s="187">
        <v>45930.833333333336</v>
      </c>
    </row>
    <row r="35" spans="1:22" s="19" customFormat="1" ht="45" x14ac:dyDescent="0.2">
      <c r="A35" s="112"/>
      <c r="B35" s="112" t="str">
        <f t="shared" si="0"/>
        <v>X</v>
      </c>
      <c r="C35" s="112" t="str">
        <f>IF(OR(Tabella1[[#This Row],[LUN]]="X",Tabella1[[#This Row],[MAR]]="X",Tabella1[[#This Row],[MER]]="X",Tabella1[[#This Row],[GIO]]="X",Tabella1[[#This Row],[VEN]]="X",),"X","")</f>
        <v/>
      </c>
      <c r="D35" s="113" t="s">
        <v>72</v>
      </c>
      <c r="E35" s="109" t="s">
        <v>978</v>
      </c>
      <c r="F35" s="109">
        <v>1000</v>
      </c>
      <c r="G35" s="109" t="s">
        <v>977</v>
      </c>
      <c r="H35" s="111"/>
      <c r="I35" s="111"/>
      <c r="J35" s="111"/>
      <c r="K35" s="111"/>
      <c r="L35" s="111"/>
      <c r="M35" s="110" t="s">
        <v>1258</v>
      </c>
      <c r="N35" s="110"/>
      <c r="O35" s="167"/>
      <c r="P35" s="110"/>
      <c r="Q35" s="109" t="s">
        <v>994</v>
      </c>
      <c r="R35" s="110"/>
      <c r="S35" s="110"/>
      <c r="T35" s="112" t="str">
        <f ca="1">IF(AND('Inserimento dati'!$B$3=$H$2, Tabella1[[#This Row],[LUN]]="X"), "X",IF(AND('Inserimento dati'!$B$3=$I$2, Tabella1[[#This Row],[MAR]]="X"), "X", IF(AND('Inserimento dati'!$B$3=$J$2, Tabella1[[#This Row],[MER]]="X"), "X",IF(AND('Inserimento dati'!$B$3=$K$2, Tabella1[[#This Row],[GIO]]="X"), "X", IF(AND('Inserimento dati'!$B$3=$L$2, Tabella1[[#This Row],[VEN]]="X"), "X","")))))</f>
        <v/>
      </c>
      <c r="U35" s="131" t="str">
        <f t="shared" ca="1" si="1"/>
        <v/>
      </c>
      <c r="V35" s="187">
        <v>45930.833333333336</v>
      </c>
    </row>
    <row r="36" spans="1:22" s="19" customFormat="1" ht="30" x14ac:dyDescent="0.2">
      <c r="A36" s="112"/>
      <c r="B36" s="112" t="str">
        <f t="shared" si="0"/>
        <v>X</v>
      </c>
      <c r="C36" s="112" t="str">
        <f>IF(OR(Tabella1[[#This Row],[LUN]]="X",Tabella1[[#This Row],[MAR]]="X",Tabella1[[#This Row],[MER]]="X",Tabella1[[#This Row],[GIO]]="X",Tabella1[[#This Row],[VEN]]="X",),"X","")</f>
        <v/>
      </c>
      <c r="D36" s="113" t="s">
        <v>72</v>
      </c>
      <c r="E36" s="109" t="s">
        <v>415</v>
      </c>
      <c r="F36" s="109">
        <v>500</v>
      </c>
      <c r="G36" s="109" t="s">
        <v>414</v>
      </c>
      <c r="H36" s="111"/>
      <c r="I36" s="111"/>
      <c r="J36" s="111"/>
      <c r="K36" s="111"/>
      <c r="L36" s="111"/>
      <c r="M36" s="110" t="s">
        <v>1258</v>
      </c>
      <c r="N36" s="110"/>
      <c r="O36" s="167"/>
      <c r="P36" s="110"/>
      <c r="Q36" s="109" t="s">
        <v>1258</v>
      </c>
      <c r="R36" s="110"/>
      <c r="S36" s="110"/>
      <c r="T36" s="112" t="str">
        <f ca="1">IF(AND('Inserimento dati'!$B$3=$H$2, Tabella1[[#This Row],[LUN]]="X"), "X",IF(AND('Inserimento dati'!$B$3=$I$2, Tabella1[[#This Row],[MAR]]="X"), "X", IF(AND('Inserimento dati'!$B$3=$J$2, Tabella1[[#This Row],[MER]]="X"), "X",IF(AND('Inserimento dati'!$B$3=$K$2, Tabella1[[#This Row],[GIO]]="X"), "X", IF(AND('Inserimento dati'!$B$3=$L$2, Tabella1[[#This Row],[VEN]]="X"), "X","")))))</f>
        <v/>
      </c>
      <c r="U36" s="131" t="str">
        <f t="shared" ca="1" si="1"/>
        <v/>
      </c>
      <c r="V36" s="187">
        <v>45930.833333333336</v>
      </c>
    </row>
    <row r="37" spans="1:22" s="19" customFormat="1" ht="30" x14ac:dyDescent="0.2">
      <c r="A37" s="112"/>
      <c r="B37" s="112" t="str">
        <f t="shared" si="0"/>
        <v>X</v>
      </c>
      <c r="C37" s="112" t="str">
        <f>IF(OR(Tabella1[[#This Row],[LUN]]="X",Tabella1[[#This Row],[MAR]]="X",Tabella1[[#This Row],[MER]]="X",Tabella1[[#This Row],[GIO]]="X",Tabella1[[#This Row],[VEN]]="X",),"X","")</f>
        <v/>
      </c>
      <c r="D37" s="113" t="s">
        <v>72</v>
      </c>
      <c r="E37" s="109" t="s">
        <v>966</v>
      </c>
      <c r="F37" s="109">
        <v>500</v>
      </c>
      <c r="G37" s="109" t="s">
        <v>1000</v>
      </c>
      <c r="H37" s="111"/>
      <c r="I37" s="111"/>
      <c r="J37" s="111"/>
      <c r="K37" s="111"/>
      <c r="L37" s="111"/>
      <c r="M37" s="110" t="s">
        <v>1258</v>
      </c>
      <c r="N37" s="110"/>
      <c r="O37" s="167"/>
      <c r="P37" s="110"/>
      <c r="Q37" s="109" t="s">
        <v>1258</v>
      </c>
      <c r="R37" s="110"/>
      <c r="S37" s="110"/>
      <c r="T37" s="112" t="str">
        <f ca="1">IF(AND('Inserimento dati'!$B$3=$H$2, Tabella1[[#This Row],[LUN]]="X"), "X",IF(AND('Inserimento dati'!$B$3=$I$2, Tabella1[[#This Row],[MAR]]="X"), "X", IF(AND('Inserimento dati'!$B$3=$J$2, Tabella1[[#This Row],[MER]]="X"), "X",IF(AND('Inserimento dati'!$B$3=$K$2, Tabella1[[#This Row],[GIO]]="X"), "X", IF(AND('Inserimento dati'!$B$3=$L$2, Tabella1[[#This Row],[VEN]]="X"), "X","")))))</f>
        <v/>
      </c>
      <c r="U37" s="131" t="str">
        <f t="shared" ca="1" si="1"/>
        <v/>
      </c>
      <c r="V37" s="187">
        <v>45930.833333333336</v>
      </c>
    </row>
    <row r="38" spans="1:22" s="19" customFormat="1" ht="23.25" x14ac:dyDescent="0.2">
      <c r="A38" s="112"/>
      <c r="B38" s="112" t="str">
        <f t="shared" si="0"/>
        <v>X</v>
      </c>
      <c r="C38" s="112" t="str">
        <f>IF(OR(Tabella1[[#This Row],[LUN]]="X",Tabella1[[#This Row],[MAR]]="X",Tabella1[[#This Row],[MER]]="X",Tabella1[[#This Row],[GIO]]="X",Tabella1[[#This Row],[VEN]]="X",),"X","")</f>
        <v/>
      </c>
      <c r="D38" s="113" t="s">
        <v>72</v>
      </c>
      <c r="E38" s="109" t="s">
        <v>842</v>
      </c>
      <c r="F38" s="109">
        <v>500</v>
      </c>
      <c r="G38" s="109" t="s">
        <v>999</v>
      </c>
      <c r="H38" s="111"/>
      <c r="I38" s="111"/>
      <c r="J38" s="111"/>
      <c r="K38" s="111"/>
      <c r="L38" s="111"/>
      <c r="M38" s="110" t="s">
        <v>1258</v>
      </c>
      <c r="N38" s="110"/>
      <c r="O38" s="167"/>
      <c r="P38" s="110"/>
      <c r="Q38" s="109" t="s">
        <v>846</v>
      </c>
      <c r="R38" s="110"/>
      <c r="S38" s="110"/>
      <c r="T38" s="112" t="str">
        <f ca="1">IF(AND('Inserimento dati'!$B$3=$H$2, Tabella1[[#This Row],[LUN]]="X"), "X",IF(AND('Inserimento dati'!$B$3=$I$2, Tabella1[[#This Row],[MAR]]="X"), "X", IF(AND('Inserimento dati'!$B$3=$J$2, Tabella1[[#This Row],[MER]]="X"), "X",IF(AND('Inserimento dati'!$B$3=$K$2, Tabella1[[#This Row],[GIO]]="X"), "X", IF(AND('Inserimento dati'!$B$3=$L$2, Tabella1[[#This Row],[VEN]]="X"), "X","")))))</f>
        <v/>
      </c>
      <c r="U38" s="131" t="str">
        <f t="shared" ca="1" si="1"/>
        <v/>
      </c>
      <c r="V38" s="187">
        <v>45930.833333333336</v>
      </c>
    </row>
    <row r="39" spans="1:22" s="19" customFormat="1" ht="23.25" x14ac:dyDescent="0.2">
      <c r="A39" s="112"/>
      <c r="B39" s="112" t="str">
        <f t="shared" si="0"/>
        <v>X</v>
      </c>
      <c r="C39" s="112" t="str">
        <f>IF(OR(Tabella1[[#This Row],[LUN]]="X",Tabella1[[#This Row],[MAR]]="X",Tabella1[[#This Row],[MER]]="X",Tabella1[[#This Row],[GIO]]="X",Tabella1[[#This Row],[VEN]]="X",),"X","")</f>
        <v/>
      </c>
      <c r="D39" s="113" t="s">
        <v>72</v>
      </c>
      <c r="E39" s="109" t="s">
        <v>986</v>
      </c>
      <c r="F39" s="109">
        <v>600</v>
      </c>
      <c r="G39" s="109" t="s">
        <v>984</v>
      </c>
      <c r="H39" s="111"/>
      <c r="I39" s="111"/>
      <c r="J39" s="111"/>
      <c r="K39" s="111"/>
      <c r="L39" s="111"/>
      <c r="M39" s="110" t="s">
        <v>1258</v>
      </c>
      <c r="N39" s="110"/>
      <c r="O39" s="167"/>
      <c r="P39" s="110"/>
      <c r="Q39" s="109"/>
      <c r="R39" s="110"/>
      <c r="S39" s="110"/>
      <c r="T39" s="112" t="str">
        <f ca="1">IF(AND('Inserimento dati'!$B$3=$H$2, Tabella1[[#This Row],[LUN]]="X"), "X",IF(AND('Inserimento dati'!$B$3=$I$2, Tabella1[[#This Row],[MAR]]="X"), "X", IF(AND('Inserimento dati'!$B$3=$J$2, Tabella1[[#This Row],[MER]]="X"), "X",IF(AND('Inserimento dati'!$B$3=$K$2, Tabella1[[#This Row],[GIO]]="X"), "X", IF(AND('Inserimento dati'!$B$3=$L$2, Tabella1[[#This Row],[VEN]]="X"), "X","")))))</f>
        <v/>
      </c>
      <c r="U39" s="131" t="str">
        <f t="shared" ca="1" si="1"/>
        <v/>
      </c>
      <c r="V39" s="187">
        <v>45930.833333333336</v>
      </c>
    </row>
    <row r="40" spans="1:22" s="19" customFormat="1" ht="30" x14ac:dyDescent="0.2">
      <c r="A40" s="112"/>
      <c r="B40" s="112" t="str">
        <f t="shared" ref="B40:B71" si="2">IF(OR(A40="x",A40="X"),"",IF(ISBLANK(A40),"X",""))</f>
        <v>X</v>
      </c>
      <c r="C40" s="112" t="str">
        <f>IF(OR(Tabella1[[#This Row],[LUN]]="X",Tabella1[[#This Row],[MAR]]="X",Tabella1[[#This Row],[MER]]="X",Tabella1[[#This Row],[GIO]]="X",Tabella1[[#This Row],[VEN]]="X",),"X","")</f>
        <v/>
      </c>
      <c r="D40" s="113" t="s">
        <v>72</v>
      </c>
      <c r="E40" s="109" t="s">
        <v>965</v>
      </c>
      <c r="F40" s="109">
        <v>500</v>
      </c>
      <c r="G40" s="109" t="s">
        <v>951</v>
      </c>
      <c r="H40" s="111"/>
      <c r="I40" s="111"/>
      <c r="J40" s="111"/>
      <c r="K40" s="111"/>
      <c r="L40" s="111"/>
      <c r="M40" s="110" t="s">
        <v>1258</v>
      </c>
      <c r="N40" s="110"/>
      <c r="O40" s="167"/>
      <c r="P40" s="110"/>
      <c r="Q40" s="109"/>
      <c r="R40" s="110"/>
      <c r="S40" s="110"/>
      <c r="T40" s="112" t="str">
        <f ca="1">IF(AND('Inserimento dati'!$B$3=$H$2, Tabella1[[#This Row],[LUN]]="X"), "X",IF(AND('Inserimento dati'!$B$3=$I$2, Tabella1[[#This Row],[MAR]]="X"), "X", IF(AND('Inserimento dati'!$B$3=$J$2, Tabella1[[#This Row],[MER]]="X"), "X",IF(AND('Inserimento dati'!$B$3=$K$2, Tabella1[[#This Row],[GIO]]="X"), "X", IF(AND('Inserimento dati'!$B$3=$L$2, Tabella1[[#This Row],[VEN]]="X"), "X","")))))</f>
        <v/>
      </c>
      <c r="U40" s="131" t="str">
        <f t="shared" ref="U40:U71" ca="1" si="3">IFERROR(MID(G40,_xlfn.AGGREGATE(15,6,(ROW(INDIRECT("1:"&amp;LEN(G40)-7)))/(ISNUMBER(--MID(G40,ROW(INDIRECT("1:"&amp;LEN(G40)-7)),8))),1),8),"")</f>
        <v/>
      </c>
      <c r="V40" s="187">
        <v>45930.833333333336</v>
      </c>
    </row>
    <row r="41" spans="1:22" s="19" customFormat="1" ht="30" x14ac:dyDescent="0.2">
      <c r="A41" s="112"/>
      <c r="B41" s="112" t="str">
        <f t="shared" si="2"/>
        <v>X</v>
      </c>
      <c r="C41" s="112" t="str">
        <f>IF(OR(Tabella1[[#This Row],[LUN]]="X",Tabella1[[#This Row],[MAR]]="X",Tabella1[[#This Row],[MER]]="X",Tabella1[[#This Row],[GIO]]="X",Tabella1[[#This Row],[VEN]]="X",),"X","")</f>
        <v/>
      </c>
      <c r="D41" s="113" t="s">
        <v>72</v>
      </c>
      <c r="E41" s="109" t="s">
        <v>896</v>
      </c>
      <c r="F41" s="109">
        <v>1000</v>
      </c>
      <c r="G41" s="109" t="s">
        <v>894</v>
      </c>
      <c r="H41" s="111"/>
      <c r="I41" s="111"/>
      <c r="J41" s="111"/>
      <c r="K41" s="111"/>
      <c r="L41" s="111"/>
      <c r="M41" s="110" t="s">
        <v>1258</v>
      </c>
      <c r="N41" s="110" t="s">
        <v>23</v>
      </c>
      <c r="O41" s="167"/>
      <c r="P41" s="110"/>
      <c r="Q41" s="109" t="s">
        <v>912</v>
      </c>
      <c r="R41" s="110">
        <v>45728</v>
      </c>
      <c r="S41" s="110" t="s">
        <v>102</v>
      </c>
      <c r="T41" s="112" t="str">
        <f ca="1">IF(AND('Inserimento dati'!$B$3=$H$2, Tabella1[[#This Row],[LUN]]="X"), "X",IF(AND('Inserimento dati'!$B$3=$I$2, Tabella1[[#This Row],[MAR]]="X"), "X", IF(AND('Inserimento dati'!$B$3=$J$2, Tabella1[[#This Row],[MER]]="X"), "X",IF(AND('Inserimento dati'!$B$3=$K$2, Tabella1[[#This Row],[GIO]]="X"), "X", IF(AND('Inserimento dati'!$B$3=$L$2, Tabella1[[#This Row],[VEN]]="X"), "X","")))))</f>
        <v/>
      </c>
      <c r="U41" s="131" t="str">
        <f t="shared" ca="1" si="3"/>
        <v/>
      </c>
      <c r="V41" s="187">
        <v>45930.833333333336</v>
      </c>
    </row>
    <row r="42" spans="1:22" s="19" customFormat="1" ht="30" x14ac:dyDescent="0.2">
      <c r="A42" s="112"/>
      <c r="B42" s="112" t="str">
        <f t="shared" si="2"/>
        <v>X</v>
      </c>
      <c r="C42" s="112" t="str">
        <f>IF(OR(Tabella1[[#This Row],[LUN]]="X",Tabella1[[#This Row],[MAR]]="X",Tabella1[[#This Row],[MER]]="X",Tabella1[[#This Row],[GIO]]="X",Tabella1[[#This Row],[VEN]]="X",),"X","")</f>
        <v/>
      </c>
      <c r="D42" s="113" t="s">
        <v>72</v>
      </c>
      <c r="E42" s="109" t="s">
        <v>897</v>
      </c>
      <c r="F42" s="109">
        <v>1000</v>
      </c>
      <c r="G42" s="109" t="s">
        <v>893</v>
      </c>
      <c r="H42" s="111"/>
      <c r="I42" s="111"/>
      <c r="J42" s="111"/>
      <c r="K42" s="111"/>
      <c r="L42" s="111"/>
      <c r="M42" s="110" t="s">
        <v>1258</v>
      </c>
      <c r="N42" s="110" t="s">
        <v>23</v>
      </c>
      <c r="O42" s="167"/>
      <c r="P42" s="110"/>
      <c r="Q42" s="109" t="s">
        <v>912</v>
      </c>
      <c r="R42" s="110">
        <v>45728</v>
      </c>
      <c r="S42" s="110" t="s">
        <v>102</v>
      </c>
      <c r="T42" s="112" t="str">
        <f ca="1">IF(AND('Inserimento dati'!$B$3=$H$2, Tabella1[[#This Row],[LUN]]="X"), "X",IF(AND('Inserimento dati'!$B$3=$I$2, Tabella1[[#This Row],[MAR]]="X"), "X", IF(AND('Inserimento dati'!$B$3=$J$2, Tabella1[[#This Row],[MER]]="X"), "X",IF(AND('Inserimento dati'!$B$3=$K$2, Tabella1[[#This Row],[GIO]]="X"), "X", IF(AND('Inserimento dati'!$B$3=$L$2, Tabella1[[#This Row],[VEN]]="X"), "X","")))))</f>
        <v/>
      </c>
      <c r="U42" s="131" t="str">
        <f t="shared" ca="1" si="3"/>
        <v/>
      </c>
      <c r="V42" s="187">
        <v>45930.833333333336</v>
      </c>
    </row>
    <row r="43" spans="1:22" s="19" customFormat="1" ht="30" x14ac:dyDescent="0.2">
      <c r="A43" s="112"/>
      <c r="B43" s="112" t="str">
        <f t="shared" si="2"/>
        <v>X</v>
      </c>
      <c r="C43" s="112" t="str">
        <f>IF(OR(Tabella1[[#This Row],[LUN]]="X",Tabella1[[#This Row],[MAR]]="X",Tabella1[[#This Row],[MER]]="X",Tabella1[[#This Row],[GIO]]="X",Tabella1[[#This Row],[VEN]]="X",),"X","")</f>
        <v/>
      </c>
      <c r="D43" s="113" t="s">
        <v>72</v>
      </c>
      <c r="E43" s="109" t="s">
        <v>830</v>
      </c>
      <c r="F43" s="109">
        <v>600</v>
      </c>
      <c r="G43" s="109" t="s">
        <v>831</v>
      </c>
      <c r="H43" s="111"/>
      <c r="I43" s="111"/>
      <c r="J43" s="111"/>
      <c r="K43" s="111"/>
      <c r="L43" s="111"/>
      <c r="M43" s="110" t="s">
        <v>1258</v>
      </c>
      <c r="N43" s="110"/>
      <c r="O43" s="167"/>
      <c r="P43" s="110"/>
      <c r="Q43" s="109" t="s">
        <v>844</v>
      </c>
      <c r="R43" s="110">
        <v>45722</v>
      </c>
      <c r="S43" s="110" t="s">
        <v>845</v>
      </c>
      <c r="T43" s="112" t="str">
        <f ca="1">IF(AND('Inserimento dati'!$B$3=$H$2, Tabella1[[#This Row],[LUN]]="X"), "X",IF(AND('Inserimento dati'!$B$3=$I$2, Tabella1[[#This Row],[MAR]]="X"), "X", IF(AND('Inserimento dati'!$B$3=$J$2, Tabella1[[#This Row],[MER]]="X"), "X",IF(AND('Inserimento dati'!$B$3=$K$2, Tabella1[[#This Row],[GIO]]="X"), "X", IF(AND('Inserimento dati'!$B$3=$L$2, Tabella1[[#This Row],[VEN]]="X"), "X","")))))</f>
        <v/>
      </c>
      <c r="U43" s="131" t="str">
        <f t="shared" ca="1" si="3"/>
        <v/>
      </c>
      <c r="V43" s="187">
        <v>45930.833333333336</v>
      </c>
    </row>
    <row r="44" spans="1:22" s="19" customFormat="1" ht="30" x14ac:dyDescent="0.2">
      <c r="A44" s="112"/>
      <c r="B44" s="112" t="str">
        <f t="shared" si="2"/>
        <v>X</v>
      </c>
      <c r="C44" s="112" t="str">
        <f>IF(OR(Tabella1[[#This Row],[LUN]]="X",Tabella1[[#This Row],[MAR]]="X",Tabella1[[#This Row],[MER]]="X",Tabella1[[#This Row],[GIO]]="X",Tabella1[[#This Row],[VEN]]="X",),"X","")</f>
        <v/>
      </c>
      <c r="D44" s="113" t="s">
        <v>72</v>
      </c>
      <c r="E44" s="109" t="s">
        <v>788</v>
      </c>
      <c r="F44" s="109">
        <v>600</v>
      </c>
      <c r="G44" s="109" t="s">
        <v>761</v>
      </c>
      <c r="H44" s="111"/>
      <c r="I44" s="111"/>
      <c r="J44" s="111"/>
      <c r="K44" s="111"/>
      <c r="L44" s="111"/>
      <c r="M44" s="110" t="s">
        <v>1258</v>
      </c>
      <c r="N44" s="110"/>
      <c r="O44" s="167"/>
      <c r="P44" s="110"/>
      <c r="Q44" s="109" t="s">
        <v>715</v>
      </c>
      <c r="R44" s="110">
        <v>45720</v>
      </c>
      <c r="S44" s="110" t="s">
        <v>785</v>
      </c>
      <c r="T44" s="112" t="str">
        <f ca="1">IF(AND('Inserimento dati'!$B$3=$H$2, Tabella1[[#This Row],[LUN]]="X"), "X",IF(AND('Inserimento dati'!$B$3=$I$2, Tabella1[[#This Row],[MAR]]="X"), "X", IF(AND('Inserimento dati'!$B$3=$J$2, Tabella1[[#This Row],[MER]]="X"), "X",IF(AND('Inserimento dati'!$B$3=$K$2, Tabella1[[#This Row],[GIO]]="X"), "X", IF(AND('Inserimento dati'!$B$3=$L$2, Tabella1[[#This Row],[VEN]]="X"), "X","")))))</f>
        <v/>
      </c>
      <c r="U44" s="131" t="str">
        <f t="shared" ca="1" si="3"/>
        <v/>
      </c>
      <c r="V44" s="187">
        <v>45930.833333333336</v>
      </c>
    </row>
    <row r="45" spans="1:22" s="19" customFormat="1" ht="45" x14ac:dyDescent="0.2">
      <c r="A45" s="112"/>
      <c r="B45" s="112" t="str">
        <f t="shared" si="2"/>
        <v>X</v>
      </c>
      <c r="C45" s="112" t="str">
        <f>IF(OR(Tabella1[[#This Row],[LUN]]="X",Tabella1[[#This Row],[MAR]]="X",Tabella1[[#This Row],[MER]]="X",Tabella1[[#This Row],[GIO]]="X",Tabella1[[#This Row],[VEN]]="X",),"X","")</f>
        <v/>
      </c>
      <c r="D45" s="113" t="s">
        <v>72</v>
      </c>
      <c r="E45" s="109" t="s">
        <v>760</v>
      </c>
      <c r="F45" s="109">
        <v>600</v>
      </c>
      <c r="G45" s="109" t="s">
        <v>753</v>
      </c>
      <c r="H45" s="111"/>
      <c r="I45" s="111"/>
      <c r="J45" s="111"/>
      <c r="K45" s="111"/>
      <c r="L45" s="111"/>
      <c r="M45" s="110" t="s">
        <v>1258</v>
      </c>
      <c r="N45" s="110"/>
      <c r="O45" s="167"/>
      <c r="P45" s="110"/>
      <c r="Q45" s="109" t="s">
        <v>784</v>
      </c>
      <c r="R45" s="110">
        <v>45714</v>
      </c>
      <c r="S45" s="110" t="s">
        <v>635</v>
      </c>
      <c r="T45" s="112" t="str">
        <f ca="1">IF(AND('Inserimento dati'!$B$3=$H$2, Tabella1[[#This Row],[LUN]]="X"), "X",IF(AND('Inserimento dati'!$B$3=$I$2, Tabella1[[#This Row],[MAR]]="X"), "X", IF(AND('Inserimento dati'!$B$3=$J$2, Tabella1[[#This Row],[MER]]="X"), "X",IF(AND('Inserimento dati'!$B$3=$K$2, Tabella1[[#This Row],[GIO]]="X"), "X", IF(AND('Inserimento dati'!$B$3=$L$2, Tabella1[[#This Row],[VEN]]="X"), "X","")))))</f>
        <v/>
      </c>
      <c r="U45" s="131" t="str">
        <f t="shared" ca="1" si="3"/>
        <v/>
      </c>
      <c r="V45" s="187">
        <v>45930.833333333336</v>
      </c>
    </row>
    <row r="46" spans="1:22" s="19" customFormat="1" ht="45" x14ac:dyDescent="0.2">
      <c r="A46" s="112"/>
      <c r="B46" s="112" t="str">
        <f t="shared" si="2"/>
        <v>X</v>
      </c>
      <c r="C46" s="112" t="str">
        <f>IF(OR(Tabella1[[#This Row],[LUN]]="X",Tabella1[[#This Row],[MAR]]="X",Tabella1[[#This Row],[MER]]="X",Tabella1[[#This Row],[GIO]]="X",Tabella1[[#This Row],[VEN]]="X",),"X","")</f>
        <v/>
      </c>
      <c r="D46" s="113" t="s">
        <v>72</v>
      </c>
      <c r="E46" s="109" t="s">
        <v>774</v>
      </c>
      <c r="F46" s="109">
        <v>600</v>
      </c>
      <c r="G46" s="109" t="s">
        <v>761</v>
      </c>
      <c r="H46" s="111"/>
      <c r="I46" s="111"/>
      <c r="J46" s="111"/>
      <c r="K46" s="111"/>
      <c r="L46" s="111"/>
      <c r="M46" s="110" t="s">
        <v>1258</v>
      </c>
      <c r="N46" s="110"/>
      <c r="O46" s="167"/>
      <c r="P46" s="110"/>
      <c r="Q46" s="109" t="s">
        <v>811</v>
      </c>
      <c r="R46" s="110">
        <v>45714</v>
      </c>
      <c r="S46" s="110" t="s">
        <v>785</v>
      </c>
      <c r="T46" s="112" t="str">
        <f ca="1">IF(AND('Inserimento dati'!$B$3=$H$2, Tabella1[[#This Row],[LUN]]="X"), "X",IF(AND('Inserimento dati'!$B$3=$I$2, Tabella1[[#This Row],[MAR]]="X"), "X", IF(AND('Inserimento dati'!$B$3=$J$2, Tabella1[[#This Row],[MER]]="X"), "X",IF(AND('Inserimento dati'!$B$3=$K$2, Tabella1[[#This Row],[GIO]]="X"), "X", IF(AND('Inserimento dati'!$B$3=$L$2, Tabella1[[#This Row],[VEN]]="X"), "X","")))))</f>
        <v/>
      </c>
      <c r="U46" s="131" t="str">
        <f t="shared" ca="1" si="3"/>
        <v/>
      </c>
      <c r="V46" s="187">
        <v>45930.833333333336</v>
      </c>
    </row>
    <row r="47" spans="1:22" s="19" customFormat="1" ht="30" x14ac:dyDescent="0.2">
      <c r="A47" s="112"/>
      <c r="B47" s="112" t="str">
        <f t="shared" si="2"/>
        <v>X</v>
      </c>
      <c r="C47" s="112" t="str">
        <f>IF(OR(Tabella1[[#This Row],[LUN]]="X",Tabella1[[#This Row],[MAR]]="X",Tabella1[[#This Row],[MER]]="X",Tabella1[[#This Row],[GIO]]="X",Tabella1[[#This Row],[VEN]]="X",),"X","")</f>
        <v/>
      </c>
      <c r="D47" s="113" t="s">
        <v>72</v>
      </c>
      <c r="E47" s="109" t="s">
        <v>758</v>
      </c>
      <c r="F47" s="109">
        <v>600</v>
      </c>
      <c r="G47" s="109" t="s">
        <v>755</v>
      </c>
      <c r="H47" s="111"/>
      <c r="I47" s="111"/>
      <c r="J47" s="111"/>
      <c r="K47" s="111"/>
      <c r="L47" s="111"/>
      <c r="M47" s="110" t="s">
        <v>1258</v>
      </c>
      <c r="N47" s="110"/>
      <c r="O47" s="167"/>
      <c r="P47" s="110"/>
      <c r="Q47" s="109" t="s">
        <v>772</v>
      </c>
      <c r="R47" s="110">
        <v>45713</v>
      </c>
      <c r="S47" s="110" t="s">
        <v>102</v>
      </c>
      <c r="T47" s="112" t="str">
        <f ca="1">IF(AND('Inserimento dati'!$B$3=$H$2, Tabella1[[#This Row],[LUN]]="X"), "X",IF(AND('Inserimento dati'!$B$3=$I$2, Tabella1[[#This Row],[MAR]]="X"), "X", IF(AND('Inserimento dati'!$B$3=$J$2, Tabella1[[#This Row],[MER]]="X"), "X",IF(AND('Inserimento dati'!$B$3=$K$2, Tabella1[[#This Row],[GIO]]="X"), "X", IF(AND('Inserimento dati'!$B$3=$L$2, Tabella1[[#This Row],[VEN]]="X"), "X","")))))</f>
        <v/>
      </c>
      <c r="U47" s="131" t="str">
        <f t="shared" ca="1" si="3"/>
        <v/>
      </c>
      <c r="V47" s="187">
        <v>45930.833333333336</v>
      </c>
    </row>
    <row r="48" spans="1:22" s="19" customFormat="1" ht="30" x14ac:dyDescent="0.2">
      <c r="A48" s="112"/>
      <c r="B48" s="112" t="str">
        <f t="shared" si="2"/>
        <v>X</v>
      </c>
      <c r="C48" s="112" t="str">
        <f>IF(OR(Tabella1[[#This Row],[LUN]]="X",Tabella1[[#This Row],[MAR]]="X",Tabella1[[#This Row],[MER]]="X",Tabella1[[#This Row],[GIO]]="X",Tabella1[[#This Row],[VEN]]="X",),"X","")</f>
        <v/>
      </c>
      <c r="D48" s="113" t="s">
        <v>72</v>
      </c>
      <c r="E48" s="109" t="s">
        <v>759</v>
      </c>
      <c r="F48" s="109">
        <v>600</v>
      </c>
      <c r="G48" s="109" t="s">
        <v>754</v>
      </c>
      <c r="H48" s="111"/>
      <c r="I48" s="111"/>
      <c r="J48" s="111"/>
      <c r="K48" s="111"/>
      <c r="L48" s="111"/>
      <c r="M48" s="110" t="s">
        <v>1258</v>
      </c>
      <c r="N48" s="110"/>
      <c r="O48" s="167"/>
      <c r="P48" s="110"/>
      <c r="Q48" s="109" t="s">
        <v>773</v>
      </c>
      <c r="R48" s="110">
        <v>45713</v>
      </c>
      <c r="S48" s="110" t="s">
        <v>102</v>
      </c>
      <c r="T48" s="112" t="str">
        <f ca="1">IF(AND('Inserimento dati'!$B$3=$H$2, Tabella1[[#This Row],[LUN]]="X"), "X",IF(AND('Inserimento dati'!$B$3=$I$2, Tabella1[[#This Row],[MAR]]="X"), "X", IF(AND('Inserimento dati'!$B$3=$J$2, Tabella1[[#This Row],[MER]]="X"), "X",IF(AND('Inserimento dati'!$B$3=$K$2, Tabella1[[#This Row],[GIO]]="X"), "X", IF(AND('Inserimento dati'!$B$3=$L$2, Tabella1[[#This Row],[VEN]]="X"), "X","")))))</f>
        <v/>
      </c>
      <c r="U48" s="131" t="str">
        <f t="shared" ca="1" si="3"/>
        <v/>
      </c>
      <c r="V48" s="187">
        <v>45930.833333333336</v>
      </c>
    </row>
    <row r="49" spans="1:22" s="19" customFormat="1" ht="45" x14ac:dyDescent="0.2">
      <c r="A49" s="112"/>
      <c r="B49" s="112" t="str">
        <f t="shared" si="2"/>
        <v>X</v>
      </c>
      <c r="C49" s="112" t="str">
        <f>IF(OR(Tabella1[[#This Row],[LUN]]="X",Tabella1[[#This Row],[MAR]]="X",Tabella1[[#This Row],[MER]]="X",Tabella1[[#This Row],[GIO]]="X",Tabella1[[#This Row],[VEN]]="X",),"X","")</f>
        <v/>
      </c>
      <c r="D49" s="113" t="s">
        <v>72</v>
      </c>
      <c r="E49" s="109" t="s">
        <v>750</v>
      </c>
      <c r="F49" s="109">
        <v>500</v>
      </c>
      <c r="G49" s="109" t="s">
        <v>747</v>
      </c>
      <c r="H49" s="111"/>
      <c r="I49" s="111"/>
      <c r="J49" s="111"/>
      <c r="K49" s="111"/>
      <c r="L49" s="111"/>
      <c r="M49" s="110" t="s">
        <v>1258</v>
      </c>
      <c r="N49" s="110"/>
      <c r="O49" s="167"/>
      <c r="P49" s="110"/>
      <c r="Q49" s="109" t="s">
        <v>770</v>
      </c>
      <c r="R49" s="110">
        <v>45712</v>
      </c>
      <c r="S49" s="110" t="s">
        <v>50</v>
      </c>
      <c r="T49" s="112" t="str">
        <f ca="1">IF(AND('Inserimento dati'!$B$3=$H$2, Tabella1[[#This Row],[LUN]]="X"), "X",IF(AND('Inserimento dati'!$B$3=$I$2, Tabella1[[#This Row],[MAR]]="X"), "X", IF(AND('Inserimento dati'!$B$3=$J$2, Tabella1[[#This Row],[MER]]="X"), "X",IF(AND('Inserimento dati'!$B$3=$K$2, Tabella1[[#This Row],[GIO]]="X"), "X", IF(AND('Inserimento dati'!$B$3=$L$2, Tabella1[[#This Row],[VEN]]="X"), "X","")))))</f>
        <v/>
      </c>
      <c r="U49" s="131" t="str">
        <f t="shared" ca="1" si="3"/>
        <v/>
      </c>
      <c r="V49" s="187">
        <v>45930.833333333336</v>
      </c>
    </row>
    <row r="50" spans="1:22" s="19" customFormat="1" ht="45" x14ac:dyDescent="0.2">
      <c r="A50" s="112"/>
      <c r="B50" s="112" t="str">
        <f t="shared" si="2"/>
        <v>X</v>
      </c>
      <c r="C50" s="112" t="str">
        <f>IF(OR(Tabella1[[#This Row],[LUN]]="X",Tabella1[[#This Row],[MAR]]="X",Tabella1[[#This Row],[MER]]="X",Tabella1[[#This Row],[GIO]]="X",Tabella1[[#This Row],[VEN]]="X",),"X","")</f>
        <v/>
      </c>
      <c r="D50" s="113" t="s">
        <v>72</v>
      </c>
      <c r="E50" s="109" t="s">
        <v>710</v>
      </c>
      <c r="F50" s="109">
        <v>1000</v>
      </c>
      <c r="G50" s="109" t="s">
        <v>711</v>
      </c>
      <c r="H50" s="111"/>
      <c r="I50" s="111"/>
      <c r="J50" s="111"/>
      <c r="K50" s="111"/>
      <c r="L50" s="111"/>
      <c r="M50" s="110" t="s">
        <v>1258</v>
      </c>
      <c r="N50" s="110"/>
      <c r="O50" s="167"/>
      <c r="P50" s="110"/>
      <c r="Q50" s="109" t="s">
        <v>714</v>
      </c>
      <c r="R50" s="110">
        <v>45705</v>
      </c>
      <c r="S50" s="110" t="s">
        <v>239</v>
      </c>
      <c r="T50" s="112" t="str">
        <f ca="1">IF(AND('Inserimento dati'!$B$3=$H$2, Tabella1[[#This Row],[LUN]]="X"), "X",IF(AND('Inserimento dati'!$B$3=$I$2, Tabella1[[#This Row],[MAR]]="X"), "X", IF(AND('Inserimento dati'!$B$3=$J$2, Tabella1[[#This Row],[MER]]="X"), "X",IF(AND('Inserimento dati'!$B$3=$K$2, Tabella1[[#This Row],[GIO]]="X"), "X", IF(AND('Inserimento dati'!$B$3=$L$2, Tabella1[[#This Row],[VEN]]="X"), "X","")))))</f>
        <v/>
      </c>
      <c r="U50" s="131" t="str">
        <f t="shared" ca="1" si="3"/>
        <v/>
      </c>
      <c r="V50" s="187">
        <v>45930.833333333336</v>
      </c>
    </row>
    <row r="51" spans="1:22" s="19" customFormat="1" ht="45" x14ac:dyDescent="0.2">
      <c r="A51" s="112"/>
      <c r="B51" s="112" t="str">
        <f t="shared" si="2"/>
        <v>X</v>
      </c>
      <c r="C51" s="112" t="str">
        <f>IF(OR(Tabella1[[#This Row],[LUN]]="X",Tabella1[[#This Row],[MAR]]="X",Tabella1[[#This Row],[MER]]="X",Tabella1[[#This Row],[GIO]]="X",Tabella1[[#This Row],[VEN]]="X",),"X","")</f>
        <v/>
      </c>
      <c r="D51" s="113" t="s">
        <v>72</v>
      </c>
      <c r="E51" s="109" t="s">
        <v>679</v>
      </c>
      <c r="F51" s="109">
        <v>500</v>
      </c>
      <c r="G51" s="109" t="s">
        <v>656</v>
      </c>
      <c r="H51" s="111"/>
      <c r="I51" s="111"/>
      <c r="J51" s="111"/>
      <c r="K51" s="111"/>
      <c r="L51" s="111"/>
      <c r="M51" s="110" t="s">
        <v>1258</v>
      </c>
      <c r="N51" s="110"/>
      <c r="O51" s="167"/>
      <c r="P51" s="110"/>
      <c r="Q51" s="109" t="s">
        <v>700</v>
      </c>
      <c r="R51" s="110">
        <v>45701</v>
      </c>
      <c r="S51" s="110" t="s">
        <v>220</v>
      </c>
      <c r="T51" s="112" t="str">
        <f ca="1">IF(AND('Inserimento dati'!$B$3=$H$2, Tabella1[[#This Row],[LUN]]="X"), "X",IF(AND('Inserimento dati'!$B$3=$I$2, Tabella1[[#This Row],[MAR]]="X"), "X", IF(AND('Inserimento dati'!$B$3=$J$2, Tabella1[[#This Row],[MER]]="X"), "X",IF(AND('Inserimento dati'!$B$3=$K$2, Tabella1[[#This Row],[GIO]]="X"), "X", IF(AND('Inserimento dati'!$B$3=$L$2, Tabella1[[#This Row],[VEN]]="X"), "X","")))))</f>
        <v/>
      </c>
      <c r="U51" s="131" t="str">
        <f t="shared" ca="1" si="3"/>
        <v/>
      </c>
      <c r="V51" s="187">
        <v>45930.833333333336</v>
      </c>
    </row>
    <row r="52" spans="1:22" s="19" customFormat="1" ht="30" x14ac:dyDescent="0.2">
      <c r="A52" s="112"/>
      <c r="B52" s="112" t="str">
        <f t="shared" si="2"/>
        <v>X</v>
      </c>
      <c r="C52" s="112" t="str">
        <f>IF(OR(Tabella1[[#This Row],[LUN]]="X",Tabella1[[#This Row],[MAR]]="X",Tabella1[[#This Row],[MER]]="X",Tabella1[[#This Row],[GIO]]="X",Tabella1[[#This Row],[VEN]]="X",),"X","")</f>
        <v/>
      </c>
      <c r="D52" s="113" t="s">
        <v>72</v>
      </c>
      <c r="E52" s="109" t="s">
        <v>553</v>
      </c>
      <c r="F52" s="109">
        <v>1000</v>
      </c>
      <c r="G52" s="109" t="s">
        <v>548</v>
      </c>
      <c r="H52" s="111"/>
      <c r="I52" s="111"/>
      <c r="J52" s="111"/>
      <c r="K52" s="111"/>
      <c r="L52" s="111"/>
      <c r="M52" s="110" t="s">
        <v>1258</v>
      </c>
      <c r="N52" s="110"/>
      <c r="O52" s="167"/>
      <c r="P52" s="110"/>
      <c r="Q52" s="109" t="s">
        <v>590</v>
      </c>
      <c r="R52" s="110">
        <v>45687</v>
      </c>
      <c r="S52" s="110" t="s">
        <v>554</v>
      </c>
      <c r="T52" s="112" t="str">
        <f ca="1">IF(AND('Inserimento dati'!$B$3=$H$2, Tabella1[[#This Row],[LUN]]="X"), "X",IF(AND('Inserimento dati'!$B$3=$I$2, Tabella1[[#This Row],[MAR]]="X"), "X", IF(AND('Inserimento dati'!$B$3=$J$2, Tabella1[[#This Row],[MER]]="X"), "X",IF(AND('Inserimento dati'!$B$3=$K$2, Tabella1[[#This Row],[GIO]]="X"), "X", IF(AND('Inserimento dati'!$B$3=$L$2, Tabella1[[#This Row],[VEN]]="X"), "X","")))))</f>
        <v/>
      </c>
      <c r="U52" s="131" t="str">
        <f t="shared" ca="1" si="3"/>
        <v/>
      </c>
      <c r="V52" s="187">
        <v>45930.833333333336</v>
      </c>
    </row>
    <row r="53" spans="1:22" s="19" customFormat="1" ht="23.25" x14ac:dyDescent="0.2">
      <c r="A53" s="112"/>
      <c r="B53" s="112" t="str">
        <f t="shared" si="2"/>
        <v>X</v>
      </c>
      <c r="C53" s="112" t="str">
        <f>IF(OR(Tabella1[[#This Row],[LUN]]="X",Tabella1[[#This Row],[MAR]]="X",Tabella1[[#This Row],[MER]]="X",Tabella1[[#This Row],[GIO]]="X",Tabella1[[#This Row],[VEN]]="X",),"X","")</f>
        <v/>
      </c>
      <c r="D53" s="113" t="s">
        <v>72</v>
      </c>
      <c r="E53" s="109" t="s">
        <v>648</v>
      </c>
      <c r="F53" s="109">
        <v>600</v>
      </c>
      <c r="G53" s="109" t="s">
        <v>649</v>
      </c>
      <c r="H53" s="111"/>
      <c r="I53" s="111"/>
      <c r="J53" s="111"/>
      <c r="K53" s="111"/>
      <c r="L53" s="111"/>
      <c r="M53" s="110" t="s">
        <v>1258</v>
      </c>
      <c r="N53" s="110"/>
      <c r="O53" s="167"/>
      <c r="P53" s="110"/>
      <c r="Q53" s="109"/>
      <c r="R53" s="110"/>
      <c r="S53" s="110"/>
      <c r="T53" s="112" t="str">
        <f ca="1">IF(AND('Inserimento dati'!$B$3=$H$2, Tabella1[[#This Row],[LUN]]="X"), "X",IF(AND('Inserimento dati'!$B$3=$I$2, Tabella1[[#This Row],[MAR]]="X"), "X", IF(AND('Inserimento dati'!$B$3=$J$2, Tabella1[[#This Row],[MER]]="X"), "X",IF(AND('Inserimento dati'!$B$3=$K$2, Tabella1[[#This Row],[GIO]]="X"), "X", IF(AND('Inserimento dati'!$B$3=$L$2, Tabella1[[#This Row],[VEN]]="X"), "X","")))))</f>
        <v/>
      </c>
      <c r="U53" s="131" t="str">
        <f t="shared" ca="1" si="3"/>
        <v/>
      </c>
      <c r="V53" s="187">
        <v>45930.833333333336</v>
      </c>
    </row>
    <row r="54" spans="1:22" s="19" customFormat="1" ht="30" x14ac:dyDescent="0.2">
      <c r="A54" s="112"/>
      <c r="B54" s="112" t="str">
        <f t="shared" si="2"/>
        <v>X</v>
      </c>
      <c r="C54" s="112" t="str">
        <f>IF(OR(Tabella1[[#This Row],[LUN]]="X",Tabella1[[#This Row],[MAR]]="X",Tabella1[[#This Row],[MER]]="X",Tabella1[[#This Row],[GIO]]="X",Tabella1[[#This Row],[VEN]]="X",),"X","")</f>
        <v/>
      </c>
      <c r="D54" s="113" t="s">
        <v>72</v>
      </c>
      <c r="E54" s="109" t="s">
        <v>417</v>
      </c>
      <c r="F54" s="109">
        <v>500</v>
      </c>
      <c r="G54" s="109" t="s">
        <v>416</v>
      </c>
      <c r="H54" s="111"/>
      <c r="I54" s="111"/>
      <c r="J54" s="111"/>
      <c r="K54" s="111"/>
      <c r="L54" s="111"/>
      <c r="M54" s="110" t="s">
        <v>1258</v>
      </c>
      <c r="N54" s="110"/>
      <c r="O54" s="167"/>
      <c r="P54" s="110"/>
      <c r="Q54" s="109" t="s">
        <v>645</v>
      </c>
      <c r="R54" s="110">
        <v>45694</v>
      </c>
      <c r="S54" s="110" t="s">
        <v>220</v>
      </c>
      <c r="T54" s="112" t="str">
        <f ca="1">IF(AND('Inserimento dati'!$B$3=$H$2, Tabella1[[#This Row],[LUN]]="X"), "X",IF(AND('Inserimento dati'!$B$3=$I$2, Tabella1[[#This Row],[MAR]]="X"), "X", IF(AND('Inserimento dati'!$B$3=$J$2, Tabella1[[#This Row],[MER]]="X"), "X",IF(AND('Inserimento dati'!$B$3=$K$2, Tabella1[[#This Row],[GIO]]="X"), "X", IF(AND('Inserimento dati'!$B$3=$L$2, Tabella1[[#This Row],[VEN]]="X"), "X","")))))</f>
        <v/>
      </c>
      <c r="U54" s="131" t="str">
        <f t="shared" ca="1" si="3"/>
        <v/>
      </c>
      <c r="V54" s="187">
        <v>45930.833333333336</v>
      </c>
    </row>
    <row r="55" spans="1:22" s="19" customFormat="1" ht="30" x14ac:dyDescent="0.2">
      <c r="A55" s="112"/>
      <c r="B55" s="112" t="str">
        <f t="shared" si="2"/>
        <v>X</v>
      </c>
      <c r="C55" s="112" t="str">
        <f>IF(OR(Tabella1[[#This Row],[LUN]]="X",Tabella1[[#This Row],[MAR]]="X",Tabella1[[#This Row],[MER]]="X",Tabella1[[#This Row],[GIO]]="X",Tabella1[[#This Row],[VEN]]="X",),"X","")</f>
        <v/>
      </c>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t="str">
        <f ca="1">IF(AND('Inserimento dati'!$B$3=$H$2, Tabella1[[#This Row],[LUN]]="X"), "X",IF(AND('Inserimento dati'!$B$3=$I$2, Tabella1[[#This Row],[MAR]]="X"), "X", IF(AND('Inserimento dati'!$B$3=$J$2, Tabella1[[#This Row],[MER]]="X"), "X",IF(AND('Inserimento dati'!$B$3=$K$2, Tabella1[[#This Row],[GIO]]="X"), "X", IF(AND('Inserimento dati'!$B$3=$L$2, Tabella1[[#This Row],[VEN]]="X"), "X","")))))</f>
        <v/>
      </c>
      <c r="U55" s="131" t="str">
        <f t="shared" ca="1" si="3"/>
        <v/>
      </c>
      <c r="V55" s="187">
        <v>45930.833333333336</v>
      </c>
    </row>
    <row r="56" spans="1:22" s="19" customFormat="1" ht="23.25" x14ac:dyDescent="0.2">
      <c r="A56" s="112"/>
      <c r="B56" s="112" t="str">
        <f t="shared" si="2"/>
        <v>X</v>
      </c>
      <c r="C56" s="112" t="str">
        <f>IF(OR(Tabella1[[#This Row],[LUN]]="X",Tabella1[[#This Row],[MAR]]="X",Tabella1[[#This Row],[MER]]="X",Tabella1[[#This Row],[GIO]]="X",Tabella1[[#This Row],[VEN]]="X",),"X","")</f>
        <v/>
      </c>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t="str">
        <f ca="1">IF(AND('Inserimento dati'!$B$3=$H$2, Tabella1[[#This Row],[LUN]]="X"), "X",IF(AND('Inserimento dati'!$B$3=$I$2, Tabella1[[#This Row],[MAR]]="X"), "X", IF(AND('Inserimento dati'!$B$3=$J$2, Tabella1[[#This Row],[MER]]="X"), "X",IF(AND('Inserimento dati'!$B$3=$K$2, Tabella1[[#This Row],[GIO]]="X"), "X", IF(AND('Inserimento dati'!$B$3=$L$2, Tabella1[[#This Row],[VEN]]="X"), "X","")))))</f>
        <v/>
      </c>
      <c r="U56" s="131" t="str">
        <f t="shared" ca="1" si="3"/>
        <v/>
      </c>
      <c r="V56" s="187">
        <v>45930.833333333336</v>
      </c>
    </row>
    <row r="57" spans="1:22" s="19" customFormat="1" ht="23.25" x14ac:dyDescent="0.2">
      <c r="A57" s="112"/>
      <c r="B57" s="112" t="str">
        <f t="shared" si="2"/>
        <v>X</v>
      </c>
      <c r="C57" s="112" t="str">
        <f>IF(OR(Tabella1[[#This Row],[LUN]]="X",Tabella1[[#This Row],[MAR]]="X",Tabella1[[#This Row],[MER]]="X",Tabella1[[#This Row],[GIO]]="X",Tabella1[[#This Row],[VEN]]="X",),"X","")</f>
        <v/>
      </c>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t="str">
        <f ca="1">IF(AND('Inserimento dati'!$B$3=$H$2, Tabella1[[#This Row],[LUN]]="X"), "X",IF(AND('Inserimento dati'!$B$3=$I$2, Tabella1[[#This Row],[MAR]]="X"), "X", IF(AND('Inserimento dati'!$B$3=$J$2, Tabella1[[#This Row],[MER]]="X"), "X",IF(AND('Inserimento dati'!$B$3=$K$2, Tabella1[[#This Row],[GIO]]="X"), "X", IF(AND('Inserimento dati'!$B$3=$L$2, Tabella1[[#This Row],[VEN]]="X"), "X","")))))</f>
        <v/>
      </c>
      <c r="U57" s="131" t="str">
        <f t="shared" ca="1" si="3"/>
        <v/>
      </c>
      <c r="V57" s="187">
        <v>45930.833333333336</v>
      </c>
    </row>
    <row r="58" spans="1:22" s="19" customFormat="1" ht="23.25" x14ac:dyDescent="0.2">
      <c r="A58" s="112"/>
      <c r="B58" s="112" t="str">
        <f t="shared" si="2"/>
        <v>X</v>
      </c>
      <c r="C58" s="112" t="str">
        <f>IF(OR(Tabella1[[#This Row],[LUN]]="X",Tabella1[[#This Row],[MAR]]="X",Tabella1[[#This Row],[MER]]="X",Tabella1[[#This Row],[GIO]]="X",Tabella1[[#This Row],[VEN]]="X",),"X","")</f>
        <v/>
      </c>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t="str">
        <f ca="1">IF(AND('Inserimento dati'!$B$3=$H$2, Tabella1[[#This Row],[LUN]]="X"), "X",IF(AND('Inserimento dati'!$B$3=$I$2, Tabella1[[#This Row],[MAR]]="X"), "X", IF(AND('Inserimento dati'!$B$3=$J$2, Tabella1[[#This Row],[MER]]="X"), "X",IF(AND('Inserimento dati'!$B$3=$K$2, Tabella1[[#This Row],[GIO]]="X"), "X", IF(AND('Inserimento dati'!$B$3=$L$2, Tabella1[[#This Row],[VEN]]="X"), "X","")))))</f>
        <v/>
      </c>
      <c r="U58" s="131" t="str">
        <f t="shared" ca="1" si="3"/>
        <v/>
      </c>
      <c r="V58" s="187">
        <v>45930.833333333336</v>
      </c>
    </row>
    <row r="59" spans="1:22" s="19" customFormat="1" ht="30" x14ac:dyDescent="0.2">
      <c r="A59" s="112"/>
      <c r="B59" s="112" t="str">
        <f t="shared" si="2"/>
        <v>X</v>
      </c>
      <c r="C59" s="112" t="str">
        <f>IF(OR(Tabella1[[#This Row],[LUN]]="X",Tabella1[[#This Row],[MAR]]="X",Tabella1[[#This Row],[MER]]="X",Tabella1[[#This Row],[GIO]]="X",Tabella1[[#This Row],[VEN]]="X",),"X","")</f>
        <v/>
      </c>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t="str">
        <f ca="1">IF(AND('Inserimento dati'!$B$3=$H$2, Tabella1[[#This Row],[LUN]]="X"), "X",IF(AND('Inserimento dati'!$B$3=$I$2, Tabella1[[#This Row],[MAR]]="X"), "X", IF(AND('Inserimento dati'!$B$3=$J$2, Tabella1[[#This Row],[MER]]="X"), "X",IF(AND('Inserimento dati'!$B$3=$K$2, Tabella1[[#This Row],[GIO]]="X"), "X", IF(AND('Inserimento dati'!$B$3=$L$2, Tabella1[[#This Row],[VEN]]="X"), "X","")))))</f>
        <v/>
      </c>
      <c r="U59" s="131" t="str">
        <f t="shared" ca="1" si="3"/>
        <v/>
      </c>
      <c r="V59" s="187">
        <v>45930.833333333336</v>
      </c>
    </row>
    <row r="60" spans="1:22" s="19" customFormat="1" ht="30" x14ac:dyDescent="0.2">
      <c r="A60" s="112"/>
      <c r="B60" s="112" t="str">
        <f t="shared" si="2"/>
        <v>X</v>
      </c>
      <c r="C60" s="112" t="str">
        <f>IF(OR(Tabella1[[#This Row],[LUN]]="X",Tabella1[[#This Row],[MAR]]="X",Tabella1[[#This Row],[MER]]="X",Tabella1[[#This Row],[GIO]]="X",Tabella1[[#This Row],[VEN]]="X",),"X","")</f>
        <v/>
      </c>
      <c r="D60" s="113" t="s">
        <v>72</v>
      </c>
      <c r="E60" s="109" t="s">
        <v>472</v>
      </c>
      <c r="F60" s="109">
        <v>500</v>
      </c>
      <c r="G60" s="109" t="s">
        <v>471</v>
      </c>
      <c r="H60" s="111"/>
      <c r="I60" s="111"/>
      <c r="J60" s="111"/>
      <c r="K60" s="111"/>
      <c r="L60" s="111"/>
      <c r="M60" s="109" t="s">
        <v>1258</v>
      </c>
      <c r="N60" s="109"/>
      <c r="O60" s="113"/>
      <c r="P60" s="109"/>
      <c r="Q60" s="109" t="s">
        <v>474</v>
      </c>
      <c r="R60" s="110"/>
      <c r="S60" s="110"/>
      <c r="T60" s="112" t="str">
        <f ca="1">IF(AND('Inserimento dati'!$B$3=$H$2, Tabella1[[#This Row],[LUN]]="X"), "X",IF(AND('Inserimento dati'!$B$3=$I$2, Tabella1[[#This Row],[MAR]]="X"), "X", IF(AND('Inserimento dati'!$B$3=$J$2, Tabella1[[#This Row],[MER]]="X"), "X",IF(AND('Inserimento dati'!$B$3=$K$2, Tabella1[[#This Row],[GIO]]="X"), "X", IF(AND('Inserimento dati'!$B$3=$L$2, Tabella1[[#This Row],[VEN]]="X"), "X","")))))</f>
        <v/>
      </c>
      <c r="U60" s="131" t="str">
        <f t="shared" ca="1" si="3"/>
        <v/>
      </c>
      <c r="V60" s="187">
        <v>45930.833333333336</v>
      </c>
    </row>
    <row r="61" spans="1:22" s="19" customFormat="1" ht="30" x14ac:dyDescent="0.2">
      <c r="A61" s="112"/>
      <c r="B61" s="112" t="str">
        <f t="shared" si="2"/>
        <v>X</v>
      </c>
      <c r="C61" s="112" t="str">
        <f>IF(OR(Tabella1[[#This Row],[LUN]]="X",Tabella1[[#This Row],[MAR]]="X",Tabella1[[#This Row],[MER]]="X",Tabella1[[#This Row],[GIO]]="X",Tabella1[[#This Row],[VEN]]="X",),"X","")</f>
        <v/>
      </c>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t="str">
        <f ca="1">IF(AND('Inserimento dati'!$B$3=$H$2, Tabella1[[#This Row],[LUN]]="X"), "X",IF(AND('Inserimento dati'!$B$3=$I$2, Tabella1[[#This Row],[MAR]]="X"), "X", IF(AND('Inserimento dati'!$B$3=$J$2, Tabella1[[#This Row],[MER]]="X"), "X",IF(AND('Inserimento dati'!$B$3=$K$2, Tabella1[[#This Row],[GIO]]="X"), "X", IF(AND('Inserimento dati'!$B$3=$L$2, Tabella1[[#This Row],[VEN]]="X"), "X","")))))</f>
        <v/>
      </c>
      <c r="U61" s="131" t="str">
        <f t="shared" ca="1" si="3"/>
        <v/>
      </c>
      <c r="V61" s="187">
        <v>45930.833333333336</v>
      </c>
    </row>
    <row r="62" spans="1:22" s="19" customFormat="1" ht="23.25" x14ac:dyDescent="0.2">
      <c r="A62" s="112"/>
      <c r="B62" s="112" t="str">
        <f t="shared" si="2"/>
        <v>X</v>
      </c>
      <c r="C62" s="112" t="str">
        <f>IF(OR(Tabella1[[#This Row],[LUN]]="X",Tabella1[[#This Row],[MAR]]="X",Tabella1[[#This Row],[MER]]="X",Tabella1[[#This Row],[GIO]]="X",Tabella1[[#This Row],[VEN]]="X",),"X","")</f>
        <v/>
      </c>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t="str">
        <f ca="1">IF(AND('Inserimento dati'!$B$3=$H$2, Tabella1[[#This Row],[LUN]]="X"), "X",IF(AND('Inserimento dati'!$B$3=$I$2, Tabella1[[#This Row],[MAR]]="X"), "X", IF(AND('Inserimento dati'!$B$3=$J$2, Tabella1[[#This Row],[MER]]="X"), "X",IF(AND('Inserimento dati'!$B$3=$K$2, Tabella1[[#This Row],[GIO]]="X"), "X", IF(AND('Inserimento dati'!$B$3=$L$2, Tabella1[[#This Row],[VEN]]="X"), "X","")))))</f>
        <v/>
      </c>
      <c r="U62" s="131" t="str">
        <f t="shared" ca="1" si="3"/>
        <v/>
      </c>
      <c r="V62" s="187">
        <v>45930.833333333336</v>
      </c>
    </row>
    <row r="63" spans="1:22" s="19" customFormat="1" ht="23.25" x14ac:dyDescent="0.2">
      <c r="A63" s="112"/>
      <c r="B63" s="112" t="str">
        <f t="shared" si="2"/>
        <v>X</v>
      </c>
      <c r="C63" s="112" t="str">
        <f>IF(OR(Tabella1[[#This Row],[LUN]]="X",Tabella1[[#This Row],[MAR]]="X",Tabella1[[#This Row],[MER]]="X",Tabella1[[#This Row],[GIO]]="X",Tabella1[[#This Row],[VEN]]="X",),"X","")</f>
        <v/>
      </c>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t="str">
        <f ca="1">IF(AND('Inserimento dati'!$B$3=$H$2, Tabella1[[#This Row],[LUN]]="X"), "X",IF(AND('Inserimento dati'!$B$3=$I$2, Tabella1[[#This Row],[MAR]]="X"), "X", IF(AND('Inserimento dati'!$B$3=$J$2, Tabella1[[#This Row],[MER]]="X"), "X",IF(AND('Inserimento dati'!$B$3=$K$2, Tabella1[[#This Row],[GIO]]="X"), "X", IF(AND('Inserimento dati'!$B$3=$L$2, Tabella1[[#This Row],[VEN]]="X"), "X","")))))</f>
        <v/>
      </c>
      <c r="U63" s="131" t="str">
        <f t="shared" ca="1" si="3"/>
        <v/>
      </c>
      <c r="V63" s="187">
        <v>45930.833333333336</v>
      </c>
    </row>
    <row r="64" spans="1:22" s="19" customFormat="1" ht="23.25" x14ac:dyDescent="0.2">
      <c r="A64" s="112"/>
      <c r="B64" s="112" t="str">
        <f t="shared" si="2"/>
        <v>X</v>
      </c>
      <c r="C64" s="112" t="str">
        <f>IF(OR(Tabella1[[#This Row],[LUN]]="X",Tabella1[[#This Row],[MAR]]="X",Tabella1[[#This Row],[MER]]="X",Tabella1[[#This Row],[GIO]]="X",Tabella1[[#This Row],[VEN]]="X",),"X","")</f>
        <v/>
      </c>
      <c r="D64" s="113" t="s">
        <v>72</v>
      </c>
      <c r="E64" s="109" t="s">
        <v>394</v>
      </c>
      <c r="F64" s="109">
        <v>1000</v>
      </c>
      <c r="G64" s="109" t="s">
        <v>307</v>
      </c>
      <c r="H64" s="111"/>
      <c r="I64" s="111"/>
      <c r="J64" s="111"/>
      <c r="K64" s="111"/>
      <c r="L64" s="111"/>
      <c r="M64" s="109" t="s">
        <v>1258</v>
      </c>
      <c r="N64" s="109"/>
      <c r="O64" s="113"/>
      <c r="P64" s="109"/>
      <c r="Q64" s="109"/>
      <c r="R64" s="110"/>
      <c r="S64" s="110"/>
      <c r="T64" s="112" t="str">
        <f ca="1">IF(AND('Inserimento dati'!$B$3=$H$2, Tabella1[[#This Row],[LUN]]="X"), "X",IF(AND('Inserimento dati'!$B$3=$I$2, Tabella1[[#This Row],[MAR]]="X"), "X", IF(AND('Inserimento dati'!$B$3=$J$2, Tabella1[[#This Row],[MER]]="X"), "X",IF(AND('Inserimento dati'!$B$3=$K$2, Tabella1[[#This Row],[GIO]]="X"), "X", IF(AND('Inserimento dati'!$B$3=$L$2, Tabella1[[#This Row],[VEN]]="X"), "X","")))))</f>
        <v/>
      </c>
      <c r="U64" s="131" t="str">
        <f t="shared" ca="1" si="3"/>
        <v/>
      </c>
      <c r="V64" s="187">
        <v>45930.833333333336</v>
      </c>
    </row>
    <row r="65" spans="1:22" s="19" customFormat="1" ht="23.25" x14ac:dyDescent="0.2">
      <c r="A65" s="112"/>
      <c r="B65" s="112" t="str">
        <f t="shared" si="2"/>
        <v>X</v>
      </c>
      <c r="C65" s="112" t="str">
        <f>IF(OR(Tabella1[[#This Row],[LUN]]="X",Tabella1[[#This Row],[MAR]]="X",Tabella1[[#This Row],[MER]]="X",Tabella1[[#This Row],[GIO]]="X",Tabella1[[#This Row],[VEN]]="X",),"X","")</f>
        <v/>
      </c>
      <c r="D65" s="113" t="s">
        <v>72</v>
      </c>
      <c r="E65" s="109" t="s">
        <v>285</v>
      </c>
      <c r="F65" s="109">
        <v>1000</v>
      </c>
      <c r="G65" s="109" t="s">
        <v>284</v>
      </c>
      <c r="H65" s="111"/>
      <c r="I65" s="111"/>
      <c r="J65" s="111"/>
      <c r="K65" s="111"/>
      <c r="L65" s="111"/>
      <c r="M65" s="109" t="s">
        <v>1258</v>
      </c>
      <c r="N65" s="109"/>
      <c r="O65" s="113"/>
      <c r="P65" s="109"/>
      <c r="Q65" s="109"/>
      <c r="R65" s="110"/>
      <c r="S65" s="110"/>
      <c r="T65" s="112" t="str">
        <f ca="1">IF(AND('Inserimento dati'!$B$3=$H$2, Tabella1[[#This Row],[LUN]]="X"), "X",IF(AND('Inserimento dati'!$B$3=$I$2, Tabella1[[#This Row],[MAR]]="X"), "X", IF(AND('Inserimento dati'!$B$3=$J$2, Tabella1[[#This Row],[MER]]="X"), "X",IF(AND('Inserimento dati'!$B$3=$K$2, Tabella1[[#This Row],[GIO]]="X"), "X", IF(AND('Inserimento dati'!$B$3=$L$2, Tabella1[[#This Row],[VEN]]="X"), "X","")))))</f>
        <v/>
      </c>
      <c r="U65" s="131" t="str">
        <f t="shared" ca="1" si="3"/>
        <v/>
      </c>
      <c r="V65" s="187">
        <v>45930.833333333336</v>
      </c>
    </row>
    <row r="66" spans="1:22" s="19" customFormat="1" ht="30" x14ac:dyDescent="0.2">
      <c r="A66" s="112"/>
      <c r="B66" s="112" t="str">
        <f t="shared" si="2"/>
        <v>X</v>
      </c>
      <c r="C66" s="112" t="str">
        <f>IF(OR(Tabella1[[#This Row],[LUN]]="X",Tabella1[[#This Row],[MAR]]="X",Tabella1[[#This Row],[MER]]="X",Tabella1[[#This Row],[GIO]]="X",Tabella1[[#This Row],[VEN]]="X",),"X","")</f>
        <v/>
      </c>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t="str">
        <f ca="1">IF(AND('Inserimento dati'!$B$3=$H$2, Tabella1[[#This Row],[LUN]]="X"), "X",IF(AND('Inserimento dati'!$B$3=$I$2, Tabella1[[#This Row],[MAR]]="X"), "X", IF(AND('Inserimento dati'!$B$3=$J$2, Tabella1[[#This Row],[MER]]="X"), "X",IF(AND('Inserimento dati'!$B$3=$K$2, Tabella1[[#This Row],[GIO]]="X"), "X", IF(AND('Inserimento dati'!$B$3=$L$2, Tabella1[[#This Row],[VEN]]="X"), "X","")))))</f>
        <v/>
      </c>
      <c r="U66" s="131" t="str">
        <f t="shared" ca="1" si="3"/>
        <v/>
      </c>
      <c r="V66" s="187">
        <v>45930.833333333336</v>
      </c>
    </row>
    <row r="67" spans="1:22" s="4" customFormat="1" ht="30" x14ac:dyDescent="0.25">
      <c r="A67" s="112"/>
      <c r="B67" s="112" t="str">
        <f t="shared" si="2"/>
        <v>X</v>
      </c>
      <c r="C67" s="112" t="str">
        <f>IF(OR(Tabella1[[#This Row],[LUN]]="X",Tabella1[[#This Row],[MAR]]="X",Tabella1[[#This Row],[MER]]="X",Tabella1[[#This Row],[GIO]]="X",Tabella1[[#This Row],[VEN]]="X",),"X","")</f>
        <v/>
      </c>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t="str">
        <f ca="1">IF(AND('Inserimento dati'!$B$3=$H$2, Tabella1[[#This Row],[LUN]]="X"), "X",IF(AND('Inserimento dati'!$B$3=$I$2, Tabella1[[#This Row],[MAR]]="X"), "X", IF(AND('Inserimento dati'!$B$3=$J$2, Tabella1[[#This Row],[MER]]="X"), "X",IF(AND('Inserimento dati'!$B$3=$K$2, Tabella1[[#This Row],[GIO]]="X"), "X", IF(AND('Inserimento dati'!$B$3=$L$2, Tabella1[[#This Row],[VEN]]="X"), "X","")))))</f>
        <v/>
      </c>
      <c r="U67" s="131" t="str">
        <f t="shared" ca="1" si="3"/>
        <v/>
      </c>
      <c r="V67" s="190">
        <v>45930.833333333336</v>
      </c>
    </row>
    <row r="68" spans="1:22" s="19" customFormat="1" ht="23.25" x14ac:dyDescent="0.2">
      <c r="A68" s="112"/>
      <c r="B68" s="112" t="str">
        <f t="shared" si="2"/>
        <v>X</v>
      </c>
      <c r="C68" s="112" t="str">
        <f>IF(OR(Tabella1[[#This Row],[LUN]]="X",Tabella1[[#This Row],[MAR]]="X",Tabella1[[#This Row],[MER]]="X",Tabella1[[#This Row],[GIO]]="X",Tabella1[[#This Row],[VEN]]="X",),"X","")</f>
        <v/>
      </c>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t="str">
        <f ca="1">IF(AND('Inserimento dati'!$B$3=$H$2, Tabella1[[#This Row],[LUN]]="X"), "X",IF(AND('Inserimento dati'!$B$3=$I$2, Tabella1[[#This Row],[MAR]]="X"), "X", IF(AND('Inserimento dati'!$B$3=$J$2, Tabella1[[#This Row],[MER]]="X"), "X",IF(AND('Inserimento dati'!$B$3=$K$2, Tabella1[[#This Row],[GIO]]="X"), "X", IF(AND('Inserimento dati'!$B$3=$L$2, Tabella1[[#This Row],[VEN]]="X"), "X","")))))</f>
        <v/>
      </c>
      <c r="U68" s="131" t="str">
        <f t="shared" ca="1" si="3"/>
        <v/>
      </c>
      <c r="V68" s="187">
        <v>45930.833333333336</v>
      </c>
    </row>
    <row r="69" spans="1:22" s="19" customFormat="1" ht="30" x14ac:dyDescent="0.2">
      <c r="A69" s="112"/>
      <c r="B69" s="112" t="str">
        <f t="shared" si="2"/>
        <v>X</v>
      </c>
      <c r="C69" s="112" t="str">
        <f>IF(OR(Tabella1[[#This Row],[LUN]]="X",Tabella1[[#This Row],[MAR]]="X",Tabella1[[#This Row],[MER]]="X",Tabella1[[#This Row],[GIO]]="X",Tabella1[[#This Row],[VEN]]="X",),"X","")</f>
        <v/>
      </c>
      <c r="D69" s="113" t="s">
        <v>72</v>
      </c>
      <c r="E69" s="109" t="s">
        <v>75</v>
      </c>
      <c r="F69" s="109">
        <v>1000</v>
      </c>
      <c r="G69" s="109" t="s">
        <v>76</v>
      </c>
      <c r="H69" s="111"/>
      <c r="I69" s="111"/>
      <c r="J69" s="111"/>
      <c r="K69" s="111"/>
      <c r="L69" s="111"/>
      <c r="M69" s="109" t="s">
        <v>1258</v>
      </c>
      <c r="N69" s="109"/>
      <c r="O69" s="113"/>
      <c r="P69" s="109"/>
      <c r="Q69" s="109"/>
      <c r="R69" s="110">
        <v>45610</v>
      </c>
      <c r="S69" s="110" t="s">
        <v>11</v>
      </c>
      <c r="T69" s="112" t="str">
        <f ca="1">IF(AND('Inserimento dati'!$B$3=$H$2, Tabella1[[#This Row],[LUN]]="X"), "X",IF(AND('Inserimento dati'!$B$3=$I$2, Tabella1[[#This Row],[MAR]]="X"), "X", IF(AND('Inserimento dati'!$B$3=$J$2, Tabella1[[#This Row],[MER]]="X"), "X",IF(AND('Inserimento dati'!$B$3=$K$2, Tabella1[[#This Row],[GIO]]="X"), "X", IF(AND('Inserimento dati'!$B$3=$L$2, Tabella1[[#This Row],[VEN]]="X"), "X","")))))</f>
        <v/>
      </c>
      <c r="U69" s="131" t="str">
        <f t="shared" ca="1" si="3"/>
        <v/>
      </c>
      <c r="V69" s="187">
        <v>45930.833333333336</v>
      </c>
    </row>
    <row r="70" spans="1:22" s="19" customFormat="1" ht="30" x14ac:dyDescent="0.2">
      <c r="A70" s="112"/>
      <c r="B70" s="112" t="str">
        <f t="shared" si="2"/>
        <v>X</v>
      </c>
      <c r="C70" s="112" t="str">
        <f>IF(OR(Tabella1[[#This Row],[LUN]]="X",Tabella1[[#This Row],[MAR]]="X",Tabella1[[#This Row],[MER]]="X",Tabella1[[#This Row],[GIO]]="X",Tabella1[[#This Row],[VEN]]="X",),"X","")</f>
        <v/>
      </c>
      <c r="D70" s="113" t="s">
        <v>72</v>
      </c>
      <c r="E70" s="109" t="s">
        <v>167</v>
      </c>
      <c r="F70" s="109">
        <v>600</v>
      </c>
      <c r="G70" s="109" t="s">
        <v>168</v>
      </c>
      <c r="H70" s="111"/>
      <c r="I70" s="111"/>
      <c r="J70" s="111"/>
      <c r="K70" s="111"/>
      <c r="L70" s="111"/>
      <c r="M70" s="109" t="s">
        <v>1258</v>
      </c>
      <c r="N70" s="109"/>
      <c r="O70" s="113"/>
      <c r="P70" s="109"/>
      <c r="Q70" s="109"/>
      <c r="R70" s="110">
        <v>45602</v>
      </c>
      <c r="S70" s="110" t="s">
        <v>50</v>
      </c>
      <c r="T70" s="112" t="str">
        <f ca="1">IF(AND('Inserimento dati'!$B$3=$H$2, Tabella1[[#This Row],[LUN]]="X"), "X",IF(AND('Inserimento dati'!$B$3=$I$2, Tabella1[[#This Row],[MAR]]="X"), "X", IF(AND('Inserimento dati'!$B$3=$J$2, Tabella1[[#This Row],[MER]]="X"), "X",IF(AND('Inserimento dati'!$B$3=$K$2, Tabella1[[#This Row],[GIO]]="X"), "X", IF(AND('Inserimento dati'!$B$3=$L$2, Tabella1[[#This Row],[VEN]]="X"), "X","")))))</f>
        <v/>
      </c>
      <c r="U70" s="131" t="str">
        <f t="shared" ca="1" si="3"/>
        <v/>
      </c>
      <c r="V70" s="187">
        <v>45930.833333333336</v>
      </c>
    </row>
    <row r="71" spans="1:22" s="19" customFormat="1" ht="30" x14ac:dyDescent="0.2">
      <c r="A71" s="112"/>
      <c r="B71" s="112" t="str">
        <f t="shared" si="2"/>
        <v>X</v>
      </c>
      <c r="C71" s="112" t="str">
        <f>IF(OR(Tabella1[[#This Row],[LUN]]="X",Tabella1[[#This Row],[MAR]]="X",Tabella1[[#This Row],[MER]]="X",Tabella1[[#This Row],[GIO]]="X",Tabella1[[#This Row],[VEN]]="X",),"X","")</f>
        <v/>
      </c>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t="str">
        <f ca="1">IF(AND('Inserimento dati'!$B$3=$H$2, Tabella1[[#This Row],[LUN]]="X"), "X",IF(AND('Inserimento dati'!$B$3=$I$2, Tabella1[[#This Row],[MAR]]="X"), "X", IF(AND('Inserimento dati'!$B$3=$J$2, Tabella1[[#This Row],[MER]]="X"), "X",IF(AND('Inserimento dati'!$B$3=$K$2, Tabella1[[#This Row],[GIO]]="X"), "X", IF(AND('Inserimento dati'!$B$3=$L$2, Tabella1[[#This Row],[VEN]]="X"), "X","")))))</f>
        <v/>
      </c>
      <c r="U71" s="131" t="str">
        <f t="shared" ca="1" si="3"/>
        <v/>
      </c>
      <c r="V71" s="187">
        <v>45930.833333333336</v>
      </c>
    </row>
    <row r="72" spans="1:22" s="19" customFormat="1" ht="30" x14ac:dyDescent="0.2">
      <c r="A72" s="112"/>
      <c r="B72" s="112" t="str">
        <f t="shared" ref="B72:B80" si="4">IF(OR(A72="x",A72="X"),"",IF(ISBLANK(A72),"X",""))</f>
        <v>X</v>
      </c>
      <c r="C72" s="112" t="str">
        <f>IF(OR(Tabella1[[#This Row],[LUN]]="X",Tabella1[[#This Row],[MAR]]="X",Tabella1[[#This Row],[MER]]="X",Tabella1[[#This Row],[GIO]]="X",Tabella1[[#This Row],[VEN]]="X",),"X","")</f>
        <v/>
      </c>
      <c r="D72" s="113" t="s">
        <v>72</v>
      </c>
      <c r="E72" s="109" t="s">
        <v>78</v>
      </c>
      <c r="F72" s="109">
        <v>1000</v>
      </c>
      <c r="G72" s="109" t="s">
        <v>79</v>
      </c>
      <c r="H72" s="111"/>
      <c r="I72" s="111"/>
      <c r="J72" s="111"/>
      <c r="K72" s="111"/>
      <c r="L72" s="111"/>
      <c r="M72" s="109" t="s">
        <v>1258</v>
      </c>
      <c r="N72" s="109"/>
      <c r="O72" s="113"/>
      <c r="P72" s="109"/>
      <c r="Q72" s="109" t="s">
        <v>80</v>
      </c>
      <c r="R72" s="110"/>
      <c r="S72" s="110"/>
      <c r="T72" s="112" t="str">
        <f ca="1">IF(AND('Inserimento dati'!$B$3=$H$2, Tabella1[[#This Row],[LUN]]="X"), "X",IF(AND('Inserimento dati'!$B$3=$I$2, Tabella1[[#This Row],[MAR]]="X"), "X", IF(AND('Inserimento dati'!$B$3=$J$2, Tabella1[[#This Row],[MER]]="X"), "X",IF(AND('Inserimento dati'!$B$3=$K$2, Tabella1[[#This Row],[GIO]]="X"), "X", IF(AND('Inserimento dati'!$B$3=$L$2, Tabella1[[#This Row],[VEN]]="X"), "X","")))))</f>
        <v/>
      </c>
      <c r="U72" s="131" t="str">
        <f t="shared" ref="U72:U98" ca="1" si="5">IFERROR(MID(G72,_xlfn.AGGREGATE(15,6,(ROW(INDIRECT("1:"&amp;LEN(G72)-7)))/(ISNUMBER(--MID(G72,ROW(INDIRECT("1:"&amp;LEN(G72)-7)),8))),1),8),"")</f>
        <v/>
      </c>
      <c r="V72" s="187">
        <v>45930.833333333336</v>
      </c>
    </row>
    <row r="73" spans="1:22" s="19" customFormat="1" ht="23.25" x14ac:dyDescent="0.2">
      <c r="A73" s="112"/>
      <c r="B73" s="112" t="str">
        <f t="shared" si="4"/>
        <v>X</v>
      </c>
      <c r="C73" s="112" t="str">
        <f>IF(OR(Tabella1[[#This Row],[LUN]]="X",Tabella1[[#This Row],[MAR]]="X",Tabella1[[#This Row],[MER]]="X",Tabella1[[#This Row],[GIO]]="X",Tabella1[[#This Row],[VEN]]="X",),"X","")</f>
        <v/>
      </c>
      <c r="D73" s="113" t="s">
        <v>72</v>
      </c>
      <c r="E73" s="109" t="s">
        <v>81</v>
      </c>
      <c r="F73" s="109">
        <v>700</v>
      </c>
      <c r="G73" s="109" t="s">
        <v>82</v>
      </c>
      <c r="H73" s="111"/>
      <c r="I73" s="111"/>
      <c r="J73" s="111"/>
      <c r="K73" s="111"/>
      <c r="L73" s="111"/>
      <c r="M73" s="109" t="s">
        <v>1258</v>
      </c>
      <c r="N73" s="109"/>
      <c r="O73" s="113"/>
      <c r="P73" s="109"/>
      <c r="Q73" s="109" t="s">
        <v>83</v>
      </c>
      <c r="R73" s="110"/>
      <c r="S73" s="110"/>
      <c r="T73" s="112" t="str">
        <f ca="1">IF(AND('Inserimento dati'!$B$3=$H$2, Tabella1[[#This Row],[LUN]]="X"), "X",IF(AND('Inserimento dati'!$B$3=$I$2, Tabella1[[#This Row],[MAR]]="X"), "X", IF(AND('Inserimento dati'!$B$3=$J$2, Tabella1[[#This Row],[MER]]="X"), "X",IF(AND('Inserimento dati'!$B$3=$K$2, Tabella1[[#This Row],[GIO]]="X"), "X", IF(AND('Inserimento dati'!$B$3=$L$2, Tabella1[[#This Row],[VEN]]="X"), "X","")))))</f>
        <v/>
      </c>
      <c r="U73" s="131" t="str">
        <f t="shared" ca="1" si="5"/>
        <v/>
      </c>
      <c r="V73" s="187">
        <v>45930.833333333336</v>
      </c>
    </row>
    <row r="74" spans="1:22" s="19" customFormat="1" ht="30" x14ac:dyDescent="0.2">
      <c r="A74" s="112"/>
      <c r="B74" s="112" t="str">
        <f t="shared" si="4"/>
        <v>X</v>
      </c>
      <c r="C74" s="112" t="str">
        <f>IF(OR(Tabella1[[#This Row],[LUN]]="X",Tabella1[[#This Row],[MAR]]="X",Tabella1[[#This Row],[MER]]="X",Tabella1[[#This Row],[GIO]]="X",Tabella1[[#This Row],[VEN]]="X",),"X","")</f>
        <v/>
      </c>
      <c r="D74" s="113" t="s">
        <v>72</v>
      </c>
      <c r="E74" s="109" t="s">
        <v>84</v>
      </c>
      <c r="F74" s="109">
        <v>600</v>
      </c>
      <c r="G74" s="109" t="s">
        <v>85</v>
      </c>
      <c r="H74" s="111"/>
      <c r="I74" s="111"/>
      <c r="J74" s="111"/>
      <c r="K74" s="111"/>
      <c r="L74" s="111"/>
      <c r="M74" s="109" t="s">
        <v>1258</v>
      </c>
      <c r="N74" s="109"/>
      <c r="O74" s="113"/>
      <c r="P74" s="109"/>
      <c r="Q74" s="109" t="s">
        <v>86</v>
      </c>
      <c r="R74" s="110"/>
      <c r="S74" s="110"/>
      <c r="T74" s="112" t="str">
        <f ca="1">IF(AND('Inserimento dati'!$B$3=$H$2, Tabella1[[#This Row],[LUN]]="X"), "X",IF(AND('Inserimento dati'!$B$3=$I$2, Tabella1[[#This Row],[MAR]]="X"), "X", IF(AND('Inserimento dati'!$B$3=$J$2, Tabella1[[#This Row],[MER]]="X"), "X",IF(AND('Inserimento dati'!$B$3=$K$2, Tabella1[[#This Row],[GIO]]="X"), "X", IF(AND('Inserimento dati'!$B$3=$L$2, Tabella1[[#This Row],[VEN]]="X"), "X","")))))</f>
        <v/>
      </c>
      <c r="U74" s="131" t="str">
        <f t="shared" ca="1" si="5"/>
        <v/>
      </c>
      <c r="V74" s="187">
        <v>45930.833333333336</v>
      </c>
    </row>
    <row r="75" spans="1:22" s="19" customFormat="1" ht="23.25" x14ac:dyDescent="0.2">
      <c r="A75" s="112"/>
      <c r="B75" s="112" t="str">
        <f t="shared" si="4"/>
        <v>X</v>
      </c>
      <c r="C75" s="112" t="str">
        <f>IF(OR(Tabella1[[#This Row],[LUN]]="X",Tabella1[[#This Row],[MAR]]="X",Tabella1[[#This Row],[MER]]="X",Tabella1[[#This Row],[GIO]]="X",Tabella1[[#This Row],[VEN]]="X",),"X","")</f>
        <v/>
      </c>
      <c r="D75" s="113" t="s">
        <v>72</v>
      </c>
      <c r="E75" s="109" t="s">
        <v>1288</v>
      </c>
      <c r="F75" s="109">
        <v>500</v>
      </c>
      <c r="G75" s="109" t="s">
        <v>1211</v>
      </c>
      <c r="H75" s="111"/>
      <c r="I75" s="111"/>
      <c r="J75" s="111"/>
      <c r="K75" s="111"/>
      <c r="L75" s="111"/>
      <c r="M75" s="110" t="s">
        <v>1258</v>
      </c>
      <c r="N75" s="110"/>
      <c r="O75" s="167"/>
      <c r="P75" s="110"/>
      <c r="Q75" s="109" t="s">
        <v>1307</v>
      </c>
      <c r="R75" s="110">
        <v>45785</v>
      </c>
      <c r="S75" s="110" t="s">
        <v>203</v>
      </c>
      <c r="T75" s="115" t="str">
        <f ca="1">IF(AND('Inserimento dati'!$B$3=$H$2, Tabella1[[#This Row],[LUN]]="X"), "X",IF(AND('Inserimento dati'!$B$3=$I$2, Tabella1[[#This Row],[MAR]]="X"), "X", IF(AND('Inserimento dati'!$B$3=$J$2, Tabella1[[#This Row],[MER]]="X"), "X",IF(AND('Inserimento dati'!$B$3=$K$2, Tabella1[[#This Row],[GIO]]="X"), "X", IF(AND('Inserimento dati'!$B$3=$L$2, Tabella1[[#This Row],[VEN]]="X"), "X","")))))</f>
        <v/>
      </c>
      <c r="U75" s="131" t="str">
        <f t="shared" ca="1" si="5"/>
        <v/>
      </c>
      <c r="V75" s="187">
        <v>45930.833333333336</v>
      </c>
    </row>
    <row r="76" spans="1:22" s="19" customFormat="1" ht="30" x14ac:dyDescent="0.2">
      <c r="A76" s="112"/>
      <c r="B76" s="112" t="str">
        <f t="shared" si="4"/>
        <v>X</v>
      </c>
      <c r="C76" s="112" t="str">
        <f>IF(OR(Tabella1[[#This Row],[LUN]]="X",Tabella1[[#This Row],[MAR]]="X",Tabella1[[#This Row],[MER]]="X",Tabella1[[#This Row],[GIO]]="X",Tabella1[[#This Row],[VEN]]="X",),"X","")</f>
        <v/>
      </c>
      <c r="D76" s="113" t="s">
        <v>72</v>
      </c>
      <c r="E76" s="109" t="s">
        <v>1337</v>
      </c>
      <c r="F76" s="109">
        <v>1000</v>
      </c>
      <c r="G76" s="109" t="s">
        <v>1336</v>
      </c>
      <c r="H76" s="111"/>
      <c r="I76" s="111"/>
      <c r="J76" s="111"/>
      <c r="K76" s="111"/>
      <c r="L76" s="111"/>
      <c r="M76" s="110" t="s">
        <v>1258</v>
      </c>
      <c r="N76" s="110"/>
      <c r="O76" s="167"/>
      <c r="P76" s="110"/>
      <c r="Q76" s="109"/>
      <c r="R76" s="110"/>
      <c r="S76" s="110" t="s">
        <v>1339</v>
      </c>
      <c r="T76" s="114" t="str">
        <f ca="1">IF(AND('Inserimento dati'!$B$3=$H$2, Tabella1[[#This Row],[LUN]]="X"), "X",IF(AND('Inserimento dati'!$B$3=$I$2, Tabella1[[#This Row],[MAR]]="X"), "X", IF(AND('Inserimento dati'!$B$3=$J$2, Tabella1[[#This Row],[MER]]="X"), "X",IF(AND('Inserimento dati'!$B$3=$K$2, Tabella1[[#This Row],[GIO]]="X"), "X", IF(AND('Inserimento dati'!$B$3=$L$2, Tabella1[[#This Row],[VEN]]="X"), "X","")))))</f>
        <v/>
      </c>
      <c r="U76" s="131" t="str">
        <f t="shared" ca="1" si="5"/>
        <v/>
      </c>
      <c r="V76" s="187">
        <v>45930.833333333336</v>
      </c>
    </row>
    <row r="77" spans="1:22" s="19" customFormat="1" ht="30" x14ac:dyDescent="0.2">
      <c r="A77" s="112"/>
      <c r="B77" s="112" t="str">
        <f t="shared" si="4"/>
        <v>X</v>
      </c>
      <c r="C77" s="112" t="str">
        <f>IF(OR(Tabella1[[#This Row],[LUN]]="X",Tabella1[[#This Row],[MAR]]="X",Tabella1[[#This Row],[MER]]="X",Tabella1[[#This Row],[GIO]]="X",Tabella1[[#This Row],[VEN]]="X",),"X","")</f>
        <v/>
      </c>
      <c r="D77" s="113" t="s">
        <v>72</v>
      </c>
      <c r="E77" s="109" t="s">
        <v>1325</v>
      </c>
      <c r="F77" s="109">
        <v>500</v>
      </c>
      <c r="G77" s="109" t="s">
        <v>1317</v>
      </c>
      <c r="H77" s="111"/>
      <c r="I77" s="111"/>
      <c r="J77" s="111"/>
      <c r="K77" s="111"/>
      <c r="L77" s="111"/>
      <c r="M77" s="110" t="s">
        <v>1258</v>
      </c>
      <c r="N77" s="110"/>
      <c r="O77" s="167"/>
      <c r="P77" s="110"/>
      <c r="Q77" s="109" t="s">
        <v>1350</v>
      </c>
      <c r="R77" s="110"/>
      <c r="S77" s="110" t="s">
        <v>1349</v>
      </c>
      <c r="T77" s="114" t="str">
        <f ca="1">IF(AND('Inserimento dati'!$B$3=$H$2, Tabella1[[#This Row],[LUN]]="X"), "X",IF(AND('Inserimento dati'!$B$3=$I$2, Tabella1[[#This Row],[MAR]]="X"), "X", IF(AND('Inserimento dati'!$B$3=$J$2, Tabella1[[#This Row],[MER]]="X"), "X",IF(AND('Inserimento dati'!$B$3=$K$2, Tabella1[[#This Row],[GIO]]="X"), "X", IF(AND('Inserimento dati'!$B$3=$L$2, Tabella1[[#This Row],[VEN]]="X"), "X","")))))</f>
        <v/>
      </c>
      <c r="U77" s="131" t="str">
        <f t="shared" ca="1" si="5"/>
        <v/>
      </c>
      <c r="V77" s="187">
        <v>45930.833333333336</v>
      </c>
    </row>
    <row r="78" spans="1:22" s="19" customFormat="1" ht="23.25" x14ac:dyDescent="0.2">
      <c r="A78" s="112"/>
      <c r="B78" s="112" t="str">
        <f t="shared" si="4"/>
        <v>X</v>
      </c>
      <c r="C78" s="112" t="str">
        <f>IF(OR(Tabella1[[#This Row],[LUN]]="X",Tabella1[[#This Row],[MAR]]="X",Tabella1[[#This Row],[MER]]="X",Tabella1[[#This Row],[GIO]]="X",Tabella1[[#This Row],[VEN]]="X",),"X","")</f>
        <v/>
      </c>
      <c r="D78" s="113" t="s">
        <v>72</v>
      </c>
      <c r="E78" s="109" t="s">
        <v>1323</v>
      </c>
      <c r="F78" s="109">
        <v>500</v>
      </c>
      <c r="G78" s="109" t="s">
        <v>1319</v>
      </c>
      <c r="H78" s="111"/>
      <c r="I78" s="111"/>
      <c r="J78" s="111"/>
      <c r="K78" s="111"/>
      <c r="L78" s="111"/>
      <c r="M78" s="110" t="s">
        <v>1258</v>
      </c>
      <c r="N78" s="110"/>
      <c r="O78" s="167"/>
      <c r="P78" s="110"/>
      <c r="Q78" s="109" t="s">
        <v>1369</v>
      </c>
      <c r="R78" s="110">
        <v>45791</v>
      </c>
      <c r="S78" s="110" t="s">
        <v>203</v>
      </c>
      <c r="T78" s="114" t="str">
        <f ca="1">IF(AND('Inserimento dati'!$B$3=$H$2, Tabella1[[#This Row],[LUN]]="X"), "X",IF(AND('Inserimento dati'!$B$3=$I$2, Tabella1[[#This Row],[MAR]]="X"), "X", IF(AND('Inserimento dati'!$B$3=$J$2, Tabella1[[#This Row],[MER]]="X"), "X",IF(AND('Inserimento dati'!$B$3=$K$2, Tabella1[[#This Row],[GIO]]="X"), "X", IF(AND('Inserimento dati'!$B$3=$L$2, Tabella1[[#This Row],[VEN]]="X"), "X","")))))</f>
        <v/>
      </c>
      <c r="U78" s="131" t="str">
        <f t="shared" ca="1" si="5"/>
        <v/>
      </c>
      <c r="V78" s="187">
        <v>45930.833333333336</v>
      </c>
    </row>
    <row r="79" spans="1:22" s="19" customFormat="1" ht="30" x14ac:dyDescent="0.25">
      <c r="A79" s="112"/>
      <c r="B79" s="112" t="str">
        <f t="shared" si="4"/>
        <v>X</v>
      </c>
      <c r="C79" s="112" t="str">
        <f>IF(OR(Tabella1[[#This Row],[LUN]]="X",Tabella1[[#This Row],[MAR]]="X",Tabella1[[#This Row],[MER]]="X",Tabella1[[#This Row],[GIO]]="X",Tabella1[[#This Row],[VEN]]="X",),"X","")</f>
        <v/>
      </c>
      <c r="D79" s="113" t="s">
        <v>72</v>
      </c>
      <c r="E79" s="109" t="s">
        <v>1346</v>
      </c>
      <c r="F79" s="109">
        <v>1000</v>
      </c>
      <c r="G79" s="109" t="s">
        <v>1343</v>
      </c>
      <c r="H79" s="111"/>
      <c r="I79" s="111"/>
      <c r="J79" s="111"/>
      <c r="K79" s="111"/>
      <c r="L79" s="111"/>
      <c r="M79" s="110" t="s">
        <v>1258</v>
      </c>
      <c r="N79" s="110"/>
      <c r="O79" s="167"/>
      <c r="P79" s="110"/>
      <c r="Q79" s="109"/>
      <c r="R79" s="110"/>
      <c r="S79" s="110"/>
      <c r="T79" s="114" t="str">
        <f ca="1">IF(AND('Inserimento dati'!$B$3=$H$2, Tabella1[[#This Row],[LUN]]="X"), "X",IF(AND('Inserimento dati'!$B$3=$I$2, Tabella1[[#This Row],[MAR]]="X"), "X", IF(AND('Inserimento dati'!$B$3=$J$2, Tabella1[[#This Row],[MER]]="X"), "X",IF(AND('Inserimento dati'!$B$3=$K$2, Tabella1[[#This Row],[GIO]]="X"), "X", IF(AND('Inserimento dati'!$B$3=$L$2, Tabella1[[#This Row],[VEN]]="X"), "X","")))))</f>
        <v/>
      </c>
      <c r="U79" s="132" t="str">
        <f t="shared" ca="1" si="5"/>
        <v/>
      </c>
      <c r="V79" s="187">
        <v>45930.833333333336</v>
      </c>
    </row>
    <row r="80" spans="1:22" s="19" customFormat="1" ht="23.25" x14ac:dyDescent="0.25">
      <c r="A80" s="112"/>
      <c r="B80" s="112" t="str">
        <f t="shared" si="4"/>
        <v>X</v>
      </c>
      <c r="C80" s="112" t="str">
        <f>IF(OR(Tabella1[[#This Row],[LUN]]="X",Tabella1[[#This Row],[MAR]]="X",Tabella1[[#This Row],[MER]]="X",Tabella1[[#This Row],[GIO]]="X",Tabella1[[#This Row],[VEN]]="X",),"X","")</f>
        <v/>
      </c>
      <c r="D80" s="113" t="s">
        <v>72</v>
      </c>
      <c r="E80" s="109" t="s">
        <v>1388</v>
      </c>
      <c r="F80" s="109">
        <v>1000</v>
      </c>
      <c r="G80" s="109" t="s">
        <v>1385</v>
      </c>
      <c r="H80" s="111"/>
      <c r="I80" s="111"/>
      <c r="J80" s="111"/>
      <c r="K80" s="111"/>
      <c r="L80" s="111"/>
      <c r="M80" s="110" t="s">
        <v>1258</v>
      </c>
      <c r="N80" s="110"/>
      <c r="O80" s="167"/>
      <c r="P80" s="110"/>
      <c r="Q80" s="109"/>
      <c r="R80" s="110"/>
      <c r="S80" s="110"/>
      <c r="T80" s="115" t="str">
        <f ca="1">IF(AND('Inserimento dati'!$B$3=$H$2, Tabella1[[#This Row],[LUN]]="X"), "X",IF(AND('Inserimento dati'!$B$3=$I$2, Tabella1[[#This Row],[MAR]]="X"), "X", IF(AND('Inserimento dati'!$B$3=$J$2, Tabella1[[#This Row],[MER]]="X"), "X",IF(AND('Inserimento dati'!$B$3=$K$2, Tabella1[[#This Row],[GIO]]="X"), "X", IF(AND('Inserimento dati'!$B$3=$L$2, Tabella1[[#This Row],[VEN]]="X"), "X","")))))</f>
        <v/>
      </c>
      <c r="U80" s="132" t="str">
        <f t="shared" ca="1" si="5"/>
        <v/>
      </c>
      <c r="V80" s="187">
        <v>45930.833333333336</v>
      </c>
    </row>
    <row r="81" spans="1:22" s="19" customFormat="1" ht="30" x14ac:dyDescent="0.2">
      <c r="A81" s="112"/>
      <c r="B81" s="112"/>
      <c r="C81" s="112" t="str">
        <f>IF(OR(Tabella1[[#This Row],[LUN]]="X",Tabella1[[#This Row],[MAR]]="X",Tabella1[[#This Row],[MER]]="X",Tabella1[[#This Row],[GIO]]="X",Tabella1[[#This Row],[VEN]]="X",),"X","")</f>
        <v/>
      </c>
      <c r="D81" s="113" t="s">
        <v>72</v>
      </c>
      <c r="E81" s="109" t="s">
        <v>1410</v>
      </c>
      <c r="F81" s="109">
        <v>500</v>
      </c>
      <c r="G81" s="109" t="s">
        <v>1407</v>
      </c>
      <c r="H81" s="111"/>
      <c r="I81" s="111"/>
      <c r="J81" s="111"/>
      <c r="K81" s="111"/>
      <c r="L81" s="111"/>
      <c r="M81" s="110" t="s">
        <v>1258</v>
      </c>
      <c r="N81" s="110"/>
      <c r="O81" s="167"/>
      <c r="P81" s="110"/>
      <c r="Q81" s="109"/>
      <c r="R81" s="110">
        <v>45797</v>
      </c>
      <c r="S81" s="110" t="s">
        <v>203</v>
      </c>
      <c r="T81" s="115" t="str">
        <f ca="1">IF(AND('Inserimento dati'!$B$3=$H$2, Tabella1[[#This Row],[LUN]]="X"), "X",IF(AND('Inserimento dati'!$B$3=$I$2, Tabella1[[#This Row],[MAR]]="X"), "X", IF(AND('Inserimento dati'!$B$3=$J$2, Tabella1[[#This Row],[MER]]="X"), "X",IF(AND('Inserimento dati'!$B$3=$K$2, Tabella1[[#This Row],[GIO]]="X"), "X", IF(AND('Inserimento dati'!$B$3=$L$2, Tabella1[[#This Row],[VEN]]="X"), "X","")))))</f>
        <v/>
      </c>
      <c r="U81" s="131" t="str">
        <f t="shared" ca="1" si="5"/>
        <v/>
      </c>
      <c r="V81" s="187">
        <v>45930.833333333336</v>
      </c>
    </row>
    <row r="82" spans="1:22" s="19" customFormat="1" ht="30" x14ac:dyDescent="0.2">
      <c r="A82" s="112"/>
      <c r="B82" s="112"/>
      <c r="C82" s="112" t="str">
        <f>IF(OR(Tabella1[[#This Row],[LUN]]="X",Tabella1[[#This Row],[MAR]]="X",Tabella1[[#This Row],[MER]]="X",Tabella1[[#This Row],[GIO]]="X",Tabella1[[#This Row],[VEN]]="X",),"X","")</f>
        <v/>
      </c>
      <c r="D82" s="113" t="s">
        <v>72</v>
      </c>
      <c r="E82" s="109" t="s">
        <v>1411</v>
      </c>
      <c r="F82" s="109">
        <v>1000</v>
      </c>
      <c r="G82" s="109" t="s">
        <v>1406</v>
      </c>
      <c r="H82" s="111"/>
      <c r="I82" s="111"/>
      <c r="J82" s="111"/>
      <c r="K82" s="111"/>
      <c r="L82" s="111"/>
      <c r="M82" s="110" t="s">
        <v>1258</v>
      </c>
      <c r="N82" s="110"/>
      <c r="O82" s="167"/>
      <c r="P82" s="110"/>
      <c r="Q82" s="109" t="s">
        <v>1454</v>
      </c>
      <c r="R82" s="110">
        <v>45797</v>
      </c>
      <c r="S82" s="110" t="s">
        <v>239</v>
      </c>
      <c r="T82" s="115" t="str">
        <f ca="1">IF(AND('Inserimento dati'!$B$3=$H$2, Tabella1[[#This Row],[LUN]]="X"), "X",IF(AND('Inserimento dati'!$B$3=$I$2, Tabella1[[#This Row],[MAR]]="X"), "X", IF(AND('Inserimento dati'!$B$3=$J$2, Tabella1[[#This Row],[MER]]="X"), "X",IF(AND('Inserimento dati'!$B$3=$K$2, Tabella1[[#This Row],[GIO]]="X"), "X", IF(AND('Inserimento dati'!$B$3=$L$2, Tabella1[[#This Row],[VEN]]="X"), "X","")))))</f>
        <v/>
      </c>
      <c r="U82" s="131" t="str">
        <f t="shared" ca="1" si="5"/>
        <v/>
      </c>
      <c r="V82" s="187">
        <v>45930.833333333336</v>
      </c>
    </row>
    <row r="83" spans="1:22" s="19" customFormat="1" ht="30" x14ac:dyDescent="0.2">
      <c r="A83" s="112"/>
      <c r="B83" s="112"/>
      <c r="C83" s="112" t="str">
        <f>IF(OR(Tabella1[[#This Row],[LUN]]="X",Tabella1[[#This Row],[MAR]]="X",Tabella1[[#This Row],[MER]]="X",Tabella1[[#This Row],[GIO]]="X",Tabella1[[#This Row],[VEN]]="X",),"X","")</f>
        <v/>
      </c>
      <c r="D83" s="113" t="s">
        <v>72</v>
      </c>
      <c r="E83" s="109" t="s">
        <v>1458</v>
      </c>
      <c r="F83" s="109">
        <v>500</v>
      </c>
      <c r="G83" s="109" t="s">
        <v>1456</v>
      </c>
      <c r="H83" s="111"/>
      <c r="I83" s="111"/>
      <c r="J83" s="111"/>
      <c r="K83" s="111"/>
      <c r="L83" s="111"/>
      <c r="M83" s="110" t="s">
        <v>1258</v>
      </c>
      <c r="N83" s="110"/>
      <c r="O83" s="167"/>
      <c r="P83" s="110"/>
      <c r="Q83" s="109" t="s">
        <v>1478</v>
      </c>
      <c r="R83" s="110"/>
      <c r="S83" s="110"/>
      <c r="T83" s="114" t="str">
        <f ca="1">IF(AND('Inserimento dati'!$B$3=$H$2, Tabella1[[#This Row],[LUN]]="X"), "X",IF(AND('Inserimento dati'!$B$3=$I$2, Tabella1[[#This Row],[MAR]]="X"), "X", IF(AND('Inserimento dati'!$B$3=$J$2, Tabella1[[#This Row],[MER]]="X"), "X",IF(AND('Inserimento dati'!$B$3=$K$2, Tabella1[[#This Row],[GIO]]="X"), "X", IF(AND('Inserimento dati'!$B$3=$L$2, Tabella1[[#This Row],[VEN]]="X"), "X","")))))</f>
        <v/>
      </c>
      <c r="U83" s="133" t="str">
        <f t="shared" ca="1" si="5"/>
        <v/>
      </c>
      <c r="V83" s="187">
        <v>45930.833333333336</v>
      </c>
    </row>
    <row r="84" spans="1:22" s="19" customFormat="1" ht="23.25" x14ac:dyDescent="0.2">
      <c r="A84" s="112"/>
      <c r="B84" s="112"/>
      <c r="C84" s="112" t="str">
        <f>IF(OR(Tabella1[[#This Row],[LUN]]="X",Tabella1[[#This Row],[MAR]]="X",Tabella1[[#This Row],[MER]]="X",Tabella1[[#This Row],[GIO]]="X",Tabella1[[#This Row],[VEN]]="X",),"X","")</f>
        <v/>
      </c>
      <c r="D84" s="113" t="s">
        <v>72</v>
      </c>
      <c r="E84" s="109" t="s">
        <v>1459</v>
      </c>
      <c r="F84" s="109">
        <v>1000</v>
      </c>
      <c r="G84" s="109" t="s">
        <v>1500</v>
      </c>
      <c r="H84" s="111"/>
      <c r="I84" s="111"/>
      <c r="J84" s="111"/>
      <c r="K84" s="111"/>
      <c r="L84" s="111"/>
      <c r="M84" s="110" t="s">
        <v>1258</v>
      </c>
      <c r="N84" s="110"/>
      <c r="O84" s="167"/>
      <c r="P84" s="110"/>
      <c r="Q84" s="109"/>
      <c r="R84" s="110"/>
      <c r="S84" s="110"/>
      <c r="T84" s="114" t="str">
        <f ca="1">IF(AND('Inserimento dati'!$B$3=$H$2, Tabella1[[#This Row],[LUN]]="X"), "X",IF(AND('Inserimento dati'!$B$3=$I$2, Tabella1[[#This Row],[MAR]]="X"), "X", IF(AND('Inserimento dati'!$B$3=$J$2, Tabella1[[#This Row],[MER]]="X"), "X",IF(AND('Inserimento dati'!$B$3=$K$2, Tabella1[[#This Row],[GIO]]="X"), "X", IF(AND('Inserimento dati'!$B$3=$L$2, Tabella1[[#This Row],[VEN]]="X"), "X","")))))</f>
        <v/>
      </c>
      <c r="U84" s="133" t="str">
        <f t="shared" ca="1" si="5"/>
        <v/>
      </c>
      <c r="V84" s="187">
        <v>45930.833333333336</v>
      </c>
    </row>
    <row r="85" spans="1:22" s="19" customFormat="1" ht="30" x14ac:dyDescent="0.2">
      <c r="A85" s="112"/>
      <c r="B85" s="112" t="str">
        <f>IF(OR(A85="x",A85="X"),"",IF(ISBLANK(A85),"X",""))</f>
        <v>X</v>
      </c>
      <c r="C85" s="112" t="str">
        <f>IF(OR(Tabella1[[#This Row],[LUN]]="X",Tabella1[[#This Row],[MAR]]="X",Tabella1[[#This Row],[MER]]="X",Tabella1[[#This Row],[GIO]]="X",Tabella1[[#This Row],[VEN]]="X",),"X","")</f>
        <v/>
      </c>
      <c r="D85" s="113" t="s">
        <v>72</v>
      </c>
      <c r="E85" s="109" t="s">
        <v>1539</v>
      </c>
      <c r="F85" s="109">
        <v>500</v>
      </c>
      <c r="G85" s="109" t="s">
        <v>1536</v>
      </c>
      <c r="H85" s="111"/>
      <c r="I85" s="111"/>
      <c r="J85" s="111"/>
      <c r="K85" s="111"/>
      <c r="L85" s="111"/>
      <c r="M85" s="110" t="s">
        <v>1258</v>
      </c>
      <c r="N85" s="110"/>
      <c r="O85" s="167"/>
      <c r="P85" s="110"/>
      <c r="Q85" s="109"/>
      <c r="R85" s="110">
        <v>45812</v>
      </c>
      <c r="S85" s="110" t="s">
        <v>1496</v>
      </c>
      <c r="T85" s="114" t="str">
        <f ca="1">IF(AND('Inserimento dati'!$B$3=$H$2, Tabella1[[#This Row],[LUN]]="X"), "X",IF(AND('Inserimento dati'!$B$3=$I$2, Tabella1[[#This Row],[MAR]]="X"), "X", IF(AND('Inserimento dati'!$B$3=$J$2, Tabella1[[#This Row],[MER]]="X"), "X",IF(AND('Inserimento dati'!$B$3=$K$2, Tabella1[[#This Row],[GIO]]="X"), "X", IF(AND('Inserimento dati'!$B$3=$L$2, Tabella1[[#This Row],[VEN]]="X"), "X","")))))</f>
        <v/>
      </c>
      <c r="U85" s="133" t="str">
        <f t="shared" ca="1" si="5"/>
        <v/>
      </c>
      <c r="V85" s="187">
        <v>45930.833333333336</v>
      </c>
    </row>
    <row r="86" spans="1:22" s="19" customFormat="1" ht="45" x14ac:dyDescent="0.2">
      <c r="A86" s="112"/>
      <c r="B86" s="112"/>
      <c r="C86" s="112" t="str">
        <f>IF(OR(Tabella1[[#This Row],[LUN]]="X",Tabella1[[#This Row],[MAR]]="X",Tabella1[[#This Row],[MER]]="X",Tabella1[[#This Row],[GIO]]="X",Tabella1[[#This Row],[VEN]]="X",),"X","")</f>
        <v/>
      </c>
      <c r="D86" s="113" t="s">
        <v>72</v>
      </c>
      <c r="E86" s="109" t="s">
        <v>1412</v>
      </c>
      <c r="F86" s="109">
        <v>500</v>
      </c>
      <c r="G86" s="109" t="s">
        <v>1405</v>
      </c>
      <c r="H86" s="111"/>
      <c r="I86" s="111"/>
      <c r="J86" s="111"/>
      <c r="K86" s="111"/>
      <c r="L86" s="111"/>
      <c r="M86" s="110" t="s">
        <v>1258</v>
      </c>
      <c r="N86" s="110"/>
      <c r="O86" s="167"/>
      <c r="P86" s="110"/>
      <c r="Q86" s="109" t="s">
        <v>1572</v>
      </c>
      <c r="R86" s="110">
        <v>45797</v>
      </c>
      <c r="S86" s="110" t="s">
        <v>203</v>
      </c>
      <c r="T86" s="115" t="str">
        <f ca="1">IF(AND('Inserimento dati'!$B$3=$H$2, Tabella1[[#This Row],[LUN]]="X"), "X",IF(AND('Inserimento dati'!$B$3=$I$2, Tabella1[[#This Row],[MAR]]="X"), "X", IF(AND('Inserimento dati'!$B$3=$J$2, Tabella1[[#This Row],[MER]]="X"), "X",IF(AND('Inserimento dati'!$B$3=$K$2, Tabella1[[#This Row],[GIO]]="X"), "X", IF(AND('Inserimento dati'!$B$3=$L$2, Tabella1[[#This Row],[VEN]]="X"), "X","")))))</f>
        <v/>
      </c>
      <c r="U86" s="131" t="str">
        <f t="shared" ca="1" si="5"/>
        <v/>
      </c>
      <c r="V86" s="187">
        <v>45930.833333333336</v>
      </c>
    </row>
    <row r="87" spans="1:22" s="19" customFormat="1" ht="23.25" x14ac:dyDescent="0.2">
      <c r="A87" s="112"/>
      <c r="B87" s="112" t="str">
        <f>IF(OR(A87="x",A87="X"),"",IF(ISBLANK(A87),"X",""))</f>
        <v>X</v>
      </c>
      <c r="C87" s="112" t="str">
        <f>IF(OR(Tabella1[[#This Row],[LUN]]="X",Tabella1[[#This Row],[MAR]]="X",Tabella1[[#This Row],[MER]]="X",Tabella1[[#This Row],[GIO]]="X",Tabella1[[#This Row],[VEN]]="X",),"X","")</f>
        <v/>
      </c>
      <c r="D87" s="113" t="s">
        <v>72</v>
      </c>
      <c r="E87" s="109" t="s">
        <v>1538</v>
      </c>
      <c r="F87" s="109">
        <v>500</v>
      </c>
      <c r="G87" s="109" t="s">
        <v>1537</v>
      </c>
      <c r="H87" s="111"/>
      <c r="I87" s="111"/>
      <c r="J87" s="111"/>
      <c r="K87" s="111"/>
      <c r="L87" s="111"/>
      <c r="M87" s="110" t="s">
        <v>1258</v>
      </c>
      <c r="N87" s="110"/>
      <c r="O87" s="167"/>
      <c r="P87" s="110"/>
      <c r="Q87" s="109"/>
      <c r="R87" s="110">
        <v>45812</v>
      </c>
      <c r="S87" s="110" t="s">
        <v>1074</v>
      </c>
      <c r="T87" s="114" t="str">
        <f ca="1">IF(AND('Inserimento dati'!$B$3=$H$2, Tabella1[[#This Row],[LUN]]="X"), "X",IF(AND('Inserimento dati'!$B$3=$I$2, Tabella1[[#This Row],[MAR]]="X"), "X", IF(AND('Inserimento dati'!$B$3=$J$2, Tabella1[[#This Row],[MER]]="X"), "X",IF(AND('Inserimento dati'!$B$3=$K$2, Tabella1[[#This Row],[GIO]]="X"), "X", IF(AND('Inserimento dati'!$B$3=$L$2, Tabella1[[#This Row],[VEN]]="X"), "X","")))))</f>
        <v/>
      </c>
      <c r="U87" s="130" t="str">
        <f t="shared" ca="1" si="5"/>
        <v/>
      </c>
      <c r="V87" s="187">
        <v>45930.833333333336</v>
      </c>
    </row>
    <row r="88" spans="1:22" s="19" customFormat="1" ht="23.25" x14ac:dyDescent="0.2">
      <c r="A88" s="112"/>
      <c r="B88" s="112" t="str">
        <f>IF(OR(A88="x",A88="X"),"",IF(ISBLANK(A88),"X",""))</f>
        <v>X</v>
      </c>
      <c r="C88" s="112" t="str">
        <f>IF(OR(Tabella1[[#This Row],[LUN]]="X",Tabella1[[#This Row],[MAR]]="X",Tabella1[[#This Row],[MER]]="X",Tabella1[[#This Row],[GIO]]="X",Tabella1[[#This Row],[VEN]]="X",),"X","")</f>
        <v/>
      </c>
      <c r="D88" s="113" t="s">
        <v>72</v>
      </c>
      <c r="E88" s="109" t="s">
        <v>1646</v>
      </c>
      <c r="F88" s="109">
        <v>500</v>
      </c>
      <c r="G88" s="109" t="s">
        <v>1647</v>
      </c>
      <c r="H88" s="111"/>
      <c r="I88" s="111"/>
      <c r="J88" s="111"/>
      <c r="K88" s="111"/>
      <c r="L88" s="111"/>
      <c r="M88" s="92" t="s">
        <v>1258</v>
      </c>
      <c r="N88" s="110"/>
      <c r="O88" s="167"/>
      <c r="P88" s="110"/>
      <c r="Q88" s="109" t="s">
        <v>149</v>
      </c>
      <c r="R88" s="110">
        <v>45817</v>
      </c>
      <c r="S88" s="110" t="s">
        <v>239</v>
      </c>
      <c r="T88" s="114" t="str">
        <f ca="1">IF(AND('Inserimento dati'!$B$3=$H$2, Tabella1[[#This Row],[LUN]]="X"), "X",IF(AND('Inserimento dati'!$B$3=$I$2, Tabella1[[#This Row],[MAR]]="X"), "X", IF(AND('Inserimento dati'!$B$3=$J$2, Tabella1[[#This Row],[MER]]="X"), "X",IF(AND('Inserimento dati'!$B$3=$K$2, Tabella1[[#This Row],[GIO]]="X"), "X", IF(AND('Inserimento dati'!$B$3=$L$2, Tabella1[[#This Row],[VEN]]="X"), "X","")))))</f>
        <v/>
      </c>
      <c r="U88" s="130" t="str">
        <f t="shared" ca="1" si="5"/>
        <v/>
      </c>
      <c r="V88" s="187">
        <v>45930.833333333336</v>
      </c>
    </row>
    <row r="89" spans="1:22" s="19" customFormat="1" ht="30" x14ac:dyDescent="0.2">
      <c r="A89" s="112"/>
      <c r="B89" s="112"/>
      <c r="C89" s="112" t="str">
        <f>IF(OR(Tabella1[[#This Row],[LUN]]="X",Tabella1[[#This Row],[MAR]]="X",Tabella1[[#This Row],[MER]]="X",Tabella1[[#This Row],[GIO]]="X",Tabella1[[#This Row],[VEN]]="X",),"X","")</f>
        <v/>
      </c>
      <c r="D89" s="113" t="s">
        <v>72</v>
      </c>
      <c r="E89" s="109" t="s">
        <v>1530</v>
      </c>
      <c r="F89" s="109">
        <v>600</v>
      </c>
      <c r="G89" s="109" t="s">
        <v>1525</v>
      </c>
      <c r="H89" s="111"/>
      <c r="I89" s="111"/>
      <c r="J89" s="111"/>
      <c r="K89" s="111"/>
      <c r="L89" s="111"/>
      <c r="M89" s="110" t="s">
        <v>1258</v>
      </c>
      <c r="N89" s="110"/>
      <c r="O89" s="167"/>
      <c r="P89" s="110"/>
      <c r="Q89" s="109"/>
      <c r="R89" s="110"/>
      <c r="S89" s="110"/>
      <c r="T89" s="114" t="str">
        <f ca="1">IF(AND('Inserimento dati'!$B$3=$H$2, Tabella1[[#This Row],[LUN]]="X"), "X",IF(AND('Inserimento dati'!$B$3=$I$2, Tabella1[[#This Row],[MAR]]="X"), "X", IF(AND('Inserimento dati'!$B$3=$J$2, Tabella1[[#This Row],[MER]]="X"), "X",IF(AND('Inserimento dati'!$B$3=$K$2, Tabella1[[#This Row],[GIO]]="X"), "X", IF(AND('Inserimento dati'!$B$3=$L$2, Tabella1[[#This Row],[VEN]]="X"), "X","")))))</f>
        <v/>
      </c>
      <c r="U89" s="130" t="str">
        <f t="shared" ca="1" si="5"/>
        <v/>
      </c>
      <c r="V89" s="187">
        <v>45930.833333333336</v>
      </c>
    </row>
    <row r="90" spans="1:22" s="19" customFormat="1" ht="30" x14ac:dyDescent="0.2">
      <c r="A90" s="112"/>
      <c r="B90" s="112" t="str">
        <f>IF(OR(A90="x",A90="X"),"",IF(ISBLANK(A90),"X",""))</f>
        <v>X</v>
      </c>
      <c r="C90" s="112" t="str">
        <f>IF(OR(Tabella1[[#This Row],[LUN]]="X",Tabella1[[#This Row],[MAR]]="X",Tabella1[[#This Row],[MER]]="X",Tabella1[[#This Row],[GIO]]="X",Tabella1[[#This Row],[VEN]]="X",),"X","")</f>
        <v/>
      </c>
      <c r="D90" s="113" t="s">
        <v>72</v>
      </c>
      <c r="E90" s="109" t="s">
        <v>1601</v>
      </c>
      <c r="F90" s="109">
        <v>500</v>
      </c>
      <c r="G90" s="109" t="s">
        <v>1602</v>
      </c>
      <c r="H90" s="111"/>
      <c r="I90" s="111"/>
      <c r="J90" s="111"/>
      <c r="K90" s="111"/>
      <c r="L90" s="111"/>
      <c r="M90" s="92" t="s">
        <v>1258</v>
      </c>
      <c r="N90" s="110"/>
      <c r="O90" s="167"/>
      <c r="P90" s="110"/>
      <c r="Q90" s="109"/>
      <c r="R90" s="110">
        <v>45817</v>
      </c>
      <c r="S90" s="110" t="s">
        <v>203</v>
      </c>
      <c r="T90" s="114" t="str">
        <f ca="1">IF(AND('Inserimento dati'!$B$3=$H$2, Tabella1[[#This Row],[LUN]]="X"), "X",IF(AND('Inserimento dati'!$B$3=$I$2, Tabella1[[#This Row],[MAR]]="X"), "X", IF(AND('Inserimento dati'!$B$3=$J$2, Tabella1[[#This Row],[MER]]="X"), "X",IF(AND('Inserimento dati'!$B$3=$K$2, Tabella1[[#This Row],[GIO]]="X"), "X", IF(AND('Inserimento dati'!$B$3=$L$2, Tabella1[[#This Row],[VEN]]="X"), "X","")))))</f>
        <v/>
      </c>
      <c r="U90" s="130" t="str">
        <f t="shared" ca="1" si="5"/>
        <v/>
      </c>
      <c r="V90" s="187">
        <v>45930.833333333336</v>
      </c>
    </row>
    <row r="91" spans="1:22" s="19" customFormat="1" ht="45" x14ac:dyDescent="0.2">
      <c r="A91" s="112"/>
      <c r="B91" s="112"/>
      <c r="C91" s="112" t="str">
        <f>IF(OR(Tabella1[[#This Row],[LUN]]="X",Tabella1[[#This Row],[MAR]]="X",Tabella1[[#This Row],[MER]]="X",Tabella1[[#This Row],[GIO]]="X",Tabella1[[#This Row],[VEN]]="X",),"X","")</f>
        <v/>
      </c>
      <c r="D91" s="113" t="s">
        <v>72</v>
      </c>
      <c r="E91" s="109" t="s">
        <v>1648</v>
      </c>
      <c r="F91" s="109">
        <v>500</v>
      </c>
      <c r="G91" s="109" t="s">
        <v>1649</v>
      </c>
      <c r="H91" s="111"/>
      <c r="I91" s="111"/>
      <c r="J91" s="111"/>
      <c r="K91" s="111"/>
      <c r="L91" s="111"/>
      <c r="M91" s="92" t="s">
        <v>1258</v>
      </c>
      <c r="N91" s="110"/>
      <c r="O91" s="167"/>
      <c r="P91" s="110"/>
      <c r="Q91" s="109" t="s">
        <v>1692</v>
      </c>
      <c r="R91" s="110">
        <v>45824</v>
      </c>
      <c r="S91" s="110" t="s">
        <v>705</v>
      </c>
      <c r="T91" s="114" t="str">
        <f ca="1">IF(AND('Inserimento dati'!$B$3=$H$2, Tabella1[[#This Row],[LUN]]="X"), "X",IF(AND('Inserimento dati'!$B$3=$I$2, Tabella1[[#This Row],[MAR]]="X"), "X", IF(AND('Inserimento dati'!$B$3=$J$2, Tabella1[[#This Row],[MER]]="X"), "X",IF(AND('Inserimento dati'!$B$3=$K$2, Tabella1[[#This Row],[GIO]]="X"), "X", IF(AND('Inserimento dati'!$B$3=$L$2, Tabella1[[#This Row],[VEN]]="X"), "X","")))))</f>
        <v/>
      </c>
      <c r="U91" s="130" t="str">
        <f t="shared" ca="1" si="5"/>
        <v/>
      </c>
      <c r="V91" s="187">
        <v>45930.833333333336</v>
      </c>
    </row>
    <row r="92" spans="1:22" s="19" customFormat="1" ht="45" x14ac:dyDescent="0.2">
      <c r="A92" s="112"/>
      <c r="B92" s="112"/>
      <c r="C92" s="112" t="str">
        <f>IF(OR(Tabella1[[#This Row],[LUN]]="X",Tabella1[[#This Row],[MAR]]="X",Tabella1[[#This Row],[MER]]="X",Tabella1[[#This Row],[GIO]]="X",Tabella1[[#This Row],[VEN]]="X",),"X","")</f>
        <v/>
      </c>
      <c r="D92" s="113" t="s">
        <v>72</v>
      </c>
      <c r="E92" s="109" t="s">
        <v>1717</v>
      </c>
      <c r="F92" s="109">
        <v>1000</v>
      </c>
      <c r="G92" s="109" t="s">
        <v>1716</v>
      </c>
      <c r="H92" s="111"/>
      <c r="I92" s="111"/>
      <c r="J92" s="111"/>
      <c r="K92" s="111"/>
      <c r="L92" s="111"/>
      <c r="M92" s="92" t="s">
        <v>1258</v>
      </c>
      <c r="N92" s="110"/>
      <c r="O92" s="167"/>
      <c r="P92" s="110"/>
      <c r="Q92" s="109" t="s">
        <v>1721</v>
      </c>
      <c r="R92" s="110">
        <v>45825</v>
      </c>
      <c r="S92" s="110" t="s">
        <v>50</v>
      </c>
      <c r="T92" s="114" t="str">
        <f ca="1">IF(AND('Inserimento dati'!$B$3=$H$2, Tabella1[[#This Row],[LUN]]="X"), "X",IF(AND('Inserimento dati'!$B$3=$I$2, Tabella1[[#This Row],[MAR]]="X"), "X", IF(AND('Inserimento dati'!$B$3=$J$2, Tabella1[[#This Row],[MER]]="X"), "X",IF(AND('Inserimento dati'!$B$3=$K$2, Tabella1[[#This Row],[GIO]]="X"), "X", IF(AND('Inserimento dati'!$B$3=$L$2, Tabella1[[#This Row],[VEN]]="X"), "X","")))))</f>
        <v/>
      </c>
      <c r="U92" s="129" t="str">
        <f t="shared" ca="1" si="5"/>
        <v/>
      </c>
      <c r="V92" s="187">
        <v>45930.833333333336</v>
      </c>
    </row>
    <row r="93" spans="1:22" s="19" customFormat="1" ht="45" x14ac:dyDescent="0.2">
      <c r="A93" s="112"/>
      <c r="B93" s="112"/>
      <c r="C93" s="112" t="str">
        <f>IF(OR(Tabella1[[#This Row],[LUN]]="X",Tabella1[[#This Row],[MAR]]="X",Tabella1[[#This Row],[MER]]="X",Tabella1[[#This Row],[GIO]]="X",Tabella1[[#This Row],[VEN]]="X",),"X","")</f>
        <v/>
      </c>
      <c r="D93" s="113" t="s">
        <v>72</v>
      </c>
      <c r="E93" s="109" t="s">
        <v>1714</v>
      </c>
      <c r="F93" s="109">
        <v>1000</v>
      </c>
      <c r="G93" s="109" t="s">
        <v>1715</v>
      </c>
      <c r="H93" s="111"/>
      <c r="I93" s="111"/>
      <c r="J93" s="111"/>
      <c r="K93" s="111"/>
      <c r="L93" s="111"/>
      <c r="M93" s="92" t="s">
        <v>1258</v>
      </c>
      <c r="N93" s="110"/>
      <c r="O93" s="167"/>
      <c r="P93" s="110"/>
      <c r="Q93" s="109" t="s">
        <v>1720</v>
      </c>
      <c r="R93" s="110">
        <v>45825</v>
      </c>
      <c r="S93" s="110" t="s">
        <v>239</v>
      </c>
      <c r="T93" s="114" t="str">
        <f ca="1">IF(AND('Inserimento dati'!$B$3=$H$2, Tabella1[[#This Row],[LUN]]="X"), "X",IF(AND('Inserimento dati'!$B$3=$I$2, Tabella1[[#This Row],[MAR]]="X"), "X", IF(AND('Inserimento dati'!$B$3=$J$2, Tabella1[[#This Row],[MER]]="X"), "X",IF(AND('Inserimento dati'!$B$3=$K$2, Tabella1[[#This Row],[GIO]]="X"), "X", IF(AND('Inserimento dati'!$B$3=$L$2, Tabella1[[#This Row],[VEN]]="X"), "X","")))))</f>
        <v/>
      </c>
      <c r="U93" s="129" t="str">
        <f t="shared" ca="1" si="5"/>
        <v/>
      </c>
      <c r="V93" s="187">
        <v>45930.833333333336</v>
      </c>
    </row>
    <row r="94" spans="1:22" s="19" customFormat="1" ht="45" x14ac:dyDescent="0.2">
      <c r="A94" s="112"/>
      <c r="B94" s="112"/>
      <c r="C94" s="112" t="str">
        <f>IF(OR(Tabella1[[#This Row],[LUN]]="X",Tabella1[[#This Row],[MAR]]="X",Tabella1[[#This Row],[MER]]="X",Tabella1[[#This Row],[GIO]]="X",Tabella1[[#This Row],[VEN]]="X",),"X","")</f>
        <v/>
      </c>
      <c r="D94" s="113" t="s">
        <v>72</v>
      </c>
      <c r="E94" s="109" t="s">
        <v>1729</v>
      </c>
      <c r="F94" s="109">
        <v>500</v>
      </c>
      <c r="G94" s="109" t="s">
        <v>1730</v>
      </c>
      <c r="H94" s="111"/>
      <c r="I94" s="111"/>
      <c r="J94" s="111"/>
      <c r="K94" s="111"/>
      <c r="L94" s="111"/>
      <c r="M94" s="92" t="s">
        <v>1258</v>
      </c>
      <c r="N94" s="110"/>
      <c r="O94" s="167"/>
      <c r="P94" s="110"/>
      <c r="Q94" s="109" t="s">
        <v>1755</v>
      </c>
      <c r="R94" s="110">
        <v>45832</v>
      </c>
      <c r="S94" s="110" t="s">
        <v>1754</v>
      </c>
      <c r="T94" s="114" t="str">
        <f ca="1">IF(AND('Inserimento dati'!$B$3=$H$2, Tabella1[[#This Row],[LUN]]="X"), "X",IF(AND('Inserimento dati'!$B$3=$I$2, Tabella1[[#This Row],[MAR]]="X"), "X", IF(AND('Inserimento dati'!$B$3=$J$2, Tabella1[[#This Row],[MER]]="X"), "X",IF(AND('Inserimento dati'!$B$3=$K$2, Tabella1[[#This Row],[GIO]]="X"), "X", IF(AND('Inserimento dati'!$B$3=$L$2, Tabella1[[#This Row],[VEN]]="X"), "X","")))))</f>
        <v/>
      </c>
      <c r="U94" s="129" t="str">
        <f t="shared" ca="1" si="5"/>
        <v/>
      </c>
      <c r="V94" s="187">
        <v>45930.833333333336</v>
      </c>
    </row>
    <row r="95" spans="1:22" s="19" customFormat="1" ht="30" x14ac:dyDescent="0.2">
      <c r="A95" s="112"/>
      <c r="B95" s="112" t="str">
        <f>IF(OR(A95="x",A95="X"),"",IF(ISBLANK(A95),"X",""))</f>
        <v>X</v>
      </c>
      <c r="C95" s="112" t="str">
        <f>IF(OR(Tabella1[[#This Row],[LUN]]="X",Tabella1[[#This Row],[MAR]]="X",Tabella1[[#This Row],[MER]]="X",Tabella1[[#This Row],[GIO]]="X",Tabella1[[#This Row],[VEN]]="X",),"X","")</f>
        <v/>
      </c>
      <c r="D95" s="113" t="s">
        <v>72</v>
      </c>
      <c r="E95" s="109" t="s">
        <v>1313</v>
      </c>
      <c r="F95" s="109">
        <v>600</v>
      </c>
      <c r="G95" s="109" t="s">
        <v>1308</v>
      </c>
      <c r="H95" s="111"/>
      <c r="I95" s="111"/>
      <c r="J95" s="111"/>
      <c r="K95" s="111"/>
      <c r="L95" s="111"/>
      <c r="M95" s="110" t="s">
        <v>1258</v>
      </c>
      <c r="N95" s="110"/>
      <c r="O95" s="167"/>
      <c r="P95" s="110"/>
      <c r="Q95" s="109" t="s">
        <v>1753</v>
      </c>
      <c r="R95" s="110">
        <v>45832</v>
      </c>
      <c r="S95" s="110" t="s">
        <v>1754</v>
      </c>
      <c r="T95" s="114" t="str">
        <f ca="1">IF(AND('Inserimento dati'!$B$3=$H$2, Tabella1[[#This Row],[LUN]]="X"), "X",IF(AND('Inserimento dati'!$B$3=$I$2, Tabella1[[#This Row],[MAR]]="X"), "X", IF(AND('Inserimento dati'!$B$3=$J$2, Tabella1[[#This Row],[MER]]="X"), "X",IF(AND('Inserimento dati'!$B$3=$K$2, Tabella1[[#This Row],[GIO]]="X"), "X", IF(AND('Inserimento dati'!$B$3=$L$2, Tabella1[[#This Row],[VEN]]="X"), "X","")))))</f>
        <v/>
      </c>
      <c r="U95" s="131" t="str">
        <f t="shared" ca="1" si="5"/>
        <v/>
      </c>
      <c r="V95" s="187">
        <v>45930.833333333336</v>
      </c>
    </row>
    <row r="96" spans="1:22" s="19" customFormat="1" ht="45" x14ac:dyDescent="0.2">
      <c r="A96" s="112"/>
      <c r="B96" s="112"/>
      <c r="C96" s="112" t="str">
        <f>IF(OR(Tabella1[[#This Row],[LUN]]="X",Tabella1[[#This Row],[MAR]]="X",Tabella1[[#This Row],[MER]]="X",Tabella1[[#This Row],[GIO]]="X",Tabella1[[#This Row],[VEN]]="X",),"X","")</f>
        <v/>
      </c>
      <c r="D96" s="113" t="s">
        <v>72</v>
      </c>
      <c r="E96" s="109" t="s">
        <v>1666</v>
      </c>
      <c r="F96" s="109">
        <v>500</v>
      </c>
      <c r="G96" s="109" t="s">
        <v>1663</v>
      </c>
      <c r="H96" s="111"/>
      <c r="I96" s="111"/>
      <c r="J96" s="111"/>
      <c r="K96" s="111"/>
      <c r="L96" s="111"/>
      <c r="M96" s="92" t="s">
        <v>1258</v>
      </c>
      <c r="N96" s="110"/>
      <c r="O96" s="167"/>
      <c r="P96" s="110"/>
      <c r="Q96" s="109" t="s">
        <v>1694</v>
      </c>
      <c r="R96" s="110">
        <v>45820</v>
      </c>
      <c r="S96" s="110" t="s">
        <v>1673</v>
      </c>
      <c r="T96" s="114" t="str">
        <f ca="1">IF(AND('Inserimento dati'!$B$3=$H$2, Tabella1[[#This Row],[LUN]]="X"), "X",IF(AND('Inserimento dati'!$B$3=$I$2, Tabella1[[#This Row],[MAR]]="X"), "X", IF(AND('Inserimento dati'!$B$3=$J$2, Tabella1[[#This Row],[MER]]="X"), "X",IF(AND('Inserimento dati'!$B$3=$K$2, Tabella1[[#This Row],[GIO]]="X"), "X", IF(AND('Inserimento dati'!$B$3=$L$2, Tabella1[[#This Row],[VEN]]="X"), "X","")))))</f>
        <v/>
      </c>
      <c r="U96" s="130" t="str">
        <f t="shared" ca="1" si="5"/>
        <v/>
      </c>
      <c r="V96" s="187">
        <v>45930.833333333336</v>
      </c>
    </row>
    <row r="97" spans="1:22" s="19" customFormat="1" ht="30" x14ac:dyDescent="0.2">
      <c r="A97" s="112"/>
      <c r="B97" s="112"/>
      <c r="C97" s="112" t="str">
        <f>IF(OR(Tabella1[[#This Row],[LUN]]="X",Tabella1[[#This Row],[MAR]]="X",Tabella1[[#This Row],[MER]]="X",Tabella1[[#This Row],[GIO]]="X",Tabella1[[#This Row],[VEN]]="X",),"X","")</f>
        <v/>
      </c>
      <c r="D97" s="113" t="s">
        <v>72</v>
      </c>
      <c r="E97" s="109" t="s">
        <v>1771</v>
      </c>
      <c r="F97" s="109">
        <v>600</v>
      </c>
      <c r="G97" s="109" t="s">
        <v>1772</v>
      </c>
      <c r="H97" s="111"/>
      <c r="I97" s="111"/>
      <c r="J97" s="111"/>
      <c r="K97" s="111"/>
      <c r="L97" s="111"/>
      <c r="M97" s="92" t="s">
        <v>1258</v>
      </c>
      <c r="N97" s="110"/>
      <c r="O97" s="167"/>
      <c r="P97" s="110"/>
      <c r="Q97" s="109" t="s">
        <v>2221</v>
      </c>
      <c r="R97" s="110">
        <v>45839</v>
      </c>
      <c r="S97" s="110" t="s">
        <v>203</v>
      </c>
      <c r="T97" s="114" t="str">
        <f ca="1">IF(AND('Inserimento dati'!$B$3=$H$2, Tabella1[[#This Row],[LUN]]="X"), "X",IF(AND('Inserimento dati'!$B$3=$I$2, Tabella1[[#This Row],[MAR]]="X"), "X", IF(AND('Inserimento dati'!$B$3=$J$2, Tabella1[[#This Row],[MER]]="X"), "X",IF(AND('Inserimento dati'!$B$3=$K$2, Tabella1[[#This Row],[GIO]]="X"), "X", IF(AND('Inserimento dati'!$B$3=$L$2, Tabella1[[#This Row],[VEN]]="X"), "X","")))))</f>
        <v/>
      </c>
      <c r="U97" s="129" t="str">
        <f t="shared" ca="1" si="5"/>
        <v/>
      </c>
      <c r="V97" s="187">
        <v>45930.833333333336</v>
      </c>
    </row>
    <row r="98" spans="1:22" s="19" customFormat="1" ht="30" x14ac:dyDescent="0.2">
      <c r="A98" s="112"/>
      <c r="B98" s="112"/>
      <c r="C98" s="112" t="str">
        <f>IF(OR(Tabella1[[#This Row],[LUN]]="X",Tabella1[[#This Row],[MAR]]="X",Tabella1[[#This Row],[MER]]="X",Tabella1[[#This Row],[GIO]]="X",Tabella1[[#This Row],[VEN]]="X",),"X","")</f>
        <v/>
      </c>
      <c r="D98" s="113" t="s">
        <v>72</v>
      </c>
      <c r="E98" s="109" t="s">
        <v>1769</v>
      </c>
      <c r="F98" s="109">
        <v>600</v>
      </c>
      <c r="G98" s="109" t="s">
        <v>1770</v>
      </c>
      <c r="H98" s="111"/>
      <c r="I98" s="111"/>
      <c r="J98" s="111"/>
      <c r="K98" s="111"/>
      <c r="L98" s="111"/>
      <c r="M98" s="92" t="s">
        <v>1258</v>
      </c>
      <c r="N98" s="110"/>
      <c r="O98" s="167"/>
      <c r="P98" s="110"/>
      <c r="Q98" s="109" t="s">
        <v>1226</v>
      </c>
      <c r="R98" s="110">
        <v>45839</v>
      </c>
      <c r="S98" s="110" t="s">
        <v>203</v>
      </c>
      <c r="T98" s="114" t="str">
        <f ca="1">IF(AND('Inserimento dati'!$B$3=$H$2, Tabella1[[#This Row],[LUN]]="X"), "X",IF(AND('Inserimento dati'!$B$3=$I$2, Tabella1[[#This Row],[MAR]]="X"), "X", IF(AND('Inserimento dati'!$B$3=$J$2, Tabella1[[#This Row],[MER]]="X"), "X",IF(AND('Inserimento dati'!$B$3=$K$2, Tabella1[[#This Row],[GIO]]="X"), "X", IF(AND('Inserimento dati'!$B$3=$L$2, Tabella1[[#This Row],[VEN]]="X"), "X","")))))</f>
        <v/>
      </c>
      <c r="U98" s="129" t="str">
        <f t="shared" ca="1" si="5"/>
        <v/>
      </c>
      <c r="V98" s="187">
        <v>45930.833333333336</v>
      </c>
    </row>
    <row r="99" spans="1:22" s="19" customFormat="1" ht="30" x14ac:dyDescent="0.2">
      <c r="A99" s="112"/>
      <c r="B99" s="112"/>
      <c r="C99" s="112" t="str">
        <f>IF(OR(Tabella1[[#This Row],[LUN]]="X",Tabella1[[#This Row],[MAR]]="X",Tabella1[[#This Row],[MER]]="X",Tabella1[[#This Row],[GIO]]="X",Tabella1[[#This Row],[VEN]]="X",),"X","")</f>
        <v/>
      </c>
      <c r="D99" s="113" t="s">
        <v>72</v>
      </c>
      <c r="E99" s="109" t="s">
        <v>2307</v>
      </c>
      <c r="F99" s="109">
        <v>500</v>
      </c>
      <c r="G99" s="109" t="s">
        <v>2308</v>
      </c>
      <c r="H99" s="111"/>
      <c r="I99" s="111"/>
      <c r="J99" s="111"/>
      <c r="K99" s="111"/>
      <c r="L99" s="111"/>
      <c r="M99" s="92" t="s">
        <v>1258</v>
      </c>
      <c r="N99" s="110"/>
      <c r="O99" s="167"/>
      <c r="P99" s="110"/>
      <c r="Q99" s="109" t="s">
        <v>2330</v>
      </c>
      <c r="R99" s="110">
        <v>45847</v>
      </c>
      <c r="S99" s="110" t="s">
        <v>102</v>
      </c>
      <c r="T99" s="114" t="str">
        <f ca="1">IF(AND('Inserimento dati'!$B$3=$H$2, Tabella1[[#This Row],[LUN]]="X"), "X",IF(AND('Inserimento dati'!$B$3=$I$2, Tabella1[[#This Row],[MAR]]="X"), "X", IF(AND('Inserimento dati'!$B$3=$J$2, Tabella1[[#This Row],[MER]]="X"), "X",IF(AND('Inserimento dati'!$B$3=$K$2, Tabella1[[#This Row],[GIO]]="X"), "X", IF(AND('Inserimento dati'!$B$3=$L$2, Tabella1[[#This Row],[VEN]]="X"), "X","")))))</f>
        <v/>
      </c>
      <c r="U99" s="129"/>
      <c r="V99" s="187">
        <v>45930.833333333336</v>
      </c>
    </row>
    <row r="100" spans="1:22" s="19" customFormat="1" ht="30" x14ac:dyDescent="0.2">
      <c r="A100" s="112"/>
      <c r="B100" s="112"/>
      <c r="C100" s="112" t="str">
        <f>IF(OR(Tabella1[[#This Row],[LUN]]="X",Tabella1[[#This Row],[MAR]]="X",Tabella1[[#This Row],[MER]]="X",Tabella1[[#This Row],[GIO]]="X",Tabella1[[#This Row],[VEN]]="X",),"X","")</f>
        <v/>
      </c>
      <c r="D100" s="113" t="s">
        <v>72</v>
      </c>
      <c r="E100" s="109" t="s">
        <v>2345</v>
      </c>
      <c r="F100" s="109">
        <v>1000</v>
      </c>
      <c r="G100" s="109" t="s">
        <v>2346</v>
      </c>
      <c r="H100" s="111"/>
      <c r="I100" s="111"/>
      <c r="J100" s="111"/>
      <c r="K100" s="111"/>
      <c r="L100" s="111"/>
      <c r="M100" s="92" t="s">
        <v>1258</v>
      </c>
      <c r="N100" s="110"/>
      <c r="O100" s="167"/>
      <c r="P100" s="110"/>
      <c r="Q100" s="109" t="s">
        <v>1753</v>
      </c>
      <c r="R100" s="110">
        <v>45852</v>
      </c>
      <c r="S100" s="110" t="s">
        <v>2372</v>
      </c>
      <c r="T100" s="114" t="str">
        <f ca="1">IF(AND('Inserimento dati'!$B$3=$H$2, Tabella1[[#This Row],[LUN]]="X"), "X",IF(AND('Inserimento dati'!$B$3=$I$2, Tabella1[[#This Row],[MAR]]="X"), "X", IF(AND('Inserimento dati'!$B$3=$J$2, Tabella1[[#This Row],[MER]]="X"), "X",IF(AND('Inserimento dati'!$B$3=$K$2, Tabella1[[#This Row],[GIO]]="X"), "X", IF(AND('Inserimento dati'!$B$3=$L$2, Tabella1[[#This Row],[VEN]]="X"), "X","")))))</f>
        <v/>
      </c>
      <c r="U100" s="93"/>
      <c r="V100" s="187">
        <v>45930.833333333336</v>
      </c>
    </row>
    <row r="101" spans="1:22" s="19" customFormat="1" ht="30" x14ac:dyDescent="0.2">
      <c r="A101" s="112"/>
      <c r="B101" s="112"/>
      <c r="C101" s="112" t="str">
        <f>IF(OR(Tabella1[[#This Row],[LUN]]="X",Tabella1[[#This Row],[MAR]]="X",Tabella1[[#This Row],[MER]]="X",Tabella1[[#This Row],[GIO]]="X",Tabella1[[#This Row],[VEN]]="X",),"X","")</f>
        <v/>
      </c>
      <c r="D101" s="113" t="s">
        <v>72</v>
      </c>
      <c r="E101" s="109" t="s">
        <v>2347</v>
      </c>
      <c r="F101" s="109">
        <v>500</v>
      </c>
      <c r="G101" s="109" t="s">
        <v>2348</v>
      </c>
      <c r="H101" s="111"/>
      <c r="I101" s="111"/>
      <c r="J101" s="111"/>
      <c r="K101" s="111"/>
      <c r="L101" s="111"/>
      <c r="M101" s="92" t="s">
        <v>1258</v>
      </c>
      <c r="N101" s="110"/>
      <c r="O101" s="167"/>
      <c r="P101" s="110"/>
      <c r="Q101" s="109" t="s">
        <v>2371</v>
      </c>
      <c r="R101" s="110">
        <v>45852</v>
      </c>
      <c r="S101" s="110" t="s">
        <v>2365</v>
      </c>
      <c r="T101" s="114" t="str">
        <f ca="1">IF(AND('Inserimento dati'!$B$3=$H$2, Tabella1[[#This Row],[LUN]]="X"), "X",IF(AND('Inserimento dati'!$B$3=$I$2, Tabella1[[#This Row],[MAR]]="X"), "X", IF(AND('Inserimento dati'!$B$3=$J$2, Tabella1[[#This Row],[MER]]="X"), "X",IF(AND('Inserimento dati'!$B$3=$K$2, Tabella1[[#This Row],[GIO]]="X"), "X", IF(AND('Inserimento dati'!$B$3=$L$2, Tabella1[[#This Row],[VEN]]="X"), "X","")))))</f>
        <v/>
      </c>
      <c r="U101" s="93"/>
      <c r="V101" s="187">
        <v>45930.833333333336</v>
      </c>
    </row>
    <row r="102" spans="1:22" s="19" customFormat="1" ht="30" x14ac:dyDescent="0.2">
      <c r="A102" s="112"/>
      <c r="B102" s="112"/>
      <c r="C102" s="112" t="str">
        <f>IF(OR(Tabella1[[#This Row],[LUN]]="X",Tabella1[[#This Row],[MAR]]="X",Tabella1[[#This Row],[MER]]="X",Tabella1[[#This Row],[GIO]]="X",Tabella1[[#This Row],[VEN]]="X",),"X","")</f>
        <v/>
      </c>
      <c r="D102" s="113" t="s">
        <v>72</v>
      </c>
      <c r="E102" s="109" t="s">
        <v>2376</v>
      </c>
      <c r="F102" s="109">
        <v>1000</v>
      </c>
      <c r="G102" s="109" t="s">
        <v>2377</v>
      </c>
      <c r="H102" s="111"/>
      <c r="I102" s="111"/>
      <c r="J102" s="111"/>
      <c r="K102" s="111"/>
      <c r="L102" s="111"/>
      <c r="M102" s="92" t="s">
        <v>1258</v>
      </c>
      <c r="N102" s="110"/>
      <c r="O102" s="167"/>
      <c r="P102" s="110"/>
      <c r="Q102" s="109" t="s">
        <v>2392</v>
      </c>
      <c r="R102" s="110">
        <v>45853</v>
      </c>
      <c r="S102" s="110" t="s">
        <v>1074</v>
      </c>
      <c r="T102" s="114" t="str">
        <f ca="1">IF(AND('Inserimento dati'!$B$3=$H$2, Tabella1[[#This Row],[LUN]]="X"), "X",IF(AND('Inserimento dati'!$B$3=$I$2, Tabella1[[#This Row],[MAR]]="X"), "X", IF(AND('Inserimento dati'!$B$3=$J$2, Tabella1[[#This Row],[MER]]="X"), "X",IF(AND('Inserimento dati'!$B$3=$K$2, Tabella1[[#This Row],[GIO]]="X"), "X", IF(AND('Inserimento dati'!$B$3=$L$2, Tabella1[[#This Row],[VEN]]="X"), "X","")))))</f>
        <v/>
      </c>
      <c r="U102" s="93"/>
      <c r="V102" s="187">
        <v>45930.833333333336</v>
      </c>
    </row>
    <row r="103" spans="1:22" s="19" customFormat="1" ht="30" x14ac:dyDescent="0.2">
      <c r="A103" s="112"/>
      <c r="B103" s="112"/>
      <c r="C103" s="112" t="str">
        <f>IF(OR(Tabella1[[#This Row],[LUN]]="X",Tabella1[[#This Row],[MAR]]="X",Tabella1[[#This Row],[MER]]="X",Tabella1[[#This Row],[GIO]]="X",Tabella1[[#This Row],[VEN]]="X",),"X","")</f>
        <v/>
      </c>
      <c r="D103" s="113" t="s">
        <v>72</v>
      </c>
      <c r="E103" s="109" t="s">
        <v>2385</v>
      </c>
      <c r="F103" s="109">
        <v>500</v>
      </c>
      <c r="G103" s="109" t="s">
        <v>2386</v>
      </c>
      <c r="H103" s="111"/>
      <c r="I103" s="111"/>
      <c r="J103" s="111"/>
      <c r="K103" s="111"/>
      <c r="L103" s="111"/>
      <c r="M103" s="92" t="s">
        <v>1258</v>
      </c>
      <c r="N103" s="110"/>
      <c r="O103" s="167"/>
      <c r="P103" s="110"/>
      <c r="Q103" s="109" t="s">
        <v>2407</v>
      </c>
      <c r="R103" s="110">
        <v>45854</v>
      </c>
      <c r="S103" s="110" t="s">
        <v>1074</v>
      </c>
      <c r="T103" s="114" t="str">
        <f ca="1">IF(AND('Inserimento dati'!$B$3=$H$2, Tabella1[[#This Row],[LUN]]="X"), "X",IF(AND('Inserimento dati'!$B$3=$I$2, Tabella1[[#This Row],[MAR]]="X"), "X", IF(AND('Inserimento dati'!$B$3=$J$2, Tabella1[[#This Row],[MER]]="X"), "X",IF(AND('Inserimento dati'!$B$3=$K$2, Tabella1[[#This Row],[GIO]]="X"), "X", IF(AND('Inserimento dati'!$B$3=$L$2, Tabella1[[#This Row],[VEN]]="X"), "X","")))))</f>
        <v/>
      </c>
      <c r="U103" s="93"/>
      <c r="V103" s="187">
        <v>45930.833333333336</v>
      </c>
    </row>
    <row r="104" spans="1:22" s="19" customFormat="1" ht="30" x14ac:dyDescent="0.2">
      <c r="A104" s="112"/>
      <c r="B104" s="112"/>
      <c r="C104" s="112" t="str">
        <f>IF(OR(Tabella1[[#This Row],[LUN]]="X",Tabella1[[#This Row],[MAR]]="X",Tabella1[[#This Row],[MER]]="X",Tabella1[[#This Row],[GIO]]="X",Tabella1[[#This Row],[VEN]]="X",),"X","")</f>
        <v/>
      </c>
      <c r="D104" s="113" t="s">
        <v>72</v>
      </c>
      <c r="E104" s="109" t="s">
        <v>2408</v>
      </c>
      <c r="F104" s="109">
        <v>1000</v>
      </c>
      <c r="G104" s="109" t="s">
        <v>2409</v>
      </c>
      <c r="H104" s="111"/>
      <c r="I104" s="111"/>
      <c r="J104" s="111"/>
      <c r="K104" s="111"/>
      <c r="L104" s="111"/>
      <c r="M104" s="92" t="s">
        <v>1258</v>
      </c>
      <c r="N104" s="110"/>
      <c r="O104" s="167"/>
      <c r="P104" s="110"/>
      <c r="Q104" s="109"/>
      <c r="R104" s="110"/>
      <c r="S104" s="110"/>
      <c r="T104" s="114" t="str">
        <f ca="1">IF(AND('Inserimento dati'!$B$3=$H$2, Tabella1[[#This Row],[LUN]]="X"), "X",IF(AND('Inserimento dati'!$B$3=$I$2, Tabella1[[#This Row],[MAR]]="X"), "X", IF(AND('Inserimento dati'!$B$3=$J$2, Tabella1[[#This Row],[MER]]="X"), "X",IF(AND('Inserimento dati'!$B$3=$K$2, Tabella1[[#This Row],[GIO]]="X"), "X", IF(AND('Inserimento dati'!$B$3=$L$2, Tabella1[[#This Row],[VEN]]="X"), "X","")))))</f>
        <v/>
      </c>
      <c r="U104" s="93"/>
      <c r="V104" s="187">
        <v>45930.833333333336</v>
      </c>
    </row>
    <row r="105" spans="1:22" s="19" customFormat="1" ht="30" x14ac:dyDescent="0.2">
      <c r="A105" s="112"/>
      <c r="B105" s="112"/>
      <c r="C105" s="112" t="str">
        <f>IF(OR(Tabella1[[#This Row],[LUN]]="X",Tabella1[[#This Row],[MAR]]="X",Tabella1[[#This Row],[MER]]="X",Tabella1[[#This Row],[GIO]]="X",Tabella1[[#This Row],[VEN]]="X",),"X","")</f>
        <v/>
      </c>
      <c r="D105" s="113" t="s">
        <v>72</v>
      </c>
      <c r="E105" s="109" t="s">
        <v>2387</v>
      </c>
      <c r="F105" s="109">
        <v>600</v>
      </c>
      <c r="G105" s="109" t="s">
        <v>2388</v>
      </c>
      <c r="H105" s="111"/>
      <c r="I105" s="111"/>
      <c r="J105" s="111"/>
      <c r="K105" s="111"/>
      <c r="L105" s="111"/>
      <c r="M105" s="92" t="s">
        <v>1258</v>
      </c>
      <c r="N105" s="110"/>
      <c r="O105" s="167"/>
      <c r="P105" s="110"/>
      <c r="Q105" s="109" t="s">
        <v>2414</v>
      </c>
      <c r="R105" s="110">
        <v>45856</v>
      </c>
      <c r="S105" s="110" t="s">
        <v>1074</v>
      </c>
      <c r="T105" s="114" t="str">
        <f ca="1">IF(AND('Inserimento dati'!$B$3=$H$2, Tabella1[[#This Row],[LUN]]="X"), "X",IF(AND('Inserimento dati'!$B$3=$I$2, Tabella1[[#This Row],[MAR]]="X"), "X", IF(AND('Inserimento dati'!$B$3=$J$2, Tabella1[[#This Row],[MER]]="X"), "X",IF(AND('Inserimento dati'!$B$3=$K$2, Tabella1[[#This Row],[GIO]]="X"), "X", IF(AND('Inserimento dati'!$B$3=$L$2, Tabella1[[#This Row],[VEN]]="X"), "X","")))))</f>
        <v/>
      </c>
      <c r="U105" s="93"/>
      <c r="V105" s="187">
        <v>45930.833333333336</v>
      </c>
    </row>
    <row r="106" spans="1:22" s="19" customFormat="1" ht="23.25" x14ac:dyDescent="0.2">
      <c r="A106" s="112"/>
      <c r="B106" s="112"/>
      <c r="C106" s="112" t="str">
        <f>IF(OR(Tabella1[[#This Row],[LUN]]="X",Tabella1[[#This Row],[MAR]]="X",Tabella1[[#This Row],[MER]]="X",Tabella1[[#This Row],[GIO]]="X",Tabella1[[#This Row],[VEN]]="X",),"X","")</f>
        <v/>
      </c>
      <c r="D106" s="113" t="s">
        <v>72</v>
      </c>
      <c r="E106" s="109" t="s">
        <v>2457</v>
      </c>
      <c r="F106" s="109">
        <v>1000</v>
      </c>
      <c r="G106" s="109" t="s">
        <v>2458</v>
      </c>
      <c r="H106" s="111"/>
      <c r="I106" s="111"/>
      <c r="J106" s="111"/>
      <c r="K106" s="111"/>
      <c r="L106" s="111"/>
      <c r="M106" s="92" t="s">
        <v>1258</v>
      </c>
      <c r="N106" s="110"/>
      <c r="O106" s="167"/>
      <c r="P106" s="110"/>
      <c r="Q106" s="109" t="s">
        <v>2476</v>
      </c>
      <c r="R106" s="110">
        <v>45862</v>
      </c>
      <c r="S106" s="110" t="s">
        <v>1048</v>
      </c>
      <c r="T106" s="114" t="str">
        <f ca="1">IF(AND('Inserimento dati'!$B$3=$H$2, Tabella1[[#This Row],[LUN]]="X"), "X",IF(AND('Inserimento dati'!$B$3=$I$2, Tabella1[[#This Row],[MAR]]="X"), "X", IF(AND('Inserimento dati'!$B$3=$J$2, Tabella1[[#This Row],[MER]]="X"), "X",IF(AND('Inserimento dati'!$B$3=$K$2, Tabella1[[#This Row],[GIO]]="X"), "X", IF(AND('Inserimento dati'!$B$3=$L$2, Tabella1[[#This Row],[VEN]]="X"), "X","")))))</f>
        <v/>
      </c>
      <c r="U106" s="93"/>
      <c r="V106" s="187">
        <v>45930.833333333336</v>
      </c>
    </row>
    <row r="107" spans="1:22" s="19" customFormat="1" ht="30" x14ac:dyDescent="0.2">
      <c r="A107" s="112"/>
      <c r="B107" s="112"/>
      <c r="C107" s="112" t="str">
        <f>IF(OR(Tabella1[[#This Row],[LUN]]="X",Tabella1[[#This Row],[MAR]]="X",Tabella1[[#This Row],[MER]]="X",Tabella1[[#This Row],[GIO]]="X",Tabella1[[#This Row],[VEN]]="X",),"X","")</f>
        <v/>
      </c>
      <c r="D107" s="113" t="s">
        <v>72</v>
      </c>
      <c r="E107" s="109" t="s">
        <v>2619</v>
      </c>
      <c r="F107" s="109">
        <v>1000</v>
      </c>
      <c r="G107" s="109" t="s">
        <v>2620</v>
      </c>
      <c r="H107" s="111"/>
      <c r="I107" s="111"/>
      <c r="J107" s="111"/>
      <c r="K107" s="111"/>
      <c r="L107" s="111"/>
      <c r="M107" s="92" t="s">
        <v>1258</v>
      </c>
      <c r="N107" s="110"/>
      <c r="O107" s="167"/>
      <c r="P107" s="110"/>
      <c r="Q107" s="109" t="s">
        <v>2623</v>
      </c>
      <c r="R107" s="110">
        <v>45882</v>
      </c>
      <c r="S107" s="110" t="s">
        <v>203</v>
      </c>
      <c r="T107" s="114" t="str">
        <f ca="1">IF(AND('Inserimento dati'!$B$3=$H$2, Tabella1[[#This Row],[LUN]]="X"), "X",IF(AND('Inserimento dati'!$B$3=$I$2, Tabella1[[#This Row],[MAR]]="X"), "X", IF(AND('Inserimento dati'!$B$3=$J$2, Tabella1[[#This Row],[MER]]="X"), "X",IF(AND('Inserimento dati'!$B$3=$K$2, Tabella1[[#This Row],[GIO]]="X"), "X", IF(AND('Inserimento dati'!$B$3=$L$2, Tabella1[[#This Row],[VEN]]="X"), "X","")))))</f>
        <v/>
      </c>
      <c r="U107" s="93"/>
      <c r="V107" s="187">
        <v>45930.833333333336</v>
      </c>
    </row>
    <row r="108" spans="1:22" s="19" customFormat="1" ht="23.25" x14ac:dyDescent="0.2">
      <c r="A108" s="112"/>
      <c r="B108" s="112"/>
      <c r="C108" s="112" t="str">
        <f>IF(OR(Tabella1[[#This Row],[LUN]]="X",Tabella1[[#This Row],[MAR]]="X",Tabella1[[#This Row],[MER]]="X",Tabella1[[#This Row],[GIO]]="X",Tabella1[[#This Row],[VEN]]="X",),"X","")</f>
        <v/>
      </c>
      <c r="D108" s="113" t="s">
        <v>72</v>
      </c>
      <c r="E108" s="109" t="s">
        <v>2626</v>
      </c>
      <c r="F108" s="109">
        <v>600</v>
      </c>
      <c r="G108" s="109" t="s">
        <v>2627</v>
      </c>
      <c r="H108" s="111"/>
      <c r="I108" s="111"/>
      <c r="J108" s="111"/>
      <c r="K108" s="111"/>
      <c r="L108" s="111"/>
      <c r="M108" s="92" t="s">
        <v>1258</v>
      </c>
      <c r="N108" s="110"/>
      <c r="O108" s="167"/>
      <c r="P108" s="110"/>
      <c r="Q108" s="109" t="s">
        <v>2639</v>
      </c>
      <c r="R108" s="110">
        <v>45883</v>
      </c>
      <c r="S108" s="110" t="s">
        <v>203</v>
      </c>
      <c r="T108" s="114" t="str">
        <f ca="1">IF(AND('Inserimento dati'!$B$3=$H$2, Tabella1[[#This Row],[LUN]]="X"), "X",IF(AND('Inserimento dati'!$B$3=$I$2, Tabella1[[#This Row],[MAR]]="X"), "X", IF(AND('Inserimento dati'!$B$3=$J$2, Tabella1[[#This Row],[MER]]="X"), "X",IF(AND('Inserimento dati'!$B$3=$K$2, Tabella1[[#This Row],[GIO]]="X"), "X", IF(AND('Inserimento dati'!$B$3=$L$2, Tabella1[[#This Row],[VEN]]="X"), "X","")))))</f>
        <v/>
      </c>
      <c r="U108" s="93"/>
      <c r="V108" s="187">
        <v>45930.833333333336</v>
      </c>
    </row>
    <row r="109" spans="1:22" s="19" customFormat="1" ht="23.25" x14ac:dyDescent="0.2">
      <c r="A109" s="112"/>
      <c r="B109" s="112"/>
      <c r="C109" s="112" t="str">
        <f>IF(OR(Tabella1[[#This Row],[LUN]]="X",Tabella1[[#This Row],[MAR]]="X",Tabella1[[#This Row],[MER]]="X",Tabella1[[#This Row],[GIO]]="X",Tabella1[[#This Row],[VEN]]="X",),"X","")</f>
        <v/>
      </c>
      <c r="D109" s="113" t="s">
        <v>72</v>
      </c>
      <c r="E109" s="109" t="s">
        <v>2717</v>
      </c>
      <c r="F109" s="109">
        <v>1000</v>
      </c>
      <c r="G109" s="109" t="s">
        <v>2718</v>
      </c>
      <c r="H109" s="111"/>
      <c r="I109" s="111"/>
      <c r="J109" s="111"/>
      <c r="K109" s="111"/>
      <c r="L109" s="111"/>
      <c r="M109" s="92" t="s">
        <v>1258</v>
      </c>
      <c r="N109" s="110"/>
      <c r="O109" s="167"/>
      <c r="P109" s="110"/>
      <c r="Q109" s="109" t="s">
        <v>2721</v>
      </c>
      <c r="R109" s="110">
        <v>45895</v>
      </c>
      <c r="S109" s="110" t="s">
        <v>203</v>
      </c>
      <c r="T109" s="114" t="str">
        <f ca="1">IF(AND('Inserimento dati'!$B$3=$H$2, Tabella1[[#This Row],[LUN]]="X"), "X",IF(AND('Inserimento dati'!$B$3=$I$2, Tabella1[[#This Row],[MAR]]="X"), "X", IF(AND('Inserimento dati'!$B$3=$J$2, Tabella1[[#This Row],[MER]]="X"), "X",IF(AND('Inserimento dati'!$B$3=$K$2, Tabella1[[#This Row],[GIO]]="X"), "X", IF(AND('Inserimento dati'!$B$3=$L$2, Tabella1[[#This Row],[VEN]]="X"), "X","")))))</f>
        <v/>
      </c>
      <c r="U109" s="93"/>
      <c r="V109" s="187">
        <v>45930.833333333336</v>
      </c>
    </row>
    <row r="110" spans="1:22" s="19" customFormat="1" ht="30" x14ac:dyDescent="0.2">
      <c r="A110" s="112"/>
      <c r="B110" s="112"/>
      <c r="C110" s="112" t="str">
        <f>IF(OR(Tabella1[[#This Row],[LUN]]="X",Tabella1[[#This Row],[MAR]]="X",Tabella1[[#This Row],[MER]]="X",Tabella1[[#This Row],[GIO]]="X",Tabella1[[#This Row],[VEN]]="X",),"X","")</f>
        <v/>
      </c>
      <c r="D110" s="113" t="s">
        <v>72</v>
      </c>
      <c r="E110" s="109" t="s">
        <v>2719</v>
      </c>
      <c r="F110" s="109">
        <v>1000</v>
      </c>
      <c r="G110" s="109" t="s">
        <v>2720</v>
      </c>
      <c r="H110" s="111"/>
      <c r="I110" s="111"/>
      <c r="J110" s="111"/>
      <c r="K110" s="111"/>
      <c r="L110" s="111"/>
      <c r="M110" s="92" t="s">
        <v>1258</v>
      </c>
      <c r="N110" s="110"/>
      <c r="O110" s="167"/>
      <c r="P110" s="110"/>
      <c r="Q110" s="109"/>
      <c r="R110" s="110">
        <v>45895</v>
      </c>
      <c r="S110" s="110" t="s">
        <v>203</v>
      </c>
      <c r="T110" s="114" t="str">
        <f ca="1">IF(AND('Inserimento dati'!$B$3=$H$2, Tabella1[[#This Row],[LUN]]="X"), "X",IF(AND('Inserimento dati'!$B$3=$I$2, Tabella1[[#This Row],[MAR]]="X"), "X", IF(AND('Inserimento dati'!$B$3=$J$2, Tabella1[[#This Row],[MER]]="X"), "X",IF(AND('Inserimento dati'!$B$3=$K$2, Tabella1[[#This Row],[GIO]]="X"), "X", IF(AND('Inserimento dati'!$B$3=$L$2, Tabella1[[#This Row],[VEN]]="X"), "X","")))))</f>
        <v/>
      </c>
      <c r="U110" s="93"/>
      <c r="V110" s="187">
        <v>45930.833333333336</v>
      </c>
    </row>
    <row r="111" spans="1:22" s="19" customFormat="1" ht="23.25" x14ac:dyDescent="0.2">
      <c r="A111" s="112"/>
      <c r="B111" s="112"/>
      <c r="C111" s="112" t="str">
        <f>IF(OR(Tabella1[[#This Row],[LUN]]="X",Tabella1[[#This Row],[MAR]]="X",Tabella1[[#This Row],[MER]]="X",Tabella1[[#This Row],[GIO]]="X",Tabella1[[#This Row],[VEN]]="X",),"X","")</f>
        <v/>
      </c>
      <c r="D111" s="113" t="s">
        <v>72</v>
      </c>
      <c r="E111" s="109" t="s">
        <v>2738</v>
      </c>
      <c r="F111" s="109">
        <v>1000</v>
      </c>
      <c r="G111" s="109" t="s">
        <v>2739</v>
      </c>
      <c r="H111" s="111"/>
      <c r="I111" s="111"/>
      <c r="J111" s="111"/>
      <c r="K111" s="111"/>
      <c r="L111" s="111"/>
      <c r="M111" s="92" t="s">
        <v>1258</v>
      </c>
      <c r="N111" s="110"/>
      <c r="O111" s="167"/>
      <c r="P111" s="110"/>
      <c r="Q111" s="109" t="s">
        <v>2742</v>
      </c>
      <c r="R111" s="110">
        <v>45897</v>
      </c>
      <c r="S111" s="110" t="s">
        <v>203</v>
      </c>
      <c r="T111" s="114" t="str">
        <f ca="1">IF(AND('Inserimento dati'!$B$3=$H$2, Tabella1[[#This Row],[LUN]]="X"), "X",IF(AND('Inserimento dati'!$B$3=$I$2, Tabella1[[#This Row],[MAR]]="X"), "X", IF(AND('Inserimento dati'!$B$3=$J$2, Tabella1[[#This Row],[MER]]="X"), "X",IF(AND('Inserimento dati'!$B$3=$K$2, Tabella1[[#This Row],[GIO]]="X"), "X", IF(AND('Inserimento dati'!$B$3=$L$2, Tabella1[[#This Row],[VEN]]="X"), "X","")))))</f>
        <v/>
      </c>
      <c r="U111" s="93"/>
      <c r="V111" s="187">
        <v>45930.833333333336</v>
      </c>
    </row>
    <row r="112" spans="1:22" s="19" customFormat="1" ht="30" x14ac:dyDescent="0.2">
      <c r="A112" s="112"/>
      <c r="B112" s="112"/>
      <c r="C112" s="112" t="str">
        <f>IF(OR(Tabella1[[#This Row],[LUN]]="X",Tabella1[[#This Row],[MAR]]="X",Tabella1[[#This Row],[MER]]="X",Tabella1[[#This Row],[GIO]]="X",Tabella1[[#This Row],[VEN]]="X",),"X","")</f>
        <v/>
      </c>
      <c r="D112" s="113" t="s">
        <v>72</v>
      </c>
      <c r="E112" s="109" t="s">
        <v>2790</v>
      </c>
      <c r="F112" s="109">
        <v>500</v>
      </c>
      <c r="G112" s="109" t="s">
        <v>2791</v>
      </c>
      <c r="H112" s="111"/>
      <c r="I112" s="111"/>
      <c r="J112" s="111"/>
      <c r="K112" s="111"/>
      <c r="L112" s="111"/>
      <c r="M112" s="92" t="s">
        <v>1258</v>
      </c>
      <c r="N112" s="110"/>
      <c r="O112" s="167"/>
      <c r="P112" s="110"/>
      <c r="Q112" s="109" t="s">
        <v>2803</v>
      </c>
      <c r="R112" s="110">
        <v>45903</v>
      </c>
      <c r="S112" s="110" t="s">
        <v>203</v>
      </c>
      <c r="T112" s="114" t="str">
        <f ca="1">IF(AND('Inserimento dati'!$B$3=$H$2, Tabella1[[#This Row],[LUN]]="X"), "X",IF(AND('Inserimento dati'!$B$3=$I$2, Tabella1[[#This Row],[MAR]]="X"), "X", IF(AND('Inserimento dati'!$B$3=$J$2, Tabella1[[#This Row],[MER]]="X"), "X",IF(AND('Inserimento dati'!$B$3=$K$2, Tabella1[[#This Row],[GIO]]="X"), "X", IF(AND('Inserimento dati'!$B$3=$L$2, Tabella1[[#This Row],[VEN]]="X"), "X","")))))</f>
        <v/>
      </c>
      <c r="U112" s="93"/>
      <c r="V112" s="187">
        <v>45930.833333333336</v>
      </c>
    </row>
    <row r="113" spans="1:22" s="19" customFormat="1" ht="30" x14ac:dyDescent="0.2">
      <c r="A113" s="112"/>
      <c r="B113" s="112"/>
      <c r="C113" s="112" t="str">
        <f>IF(OR(Tabella1[[#This Row],[LUN]]="X",Tabella1[[#This Row],[MAR]]="X",Tabella1[[#This Row],[MER]]="X",Tabella1[[#This Row],[GIO]]="X",Tabella1[[#This Row],[VEN]]="X",),"X","")</f>
        <v/>
      </c>
      <c r="D113" s="113" t="s">
        <v>72</v>
      </c>
      <c r="E113" s="109" t="s">
        <v>2793</v>
      </c>
      <c r="F113" s="109">
        <v>500</v>
      </c>
      <c r="G113" s="109" t="s">
        <v>2794</v>
      </c>
      <c r="H113" s="111"/>
      <c r="I113" s="111"/>
      <c r="J113" s="111"/>
      <c r="K113" s="111"/>
      <c r="L113" s="111"/>
      <c r="M113" s="92" t="s">
        <v>1258</v>
      </c>
      <c r="N113" s="110"/>
      <c r="O113" s="167"/>
      <c r="P113" s="110"/>
      <c r="Q113" s="109" t="s">
        <v>2807</v>
      </c>
      <c r="R113" s="110">
        <v>45903</v>
      </c>
      <c r="S113" s="110" t="s">
        <v>203</v>
      </c>
      <c r="T113" s="114" t="str">
        <f ca="1">IF(AND('Inserimento dati'!$B$3=$H$2, Tabella1[[#This Row],[LUN]]="X"), "X",IF(AND('Inserimento dati'!$B$3=$I$2, Tabella1[[#This Row],[MAR]]="X"), "X", IF(AND('Inserimento dati'!$B$3=$J$2, Tabella1[[#This Row],[MER]]="X"), "X",IF(AND('Inserimento dati'!$B$3=$K$2, Tabella1[[#This Row],[GIO]]="X"), "X", IF(AND('Inserimento dati'!$B$3=$L$2, Tabella1[[#This Row],[VEN]]="X"), "X","")))))</f>
        <v/>
      </c>
      <c r="U113" s="93"/>
      <c r="V113" s="187">
        <v>45930.833333333336</v>
      </c>
    </row>
    <row r="114" spans="1:22" s="19" customFormat="1" ht="23.25" x14ac:dyDescent="0.2">
      <c r="A114" s="112"/>
      <c r="B114" s="112"/>
      <c r="C114" s="112" t="str">
        <f>IF(OR(Tabella1[[#This Row],[LUN]]="X",Tabella1[[#This Row],[MAR]]="X",Tabella1[[#This Row],[MER]]="X",Tabella1[[#This Row],[GIO]]="X",Tabella1[[#This Row],[VEN]]="X",),"X","")</f>
        <v/>
      </c>
      <c r="D114" s="113" t="s">
        <v>72</v>
      </c>
      <c r="E114" s="109" t="s">
        <v>2797</v>
      </c>
      <c r="F114" s="109">
        <v>1000</v>
      </c>
      <c r="G114" s="109" t="s">
        <v>2798</v>
      </c>
      <c r="H114" s="111"/>
      <c r="I114" s="111"/>
      <c r="J114" s="111"/>
      <c r="K114" s="111"/>
      <c r="L114" s="111"/>
      <c r="M114" s="92" t="s">
        <v>1258</v>
      </c>
      <c r="N114" s="110"/>
      <c r="O114" s="167"/>
      <c r="P114" s="110"/>
      <c r="Q114" s="109" t="s">
        <v>2809</v>
      </c>
      <c r="R114" s="110">
        <v>45903</v>
      </c>
      <c r="S114" s="110" t="s">
        <v>203</v>
      </c>
      <c r="T114" s="114" t="str">
        <f ca="1">IF(AND('Inserimento dati'!$B$3=$H$2, Tabella1[[#This Row],[LUN]]="X"), "X",IF(AND('Inserimento dati'!$B$3=$I$2, Tabella1[[#This Row],[MAR]]="X"), "X", IF(AND('Inserimento dati'!$B$3=$J$2, Tabella1[[#This Row],[MER]]="X"), "X",IF(AND('Inserimento dati'!$B$3=$K$2, Tabella1[[#This Row],[GIO]]="X"), "X", IF(AND('Inserimento dati'!$B$3=$L$2, Tabella1[[#This Row],[VEN]]="X"), "X","")))))</f>
        <v/>
      </c>
      <c r="U114" s="93"/>
      <c r="V114" s="187">
        <v>45930.833333333336</v>
      </c>
    </row>
    <row r="115" spans="1:22" s="19" customFormat="1" ht="30" x14ac:dyDescent="0.2">
      <c r="A115" s="112"/>
      <c r="B115" s="112"/>
      <c r="C115" s="112" t="str">
        <f>IF(OR(Tabella1[[#This Row],[LUN]]="X",Tabella1[[#This Row],[MAR]]="X",Tabella1[[#This Row],[MER]]="X",Tabella1[[#This Row],[GIO]]="X",Tabella1[[#This Row],[VEN]]="X",),"X","")</f>
        <v/>
      </c>
      <c r="D115" s="113" t="s">
        <v>72</v>
      </c>
      <c r="E115" s="109" t="s">
        <v>2829</v>
      </c>
      <c r="F115" s="109">
        <v>1000</v>
      </c>
      <c r="G115" s="109" t="s">
        <v>2830</v>
      </c>
      <c r="H115" s="111"/>
      <c r="I115" s="111"/>
      <c r="J115" s="111"/>
      <c r="K115" s="111"/>
      <c r="L115" s="111"/>
      <c r="M115" s="92" t="s">
        <v>1258</v>
      </c>
      <c r="N115" s="110"/>
      <c r="O115" s="167"/>
      <c r="P115" s="110"/>
      <c r="Q115" s="109"/>
      <c r="R115" s="110"/>
      <c r="S115" s="110"/>
      <c r="T115" s="114" t="str">
        <f ca="1">IF(AND('Inserimento dati'!$B$3=$H$2, Tabella1[[#This Row],[LUN]]="X"), "X",IF(AND('Inserimento dati'!$B$3=$I$2, Tabella1[[#This Row],[MAR]]="X"), "X", IF(AND('Inserimento dati'!$B$3=$J$2, Tabella1[[#This Row],[MER]]="X"), "X",IF(AND('Inserimento dati'!$B$3=$K$2, Tabella1[[#This Row],[GIO]]="X"), "X", IF(AND('Inserimento dati'!$B$3=$L$2, Tabella1[[#This Row],[VEN]]="X"), "X","")))))</f>
        <v/>
      </c>
      <c r="U115" s="93"/>
      <c r="V115" s="187">
        <v>45930.833333333336</v>
      </c>
    </row>
    <row r="116" spans="1:22" s="19" customFormat="1" ht="23.25" x14ac:dyDescent="0.2">
      <c r="A116" s="112"/>
      <c r="B116" s="112"/>
      <c r="C116" s="112" t="str">
        <f>IF(OR(Tabella1[[#This Row],[LUN]]="X",Tabella1[[#This Row],[MAR]]="X",Tabella1[[#This Row],[MER]]="X",Tabella1[[#This Row],[GIO]]="X",Tabella1[[#This Row],[VEN]]="X",),"X","")</f>
        <v/>
      </c>
      <c r="D116" s="113" t="s">
        <v>72</v>
      </c>
      <c r="E116" s="109" t="s">
        <v>2817</v>
      </c>
      <c r="F116" s="109">
        <v>1000</v>
      </c>
      <c r="G116" s="109" t="s">
        <v>2818</v>
      </c>
      <c r="H116" s="111"/>
      <c r="I116" s="111"/>
      <c r="J116" s="111"/>
      <c r="K116" s="111"/>
      <c r="L116" s="111"/>
      <c r="M116" s="92" t="s">
        <v>1258</v>
      </c>
      <c r="N116" s="110"/>
      <c r="O116" s="167"/>
      <c r="P116" s="110"/>
      <c r="Q116" s="109"/>
      <c r="R116" s="110">
        <v>45905</v>
      </c>
      <c r="S116" s="110" t="s">
        <v>1074</v>
      </c>
      <c r="T116" s="114" t="str">
        <f ca="1">IF(AND('Inserimento dati'!$B$3=$H$2, Tabella1[[#This Row],[LUN]]="X"), "X",IF(AND('Inserimento dati'!$B$3=$I$2, Tabella1[[#This Row],[MAR]]="X"), "X", IF(AND('Inserimento dati'!$B$3=$J$2, Tabella1[[#This Row],[MER]]="X"), "X",IF(AND('Inserimento dati'!$B$3=$K$2, Tabella1[[#This Row],[GIO]]="X"), "X", IF(AND('Inserimento dati'!$B$3=$L$2, Tabella1[[#This Row],[VEN]]="X"), "X","")))))</f>
        <v/>
      </c>
      <c r="U116" s="93"/>
      <c r="V116" s="187">
        <v>45930.833333333336</v>
      </c>
    </row>
    <row r="117" spans="1:22" s="19" customFormat="1" ht="23.25" x14ac:dyDescent="0.2">
      <c r="A117" s="112"/>
      <c r="B117" s="112"/>
      <c r="C117" s="112" t="str">
        <f>IF(OR(Tabella1[[#This Row],[LUN]]="X",Tabella1[[#This Row],[MAR]]="X",Tabella1[[#This Row],[MER]]="X",Tabella1[[#This Row],[GIO]]="X",Tabella1[[#This Row],[VEN]]="X",),"X","")</f>
        <v/>
      </c>
      <c r="D117" s="113" t="s">
        <v>72</v>
      </c>
      <c r="E117" s="109" t="s">
        <v>2865</v>
      </c>
      <c r="F117" s="109">
        <v>500</v>
      </c>
      <c r="G117" s="109" t="s">
        <v>2866</v>
      </c>
      <c r="H117" s="111"/>
      <c r="I117" s="111"/>
      <c r="J117" s="111"/>
      <c r="K117" s="111"/>
      <c r="L117" s="111"/>
      <c r="M117" s="92" t="s">
        <v>1258</v>
      </c>
      <c r="N117" s="110"/>
      <c r="O117" s="167"/>
      <c r="P117" s="110"/>
      <c r="Q117" s="109"/>
      <c r="R117" s="110"/>
      <c r="S117" s="110"/>
      <c r="T117" s="114" t="str">
        <f ca="1">IF(AND('Inserimento dati'!$B$3=$H$2, Tabella1[[#This Row],[LUN]]="X"), "X",IF(AND('Inserimento dati'!$B$3=$I$2, Tabella1[[#This Row],[MAR]]="X"), "X", IF(AND('Inserimento dati'!$B$3=$J$2, Tabella1[[#This Row],[MER]]="X"), "X",IF(AND('Inserimento dati'!$B$3=$K$2, Tabella1[[#This Row],[GIO]]="X"), "X", IF(AND('Inserimento dati'!$B$3=$L$2, Tabella1[[#This Row],[VEN]]="X"), "X","")))))</f>
        <v/>
      </c>
      <c r="U117" s="93"/>
      <c r="V117" s="187">
        <v>45930.833333333336</v>
      </c>
    </row>
    <row r="118" spans="1:22" s="19" customFormat="1" ht="30" x14ac:dyDescent="0.2">
      <c r="A118" s="112"/>
      <c r="B118" s="112"/>
      <c r="C118" s="112" t="str">
        <f>IF(OR(Tabella1[[#This Row],[LUN]]="X",Tabella1[[#This Row],[MAR]]="X",Tabella1[[#This Row],[MER]]="X",Tabella1[[#This Row],[GIO]]="X",Tabella1[[#This Row],[VEN]]="X",),"X","")</f>
        <v/>
      </c>
      <c r="D118" s="113" t="s">
        <v>72</v>
      </c>
      <c r="E118" s="109" t="s">
        <v>2968</v>
      </c>
      <c r="F118" s="109">
        <v>600</v>
      </c>
      <c r="G118" s="109" t="s">
        <v>2969</v>
      </c>
      <c r="H118" s="111"/>
      <c r="I118" s="111"/>
      <c r="J118" s="111"/>
      <c r="K118" s="111"/>
      <c r="L118" s="111"/>
      <c r="M118" s="92" t="s">
        <v>1258</v>
      </c>
      <c r="N118" s="110"/>
      <c r="O118" s="167"/>
      <c r="P118" s="110"/>
      <c r="Q118" s="109" t="s">
        <v>2988</v>
      </c>
      <c r="R118" s="110">
        <v>45916</v>
      </c>
      <c r="S118" s="110" t="s">
        <v>203</v>
      </c>
      <c r="T118" s="114" t="str">
        <f ca="1">IF(AND('Inserimento dati'!$B$3=$H$2, Tabella1[[#This Row],[LUN]]="X"), "X",IF(AND('Inserimento dati'!$B$3=$I$2, Tabella1[[#This Row],[MAR]]="X"), "X", IF(AND('Inserimento dati'!$B$3=$J$2, Tabella1[[#This Row],[MER]]="X"), "X",IF(AND('Inserimento dati'!$B$3=$K$2, Tabella1[[#This Row],[GIO]]="X"), "X", IF(AND('Inserimento dati'!$B$3=$L$2, Tabella1[[#This Row],[VEN]]="X"), "X","")))))</f>
        <v/>
      </c>
      <c r="U118" s="93"/>
      <c r="V118" s="187">
        <v>45930.833333333336</v>
      </c>
    </row>
    <row r="119" spans="1:22" s="19" customFormat="1" ht="23.25" x14ac:dyDescent="0.2">
      <c r="A119" s="112"/>
      <c r="B119" s="112"/>
      <c r="C119" s="112" t="str">
        <f>IF(OR(Tabella1[[#This Row],[LUN]]="X",Tabella1[[#This Row],[MAR]]="X",Tabella1[[#This Row],[MER]]="X",Tabella1[[#This Row],[GIO]]="X",Tabella1[[#This Row],[VEN]]="X",),"X","")</f>
        <v/>
      </c>
      <c r="D119" s="113" t="s">
        <v>72</v>
      </c>
      <c r="E119" s="109" t="s">
        <v>2970</v>
      </c>
      <c r="F119" s="109">
        <v>600</v>
      </c>
      <c r="G119" s="109" t="s">
        <v>2971</v>
      </c>
      <c r="H119" s="111"/>
      <c r="I119" s="111"/>
      <c r="J119" s="111"/>
      <c r="K119" s="111"/>
      <c r="L119" s="111"/>
      <c r="M119" s="92" t="s">
        <v>1258</v>
      </c>
      <c r="N119" s="110"/>
      <c r="O119" s="167"/>
      <c r="P119" s="110"/>
      <c r="Q119" s="109" t="s">
        <v>3013</v>
      </c>
      <c r="R119" s="110">
        <v>45918</v>
      </c>
      <c r="S119" s="110" t="s">
        <v>203</v>
      </c>
      <c r="T119" s="114" t="str">
        <f ca="1">IF(AND('Inserimento dati'!$B$3=$H$2, Tabella1[[#This Row],[LUN]]="X"), "X",IF(AND('Inserimento dati'!$B$3=$I$2, Tabella1[[#This Row],[MAR]]="X"), "X", IF(AND('Inserimento dati'!$B$3=$J$2, Tabella1[[#This Row],[MER]]="X"), "X",IF(AND('Inserimento dati'!$B$3=$K$2, Tabella1[[#This Row],[GIO]]="X"), "X", IF(AND('Inserimento dati'!$B$3=$L$2, Tabella1[[#This Row],[VEN]]="X"), "X","")))))</f>
        <v/>
      </c>
      <c r="U119" s="93"/>
      <c r="V119" s="187">
        <v>45930.833333333336</v>
      </c>
    </row>
    <row r="120" spans="1:22" s="19" customFormat="1" ht="23.25" x14ac:dyDescent="0.2">
      <c r="A120" s="112"/>
      <c r="B120" s="112"/>
      <c r="C120" s="112" t="str">
        <f>IF(OR(Tabella1[[#This Row],[LUN]]="X",Tabella1[[#This Row],[MAR]]="X",Tabella1[[#This Row],[MER]]="X",Tabella1[[#This Row],[GIO]]="X",Tabella1[[#This Row],[VEN]]="X",),"X","")</f>
        <v/>
      </c>
      <c r="D120" s="113" t="s">
        <v>72</v>
      </c>
      <c r="E120" s="109" t="s">
        <v>2974</v>
      </c>
      <c r="F120" s="109">
        <v>1000</v>
      </c>
      <c r="G120" s="109" t="s">
        <v>2975</v>
      </c>
      <c r="H120" s="111"/>
      <c r="I120" s="111"/>
      <c r="J120" s="111"/>
      <c r="K120" s="111"/>
      <c r="L120" s="111"/>
      <c r="M120" s="92" t="s">
        <v>1258</v>
      </c>
      <c r="N120" s="110"/>
      <c r="O120" s="167"/>
      <c r="P120" s="110"/>
      <c r="Q120" s="109" t="s">
        <v>3014</v>
      </c>
      <c r="R120" s="110">
        <v>45918</v>
      </c>
      <c r="S120" s="110" t="s">
        <v>203</v>
      </c>
      <c r="T120" s="114" t="str">
        <f ca="1">IF(AND('Inserimento dati'!$B$3=$H$2, Tabella1[[#This Row],[LUN]]="X"), "X",IF(AND('Inserimento dati'!$B$3=$I$2, Tabella1[[#This Row],[MAR]]="X"), "X", IF(AND('Inserimento dati'!$B$3=$J$2, Tabella1[[#This Row],[MER]]="X"), "X",IF(AND('Inserimento dati'!$B$3=$K$2, Tabella1[[#This Row],[GIO]]="X"), "X", IF(AND('Inserimento dati'!$B$3=$L$2, Tabella1[[#This Row],[VEN]]="X"), "X","")))))</f>
        <v/>
      </c>
      <c r="U120" s="93"/>
      <c r="V120" s="187">
        <v>45930.833333333336</v>
      </c>
    </row>
    <row r="121" spans="1:22" s="19" customFormat="1" ht="60" x14ac:dyDescent="0.2">
      <c r="A121" s="112"/>
      <c r="B121" s="112"/>
      <c r="C121" s="112" t="str">
        <f>IF(OR(Tabella1[[#This Row],[LUN]]="X",Tabella1[[#This Row],[MAR]]="X",Tabella1[[#This Row],[MER]]="X",Tabella1[[#This Row],[GIO]]="X",Tabella1[[#This Row],[VEN]]="X",),"X","")</f>
        <v/>
      </c>
      <c r="D121" s="113" t="s">
        <v>72</v>
      </c>
      <c r="E121" s="109" t="s">
        <v>2997</v>
      </c>
      <c r="F121" s="109">
        <v>1000</v>
      </c>
      <c r="G121" s="109" t="s">
        <v>2998</v>
      </c>
      <c r="H121" s="111"/>
      <c r="I121" s="111"/>
      <c r="J121" s="111"/>
      <c r="K121" s="111"/>
      <c r="L121" s="111"/>
      <c r="M121" s="92" t="s">
        <v>1258</v>
      </c>
      <c r="N121" s="110"/>
      <c r="O121" s="167"/>
      <c r="P121" s="110"/>
      <c r="Q121" s="109" t="s">
        <v>3017</v>
      </c>
      <c r="R121" s="110">
        <v>45918</v>
      </c>
      <c r="S121" s="110" t="s">
        <v>239</v>
      </c>
      <c r="T121" s="114" t="str">
        <f ca="1">IF(AND('Inserimento dati'!$B$3=$H$2, Tabella1[[#This Row],[LUN]]="X"), "X",IF(AND('Inserimento dati'!$B$3=$I$2, Tabella1[[#This Row],[MAR]]="X"), "X", IF(AND('Inserimento dati'!$B$3=$J$2, Tabella1[[#This Row],[MER]]="X"), "X",IF(AND('Inserimento dati'!$B$3=$K$2, Tabella1[[#This Row],[GIO]]="X"), "X", IF(AND('Inserimento dati'!$B$3=$L$2, Tabella1[[#This Row],[VEN]]="X"), "X","")))))</f>
        <v/>
      </c>
      <c r="U121" s="93"/>
      <c r="V121" s="187">
        <v>45930.833333333336</v>
      </c>
    </row>
    <row r="122" spans="1:22" s="19" customFormat="1" ht="30" x14ac:dyDescent="0.2">
      <c r="A122" s="112"/>
      <c r="B122" s="112"/>
      <c r="C122" s="112" t="str">
        <f>IF(OR(Tabella1[[#This Row],[LUN]]="X",Tabella1[[#This Row],[MAR]]="X",Tabella1[[#This Row],[MER]]="X",Tabella1[[#This Row],[GIO]]="X",Tabella1[[#This Row],[VEN]]="X",),"X","")</f>
        <v/>
      </c>
      <c r="D122" s="113" t="s">
        <v>72</v>
      </c>
      <c r="E122" s="109" t="s">
        <v>3019</v>
      </c>
      <c r="F122" s="109">
        <v>500</v>
      </c>
      <c r="G122" s="109" t="s">
        <v>3020</v>
      </c>
      <c r="H122" s="111"/>
      <c r="I122" s="111"/>
      <c r="J122" s="111"/>
      <c r="K122" s="111"/>
      <c r="L122" s="111"/>
      <c r="M122" s="92" t="s">
        <v>1258</v>
      </c>
      <c r="N122" s="110"/>
      <c r="O122" s="167"/>
      <c r="P122" s="110"/>
      <c r="Q122" s="109" t="s">
        <v>3037</v>
      </c>
      <c r="R122" s="110">
        <v>45919</v>
      </c>
      <c r="S122" s="110" t="s">
        <v>203</v>
      </c>
      <c r="T122" s="114" t="str">
        <f ca="1">IF(AND('Inserimento dati'!$B$3=$H$2, Tabella1[[#This Row],[LUN]]="X"), "X",IF(AND('Inserimento dati'!$B$3=$I$2, Tabella1[[#This Row],[MAR]]="X"), "X", IF(AND('Inserimento dati'!$B$3=$J$2, Tabella1[[#This Row],[MER]]="X"), "X",IF(AND('Inserimento dati'!$B$3=$K$2, Tabella1[[#This Row],[GIO]]="X"), "X", IF(AND('Inserimento dati'!$B$3=$L$2, Tabella1[[#This Row],[VEN]]="X"), "X","")))))</f>
        <v/>
      </c>
      <c r="U122" s="93"/>
      <c r="V122" s="187">
        <v>45930.833333333336</v>
      </c>
    </row>
    <row r="123" spans="1:22" s="19" customFormat="1" ht="45" x14ac:dyDescent="0.2">
      <c r="A123" s="112"/>
      <c r="B123" s="112"/>
      <c r="C123" s="112" t="str">
        <f>IF(OR(Tabella1[[#This Row],[LUN]]="X",Tabella1[[#This Row],[MAR]]="X",Tabella1[[#This Row],[MER]]="X",Tabella1[[#This Row],[GIO]]="X",Tabella1[[#This Row],[VEN]]="X",),"X","")</f>
        <v/>
      </c>
      <c r="D123" s="113" t="s">
        <v>72</v>
      </c>
      <c r="E123" s="109" t="s">
        <v>3004</v>
      </c>
      <c r="F123" s="109">
        <v>1000</v>
      </c>
      <c r="G123" s="109" t="s">
        <v>3005</v>
      </c>
      <c r="H123" s="111"/>
      <c r="I123" s="111"/>
      <c r="J123" s="111"/>
      <c r="K123" s="111"/>
      <c r="L123" s="111"/>
      <c r="M123" s="92" t="s">
        <v>1258</v>
      </c>
      <c r="N123" s="110"/>
      <c r="O123" s="167"/>
      <c r="P123" s="110"/>
      <c r="Q123" s="109" t="s">
        <v>3036</v>
      </c>
      <c r="R123" s="110">
        <v>45919</v>
      </c>
      <c r="S123" s="110" t="s">
        <v>203</v>
      </c>
      <c r="T123" s="114" t="str">
        <f ca="1">IF(AND('Inserimento dati'!$B$3=$H$2, Tabella1[[#This Row],[LUN]]="X"), "X",IF(AND('Inserimento dati'!$B$3=$I$2, Tabella1[[#This Row],[MAR]]="X"), "X", IF(AND('Inserimento dati'!$B$3=$J$2, Tabella1[[#This Row],[MER]]="X"), "X",IF(AND('Inserimento dati'!$B$3=$K$2, Tabella1[[#This Row],[GIO]]="X"), "X", IF(AND('Inserimento dati'!$B$3=$L$2, Tabella1[[#This Row],[VEN]]="X"), "X","")))))</f>
        <v/>
      </c>
      <c r="U123" s="93"/>
      <c r="V123" s="187">
        <v>45930.833333333336</v>
      </c>
    </row>
    <row r="124" spans="1:22" s="19" customFormat="1" ht="90" x14ac:dyDescent="0.2">
      <c r="A124" s="112"/>
      <c r="B124" s="112"/>
      <c r="C124" s="112" t="str">
        <f>IF(OR(Tabella1[[#This Row],[LUN]]="X",Tabella1[[#This Row],[MAR]]="X",Tabella1[[#This Row],[MER]]="X",Tabella1[[#This Row],[GIO]]="X",Tabella1[[#This Row],[VEN]]="X",),"X","")</f>
        <v/>
      </c>
      <c r="D124" s="113" t="s">
        <v>72</v>
      </c>
      <c r="E124" s="109" t="s">
        <v>3031</v>
      </c>
      <c r="F124" s="109">
        <v>500</v>
      </c>
      <c r="G124" s="109" t="s">
        <v>3032</v>
      </c>
      <c r="H124" s="111"/>
      <c r="I124" s="111"/>
      <c r="J124" s="111"/>
      <c r="K124" s="111"/>
      <c r="L124" s="111"/>
      <c r="M124" s="92" t="s">
        <v>1258</v>
      </c>
      <c r="N124" s="110"/>
      <c r="O124" s="167"/>
      <c r="P124" s="110"/>
      <c r="Q124" s="109" t="s">
        <v>3046</v>
      </c>
      <c r="R124" s="110">
        <v>45923</v>
      </c>
      <c r="S124" s="110" t="s">
        <v>203</v>
      </c>
      <c r="T124" s="114" t="str">
        <f ca="1">IF(AND('Inserimento dati'!$B$3=$H$2, Tabella1[[#This Row],[LUN]]="X"), "X",IF(AND('Inserimento dati'!$B$3=$I$2, Tabella1[[#This Row],[MAR]]="X"), "X", IF(AND('Inserimento dati'!$B$3=$J$2, Tabella1[[#This Row],[MER]]="X"), "X",IF(AND('Inserimento dati'!$B$3=$K$2, Tabella1[[#This Row],[GIO]]="X"), "X", IF(AND('Inserimento dati'!$B$3=$L$2, Tabella1[[#This Row],[VEN]]="X"), "X","")))))</f>
        <v/>
      </c>
      <c r="U124" s="93"/>
      <c r="V124" s="187">
        <v>45930.833333333336</v>
      </c>
    </row>
    <row r="125" spans="1:22" s="19" customFormat="1" ht="30" x14ac:dyDescent="0.2">
      <c r="A125" s="112"/>
      <c r="B125" s="112"/>
      <c r="C125" s="112" t="str">
        <f>IF(OR(Tabella1[[#This Row],[LUN]]="X",Tabella1[[#This Row],[MAR]]="X",Tabella1[[#This Row],[MER]]="X",Tabella1[[#This Row],[GIO]]="X",Tabella1[[#This Row],[VEN]]="X",),"X","")</f>
        <v/>
      </c>
      <c r="D125" s="113" t="s">
        <v>72</v>
      </c>
      <c r="E125" s="109" t="s">
        <v>3033</v>
      </c>
      <c r="F125" s="109">
        <v>1000</v>
      </c>
      <c r="G125" s="109" t="s">
        <v>3034</v>
      </c>
      <c r="H125" s="111"/>
      <c r="I125" s="111"/>
      <c r="J125" s="111"/>
      <c r="K125" s="111"/>
      <c r="L125" s="111"/>
      <c r="M125" s="92" t="s">
        <v>1258</v>
      </c>
      <c r="N125" s="110"/>
      <c r="O125" s="167"/>
      <c r="P125" s="110"/>
      <c r="Q125" s="109" t="s">
        <v>3047</v>
      </c>
      <c r="R125" s="110">
        <v>45923</v>
      </c>
      <c r="S125" s="110" t="s">
        <v>211</v>
      </c>
      <c r="T125" s="114" t="str">
        <f ca="1">IF(AND('Inserimento dati'!$B$3=$H$2, Tabella1[[#This Row],[LUN]]="X"), "X",IF(AND('Inserimento dati'!$B$3=$I$2, Tabella1[[#This Row],[MAR]]="X"), "X", IF(AND('Inserimento dati'!$B$3=$J$2, Tabella1[[#This Row],[MER]]="X"), "X",IF(AND('Inserimento dati'!$B$3=$K$2, Tabella1[[#This Row],[GIO]]="X"), "X", IF(AND('Inserimento dati'!$B$3=$L$2, Tabella1[[#This Row],[VEN]]="X"), "X","")))))</f>
        <v/>
      </c>
      <c r="U125" s="93"/>
      <c r="V125" s="187">
        <v>45930.833333333336</v>
      </c>
    </row>
    <row r="126" spans="1:22" s="19" customFormat="1" ht="23.25" x14ac:dyDescent="0.2">
      <c r="A126" s="112"/>
      <c r="B126" s="112"/>
      <c r="C126" s="112" t="str">
        <f>IF(OR(Tabella1[[#This Row],[LUN]]="X",Tabella1[[#This Row],[MAR]]="X",Tabella1[[#This Row],[MER]]="X",Tabella1[[#This Row],[GIO]]="X",Tabella1[[#This Row],[VEN]]="X",),"X","")</f>
        <v/>
      </c>
      <c r="D126" s="113" t="s">
        <v>72</v>
      </c>
      <c r="E126" s="109" t="s">
        <v>2701</v>
      </c>
      <c r="F126" s="109">
        <v>1000</v>
      </c>
      <c r="G126" s="109" t="s">
        <v>2702</v>
      </c>
      <c r="H126" s="111"/>
      <c r="I126" s="111"/>
      <c r="J126" s="111"/>
      <c r="K126" s="111"/>
      <c r="L126" s="111"/>
      <c r="M126" s="92" t="s">
        <v>1036</v>
      </c>
      <c r="N126" s="110"/>
      <c r="O126" s="167"/>
      <c r="P126" s="110"/>
      <c r="Q126" s="109"/>
      <c r="R126" s="110"/>
      <c r="S126" s="110"/>
      <c r="T126" s="114" t="str">
        <f ca="1">IF(AND('Inserimento dati'!$B$3=$H$2, Tabella1[[#This Row],[LUN]]="X"), "X",IF(AND('Inserimento dati'!$B$3=$I$2, Tabella1[[#This Row],[MAR]]="X"), "X", IF(AND('Inserimento dati'!$B$3=$J$2, Tabella1[[#This Row],[MER]]="X"), "X",IF(AND('Inserimento dati'!$B$3=$K$2, Tabella1[[#This Row],[GIO]]="X"), "X", IF(AND('Inserimento dati'!$B$3=$L$2, Tabella1[[#This Row],[VEN]]="X"), "X","")))))</f>
        <v/>
      </c>
      <c r="U126" s="93"/>
      <c r="V126" s="187">
        <v>45930.833333333336</v>
      </c>
    </row>
    <row r="127" spans="1:22" s="19" customFormat="1" ht="23.25" x14ac:dyDescent="0.2">
      <c r="A127" s="112"/>
      <c r="B127" s="112"/>
      <c r="C127" s="112" t="str">
        <f>IF(OR(Tabella1[[#This Row],[LUN]]="X",Tabella1[[#This Row],[MAR]]="X",Tabella1[[#This Row],[MER]]="X",Tabella1[[#This Row],[GIO]]="X",Tabella1[[#This Row],[VEN]]="X",),"X","")</f>
        <v/>
      </c>
      <c r="D127" s="113" t="s">
        <v>72</v>
      </c>
      <c r="E127" s="109" t="s">
        <v>2686</v>
      </c>
      <c r="F127" s="109">
        <v>1000</v>
      </c>
      <c r="G127" s="109" t="s">
        <v>2687</v>
      </c>
      <c r="H127" s="111"/>
      <c r="I127" s="111"/>
      <c r="J127" s="111"/>
      <c r="K127" s="111"/>
      <c r="L127" s="111"/>
      <c r="M127" s="92" t="s">
        <v>1036</v>
      </c>
      <c r="N127" s="110"/>
      <c r="O127" s="167"/>
      <c r="P127" s="110"/>
      <c r="Q127" s="109"/>
      <c r="R127" s="110">
        <v>45891</v>
      </c>
      <c r="S127" s="110"/>
      <c r="T127" s="114" t="str">
        <f ca="1">IF(AND('Inserimento dati'!$B$3=$H$2, Tabella1[[#This Row],[LUN]]="X"), "X",IF(AND('Inserimento dati'!$B$3=$I$2, Tabella1[[#This Row],[MAR]]="X"), "X", IF(AND('Inserimento dati'!$B$3=$J$2, Tabella1[[#This Row],[MER]]="X"), "X",IF(AND('Inserimento dati'!$B$3=$K$2, Tabella1[[#This Row],[GIO]]="X"), "X", IF(AND('Inserimento dati'!$B$3=$L$2, Tabella1[[#This Row],[VEN]]="X"), "X","")))))</f>
        <v/>
      </c>
      <c r="U127" s="93"/>
      <c r="V127" s="187">
        <v>45930.833333333336</v>
      </c>
    </row>
    <row r="128" spans="1:22" s="19" customFormat="1" ht="30" x14ac:dyDescent="0.2">
      <c r="A128" s="112"/>
      <c r="B128" s="112"/>
      <c r="C128" s="112" t="str">
        <f>IF(OR(Tabella1[[#This Row],[LUN]]="X",Tabella1[[#This Row],[MAR]]="X",Tabella1[[#This Row],[MER]]="X",Tabella1[[#This Row],[GIO]]="X",Tabella1[[#This Row],[VEN]]="X",),"X","")</f>
        <v/>
      </c>
      <c r="D128" s="113" t="s">
        <v>72</v>
      </c>
      <c r="E128" s="109" t="s">
        <v>2511</v>
      </c>
      <c r="F128" s="109">
        <v>600</v>
      </c>
      <c r="G128" s="109" t="s">
        <v>2512</v>
      </c>
      <c r="H128" s="111"/>
      <c r="I128" s="111"/>
      <c r="J128" s="111"/>
      <c r="K128" s="111"/>
      <c r="L128" s="111"/>
      <c r="M128" s="92" t="s">
        <v>1036</v>
      </c>
      <c r="N128" s="110"/>
      <c r="O128" s="167"/>
      <c r="P128" s="110"/>
      <c r="Q128" s="109"/>
      <c r="R128" s="110"/>
      <c r="S128" s="110"/>
      <c r="T128" s="114" t="str">
        <f ca="1">IF(AND('Inserimento dati'!$B$3=$H$2, Tabella1[[#This Row],[LUN]]="X"), "X",IF(AND('Inserimento dati'!$B$3=$I$2, Tabella1[[#This Row],[MAR]]="X"), "X", IF(AND('Inserimento dati'!$B$3=$J$2, Tabella1[[#This Row],[MER]]="X"), "X",IF(AND('Inserimento dati'!$B$3=$K$2, Tabella1[[#This Row],[GIO]]="X"), "X", IF(AND('Inserimento dati'!$B$3=$L$2, Tabella1[[#This Row],[VEN]]="X"), "X","")))))</f>
        <v/>
      </c>
      <c r="U128" s="93"/>
      <c r="V128" s="187">
        <v>45930.833333333336</v>
      </c>
    </row>
    <row r="129" spans="1:22" s="19" customFormat="1" ht="30" x14ac:dyDescent="0.2">
      <c r="A129" s="112"/>
      <c r="B129" s="112"/>
      <c r="C129" s="112" t="str">
        <f>IF(OR(Tabella1[[#This Row],[LUN]]="X",Tabella1[[#This Row],[MAR]]="X",Tabella1[[#This Row],[MER]]="X",Tabella1[[#This Row],[GIO]]="X",Tabella1[[#This Row],[VEN]]="X",),"X","")</f>
        <v/>
      </c>
      <c r="D129" s="113" t="s">
        <v>72</v>
      </c>
      <c r="E129" s="109" t="s">
        <v>2492</v>
      </c>
      <c r="F129" s="109">
        <v>600</v>
      </c>
      <c r="G129" s="109" t="s">
        <v>2493</v>
      </c>
      <c r="H129" s="111"/>
      <c r="I129" s="111"/>
      <c r="J129" s="111"/>
      <c r="K129" s="111"/>
      <c r="L129" s="111"/>
      <c r="M129" s="92" t="s">
        <v>1036</v>
      </c>
      <c r="N129" s="110"/>
      <c r="O129" s="167"/>
      <c r="P129" s="110"/>
      <c r="Q129" s="109" t="s">
        <v>2496</v>
      </c>
      <c r="R129" s="110">
        <v>45866</v>
      </c>
      <c r="S129" s="110" t="s">
        <v>102</v>
      </c>
      <c r="T129" s="114" t="str">
        <f ca="1">IF(AND('Inserimento dati'!$B$3=$H$2, Tabella1[[#This Row],[LUN]]="X"), "X",IF(AND('Inserimento dati'!$B$3=$I$2, Tabella1[[#This Row],[MAR]]="X"), "X", IF(AND('Inserimento dati'!$B$3=$J$2, Tabella1[[#This Row],[MER]]="X"), "X",IF(AND('Inserimento dati'!$B$3=$K$2, Tabella1[[#This Row],[GIO]]="X"), "X", IF(AND('Inserimento dati'!$B$3=$L$2, Tabella1[[#This Row],[VEN]]="X"), "X","")))))</f>
        <v/>
      </c>
      <c r="U129" s="93"/>
      <c r="V129" s="187">
        <v>45930.833333333336</v>
      </c>
    </row>
    <row r="130" spans="1:22" s="19" customFormat="1" ht="30" x14ac:dyDescent="0.2">
      <c r="A130" s="112"/>
      <c r="B130" s="112"/>
      <c r="C130" s="112" t="str">
        <f>IF(OR(Tabella1[[#This Row],[LUN]]="X",Tabella1[[#This Row],[MAR]]="X",Tabella1[[#This Row],[MER]]="X",Tabella1[[#This Row],[GIO]]="X",Tabella1[[#This Row],[VEN]]="X",),"X","")</f>
        <v/>
      </c>
      <c r="D130" s="113" t="s">
        <v>72</v>
      </c>
      <c r="E130" s="109" t="s">
        <v>2472</v>
      </c>
      <c r="F130" s="109">
        <v>1000</v>
      </c>
      <c r="G130" s="109" t="s">
        <v>2473</v>
      </c>
      <c r="H130" s="111"/>
      <c r="I130" s="111"/>
      <c r="J130" s="111"/>
      <c r="K130" s="111"/>
      <c r="L130" s="111"/>
      <c r="M130" s="92" t="s">
        <v>1036</v>
      </c>
      <c r="N130" s="110"/>
      <c r="O130" s="167"/>
      <c r="P130" s="110"/>
      <c r="Q130" s="109"/>
      <c r="R130" s="110"/>
      <c r="S130" s="110"/>
      <c r="T130" s="114" t="str">
        <f ca="1">IF(AND('Inserimento dati'!$B$3=$H$2, Tabella1[[#This Row],[LUN]]="X"), "X",IF(AND('Inserimento dati'!$B$3=$I$2, Tabella1[[#This Row],[MAR]]="X"), "X", IF(AND('Inserimento dati'!$B$3=$J$2, Tabella1[[#This Row],[MER]]="X"), "X",IF(AND('Inserimento dati'!$B$3=$K$2, Tabella1[[#This Row],[GIO]]="X"), "X", IF(AND('Inserimento dati'!$B$3=$L$2, Tabella1[[#This Row],[VEN]]="X"), "X","")))))</f>
        <v/>
      </c>
      <c r="U130" s="93"/>
      <c r="V130" s="187">
        <v>45930.833333333336</v>
      </c>
    </row>
    <row r="131" spans="1:22" s="19" customFormat="1" ht="30" x14ac:dyDescent="0.2">
      <c r="A131" s="112"/>
      <c r="B131" s="112"/>
      <c r="C131" s="112" t="str">
        <f>IF(OR(Tabella1[[#This Row],[LUN]]="X",Tabella1[[#This Row],[MAR]]="X",Tabella1[[#This Row],[MER]]="X",Tabella1[[#This Row],[GIO]]="X",Tabella1[[#This Row],[VEN]]="X",),"X","")</f>
        <v/>
      </c>
      <c r="D131" s="113" t="s">
        <v>72</v>
      </c>
      <c r="E131" s="109" t="s">
        <v>2343</v>
      </c>
      <c r="F131" s="109">
        <v>1000</v>
      </c>
      <c r="G131" s="109" t="s">
        <v>2344</v>
      </c>
      <c r="H131" s="111"/>
      <c r="I131" s="111"/>
      <c r="J131" s="111"/>
      <c r="K131" s="111"/>
      <c r="L131" s="111"/>
      <c r="M131" s="92" t="s">
        <v>1036</v>
      </c>
      <c r="N131" s="110"/>
      <c r="O131" s="167"/>
      <c r="P131" s="110"/>
      <c r="Q131" s="109"/>
      <c r="R131" s="110"/>
      <c r="S131" s="110"/>
      <c r="T131" s="114" t="str">
        <f ca="1">IF(AND('Inserimento dati'!$B$3=$H$2, Tabella1[[#This Row],[LUN]]="X"), "X",IF(AND('Inserimento dati'!$B$3=$I$2, Tabella1[[#This Row],[MAR]]="X"), "X", IF(AND('Inserimento dati'!$B$3=$J$2, Tabella1[[#This Row],[MER]]="X"), "X",IF(AND('Inserimento dati'!$B$3=$K$2, Tabella1[[#This Row],[GIO]]="X"), "X", IF(AND('Inserimento dati'!$B$3=$L$2, Tabella1[[#This Row],[VEN]]="X"), "X","")))))</f>
        <v/>
      </c>
      <c r="U131" s="93"/>
      <c r="V131" s="187">
        <v>45930.833333333336</v>
      </c>
    </row>
    <row r="132" spans="1:22" s="19" customFormat="1" ht="23.25" x14ac:dyDescent="0.2">
      <c r="A132" s="112"/>
      <c r="B132" s="112"/>
      <c r="C132" s="112" t="str">
        <f>IF(OR(Tabella1[[#This Row],[LUN]]="X",Tabella1[[#This Row],[MAR]]="X",Tabella1[[#This Row],[MER]]="X",Tabella1[[#This Row],[GIO]]="X",Tabella1[[#This Row],[VEN]]="X",),"X","")</f>
        <v/>
      </c>
      <c r="D132" s="113" t="s">
        <v>72</v>
      </c>
      <c r="E132" s="109" t="s">
        <v>2288</v>
      </c>
      <c r="F132" s="109">
        <v>1000</v>
      </c>
      <c r="G132" s="109" t="s">
        <v>2289</v>
      </c>
      <c r="H132" s="111"/>
      <c r="I132" s="111"/>
      <c r="J132" s="111"/>
      <c r="K132" s="111"/>
      <c r="L132" s="111"/>
      <c r="M132" s="92" t="s">
        <v>1036</v>
      </c>
      <c r="N132" s="110"/>
      <c r="O132" s="167"/>
      <c r="P132" s="110"/>
      <c r="Q132" s="109" t="s">
        <v>2291</v>
      </c>
      <c r="R132" s="110">
        <v>45754</v>
      </c>
      <c r="S132" s="110" t="s">
        <v>203</v>
      </c>
      <c r="T132" s="114" t="str">
        <f ca="1">IF(AND('Inserimento dati'!$B$3=$H$2, Tabella1[[#This Row],[LUN]]="X"), "X",IF(AND('Inserimento dati'!$B$3=$I$2, Tabella1[[#This Row],[MAR]]="X"), "X", IF(AND('Inserimento dati'!$B$3=$J$2, Tabella1[[#This Row],[MER]]="X"), "X",IF(AND('Inserimento dati'!$B$3=$K$2, Tabella1[[#This Row],[GIO]]="X"), "X", IF(AND('Inserimento dati'!$B$3=$L$2, Tabella1[[#This Row],[VEN]]="X"), "X","")))))</f>
        <v/>
      </c>
      <c r="U132" s="129"/>
      <c r="V132" s="187">
        <v>45930.833333333336</v>
      </c>
    </row>
    <row r="133" spans="1:22" s="19" customFormat="1" ht="23.25" x14ac:dyDescent="0.2">
      <c r="A133" s="112"/>
      <c r="B133" s="112"/>
      <c r="C133" s="112" t="str">
        <f>IF(OR(Tabella1[[#This Row],[LUN]]="X",Tabella1[[#This Row],[MAR]]="X",Tabella1[[#This Row],[MER]]="X",Tabella1[[#This Row],[GIO]]="X",Tabella1[[#This Row],[VEN]]="X",),"X","")</f>
        <v/>
      </c>
      <c r="D133" s="113" t="s">
        <v>72</v>
      </c>
      <c r="E133" s="109" t="s">
        <v>1665</v>
      </c>
      <c r="F133" s="109">
        <v>500</v>
      </c>
      <c r="G133" s="109" t="s">
        <v>1664</v>
      </c>
      <c r="H133" s="111"/>
      <c r="I133" s="111"/>
      <c r="J133" s="111"/>
      <c r="K133" s="111"/>
      <c r="L133" s="111"/>
      <c r="M133" s="92" t="s">
        <v>1036</v>
      </c>
      <c r="N133" s="110"/>
      <c r="O133" s="167"/>
      <c r="P133" s="110"/>
      <c r="Q133" s="109"/>
      <c r="R133" s="110">
        <v>45820</v>
      </c>
      <c r="S133" s="110" t="s">
        <v>705</v>
      </c>
      <c r="T133" s="114" t="str">
        <f ca="1">IF(AND('Inserimento dati'!$B$3=$H$2, Tabella1[[#This Row],[LUN]]="X"), "X",IF(AND('Inserimento dati'!$B$3=$I$2, Tabella1[[#This Row],[MAR]]="X"), "X", IF(AND('Inserimento dati'!$B$3=$J$2, Tabella1[[#This Row],[MER]]="X"), "X",IF(AND('Inserimento dati'!$B$3=$K$2, Tabella1[[#This Row],[GIO]]="X"), "X", IF(AND('Inserimento dati'!$B$3=$L$2, Tabella1[[#This Row],[VEN]]="X"), "X","")))))</f>
        <v/>
      </c>
      <c r="U133" s="130" t="str">
        <f t="shared" ref="U133:U146" ca="1" si="6">IFERROR(MID(G133,_xlfn.AGGREGATE(15,6,(ROW(INDIRECT("1:"&amp;LEN(G133)-7)))/(ISNUMBER(--MID(G133,ROW(INDIRECT("1:"&amp;LEN(G133)-7)),8))),1),8),"")</f>
        <v/>
      </c>
      <c r="V133" s="187">
        <v>45930.833333333336</v>
      </c>
    </row>
    <row r="134" spans="1:22" s="19" customFormat="1" ht="30" x14ac:dyDescent="0.2">
      <c r="A134" s="112"/>
      <c r="B134" s="112" t="str">
        <f>IF(OR(A134="x",A134="X"),"",IF(ISBLANK(A134),"X",""))</f>
        <v>X</v>
      </c>
      <c r="C134" s="112" t="str">
        <f>IF(OR(Tabella1[[#This Row],[LUN]]="X",Tabella1[[#This Row],[MAR]]="X",Tabella1[[#This Row],[MER]]="X",Tabella1[[#This Row],[GIO]]="X",Tabella1[[#This Row],[VEN]]="X",),"X","")</f>
        <v/>
      </c>
      <c r="D134" s="113" t="s">
        <v>72</v>
      </c>
      <c r="E134" s="109" t="s">
        <v>1377</v>
      </c>
      <c r="F134" s="109">
        <v>1000</v>
      </c>
      <c r="G134" s="109" t="s">
        <v>1367</v>
      </c>
      <c r="H134" s="111"/>
      <c r="I134" s="111"/>
      <c r="J134" s="111"/>
      <c r="K134" s="111"/>
      <c r="L134" s="111"/>
      <c r="M134" s="110" t="s">
        <v>1036</v>
      </c>
      <c r="N134" s="110"/>
      <c r="O134" s="167"/>
      <c r="P134" s="110"/>
      <c r="Q134" s="109"/>
      <c r="R134" s="110"/>
      <c r="S134" s="110"/>
      <c r="T134" s="114" t="str">
        <f ca="1">IF(AND('Inserimento dati'!$B$3=$H$2, Tabella1[[#This Row],[LUN]]="X"), "X",IF(AND('Inserimento dati'!$B$3=$I$2, Tabella1[[#This Row],[MAR]]="X"), "X", IF(AND('Inserimento dati'!$B$3=$J$2, Tabella1[[#This Row],[MER]]="X"), "X",IF(AND('Inserimento dati'!$B$3=$K$2, Tabella1[[#This Row],[GIO]]="X"), "X", IF(AND('Inserimento dati'!$B$3=$L$2, Tabella1[[#This Row],[VEN]]="X"), "X","")))))</f>
        <v/>
      </c>
      <c r="U134" s="131" t="str">
        <f t="shared" ca="1" si="6"/>
        <v/>
      </c>
      <c r="V134" s="187">
        <v>45930.833333333336</v>
      </c>
    </row>
    <row r="135" spans="1:22" s="19" customFormat="1" ht="45" x14ac:dyDescent="0.2">
      <c r="A135" s="112"/>
      <c r="B135" s="112" t="str">
        <f>IF(OR(A135="x",A135="X"),"",IF(ISBLANK(A135),"X",""))</f>
        <v>X</v>
      </c>
      <c r="C135" s="112" t="str">
        <f>IF(OR(Tabella1[[#This Row],[LUN]]="X",Tabella1[[#This Row],[MAR]]="X",Tabella1[[#This Row],[MER]]="X",Tabella1[[#This Row],[GIO]]="X",Tabella1[[#This Row],[VEN]]="X",),"X","")</f>
        <v/>
      </c>
      <c r="D135" s="113" t="s">
        <v>72</v>
      </c>
      <c r="E135" s="109" t="s">
        <v>1166</v>
      </c>
      <c r="F135" s="109">
        <v>500</v>
      </c>
      <c r="G135" s="109" t="s">
        <v>1155</v>
      </c>
      <c r="H135" s="111"/>
      <c r="I135" s="111"/>
      <c r="J135" s="111"/>
      <c r="K135" s="111"/>
      <c r="L135" s="111"/>
      <c r="M135" s="110" t="s">
        <v>1036</v>
      </c>
      <c r="N135" s="110"/>
      <c r="O135" s="167"/>
      <c r="P135" s="110"/>
      <c r="Q135" s="109"/>
      <c r="R135" s="110"/>
      <c r="S135" s="110"/>
      <c r="T135" s="112" t="str">
        <f ca="1">IF(AND('Inserimento dati'!$B$3=$H$2, Tabella1[[#This Row],[LUN]]="X"), "X",IF(AND('Inserimento dati'!$B$3=$I$2, Tabella1[[#This Row],[MAR]]="X"), "X", IF(AND('Inserimento dati'!$B$3=$J$2, Tabella1[[#This Row],[MER]]="X"), "X",IF(AND('Inserimento dati'!$B$3=$K$2, Tabella1[[#This Row],[GIO]]="X"), "X", IF(AND('Inserimento dati'!$B$3=$L$2, Tabella1[[#This Row],[VEN]]="X"), "X","")))))</f>
        <v/>
      </c>
      <c r="U135" s="131" t="str">
        <f t="shared" ca="1" si="6"/>
        <v/>
      </c>
      <c r="V135" s="187">
        <v>45930.833333333336</v>
      </c>
    </row>
    <row r="136" spans="1:22" s="19" customFormat="1" ht="45" x14ac:dyDescent="0.2">
      <c r="A136" s="112"/>
      <c r="B136" s="112" t="str">
        <f>IF(OR(A136="x",A136="X"),"",IF(ISBLANK(A136),"X",""))</f>
        <v>X</v>
      </c>
      <c r="C136" s="112" t="str">
        <f>IF(OR(Tabella1[[#This Row],[LUN]]="X",Tabella1[[#This Row],[MAR]]="X",Tabella1[[#This Row],[MER]]="X",Tabella1[[#This Row],[GIO]]="X",Tabella1[[#This Row],[VEN]]="X",),"X","")</f>
        <v/>
      </c>
      <c r="D136" s="113" t="s">
        <v>72</v>
      </c>
      <c r="E136" s="109" t="s">
        <v>1167</v>
      </c>
      <c r="F136" s="109">
        <v>500</v>
      </c>
      <c r="G136" s="109" t="s">
        <v>1154</v>
      </c>
      <c r="H136" s="111"/>
      <c r="I136" s="111"/>
      <c r="J136" s="111"/>
      <c r="K136" s="111"/>
      <c r="L136" s="111"/>
      <c r="M136" s="110" t="s">
        <v>1036</v>
      </c>
      <c r="N136" s="110"/>
      <c r="O136" s="167"/>
      <c r="P136" s="110"/>
      <c r="Q136" s="109"/>
      <c r="R136" s="110"/>
      <c r="S136" s="110"/>
      <c r="T136" s="112" t="str">
        <f ca="1">IF(AND('Inserimento dati'!$B$3=$H$2, Tabella1[[#This Row],[LUN]]="X"), "X",IF(AND('Inserimento dati'!$B$3=$I$2, Tabella1[[#This Row],[MAR]]="X"), "X", IF(AND('Inserimento dati'!$B$3=$J$2, Tabella1[[#This Row],[MER]]="X"), "X",IF(AND('Inserimento dati'!$B$3=$K$2, Tabella1[[#This Row],[GIO]]="X"), "X", IF(AND('Inserimento dati'!$B$3=$L$2, Tabella1[[#This Row],[VEN]]="X"), "X","")))))</f>
        <v/>
      </c>
      <c r="U136" s="131" t="str">
        <f t="shared" ca="1" si="6"/>
        <v/>
      </c>
      <c r="V136" s="187">
        <v>45930.833333333336</v>
      </c>
    </row>
    <row r="137" spans="1:22" s="19" customFormat="1" ht="23.25" x14ac:dyDescent="0.2">
      <c r="A137" s="112"/>
      <c r="B137" s="112" t="str">
        <f>IF(OR(A137="x",A137="X"),"",IF(ISBLANK(A137),"X",""))</f>
        <v>X</v>
      </c>
      <c r="C137" s="112" t="str">
        <f>IF(OR(Tabella1[[#This Row],[LUN]]="X",Tabella1[[#This Row],[MAR]]="X",Tabella1[[#This Row],[MER]]="X",Tabella1[[#This Row],[GIO]]="X",Tabella1[[#This Row],[VEN]]="X",),"X","")</f>
        <v/>
      </c>
      <c r="D137" s="113" t="s">
        <v>72</v>
      </c>
      <c r="E137" s="109" t="s">
        <v>1093</v>
      </c>
      <c r="F137" s="109">
        <v>500</v>
      </c>
      <c r="G137" s="109" t="s">
        <v>1092</v>
      </c>
      <c r="H137" s="111"/>
      <c r="I137" s="111"/>
      <c r="J137" s="111"/>
      <c r="K137" s="111"/>
      <c r="L137" s="111"/>
      <c r="M137" s="110" t="s">
        <v>1036</v>
      </c>
      <c r="N137" s="110"/>
      <c r="O137" s="167"/>
      <c r="P137" s="110"/>
      <c r="Q137" s="110"/>
      <c r="R137" s="110"/>
      <c r="S137" s="110"/>
      <c r="T137" s="112" t="str">
        <f ca="1">IF(AND('Inserimento dati'!$B$3=$H$2, Tabella1[[#This Row],[LUN]]="X"), "X",IF(AND('Inserimento dati'!$B$3=$I$2, Tabella1[[#This Row],[MAR]]="X"), "X", IF(AND('Inserimento dati'!$B$3=$J$2, Tabella1[[#This Row],[MER]]="X"), "X",IF(AND('Inserimento dati'!$B$3=$K$2, Tabella1[[#This Row],[GIO]]="X"), "X", IF(AND('Inserimento dati'!$B$3=$L$2, Tabella1[[#This Row],[VEN]]="X"), "X","")))))</f>
        <v/>
      </c>
      <c r="U137" s="131" t="str">
        <f t="shared" ca="1" si="6"/>
        <v/>
      </c>
      <c r="V137" s="187">
        <v>45930.833333333336</v>
      </c>
    </row>
    <row r="138" spans="1:22" s="19" customFormat="1" ht="23.25" x14ac:dyDescent="0.25">
      <c r="A138" s="112"/>
      <c r="B138" s="112" t="str">
        <f>IF(OR(A138="x",A138="X"),"",IF(ISBLANK(A138),"X",""))</f>
        <v>X</v>
      </c>
      <c r="C138" s="112" t="str">
        <f>IF(OR(Tabella1[[#This Row],[LUN]]="X",Tabella1[[#This Row],[MAR]]="X",Tabella1[[#This Row],[MER]]="X",Tabella1[[#This Row],[GIO]]="X",Tabella1[[#This Row],[VEN]]="X",),"X","")</f>
        <v/>
      </c>
      <c r="D138" s="113" t="s">
        <v>72</v>
      </c>
      <c r="E138" s="109" t="s">
        <v>1322</v>
      </c>
      <c r="F138" s="109">
        <v>1000</v>
      </c>
      <c r="G138" s="109" t="s">
        <v>1321</v>
      </c>
      <c r="H138" s="111"/>
      <c r="I138" s="111"/>
      <c r="J138" s="111"/>
      <c r="K138" s="111"/>
      <c r="L138" s="111"/>
      <c r="M138" s="110" t="s">
        <v>1036</v>
      </c>
      <c r="N138" s="110"/>
      <c r="O138" s="167"/>
      <c r="P138" s="110"/>
      <c r="Q138" s="109" t="s">
        <v>1320</v>
      </c>
      <c r="R138" s="110"/>
      <c r="S138" s="110"/>
      <c r="T138" s="114" t="str">
        <f ca="1">IF(AND('Inserimento dati'!$B$3=$H$2, Tabella1[[#This Row],[LUN]]="X"), "X",IF(AND('Inserimento dati'!$B$3=$I$2, Tabella1[[#This Row],[MAR]]="X"), "X", IF(AND('Inserimento dati'!$B$3=$J$2, Tabella1[[#This Row],[MER]]="X"), "X",IF(AND('Inserimento dati'!$B$3=$K$2, Tabella1[[#This Row],[GIO]]="X"), "X", IF(AND('Inserimento dati'!$B$3=$L$2, Tabella1[[#This Row],[VEN]]="X"), "X","")))))</f>
        <v/>
      </c>
      <c r="U138" s="132" t="str">
        <f t="shared" ca="1" si="6"/>
        <v/>
      </c>
      <c r="V138" s="187">
        <v>45930.833333333336</v>
      </c>
    </row>
    <row r="139" spans="1:22" s="19" customFormat="1" ht="45" x14ac:dyDescent="0.2">
      <c r="A139" s="112"/>
      <c r="B139" s="112"/>
      <c r="C139" s="112" t="str">
        <f>IF(OR(Tabella1[[#This Row],[LUN]]="X",Tabella1[[#This Row],[MAR]]="X",Tabella1[[#This Row],[MER]]="X",Tabella1[[#This Row],[GIO]]="X",Tabella1[[#This Row],[VEN]]="X",),"X","")</f>
        <v/>
      </c>
      <c r="D139" s="113" t="s">
        <v>72</v>
      </c>
      <c r="E139" s="109" t="s">
        <v>1509</v>
      </c>
      <c r="F139" s="109">
        <v>500</v>
      </c>
      <c r="G139" s="109" t="s">
        <v>1507</v>
      </c>
      <c r="H139" s="111"/>
      <c r="I139" s="111"/>
      <c r="J139" s="111"/>
      <c r="K139" s="111"/>
      <c r="L139" s="111"/>
      <c r="M139" s="110" t="s">
        <v>1036</v>
      </c>
      <c r="N139" s="110"/>
      <c r="O139" s="167"/>
      <c r="P139" s="110"/>
      <c r="Q139" s="109"/>
      <c r="R139" s="110"/>
      <c r="S139" s="110"/>
      <c r="T139" s="114" t="str">
        <f ca="1">IF(AND('Inserimento dati'!$B$3=$H$2, Tabella1[[#This Row],[LUN]]="X"), "X",IF(AND('Inserimento dati'!$B$3=$I$2, Tabella1[[#This Row],[MAR]]="X"), "X", IF(AND('Inserimento dati'!$B$3=$J$2, Tabella1[[#This Row],[MER]]="X"), "X",IF(AND('Inserimento dati'!$B$3=$K$2, Tabella1[[#This Row],[GIO]]="X"), "X", IF(AND('Inserimento dati'!$B$3=$L$2, Tabella1[[#This Row],[VEN]]="X"), "X","")))))</f>
        <v/>
      </c>
      <c r="U139" s="133" t="str">
        <f t="shared" ca="1" si="6"/>
        <v/>
      </c>
      <c r="V139" s="187">
        <v>45930.833333333336</v>
      </c>
    </row>
    <row r="140" spans="1:22" s="19" customFormat="1" ht="30" x14ac:dyDescent="0.2">
      <c r="A140" s="112"/>
      <c r="B140" s="112"/>
      <c r="C140" s="112" t="str">
        <f>IF(OR(Tabella1[[#This Row],[LUN]]="X",Tabella1[[#This Row],[MAR]]="X",Tabella1[[#This Row],[MER]]="X",Tabella1[[#This Row],[GIO]]="X",Tabella1[[#This Row],[VEN]]="X",),"X","")</f>
        <v/>
      </c>
      <c r="D140" s="113" t="s">
        <v>72</v>
      </c>
      <c r="E140" s="109" t="s">
        <v>1568</v>
      </c>
      <c r="F140" s="109">
        <v>600</v>
      </c>
      <c r="G140" s="109" t="s">
        <v>1525</v>
      </c>
      <c r="H140" s="111"/>
      <c r="I140" s="111"/>
      <c r="J140" s="111"/>
      <c r="K140" s="111"/>
      <c r="L140" s="111"/>
      <c r="M140" s="92" t="s">
        <v>1036</v>
      </c>
      <c r="N140" s="110"/>
      <c r="O140" s="167"/>
      <c r="P140" s="110"/>
      <c r="Q140" s="109"/>
      <c r="R140" s="110"/>
      <c r="S140" s="110"/>
      <c r="T140" s="114" t="str">
        <f ca="1">IF(AND('Inserimento dati'!$B$3=$H$2, Tabella1[[#This Row],[LUN]]="X"), "X",IF(AND('Inserimento dati'!$B$3=$I$2, Tabella1[[#This Row],[MAR]]="X"), "X", IF(AND('Inserimento dati'!$B$3=$J$2, Tabella1[[#This Row],[MER]]="X"), "X",IF(AND('Inserimento dati'!$B$3=$K$2, Tabella1[[#This Row],[GIO]]="X"), "X", IF(AND('Inserimento dati'!$B$3=$L$2, Tabella1[[#This Row],[VEN]]="X"), "X","")))))</f>
        <v/>
      </c>
      <c r="U140" s="130" t="str">
        <f t="shared" ca="1" si="6"/>
        <v/>
      </c>
      <c r="V140" s="187">
        <v>45930.833333333336</v>
      </c>
    </row>
    <row r="141" spans="1:22" s="19" customFormat="1" ht="30" x14ac:dyDescent="0.2">
      <c r="A141" s="112"/>
      <c r="B141" s="112"/>
      <c r="C141" s="112" t="str">
        <f>IF(OR(Tabella1[[#This Row],[LUN]]="X",Tabella1[[#This Row],[MAR]]="X",Tabella1[[#This Row],[MER]]="X",Tabella1[[#This Row],[GIO]]="X",Tabella1[[#This Row],[VEN]]="X",),"X","")</f>
        <v/>
      </c>
      <c r="D141" s="113" t="s">
        <v>72</v>
      </c>
      <c r="E141" s="109" t="s">
        <v>1540</v>
      </c>
      <c r="F141" s="109">
        <v>500</v>
      </c>
      <c r="G141" s="109" t="s">
        <v>1534</v>
      </c>
      <c r="H141" s="111"/>
      <c r="I141" s="111"/>
      <c r="J141" s="111"/>
      <c r="K141" s="111"/>
      <c r="L141" s="111"/>
      <c r="M141" s="110" t="s">
        <v>1036</v>
      </c>
      <c r="N141" s="110"/>
      <c r="O141" s="167"/>
      <c r="P141" s="110"/>
      <c r="Q141" s="109" t="s">
        <v>1573</v>
      </c>
      <c r="R141" s="110">
        <v>45813</v>
      </c>
      <c r="S141" s="110" t="s">
        <v>1574</v>
      </c>
      <c r="T141" s="114" t="str">
        <f ca="1">IF(AND('Inserimento dati'!$B$3=$H$2, Tabella1[[#This Row],[LUN]]="X"), "X",IF(AND('Inserimento dati'!$B$3=$I$2, Tabella1[[#This Row],[MAR]]="X"), "X", IF(AND('Inserimento dati'!$B$3=$J$2, Tabella1[[#This Row],[MER]]="X"), "X",IF(AND('Inserimento dati'!$B$3=$K$2, Tabella1[[#This Row],[GIO]]="X"), "X", IF(AND('Inserimento dati'!$B$3=$L$2, Tabella1[[#This Row],[VEN]]="X"), "X","")))))</f>
        <v/>
      </c>
      <c r="U141" s="133" t="str">
        <f t="shared" ca="1" si="6"/>
        <v/>
      </c>
      <c r="V141" s="187">
        <v>45930.833333333336</v>
      </c>
    </row>
    <row r="142" spans="1:22" s="19" customFormat="1" ht="30" x14ac:dyDescent="0.2">
      <c r="A142" s="112"/>
      <c r="B142" s="112" t="str">
        <f>IF(OR(A142="x",A142="X"),"",IF(ISBLANK(A142),"X",""))</f>
        <v>X</v>
      </c>
      <c r="C142" s="112" t="str">
        <f>IF(OR(Tabella1[[#This Row],[LUN]]="X",Tabella1[[#This Row],[MAR]]="X",Tabella1[[#This Row],[MER]]="X",Tabella1[[#This Row],[GIO]]="X",Tabella1[[#This Row],[VEN]]="X",),"X","")</f>
        <v/>
      </c>
      <c r="D142" s="113" t="s">
        <v>72</v>
      </c>
      <c r="E142" s="109" t="s">
        <v>1653</v>
      </c>
      <c r="F142" s="109">
        <v>500</v>
      </c>
      <c r="G142" s="109" t="s">
        <v>1654</v>
      </c>
      <c r="H142" s="111"/>
      <c r="I142" s="111"/>
      <c r="J142" s="111"/>
      <c r="K142" s="111"/>
      <c r="L142" s="111"/>
      <c r="M142" s="92" t="s">
        <v>1036</v>
      </c>
      <c r="N142" s="110"/>
      <c r="O142" s="167"/>
      <c r="P142" s="110"/>
      <c r="Q142" s="109" t="s">
        <v>1659</v>
      </c>
      <c r="R142" s="110">
        <v>45818</v>
      </c>
      <c r="S142" s="110" t="s">
        <v>1074</v>
      </c>
      <c r="T142" s="114" t="str">
        <f ca="1">IF(AND('Inserimento dati'!$B$3=$H$2, Tabella1[[#This Row],[LUN]]="X"), "X",IF(AND('Inserimento dati'!$B$3=$I$2, Tabella1[[#This Row],[MAR]]="X"), "X", IF(AND('Inserimento dati'!$B$3=$J$2, Tabella1[[#This Row],[MER]]="X"), "X",IF(AND('Inserimento dati'!$B$3=$K$2, Tabella1[[#This Row],[GIO]]="X"), "X", IF(AND('Inserimento dati'!$B$3=$L$2, Tabella1[[#This Row],[VEN]]="X"), "X","")))))</f>
        <v/>
      </c>
      <c r="U142" s="130" t="str">
        <f t="shared" ca="1" si="6"/>
        <v/>
      </c>
      <c r="V142" s="187">
        <v>45930.833333333336</v>
      </c>
    </row>
    <row r="143" spans="1:22" s="19" customFormat="1" ht="23.25" x14ac:dyDescent="0.2">
      <c r="A143" s="112"/>
      <c r="B143" s="112" t="str">
        <f>IF(OR(A143="x",A143="X"),"",IF(ISBLANK(A143),"X",""))</f>
        <v>X</v>
      </c>
      <c r="C143" s="112" t="str">
        <f>IF(OR(Tabella1[[#This Row],[LUN]]="X",Tabella1[[#This Row],[MAR]]="X",Tabella1[[#This Row],[MER]]="X",Tabella1[[#This Row],[GIO]]="X",Tabella1[[#This Row],[VEN]]="X",),"X","")</f>
        <v/>
      </c>
      <c r="D143" s="113" t="s">
        <v>72</v>
      </c>
      <c r="E143" s="109" t="s">
        <v>1657</v>
      </c>
      <c r="F143" s="109">
        <v>500</v>
      </c>
      <c r="G143" s="109" t="s">
        <v>1658</v>
      </c>
      <c r="H143" s="111"/>
      <c r="I143" s="111"/>
      <c r="J143" s="111"/>
      <c r="K143" s="111"/>
      <c r="L143" s="111"/>
      <c r="M143" s="92" t="s">
        <v>1036</v>
      </c>
      <c r="N143" s="110"/>
      <c r="O143" s="167"/>
      <c r="P143" s="110"/>
      <c r="Q143" s="109"/>
      <c r="R143" s="110">
        <v>45818</v>
      </c>
      <c r="S143" s="110" t="s">
        <v>239</v>
      </c>
      <c r="T143" s="114" t="str">
        <f ca="1">IF(AND('Inserimento dati'!$B$3=$H$2, Tabella1[[#This Row],[LUN]]="X"), "X",IF(AND('Inserimento dati'!$B$3=$I$2, Tabella1[[#This Row],[MAR]]="X"), "X", IF(AND('Inserimento dati'!$B$3=$J$2, Tabella1[[#This Row],[MER]]="X"), "X",IF(AND('Inserimento dati'!$B$3=$K$2, Tabella1[[#This Row],[GIO]]="X"), "X", IF(AND('Inserimento dati'!$B$3=$L$2, Tabella1[[#This Row],[VEN]]="X"), "X","")))))</f>
        <v/>
      </c>
      <c r="U143" s="130" t="str">
        <f t="shared" ca="1" si="6"/>
        <v/>
      </c>
      <c r="V143" s="187">
        <v>45930.833333333336</v>
      </c>
    </row>
    <row r="144" spans="1:22" s="19" customFormat="1" ht="30" x14ac:dyDescent="0.2">
      <c r="A144" s="112"/>
      <c r="B144" s="112" t="str">
        <f>IF(OR(A144="x",A144="X"),"",IF(ISBLANK(A144),"X",""))</f>
        <v>X</v>
      </c>
      <c r="C144" s="112" t="str">
        <f>IF(OR(Tabella1[[#This Row],[LUN]]="X",Tabella1[[#This Row],[MAR]]="X",Tabella1[[#This Row],[MER]]="X",Tabella1[[#This Row],[GIO]]="X",Tabella1[[#This Row],[VEN]]="X",),"X","")</f>
        <v/>
      </c>
      <c r="D144" s="113" t="s">
        <v>8</v>
      </c>
      <c r="E144" s="109" t="s">
        <v>1409</v>
      </c>
      <c r="F144" s="109">
        <v>1000</v>
      </c>
      <c r="G144" s="109" t="s">
        <v>1724</v>
      </c>
      <c r="H144" s="111"/>
      <c r="I144" s="111"/>
      <c r="J144" s="111"/>
      <c r="K144" s="111"/>
      <c r="L144" s="111"/>
      <c r="M144" s="109" t="s">
        <v>1036</v>
      </c>
      <c r="N144" s="110"/>
      <c r="O144" s="167"/>
      <c r="P144" s="110"/>
      <c r="Q144" s="110"/>
      <c r="R144" s="110"/>
      <c r="S144" s="110"/>
      <c r="T144" s="114" t="str">
        <f ca="1">IF(AND('Inserimento dati'!$B$3=$H$2, Tabella1[[#This Row],[LUN]]="X"), "X",IF(AND('Inserimento dati'!$B$3=$I$2, Tabella1[[#This Row],[MAR]]="X"), "X", IF(AND('Inserimento dati'!$B$3=$J$2, Tabella1[[#This Row],[MER]]="X"), "X",IF(AND('Inserimento dati'!$B$3=$K$2, Tabella1[[#This Row],[GIO]]="X"), "X", IF(AND('Inserimento dati'!$B$3=$L$2, Tabella1[[#This Row],[VEN]]="X"), "X","")))))</f>
        <v/>
      </c>
      <c r="U144" s="134" t="str">
        <f t="shared" ca="1" si="6"/>
        <v/>
      </c>
      <c r="V144" s="187">
        <v>45930.833333333336</v>
      </c>
    </row>
    <row r="145" spans="1:29" s="19" customFormat="1" ht="30" x14ac:dyDescent="0.2">
      <c r="A145" s="112"/>
      <c r="B145" s="112"/>
      <c r="C145" s="112" t="str">
        <f>IF(OR(Tabella1[[#This Row],[LUN]]="X",Tabella1[[#This Row],[MAR]]="X",Tabella1[[#This Row],[MER]]="X",Tabella1[[#This Row],[GIO]]="X",Tabella1[[#This Row],[VEN]]="X",),"X","")</f>
        <v/>
      </c>
      <c r="D145" s="113" t="s">
        <v>72</v>
      </c>
      <c r="E145" s="109" t="s">
        <v>1773</v>
      </c>
      <c r="F145" s="109">
        <v>600</v>
      </c>
      <c r="G145" s="109" t="s">
        <v>1774</v>
      </c>
      <c r="H145" s="111"/>
      <c r="I145" s="111"/>
      <c r="J145" s="111"/>
      <c r="K145" s="111"/>
      <c r="L145" s="111"/>
      <c r="M145" s="92" t="s">
        <v>1036</v>
      </c>
      <c r="N145" s="110"/>
      <c r="O145" s="167"/>
      <c r="P145" s="110"/>
      <c r="Q145" s="109"/>
      <c r="R145" s="110">
        <v>45834</v>
      </c>
      <c r="S145" s="110" t="s">
        <v>1754</v>
      </c>
      <c r="T145" s="114" t="str">
        <f ca="1">IF(AND('Inserimento dati'!$B$3=$H$2, Tabella1[[#This Row],[LUN]]="X"), "X",IF(AND('Inserimento dati'!$B$3=$I$2, Tabella1[[#This Row],[MAR]]="X"), "X", IF(AND('Inserimento dati'!$B$3=$J$2, Tabella1[[#This Row],[MER]]="X"), "X",IF(AND('Inserimento dati'!$B$3=$K$2, Tabella1[[#This Row],[GIO]]="X"), "X", IF(AND('Inserimento dati'!$B$3=$L$2, Tabella1[[#This Row],[VEN]]="X"), "X","")))))</f>
        <v/>
      </c>
      <c r="U145" s="129" t="str">
        <f t="shared" ca="1" si="6"/>
        <v/>
      </c>
      <c r="V145" s="187">
        <v>45930.833333333336</v>
      </c>
    </row>
    <row r="146" spans="1:29" s="19" customFormat="1" ht="30" x14ac:dyDescent="0.2">
      <c r="A146" s="112"/>
      <c r="B146" s="112"/>
      <c r="C146" s="112" t="str">
        <f>IF(OR(Tabella1[[#This Row],[LUN]]="X",Tabella1[[#This Row],[MAR]]="X",Tabella1[[#This Row],[MER]]="X",Tabella1[[#This Row],[GIO]]="X",Tabella1[[#This Row],[VEN]]="X",),"X","")</f>
        <v/>
      </c>
      <c r="D146" s="113" t="s">
        <v>72</v>
      </c>
      <c r="E146" s="109" t="s">
        <v>2212</v>
      </c>
      <c r="F146" s="109">
        <v>600</v>
      </c>
      <c r="G146" s="109" t="s">
        <v>2213</v>
      </c>
      <c r="H146" s="111"/>
      <c r="I146" s="111"/>
      <c r="J146" s="111"/>
      <c r="K146" s="111"/>
      <c r="L146" s="111"/>
      <c r="M146" s="92" t="s">
        <v>1036</v>
      </c>
      <c r="N146" s="110"/>
      <c r="O146" s="167"/>
      <c r="P146" s="110"/>
      <c r="Q146" s="109"/>
      <c r="R146" s="110"/>
      <c r="S146" s="110"/>
      <c r="T146" s="114" t="str">
        <f ca="1">IF(AND('Inserimento dati'!$B$3=$H$2, Tabella1[[#This Row],[LUN]]="X"), "X",IF(AND('Inserimento dati'!$B$3=$I$2, Tabella1[[#This Row],[MAR]]="X"), "X", IF(AND('Inserimento dati'!$B$3=$J$2, Tabella1[[#This Row],[MER]]="X"), "X",IF(AND('Inserimento dati'!$B$3=$K$2, Tabella1[[#This Row],[GIO]]="X"), "X", IF(AND('Inserimento dati'!$B$3=$L$2, Tabella1[[#This Row],[VEN]]="X"), "X","")))))</f>
        <v/>
      </c>
      <c r="U146" s="129" t="str">
        <f t="shared" ca="1" si="6"/>
        <v/>
      </c>
      <c r="V146" s="187">
        <v>45930.833333333336</v>
      </c>
    </row>
    <row r="147" spans="1:29" s="19" customFormat="1" ht="30" x14ac:dyDescent="0.2">
      <c r="A147" s="112"/>
      <c r="B147" s="112"/>
      <c r="C147" s="112" t="str">
        <f>IF(OR(Tabella1[[#This Row],[LUN]]="X",Tabella1[[#This Row],[MAR]]="X",Tabella1[[#This Row],[MER]]="X",Tabella1[[#This Row],[GIO]]="X",Tabella1[[#This Row],[VEN]]="X",),"X","")</f>
        <v/>
      </c>
      <c r="D147" s="113" t="s">
        <v>72</v>
      </c>
      <c r="E147" s="109" t="s">
        <v>2292</v>
      </c>
      <c r="F147" s="109">
        <v>1000</v>
      </c>
      <c r="G147" s="109" t="s">
        <v>2293</v>
      </c>
      <c r="H147" s="111"/>
      <c r="I147" s="111"/>
      <c r="J147" s="111"/>
      <c r="K147" s="111"/>
      <c r="L147" s="111"/>
      <c r="M147" s="92" t="s">
        <v>1036</v>
      </c>
      <c r="N147" s="110"/>
      <c r="O147" s="167"/>
      <c r="P147" s="110"/>
      <c r="Q147" s="109" t="s">
        <v>2329</v>
      </c>
      <c r="R147" s="110"/>
      <c r="S147" s="110">
        <v>45846</v>
      </c>
      <c r="T147" s="114" t="str">
        <f ca="1">IF(AND('Inserimento dati'!$B$3=$H$2, Tabella1[[#This Row],[LUN]]="X"), "X",IF(AND('Inserimento dati'!$B$3=$I$2, Tabella1[[#This Row],[MAR]]="X"), "X", IF(AND('Inserimento dati'!$B$3=$J$2, Tabella1[[#This Row],[MER]]="X"), "X",IF(AND('Inserimento dati'!$B$3=$K$2, Tabella1[[#This Row],[GIO]]="X"), "X", IF(AND('Inserimento dati'!$B$3=$L$2, Tabella1[[#This Row],[VEN]]="X"), "X","")))))</f>
        <v/>
      </c>
      <c r="U147" s="129"/>
      <c r="V147" s="187">
        <v>45930.833333333336</v>
      </c>
    </row>
    <row r="148" spans="1:29" s="19" customFormat="1" ht="30" x14ac:dyDescent="0.2">
      <c r="A148" s="112"/>
      <c r="B148" s="112"/>
      <c r="C148" s="112" t="str">
        <f>IF(OR(Tabella1[[#This Row],[LUN]]="X",Tabella1[[#This Row],[MAR]]="X",Tabella1[[#This Row],[MER]]="X",Tabella1[[#This Row],[GIO]]="X",Tabella1[[#This Row],[VEN]]="X",),"X","")</f>
        <v/>
      </c>
      <c r="D148" s="113" t="s">
        <v>72</v>
      </c>
      <c r="E148" s="109" t="s">
        <v>2309</v>
      </c>
      <c r="F148" s="109">
        <v>500</v>
      </c>
      <c r="G148" s="109" t="s">
        <v>2310</v>
      </c>
      <c r="H148" s="111"/>
      <c r="I148" s="111"/>
      <c r="J148" s="111"/>
      <c r="K148" s="111"/>
      <c r="L148" s="111"/>
      <c r="M148" s="92" t="s">
        <v>1036</v>
      </c>
      <c r="N148" s="110"/>
      <c r="O148" s="167"/>
      <c r="P148" s="110"/>
      <c r="Q148" s="109"/>
      <c r="R148" s="110"/>
      <c r="S148" s="110"/>
      <c r="T148" s="114" t="str">
        <f ca="1">IF(AND('Inserimento dati'!$B$3=$H$2, Tabella1[[#This Row],[LUN]]="X"), "X",IF(AND('Inserimento dati'!$B$3=$I$2, Tabella1[[#This Row],[MAR]]="X"), "X", IF(AND('Inserimento dati'!$B$3=$J$2, Tabella1[[#This Row],[MER]]="X"), "X",IF(AND('Inserimento dati'!$B$3=$K$2, Tabella1[[#This Row],[GIO]]="X"), "X", IF(AND('Inserimento dati'!$B$3=$L$2, Tabella1[[#This Row],[VEN]]="X"), "X","")))))</f>
        <v/>
      </c>
      <c r="U148" s="129"/>
      <c r="V148" s="187">
        <v>45930.833333333336</v>
      </c>
    </row>
    <row r="149" spans="1:29" s="19" customFormat="1" ht="30" x14ac:dyDescent="0.2">
      <c r="A149" s="112"/>
      <c r="B149" s="112"/>
      <c r="C149" s="112" t="str">
        <f>IF(OR(Tabella1[[#This Row],[LUN]]="X",Tabella1[[#This Row],[MAR]]="X",Tabella1[[#This Row],[MER]]="X",Tabella1[[#This Row],[GIO]]="X",Tabella1[[#This Row],[VEN]]="X",),"X","")</f>
        <v/>
      </c>
      <c r="D149" s="113" t="s">
        <v>72</v>
      </c>
      <c r="E149" s="109" t="s">
        <v>2296</v>
      </c>
      <c r="F149" s="109">
        <v>600</v>
      </c>
      <c r="G149" s="109" t="s">
        <v>2297</v>
      </c>
      <c r="H149" s="111"/>
      <c r="I149" s="111"/>
      <c r="J149" s="111"/>
      <c r="K149" s="111"/>
      <c r="L149" s="111"/>
      <c r="M149" s="92" t="s">
        <v>1036</v>
      </c>
      <c r="N149" s="110"/>
      <c r="O149" s="167"/>
      <c r="P149" s="110"/>
      <c r="Q149" s="109"/>
      <c r="R149" s="110"/>
      <c r="S149" s="110"/>
      <c r="T149" s="114" t="str">
        <f ca="1">IF(AND('Inserimento dati'!$B$3=$H$2, Tabella1[[#This Row],[LUN]]="X"), "X",IF(AND('Inserimento dati'!$B$3=$I$2, Tabella1[[#This Row],[MAR]]="X"), "X", IF(AND('Inserimento dati'!$B$3=$J$2, Tabella1[[#This Row],[MER]]="X"), "X",IF(AND('Inserimento dati'!$B$3=$K$2, Tabella1[[#This Row],[GIO]]="X"), "X", IF(AND('Inserimento dati'!$B$3=$L$2, Tabella1[[#This Row],[VEN]]="X"), "X","")))))</f>
        <v/>
      </c>
      <c r="U149" s="129"/>
      <c r="V149" s="187">
        <v>45930.833333333336</v>
      </c>
    </row>
    <row r="150" spans="1:29" s="19" customFormat="1" ht="23.25" x14ac:dyDescent="0.2">
      <c r="A150" s="112"/>
      <c r="B150" s="112"/>
      <c r="C150" s="112" t="str">
        <f>IF(OR(Tabella1[[#This Row],[LUN]]="X",Tabella1[[#This Row],[MAR]]="X",Tabella1[[#This Row],[MER]]="X",Tabella1[[#This Row],[GIO]]="X",Tabella1[[#This Row],[VEN]]="X",),"X","")</f>
        <v/>
      </c>
      <c r="D150" s="113" t="s">
        <v>72</v>
      </c>
      <c r="E150" s="109" t="s">
        <v>2497</v>
      </c>
      <c r="F150" s="109">
        <v>600</v>
      </c>
      <c r="G150" s="109" t="s">
        <v>2498</v>
      </c>
      <c r="H150" s="111"/>
      <c r="I150" s="111"/>
      <c r="J150" s="111"/>
      <c r="K150" s="111"/>
      <c r="L150" s="111"/>
      <c r="M150" s="92" t="s">
        <v>1036</v>
      </c>
      <c r="N150" s="110"/>
      <c r="O150" s="167"/>
      <c r="P150" s="110"/>
      <c r="Q150" s="109"/>
      <c r="R150" s="110"/>
      <c r="S150" s="110"/>
      <c r="T150" s="114" t="str">
        <f ca="1">IF(AND('Inserimento dati'!$B$3=$H$2, Tabella1[[#This Row],[LUN]]="X"), "X",IF(AND('Inserimento dati'!$B$3=$I$2, Tabella1[[#This Row],[MAR]]="X"), "X", IF(AND('Inserimento dati'!$B$3=$J$2, Tabella1[[#This Row],[MER]]="X"), "X",IF(AND('Inserimento dati'!$B$3=$K$2, Tabella1[[#This Row],[GIO]]="X"), "X", IF(AND('Inserimento dati'!$B$3=$L$2, Tabella1[[#This Row],[VEN]]="X"), "X","")))))</f>
        <v/>
      </c>
      <c r="U150" s="93"/>
      <c r="V150" s="187">
        <v>45930.833333333336</v>
      </c>
    </row>
    <row r="151" spans="1:29" s="19" customFormat="1" ht="23.25" x14ac:dyDescent="0.2">
      <c r="A151" s="112"/>
      <c r="B151" s="112"/>
      <c r="C151" s="112" t="str">
        <f>IF(OR(Tabella1[[#This Row],[LUN]]="X",Tabella1[[#This Row],[MAR]]="X",Tabella1[[#This Row],[MER]]="X",Tabella1[[#This Row],[GIO]]="X",Tabella1[[#This Row],[VEN]]="X",),"X","")</f>
        <v/>
      </c>
      <c r="D151" s="113" t="s">
        <v>72</v>
      </c>
      <c r="E151" s="109" t="s">
        <v>2516</v>
      </c>
      <c r="F151" s="109">
        <v>600</v>
      </c>
      <c r="G151" s="109" t="s">
        <v>2515</v>
      </c>
      <c r="H151" s="111"/>
      <c r="I151" s="111"/>
      <c r="J151" s="111"/>
      <c r="K151" s="111"/>
      <c r="L151" s="111"/>
      <c r="M151" s="92" t="s">
        <v>1036</v>
      </c>
      <c r="N151" s="110"/>
      <c r="O151" s="167"/>
      <c r="P151" s="110"/>
      <c r="Q151" s="109"/>
      <c r="R151" s="110"/>
      <c r="S151" s="110"/>
      <c r="T151" s="114" t="str">
        <f ca="1">IF(AND('Inserimento dati'!$B$3=$H$2, Tabella1[[#This Row],[LUN]]="X"), "X",IF(AND('Inserimento dati'!$B$3=$I$2, Tabella1[[#This Row],[MAR]]="X"), "X", IF(AND('Inserimento dati'!$B$3=$J$2, Tabella1[[#This Row],[MER]]="X"), "X",IF(AND('Inserimento dati'!$B$3=$K$2, Tabella1[[#This Row],[GIO]]="X"), "X", IF(AND('Inserimento dati'!$B$3=$L$2, Tabella1[[#This Row],[VEN]]="X"), "X","")))))</f>
        <v/>
      </c>
      <c r="U151" s="93" t="str">
        <f ca="1">IFERROR(MID(G151,_xlfn.AGGREGATE(15,6,(ROW(INDIRECT("1:"&amp;LEN(G151)-7)))/(ISNUMBER(--MID(G151,ROW(INDIRECT("1:"&amp;LEN(G151)-7)),8))),1),8),"")</f>
        <v/>
      </c>
      <c r="V151" s="187">
        <v>45930.833333333336</v>
      </c>
    </row>
    <row r="152" spans="1:29" s="19" customFormat="1" ht="23.25" x14ac:dyDescent="0.2">
      <c r="A152" s="112"/>
      <c r="B152" s="112"/>
      <c r="C152" s="112" t="str">
        <f>IF(OR(Tabella1[[#This Row],[LUN]]="X",Tabella1[[#This Row],[MAR]]="X",Tabella1[[#This Row],[MER]]="X",Tabella1[[#This Row],[GIO]]="X",Tabella1[[#This Row],[VEN]]="X",),"X","")</f>
        <v/>
      </c>
      <c r="D152" s="113" t="s">
        <v>72</v>
      </c>
      <c r="E152" s="109" t="s">
        <v>2529</v>
      </c>
      <c r="F152" s="109">
        <v>600</v>
      </c>
      <c r="G152" s="109" t="s">
        <v>2530</v>
      </c>
      <c r="H152" s="111"/>
      <c r="I152" s="111"/>
      <c r="J152" s="111"/>
      <c r="K152" s="111"/>
      <c r="L152" s="111"/>
      <c r="M152" s="92" t="s">
        <v>1036</v>
      </c>
      <c r="N152" s="110"/>
      <c r="O152" s="167"/>
      <c r="P152" s="110"/>
      <c r="Q152" s="109"/>
      <c r="R152" s="110"/>
      <c r="S152" s="110"/>
      <c r="T152" s="114" t="str">
        <f ca="1">IF(AND('Inserimento dati'!$B$3=$H$2, Tabella1[[#This Row],[LUN]]="X"), "X",IF(AND('Inserimento dati'!$B$3=$I$2, Tabella1[[#This Row],[MAR]]="X"), "X", IF(AND('Inserimento dati'!$B$3=$J$2, Tabella1[[#This Row],[MER]]="X"), "X",IF(AND('Inserimento dati'!$B$3=$K$2, Tabella1[[#This Row],[GIO]]="X"), "X", IF(AND('Inserimento dati'!$B$3=$L$2, Tabella1[[#This Row],[VEN]]="X"), "X","")))))</f>
        <v/>
      </c>
      <c r="U152" s="93"/>
      <c r="V152" s="187">
        <v>45930.833333333336</v>
      </c>
    </row>
    <row r="153" spans="1:29" s="19" customFormat="1" ht="23.25" x14ac:dyDescent="0.2">
      <c r="A153" s="112"/>
      <c r="B153" s="112"/>
      <c r="C153" s="112" t="str">
        <f>IF(OR(Tabella1[[#This Row],[LUN]]="X",Tabella1[[#This Row],[MAR]]="X",Tabella1[[#This Row],[MER]]="X",Tabella1[[#This Row],[GIO]]="X",Tabella1[[#This Row],[VEN]]="X",),"X","")</f>
        <v/>
      </c>
      <c r="D153" s="113" t="s">
        <v>72</v>
      </c>
      <c r="E153" s="109" t="s">
        <v>2546</v>
      </c>
      <c r="F153" s="109">
        <v>600</v>
      </c>
      <c r="G153" s="109" t="s">
        <v>2547</v>
      </c>
      <c r="H153" s="111"/>
      <c r="I153" s="111"/>
      <c r="J153" s="111"/>
      <c r="K153" s="111"/>
      <c r="L153" s="111"/>
      <c r="M153" s="92" t="s">
        <v>1036</v>
      </c>
      <c r="N153" s="110"/>
      <c r="O153" s="167"/>
      <c r="P153" s="110"/>
      <c r="Q153" s="109" t="s">
        <v>2561</v>
      </c>
      <c r="R153" s="110">
        <v>45876</v>
      </c>
      <c r="S153" s="110" t="s">
        <v>1642</v>
      </c>
      <c r="T153" s="114" t="str">
        <f ca="1">IF(AND('Inserimento dati'!$B$3=$H$2, Tabella1[[#This Row],[LUN]]="X"), "X",IF(AND('Inserimento dati'!$B$3=$I$2, Tabella1[[#This Row],[MAR]]="X"), "X", IF(AND('Inserimento dati'!$B$3=$J$2, Tabella1[[#This Row],[MER]]="X"), "X",IF(AND('Inserimento dati'!$B$3=$K$2, Tabella1[[#This Row],[GIO]]="X"), "X", IF(AND('Inserimento dati'!$B$3=$L$2, Tabella1[[#This Row],[VEN]]="X"), "X","")))))</f>
        <v/>
      </c>
      <c r="U153" s="93"/>
      <c r="V153" s="187">
        <v>45930.833333333336</v>
      </c>
    </row>
    <row r="154" spans="1:29" s="19" customFormat="1" ht="23.25" x14ac:dyDescent="0.2">
      <c r="A154" s="112"/>
      <c r="B154" s="112"/>
      <c r="C154" s="112" t="str">
        <f>IF(OR(Tabella1[[#This Row],[LUN]]="X",Tabella1[[#This Row],[MAR]]="X",Tabella1[[#This Row],[MER]]="X",Tabella1[[#This Row],[GIO]]="X",Tabella1[[#This Row],[VEN]]="X",),"X","")</f>
        <v/>
      </c>
      <c r="D154" s="113" t="s">
        <v>72</v>
      </c>
      <c r="E154" s="109" t="s">
        <v>2684</v>
      </c>
      <c r="F154" s="109">
        <v>500</v>
      </c>
      <c r="G154" s="109" t="s">
        <v>2685</v>
      </c>
      <c r="H154" s="111"/>
      <c r="I154" s="111"/>
      <c r="J154" s="111"/>
      <c r="K154" s="111"/>
      <c r="L154" s="111"/>
      <c r="M154" s="92" t="s">
        <v>1036</v>
      </c>
      <c r="N154" s="110"/>
      <c r="O154" s="167"/>
      <c r="P154" s="110"/>
      <c r="Q154" s="109"/>
      <c r="R154" s="110">
        <v>45891</v>
      </c>
      <c r="S154" s="110"/>
      <c r="T154" s="114" t="str">
        <f ca="1">IF(AND('Inserimento dati'!$B$3=$H$2, Tabella1[[#This Row],[LUN]]="X"), "X",IF(AND('Inserimento dati'!$B$3=$I$2, Tabella1[[#This Row],[MAR]]="X"), "X", IF(AND('Inserimento dati'!$B$3=$J$2, Tabella1[[#This Row],[MER]]="X"), "X",IF(AND('Inserimento dati'!$B$3=$K$2, Tabella1[[#This Row],[GIO]]="X"), "X", IF(AND('Inserimento dati'!$B$3=$L$2, Tabella1[[#This Row],[VEN]]="X"), "X","")))))</f>
        <v/>
      </c>
      <c r="U154" s="93"/>
      <c r="V154" s="187">
        <v>45930.833333333336</v>
      </c>
    </row>
    <row r="155" spans="1:29" s="19" customFormat="1" ht="30" x14ac:dyDescent="0.2">
      <c r="A155" s="112"/>
      <c r="B155" s="112"/>
      <c r="C155" s="112" t="str">
        <f>IF(OR(Tabella1[[#This Row],[LUN]]="X",Tabella1[[#This Row],[MAR]]="X",Tabella1[[#This Row],[MER]]="X",Tabella1[[#This Row],[GIO]]="X",Tabella1[[#This Row],[VEN]]="X",),"X","")</f>
        <v/>
      </c>
      <c r="D155" s="113" t="s">
        <v>72</v>
      </c>
      <c r="E155" s="109" t="s">
        <v>2699</v>
      </c>
      <c r="F155" s="109">
        <v>500</v>
      </c>
      <c r="G155" s="109" t="s">
        <v>2700</v>
      </c>
      <c r="H155" s="111"/>
      <c r="I155" s="111"/>
      <c r="J155" s="111"/>
      <c r="K155" s="111"/>
      <c r="L155" s="111"/>
      <c r="M155" s="92" t="s">
        <v>1036</v>
      </c>
      <c r="N155" s="110"/>
      <c r="O155" s="167"/>
      <c r="P155" s="110"/>
      <c r="Q155" s="109"/>
      <c r="R155" s="110"/>
      <c r="S155" s="110"/>
      <c r="T155" s="114" t="str">
        <f ca="1">IF(AND('Inserimento dati'!$B$3=$H$2, Tabella1[[#This Row],[LUN]]="X"), "X",IF(AND('Inserimento dati'!$B$3=$I$2, Tabella1[[#This Row],[MAR]]="X"), "X", IF(AND('Inserimento dati'!$B$3=$J$2, Tabella1[[#This Row],[MER]]="X"), "X",IF(AND('Inserimento dati'!$B$3=$K$2, Tabella1[[#This Row],[GIO]]="X"), "X", IF(AND('Inserimento dati'!$B$3=$L$2, Tabella1[[#This Row],[VEN]]="X"), "X","")))))</f>
        <v/>
      </c>
      <c r="U155" s="93"/>
      <c r="V155" s="187">
        <v>45930.833333333336</v>
      </c>
    </row>
    <row r="156" spans="1:29" s="19" customFormat="1" ht="30" x14ac:dyDescent="0.2">
      <c r="A156" s="112"/>
      <c r="B156" s="112"/>
      <c r="C156" s="112" t="str">
        <f>IF(OR(Tabella1[[#This Row],[LUN]]="X",Tabella1[[#This Row],[MAR]]="X",Tabella1[[#This Row],[MER]]="X",Tabella1[[#This Row],[GIO]]="X",Tabella1[[#This Row],[VEN]]="X",),"X","")</f>
        <v/>
      </c>
      <c r="D156" s="113" t="s">
        <v>72</v>
      </c>
      <c r="E156" s="109" t="s">
        <v>2786</v>
      </c>
      <c r="F156" s="109">
        <v>1000</v>
      </c>
      <c r="G156" s="109" t="s">
        <v>2787</v>
      </c>
      <c r="H156" s="111"/>
      <c r="I156" s="111"/>
      <c r="J156" s="111"/>
      <c r="K156" s="111"/>
      <c r="L156" s="111"/>
      <c r="M156" s="92" t="s">
        <v>1036</v>
      </c>
      <c r="N156" s="110"/>
      <c r="O156" s="167"/>
      <c r="P156" s="110"/>
      <c r="Q156" s="109"/>
      <c r="R156" s="110"/>
      <c r="S156" s="110"/>
      <c r="T156" s="114" t="str">
        <f ca="1">IF(AND('Inserimento dati'!$B$3=$H$2, Tabella1[[#This Row],[LUN]]="X"), "X",IF(AND('Inserimento dati'!$B$3=$I$2, Tabella1[[#This Row],[MAR]]="X"), "X", IF(AND('Inserimento dati'!$B$3=$J$2, Tabella1[[#This Row],[MER]]="X"), "X",IF(AND('Inserimento dati'!$B$3=$K$2, Tabella1[[#This Row],[GIO]]="X"), "X", IF(AND('Inserimento dati'!$B$3=$L$2, Tabella1[[#This Row],[VEN]]="X"), "X","")))))</f>
        <v/>
      </c>
      <c r="U156" s="93"/>
      <c r="V156" s="187">
        <v>45930.833333333336</v>
      </c>
    </row>
    <row r="157" spans="1:29" s="19" customFormat="1" ht="23.25" x14ac:dyDescent="0.2">
      <c r="A157" s="112"/>
      <c r="B157" s="112"/>
      <c r="C157" s="112" t="str">
        <f>IF(OR(Tabella1[[#This Row],[LUN]]="X",Tabella1[[#This Row],[MAR]]="X",Tabella1[[#This Row],[MER]]="X",Tabella1[[#This Row],[GIO]]="X",Tabella1[[#This Row],[VEN]]="X",),"X","")</f>
        <v>X</v>
      </c>
      <c r="D157" s="113" t="s">
        <v>72</v>
      </c>
      <c r="E157" s="109" t="s">
        <v>3140</v>
      </c>
      <c r="F157" s="109">
        <v>1000</v>
      </c>
      <c r="G157" s="109" t="s">
        <v>3141</v>
      </c>
      <c r="H157" s="111" t="s">
        <v>23</v>
      </c>
      <c r="I157" s="111" t="s">
        <v>23</v>
      </c>
      <c r="J157" s="111"/>
      <c r="K157" s="111"/>
      <c r="L157" s="111"/>
      <c r="M157" s="92" t="s">
        <v>1036</v>
      </c>
      <c r="N157" s="110"/>
      <c r="O157" s="167"/>
      <c r="P157" s="110"/>
      <c r="Q157" s="109"/>
      <c r="R157" s="110"/>
      <c r="S157" s="110"/>
      <c r="T157" s="114" t="str">
        <f ca="1">IF(AND('Inserimento dati'!$B$3=$H$2, Tabella1[[#This Row],[LUN]]="X"), "X",IF(AND('Inserimento dati'!$B$3=$I$2, Tabella1[[#This Row],[MAR]]="X"), "X", IF(AND('Inserimento dati'!$B$3=$J$2, Tabella1[[#This Row],[MER]]="X"), "X",IF(AND('Inserimento dati'!$B$3=$K$2, Tabella1[[#This Row],[GIO]]="X"), "X", IF(AND('Inserimento dati'!$B$3=$L$2, Tabella1[[#This Row],[VEN]]="X"), "X","")))))</f>
        <v>X</v>
      </c>
      <c r="U157" s="93"/>
      <c r="V157" s="187">
        <v>45930.833333333336</v>
      </c>
    </row>
    <row r="158" spans="1:29" s="19" customFormat="1" ht="30" x14ac:dyDescent="0.2">
      <c r="A158" s="112"/>
      <c r="B158" s="112"/>
      <c r="C158" s="112" t="str">
        <f>IF(OR(Tabella1[[#This Row],[LUN]]="X",Tabella1[[#This Row],[MAR]]="X",Tabella1[[#This Row],[MER]]="X",Tabella1[[#This Row],[GIO]]="X",Tabella1[[#This Row],[VEN]]="X",),"X","")</f>
        <v/>
      </c>
      <c r="D158" s="113" t="s">
        <v>72</v>
      </c>
      <c r="E158" s="109" t="s">
        <v>2736</v>
      </c>
      <c r="F158" s="109">
        <v>500</v>
      </c>
      <c r="G158" s="109" t="s">
        <v>2737</v>
      </c>
      <c r="H158" s="111"/>
      <c r="I158" s="111"/>
      <c r="J158" s="111"/>
      <c r="K158" s="111"/>
      <c r="L158" s="111"/>
      <c r="M158" s="92" t="s">
        <v>1257</v>
      </c>
      <c r="N158" s="110"/>
      <c r="O158" s="167"/>
      <c r="P158" s="110"/>
      <c r="Q158" s="109" t="s">
        <v>2743</v>
      </c>
      <c r="R158" s="110">
        <v>45897</v>
      </c>
      <c r="S158" s="110" t="s">
        <v>206</v>
      </c>
      <c r="T158" s="114" t="str">
        <f ca="1">IF(AND('Inserimento dati'!$B$3=$H$2, Tabella1[[#This Row],[LUN]]="X"), "X",IF(AND('Inserimento dati'!$B$3=$I$2, Tabella1[[#This Row],[MAR]]="X"), "X", IF(AND('Inserimento dati'!$B$3=$J$2, Tabella1[[#This Row],[MER]]="X"), "X",IF(AND('Inserimento dati'!$B$3=$K$2, Tabella1[[#This Row],[GIO]]="X"), "X", IF(AND('Inserimento dati'!$B$3=$L$2, Tabella1[[#This Row],[VEN]]="X"), "X","")))))</f>
        <v/>
      </c>
      <c r="U158" s="93"/>
      <c r="V158" s="187">
        <v>45930.833333333336</v>
      </c>
    </row>
    <row r="159" spans="1:29" s="19" customFormat="1" ht="23.25" x14ac:dyDescent="0.2">
      <c r="A159" s="112"/>
      <c r="B159" s="112"/>
      <c r="C159" s="112" t="str">
        <f>IF(OR(Tabella1[[#This Row],[LUN]]="X",Tabella1[[#This Row],[MAR]]="X",Tabella1[[#This Row],[MER]]="X",Tabella1[[#This Row],[GIO]]="X",Tabella1[[#This Row],[VEN]]="X",),"X","")</f>
        <v/>
      </c>
      <c r="D159" s="113" t="s">
        <v>72</v>
      </c>
      <c r="E159" s="109" t="s">
        <v>2682</v>
      </c>
      <c r="F159" s="109">
        <v>500</v>
      </c>
      <c r="G159" s="109" t="s">
        <v>2683</v>
      </c>
      <c r="H159" s="111"/>
      <c r="I159" s="111"/>
      <c r="J159" s="111"/>
      <c r="K159" s="111"/>
      <c r="L159" s="111"/>
      <c r="M159" s="92" t="s">
        <v>1257</v>
      </c>
      <c r="N159" s="110"/>
      <c r="O159" s="167"/>
      <c r="P159" s="110"/>
      <c r="Q159" s="109" t="s">
        <v>1237</v>
      </c>
      <c r="R159" s="110">
        <v>45891</v>
      </c>
      <c r="S159" s="110" t="s">
        <v>203</v>
      </c>
      <c r="T159" s="114" t="str">
        <f ca="1">IF(AND('Inserimento dati'!$B$3=$H$2, Tabella1[[#This Row],[LUN]]="X"), "X",IF(AND('Inserimento dati'!$B$3=$I$2, Tabella1[[#This Row],[MAR]]="X"), "X", IF(AND('Inserimento dati'!$B$3=$J$2, Tabella1[[#This Row],[MER]]="X"), "X",IF(AND('Inserimento dati'!$B$3=$K$2, Tabella1[[#This Row],[GIO]]="X"), "X", IF(AND('Inserimento dati'!$B$3=$L$2, Tabella1[[#This Row],[VEN]]="X"), "X","")))))</f>
        <v/>
      </c>
      <c r="U159" s="93"/>
      <c r="V159" s="187">
        <v>45930.833333333336</v>
      </c>
    </row>
    <row r="160" spans="1:29" s="19" customFormat="1" ht="30" x14ac:dyDescent="0.2">
      <c r="A160" s="112"/>
      <c r="B160" s="112"/>
      <c r="C160" s="112" t="str">
        <f>IF(OR(Tabella1[[#This Row],[LUN]]="X",Tabella1[[#This Row],[MAR]]="X",Tabella1[[#This Row],[MER]]="X",Tabella1[[#This Row],[GIO]]="X",Tabella1[[#This Row],[VEN]]="X",),"X","")</f>
        <v/>
      </c>
      <c r="D160" s="113" t="s">
        <v>72</v>
      </c>
      <c r="E160" s="109" t="s">
        <v>2624</v>
      </c>
      <c r="F160" s="109">
        <v>600</v>
      </c>
      <c r="G160" s="109" t="s">
        <v>2625</v>
      </c>
      <c r="H160" s="111"/>
      <c r="I160" s="111"/>
      <c r="J160" s="111"/>
      <c r="K160" s="111"/>
      <c r="L160" s="111"/>
      <c r="M160" s="92" t="s">
        <v>1257</v>
      </c>
      <c r="N160" s="110"/>
      <c r="O160" s="167"/>
      <c r="P160" s="110"/>
      <c r="Q160" s="109" t="s">
        <v>2638</v>
      </c>
      <c r="R160" s="110">
        <v>45883</v>
      </c>
      <c r="S160" s="110" t="s">
        <v>203</v>
      </c>
      <c r="T160" s="114" t="str">
        <f ca="1">IF(AND('Inserimento dati'!$B$3=$H$2, Tabella1[[#This Row],[LUN]]="X"), "X",IF(AND('Inserimento dati'!$B$3=$I$2, Tabella1[[#This Row],[MAR]]="X"), "X", IF(AND('Inserimento dati'!$B$3=$J$2, Tabella1[[#This Row],[MER]]="X"), "X",IF(AND('Inserimento dati'!$B$3=$K$2, Tabella1[[#This Row],[GIO]]="X"), "X", IF(AND('Inserimento dati'!$B$3=$L$2, Tabella1[[#This Row],[VEN]]="X"), "X","")))))</f>
        <v/>
      </c>
      <c r="U160" s="93"/>
      <c r="V160" s="192">
        <v>45930.833333333336</v>
      </c>
      <c r="W160" s="45"/>
      <c r="X160" s="45"/>
      <c r="Y160" s="45"/>
      <c r="Z160" s="45"/>
      <c r="AA160" s="45"/>
      <c r="AB160" s="45"/>
      <c r="AC160" s="45"/>
    </row>
    <row r="161" spans="1:22" s="19" customFormat="1" ht="30" x14ac:dyDescent="0.2">
      <c r="A161" s="112"/>
      <c r="B161" s="112"/>
      <c r="C161" s="112" t="str">
        <f>IF(OR(Tabella1[[#This Row],[LUN]]="X",Tabella1[[#This Row],[MAR]]="X",Tabella1[[#This Row],[MER]]="X",Tabella1[[#This Row],[GIO]]="X",Tabella1[[#This Row],[VEN]]="X",),"X","")</f>
        <v/>
      </c>
      <c r="D161" s="113" t="s">
        <v>72</v>
      </c>
      <c r="E161" s="109" t="s">
        <v>2617</v>
      </c>
      <c r="F161" s="109">
        <v>1000</v>
      </c>
      <c r="G161" s="109" t="s">
        <v>2618</v>
      </c>
      <c r="H161" s="111"/>
      <c r="I161" s="111"/>
      <c r="J161" s="111"/>
      <c r="K161" s="111"/>
      <c r="L161" s="111"/>
      <c r="M161" s="92" t="s">
        <v>1257</v>
      </c>
      <c r="N161" s="110"/>
      <c r="O161" s="167" t="s">
        <v>23</v>
      </c>
      <c r="P161" s="110" t="s">
        <v>23</v>
      </c>
      <c r="Q161" s="109" t="s">
        <v>2630</v>
      </c>
      <c r="R161" s="110">
        <v>45888</v>
      </c>
      <c r="S161" s="110" t="s">
        <v>203</v>
      </c>
      <c r="T161" s="114" t="str">
        <f ca="1">IF(AND('Inserimento dati'!$B$3=$H$2, Tabella1[[#This Row],[LUN]]="X"), "X",IF(AND('Inserimento dati'!$B$3=$I$2, Tabella1[[#This Row],[MAR]]="X"), "X", IF(AND('Inserimento dati'!$B$3=$J$2, Tabella1[[#This Row],[MER]]="X"), "X",IF(AND('Inserimento dati'!$B$3=$K$2, Tabella1[[#This Row],[GIO]]="X"), "X", IF(AND('Inserimento dati'!$B$3=$L$2, Tabella1[[#This Row],[VEN]]="X"), "X","")))))</f>
        <v/>
      </c>
      <c r="U161" s="93"/>
      <c r="V161" s="187">
        <v>45930.833333333336</v>
      </c>
    </row>
    <row r="162" spans="1:22" s="19" customFormat="1" ht="45" x14ac:dyDescent="0.2">
      <c r="A162" s="112"/>
      <c r="B162" s="112"/>
      <c r="C162" s="112" t="str">
        <f>IF(OR(Tabella1[[#This Row],[LUN]]="X",Tabella1[[#This Row],[MAR]]="X",Tabella1[[#This Row],[MER]]="X",Tabella1[[#This Row],[GIO]]="X",Tabella1[[#This Row],[VEN]]="X",),"X","")</f>
        <v/>
      </c>
      <c r="D162" s="113" t="s">
        <v>72</v>
      </c>
      <c r="E162" s="109" t="s">
        <v>2405</v>
      </c>
      <c r="F162" s="109">
        <v>500</v>
      </c>
      <c r="G162" s="109" t="s">
        <v>2406</v>
      </c>
      <c r="H162" s="111"/>
      <c r="I162" s="111"/>
      <c r="J162" s="111"/>
      <c r="K162" s="111"/>
      <c r="L162" s="111"/>
      <c r="M162" s="92" t="s">
        <v>1257</v>
      </c>
      <c r="N162" s="110"/>
      <c r="O162" s="167"/>
      <c r="P162" s="110"/>
      <c r="Q162" s="109" t="s">
        <v>2415</v>
      </c>
      <c r="R162" s="110">
        <v>45856</v>
      </c>
      <c r="S162" s="110" t="s">
        <v>1074</v>
      </c>
      <c r="T162" s="114" t="str">
        <f ca="1">IF(AND('Inserimento dati'!$B$3=$H$2, Tabella1[[#This Row],[LUN]]="X"), "X",IF(AND('Inserimento dati'!$B$3=$I$2, Tabella1[[#This Row],[MAR]]="X"), "X", IF(AND('Inserimento dati'!$B$3=$J$2, Tabella1[[#This Row],[MER]]="X"), "X",IF(AND('Inserimento dati'!$B$3=$K$2, Tabella1[[#This Row],[GIO]]="X"), "X", IF(AND('Inserimento dati'!$B$3=$L$2, Tabella1[[#This Row],[VEN]]="X"), "X","")))))</f>
        <v/>
      </c>
      <c r="U162" s="93"/>
      <c r="V162" s="187">
        <v>45930.833333333336</v>
      </c>
    </row>
    <row r="163" spans="1:22" s="19" customFormat="1" ht="45" x14ac:dyDescent="0.2">
      <c r="A163" s="112"/>
      <c r="B163" s="112"/>
      <c r="C163" s="112" t="str">
        <f>IF(OR(Tabella1[[#This Row],[LUN]]="X",Tabella1[[#This Row],[MAR]]="X",Tabella1[[#This Row],[MER]]="X",Tabella1[[#This Row],[GIO]]="X",Tabella1[[#This Row],[VEN]]="X",),"X","")</f>
        <v/>
      </c>
      <c r="D163" s="113" t="s">
        <v>72</v>
      </c>
      <c r="E163" s="109" t="s">
        <v>1767</v>
      </c>
      <c r="F163" s="109">
        <v>600</v>
      </c>
      <c r="G163" s="109" t="s">
        <v>1768</v>
      </c>
      <c r="H163" s="111"/>
      <c r="I163" s="111"/>
      <c r="J163" s="111"/>
      <c r="K163" s="111"/>
      <c r="L163" s="111"/>
      <c r="M163" s="92" t="s">
        <v>1257</v>
      </c>
      <c r="N163" s="110"/>
      <c r="O163" s="167"/>
      <c r="P163" s="110"/>
      <c r="Q163" s="109" t="s">
        <v>2220</v>
      </c>
      <c r="R163" s="110">
        <v>45839</v>
      </c>
      <c r="S163" s="110" t="s">
        <v>203</v>
      </c>
      <c r="T163" s="114" t="str">
        <f ca="1">IF(AND('Inserimento dati'!$B$3=$H$2, Tabella1[[#This Row],[LUN]]="X"), "X",IF(AND('Inserimento dati'!$B$3=$I$2, Tabella1[[#This Row],[MAR]]="X"), "X", IF(AND('Inserimento dati'!$B$3=$J$2, Tabella1[[#This Row],[MER]]="X"), "X",IF(AND('Inserimento dati'!$B$3=$K$2, Tabella1[[#This Row],[GIO]]="X"), "X", IF(AND('Inserimento dati'!$B$3=$L$2, Tabella1[[#This Row],[VEN]]="X"), "X","")))))</f>
        <v/>
      </c>
      <c r="U163" s="129" t="str">
        <f t="shared" ref="U163:U176" ca="1" si="7">IFERROR(MID(G163,_xlfn.AGGREGATE(15,6,(ROW(INDIRECT("1:"&amp;LEN(G163)-7)))/(ISNUMBER(--MID(G163,ROW(INDIRECT("1:"&amp;LEN(G163)-7)),8))),1),8),"")</f>
        <v/>
      </c>
      <c r="V163" s="187">
        <v>45930.833333333336</v>
      </c>
    </row>
    <row r="164" spans="1:22" s="19" customFormat="1" ht="30" x14ac:dyDescent="0.2">
      <c r="A164" s="112"/>
      <c r="B164" s="112"/>
      <c r="C164" s="112" t="str">
        <f>IF(OR(Tabella1[[#This Row],[LUN]]="X",Tabella1[[#This Row],[MAR]]="X",Tabella1[[#This Row],[MER]]="X",Tabella1[[#This Row],[GIO]]="X",Tabella1[[#This Row],[VEN]]="X",),"X","")</f>
        <v/>
      </c>
      <c r="D164" s="113" t="s">
        <v>72</v>
      </c>
      <c r="E164" s="109" t="s">
        <v>1413</v>
      </c>
      <c r="F164" s="109">
        <v>500</v>
      </c>
      <c r="G164" s="109" t="s">
        <v>1404</v>
      </c>
      <c r="H164" s="111"/>
      <c r="I164" s="111"/>
      <c r="J164" s="111"/>
      <c r="K164" s="111"/>
      <c r="L164" s="111"/>
      <c r="M164" s="110" t="s">
        <v>1257</v>
      </c>
      <c r="N164" s="110"/>
      <c r="O164" s="167"/>
      <c r="P164" s="110"/>
      <c r="Q164" s="109" t="s">
        <v>1439</v>
      </c>
      <c r="R164" s="110">
        <v>45797</v>
      </c>
      <c r="S164" s="110" t="s">
        <v>203</v>
      </c>
      <c r="T164" s="115" t="str">
        <f ca="1">IF(AND('Inserimento dati'!$B$3=$H$2, Tabella1[[#This Row],[LUN]]="X"), "X",IF(AND('Inserimento dati'!$B$3=$I$2, Tabella1[[#This Row],[MAR]]="X"), "X", IF(AND('Inserimento dati'!$B$3=$J$2, Tabella1[[#This Row],[MER]]="X"), "X",IF(AND('Inserimento dati'!$B$3=$K$2, Tabella1[[#This Row],[GIO]]="X"), "X", IF(AND('Inserimento dati'!$B$3=$L$2, Tabella1[[#This Row],[VEN]]="X"), "X","")))))</f>
        <v/>
      </c>
      <c r="U164" s="131" t="str">
        <f t="shared" ca="1" si="7"/>
        <v/>
      </c>
      <c r="V164" s="187">
        <v>45930.833333333336</v>
      </c>
    </row>
    <row r="165" spans="1:22" s="19" customFormat="1" ht="30" x14ac:dyDescent="0.2">
      <c r="A165" s="112"/>
      <c r="B165" s="112" t="str">
        <f t="shared" ref="B165:B176" si="8">IF(OR(A165="x",A165="X"),"",IF(ISBLANK(A165),"X",""))</f>
        <v>X</v>
      </c>
      <c r="C165" s="112" t="str">
        <f>IF(OR(Tabella1[[#This Row],[LUN]]="X",Tabella1[[#This Row],[MAR]]="X",Tabella1[[#This Row],[MER]]="X",Tabella1[[#This Row],[GIO]]="X",Tabella1[[#This Row],[VEN]]="X",),"X","")</f>
        <v/>
      </c>
      <c r="D165" s="113" t="s">
        <v>72</v>
      </c>
      <c r="E165" s="109" t="s">
        <v>1316</v>
      </c>
      <c r="F165" s="109">
        <v>500</v>
      </c>
      <c r="G165" s="109" t="s">
        <v>1315</v>
      </c>
      <c r="H165" s="111"/>
      <c r="I165" s="111"/>
      <c r="J165" s="111"/>
      <c r="K165" s="111"/>
      <c r="L165" s="111"/>
      <c r="M165" s="110" t="s">
        <v>1257</v>
      </c>
      <c r="N165" s="110"/>
      <c r="O165" s="167"/>
      <c r="P165" s="110"/>
      <c r="Q165" s="109" t="s">
        <v>1368</v>
      </c>
      <c r="R165" s="110">
        <v>45791</v>
      </c>
      <c r="S165" s="110" t="s">
        <v>203</v>
      </c>
      <c r="T165" s="114" t="str">
        <f ca="1">IF(AND('Inserimento dati'!$B$3=$H$2, Tabella1[[#This Row],[LUN]]="X"), "X",IF(AND('Inserimento dati'!$B$3=$I$2, Tabella1[[#This Row],[MAR]]="X"), "X", IF(AND('Inserimento dati'!$B$3=$J$2, Tabella1[[#This Row],[MER]]="X"), "X",IF(AND('Inserimento dati'!$B$3=$K$2, Tabella1[[#This Row],[GIO]]="X"), "X", IF(AND('Inserimento dati'!$B$3=$L$2, Tabella1[[#This Row],[VEN]]="X"), "X","")))))</f>
        <v/>
      </c>
      <c r="U165" s="131" t="str">
        <f t="shared" ca="1" si="7"/>
        <v/>
      </c>
      <c r="V165" s="187">
        <v>45930.833333333336</v>
      </c>
    </row>
    <row r="166" spans="1:22" s="19" customFormat="1" ht="30" x14ac:dyDescent="0.2">
      <c r="A166" s="112"/>
      <c r="B166" s="112" t="str">
        <f t="shared" si="8"/>
        <v>X</v>
      </c>
      <c r="C166" s="112" t="str">
        <f>IF(OR(Tabella1[[#This Row],[LUN]]="X",Tabella1[[#This Row],[MAR]]="X",Tabella1[[#This Row],[MER]]="X",Tabella1[[#This Row],[GIO]]="X",Tabella1[[#This Row],[VEN]]="X",),"X","")</f>
        <v/>
      </c>
      <c r="D166" s="113" t="s">
        <v>72</v>
      </c>
      <c r="E166" s="109" t="s">
        <v>1324</v>
      </c>
      <c r="F166" s="109">
        <v>500</v>
      </c>
      <c r="G166" s="109" t="s">
        <v>1318</v>
      </c>
      <c r="H166" s="111"/>
      <c r="I166" s="111"/>
      <c r="J166" s="111"/>
      <c r="K166" s="111"/>
      <c r="L166" s="111"/>
      <c r="M166" s="110" t="s">
        <v>1257</v>
      </c>
      <c r="N166" s="110"/>
      <c r="O166" s="167"/>
      <c r="P166" s="110"/>
      <c r="Q166" s="109" t="s">
        <v>1370</v>
      </c>
      <c r="R166" s="110">
        <v>45791</v>
      </c>
      <c r="S166" s="110" t="s">
        <v>203</v>
      </c>
      <c r="T166" s="114" t="str">
        <f ca="1">IF(AND('Inserimento dati'!$B$3=$H$2, Tabella1[[#This Row],[LUN]]="X"), "X",IF(AND('Inserimento dati'!$B$3=$I$2, Tabella1[[#This Row],[MAR]]="X"), "X", IF(AND('Inserimento dati'!$B$3=$J$2, Tabella1[[#This Row],[MER]]="X"), "X",IF(AND('Inserimento dati'!$B$3=$K$2, Tabella1[[#This Row],[GIO]]="X"), "X", IF(AND('Inserimento dati'!$B$3=$L$2, Tabella1[[#This Row],[VEN]]="X"), "X","")))))</f>
        <v/>
      </c>
      <c r="U166" s="131" t="str">
        <f t="shared" ca="1" si="7"/>
        <v/>
      </c>
      <c r="V166" s="187">
        <v>45930.833333333336</v>
      </c>
    </row>
    <row r="167" spans="1:22" s="19" customFormat="1" ht="45" x14ac:dyDescent="0.2">
      <c r="A167" s="112"/>
      <c r="B167" s="112" t="str">
        <f t="shared" si="8"/>
        <v>X</v>
      </c>
      <c r="C167" s="112" t="str">
        <f>IF(OR(Tabella1[[#This Row],[LUN]]="X",Tabella1[[#This Row],[MAR]]="X",Tabella1[[#This Row],[MER]]="X",Tabella1[[#This Row],[GIO]]="X",Tabella1[[#This Row],[VEN]]="X",),"X","")</f>
        <v/>
      </c>
      <c r="D167" s="113" t="s">
        <v>72</v>
      </c>
      <c r="E167" s="109" t="s">
        <v>1280</v>
      </c>
      <c r="F167" s="109">
        <v>1000</v>
      </c>
      <c r="G167" s="109" t="s">
        <v>1293</v>
      </c>
      <c r="H167" s="111"/>
      <c r="I167" s="111"/>
      <c r="J167" s="111"/>
      <c r="K167" s="111"/>
      <c r="L167" s="111"/>
      <c r="M167" s="110" t="s">
        <v>1257</v>
      </c>
      <c r="N167" s="110"/>
      <c r="O167" s="167" t="s">
        <v>23</v>
      </c>
      <c r="P167" s="110"/>
      <c r="Q167" s="109" t="s">
        <v>1283</v>
      </c>
      <c r="R167" s="110">
        <v>45784</v>
      </c>
      <c r="S167" s="110" t="s">
        <v>50</v>
      </c>
      <c r="T167" s="115" t="str">
        <f ca="1">IF(AND('Inserimento dati'!$B$3=$H$2, Tabella1[[#This Row],[LUN]]="X"), "X",IF(AND('Inserimento dati'!$B$3=$I$2, Tabella1[[#This Row],[MAR]]="X"), "X", IF(AND('Inserimento dati'!$B$3=$J$2, Tabella1[[#This Row],[MER]]="X"), "X",IF(AND('Inserimento dati'!$B$3=$K$2, Tabella1[[#This Row],[GIO]]="X"), "X", IF(AND('Inserimento dati'!$B$3=$L$2, Tabella1[[#This Row],[VEN]]="X"), "X","")))))</f>
        <v/>
      </c>
      <c r="U167" s="131" t="str">
        <f t="shared" ca="1" si="7"/>
        <v/>
      </c>
      <c r="V167" s="187">
        <v>45930.833333333336</v>
      </c>
    </row>
    <row r="168" spans="1:22" s="19" customFormat="1" ht="60" x14ac:dyDescent="0.2">
      <c r="A168" s="112"/>
      <c r="B168" s="112" t="str">
        <f t="shared" si="8"/>
        <v>X</v>
      </c>
      <c r="C168" s="112" t="str">
        <f>IF(OR(Tabella1[[#This Row],[LUN]]="X",Tabella1[[#This Row],[MAR]]="X",Tabella1[[#This Row],[MER]]="X",Tabella1[[#This Row],[GIO]]="X",Tabella1[[#This Row],[VEN]]="X",),"X","")</f>
        <v/>
      </c>
      <c r="D168" s="113" t="s">
        <v>72</v>
      </c>
      <c r="E168" s="109" t="s">
        <v>1219</v>
      </c>
      <c r="F168" s="109">
        <v>500</v>
      </c>
      <c r="G168" s="109" t="s">
        <v>1212</v>
      </c>
      <c r="H168" s="111"/>
      <c r="I168" s="111"/>
      <c r="J168" s="111"/>
      <c r="K168" s="111"/>
      <c r="L168" s="111"/>
      <c r="M168" s="110" t="s">
        <v>1257</v>
      </c>
      <c r="N168" s="110"/>
      <c r="O168" s="167"/>
      <c r="P168" s="110"/>
      <c r="Q168" s="109" t="s">
        <v>1235</v>
      </c>
      <c r="R168" s="110">
        <v>45782</v>
      </c>
      <c r="S168" s="110" t="s">
        <v>203</v>
      </c>
      <c r="T168" s="112" t="str">
        <f ca="1">IF(AND('Inserimento dati'!$B$3=$H$2, Tabella1[[#This Row],[LUN]]="X"), "X",IF(AND('Inserimento dati'!$B$3=$I$2, Tabella1[[#This Row],[MAR]]="X"), "X", IF(AND('Inserimento dati'!$B$3=$J$2, Tabella1[[#This Row],[MER]]="X"), "X",IF(AND('Inserimento dati'!$B$3=$K$2, Tabella1[[#This Row],[GIO]]="X"), "X", IF(AND('Inserimento dati'!$B$3=$L$2, Tabella1[[#This Row],[VEN]]="X"), "X","")))))</f>
        <v/>
      </c>
      <c r="U168" s="131" t="str">
        <f t="shared" ca="1" si="7"/>
        <v/>
      </c>
      <c r="V168" s="187">
        <v>45930.833333333336</v>
      </c>
    </row>
    <row r="169" spans="1:22" s="19" customFormat="1" ht="23.25" x14ac:dyDescent="0.2">
      <c r="A169" s="112"/>
      <c r="B169" s="112" t="str">
        <f t="shared" si="8"/>
        <v>X</v>
      </c>
      <c r="C169" s="112" t="str">
        <f>IF(OR(Tabella1[[#This Row],[LUN]]="X",Tabella1[[#This Row],[MAR]]="X",Tabella1[[#This Row],[MER]]="X",Tabella1[[#This Row],[GIO]]="X",Tabella1[[#This Row],[VEN]]="X",),"X","")</f>
        <v/>
      </c>
      <c r="D169" s="113" t="s">
        <v>72</v>
      </c>
      <c r="E169" s="109" t="s">
        <v>1220</v>
      </c>
      <c r="F169" s="109">
        <v>500</v>
      </c>
      <c r="G169" s="109" t="s">
        <v>1211</v>
      </c>
      <c r="H169" s="111"/>
      <c r="I169" s="111"/>
      <c r="J169" s="111"/>
      <c r="K169" s="111"/>
      <c r="L169" s="111"/>
      <c r="M169" s="110" t="s">
        <v>1257</v>
      </c>
      <c r="N169" s="110"/>
      <c r="O169" s="167" t="s">
        <v>23</v>
      </c>
      <c r="P169" s="110"/>
      <c r="Q169" s="109" t="s">
        <v>1237</v>
      </c>
      <c r="R169" s="110">
        <v>45782</v>
      </c>
      <c r="S169" s="110" t="s">
        <v>203</v>
      </c>
      <c r="T169" s="112" t="str">
        <f ca="1">IF(AND('Inserimento dati'!$B$3=$H$2, Tabella1[[#This Row],[LUN]]="X"), "X",IF(AND('Inserimento dati'!$B$3=$I$2, Tabella1[[#This Row],[MAR]]="X"), "X", IF(AND('Inserimento dati'!$B$3=$J$2, Tabella1[[#This Row],[MER]]="X"), "X",IF(AND('Inserimento dati'!$B$3=$K$2, Tabella1[[#This Row],[GIO]]="X"), "X", IF(AND('Inserimento dati'!$B$3=$L$2, Tabella1[[#This Row],[VEN]]="X"), "X","")))))</f>
        <v/>
      </c>
      <c r="U169" s="131" t="str">
        <f t="shared" ca="1" si="7"/>
        <v/>
      </c>
      <c r="V169" s="187">
        <v>45930.833333333336</v>
      </c>
    </row>
    <row r="170" spans="1:22" s="19" customFormat="1" ht="30" x14ac:dyDescent="0.2">
      <c r="A170" s="112"/>
      <c r="B170" s="112" t="str">
        <f t="shared" si="8"/>
        <v>X</v>
      </c>
      <c r="C170" s="112" t="str">
        <f>IF(OR(Tabella1[[#This Row],[LUN]]="X",Tabella1[[#This Row],[MAR]]="X",Tabella1[[#This Row],[MER]]="X",Tabella1[[#This Row],[GIO]]="X",Tabella1[[#This Row],[VEN]]="X",),"X","")</f>
        <v/>
      </c>
      <c r="D170" s="113" t="s">
        <v>72</v>
      </c>
      <c r="E170" s="109" t="s">
        <v>1205</v>
      </c>
      <c r="F170" s="109">
        <v>600</v>
      </c>
      <c r="G170" s="109" t="s">
        <v>1199</v>
      </c>
      <c r="H170" s="111"/>
      <c r="I170" s="111"/>
      <c r="J170" s="111"/>
      <c r="K170" s="111"/>
      <c r="L170" s="111"/>
      <c r="M170" s="110" t="s">
        <v>1257</v>
      </c>
      <c r="N170" s="110"/>
      <c r="O170" s="167"/>
      <c r="P170" s="110"/>
      <c r="Q170" s="109" t="s">
        <v>1227</v>
      </c>
      <c r="R170" s="110">
        <v>45779</v>
      </c>
      <c r="S170" s="110" t="s">
        <v>203</v>
      </c>
      <c r="T170" s="112" t="str">
        <f ca="1">IF(AND('Inserimento dati'!$B$3=$H$2, Tabella1[[#This Row],[LUN]]="X"), "X",IF(AND('Inserimento dati'!$B$3=$I$2, Tabella1[[#This Row],[MAR]]="X"), "X", IF(AND('Inserimento dati'!$B$3=$J$2, Tabella1[[#This Row],[MER]]="X"), "X",IF(AND('Inserimento dati'!$B$3=$K$2, Tabella1[[#This Row],[GIO]]="X"), "X", IF(AND('Inserimento dati'!$B$3=$L$2, Tabella1[[#This Row],[VEN]]="X"), "X","")))))</f>
        <v/>
      </c>
      <c r="U170" s="131" t="str">
        <f t="shared" ca="1" si="7"/>
        <v/>
      </c>
      <c r="V170" s="187">
        <v>45930.833333333336</v>
      </c>
    </row>
    <row r="171" spans="1:22" s="19" customFormat="1" ht="30" x14ac:dyDescent="0.2">
      <c r="A171" s="112"/>
      <c r="B171" s="112" t="str">
        <f t="shared" si="8"/>
        <v>X</v>
      </c>
      <c r="C171" s="112" t="str">
        <f>IF(OR(Tabella1[[#This Row],[LUN]]="X",Tabella1[[#This Row],[MAR]]="X",Tabella1[[#This Row],[MER]]="X",Tabella1[[#This Row],[GIO]]="X",Tabella1[[#This Row],[VEN]]="X",),"X","")</f>
        <v/>
      </c>
      <c r="D171" s="113" t="s">
        <v>72</v>
      </c>
      <c r="E171" s="109" t="s">
        <v>1217</v>
      </c>
      <c r="F171" s="109">
        <v>1000</v>
      </c>
      <c r="G171" s="109" t="s">
        <v>1215</v>
      </c>
      <c r="H171" s="111"/>
      <c r="I171" s="111"/>
      <c r="J171" s="111"/>
      <c r="K171" s="111"/>
      <c r="L171" s="111"/>
      <c r="M171" s="110" t="s">
        <v>1257</v>
      </c>
      <c r="N171" s="110"/>
      <c r="O171" s="167"/>
      <c r="P171" s="110"/>
      <c r="Q171" s="109" t="s">
        <v>1224</v>
      </c>
      <c r="R171" s="110">
        <v>45782</v>
      </c>
      <c r="S171" s="110" t="s">
        <v>228</v>
      </c>
      <c r="T171" s="112" t="str">
        <f ca="1">IF(AND('Inserimento dati'!$B$3=$H$2, Tabella1[[#This Row],[LUN]]="X"), "X",IF(AND('Inserimento dati'!$B$3=$I$2, Tabella1[[#This Row],[MAR]]="X"), "X", IF(AND('Inserimento dati'!$B$3=$J$2, Tabella1[[#This Row],[MER]]="X"), "X",IF(AND('Inserimento dati'!$B$3=$K$2, Tabella1[[#This Row],[GIO]]="X"), "X", IF(AND('Inserimento dati'!$B$3=$L$2, Tabella1[[#This Row],[VEN]]="X"), "X","")))))</f>
        <v/>
      </c>
      <c r="U171" s="131" t="str">
        <f t="shared" ca="1" si="7"/>
        <v/>
      </c>
      <c r="V171" s="187">
        <v>45930.833333333336</v>
      </c>
    </row>
    <row r="172" spans="1:22" s="19" customFormat="1" ht="30" x14ac:dyDescent="0.2">
      <c r="A172" s="112"/>
      <c r="B172" s="112" t="str">
        <f t="shared" si="8"/>
        <v>X</v>
      </c>
      <c r="C172" s="112" t="str">
        <f>IF(OR(Tabella1[[#This Row],[LUN]]="X",Tabella1[[#This Row],[MAR]]="X",Tabella1[[#This Row],[MER]]="X",Tabella1[[#This Row],[GIO]]="X",Tabella1[[#This Row],[VEN]]="X",),"X","")</f>
        <v/>
      </c>
      <c r="D172" s="113" t="s">
        <v>72</v>
      </c>
      <c r="E172" s="109" t="s">
        <v>789</v>
      </c>
      <c r="F172" s="109">
        <v>600</v>
      </c>
      <c r="G172" s="109" t="s">
        <v>777</v>
      </c>
      <c r="H172" s="111"/>
      <c r="I172" s="111"/>
      <c r="J172" s="111"/>
      <c r="K172" s="111"/>
      <c r="L172" s="111"/>
      <c r="M172" s="110" t="s">
        <v>1257</v>
      </c>
      <c r="N172" s="110"/>
      <c r="O172" s="167"/>
      <c r="P172" s="110"/>
      <c r="Q172" s="109" t="s">
        <v>803</v>
      </c>
      <c r="R172" s="110">
        <v>45715</v>
      </c>
      <c r="S172" s="110" t="s">
        <v>50</v>
      </c>
      <c r="T172" s="112" t="str">
        <f ca="1">IF(AND('Inserimento dati'!$B$3=$H$2, Tabella1[[#This Row],[LUN]]="X"), "X",IF(AND('Inserimento dati'!$B$3=$I$2, Tabella1[[#This Row],[MAR]]="X"), "X", IF(AND('Inserimento dati'!$B$3=$J$2, Tabella1[[#This Row],[MER]]="X"), "X",IF(AND('Inserimento dati'!$B$3=$K$2, Tabella1[[#This Row],[GIO]]="X"), "X", IF(AND('Inserimento dati'!$B$3=$L$2, Tabella1[[#This Row],[VEN]]="X"), "X","")))))</f>
        <v/>
      </c>
      <c r="U172" s="131" t="str">
        <f t="shared" ca="1" si="7"/>
        <v/>
      </c>
      <c r="V172" s="187">
        <v>45930.833333333336</v>
      </c>
    </row>
    <row r="173" spans="1:22" ht="23.25" x14ac:dyDescent="0.25">
      <c r="A173" s="112"/>
      <c r="B173" s="112" t="str">
        <f t="shared" si="8"/>
        <v>X</v>
      </c>
      <c r="C173" s="112" t="str">
        <f>IF(OR(Tabella1[[#This Row],[LUN]]="X",Tabella1[[#This Row],[MAR]]="X",Tabella1[[#This Row],[MER]]="X",Tabella1[[#This Row],[GIO]]="X",Tabella1[[#This Row],[VEN]]="X",),"X","")</f>
        <v/>
      </c>
      <c r="D173" s="113" t="s">
        <v>72</v>
      </c>
      <c r="E173" s="109" t="s">
        <v>790</v>
      </c>
      <c r="F173" s="109">
        <v>600</v>
      </c>
      <c r="G173" s="109" t="s">
        <v>776</v>
      </c>
      <c r="H173" s="111"/>
      <c r="I173" s="111"/>
      <c r="J173" s="111"/>
      <c r="K173" s="111"/>
      <c r="L173" s="111"/>
      <c r="M173" s="110" t="s">
        <v>1257</v>
      </c>
      <c r="N173" s="110"/>
      <c r="O173" s="167"/>
      <c r="P173" s="110"/>
      <c r="Q173" s="109" t="s">
        <v>802</v>
      </c>
      <c r="R173" s="110">
        <v>45715</v>
      </c>
      <c r="S173" s="110" t="s">
        <v>705</v>
      </c>
      <c r="T173" s="112" t="str">
        <f ca="1">IF(AND('Inserimento dati'!$B$3=$H$2, Tabella1[[#This Row],[LUN]]="X"), "X",IF(AND('Inserimento dati'!$B$3=$I$2, Tabella1[[#This Row],[MAR]]="X"), "X", IF(AND('Inserimento dati'!$B$3=$J$2, Tabella1[[#This Row],[MER]]="X"), "X",IF(AND('Inserimento dati'!$B$3=$K$2, Tabella1[[#This Row],[GIO]]="X"), "X", IF(AND('Inserimento dati'!$B$3=$L$2, Tabella1[[#This Row],[VEN]]="X"), "X","")))))</f>
        <v/>
      </c>
      <c r="U173" s="131" t="str">
        <f t="shared" ca="1" si="7"/>
        <v/>
      </c>
      <c r="V173" s="193">
        <v>45930.833333333336</v>
      </c>
    </row>
    <row r="174" spans="1:22" ht="30" x14ac:dyDescent="0.25">
      <c r="A174" s="112"/>
      <c r="B174" s="112" t="str">
        <f t="shared" si="8"/>
        <v>X</v>
      </c>
      <c r="C174" s="112" t="str">
        <f>IF(OR(Tabella1[[#This Row],[LUN]]="X",Tabella1[[#This Row],[MAR]]="X",Tabella1[[#This Row],[MER]]="X",Tabella1[[#This Row],[GIO]]="X",Tabella1[[#This Row],[VEN]]="X",),"X","")</f>
        <v/>
      </c>
      <c r="D174" s="113" t="s">
        <v>72</v>
      </c>
      <c r="E174" s="109" t="s">
        <v>731</v>
      </c>
      <c r="F174" s="109">
        <v>1000</v>
      </c>
      <c r="G174" s="109" t="s">
        <v>727</v>
      </c>
      <c r="H174" s="111"/>
      <c r="I174" s="111"/>
      <c r="J174" s="111"/>
      <c r="K174" s="111"/>
      <c r="L174" s="111"/>
      <c r="M174" s="110" t="s">
        <v>1257</v>
      </c>
      <c r="N174" s="110"/>
      <c r="O174" s="167"/>
      <c r="P174" s="110"/>
      <c r="Q174" s="109" t="s">
        <v>733</v>
      </c>
      <c r="R174" s="110">
        <v>45707</v>
      </c>
      <c r="S174" s="110" t="s">
        <v>50</v>
      </c>
      <c r="T174" s="112" t="str">
        <f ca="1">IF(AND('Inserimento dati'!$B$3=$H$2, Tabella1[[#This Row],[LUN]]="X"), "X",IF(AND('Inserimento dati'!$B$3=$I$2, Tabella1[[#This Row],[MAR]]="X"), "X", IF(AND('Inserimento dati'!$B$3=$J$2, Tabella1[[#This Row],[MER]]="X"), "X",IF(AND('Inserimento dati'!$B$3=$K$2, Tabella1[[#This Row],[GIO]]="X"), "X", IF(AND('Inserimento dati'!$B$3=$L$2, Tabella1[[#This Row],[VEN]]="X"), "X","")))))</f>
        <v/>
      </c>
      <c r="U174" s="132" t="str">
        <f t="shared" ca="1" si="7"/>
        <v/>
      </c>
      <c r="V174" s="193">
        <v>45930.833333333336</v>
      </c>
    </row>
    <row r="175" spans="1:22" ht="30" x14ac:dyDescent="0.25">
      <c r="A175" s="112"/>
      <c r="B175" s="112" t="str">
        <f t="shared" si="8"/>
        <v>X</v>
      </c>
      <c r="C175" s="112" t="str">
        <f>IF(OR(Tabella1[[#This Row],[LUN]]="X",Tabella1[[#This Row],[MAR]]="X",Tabella1[[#This Row],[MER]]="X",Tabella1[[#This Row],[GIO]]="X",Tabella1[[#This Row],[VEN]]="X",),"X","")</f>
        <v/>
      </c>
      <c r="D175" s="113" t="s">
        <v>72</v>
      </c>
      <c r="E175" s="109" t="s">
        <v>718</v>
      </c>
      <c r="F175" s="109">
        <v>500</v>
      </c>
      <c r="G175" s="109" t="s">
        <v>709</v>
      </c>
      <c r="H175" s="111"/>
      <c r="I175" s="111"/>
      <c r="J175" s="111"/>
      <c r="K175" s="111"/>
      <c r="L175" s="111"/>
      <c r="M175" s="110" t="s">
        <v>1257</v>
      </c>
      <c r="N175" s="110"/>
      <c r="O175" s="167" t="s">
        <v>23</v>
      </c>
      <c r="P175" s="110"/>
      <c r="Q175" s="109" t="s">
        <v>712</v>
      </c>
      <c r="R175" s="110">
        <v>45705</v>
      </c>
      <c r="S175" s="110" t="s">
        <v>713</v>
      </c>
      <c r="T175" s="112" t="str">
        <f ca="1">IF(AND('Inserimento dati'!$B$3=$H$2, Tabella1[[#This Row],[LUN]]="X"), "X",IF(AND('Inserimento dati'!$B$3=$I$2, Tabella1[[#This Row],[MAR]]="X"), "X", IF(AND('Inserimento dati'!$B$3=$J$2, Tabella1[[#This Row],[MER]]="X"), "X",IF(AND('Inserimento dati'!$B$3=$K$2, Tabella1[[#This Row],[GIO]]="X"), "X", IF(AND('Inserimento dati'!$B$3=$L$2, Tabella1[[#This Row],[VEN]]="X"), "X","")))))</f>
        <v/>
      </c>
      <c r="U175" s="132" t="str">
        <f t="shared" ca="1" si="7"/>
        <v/>
      </c>
      <c r="V175" s="193">
        <v>45930.833333333336</v>
      </c>
    </row>
    <row r="176" spans="1:22" ht="30" x14ac:dyDescent="0.25">
      <c r="A176" s="112"/>
      <c r="B176" s="112" t="str">
        <f t="shared" si="8"/>
        <v>X</v>
      </c>
      <c r="C176" s="112" t="str">
        <f>IF(OR(Tabella1[[#This Row],[LUN]]="X",Tabella1[[#This Row],[MAR]]="X",Tabella1[[#This Row],[MER]]="X",Tabella1[[#This Row],[GIO]]="X",Tabella1[[#This Row],[VEN]]="X",),"X","")</f>
        <v/>
      </c>
      <c r="D176" s="113" t="s">
        <v>72</v>
      </c>
      <c r="E176" s="109" t="s">
        <v>552</v>
      </c>
      <c r="F176" s="109">
        <v>600</v>
      </c>
      <c r="G176" s="109" t="s">
        <v>549</v>
      </c>
      <c r="H176" s="111"/>
      <c r="I176" s="111"/>
      <c r="J176" s="111"/>
      <c r="K176" s="111"/>
      <c r="L176" s="111"/>
      <c r="M176" s="110" t="s">
        <v>1257</v>
      </c>
      <c r="N176" s="110"/>
      <c r="O176" s="167" t="s">
        <v>23</v>
      </c>
      <c r="P176" s="110"/>
      <c r="Q176" s="109" t="s">
        <v>1266</v>
      </c>
      <c r="R176" s="110">
        <v>45687</v>
      </c>
      <c r="S176" s="110" t="s">
        <v>211</v>
      </c>
      <c r="T176" s="112" t="str">
        <f ca="1">IF(AND('Inserimento dati'!$B$3=$H$2, Tabella1[[#This Row],[LUN]]="X"), "X",IF(AND('Inserimento dati'!$B$3=$I$2, Tabella1[[#This Row],[MAR]]="X"), "X", IF(AND('Inserimento dati'!$B$3=$J$2, Tabella1[[#This Row],[MER]]="X"), "X",IF(AND('Inserimento dati'!$B$3=$K$2, Tabella1[[#This Row],[GIO]]="X"), "X", IF(AND('Inserimento dati'!$B$3=$L$2, Tabella1[[#This Row],[VEN]]="X"), "X","")))))</f>
        <v/>
      </c>
      <c r="U176" s="132" t="str">
        <f t="shared" ca="1" si="7"/>
        <v/>
      </c>
      <c r="V176" s="193">
        <v>45930.833333333336</v>
      </c>
    </row>
    <row r="177" spans="1:22" ht="23.25" x14ac:dyDescent="0.25">
      <c r="A177" s="112"/>
      <c r="B177" s="112"/>
      <c r="C177" s="112" t="str">
        <f>IF(OR(Tabella1[[#This Row],[LUN]]="X",Tabella1[[#This Row],[MAR]]="X",Tabella1[[#This Row],[MER]]="X",Tabella1[[#This Row],[GIO]]="X",Tabella1[[#This Row],[VEN]]="X",),"X","")</f>
        <v/>
      </c>
      <c r="D177" s="113" t="s">
        <v>72</v>
      </c>
      <c r="E177" s="109" t="s">
        <v>2750</v>
      </c>
      <c r="F177" s="109">
        <v>1000</v>
      </c>
      <c r="G177" s="109" t="s">
        <v>2751</v>
      </c>
      <c r="H177" s="111"/>
      <c r="I177" s="111"/>
      <c r="J177" s="111"/>
      <c r="K177" s="111"/>
      <c r="L177" s="111"/>
      <c r="M177" s="92" t="s">
        <v>1257</v>
      </c>
      <c r="N177" s="110"/>
      <c r="O177" s="167"/>
      <c r="P177" s="110"/>
      <c r="Q177" s="109" t="s">
        <v>2753</v>
      </c>
      <c r="R177" s="110">
        <v>45898</v>
      </c>
      <c r="S177" s="110" t="s">
        <v>1074</v>
      </c>
      <c r="T177" s="114" t="str">
        <f ca="1">IF(AND('Inserimento dati'!$B$3=$H$2, Tabella1[[#This Row],[LUN]]="X"), "X",IF(AND('Inserimento dati'!$B$3=$I$2, Tabella1[[#This Row],[MAR]]="X"), "X", IF(AND('Inserimento dati'!$B$3=$J$2, Tabella1[[#This Row],[MER]]="X"), "X",IF(AND('Inserimento dati'!$B$3=$K$2, Tabella1[[#This Row],[GIO]]="X"), "X", IF(AND('Inserimento dati'!$B$3=$L$2, Tabella1[[#This Row],[VEN]]="X"), "X","")))))</f>
        <v/>
      </c>
      <c r="U177" s="93"/>
      <c r="V177" s="193">
        <v>45930.833333333336</v>
      </c>
    </row>
    <row r="178" spans="1:22" ht="23.25" x14ac:dyDescent="0.25">
      <c r="A178" s="112"/>
      <c r="B178" s="112"/>
      <c r="C178" s="112" t="str">
        <f>IF(OR(Tabella1[[#This Row],[LUN]]="X",Tabella1[[#This Row],[MAR]]="X",Tabella1[[#This Row],[MER]]="X",Tabella1[[#This Row],[GIO]]="X",Tabella1[[#This Row],[VEN]]="X",),"X","")</f>
        <v/>
      </c>
      <c r="D178" s="113" t="s">
        <v>72</v>
      </c>
      <c r="E178" s="109" t="s">
        <v>2795</v>
      </c>
      <c r="F178" s="109">
        <v>1000</v>
      </c>
      <c r="G178" s="109" t="s">
        <v>2796</v>
      </c>
      <c r="H178" s="111"/>
      <c r="I178" s="111"/>
      <c r="J178" s="111"/>
      <c r="K178" s="111"/>
      <c r="L178" s="111"/>
      <c r="M178" s="92" t="s">
        <v>1257</v>
      </c>
      <c r="N178" s="110"/>
      <c r="O178" s="167"/>
      <c r="P178" s="110"/>
      <c r="Q178" s="109" t="s">
        <v>2808</v>
      </c>
      <c r="R178" s="110">
        <v>45903</v>
      </c>
      <c r="S178" s="110" t="s">
        <v>203</v>
      </c>
      <c r="T178" s="114" t="str">
        <f ca="1">IF(AND('Inserimento dati'!$B$3=$H$2, Tabella1[[#This Row],[LUN]]="X"), "X",IF(AND('Inserimento dati'!$B$3=$I$2, Tabella1[[#This Row],[MAR]]="X"), "X", IF(AND('Inserimento dati'!$B$3=$J$2, Tabella1[[#This Row],[MER]]="X"), "X",IF(AND('Inserimento dati'!$B$3=$K$2, Tabella1[[#This Row],[GIO]]="X"), "X", IF(AND('Inserimento dati'!$B$3=$L$2, Tabella1[[#This Row],[VEN]]="X"), "X","")))))</f>
        <v/>
      </c>
      <c r="U178" s="93"/>
      <c r="V178" s="193">
        <v>45930.833333333336</v>
      </c>
    </row>
  </sheetData>
  <mergeCells count="2">
    <mergeCell ref="A1:D1"/>
    <mergeCell ref="N2:P2"/>
  </mergeCells>
  <conditionalFormatting sqref="M95:S176 E95:G178 N178:Q178 M177:Q177">
    <cfRule type="expression" dxfId="6178" priority="589">
      <formula>SEARCH("IN CORSO",$M95)&gt;0</formula>
    </cfRule>
    <cfRule type="expression" dxfId="6177" priority="590">
      <formula>SEARCH("CHIUSO",$M95)&gt;0</formula>
    </cfRule>
    <cfRule type="expression" dxfId="6176" priority="591">
      <formula>SEARCH("EMESSO",$M95)&gt;0</formula>
    </cfRule>
    <cfRule type="expression" dxfId="6175" priority="592">
      <formula>SEARCH("RICHIESTO",$M95)&gt;0</formula>
    </cfRule>
    <cfRule type="expression" dxfId="6174" priority="593">
      <formula>SEARCH("DA CHIUDERE",$M95)&gt;0</formula>
    </cfRule>
    <cfRule type="expression" dxfId="6173" priority="594">
      <formula>SEARCH("INTERROTTO",$M95)&gt;0</formula>
    </cfRule>
  </conditionalFormatting>
  <conditionalFormatting sqref="E94:G94 M94:S94">
    <cfRule type="expression" dxfId="6172" priority="583">
      <formula>SEARCH("IN CORSO",$M94)&gt;0</formula>
    </cfRule>
    <cfRule type="expression" dxfId="6171" priority="584">
      <formula>SEARCH("CHIUSO",$M94)&gt;0</formula>
    </cfRule>
    <cfRule type="expression" dxfId="6170" priority="585">
      <formula>SEARCH("EMESSO",$M94)&gt;0</formula>
    </cfRule>
    <cfRule type="expression" dxfId="6169" priority="586">
      <formula>SEARCH("RICHIESTO",$M94)&gt;0</formula>
    </cfRule>
    <cfRule type="expression" dxfId="6168" priority="587">
      <formula>SEARCH("DA CHIUDERE",$M94)&gt;0</formula>
    </cfRule>
    <cfRule type="expression" dxfId="6167" priority="588">
      <formula>SEARCH("INTERROTTO",$M94)&gt;0</formula>
    </cfRule>
  </conditionalFormatting>
  <conditionalFormatting sqref="E93:G93 M93:S93">
    <cfRule type="expression" dxfId="6166" priority="577">
      <formula>SEARCH("IN CORSO",$M93)&gt;0</formula>
    </cfRule>
    <cfRule type="expression" dxfId="6165" priority="578">
      <formula>SEARCH("CHIUSO",$M93)&gt;0</formula>
    </cfRule>
    <cfRule type="expression" dxfId="6164" priority="579">
      <formula>SEARCH("EMESSO",$M93)&gt;0</formula>
    </cfRule>
    <cfRule type="expression" dxfId="6163" priority="580">
      <formula>SEARCH("RICHIESTO",$M93)&gt;0</formula>
    </cfRule>
    <cfRule type="expression" dxfId="6162" priority="581">
      <formula>SEARCH("DA CHIUDERE",$M93)&gt;0</formula>
    </cfRule>
    <cfRule type="expression" dxfId="6161" priority="582">
      <formula>SEARCH("INTERROTTO",$M93)&gt;0</formula>
    </cfRule>
  </conditionalFormatting>
  <conditionalFormatting sqref="E92:G92 M92:S92">
    <cfRule type="expression" dxfId="6160" priority="571">
      <formula>SEARCH("IN CORSO",$M92)&gt;0</formula>
    </cfRule>
    <cfRule type="expression" dxfId="6159" priority="572">
      <formula>SEARCH("CHIUSO",$M92)&gt;0</formula>
    </cfRule>
    <cfRule type="expression" dxfId="6158" priority="573">
      <formula>SEARCH("EMESSO",$M92)&gt;0</formula>
    </cfRule>
    <cfRule type="expression" dxfId="6157" priority="574">
      <formula>SEARCH("RICHIESTO",$M92)&gt;0</formula>
    </cfRule>
    <cfRule type="expression" dxfId="6156" priority="575">
      <formula>SEARCH("DA CHIUDERE",$M92)&gt;0</formula>
    </cfRule>
    <cfRule type="expression" dxfId="6155" priority="576">
      <formula>SEARCH("INTERROTTO",$M92)&gt;0</formula>
    </cfRule>
  </conditionalFormatting>
  <conditionalFormatting sqref="E91:G91 M91:S91">
    <cfRule type="expression" dxfId="6154" priority="565">
      <formula>SEARCH("IN CORSO",$M91)&gt;0</formula>
    </cfRule>
    <cfRule type="expression" dxfId="6153" priority="566">
      <formula>SEARCH("CHIUSO",$M91)&gt;0</formula>
    </cfRule>
    <cfRule type="expression" dxfId="6152" priority="567">
      <formula>SEARCH("EMESSO",$M91)&gt;0</formula>
    </cfRule>
    <cfRule type="expression" dxfId="6151" priority="568">
      <formula>SEARCH("RICHIESTO",$M91)&gt;0</formula>
    </cfRule>
    <cfRule type="expression" dxfId="6150" priority="569">
      <formula>SEARCH("DA CHIUDERE",$M91)&gt;0</formula>
    </cfRule>
    <cfRule type="expression" dxfId="6149" priority="570">
      <formula>SEARCH("INTERROTTO",$M91)&gt;0</formula>
    </cfRule>
  </conditionalFormatting>
  <conditionalFormatting sqref="E90:G90 M90:S90">
    <cfRule type="expression" dxfId="6148" priority="559">
      <formula>SEARCH("IN CORSO",$M90)&gt;0</formula>
    </cfRule>
    <cfRule type="expression" dxfId="6147" priority="560">
      <formula>SEARCH("CHIUSO",$M90)&gt;0</formula>
    </cfRule>
    <cfRule type="expression" dxfId="6146" priority="561">
      <formula>SEARCH("EMESSO",$M90)&gt;0</formula>
    </cfRule>
    <cfRule type="expression" dxfId="6145" priority="562">
      <formula>SEARCH("RICHIESTO",$M90)&gt;0</formula>
    </cfRule>
    <cfRule type="expression" dxfId="6144" priority="563">
      <formula>SEARCH("DA CHIUDERE",$M90)&gt;0</formula>
    </cfRule>
    <cfRule type="expression" dxfId="6143" priority="564">
      <formula>SEARCH("INTERROTTO",$M90)&gt;0</formula>
    </cfRule>
  </conditionalFormatting>
  <conditionalFormatting sqref="E89:G89 M89:S89">
    <cfRule type="expression" dxfId="6142" priority="553">
      <formula>SEARCH("IN CORSO",$M89)&gt;0</formula>
    </cfRule>
    <cfRule type="expression" dxfId="6141" priority="554">
      <formula>SEARCH("CHIUSO",$M89)&gt;0</formula>
    </cfRule>
    <cfRule type="expression" dxfId="6140" priority="555">
      <formula>SEARCH("EMESSO",$M89)&gt;0</formula>
    </cfRule>
    <cfRule type="expression" dxfId="6139" priority="556">
      <formula>SEARCH("RICHIESTO",$M89)&gt;0</formula>
    </cfRule>
    <cfRule type="expression" dxfId="6138" priority="557">
      <formula>SEARCH("DA CHIUDERE",$M89)&gt;0</formula>
    </cfRule>
    <cfRule type="expression" dxfId="6137" priority="558">
      <formula>SEARCH("INTERROTTO",$M89)&gt;0</formula>
    </cfRule>
  </conditionalFormatting>
  <conditionalFormatting sqref="E88:G88 M88:S88">
    <cfRule type="expression" dxfId="6136" priority="547">
      <formula>SEARCH("IN CORSO",$M88)&gt;0</formula>
    </cfRule>
    <cfRule type="expression" dxfId="6135" priority="548">
      <formula>SEARCH("CHIUSO",$M88)&gt;0</formula>
    </cfRule>
    <cfRule type="expression" dxfId="6134" priority="549">
      <formula>SEARCH("EMESSO",$M88)&gt;0</formula>
    </cfRule>
    <cfRule type="expression" dxfId="6133" priority="550">
      <formula>SEARCH("RICHIESTO",$M88)&gt;0</formula>
    </cfRule>
    <cfRule type="expression" dxfId="6132" priority="551">
      <formula>SEARCH("DA CHIUDERE",$M88)&gt;0</formula>
    </cfRule>
    <cfRule type="expression" dxfId="6131" priority="552">
      <formula>SEARCH("INTERROTTO",$M88)&gt;0</formula>
    </cfRule>
  </conditionalFormatting>
  <conditionalFormatting sqref="E87:G87 M87:S87">
    <cfRule type="expression" dxfId="6130" priority="535">
      <formula>SEARCH("IN CORSO",$M87)&gt;0</formula>
    </cfRule>
    <cfRule type="expression" dxfId="6129" priority="536">
      <formula>SEARCH("CHIUSO",$M87)&gt;0</formula>
    </cfRule>
    <cfRule type="expression" dxfId="6128" priority="537">
      <formula>SEARCH("EMESSO",$M87)&gt;0</formula>
    </cfRule>
    <cfRule type="expression" dxfId="6127" priority="538">
      <formula>SEARCH("RICHIESTO",$M87)&gt;0</formula>
    </cfRule>
    <cfRule type="expression" dxfId="6126" priority="539">
      <formula>SEARCH("DA CHIUDERE",$M87)&gt;0</formula>
    </cfRule>
    <cfRule type="expression" dxfId="6125" priority="540">
      <formula>SEARCH("INTERROTTO",$M87)&gt;0</formula>
    </cfRule>
  </conditionalFormatting>
  <conditionalFormatting sqref="E86:G86 M86:S86">
    <cfRule type="expression" dxfId="6124" priority="529">
      <formula>SEARCH("IN CORSO",$M86)&gt;0</formula>
    </cfRule>
    <cfRule type="expression" dxfId="6123" priority="530">
      <formula>SEARCH("CHIUSO",$M86)&gt;0</formula>
    </cfRule>
    <cfRule type="expression" dxfId="6122" priority="531">
      <formula>SEARCH("EMESSO",$M86)&gt;0</formula>
    </cfRule>
    <cfRule type="expression" dxfId="6121" priority="532">
      <formula>SEARCH("RICHIESTO",$M86)&gt;0</formula>
    </cfRule>
    <cfRule type="expression" dxfId="6120" priority="533">
      <formula>SEARCH("DA CHIUDERE",$M86)&gt;0</formula>
    </cfRule>
    <cfRule type="expression" dxfId="6119" priority="534">
      <formula>SEARCH("INTERROTTO",$M86)&gt;0</formula>
    </cfRule>
  </conditionalFormatting>
  <conditionalFormatting sqref="E85:G85 M85:S85">
    <cfRule type="expression" dxfId="6118" priority="523">
      <formula>SEARCH("IN CORSO",$M85)&gt;0</formula>
    </cfRule>
    <cfRule type="expression" dxfId="6117" priority="524">
      <formula>SEARCH("CHIUSO",$M85)&gt;0</formula>
    </cfRule>
    <cfRule type="expression" dxfId="6116" priority="525">
      <formula>SEARCH("EMESSO",$M85)&gt;0</formula>
    </cfRule>
    <cfRule type="expression" dxfId="6115" priority="526">
      <formula>SEARCH("RICHIESTO",$M85)&gt;0</formula>
    </cfRule>
    <cfRule type="expression" dxfId="6114" priority="527">
      <formula>SEARCH("DA CHIUDERE",$M85)&gt;0</formula>
    </cfRule>
    <cfRule type="expression" dxfId="6113" priority="528">
      <formula>SEARCH("INTERROTTO",$M85)&gt;0</formula>
    </cfRule>
  </conditionalFormatting>
  <conditionalFormatting sqref="E84:G84 M84:S84">
    <cfRule type="expression" dxfId="6112" priority="517">
      <formula>SEARCH("IN CORSO",$M84)&gt;0</formula>
    </cfRule>
    <cfRule type="expression" dxfId="6111" priority="518">
      <formula>SEARCH("CHIUSO",$M84)&gt;0</formula>
    </cfRule>
    <cfRule type="expression" dxfId="6110" priority="519">
      <formula>SEARCH("EMESSO",$M84)&gt;0</formula>
    </cfRule>
    <cfRule type="expression" dxfId="6109" priority="520">
      <formula>SEARCH("RICHIESTO",$M84)&gt;0</formula>
    </cfRule>
    <cfRule type="expression" dxfId="6108" priority="521">
      <formula>SEARCH("DA CHIUDERE",$M84)&gt;0</formula>
    </cfRule>
    <cfRule type="expression" dxfId="6107" priority="522">
      <formula>SEARCH("INTERROTTO",$M84)&gt;0</formula>
    </cfRule>
  </conditionalFormatting>
  <conditionalFormatting sqref="E83:G83 M83:S83">
    <cfRule type="expression" dxfId="6106" priority="511">
      <formula>SEARCH("IN CORSO",$M83)&gt;0</formula>
    </cfRule>
    <cfRule type="expression" dxfId="6105" priority="512">
      <formula>SEARCH("CHIUSO",$M83)&gt;0</formula>
    </cfRule>
    <cfRule type="expression" dxfId="6104" priority="513">
      <formula>SEARCH("EMESSO",$M83)&gt;0</formula>
    </cfRule>
    <cfRule type="expression" dxfId="6103" priority="514">
      <formula>SEARCH("RICHIESTO",$M83)&gt;0</formula>
    </cfRule>
    <cfRule type="expression" dxfId="6102" priority="515">
      <formula>SEARCH("DA CHIUDERE",$M83)&gt;0</formula>
    </cfRule>
    <cfRule type="expression" dxfId="6101" priority="516">
      <formula>SEARCH("INTERROTTO",$M83)&gt;0</formula>
    </cfRule>
  </conditionalFormatting>
  <conditionalFormatting sqref="E82:G82 M82:S82">
    <cfRule type="expression" dxfId="6100" priority="505">
      <formula>SEARCH("IN CORSO",$M82)&gt;0</formula>
    </cfRule>
    <cfRule type="expression" dxfId="6099" priority="506">
      <formula>SEARCH("CHIUSO",$M82)&gt;0</formula>
    </cfRule>
    <cfRule type="expression" dxfId="6098" priority="507">
      <formula>SEARCH("EMESSO",$M82)&gt;0</formula>
    </cfRule>
    <cfRule type="expression" dxfId="6097" priority="508">
      <formula>SEARCH("RICHIESTO",$M82)&gt;0</formula>
    </cfRule>
    <cfRule type="expression" dxfId="6096" priority="509">
      <formula>SEARCH("DA CHIUDERE",$M82)&gt;0</formula>
    </cfRule>
    <cfRule type="expression" dxfId="6095" priority="510">
      <formula>SEARCH("INTERROTTO",$M82)&gt;0</formula>
    </cfRule>
  </conditionalFormatting>
  <conditionalFormatting sqref="E81:G81 M81:S81">
    <cfRule type="expression" dxfId="6094" priority="499">
      <formula>SEARCH("IN CORSO",$M81)&gt;0</formula>
    </cfRule>
    <cfRule type="expression" dxfId="6093" priority="500">
      <formula>SEARCH("CHIUSO",$M81)&gt;0</formula>
    </cfRule>
    <cfRule type="expression" dxfId="6092" priority="501">
      <formula>SEARCH("EMESSO",$M81)&gt;0</formula>
    </cfRule>
    <cfRule type="expression" dxfId="6091" priority="502">
      <formula>SEARCH("RICHIESTO",$M81)&gt;0</formula>
    </cfRule>
    <cfRule type="expression" dxfId="6090" priority="503">
      <formula>SEARCH("DA CHIUDERE",$M81)&gt;0</formula>
    </cfRule>
    <cfRule type="expression" dxfId="6089" priority="504">
      <formula>SEARCH("INTERROTTO",$M81)&gt;0</formula>
    </cfRule>
  </conditionalFormatting>
  <conditionalFormatting sqref="E79:G79 M79:S79">
    <cfRule type="expression" dxfId="6088" priority="487">
      <formula>SEARCH("IN CORSO",$M79)&gt;0</formula>
    </cfRule>
    <cfRule type="expression" dxfId="6087" priority="488">
      <formula>SEARCH("CHIUSO",$M79)&gt;0</formula>
    </cfRule>
    <cfRule type="expression" dxfId="6086" priority="489">
      <formula>SEARCH("EMESSO",$M79)&gt;0</formula>
    </cfRule>
    <cfRule type="expression" dxfId="6085" priority="490">
      <formula>SEARCH("RICHIESTO",$M79)&gt;0</formula>
    </cfRule>
    <cfRule type="expression" dxfId="6084" priority="491">
      <formula>SEARCH("DA CHIUDERE",$M79)&gt;0</formula>
    </cfRule>
    <cfRule type="expression" dxfId="6083" priority="492">
      <formula>SEARCH("INTERROTTO",$M79)&gt;0</formula>
    </cfRule>
  </conditionalFormatting>
  <conditionalFormatting sqref="E78:G78 M78:S78">
    <cfRule type="expression" dxfId="6082" priority="481">
      <formula>SEARCH("IN CORSO",$M78)&gt;0</formula>
    </cfRule>
    <cfRule type="expression" dxfId="6081" priority="482">
      <formula>SEARCH("CHIUSO",$M78)&gt;0</formula>
    </cfRule>
    <cfRule type="expression" dxfId="6080" priority="483">
      <formula>SEARCH("EMESSO",$M78)&gt;0</formula>
    </cfRule>
    <cfRule type="expression" dxfId="6079" priority="484">
      <formula>SEARCH("RICHIESTO",$M78)&gt;0</formula>
    </cfRule>
    <cfRule type="expression" dxfId="6078" priority="485">
      <formula>SEARCH("DA CHIUDERE",$M78)&gt;0</formula>
    </cfRule>
    <cfRule type="expression" dxfId="6077" priority="486">
      <formula>SEARCH("INTERROTTO",$M78)&gt;0</formula>
    </cfRule>
  </conditionalFormatting>
  <conditionalFormatting sqref="E77:G77 M77:S77">
    <cfRule type="expression" dxfId="6076" priority="475">
      <formula>SEARCH("IN CORSO",$M77)&gt;0</formula>
    </cfRule>
    <cfRule type="expression" dxfId="6075" priority="476">
      <formula>SEARCH("CHIUSO",$M77)&gt;0</formula>
    </cfRule>
    <cfRule type="expression" dxfId="6074" priority="477">
      <formula>SEARCH("EMESSO",$M77)&gt;0</formula>
    </cfRule>
    <cfRule type="expression" dxfId="6073" priority="478">
      <formula>SEARCH("RICHIESTO",$M77)&gt;0</formula>
    </cfRule>
    <cfRule type="expression" dxfId="6072" priority="479">
      <formula>SEARCH("DA CHIUDERE",$M77)&gt;0</formula>
    </cfRule>
    <cfRule type="expression" dxfId="6071" priority="480">
      <formula>SEARCH("INTERROTTO",$M77)&gt;0</formula>
    </cfRule>
  </conditionalFormatting>
  <conditionalFormatting sqref="E76:G76 M76:S76">
    <cfRule type="expression" dxfId="6070" priority="469">
      <formula>SEARCH("IN CORSO",$M76)&gt;0</formula>
    </cfRule>
    <cfRule type="expression" dxfId="6069" priority="470">
      <formula>SEARCH("CHIUSO",$M76)&gt;0</formula>
    </cfRule>
    <cfRule type="expression" dxfId="6068" priority="471">
      <formula>SEARCH("EMESSO",$M76)&gt;0</formula>
    </cfRule>
    <cfRule type="expression" dxfId="6067" priority="472">
      <formula>SEARCH("RICHIESTO",$M76)&gt;0</formula>
    </cfRule>
    <cfRule type="expression" dxfId="6066" priority="473">
      <formula>SEARCH("DA CHIUDERE",$M76)&gt;0</formula>
    </cfRule>
    <cfRule type="expression" dxfId="6065" priority="474">
      <formula>SEARCH("INTERROTTO",$M76)&gt;0</formula>
    </cfRule>
  </conditionalFormatting>
  <conditionalFormatting sqref="E75:G75 M75:S75">
    <cfRule type="expression" dxfId="6064" priority="463">
      <formula>SEARCH("IN CORSO",$M75)&gt;0</formula>
    </cfRule>
    <cfRule type="expression" dxfId="6063" priority="464">
      <formula>SEARCH("CHIUSO",$M75)&gt;0</formula>
    </cfRule>
    <cfRule type="expression" dxfId="6062" priority="465">
      <formula>SEARCH("EMESSO",$M75)&gt;0</formula>
    </cfRule>
    <cfRule type="expression" dxfId="6061" priority="466">
      <formula>SEARCH("RICHIESTO",$M75)&gt;0</formula>
    </cfRule>
    <cfRule type="expression" dxfId="6060" priority="467">
      <formula>SEARCH("DA CHIUDERE",$M75)&gt;0</formula>
    </cfRule>
    <cfRule type="expression" dxfId="6059" priority="468">
      <formula>SEARCH("INTERROTTO",$M75)&gt;0</formula>
    </cfRule>
  </conditionalFormatting>
  <conditionalFormatting sqref="E74:G74 M74:S74">
    <cfRule type="expression" dxfId="6058" priority="457">
      <formula>SEARCH("IN CORSO",$M74)&gt;0</formula>
    </cfRule>
    <cfRule type="expression" dxfId="6057" priority="458">
      <formula>SEARCH("CHIUSO",$M74)&gt;0</formula>
    </cfRule>
    <cfRule type="expression" dxfId="6056" priority="459">
      <formula>SEARCH("EMESSO",$M74)&gt;0</formula>
    </cfRule>
    <cfRule type="expression" dxfId="6055" priority="460">
      <formula>SEARCH("RICHIESTO",$M74)&gt;0</formula>
    </cfRule>
    <cfRule type="expression" dxfId="6054" priority="461">
      <formula>SEARCH("DA CHIUDERE",$M74)&gt;0</formula>
    </cfRule>
    <cfRule type="expression" dxfId="6053" priority="462">
      <formula>SEARCH("INTERROTTO",$M74)&gt;0</formula>
    </cfRule>
  </conditionalFormatting>
  <conditionalFormatting sqref="E73:G73 M73:S73">
    <cfRule type="expression" dxfId="6052" priority="451">
      <formula>SEARCH("IN CORSO",$M73)&gt;0</formula>
    </cfRule>
    <cfRule type="expression" dxfId="6051" priority="452">
      <formula>SEARCH("CHIUSO",$M73)&gt;0</formula>
    </cfRule>
    <cfRule type="expression" dxfId="6050" priority="453">
      <formula>SEARCH("EMESSO",$M73)&gt;0</formula>
    </cfRule>
    <cfRule type="expression" dxfId="6049" priority="454">
      <formula>SEARCH("RICHIESTO",$M73)&gt;0</formula>
    </cfRule>
    <cfRule type="expression" dxfId="6048" priority="455">
      <formula>SEARCH("DA CHIUDERE",$M73)&gt;0</formula>
    </cfRule>
    <cfRule type="expression" dxfId="6047" priority="456">
      <formula>SEARCH("INTERROTTO",$M73)&gt;0</formula>
    </cfRule>
  </conditionalFormatting>
  <conditionalFormatting sqref="E72:G72 M72:S72">
    <cfRule type="expression" dxfId="6046" priority="445">
      <formula>SEARCH("IN CORSO",$M72)&gt;0</formula>
    </cfRule>
    <cfRule type="expression" dxfId="6045" priority="446">
      <formula>SEARCH("CHIUSO",$M72)&gt;0</formula>
    </cfRule>
    <cfRule type="expression" dxfId="6044" priority="447">
      <formula>SEARCH("EMESSO",$M72)&gt;0</formula>
    </cfRule>
    <cfRule type="expression" dxfId="6043" priority="448">
      <formula>SEARCH("RICHIESTO",$M72)&gt;0</formula>
    </cfRule>
    <cfRule type="expression" dxfId="6042" priority="449">
      <formula>SEARCH("DA CHIUDERE",$M72)&gt;0</formula>
    </cfRule>
    <cfRule type="expression" dxfId="6041" priority="450">
      <formula>SEARCH("INTERROTTO",$M72)&gt;0</formula>
    </cfRule>
  </conditionalFormatting>
  <conditionalFormatting sqref="E71:G71 M71:S71">
    <cfRule type="expression" dxfId="6040" priority="439">
      <formula>SEARCH("IN CORSO",$M71)&gt;0</formula>
    </cfRule>
    <cfRule type="expression" dxfId="6039" priority="440">
      <formula>SEARCH("CHIUSO",$M71)&gt;0</formula>
    </cfRule>
    <cfRule type="expression" dxfId="6038" priority="441">
      <formula>SEARCH("EMESSO",$M71)&gt;0</formula>
    </cfRule>
    <cfRule type="expression" dxfId="6037" priority="442">
      <formula>SEARCH("RICHIESTO",$M71)&gt;0</formula>
    </cfRule>
    <cfRule type="expression" dxfId="6036" priority="443">
      <formula>SEARCH("DA CHIUDERE",$M71)&gt;0</formula>
    </cfRule>
    <cfRule type="expression" dxfId="6035" priority="444">
      <formula>SEARCH("INTERROTTO",$M71)&gt;0</formula>
    </cfRule>
  </conditionalFormatting>
  <conditionalFormatting sqref="E70:G70 M70:S70">
    <cfRule type="expression" dxfId="6034" priority="427">
      <formula>SEARCH("IN CORSO",$M70)&gt;0</formula>
    </cfRule>
    <cfRule type="expression" dxfId="6033" priority="428">
      <formula>SEARCH("CHIUSO",$M70)&gt;0</formula>
    </cfRule>
    <cfRule type="expression" dxfId="6032" priority="429">
      <formula>SEARCH("EMESSO",$M70)&gt;0</formula>
    </cfRule>
    <cfRule type="expression" dxfId="6031" priority="430">
      <formula>SEARCH("RICHIESTO",$M70)&gt;0</formula>
    </cfRule>
    <cfRule type="expression" dxfId="6030" priority="431">
      <formula>SEARCH("DA CHIUDERE",$M70)&gt;0</formula>
    </cfRule>
    <cfRule type="expression" dxfId="6029" priority="432">
      <formula>SEARCH("INTERROTTO",$M70)&gt;0</formula>
    </cfRule>
  </conditionalFormatting>
  <conditionalFormatting sqref="E80:G80 M80:S80">
    <cfRule type="expression" dxfId="6028" priority="493">
      <formula>SEARCH("IN CORSO",$M80)&gt;0</formula>
    </cfRule>
    <cfRule type="expression" dxfId="6027" priority="494">
      <formula>SEARCH("CHIUSO",$M80)&gt;0</formula>
    </cfRule>
    <cfRule type="expression" dxfId="6026" priority="495">
      <formula>SEARCH("EMESSO",$M80)&gt;0</formula>
    </cfRule>
    <cfRule type="expression" dxfId="6025" priority="496">
      <formula>SEARCH("RICHIESTO",$M80)&gt;0</formula>
    </cfRule>
    <cfRule type="expression" dxfId="6024" priority="497">
      <formula>SEARCH("DA CHIUDERE",$M80)&gt;0</formula>
    </cfRule>
    <cfRule type="expression" dxfId="6023" priority="498">
      <formula>SEARCH("INTERROTTO",$M80)&gt;0</formula>
    </cfRule>
  </conditionalFormatting>
  <conditionalFormatting sqref="E69:G69 M69:S69">
    <cfRule type="expression" dxfId="6022" priority="421">
      <formula>SEARCH("IN CORSO",$M69)&gt;0</formula>
    </cfRule>
    <cfRule type="expression" dxfId="6021" priority="422">
      <formula>SEARCH("CHIUSO",$M69)&gt;0</formula>
    </cfRule>
    <cfRule type="expression" dxfId="6020" priority="423">
      <formula>SEARCH("EMESSO",$M69)&gt;0</formula>
    </cfRule>
    <cfRule type="expression" dxfId="6019" priority="424">
      <formula>SEARCH("RICHIESTO",$M69)&gt;0</formula>
    </cfRule>
    <cfRule type="expression" dxfId="6018" priority="425">
      <formula>SEARCH("DA CHIUDERE",$M69)&gt;0</formula>
    </cfRule>
    <cfRule type="expression" dxfId="6017" priority="426">
      <formula>SEARCH("INTERROTTO",$M69)&gt;0</formula>
    </cfRule>
  </conditionalFormatting>
  <conditionalFormatting sqref="E68:G68 M68:S68">
    <cfRule type="expression" dxfId="6016" priority="415">
      <formula>SEARCH("IN CORSO",$M68)&gt;0</formula>
    </cfRule>
    <cfRule type="expression" dxfId="6015" priority="416">
      <formula>SEARCH("CHIUSO",$M68)&gt;0</formula>
    </cfRule>
    <cfRule type="expression" dxfId="6014" priority="417">
      <formula>SEARCH("EMESSO",$M68)&gt;0</formula>
    </cfRule>
    <cfRule type="expression" dxfId="6013" priority="418">
      <formula>SEARCH("RICHIESTO",$M68)&gt;0</formula>
    </cfRule>
    <cfRule type="expression" dxfId="6012" priority="419">
      <formula>SEARCH("DA CHIUDERE",$M68)&gt;0</formula>
    </cfRule>
    <cfRule type="expression" dxfId="6011" priority="420">
      <formula>SEARCH("INTERROTTO",$M68)&gt;0</formula>
    </cfRule>
  </conditionalFormatting>
  <conditionalFormatting sqref="E67:G67 M67:S67">
    <cfRule type="expression" dxfId="6010" priority="403">
      <formula>SEARCH("IN CORSO",$M67)&gt;0</formula>
    </cfRule>
    <cfRule type="expression" dxfId="6009" priority="404">
      <formula>SEARCH("CHIUSO",$M67)&gt;0</formula>
    </cfRule>
    <cfRule type="expression" dxfId="6008" priority="405">
      <formula>SEARCH("EMESSO",$M67)&gt;0</formula>
    </cfRule>
    <cfRule type="expression" dxfId="6007" priority="406">
      <formula>SEARCH("RICHIESTO",$M67)&gt;0</formula>
    </cfRule>
    <cfRule type="expression" dxfId="6006" priority="407">
      <formula>SEARCH("DA CHIUDERE",$M67)&gt;0</formula>
    </cfRule>
    <cfRule type="expression" dxfId="6005" priority="408">
      <formula>SEARCH("INTERROTTO",$M67)&gt;0</formula>
    </cfRule>
  </conditionalFormatting>
  <conditionalFormatting sqref="E66:G66 M66:S66">
    <cfRule type="expression" dxfId="6004" priority="397">
      <formula>SEARCH("IN CORSO",$M66)&gt;0</formula>
    </cfRule>
    <cfRule type="expression" dxfId="6003" priority="398">
      <formula>SEARCH("CHIUSO",$M66)&gt;0</formula>
    </cfRule>
    <cfRule type="expression" dxfId="6002" priority="399">
      <formula>SEARCH("EMESSO",$M66)&gt;0</formula>
    </cfRule>
    <cfRule type="expression" dxfId="6001" priority="400">
      <formula>SEARCH("RICHIESTO",$M66)&gt;0</formula>
    </cfRule>
    <cfRule type="expression" dxfId="6000" priority="401">
      <formula>SEARCH("DA CHIUDERE",$M66)&gt;0</formula>
    </cfRule>
    <cfRule type="expression" dxfId="5999" priority="402">
      <formula>SEARCH("INTERROTTO",$M66)&gt;0</formula>
    </cfRule>
  </conditionalFormatting>
  <conditionalFormatting sqref="E65:G65 M65:S65">
    <cfRule type="expression" dxfId="5998" priority="391">
      <formula>SEARCH("IN CORSO",$M65)&gt;0</formula>
    </cfRule>
    <cfRule type="expression" dxfId="5997" priority="392">
      <formula>SEARCH("CHIUSO",$M65)&gt;0</formula>
    </cfRule>
    <cfRule type="expression" dxfId="5996" priority="393">
      <formula>SEARCH("EMESSO",$M65)&gt;0</formula>
    </cfRule>
    <cfRule type="expression" dxfId="5995" priority="394">
      <formula>SEARCH("RICHIESTO",$M65)&gt;0</formula>
    </cfRule>
    <cfRule type="expression" dxfId="5994" priority="395">
      <formula>SEARCH("DA CHIUDERE",$M65)&gt;0</formula>
    </cfRule>
    <cfRule type="expression" dxfId="5993" priority="396">
      <formula>SEARCH("INTERROTTO",$M65)&gt;0</formula>
    </cfRule>
  </conditionalFormatting>
  <conditionalFormatting sqref="E64:G64 M64:S64">
    <cfRule type="expression" dxfId="5992" priority="385">
      <formula>SEARCH("IN CORSO",$M64)&gt;0</formula>
    </cfRule>
    <cfRule type="expression" dxfId="5991" priority="386">
      <formula>SEARCH("CHIUSO",$M64)&gt;0</formula>
    </cfRule>
    <cfRule type="expression" dxfId="5990" priority="387">
      <formula>SEARCH("EMESSO",$M64)&gt;0</formula>
    </cfRule>
    <cfRule type="expression" dxfId="5989" priority="388">
      <formula>SEARCH("RICHIESTO",$M64)&gt;0</formula>
    </cfRule>
    <cfRule type="expression" dxfId="5988" priority="389">
      <formula>SEARCH("DA CHIUDERE",$M64)&gt;0</formula>
    </cfRule>
    <cfRule type="expression" dxfId="5987" priority="390">
      <formula>SEARCH("INTERROTTO",$M64)&gt;0</formula>
    </cfRule>
  </conditionalFormatting>
  <conditionalFormatting sqref="E63:G63 M63:S63">
    <cfRule type="expression" dxfId="5986" priority="379">
      <formula>SEARCH("IN CORSO",$M63)&gt;0</formula>
    </cfRule>
    <cfRule type="expression" dxfId="5985" priority="380">
      <formula>SEARCH("CHIUSO",$M63)&gt;0</formula>
    </cfRule>
    <cfRule type="expression" dxfId="5984" priority="381">
      <formula>SEARCH("EMESSO",$M63)&gt;0</formula>
    </cfRule>
    <cfRule type="expression" dxfId="5983" priority="382">
      <formula>SEARCH("RICHIESTO",$M63)&gt;0</formula>
    </cfRule>
    <cfRule type="expression" dxfId="5982" priority="383">
      <formula>SEARCH("DA CHIUDERE",$M63)&gt;0</formula>
    </cfRule>
    <cfRule type="expression" dxfId="5981" priority="384">
      <formula>SEARCH("INTERROTTO",$M63)&gt;0</formula>
    </cfRule>
  </conditionalFormatting>
  <conditionalFormatting sqref="E62:G62 M62:S62">
    <cfRule type="expression" dxfId="5980" priority="373">
      <formula>SEARCH("IN CORSO",$M62)&gt;0</formula>
    </cfRule>
    <cfRule type="expression" dxfId="5979" priority="374">
      <formula>SEARCH("CHIUSO",$M62)&gt;0</formula>
    </cfRule>
    <cfRule type="expression" dxfId="5978" priority="375">
      <formula>SEARCH("EMESSO",$M62)&gt;0</formula>
    </cfRule>
    <cfRule type="expression" dxfId="5977" priority="376">
      <formula>SEARCH("RICHIESTO",$M62)&gt;0</formula>
    </cfRule>
    <cfRule type="expression" dxfId="5976" priority="377">
      <formula>SEARCH("DA CHIUDERE",$M62)&gt;0</formula>
    </cfRule>
    <cfRule type="expression" dxfId="5975" priority="378">
      <formula>SEARCH("INTERROTTO",$M62)&gt;0</formula>
    </cfRule>
  </conditionalFormatting>
  <conditionalFormatting sqref="E61:G61 M61:S61">
    <cfRule type="expression" dxfId="5974" priority="367">
      <formula>SEARCH("IN CORSO",$M61)&gt;0</formula>
    </cfRule>
    <cfRule type="expression" dxfId="5973" priority="368">
      <formula>SEARCH("CHIUSO",$M61)&gt;0</formula>
    </cfRule>
    <cfRule type="expression" dxfId="5972" priority="369">
      <formula>SEARCH("EMESSO",$M61)&gt;0</formula>
    </cfRule>
    <cfRule type="expression" dxfId="5971" priority="370">
      <formula>SEARCH("RICHIESTO",$M61)&gt;0</formula>
    </cfRule>
    <cfRule type="expression" dxfId="5970" priority="371">
      <formula>SEARCH("DA CHIUDERE",$M61)&gt;0</formula>
    </cfRule>
    <cfRule type="expression" dxfId="5969" priority="372">
      <formula>SEARCH("INTERROTTO",$M61)&gt;0</formula>
    </cfRule>
  </conditionalFormatting>
  <conditionalFormatting sqref="E60:G60 M60:S60">
    <cfRule type="expression" dxfId="5968" priority="361">
      <formula>SEARCH("IN CORSO",$M60)&gt;0</formula>
    </cfRule>
    <cfRule type="expression" dxfId="5967" priority="362">
      <formula>SEARCH("CHIUSO",$M60)&gt;0</formula>
    </cfRule>
    <cfRule type="expression" dxfId="5966" priority="363">
      <formula>SEARCH("EMESSO",$M60)&gt;0</formula>
    </cfRule>
    <cfRule type="expression" dxfId="5965" priority="364">
      <formula>SEARCH("RICHIESTO",$M60)&gt;0</formula>
    </cfRule>
    <cfRule type="expression" dxfId="5964" priority="365">
      <formula>SEARCH("DA CHIUDERE",$M60)&gt;0</formula>
    </cfRule>
    <cfRule type="expression" dxfId="5963" priority="366">
      <formula>SEARCH("INTERROTTO",$M60)&gt;0</formula>
    </cfRule>
  </conditionalFormatting>
  <conditionalFormatting sqref="E59:G59 M59:S59">
    <cfRule type="expression" dxfId="5962" priority="355">
      <formula>SEARCH("IN CORSO",$M59)&gt;0</formula>
    </cfRule>
    <cfRule type="expression" dxfId="5961" priority="356">
      <formula>SEARCH("CHIUSO",$M59)&gt;0</formula>
    </cfRule>
    <cfRule type="expression" dxfId="5960" priority="357">
      <formula>SEARCH("EMESSO",$M59)&gt;0</formula>
    </cfRule>
    <cfRule type="expression" dxfId="5959" priority="358">
      <formula>SEARCH("RICHIESTO",$M59)&gt;0</formula>
    </cfRule>
    <cfRule type="expression" dxfId="5958" priority="359">
      <formula>SEARCH("DA CHIUDERE",$M59)&gt;0</formula>
    </cfRule>
    <cfRule type="expression" dxfId="5957" priority="360">
      <formula>SEARCH("INTERROTTO",$M59)&gt;0</formula>
    </cfRule>
  </conditionalFormatting>
  <conditionalFormatting sqref="E58:G58 M58:S58">
    <cfRule type="expression" dxfId="5956" priority="349">
      <formula>SEARCH("IN CORSO",$M58)&gt;0</formula>
    </cfRule>
    <cfRule type="expression" dxfId="5955" priority="350">
      <formula>SEARCH("CHIUSO",$M58)&gt;0</formula>
    </cfRule>
    <cfRule type="expression" dxfId="5954" priority="351">
      <formula>SEARCH("EMESSO",$M58)&gt;0</formula>
    </cfRule>
    <cfRule type="expression" dxfId="5953" priority="352">
      <formula>SEARCH("RICHIESTO",$M58)&gt;0</formula>
    </cfRule>
    <cfRule type="expression" dxfId="5952" priority="353">
      <formula>SEARCH("DA CHIUDERE",$M58)&gt;0</formula>
    </cfRule>
    <cfRule type="expression" dxfId="5951" priority="354">
      <formula>SEARCH("INTERROTTO",$M58)&gt;0</formula>
    </cfRule>
  </conditionalFormatting>
  <conditionalFormatting sqref="E57:G57 M57:S57">
    <cfRule type="expression" dxfId="5950" priority="343">
      <formula>SEARCH("IN CORSO",$M57)&gt;0</formula>
    </cfRule>
    <cfRule type="expression" dxfId="5949" priority="344">
      <formula>SEARCH("CHIUSO",$M57)&gt;0</formula>
    </cfRule>
    <cfRule type="expression" dxfId="5948" priority="345">
      <formula>SEARCH("EMESSO",$M57)&gt;0</formula>
    </cfRule>
    <cfRule type="expression" dxfId="5947" priority="346">
      <formula>SEARCH("RICHIESTO",$M57)&gt;0</formula>
    </cfRule>
    <cfRule type="expression" dxfId="5946" priority="347">
      <formula>SEARCH("DA CHIUDERE",$M57)&gt;0</formula>
    </cfRule>
    <cfRule type="expression" dxfId="5945" priority="348">
      <formula>SEARCH("INTERROTTO",$M57)&gt;0</formula>
    </cfRule>
  </conditionalFormatting>
  <conditionalFormatting sqref="E56:G56 M56:S56">
    <cfRule type="expression" dxfId="5944" priority="337">
      <formula>SEARCH("IN CORSO",$M56)&gt;0</formula>
    </cfRule>
    <cfRule type="expression" dxfId="5943" priority="338">
      <formula>SEARCH("CHIUSO",$M56)&gt;0</formula>
    </cfRule>
    <cfRule type="expression" dxfId="5942" priority="339">
      <formula>SEARCH("EMESSO",$M56)&gt;0</formula>
    </cfRule>
    <cfRule type="expression" dxfId="5941" priority="340">
      <formula>SEARCH("RICHIESTO",$M56)&gt;0</formula>
    </cfRule>
    <cfRule type="expression" dxfId="5940" priority="341">
      <formula>SEARCH("DA CHIUDERE",$M56)&gt;0</formula>
    </cfRule>
    <cfRule type="expression" dxfId="5939" priority="342">
      <formula>SEARCH("INTERROTTO",$M56)&gt;0</formula>
    </cfRule>
  </conditionalFormatting>
  <conditionalFormatting sqref="E55:G55 M55:S55">
    <cfRule type="expression" dxfId="5938" priority="331">
      <formula>SEARCH("IN CORSO",$M55)&gt;0</formula>
    </cfRule>
    <cfRule type="expression" dxfId="5937" priority="332">
      <formula>SEARCH("CHIUSO",$M55)&gt;0</formula>
    </cfRule>
    <cfRule type="expression" dxfId="5936" priority="333">
      <formula>SEARCH("EMESSO",$M55)&gt;0</formula>
    </cfRule>
    <cfRule type="expression" dxfId="5935" priority="334">
      <formula>SEARCH("RICHIESTO",$M55)&gt;0</formula>
    </cfRule>
    <cfRule type="expression" dxfId="5934" priority="335">
      <formula>SEARCH("DA CHIUDERE",$M55)&gt;0</formula>
    </cfRule>
    <cfRule type="expression" dxfId="5933" priority="336">
      <formula>SEARCH("INTERROTTO",$M55)&gt;0</formula>
    </cfRule>
  </conditionalFormatting>
  <conditionalFormatting sqref="E54:G54 M54:S54">
    <cfRule type="expression" dxfId="5932" priority="325">
      <formula>SEARCH("IN CORSO",$M54)&gt;0</formula>
    </cfRule>
    <cfRule type="expression" dxfId="5931" priority="326">
      <formula>SEARCH("CHIUSO",$M54)&gt;0</formula>
    </cfRule>
    <cfRule type="expression" dxfId="5930" priority="327">
      <formula>SEARCH("EMESSO",$M54)&gt;0</formula>
    </cfRule>
    <cfRule type="expression" dxfId="5929" priority="328">
      <formula>SEARCH("RICHIESTO",$M54)&gt;0</formula>
    </cfRule>
    <cfRule type="expression" dxfId="5928" priority="329">
      <formula>SEARCH("DA CHIUDERE",$M54)&gt;0</formula>
    </cfRule>
    <cfRule type="expression" dxfId="5927" priority="330">
      <formula>SEARCH("INTERROTTO",$M54)&gt;0</formula>
    </cfRule>
  </conditionalFormatting>
  <conditionalFormatting sqref="E53:G53 M53:S53">
    <cfRule type="expression" dxfId="5926" priority="319">
      <formula>SEARCH("IN CORSO",$M53)&gt;0</formula>
    </cfRule>
    <cfRule type="expression" dxfId="5925" priority="320">
      <formula>SEARCH("CHIUSO",$M53)&gt;0</formula>
    </cfRule>
    <cfRule type="expression" dxfId="5924" priority="321">
      <formula>SEARCH("EMESSO",$M53)&gt;0</formula>
    </cfRule>
    <cfRule type="expression" dxfId="5923" priority="322">
      <formula>SEARCH("RICHIESTO",$M53)&gt;0</formula>
    </cfRule>
    <cfRule type="expression" dxfId="5922" priority="323">
      <formula>SEARCH("DA CHIUDERE",$M53)&gt;0</formula>
    </cfRule>
    <cfRule type="expression" dxfId="5921" priority="324">
      <formula>SEARCH("INTERROTTO",$M53)&gt;0</formula>
    </cfRule>
  </conditionalFormatting>
  <conditionalFormatting sqref="E52:G52 M52:S52">
    <cfRule type="expression" dxfId="5920" priority="313">
      <formula>SEARCH("IN CORSO",$M52)&gt;0</formula>
    </cfRule>
    <cfRule type="expression" dxfId="5919" priority="314">
      <formula>SEARCH("CHIUSO",$M52)&gt;0</formula>
    </cfRule>
    <cfRule type="expression" dxfId="5918" priority="315">
      <formula>SEARCH("EMESSO",$M52)&gt;0</formula>
    </cfRule>
    <cfRule type="expression" dxfId="5917" priority="316">
      <formula>SEARCH("RICHIESTO",$M52)&gt;0</formula>
    </cfRule>
    <cfRule type="expression" dxfId="5916" priority="317">
      <formula>SEARCH("DA CHIUDERE",$M52)&gt;0</formula>
    </cfRule>
    <cfRule type="expression" dxfId="5915" priority="318">
      <formula>SEARCH("INTERROTTO",$M52)&gt;0</formula>
    </cfRule>
  </conditionalFormatting>
  <conditionalFormatting sqref="E51:G51 M51:S51">
    <cfRule type="expression" dxfId="5914" priority="307">
      <formula>SEARCH("IN CORSO",$M51)&gt;0</formula>
    </cfRule>
    <cfRule type="expression" dxfId="5913" priority="308">
      <formula>SEARCH("CHIUSO",$M51)&gt;0</formula>
    </cfRule>
    <cfRule type="expression" dxfId="5912" priority="309">
      <formula>SEARCH("EMESSO",$M51)&gt;0</formula>
    </cfRule>
    <cfRule type="expression" dxfId="5911" priority="310">
      <formula>SEARCH("RICHIESTO",$M51)&gt;0</formula>
    </cfRule>
    <cfRule type="expression" dxfId="5910" priority="311">
      <formula>SEARCH("DA CHIUDERE",$M51)&gt;0</formula>
    </cfRule>
    <cfRule type="expression" dxfId="5909" priority="312">
      <formula>SEARCH("INTERROTTO",$M51)&gt;0</formula>
    </cfRule>
  </conditionalFormatting>
  <conditionalFormatting sqref="E50:G50 M50:S50">
    <cfRule type="expression" dxfId="5908" priority="301">
      <formula>SEARCH("IN CORSO",$M50)&gt;0</formula>
    </cfRule>
    <cfRule type="expression" dxfId="5907" priority="302">
      <formula>SEARCH("CHIUSO",$M50)&gt;0</formula>
    </cfRule>
    <cfRule type="expression" dxfId="5906" priority="303">
      <formula>SEARCH("EMESSO",$M50)&gt;0</formula>
    </cfRule>
    <cfRule type="expression" dxfId="5905" priority="304">
      <formula>SEARCH("RICHIESTO",$M50)&gt;0</formula>
    </cfRule>
    <cfRule type="expression" dxfId="5904" priority="305">
      <formula>SEARCH("DA CHIUDERE",$M50)&gt;0</formula>
    </cfRule>
    <cfRule type="expression" dxfId="5903" priority="306">
      <formula>SEARCH("INTERROTTO",$M50)&gt;0</formula>
    </cfRule>
  </conditionalFormatting>
  <conditionalFormatting sqref="E49:G49 M49:S49">
    <cfRule type="expression" dxfId="5902" priority="295">
      <formula>SEARCH("IN CORSO",$M49)&gt;0</formula>
    </cfRule>
    <cfRule type="expression" dxfId="5901" priority="296">
      <formula>SEARCH("CHIUSO",$M49)&gt;0</formula>
    </cfRule>
    <cfRule type="expression" dxfId="5900" priority="297">
      <formula>SEARCH("EMESSO",$M49)&gt;0</formula>
    </cfRule>
    <cfRule type="expression" dxfId="5899" priority="298">
      <formula>SEARCH("RICHIESTO",$M49)&gt;0</formula>
    </cfRule>
    <cfRule type="expression" dxfId="5898" priority="299">
      <formula>SEARCH("DA CHIUDERE",$M49)&gt;0</formula>
    </cfRule>
    <cfRule type="expression" dxfId="5897" priority="300">
      <formula>SEARCH("INTERROTTO",$M49)&gt;0</formula>
    </cfRule>
  </conditionalFormatting>
  <conditionalFormatting sqref="E48:G48 M48:S48">
    <cfRule type="expression" dxfId="5896" priority="289">
      <formula>SEARCH("IN CORSO",$M48)&gt;0</formula>
    </cfRule>
    <cfRule type="expression" dxfId="5895" priority="290">
      <formula>SEARCH("CHIUSO",$M48)&gt;0</formula>
    </cfRule>
    <cfRule type="expression" dxfId="5894" priority="291">
      <formula>SEARCH("EMESSO",$M48)&gt;0</formula>
    </cfRule>
    <cfRule type="expression" dxfId="5893" priority="292">
      <formula>SEARCH("RICHIESTO",$M48)&gt;0</formula>
    </cfRule>
    <cfRule type="expression" dxfId="5892" priority="293">
      <formula>SEARCH("DA CHIUDERE",$M48)&gt;0</formula>
    </cfRule>
    <cfRule type="expression" dxfId="5891" priority="294">
      <formula>SEARCH("INTERROTTO",$M48)&gt;0</formula>
    </cfRule>
  </conditionalFormatting>
  <conditionalFormatting sqref="E47:G47 M47:S47">
    <cfRule type="expression" dxfId="5890" priority="283">
      <formula>SEARCH("IN CORSO",$M47)&gt;0</formula>
    </cfRule>
    <cfRule type="expression" dxfId="5889" priority="284">
      <formula>SEARCH("CHIUSO",$M47)&gt;0</formula>
    </cfRule>
    <cfRule type="expression" dxfId="5888" priority="285">
      <formula>SEARCH("EMESSO",$M47)&gt;0</formula>
    </cfRule>
    <cfRule type="expression" dxfId="5887" priority="286">
      <formula>SEARCH("RICHIESTO",$M47)&gt;0</formula>
    </cfRule>
    <cfRule type="expression" dxfId="5886" priority="287">
      <formula>SEARCH("DA CHIUDERE",$M47)&gt;0</formula>
    </cfRule>
    <cfRule type="expression" dxfId="5885" priority="288">
      <formula>SEARCH("INTERROTTO",$M47)&gt;0</formula>
    </cfRule>
  </conditionalFormatting>
  <conditionalFormatting sqref="E46:G46 M46:S46">
    <cfRule type="expression" dxfId="5884" priority="277">
      <formula>SEARCH("IN CORSO",$M46)&gt;0</formula>
    </cfRule>
    <cfRule type="expression" dxfId="5883" priority="278">
      <formula>SEARCH("CHIUSO",$M46)&gt;0</formula>
    </cfRule>
    <cfRule type="expression" dxfId="5882" priority="279">
      <formula>SEARCH("EMESSO",$M46)&gt;0</formula>
    </cfRule>
    <cfRule type="expression" dxfId="5881" priority="280">
      <formula>SEARCH("RICHIESTO",$M46)&gt;0</formula>
    </cfRule>
    <cfRule type="expression" dxfId="5880" priority="281">
      <formula>SEARCH("DA CHIUDERE",$M46)&gt;0</formula>
    </cfRule>
    <cfRule type="expression" dxfId="5879" priority="282">
      <formula>SEARCH("INTERROTTO",$M46)&gt;0</formula>
    </cfRule>
  </conditionalFormatting>
  <conditionalFormatting sqref="E45:G45 M45:S45">
    <cfRule type="expression" dxfId="5878" priority="271">
      <formula>SEARCH("IN CORSO",$M45)&gt;0</formula>
    </cfRule>
    <cfRule type="expression" dxfId="5877" priority="272">
      <formula>SEARCH("CHIUSO",$M45)&gt;0</formula>
    </cfRule>
    <cfRule type="expression" dxfId="5876" priority="273">
      <formula>SEARCH("EMESSO",$M45)&gt;0</formula>
    </cfRule>
    <cfRule type="expression" dxfId="5875" priority="274">
      <formula>SEARCH("RICHIESTO",$M45)&gt;0</formula>
    </cfRule>
    <cfRule type="expression" dxfId="5874" priority="275">
      <formula>SEARCH("DA CHIUDERE",$M45)&gt;0</formula>
    </cfRule>
    <cfRule type="expression" dxfId="5873" priority="276">
      <formula>SEARCH("INTERROTTO",$M45)&gt;0</formula>
    </cfRule>
  </conditionalFormatting>
  <conditionalFormatting sqref="E44:G44 M44:S44">
    <cfRule type="expression" dxfId="5872" priority="265">
      <formula>SEARCH("IN CORSO",$M44)&gt;0</formula>
    </cfRule>
    <cfRule type="expression" dxfId="5871" priority="266">
      <formula>SEARCH("CHIUSO",$M44)&gt;0</formula>
    </cfRule>
    <cfRule type="expression" dxfId="5870" priority="267">
      <formula>SEARCH("EMESSO",$M44)&gt;0</formula>
    </cfRule>
    <cfRule type="expression" dxfId="5869" priority="268">
      <formula>SEARCH("RICHIESTO",$M44)&gt;0</formula>
    </cfRule>
    <cfRule type="expression" dxfId="5868" priority="269">
      <formula>SEARCH("DA CHIUDERE",$M44)&gt;0</formula>
    </cfRule>
    <cfRule type="expression" dxfId="5867" priority="270">
      <formula>SEARCH("INTERROTTO",$M44)&gt;0</formula>
    </cfRule>
  </conditionalFormatting>
  <conditionalFormatting sqref="E43:G43 M43:S43">
    <cfRule type="expression" dxfId="5866" priority="259">
      <formula>SEARCH("IN CORSO",$M43)&gt;0</formula>
    </cfRule>
    <cfRule type="expression" dxfId="5865" priority="260">
      <formula>SEARCH("CHIUSO",$M43)&gt;0</formula>
    </cfRule>
    <cfRule type="expression" dxfId="5864" priority="261">
      <formula>SEARCH("EMESSO",$M43)&gt;0</formula>
    </cfRule>
    <cfRule type="expression" dxfId="5863" priority="262">
      <formula>SEARCH("RICHIESTO",$M43)&gt;0</formula>
    </cfRule>
    <cfRule type="expression" dxfId="5862" priority="263">
      <formula>SEARCH("DA CHIUDERE",$M43)&gt;0</formula>
    </cfRule>
    <cfRule type="expression" dxfId="5861" priority="264">
      <formula>SEARCH("INTERROTTO",$M43)&gt;0</formula>
    </cfRule>
  </conditionalFormatting>
  <conditionalFormatting sqref="E42:G42 M42:S42">
    <cfRule type="expression" dxfId="5860" priority="253">
      <formula>SEARCH("IN CORSO",$M42)&gt;0</formula>
    </cfRule>
    <cfRule type="expression" dxfId="5859" priority="254">
      <formula>SEARCH("CHIUSO",$M42)&gt;0</formula>
    </cfRule>
    <cfRule type="expression" dxfId="5858" priority="255">
      <formula>SEARCH("EMESSO",$M42)&gt;0</formula>
    </cfRule>
    <cfRule type="expression" dxfId="5857" priority="256">
      <formula>SEARCH("RICHIESTO",$M42)&gt;0</formula>
    </cfRule>
    <cfRule type="expression" dxfId="5856" priority="257">
      <formula>SEARCH("DA CHIUDERE",$M42)&gt;0</formula>
    </cfRule>
    <cfRule type="expression" dxfId="5855" priority="258">
      <formula>SEARCH("INTERROTTO",$M42)&gt;0</formula>
    </cfRule>
  </conditionalFormatting>
  <conditionalFormatting sqref="E41:G41 M41:S41">
    <cfRule type="expression" dxfId="5854" priority="247">
      <formula>SEARCH("IN CORSO",$M41)&gt;0</formula>
    </cfRule>
    <cfRule type="expression" dxfId="5853" priority="248">
      <formula>SEARCH("CHIUSO",$M41)&gt;0</formula>
    </cfRule>
    <cfRule type="expression" dxfId="5852" priority="249">
      <formula>SEARCH("EMESSO",$M41)&gt;0</formula>
    </cfRule>
    <cfRule type="expression" dxfId="5851" priority="250">
      <formula>SEARCH("RICHIESTO",$M41)&gt;0</formula>
    </cfRule>
    <cfRule type="expression" dxfId="5850" priority="251">
      <formula>SEARCH("DA CHIUDERE",$M41)&gt;0</formula>
    </cfRule>
    <cfRule type="expression" dxfId="5849" priority="252">
      <formula>SEARCH("INTERROTTO",$M41)&gt;0</formula>
    </cfRule>
  </conditionalFormatting>
  <conditionalFormatting sqref="E40:G40 M40:S40">
    <cfRule type="expression" dxfId="5848" priority="241">
      <formula>SEARCH("IN CORSO",$M40)&gt;0</formula>
    </cfRule>
    <cfRule type="expression" dxfId="5847" priority="242">
      <formula>SEARCH("CHIUSO",$M40)&gt;0</formula>
    </cfRule>
    <cfRule type="expression" dxfId="5846" priority="243">
      <formula>SEARCH("EMESSO",$M40)&gt;0</formula>
    </cfRule>
    <cfRule type="expression" dxfId="5845" priority="244">
      <formula>SEARCH("RICHIESTO",$M40)&gt;0</formula>
    </cfRule>
    <cfRule type="expression" dxfId="5844" priority="245">
      <formula>SEARCH("DA CHIUDERE",$M40)&gt;0</formula>
    </cfRule>
    <cfRule type="expression" dxfId="5843" priority="246">
      <formula>SEARCH("INTERROTTO",$M40)&gt;0</formula>
    </cfRule>
  </conditionalFormatting>
  <conditionalFormatting sqref="E39:G39 M39:S39">
    <cfRule type="expression" dxfId="5842" priority="235">
      <formula>SEARCH("IN CORSO",$M39)&gt;0</formula>
    </cfRule>
    <cfRule type="expression" dxfId="5841" priority="236">
      <formula>SEARCH("CHIUSO",$M39)&gt;0</formula>
    </cfRule>
    <cfRule type="expression" dxfId="5840" priority="237">
      <formula>SEARCH("EMESSO",$M39)&gt;0</formula>
    </cfRule>
    <cfRule type="expression" dxfId="5839" priority="238">
      <formula>SEARCH("RICHIESTO",$M39)&gt;0</formula>
    </cfRule>
    <cfRule type="expression" dxfId="5838" priority="239">
      <formula>SEARCH("DA CHIUDERE",$M39)&gt;0</formula>
    </cfRule>
    <cfRule type="expression" dxfId="5837" priority="240">
      <formula>SEARCH("INTERROTTO",$M39)&gt;0</formula>
    </cfRule>
  </conditionalFormatting>
  <conditionalFormatting sqref="E38:G38 M38:S38">
    <cfRule type="expression" dxfId="5836" priority="229">
      <formula>SEARCH("IN CORSO",$M38)&gt;0</formula>
    </cfRule>
    <cfRule type="expression" dxfId="5835" priority="230">
      <formula>SEARCH("CHIUSO",$M38)&gt;0</formula>
    </cfRule>
    <cfRule type="expression" dxfId="5834" priority="231">
      <formula>SEARCH("EMESSO",$M38)&gt;0</formula>
    </cfRule>
    <cfRule type="expression" dxfId="5833" priority="232">
      <formula>SEARCH("RICHIESTO",$M38)&gt;0</formula>
    </cfRule>
    <cfRule type="expression" dxfId="5832" priority="233">
      <formula>SEARCH("DA CHIUDERE",$M38)&gt;0</formula>
    </cfRule>
    <cfRule type="expression" dxfId="5831" priority="234">
      <formula>SEARCH("INTERROTTO",$M38)&gt;0</formula>
    </cfRule>
  </conditionalFormatting>
  <conditionalFormatting sqref="E37:G37 M37:S37">
    <cfRule type="expression" dxfId="5830" priority="223">
      <formula>SEARCH("IN CORSO",$M37)&gt;0</formula>
    </cfRule>
    <cfRule type="expression" dxfId="5829" priority="224">
      <formula>SEARCH("CHIUSO",$M37)&gt;0</formula>
    </cfRule>
    <cfRule type="expression" dxfId="5828" priority="225">
      <formula>SEARCH("EMESSO",$M37)&gt;0</formula>
    </cfRule>
    <cfRule type="expression" dxfId="5827" priority="226">
      <formula>SEARCH("RICHIESTO",$M37)&gt;0</formula>
    </cfRule>
    <cfRule type="expression" dxfId="5826" priority="227">
      <formula>SEARCH("DA CHIUDERE",$M37)&gt;0</formula>
    </cfRule>
    <cfRule type="expression" dxfId="5825" priority="228">
      <formula>SEARCH("INTERROTTO",$M37)&gt;0</formula>
    </cfRule>
  </conditionalFormatting>
  <conditionalFormatting sqref="E36:G36 M36:P36 R36">
    <cfRule type="expression" dxfId="5824" priority="217">
      <formula>SEARCH("IN CORSO",$M36)&gt;0</formula>
    </cfRule>
    <cfRule type="expression" dxfId="5823" priority="218">
      <formula>SEARCH("CHIUSO",$M36)&gt;0</formula>
    </cfRule>
    <cfRule type="expression" dxfId="5822" priority="219">
      <formula>SEARCH("EMESSO",$M36)&gt;0</formula>
    </cfRule>
    <cfRule type="expression" dxfId="5821" priority="220">
      <formula>SEARCH("RICHIESTO",$M36)&gt;0</formula>
    </cfRule>
    <cfRule type="expression" dxfId="5820" priority="221">
      <formula>SEARCH("DA CHIUDERE",$M36)&gt;0</formula>
    </cfRule>
    <cfRule type="expression" dxfId="5819" priority="222">
      <formula>SEARCH("INTERROTTO",$M36)&gt;0</formula>
    </cfRule>
  </conditionalFormatting>
  <conditionalFormatting sqref="E35:G35 M35:S35">
    <cfRule type="expression" dxfId="5818" priority="211">
      <formula>SEARCH("IN CORSO",$M35)&gt;0</formula>
    </cfRule>
    <cfRule type="expression" dxfId="5817" priority="212">
      <formula>SEARCH("CHIUSO",$M35)&gt;0</formula>
    </cfRule>
    <cfRule type="expression" dxfId="5816" priority="213">
      <formula>SEARCH("EMESSO",$M35)&gt;0</formula>
    </cfRule>
    <cfRule type="expression" dxfId="5815" priority="214">
      <formula>SEARCH("RICHIESTO",$M35)&gt;0</formula>
    </cfRule>
    <cfRule type="expression" dxfId="5814" priority="215">
      <formula>SEARCH("DA CHIUDERE",$M35)&gt;0</formula>
    </cfRule>
    <cfRule type="expression" dxfId="5813" priority="216">
      <formula>SEARCH("INTERROTTO",$M35)&gt;0</formula>
    </cfRule>
  </conditionalFormatting>
  <conditionalFormatting sqref="Q36">
    <cfRule type="expression" dxfId="5812" priority="205">
      <formula>SEARCH("IN CORSO",$M36)&gt;0</formula>
    </cfRule>
    <cfRule type="expression" dxfId="5811" priority="206">
      <formula>SEARCH("CHIUSO",$M36)&gt;0</formula>
    </cfRule>
    <cfRule type="expression" dxfId="5810" priority="207">
      <formula>SEARCH("EMESSO",$M36)&gt;0</formula>
    </cfRule>
    <cfRule type="expression" dxfId="5809" priority="208">
      <formula>SEARCH("RICHIESTO",$M36)&gt;0</formula>
    </cfRule>
    <cfRule type="expression" dxfId="5808" priority="209">
      <formula>SEARCH("DA CHIUDERE",$M36)&gt;0</formula>
    </cfRule>
    <cfRule type="expression" dxfId="5807" priority="210">
      <formula>SEARCH("INTERROTTO",$M36)&gt;0</formula>
    </cfRule>
  </conditionalFormatting>
  <conditionalFormatting sqref="S36">
    <cfRule type="expression" dxfId="5806" priority="199">
      <formula>SEARCH("IN CORSO",$M36)&gt;0</formula>
    </cfRule>
    <cfRule type="expression" dxfId="5805" priority="200">
      <formula>SEARCH("CHIUSO",$M36)&gt;0</formula>
    </cfRule>
    <cfRule type="expression" dxfId="5804" priority="201">
      <formula>SEARCH("EMESSO",$M36)&gt;0</formula>
    </cfRule>
    <cfRule type="expression" dxfId="5803" priority="202">
      <formula>SEARCH("RICHIESTO",$M36)&gt;0</formula>
    </cfRule>
    <cfRule type="expression" dxfId="5802" priority="203">
      <formula>SEARCH("DA CHIUDERE",$M36)&gt;0</formula>
    </cfRule>
    <cfRule type="expression" dxfId="5801" priority="204">
      <formula>SEARCH("INTERROTTO",$M36)&gt;0</formula>
    </cfRule>
  </conditionalFormatting>
  <conditionalFormatting sqref="E34:G34 M34:Q34">
    <cfRule type="expression" dxfId="5800" priority="193">
      <formula>SEARCH("IN CORSO",$M34)&gt;0</formula>
    </cfRule>
    <cfRule type="expression" dxfId="5799" priority="194">
      <formula>SEARCH("CHIUSO",$M34)&gt;0</formula>
    </cfRule>
    <cfRule type="expression" dxfId="5798" priority="195">
      <formula>SEARCH("EMESSO",$M34)&gt;0</formula>
    </cfRule>
    <cfRule type="expression" dxfId="5797" priority="196">
      <formula>SEARCH("RICHIESTO",$M34)&gt;0</formula>
    </cfRule>
    <cfRule type="expression" dxfId="5796" priority="197">
      <formula>SEARCH("DA CHIUDERE",$M34)&gt;0</formula>
    </cfRule>
    <cfRule type="expression" dxfId="5795" priority="198">
      <formula>SEARCH("INTERROTTO",$M34)&gt;0</formula>
    </cfRule>
  </conditionalFormatting>
  <conditionalFormatting sqref="E33:G33 M33:S33 R34:S34">
    <cfRule type="expression" dxfId="5794" priority="187">
      <formula>SEARCH("IN CORSO",$M33)&gt;0</formula>
    </cfRule>
    <cfRule type="expression" dxfId="5793" priority="188">
      <formula>SEARCH("CHIUSO",$M33)&gt;0</formula>
    </cfRule>
    <cfRule type="expression" dxfId="5792" priority="189">
      <formula>SEARCH("EMESSO",$M33)&gt;0</formula>
    </cfRule>
    <cfRule type="expression" dxfId="5791" priority="190">
      <formula>SEARCH("RICHIESTO",$M33)&gt;0</formula>
    </cfRule>
    <cfRule type="expression" dxfId="5790" priority="191">
      <formula>SEARCH("DA CHIUDERE",$M33)&gt;0</formula>
    </cfRule>
    <cfRule type="expression" dxfId="5789" priority="192">
      <formula>SEARCH("INTERROTTO",$M33)&gt;0</formula>
    </cfRule>
  </conditionalFormatting>
  <conditionalFormatting sqref="E32:G32 M32:S32">
    <cfRule type="expression" dxfId="5788" priority="181">
      <formula>SEARCH("IN CORSO",$M32)&gt;0</formula>
    </cfRule>
    <cfRule type="expression" dxfId="5787" priority="182">
      <formula>SEARCH("CHIUSO",$M32)&gt;0</formula>
    </cfRule>
    <cfRule type="expression" dxfId="5786" priority="183">
      <formula>SEARCH("EMESSO",$M32)&gt;0</formula>
    </cfRule>
    <cfRule type="expression" dxfId="5785" priority="184">
      <formula>SEARCH("RICHIESTO",$M32)&gt;0</formula>
    </cfRule>
    <cfRule type="expression" dxfId="5784" priority="185">
      <formula>SEARCH("DA CHIUDERE",$M32)&gt;0</formula>
    </cfRule>
    <cfRule type="expression" dxfId="5783" priority="186">
      <formula>SEARCH("INTERROTTO",$M32)&gt;0</formula>
    </cfRule>
  </conditionalFormatting>
  <conditionalFormatting sqref="E31:G31 M31:S31">
    <cfRule type="expression" dxfId="5782" priority="175">
      <formula>SEARCH("IN CORSO",$M31)&gt;0</formula>
    </cfRule>
    <cfRule type="expression" dxfId="5781" priority="176">
      <formula>SEARCH("CHIUSO",$M31)&gt;0</formula>
    </cfRule>
    <cfRule type="expression" dxfId="5780" priority="177">
      <formula>SEARCH("EMESSO",$M31)&gt;0</formula>
    </cfRule>
    <cfRule type="expression" dxfId="5779" priority="178">
      <formula>SEARCH("RICHIESTO",$M31)&gt;0</formula>
    </cfRule>
    <cfRule type="expression" dxfId="5778" priority="179">
      <formula>SEARCH("DA CHIUDERE",$M31)&gt;0</formula>
    </cfRule>
    <cfRule type="expression" dxfId="5777" priority="180">
      <formula>SEARCH("INTERROTTO",$M31)&gt;0</formula>
    </cfRule>
  </conditionalFormatting>
  <conditionalFormatting sqref="E30:G30 M30:S30">
    <cfRule type="expression" dxfId="5776" priority="169">
      <formula>SEARCH("IN CORSO",$M30)&gt;0</formula>
    </cfRule>
    <cfRule type="expression" dxfId="5775" priority="170">
      <formula>SEARCH("CHIUSO",$M30)&gt;0</formula>
    </cfRule>
    <cfRule type="expression" dxfId="5774" priority="171">
      <formula>SEARCH("EMESSO",$M30)&gt;0</formula>
    </cfRule>
    <cfRule type="expression" dxfId="5773" priority="172">
      <formula>SEARCH("RICHIESTO",$M30)&gt;0</formula>
    </cfRule>
    <cfRule type="expression" dxfId="5772" priority="173">
      <formula>SEARCH("DA CHIUDERE",$M30)&gt;0</formula>
    </cfRule>
    <cfRule type="expression" dxfId="5771" priority="174">
      <formula>SEARCH("INTERROTTO",$M30)&gt;0</formula>
    </cfRule>
  </conditionalFormatting>
  <conditionalFormatting sqref="E29:G29 M29:S29">
    <cfRule type="expression" dxfId="5770" priority="163">
      <formula>SEARCH("IN CORSO",$M29)&gt;0</formula>
    </cfRule>
    <cfRule type="expression" dxfId="5769" priority="164">
      <formula>SEARCH("CHIUSO",$M29)&gt;0</formula>
    </cfRule>
    <cfRule type="expression" dxfId="5768" priority="165">
      <formula>SEARCH("EMESSO",$M29)&gt;0</formula>
    </cfRule>
    <cfRule type="expression" dxfId="5767" priority="166">
      <formula>SEARCH("RICHIESTO",$M29)&gt;0</formula>
    </cfRule>
    <cfRule type="expression" dxfId="5766" priority="167">
      <formula>SEARCH("DA CHIUDERE",$M29)&gt;0</formula>
    </cfRule>
    <cfRule type="expression" dxfId="5765" priority="168">
      <formula>SEARCH("INTERROTTO",$M29)&gt;0</formula>
    </cfRule>
  </conditionalFormatting>
  <conditionalFormatting sqref="E28:G28 M28:S28">
    <cfRule type="expression" dxfId="5764" priority="157">
      <formula>SEARCH("IN CORSO",$M28)&gt;0</formula>
    </cfRule>
    <cfRule type="expression" dxfId="5763" priority="158">
      <formula>SEARCH("CHIUSO",$M28)&gt;0</formula>
    </cfRule>
    <cfRule type="expression" dxfId="5762" priority="159">
      <formula>SEARCH("EMESSO",$M28)&gt;0</formula>
    </cfRule>
    <cfRule type="expression" dxfId="5761" priority="160">
      <formula>SEARCH("RICHIESTO",$M28)&gt;0</formula>
    </cfRule>
    <cfRule type="expression" dxfId="5760" priority="161">
      <formula>SEARCH("DA CHIUDERE",$M28)&gt;0</formula>
    </cfRule>
    <cfRule type="expression" dxfId="5759" priority="162">
      <formula>SEARCH("INTERROTTO",$M28)&gt;0</formula>
    </cfRule>
  </conditionalFormatting>
  <conditionalFormatting sqref="E27:G27 M27:S27">
    <cfRule type="expression" dxfId="5758" priority="151">
      <formula>SEARCH("IN CORSO",$M27)&gt;0</formula>
    </cfRule>
    <cfRule type="expression" dxfId="5757" priority="152">
      <formula>SEARCH("CHIUSO",$M27)&gt;0</formula>
    </cfRule>
    <cfRule type="expression" dxfId="5756" priority="153">
      <formula>SEARCH("EMESSO",$M27)&gt;0</formula>
    </cfRule>
    <cfRule type="expression" dxfId="5755" priority="154">
      <formula>SEARCH("RICHIESTO",$M27)&gt;0</formula>
    </cfRule>
    <cfRule type="expression" dxfId="5754" priority="155">
      <formula>SEARCH("DA CHIUDERE",$M27)&gt;0</formula>
    </cfRule>
    <cfRule type="expression" dxfId="5753" priority="156">
      <formula>SEARCH("INTERROTTO",$M27)&gt;0</formula>
    </cfRule>
  </conditionalFormatting>
  <conditionalFormatting sqref="E26:G26 M26:S26">
    <cfRule type="expression" dxfId="5752" priority="145">
      <formula>SEARCH("IN CORSO",$M26)&gt;0</formula>
    </cfRule>
    <cfRule type="expression" dxfId="5751" priority="146">
      <formula>SEARCH("CHIUSO",$M26)&gt;0</formula>
    </cfRule>
    <cfRule type="expression" dxfId="5750" priority="147">
      <formula>SEARCH("EMESSO",$M26)&gt;0</formula>
    </cfRule>
    <cfRule type="expression" dxfId="5749" priority="148">
      <formula>SEARCH("RICHIESTO",$M26)&gt;0</formula>
    </cfRule>
    <cfRule type="expression" dxfId="5748" priority="149">
      <formula>SEARCH("DA CHIUDERE",$M26)&gt;0</formula>
    </cfRule>
    <cfRule type="expression" dxfId="5747" priority="150">
      <formula>SEARCH("INTERROTTO",$M26)&gt;0</formula>
    </cfRule>
  </conditionalFormatting>
  <conditionalFormatting sqref="E25:G25 M25:S25">
    <cfRule type="expression" dxfId="5746" priority="139">
      <formula>SEARCH("IN CORSO",$M25)&gt;0</formula>
    </cfRule>
    <cfRule type="expression" dxfId="5745" priority="140">
      <formula>SEARCH("CHIUSO",$M25)&gt;0</formula>
    </cfRule>
    <cfRule type="expression" dxfId="5744" priority="141">
      <formula>SEARCH("EMESSO",$M25)&gt;0</formula>
    </cfRule>
    <cfRule type="expression" dxfId="5743" priority="142">
      <formula>SEARCH("RICHIESTO",$M25)&gt;0</formula>
    </cfRule>
    <cfRule type="expression" dxfId="5742" priority="143">
      <formula>SEARCH("DA CHIUDERE",$M25)&gt;0</formula>
    </cfRule>
    <cfRule type="expression" dxfId="5741" priority="144">
      <formula>SEARCH("INTERROTTO",$M25)&gt;0</formula>
    </cfRule>
  </conditionalFormatting>
  <conditionalFormatting sqref="E24:G24 M24:S24">
    <cfRule type="expression" dxfId="5740" priority="133">
      <formula>SEARCH("IN CORSO",$M24)&gt;0</formula>
    </cfRule>
    <cfRule type="expression" dxfId="5739" priority="134">
      <formula>SEARCH("CHIUSO",$M24)&gt;0</formula>
    </cfRule>
    <cfRule type="expression" dxfId="5738" priority="135">
      <formula>SEARCH("EMESSO",$M24)&gt;0</formula>
    </cfRule>
    <cfRule type="expression" dxfId="5737" priority="136">
      <formula>SEARCH("RICHIESTO",$M24)&gt;0</formula>
    </cfRule>
    <cfRule type="expression" dxfId="5736" priority="137">
      <formula>SEARCH("DA CHIUDERE",$M24)&gt;0</formula>
    </cfRule>
    <cfRule type="expression" dxfId="5735" priority="138">
      <formula>SEARCH("INTERROTTO",$M24)&gt;0</formula>
    </cfRule>
  </conditionalFormatting>
  <conditionalFormatting sqref="E23:G23 M23:S23">
    <cfRule type="expression" dxfId="5734" priority="127">
      <formula>SEARCH("IN CORSO",$M23)&gt;0</formula>
    </cfRule>
    <cfRule type="expression" dxfId="5733" priority="128">
      <formula>SEARCH("CHIUSO",$M23)&gt;0</formula>
    </cfRule>
    <cfRule type="expression" dxfId="5732" priority="129">
      <formula>SEARCH("EMESSO",$M23)&gt;0</formula>
    </cfRule>
    <cfRule type="expression" dxfId="5731" priority="130">
      <formula>SEARCH("RICHIESTO",$M23)&gt;0</formula>
    </cfRule>
    <cfRule type="expression" dxfId="5730" priority="131">
      <formula>SEARCH("DA CHIUDERE",$M23)&gt;0</formula>
    </cfRule>
    <cfRule type="expression" dxfId="5729" priority="132">
      <formula>SEARCH("INTERROTTO",$M23)&gt;0</formula>
    </cfRule>
  </conditionalFormatting>
  <conditionalFormatting sqref="E22:G22 M22:S22">
    <cfRule type="expression" dxfId="5728" priority="121">
      <formula>SEARCH("IN CORSO",$M22)&gt;0</formula>
    </cfRule>
    <cfRule type="expression" dxfId="5727" priority="122">
      <formula>SEARCH("CHIUSO",$M22)&gt;0</formula>
    </cfRule>
    <cfRule type="expression" dxfId="5726" priority="123">
      <formula>SEARCH("EMESSO",$M22)&gt;0</formula>
    </cfRule>
    <cfRule type="expression" dxfId="5725" priority="124">
      <formula>SEARCH("RICHIESTO",$M22)&gt;0</formula>
    </cfRule>
    <cfRule type="expression" dxfId="5724" priority="125">
      <formula>SEARCH("DA CHIUDERE",$M22)&gt;0</formula>
    </cfRule>
    <cfRule type="expression" dxfId="5723" priority="126">
      <formula>SEARCH("INTERROTTO",$M22)&gt;0</formula>
    </cfRule>
  </conditionalFormatting>
  <conditionalFormatting sqref="E21:G21 M21:S21">
    <cfRule type="expression" dxfId="5722" priority="115">
      <formula>SEARCH("IN CORSO",$M21)&gt;0</formula>
    </cfRule>
    <cfRule type="expression" dxfId="5721" priority="116">
      <formula>SEARCH("CHIUSO",$M21)&gt;0</formula>
    </cfRule>
    <cfRule type="expression" dxfId="5720" priority="117">
      <formula>SEARCH("EMESSO",$M21)&gt;0</formula>
    </cfRule>
    <cfRule type="expression" dxfId="5719" priority="118">
      <formula>SEARCH("RICHIESTO",$M21)&gt;0</formula>
    </cfRule>
    <cfRule type="expression" dxfId="5718" priority="119">
      <formula>SEARCH("DA CHIUDERE",$M21)&gt;0</formula>
    </cfRule>
    <cfRule type="expression" dxfId="5717" priority="120">
      <formula>SEARCH("INTERROTTO",$M21)&gt;0</formula>
    </cfRule>
  </conditionalFormatting>
  <conditionalFormatting sqref="E20:G20 M20:S20">
    <cfRule type="expression" dxfId="5716" priority="109">
      <formula>SEARCH("IN CORSO",$M20)&gt;0</formula>
    </cfRule>
    <cfRule type="expression" dxfId="5715" priority="110">
      <formula>SEARCH("CHIUSO",$M20)&gt;0</formula>
    </cfRule>
    <cfRule type="expression" dxfId="5714" priority="111">
      <formula>SEARCH("EMESSO",$M20)&gt;0</formula>
    </cfRule>
    <cfRule type="expression" dxfId="5713" priority="112">
      <formula>SEARCH("RICHIESTO",$M20)&gt;0</formula>
    </cfRule>
    <cfRule type="expression" dxfId="5712" priority="113">
      <formula>SEARCH("DA CHIUDERE",$M20)&gt;0</formula>
    </cfRule>
    <cfRule type="expression" dxfId="5711" priority="114">
      <formula>SEARCH("INTERROTTO",$M20)&gt;0</formula>
    </cfRule>
  </conditionalFormatting>
  <conditionalFormatting sqref="E19:G19 M19:S19">
    <cfRule type="expression" dxfId="5710" priority="103">
      <formula>SEARCH("IN CORSO",$M19)&gt;0</formula>
    </cfRule>
    <cfRule type="expression" dxfId="5709" priority="104">
      <formula>SEARCH("CHIUSO",$M19)&gt;0</formula>
    </cfRule>
    <cfRule type="expression" dxfId="5708" priority="105">
      <formula>SEARCH("EMESSO",$M19)&gt;0</formula>
    </cfRule>
    <cfRule type="expression" dxfId="5707" priority="106">
      <formula>SEARCH("RICHIESTO",$M19)&gt;0</formula>
    </cfRule>
    <cfRule type="expression" dxfId="5706" priority="107">
      <formula>SEARCH("DA CHIUDERE",$M19)&gt;0</formula>
    </cfRule>
    <cfRule type="expression" dxfId="5705" priority="108">
      <formula>SEARCH("INTERROTTO",$M19)&gt;0</formula>
    </cfRule>
  </conditionalFormatting>
  <conditionalFormatting sqref="E18:G18 M18:S18">
    <cfRule type="expression" dxfId="5704" priority="97">
      <formula>SEARCH("IN CORSO",$M18)&gt;0</formula>
    </cfRule>
    <cfRule type="expression" dxfId="5703" priority="98">
      <formula>SEARCH("CHIUSO",$M18)&gt;0</formula>
    </cfRule>
    <cfRule type="expression" dxfId="5702" priority="99">
      <formula>SEARCH("EMESSO",$M18)&gt;0</formula>
    </cfRule>
    <cfRule type="expression" dxfId="5701" priority="100">
      <formula>SEARCH("RICHIESTO",$M18)&gt;0</formula>
    </cfRule>
    <cfRule type="expression" dxfId="5700" priority="101">
      <formula>SEARCH("DA CHIUDERE",$M18)&gt;0</formula>
    </cfRule>
    <cfRule type="expression" dxfId="5699" priority="102">
      <formula>SEARCH("INTERROTTO",$M18)&gt;0</formula>
    </cfRule>
  </conditionalFormatting>
  <conditionalFormatting sqref="E17:G17 M17:S17">
    <cfRule type="expression" dxfId="5698" priority="91">
      <formula>SEARCH("IN CORSO",$M17)&gt;0</formula>
    </cfRule>
    <cfRule type="expression" dxfId="5697" priority="92">
      <formula>SEARCH("CHIUSO",$M17)&gt;0</formula>
    </cfRule>
    <cfRule type="expression" dxfId="5696" priority="93">
      <formula>SEARCH("EMESSO",$M17)&gt;0</formula>
    </cfRule>
    <cfRule type="expression" dxfId="5695" priority="94">
      <formula>SEARCH("RICHIESTO",$M17)&gt;0</formula>
    </cfRule>
    <cfRule type="expression" dxfId="5694" priority="95">
      <formula>SEARCH("DA CHIUDERE",$M17)&gt;0</formula>
    </cfRule>
    <cfRule type="expression" dxfId="5693" priority="96">
      <formula>SEARCH("INTERROTTO",$M17)&gt;0</formula>
    </cfRule>
  </conditionalFormatting>
  <conditionalFormatting sqref="E16:G16 M16:S16">
    <cfRule type="expression" dxfId="5692" priority="85">
      <formula>SEARCH("IN CORSO",$M16)&gt;0</formula>
    </cfRule>
    <cfRule type="expression" dxfId="5691" priority="86">
      <formula>SEARCH("CHIUSO",$M16)&gt;0</formula>
    </cfRule>
    <cfRule type="expression" dxfId="5690" priority="87">
      <formula>SEARCH("EMESSO",$M16)&gt;0</formula>
    </cfRule>
    <cfRule type="expression" dxfId="5689" priority="88">
      <formula>SEARCH("RICHIESTO",$M16)&gt;0</formula>
    </cfRule>
    <cfRule type="expression" dxfId="5688" priority="89">
      <formula>SEARCH("DA CHIUDERE",$M16)&gt;0</formula>
    </cfRule>
    <cfRule type="expression" dxfId="5687" priority="90">
      <formula>SEARCH("INTERROTTO",$M16)&gt;0</formula>
    </cfRule>
  </conditionalFormatting>
  <conditionalFormatting sqref="R177:S178">
    <cfRule type="expression" dxfId="5686" priority="79">
      <formula>SEARCH("IN CORSO",$M177)&gt;0</formula>
    </cfRule>
    <cfRule type="expression" dxfId="5685" priority="80">
      <formula>SEARCH("CHIUSO",$M177)&gt;0</formula>
    </cfRule>
    <cfRule type="expression" dxfId="5684" priority="81">
      <formula>SEARCH("EMESSO",$M177)&gt;0</formula>
    </cfRule>
    <cfRule type="expression" dxfId="5683" priority="82">
      <formula>SEARCH("RICHIESTO",$M177)&gt;0</formula>
    </cfRule>
    <cfRule type="expression" dxfId="5682" priority="83">
      <formula>SEARCH("DA CHIUDERE",$M177)&gt;0</formula>
    </cfRule>
    <cfRule type="expression" dxfId="5681" priority="84">
      <formula>SEARCH("INTERROTTO",$M177)&gt;0</formula>
    </cfRule>
  </conditionalFormatting>
  <conditionalFormatting sqref="M178">
    <cfRule type="expression" dxfId="5680" priority="73">
      <formula>SEARCH("IN CORSO",$M178)&gt;0</formula>
    </cfRule>
    <cfRule type="expression" dxfId="5679" priority="74">
      <formula>SEARCH("CHIUSO",$M178)&gt;0</formula>
    </cfRule>
    <cfRule type="expression" dxfId="5678" priority="75">
      <formula>SEARCH("EMESSO",$M178)&gt;0</formula>
    </cfRule>
    <cfRule type="expression" dxfId="5677" priority="76">
      <formula>SEARCH("RICHIESTO",$M178)&gt;0</formula>
    </cfRule>
    <cfRule type="expression" dxfId="5676" priority="77">
      <formula>SEARCH("DA CHIUDERE",$M178)&gt;0</formula>
    </cfRule>
    <cfRule type="expression" dxfId="5675" priority="78">
      <formula>SEARCH("INTERROTTO",$M178)&gt;0</formula>
    </cfRule>
  </conditionalFormatting>
  <conditionalFormatting sqref="E15:G15 M15:S15">
    <cfRule type="expression" dxfId="5674" priority="67">
      <formula>SEARCH("IN CORSO",$M15)&gt;0</formula>
    </cfRule>
    <cfRule type="expression" dxfId="5673" priority="68">
      <formula>SEARCH("CHIUSO",$M15)&gt;0</formula>
    </cfRule>
    <cfRule type="expression" dxfId="5672" priority="69">
      <formula>SEARCH("EMESSO",$M15)&gt;0</formula>
    </cfRule>
    <cfRule type="expression" dxfId="5671" priority="70">
      <formula>SEARCH("RICHIESTO",$M15)&gt;0</formula>
    </cfRule>
    <cfRule type="expression" dxfId="5670" priority="71">
      <formula>SEARCH("DA CHIUDERE",$M15)&gt;0</formula>
    </cfRule>
    <cfRule type="expression" dxfId="5669" priority="72">
      <formula>SEARCH("INTERROTTO",$M15)&gt;0</formula>
    </cfRule>
  </conditionalFormatting>
  <conditionalFormatting sqref="E14:G14 M14:S14">
    <cfRule type="expression" dxfId="5668" priority="61">
      <formula>SEARCH("IN CORSO",$M14)&gt;0</formula>
    </cfRule>
    <cfRule type="expression" dxfId="5667" priority="62">
      <formula>SEARCH("CHIUSO",$M14)&gt;0</formula>
    </cfRule>
    <cfRule type="expression" dxfId="5666" priority="63">
      <formula>SEARCH("EMESSO",$M14)&gt;0</formula>
    </cfRule>
    <cfRule type="expression" dxfId="5665" priority="64">
      <formula>SEARCH("RICHIESTO",$M14)&gt;0</formula>
    </cfRule>
    <cfRule type="expression" dxfId="5664" priority="65">
      <formula>SEARCH("DA CHIUDERE",$M14)&gt;0</formula>
    </cfRule>
    <cfRule type="expression" dxfId="5663" priority="66">
      <formula>SEARCH("INTERROTTO",$M14)&gt;0</formula>
    </cfRule>
  </conditionalFormatting>
  <conditionalFormatting sqref="E13:G13 M13:S13">
    <cfRule type="expression" dxfId="5662" priority="55">
      <formula>SEARCH("IN CORSO",$M13)&gt;0</formula>
    </cfRule>
    <cfRule type="expression" dxfId="5661" priority="56">
      <formula>SEARCH("CHIUSO",$M13)&gt;0</formula>
    </cfRule>
    <cfRule type="expression" dxfId="5660" priority="57">
      <formula>SEARCH("EMESSO",$M13)&gt;0</formula>
    </cfRule>
    <cfRule type="expression" dxfId="5659" priority="58">
      <formula>SEARCH("RICHIESTO",$M13)&gt;0</formula>
    </cfRule>
    <cfRule type="expression" dxfId="5658" priority="59">
      <formula>SEARCH("DA CHIUDERE",$M13)&gt;0</formula>
    </cfRule>
    <cfRule type="expression" dxfId="5657" priority="60">
      <formula>SEARCH("INTERROTTO",$M13)&gt;0</formula>
    </cfRule>
  </conditionalFormatting>
  <conditionalFormatting sqref="E12:G12 M12:S12">
    <cfRule type="expression" dxfId="5656" priority="49">
      <formula>SEARCH("IN CORSO",$M12)&gt;0</formula>
    </cfRule>
    <cfRule type="expression" dxfId="5655" priority="50">
      <formula>SEARCH("CHIUSO",$M12)&gt;0</formula>
    </cfRule>
    <cfRule type="expression" dxfId="5654" priority="51">
      <formula>SEARCH("EMESSO",$M12)&gt;0</formula>
    </cfRule>
    <cfRule type="expression" dxfId="5653" priority="52">
      <formula>SEARCH("RICHIESTO",$M12)&gt;0</formula>
    </cfRule>
    <cfRule type="expression" dxfId="5652" priority="53">
      <formula>SEARCH("DA CHIUDERE",$M12)&gt;0</formula>
    </cfRule>
    <cfRule type="expression" dxfId="5651" priority="54">
      <formula>SEARCH("INTERROTTO",$M12)&gt;0</formula>
    </cfRule>
  </conditionalFormatting>
  <conditionalFormatting sqref="E11:G11 M11:S11">
    <cfRule type="expression" dxfId="5650" priority="43">
      <formula>SEARCH("IN CORSO",$M11)&gt;0</formula>
    </cfRule>
    <cfRule type="expression" dxfId="5649" priority="44">
      <formula>SEARCH("CHIUSO",$M11)&gt;0</formula>
    </cfRule>
    <cfRule type="expression" dxfId="5648" priority="45">
      <formula>SEARCH("EMESSO",$M11)&gt;0</formula>
    </cfRule>
    <cfRule type="expression" dxfId="5647" priority="46">
      <formula>SEARCH("RICHIESTO",$M11)&gt;0</formula>
    </cfRule>
    <cfRule type="expression" dxfId="5646" priority="47">
      <formula>SEARCH("DA CHIUDERE",$M11)&gt;0</formula>
    </cfRule>
    <cfRule type="expression" dxfId="5645" priority="48">
      <formula>SEARCH("INTERROTTO",$M11)&gt;0</formula>
    </cfRule>
  </conditionalFormatting>
  <conditionalFormatting sqref="E10:G10 M10:S10">
    <cfRule type="expression" dxfId="5644" priority="37">
      <formula>SEARCH("IN CORSO",$M10)&gt;0</formula>
    </cfRule>
    <cfRule type="expression" dxfId="5643" priority="38">
      <formula>SEARCH("CHIUSO",$M10)&gt;0</formula>
    </cfRule>
    <cfRule type="expression" dxfId="5642" priority="39">
      <formula>SEARCH("EMESSO",$M10)&gt;0</formula>
    </cfRule>
    <cfRule type="expression" dxfId="5641" priority="40">
      <formula>SEARCH("RICHIESTO",$M10)&gt;0</formula>
    </cfRule>
    <cfRule type="expression" dxfId="5640" priority="41">
      <formula>SEARCH("DA CHIUDERE",$M10)&gt;0</formula>
    </cfRule>
    <cfRule type="expression" dxfId="5639" priority="42">
      <formula>SEARCH("INTERROTTO",$M10)&gt;0</formula>
    </cfRule>
  </conditionalFormatting>
  <conditionalFormatting sqref="E9:G9 M9:S9">
    <cfRule type="expression" dxfId="5638" priority="31">
      <formula>SEARCH("IN CORSO",$M9)&gt;0</formula>
    </cfRule>
    <cfRule type="expression" dxfId="5637" priority="32">
      <formula>SEARCH("CHIUSO",$M9)&gt;0</formula>
    </cfRule>
    <cfRule type="expression" dxfId="5636" priority="33">
      <formula>SEARCH("EMESSO",$M9)&gt;0</formula>
    </cfRule>
    <cfRule type="expression" dxfId="5635" priority="34">
      <formula>SEARCH("RICHIESTO",$M9)&gt;0</formula>
    </cfRule>
    <cfRule type="expression" dxfId="5634" priority="35">
      <formula>SEARCH("DA CHIUDERE",$M9)&gt;0</formula>
    </cfRule>
    <cfRule type="expression" dxfId="5633" priority="36">
      <formula>SEARCH("INTERROTTO",$M9)&gt;0</formula>
    </cfRule>
  </conditionalFormatting>
  <conditionalFormatting sqref="E8:G8 M8:S8">
    <cfRule type="expression" dxfId="5632" priority="25">
      <formula>SEARCH("IN CORSO",$M8)&gt;0</formula>
    </cfRule>
    <cfRule type="expression" dxfId="5631" priority="26">
      <formula>SEARCH("CHIUSO",$M8)&gt;0</formula>
    </cfRule>
    <cfRule type="expression" dxfId="5630" priority="27">
      <formula>SEARCH("EMESSO",$M8)&gt;0</formula>
    </cfRule>
    <cfRule type="expression" dxfId="5629" priority="28">
      <formula>SEARCH("RICHIESTO",$M8)&gt;0</formula>
    </cfRule>
    <cfRule type="expression" dxfId="5628" priority="29">
      <formula>SEARCH("DA CHIUDERE",$M8)&gt;0</formula>
    </cfRule>
    <cfRule type="expression" dxfId="5627" priority="30">
      <formula>SEARCH("INTERROTTO",$M8)&gt;0</formula>
    </cfRule>
  </conditionalFormatting>
  <conditionalFormatting sqref="E7:G7 M7:S7">
    <cfRule type="expression" dxfId="5626" priority="19">
      <formula>SEARCH("IN CORSO",$M7)&gt;0</formula>
    </cfRule>
    <cfRule type="expression" dxfId="5625" priority="20">
      <formula>SEARCH("CHIUSO",$M7)&gt;0</formula>
    </cfRule>
    <cfRule type="expression" dxfId="5624" priority="21">
      <formula>SEARCH("EMESSO",$M7)&gt;0</formula>
    </cfRule>
    <cfRule type="expression" dxfId="5623" priority="22">
      <formula>SEARCH("RICHIESTO",$M7)&gt;0</formula>
    </cfRule>
    <cfRule type="expression" dxfId="5622" priority="23">
      <formula>SEARCH("DA CHIUDERE",$M7)&gt;0</formula>
    </cfRule>
    <cfRule type="expression" dxfId="5621" priority="24">
      <formula>SEARCH("INTERROTTO",$M7)&gt;0</formula>
    </cfRule>
  </conditionalFormatting>
  <conditionalFormatting sqref="E6:G6 M6:S6">
    <cfRule type="expression" dxfId="5620" priority="13">
      <formula>SEARCH("IN CORSO",$M6)&gt;0</formula>
    </cfRule>
    <cfRule type="expression" dxfId="5619" priority="14">
      <formula>SEARCH("CHIUSO",$M6)&gt;0</formula>
    </cfRule>
    <cfRule type="expression" dxfId="5618" priority="15">
      <formula>SEARCH("EMESSO",$M6)&gt;0</formula>
    </cfRule>
    <cfRule type="expression" dxfId="5617" priority="16">
      <formula>SEARCH("RICHIESTO",$M6)&gt;0</formula>
    </cfRule>
    <cfRule type="expression" dxfId="5616" priority="17">
      <formula>SEARCH("DA CHIUDERE",$M6)&gt;0</formula>
    </cfRule>
    <cfRule type="expression" dxfId="5615" priority="18">
      <formula>SEARCH("INTERROTTO",$M6)&gt;0</formula>
    </cfRule>
  </conditionalFormatting>
  <conditionalFormatting sqref="E5:G5 M5:S5">
    <cfRule type="expression" dxfId="5614" priority="7">
      <formula>SEARCH("IN CORSO",$M5)&gt;0</formula>
    </cfRule>
    <cfRule type="expression" dxfId="5613" priority="8">
      <formula>SEARCH("CHIUSO",$M5)&gt;0</formula>
    </cfRule>
    <cfRule type="expression" dxfId="5612" priority="9">
      <formula>SEARCH("EMESSO",$M5)&gt;0</formula>
    </cfRule>
    <cfRule type="expression" dxfId="5611" priority="10">
      <formula>SEARCH("RICHIESTO",$M5)&gt;0</formula>
    </cfRule>
    <cfRule type="expression" dxfId="5610" priority="11">
      <formula>SEARCH("DA CHIUDERE",$M5)&gt;0</formula>
    </cfRule>
    <cfRule type="expression" dxfId="5609" priority="12">
      <formula>SEARCH("INTERROTTO",$M5)&gt;0</formula>
    </cfRule>
  </conditionalFormatting>
  <conditionalFormatting sqref="E4:G4 M4:S4">
    <cfRule type="expression" dxfId="5608" priority="1">
      <formula>SEARCH("IN CORSO",$M4)&gt;0</formula>
    </cfRule>
    <cfRule type="expression" dxfId="5607" priority="2">
      <formula>SEARCH("CHIUSO",$M4)&gt;0</formula>
    </cfRule>
    <cfRule type="expression" dxfId="5606" priority="3">
      <formula>SEARCH("EMESSO",$M4)&gt;0</formula>
    </cfRule>
    <cfRule type="expression" dxfId="5605" priority="4">
      <formula>SEARCH("RICHIESTO",$M4)&gt;0</formula>
    </cfRule>
    <cfRule type="expression" dxfId="5604" priority="5">
      <formula>SEARCH("DA CHIUDERE",$M4)&gt;0</formula>
    </cfRule>
    <cfRule type="expression" dxfId="5603" priority="6">
      <formula>SEARCH("INTERROTTO",$M4)&gt;0</formula>
    </cfRule>
  </conditionalFormatting>
  <dataValidations count="3">
    <dataValidation type="list" allowBlank="1" showInputMessage="1" showErrorMessage="1" sqref="N166:P167 N169:P178" xr:uid="{ADF1A6AE-125C-40AE-94B8-8FD36117D952}">
      <formula1>"DA PROCESSARE,DA APRIRE,APERTO,TERMINATA,SOSPESO,PERMESSO CHIUSO,"</formula1>
    </dataValidation>
    <dataValidation type="list" allowBlank="1" showInputMessage="1" showErrorMessage="1" sqref="M4:M178" xr:uid="{9D035D39-3BC9-421C-B7CA-853799582D8E}">
      <formula1>"RICHIESTO,EMESSO,IN CORSO,INTERROTTO,DA CHIUDERE,SCADUTO,CHIUSO,"</formula1>
    </dataValidation>
    <dataValidation type="list" allowBlank="1" showInputMessage="1" showErrorMessage="1" sqref="N67:P67"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V443"/>
  <sheetViews>
    <sheetView topLeftCell="K1" zoomScale="90" zoomScaleNormal="90" workbookViewId="0">
      <selection activeCell="V4" sqref="V4"/>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22" width="15.375" style="10" bestFit="1" customWidth="1"/>
    <col min="23" max="16384" width="8.75" style="10"/>
  </cols>
  <sheetData>
    <row r="1" spans="1:22" ht="128.1" customHeight="1" x14ac:dyDescent="0.35">
      <c r="A1" s="194"/>
      <c r="B1" s="194"/>
      <c r="C1" s="194"/>
      <c r="D1" s="194"/>
      <c r="G1" s="13"/>
      <c r="L1" s="38"/>
      <c r="M1" s="62"/>
      <c r="Q1" s="68" t="s">
        <v>1674</v>
      </c>
    </row>
    <row r="2" spans="1:22"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48"/>
      <c r="N2" s="195" t="s">
        <v>1256</v>
      </c>
      <c r="O2" s="195"/>
      <c r="P2" s="195"/>
      <c r="Q2" s="40"/>
    </row>
    <row r="3" spans="1:22"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c r="V3" s="19" t="s">
        <v>3158</v>
      </c>
    </row>
    <row r="4" spans="1:22" s="19" customFormat="1" ht="30" x14ac:dyDescent="0.2">
      <c r="A4" s="112"/>
      <c r="B4" s="112"/>
      <c r="C4" s="112" t="str">
        <f>IF(OR(Tabella3[[#This Row],[LUN]]="X",Tabella3[[#This Row],[MAR]]="X",Tabella3[[#This Row],[MER]]="X",Tabella3[[#This Row],[GIO]]="X",Tabella3[[#This Row],[VEN]]="X",),"X","")</f>
        <v/>
      </c>
      <c r="D4" s="113" t="s">
        <v>87</v>
      </c>
      <c r="E4" s="109" t="s">
        <v>2979</v>
      </c>
      <c r="F4" s="109">
        <v>800</v>
      </c>
      <c r="G4" s="109" t="s">
        <v>2980</v>
      </c>
      <c r="H4" s="111"/>
      <c r="I4" s="111"/>
      <c r="J4" s="111"/>
      <c r="K4" s="111"/>
      <c r="L4" s="111"/>
      <c r="M4" s="109" t="s">
        <v>1258</v>
      </c>
      <c r="N4" s="109"/>
      <c r="O4" s="109"/>
      <c r="P4" s="109"/>
      <c r="Q4" s="109" t="s">
        <v>2993</v>
      </c>
      <c r="R4" s="110">
        <v>45917</v>
      </c>
      <c r="S4" s="109" t="s">
        <v>239</v>
      </c>
      <c r="T4" s="114" t="str">
        <f ca="1">IF(AND('Inserimento dati'!$B$3=$H$2, Tabella3[[#This Row],[LUN]]="X"), "X",IF(AND('Inserimento dati'!$B$3=$I$2, Tabella3[[#This Row],[MAR]]="X"), "X", IF(AND('Inserimento dati'!$B$3=$J$2, Tabella3[[#This Row],[MER]]="X"), "X",IF(AND('Inserimento dati'!$B$3=$K$2, Tabella3[[#This Row],[GIO]]="X"), "X", IF(AND('Inserimento dati'!$B$3=$L$2, Tabella3[[#This Row],[VEN]]="X"), "X","")))))</f>
        <v/>
      </c>
      <c r="U4" s="90"/>
      <c r="V4" s="187">
        <v>45930.833333333336</v>
      </c>
    </row>
    <row r="5" spans="1:22" s="19" customFormat="1" ht="23.25" x14ac:dyDescent="0.2">
      <c r="A5" s="112"/>
      <c r="B5" s="112"/>
      <c r="C5" s="112" t="str">
        <f>IF(OR(Tabella3[[#This Row],[LUN]]="X",Tabella3[[#This Row],[MAR]]="X",Tabella3[[#This Row],[MER]]="X",Tabella3[[#This Row],[GIO]]="X",Tabella3[[#This Row],[VEN]]="X",),"X","")</f>
        <v/>
      </c>
      <c r="D5" s="113" t="s">
        <v>87</v>
      </c>
      <c r="E5" s="109" t="s">
        <v>2531</v>
      </c>
      <c r="F5" s="109">
        <v>1800</v>
      </c>
      <c r="G5" s="109" t="s">
        <v>2532</v>
      </c>
      <c r="H5" s="111"/>
      <c r="I5" s="111"/>
      <c r="J5" s="111"/>
      <c r="K5" s="111"/>
      <c r="L5" s="111"/>
      <c r="M5" s="109" t="s">
        <v>1258</v>
      </c>
      <c r="N5" s="109"/>
      <c r="O5" s="109"/>
      <c r="P5" s="109"/>
      <c r="Q5" s="109" t="s">
        <v>2537</v>
      </c>
      <c r="R5" s="110">
        <v>45873</v>
      </c>
      <c r="S5" s="109"/>
      <c r="T5" s="114" t="str">
        <f ca="1">IF(AND('Inserimento dati'!$B$3=$H$2, Tabella3[[#This Row],[LUN]]="X"), "X",IF(AND('Inserimento dati'!$B$3=$I$2, Tabella3[[#This Row],[MAR]]="X"), "X", IF(AND('Inserimento dati'!$B$3=$J$2, Tabella3[[#This Row],[MER]]="X"), "X",IF(AND('Inserimento dati'!$B$3=$K$2, Tabella3[[#This Row],[GIO]]="X"), "X", IF(AND('Inserimento dati'!$B$3=$L$2, Tabella3[[#This Row],[VEN]]="X"), "X","")))))</f>
        <v/>
      </c>
      <c r="U5" s="90" t="str">
        <f t="shared" ref="U5:U68" ca="1" si="0">IFERROR(MID(G5,_xlfn.AGGREGATE(15,6,(ROW(INDIRECT("1:"&amp;LEN(G5)-7)))/(ISNUMBER(--MID(G5,ROW(INDIRECT("1:"&amp;LEN(G5)-7)),8))),1),8),"")</f>
        <v/>
      </c>
      <c r="V5" s="187">
        <v>45930.833333333336</v>
      </c>
    </row>
    <row r="6" spans="1:22" s="19" customFormat="1" ht="30" x14ac:dyDescent="0.2">
      <c r="A6" s="112"/>
      <c r="B6" s="112"/>
      <c r="C6" s="112" t="str">
        <f>IF(OR(Tabella3[[#This Row],[LUN]]="X",Tabella3[[#This Row],[MAR]]="X",Tabella3[[#This Row],[MER]]="X",Tabella3[[#This Row],[GIO]]="X",Tabella3[[#This Row],[VEN]]="X",),"X","")</f>
        <v/>
      </c>
      <c r="D6" s="113" t="s">
        <v>87</v>
      </c>
      <c r="E6" s="109" t="s">
        <v>2621</v>
      </c>
      <c r="F6" s="109">
        <v>1800</v>
      </c>
      <c r="G6" s="109" t="s">
        <v>2622</v>
      </c>
      <c r="H6" s="111"/>
      <c r="I6" s="111"/>
      <c r="J6" s="111"/>
      <c r="K6" s="111"/>
      <c r="L6" s="111"/>
      <c r="M6" s="109" t="s">
        <v>1258</v>
      </c>
      <c r="N6" s="109"/>
      <c r="O6" s="109"/>
      <c r="P6" s="109"/>
      <c r="Q6" s="109" t="s">
        <v>2632</v>
      </c>
      <c r="R6" s="110">
        <v>45883</v>
      </c>
      <c r="S6" s="109" t="s">
        <v>2633</v>
      </c>
      <c r="T6" s="114" t="str">
        <f ca="1">IF(AND('Inserimento dati'!$B$3=$H$2, Tabella3[[#This Row],[LUN]]="X"), "X",IF(AND('Inserimento dati'!$B$3=$I$2, Tabella3[[#This Row],[MAR]]="X"), "X", IF(AND('Inserimento dati'!$B$3=$J$2, Tabella3[[#This Row],[MER]]="X"), "X",IF(AND('Inserimento dati'!$B$3=$K$2, Tabella3[[#This Row],[GIO]]="X"), "X", IF(AND('Inserimento dati'!$B$3=$L$2, Tabella3[[#This Row],[VEN]]="X"), "X","")))))</f>
        <v/>
      </c>
      <c r="U6" s="90" t="str">
        <f t="shared" ca="1" si="0"/>
        <v>10227289</v>
      </c>
      <c r="V6" s="187">
        <v>45930.833333333336</v>
      </c>
    </row>
    <row r="7" spans="1:22" s="19" customFormat="1" ht="30" x14ac:dyDescent="0.2">
      <c r="A7" s="112"/>
      <c r="B7" s="112"/>
      <c r="C7" s="112" t="str">
        <f>IF(OR(Tabella3[[#This Row],[LUN]]="X",Tabella3[[#This Row],[MAR]]="X",Tabella3[[#This Row],[MER]]="X",Tabella3[[#This Row],[GIO]]="X",Tabella3[[#This Row],[VEN]]="X",),"X","")</f>
        <v/>
      </c>
      <c r="D7" s="113" t="s">
        <v>87</v>
      </c>
      <c r="E7" s="109" t="s">
        <v>2661</v>
      </c>
      <c r="F7" s="109" t="s">
        <v>114</v>
      </c>
      <c r="G7" s="109" t="s">
        <v>2662</v>
      </c>
      <c r="H7" s="111"/>
      <c r="I7" s="111"/>
      <c r="J7" s="111"/>
      <c r="K7" s="111"/>
      <c r="L7" s="111"/>
      <c r="M7" s="109" t="s">
        <v>1258</v>
      </c>
      <c r="N7" s="109"/>
      <c r="O7" s="109"/>
      <c r="P7" s="109"/>
      <c r="Q7" s="109" t="s">
        <v>2664</v>
      </c>
      <c r="R7" s="110">
        <v>45888</v>
      </c>
      <c r="S7" s="109" t="s">
        <v>239</v>
      </c>
      <c r="T7" s="114" t="str">
        <f ca="1">IF(AND('Inserimento dati'!$B$3=$H$2, Tabella3[[#This Row],[LUN]]="X"), "X",IF(AND('Inserimento dati'!$B$3=$I$2, Tabella3[[#This Row],[MAR]]="X"), "X", IF(AND('Inserimento dati'!$B$3=$J$2, Tabella3[[#This Row],[MER]]="X"), "X",IF(AND('Inserimento dati'!$B$3=$K$2, Tabella3[[#This Row],[GIO]]="X"), "X", IF(AND('Inserimento dati'!$B$3=$L$2, Tabella3[[#This Row],[VEN]]="X"), "X","")))))</f>
        <v/>
      </c>
      <c r="U7" s="90" t="str">
        <f t="shared" ca="1" si="0"/>
        <v>10229081</v>
      </c>
      <c r="V7" s="187">
        <v>45930.833333333336</v>
      </c>
    </row>
    <row r="8" spans="1:22" s="19" customFormat="1" ht="30" x14ac:dyDescent="0.2">
      <c r="A8" s="112"/>
      <c r="B8" s="112"/>
      <c r="C8" s="112" t="str">
        <f>IF(OR(Tabella3[[#This Row],[LUN]]="X",Tabella3[[#This Row],[MAR]]="X",Tabella3[[#This Row],[MER]]="X",Tabella3[[#This Row],[GIO]]="X",Tabella3[[#This Row],[VEN]]="X",),"X","")</f>
        <v/>
      </c>
      <c r="D8" s="113" t="s">
        <v>87</v>
      </c>
      <c r="E8" s="109" t="s">
        <v>2596</v>
      </c>
      <c r="F8" s="109">
        <v>1200</v>
      </c>
      <c r="G8" s="109" t="s">
        <v>2597</v>
      </c>
      <c r="H8" s="111"/>
      <c r="I8" s="111"/>
      <c r="J8" s="111"/>
      <c r="K8" s="111"/>
      <c r="L8" s="111"/>
      <c r="M8" s="109" t="s">
        <v>1258</v>
      </c>
      <c r="N8" s="109"/>
      <c r="O8" s="109"/>
      <c r="P8" s="109"/>
      <c r="Q8" s="109" t="s">
        <v>2605</v>
      </c>
      <c r="R8" s="110">
        <v>45881</v>
      </c>
      <c r="S8" s="109" t="s">
        <v>2603</v>
      </c>
      <c r="T8" s="114" t="str">
        <f ca="1">IF(AND('Inserimento dati'!$B$3=$H$2, Tabella3[[#This Row],[LUN]]="X"), "X",IF(AND('Inserimento dati'!$B$3=$I$2, Tabella3[[#This Row],[MAR]]="X"), "X", IF(AND('Inserimento dati'!$B$3=$J$2, Tabella3[[#This Row],[MER]]="X"), "X",IF(AND('Inserimento dati'!$B$3=$K$2, Tabella3[[#This Row],[GIO]]="X"), "X", IF(AND('Inserimento dati'!$B$3=$L$2, Tabella3[[#This Row],[VEN]]="X"), "X","")))))</f>
        <v/>
      </c>
      <c r="U8" s="90" t="str">
        <f t="shared" ca="1" si="0"/>
        <v/>
      </c>
      <c r="V8" s="187">
        <v>45930.833333333336</v>
      </c>
    </row>
    <row r="9" spans="1:22" s="19" customFormat="1" ht="45" x14ac:dyDescent="0.2">
      <c r="A9" s="112"/>
      <c r="B9" s="112"/>
      <c r="C9" s="112" t="str">
        <f>IF(OR(Tabella3[[#This Row],[LUN]]="X",Tabella3[[#This Row],[MAR]]="X",Tabella3[[#This Row],[MER]]="X",Tabella3[[#This Row],[GIO]]="X",Tabella3[[#This Row],[VEN]]="X",),"X","")</f>
        <v/>
      </c>
      <c r="D9" s="113" t="s">
        <v>87</v>
      </c>
      <c r="E9" s="109" t="s">
        <v>2582</v>
      </c>
      <c r="F9" s="109">
        <v>800</v>
      </c>
      <c r="G9" s="109" t="s">
        <v>2583</v>
      </c>
      <c r="H9" s="111"/>
      <c r="I9" s="111"/>
      <c r="J9" s="111"/>
      <c r="K9" s="111"/>
      <c r="L9" s="111"/>
      <c r="M9" s="109" t="s">
        <v>1258</v>
      </c>
      <c r="N9" s="109"/>
      <c r="O9" s="109"/>
      <c r="P9" s="109"/>
      <c r="Q9" s="109" t="s">
        <v>2588</v>
      </c>
      <c r="R9" s="110">
        <v>45881</v>
      </c>
      <c r="S9" s="109" t="s">
        <v>239</v>
      </c>
      <c r="T9" s="114" t="str">
        <f ca="1">IF(AND('Inserimento dati'!$B$3=$H$2, Tabella3[[#This Row],[LUN]]="X"), "X",IF(AND('Inserimento dati'!$B$3=$I$2, Tabella3[[#This Row],[MAR]]="X"), "X", IF(AND('Inserimento dati'!$B$3=$J$2, Tabella3[[#This Row],[MER]]="X"), "X",IF(AND('Inserimento dati'!$B$3=$K$2, Tabella3[[#This Row],[GIO]]="X"), "X", IF(AND('Inserimento dati'!$B$3=$L$2, Tabella3[[#This Row],[VEN]]="X"), "X","")))))</f>
        <v/>
      </c>
      <c r="U9" s="90" t="str">
        <f t="shared" ca="1" si="0"/>
        <v>10228738</v>
      </c>
      <c r="V9" s="187">
        <v>45930.833333333336</v>
      </c>
    </row>
    <row r="10" spans="1:22" s="19" customFormat="1" ht="23.25" x14ac:dyDescent="0.2">
      <c r="A10" s="112"/>
      <c r="B10" s="112"/>
      <c r="C10" s="112" t="str">
        <f>IF(OR(Tabella3[[#This Row],[LUN]]="X",Tabella3[[#This Row],[MAR]]="X",Tabella3[[#This Row],[MER]]="X",Tabella3[[#This Row],[GIO]]="X",Tabella3[[#This Row],[VEN]]="X",),"X","")</f>
        <v/>
      </c>
      <c r="D10" s="113" t="s">
        <v>87</v>
      </c>
      <c r="E10" s="109" t="s">
        <v>2523</v>
      </c>
      <c r="F10" s="109">
        <v>1100</v>
      </c>
      <c r="G10" s="109" t="s">
        <v>2524</v>
      </c>
      <c r="H10" s="111"/>
      <c r="I10" s="111"/>
      <c r="J10" s="111"/>
      <c r="K10" s="111"/>
      <c r="L10" s="111"/>
      <c r="M10" s="109" t="s">
        <v>1258</v>
      </c>
      <c r="N10" s="109"/>
      <c r="O10" s="109"/>
      <c r="P10" s="109"/>
      <c r="Q10" s="109" t="s">
        <v>2528</v>
      </c>
      <c r="R10" s="110">
        <v>45869</v>
      </c>
      <c r="S10" s="109" t="s">
        <v>1074</v>
      </c>
      <c r="T10" s="114" t="str">
        <f ca="1">IF(AND('Inserimento dati'!$B$3=$H$2, Tabella3[[#This Row],[LUN]]="X"), "X",IF(AND('Inserimento dati'!$B$3=$I$2, Tabella3[[#This Row],[MAR]]="X"), "X", IF(AND('Inserimento dati'!$B$3=$J$2, Tabella3[[#This Row],[MER]]="X"), "X",IF(AND('Inserimento dati'!$B$3=$K$2, Tabella3[[#This Row],[GIO]]="X"), "X", IF(AND('Inserimento dati'!$B$3=$L$2, Tabella3[[#This Row],[VEN]]="X"), "X","")))))</f>
        <v/>
      </c>
      <c r="U10" s="90" t="str">
        <f t="shared" ca="1" si="0"/>
        <v>10228192</v>
      </c>
      <c r="V10" s="187">
        <v>45930.833333333336</v>
      </c>
    </row>
    <row r="11" spans="1:22" s="19" customFormat="1" ht="23.25" x14ac:dyDescent="0.2">
      <c r="A11" s="112"/>
      <c r="B11" s="112">
        <v>3</v>
      </c>
      <c r="C11" s="112" t="str">
        <f>IF(OR(Tabella3[[#This Row],[LUN]]="X",Tabella3[[#This Row],[MAR]]="X",Tabella3[[#This Row],[MER]]="X",Tabella3[[#This Row],[GIO]]="X",Tabella3[[#This Row],[VEN]]="X",),"X","")</f>
        <v/>
      </c>
      <c r="D11" s="113" t="s">
        <v>87</v>
      </c>
      <c r="E11" s="109" t="s">
        <v>1566</v>
      </c>
      <c r="F11" s="109" t="s">
        <v>112</v>
      </c>
      <c r="G11" s="109" t="s">
        <v>1781</v>
      </c>
      <c r="H11" s="111"/>
      <c r="I11" s="111"/>
      <c r="J11" s="111"/>
      <c r="K11" s="111"/>
      <c r="L11" s="111"/>
      <c r="M11" s="109" t="s">
        <v>1258</v>
      </c>
      <c r="N11" s="109"/>
      <c r="O11" s="109"/>
      <c r="P11" s="109"/>
      <c r="Q11" s="109" t="s">
        <v>1570</v>
      </c>
      <c r="R11" s="110">
        <v>45812</v>
      </c>
      <c r="S11" s="109" t="s">
        <v>1048</v>
      </c>
      <c r="T11" s="114" t="str">
        <f ca="1">IF(AND('Inserimento dati'!$B$3=$H$2, Tabella3[[#This Row],[LUN]]="X"), "X",IF(AND('Inserimento dati'!$B$3=$I$2, Tabella3[[#This Row],[MAR]]="X"), "X", IF(AND('Inserimento dati'!$B$3=$J$2, Tabella3[[#This Row],[MER]]="X"), "X",IF(AND('Inserimento dati'!$B$3=$K$2, Tabella3[[#This Row],[GIO]]="X"), "X", IF(AND('Inserimento dati'!$B$3=$L$2, Tabella3[[#This Row],[VEN]]="X"), "X","")))))</f>
        <v/>
      </c>
      <c r="U11" s="147" t="str">
        <f t="shared" ca="1" si="0"/>
        <v/>
      </c>
      <c r="V11" s="187">
        <v>45930.833333333336</v>
      </c>
    </row>
    <row r="12" spans="1:22" s="19" customFormat="1" ht="30" x14ac:dyDescent="0.2">
      <c r="A12" s="112"/>
      <c r="B12" s="112">
        <v>3</v>
      </c>
      <c r="C12" s="112" t="str">
        <f>IF(OR(Tabella3[[#This Row],[LUN]]="X",Tabella3[[#This Row],[MAR]]="X",Tabella3[[#This Row],[MER]]="X",Tabella3[[#This Row],[GIO]]="X",Tabella3[[#This Row],[VEN]]="X",),"X","")</f>
        <v/>
      </c>
      <c r="D12" s="113" t="s">
        <v>87</v>
      </c>
      <c r="E12" s="109" t="s">
        <v>1468</v>
      </c>
      <c r="F12" s="109">
        <v>800</v>
      </c>
      <c r="G12" s="109" t="s">
        <v>1782</v>
      </c>
      <c r="H12" s="111"/>
      <c r="I12" s="111"/>
      <c r="J12" s="111"/>
      <c r="K12" s="111"/>
      <c r="L12" s="111"/>
      <c r="M12" s="109" t="s">
        <v>1258</v>
      </c>
      <c r="N12" s="109"/>
      <c r="O12" s="109"/>
      <c r="P12" s="109"/>
      <c r="Q12" s="109" t="s">
        <v>1723</v>
      </c>
      <c r="R12" s="110">
        <v>45825</v>
      </c>
      <c r="S12" s="109" t="s">
        <v>1642</v>
      </c>
      <c r="T12" s="69" t="str">
        <f ca="1">IF(AND('Inserimento dati'!$B$3=$H$2, Tabella3[[#This Row],[LUN]]="X"), "X",IF(AND('Inserimento dati'!$B$3=$I$2, Tabella3[[#This Row],[MAR]]="X"), "X", IF(AND('Inserimento dati'!$B$3=$J$2, Tabella3[[#This Row],[MER]]="X"), "X",IF(AND('Inserimento dati'!$B$3=$K$2, Tabella3[[#This Row],[GIO]]="X"), "X", IF(AND('Inserimento dati'!$B$3=$L$2, Tabella3[[#This Row],[VEN]]="X"), "X","")))))</f>
        <v/>
      </c>
      <c r="U12" s="147" t="str">
        <f t="shared" ca="1" si="0"/>
        <v xml:space="preserve"> 1022278</v>
      </c>
      <c r="V12" s="187">
        <v>45930.833333333336</v>
      </c>
    </row>
    <row r="13" spans="1:22" s="19" customFormat="1" ht="30" x14ac:dyDescent="0.2">
      <c r="A13" s="112"/>
      <c r="B13" s="112" t="str">
        <f t="shared" ref="B13:B18" si="1">IF(OR(A13="x",A13="X"),"",IF(ISBLANK(A13),"X",""))</f>
        <v>X</v>
      </c>
      <c r="C13" s="112" t="str">
        <f>IF(OR(Tabella3[[#This Row],[LUN]]="X",Tabella3[[#This Row],[MAR]]="X",Tabella3[[#This Row],[MER]]="X",Tabella3[[#This Row],[GIO]]="X",Tabella3[[#This Row],[VEN]]="X",),"X","")</f>
        <v/>
      </c>
      <c r="D13" s="113" t="s">
        <v>87</v>
      </c>
      <c r="E13" s="109" t="s">
        <v>1611</v>
      </c>
      <c r="F13" s="109">
        <v>1200</v>
      </c>
      <c r="G13" s="109" t="s">
        <v>1783</v>
      </c>
      <c r="H13" s="111"/>
      <c r="I13" s="111"/>
      <c r="J13" s="111"/>
      <c r="K13" s="111"/>
      <c r="L13" s="111"/>
      <c r="M13" s="109" t="s">
        <v>1258</v>
      </c>
      <c r="N13" s="109"/>
      <c r="O13" s="109"/>
      <c r="P13" s="109"/>
      <c r="Q13" s="109" t="s">
        <v>1640</v>
      </c>
      <c r="R13" s="110">
        <v>45763</v>
      </c>
      <c r="S13" s="109" t="s">
        <v>211</v>
      </c>
      <c r="T13" s="114" t="str">
        <f ca="1">IF(AND('Inserimento dati'!$B$3=$H$2, Tabella3[[#This Row],[LUN]]="X"), "X",IF(AND('Inserimento dati'!$B$3=$I$2, Tabella3[[#This Row],[MAR]]="X"), "X", IF(AND('Inserimento dati'!$B$3=$J$2, Tabella3[[#This Row],[MER]]="X"), "X",IF(AND('Inserimento dati'!$B$3=$K$2, Tabella3[[#This Row],[GIO]]="X"), "X", IF(AND('Inserimento dati'!$B$3=$L$2, Tabella3[[#This Row],[VEN]]="X"), "X","")))))</f>
        <v/>
      </c>
      <c r="U13" s="147" t="str">
        <f t="shared" ca="1" si="0"/>
        <v/>
      </c>
      <c r="V13" s="187">
        <v>45930.833333333336</v>
      </c>
    </row>
    <row r="14" spans="1:22" s="19" customFormat="1" ht="23.25" x14ac:dyDescent="0.2">
      <c r="A14" s="112"/>
      <c r="B14" s="112" t="str">
        <f t="shared" si="1"/>
        <v>X</v>
      </c>
      <c r="C14" s="112" t="str">
        <f>IF(OR(Tabella3[[#This Row],[LUN]]="X",Tabella3[[#This Row],[MAR]]="X",Tabella3[[#This Row],[MER]]="X",Tabella3[[#This Row],[GIO]]="X",Tabella3[[#This Row],[VEN]]="X",),"X","")</f>
        <v/>
      </c>
      <c r="D14" s="113" t="s">
        <v>87</v>
      </c>
      <c r="E14" s="109" t="s">
        <v>1612</v>
      </c>
      <c r="F14" s="109">
        <v>1200</v>
      </c>
      <c r="G14" s="109" t="s">
        <v>1784</v>
      </c>
      <c r="H14" s="111"/>
      <c r="I14" s="111"/>
      <c r="J14" s="111"/>
      <c r="K14" s="111"/>
      <c r="L14" s="111"/>
      <c r="M14" s="109" t="s">
        <v>1258</v>
      </c>
      <c r="N14" s="109"/>
      <c r="O14" s="109"/>
      <c r="P14" s="109"/>
      <c r="Q14" s="109" t="s">
        <v>1640</v>
      </c>
      <c r="R14" s="110">
        <v>45763</v>
      </c>
      <c r="S14" s="109" t="s">
        <v>211</v>
      </c>
      <c r="T14" s="114" t="str">
        <f ca="1">IF(AND('Inserimento dati'!$B$3=$H$2, Tabella3[[#This Row],[LUN]]="X"), "X",IF(AND('Inserimento dati'!$B$3=$I$2, Tabella3[[#This Row],[MAR]]="X"), "X", IF(AND('Inserimento dati'!$B$3=$J$2, Tabella3[[#This Row],[MER]]="X"), "X",IF(AND('Inserimento dati'!$B$3=$K$2, Tabella3[[#This Row],[GIO]]="X"), "X", IF(AND('Inserimento dati'!$B$3=$L$2, Tabella3[[#This Row],[VEN]]="X"), "X","")))))</f>
        <v/>
      </c>
      <c r="U14" s="147" t="str">
        <f t="shared" ca="1" si="0"/>
        <v/>
      </c>
      <c r="V14" s="187">
        <v>45930.833333333336</v>
      </c>
    </row>
    <row r="15" spans="1:22" s="19" customFormat="1" ht="23.25" x14ac:dyDescent="0.2">
      <c r="A15" s="112"/>
      <c r="B15" s="112" t="str">
        <f t="shared" si="1"/>
        <v>X</v>
      </c>
      <c r="C15" s="112" t="str">
        <f>IF(OR(Tabella3[[#This Row],[LUN]]="X",Tabella3[[#This Row],[MAR]]="X",Tabella3[[#This Row],[MER]]="X",Tabella3[[#This Row],[GIO]]="X",Tabella3[[#This Row],[VEN]]="X",),"X","")</f>
        <v/>
      </c>
      <c r="D15" s="113" t="s">
        <v>87</v>
      </c>
      <c r="E15" s="109" t="s">
        <v>1615</v>
      </c>
      <c r="F15" s="109" t="s">
        <v>1616</v>
      </c>
      <c r="G15" s="109" t="s">
        <v>1785</v>
      </c>
      <c r="H15" s="111"/>
      <c r="I15" s="111"/>
      <c r="J15" s="111"/>
      <c r="K15" s="111"/>
      <c r="L15" s="111"/>
      <c r="M15" s="109" t="s">
        <v>1258</v>
      </c>
      <c r="N15" s="109"/>
      <c r="O15" s="109"/>
      <c r="P15" s="109"/>
      <c r="Q15" s="109" t="s">
        <v>1640</v>
      </c>
      <c r="R15" s="110">
        <v>45765</v>
      </c>
      <c r="S15" s="109" t="s">
        <v>239</v>
      </c>
      <c r="T15" s="114" t="str">
        <f ca="1">IF(AND('Inserimento dati'!$B$3=$H$2, Tabella3[[#This Row],[LUN]]="X"), "X",IF(AND('Inserimento dati'!$B$3=$I$2, Tabella3[[#This Row],[MAR]]="X"), "X", IF(AND('Inserimento dati'!$B$3=$J$2, Tabella3[[#This Row],[MER]]="X"), "X",IF(AND('Inserimento dati'!$B$3=$K$2, Tabella3[[#This Row],[GIO]]="X"), "X", IF(AND('Inserimento dati'!$B$3=$L$2, Tabella3[[#This Row],[VEN]]="X"), "X","")))))</f>
        <v/>
      </c>
      <c r="U15" s="147" t="str">
        <f t="shared" ca="1" si="0"/>
        <v xml:space="preserve"> 1800015</v>
      </c>
      <c r="V15" s="187">
        <v>45930.833333333336</v>
      </c>
    </row>
    <row r="16" spans="1:22" s="19" customFormat="1" ht="30" x14ac:dyDescent="0.2">
      <c r="A16" s="112"/>
      <c r="B16" s="112" t="str">
        <f t="shared" si="1"/>
        <v>X</v>
      </c>
      <c r="C16" s="112" t="str">
        <f>IF(OR(Tabella3[[#This Row],[LUN]]="X",Tabella3[[#This Row],[MAR]]="X",Tabella3[[#This Row],[MER]]="X",Tabella3[[#This Row],[GIO]]="X",Tabella3[[#This Row],[VEN]]="X",),"X","")</f>
        <v/>
      </c>
      <c r="D16" s="113" t="s">
        <v>87</v>
      </c>
      <c r="E16" s="109" t="s">
        <v>1626</v>
      </c>
      <c r="F16" s="109">
        <v>1200</v>
      </c>
      <c r="G16" s="109" t="s">
        <v>1786</v>
      </c>
      <c r="H16" s="111"/>
      <c r="I16" s="111"/>
      <c r="J16" s="111"/>
      <c r="K16" s="111"/>
      <c r="L16" s="111"/>
      <c r="M16" s="109" t="s">
        <v>1258</v>
      </c>
      <c r="N16" s="109"/>
      <c r="O16" s="109"/>
      <c r="P16" s="109"/>
      <c r="Q16" s="109" t="s">
        <v>1640</v>
      </c>
      <c r="R16" s="110">
        <v>45796</v>
      </c>
      <c r="S16" s="109" t="s">
        <v>206</v>
      </c>
      <c r="T16" s="114" t="str">
        <f ca="1">IF(AND('Inserimento dati'!$B$3=$H$2, Tabella3[[#This Row],[LUN]]="X"), "X",IF(AND('Inserimento dati'!$B$3=$I$2, Tabella3[[#This Row],[MAR]]="X"), "X", IF(AND('Inserimento dati'!$B$3=$J$2, Tabella3[[#This Row],[MER]]="X"), "X",IF(AND('Inserimento dati'!$B$3=$K$2, Tabella3[[#This Row],[GIO]]="X"), "X", IF(AND('Inserimento dati'!$B$3=$L$2, Tabella3[[#This Row],[VEN]]="X"), "X","")))))</f>
        <v/>
      </c>
      <c r="U16" s="147" t="str">
        <f t="shared" ca="1" si="0"/>
        <v/>
      </c>
      <c r="V16" s="187">
        <v>45930.833333333336</v>
      </c>
    </row>
    <row r="17" spans="1:22" s="19" customFormat="1" ht="23.25" x14ac:dyDescent="0.2">
      <c r="A17" s="112"/>
      <c r="B17" s="112" t="str">
        <f t="shared" si="1"/>
        <v>X</v>
      </c>
      <c r="C17" s="112" t="str">
        <f>IF(OR(Tabella3[[#This Row],[LUN]]="X",Tabella3[[#This Row],[MAR]]="X",Tabella3[[#This Row],[MER]]="X",Tabella3[[#This Row],[GIO]]="X",Tabella3[[#This Row],[VEN]]="X",),"X","")</f>
        <v/>
      </c>
      <c r="D17" s="113" t="s">
        <v>87</v>
      </c>
      <c r="E17" s="109" t="s">
        <v>1629</v>
      </c>
      <c r="F17" s="109">
        <v>1200</v>
      </c>
      <c r="G17" s="109" t="s">
        <v>1787</v>
      </c>
      <c r="H17" s="111"/>
      <c r="I17" s="111"/>
      <c r="J17" s="111"/>
      <c r="K17" s="111"/>
      <c r="L17" s="111"/>
      <c r="M17" s="109" t="s">
        <v>1258</v>
      </c>
      <c r="N17" s="109"/>
      <c r="O17" s="109"/>
      <c r="P17" s="109"/>
      <c r="Q17" s="109" t="s">
        <v>1640</v>
      </c>
      <c r="R17" s="110">
        <v>45798</v>
      </c>
      <c r="S17" s="109" t="s">
        <v>239</v>
      </c>
      <c r="T17" s="114" t="str">
        <f ca="1">IF(AND('Inserimento dati'!$B$3=$H$2, Tabella3[[#This Row],[LUN]]="X"), "X",IF(AND('Inserimento dati'!$B$3=$I$2, Tabella3[[#This Row],[MAR]]="X"), "X", IF(AND('Inserimento dati'!$B$3=$J$2, Tabella3[[#This Row],[MER]]="X"), "X",IF(AND('Inserimento dati'!$B$3=$K$2, Tabella3[[#This Row],[GIO]]="X"), "X", IF(AND('Inserimento dati'!$B$3=$L$2, Tabella3[[#This Row],[VEN]]="X"), "X","")))))</f>
        <v/>
      </c>
      <c r="U17" s="147" t="str">
        <f t="shared" ca="1" si="0"/>
        <v/>
      </c>
      <c r="V17" s="187">
        <v>45930.833333333336</v>
      </c>
    </row>
    <row r="18" spans="1:22" s="19" customFormat="1" ht="23.25" x14ac:dyDescent="0.2">
      <c r="A18" s="112"/>
      <c r="B18" s="112" t="str">
        <f t="shared" si="1"/>
        <v>X</v>
      </c>
      <c r="C18" s="112" t="str">
        <f>IF(OR(Tabella3[[#This Row],[LUN]]="X",Tabella3[[#This Row],[MAR]]="X",Tabella3[[#This Row],[MER]]="X",Tabella3[[#This Row],[GIO]]="X",Tabella3[[#This Row],[VEN]]="X",),"X","")</f>
        <v/>
      </c>
      <c r="D18" s="113" t="s">
        <v>87</v>
      </c>
      <c r="E18" s="109" t="s">
        <v>1637</v>
      </c>
      <c r="F18" s="109">
        <v>1200</v>
      </c>
      <c r="G18" s="109" t="s">
        <v>1788</v>
      </c>
      <c r="H18" s="111"/>
      <c r="I18" s="111"/>
      <c r="J18" s="111"/>
      <c r="K18" s="111"/>
      <c r="L18" s="111"/>
      <c r="M18" s="109" t="s">
        <v>1258</v>
      </c>
      <c r="N18" s="109"/>
      <c r="O18" s="109"/>
      <c r="P18" s="109"/>
      <c r="Q18" s="109" t="s">
        <v>1640</v>
      </c>
      <c r="R18" s="110">
        <v>45807</v>
      </c>
      <c r="S18" s="109" t="s">
        <v>239</v>
      </c>
      <c r="T18" s="114" t="str">
        <f ca="1">IF(AND('Inserimento dati'!$B$3=$H$2, Tabella3[[#This Row],[LUN]]="X"), "X",IF(AND('Inserimento dati'!$B$3=$I$2, Tabella3[[#This Row],[MAR]]="X"), "X", IF(AND('Inserimento dati'!$B$3=$J$2, Tabella3[[#This Row],[MER]]="X"), "X",IF(AND('Inserimento dati'!$B$3=$K$2, Tabella3[[#This Row],[GIO]]="X"), "X", IF(AND('Inserimento dati'!$B$3=$L$2, Tabella3[[#This Row],[VEN]]="X"), "X","")))))</f>
        <v/>
      </c>
      <c r="U18" s="147" t="str">
        <f t="shared" ca="1" si="0"/>
        <v/>
      </c>
      <c r="V18" s="187">
        <v>45930.833333333336</v>
      </c>
    </row>
    <row r="19" spans="1:22" s="19" customFormat="1" ht="30" x14ac:dyDescent="0.2">
      <c r="A19" s="112"/>
      <c r="B19" s="112">
        <v>3</v>
      </c>
      <c r="C19" s="112" t="str">
        <f>IF(OR(Tabella3[[#This Row],[LUN]]="X",Tabella3[[#This Row],[MAR]]="X",Tabella3[[#This Row],[MER]]="X",Tabella3[[#This Row],[GIO]]="X",Tabella3[[#This Row],[VEN]]="X",),"X","")</f>
        <v/>
      </c>
      <c r="D19" s="113" t="s">
        <v>87</v>
      </c>
      <c r="E19" s="109" t="s">
        <v>1524</v>
      </c>
      <c r="F19" s="109">
        <v>700</v>
      </c>
      <c r="G19" s="109" t="s">
        <v>1789</v>
      </c>
      <c r="H19" s="111"/>
      <c r="I19" s="111"/>
      <c r="J19" s="111"/>
      <c r="K19" s="111"/>
      <c r="L19" s="111"/>
      <c r="M19" s="109" t="s">
        <v>1258</v>
      </c>
      <c r="N19" s="109"/>
      <c r="O19" s="109"/>
      <c r="P19" s="109"/>
      <c r="Q19" s="109" t="s">
        <v>1640</v>
      </c>
      <c r="R19" s="110">
        <v>45811</v>
      </c>
      <c r="S19" s="109" t="s">
        <v>1496</v>
      </c>
      <c r="T19" s="114" t="str">
        <f ca="1">IF(AND('Inserimento dati'!$B$3=$H$2, Tabella3[[#This Row],[LUN]]="X"), "X",IF(AND('Inserimento dati'!$B$3=$I$2, Tabella3[[#This Row],[MAR]]="X"), "X", IF(AND('Inserimento dati'!$B$3=$J$2, Tabella3[[#This Row],[MER]]="X"), "X",IF(AND('Inserimento dati'!$B$3=$K$2, Tabella3[[#This Row],[GIO]]="X"), "X", IF(AND('Inserimento dati'!$B$3=$L$2, Tabella3[[#This Row],[VEN]]="X"), "X","")))))</f>
        <v/>
      </c>
      <c r="U19" s="147" t="str">
        <f t="shared" ca="1" si="0"/>
        <v/>
      </c>
      <c r="V19" s="187">
        <v>45930.833333333336</v>
      </c>
    </row>
    <row r="20" spans="1:22" s="19" customFormat="1" ht="30" x14ac:dyDescent="0.2">
      <c r="A20" s="112"/>
      <c r="B20" s="112" t="s">
        <v>23</v>
      </c>
      <c r="C20" s="112" t="str">
        <f>IF(OR(Tabella3[[#This Row],[LUN]]="X",Tabella3[[#This Row],[MAR]]="X",Tabella3[[#This Row],[MER]]="X",Tabella3[[#This Row],[GIO]]="X",Tabella3[[#This Row],[VEN]]="X",),"X","")</f>
        <v/>
      </c>
      <c r="D20" s="113" t="s">
        <v>87</v>
      </c>
      <c r="E20" s="109" t="s">
        <v>1070</v>
      </c>
      <c r="F20" s="109" t="s">
        <v>88</v>
      </c>
      <c r="G20" s="109" t="s">
        <v>1790</v>
      </c>
      <c r="H20" s="111"/>
      <c r="I20" s="111"/>
      <c r="J20" s="111"/>
      <c r="K20" s="111"/>
      <c r="L20" s="111"/>
      <c r="M20" s="109" t="s">
        <v>1258</v>
      </c>
      <c r="N20" s="109"/>
      <c r="O20" s="109"/>
      <c r="P20" s="109"/>
      <c r="Q20" s="109" t="s">
        <v>1466</v>
      </c>
      <c r="R20" s="110">
        <v>45803</v>
      </c>
      <c r="S20" s="109" t="s">
        <v>50</v>
      </c>
      <c r="T20" s="112" t="str">
        <f ca="1">IF(AND('Inserimento dati'!$B$3=$H$2, Tabella3[[#This Row],[LUN]]="X"), "X",IF(AND('Inserimento dati'!$B$3=$I$2, Tabella3[[#This Row],[MAR]]="X"), "X", IF(AND('Inserimento dati'!$B$3=$J$2, Tabella3[[#This Row],[MER]]="X"), "X",IF(AND('Inserimento dati'!$B$3=$K$2, Tabella3[[#This Row],[GIO]]="X"), "X", IF(AND('Inserimento dati'!$B$3=$L$2, Tabella3[[#This Row],[VEN]]="X"), "X","")))))</f>
        <v/>
      </c>
      <c r="U20" s="157" t="str">
        <f t="shared" ca="1" si="0"/>
        <v xml:space="preserve"> 1021599</v>
      </c>
      <c r="V20" s="187">
        <v>45930.833333333336</v>
      </c>
    </row>
    <row r="21" spans="1:22" s="19" customFormat="1" ht="23.25" x14ac:dyDescent="0.2">
      <c r="A21" s="112"/>
      <c r="B21" s="112" t="s">
        <v>23</v>
      </c>
      <c r="C21" s="112" t="str">
        <f>IF(OR(Tabella3[[#This Row],[LUN]]="X",Tabella3[[#This Row],[MAR]]="X",Tabella3[[#This Row],[MER]]="X",Tabella3[[#This Row],[GIO]]="X",Tabella3[[#This Row],[VEN]]="X",),"X","")</f>
        <v/>
      </c>
      <c r="D21" s="113" t="s">
        <v>87</v>
      </c>
      <c r="E21" s="109" t="s">
        <v>1434</v>
      </c>
      <c r="F21" s="109">
        <v>1400</v>
      </c>
      <c r="G21" s="109" t="s">
        <v>1791</v>
      </c>
      <c r="H21" s="111"/>
      <c r="I21" s="111"/>
      <c r="J21" s="111"/>
      <c r="K21" s="111"/>
      <c r="L21" s="111"/>
      <c r="M21" s="109" t="s">
        <v>1258</v>
      </c>
      <c r="N21" s="109"/>
      <c r="O21" s="109"/>
      <c r="P21" s="109"/>
      <c r="Q21" s="109" t="s">
        <v>1428</v>
      </c>
      <c r="R21" s="110">
        <v>45797</v>
      </c>
      <c r="S21" s="109" t="s">
        <v>211</v>
      </c>
      <c r="T21" s="69" t="str">
        <f ca="1">IF(AND('Inserimento dati'!$B$3=$H$2, Tabella3[[#This Row],[LUN]]="X"), "X",IF(AND('Inserimento dati'!$B$3=$I$2, Tabella3[[#This Row],[MAR]]="X"), "X", IF(AND('Inserimento dati'!$B$3=$J$2, Tabella3[[#This Row],[MER]]="X"), "X",IF(AND('Inserimento dati'!$B$3=$K$2, Tabella3[[#This Row],[GIO]]="X"), "X", IF(AND('Inserimento dati'!$B$3=$L$2, Tabella3[[#This Row],[VEN]]="X"), "X","")))))</f>
        <v/>
      </c>
      <c r="U21" s="147" t="str">
        <f t="shared" ca="1" si="0"/>
        <v/>
      </c>
      <c r="V21" s="187">
        <v>45930.833333333336</v>
      </c>
    </row>
    <row r="22" spans="1:22" s="19" customFormat="1" ht="23.25" x14ac:dyDescent="0.2">
      <c r="A22" s="112"/>
      <c r="B22" s="112" t="s">
        <v>23</v>
      </c>
      <c r="C22" s="112" t="str">
        <f>IF(OR(Tabella3[[#This Row],[LUN]]="X",Tabella3[[#This Row],[MAR]]="X",Tabella3[[#This Row],[MER]]="X",Tabella3[[#This Row],[GIO]]="X",Tabella3[[#This Row],[VEN]]="X",),"X","")</f>
        <v/>
      </c>
      <c r="D22" s="113" t="s">
        <v>87</v>
      </c>
      <c r="E22" s="109" t="s">
        <v>1380</v>
      </c>
      <c r="F22" s="109">
        <v>1400</v>
      </c>
      <c r="G22" s="109" t="s">
        <v>1792</v>
      </c>
      <c r="H22" s="111"/>
      <c r="I22" s="111"/>
      <c r="J22" s="111"/>
      <c r="K22" s="111"/>
      <c r="L22" s="111"/>
      <c r="M22" s="109" t="s">
        <v>1258</v>
      </c>
      <c r="N22" s="109"/>
      <c r="O22" s="109"/>
      <c r="P22" s="109"/>
      <c r="Q22" s="109" t="s">
        <v>1425</v>
      </c>
      <c r="R22" s="110">
        <v>45797</v>
      </c>
      <c r="S22" s="109" t="s">
        <v>203</v>
      </c>
      <c r="T22" s="67" t="str">
        <f ca="1">IF(AND('Inserimento dati'!$B$3=$H$2, Tabella3[[#This Row],[LUN]]="X"), "X",IF(AND('Inserimento dati'!$B$3=$I$2, Tabella3[[#This Row],[MAR]]="X"), "X", IF(AND('Inserimento dati'!$B$3=$J$2, Tabella3[[#This Row],[MER]]="X"), "X",IF(AND('Inserimento dati'!$B$3=$K$2, Tabella3[[#This Row],[GIO]]="X"), "X", IF(AND('Inserimento dati'!$B$3=$L$2, Tabella3[[#This Row],[VEN]]="X"), "X","")))))</f>
        <v/>
      </c>
      <c r="U22" s="147" t="str">
        <f t="shared" ca="1" si="0"/>
        <v/>
      </c>
      <c r="V22" s="187">
        <v>45930.833333333336</v>
      </c>
    </row>
    <row r="23" spans="1:22" s="19" customFormat="1" ht="45" x14ac:dyDescent="0.2">
      <c r="A23" s="112"/>
      <c r="B23" s="112" t="s">
        <v>23</v>
      </c>
      <c r="C23" s="112" t="str">
        <f>IF(OR(Tabella3[[#This Row],[LUN]]="X",Tabella3[[#This Row],[MAR]]="X",Tabella3[[#This Row],[MER]]="X",Tabella3[[#This Row],[GIO]]="X",Tabella3[[#This Row],[VEN]]="X",),"X","")</f>
        <v/>
      </c>
      <c r="D23" s="113" t="s">
        <v>87</v>
      </c>
      <c r="E23" s="109" t="s">
        <v>1347</v>
      </c>
      <c r="F23" s="109" t="s">
        <v>112</v>
      </c>
      <c r="G23" s="109" t="s">
        <v>1793</v>
      </c>
      <c r="H23" s="111"/>
      <c r="I23" s="111"/>
      <c r="J23" s="111"/>
      <c r="K23" s="111"/>
      <c r="L23" s="111"/>
      <c r="M23" s="109" t="s">
        <v>1258</v>
      </c>
      <c r="N23" s="109"/>
      <c r="O23" s="109"/>
      <c r="P23" s="109"/>
      <c r="Q23" s="109" t="s">
        <v>586</v>
      </c>
      <c r="R23" s="110">
        <v>45791</v>
      </c>
      <c r="S23" s="109" t="s">
        <v>1074</v>
      </c>
      <c r="T23" s="67" t="str">
        <f ca="1">IF(AND('Inserimento dati'!$B$3=$H$2, Tabella3[[#This Row],[LUN]]="X"), "X",IF(AND('Inserimento dati'!$B$3=$I$2, Tabella3[[#This Row],[MAR]]="X"), "X", IF(AND('Inserimento dati'!$B$3=$J$2, Tabella3[[#This Row],[MER]]="X"), "X",IF(AND('Inserimento dati'!$B$3=$K$2, Tabella3[[#This Row],[GIO]]="X"), "X", IF(AND('Inserimento dati'!$B$3=$L$2, Tabella3[[#This Row],[VEN]]="X"), "X","")))))</f>
        <v/>
      </c>
      <c r="U23" s="157" t="str">
        <f t="shared" ca="1" si="0"/>
        <v xml:space="preserve"> 1021368</v>
      </c>
      <c r="V23" s="187">
        <v>45930.833333333336</v>
      </c>
    </row>
    <row r="24" spans="1:22" s="19" customFormat="1" ht="30" x14ac:dyDescent="0.2">
      <c r="A24" s="112"/>
      <c r="B24" s="112">
        <v>1</v>
      </c>
      <c r="C24" s="112" t="str">
        <f>IF(OR(Tabella3[[#This Row],[LUN]]="X",Tabella3[[#This Row],[MAR]]="X",Tabella3[[#This Row],[MER]]="X",Tabella3[[#This Row],[GIO]]="X",Tabella3[[#This Row],[VEN]]="X",),"X","")</f>
        <v/>
      </c>
      <c r="D24" s="113" t="s">
        <v>87</v>
      </c>
      <c r="E24" s="109" t="s">
        <v>1435</v>
      </c>
      <c r="F24" s="109">
        <v>1400</v>
      </c>
      <c r="G24" s="109" t="s">
        <v>1794</v>
      </c>
      <c r="H24" s="111"/>
      <c r="I24" s="111"/>
      <c r="J24" s="111"/>
      <c r="K24" s="111"/>
      <c r="L24" s="111"/>
      <c r="M24" s="109" t="s">
        <v>1258</v>
      </c>
      <c r="N24" s="109"/>
      <c r="O24" s="109"/>
      <c r="P24" s="109"/>
      <c r="Q24" s="109" t="s">
        <v>232</v>
      </c>
      <c r="R24" s="110">
        <v>45797</v>
      </c>
      <c r="S24" s="109" t="s">
        <v>211</v>
      </c>
      <c r="T24" s="67" t="str">
        <f ca="1">IF(AND('Inserimento dati'!$B$3=$H$2, Tabella3[[#This Row],[LUN]]="X"), "X",IF(AND('Inserimento dati'!$B$3=$I$2, Tabella3[[#This Row],[MAR]]="X"), "X", IF(AND('Inserimento dati'!$B$3=$J$2, Tabella3[[#This Row],[MER]]="X"), "X",IF(AND('Inserimento dati'!$B$3=$K$2, Tabella3[[#This Row],[GIO]]="X"), "X", IF(AND('Inserimento dati'!$B$3=$L$2, Tabella3[[#This Row],[VEN]]="X"), "X","")))))</f>
        <v/>
      </c>
      <c r="U24" s="147" t="str">
        <f t="shared" ca="1" si="0"/>
        <v/>
      </c>
      <c r="V24" s="187">
        <v>45930.833333333336</v>
      </c>
    </row>
    <row r="25" spans="1:22" s="19" customFormat="1" ht="23.25" x14ac:dyDescent="0.2">
      <c r="A25" s="112"/>
      <c r="B25" s="112" t="s">
        <v>23</v>
      </c>
      <c r="C25" s="112" t="str">
        <f>IF(OR(Tabella3[[#This Row],[LUN]]="X",Tabella3[[#This Row],[MAR]]="X",Tabella3[[#This Row],[MER]]="X",Tabella3[[#This Row],[GIO]]="X",Tabella3[[#This Row],[VEN]]="X",),"X","")</f>
        <v/>
      </c>
      <c r="D25" s="113" t="s">
        <v>87</v>
      </c>
      <c r="E25" s="109" t="s">
        <v>1437</v>
      </c>
      <c r="F25" s="109">
        <v>1400</v>
      </c>
      <c r="G25" s="109" t="s">
        <v>1795</v>
      </c>
      <c r="H25" s="111"/>
      <c r="I25" s="111"/>
      <c r="J25" s="111"/>
      <c r="K25" s="111"/>
      <c r="L25" s="111"/>
      <c r="M25" s="109" t="s">
        <v>1258</v>
      </c>
      <c r="N25" s="109"/>
      <c r="O25" s="109"/>
      <c r="P25" s="109"/>
      <c r="Q25" s="109" t="s">
        <v>1449</v>
      </c>
      <c r="R25" s="110">
        <v>45797</v>
      </c>
      <c r="S25" s="109" t="s">
        <v>211</v>
      </c>
      <c r="T25" s="67" t="str">
        <f ca="1">IF(AND('Inserimento dati'!$B$3=$H$2, Tabella3[[#This Row],[LUN]]="X"), "X",IF(AND('Inserimento dati'!$B$3=$I$2, Tabella3[[#This Row],[MAR]]="X"), "X", IF(AND('Inserimento dati'!$B$3=$J$2, Tabella3[[#This Row],[MER]]="X"), "X",IF(AND('Inserimento dati'!$B$3=$K$2, Tabella3[[#This Row],[GIO]]="X"), "X", IF(AND('Inserimento dati'!$B$3=$L$2, Tabella3[[#This Row],[VEN]]="X"), "X","")))))</f>
        <v/>
      </c>
      <c r="U25" s="157" t="str">
        <f t="shared" ca="1" si="0"/>
        <v/>
      </c>
      <c r="V25" s="187">
        <v>45930.833333333336</v>
      </c>
    </row>
    <row r="26" spans="1:22" s="19" customFormat="1" ht="30" x14ac:dyDescent="0.2">
      <c r="A26" s="112"/>
      <c r="B26" s="112" t="str">
        <f t="shared" ref="B26:B37" si="2">IF(OR(A26="x",A26="X"),"",IF(ISBLANK(A26),"X",""))</f>
        <v>X</v>
      </c>
      <c r="C26" s="112" t="str">
        <f>IF(OR(Tabella3[[#This Row],[LUN]]="X",Tabella3[[#This Row],[MAR]]="X",Tabella3[[#This Row],[MER]]="X",Tabella3[[#This Row],[GIO]]="X",Tabella3[[#This Row],[VEN]]="X",),"X","")</f>
        <v/>
      </c>
      <c r="D26" s="113" t="s">
        <v>87</v>
      </c>
      <c r="E26" s="109" t="s">
        <v>833</v>
      </c>
      <c r="F26" s="109" t="s">
        <v>112</v>
      </c>
      <c r="G26" s="109" t="s">
        <v>1796</v>
      </c>
      <c r="H26" s="111"/>
      <c r="I26" s="111"/>
      <c r="J26" s="111"/>
      <c r="K26" s="111"/>
      <c r="L26" s="111"/>
      <c r="M26" s="109" t="s">
        <v>1258</v>
      </c>
      <c r="N26" s="109"/>
      <c r="O26" s="109"/>
      <c r="P26" s="109"/>
      <c r="Q26" s="109"/>
      <c r="R26" s="110"/>
      <c r="S26" s="109"/>
      <c r="T26" s="116" t="str">
        <f ca="1">IF(AND('Inserimento dati'!$B$3=$H$2, Tabella3[[#This Row],[LUN]]="X"), "X",IF(AND('Inserimento dati'!$B$3=$I$2, Tabella3[[#This Row],[MAR]]="X"), "X", IF(AND('Inserimento dati'!$B$3=$J$2, Tabella3[[#This Row],[MER]]="X"), "X",IF(AND('Inserimento dati'!$B$3=$K$2, Tabella3[[#This Row],[GIO]]="X"), "X", IF(AND('Inserimento dati'!$B$3=$L$2, Tabella3[[#This Row],[VEN]]="X"), "X","")))))</f>
        <v/>
      </c>
      <c r="U26" s="157" t="str">
        <f t="shared" ca="1" si="0"/>
        <v/>
      </c>
      <c r="V26" s="187">
        <v>45930.833333333336</v>
      </c>
    </row>
    <row r="27" spans="1:22" s="19" customFormat="1" ht="30" x14ac:dyDescent="0.2">
      <c r="A27" s="112"/>
      <c r="B27" s="112" t="str">
        <f t="shared" si="2"/>
        <v>X</v>
      </c>
      <c r="C27" s="112" t="str">
        <f>IF(OR(Tabella3[[#This Row],[LUN]]="X",Tabella3[[#This Row],[MAR]]="X",Tabella3[[#This Row],[MER]]="X",Tabella3[[#This Row],[GIO]]="X",Tabella3[[#This Row],[VEN]]="X",),"X","")</f>
        <v/>
      </c>
      <c r="D27" s="113" t="s">
        <v>87</v>
      </c>
      <c r="E27" s="109" t="s">
        <v>1063</v>
      </c>
      <c r="F27" s="109" t="s">
        <v>112</v>
      </c>
      <c r="G27" s="109" t="s">
        <v>1797</v>
      </c>
      <c r="H27" s="111"/>
      <c r="I27" s="111"/>
      <c r="J27" s="111"/>
      <c r="K27" s="111"/>
      <c r="L27" s="111"/>
      <c r="M27" s="109" t="s">
        <v>1258</v>
      </c>
      <c r="N27" s="109"/>
      <c r="O27" s="109"/>
      <c r="P27" s="109"/>
      <c r="Q27" s="109" t="s">
        <v>1103</v>
      </c>
      <c r="R27" s="110">
        <v>45754</v>
      </c>
      <c r="S27" s="109" t="s">
        <v>673</v>
      </c>
      <c r="T27" s="116" t="str">
        <f ca="1">IF(AND('Inserimento dati'!$B$3=$H$2, Tabella3[[#This Row],[LUN]]="X"), "X",IF(AND('Inserimento dati'!$B$3=$I$2, Tabella3[[#This Row],[MAR]]="X"), "X", IF(AND('Inserimento dati'!$B$3=$J$2, Tabella3[[#This Row],[MER]]="X"), "X",IF(AND('Inserimento dati'!$B$3=$K$2, Tabella3[[#This Row],[GIO]]="X"), "X", IF(AND('Inserimento dati'!$B$3=$L$2, Tabella3[[#This Row],[VEN]]="X"), "X","")))))</f>
        <v/>
      </c>
      <c r="U27" s="157" t="str">
        <f t="shared" ca="1" si="0"/>
        <v/>
      </c>
      <c r="V27" s="187">
        <v>45930.833333333336</v>
      </c>
    </row>
    <row r="28" spans="1:22" s="19" customFormat="1" ht="30" x14ac:dyDescent="0.2">
      <c r="A28" s="112"/>
      <c r="B28" s="112" t="str">
        <f t="shared" si="2"/>
        <v>X</v>
      </c>
      <c r="C28" s="112" t="str">
        <f>IF(OR(Tabella3[[#This Row],[LUN]]="X",Tabella3[[#This Row],[MAR]]="X",Tabella3[[#This Row],[MER]]="X",Tabella3[[#This Row],[GIO]]="X",Tabella3[[#This Row],[VEN]]="X",),"X","")</f>
        <v/>
      </c>
      <c r="D28" s="113" t="s">
        <v>87</v>
      </c>
      <c r="E28" s="109" t="s">
        <v>1054</v>
      </c>
      <c r="F28" s="109">
        <v>1400</v>
      </c>
      <c r="G28" s="109" t="s">
        <v>1798</v>
      </c>
      <c r="H28" s="111"/>
      <c r="I28" s="111"/>
      <c r="J28" s="111"/>
      <c r="K28" s="111"/>
      <c r="L28" s="111"/>
      <c r="M28" s="109" t="s">
        <v>1258</v>
      </c>
      <c r="N28" s="109"/>
      <c r="O28" s="109"/>
      <c r="P28" s="109"/>
      <c r="Q28" s="109"/>
      <c r="R28" s="110"/>
      <c r="S28" s="109"/>
      <c r="T28" s="116" t="str">
        <f ca="1">IF(AND('Inserimento dati'!$B$3=$H$2, Tabella3[[#This Row],[LUN]]="X"), "X",IF(AND('Inserimento dati'!$B$3=$I$2, Tabella3[[#This Row],[MAR]]="X"), "X", IF(AND('Inserimento dati'!$B$3=$J$2, Tabella3[[#This Row],[MER]]="X"), "X",IF(AND('Inserimento dati'!$B$3=$K$2, Tabella3[[#This Row],[GIO]]="X"), "X", IF(AND('Inserimento dati'!$B$3=$L$2, Tabella3[[#This Row],[VEN]]="X"), "X","")))))</f>
        <v/>
      </c>
      <c r="U28" s="157" t="str">
        <f t="shared" ca="1" si="0"/>
        <v/>
      </c>
      <c r="V28" s="187">
        <v>45930.833333333336</v>
      </c>
    </row>
    <row r="29" spans="1:22" s="19" customFormat="1" ht="23.25" x14ac:dyDescent="0.2">
      <c r="A29" s="112"/>
      <c r="B29" s="112" t="str">
        <f t="shared" si="2"/>
        <v>X</v>
      </c>
      <c r="C29" s="112" t="str">
        <f>IF(OR(Tabella3[[#This Row],[LUN]]="X",Tabella3[[#This Row],[MAR]]="X",Tabella3[[#This Row],[MER]]="X",Tabella3[[#This Row],[GIO]]="X",Tabella3[[#This Row],[VEN]]="X",),"X","")</f>
        <v/>
      </c>
      <c r="D29" s="113" t="s">
        <v>87</v>
      </c>
      <c r="E29" s="109" t="s">
        <v>640</v>
      </c>
      <c r="F29" s="109">
        <v>1400</v>
      </c>
      <c r="G29" s="109" t="s">
        <v>1799</v>
      </c>
      <c r="H29" s="111"/>
      <c r="I29" s="111"/>
      <c r="J29" s="111"/>
      <c r="K29" s="111"/>
      <c r="L29" s="111"/>
      <c r="M29" s="109" t="s">
        <v>1258</v>
      </c>
      <c r="N29" s="109"/>
      <c r="O29" s="109"/>
      <c r="P29" s="109"/>
      <c r="Q29" s="109" t="s">
        <v>914</v>
      </c>
      <c r="R29" s="110">
        <v>45729</v>
      </c>
      <c r="S29" s="110" t="s">
        <v>206</v>
      </c>
      <c r="T29" s="116" t="str">
        <f ca="1">IF(AND('Inserimento dati'!$B$3=$H$2, Tabella3[[#This Row],[LUN]]="X"), "X",IF(AND('Inserimento dati'!$B$3=$I$2, Tabella3[[#This Row],[MAR]]="X"), "X", IF(AND('Inserimento dati'!$B$3=$J$2, Tabella3[[#This Row],[MER]]="X"), "X",IF(AND('Inserimento dati'!$B$3=$K$2, Tabella3[[#This Row],[GIO]]="X"), "X", IF(AND('Inserimento dati'!$B$3=$L$2, Tabella3[[#This Row],[VEN]]="X"), "X","")))))</f>
        <v/>
      </c>
      <c r="U29" s="157" t="str">
        <f t="shared" ca="1" si="0"/>
        <v/>
      </c>
      <c r="V29" s="187">
        <v>45930.833333333336</v>
      </c>
    </row>
    <row r="30" spans="1:22" s="19" customFormat="1" ht="23.25" x14ac:dyDescent="0.2">
      <c r="A30" s="112"/>
      <c r="B30" s="112" t="str">
        <f t="shared" si="2"/>
        <v>X</v>
      </c>
      <c r="C30" s="112" t="str">
        <f>IF(OR(Tabella3[[#This Row],[LUN]]="X",Tabella3[[#This Row],[MAR]]="X",Tabella3[[#This Row],[MER]]="X",Tabella3[[#This Row],[GIO]]="X",Tabella3[[#This Row],[VEN]]="X",),"X","")</f>
        <v/>
      </c>
      <c r="D30" s="113" t="s">
        <v>87</v>
      </c>
      <c r="E30" s="109" t="s">
        <v>855</v>
      </c>
      <c r="F30" s="109">
        <v>1400</v>
      </c>
      <c r="G30" s="109" t="s">
        <v>1800</v>
      </c>
      <c r="H30" s="111"/>
      <c r="I30" s="111"/>
      <c r="J30" s="111"/>
      <c r="K30" s="111"/>
      <c r="L30" s="111"/>
      <c r="M30" s="109" t="s">
        <v>1258</v>
      </c>
      <c r="N30" s="109"/>
      <c r="O30" s="109"/>
      <c r="P30" s="109"/>
      <c r="Q30" s="109" t="s">
        <v>914</v>
      </c>
      <c r="R30" s="110">
        <v>45729</v>
      </c>
      <c r="S30" s="110" t="s">
        <v>206</v>
      </c>
      <c r="T30" s="112" t="str">
        <f ca="1">IF(AND('Inserimento dati'!$B$3=$H$2, Tabella3[[#This Row],[LUN]]="X"), "X",IF(AND('Inserimento dati'!$B$3=$I$2, Tabella3[[#This Row],[MAR]]="X"), "X", IF(AND('Inserimento dati'!$B$3=$J$2, Tabella3[[#This Row],[MER]]="X"), "X",IF(AND('Inserimento dati'!$B$3=$K$2, Tabella3[[#This Row],[GIO]]="X"), "X", IF(AND('Inserimento dati'!$B$3=$L$2, Tabella3[[#This Row],[VEN]]="X"), "X","")))))</f>
        <v/>
      </c>
      <c r="U30" s="157" t="str">
        <f t="shared" ca="1" si="0"/>
        <v/>
      </c>
      <c r="V30" s="187">
        <v>45930.833333333336</v>
      </c>
    </row>
    <row r="31" spans="1:22" s="19" customFormat="1" ht="30" x14ac:dyDescent="0.2">
      <c r="A31" s="112"/>
      <c r="B31" s="112" t="str">
        <f t="shared" si="2"/>
        <v>X</v>
      </c>
      <c r="C31" s="112" t="str">
        <f>IF(OR(Tabella3[[#This Row],[LUN]]="X",Tabella3[[#This Row],[MAR]]="X",Tabella3[[#This Row],[MER]]="X",Tabella3[[#This Row],[GIO]]="X",Tabella3[[#This Row],[VEN]]="X",),"X","")</f>
        <v/>
      </c>
      <c r="D31" s="113" t="s">
        <v>87</v>
      </c>
      <c r="E31" s="109" t="s">
        <v>915</v>
      </c>
      <c r="F31" s="109">
        <v>1400</v>
      </c>
      <c r="G31" s="109" t="s">
        <v>1801</v>
      </c>
      <c r="H31" s="111"/>
      <c r="I31" s="111"/>
      <c r="J31" s="111"/>
      <c r="K31" s="111"/>
      <c r="L31" s="111"/>
      <c r="M31" s="109" t="s">
        <v>1258</v>
      </c>
      <c r="N31" s="109"/>
      <c r="O31" s="109"/>
      <c r="P31" s="109"/>
      <c r="Q31" s="109" t="s">
        <v>149</v>
      </c>
      <c r="R31" s="110">
        <v>45728</v>
      </c>
      <c r="S31" s="110" t="s">
        <v>206</v>
      </c>
      <c r="T31" s="116" t="str">
        <f ca="1">IF(AND('Inserimento dati'!$B$3=$H$2, Tabella3[[#This Row],[LUN]]="X"), "X",IF(AND('Inserimento dati'!$B$3=$I$2, Tabella3[[#This Row],[MAR]]="X"), "X", IF(AND('Inserimento dati'!$B$3=$J$2, Tabella3[[#This Row],[MER]]="X"), "X",IF(AND('Inserimento dati'!$B$3=$K$2, Tabella3[[#This Row],[GIO]]="X"), "X", IF(AND('Inserimento dati'!$B$3=$L$2, Tabella3[[#This Row],[VEN]]="X"), "X","")))))</f>
        <v/>
      </c>
      <c r="U31" s="157" t="str">
        <f t="shared" ca="1" si="0"/>
        <v/>
      </c>
      <c r="V31" s="187">
        <v>45930.833333333336</v>
      </c>
    </row>
    <row r="32" spans="1:22" s="19" customFormat="1" ht="23.25" x14ac:dyDescent="0.2">
      <c r="A32" s="112"/>
      <c r="B32" s="112" t="str">
        <f t="shared" si="2"/>
        <v>X</v>
      </c>
      <c r="C32" s="112" t="str">
        <f>IF(OR(Tabella3[[#This Row],[LUN]]="X",Tabella3[[#This Row],[MAR]]="X",Tabella3[[#This Row],[MER]]="X",Tabella3[[#This Row],[GIO]]="X",Tabella3[[#This Row],[VEN]]="X",),"X","")</f>
        <v/>
      </c>
      <c r="D32" s="113" t="s">
        <v>87</v>
      </c>
      <c r="E32" s="109" t="s">
        <v>857</v>
      </c>
      <c r="F32" s="109">
        <v>1400</v>
      </c>
      <c r="G32" s="109" t="s">
        <v>1802</v>
      </c>
      <c r="H32" s="111"/>
      <c r="I32" s="111"/>
      <c r="J32" s="111"/>
      <c r="K32" s="111"/>
      <c r="L32" s="111"/>
      <c r="M32" s="109" t="s">
        <v>1258</v>
      </c>
      <c r="N32" s="109"/>
      <c r="O32" s="109"/>
      <c r="P32" s="109"/>
      <c r="Q32" s="109" t="s">
        <v>149</v>
      </c>
      <c r="R32" s="110">
        <v>45728</v>
      </c>
      <c r="S32" s="110" t="s">
        <v>206</v>
      </c>
      <c r="T32" s="112" t="str">
        <f ca="1">IF(AND('Inserimento dati'!$B$3=$H$2, Tabella3[[#This Row],[LUN]]="X"), "X",IF(AND('Inserimento dati'!$B$3=$I$2, Tabella3[[#This Row],[MAR]]="X"), "X", IF(AND('Inserimento dati'!$B$3=$J$2, Tabella3[[#This Row],[MER]]="X"), "X",IF(AND('Inserimento dati'!$B$3=$K$2, Tabella3[[#This Row],[GIO]]="X"), "X", IF(AND('Inserimento dati'!$B$3=$L$2, Tabella3[[#This Row],[VEN]]="X"), "X","")))))</f>
        <v/>
      </c>
      <c r="U32" s="157" t="str">
        <f t="shared" ca="1" si="0"/>
        <v/>
      </c>
      <c r="V32" s="187">
        <v>45930.833333333336</v>
      </c>
    </row>
    <row r="33" spans="1:22" s="19" customFormat="1" ht="23.25" x14ac:dyDescent="0.2">
      <c r="A33" s="112"/>
      <c r="B33" s="112" t="str">
        <f t="shared" si="2"/>
        <v>X</v>
      </c>
      <c r="C33" s="112" t="str">
        <f>IF(OR(Tabella3[[#This Row],[LUN]]="X",Tabella3[[#This Row],[MAR]]="X",Tabella3[[#This Row],[MER]]="X",Tabella3[[#This Row],[GIO]]="X",Tabella3[[#This Row],[VEN]]="X",),"X","")</f>
        <v/>
      </c>
      <c r="D33" s="113" t="s">
        <v>87</v>
      </c>
      <c r="E33" s="109" t="s">
        <v>858</v>
      </c>
      <c r="F33" s="109">
        <v>1400</v>
      </c>
      <c r="G33" s="109" t="s">
        <v>1803</v>
      </c>
      <c r="H33" s="111"/>
      <c r="I33" s="111"/>
      <c r="J33" s="111"/>
      <c r="K33" s="111"/>
      <c r="L33" s="111"/>
      <c r="M33" s="109" t="s">
        <v>1258</v>
      </c>
      <c r="N33" s="109"/>
      <c r="O33" s="109"/>
      <c r="P33" s="109"/>
      <c r="Q33" s="109" t="s">
        <v>149</v>
      </c>
      <c r="R33" s="110">
        <v>45728</v>
      </c>
      <c r="S33" s="110" t="s">
        <v>206</v>
      </c>
      <c r="T33" s="112" t="str">
        <f ca="1">IF(AND('Inserimento dati'!$B$3=$H$2, Tabella3[[#This Row],[LUN]]="X"), "X",IF(AND('Inserimento dati'!$B$3=$I$2, Tabella3[[#This Row],[MAR]]="X"), "X", IF(AND('Inserimento dati'!$B$3=$J$2, Tabella3[[#This Row],[MER]]="X"), "X",IF(AND('Inserimento dati'!$B$3=$K$2, Tabella3[[#This Row],[GIO]]="X"), "X", IF(AND('Inserimento dati'!$B$3=$L$2, Tabella3[[#This Row],[VEN]]="X"), "X","")))))</f>
        <v/>
      </c>
      <c r="U33" s="157" t="str">
        <f t="shared" ca="1" si="0"/>
        <v/>
      </c>
      <c r="V33" s="187">
        <v>45930.833333333336</v>
      </c>
    </row>
    <row r="34" spans="1:22" s="19" customFormat="1" ht="23.25" x14ac:dyDescent="0.2">
      <c r="A34" s="112"/>
      <c r="B34" s="112" t="str">
        <f t="shared" si="2"/>
        <v>X</v>
      </c>
      <c r="C34" s="112" t="str">
        <f>IF(OR(Tabella3[[#This Row],[LUN]]="X",Tabella3[[#This Row],[MAR]]="X",Tabella3[[#This Row],[MER]]="X",Tabella3[[#This Row],[GIO]]="X",Tabella3[[#This Row],[VEN]]="X",),"X","")</f>
        <v/>
      </c>
      <c r="D34" s="113" t="s">
        <v>87</v>
      </c>
      <c r="E34" s="109" t="s">
        <v>854</v>
      </c>
      <c r="F34" s="109">
        <v>1400</v>
      </c>
      <c r="G34" s="109" t="s">
        <v>1804</v>
      </c>
      <c r="H34" s="111"/>
      <c r="I34" s="111"/>
      <c r="J34" s="111"/>
      <c r="K34" s="111"/>
      <c r="L34" s="111"/>
      <c r="M34" s="109" t="s">
        <v>1258</v>
      </c>
      <c r="N34" s="109"/>
      <c r="O34" s="109"/>
      <c r="P34" s="109"/>
      <c r="Q34" s="109" t="s">
        <v>910</v>
      </c>
      <c r="R34" s="110">
        <v>45728</v>
      </c>
      <c r="S34" s="110" t="s">
        <v>206</v>
      </c>
      <c r="T34" s="112" t="str">
        <f ca="1">IF(AND('Inserimento dati'!$B$3=$H$2, Tabella3[[#This Row],[LUN]]="X"), "X",IF(AND('Inserimento dati'!$B$3=$I$2, Tabella3[[#This Row],[MAR]]="X"), "X", IF(AND('Inserimento dati'!$B$3=$J$2, Tabella3[[#This Row],[MER]]="X"), "X",IF(AND('Inserimento dati'!$B$3=$K$2, Tabella3[[#This Row],[GIO]]="X"), "X", IF(AND('Inserimento dati'!$B$3=$L$2, Tabella3[[#This Row],[VEN]]="X"), "X","")))))</f>
        <v/>
      </c>
      <c r="U34" s="157" t="str">
        <f t="shared" ca="1" si="0"/>
        <v/>
      </c>
      <c r="V34" s="187">
        <v>45930.833333333336</v>
      </c>
    </row>
    <row r="35" spans="1:22" s="19" customFormat="1" ht="23.25" x14ac:dyDescent="0.2">
      <c r="A35" s="112"/>
      <c r="B35" s="112" t="str">
        <f t="shared" si="2"/>
        <v>X</v>
      </c>
      <c r="C35" s="112" t="str">
        <f>IF(OR(Tabella3[[#This Row],[LUN]]="X",Tabella3[[#This Row],[MAR]]="X",Tabella3[[#This Row],[MER]]="X",Tabella3[[#This Row],[GIO]]="X",Tabella3[[#This Row],[VEN]]="X",),"X","")</f>
        <v/>
      </c>
      <c r="D35" s="113" t="s">
        <v>87</v>
      </c>
      <c r="E35" s="109" t="s">
        <v>856</v>
      </c>
      <c r="F35" s="109">
        <v>1400</v>
      </c>
      <c r="G35" s="109" t="s">
        <v>1805</v>
      </c>
      <c r="H35" s="111"/>
      <c r="I35" s="111"/>
      <c r="J35" s="111"/>
      <c r="K35" s="111"/>
      <c r="L35" s="111"/>
      <c r="M35" s="109" t="s">
        <v>1258</v>
      </c>
      <c r="N35" s="109"/>
      <c r="O35" s="109"/>
      <c r="P35" s="109"/>
      <c r="Q35" s="109" t="s">
        <v>149</v>
      </c>
      <c r="R35" s="110">
        <v>45728</v>
      </c>
      <c r="S35" s="110" t="s">
        <v>206</v>
      </c>
      <c r="T35" s="112" t="str">
        <f ca="1">IF(AND('Inserimento dati'!$B$3=$H$2, Tabella3[[#This Row],[LUN]]="X"), "X",IF(AND('Inserimento dati'!$B$3=$I$2, Tabella3[[#This Row],[MAR]]="X"), "X", IF(AND('Inserimento dati'!$B$3=$J$2, Tabella3[[#This Row],[MER]]="X"), "X",IF(AND('Inserimento dati'!$B$3=$K$2, Tabella3[[#This Row],[GIO]]="X"), "X", IF(AND('Inserimento dati'!$B$3=$L$2, Tabella3[[#This Row],[VEN]]="X"), "X","")))))</f>
        <v/>
      </c>
      <c r="U35" s="157" t="str">
        <f t="shared" ca="1" si="0"/>
        <v/>
      </c>
      <c r="V35" s="187">
        <v>45930.833333333336</v>
      </c>
    </row>
    <row r="36" spans="1:22" s="19" customFormat="1" ht="23.25" x14ac:dyDescent="0.2">
      <c r="A36" s="112"/>
      <c r="B36" s="112" t="str">
        <f t="shared" si="2"/>
        <v>X</v>
      </c>
      <c r="C36" s="112" t="str">
        <f>IF(OR(Tabella3[[#This Row],[LUN]]="X",Tabella3[[#This Row],[MAR]]="X",Tabella3[[#This Row],[MER]]="X",Tabella3[[#This Row],[GIO]]="X",Tabella3[[#This Row],[VEN]]="X",),"X","")</f>
        <v/>
      </c>
      <c r="D36" s="113" t="s">
        <v>87</v>
      </c>
      <c r="E36" s="109" t="s">
        <v>859</v>
      </c>
      <c r="F36" s="109">
        <v>1400</v>
      </c>
      <c r="G36" s="109" t="s">
        <v>1806</v>
      </c>
      <c r="H36" s="111"/>
      <c r="I36" s="111"/>
      <c r="J36" s="111"/>
      <c r="K36" s="111"/>
      <c r="L36" s="111"/>
      <c r="M36" s="109" t="s">
        <v>1258</v>
      </c>
      <c r="N36" s="109"/>
      <c r="O36" s="109"/>
      <c r="P36" s="109"/>
      <c r="Q36" s="109" t="s">
        <v>149</v>
      </c>
      <c r="R36" s="110">
        <v>45729</v>
      </c>
      <c r="S36" s="110" t="s">
        <v>206</v>
      </c>
      <c r="T36" s="112" t="str">
        <f ca="1">IF(AND('Inserimento dati'!$B$3=$H$2, Tabella3[[#This Row],[LUN]]="X"), "X",IF(AND('Inserimento dati'!$B$3=$I$2, Tabella3[[#This Row],[MAR]]="X"), "X", IF(AND('Inserimento dati'!$B$3=$J$2, Tabella3[[#This Row],[MER]]="X"), "X",IF(AND('Inserimento dati'!$B$3=$K$2, Tabella3[[#This Row],[GIO]]="X"), "X", IF(AND('Inserimento dati'!$B$3=$L$2, Tabella3[[#This Row],[VEN]]="X"), "X","")))))</f>
        <v/>
      </c>
      <c r="U36" s="157" t="str">
        <f t="shared" ca="1" si="0"/>
        <v/>
      </c>
      <c r="V36" s="187">
        <v>45930.833333333336</v>
      </c>
    </row>
    <row r="37" spans="1:22" s="19" customFormat="1" ht="45" x14ac:dyDescent="0.2">
      <c r="A37" s="112"/>
      <c r="B37" s="112" t="str">
        <f t="shared" si="2"/>
        <v>X</v>
      </c>
      <c r="C37" s="112" t="str">
        <f>IF(OR(Tabella3[[#This Row],[LUN]]="X",Tabella3[[#This Row],[MAR]]="X",Tabella3[[#This Row],[MER]]="X",Tabella3[[#This Row],[GIO]]="X",Tabella3[[#This Row],[VEN]]="X",),"X","")</f>
        <v/>
      </c>
      <c r="D37" s="113" t="s">
        <v>87</v>
      </c>
      <c r="E37" s="109" t="s">
        <v>1274</v>
      </c>
      <c r="F37" s="109" t="s">
        <v>112</v>
      </c>
      <c r="G37" s="109" t="s">
        <v>1807</v>
      </c>
      <c r="H37" s="111"/>
      <c r="I37" s="111"/>
      <c r="J37" s="111"/>
      <c r="K37" s="111"/>
      <c r="L37" s="111"/>
      <c r="M37" s="109" t="s">
        <v>1258</v>
      </c>
      <c r="N37" s="109"/>
      <c r="O37" s="109"/>
      <c r="P37" s="109"/>
      <c r="Q37" s="109" t="s">
        <v>1138</v>
      </c>
      <c r="R37" s="110"/>
      <c r="S37" s="109"/>
      <c r="T37" s="116" t="str">
        <f ca="1">IF(AND('Inserimento dati'!$B$3=$H$2, Tabella3[[#This Row],[LUN]]="X"), "X",IF(AND('Inserimento dati'!$B$3=$I$2, Tabella3[[#This Row],[MAR]]="X"), "X", IF(AND('Inserimento dati'!$B$3=$J$2, Tabella3[[#This Row],[MER]]="X"), "X",IF(AND('Inserimento dati'!$B$3=$K$2, Tabella3[[#This Row],[GIO]]="X"), "X", IF(AND('Inserimento dati'!$B$3=$L$2, Tabella3[[#This Row],[VEN]]="X"), "X","")))))</f>
        <v/>
      </c>
      <c r="U37" s="157" t="str">
        <f t="shared" ca="1" si="0"/>
        <v/>
      </c>
      <c r="V37" s="187">
        <v>45930.833333333336</v>
      </c>
    </row>
    <row r="38" spans="1:22" s="19" customFormat="1" ht="45" x14ac:dyDescent="0.2">
      <c r="A38" s="112"/>
      <c r="B38" s="112" t="s">
        <v>23</v>
      </c>
      <c r="C38" s="112" t="str">
        <f>IF(OR(Tabella3[[#This Row],[LUN]]="X",Tabella3[[#This Row],[MAR]]="X",Tabella3[[#This Row],[MER]]="X",Tabella3[[#This Row],[GIO]]="X",Tabella3[[#This Row],[VEN]]="X",),"X","")</f>
        <v/>
      </c>
      <c r="D38" s="113" t="s">
        <v>87</v>
      </c>
      <c r="E38" s="109" t="s">
        <v>1351</v>
      </c>
      <c r="F38" s="109" t="s">
        <v>96</v>
      </c>
      <c r="G38" s="109" t="s">
        <v>1808</v>
      </c>
      <c r="H38" s="111"/>
      <c r="I38" s="111"/>
      <c r="J38" s="111"/>
      <c r="K38" s="111"/>
      <c r="L38" s="111"/>
      <c r="M38" s="109" t="s">
        <v>1258</v>
      </c>
      <c r="N38" s="109"/>
      <c r="O38" s="109"/>
      <c r="P38" s="109"/>
      <c r="Q38" s="109" t="s">
        <v>1352</v>
      </c>
      <c r="R38" s="110">
        <v>45790</v>
      </c>
      <c r="S38" s="109" t="s">
        <v>211</v>
      </c>
      <c r="T38" s="69" t="str">
        <f ca="1">IF(AND('Inserimento dati'!$B$3=$H$2, Tabella3[[#This Row],[LUN]]="X"), "X",IF(AND('Inserimento dati'!$B$3=$I$2, Tabella3[[#This Row],[MAR]]="X"), "X", IF(AND('Inserimento dati'!$B$3=$J$2, Tabella3[[#This Row],[MER]]="X"), "X",IF(AND('Inserimento dati'!$B$3=$K$2, Tabella3[[#This Row],[GIO]]="X"), "X", IF(AND('Inserimento dati'!$B$3=$L$2, Tabella3[[#This Row],[VEN]]="X"), "X","")))))</f>
        <v/>
      </c>
      <c r="U38" s="157" t="str">
        <f t="shared" ca="1" si="0"/>
        <v xml:space="preserve"> 1022357</v>
      </c>
      <c r="V38" s="187">
        <v>45930.833333333336</v>
      </c>
    </row>
    <row r="39" spans="1:22" s="19" customFormat="1" ht="23.25" x14ac:dyDescent="0.2">
      <c r="A39" s="112"/>
      <c r="B39" s="112" t="s">
        <v>23</v>
      </c>
      <c r="C39" s="112" t="str">
        <f>IF(OR(Tabella3[[#This Row],[LUN]]="X",Tabella3[[#This Row],[MAR]]="X",Tabella3[[#This Row],[MER]]="X",Tabella3[[#This Row],[GIO]]="X",Tabella3[[#This Row],[VEN]]="X",),"X","")</f>
        <v/>
      </c>
      <c r="D39" s="113" t="s">
        <v>87</v>
      </c>
      <c r="E39" s="109" t="s">
        <v>1314</v>
      </c>
      <c r="F39" s="109">
        <v>2200</v>
      </c>
      <c r="G39" s="109" t="s">
        <v>1809</v>
      </c>
      <c r="H39" s="111"/>
      <c r="I39" s="111"/>
      <c r="J39" s="111"/>
      <c r="K39" s="111"/>
      <c r="L39" s="111"/>
      <c r="M39" s="109" t="s">
        <v>1258</v>
      </c>
      <c r="N39" s="109"/>
      <c r="O39" s="109"/>
      <c r="P39" s="109"/>
      <c r="Q39" s="109" t="s">
        <v>1311</v>
      </c>
      <c r="R39" s="110">
        <v>45874</v>
      </c>
      <c r="S39" s="109" t="s">
        <v>211</v>
      </c>
      <c r="T39" s="69" t="str">
        <f ca="1">IF(AND('Inserimento dati'!$B$3=$H$2, Tabella3[[#This Row],[LUN]]="X"), "X",IF(AND('Inserimento dati'!$B$3=$I$2, Tabella3[[#This Row],[MAR]]="X"), "X", IF(AND('Inserimento dati'!$B$3=$J$2, Tabella3[[#This Row],[MER]]="X"), "X",IF(AND('Inserimento dati'!$B$3=$K$2, Tabella3[[#This Row],[GIO]]="X"), "X", IF(AND('Inserimento dati'!$B$3=$L$2, Tabella3[[#This Row],[VEN]]="X"), "X","")))))</f>
        <v/>
      </c>
      <c r="U39" s="157" t="str">
        <f t="shared" ca="1" si="0"/>
        <v/>
      </c>
      <c r="V39" s="187">
        <v>45930.833333333336</v>
      </c>
    </row>
    <row r="40" spans="1:22" s="19" customFormat="1" ht="30" x14ac:dyDescent="0.2">
      <c r="A40" s="112"/>
      <c r="B40" s="112" t="s">
        <v>23</v>
      </c>
      <c r="C40" s="112" t="str">
        <f>IF(OR(Tabella3[[#This Row],[LUN]]="X",Tabella3[[#This Row],[MAR]]="X",Tabella3[[#This Row],[MER]]="X",Tabella3[[#This Row],[GIO]]="X",Tabella3[[#This Row],[VEN]]="X",),"X","")</f>
        <v/>
      </c>
      <c r="D40" s="113" t="s">
        <v>87</v>
      </c>
      <c r="E40" s="109" t="s">
        <v>1254</v>
      </c>
      <c r="F40" s="109">
        <v>1100</v>
      </c>
      <c r="G40" s="109" t="s">
        <v>1810</v>
      </c>
      <c r="H40" s="111"/>
      <c r="I40" s="111"/>
      <c r="J40" s="111"/>
      <c r="K40" s="111"/>
      <c r="L40" s="111"/>
      <c r="M40" s="109" t="s">
        <v>1258</v>
      </c>
      <c r="N40" s="109"/>
      <c r="O40" s="109"/>
      <c r="P40" s="109"/>
      <c r="Q40" s="109" t="s">
        <v>1251</v>
      </c>
      <c r="R40" s="110">
        <v>45813</v>
      </c>
      <c r="S40" s="109" t="s">
        <v>137</v>
      </c>
      <c r="T40" s="116" t="str">
        <f ca="1">IF(AND('Inserimento dati'!$B$3=$H$2, Tabella3[[#This Row],[LUN]]="X"), "X",IF(AND('Inserimento dati'!$B$3=$I$2, Tabella3[[#This Row],[MAR]]="X"), "X", IF(AND('Inserimento dati'!$B$3=$J$2, Tabella3[[#This Row],[MER]]="X"), "X",IF(AND('Inserimento dati'!$B$3=$K$2, Tabella3[[#This Row],[GIO]]="X"), "X", IF(AND('Inserimento dati'!$B$3=$L$2, Tabella3[[#This Row],[VEN]]="X"), "X","")))))</f>
        <v/>
      </c>
      <c r="U40" s="157" t="str">
        <f t="shared" ca="1" si="0"/>
        <v xml:space="preserve"> 1022278</v>
      </c>
      <c r="V40" s="187">
        <v>45930.833333333336</v>
      </c>
    </row>
    <row r="41" spans="1:22" s="19" customFormat="1" ht="30" x14ac:dyDescent="0.2">
      <c r="A41" s="112"/>
      <c r="B41" s="112" t="s">
        <v>23</v>
      </c>
      <c r="C41" s="112" t="str">
        <f>IF(OR(Tabella3[[#This Row],[LUN]]="X",Tabella3[[#This Row],[MAR]]="X",Tabella3[[#This Row],[MER]]="X",Tabella3[[#This Row],[GIO]]="X",Tabella3[[#This Row],[VEN]]="X",),"X","")</f>
        <v/>
      </c>
      <c r="D41" s="113" t="s">
        <v>87</v>
      </c>
      <c r="E41" s="109" t="s">
        <v>1208</v>
      </c>
      <c r="F41" s="109" t="s">
        <v>96</v>
      </c>
      <c r="G41" s="109" t="s">
        <v>1811</v>
      </c>
      <c r="H41" s="111"/>
      <c r="I41" s="111"/>
      <c r="J41" s="111"/>
      <c r="K41" s="111"/>
      <c r="L41" s="111"/>
      <c r="M41" s="109" t="s">
        <v>1258</v>
      </c>
      <c r="N41" s="109"/>
      <c r="O41" s="109"/>
      <c r="P41" s="109"/>
      <c r="Q41" s="109" t="s">
        <v>1233</v>
      </c>
      <c r="R41" s="110">
        <v>45779</v>
      </c>
      <c r="S41" s="109" t="s">
        <v>1207</v>
      </c>
      <c r="T41" s="116" t="str">
        <f ca="1">IF(AND('Inserimento dati'!$B$3=$H$2, Tabella3[[#This Row],[LUN]]="X"), "X",IF(AND('Inserimento dati'!$B$3=$I$2, Tabella3[[#This Row],[MAR]]="X"), "X", IF(AND('Inserimento dati'!$B$3=$J$2, Tabella3[[#This Row],[MER]]="X"), "X",IF(AND('Inserimento dati'!$B$3=$K$2, Tabella3[[#This Row],[GIO]]="X"), "X", IF(AND('Inserimento dati'!$B$3=$L$2, Tabella3[[#This Row],[VEN]]="X"), "X","")))))</f>
        <v/>
      </c>
      <c r="U41" s="157" t="str">
        <f t="shared" ca="1" si="0"/>
        <v/>
      </c>
      <c r="V41" s="187">
        <v>45930.833333333336</v>
      </c>
    </row>
    <row r="42" spans="1:22" s="19" customFormat="1" ht="30" x14ac:dyDescent="0.2">
      <c r="A42" s="112"/>
      <c r="B42" s="112" t="str">
        <f t="shared" ref="B42:B73" si="3">IF(OR(A42="x",A42="X"),"",IF(ISBLANK(A42),"X",""))</f>
        <v>X</v>
      </c>
      <c r="C42" s="112" t="str">
        <f>IF(OR(Tabella3[[#This Row],[LUN]]="X",Tabella3[[#This Row],[MAR]]="X",Tabella3[[#This Row],[MER]]="X",Tabella3[[#This Row],[GIO]]="X",Tabella3[[#This Row],[VEN]]="X",),"X","")</f>
        <v/>
      </c>
      <c r="D42" s="113" t="s">
        <v>87</v>
      </c>
      <c r="E42" s="109" t="s">
        <v>1086</v>
      </c>
      <c r="F42" s="109">
        <v>1400</v>
      </c>
      <c r="G42" s="109" t="s">
        <v>1812</v>
      </c>
      <c r="H42" s="111"/>
      <c r="I42" s="111"/>
      <c r="J42" s="111"/>
      <c r="K42" s="111"/>
      <c r="L42" s="111"/>
      <c r="M42" s="109" t="s">
        <v>1258</v>
      </c>
      <c r="N42" s="109"/>
      <c r="O42" s="109"/>
      <c r="P42" s="109"/>
      <c r="Q42" s="109" t="s">
        <v>1053</v>
      </c>
      <c r="R42" s="110">
        <v>45756</v>
      </c>
      <c r="S42" s="109" t="s">
        <v>239</v>
      </c>
      <c r="T42" s="116" t="str">
        <f ca="1">IF(AND('Inserimento dati'!$B$3=$H$2, Tabella3[[#This Row],[LUN]]="X"), "X",IF(AND('Inserimento dati'!$B$3=$I$2, Tabella3[[#This Row],[MAR]]="X"), "X", IF(AND('Inserimento dati'!$B$3=$J$2, Tabella3[[#This Row],[MER]]="X"), "X",IF(AND('Inserimento dati'!$B$3=$K$2, Tabella3[[#This Row],[GIO]]="X"), "X", IF(AND('Inserimento dati'!$B$3=$L$2, Tabella3[[#This Row],[VEN]]="X"), "X","")))))</f>
        <v/>
      </c>
      <c r="U42" s="157" t="str">
        <f t="shared" ca="1" si="0"/>
        <v/>
      </c>
      <c r="V42" s="187">
        <v>45930.833333333336</v>
      </c>
    </row>
    <row r="43" spans="1:22" s="19" customFormat="1" ht="23.25" x14ac:dyDescent="0.2">
      <c r="A43" s="112"/>
      <c r="B43" s="112" t="str">
        <f t="shared" si="3"/>
        <v>X</v>
      </c>
      <c r="C43" s="112" t="str">
        <f>IF(OR(Tabella3[[#This Row],[LUN]]="X",Tabella3[[#This Row],[MAR]]="X",Tabella3[[#This Row],[MER]]="X",Tabella3[[#This Row],[GIO]]="X",Tabella3[[#This Row],[VEN]]="X",),"X","")</f>
        <v/>
      </c>
      <c r="D43" s="113" t="s">
        <v>87</v>
      </c>
      <c r="E43" s="109" t="s">
        <v>1229</v>
      </c>
      <c r="F43" s="109" t="s">
        <v>93</v>
      </c>
      <c r="G43" s="109" t="s">
        <v>1813</v>
      </c>
      <c r="H43" s="111"/>
      <c r="I43" s="111"/>
      <c r="J43" s="111"/>
      <c r="K43" s="111"/>
      <c r="L43" s="111"/>
      <c r="M43" s="109" t="s">
        <v>1258</v>
      </c>
      <c r="N43" s="109"/>
      <c r="O43" s="109"/>
      <c r="P43" s="109"/>
      <c r="Q43" s="109"/>
      <c r="R43" s="110">
        <v>45779</v>
      </c>
      <c r="S43" s="109"/>
      <c r="T43" s="116" t="str">
        <f ca="1">IF(AND('Inserimento dati'!$B$3=$H$2, Tabella3[[#This Row],[LUN]]="X"), "X",IF(AND('Inserimento dati'!$B$3=$I$2, Tabella3[[#This Row],[MAR]]="X"), "X", IF(AND('Inserimento dati'!$B$3=$J$2, Tabella3[[#This Row],[MER]]="X"), "X",IF(AND('Inserimento dati'!$B$3=$K$2, Tabella3[[#This Row],[GIO]]="X"), "X", IF(AND('Inserimento dati'!$B$3=$L$2, Tabella3[[#This Row],[VEN]]="X"), "X","")))))</f>
        <v/>
      </c>
      <c r="U43" s="157" t="str">
        <f t="shared" ca="1" si="0"/>
        <v xml:space="preserve"> 1022303</v>
      </c>
      <c r="V43" s="187">
        <v>45930.833333333336</v>
      </c>
    </row>
    <row r="44" spans="1:22" s="19" customFormat="1" ht="23.25" x14ac:dyDescent="0.2">
      <c r="A44" s="112"/>
      <c r="B44" s="112" t="str">
        <f t="shared" si="3"/>
        <v>X</v>
      </c>
      <c r="C44" s="112" t="str">
        <f>IF(OR(Tabella3[[#This Row],[LUN]]="X",Tabella3[[#This Row],[MAR]]="X",Tabella3[[#This Row],[MER]]="X",Tabella3[[#This Row],[GIO]]="X",Tabella3[[#This Row],[VEN]]="X",),"X","")</f>
        <v/>
      </c>
      <c r="D44" s="113" t="s">
        <v>87</v>
      </c>
      <c r="E44" s="109" t="s">
        <v>1230</v>
      </c>
      <c r="F44" s="109">
        <v>2200</v>
      </c>
      <c r="G44" s="109" t="s">
        <v>1814</v>
      </c>
      <c r="H44" s="111"/>
      <c r="I44" s="111"/>
      <c r="J44" s="111"/>
      <c r="K44" s="111"/>
      <c r="L44" s="111"/>
      <c r="M44" s="109" t="s">
        <v>1258</v>
      </c>
      <c r="N44" s="109"/>
      <c r="O44" s="109"/>
      <c r="P44" s="109"/>
      <c r="Q44" s="109" t="s">
        <v>1225</v>
      </c>
      <c r="R44" s="110">
        <v>45779</v>
      </c>
      <c r="S44" s="109" t="s">
        <v>203</v>
      </c>
      <c r="T44" s="116" t="str">
        <f ca="1">IF(AND('Inserimento dati'!$B$3=$H$2, Tabella3[[#This Row],[LUN]]="X"), "X",IF(AND('Inserimento dati'!$B$3=$I$2, Tabella3[[#This Row],[MAR]]="X"), "X", IF(AND('Inserimento dati'!$B$3=$J$2, Tabella3[[#This Row],[MER]]="X"), "X",IF(AND('Inserimento dati'!$B$3=$K$2, Tabella3[[#This Row],[GIO]]="X"), "X", IF(AND('Inserimento dati'!$B$3=$L$2, Tabella3[[#This Row],[VEN]]="X"), "X","")))))</f>
        <v/>
      </c>
      <c r="U44" s="157" t="str">
        <f t="shared" ca="1" si="0"/>
        <v/>
      </c>
      <c r="V44" s="187">
        <v>45930.833333333336</v>
      </c>
    </row>
    <row r="45" spans="1:22" s="19" customFormat="1" ht="30" x14ac:dyDescent="0.2">
      <c r="A45" s="112"/>
      <c r="B45" s="112" t="str">
        <f t="shared" si="3"/>
        <v>X</v>
      </c>
      <c r="C45" s="112" t="str">
        <f>IF(OR(Tabella3[[#This Row],[LUN]]="X",Tabella3[[#This Row],[MAR]]="X",Tabella3[[#This Row],[MER]]="X",Tabella3[[#This Row],[GIO]]="X",Tabella3[[#This Row],[VEN]]="X",),"X","")</f>
        <v/>
      </c>
      <c r="D45" s="113" t="s">
        <v>87</v>
      </c>
      <c r="E45" s="109" t="s">
        <v>1194</v>
      </c>
      <c r="F45" s="109" t="s">
        <v>96</v>
      </c>
      <c r="G45" s="109" t="s">
        <v>1815</v>
      </c>
      <c r="H45" s="111"/>
      <c r="I45" s="111"/>
      <c r="J45" s="111"/>
      <c r="K45" s="111"/>
      <c r="L45" s="111"/>
      <c r="M45" s="109" t="s">
        <v>1258</v>
      </c>
      <c r="N45" s="109"/>
      <c r="O45" s="109"/>
      <c r="P45" s="109"/>
      <c r="Q45" s="109" t="s">
        <v>1187</v>
      </c>
      <c r="R45" s="110">
        <v>45775</v>
      </c>
      <c r="S45" s="109" t="s">
        <v>102</v>
      </c>
      <c r="T45" s="116" t="str">
        <f ca="1">IF(AND('Inserimento dati'!$B$3=$H$2, Tabella3[[#This Row],[LUN]]="X"), "X",IF(AND('Inserimento dati'!$B$3=$I$2, Tabella3[[#This Row],[MAR]]="X"), "X", IF(AND('Inserimento dati'!$B$3=$J$2, Tabella3[[#This Row],[MER]]="X"), "X",IF(AND('Inserimento dati'!$B$3=$K$2, Tabella3[[#This Row],[GIO]]="X"), "X", IF(AND('Inserimento dati'!$B$3=$L$2, Tabella3[[#This Row],[VEN]]="X"), "X","")))))</f>
        <v/>
      </c>
      <c r="U45" s="157" t="str">
        <f t="shared" ca="1" si="0"/>
        <v xml:space="preserve"> 1022278</v>
      </c>
      <c r="V45" s="187">
        <v>45930.833333333336</v>
      </c>
    </row>
    <row r="46" spans="1:22" s="19" customFormat="1" ht="30" x14ac:dyDescent="0.2">
      <c r="A46" s="112"/>
      <c r="B46" s="112" t="str">
        <f t="shared" si="3"/>
        <v>X</v>
      </c>
      <c r="C46" s="112" t="str">
        <f>IF(OR(Tabella3[[#This Row],[LUN]]="X",Tabella3[[#This Row],[MAR]]="X",Tabella3[[#This Row],[MER]]="X",Tabella3[[#This Row],[GIO]]="X",Tabella3[[#This Row],[VEN]]="X",),"X","")</f>
        <v/>
      </c>
      <c r="D46" s="113" t="s">
        <v>87</v>
      </c>
      <c r="E46" s="109" t="s">
        <v>1178</v>
      </c>
      <c r="F46" s="109">
        <v>800</v>
      </c>
      <c r="G46" s="109" t="s">
        <v>1816</v>
      </c>
      <c r="H46" s="111"/>
      <c r="I46" s="111"/>
      <c r="J46" s="111"/>
      <c r="K46" s="111"/>
      <c r="L46" s="111"/>
      <c r="M46" s="109" t="s">
        <v>1258</v>
      </c>
      <c r="N46" s="109"/>
      <c r="O46" s="109"/>
      <c r="P46" s="109"/>
      <c r="Q46" s="109" t="s">
        <v>1188</v>
      </c>
      <c r="R46" s="110">
        <v>45775</v>
      </c>
      <c r="S46" s="109" t="s">
        <v>1189</v>
      </c>
      <c r="T46" s="116" t="str">
        <f ca="1">IF(AND('Inserimento dati'!$B$3=$H$2, Tabella3[[#This Row],[LUN]]="X"), "X",IF(AND('Inserimento dati'!$B$3=$I$2, Tabella3[[#This Row],[MAR]]="X"), "X", IF(AND('Inserimento dati'!$B$3=$J$2, Tabella3[[#This Row],[MER]]="X"), "X",IF(AND('Inserimento dati'!$B$3=$K$2, Tabella3[[#This Row],[GIO]]="X"), "X", IF(AND('Inserimento dati'!$B$3=$L$2, Tabella3[[#This Row],[VEN]]="X"), "X","")))))</f>
        <v/>
      </c>
      <c r="U46" s="157" t="str">
        <f t="shared" ca="1" si="0"/>
        <v xml:space="preserve"> 1022278</v>
      </c>
      <c r="V46" s="187">
        <v>45930.833333333336</v>
      </c>
    </row>
    <row r="47" spans="1:22" s="19" customFormat="1" ht="30" x14ac:dyDescent="0.2">
      <c r="A47" s="112"/>
      <c r="B47" s="112" t="str">
        <f t="shared" si="3"/>
        <v>X</v>
      </c>
      <c r="C47" s="112" t="str">
        <f>IF(OR(Tabella3[[#This Row],[LUN]]="X",Tabella3[[#This Row],[MAR]]="X",Tabella3[[#This Row],[MER]]="X",Tabella3[[#This Row],[GIO]]="X",Tabella3[[#This Row],[VEN]]="X",),"X","")</f>
        <v/>
      </c>
      <c r="D47" s="113" t="s">
        <v>87</v>
      </c>
      <c r="E47" s="109" t="s">
        <v>882</v>
      </c>
      <c r="F47" s="109">
        <v>1800</v>
      </c>
      <c r="G47" s="109" t="s">
        <v>1817</v>
      </c>
      <c r="H47" s="111"/>
      <c r="I47" s="111"/>
      <c r="J47" s="111"/>
      <c r="K47" s="111"/>
      <c r="L47" s="111"/>
      <c r="M47" s="109" t="s">
        <v>1258</v>
      </c>
      <c r="N47" s="109"/>
      <c r="O47" s="109"/>
      <c r="P47" s="109"/>
      <c r="Q47" s="109" t="s">
        <v>1190</v>
      </c>
      <c r="R47" s="110">
        <v>45775</v>
      </c>
      <c r="S47" s="109" t="s">
        <v>1186</v>
      </c>
      <c r="T47" s="116" t="str">
        <f ca="1">IF(AND('Inserimento dati'!$B$3=$H$2, Tabella3[[#This Row],[LUN]]="X"), "X",IF(AND('Inserimento dati'!$B$3=$I$2, Tabella3[[#This Row],[MAR]]="X"), "X", IF(AND('Inserimento dati'!$B$3=$J$2, Tabella3[[#This Row],[MER]]="X"), "X",IF(AND('Inserimento dati'!$B$3=$K$2, Tabella3[[#This Row],[GIO]]="X"), "X", IF(AND('Inserimento dati'!$B$3=$L$2, Tabella3[[#This Row],[VEN]]="X"), "X","")))))</f>
        <v/>
      </c>
      <c r="U47" s="157" t="str">
        <f t="shared" ca="1" si="0"/>
        <v xml:space="preserve"> 1021941</v>
      </c>
      <c r="V47" s="187">
        <v>45930.833333333336</v>
      </c>
    </row>
    <row r="48" spans="1:22" s="19" customFormat="1" ht="23.25" x14ac:dyDescent="0.2">
      <c r="A48" s="112"/>
      <c r="B48" s="112" t="str">
        <f t="shared" si="3"/>
        <v>X</v>
      </c>
      <c r="C48" s="112" t="str">
        <f>IF(OR(Tabella3[[#This Row],[LUN]]="X",Tabella3[[#This Row],[MAR]]="X",Tabella3[[#This Row],[MER]]="X",Tabella3[[#This Row],[GIO]]="X",Tabella3[[#This Row],[VEN]]="X",),"X","")</f>
        <v/>
      </c>
      <c r="D48" s="113" t="s">
        <v>87</v>
      </c>
      <c r="E48" s="109" t="s">
        <v>1168</v>
      </c>
      <c r="F48" s="109">
        <v>1800</v>
      </c>
      <c r="G48" s="109" t="s">
        <v>1818</v>
      </c>
      <c r="H48" s="111"/>
      <c r="I48" s="111"/>
      <c r="J48" s="111"/>
      <c r="K48" s="111"/>
      <c r="L48" s="111"/>
      <c r="M48" s="109" t="s">
        <v>1258</v>
      </c>
      <c r="N48" s="110"/>
      <c r="O48" s="110"/>
      <c r="P48" s="110"/>
      <c r="Q48" s="110" t="s">
        <v>1175</v>
      </c>
      <c r="R48" s="110">
        <v>45771</v>
      </c>
      <c r="S48" s="110" t="s">
        <v>203</v>
      </c>
      <c r="T48" s="116" t="str">
        <f ca="1">IF(AND('Inserimento dati'!$B$3=$H$2, Tabella3[[#This Row],[LUN]]="X"), "X",IF(AND('Inserimento dati'!$B$3=$I$2, Tabella3[[#This Row],[MAR]]="X"), "X", IF(AND('Inserimento dati'!$B$3=$J$2, Tabella3[[#This Row],[MER]]="X"), "X",IF(AND('Inserimento dati'!$B$3=$K$2, Tabella3[[#This Row],[GIO]]="X"), "X", IF(AND('Inserimento dati'!$B$3=$L$2, Tabella3[[#This Row],[VEN]]="X"), "X","")))))</f>
        <v/>
      </c>
      <c r="U48" s="157" t="str">
        <f t="shared" ca="1" si="0"/>
        <v/>
      </c>
      <c r="V48" s="187">
        <v>45930.833333333336</v>
      </c>
    </row>
    <row r="49" spans="1:22" s="19" customFormat="1" ht="23.25" x14ac:dyDescent="0.2">
      <c r="A49" s="112"/>
      <c r="B49" s="112" t="str">
        <f t="shared" si="3"/>
        <v>X</v>
      </c>
      <c r="C49" s="112" t="str">
        <f>IF(OR(Tabella3[[#This Row],[LUN]]="X",Tabella3[[#This Row],[MAR]]="X",Tabella3[[#This Row],[MER]]="X",Tabella3[[#This Row],[GIO]]="X",Tabella3[[#This Row],[VEN]]="X",),"X","")</f>
        <v/>
      </c>
      <c r="D49" s="113" t="s">
        <v>87</v>
      </c>
      <c r="E49" s="109" t="s">
        <v>928</v>
      </c>
      <c r="F49" s="109">
        <v>700</v>
      </c>
      <c r="G49" s="109" t="s">
        <v>1819</v>
      </c>
      <c r="H49" s="111"/>
      <c r="I49" s="111"/>
      <c r="J49" s="111"/>
      <c r="K49" s="111"/>
      <c r="L49" s="111"/>
      <c r="M49" s="109" t="s">
        <v>1258</v>
      </c>
      <c r="N49" s="109"/>
      <c r="O49" s="109"/>
      <c r="P49" s="109"/>
      <c r="Q49" s="109" t="s">
        <v>1174</v>
      </c>
      <c r="R49" s="110">
        <v>45771</v>
      </c>
      <c r="S49" s="109" t="s">
        <v>1153</v>
      </c>
      <c r="T49" s="116" t="str">
        <f ca="1">IF(AND('Inserimento dati'!$B$3=$H$2, Tabella3[[#This Row],[LUN]]="X"), "X",IF(AND('Inserimento dati'!$B$3=$I$2, Tabella3[[#This Row],[MAR]]="X"), "X", IF(AND('Inserimento dati'!$B$3=$J$2, Tabella3[[#This Row],[MER]]="X"), "X",IF(AND('Inserimento dati'!$B$3=$K$2, Tabella3[[#This Row],[GIO]]="X"), "X", IF(AND('Inserimento dati'!$B$3=$L$2, Tabella3[[#This Row],[VEN]]="X"), "X","")))))</f>
        <v/>
      </c>
      <c r="U49" s="157" t="str">
        <f t="shared" ca="1" si="0"/>
        <v xml:space="preserve"> 1021869</v>
      </c>
      <c r="V49" s="187">
        <v>45930.833333333336</v>
      </c>
    </row>
    <row r="50" spans="1:22" s="19" customFormat="1" ht="30" x14ac:dyDescent="0.2">
      <c r="A50" s="112"/>
      <c r="B50" s="112" t="str">
        <f t="shared" si="3"/>
        <v>X</v>
      </c>
      <c r="C50" s="112" t="str">
        <f>IF(OR(Tabella3[[#This Row],[LUN]]="X",Tabella3[[#This Row],[MAR]]="X",Tabella3[[#This Row],[MER]]="X",Tabella3[[#This Row],[GIO]]="X",Tabella3[[#This Row],[VEN]]="X",),"X","")</f>
        <v/>
      </c>
      <c r="D50" s="113" t="s">
        <v>87</v>
      </c>
      <c r="E50" s="109" t="s">
        <v>1144</v>
      </c>
      <c r="F50" s="109" t="s">
        <v>96</v>
      </c>
      <c r="G50" s="109" t="s">
        <v>1820</v>
      </c>
      <c r="H50" s="111"/>
      <c r="I50" s="111"/>
      <c r="J50" s="111"/>
      <c r="K50" s="111"/>
      <c r="L50" s="111"/>
      <c r="M50" s="109" t="s">
        <v>1258</v>
      </c>
      <c r="N50" s="109"/>
      <c r="O50" s="109"/>
      <c r="P50" s="109"/>
      <c r="Q50" s="109" t="s">
        <v>1152</v>
      </c>
      <c r="R50" s="110">
        <v>45770</v>
      </c>
      <c r="S50" s="109" t="s">
        <v>211</v>
      </c>
      <c r="T50" s="116" t="str">
        <f ca="1">IF(AND('Inserimento dati'!$B$3=$H$2, Tabella3[[#This Row],[LUN]]="X"), "X",IF(AND('Inserimento dati'!$B$3=$I$2, Tabella3[[#This Row],[MAR]]="X"), "X", IF(AND('Inserimento dati'!$B$3=$J$2, Tabella3[[#This Row],[MER]]="X"), "X",IF(AND('Inserimento dati'!$B$3=$K$2, Tabella3[[#This Row],[GIO]]="X"), "X", IF(AND('Inserimento dati'!$B$3=$L$2, Tabella3[[#This Row],[VEN]]="X"), "X","")))))</f>
        <v/>
      </c>
      <c r="U50" s="157" t="str">
        <f t="shared" ca="1" si="0"/>
        <v/>
      </c>
      <c r="V50" s="187">
        <v>45930.833333333336</v>
      </c>
    </row>
    <row r="51" spans="1:22" s="19" customFormat="1" ht="23.25" x14ac:dyDescent="0.2">
      <c r="A51" s="112"/>
      <c r="B51" s="112" t="str">
        <f t="shared" si="3"/>
        <v>X</v>
      </c>
      <c r="C51" s="112" t="str">
        <f>IF(OR(Tabella3[[#This Row],[LUN]]="X",Tabella3[[#This Row],[MAR]]="X",Tabella3[[#This Row],[MER]]="X",Tabella3[[#This Row],[GIO]]="X",Tabella3[[#This Row],[VEN]]="X",),"X","")</f>
        <v/>
      </c>
      <c r="D51" s="113" t="s">
        <v>87</v>
      </c>
      <c r="E51" s="109" t="s">
        <v>357</v>
      </c>
      <c r="F51" s="109" t="s">
        <v>97</v>
      </c>
      <c r="G51" s="109" t="s">
        <v>1821</v>
      </c>
      <c r="H51" s="111"/>
      <c r="I51" s="111"/>
      <c r="J51" s="111"/>
      <c r="K51" s="111"/>
      <c r="L51" s="111"/>
      <c r="M51" s="109" t="s">
        <v>1258</v>
      </c>
      <c r="N51" s="109"/>
      <c r="O51" s="109"/>
      <c r="P51" s="109"/>
      <c r="Q51" s="109"/>
      <c r="R51" s="110"/>
      <c r="S51" s="110"/>
      <c r="T51" s="112" t="str">
        <f ca="1">IF(AND('Inserimento dati'!$B$3=$H$2, Tabella3[[#This Row],[LUN]]="X"), "X",IF(AND('Inserimento dati'!$B$3=$I$2, Tabella3[[#This Row],[MAR]]="X"), "X", IF(AND('Inserimento dati'!$B$3=$J$2, Tabella3[[#This Row],[MER]]="X"), "X",IF(AND('Inserimento dati'!$B$3=$K$2, Tabella3[[#This Row],[GIO]]="X"), "X", IF(AND('Inserimento dati'!$B$3=$L$2, Tabella3[[#This Row],[VEN]]="X"), "X","")))))</f>
        <v/>
      </c>
      <c r="U51" s="157" t="str">
        <f t="shared" ca="1" si="0"/>
        <v/>
      </c>
      <c r="V51" s="187">
        <v>45930.833333333336</v>
      </c>
    </row>
    <row r="52" spans="1:22" s="19" customFormat="1" ht="23.25" x14ac:dyDescent="0.2">
      <c r="A52" s="112"/>
      <c r="B52" s="112" t="str">
        <f t="shared" si="3"/>
        <v>X</v>
      </c>
      <c r="C52" s="112" t="str">
        <f>IF(OR(Tabella3[[#This Row],[LUN]]="X",Tabella3[[#This Row],[MAR]]="X",Tabella3[[#This Row],[MER]]="X",Tabella3[[#This Row],[GIO]]="X",Tabella3[[#This Row],[VEN]]="X",),"X","")</f>
        <v/>
      </c>
      <c r="D52" s="113" t="s">
        <v>87</v>
      </c>
      <c r="E52" s="109" t="s">
        <v>1066</v>
      </c>
      <c r="F52" s="109" t="s">
        <v>114</v>
      </c>
      <c r="G52" s="109" t="s">
        <v>1822</v>
      </c>
      <c r="H52" s="111"/>
      <c r="I52" s="111"/>
      <c r="J52" s="111"/>
      <c r="K52" s="111"/>
      <c r="L52" s="111"/>
      <c r="M52" s="109" t="s">
        <v>1258</v>
      </c>
      <c r="N52" s="109"/>
      <c r="O52" s="109"/>
      <c r="P52" s="109"/>
      <c r="Q52" s="109" t="s">
        <v>1099</v>
      </c>
      <c r="R52" s="110">
        <v>45761</v>
      </c>
      <c r="S52" s="110" t="s">
        <v>211</v>
      </c>
      <c r="T52" s="112" t="str">
        <f ca="1">IF(AND('Inserimento dati'!$B$3=$H$2, Tabella3[[#This Row],[LUN]]="X"), "X",IF(AND('Inserimento dati'!$B$3=$I$2, Tabella3[[#This Row],[MAR]]="X"), "X", IF(AND('Inserimento dati'!$B$3=$J$2, Tabella3[[#This Row],[MER]]="X"), "X",IF(AND('Inserimento dati'!$B$3=$K$2, Tabella3[[#This Row],[GIO]]="X"), "X", IF(AND('Inserimento dati'!$B$3=$L$2, Tabella3[[#This Row],[VEN]]="X"), "X","")))))</f>
        <v/>
      </c>
      <c r="U52" s="157" t="str">
        <f t="shared" ca="1" si="0"/>
        <v xml:space="preserve"> 1021524</v>
      </c>
      <c r="V52" s="187">
        <v>45930.833333333336</v>
      </c>
    </row>
    <row r="53" spans="1:22" s="19" customFormat="1" ht="30" x14ac:dyDescent="0.2">
      <c r="A53" s="112"/>
      <c r="B53" s="112" t="str">
        <f t="shared" si="3"/>
        <v>X</v>
      </c>
      <c r="C53" s="112" t="str">
        <f>IF(OR(Tabella3[[#This Row],[LUN]]="X",Tabella3[[#This Row],[MAR]]="X",Tabella3[[#This Row],[MER]]="X",Tabella3[[#This Row],[GIO]]="X",Tabella3[[#This Row],[VEN]]="X",),"X","")</f>
        <v/>
      </c>
      <c r="D53" s="113" t="s">
        <v>87</v>
      </c>
      <c r="E53" s="109" t="s">
        <v>1068</v>
      </c>
      <c r="F53" s="109" t="s">
        <v>88</v>
      </c>
      <c r="G53" s="109" t="s">
        <v>1823</v>
      </c>
      <c r="H53" s="111"/>
      <c r="I53" s="111"/>
      <c r="J53" s="111"/>
      <c r="K53" s="111"/>
      <c r="L53" s="111"/>
      <c r="M53" s="109" t="s">
        <v>1258</v>
      </c>
      <c r="N53" s="109"/>
      <c r="O53" s="109"/>
      <c r="P53" s="109"/>
      <c r="Q53" s="109" t="s">
        <v>1090</v>
      </c>
      <c r="R53" s="110">
        <v>45758</v>
      </c>
      <c r="S53" s="110" t="s">
        <v>203</v>
      </c>
      <c r="T53" s="112" t="str">
        <f ca="1">IF(AND('Inserimento dati'!$B$3=$H$2, Tabella3[[#This Row],[LUN]]="X"), "X",IF(AND('Inserimento dati'!$B$3=$I$2, Tabella3[[#This Row],[MAR]]="X"), "X", IF(AND('Inserimento dati'!$B$3=$J$2, Tabella3[[#This Row],[MER]]="X"), "X",IF(AND('Inserimento dati'!$B$3=$K$2, Tabella3[[#This Row],[GIO]]="X"), "X", IF(AND('Inserimento dati'!$B$3=$L$2, Tabella3[[#This Row],[VEN]]="X"), "X","")))))</f>
        <v/>
      </c>
      <c r="U53" s="157" t="str">
        <f t="shared" ca="1" si="0"/>
        <v xml:space="preserve"> 1021599</v>
      </c>
      <c r="V53" s="187">
        <v>45930.833333333336</v>
      </c>
    </row>
    <row r="54" spans="1:22" s="19" customFormat="1" ht="23.25" x14ac:dyDescent="0.2">
      <c r="A54" s="112"/>
      <c r="B54" s="112" t="str">
        <f t="shared" si="3"/>
        <v>X</v>
      </c>
      <c r="C54" s="112" t="str">
        <f>IF(OR(Tabella3[[#This Row],[LUN]]="X",Tabella3[[#This Row],[MAR]]="X",Tabella3[[#This Row],[MER]]="X",Tabella3[[#This Row],[GIO]]="X",Tabella3[[#This Row],[VEN]]="X",),"X","")</f>
        <v/>
      </c>
      <c r="D54" s="113" t="s">
        <v>87</v>
      </c>
      <c r="E54" s="109" t="s">
        <v>1077</v>
      </c>
      <c r="F54" s="109">
        <v>800</v>
      </c>
      <c r="G54" s="109" t="s">
        <v>1824</v>
      </c>
      <c r="H54" s="111"/>
      <c r="I54" s="111"/>
      <c r="J54" s="111"/>
      <c r="K54" s="111"/>
      <c r="L54" s="111"/>
      <c r="M54" s="109" t="s">
        <v>1258</v>
      </c>
      <c r="N54" s="109"/>
      <c r="O54" s="109"/>
      <c r="P54" s="109"/>
      <c r="Q54" s="109" t="s">
        <v>1075</v>
      </c>
      <c r="R54" s="110">
        <v>45757</v>
      </c>
      <c r="S54" s="109" t="s">
        <v>1074</v>
      </c>
      <c r="T54" s="116" t="str">
        <f ca="1">IF(AND('Inserimento dati'!$B$3=$H$2, Tabella3[[#This Row],[LUN]]="X"), "X",IF(AND('Inserimento dati'!$B$3=$I$2, Tabella3[[#This Row],[MAR]]="X"), "X", IF(AND('Inserimento dati'!$B$3=$J$2, Tabella3[[#This Row],[MER]]="X"), "X",IF(AND('Inserimento dati'!$B$3=$K$2, Tabella3[[#This Row],[GIO]]="X"), "X", IF(AND('Inserimento dati'!$B$3=$L$2, Tabella3[[#This Row],[VEN]]="X"), "X","")))))</f>
        <v/>
      </c>
      <c r="U54" s="157" t="str">
        <f t="shared" ca="1" si="0"/>
        <v/>
      </c>
      <c r="V54" s="187">
        <v>45930.833333333336</v>
      </c>
    </row>
    <row r="55" spans="1:22" s="19" customFormat="1" ht="23.25" x14ac:dyDescent="0.2">
      <c r="A55" s="112"/>
      <c r="B55" s="112" t="str">
        <f t="shared" si="3"/>
        <v>X</v>
      </c>
      <c r="C55" s="112" t="str">
        <f>IF(OR(Tabella3[[#This Row],[LUN]]="X",Tabella3[[#This Row],[MAR]]="X",Tabella3[[#This Row],[MER]]="X",Tabella3[[#This Row],[GIO]]="X",Tabella3[[#This Row],[VEN]]="X",),"X","")</f>
        <v/>
      </c>
      <c r="D55" s="113" t="s">
        <v>87</v>
      </c>
      <c r="E55" s="109" t="s">
        <v>1072</v>
      </c>
      <c r="F55" s="109" t="s">
        <v>88</v>
      </c>
      <c r="G55" s="109" t="s">
        <v>1825</v>
      </c>
      <c r="H55" s="111"/>
      <c r="I55" s="111"/>
      <c r="J55" s="111"/>
      <c r="K55" s="111"/>
      <c r="L55" s="111"/>
      <c r="M55" s="109" t="s">
        <v>1258</v>
      </c>
      <c r="N55" s="109"/>
      <c r="O55" s="109"/>
      <c r="P55" s="109"/>
      <c r="Q55" s="109"/>
      <c r="R55" s="110">
        <v>45755</v>
      </c>
      <c r="S55" s="109" t="s">
        <v>228</v>
      </c>
      <c r="T55" s="116" t="str">
        <f ca="1">IF(AND('Inserimento dati'!$B$3=$H$2, Tabella3[[#This Row],[LUN]]="X"), "X",IF(AND('Inserimento dati'!$B$3=$I$2, Tabella3[[#This Row],[MAR]]="X"), "X", IF(AND('Inserimento dati'!$B$3=$J$2, Tabella3[[#This Row],[MER]]="X"), "X",IF(AND('Inserimento dati'!$B$3=$K$2, Tabella3[[#This Row],[GIO]]="X"), "X", IF(AND('Inserimento dati'!$B$3=$L$2, Tabella3[[#This Row],[VEN]]="X"), "X","")))))</f>
        <v/>
      </c>
      <c r="U55" s="157" t="str">
        <f t="shared" ca="1" si="0"/>
        <v/>
      </c>
      <c r="V55" s="187">
        <v>45930.833333333336</v>
      </c>
    </row>
    <row r="56" spans="1:22" s="19" customFormat="1" ht="30" x14ac:dyDescent="0.2">
      <c r="A56" s="112"/>
      <c r="B56" s="112" t="str">
        <f t="shared" si="3"/>
        <v>X</v>
      </c>
      <c r="C56" s="112" t="str">
        <f>IF(OR(Tabella3[[#This Row],[LUN]]="X",Tabella3[[#This Row],[MAR]]="X",Tabella3[[#This Row],[MER]]="X",Tabella3[[#This Row],[GIO]]="X",Tabella3[[#This Row],[VEN]]="X",),"X","")</f>
        <v/>
      </c>
      <c r="D56" s="113" t="s">
        <v>87</v>
      </c>
      <c r="E56" s="109" t="s">
        <v>1057</v>
      </c>
      <c r="F56" s="109">
        <v>700</v>
      </c>
      <c r="G56" s="109" t="s">
        <v>1826</v>
      </c>
      <c r="H56" s="111"/>
      <c r="I56" s="111"/>
      <c r="J56" s="111"/>
      <c r="K56" s="111"/>
      <c r="L56" s="111"/>
      <c r="M56" s="109" t="s">
        <v>1258</v>
      </c>
      <c r="N56" s="109"/>
      <c r="O56" s="109"/>
      <c r="P56" s="109"/>
      <c r="Q56" s="109" t="s">
        <v>1047</v>
      </c>
      <c r="R56" s="110">
        <v>45755</v>
      </c>
      <c r="S56" s="109" t="s">
        <v>102</v>
      </c>
      <c r="T56" s="116" t="str">
        <f ca="1">IF(AND('Inserimento dati'!$B$3=$H$2, Tabella3[[#This Row],[LUN]]="X"), "X",IF(AND('Inserimento dati'!$B$3=$I$2, Tabella3[[#This Row],[MAR]]="X"), "X", IF(AND('Inserimento dati'!$B$3=$J$2, Tabella3[[#This Row],[MER]]="X"), "X",IF(AND('Inserimento dati'!$B$3=$K$2, Tabella3[[#This Row],[GIO]]="X"), "X", IF(AND('Inserimento dati'!$B$3=$L$2, Tabella3[[#This Row],[VEN]]="X"), "X","")))))</f>
        <v/>
      </c>
      <c r="U56" s="157" t="str">
        <f t="shared" ca="1" si="0"/>
        <v xml:space="preserve"> 1022162</v>
      </c>
      <c r="V56" s="187">
        <v>45930.833333333336</v>
      </c>
    </row>
    <row r="57" spans="1:22" s="19" customFormat="1" ht="30" x14ac:dyDescent="0.2">
      <c r="A57" s="112"/>
      <c r="B57" s="112" t="str">
        <f t="shared" si="3"/>
        <v>X</v>
      </c>
      <c r="C57" s="112" t="str">
        <f>IF(OR(Tabella3[[#This Row],[LUN]]="X",Tabella3[[#This Row],[MAR]]="X",Tabella3[[#This Row],[MER]]="X",Tabella3[[#This Row],[GIO]]="X",Tabella3[[#This Row],[VEN]]="X",),"X","")</f>
        <v/>
      </c>
      <c r="D57" s="113" t="s">
        <v>87</v>
      </c>
      <c r="E57" s="109" t="s">
        <v>1058</v>
      </c>
      <c r="F57" s="109" t="s">
        <v>114</v>
      </c>
      <c r="G57" s="109" t="s">
        <v>1827</v>
      </c>
      <c r="H57" s="111"/>
      <c r="I57" s="111"/>
      <c r="J57" s="111"/>
      <c r="K57" s="111"/>
      <c r="L57" s="111"/>
      <c r="M57" s="109" t="s">
        <v>1258</v>
      </c>
      <c r="N57" s="109"/>
      <c r="O57" s="109"/>
      <c r="P57" s="109"/>
      <c r="Q57" s="109" t="s">
        <v>1046</v>
      </c>
      <c r="R57" s="110">
        <v>45755</v>
      </c>
      <c r="S57" s="109" t="s">
        <v>228</v>
      </c>
      <c r="T57" s="116" t="str">
        <f ca="1">IF(AND('Inserimento dati'!$B$3=$H$2, Tabella3[[#This Row],[LUN]]="X"), "X",IF(AND('Inserimento dati'!$B$3=$I$2, Tabella3[[#This Row],[MAR]]="X"), "X", IF(AND('Inserimento dati'!$B$3=$J$2, Tabella3[[#This Row],[MER]]="X"), "X",IF(AND('Inserimento dati'!$B$3=$K$2, Tabella3[[#This Row],[GIO]]="X"), "X", IF(AND('Inserimento dati'!$B$3=$L$2, Tabella3[[#This Row],[VEN]]="X"), "X","")))))</f>
        <v/>
      </c>
      <c r="U57" s="157" t="str">
        <f t="shared" ca="1" si="0"/>
        <v/>
      </c>
      <c r="V57" s="187">
        <v>45930.833333333336</v>
      </c>
    </row>
    <row r="58" spans="1:22" s="19" customFormat="1" ht="23.25" x14ac:dyDescent="0.2">
      <c r="A58" s="112"/>
      <c r="B58" s="112" t="str">
        <f t="shared" si="3"/>
        <v>X</v>
      </c>
      <c r="C58" s="112" t="str">
        <f>IF(OR(Tabella3[[#This Row],[LUN]]="X",Tabella3[[#This Row],[MAR]]="X",Tabella3[[#This Row],[MER]]="X",Tabella3[[#This Row],[GIO]]="X",Tabella3[[#This Row],[VEN]]="X",),"X","")</f>
        <v/>
      </c>
      <c r="D58" s="113" t="s">
        <v>87</v>
      </c>
      <c r="E58" s="109" t="s">
        <v>1059</v>
      </c>
      <c r="F58" s="109" t="s">
        <v>96</v>
      </c>
      <c r="G58" s="109" t="s">
        <v>1828</v>
      </c>
      <c r="H58" s="111"/>
      <c r="I58" s="111"/>
      <c r="J58" s="111"/>
      <c r="K58" s="111"/>
      <c r="L58" s="111"/>
      <c r="M58" s="109" t="s">
        <v>1258</v>
      </c>
      <c r="N58" s="109"/>
      <c r="O58" s="109"/>
      <c r="P58" s="109"/>
      <c r="Q58" s="109"/>
      <c r="R58" s="110">
        <v>45756</v>
      </c>
      <c r="S58" s="109"/>
      <c r="T58" s="116" t="str">
        <f ca="1">IF(AND('Inserimento dati'!$B$3=$H$2, Tabella3[[#This Row],[LUN]]="X"), "X",IF(AND('Inserimento dati'!$B$3=$I$2, Tabella3[[#This Row],[MAR]]="X"), "X", IF(AND('Inserimento dati'!$B$3=$J$2, Tabella3[[#This Row],[MER]]="X"), "X",IF(AND('Inserimento dati'!$B$3=$K$2, Tabella3[[#This Row],[GIO]]="X"), "X", IF(AND('Inserimento dati'!$B$3=$L$2, Tabella3[[#This Row],[VEN]]="X"), "X","")))))</f>
        <v/>
      </c>
      <c r="U58" s="157" t="str">
        <f t="shared" ca="1" si="0"/>
        <v xml:space="preserve"> 1021817</v>
      </c>
      <c r="V58" s="187">
        <v>45930.833333333336</v>
      </c>
    </row>
    <row r="59" spans="1:22" s="19" customFormat="1" ht="30" x14ac:dyDescent="0.2">
      <c r="A59" s="112"/>
      <c r="B59" s="112" t="str">
        <f t="shared" si="3"/>
        <v>X</v>
      </c>
      <c r="C59" s="112" t="str">
        <f>IF(OR(Tabella3[[#This Row],[LUN]]="X",Tabella3[[#This Row],[MAR]]="X",Tabella3[[#This Row],[MER]]="X",Tabella3[[#This Row],[GIO]]="X",Tabella3[[#This Row],[VEN]]="X",),"X","")</f>
        <v/>
      </c>
      <c r="D59" s="113" t="s">
        <v>87</v>
      </c>
      <c r="E59" s="109" t="s">
        <v>1060</v>
      </c>
      <c r="F59" s="109">
        <v>700</v>
      </c>
      <c r="G59" s="109" t="s">
        <v>1829</v>
      </c>
      <c r="H59" s="111"/>
      <c r="I59" s="111"/>
      <c r="J59" s="111"/>
      <c r="K59" s="111"/>
      <c r="L59" s="111"/>
      <c r="M59" s="109" t="s">
        <v>1258</v>
      </c>
      <c r="N59" s="109"/>
      <c r="O59" s="109"/>
      <c r="P59" s="109"/>
      <c r="Q59" s="109" t="s">
        <v>1049</v>
      </c>
      <c r="R59" s="117">
        <v>45718</v>
      </c>
      <c r="S59" s="117" t="s">
        <v>239</v>
      </c>
      <c r="T59" s="116" t="str">
        <f ca="1">IF(AND('Inserimento dati'!$B$3=$H$2, Tabella3[[#This Row],[LUN]]="X"), "X",IF(AND('Inserimento dati'!$B$3=$I$2, Tabella3[[#This Row],[MAR]]="X"), "X", IF(AND('Inserimento dati'!$B$3=$J$2, Tabella3[[#This Row],[MER]]="X"), "X",IF(AND('Inserimento dati'!$B$3=$K$2, Tabella3[[#This Row],[GIO]]="X"), "X", IF(AND('Inserimento dati'!$B$3=$L$2, Tabella3[[#This Row],[VEN]]="X"), "X","")))))</f>
        <v/>
      </c>
      <c r="U59" s="157" t="str">
        <f t="shared" ca="1" si="0"/>
        <v/>
      </c>
      <c r="V59" s="187">
        <v>45930.833333333336</v>
      </c>
    </row>
    <row r="60" spans="1:22" s="19" customFormat="1" ht="23.25" x14ac:dyDescent="0.2">
      <c r="A60" s="112"/>
      <c r="B60" s="112" t="str">
        <f t="shared" si="3"/>
        <v>X</v>
      </c>
      <c r="C60" s="112" t="str">
        <f>IF(OR(Tabella3[[#This Row],[LUN]]="X",Tabella3[[#This Row],[MAR]]="X",Tabella3[[#This Row],[MER]]="X",Tabella3[[#This Row],[GIO]]="X",Tabella3[[#This Row],[VEN]]="X",),"X","")</f>
        <v/>
      </c>
      <c r="D60" s="113" t="s">
        <v>87</v>
      </c>
      <c r="E60" s="109" t="s">
        <v>1061</v>
      </c>
      <c r="F60" s="109">
        <v>2400</v>
      </c>
      <c r="G60" s="109" t="s">
        <v>1830</v>
      </c>
      <c r="H60" s="111"/>
      <c r="I60" s="111"/>
      <c r="J60" s="111"/>
      <c r="K60" s="111"/>
      <c r="L60" s="111"/>
      <c r="M60" s="109" t="s">
        <v>1258</v>
      </c>
      <c r="N60" s="109"/>
      <c r="O60" s="109"/>
      <c r="P60" s="109"/>
      <c r="Q60" s="109" t="s">
        <v>1038</v>
      </c>
      <c r="R60" s="110"/>
      <c r="S60" s="109"/>
      <c r="T60" s="116" t="str">
        <f ca="1">IF(AND('Inserimento dati'!$B$3=$H$2, Tabella3[[#This Row],[LUN]]="X"), "X",IF(AND('Inserimento dati'!$B$3=$I$2, Tabella3[[#This Row],[MAR]]="X"), "X", IF(AND('Inserimento dati'!$B$3=$J$2, Tabella3[[#This Row],[MER]]="X"), "X",IF(AND('Inserimento dati'!$B$3=$K$2, Tabella3[[#This Row],[GIO]]="X"), "X", IF(AND('Inserimento dati'!$B$3=$L$2, Tabella3[[#This Row],[VEN]]="X"), "X","")))))</f>
        <v/>
      </c>
      <c r="U60" s="157" t="str">
        <f t="shared" ca="1" si="0"/>
        <v xml:space="preserve"> 1021922</v>
      </c>
      <c r="V60" s="187">
        <v>45930.833333333336</v>
      </c>
    </row>
    <row r="61" spans="1:22" s="19" customFormat="1" ht="23.25" x14ac:dyDescent="0.2">
      <c r="A61" s="112"/>
      <c r="B61" s="112" t="str">
        <f t="shared" si="3"/>
        <v>X</v>
      </c>
      <c r="C61" s="112" t="str">
        <f>IF(OR(Tabella3[[#This Row],[LUN]]="X",Tabella3[[#This Row],[MAR]]="X",Tabella3[[#This Row],[MER]]="X",Tabella3[[#This Row],[GIO]]="X",Tabella3[[#This Row],[VEN]]="X",),"X","")</f>
        <v/>
      </c>
      <c r="D61" s="113" t="s">
        <v>87</v>
      </c>
      <c r="E61" s="109" t="s">
        <v>889</v>
      </c>
      <c r="F61" s="109" t="s">
        <v>96</v>
      </c>
      <c r="G61" s="109" t="s">
        <v>1831</v>
      </c>
      <c r="H61" s="111"/>
      <c r="I61" s="111"/>
      <c r="J61" s="111"/>
      <c r="K61" s="111"/>
      <c r="L61" s="111"/>
      <c r="M61" s="109" t="s">
        <v>1258</v>
      </c>
      <c r="N61" s="109"/>
      <c r="O61" s="109"/>
      <c r="P61" s="109"/>
      <c r="Q61" s="109" t="s">
        <v>1030</v>
      </c>
      <c r="R61" s="110">
        <v>45729</v>
      </c>
      <c r="S61" s="109" t="s">
        <v>211</v>
      </c>
      <c r="T61" s="116" t="str">
        <f ca="1">IF(AND('Inserimento dati'!$B$3=$H$2, Tabella3[[#This Row],[LUN]]="X"), "X",IF(AND('Inserimento dati'!$B$3=$I$2, Tabella3[[#This Row],[MAR]]="X"), "X", IF(AND('Inserimento dati'!$B$3=$J$2, Tabella3[[#This Row],[MER]]="X"), "X",IF(AND('Inserimento dati'!$B$3=$K$2, Tabella3[[#This Row],[GIO]]="X"), "X", IF(AND('Inserimento dati'!$B$3=$L$2, Tabella3[[#This Row],[VEN]]="X"), "X","")))))</f>
        <v/>
      </c>
      <c r="U61" s="157" t="str">
        <f t="shared" ca="1" si="0"/>
        <v/>
      </c>
      <c r="V61" s="187">
        <v>45930.833333333336</v>
      </c>
    </row>
    <row r="62" spans="1:22" s="19" customFormat="1" ht="45" x14ac:dyDescent="0.2">
      <c r="A62" s="112"/>
      <c r="B62" s="112" t="str">
        <f t="shared" si="3"/>
        <v>X</v>
      </c>
      <c r="C62" s="112" t="str">
        <f>IF(OR(Tabella3[[#This Row],[LUN]]="X",Tabella3[[#This Row],[MAR]]="X",Tabella3[[#This Row],[MER]]="X",Tabella3[[#This Row],[GIO]]="X",Tabella3[[#This Row],[VEN]]="X",),"X","")</f>
        <v/>
      </c>
      <c r="D62" s="113" t="s">
        <v>87</v>
      </c>
      <c r="E62" s="109" t="s">
        <v>916</v>
      </c>
      <c r="F62" s="109" t="s">
        <v>92</v>
      </c>
      <c r="G62" s="109" t="s">
        <v>1832</v>
      </c>
      <c r="H62" s="111"/>
      <c r="I62" s="111"/>
      <c r="J62" s="111"/>
      <c r="K62" s="111"/>
      <c r="L62" s="111"/>
      <c r="M62" s="109" t="s">
        <v>1258</v>
      </c>
      <c r="N62" s="109"/>
      <c r="O62" s="109"/>
      <c r="P62" s="109"/>
      <c r="Q62" s="109"/>
      <c r="R62" s="110"/>
      <c r="S62" s="109"/>
      <c r="T62" s="116" t="str">
        <f ca="1">IF(AND('Inserimento dati'!$B$3=$H$2, Tabella3[[#This Row],[LUN]]="X"), "X",IF(AND('Inserimento dati'!$B$3=$I$2, Tabella3[[#This Row],[MAR]]="X"), "X", IF(AND('Inserimento dati'!$B$3=$J$2, Tabella3[[#This Row],[MER]]="X"), "X",IF(AND('Inserimento dati'!$B$3=$K$2, Tabella3[[#This Row],[GIO]]="X"), "X", IF(AND('Inserimento dati'!$B$3=$L$2, Tabella3[[#This Row],[VEN]]="X"), "X","")))))</f>
        <v/>
      </c>
      <c r="U62" s="157" t="str">
        <f t="shared" ca="1" si="0"/>
        <v/>
      </c>
      <c r="V62" s="187">
        <v>45930.833333333336</v>
      </c>
    </row>
    <row r="63" spans="1:22" s="19" customFormat="1" ht="23.25" x14ac:dyDescent="0.2">
      <c r="A63" s="112"/>
      <c r="B63" s="112" t="str">
        <f t="shared" si="3"/>
        <v>X</v>
      </c>
      <c r="C63" s="112" t="str">
        <f>IF(OR(Tabella3[[#This Row],[LUN]]="X",Tabella3[[#This Row],[MAR]]="X",Tabella3[[#This Row],[MER]]="X",Tabella3[[#This Row],[GIO]]="X",Tabella3[[#This Row],[VEN]]="X",),"X","")</f>
        <v/>
      </c>
      <c r="D63" s="113" t="s">
        <v>87</v>
      </c>
      <c r="E63" s="109" t="s">
        <v>1026</v>
      </c>
      <c r="F63" s="109" t="s">
        <v>96</v>
      </c>
      <c r="G63" s="109" t="s">
        <v>1833</v>
      </c>
      <c r="H63" s="111"/>
      <c r="I63" s="111"/>
      <c r="J63" s="111"/>
      <c r="K63" s="111"/>
      <c r="L63" s="111"/>
      <c r="M63" s="109" t="s">
        <v>1258</v>
      </c>
      <c r="N63" s="109"/>
      <c r="O63" s="109"/>
      <c r="P63" s="109"/>
      <c r="Q63" s="109"/>
      <c r="R63" s="110"/>
      <c r="S63" s="109"/>
      <c r="T63" s="116" t="str">
        <f ca="1">IF(AND('Inserimento dati'!$B$3=$H$2, Tabella3[[#This Row],[LUN]]="X"), "X",IF(AND('Inserimento dati'!$B$3=$I$2, Tabella3[[#This Row],[MAR]]="X"), "X", IF(AND('Inserimento dati'!$B$3=$J$2, Tabella3[[#This Row],[MER]]="X"), "X",IF(AND('Inserimento dati'!$B$3=$K$2, Tabella3[[#This Row],[GIO]]="X"), "X", IF(AND('Inserimento dati'!$B$3=$L$2, Tabella3[[#This Row],[VEN]]="X"), "X","")))))</f>
        <v/>
      </c>
      <c r="U63" s="157" t="str">
        <f t="shared" ca="1" si="0"/>
        <v xml:space="preserve"> 1022138</v>
      </c>
      <c r="V63" s="187">
        <v>45930.833333333336</v>
      </c>
    </row>
    <row r="64" spans="1:22" s="19" customFormat="1" ht="23.25" x14ac:dyDescent="0.2">
      <c r="A64" s="112"/>
      <c r="B64" s="112" t="str">
        <f t="shared" si="3"/>
        <v>X</v>
      </c>
      <c r="C64" s="112" t="str">
        <f>IF(OR(Tabella3[[#This Row],[LUN]]="X",Tabella3[[#This Row],[MAR]]="X",Tabella3[[#This Row],[MER]]="X",Tabella3[[#This Row],[GIO]]="X",Tabella3[[#This Row],[VEN]]="X",),"X","")</f>
        <v/>
      </c>
      <c r="D64" s="113" t="s">
        <v>87</v>
      </c>
      <c r="E64" s="109" t="s">
        <v>967</v>
      </c>
      <c r="F64" s="109" t="s">
        <v>96</v>
      </c>
      <c r="G64" s="109" t="s">
        <v>1834</v>
      </c>
      <c r="H64" s="111"/>
      <c r="I64" s="111"/>
      <c r="J64" s="111"/>
      <c r="K64" s="111"/>
      <c r="L64" s="111"/>
      <c r="M64" s="109" t="s">
        <v>1258</v>
      </c>
      <c r="N64" s="109"/>
      <c r="O64" s="109"/>
      <c r="P64" s="109"/>
      <c r="Q64" s="109" t="s">
        <v>1024</v>
      </c>
      <c r="R64" s="110"/>
      <c r="S64" s="117">
        <v>45720</v>
      </c>
      <c r="T64" s="116" t="str">
        <f ca="1">IF(AND('Inserimento dati'!$B$3=$H$2, Tabella3[[#This Row],[LUN]]="X"), "X",IF(AND('Inserimento dati'!$B$3=$I$2, Tabella3[[#This Row],[MAR]]="X"), "X", IF(AND('Inserimento dati'!$B$3=$J$2, Tabella3[[#This Row],[MER]]="X"), "X",IF(AND('Inserimento dati'!$B$3=$K$2, Tabella3[[#This Row],[GIO]]="X"), "X", IF(AND('Inserimento dati'!$B$3=$L$2, Tabella3[[#This Row],[VEN]]="X"), "X","")))))</f>
        <v/>
      </c>
      <c r="U64" s="157" t="str">
        <f t="shared" ca="1" si="0"/>
        <v/>
      </c>
      <c r="V64" s="187">
        <v>45930.833333333336</v>
      </c>
    </row>
    <row r="65" spans="1:22" s="19" customFormat="1" ht="23.25" x14ac:dyDescent="0.2">
      <c r="A65" s="112"/>
      <c r="B65" s="112" t="str">
        <f t="shared" si="3"/>
        <v>X</v>
      </c>
      <c r="C65" s="112" t="str">
        <f>IF(OR(Tabella3[[#This Row],[LUN]]="X",Tabella3[[#This Row],[MAR]]="X",Tabella3[[#This Row],[MER]]="X",Tabella3[[#This Row],[GIO]]="X",Tabella3[[#This Row],[VEN]]="X",),"X","")</f>
        <v/>
      </c>
      <c r="D65" s="113" t="s">
        <v>87</v>
      </c>
      <c r="E65" s="109" t="s">
        <v>980</v>
      </c>
      <c r="F65" s="109">
        <v>800</v>
      </c>
      <c r="G65" s="109" t="s">
        <v>1835</v>
      </c>
      <c r="H65" s="111"/>
      <c r="I65" s="111"/>
      <c r="J65" s="111"/>
      <c r="K65" s="111"/>
      <c r="L65" s="111"/>
      <c r="M65" s="109" t="s">
        <v>1258</v>
      </c>
      <c r="N65" s="109"/>
      <c r="O65" s="109"/>
      <c r="P65" s="109"/>
      <c r="Q65" s="109"/>
      <c r="R65" s="110"/>
      <c r="S65" s="109"/>
      <c r="T65" s="116" t="str">
        <f ca="1">IF(AND('Inserimento dati'!$B$3=$H$2, Tabella3[[#This Row],[LUN]]="X"), "X",IF(AND('Inserimento dati'!$B$3=$I$2, Tabella3[[#This Row],[MAR]]="X"), "X", IF(AND('Inserimento dati'!$B$3=$J$2, Tabella3[[#This Row],[MER]]="X"), "X",IF(AND('Inserimento dati'!$B$3=$K$2, Tabella3[[#This Row],[GIO]]="X"), "X", IF(AND('Inserimento dati'!$B$3=$L$2, Tabella3[[#This Row],[VEN]]="X"), "X","")))))</f>
        <v/>
      </c>
      <c r="U65" s="157" t="str">
        <f t="shared" ca="1" si="0"/>
        <v/>
      </c>
      <c r="V65" s="187">
        <v>45930.833333333336</v>
      </c>
    </row>
    <row r="66" spans="1:22" s="19" customFormat="1" ht="30" x14ac:dyDescent="0.2">
      <c r="A66" s="112"/>
      <c r="B66" s="112" t="str">
        <f t="shared" si="3"/>
        <v>X</v>
      </c>
      <c r="C66" s="112" t="str">
        <f>IF(OR(Tabella3[[#This Row],[LUN]]="X",Tabella3[[#This Row],[MAR]]="X",Tabella3[[#This Row],[MER]]="X",Tabella3[[#This Row],[GIO]]="X",Tabella3[[#This Row],[VEN]]="X",),"X","")</f>
        <v/>
      </c>
      <c r="D66" s="113" t="s">
        <v>87</v>
      </c>
      <c r="E66" s="109" t="s">
        <v>945</v>
      </c>
      <c r="F66" s="109">
        <v>1800</v>
      </c>
      <c r="G66" s="109" t="s">
        <v>1836</v>
      </c>
      <c r="H66" s="111"/>
      <c r="I66" s="111"/>
      <c r="J66" s="111"/>
      <c r="K66" s="111"/>
      <c r="L66" s="111"/>
      <c r="M66" s="109" t="s">
        <v>1258</v>
      </c>
      <c r="N66" s="109"/>
      <c r="O66" s="109"/>
      <c r="P66" s="109"/>
      <c r="Q66" s="109"/>
      <c r="R66" s="110"/>
      <c r="S66" s="109"/>
      <c r="T66" s="116" t="str">
        <f ca="1">IF(AND('Inserimento dati'!$B$3=$H$2, Tabella3[[#This Row],[LUN]]="X"), "X",IF(AND('Inserimento dati'!$B$3=$I$2, Tabella3[[#This Row],[MAR]]="X"), "X", IF(AND('Inserimento dati'!$B$3=$J$2, Tabella3[[#This Row],[MER]]="X"), "X",IF(AND('Inserimento dati'!$B$3=$K$2, Tabella3[[#This Row],[GIO]]="X"), "X", IF(AND('Inserimento dati'!$B$3=$L$2, Tabella3[[#This Row],[VEN]]="X"), "X","")))))</f>
        <v/>
      </c>
      <c r="U66" s="157" t="str">
        <f t="shared" ca="1" si="0"/>
        <v xml:space="preserve"> 1022052</v>
      </c>
      <c r="V66" s="187">
        <v>45930.833333333336</v>
      </c>
    </row>
    <row r="67" spans="1:22" s="19" customFormat="1" ht="23.25" x14ac:dyDescent="0.2">
      <c r="A67" s="112"/>
      <c r="B67" s="112" t="str">
        <f t="shared" si="3"/>
        <v>X</v>
      </c>
      <c r="C67" s="112" t="str">
        <f>IF(OR(Tabella3[[#This Row],[LUN]]="X",Tabella3[[#This Row],[MAR]]="X",Tabella3[[#This Row],[MER]]="X",Tabella3[[#This Row],[GIO]]="X",Tabella3[[#This Row],[VEN]]="X",),"X","")</f>
        <v/>
      </c>
      <c r="D67" s="113" t="s">
        <v>87</v>
      </c>
      <c r="E67" s="109" t="s">
        <v>946</v>
      </c>
      <c r="F67" s="109" t="s">
        <v>88</v>
      </c>
      <c r="G67" s="109" t="s">
        <v>1837</v>
      </c>
      <c r="H67" s="111"/>
      <c r="I67" s="111"/>
      <c r="J67" s="111"/>
      <c r="K67" s="111"/>
      <c r="L67" s="111"/>
      <c r="M67" s="109" t="s">
        <v>1258</v>
      </c>
      <c r="N67" s="109"/>
      <c r="O67" s="109"/>
      <c r="P67" s="109"/>
      <c r="Q67" s="109" t="s">
        <v>199</v>
      </c>
      <c r="R67" s="110"/>
      <c r="S67" s="109"/>
      <c r="T67" s="116" t="str">
        <f ca="1">IF(AND('Inserimento dati'!$B$3=$H$2, Tabella3[[#This Row],[LUN]]="X"), "X",IF(AND('Inserimento dati'!$B$3=$I$2, Tabella3[[#This Row],[MAR]]="X"), "X", IF(AND('Inserimento dati'!$B$3=$J$2, Tabella3[[#This Row],[MER]]="X"), "X",IF(AND('Inserimento dati'!$B$3=$K$2, Tabella3[[#This Row],[GIO]]="X"), "X", IF(AND('Inserimento dati'!$B$3=$L$2, Tabella3[[#This Row],[VEN]]="X"), "X","")))))</f>
        <v/>
      </c>
      <c r="U67" s="157" t="str">
        <f t="shared" ca="1" si="0"/>
        <v xml:space="preserve"> 1022049</v>
      </c>
      <c r="V67" s="187">
        <v>45930.833333333336</v>
      </c>
    </row>
    <row r="68" spans="1:22" s="19" customFormat="1" ht="23.25" x14ac:dyDescent="0.2">
      <c r="A68" s="112"/>
      <c r="B68" s="112" t="str">
        <f t="shared" si="3"/>
        <v>X</v>
      </c>
      <c r="C68" s="112" t="str">
        <f>IF(OR(Tabella3[[#This Row],[LUN]]="X",Tabella3[[#This Row],[MAR]]="X",Tabella3[[#This Row],[MER]]="X",Tabella3[[#This Row],[GIO]]="X",Tabella3[[#This Row],[VEN]]="X",),"X","")</f>
        <v/>
      </c>
      <c r="D68" s="113" t="s">
        <v>87</v>
      </c>
      <c r="E68" s="109" t="s">
        <v>944</v>
      </c>
      <c r="F68" s="109" t="s">
        <v>88</v>
      </c>
      <c r="G68" s="109" t="s">
        <v>1838</v>
      </c>
      <c r="H68" s="111"/>
      <c r="I68" s="111"/>
      <c r="J68" s="111"/>
      <c r="K68" s="111"/>
      <c r="L68" s="111"/>
      <c r="M68" s="109" t="s">
        <v>1258</v>
      </c>
      <c r="N68" s="109"/>
      <c r="O68" s="109"/>
      <c r="P68" s="109"/>
      <c r="Q68" s="109"/>
      <c r="R68" s="110"/>
      <c r="S68" s="109"/>
      <c r="T68" s="116" t="str">
        <f ca="1">IF(AND('Inserimento dati'!$B$3=$H$2, Tabella3[[#This Row],[LUN]]="X"), "X",IF(AND('Inserimento dati'!$B$3=$I$2, Tabella3[[#This Row],[MAR]]="X"), "X", IF(AND('Inserimento dati'!$B$3=$J$2, Tabella3[[#This Row],[MER]]="X"), "X",IF(AND('Inserimento dati'!$B$3=$K$2, Tabella3[[#This Row],[GIO]]="X"), "X", IF(AND('Inserimento dati'!$B$3=$L$2, Tabella3[[#This Row],[VEN]]="X"), "X","")))))</f>
        <v/>
      </c>
      <c r="U68" s="157" t="str">
        <f t="shared" ca="1" si="0"/>
        <v/>
      </c>
      <c r="V68" s="187">
        <v>45930.833333333336</v>
      </c>
    </row>
    <row r="69" spans="1:22" s="19" customFormat="1" ht="23.25" x14ac:dyDescent="0.2">
      <c r="A69" s="112"/>
      <c r="B69" s="112" t="str">
        <f t="shared" si="3"/>
        <v>X</v>
      </c>
      <c r="C69" s="112" t="str">
        <f>IF(OR(Tabella3[[#This Row],[LUN]]="X",Tabella3[[#This Row],[MAR]]="X",Tabella3[[#This Row],[MER]]="X",Tabella3[[#This Row],[GIO]]="X",Tabella3[[#This Row],[VEN]]="X",),"X","")</f>
        <v/>
      </c>
      <c r="D69" s="113" t="s">
        <v>87</v>
      </c>
      <c r="E69" s="109" t="s">
        <v>898</v>
      </c>
      <c r="F69" s="109" t="s">
        <v>96</v>
      </c>
      <c r="G69" s="109" t="s">
        <v>1839</v>
      </c>
      <c r="H69" s="111"/>
      <c r="I69" s="111"/>
      <c r="J69" s="111"/>
      <c r="K69" s="111"/>
      <c r="L69" s="111"/>
      <c r="M69" s="109" t="s">
        <v>1258</v>
      </c>
      <c r="N69" s="109"/>
      <c r="O69" s="109"/>
      <c r="P69" s="109"/>
      <c r="Q69" s="109" t="s">
        <v>904</v>
      </c>
      <c r="R69" s="110">
        <v>45727</v>
      </c>
      <c r="S69" s="109" t="s">
        <v>203</v>
      </c>
      <c r="T69" s="116" t="str">
        <f ca="1">IF(AND('Inserimento dati'!$B$3=$H$2, Tabella3[[#This Row],[LUN]]="X"), "X",IF(AND('Inserimento dati'!$B$3=$I$2, Tabella3[[#This Row],[MAR]]="X"), "X", IF(AND('Inserimento dati'!$B$3=$J$2, Tabella3[[#This Row],[MER]]="X"), "X",IF(AND('Inserimento dati'!$B$3=$K$2, Tabella3[[#This Row],[GIO]]="X"), "X", IF(AND('Inserimento dati'!$B$3=$L$2, Tabella3[[#This Row],[VEN]]="X"), "X","")))))</f>
        <v/>
      </c>
      <c r="U69" s="157" t="str">
        <f t="shared" ref="U69:U132" ca="1" si="4">IFERROR(MID(G69,_xlfn.AGGREGATE(15,6,(ROW(INDIRECT("1:"&amp;LEN(G69)-7)))/(ISNUMBER(--MID(G69,ROW(INDIRECT("1:"&amp;LEN(G69)-7)),8))),1),8),"")</f>
        <v/>
      </c>
      <c r="V69" s="187">
        <v>45930.833333333336</v>
      </c>
    </row>
    <row r="70" spans="1:22" s="19" customFormat="1" ht="23.25" x14ac:dyDescent="0.2">
      <c r="A70" s="112"/>
      <c r="B70" s="112" t="str">
        <f t="shared" si="3"/>
        <v>X</v>
      </c>
      <c r="C70" s="112" t="str">
        <f>IF(OR(Tabella3[[#This Row],[LUN]]="X",Tabella3[[#This Row],[MAR]]="X",Tabella3[[#This Row],[MER]]="X",Tabella3[[#This Row],[GIO]]="X",Tabella3[[#This Row],[VEN]]="X",),"X","")</f>
        <v/>
      </c>
      <c r="D70" s="113" t="s">
        <v>87</v>
      </c>
      <c r="E70" s="109" t="s">
        <v>890</v>
      </c>
      <c r="F70" s="109" t="s">
        <v>96</v>
      </c>
      <c r="G70" s="109" t="s">
        <v>1840</v>
      </c>
      <c r="H70" s="111"/>
      <c r="I70" s="111"/>
      <c r="J70" s="111"/>
      <c r="K70" s="111"/>
      <c r="L70" s="111"/>
      <c r="M70" s="109" t="s">
        <v>1258</v>
      </c>
      <c r="N70" s="109"/>
      <c r="O70" s="109"/>
      <c r="P70" s="109"/>
      <c r="Q70" s="109"/>
      <c r="R70" s="110">
        <v>45728</v>
      </c>
      <c r="S70" s="109" t="s">
        <v>206</v>
      </c>
      <c r="T70" s="116" t="str">
        <f ca="1">IF(AND('Inserimento dati'!$B$3=$H$2, Tabella3[[#This Row],[LUN]]="X"), "X",IF(AND('Inserimento dati'!$B$3=$I$2, Tabella3[[#This Row],[MAR]]="X"), "X", IF(AND('Inserimento dati'!$B$3=$J$2, Tabella3[[#This Row],[MER]]="X"), "X",IF(AND('Inserimento dati'!$B$3=$K$2, Tabella3[[#This Row],[GIO]]="X"), "X", IF(AND('Inserimento dati'!$B$3=$L$2, Tabella3[[#This Row],[VEN]]="X"), "X","")))))</f>
        <v/>
      </c>
      <c r="U70" s="157" t="str">
        <f t="shared" ca="1" si="4"/>
        <v/>
      </c>
      <c r="V70" s="187">
        <v>45930.833333333336</v>
      </c>
    </row>
    <row r="71" spans="1:22" s="19" customFormat="1" ht="23.25" x14ac:dyDescent="0.2">
      <c r="A71" s="112"/>
      <c r="B71" s="112" t="str">
        <f t="shared" si="3"/>
        <v>X</v>
      </c>
      <c r="C71" s="112" t="str">
        <f>IF(OR(Tabella3[[#This Row],[LUN]]="X",Tabella3[[#This Row],[MAR]]="X",Tabella3[[#This Row],[MER]]="X",Tabella3[[#This Row],[GIO]]="X",Tabella3[[#This Row],[VEN]]="X",),"X","")</f>
        <v/>
      </c>
      <c r="D71" s="113" t="s">
        <v>87</v>
      </c>
      <c r="E71" s="109" t="s">
        <v>888</v>
      </c>
      <c r="F71" s="109" t="s">
        <v>96</v>
      </c>
      <c r="G71" s="109" t="s">
        <v>1841</v>
      </c>
      <c r="H71" s="111"/>
      <c r="I71" s="111"/>
      <c r="J71" s="111"/>
      <c r="K71" s="111"/>
      <c r="L71" s="111"/>
      <c r="M71" s="109" t="s">
        <v>1258</v>
      </c>
      <c r="N71" s="109"/>
      <c r="O71" s="109"/>
      <c r="P71" s="109"/>
      <c r="Q71" s="109"/>
      <c r="R71" s="110">
        <v>45727</v>
      </c>
      <c r="S71" s="109" t="s">
        <v>211</v>
      </c>
      <c r="T71" s="116" t="str">
        <f ca="1">IF(AND('Inserimento dati'!$B$3=$H$2, Tabella3[[#This Row],[LUN]]="X"), "X",IF(AND('Inserimento dati'!$B$3=$I$2, Tabella3[[#This Row],[MAR]]="X"), "X", IF(AND('Inserimento dati'!$B$3=$J$2, Tabella3[[#This Row],[MER]]="X"), "X",IF(AND('Inserimento dati'!$B$3=$K$2, Tabella3[[#This Row],[GIO]]="X"), "X", IF(AND('Inserimento dati'!$B$3=$L$2, Tabella3[[#This Row],[VEN]]="X"), "X","")))))</f>
        <v/>
      </c>
      <c r="U71" s="157" t="str">
        <f t="shared" ca="1" si="4"/>
        <v/>
      </c>
      <c r="V71" s="187">
        <v>45930.833333333336</v>
      </c>
    </row>
    <row r="72" spans="1:22" s="19" customFormat="1" ht="23.25" x14ac:dyDescent="0.2">
      <c r="A72" s="112"/>
      <c r="B72" s="112" t="str">
        <f t="shared" si="3"/>
        <v>X</v>
      </c>
      <c r="C72" s="112" t="str">
        <f>IF(OR(Tabella3[[#This Row],[LUN]]="X",Tabella3[[#This Row],[MAR]]="X",Tabella3[[#This Row],[MER]]="X",Tabella3[[#This Row],[GIO]]="X",Tabella3[[#This Row],[VEN]]="X",),"X","")</f>
        <v/>
      </c>
      <c r="D72" s="113" t="s">
        <v>87</v>
      </c>
      <c r="E72" s="109" t="s">
        <v>879</v>
      </c>
      <c r="F72" s="109">
        <v>1100</v>
      </c>
      <c r="G72" s="109" t="s">
        <v>1842</v>
      </c>
      <c r="H72" s="111"/>
      <c r="I72" s="111"/>
      <c r="J72" s="111"/>
      <c r="K72" s="111"/>
      <c r="L72" s="111"/>
      <c r="M72" s="109" t="s">
        <v>1258</v>
      </c>
      <c r="N72" s="109"/>
      <c r="O72" s="109"/>
      <c r="P72" s="109"/>
      <c r="Q72" s="109"/>
      <c r="R72" s="110"/>
      <c r="S72" s="109"/>
      <c r="T72" s="116" t="str">
        <f ca="1">IF(AND('Inserimento dati'!$B$3=$H$2, Tabella3[[#This Row],[LUN]]="X"), "X",IF(AND('Inserimento dati'!$B$3=$I$2, Tabella3[[#This Row],[MAR]]="X"), "X", IF(AND('Inserimento dati'!$B$3=$J$2, Tabella3[[#This Row],[MER]]="X"), "X",IF(AND('Inserimento dati'!$B$3=$K$2, Tabella3[[#This Row],[GIO]]="X"), "X", IF(AND('Inserimento dati'!$B$3=$L$2, Tabella3[[#This Row],[VEN]]="X"), "X","")))))</f>
        <v/>
      </c>
      <c r="U72" s="157" t="str">
        <f t="shared" ca="1" si="4"/>
        <v/>
      </c>
      <c r="V72" s="187">
        <v>45930.833333333336</v>
      </c>
    </row>
    <row r="73" spans="1:22" s="19" customFormat="1" ht="23.25" x14ac:dyDescent="0.2">
      <c r="A73" s="112"/>
      <c r="B73" s="112" t="str">
        <f t="shared" si="3"/>
        <v>X</v>
      </c>
      <c r="C73" s="112" t="str">
        <f>IF(OR(Tabella3[[#This Row],[LUN]]="X",Tabella3[[#This Row],[MAR]]="X",Tabella3[[#This Row],[MER]]="X",Tabella3[[#This Row],[GIO]]="X",Tabella3[[#This Row],[VEN]]="X",),"X","")</f>
        <v/>
      </c>
      <c r="D73" s="113" t="s">
        <v>87</v>
      </c>
      <c r="E73" s="109" t="s">
        <v>880</v>
      </c>
      <c r="F73" s="109" t="s">
        <v>114</v>
      </c>
      <c r="G73" s="109" t="s">
        <v>1843</v>
      </c>
      <c r="H73" s="111"/>
      <c r="I73" s="111"/>
      <c r="J73" s="111"/>
      <c r="K73" s="111"/>
      <c r="L73" s="111"/>
      <c r="M73" s="109" t="s">
        <v>1258</v>
      </c>
      <c r="N73" s="109"/>
      <c r="O73" s="109"/>
      <c r="P73" s="109"/>
      <c r="Q73" s="109"/>
      <c r="R73" s="110"/>
      <c r="S73" s="109"/>
      <c r="T73" s="116" t="str">
        <f ca="1">IF(AND('Inserimento dati'!$B$3=$H$2, Tabella3[[#This Row],[LUN]]="X"), "X",IF(AND('Inserimento dati'!$B$3=$I$2, Tabella3[[#This Row],[MAR]]="X"), "X", IF(AND('Inserimento dati'!$B$3=$J$2, Tabella3[[#This Row],[MER]]="X"), "X",IF(AND('Inserimento dati'!$B$3=$K$2, Tabella3[[#This Row],[GIO]]="X"), "X", IF(AND('Inserimento dati'!$B$3=$L$2, Tabella3[[#This Row],[VEN]]="X"), "X","")))))</f>
        <v/>
      </c>
      <c r="U73" s="157" t="str">
        <f t="shared" ca="1" si="4"/>
        <v/>
      </c>
      <c r="V73" s="187">
        <v>45930.833333333336</v>
      </c>
    </row>
    <row r="74" spans="1:22" s="19" customFormat="1" ht="30" x14ac:dyDescent="0.2">
      <c r="A74" s="112"/>
      <c r="B74" s="112" t="str">
        <f t="shared" ref="B74:B105" si="5">IF(OR(A74="x",A74="X"),"",IF(ISBLANK(A74),"X",""))</f>
        <v>X</v>
      </c>
      <c r="C74" s="112" t="str">
        <f>IF(OR(Tabella3[[#This Row],[LUN]]="X",Tabella3[[#This Row],[MAR]]="X",Tabella3[[#This Row],[MER]]="X",Tabella3[[#This Row],[GIO]]="X",Tabella3[[#This Row],[VEN]]="X",),"X","")</f>
        <v/>
      </c>
      <c r="D74" s="113" t="s">
        <v>87</v>
      </c>
      <c r="E74" s="109" t="s">
        <v>883</v>
      </c>
      <c r="F74" s="109" t="s">
        <v>96</v>
      </c>
      <c r="G74" s="109" t="s">
        <v>1844</v>
      </c>
      <c r="H74" s="111"/>
      <c r="I74" s="111"/>
      <c r="J74" s="111"/>
      <c r="K74" s="111"/>
      <c r="L74" s="111"/>
      <c r="M74" s="109" t="s">
        <v>1258</v>
      </c>
      <c r="N74" s="109"/>
      <c r="O74" s="109"/>
      <c r="P74" s="109"/>
      <c r="Q74" s="109" t="s">
        <v>884</v>
      </c>
      <c r="R74" s="110">
        <v>45726</v>
      </c>
      <c r="S74" s="109" t="s">
        <v>825</v>
      </c>
      <c r="T74" s="116" t="str">
        <f ca="1">IF(AND('Inserimento dati'!$B$3=$H$2, Tabella3[[#This Row],[LUN]]="X"), "X",IF(AND('Inserimento dati'!$B$3=$I$2, Tabella3[[#This Row],[MAR]]="X"), "X", IF(AND('Inserimento dati'!$B$3=$J$2, Tabella3[[#This Row],[MER]]="X"), "X",IF(AND('Inserimento dati'!$B$3=$K$2, Tabella3[[#This Row],[GIO]]="X"), "X", IF(AND('Inserimento dati'!$B$3=$L$2, Tabella3[[#This Row],[VEN]]="X"), "X","")))))</f>
        <v/>
      </c>
      <c r="U74" s="157" t="str">
        <f t="shared" ca="1" si="4"/>
        <v/>
      </c>
      <c r="V74" s="187">
        <v>45930.833333333336</v>
      </c>
    </row>
    <row r="75" spans="1:22" s="19" customFormat="1" ht="30" x14ac:dyDescent="0.2">
      <c r="A75" s="112"/>
      <c r="B75" s="112" t="str">
        <f t="shared" si="5"/>
        <v>X</v>
      </c>
      <c r="C75" s="112" t="str">
        <f>IF(OR(Tabella3[[#This Row],[LUN]]="X",Tabella3[[#This Row],[MAR]]="X",Tabella3[[#This Row],[MER]]="X",Tabella3[[#This Row],[GIO]]="X",Tabella3[[#This Row],[VEN]]="X",),"X","")</f>
        <v/>
      </c>
      <c r="D75" s="113" t="s">
        <v>87</v>
      </c>
      <c r="E75" s="109" t="s">
        <v>512</v>
      </c>
      <c r="F75" s="109" t="s">
        <v>112</v>
      </c>
      <c r="G75" s="109" t="s">
        <v>1845</v>
      </c>
      <c r="H75" s="111"/>
      <c r="I75" s="111"/>
      <c r="J75" s="111"/>
      <c r="K75" s="111"/>
      <c r="L75" s="111"/>
      <c r="M75" s="109" t="s">
        <v>1258</v>
      </c>
      <c r="N75" s="109"/>
      <c r="O75" s="109"/>
      <c r="P75" s="109"/>
      <c r="Q75" s="109" t="s">
        <v>840</v>
      </c>
      <c r="R75" s="110">
        <v>45720</v>
      </c>
      <c r="S75" s="110" t="s">
        <v>616</v>
      </c>
      <c r="T75" s="112" t="str">
        <f ca="1">IF(AND('Inserimento dati'!$B$3=$H$2, Tabella3[[#This Row],[LUN]]="X"), "X",IF(AND('Inserimento dati'!$B$3=$I$2, Tabella3[[#This Row],[MAR]]="X"), "X", IF(AND('Inserimento dati'!$B$3=$J$2, Tabella3[[#This Row],[MER]]="X"), "X",IF(AND('Inserimento dati'!$B$3=$K$2, Tabella3[[#This Row],[GIO]]="X"), "X", IF(AND('Inserimento dati'!$B$3=$L$2, Tabella3[[#This Row],[VEN]]="X"), "X","")))))</f>
        <v/>
      </c>
      <c r="U75" s="157" t="str">
        <f t="shared" ca="1" si="4"/>
        <v/>
      </c>
      <c r="V75" s="187">
        <v>45930.833333333336</v>
      </c>
    </row>
    <row r="76" spans="1:22" s="19" customFormat="1" ht="30" x14ac:dyDescent="0.2">
      <c r="A76" s="112"/>
      <c r="B76" s="112" t="str">
        <f t="shared" si="5"/>
        <v>X</v>
      </c>
      <c r="C76" s="112" t="str">
        <f>IF(OR(Tabella3[[#This Row],[LUN]]="X",Tabella3[[#This Row],[MAR]]="X",Tabella3[[#This Row],[MER]]="X",Tabella3[[#This Row],[GIO]]="X",Tabella3[[#This Row],[VEN]]="X",),"X","")</f>
        <v/>
      </c>
      <c r="D76" s="113" t="s">
        <v>87</v>
      </c>
      <c r="E76" s="109" t="s">
        <v>824</v>
      </c>
      <c r="F76" s="109" t="s">
        <v>88</v>
      </c>
      <c r="G76" s="109" t="s">
        <v>1846</v>
      </c>
      <c r="H76" s="111"/>
      <c r="I76" s="111"/>
      <c r="J76" s="111"/>
      <c r="K76" s="111"/>
      <c r="L76" s="111"/>
      <c r="M76" s="109" t="s">
        <v>1258</v>
      </c>
      <c r="N76" s="109"/>
      <c r="O76" s="109"/>
      <c r="P76" s="109"/>
      <c r="Q76" s="109" t="s">
        <v>841</v>
      </c>
      <c r="R76" s="110">
        <v>45720</v>
      </c>
      <c r="S76" s="109" t="s">
        <v>825</v>
      </c>
      <c r="T76" s="116" t="str">
        <f ca="1">IF(AND('Inserimento dati'!$B$3=$H$2, Tabella3[[#This Row],[LUN]]="X"), "X",IF(AND('Inserimento dati'!$B$3=$I$2, Tabella3[[#This Row],[MAR]]="X"), "X", IF(AND('Inserimento dati'!$B$3=$J$2, Tabella3[[#This Row],[MER]]="X"), "X",IF(AND('Inserimento dati'!$B$3=$K$2, Tabella3[[#This Row],[GIO]]="X"), "X", IF(AND('Inserimento dati'!$B$3=$L$2, Tabella3[[#This Row],[VEN]]="X"), "X","")))))</f>
        <v/>
      </c>
      <c r="U76" s="157" t="str">
        <f t="shared" ca="1" si="4"/>
        <v/>
      </c>
      <c r="V76" s="187">
        <v>45930.833333333336</v>
      </c>
    </row>
    <row r="77" spans="1:22" s="19" customFormat="1" ht="30" x14ac:dyDescent="0.2">
      <c r="A77" s="112"/>
      <c r="B77" s="112" t="str">
        <f t="shared" si="5"/>
        <v>X</v>
      </c>
      <c r="C77" s="112" t="str">
        <f>IF(OR(Tabella3[[#This Row],[LUN]]="X",Tabella3[[#This Row],[MAR]]="X",Tabella3[[#This Row],[MER]]="X",Tabella3[[#This Row],[GIO]]="X",Tabella3[[#This Row],[VEN]]="X",),"X","")</f>
        <v/>
      </c>
      <c r="D77" s="113" t="s">
        <v>87</v>
      </c>
      <c r="E77" s="109" t="s">
        <v>817</v>
      </c>
      <c r="F77" s="109" t="s">
        <v>96</v>
      </c>
      <c r="G77" s="109" t="s">
        <v>1847</v>
      </c>
      <c r="H77" s="111"/>
      <c r="I77" s="111"/>
      <c r="J77" s="111"/>
      <c r="K77" s="111"/>
      <c r="L77" s="111"/>
      <c r="M77" s="109" t="s">
        <v>1258</v>
      </c>
      <c r="N77" s="109"/>
      <c r="O77" s="109"/>
      <c r="P77" s="109"/>
      <c r="Q77" s="109" t="s">
        <v>816</v>
      </c>
      <c r="R77" s="110">
        <v>45719</v>
      </c>
      <c r="S77" s="109" t="s">
        <v>713</v>
      </c>
      <c r="T77" s="116" t="str">
        <f ca="1">IF(AND('Inserimento dati'!$B$3=$H$2, Tabella3[[#This Row],[LUN]]="X"), "X",IF(AND('Inserimento dati'!$B$3=$I$2, Tabella3[[#This Row],[MAR]]="X"), "X", IF(AND('Inserimento dati'!$B$3=$J$2, Tabella3[[#This Row],[MER]]="X"), "X",IF(AND('Inserimento dati'!$B$3=$K$2, Tabella3[[#This Row],[GIO]]="X"), "X", IF(AND('Inserimento dati'!$B$3=$L$2, Tabella3[[#This Row],[VEN]]="X"), "X","")))))</f>
        <v/>
      </c>
      <c r="U77" s="157" t="str">
        <f t="shared" ca="1" si="4"/>
        <v/>
      </c>
      <c r="V77" s="187">
        <v>45930.833333333336</v>
      </c>
    </row>
    <row r="78" spans="1:22" s="19" customFormat="1" ht="30" x14ac:dyDescent="0.2">
      <c r="A78" s="112"/>
      <c r="B78" s="112" t="str">
        <f t="shared" si="5"/>
        <v>X</v>
      </c>
      <c r="C78" s="112" t="str">
        <f>IF(OR(Tabella3[[#This Row],[LUN]]="X",Tabella3[[#This Row],[MAR]]="X",Tabella3[[#This Row],[MER]]="X",Tabella3[[#This Row],[GIO]]="X",Tabella3[[#This Row],[VEN]]="X",),"X","")</f>
        <v/>
      </c>
      <c r="D78" s="113" t="s">
        <v>87</v>
      </c>
      <c r="E78" s="109" t="s">
        <v>808</v>
      </c>
      <c r="F78" s="109" t="s">
        <v>96</v>
      </c>
      <c r="G78" s="109" t="s">
        <v>1848</v>
      </c>
      <c r="H78" s="111"/>
      <c r="I78" s="111"/>
      <c r="J78" s="111"/>
      <c r="K78" s="111"/>
      <c r="L78" s="111"/>
      <c r="M78" s="109" t="s">
        <v>1258</v>
      </c>
      <c r="N78" s="109"/>
      <c r="O78" s="109"/>
      <c r="P78" s="109"/>
      <c r="Q78" s="109" t="s">
        <v>813</v>
      </c>
      <c r="R78" s="110">
        <v>45716</v>
      </c>
      <c r="S78" s="109" t="s">
        <v>50</v>
      </c>
      <c r="T78" s="116" t="str">
        <f ca="1">IF(AND('Inserimento dati'!$B$3=$H$2, Tabella3[[#This Row],[LUN]]="X"), "X",IF(AND('Inserimento dati'!$B$3=$I$2, Tabella3[[#This Row],[MAR]]="X"), "X", IF(AND('Inserimento dati'!$B$3=$J$2, Tabella3[[#This Row],[MER]]="X"), "X",IF(AND('Inserimento dati'!$B$3=$K$2, Tabella3[[#This Row],[GIO]]="X"), "X", IF(AND('Inserimento dati'!$B$3=$L$2, Tabella3[[#This Row],[VEN]]="X"), "X","")))))</f>
        <v/>
      </c>
      <c r="U78" s="157" t="str">
        <f t="shared" ca="1" si="4"/>
        <v/>
      </c>
      <c r="V78" s="187">
        <v>45930.833333333336</v>
      </c>
    </row>
    <row r="79" spans="1:22" s="19" customFormat="1" ht="60" x14ac:dyDescent="0.2">
      <c r="A79" s="112"/>
      <c r="B79" s="112" t="str">
        <f t="shared" si="5"/>
        <v>X</v>
      </c>
      <c r="C79" s="112" t="str">
        <f>IF(OR(Tabella3[[#This Row],[LUN]]="X",Tabella3[[#This Row],[MAR]]="X",Tabella3[[#This Row],[MER]]="X",Tabella3[[#This Row],[GIO]]="X",Tabella3[[#This Row],[VEN]]="X",),"X","")</f>
        <v/>
      </c>
      <c r="D79" s="113" t="s">
        <v>87</v>
      </c>
      <c r="E79" s="109" t="s">
        <v>756</v>
      </c>
      <c r="F79" s="109">
        <v>700</v>
      </c>
      <c r="G79" s="109" t="s">
        <v>1849</v>
      </c>
      <c r="H79" s="111"/>
      <c r="I79" s="111"/>
      <c r="J79" s="111"/>
      <c r="K79" s="111"/>
      <c r="L79" s="111"/>
      <c r="M79" s="109" t="s">
        <v>1258</v>
      </c>
      <c r="N79" s="109"/>
      <c r="O79" s="109"/>
      <c r="P79" s="109"/>
      <c r="Q79" s="109" t="s">
        <v>823</v>
      </c>
      <c r="R79" s="110">
        <v>45719</v>
      </c>
      <c r="S79" s="109" t="s">
        <v>635</v>
      </c>
      <c r="T79" s="116" t="str">
        <f ca="1">IF(AND('Inserimento dati'!$B$3=$H$2, Tabella3[[#This Row],[LUN]]="X"), "X",IF(AND('Inserimento dati'!$B$3=$I$2, Tabella3[[#This Row],[MAR]]="X"), "X", IF(AND('Inserimento dati'!$B$3=$J$2, Tabella3[[#This Row],[MER]]="X"), "X",IF(AND('Inserimento dati'!$B$3=$K$2, Tabella3[[#This Row],[GIO]]="X"), "X", IF(AND('Inserimento dati'!$B$3=$L$2, Tabella3[[#This Row],[VEN]]="X"), "X","")))))</f>
        <v/>
      </c>
      <c r="U79" s="157" t="str">
        <f t="shared" ca="1" si="4"/>
        <v xml:space="preserve"> 1021826</v>
      </c>
      <c r="V79" s="187">
        <v>45930.833333333336</v>
      </c>
    </row>
    <row r="80" spans="1:22" s="19" customFormat="1" ht="30" x14ac:dyDescent="0.2">
      <c r="A80" s="112"/>
      <c r="B80" s="112" t="str">
        <f t="shared" si="5"/>
        <v>X</v>
      </c>
      <c r="C80" s="112" t="str">
        <f>IF(OR(Tabella3[[#This Row],[LUN]]="X",Tabella3[[#This Row],[MAR]]="X",Tabella3[[#This Row],[MER]]="X",Tabella3[[#This Row],[GIO]]="X",Tabella3[[#This Row],[VEN]]="X",),"X","")</f>
        <v/>
      </c>
      <c r="D80" s="113" t="s">
        <v>87</v>
      </c>
      <c r="E80" s="109" t="s">
        <v>675</v>
      </c>
      <c r="F80" s="109" t="s">
        <v>96</v>
      </c>
      <c r="G80" s="109" t="s">
        <v>1850</v>
      </c>
      <c r="H80" s="111"/>
      <c r="I80" s="111"/>
      <c r="J80" s="111"/>
      <c r="K80" s="111"/>
      <c r="L80" s="111"/>
      <c r="M80" s="109" t="s">
        <v>1258</v>
      </c>
      <c r="N80" s="109"/>
      <c r="O80" s="109"/>
      <c r="P80" s="109"/>
      <c r="Q80" s="109" t="s">
        <v>707</v>
      </c>
      <c r="R80" s="110">
        <v>45701</v>
      </c>
      <c r="S80" s="109" t="s">
        <v>211</v>
      </c>
      <c r="T80" s="116" t="str">
        <f ca="1">IF(AND('Inserimento dati'!$B$3=$H$2, Tabella3[[#This Row],[LUN]]="X"), "X",IF(AND('Inserimento dati'!$B$3=$I$2, Tabella3[[#This Row],[MAR]]="X"), "X", IF(AND('Inserimento dati'!$B$3=$J$2, Tabella3[[#This Row],[MER]]="X"), "X",IF(AND('Inserimento dati'!$B$3=$K$2, Tabella3[[#This Row],[GIO]]="X"), "X", IF(AND('Inserimento dati'!$B$3=$L$2, Tabella3[[#This Row],[VEN]]="X"), "X","")))))</f>
        <v/>
      </c>
      <c r="U80" s="157" t="str">
        <f t="shared" ca="1" si="4"/>
        <v/>
      </c>
      <c r="V80" s="187">
        <v>45930.833333333336</v>
      </c>
    </row>
    <row r="81" spans="1:22" s="19" customFormat="1" ht="30" x14ac:dyDescent="0.2">
      <c r="A81" s="112"/>
      <c r="B81" s="112" t="str">
        <f t="shared" si="5"/>
        <v>X</v>
      </c>
      <c r="C81" s="112" t="str">
        <f>IF(OR(Tabella3[[#This Row],[LUN]]="X",Tabella3[[#This Row],[MAR]]="X",Tabella3[[#This Row],[MER]]="X",Tabella3[[#This Row],[GIO]]="X",Tabella3[[#This Row],[VEN]]="X",),"X","")</f>
        <v/>
      </c>
      <c r="D81" s="113" t="s">
        <v>87</v>
      </c>
      <c r="E81" s="109" t="s">
        <v>210</v>
      </c>
      <c r="F81" s="109">
        <v>2400</v>
      </c>
      <c r="G81" s="109" t="s">
        <v>1851</v>
      </c>
      <c r="H81" s="111"/>
      <c r="I81" s="111"/>
      <c r="J81" s="111"/>
      <c r="K81" s="111"/>
      <c r="L81" s="111"/>
      <c r="M81" s="109" t="s">
        <v>1258</v>
      </c>
      <c r="N81" s="109" t="s">
        <v>23</v>
      </c>
      <c r="O81" s="109"/>
      <c r="P81" s="109"/>
      <c r="Q81" s="109" t="s">
        <v>444</v>
      </c>
      <c r="R81" s="110">
        <v>45635</v>
      </c>
      <c r="S81" s="110"/>
      <c r="T81" s="116" t="str">
        <f ca="1">IF(AND('Inserimento dati'!$B$3=$H$2, Tabella3[[#This Row],[LUN]]="X"), "X",IF(AND('Inserimento dati'!$B$3=$I$2, Tabella3[[#This Row],[MAR]]="X"), "X", IF(AND('Inserimento dati'!$B$3=$J$2, Tabella3[[#This Row],[MER]]="X"), "X",IF(AND('Inserimento dati'!$B$3=$K$2, Tabella3[[#This Row],[GIO]]="X"), "X", IF(AND('Inserimento dati'!$B$3=$L$2, Tabella3[[#This Row],[VEN]]="X"), "X","")))))</f>
        <v/>
      </c>
      <c r="U81" s="157" t="str">
        <f t="shared" ca="1" si="4"/>
        <v/>
      </c>
      <c r="V81" s="187">
        <v>45930.833333333336</v>
      </c>
    </row>
    <row r="82" spans="1:22" s="19" customFormat="1" ht="30" x14ac:dyDescent="0.2">
      <c r="A82" s="112"/>
      <c r="B82" s="112" t="str">
        <f t="shared" si="5"/>
        <v>X</v>
      </c>
      <c r="C82" s="112" t="str">
        <f>IF(OR(Tabella3[[#This Row],[LUN]]="X",Tabella3[[#This Row],[MAR]]="X",Tabella3[[#This Row],[MER]]="X",Tabella3[[#This Row],[GIO]]="X",Tabella3[[#This Row],[VEN]]="X",),"X","")</f>
        <v/>
      </c>
      <c r="D82" s="113" t="s">
        <v>87</v>
      </c>
      <c r="E82" s="109" t="s">
        <v>797</v>
      </c>
      <c r="F82" s="109">
        <v>1800</v>
      </c>
      <c r="G82" s="109" t="s">
        <v>1852</v>
      </c>
      <c r="H82" s="111"/>
      <c r="I82" s="111"/>
      <c r="J82" s="111"/>
      <c r="K82" s="111"/>
      <c r="L82" s="111"/>
      <c r="M82" s="109" t="s">
        <v>1258</v>
      </c>
      <c r="N82" s="109"/>
      <c r="O82" s="109"/>
      <c r="P82" s="109"/>
      <c r="Q82" s="109" t="s">
        <v>792</v>
      </c>
      <c r="R82" s="110">
        <v>45714</v>
      </c>
      <c r="S82" s="109" t="s">
        <v>793</v>
      </c>
      <c r="T82" s="116" t="str">
        <f ca="1">IF(AND('Inserimento dati'!$B$3=$H$2, Tabella3[[#This Row],[LUN]]="X"), "X",IF(AND('Inserimento dati'!$B$3=$I$2, Tabella3[[#This Row],[MAR]]="X"), "X", IF(AND('Inserimento dati'!$B$3=$J$2, Tabella3[[#This Row],[MER]]="X"), "X",IF(AND('Inserimento dati'!$B$3=$K$2, Tabella3[[#This Row],[GIO]]="X"), "X", IF(AND('Inserimento dati'!$B$3=$L$2, Tabella3[[#This Row],[VEN]]="X"), "X","")))))</f>
        <v/>
      </c>
      <c r="U82" s="157" t="str">
        <f t="shared" ca="1" si="4"/>
        <v/>
      </c>
      <c r="V82" s="187">
        <v>45930.833333333336</v>
      </c>
    </row>
    <row r="83" spans="1:22" s="19" customFormat="1" ht="45" x14ac:dyDescent="0.2">
      <c r="A83" s="112"/>
      <c r="B83" s="112" t="str">
        <f t="shared" si="5"/>
        <v>X</v>
      </c>
      <c r="C83" s="112" t="str">
        <f>IF(OR(Tabella3[[#This Row],[LUN]]="X",Tabella3[[#This Row],[MAR]]="X",Tabella3[[#This Row],[MER]]="X",Tabella3[[#This Row],[GIO]]="X",Tabella3[[#This Row],[VEN]]="X",),"X","")</f>
        <v/>
      </c>
      <c r="D83" s="113" t="s">
        <v>87</v>
      </c>
      <c r="E83" s="109" t="s">
        <v>670</v>
      </c>
      <c r="F83" s="109" t="s">
        <v>114</v>
      </c>
      <c r="G83" s="109" t="s">
        <v>1853</v>
      </c>
      <c r="H83" s="111"/>
      <c r="I83" s="111"/>
      <c r="J83" s="111"/>
      <c r="K83" s="111"/>
      <c r="L83" s="111"/>
      <c r="M83" s="109" t="s">
        <v>1258</v>
      </c>
      <c r="N83" s="109"/>
      <c r="O83" s="109"/>
      <c r="P83" s="109"/>
      <c r="Q83" s="109" t="s">
        <v>708</v>
      </c>
      <c r="R83" s="110">
        <v>45700</v>
      </c>
      <c r="S83" s="109" t="s">
        <v>673</v>
      </c>
      <c r="T83" s="116" t="str">
        <f ca="1">IF(AND('Inserimento dati'!$B$3=$H$2, Tabella3[[#This Row],[LUN]]="X"), "X",IF(AND('Inserimento dati'!$B$3=$I$2, Tabella3[[#This Row],[MAR]]="X"), "X", IF(AND('Inserimento dati'!$B$3=$J$2, Tabella3[[#This Row],[MER]]="X"), "X",IF(AND('Inserimento dati'!$B$3=$K$2, Tabella3[[#This Row],[GIO]]="X"), "X", IF(AND('Inserimento dati'!$B$3=$L$2, Tabella3[[#This Row],[VEN]]="X"), "X","")))))</f>
        <v/>
      </c>
      <c r="U83" s="157" t="str">
        <f t="shared" ca="1" si="4"/>
        <v/>
      </c>
      <c r="V83" s="187">
        <v>45930.833333333336</v>
      </c>
    </row>
    <row r="84" spans="1:22" s="19" customFormat="1" ht="23.25" x14ac:dyDescent="0.2">
      <c r="A84" s="112"/>
      <c r="B84" s="112" t="str">
        <f t="shared" si="5"/>
        <v>X</v>
      </c>
      <c r="C84" s="112" t="str">
        <f>IF(OR(Tabella3[[#This Row],[LUN]]="X",Tabella3[[#This Row],[MAR]]="X",Tabella3[[#This Row],[MER]]="X",Tabella3[[#This Row],[GIO]]="X",Tabella3[[#This Row],[VEN]]="X",),"X","")</f>
        <v/>
      </c>
      <c r="D84" s="113" t="s">
        <v>87</v>
      </c>
      <c r="E84" s="109" t="s">
        <v>701</v>
      </c>
      <c r="F84" s="109" t="s">
        <v>114</v>
      </c>
      <c r="G84" s="109" t="s">
        <v>1854</v>
      </c>
      <c r="H84" s="111"/>
      <c r="I84" s="111"/>
      <c r="J84" s="111"/>
      <c r="K84" s="111"/>
      <c r="L84" s="111"/>
      <c r="M84" s="109" t="s">
        <v>1258</v>
      </c>
      <c r="N84" s="109"/>
      <c r="O84" s="109"/>
      <c r="P84" s="109"/>
      <c r="Q84" s="109" t="s">
        <v>699</v>
      </c>
      <c r="R84" s="110"/>
      <c r="S84" s="109"/>
      <c r="T84" s="112" t="str">
        <f ca="1">IF(AND('Inserimento dati'!$B$3=$H$2, Tabella3[[#This Row],[LUN]]="X"), "X",IF(AND('Inserimento dati'!$B$3=$I$2, Tabella3[[#This Row],[MAR]]="X"), "X", IF(AND('Inserimento dati'!$B$3=$J$2, Tabella3[[#This Row],[MER]]="X"), "X",IF(AND('Inserimento dati'!$B$3=$K$2, Tabella3[[#This Row],[GIO]]="X"), "X", IF(AND('Inserimento dati'!$B$3=$L$2, Tabella3[[#This Row],[VEN]]="X"), "X","")))))</f>
        <v/>
      </c>
      <c r="U84" s="157" t="str">
        <f t="shared" ca="1" si="4"/>
        <v/>
      </c>
      <c r="V84" s="187">
        <v>45930.833333333336</v>
      </c>
    </row>
    <row r="85" spans="1:22" s="19" customFormat="1" ht="23.25" x14ac:dyDescent="0.2">
      <c r="A85" s="112"/>
      <c r="B85" s="112" t="str">
        <f t="shared" si="5"/>
        <v>X</v>
      </c>
      <c r="C85" s="112" t="str">
        <f>IF(OR(Tabella3[[#This Row],[LUN]]="X",Tabella3[[#This Row],[MAR]]="X",Tabella3[[#This Row],[MER]]="X",Tabella3[[#This Row],[GIO]]="X",Tabella3[[#This Row],[VEN]]="X",),"X","")</f>
        <v/>
      </c>
      <c r="D85" s="113" t="s">
        <v>87</v>
      </c>
      <c r="E85" s="109" t="s">
        <v>669</v>
      </c>
      <c r="F85" s="109">
        <v>1800</v>
      </c>
      <c r="G85" s="109" t="s">
        <v>1855</v>
      </c>
      <c r="H85" s="111"/>
      <c r="I85" s="111"/>
      <c r="J85" s="111"/>
      <c r="K85" s="111"/>
      <c r="L85" s="111"/>
      <c r="M85" s="109" t="s">
        <v>1258</v>
      </c>
      <c r="N85" s="109"/>
      <c r="O85" s="109"/>
      <c r="P85" s="109"/>
      <c r="Q85" s="109"/>
      <c r="R85" s="110"/>
      <c r="S85" s="109"/>
      <c r="T85" s="116" t="str">
        <f ca="1">IF(AND('Inserimento dati'!$B$3=$H$2, Tabella3[[#This Row],[LUN]]="X"), "X",IF(AND('Inserimento dati'!$B$3=$I$2, Tabella3[[#This Row],[MAR]]="X"), "X", IF(AND('Inserimento dati'!$B$3=$J$2, Tabella3[[#This Row],[MER]]="X"), "X",IF(AND('Inserimento dati'!$B$3=$K$2, Tabella3[[#This Row],[GIO]]="X"), "X", IF(AND('Inserimento dati'!$B$3=$L$2, Tabella3[[#This Row],[VEN]]="X"), "X","")))))</f>
        <v/>
      </c>
      <c r="U85" s="157" t="str">
        <f t="shared" ca="1" si="4"/>
        <v xml:space="preserve"> 1021739</v>
      </c>
      <c r="V85" s="187">
        <v>45930.833333333336</v>
      </c>
    </row>
    <row r="86" spans="1:22" s="19" customFormat="1" ht="23.25" x14ac:dyDescent="0.2">
      <c r="A86" s="112"/>
      <c r="B86" s="112" t="str">
        <f t="shared" si="5"/>
        <v>X</v>
      </c>
      <c r="C86" s="112" t="str">
        <f>IF(OR(Tabella3[[#This Row],[LUN]]="X",Tabella3[[#This Row],[MAR]]="X",Tabella3[[#This Row],[MER]]="X",Tabella3[[#This Row],[GIO]]="X",Tabella3[[#This Row],[VEN]]="X",),"X","")</f>
        <v/>
      </c>
      <c r="D86" s="113" t="s">
        <v>87</v>
      </c>
      <c r="E86" s="109" t="s">
        <v>688</v>
      </c>
      <c r="F86" s="109" t="s">
        <v>96</v>
      </c>
      <c r="G86" s="109" t="s">
        <v>1856</v>
      </c>
      <c r="H86" s="111"/>
      <c r="I86" s="111"/>
      <c r="J86" s="111"/>
      <c r="K86" s="111"/>
      <c r="L86" s="111"/>
      <c r="M86" s="109" t="s">
        <v>1258</v>
      </c>
      <c r="N86" s="109"/>
      <c r="O86" s="109"/>
      <c r="P86" s="109"/>
      <c r="Q86" s="109" t="s">
        <v>702</v>
      </c>
      <c r="R86" s="110">
        <v>45701</v>
      </c>
      <c r="S86" s="109" t="s">
        <v>211</v>
      </c>
      <c r="T86" s="116" t="str">
        <f ca="1">IF(AND('Inserimento dati'!$B$3=$H$2, Tabella3[[#This Row],[LUN]]="X"), "X",IF(AND('Inserimento dati'!$B$3=$I$2, Tabella3[[#This Row],[MAR]]="X"), "X", IF(AND('Inserimento dati'!$B$3=$J$2, Tabella3[[#This Row],[MER]]="X"), "X",IF(AND('Inserimento dati'!$B$3=$K$2, Tabella3[[#This Row],[GIO]]="X"), "X", IF(AND('Inserimento dati'!$B$3=$L$2, Tabella3[[#This Row],[VEN]]="X"), "X","")))))</f>
        <v/>
      </c>
      <c r="U86" s="157" t="str">
        <f t="shared" ca="1" si="4"/>
        <v/>
      </c>
      <c r="V86" s="187">
        <v>45930.833333333336</v>
      </c>
    </row>
    <row r="87" spans="1:22" s="19" customFormat="1" ht="30" x14ac:dyDescent="0.2">
      <c r="A87" s="112"/>
      <c r="B87" s="112" t="str">
        <f t="shared" si="5"/>
        <v>X</v>
      </c>
      <c r="C87" s="112" t="str">
        <f>IF(OR(Tabella3[[#This Row],[LUN]]="X",Tabella3[[#This Row],[MAR]]="X",Tabella3[[#This Row],[MER]]="X",Tabella3[[#This Row],[GIO]]="X",Tabella3[[#This Row],[VEN]]="X",),"X","")</f>
        <v/>
      </c>
      <c r="D87" s="113" t="s">
        <v>87</v>
      </c>
      <c r="E87" s="109" t="s">
        <v>369</v>
      </c>
      <c r="F87" s="109">
        <v>1100</v>
      </c>
      <c r="G87" s="109" t="s">
        <v>1857</v>
      </c>
      <c r="H87" s="111"/>
      <c r="I87" s="111"/>
      <c r="J87" s="111"/>
      <c r="K87" s="111"/>
      <c r="L87" s="111"/>
      <c r="M87" s="109" t="s">
        <v>1258</v>
      </c>
      <c r="N87" s="109"/>
      <c r="O87" s="109"/>
      <c r="P87" s="109"/>
      <c r="Q87" s="109" t="s">
        <v>217</v>
      </c>
      <c r="R87" s="110">
        <v>45637</v>
      </c>
      <c r="S87" s="110" t="s">
        <v>215</v>
      </c>
      <c r="T87" s="116" t="str">
        <f ca="1">IF(AND('Inserimento dati'!$B$3=$H$2, Tabella3[[#This Row],[LUN]]="X"), "X",IF(AND('Inserimento dati'!$B$3=$I$2, Tabella3[[#This Row],[MAR]]="X"), "X", IF(AND('Inserimento dati'!$B$3=$J$2, Tabella3[[#This Row],[MER]]="X"), "X",IF(AND('Inserimento dati'!$B$3=$K$2, Tabella3[[#This Row],[GIO]]="X"), "X", IF(AND('Inserimento dati'!$B$3=$L$2, Tabella3[[#This Row],[VEN]]="X"), "X","")))))</f>
        <v/>
      </c>
      <c r="U87" s="157" t="str">
        <f t="shared" ca="1" si="4"/>
        <v xml:space="preserve"> 1020094</v>
      </c>
      <c r="V87" s="187">
        <v>45930.833333333336</v>
      </c>
    </row>
    <row r="88" spans="1:22" s="19" customFormat="1" ht="30" x14ac:dyDescent="0.2">
      <c r="A88" s="112"/>
      <c r="B88" s="112" t="str">
        <f t="shared" si="5"/>
        <v>X</v>
      </c>
      <c r="C88" s="112" t="str">
        <f>IF(OR(Tabella3[[#This Row],[LUN]]="X",Tabella3[[#This Row],[MAR]]="X",Tabella3[[#This Row],[MER]]="X",Tabella3[[#This Row],[GIO]]="X",Tabella3[[#This Row],[VEN]]="X",),"X","")</f>
        <v/>
      </c>
      <c r="D88" s="113" t="s">
        <v>87</v>
      </c>
      <c r="E88" s="109" t="s">
        <v>370</v>
      </c>
      <c r="F88" s="109">
        <v>1100</v>
      </c>
      <c r="G88" s="109" t="s">
        <v>1858</v>
      </c>
      <c r="H88" s="111"/>
      <c r="I88" s="111"/>
      <c r="J88" s="111"/>
      <c r="K88" s="111"/>
      <c r="L88" s="111"/>
      <c r="M88" s="109" t="s">
        <v>1258</v>
      </c>
      <c r="N88" s="109"/>
      <c r="O88" s="109"/>
      <c r="P88" s="109"/>
      <c r="Q88" s="109" t="s">
        <v>216</v>
      </c>
      <c r="R88" s="110">
        <v>45637</v>
      </c>
      <c r="S88" s="110" t="s">
        <v>215</v>
      </c>
      <c r="T88" s="116" t="str">
        <f ca="1">IF(AND('Inserimento dati'!$B$3=$H$2, Tabella3[[#This Row],[LUN]]="X"), "X",IF(AND('Inserimento dati'!$B$3=$I$2, Tabella3[[#This Row],[MAR]]="X"), "X", IF(AND('Inserimento dati'!$B$3=$J$2, Tabella3[[#This Row],[MER]]="X"), "X",IF(AND('Inserimento dati'!$B$3=$K$2, Tabella3[[#This Row],[GIO]]="X"), "X", IF(AND('Inserimento dati'!$B$3=$L$2, Tabella3[[#This Row],[VEN]]="X"), "X","")))))</f>
        <v/>
      </c>
      <c r="U88" s="157" t="str">
        <f t="shared" ca="1" si="4"/>
        <v xml:space="preserve"> 1020094</v>
      </c>
      <c r="V88" s="187">
        <v>45930.833333333336</v>
      </c>
    </row>
    <row r="89" spans="1:22" s="19" customFormat="1" ht="23.25" x14ac:dyDescent="0.2">
      <c r="A89" s="112"/>
      <c r="B89" s="112" t="str">
        <f t="shared" si="5"/>
        <v>X</v>
      </c>
      <c r="C89" s="112" t="str">
        <f>IF(OR(Tabella3[[#This Row],[LUN]]="X",Tabella3[[#This Row],[MAR]]="X",Tabella3[[#This Row],[MER]]="X",Tabella3[[#This Row],[GIO]]="X",Tabella3[[#This Row],[VEN]]="X",),"X","")</f>
        <v/>
      </c>
      <c r="D89" s="113" t="s">
        <v>87</v>
      </c>
      <c r="E89" s="109" t="s">
        <v>331</v>
      </c>
      <c r="F89" s="109" t="s">
        <v>112</v>
      </c>
      <c r="G89" s="109" t="s">
        <v>1859</v>
      </c>
      <c r="H89" s="111"/>
      <c r="I89" s="111"/>
      <c r="J89" s="111"/>
      <c r="K89" s="111"/>
      <c r="L89" s="111"/>
      <c r="M89" s="109" t="s">
        <v>1258</v>
      </c>
      <c r="N89" s="109"/>
      <c r="O89" s="109"/>
      <c r="P89" s="109"/>
      <c r="Q89" s="109" t="s">
        <v>527</v>
      </c>
      <c r="R89" s="110">
        <v>45681</v>
      </c>
      <c r="S89" s="110" t="s">
        <v>211</v>
      </c>
      <c r="T89" s="112" t="str">
        <f ca="1">IF(AND('Inserimento dati'!$B$3=$H$2, Tabella3[[#This Row],[LUN]]="X"), "X",IF(AND('Inserimento dati'!$B$3=$I$2, Tabella3[[#This Row],[MAR]]="X"), "X", IF(AND('Inserimento dati'!$B$3=$J$2, Tabella3[[#This Row],[MER]]="X"), "X",IF(AND('Inserimento dati'!$B$3=$K$2, Tabella3[[#This Row],[GIO]]="X"), "X", IF(AND('Inserimento dati'!$B$3=$L$2, Tabella3[[#This Row],[VEN]]="X"), "X","")))))</f>
        <v/>
      </c>
      <c r="U89" s="157" t="str">
        <f t="shared" ca="1" si="4"/>
        <v/>
      </c>
      <c r="V89" s="187">
        <v>45930.833333333336</v>
      </c>
    </row>
    <row r="90" spans="1:22" s="19" customFormat="1" ht="30" x14ac:dyDescent="0.2">
      <c r="A90" s="112"/>
      <c r="B90" s="112" t="str">
        <f t="shared" si="5"/>
        <v>X</v>
      </c>
      <c r="C90" s="112" t="str">
        <f>IF(OR(Tabella3[[#This Row],[LUN]]="X",Tabella3[[#This Row],[MAR]]="X",Tabella3[[#This Row],[MER]]="X",Tabella3[[#This Row],[GIO]]="X",Tabella3[[#This Row],[VEN]]="X",),"X","")</f>
        <v/>
      </c>
      <c r="D90" s="113" t="s">
        <v>87</v>
      </c>
      <c r="E90" s="109" t="s">
        <v>107</v>
      </c>
      <c r="F90" s="109">
        <v>1400</v>
      </c>
      <c r="G90" s="109" t="s">
        <v>1860</v>
      </c>
      <c r="H90" s="111"/>
      <c r="I90" s="111"/>
      <c r="J90" s="111"/>
      <c r="K90" s="111"/>
      <c r="L90" s="111"/>
      <c r="M90" s="109" t="s">
        <v>1258</v>
      </c>
      <c r="N90" s="109"/>
      <c r="O90" s="109"/>
      <c r="P90" s="109"/>
      <c r="Q90" s="109" t="s">
        <v>175</v>
      </c>
      <c r="R90" s="110">
        <v>45590</v>
      </c>
      <c r="S90" s="110" t="s">
        <v>102</v>
      </c>
      <c r="T90" s="116" t="str">
        <f ca="1">IF(AND('Inserimento dati'!$B$3=$H$2, Tabella3[[#This Row],[LUN]]="X"), "X",IF(AND('Inserimento dati'!$B$3=$I$2, Tabella3[[#This Row],[MAR]]="X"), "X", IF(AND('Inserimento dati'!$B$3=$J$2, Tabella3[[#This Row],[MER]]="X"), "X",IF(AND('Inserimento dati'!$B$3=$K$2, Tabella3[[#This Row],[GIO]]="X"), "X", IF(AND('Inserimento dati'!$B$3=$L$2, Tabella3[[#This Row],[VEN]]="X"), "X","")))))</f>
        <v/>
      </c>
      <c r="U90" s="157" t="str">
        <f t="shared" ca="1" si="4"/>
        <v/>
      </c>
      <c r="V90" s="187">
        <v>45930.833333333336</v>
      </c>
    </row>
    <row r="91" spans="1:22" s="19" customFormat="1" ht="30" x14ac:dyDescent="0.2">
      <c r="A91" s="112"/>
      <c r="B91" s="112" t="str">
        <f t="shared" si="5"/>
        <v>X</v>
      </c>
      <c r="C91" s="112" t="str">
        <f>IF(OR(Tabella3[[#This Row],[LUN]]="X",Tabella3[[#This Row],[MAR]]="X",Tabella3[[#This Row],[MER]]="X",Tabella3[[#This Row],[GIO]]="X",Tabella3[[#This Row],[VEN]]="X",),"X","")</f>
        <v/>
      </c>
      <c r="D91" s="113" t="s">
        <v>87</v>
      </c>
      <c r="E91" s="109" t="s">
        <v>108</v>
      </c>
      <c r="F91" s="109">
        <v>1400</v>
      </c>
      <c r="G91" s="109" t="s">
        <v>1861</v>
      </c>
      <c r="H91" s="111"/>
      <c r="I91" s="111"/>
      <c r="J91" s="111"/>
      <c r="K91" s="111"/>
      <c r="L91" s="111"/>
      <c r="M91" s="109" t="s">
        <v>1258</v>
      </c>
      <c r="N91" s="109"/>
      <c r="O91" s="109"/>
      <c r="P91" s="109"/>
      <c r="Q91" s="109" t="s">
        <v>175</v>
      </c>
      <c r="R91" s="110">
        <v>45590</v>
      </c>
      <c r="S91" s="110" t="s">
        <v>102</v>
      </c>
      <c r="T91" s="116" t="str">
        <f ca="1">IF(AND('Inserimento dati'!$B$3=$H$2, Tabella3[[#This Row],[LUN]]="X"), "X",IF(AND('Inserimento dati'!$B$3=$I$2, Tabella3[[#This Row],[MAR]]="X"), "X", IF(AND('Inserimento dati'!$B$3=$J$2, Tabella3[[#This Row],[MER]]="X"), "X",IF(AND('Inserimento dati'!$B$3=$K$2, Tabella3[[#This Row],[GIO]]="X"), "X", IF(AND('Inserimento dati'!$B$3=$L$2, Tabella3[[#This Row],[VEN]]="X"), "X","")))))</f>
        <v/>
      </c>
      <c r="U91" s="157" t="str">
        <f t="shared" ca="1" si="4"/>
        <v/>
      </c>
      <c r="V91" s="187">
        <v>45930.833333333336</v>
      </c>
    </row>
    <row r="92" spans="1:22" s="19" customFormat="1" ht="45" x14ac:dyDescent="0.2">
      <c r="A92" s="112"/>
      <c r="B92" s="112" t="str">
        <f t="shared" si="5"/>
        <v>X</v>
      </c>
      <c r="C92" s="112" t="str">
        <f>IF(OR(Tabella3[[#This Row],[LUN]]="X",Tabella3[[#This Row],[MAR]]="X",Tabella3[[#This Row],[MER]]="X",Tabella3[[#This Row],[GIO]]="X",Tabella3[[#This Row],[VEN]]="X",),"X","")</f>
        <v/>
      </c>
      <c r="D92" s="113" t="s">
        <v>87</v>
      </c>
      <c r="E92" s="109" t="s">
        <v>638</v>
      </c>
      <c r="F92" s="109" t="s">
        <v>114</v>
      </c>
      <c r="G92" s="109" t="s">
        <v>1862</v>
      </c>
      <c r="H92" s="111"/>
      <c r="I92" s="111"/>
      <c r="J92" s="111"/>
      <c r="K92" s="111"/>
      <c r="L92" s="111"/>
      <c r="M92" s="109" t="s">
        <v>1258</v>
      </c>
      <c r="N92" s="109"/>
      <c r="O92" s="109"/>
      <c r="P92" s="109"/>
      <c r="Q92" s="109" t="s">
        <v>1262</v>
      </c>
      <c r="R92" s="110">
        <v>45694</v>
      </c>
      <c r="S92" s="110" t="s">
        <v>50</v>
      </c>
      <c r="T92" s="116" t="str">
        <f ca="1">IF(AND('Inserimento dati'!$B$3=$H$2, Tabella3[[#This Row],[LUN]]="X"), "X",IF(AND('Inserimento dati'!$B$3=$I$2, Tabella3[[#This Row],[MAR]]="X"), "X", IF(AND('Inserimento dati'!$B$3=$J$2, Tabella3[[#This Row],[MER]]="X"), "X",IF(AND('Inserimento dati'!$B$3=$K$2, Tabella3[[#This Row],[GIO]]="X"), "X", IF(AND('Inserimento dati'!$B$3=$L$2, Tabella3[[#This Row],[VEN]]="X"), "X","")))))</f>
        <v/>
      </c>
      <c r="U92" s="157" t="str">
        <f t="shared" ca="1" si="4"/>
        <v/>
      </c>
      <c r="V92" s="187">
        <v>45930.833333333336</v>
      </c>
    </row>
    <row r="93" spans="1:22" s="19" customFormat="1" ht="30" x14ac:dyDescent="0.2">
      <c r="A93" s="112"/>
      <c r="B93" s="112" t="str">
        <f t="shared" si="5"/>
        <v>X</v>
      </c>
      <c r="C93" s="112" t="str">
        <f>IF(OR(Tabella3[[#This Row],[LUN]]="X",Tabella3[[#This Row],[MAR]]="X",Tabella3[[#This Row],[MER]]="X",Tabella3[[#This Row],[GIO]]="X",Tabella3[[#This Row],[VEN]]="X",),"X","")</f>
        <v/>
      </c>
      <c r="D93" s="113" t="s">
        <v>87</v>
      </c>
      <c r="E93" s="109" t="s">
        <v>668</v>
      </c>
      <c r="F93" s="109">
        <v>1400</v>
      </c>
      <c r="G93" s="109" t="s">
        <v>1863</v>
      </c>
      <c r="H93" s="111"/>
      <c r="I93" s="111"/>
      <c r="J93" s="111"/>
      <c r="K93" s="111"/>
      <c r="L93" s="111"/>
      <c r="M93" s="109" t="s">
        <v>1258</v>
      </c>
      <c r="N93" s="109"/>
      <c r="O93" s="109"/>
      <c r="P93" s="109"/>
      <c r="Q93" s="109" t="s">
        <v>681</v>
      </c>
      <c r="R93" s="110">
        <v>45700</v>
      </c>
      <c r="S93" s="109"/>
      <c r="T93" s="116" t="str">
        <f ca="1">IF(AND('Inserimento dati'!$B$3=$H$2, Tabella3[[#This Row],[LUN]]="X"), "X",IF(AND('Inserimento dati'!$B$3=$I$2, Tabella3[[#This Row],[MAR]]="X"), "X", IF(AND('Inserimento dati'!$B$3=$J$2, Tabella3[[#This Row],[MER]]="X"), "X",IF(AND('Inserimento dati'!$B$3=$K$2, Tabella3[[#This Row],[GIO]]="X"), "X", IF(AND('Inserimento dati'!$B$3=$L$2, Tabella3[[#This Row],[VEN]]="X"), "X","")))))</f>
        <v/>
      </c>
      <c r="U93" s="157" t="str">
        <f t="shared" ca="1" si="4"/>
        <v xml:space="preserve"> 1021718</v>
      </c>
      <c r="V93" s="187">
        <v>45930.833333333336</v>
      </c>
    </row>
    <row r="94" spans="1:22" s="19" customFormat="1" ht="30" x14ac:dyDescent="0.2">
      <c r="A94" s="112"/>
      <c r="B94" s="112" t="str">
        <f t="shared" si="5"/>
        <v>X</v>
      </c>
      <c r="C94" s="112" t="str">
        <f>IF(OR(Tabella3[[#This Row],[LUN]]="X",Tabella3[[#This Row],[MAR]]="X",Tabella3[[#This Row],[MER]]="X",Tabella3[[#This Row],[GIO]]="X",Tabella3[[#This Row],[VEN]]="X",),"X","")</f>
        <v/>
      </c>
      <c r="D94" s="113" t="s">
        <v>87</v>
      </c>
      <c r="E94" s="109" t="s">
        <v>677</v>
      </c>
      <c r="F94" s="109">
        <v>1800</v>
      </c>
      <c r="G94" s="109" t="s">
        <v>1864</v>
      </c>
      <c r="H94" s="111"/>
      <c r="I94" s="111"/>
      <c r="J94" s="111"/>
      <c r="K94" s="111"/>
      <c r="L94" s="111"/>
      <c r="M94" s="109" t="s">
        <v>1258</v>
      </c>
      <c r="N94" s="109"/>
      <c r="O94" s="109"/>
      <c r="P94" s="109"/>
      <c r="Q94" s="109" t="s">
        <v>674</v>
      </c>
      <c r="R94" s="110">
        <v>45628</v>
      </c>
      <c r="S94" s="109" t="s">
        <v>102</v>
      </c>
      <c r="T94" s="116" t="str">
        <f ca="1">IF(AND('Inserimento dati'!$B$3=$H$2, Tabella3[[#This Row],[LUN]]="X"), "X",IF(AND('Inserimento dati'!$B$3=$I$2, Tabella3[[#This Row],[MAR]]="X"), "X", IF(AND('Inserimento dati'!$B$3=$J$2, Tabella3[[#This Row],[MER]]="X"), "X",IF(AND('Inserimento dati'!$B$3=$K$2, Tabella3[[#This Row],[GIO]]="X"), "X", IF(AND('Inserimento dati'!$B$3=$L$2, Tabella3[[#This Row],[VEN]]="X"), "X","")))))</f>
        <v/>
      </c>
      <c r="U94" s="157" t="str">
        <f t="shared" ca="1" si="4"/>
        <v/>
      </c>
      <c r="V94" s="187">
        <v>45930.833333333336</v>
      </c>
    </row>
    <row r="95" spans="1:22" s="19" customFormat="1" ht="30" x14ac:dyDescent="0.2">
      <c r="A95" s="112"/>
      <c r="B95" s="112" t="str">
        <f t="shared" si="5"/>
        <v>X</v>
      </c>
      <c r="C95" s="112" t="str">
        <f>IF(OR(Tabella3[[#This Row],[LUN]]="X",Tabella3[[#This Row],[MAR]]="X",Tabella3[[#This Row],[MER]]="X",Tabella3[[#This Row],[GIO]]="X",Tabella3[[#This Row],[VEN]]="X",),"X","")</f>
        <v/>
      </c>
      <c r="D95" s="113" t="s">
        <v>87</v>
      </c>
      <c r="E95" s="109" t="s">
        <v>661</v>
      </c>
      <c r="F95" s="109">
        <v>700</v>
      </c>
      <c r="G95" s="109" t="s">
        <v>1865</v>
      </c>
      <c r="H95" s="111"/>
      <c r="I95" s="111"/>
      <c r="J95" s="111"/>
      <c r="K95" s="111"/>
      <c r="L95" s="111"/>
      <c r="M95" s="109" t="s">
        <v>1258</v>
      </c>
      <c r="N95" s="109"/>
      <c r="O95" s="109"/>
      <c r="P95" s="109"/>
      <c r="Q95" s="109" t="s">
        <v>698</v>
      </c>
      <c r="R95" s="110">
        <v>45698</v>
      </c>
      <c r="S95" s="109" t="s">
        <v>150</v>
      </c>
      <c r="T95" s="116" t="str">
        <f ca="1">IF(AND('Inserimento dati'!$B$3=$H$2, Tabella3[[#This Row],[LUN]]="X"), "X",IF(AND('Inserimento dati'!$B$3=$I$2, Tabella3[[#This Row],[MAR]]="X"), "X", IF(AND('Inserimento dati'!$B$3=$J$2, Tabella3[[#This Row],[MER]]="X"), "X",IF(AND('Inserimento dati'!$B$3=$K$2, Tabella3[[#This Row],[GIO]]="X"), "X", IF(AND('Inserimento dati'!$B$3=$L$2, Tabella3[[#This Row],[VEN]]="X"), "X","")))))</f>
        <v/>
      </c>
      <c r="U95" s="157" t="str">
        <f t="shared" ca="1" si="4"/>
        <v/>
      </c>
      <c r="V95" s="187">
        <v>45930.833333333336</v>
      </c>
    </row>
    <row r="96" spans="1:22" s="19" customFormat="1" ht="30" x14ac:dyDescent="0.2">
      <c r="A96" s="112"/>
      <c r="B96" s="112" t="str">
        <f t="shared" si="5"/>
        <v>X</v>
      </c>
      <c r="C96" s="112" t="str">
        <f>IF(OR(Tabella3[[#This Row],[LUN]]="X",Tabella3[[#This Row],[MAR]]="X",Tabella3[[#This Row],[MER]]="X",Tabella3[[#This Row],[GIO]]="X",Tabella3[[#This Row],[VEN]]="X",),"X","")</f>
        <v/>
      </c>
      <c r="D96" s="113" t="s">
        <v>87</v>
      </c>
      <c r="E96" s="109" t="s">
        <v>639</v>
      </c>
      <c r="F96" s="109">
        <v>1800</v>
      </c>
      <c r="G96" s="109" t="s">
        <v>1866</v>
      </c>
      <c r="H96" s="111"/>
      <c r="I96" s="111"/>
      <c r="J96" s="111"/>
      <c r="K96" s="111"/>
      <c r="L96" s="111"/>
      <c r="M96" s="109" t="s">
        <v>1258</v>
      </c>
      <c r="N96" s="109"/>
      <c r="O96" s="109"/>
      <c r="P96" s="109"/>
      <c r="Q96" s="109" t="s">
        <v>606</v>
      </c>
      <c r="R96" s="110">
        <v>45692</v>
      </c>
      <c r="S96" s="109" t="s">
        <v>150</v>
      </c>
      <c r="T96" s="116" t="str">
        <f ca="1">IF(AND('Inserimento dati'!$B$3=$H$2, Tabella3[[#This Row],[LUN]]="X"), "X",IF(AND('Inserimento dati'!$B$3=$I$2, Tabella3[[#This Row],[MAR]]="X"), "X", IF(AND('Inserimento dati'!$B$3=$J$2, Tabella3[[#This Row],[MER]]="X"), "X",IF(AND('Inserimento dati'!$B$3=$K$2, Tabella3[[#This Row],[GIO]]="X"), "X", IF(AND('Inserimento dati'!$B$3=$L$2, Tabella3[[#This Row],[VEN]]="X"), "X","")))))</f>
        <v/>
      </c>
      <c r="U96" s="157" t="str">
        <f t="shared" ca="1" si="4"/>
        <v xml:space="preserve"> 1022404</v>
      </c>
      <c r="V96" s="187">
        <v>45930.833333333336</v>
      </c>
    </row>
    <row r="97" spans="1:22" s="19" customFormat="1" ht="30" x14ac:dyDescent="0.2">
      <c r="A97" s="112"/>
      <c r="B97" s="112" t="str">
        <f t="shared" si="5"/>
        <v>X</v>
      </c>
      <c r="C97" s="112" t="str">
        <f>IF(OR(Tabella3[[#This Row],[LUN]]="X",Tabella3[[#This Row],[MAR]]="X",Tabella3[[#This Row],[MER]]="X",Tabella3[[#This Row],[GIO]]="X",Tabella3[[#This Row],[VEN]]="X",),"X","")</f>
        <v/>
      </c>
      <c r="D97" s="113" t="s">
        <v>87</v>
      </c>
      <c r="E97" s="109" t="s">
        <v>406</v>
      </c>
      <c r="F97" s="109">
        <v>800</v>
      </c>
      <c r="G97" s="109" t="s">
        <v>1867</v>
      </c>
      <c r="H97" s="111"/>
      <c r="I97" s="111"/>
      <c r="J97" s="111"/>
      <c r="K97" s="111"/>
      <c r="L97" s="111"/>
      <c r="M97" s="109" t="s">
        <v>1258</v>
      </c>
      <c r="N97" s="109"/>
      <c r="O97" s="109"/>
      <c r="P97" s="109"/>
      <c r="Q97" s="109" t="s">
        <v>605</v>
      </c>
      <c r="R97" s="110">
        <v>45692</v>
      </c>
      <c r="S97" s="109" t="s">
        <v>50</v>
      </c>
      <c r="T97" s="112" t="str">
        <f ca="1">IF(AND('Inserimento dati'!$B$3=$H$2, Tabella3[[#This Row],[LUN]]="X"), "X",IF(AND('Inserimento dati'!$B$3=$I$2, Tabella3[[#This Row],[MAR]]="X"), "X", IF(AND('Inserimento dati'!$B$3=$J$2, Tabella3[[#This Row],[MER]]="X"), "X",IF(AND('Inserimento dati'!$B$3=$K$2, Tabella3[[#This Row],[GIO]]="X"), "X", IF(AND('Inserimento dati'!$B$3=$L$2, Tabella3[[#This Row],[VEN]]="X"), "X","")))))</f>
        <v/>
      </c>
      <c r="U97" s="157" t="str">
        <f t="shared" ca="1" si="4"/>
        <v/>
      </c>
      <c r="V97" s="187">
        <v>45930.833333333336</v>
      </c>
    </row>
    <row r="98" spans="1:22" s="19" customFormat="1" ht="30" x14ac:dyDescent="0.2">
      <c r="A98" s="112"/>
      <c r="B98" s="112" t="str">
        <f t="shared" si="5"/>
        <v>X</v>
      </c>
      <c r="C98" s="112" t="str">
        <f>IF(OR(Tabella3[[#This Row],[LUN]]="X",Tabella3[[#This Row],[MAR]]="X",Tabella3[[#This Row],[MER]]="X",Tabella3[[#This Row],[GIO]]="X",Tabella3[[#This Row],[VEN]]="X",),"X","")</f>
        <v/>
      </c>
      <c r="D98" s="113" t="s">
        <v>87</v>
      </c>
      <c r="E98" s="109" t="s">
        <v>405</v>
      </c>
      <c r="F98" s="109">
        <v>800</v>
      </c>
      <c r="G98" s="109" t="s">
        <v>1868</v>
      </c>
      <c r="H98" s="111"/>
      <c r="I98" s="111"/>
      <c r="J98" s="111"/>
      <c r="K98" s="111"/>
      <c r="L98" s="111"/>
      <c r="M98" s="109" t="s">
        <v>1258</v>
      </c>
      <c r="N98" s="109"/>
      <c r="O98" s="109"/>
      <c r="P98" s="109"/>
      <c r="Q98" s="109" t="s">
        <v>605</v>
      </c>
      <c r="R98" s="110">
        <v>45692</v>
      </c>
      <c r="S98" s="109" t="s">
        <v>50</v>
      </c>
      <c r="T98" s="112" t="str">
        <f ca="1">IF(AND('Inserimento dati'!$B$3=$H$2, Tabella3[[#This Row],[LUN]]="X"), "X",IF(AND('Inserimento dati'!$B$3=$I$2, Tabella3[[#This Row],[MAR]]="X"), "X", IF(AND('Inserimento dati'!$B$3=$J$2, Tabella3[[#This Row],[MER]]="X"), "X",IF(AND('Inserimento dati'!$B$3=$K$2, Tabella3[[#This Row],[GIO]]="X"), "X", IF(AND('Inserimento dati'!$B$3=$L$2, Tabella3[[#This Row],[VEN]]="X"), "X","")))))</f>
        <v/>
      </c>
      <c r="U98" s="157" t="str">
        <f t="shared" ca="1" si="4"/>
        <v/>
      </c>
      <c r="V98" s="187">
        <v>45930.833333333336</v>
      </c>
    </row>
    <row r="99" spans="1:22" s="19" customFormat="1" ht="30" x14ac:dyDescent="0.2">
      <c r="A99" s="112"/>
      <c r="B99" s="112" t="str">
        <f t="shared" si="5"/>
        <v>X</v>
      </c>
      <c r="C99" s="112" t="str">
        <f>IF(OR(Tabella3[[#This Row],[LUN]]="X",Tabella3[[#This Row],[MAR]]="X",Tabella3[[#This Row],[MER]]="X",Tabella3[[#This Row],[GIO]]="X",Tabella3[[#This Row],[VEN]]="X",),"X","")</f>
        <v/>
      </c>
      <c r="D99" s="113" t="s">
        <v>87</v>
      </c>
      <c r="E99" s="109" t="s">
        <v>404</v>
      </c>
      <c r="F99" s="109">
        <v>800</v>
      </c>
      <c r="G99" s="109" t="s">
        <v>1869</v>
      </c>
      <c r="H99" s="111"/>
      <c r="I99" s="111"/>
      <c r="J99" s="111"/>
      <c r="K99" s="111"/>
      <c r="L99" s="111"/>
      <c r="M99" s="109" t="s">
        <v>1258</v>
      </c>
      <c r="N99" s="109"/>
      <c r="O99" s="109"/>
      <c r="P99" s="109"/>
      <c r="Q99" s="109" t="s">
        <v>605</v>
      </c>
      <c r="R99" s="110">
        <v>45692</v>
      </c>
      <c r="S99" s="109" t="s">
        <v>50</v>
      </c>
      <c r="T99" s="112" t="str">
        <f ca="1">IF(AND('Inserimento dati'!$B$3=$H$2, Tabella3[[#This Row],[LUN]]="X"), "X",IF(AND('Inserimento dati'!$B$3=$I$2, Tabella3[[#This Row],[MAR]]="X"), "X", IF(AND('Inserimento dati'!$B$3=$J$2, Tabella3[[#This Row],[MER]]="X"), "X",IF(AND('Inserimento dati'!$B$3=$K$2, Tabella3[[#This Row],[GIO]]="X"), "X", IF(AND('Inserimento dati'!$B$3=$L$2, Tabella3[[#This Row],[VEN]]="X"), "X","")))))</f>
        <v/>
      </c>
      <c r="U99" s="157" t="str">
        <f t="shared" ca="1" si="4"/>
        <v/>
      </c>
      <c r="V99" s="187">
        <v>45930.833333333336</v>
      </c>
    </row>
    <row r="100" spans="1:22" s="19" customFormat="1" ht="23.25" x14ac:dyDescent="0.2">
      <c r="A100" s="112"/>
      <c r="B100" s="112" t="str">
        <f t="shared" si="5"/>
        <v>X</v>
      </c>
      <c r="C100" s="112" t="str">
        <f>IF(OR(Tabella3[[#This Row],[LUN]]="X",Tabella3[[#This Row],[MAR]]="X",Tabella3[[#This Row],[MER]]="X",Tabella3[[#This Row],[GIO]]="X",Tabella3[[#This Row],[VEN]]="X",),"X","")</f>
        <v/>
      </c>
      <c r="D100" s="113" t="s">
        <v>87</v>
      </c>
      <c r="E100" s="109" t="s">
        <v>314</v>
      </c>
      <c r="F100" s="109">
        <v>700</v>
      </c>
      <c r="G100" s="109" t="s">
        <v>1870</v>
      </c>
      <c r="H100" s="111"/>
      <c r="I100" s="111"/>
      <c r="J100" s="111"/>
      <c r="K100" s="111"/>
      <c r="L100" s="111"/>
      <c r="M100" s="109" t="s">
        <v>1258</v>
      </c>
      <c r="N100" s="109"/>
      <c r="O100" s="109"/>
      <c r="P100" s="109"/>
      <c r="Q100" s="109" t="s">
        <v>603</v>
      </c>
      <c r="R100" s="110">
        <v>45674</v>
      </c>
      <c r="S100" s="109" t="s">
        <v>211</v>
      </c>
      <c r="T100" s="112" t="str">
        <f ca="1">IF(AND('Inserimento dati'!$B$3=$H$2, Tabella3[[#This Row],[LUN]]="X"), "X",IF(AND('Inserimento dati'!$B$3=$I$2, Tabella3[[#This Row],[MAR]]="X"), "X", IF(AND('Inserimento dati'!$B$3=$J$2, Tabella3[[#This Row],[MER]]="X"), "X",IF(AND('Inserimento dati'!$B$3=$K$2, Tabella3[[#This Row],[GIO]]="X"), "X", IF(AND('Inserimento dati'!$B$3=$L$2, Tabella3[[#This Row],[VEN]]="X"), "X","")))))</f>
        <v/>
      </c>
      <c r="U100" s="157" t="str">
        <f t="shared" ca="1" si="4"/>
        <v/>
      </c>
      <c r="V100" s="187">
        <v>45930.833333333336</v>
      </c>
    </row>
    <row r="101" spans="1:22" s="19" customFormat="1" ht="45" x14ac:dyDescent="0.2">
      <c r="A101" s="112"/>
      <c r="B101" s="112" t="str">
        <f t="shared" si="5"/>
        <v>X</v>
      </c>
      <c r="C101" s="112" t="str">
        <f>IF(OR(Tabella3[[#This Row],[LUN]]="X",Tabella3[[#This Row],[MAR]]="X",Tabella3[[#This Row],[MER]]="X",Tabella3[[#This Row],[GIO]]="X",Tabella3[[#This Row],[VEN]]="X",),"X","")</f>
        <v/>
      </c>
      <c r="D101" s="113" t="s">
        <v>87</v>
      </c>
      <c r="E101" s="109" t="s">
        <v>269</v>
      </c>
      <c r="F101" s="109">
        <v>800</v>
      </c>
      <c r="G101" s="109" t="s">
        <v>1871</v>
      </c>
      <c r="H101" s="111"/>
      <c r="I101" s="111"/>
      <c r="J101" s="111"/>
      <c r="K101" s="111"/>
      <c r="L101" s="111"/>
      <c r="M101" s="109" t="s">
        <v>1258</v>
      </c>
      <c r="N101" s="109"/>
      <c r="O101" s="109"/>
      <c r="P101" s="109"/>
      <c r="Q101" s="109" t="s">
        <v>615</v>
      </c>
      <c r="R101" s="110">
        <v>45693</v>
      </c>
      <c r="S101" s="110" t="s">
        <v>616</v>
      </c>
      <c r="T101" s="112" t="str">
        <f ca="1">IF(AND('Inserimento dati'!$B$3=$H$2, Tabella3[[#This Row],[LUN]]="X"), "X",IF(AND('Inserimento dati'!$B$3=$I$2, Tabella3[[#This Row],[MAR]]="X"), "X", IF(AND('Inserimento dati'!$B$3=$J$2, Tabella3[[#This Row],[MER]]="X"), "X",IF(AND('Inserimento dati'!$B$3=$K$2, Tabella3[[#This Row],[GIO]]="X"), "X", IF(AND('Inserimento dati'!$B$3=$L$2, Tabella3[[#This Row],[VEN]]="X"), "X","")))))</f>
        <v/>
      </c>
      <c r="U101" s="157" t="str">
        <f t="shared" ca="1" si="4"/>
        <v/>
      </c>
      <c r="V101" s="187">
        <v>45930.833333333336</v>
      </c>
    </row>
    <row r="102" spans="1:22" s="19" customFormat="1" ht="30" x14ac:dyDescent="0.2">
      <c r="A102" s="112"/>
      <c r="B102" s="112" t="str">
        <f t="shared" si="5"/>
        <v>X</v>
      </c>
      <c r="C102" s="112" t="str">
        <f>IF(OR(Tabella3[[#This Row],[LUN]]="X",Tabella3[[#This Row],[MAR]]="X",Tabella3[[#This Row],[MER]]="X",Tabella3[[#This Row],[GIO]]="X",Tabella3[[#This Row],[VEN]]="X",),"X","")</f>
        <v/>
      </c>
      <c r="D102" s="113" t="s">
        <v>87</v>
      </c>
      <c r="E102" s="109" t="s">
        <v>506</v>
      </c>
      <c r="F102" s="109" t="s">
        <v>97</v>
      </c>
      <c r="G102" s="109" t="s">
        <v>1872</v>
      </c>
      <c r="H102" s="111"/>
      <c r="I102" s="111"/>
      <c r="J102" s="111"/>
      <c r="K102" s="111"/>
      <c r="L102" s="111"/>
      <c r="M102" s="109" t="s">
        <v>1258</v>
      </c>
      <c r="N102" s="109"/>
      <c r="O102" s="109"/>
      <c r="P102" s="109"/>
      <c r="Q102" s="109" t="s">
        <v>634</v>
      </c>
      <c r="R102" s="110">
        <v>45693</v>
      </c>
      <c r="S102" s="110" t="s">
        <v>635</v>
      </c>
      <c r="T102" s="112" t="str">
        <f ca="1">IF(AND('Inserimento dati'!$B$3=$H$2, Tabella3[[#This Row],[LUN]]="X"), "X",IF(AND('Inserimento dati'!$B$3=$I$2, Tabella3[[#This Row],[MAR]]="X"), "X", IF(AND('Inserimento dati'!$B$3=$J$2, Tabella3[[#This Row],[MER]]="X"), "X",IF(AND('Inserimento dati'!$B$3=$K$2, Tabella3[[#This Row],[GIO]]="X"), "X", IF(AND('Inserimento dati'!$B$3=$L$2, Tabella3[[#This Row],[VEN]]="X"), "X","")))))</f>
        <v/>
      </c>
      <c r="U102" s="157" t="str">
        <f t="shared" ca="1" si="4"/>
        <v/>
      </c>
      <c r="V102" s="187">
        <v>45930.833333333336</v>
      </c>
    </row>
    <row r="103" spans="1:22" s="19" customFormat="1" ht="30" x14ac:dyDescent="0.2">
      <c r="A103" s="112"/>
      <c r="B103" s="112" t="str">
        <f t="shared" si="5"/>
        <v>X</v>
      </c>
      <c r="C103" s="112" t="str">
        <f>IF(OR(Tabella3[[#This Row],[LUN]]="X",Tabella3[[#This Row],[MAR]]="X",Tabella3[[#This Row],[MER]]="X",Tabella3[[#This Row],[GIO]]="X",Tabella3[[#This Row],[VEN]]="X",),"X","")</f>
        <v/>
      </c>
      <c r="D103" s="113" t="s">
        <v>87</v>
      </c>
      <c r="E103" s="109" t="s">
        <v>507</v>
      </c>
      <c r="F103" s="109" t="s">
        <v>97</v>
      </c>
      <c r="G103" s="109" t="s">
        <v>1873</v>
      </c>
      <c r="H103" s="111"/>
      <c r="I103" s="111"/>
      <c r="J103" s="111"/>
      <c r="K103" s="111"/>
      <c r="L103" s="111"/>
      <c r="M103" s="109" t="s">
        <v>1258</v>
      </c>
      <c r="N103" s="109"/>
      <c r="O103" s="109"/>
      <c r="P103" s="109"/>
      <c r="Q103" s="109" t="s">
        <v>642</v>
      </c>
      <c r="R103" s="110">
        <v>45693</v>
      </c>
      <c r="S103" s="109" t="s">
        <v>50</v>
      </c>
      <c r="T103" s="112" t="str">
        <f ca="1">IF(AND('Inserimento dati'!$B$3=$H$2, Tabella3[[#This Row],[LUN]]="X"), "X",IF(AND('Inserimento dati'!$B$3=$I$2, Tabella3[[#This Row],[MAR]]="X"), "X", IF(AND('Inserimento dati'!$B$3=$J$2, Tabella3[[#This Row],[MER]]="X"), "X",IF(AND('Inserimento dati'!$B$3=$K$2, Tabella3[[#This Row],[GIO]]="X"), "X", IF(AND('Inserimento dati'!$B$3=$L$2, Tabella3[[#This Row],[VEN]]="X"), "X","")))))</f>
        <v/>
      </c>
      <c r="U103" s="157" t="str">
        <f t="shared" ca="1" si="4"/>
        <v/>
      </c>
      <c r="V103" s="187">
        <v>45930.833333333336</v>
      </c>
    </row>
    <row r="104" spans="1:22" s="19" customFormat="1" ht="30" x14ac:dyDescent="0.2">
      <c r="A104" s="112"/>
      <c r="B104" s="112" t="str">
        <f t="shared" si="5"/>
        <v>X</v>
      </c>
      <c r="C104" s="112" t="str">
        <f>IF(OR(Tabella3[[#This Row],[LUN]]="X",Tabella3[[#This Row],[MAR]]="X",Tabella3[[#This Row],[MER]]="X",Tabella3[[#This Row],[GIO]]="X",Tabella3[[#This Row],[VEN]]="X",),"X","")</f>
        <v/>
      </c>
      <c r="D104" s="113" t="s">
        <v>87</v>
      </c>
      <c r="E104" s="109" t="s">
        <v>599</v>
      </c>
      <c r="F104" s="109" t="s">
        <v>96</v>
      </c>
      <c r="G104" s="109" t="s">
        <v>1874</v>
      </c>
      <c r="H104" s="111"/>
      <c r="I104" s="111"/>
      <c r="J104" s="111"/>
      <c r="K104" s="111"/>
      <c r="L104" s="111"/>
      <c r="M104" s="109" t="s">
        <v>1258</v>
      </c>
      <c r="N104" s="109"/>
      <c r="O104" s="109"/>
      <c r="P104" s="109"/>
      <c r="Q104" s="109"/>
      <c r="R104" s="110">
        <v>45691</v>
      </c>
      <c r="S104" s="109" t="s">
        <v>50</v>
      </c>
      <c r="T104" s="116" t="str">
        <f ca="1">IF(AND('Inserimento dati'!$B$3=$H$2, Tabella3[[#This Row],[LUN]]="X"), "X",IF(AND('Inserimento dati'!$B$3=$I$2, Tabella3[[#This Row],[MAR]]="X"), "X", IF(AND('Inserimento dati'!$B$3=$J$2, Tabella3[[#This Row],[MER]]="X"), "X",IF(AND('Inserimento dati'!$B$3=$K$2, Tabella3[[#This Row],[GIO]]="X"), "X", IF(AND('Inserimento dati'!$B$3=$L$2, Tabella3[[#This Row],[VEN]]="X"), "X","")))))</f>
        <v/>
      </c>
      <c r="U104" s="157" t="str">
        <f t="shared" ca="1" si="4"/>
        <v/>
      </c>
      <c r="V104" s="187">
        <v>45930.833333333336</v>
      </c>
    </row>
    <row r="105" spans="1:22" s="19" customFormat="1" ht="23.25" x14ac:dyDescent="0.2">
      <c r="A105" s="112"/>
      <c r="B105" s="112" t="str">
        <f t="shared" si="5"/>
        <v>X</v>
      </c>
      <c r="C105" s="112" t="str">
        <f>IF(OR(Tabella3[[#This Row],[LUN]]="X",Tabella3[[#This Row],[MAR]]="X",Tabella3[[#This Row],[MER]]="X",Tabella3[[#This Row],[GIO]]="X",Tabella3[[#This Row],[VEN]]="X",),"X","")</f>
        <v/>
      </c>
      <c r="D105" s="113" t="s">
        <v>87</v>
      </c>
      <c r="E105" s="109" t="s">
        <v>113</v>
      </c>
      <c r="F105" s="109" t="s">
        <v>114</v>
      </c>
      <c r="G105" s="109" t="s">
        <v>1875</v>
      </c>
      <c r="H105" s="111"/>
      <c r="I105" s="111"/>
      <c r="J105" s="111"/>
      <c r="K105" s="111"/>
      <c r="L105" s="111"/>
      <c r="M105" s="109" t="s">
        <v>1258</v>
      </c>
      <c r="N105" s="109"/>
      <c r="O105" s="109"/>
      <c r="P105" s="109"/>
      <c r="Q105" s="109" t="s">
        <v>115</v>
      </c>
      <c r="R105" s="110">
        <v>45574</v>
      </c>
      <c r="S105" s="110"/>
      <c r="T105" s="116" t="str">
        <f ca="1">IF(AND('Inserimento dati'!$B$3=$H$2, Tabella3[[#This Row],[LUN]]="X"), "X",IF(AND('Inserimento dati'!$B$3=$I$2, Tabella3[[#This Row],[MAR]]="X"), "X", IF(AND('Inserimento dati'!$B$3=$J$2, Tabella3[[#This Row],[MER]]="X"), "X",IF(AND('Inserimento dati'!$B$3=$K$2, Tabella3[[#This Row],[GIO]]="X"), "X", IF(AND('Inserimento dati'!$B$3=$L$2, Tabella3[[#This Row],[VEN]]="X"), "X","")))))</f>
        <v/>
      </c>
      <c r="U105" s="157" t="str">
        <f t="shared" ca="1" si="4"/>
        <v/>
      </c>
      <c r="V105" s="187">
        <v>45930.833333333336</v>
      </c>
    </row>
    <row r="106" spans="1:22" s="19" customFormat="1" ht="23.25" x14ac:dyDescent="0.2">
      <c r="A106" s="112"/>
      <c r="B106" s="112" t="str">
        <f t="shared" ref="B106:B137" si="6">IF(OR(A106="x",A106="X"),"",IF(ISBLANK(A106),"X",""))</f>
        <v>X</v>
      </c>
      <c r="C106" s="112" t="str">
        <f>IF(OR(Tabella3[[#This Row],[LUN]]="X",Tabella3[[#This Row],[MAR]]="X",Tabella3[[#This Row],[MER]]="X",Tabella3[[#This Row],[GIO]]="X",Tabella3[[#This Row],[VEN]]="X",),"X","")</f>
        <v/>
      </c>
      <c r="D106" s="113" t="s">
        <v>87</v>
      </c>
      <c r="E106" s="109" t="s">
        <v>448</v>
      </c>
      <c r="F106" s="109" t="s">
        <v>88</v>
      </c>
      <c r="G106" s="109" t="s">
        <v>1876</v>
      </c>
      <c r="H106" s="111"/>
      <c r="I106" s="111"/>
      <c r="J106" s="111"/>
      <c r="K106" s="111"/>
      <c r="L106" s="111"/>
      <c r="M106" s="109" t="s">
        <v>1258</v>
      </c>
      <c r="N106" s="109"/>
      <c r="O106" s="109"/>
      <c r="P106" s="109"/>
      <c r="Q106" s="109" t="s">
        <v>1263</v>
      </c>
      <c r="R106" s="110"/>
      <c r="S106" s="110"/>
      <c r="T106" s="112" t="str">
        <f ca="1">IF(AND('Inserimento dati'!$B$3=$H$2, Tabella3[[#This Row],[LUN]]="X"), "X",IF(AND('Inserimento dati'!$B$3=$I$2, Tabella3[[#This Row],[MAR]]="X"), "X", IF(AND('Inserimento dati'!$B$3=$J$2, Tabella3[[#This Row],[MER]]="X"), "X",IF(AND('Inserimento dati'!$B$3=$K$2, Tabella3[[#This Row],[GIO]]="X"), "X", IF(AND('Inserimento dati'!$B$3=$L$2, Tabella3[[#This Row],[VEN]]="X"), "X","")))))</f>
        <v/>
      </c>
      <c r="U106" s="157" t="str">
        <f t="shared" ca="1" si="4"/>
        <v/>
      </c>
      <c r="V106" s="187">
        <v>45930.833333333336</v>
      </c>
    </row>
    <row r="107" spans="1:22" s="19" customFormat="1" ht="30" x14ac:dyDescent="0.2">
      <c r="A107" s="112"/>
      <c r="B107" s="112" t="str">
        <f t="shared" si="6"/>
        <v>X</v>
      </c>
      <c r="C107" s="112" t="str">
        <f>IF(OR(Tabella3[[#This Row],[LUN]]="X",Tabella3[[#This Row],[MAR]]="X",Tabella3[[#This Row],[MER]]="X",Tabella3[[#This Row],[GIO]]="X",Tabella3[[#This Row],[VEN]]="X",),"X","")</f>
        <v/>
      </c>
      <c r="D107" s="113" t="s">
        <v>87</v>
      </c>
      <c r="E107" s="109" t="s">
        <v>539</v>
      </c>
      <c r="F107" s="109">
        <v>1800</v>
      </c>
      <c r="G107" s="109" t="s">
        <v>1877</v>
      </c>
      <c r="H107" s="111"/>
      <c r="I107" s="111"/>
      <c r="J107" s="111"/>
      <c r="K107" s="111"/>
      <c r="L107" s="111"/>
      <c r="M107" s="109" t="s">
        <v>1258</v>
      </c>
      <c r="N107" s="109"/>
      <c r="O107" s="109"/>
      <c r="P107" s="109"/>
      <c r="Q107" s="109" t="s">
        <v>589</v>
      </c>
      <c r="R107" s="110">
        <v>45688</v>
      </c>
      <c r="S107" s="109" t="s">
        <v>150</v>
      </c>
      <c r="T107" s="116" t="str">
        <f ca="1">IF(AND('Inserimento dati'!$B$3=$H$2, Tabella3[[#This Row],[LUN]]="X"), "X",IF(AND('Inserimento dati'!$B$3=$I$2, Tabella3[[#This Row],[MAR]]="X"), "X", IF(AND('Inserimento dati'!$B$3=$J$2, Tabella3[[#This Row],[MER]]="X"), "X",IF(AND('Inserimento dati'!$B$3=$K$2, Tabella3[[#This Row],[GIO]]="X"), "X", IF(AND('Inserimento dati'!$B$3=$L$2, Tabella3[[#This Row],[VEN]]="X"), "X","")))))</f>
        <v/>
      </c>
      <c r="U107" s="157" t="str">
        <f t="shared" ca="1" si="4"/>
        <v/>
      </c>
      <c r="V107" s="187">
        <v>45930.833333333336</v>
      </c>
    </row>
    <row r="108" spans="1:22" s="19" customFormat="1" ht="30" x14ac:dyDescent="0.2">
      <c r="A108" s="112"/>
      <c r="B108" s="112" t="str">
        <f t="shared" si="6"/>
        <v>X</v>
      </c>
      <c r="C108" s="112" t="str">
        <f>IF(OR(Tabella3[[#This Row],[LUN]]="X",Tabella3[[#This Row],[MAR]]="X",Tabella3[[#This Row],[MER]]="X",Tabella3[[#This Row],[GIO]]="X",Tabella3[[#This Row],[VEN]]="X",),"X","")</f>
        <v/>
      </c>
      <c r="D108" s="113" t="s">
        <v>87</v>
      </c>
      <c r="E108" s="109" t="s">
        <v>267</v>
      </c>
      <c r="F108" s="109">
        <v>700</v>
      </c>
      <c r="G108" s="109" t="s">
        <v>1878</v>
      </c>
      <c r="H108" s="111"/>
      <c r="I108" s="111"/>
      <c r="J108" s="111"/>
      <c r="K108" s="111"/>
      <c r="L108" s="111"/>
      <c r="M108" s="109" t="s">
        <v>1258</v>
      </c>
      <c r="N108" s="109"/>
      <c r="O108" s="109"/>
      <c r="P108" s="109"/>
      <c r="Q108" s="109"/>
      <c r="R108" s="110">
        <v>45687</v>
      </c>
      <c r="S108" s="109" t="s">
        <v>150</v>
      </c>
      <c r="T108" s="112" t="str">
        <f ca="1">IF(AND('Inserimento dati'!$B$3=$H$2, Tabella3[[#This Row],[LUN]]="X"), "X",IF(AND('Inserimento dati'!$B$3=$I$2, Tabella3[[#This Row],[MAR]]="X"), "X", IF(AND('Inserimento dati'!$B$3=$J$2, Tabella3[[#This Row],[MER]]="X"), "X",IF(AND('Inserimento dati'!$B$3=$K$2, Tabella3[[#This Row],[GIO]]="X"), "X", IF(AND('Inserimento dati'!$B$3=$L$2, Tabella3[[#This Row],[VEN]]="X"), "X","")))))</f>
        <v/>
      </c>
      <c r="U108" s="143" t="str">
        <f t="shared" ca="1" si="4"/>
        <v/>
      </c>
      <c r="V108" s="187">
        <v>45930.833333333336</v>
      </c>
    </row>
    <row r="109" spans="1:22" s="19" customFormat="1" ht="23.25" x14ac:dyDescent="0.2">
      <c r="A109" s="112"/>
      <c r="B109" s="112" t="str">
        <f t="shared" si="6"/>
        <v>X</v>
      </c>
      <c r="C109" s="112" t="str">
        <f>IF(OR(Tabella3[[#This Row],[LUN]]="X",Tabella3[[#This Row],[MAR]]="X",Tabella3[[#This Row],[MER]]="X",Tabella3[[#This Row],[GIO]]="X",Tabella3[[#This Row],[VEN]]="X",),"X","")</f>
        <v/>
      </c>
      <c r="D109" s="113" t="s">
        <v>87</v>
      </c>
      <c r="E109" s="109" t="s">
        <v>524</v>
      </c>
      <c r="F109" s="109">
        <v>1800</v>
      </c>
      <c r="G109" s="109" t="s">
        <v>1879</v>
      </c>
      <c r="H109" s="111"/>
      <c r="I109" s="111"/>
      <c r="J109" s="111"/>
      <c r="K109" s="111"/>
      <c r="L109" s="111"/>
      <c r="M109" s="109" t="s">
        <v>1258</v>
      </c>
      <c r="N109" s="109"/>
      <c r="O109" s="109"/>
      <c r="P109" s="109"/>
      <c r="Q109" s="109" t="s">
        <v>586</v>
      </c>
      <c r="R109" s="110">
        <v>45682</v>
      </c>
      <c r="S109" s="110" t="s">
        <v>289</v>
      </c>
      <c r="T109" s="112" t="str">
        <f ca="1">IF(AND('Inserimento dati'!$B$3=$H$2, Tabella3[[#This Row],[LUN]]="X"), "X",IF(AND('Inserimento dati'!$B$3=$I$2, Tabella3[[#This Row],[MAR]]="X"), "X", IF(AND('Inserimento dati'!$B$3=$J$2, Tabella3[[#This Row],[MER]]="X"), "X",IF(AND('Inserimento dati'!$B$3=$K$2, Tabella3[[#This Row],[GIO]]="X"), "X", IF(AND('Inserimento dati'!$B$3=$L$2, Tabella3[[#This Row],[VEN]]="X"), "X","")))))</f>
        <v/>
      </c>
      <c r="U109" s="143" t="str">
        <f t="shared" ca="1" si="4"/>
        <v/>
      </c>
      <c r="V109" s="187">
        <v>45930.833333333336</v>
      </c>
    </row>
    <row r="110" spans="1:22" s="19" customFormat="1" ht="23.25" x14ac:dyDescent="0.2">
      <c r="A110" s="112"/>
      <c r="B110" s="112" t="str">
        <f t="shared" si="6"/>
        <v>X</v>
      </c>
      <c r="C110" s="112" t="str">
        <f>IF(OR(Tabella3[[#This Row],[LUN]]="X",Tabella3[[#This Row],[MAR]]="X",Tabella3[[#This Row],[MER]]="X",Tabella3[[#This Row],[GIO]]="X",Tabella3[[#This Row],[VEN]]="X",),"X","")</f>
        <v/>
      </c>
      <c r="D110" s="113" t="s">
        <v>87</v>
      </c>
      <c r="E110" s="109" t="s">
        <v>450</v>
      </c>
      <c r="F110" s="109">
        <v>1800</v>
      </c>
      <c r="G110" s="109" t="s">
        <v>1880</v>
      </c>
      <c r="H110" s="111"/>
      <c r="I110" s="111"/>
      <c r="J110" s="111"/>
      <c r="K110" s="111"/>
      <c r="L110" s="111"/>
      <c r="M110" s="109" t="s">
        <v>1258</v>
      </c>
      <c r="N110" s="109"/>
      <c r="O110" s="109"/>
      <c r="P110" s="109"/>
      <c r="Q110" s="109" t="s">
        <v>574</v>
      </c>
      <c r="R110" s="110">
        <v>45686</v>
      </c>
      <c r="S110" s="110" t="s">
        <v>211</v>
      </c>
      <c r="T110" s="112" t="str">
        <f ca="1">IF(AND('Inserimento dati'!$B$3=$H$2, Tabella3[[#This Row],[LUN]]="X"), "X",IF(AND('Inserimento dati'!$B$3=$I$2, Tabella3[[#This Row],[MAR]]="X"), "X", IF(AND('Inserimento dati'!$B$3=$J$2, Tabella3[[#This Row],[MER]]="X"), "X",IF(AND('Inserimento dati'!$B$3=$K$2, Tabella3[[#This Row],[GIO]]="X"), "X", IF(AND('Inserimento dati'!$B$3=$L$2, Tabella3[[#This Row],[VEN]]="X"), "X","")))))</f>
        <v/>
      </c>
      <c r="U110" s="143" t="str">
        <f t="shared" ca="1" si="4"/>
        <v xml:space="preserve"> 1021541</v>
      </c>
      <c r="V110" s="187">
        <v>45930.833333333336</v>
      </c>
    </row>
    <row r="111" spans="1:22" s="19" customFormat="1" ht="30" x14ac:dyDescent="0.2">
      <c r="A111" s="112"/>
      <c r="B111" s="112" t="str">
        <f t="shared" si="6"/>
        <v>X</v>
      </c>
      <c r="C111" s="112" t="str">
        <f>IF(OR(Tabella3[[#This Row],[LUN]]="X",Tabella3[[#This Row],[MAR]]="X",Tabella3[[#This Row],[MER]]="X",Tabella3[[#This Row],[GIO]]="X",Tabella3[[#This Row],[VEN]]="X",),"X","")</f>
        <v/>
      </c>
      <c r="D111" s="113" t="s">
        <v>87</v>
      </c>
      <c r="E111" s="109" t="s">
        <v>432</v>
      </c>
      <c r="F111" s="109" t="s">
        <v>114</v>
      </c>
      <c r="G111" s="109" t="s">
        <v>1881</v>
      </c>
      <c r="H111" s="111"/>
      <c r="I111" s="111"/>
      <c r="J111" s="111"/>
      <c r="K111" s="111"/>
      <c r="L111" s="111"/>
      <c r="M111" s="109" t="s">
        <v>1258</v>
      </c>
      <c r="N111" s="109"/>
      <c r="O111" s="109"/>
      <c r="P111" s="109"/>
      <c r="Q111" s="109" t="s">
        <v>563</v>
      </c>
      <c r="R111" s="110">
        <v>45685</v>
      </c>
      <c r="S111" s="110" t="s">
        <v>211</v>
      </c>
      <c r="T111" s="112" t="str">
        <f ca="1">IF(AND('Inserimento dati'!$B$3=$H$2, Tabella3[[#This Row],[LUN]]="X"), "X",IF(AND('Inserimento dati'!$B$3=$I$2, Tabella3[[#This Row],[MAR]]="X"), "X", IF(AND('Inserimento dati'!$B$3=$J$2, Tabella3[[#This Row],[MER]]="X"), "X",IF(AND('Inserimento dati'!$B$3=$K$2, Tabella3[[#This Row],[GIO]]="X"), "X", IF(AND('Inserimento dati'!$B$3=$L$2, Tabella3[[#This Row],[VEN]]="X"), "X","")))))</f>
        <v/>
      </c>
      <c r="U111" s="143" t="str">
        <f t="shared" ca="1" si="4"/>
        <v/>
      </c>
      <c r="V111" s="187">
        <v>45930.833333333336</v>
      </c>
    </row>
    <row r="112" spans="1:22" s="19" customFormat="1" ht="60" x14ac:dyDescent="0.2">
      <c r="A112" s="112"/>
      <c r="B112" s="112" t="str">
        <f t="shared" si="6"/>
        <v>X</v>
      </c>
      <c r="C112" s="112" t="str">
        <f>IF(OR(Tabella3[[#This Row],[LUN]]="X",Tabella3[[#This Row],[MAR]]="X",Tabella3[[#This Row],[MER]]="X",Tabella3[[#This Row],[GIO]]="X",Tabella3[[#This Row],[VEN]]="X",),"X","")</f>
        <v/>
      </c>
      <c r="D112" s="113" t="s">
        <v>87</v>
      </c>
      <c r="E112" s="109" t="s">
        <v>286</v>
      </c>
      <c r="F112" s="109">
        <v>700</v>
      </c>
      <c r="G112" s="109" t="s">
        <v>1882</v>
      </c>
      <c r="H112" s="111"/>
      <c r="I112" s="111"/>
      <c r="J112" s="111"/>
      <c r="K112" s="111"/>
      <c r="L112" s="111"/>
      <c r="M112" s="109" t="s">
        <v>1258</v>
      </c>
      <c r="N112" s="109"/>
      <c r="O112" s="109"/>
      <c r="P112" s="109"/>
      <c r="Q112" s="109" t="s">
        <v>581</v>
      </c>
      <c r="R112" s="110">
        <v>45673</v>
      </c>
      <c r="S112" s="110" t="s">
        <v>211</v>
      </c>
      <c r="T112" s="112" t="str">
        <f ca="1">IF(AND('Inserimento dati'!$B$3=$H$2, Tabella3[[#This Row],[LUN]]="X"), "X",IF(AND('Inserimento dati'!$B$3=$I$2, Tabella3[[#This Row],[MAR]]="X"), "X", IF(AND('Inserimento dati'!$B$3=$J$2, Tabella3[[#This Row],[MER]]="X"), "X",IF(AND('Inserimento dati'!$B$3=$K$2, Tabella3[[#This Row],[GIO]]="X"), "X", IF(AND('Inserimento dati'!$B$3=$L$2, Tabella3[[#This Row],[VEN]]="X"), "X","")))))</f>
        <v/>
      </c>
      <c r="U112" s="143" t="str">
        <f t="shared" ca="1" si="4"/>
        <v xml:space="preserve"> 1021394</v>
      </c>
      <c r="V112" s="187">
        <v>45930.833333333336</v>
      </c>
    </row>
    <row r="113" spans="1:22" s="19" customFormat="1" ht="23.25" x14ac:dyDescent="0.2">
      <c r="A113" s="112"/>
      <c r="B113" s="112" t="str">
        <f t="shared" si="6"/>
        <v>X</v>
      </c>
      <c r="C113" s="112" t="str">
        <f>IF(OR(Tabella3[[#This Row],[LUN]]="X",Tabella3[[#This Row],[MAR]]="X",Tabella3[[#This Row],[MER]]="X",Tabella3[[#This Row],[GIO]]="X",Tabella3[[#This Row],[VEN]]="X",),"X","")</f>
        <v/>
      </c>
      <c r="D113" s="113" t="s">
        <v>87</v>
      </c>
      <c r="E113" s="109" t="s">
        <v>522</v>
      </c>
      <c r="F113" s="109">
        <v>1400</v>
      </c>
      <c r="G113" s="109" t="s">
        <v>1883</v>
      </c>
      <c r="H113" s="111"/>
      <c r="I113" s="111"/>
      <c r="J113" s="111"/>
      <c r="K113" s="111"/>
      <c r="L113" s="111"/>
      <c r="M113" s="109" t="s">
        <v>1258</v>
      </c>
      <c r="N113" s="109"/>
      <c r="O113" s="109"/>
      <c r="P113" s="109"/>
      <c r="Q113" s="109" t="s">
        <v>561</v>
      </c>
      <c r="R113" s="110">
        <v>45686</v>
      </c>
      <c r="S113" s="110" t="s">
        <v>211</v>
      </c>
      <c r="T113" s="112" t="str">
        <f ca="1">IF(AND('Inserimento dati'!$B$3=$H$2, Tabella3[[#This Row],[LUN]]="X"), "X",IF(AND('Inserimento dati'!$B$3=$I$2, Tabella3[[#This Row],[MAR]]="X"), "X", IF(AND('Inserimento dati'!$B$3=$J$2, Tabella3[[#This Row],[MER]]="X"), "X",IF(AND('Inserimento dati'!$B$3=$K$2, Tabella3[[#This Row],[GIO]]="X"), "X", IF(AND('Inserimento dati'!$B$3=$L$2, Tabella3[[#This Row],[VEN]]="X"), "X","")))))</f>
        <v/>
      </c>
      <c r="U113" s="143" t="str">
        <f t="shared" ca="1" si="4"/>
        <v/>
      </c>
      <c r="V113" s="187">
        <v>45930.833333333336</v>
      </c>
    </row>
    <row r="114" spans="1:22" s="19" customFormat="1" ht="30" x14ac:dyDescent="0.2">
      <c r="A114" s="112"/>
      <c r="B114" s="112" t="str">
        <f t="shared" si="6"/>
        <v>X</v>
      </c>
      <c r="C114" s="112" t="str">
        <f>IF(OR(Tabella3[[#This Row],[LUN]]="X",Tabella3[[#This Row],[MAR]]="X",Tabella3[[#This Row],[MER]]="X",Tabella3[[#This Row],[GIO]]="X",Tabella3[[#This Row],[VEN]]="X",),"X","")</f>
        <v/>
      </c>
      <c r="D114" s="113" t="s">
        <v>87</v>
      </c>
      <c r="E114" s="109" t="s">
        <v>532</v>
      </c>
      <c r="F114" s="109">
        <v>700</v>
      </c>
      <c r="G114" s="109" t="s">
        <v>1884</v>
      </c>
      <c r="H114" s="111"/>
      <c r="I114" s="111"/>
      <c r="J114" s="111"/>
      <c r="K114" s="111"/>
      <c r="L114" s="111"/>
      <c r="M114" s="109" t="s">
        <v>1258</v>
      </c>
      <c r="N114" s="109"/>
      <c r="O114" s="109"/>
      <c r="P114" s="109"/>
      <c r="Q114" s="109" t="s">
        <v>604</v>
      </c>
      <c r="R114" s="110">
        <v>45684</v>
      </c>
      <c r="S114" s="109" t="s">
        <v>211</v>
      </c>
      <c r="T114" s="116" t="str">
        <f ca="1">IF(AND('Inserimento dati'!$B$3=$H$2, Tabella3[[#This Row],[LUN]]="X"), "X",IF(AND('Inserimento dati'!$B$3=$I$2, Tabella3[[#This Row],[MAR]]="X"), "X", IF(AND('Inserimento dati'!$B$3=$J$2, Tabella3[[#This Row],[MER]]="X"), "X",IF(AND('Inserimento dati'!$B$3=$K$2, Tabella3[[#This Row],[GIO]]="X"), "X", IF(AND('Inserimento dati'!$B$3=$L$2, Tabella3[[#This Row],[VEN]]="X"), "X","")))))</f>
        <v/>
      </c>
      <c r="U114" s="143" t="str">
        <f t="shared" ca="1" si="4"/>
        <v/>
      </c>
      <c r="V114" s="187">
        <v>45930.833333333336</v>
      </c>
    </row>
    <row r="115" spans="1:22" s="19" customFormat="1" ht="23.25" x14ac:dyDescent="0.2">
      <c r="A115" s="112"/>
      <c r="B115" s="112" t="str">
        <f t="shared" si="6"/>
        <v>X</v>
      </c>
      <c r="C115" s="112" t="str">
        <f>IF(OR(Tabella3[[#This Row],[LUN]]="X",Tabella3[[#This Row],[MAR]]="X",Tabella3[[#This Row],[MER]]="X",Tabella3[[#This Row],[GIO]]="X",Tabella3[[#This Row],[VEN]]="X",),"X","")</f>
        <v/>
      </c>
      <c r="D115" s="113" t="s">
        <v>87</v>
      </c>
      <c r="E115" s="109" t="s">
        <v>363</v>
      </c>
      <c r="F115" s="109">
        <v>1400</v>
      </c>
      <c r="G115" s="109" t="s">
        <v>1885</v>
      </c>
      <c r="H115" s="111"/>
      <c r="I115" s="111"/>
      <c r="J115" s="111"/>
      <c r="K115" s="111"/>
      <c r="L115" s="111"/>
      <c r="M115" s="109" t="s">
        <v>1258</v>
      </c>
      <c r="N115" s="109"/>
      <c r="O115" s="109"/>
      <c r="P115" s="109"/>
      <c r="Q115" s="109" t="s">
        <v>527</v>
      </c>
      <c r="R115" s="110">
        <v>45681</v>
      </c>
      <c r="S115" s="110" t="s">
        <v>211</v>
      </c>
      <c r="T115" s="112" t="str">
        <f ca="1">IF(AND('Inserimento dati'!$B$3=$H$2, Tabella3[[#This Row],[LUN]]="X"), "X",IF(AND('Inserimento dati'!$B$3=$I$2, Tabella3[[#This Row],[MAR]]="X"), "X", IF(AND('Inserimento dati'!$B$3=$J$2, Tabella3[[#This Row],[MER]]="X"), "X",IF(AND('Inserimento dati'!$B$3=$K$2, Tabella3[[#This Row],[GIO]]="X"), "X", IF(AND('Inserimento dati'!$B$3=$L$2, Tabella3[[#This Row],[VEN]]="X"), "X","")))))</f>
        <v/>
      </c>
      <c r="U115" s="143" t="str">
        <f t="shared" ca="1" si="4"/>
        <v>1400: 14</v>
      </c>
      <c r="V115" s="187">
        <v>45930.833333333336</v>
      </c>
    </row>
    <row r="116" spans="1:22" s="19" customFormat="1" ht="30" x14ac:dyDescent="0.2">
      <c r="A116" s="112"/>
      <c r="B116" s="112" t="str">
        <f t="shared" si="6"/>
        <v>X</v>
      </c>
      <c r="C116" s="112" t="str">
        <f>IF(OR(Tabella3[[#This Row],[LUN]]="X",Tabella3[[#This Row],[MAR]]="X",Tabella3[[#This Row],[MER]]="X",Tabella3[[#This Row],[GIO]]="X",Tabella3[[#This Row],[VEN]]="X",),"X","")</f>
        <v/>
      </c>
      <c r="D116" s="113" t="s">
        <v>87</v>
      </c>
      <c r="E116" s="109" t="s">
        <v>319</v>
      </c>
      <c r="F116" s="109">
        <v>1800</v>
      </c>
      <c r="G116" s="109" t="s">
        <v>1886</v>
      </c>
      <c r="H116" s="111"/>
      <c r="I116" s="111"/>
      <c r="J116" s="111"/>
      <c r="K116" s="111"/>
      <c r="L116" s="111"/>
      <c r="M116" s="109" t="s">
        <v>1258</v>
      </c>
      <c r="N116" s="109"/>
      <c r="O116" s="109"/>
      <c r="P116" s="109"/>
      <c r="Q116" s="109"/>
      <c r="R116" s="110">
        <v>45680</v>
      </c>
      <c r="S116" s="110" t="s">
        <v>203</v>
      </c>
      <c r="T116" s="112" t="str">
        <f ca="1">IF(AND('Inserimento dati'!$B$3=$H$2, Tabella3[[#This Row],[LUN]]="X"), "X",IF(AND('Inserimento dati'!$B$3=$I$2, Tabella3[[#This Row],[MAR]]="X"), "X", IF(AND('Inserimento dati'!$B$3=$J$2, Tabella3[[#This Row],[MER]]="X"), "X",IF(AND('Inserimento dati'!$B$3=$K$2, Tabella3[[#This Row],[GIO]]="X"), "X", IF(AND('Inserimento dati'!$B$3=$L$2, Tabella3[[#This Row],[VEN]]="X"), "X","")))))</f>
        <v/>
      </c>
      <c r="U116" s="143" t="str">
        <f t="shared" ca="1" si="4"/>
        <v/>
      </c>
      <c r="V116" s="187">
        <v>45930.833333333336</v>
      </c>
    </row>
    <row r="117" spans="1:22" s="19" customFormat="1" ht="23.25" x14ac:dyDescent="0.2">
      <c r="A117" s="112"/>
      <c r="B117" s="112" t="str">
        <f t="shared" si="6"/>
        <v>X</v>
      </c>
      <c r="C117" s="112" t="str">
        <f>IF(OR(Tabella3[[#This Row],[LUN]]="X",Tabella3[[#This Row],[MAR]]="X",Tabella3[[#This Row],[MER]]="X",Tabella3[[#This Row],[GIO]]="X",Tabella3[[#This Row],[VEN]]="X",),"X","")</f>
        <v/>
      </c>
      <c r="D117" s="113" t="s">
        <v>87</v>
      </c>
      <c r="E117" s="109" t="s">
        <v>498</v>
      </c>
      <c r="F117" s="109" t="s">
        <v>92</v>
      </c>
      <c r="G117" s="109" t="s">
        <v>1887</v>
      </c>
      <c r="H117" s="111"/>
      <c r="I117" s="111"/>
      <c r="J117" s="111"/>
      <c r="K117" s="111"/>
      <c r="L117" s="111"/>
      <c r="M117" s="109" t="s">
        <v>1258</v>
      </c>
      <c r="N117" s="109"/>
      <c r="O117" s="109"/>
      <c r="P117" s="109"/>
      <c r="Q117" s="109" t="s">
        <v>501</v>
      </c>
      <c r="R117" s="110">
        <v>45680</v>
      </c>
      <c r="S117" s="109" t="s">
        <v>211</v>
      </c>
      <c r="T117" s="112" t="str">
        <f ca="1">IF(AND('Inserimento dati'!$B$3=$H$2, Tabella3[[#This Row],[LUN]]="X"), "X",IF(AND('Inserimento dati'!$B$3=$I$2, Tabella3[[#This Row],[MAR]]="X"), "X", IF(AND('Inserimento dati'!$B$3=$J$2, Tabella3[[#This Row],[MER]]="X"), "X",IF(AND('Inserimento dati'!$B$3=$K$2, Tabella3[[#This Row],[GIO]]="X"), "X", IF(AND('Inserimento dati'!$B$3=$L$2, Tabella3[[#This Row],[VEN]]="X"), "X","")))))</f>
        <v/>
      </c>
      <c r="U117" s="143" t="str">
        <f t="shared" ca="1" si="4"/>
        <v/>
      </c>
      <c r="V117" s="187">
        <v>45930.833333333336</v>
      </c>
    </row>
    <row r="118" spans="1:22" s="19" customFormat="1" ht="30" x14ac:dyDescent="0.2">
      <c r="A118" s="112"/>
      <c r="B118" s="112" t="str">
        <f t="shared" si="6"/>
        <v>X</v>
      </c>
      <c r="C118" s="112" t="str">
        <f>IF(OR(Tabella3[[#This Row],[LUN]]="X",Tabella3[[#This Row],[MAR]]="X",Tabella3[[#This Row],[MER]]="X",Tabella3[[#This Row],[GIO]]="X",Tabella3[[#This Row],[VEN]]="X",),"X","")</f>
        <v/>
      </c>
      <c r="D118" s="113" t="s">
        <v>87</v>
      </c>
      <c r="E118" s="109" t="s">
        <v>493</v>
      </c>
      <c r="F118" s="109">
        <v>2200</v>
      </c>
      <c r="G118" s="109" t="s">
        <v>1888</v>
      </c>
      <c r="H118" s="111"/>
      <c r="I118" s="111"/>
      <c r="J118" s="111"/>
      <c r="K118" s="111"/>
      <c r="L118" s="111"/>
      <c r="M118" s="109" t="s">
        <v>1258</v>
      </c>
      <c r="N118" s="109"/>
      <c r="O118" s="109"/>
      <c r="P118" s="109"/>
      <c r="Q118" s="109" t="s">
        <v>500</v>
      </c>
      <c r="R118" s="110">
        <v>45680</v>
      </c>
      <c r="S118" s="109" t="s">
        <v>211</v>
      </c>
      <c r="T118" s="112" t="str">
        <f ca="1">IF(AND('Inserimento dati'!$B$3=$H$2, Tabella3[[#This Row],[LUN]]="X"), "X",IF(AND('Inserimento dati'!$B$3=$I$2, Tabella3[[#This Row],[MAR]]="X"), "X", IF(AND('Inserimento dati'!$B$3=$J$2, Tabella3[[#This Row],[MER]]="X"), "X",IF(AND('Inserimento dati'!$B$3=$K$2, Tabella3[[#This Row],[GIO]]="X"), "X", IF(AND('Inserimento dati'!$B$3=$L$2, Tabella3[[#This Row],[VEN]]="X"), "X","")))))</f>
        <v/>
      </c>
      <c r="U118" s="143" t="str">
        <f t="shared" ca="1" si="4"/>
        <v/>
      </c>
      <c r="V118" s="187">
        <v>45930.833333333336</v>
      </c>
    </row>
    <row r="119" spans="1:22" s="19" customFormat="1" ht="23.25" x14ac:dyDescent="0.2">
      <c r="A119" s="112"/>
      <c r="B119" s="112" t="str">
        <f t="shared" si="6"/>
        <v>X</v>
      </c>
      <c r="C119" s="112" t="str">
        <f>IF(OR(Tabella3[[#This Row],[LUN]]="X",Tabella3[[#This Row],[MAR]]="X",Tabella3[[#This Row],[MER]]="X",Tabella3[[#This Row],[GIO]]="X",Tabella3[[#This Row],[VEN]]="X",),"X","")</f>
        <v/>
      </c>
      <c r="D119" s="113" t="s">
        <v>87</v>
      </c>
      <c r="E119" s="109" t="s">
        <v>468</v>
      </c>
      <c r="F119" s="109">
        <v>1400</v>
      </c>
      <c r="G119" s="109" t="s">
        <v>1889</v>
      </c>
      <c r="H119" s="111"/>
      <c r="I119" s="111"/>
      <c r="J119" s="111"/>
      <c r="K119" s="111"/>
      <c r="L119" s="111"/>
      <c r="M119" s="109" t="s">
        <v>1258</v>
      </c>
      <c r="N119" s="109"/>
      <c r="O119" s="109"/>
      <c r="P119" s="109"/>
      <c r="Q119" s="109" t="s">
        <v>480</v>
      </c>
      <c r="R119" s="110">
        <v>45678</v>
      </c>
      <c r="S119" s="109" t="s">
        <v>203</v>
      </c>
      <c r="T119" s="112" t="str">
        <f ca="1">IF(AND('Inserimento dati'!$B$3=$H$2, Tabella3[[#This Row],[LUN]]="X"), "X",IF(AND('Inserimento dati'!$B$3=$I$2, Tabella3[[#This Row],[MAR]]="X"), "X", IF(AND('Inserimento dati'!$B$3=$J$2, Tabella3[[#This Row],[MER]]="X"), "X",IF(AND('Inserimento dati'!$B$3=$K$2, Tabella3[[#This Row],[GIO]]="X"), "X", IF(AND('Inserimento dati'!$B$3=$L$2, Tabella3[[#This Row],[VEN]]="X"), "X","")))))</f>
        <v/>
      </c>
      <c r="U119" s="143" t="str">
        <f t="shared" ca="1" si="4"/>
        <v/>
      </c>
      <c r="V119" s="187">
        <v>45930.833333333336</v>
      </c>
    </row>
    <row r="120" spans="1:22" s="19" customFormat="1" ht="30" x14ac:dyDescent="0.2">
      <c r="A120" s="112"/>
      <c r="B120" s="112" t="str">
        <f t="shared" si="6"/>
        <v>X</v>
      </c>
      <c r="C120" s="112" t="str">
        <f>IF(OR(Tabella3[[#This Row],[LUN]]="X",Tabella3[[#This Row],[MAR]]="X",Tabella3[[#This Row],[MER]]="X",Tabella3[[#This Row],[GIO]]="X",Tabella3[[#This Row],[VEN]]="X",),"X","")</f>
        <v/>
      </c>
      <c r="D120" s="113" t="s">
        <v>87</v>
      </c>
      <c r="E120" s="109" t="s">
        <v>469</v>
      </c>
      <c r="F120" s="109">
        <v>1400</v>
      </c>
      <c r="G120" s="109" t="s">
        <v>1890</v>
      </c>
      <c r="H120" s="111"/>
      <c r="I120" s="111"/>
      <c r="J120" s="111"/>
      <c r="K120" s="111"/>
      <c r="L120" s="111"/>
      <c r="M120" s="109" t="s">
        <v>1258</v>
      </c>
      <c r="N120" s="109"/>
      <c r="O120" s="109"/>
      <c r="P120" s="109"/>
      <c r="Q120" s="109" t="s">
        <v>473</v>
      </c>
      <c r="R120" s="110">
        <v>45678</v>
      </c>
      <c r="S120" s="109" t="s">
        <v>203</v>
      </c>
      <c r="T120" s="112" t="str">
        <f ca="1">IF(AND('Inserimento dati'!$B$3=$H$2, Tabella3[[#This Row],[LUN]]="X"), "X",IF(AND('Inserimento dati'!$B$3=$I$2, Tabella3[[#This Row],[MAR]]="X"), "X", IF(AND('Inserimento dati'!$B$3=$J$2, Tabella3[[#This Row],[MER]]="X"), "X",IF(AND('Inserimento dati'!$B$3=$K$2, Tabella3[[#This Row],[GIO]]="X"), "X", IF(AND('Inserimento dati'!$B$3=$L$2, Tabella3[[#This Row],[VEN]]="X"), "X","")))))</f>
        <v/>
      </c>
      <c r="U120" s="143" t="str">
        <f t="shared" ca="1" si="4"/>
        <v/>
      </c>
      <c r="V120" s="187">
        <v>45930.833333333336</v>
      </c>
    </row>
    <row r="121" spans="1:22" s="19" customFormat="1" ht="30" x14ac:dyDescent="0.2">
      <c r="A121" s="112"/>
      <c r="B121" s="112" t="str">
        <f t="shared" si="6"/>
        <v>X</v>
      </c>
      <c r="C121" s="112" t="str">
        <f>IF(OR(Tabella3[[#This Row],[LUN]]="X",Tabella3[[#This Row],[MAR]]="X",Tabella3[[#This Row],[MER]]="X",Tabella3[[#This Row],[GIO]]="X",Tabella3[[#This Row],[VEN]]="X",),"X","")</f>
        <v/>
      </c>
      <c r="D121" s="113" t="s">
        <v>87</v>
      </c>
      <c r="E121" s="109" t="s">
        <v>362</v>
      </c>
      <c r="F121" s="109" t="s">
        <v>92</v>
      </c>
      <c r="G121" s="109" t="s">
        <v>1891</v>
      </c>
      <c r="H121" s="111"/>
      <c r="I121" s="111"/>
      <c r="J121" s="111"/>
      <c r="K121" s="111"/>
      <c r="L121" s="111"/>
      <c r="M121" s="109" t="s">
        <v>1258</v>
      </c>
      <c r="N121" s="109"/>
      <c r="O121" s="109"/>
      <c r="P121" s="109"/>
      <c r="Q121" s="109" t="s">
        <v>452</v>
      </c>
      <c r="R121" s="110">
        <v>45311</v>
      </c>
      <c r="S121" s="110" t="s">
        <v>453</v>
      </c>
      <c r="T121" s="112" t="str">
        <f ca="1">IF(AND('Inserimento dati'!$B$3=$H$2, Tabella3[[#This Row],[LUN]]="X"), "X",IF(AND('Inserimento dati'!$B$3=$I$2, Tabella3[[#This Row],[MAR]]="X"), "X", IF(AND('Inserimento dati'!$B$3=$J$2, Tabella3[[#This Row],[MER]]="X"), "X",IF(AND('Inserimento dati'!$B$3=$K$2, Tabella3[[#This Row],[GIO]]="X"), "X", IF(AND('Inserimento dati'!$B$3=$L$2, Tabella3[[#This Row],[VEN]]="X"), "X","")))))</f>
        <v/>
      </c>
      <c r="U121" s="143" t="str">
        <f t="shared" ca="1" si="4"/>
        <v/>
      </c>
      <c r="V121" s="187">
        <v>45930.833333333336</v>
      </c>
    </row>
    <row r="122" spans="1:22" s="19" customFormat="1" ht="30" x14ac:dyDescent="0.2">
      <c r="A122" s="112"/>
      <c r="B122" s="112" t="str">
        <f t="shared" si="6"/>
        <v>X</v>
      </c>
      <c r="C122" s="112" t="str">
        <f>IF(OR(Tabella3[[#This Row],[LUN]]="X",Tabella3[[#This Row],[MAR]]="X",Tabella3[[#This Row],[MER]]="X",Tabella3[[#This Row],[GIO]]="X",Tabella3[[#This Row],[VEN]]="X",),"X","")</f>
        <v/>
      </c>
      <c r="D122" s="113" t="s">
        <v>87</v>
      </c>
      <c r="E122" s="109" t="s">
        <v>421</v>
      </c>
      <c r="F122" s="109" t="s">
        <v>93</v>
      </c>
      <c r="G122" s="109" t="s">
        <v>1892</v>
      </c>
      <c r="H122" s="111"/>
      <c r="I122" s="111"/>
      <c r="J122" s="111"/>
      <c r="K122" s="111"/>
      <c r="L122" s="111"/>
      <c r="M122" s="109" t="s">
        <v>1258</v>
      </c>
      <c r="N122" s="109"/>
      <c r="O122" s="109"/>
      <c r="P122" s="109"/>
      <c r="Q122" s="109"/>
      <c r="R122" s="110"/>
      <c r="S122" s="110"/>
      <c r="T122" s="112" t="str">
        <f ca="1">IF(AND('Inserimento dati'!$B$3=$H$2, Tabella3[[#This Row],[LUN]]="X"), "X",IF(AND('Inserimento dati'!$B$3=$I$2, Tabella3[[#This Row],[MAR]]="X"), "X", IF(AND('Inserimento dati'!$B$3=$J$2, Tabella3[[#This Row],[MER]]="X"), "X",IF(AND('Inserimento dati'!$B$3=$K$2, Tabella3[[#This Row],[GIO]]="X"), "X", IF(AND('Inserimento dati'!$B$3=$L$2, Tabella3[[#This Row],[VEN]]="X"), "X","")))))</f>
        <v/>
      </c>
      <c r="U122" s="143" t="str">
        <f t="shared" ca="1" si="4"/>
        <v/>
      </c>
      <c r="V122" s="187">
        <v>45930.833333333336</v>
      </c>
    </row>
    <row r="123" spans="1:22" s="19" customFormat="1" ht="23.25" x14ac:dyDescent="0.2">
      <c r="A123" s="112"/>
      <c r="B123" s="112" t="str">
        <f t="shared" si="6"/>
        <v>X</v>
      </c>
      <c r="C123" s="112" t="str">
        <f>IF(OR(Tabella3[[#This Row],[LUN]]="X",Tabella3[[#This Row],[MAR]]="X",Tabella3[[#This Row],[MER]]="X",Tabella3[[#This Row],[GIO]]="X",Tabella3[[#This Row],[VEN]]="X",),"X","")</f>
        <v/>
      </c>
      <c r="D123" s="113" t="s">
        <v>87</v>
      </c>
      <c r="E123" s="109" t="s">
        <v>233</v>
      </c>
      <c r="F123" s="109" t="s">
        <v>92</v>
      </c>
      <c r="G123" s="109" t="s">
        <v>1893</v>
      </c>
      <c r="H123" s="111"/>
      <c r="I123" s="111"/>
      <c r="J123" s="111"/>
      <c r="K123" s="111"/>
      <c r="L123" s="111"/>
      <c r="M123" s="109" t="s">
        <v>1258</v>
      </c>
      <c r="N123" s="109"/>
      <c r="O123" s="109"/>
      <c r="P123" s="109"/>
      <c r="Q123" s="109" t="s">
        <v>433</v>
      </c>
      <c r="R123" s="110">
        <v>45308</v>
      </c>
      <c r="S123" s="110" t="s">
        <v>211</v>
      </c>
      <c r="T123" s="116" t="str">
        <f ca="1">IF(AND('Inserimento dati'!$B$3=$H$2, Tabella3[[#This Row],[LUN]]="X"), "X",IF(AND('Inserimento dati'!$B$3=$I$2, Tabella3[[#This Row],[MAR]]="X"), "X", IF(AND('Inserimento dati'!$B$3=$J$2, Tabella3[[#This Row],[MER]]="X"), "X",IF(AND('Inserimento dati'!$B$3=$K$2, Tabella3[[#This Row],[GIO]]="X"), "X", IF(AND('Inserimento dati'!$B$3=$L$2, Tabella3[[#This Row],[VEN]]="X"), "X","")))))</f>
        <v/>
      </c>
      <c r="U123" s="143" t="str">
        <f t="shared" ca="1" si="4"/>
        <v/>
      </c>
      <c r="V123" s="187">
        <v>45930.833333333336</v>
      </c>
    </row>
    <row r="124" spans="1:22" s="19" customFormat="1" ht="23.25" x14ac:dyDescent="0.2">
      <c r="A124" s="112"/>
      <c r="B124" s="112" t="str">
        <f t="shared" si="6"/>
        <v>X</v>
      </c>
      <c r="C124" s="112" t="str">
        <f>IF(OR(Tabella3[[#This Row],[LUN]]="X",Tabella3[[#This Row],[MAR]]="X",Tabella3[[#This Row],[MER]]="X",Tabella3[[#This Row],[GIO]]="X",Tabella3[[#This Row],[VEN]]="X",),"X","")</f>
        <v/>
      </c>
      <c r="D124" s="113" t="s">
        <v>87</v>
      </c>
      <c r="E124" s="109" t="s">
        <v>300</v>
      </c>
      <c r="F124" s="109">
        <v>1800</v>
      </c>
      <c r="G124" s="109" t="s">
        <v>1894</v>
      </c>
      <c r="H124" s="111"/>
      <c r="I124" s="111"/>
      <c r="J124" s="111"/>
      <c r="K124" s="111"/>
      <c r="L124" s="111"/>
      <c r="M124" s="109" t="s">
        <v>1258</v>
      </c>
      <c r="N124" s="109"/>
      <c r="O124" s="109"/>
      <c r="P124" s="109"/>
      <c r="Q124" s="109" t="s">
        <v>409</v>
      </c>
      <c r="R124" s="110">
        <v>45307</v>
      </c>
      <c r="S124" s="110" t="s">
        <v>410</v>
      </c>
      <c r="T124" s="112" t="str">
        <f ca="1">IF(AND('Inserimento dati'!$B$3=$H$2, Tabella3[[#This Row],[LUN]]="X"), "X",IF(AND('Inserimento dati'!$B$3=$I$2, Tabella3[[#This Row],[MAR]]="X"), "X", IF(AND('Inserimento dati'!$B$3=$J$2, Tabella3[[#This Row],[MER]]="X"), "X",IF(AND('Inserimento dati'!$B$3=$K$2, Tabella3[[#This Row],[GIO]]="X"), "X", IF(AND('Inserimento dati'!$B$3=$L$2, Tabella3[[#This Row],[VEN]]="X"), "X","")))))</f>
        <v/>
      </c>
      <c r="U124" s="143" t="str">
        <f t="shared" ca="1" si="4"/>
        <v/>
      </c>
      <c r="V124" s="187">
        <v>45930.833333333336</v>
      </c>
    </row>
    <row r="125" spans="1:22" s="19" customFormat="1" ht="60" x14ac:dyDescent="0.2">
      <c r="A125" s="112"/>
      <c r="B125" s="112" t="str">
        <f t="shared" si="6"/>
        <v>X</v>
      </c>
      <c r="C125" s="112" t="str">
        <f>IF(OR(Tabella3[[#This Row],[LUN]]="X",Tabella3[[#This Row],[MAR]]="X",Tabella3[[#This Row],[MER]]="X",Tabella3[[#This Row],[GIO]]="X",Tabella3[[#This Row],[VEN]]="X",),"X","")</f>
        <v/>
      </c>
      <c r="D125" s="113" t="s">
        <v>87</v>
      </c>
      <c r="E125" s="109" t="s">
        <v>364</v>
      </c>
      <c r="F125" s="109">
        <v>2200</v>
      </c>
      <c r="G125" s="109" t="s">
        <v>1895</v>
      </c>
      <c r="H125" s="111"/>
      <c r="I125" s="111"/>
      <c r="J125" s="111"/>
      <c r="K125" s="111"/>
      <c r="L125" s="111"/>
      <c r="M125" s="109" t="s">
        <v>1258</v>
      </c>
      <c r="N125" s="109"/>
      <c r="O125" s="109"/>
      <c r="P125" s="109"/>
      <c r="Q125" s="109" t="s">
        <v>326</v>
      </c>
      <c r="R125" s="110">
        <v>45659</v>
      </c>
      <c r="S125" s="110" t="s">
        <v>102</v>
      </c>
      <c r="T125" s="116" t="str">
        <f ca="1">IF(AND('Inserimento dati'!$B$3=$H$2, Tabella3[[#This Row],[LUN]]="X"), "X",IF(AND('Inserimento dati'!$B$3=$I$2, Tabella3[[#This Row],[MAR]]="X"), "X", IF(AND('Inserimento dati'!$B$3=$J$2, Tabella3[[#This Row],[MER]]="X"), "X",IF(AND('Inserimento dati'!$B$3=$K$2, Tabella3[[#This Row],[GIO]]="X"), "X", IF(AND('Inserimento dati'!$B$3=$L$2, Tabella3[[#This Row],[VEN]]="X"), "X","")))))</f>
        <v/>
      </c>
      <c r="U125" s="143" t="str">
        <f t="shared" ca="1" si="4"/>
        <v/>
      </c>
      <c r="V125" s="187">
        <v>45930.833333333336</v>
      </c>
    </row>
    <row r="126" spans="1:22" s="19" customFormat="1" ht="23.25" x14ac:dyDescent="0.2">
      <c r="A126" s="112"/>
      <c r="B126" s="112" t="str">
        <f t="shared" si="6"/>
        <v>X</v>
      </c>
      <c r="C126" s="112" t="str">
        <f>IF(OR(Tabella3[[#This Row],[LUN]]="X",Tabella3[[#This Row],[MAR]]="X",Tabella3[[#This Row],[MER]]="X",Tabella3[[#This Row],[GIO]]="X",Tabella3[[#This Row],[VEN]]="X",),"X","")</f>
        <v/>
      </c>
      <c r="D126" s="113" t="s">
        <v>87</v>
      </c>
      <c r="E126" s="109" t="s">
        <v>268</v>
      </c>
      <c r="F126" s="109">
        <v>800</v>
      </c>
      <c r="G126" s="109" t="s">
        <v>1896</v>
      </c>
      <c r="H126" s="111"/>
      <c r="I126" s="111"/>
      <c r="J126" s="111"/>
      <c r="K126" s="111"/>
      <c r="L126" s="111"/>
      <c r="M126" s="109" t="s">
        <v>1258</v>
      </c>
      <c r="N126" s="109"/>
      <c r="O126" s="109"/>
      <c r="P126" s="109"/>
      <c r="Q126" s="109" t="s">
        <v>407</v>
      </c>
      <c r="R126" s="110">
        <v>45673</v>
      </c>
      <c r="S126" s="110" t="s">
        <v>230</v>
      </c>
      <c r="T126" s="112" t="str">
        <f ca="1">IF(AND('Inserimento dati'!$B$3=$H$2, Tabella3[[#This Row],[LUN]]="X"), "X",IF(AND('Inserimento dati'!$B$3=$I$2, Tabella3[[#This Row],[MAR]]="X"), "X", IF(AND('Inserimento dati'!$B$3=$J$2, Tabella3[[#This Row],[MER]]="X"), "X",IF(AND('Inserimento dati'!$B$3=$K$2, Tabella3[[#This Row],[GIO]]="X"), "X", IF(AND('Inserimento dati'!$B$3=$L$2, Tabella3[[#This Row],[VEN]]="X"), "X","")))))</f>
        <v/>
      </c>
      <c r="U126" s="143" t="str">
        <f t="shared" ca="1" si="4"/>
        <v/>
      </c>
      <c r="V126" s="187">
        <v>45930.833333333336</v>
      </c>
    </row>
    <row r="127" spans="1:22" s="19" customFormat="1" ht="30" x14ac:dyDescent="0.2">
      <c r="A127" s="112"/>
      <c r="B127" s="112" t="str">
        <f t="shared" si="6"/>
        <v>X</v>
      </c>
      <c r="C127" s="112" t="str">
        <f>IF(OR(Tabella3[[#This Row],[LUN]]="X",Tabella3[[#This Row],[MAR]]="X",Tabella3[[#This Row],[MER]]="X",Tabella3[[#This Row],[GIO]]="X",Tabella3[[#This Row],[VEN]]="X",),"X","")</f>
        <v/>
      </c>
      <c r="D127" s="113" t="s">
        <v>87</v>
      </c>
      <c r="E127" s="109" t="s">
        <v>371</v>
      </c>
      <c r="F127" s="109" t="s">
        <v>88</v>
      </c>
      <c r="G127" s="109" t="s">
        <v>1897</v>
      </c>
      <c r="H127" s="111"/>
      <c r="I127" s="111"/>
      <c r="J127" s="111"/>
      <c r="K127" s="111"/>
      <c r="L127" s="111"/>
      <c r="M127" s="109" t="s">
        <v>1258</v>
      </c>
      <c r="N127" s="109"/>
      <c r="O127" s="109"/>
      <c r="P127" s="109"/>
      <c r="Q127" s="109" t="s">
        <v>324</v>
      </c>
      <c r="R127" s="110">
        <v>45644</v>
      </c>
      <c r="S127" s="110" t="s">
        <v>203</v>
      </c>
      <c r="T127" s="116" t="str">
        <f ca="1">IF(AND('Inserimento dati'!$B$3=$H$2, Tabella3[[#This Row],[LUN]]="X"), "X",IF(AND('Inserimento dati'!$B$3=$I$2, Tabella3[[#This Row],[MAR]]="X"), "X", IF(AND('Inserimento dati'!$B$3=$J$2, Tabella3[[#This Row],[MER]]="X"), "X",IF(AND('Inserimento dati'!$B$3=$K$2, Tabella3[[#This Row],[GIO]]="X"), "X", IF(AND('Inserimento dati'!$B$3=$L$2, Tabella3[[#This Row],[VEN]]="X"), "X","")))))</f>
        <v/>
      </c>
      <c r="U127" s="143" t="str">
        <f t="shared" ca="1" si="4"/>
        <v/>
      </c>
      <c r="V127" s="187">
        <v>45930.833333333336</v>
      </c>
    </row>
    <row r="128" spans="1:22" s="19" customFormat="1" ht="23.25" x14ac:dyDescent="0.2">
      <c r="A128" s="112"/>
      <c r="B128" s="112" t="str">
        <f t="shared" si="6"/>
        <v>X</v>
      </c>
      <c r="C128" s="112" t="str">
        <f>IF(OR(Tabella3[[#This Row],[LUN]]="X",Tabella3[[#This Row],[MAR]]="X",Tabella3[[#This Row],[MER]]="X",Tabella3[[#This Row],[GIO]]="X",Tabella3[[#This Row],[VEN]]="X",),"X","")</f>
        <v/>
      </c>
      <c r="D128" s="113" t="s">
        <v>87</v>
      </c>
      <c r="E128" s="109" t="s">
        <v>333</v>
      </c>
      <c r="F128" s="109">
        <v>100</v>
      </c>
      <c r="G128" s="109" t="s">
        <v>1898</v>
      </c>
      <c r="H128" s="111"/>
      <c r="I128" s="111"/>
      <c r="J128" s="111"/>
      <c r="K128" s="111"/>
      <c r="L128" s="111"/>
      <c r="M128" s="109" t="s">
        <v>1258</v>
      </c>
      <c r="N128" s="109"/>
      <c r="O128" s="109"/>
      <c r="P128" s="109"/>
      <c r="Q128" s="109" t="s">
        <v>335</v>
      </c>
      <c r="R128" s="110">
        <v>45671</v>
      </c>
      <c r="S128" s="110" t="s">
        <v>334</v>
      </c>
      <c r="T128" s="112" t="str">
        <f ca="1">IF(AND('Inserimento dati'!$B$3=$H$2, Tabella3[[#This Row],[LUN]]="X"), "X",IF(AND('Inserimento dati'!$B$3=$I$2, Tabella3[[#This Row],[MAR]]="X"), "X", IF(AND('Inserimento dati'!$B$3=$J$2, Tabella3[[#This Row],[MER]]="X"), "X",IF(AND('Inserimento dati'!$B$3=$K$2, Tabella3[[#This Row],[GIO]]="X"), "X", IF(AND('Inserimento dati'!$B$3=$L$2, Tabella3[[#This Row],[VEN]]="X"), "X","")))))</f>
        <v/>
      </c>
      <c r="U128" s="143" t="str">
        <f t="shared" ca="1" si="4"/>
        <v/>
      </c>
      <c r="V128" s="187">
        <v>45930.833333333336</v>
      </c>
    </row>
    <row r="129" spans="1:22" s="19" customFormat="1" ht="23.25" x14ac:dyDescent="0.2">
      <c r="A129" s="112"/>
      <c r="B129" s="112" t="str">
        <f t="shared" si="6"/>
        <v>X</v>
      </c>
      <c r="C129" s="112" t="str">
        <f>IF(OR(Tabella3[[#This Row],[LUN]]="X",Tabella3[[#This Row],[MAR]]="X",Tabella3[[#This Row],[MER]]="X",Tabella3[[#This Row],[GIO]]="X",Tabella3[[#This Row],[VEN]]="X",),"X","")</f>
        <v/>
      </c>
      <c r="D129" s="113" t="s">
        <v>87</v>
      </c>
      <c r="E129" s="109" t="s">
        <v>321</v>
      </c>
      <c r="F129" s="109" t="s">
        <v>96</v>
      </c>
      <c r="G129" s="109" t="s">
        <v>1899</v>
      </c>
      <c r="H129" s="111"/>
      <c r="I129" s="111"/>
      <c r="J129" s="111"/>
      <c r="K129" s="111"/>
      <c r="L129" s="111"/>
      <c r="M129" s="109" t="s">
        <v>1258</v>
      </c>
      <c r="N129" s="109"/>
      <c r="O129" s="109"/>
      <c r="P129" s="109"/>
      <c r="Q129" s="109"/>
      <c r="R129" s="110">
        <v>45667</v>
      </c>
      <c r="S129" s="110" t="s">
        <v>203</v>
      </c>
      <c r="T129" s="112" t="str">
        <f ca="1">IF(AND('Inserimento dati'!$B$3=$H$2, Tabella3[[#This Row],[LUN]]="X"), "X",IF(AND('Inserimento dati'!$B$3=$I$2, Tabella3[[#This Row],[MAR]]="X"), "X", IF(AND('Inserimento dati'!$B$3=$J$2, Tabella3[[#This Row],[MER]]="X"), "X",IF(AND('Inserimento dati'!$B$3=$K$2, Tabella3[[#This Row],[GIO]]="X"), "X", IF(AND('Inserimento dati'!$B$3=$L$2, Tabella3[[#This Row],[VEN]]="X"), "X","")))))</f>
        <v/>
      </c>
      <c r="U129" s="143" t="str">
        <f t="shared" ca="1" si="4"/>
        <v xml:space="preserve"> 1021453</v>
      </c>
      <c r="V129" s="187">
        <v>45930.833333333336</v>
      </c>
    </row>
    <row r="130" spans="1:22" s="19" customFormat="1" ht="105" x14ac:dyDescent="0.2">
      <c r="A130" s="112"/>
      <c r="B130" s="112" t="str">
        <f t="shared" si="6"/>
        <v>X</v>
      </c>
      <c r="C130" s="112" t="str">
        <f>IF(OR(Tabella3[[#This Row],[LUN]]="X",Tabella3[[#This Row],[MAR]]="X",Tabella3[[#This Row],[MER]]="X",Tabella3[[#This Row],[GIO]]="X",Tabella3[[#This Row],[VEN]]="X",),"X","")</f>
        <v/>
      </c>
      <c r="D130" s="113" t="s">
        <v>87</v>
      </c>
      <c r="E130" s="109" t="s">
        <v>223</v>
      </c>
      <c r="F130" s="109" t="s">
        <v>114</v>
      </c>
      <c r="G130" s="109" t="s">
        <v>1900</v>
      </c>
      <c r="H130" s="111"/>
      <c r="I130" s="111"/>
      <c r="J130" s="111"/>
      <c r="K130" s="111"/>
      <c r="L130" s="111"/>
      <c r="M130" s="109" t="s">
        <v>1258</v>
      </c>
      <c r="N130" s="109"/>
      <c r="O130" s="109"/>
      <c r="P130" s="109"/>
      <c r="Q130" s="109" t="s">
        <v>327</v>
      </c>
      <c r="R130" s="110">
        <v>45638</v>
      </c>
      <c r="S130" s="110" t="s">
        <v>203</v>
      </c>
      <c r="T130" s="116" t="str">
        <f ca="1">IF(AND('Inserimento dati'!$B$3=$H$2, Tabella3[[#This Row],[LUN]]="X"), "X",IF(AND('Inserimento dati'!$B$3=$I$2, Tabella3[[#This Row],[MAR]]="X"), "X", IF(AND('Inserimento dati'!$B$3=$J$2, Tabella3[[#This Row],[MER]]="X"), "X",IF(AND('Inserimento dati'!$B$3=$K$2, Tabella3[[#This Row],[GIO]]="X"), "X", IF(AND('Inserimento dati'!$B$3=$L$2, Tabella3[[#This Row],[VEN]]="X"), "X","")))))</f>
        <v/>
      </c>
      <c r="U130" s="143" t="str">
        <f t="shared" ca="1" si="4"/>
        <v/>
      </c>
      <c r="V130" s="187">
        <v>45930.833333333336</v>
      </c>
    </row>
    <row r="131" spans="1:22" s="19" customFormat="1" ht="23.25" x14ac:dyDescent="0.2">
      <c r="A131" s="112"/>
      <c r="B131" s="112" t="str">
        <f t="shared" si="6"/>
        <v>X</v>
      </c>
      <c r="C131" s="112" t="str">
        <f>IF(OR(Tabella3[[#This Row],[LUN]]="X",Tabella3[[#This Row],[MAR]]="X",Tabella3[[#This Row],[MER]]="X",Tabella3[[#This Row],[GIO]]="X",Tabella3[[#This Row],[VEN]]="X",),"X","")</f>
        <v/>
      </c>
      <c r="D131" s="113" t="s">
        <v>87</v>
      </c>
      <c r="E131" s="109" t="s">
        <v>372</v>
      </c>
      <c r="F131" s="109">
        <v>1800</v>
      </c>
      <c r="G131" s="109" t="s">
        <v>1901</v>
      </c>
      <c r="H131" s="111"/>
      <c r="I131" s="111"/>
      <c r="J131" s="111"/>
      <c r="K131" s="111"/>
      <c r="L131" s="111"/>
      <c r="M131" s="109" t="s">
        <v>1258</v>
      </c>
      <c r="N131" s="109"/>
      <c r="O131" s="109"/>
      <c r="P131" s="109"/>
      <c r="Q131" s="109"/>
      <c r="R131" s="110">
        <v>45656</v>
      </c>
      <c r="S131" s="110" t="s">
        <v>325</v>
      </c>
      <c r="T131" s="116" t="str">
        <f ca="1">IF(AND('Inserimento dati'!$B$3=$H$2, Tabella3[[#This Row],[LUN]]="X"), "X",IF(AND('Inserimento dati'!$B$3=$I$2, Tabella3[[#This Row],[MAR]]="X"), "X", IF(AND('Inserimento dati'!$B$3=$J$2, Tabella3[[#This Row],[MER]]="X"), "X",IF(AND('Inserimento dati'!$B$3=$K$2, Tabella3[[#This Row],[GIO]]="X"), "X", IF(AND('Inserimento dati'!$B$3=$L$2, Tabella3[[#This Row],[VEN]]="X"), "X","")))))</f>
        <v/>
      </c>
      <c r="U131" s="143" t="str">
        <f t="shared" ca="1" si="4"/>
        <v/>
      </c>
      <c r="V131" s="187">
        <v>45930.833333333336</v>
      </c>
    </row>
    <row r="132" spans="1:22" s="19" customFormat="1" ht="60" x14ac:dyDescent="0.2">
      <c r="A132" s="112"/>
      <c r="B132" s="112" t="str">
        <f t="shared" si="6"/>
        <v>X</v>
      </c>
      <c r="C132" s="112" t="str">
        <f>IF(OR(Tabella3[[#This Row],[LUN]]="X",Tabella3[[#This Row],[MAR]]="X",Tabella3[[#This Row],[MER]]="X",Tabella3[[#This Row],[GIO]]="X",Tabella3[[#This Row],[VEN]]="X",),"X","")</f>
        <v/>
      </c>
      <c r="D132" s="113" t="s">
        <v>87</v>
      </c>
      <c r="E132" s="109" t="s">
        <v>373</v>
      </c>
      <c r="F132" s="109" t="s">
        <v>114</v>
      </c>
      <c r="G132" s="109" t="s">
        <v>1902</v>
      </c>
      <c r="H132" s="111"/>
      <c r="I132" s="111"/>
      <c r="J132" s="111"/>
      <c r="K132" s="111"/>
      <c r="L132" s="111"/>
      <c r="M132" s="109" t="s">
        <v>1258</v>
      </c>
      <c r="N132" s="109"/>
      <c r="O132" s="109"/>
      <c r="P132" s="109"/>
      <c r="Q132" s="109" t="s">
        <v>322</v>
      </c>
      <c r="R132" s="110">
        <v>45665</v>
      </c>
      <c r="S132" s="110" t="s">
        <v>308</v>
      </c>
      <c r="T132" s="116" t="str">
        <f ca="1">IF(AND('Inserimento dati'!$B$3=$H$2, Tabella3[[#This Row],[LUN]]="X"), "X",IF(AND('Inserimento dati'!$B$3=$I$2, Tabella3[[#This Row],[MAR]]="X"), "X", IF(AND('Inserimento dati'!$B$3=$J$2, Tabella3[[#This Row],[MER]]="X"), "X",IF(AND('Inserimento dati'!$B$3=$K$2, Tabella3[[#This Row],[GIO]]="X"), "X", IF(AND('Inserimento dati'!$B$3=$L$2, Tabella3[[#This Row],[VEN]]="X"), "X","")))))</f>
        <v/>
      </c>
      <c r="U132" s="143" t="str">
        <f t="shared" ca="1" si="4"/>
        <v/>
      </c>
      <c r="V132" s="187">
        <v>45930.833333333336</v>
      </c>
    </row>
    <row r="133" spans="1:22" s="19" customFormat="1" ht="30" x14ac:dyDescent="0.2">
      <c r="A133" s="112"/>
      <c r="B133" s="112" t="str">
        <f t="shared" si="6"/>
        <v>X</v>
      </c>
      <c r="C133" s="112" t="str">
        <f>IF(OR(Tabella3[[#This Row],[LUN]]="X",Tabella3[[#This Row],[MAR]]="X",Tabella3[[#This Row],[MER]]="X",Tabella3[[#This Row],[GIO]]="X",Tabella3[[#This Row],[VEN]]="X",),"X","")</f>
        <v/>
      </c>
      <c r="D133" s="113" t="s">
        <v>87</v>
      </c>
      <c r="E133" s="109" t="s">
        <v>301</v>
      </c>
      <c r="F133" s="109">
        <v>700</v>
      </c>
      <c r="G133" s="109" t="s">
        <v>1903</v>
      </c>
      <c r="H133" s="111"/>
      <c r="I133" s="111"/>
      <c r="J133" s="111"/>
      <c r="K133" s="111"/>
      <c r="L133" s="111"/>
      <c r="M133" s="109" t="s">
        <v>1258</v>
      </c>
      <c r="N133" s="109"/>
      <c r="O133" s="109"/>
      <c r="P133" s="109"/>
      <c r="Q133" s="109" t="s">
        <v>323</v>
      </c>
      <c r="R133" s="110"/>
      <c r="S133" s="110"/>
      <c r="T133" s="112" t="str">
        <f ca="1">IF(AND('Inserimento dati'!$B$3=$H$2, Tabella3[[#This Row],[LUN]]="X"), "X",IF(AND('Inserimento dati'!$B$3=$I$2, Tabella3[[#This Row],[MAR]]="X"), "X", IF(AND('Inserimento dati'!$B$3=$J$2, Tabella3[[#This Row],[MER]]="X"), "X",IF(AND('Inserimento dati'!$B$3=$K$2, Tabella3[[#This Row],[GIO]]="X"), "X", IF(AND('Inserimento dati'!$B$3=$L$2, Tabella3[[#This Row],[VEN]]="X"), "X","")))))</f>
        <v/>
      </c>
      <c r="U133" s="143" t="str">
        <f t="shared" ref="U133:U196" ca="1" si="7">IFERROR(MID(G133,_xlfn.AGGREGATE(15,6,(ROW(INDIRECT("1:"&amp;LEN(G133)-7)))/(ISNUMBER(--MID(G133,ROW(INDIRECT("1:"&amp;LEN(G133)-7)),8))),1),8),"")</f>
        <v/>
      </c>
      <c r="V133" s="187">
        <v>45930.833333333336</v>
      </c>
    </row>
    <row r="134" spans="1:22" s="19" customFormat="1" ht="30" x14ac:dyDescent="0.2">
      <c r="A134" s="112"/>
      <c r="B134" s="112" t="str">
        <f t="shared" si="6"/>
        <v>X</v>
      </c>
      <c r="C134" s="112" t="str">
        <f>IF(OR(Tabella3[[#This Row],[LUN]]="X",Tabella3[[#This Row],[MAR]]="X",Tabella3[[#This Row],[MER]]="X",Tabella3[[#This Row],[GIO]]="X",Tabella3[[#This Row],[VEN]]="X",),"X","")</f>
        <v/>
      </c>
      <c r="D134" s="113" t="s">
        <v>87</v>
      </c>
      <c r="E134" s="109" t="s">
        <v>236</v>
      </c>
      <c r="F134" s="109">
        <v>1100</v>
      </c>
      <c r="G134" s="109" t="s">
        <v>1904</v>
      </c>
      <c r="H134" s="111"/>
      <c r="I134" s="111"/>
      <c r="J134" s="111"/>
      <c r="K134" s="111"/>
      <c r="L134" s="111"/>
      <c r="M134" s="109" t="s">
        <v>1258</v>
      </c>
      <c r="N134" s="109"/>
      <c r="O134" s="109"/>
      <c r="P134" s="109"/>
      <c r="Q134" s="109" t="s">
        <v>304</v>
      </c>
      <c r="R134" s="110">
        <v>45664</v>
      </c>
      <c r="S134" s="110" t="s">
        <v>305</v>
      </c>
      <c r="T134" s="116" t="str">
        <f ca="1">IF(AND('Inserimento dati'!$B$3=$H$2, Tabella3[[#This Row],[LUN]]="X"), "X",IF(AND('Inserimento dati'!$B$3=$I$2, Tabella3[[#This Row],[MAR]]="X"), "X", IF(AND('Inserimento dati'!$B$3=$J$2, Tabella3[[#This Row],[MER]]="X"), "X",IF(AND('Inserimento dati'!$B$3=$K$2, Tabella3[[#This Row],[GIO]]="X"), "X", IF(AND('Inserimento dati'!$B$3=$L$2, Tabella3[[#This Row],[VEN]]="X"), "X","")))))</f>
        <v/>
      </c>
      <c r="U134" s="143" t="str">
        <f t="shared" ca="1" si="7"/>
        <v/>
      </c>
      <c r="V134" s="187">
        <v>45930.833333333336</v>
      </c>
    </row>
    <row r="135" spans="1:22" s="19" customFormat="1" ht="23.25" x14ac:dyDescent="0.2">
      <c r="A135" s="112"/>
      <c r="B135" s="112" t="str">
        <f t="shared" si="6"/>
        <v>X</v>
      </c>
      <c r="C135" s="112" t="str">
        <f>IF(OR(Tabella3[[#This Row],[LUN]]="X",Tabella3[[#This Row],[MAR]]="X",Tabella3[[#This Row],[MER]]="X",Tabella3[[#This Row],[GIO]]="X",Tabella3[[#This Row],[VEN]]="X",),"X","")</f>
        <v/>
      </c>
      <c r="D135" s="113" t="s">
        <v>87</v>
      </c>
      <c r="E135" s="109" t="s">
        <v>374</v>
      </c>
      <c r="F135" s="109" t="s">
        <v>112</v>
      </c>
      <c r="G135" s="109" t="s">
        <v>1905</v>
      </c>
      <c r="H135" s="111"/>
      <c r="I135" s="111"/>
      <c r="J135" s="111"/>
      <c r="K135" s="111"/>
      <c r="L135" s="111"/>
      <c r="M135" s="109" t="s">
        <v>1258</v>
      </c>
      <c r="N135" s="109"/>
      <c r="O135" s="109"/>
      <c r="P135" s="109"/>
      <c r="Q135" s="109"/>
      <c r="R135" s="110">
        <v>45659</v>
      </c>
      <c r="S135" s="110" t="s">
        <v>203</v>
      </c>
      <c r="T135" s="112" t="str">
        <f ca="1">IF(AND('Inserimento dati'!$B$3=$H$2, Tabella3[[#This Row],[LUN]]="X"), "X",IF(AND('Inserimento dati'!$B$3=$I$2, Tabella3[[#This Row],[MAR]]="X"), "X", IF(AND('Inserimento dati'!$B$3=$J$2, Tabella3[[#This Row],[MER]]="X"), "X",IF(AND('Inserimento dati'!$B$3=$K$2, Tabella3[[#This Row],[GIO]]="X"), "X", IF(AND('Inserimento dati'!$B$3=$L$2, Tabella3[[#This Row],[VEN]]="X"), "X","")))))</f>
        <v/>
      </c>
      <c r="U135" s="143" t="str">
        <f t="shared" ca="1" si="7"/>
        <v/>
      </c>
      <c r="V135" s="187">
        <v>45930.833333333336</v>
      </c>
    </row>
    <row r="136" spans="1:22" s="19" customFormat="1" ht="45" x14ac:dyDescent="0.2">
      <c r="A136" s="112"/>
      <c r="B136" s="112" t="str">
        <f t="shared" si="6"/>
        <v>X</v>
      </c>
      <c r="C136" s="112" t="str">
        <f>IF(OR(Tabella3[[#This Row],[LUN]]="X",Tabella3[[#This Row],[MAR]]="X",Tabella3[[#This Row],[MER]]="X",Tabella3[[#This Row],[GIO]]="X",Tabella3[[#This Row],[VEN]]="X",),"X","")</f>
        <v/>
      </c>
      <c r="D136" s="113" t="s">
        <v>87</v>
      </c>
      <c r="E136" s="109" t="s">
        <v>234</v>
      </c>
      <c r="F136" s="109">
        <v>1400</v>
      </c>
      <c r="G136" s="109" t="s">
        <v>1906</v>
      </c>
      <c r="H136" s="111"/>
      <c r="I136" s="111"/>
      <c r="J136" s="111"/>
      <c r="K136" s="111"/>
      <c r="L136" s="111"/>
      <c r="M136" s="109" t="s">
        <v>1258</v>
      </c>
      <c r="N136" s="109"/>
      <c r="O136" s="109"/>
      <c r="P136" s="109"/>
      <c r="Q136" s="109" t="s">
        <v>296</v>
      </c>
      <c r="R136" s="110">
        <v>45659</v>
      </c>
      <c r="S136" s="110" t="s">
        <v>50</v>
      </c>
      <c r="T136" s="116" t="str">
        <f ca="1">IF(AND('Inserimento dati'!$B$3=$H$2, Tabella3[[#This Row],[LUN]]="X"), "X",IF(AND('Inserimento dati'!$B$3=$I$2, Tabella3[[#This Row],[MAR]]="X"), "X", IF(AND('Inserimento dati'!$B$3=$J$2, Tabella3[[#This Row],[MER]]="X"), "X",IF(AND('Inserimento dati'!$B$3=$K$2, Tabella3[[#This Row],[GIO]]="X"), "X", IF(AND('Inserimento dati'!$B$3=$L$2, Tabella3[[#This Row],[VEN]]="X"), "X","")))))</f>
        <v/>
      </c>
      <c r="U136" s="143" t="str">
        <f t="shared" ca="1" si="7"/>
        <v/>
      </c>
      <c r="V136" s="187">
        <v>45930.833333333336</v>
      </c>
    </row>
    <row r="137" spans="1:22" s="19" customFormat="1" ht="30" x14ac:dyDescent="0.2">
      <c r="A137" s="112"/>
      <c r="B137" s="112" t="str">
        <f t="shared" si="6"/>
        <v>X</v>
      </c>
      <c r="C137" s="112" t="str">
        <f>IF(OR(Tabella3[[#This Row],[LUN]]="X",Tabella3[[#This Row],[MAR]]="X",Tabella3[[#This Row],[MER]]="X",Tabella3[[#This Row],[GIO]]="X",Tabella3[[#This Row],[VEN]]="X",),"X","")</f>
        <v/>
      </c>
      <c r="D137" s="113" t="s">
        <v>87</v>
      </c>
      <c r="E137" s="109" t="s">
        <v>375</v>
      </c>
      <c r="F137" s="109">
        <v>1400</v>
      </c>
      <c r="G137" s="109" t="s">
        <v>1907</v>
      </c>
      <c r="H137" s="111"/>
      <c r="I137" s="111"/>
      <c r="J137" s="111"/>
      <c r="K137" s="111"/>
      <c r="L137" s="111"/>
      <c r="M137" s="109" t="s">
        <v>1258</v>
      </c>
      <c r="N137" s="109"/>
      <c r="O137" s="109"/>
      <c r="P137" s="109"/>
      <c r="Q137" s="109" t="s">
        <v>298</v>
      </c>
      <c r="R137" s="110">
        <v>45659</v>
      </c>
      <c r="S137" s="110" t="s">
        <v>297</v>
      </c>
      <c r="T137" s="116" t="str">
        <f ca="1">IF(AND('Inserimento dati'!$B$3=$H$2, Tabella3[[#This Row],[LUN]]="X"), "X",IF(AND('Inserimento dati'!$B$3=$I$2, Tabella3[[#This Row],[MAR]]="X"), "X", IF(AND('Inserimento dati'!$B$3=$J$2, Tabella3[[#This Row],[MER]]="X"), "X",IF(AND('Inserimento dati'!$B$3=$K$2, Tabella3[[#This Row],[GIO]]="X"), "X", IF(AND('Inserimento dati'!$B$3=$L$2, Tabella3[[#This Row],[VEN]]="X"), "X","")))))</f>
        <v/>
      </c>
      <c r="U137" s="143" t="str">
        <f t="shared" ca="1" si="7"/>
        <v/>
      </c>
      <c r="V137" s="187">
        <v>45930.833333333336</v>
      </c>
    </row>
    <row r="138" spans="1:22" s="19" customFormat="1" ht="30" x14ac:dyDescent="0.2">
      <c r="A138" s="112"/>
      <c r="B138" s="112" t="str">
        <f t="shared" ref="B138:B169" si="8">IF(OR(A138="x",A138="X"),"",IF(ISBLANK(A138),"X",""))</f>
        <v>X</v>
      </c>
      <c r="C138" s="112" t="str">
        <f>IF(OR(Tabella3[[#This Row],[LUN]]="X",Tabella3[[#This Row],[MAR]]="X",Tabella3[[#This Row],[MER]]="X",Tabella3[[#This Row],[GIO]]="X",Tabella3[[#This Row],[VEN]]="X",),"X","")</f>
        <v/>
      </c>
      <c r="D138" s="113" t="s">
        <v>87</v>
      </c>
      <c r="E138" s="109" t="s">
        <v>376</v>
      </c>
      <c r="F138" s="109">
        <v>1400</v>
      </c>
      <c r="G138" s="109" t="s">
        <v>1908</v>
      </c>
      <c r="H138" s="111"/>
      <c r="I138" s="111"/>
      <c r="J138" s="111"/>
      <c r="K138" s="111"/>
      <c r="L138" s="111"/>
      <c r="M138" s="109" t="s">
        <v>1258</v>
      </c>
      <c r="N138" s="109"/>
      <c r="O138" s="109"/>
      <c r="P138" s="109"/>
      <c r="Q138" s="109" t="s">
        <v>298</v>
      </c>
      <c r="R138" s="110">
        <v>45659</v>
      </c>
      <c r="S138" s="110" t="s">
        <v>297</v>
      </c>
      <c r="T138" s="116" t="str">
        <f ca="1">IF(AND('Inserimento dati'!$B$3=$H$2, Tabella3[[#This Row],[LUN]]="X"), "X",IF(AND('Inserimento dati'!$B$3=$I$2, Tabella3[[#This Row],[MAR]]="X"), "X", IF(AND('Inserimento dati'!$B$3=$J$2, Tabella3[[#This Row],[MER]]="X"), "X",IF(AND('Inserimento dati'!$B$3=$K$2, Tabella3[[#This Row],[GIO]]="X"), "X", IF(AND('Inserimento dati'!$B$3=$L$2, Tabella3[[#This Row],[VEN]]="X"), "X","")))))</f>
        <v/>
      </c>
      <c r="U138" s="143" t="str">
        <f t="shared" ca="1" si="7"/>
        <v/>
      </c>
      <c r="V138" s="187">
        <v>45930.833333333336</v>
      </c>
    </row>
    <row r="139" spans="1:22" s="19" customFormat="1" ht="30" x14ac:dyDescent="0.2">
      <c r="A139" s="112"/>
      <c r="B139" s="112" t="str">
        <f t="shared" si="8"/>
        <v>X</v>
      </c>
      <c r="C139" s="112" t="str">
        <f>IF(OR(Tabella3[[#This Row],[LUN]]="X",Tabella3[[#This Row],[MAR]]="X",Tabella3[[#This Row],[MER]]="X",Tabella3[[#This Row],[GIO]]="X",Tabella3[[#This Row],[VEN]]="X",),"X","")</f>
        <v/>
      </c>
      <c r="D139" s="113" t="s">
        <v>87</v>
      </c>
      <c r="E139" s="109" t="s">
        <v>271</v>
      </c>
      <c r="F139" s="109">
        <v>2200</v>
      </c>
      <c r="G139" s="109" t="s">
        <v>1909</v>
      </c>
      <c r="H139" s="111"/>
      <c r="I139" s="111"/>
      <c r="J139" s="111"/>
      <c r="K139" s="111"/>
      <c r="L139" s="111"/>
      <c r="M139" s="109" t="s">
        <v>1258</v>
      </c>
      <c r="N139" s="109"/>
      <c r="O139" s="109"/>
      <c r="P139" s="109"/>
      <c r="Q139" s="109" t="s">
        <v>299</v>
      </c>
      <c r="R139" s="110">
        <v>45659</v>
      </c>
      <c r="S139" s="110" t="s">
        <v>297</v>
      </c>
      <c r="T139" s="112" t="str">
        <f ca="1">IF(AND('Inserimento dati'!$B$3=$H$2, Tabella3[[#This Row],[LUN]]="X"), "X",IF(AND('Inserimento dati'!$B$3=$I$2, Tabella3[[#This Row],[MAR]]="X"), "X", IF(AND('Inserimento dati'!$B$3=$J$2, Tabella3[[#This Row],[MER]]="X"), "X",IF(AND('Inserimento dati'!$B$3=$K$2, Tabella3[[#This Row],[GIO]]="X"), "X", IF(AND('Inserimento dati'!$B$3=$L$2, Tabella3[[#This Row],[VEN]]="X"), "X","")))))</f>
        <v/>
      </c>
      <c r="U139" s="143" t="str">
        <f t="shared" ca="1" si="7"/>
        <v/>
      </c>
      <c r="V139" s="187">
        <v>45930.833333333336</v>
      </c>
    </row>
    <row r="140" spans="1:22" s="19" customFormat="1" ht="23.25" x14ac:dyDescent="0.2">
      <c r="A140" s="112"/>
      <c r="B140" s="112" t="str">
        <f t="shared" si="8"/>
        <v>X</v>
      </c>
      <c r="C140" s="112" t="str">
        <f>IF(OR(Tabella3[[#This Row],[LUN]]="X",Tabella3[[#This Row],[MAR]]="X",Tabella3[[#This Row],[MER]]="X",Tabella3[[#This Row],[GIO]]="X",Tabella3[[#This Row],[VEN]]="X",),"X","")</f>
        <v/>
      </c>
      <c r="D140" s="113" t="s">
        <v>87</v>
      </c>
      <c r="E140" s="109" t="s">
        <v>377</v>
      </c>
      <c r="F140" s="109">
        <v>1800</v>
      </c>
      <c r="G140" s="109" t="s">
        <v>1910</v>
      </c>
      <c r="H140" s="111"/>
      <c r="I140" s="111"/>
      <c r="J140" s="111"/>
      <c r="K140" s="111"/>
      <c r="L140" s="111"/>
      <c r="M140" s="109" t="s">
        <v>1258</v>
      </c>
      <c r="N140" s="109"/>
      <c r="O140" s="109"/>
      <c r="P140" s="109"/>
      <c r="Q140" s="109"/>
      <c r="R140" s="110">
        <v>45656</v>
      </c>
      <c r="S140" s="110" t="s">
        <v>211</v>
      </c>
      <c r="T140" s="112" t="str">
        <f ca="1">IF(AND('Inserimento dati'!$B$3=$H$2, Tabella3[[#This Row],[LUN]]="X"), "X",IF(AND('Inserimento dati'!$B$3=$I$2, Tabella3[[#This Row],[MAR]]="X"), "X", IF(AND('Inserimento dati'!$B$3=$J$2, Tabella3[[#This Row],[MER]]="X"), "X",IF(AND('Inserimento dati'!$B$3=$K$2, Tabella3[[#This Row],[GIO]]="X"), "X", IF(AND('Inserimento dati'!$B$3=$L$2, Tabella3[[#This Row],[VEN]]="X"), "X","")))))</f>
        <v/>
      </c>
      <c r="U140" s="143" t="str">
        <f t="shared" ca="1" si="7"/>
        <v>1800: 18</v>
      </c>
      <c r="V140" s="187">
        <v>45930.833333333336</v>
      </c>
    </row>
    <row r="141" spans="1:22" s="19" customFormat="1" ht="23.25" x14ac:dyDescent="0.2">
      <c r="A141" s="112"/>
      <c r="B141" s="112" t="str">
        <f t="shared" si="8"/>
        <v>X</v>
      </c>
      <c r="C141" s="112" t="str">
        <f>IF(OR(Tabella3[[#This Row],[LUN]]="X",Tabella3[[#This Row],[MAR]]="X",Tabella3[[#This Row],[MER]]="X",Tabella3[[#This Row],[GIO]]="X",Tabella3[[#This Row],[VEN]]="X",),"X","")</f>
        <v/>
      </c>
      <c r="D141" s="113" t="s">
        <v>87</v>
      </c>
      <c r="E141" s="109" t="s">
        <v>291</v>
      </c>
      <c r="F141" s="109" t="s">
        <v>112</v>
      </c>
      <c r="G141" s="109" t="s">
        <v>1911</v>
      </c>
      <c r="H141" s="111"/>
      <c r="I141" s="111"/>
      <c r="J141" s="111"/>
      <c r="K141" s="111"/>
      <c r="L141" s="111"/>
      <c r="M141" s="109" t="s">
        <v>1258</v>
      </c>
      <c r="N141" s="109"/>
      <c r="O141" s="109"/>
      <c r="P141" s="109"/>
      <c r="Q141" s="109" t="s">
        <v>290</v>
      </c>
      <c r="R141" s="110">
        <v>45656</v>
      </c>
      <c r="S141" s="110" t="s">
        <v>211</v>
      </c>
      <c r="T141" s="112" t="str">
        <f ca="1">IF(AND('Inserimento dati'!$B$3=$H$2, Tabella3[[#This Row],[LUN]]="X"), "X",IF(AND('Inserimento dati'!$B$3=$I$2, Tabella3[[#This Row],[MAR]]="X"), "X", IF(AND('Inserimento dati'!$B$3=$J$2, Tabella3[[#This Row],[MER]]="X"), "X",IF(AND('Inserimento dati'!$B$3=$K$2, Tabella3[[#This Row],[GIO]]="X"), "X", IF(AND('Inserimento dati'!$B$3=$L$2, Tabella3[[#This Row],[VEN]]="X"), "X","")))))</f>
        <v/>
      </c>
      <c r="U141" s="143" t="str">
        <f t="shared" ca="1" si="7"/>
        <v/>
      </c>
      <c r="V141" s="187">
        <v>45930.833333333336</v>
      </c>
    </row>
    <row r="142" spans="1:22" s="19" customFormat="1" ht="23.25" x14ac:dyDescent="0.2">
      <c r="A142" s="112"/>
      <c r="B142" s="112" t="str">
        <f t="shared" si="8"/>
        <v>X</v>
      </c>
      <c r="C142" s="112" t="str">
        <f>IF(OR(Tabella3[[#This Row],[LUN]]="X",Tabella3[[#This Row],[MAR]]="X",Tabella3[[#This Row],[MER]]="X",Tabella3[[#This Row],[GIO]]="X",Tabella3[[#This Row],[VEN]]="X",),"X","")</f>
        <v/>
      </c>
      <c r="D142" s="113" t="s">
        <v>87</v>
      </c>
      <c r="E142" s="109" t="s">
        <v>378</v>
      </c>
      <c r="F142" s="109">
        <v>1400</v>
      </c>
      <c r="G142" s="109" t="s">
        <v>1912</v>
      </c>
      <c r="H142" s="111"/>
      <c r="I142" s="111"/>
      <c r="J142" s="111"/>
      <c r="K142" s="111"/>
      <c r="L142" s="111"/>
      <c r="M142" s="109" t="s">
        <v>1258</v>
      </c>
      <c r="N142" s="109"/>
      <c r="O142" s="109"/>
      <c r="P142" s="109"/>
      <c r="Q142" s="109"/>
      <c r="R142" s="110"/>
      <c r="S142" s="110" t="s">
        <v>206</v>
      </c>
      <c r="T142" s="112" t="str">
        <f ca="1">IF(AND('Inserimento dati'!$B$3=$H$2, Tabella3[[#This Row],[LUN]]="X"), "X",IF(AND('Inserimento dati'!$B$3=$I$2, Tabella3[[#This Row],[MAR]]="X"), "X", IF(AND('Inserimento dati'!$B$3=$J$2, Tabella3[[#This Row],[MER]]="X"), "X",IF(AND('Inserimento dati'!$B$3=$K$2, Tabella3[[#This Row],[GIO]]="X"), "X", IF(AND('Inserimento dati'!$B$3=$L$2, Tabella3[[#This Row],[VEN]]="X"), "X","")))))</f>
        <v/>
      </c>
      <c r="U142" s="143" t="str">
        <f t="shared" ca="1" si="7"/>
        <v/>
      </c>
      <c r="V142" s="187">
        <v>45930.833333333336</v>
      </c>
    </row>
    <row r="143" spans="1:22" s="19" customFormat="1" ht="60" x14ac:dyDescent="0.2">
      <c r="A143" s="112"/>
      <c r="B143" s="112" t="str">
        <f t="shared" si="8"/>
        <v>X</v>
      </c>
      <c r="C143" s="112" t="str">
        <f>IF(OR(Tabella3[[#This Row],[LUN]]="X",Tabella3[[#This Row],[MAR]]="X",Tabella3[[#This Row],[MER]]="X",Tabella3[[#This Row],[GIO]]="X",Tabella3[[#This Row],[VEN]]="X",),"X","")</f>
        <v/>
      </c>
      <c r="D143" s="113" t="s">
        <v>87</v>
      </c>
      <c r="E143" s="109" t="s">
        <v>379</v>
      </c>
      <c r="F143" s="109" t="s">
        <v>92</v>
      </c>
      <c r="G143" s="109" t="s">
        <v>1913</v>
      </c>
      <c r="H143" s="111"/>
      <c r="I143" s="111"/>
      <c r="J143" s="111"/>
      <c r="K143" s="111"/>
      <c r="L143" s="111"/>
      <c r="M143" s="109" t="s">
        <v>1258</v>
      </c>
      <c r="N143" s="109"/>
      <c r="O143" s="109"/>
      <c r="P143" s="109"/>
      <c r="Q143" s="109" t="s">
        <v>222</v>
      </c>
      <c r="R143" s="110">
        <v>45623</v>
      </c>
      <c r="S143" s="110" t="s">
        <v>150</v>
      </c>
      <c r="T143" s="116" t="str">
        <f ca="1">IF(AND('Inserimento dati'!$B$3=$H$2, Tabella3[[#This Row],[LUN]]="X"), "X",IF(AND('Inserimento dati'!$B$3=$I$2, Tabella3[[#This Row],[MAR]]="X"), "X", IF(AND('Inserimento dati'!$B$3=$J$2, Tabella3[[#This Row],[MER]]="X"), "X",IF(AND('Inserimento dati'!$B$3=$K$2, Tabella3[[#This Row],[GIO]]="X"), "X", IF(AND('Inserimento dati'!$B$3=$L$2, Tabella3[[#This Row],[VEN]]="X"), "X","")))))</f>
        <v/>
      </c>
      <c r="U143" s="143" t="str">
        <f t="shared" ca="1" si="7"/>
        <v/>
      </c>
      <c r="V143" s="187">
        <v>45930.833333333336</v>
      </c>
    </row>
    <row r="144" spans="1:22" s="19" customFormat="1" ht="23.25" x14ac:dyDescent="0.2">
      <c r="A144" s="112"/>
      <c r="B144" s="112" t="str">
        <f t="shared" si="8"/>
        <v>X</v>
      </c>
      <c r="C144" s="112" t="str">
        <f>IF(OR(Tabella3[[#This Row],[LUN]]="X",Tabella3[[#This Row],[MAR]]="X",Tabella3[[#This Row],[MER]]="X",Tabella3[[#This Row],[GIO]]="X",Tabella3[[#This Row],[VEN]]="X",),"X","")</f>
        <v/>
      </c>
      <c r="D144" s="113" t="s">
        <v>87</v>
      </c>
      <c r="E144" s="109" t="s">
        <v>246</v>
      </c>
      <c r="F144" s="109" t="s">
        <v>96</v>
      </c>
      <c r="G144" s="109" t="s">
        <v>1914</v>
      </c>
      <c r="H144" s="111"/>
      <c r="I144" s="111"/>
      <c r="J144" s="111"/>
      <c r="K144" s="111"/>
      <c r="L144" s="111"/>
      <c r="M144" s="109" t="s">
        <v>1258</v>
      </c>
      <c r="N144" s="109"/>
      <c r="O144" s="109"/>
      <c r="P144" s="109"/>
      <c r="Q144" s="109" t="s">
        <v>256</v>
      </c>
      <c r="R144" s="110">
        <v>45646</v>
      </c>
      <c r="S144" s="110" t="s">
        <v>211</v>
      </c>
      <c r="T144" s="112" t="str">
        <f ca="1">IF(AND('Inserimento dati'!$B$3=$H$2, Tabella3[[#This Row],[LUN]]="X"), "X",IF(AND('Inserimento dati'!$B$3=$I$2, Tabella3[[#This Row],[MAR]]="X"), "X", IF(AND('Inserimento dati'!$B$3=$J$2, Tabella3[[#This Row],[MER]]="X"), "X",IF(AND('Inserimento dati'!$B$3=$K$2, Tabella3[[#This Row],[GIO]]="X"), "X", IF(AND('Inserimento dati'!$B$3=$L$2, Tabella3[[#This Row],[VEN]]="X"), "X","")))))</f>
        <v/>
      </c>
      <c r="U144" s="143" t="str">
        <f t="shared" ca="1" si="7"/>
        <v/>
      </c>
      <c r="V144" s="187">
        <v>45930.833333333336</v>
      </c>
    </row>
    <row r="145" spans="1:22" s="19" customFormat="1" ht="23.25" x14ac:dyDescent="0.2">
      <c r="A145" s="112"/>
      <c r="B145" s="112" t="str">
        <f t="shared" si="8"/>
        <v>X</v>
      </c>
      <c r="C145" s="112" t="str">
        <f>IF(OR(Tabella3[[#This Row],[LUN]]="X",Tabella3[[#This Row],[MAR]]="X",Tabella3[[#This Row],[MER]]="X",Tabella3[[#This Row],[GIO]]="X",Tabella3[[#This Row],[VEN]]="X",),"X","")</f>
        <v/>
      </c>
      <c r="D145" s="113" t="s">
        <v>87</v>
      </c>
      <c r="E145" s="109" t="s">
        <v>380</v>
      </c>
      <c r="F145" s="109">
        <v>1800</v>
      </c>
      <c r="G145" s="109" t="s">
        <v>1915</v>
      </c>
      <c r="H145" s="111"/>
      <c r="I145" s="111"/>
      <c r="J145" s="111"/>
      <c r="K145" s="111"/>
      <c r="L145" s="111"/>
      <c r="M145" s="109" t="s">
        <v>1258</v>
      </c>
      <c r="N145" s="109"/>
      <c r="O145" s="109"/>
      <c r="P145" s="109"/>
      <c r="Q145" s="109" t="s">
        <v>273</v>
      </c>
      <c r="R145" s="110">
        <v>45649</v>
      </c>
      <c r="S145" s="110" t="s">
        <v>206</v>
      </c>
      <c r="T145" s="116" t="str">
        <f ca="1">IF(AND('Inserimento dati'!$B$3=$H$2, Tabella3[[#This Row],[LUN]]="X"), "X",IF(AND('Inserimento dati'!$B$3=$I$2, Tabella3[[#This Row],[MAR]]="X"), "X", IF(AND('Inserimento dati'!$B$3=$J$2, Tabella3[[#This Row],[MER]]="X"), "X",IF(AND('Inserimento dati'!$B$3=$K$2, Tabella3[[#This Row],[GIO]]="X"), "X", IF(AND('Inserimento dati'!$B$3=$L$2, Tabella3[[#This Row],[VEN]]="X"), "X","")))))</f>
        <v/>
      </c>
      <c r="U145" s="143" t="str">
        <f t="shared" ca="1" si="7"/>
        <v/>
      </c>
      <c r="V145" s="187">
        <v>45930.833333333336</v>
      </c>
    </row>
    <row r="146" spans="1:22" s="19" customFormat="1" ht="23.25" x14ac:dyDescent="0.2">
      <c r="A146" s="112"/>
      <c r="B146" s="112" t="str">
        <f t="shared" si="8"/>
        <v>X</v>
      </c>
      <c r="C146" s="112" t="str">
        <f>IF(OR(Tabella3[[#This Row],[LUN]]="X",Tabella3[[#This Row],[MAR]]="X",Tabella3[[#This Row],[MER]]="X",Tabella3[[#This Row],[GIO]]="X",Tabella3[[#This Row],[VEN]]="X",),"X","")</f>
        <v/>
      </c>
      <c r="D146" s="113" t="s">
        <v>87</v>
      </c>
      <c r="E146" s="109" t="s">
        <v>270</v>
      </c>
      <c r="F146" s="109">
        <v>800</v>
      </c>
      <c r="G146" s="109" t="s">
        <v>1916</v>
      </c>
      <c r="H146" s="111"/>
      <c r="I146" s="111"/>
      <c r="J146" s="111"/>
      <c r="K146" s="111"/>
      <c r="L146" s="111"/>
      <c r="M146" s="109" t="s">
        <v>1258</v>
      </c>
      <c r="N146" s="109"/>
      <c r="O146" s="109"/>
      <c r="P146" s="109"/>
      <c r="Q146" s="109"/>
      <c r="R146" s="110"/>
      <c r="S146" s="110"/>
      <c r="T146" s="112" t="str">
        <f ca="1">IF(AND('Inserimento dati'!$B$3=$H$2, Tabella3[[#This Row],[LUN]]="X"), "X",IF(AND('Inserimento dati'!$B$3=$I$2, Tabella3[[#This Row],[MAR]]="X"), "X", IF(AND('Inserimento dati'!$B$3=$J$2, Tabella3[[#This Row],[MER]]="X"), "X",IF(AND('Inserimento dati'!$B$3=$K$2, Tabella3[[#This Row],[GIO]]="X"), "X", IF(AND('Inserimento dati'!$B$3=$L$2, Tabella3[[#This Row],[VEN]]="X"), "X","")))))</f>
        <v/>
      </c>
      <c r="U146" s="143" t="str">
        <f t="shared" ca="1" si="7"/>
        <v/>
      </c>
      <c r="V146" s="187">
        <v>45930.833333333336</v>
      </c>
    </row>
    <row r="147" spans="1:22" s="19" customFormat="1" ht="30" x14ac:dyDescent="0.2">
      <c r="A147" s="112"/>
      <c r="B147" s="112" t="str">
        <f t="shared" si="8"/>
        <v>X</v>
      </c>
      <c r="C147" s="112" t="str">
        <f>IF(OR(Tabella3[[#This Row],[LUN]]="X",Tabella3[[#This Row],[MAR]]="X",Tabella3[[#This Row],[MER]]="X",Tabella3[[#This Row],[GIO]]="X",Tabella3[[#This Row],[VEN]]="X",),"X","")</f>
        <v/>
      </c>
      <c r="D147" s="113" t="s">
        <v>87</v>
      </c>
      <c r="E147" s="109" t="s">
        <v>141</v>
      </c>
      <c r="F147" s="109">
        <v>1100</v>
      </c>
      <c r="G147" s="109" t="s">
        <v>1917</v>
      </c>
      <c r="H147" s="111"/>
      <c r="I147" s="111"/>
      <c r="J147" s="111"/>
      <c r="K147" s="111"/>
      <c r="L147" s="111"/>
      <c r="M147" s="109" t="s">
        <v>1258</v>
      </c>
      <c r="N147" s="109"/>
      <c r="O147" s="109"/>
      <c r="P147" s="109"/>
      <c r="Q147" s="109" t="s">
        <v>266</v>
      </c>
      <c r="R147" s="110">
        <v>45646</v>
      </c>
      <c r="S147" s="110" t="s">
        <v>206</v>
      </c>
      <c r="T147" s="116" t="str">
        <f ca="1">IF(AND('Inserimento dati'!$B$3=$H$2, Tabella3[[#This Row],[LUN]]="X"), "X",IF(AND('Inserimento dati'!$B$3=$I$2, Tabella3[[#This Row],[MAR]]="X"), "X", IF(AND('Inserimento dati'!$B$3=$J$2, Tabella3[[#This Row],[MER]]="X"), "X",IF(AND('Inserimento dati'!$B$3=$K$2, Tabella3[[#This Row],[GIO]]="X"), "X", IF(AND('Inserimento dati'!$B$3=$L$2, Tabella3[[#This Row],[VEN]]="X"), "X","")))))</f>
        <v/>
      </c>
      <c r="U147" s="143" t="str">
        <f t="shared" ca="1" si="7"/>
        <v/>
      </c>
      <c r="V147" s="187">
        <v>45930.833333333336</v>
      </c>
    </row>
    <row r="148" spans="1:22" s="19" customFormat="1" ht="30" x14ac:dyDescent="0.2">
      <c r="A148" s="112"/>
      <c r="B148" s="112" t="str">
        <f t="shared" si="8"/>
        <v>X</v>
      </c>
      <c r="C148" s="112" t="str">
        <f>IF(OR(Tabella3[[#This Row],[LUN]]="X",Tabella3[[#This Row],[MAR]]="X",Tabella3[[#This Row],[MER]]="X",Tabella3[[#This Row],[GIO]]="X",Tabella3[[#This Row],[VEN]]="X",),"X","")</f>
        <v/>
      </c>
      <c r="D148" s="113" t="s">
        <v>87</v>
      </c>
      <c r="E148" s="109" t="s">
        <v>250</v>
      </c>
      <c r="F148" s="109">
        <v>1800</v>
      </c>
      <c r="G148" s="109" t="s">
        <v>1918</v>
      </c>
      <c r="H148" s="111"/>
      <c r="I148" s="111"/>
      <c r="J148" s="111"/>
      <c r="K148" s="111"/>
      <c r="L148" s="111"/>
      <c r="M148" s="109" t="s">
        <v>1258</v>
      </c>
      <c r="N148" s="109"/>
      <c r="O148" s="109"/>
      <c r="P148" s="109"/>
      <c r="Q148" s="109" t="s">
        <v>265</v>
      </c>
      <c r="R148" s="110"/>
      <c r="S148" s="110"/>
      <c r="T148" s="112" t="str">
        <f ca="1">IF(AND('Inserimento dati'!$B$3=$H$2, Tabella3[[#This Row],[LUN]]="X"), "X",IF(AND('Inserimento dati'!$B$3=$I$2, Tabella3[[#This Row],[MAR]]="X"), "X", IF(AND('Inserimento dati'!$B$3=$J$2, Tabella3[[#This Row],[MER]]="X"), "X",IF(AND('Inserimento dati'!$B$3=$K$2, Tabella3[[#This Row],[GIO]]="X"), "X", IF(AND('Inserimento dati'!$B$3=$L$2, Tabella3[[#This Row],[VEN]]="X"), "X","")))))</f>
        <v/>
      </c>
      <c r="U148" s="143" t="str">
        <f t="shared" ca="1" si="7"/>
        <v/>
      </c>
      <c r="V148" s="187">
        <v>45930.833333333336</v>
      </c>
    </row>
    <row r="149" spans="1:22" s="19" customFormat="1" ht="30" x14ac:dyDescent="0.2">
      <c r="A149" s="112"/>
      <c r="B149" s="112" t="str">
        <f t="shared" si="8"/>
        <v>X</v>
      </c>
      <c r="C149" s="112" t="str">
        <f>IF(OR(Tabella3[[#This Row],[LUN]]="X",Tabella3[[#This Row],[MAR]]="X",Tabella3[[#This Row],[MER]]="X",Tabella3[[#This Row],[GIO]]="X",Tabella3[[#This Row],[VEN]]="X",),"X","")</f>
        <v/>
      </c>
      <c r="D149" s="113" t="s">
        <v>87</v>
      </c>
      <c r="E149" s="109" t="s">
        <v>381</v>
      </c>
      <c r="F149" s="109">
        <v>700</v>
      </c>
      <c r="G149" s="109" t="s">
        <v>1919</v>
      </c>
      <c r="H149" s="111"/>
      <c r="I149" s="111"/>
      <c r="J149" s="111"/>
      <c r="K149" s="111"/>
      <c r="L149" s="111"/>
      <c r="M149" s="109" t="s">
        <v>1258</v>
      </c>
      <c r="N149" s="109"/>
      <c r="O149" s="109"/>
      <c r="P149" s="109"/>
      <c r="Q149" s="109"/>
      <c r="R149" s="110"/>
      <c r="S149" s="110"/>
      <c r="T149" s="112" t="str">
        <f ca="1">IF(AND('Inserimento dati'!$B$3=$H$2, Tabella3[[#This Row],[LUN]]="X"), "X",IF(AND('Inserimento dati'!$B$3=$I$2, Tabella3[[#This Row],[MAR]]="X"), "X", IF(AND('Inserimento dati'!$B$3=$J$2, Tabella3[[#This Row],[MER]]="X"), "X",IF(AND('Inserimento dati'!$B$3=$K$2, Tabella3[[#This Row],[GIO]]="X"), "X", IF(AND('Inserimento dati'!$B$3=$L$2, Tabella3[[#This Row],[VEN]]="X"), "X","")))))</f>
        <v/>
      </c>
      <c r="U149" s="143" t="str">
        <f t="shared" ca="1" si="7"/>
        <v/>
      </c>
      <c r="V149" s="187">
        <v>45930.833333333336</v>
      </c>
    </row>
    <row r="150" spans="1:22" s="19" customFormat="1" ht="30" x14ac:dyDescent="0.2">
      <c r="A150" s="112"/>
      <c r="B150" s="112" t="str">
        <f t="shared" si="8"/>
        <v>X</v>
      </c>
      <c r="C150" s="112" t="str">
        <f>IF(OR(Tabella3[[#This Row],[LUN]]="X",Tabella3[[#This Row],[MAR]]="X",Tabella3[[#This Row],[MER]]="X",Tabella3[[#This Row],[GIO]]="X",Tabella3[[#This Row],[VEN]]="X",),"X","")</f>
        <v/>
      </c>
      <c r="D150" s="113" t="s">
        <v>87</v>
      </c>
      <c r="E150" s="109" t="s">
        <v>382</v>
      </c>
      <c r="F150" s="109" t="s">
        <v>114</v>
      </c>
      <c r="G150" s="109" t="s">
        <v>1920</v>
      </c>
      <c r="H150" s="111"/>
      <c r="I150" s="111"/>
      <c r="J150" s="111"/>
      <c r="K150" s="111"/>
      <c r="L150" s="111"/>
      <c r="M150" s="109" t="s">
        <v>1258</v>
      </c>
      <c r="N150" s="109"/>
      <c r="O150" s="109"/>
      <c r="P150" s="109"/>
      <c r="Q150" s="109" t="s">
        <v>274</v>
      </c>
      <c r="R150" s="110">
        <v>45644</v>
      </c>
      <c r="S150" s="110" t="s">
        <v>150</v>
      </c>
      <c r="T150" s="116" t="str">
        <f ca="1">IF(AND('Inserimento dati'!$B$3=$H$2, Tabella3[[#This Row],[LUN]]="X"), "X",IF(AND('Inserimento dati'!$B$3=$I$2, Tabella3[[#This Row],[MAR]]="X"), "X", IF(AND('Inserimento dati'!$B$3=$J$2, Tabella3[[#This Row],[MER]]="X"), "X",IF(AND('Inserimento dati'!$B$3=$K$2, Tabella3[[#This Row],[GIO]]="X"), "X", IF(AND('Inserimento dati'!$B$3=$L$2, Tabella3[[#This Row],[VEN]]="X"), "X","")))))</f>
        <v/>
      </c>
      <c r="U150" s="143" t="str">
        <f t="shared" ca="1" si="7"/>
        <v/>
      </c>
      <c r="V150" s="187">
        <v>45930.833333333336</v>
      </c>
    </row>
    <row r="151" spans="1:22" s="19" customFormat="1" ht="23.25" x14ac:dyDescent="0.2">
      <c r="A151" s="112"/>
      <c r="B151" s="112" t="str">
        <f t="shared" si="8"/>
        <v>X</v>
      </c>
      <c r="C151" s="112" t="str">
        <f>IF(OR(Tabella3[[#This Row],[LUN]]="X",Tabella3[[#This Row],[MAR]]="X",Tabella3[[#This Row],[MER]]="X",Tabella3[[#This Row],[GIO]]="X",Tabella3[[#This Row],[VEN]]="X",),"X","")</f>
        <v/>
      </c>
      <c r="D151" s="113" t="s">
        <v>87</v>
      </c>
      <c r="E151" s="109" t="s">
        <v>207</v>
      </c>
      <c r="F151" s="109">
        <v>800</v>
      </c>
      <c r="G151" s="109" t="s">
        <v>1921</v>
      </c>
      <c r="H151" s="111"/>
      <c r="I151" s="111"/>
      <c r="J151" s="111"/>
      <c r="K151" s="111"/>
      <c r="L151" s="111"/>
      <c r="M151" s="109" t="s">
        <v>1258</v>
      </c>
      <c r="N151" s="109"/>
      <c r="O151" s="109"/>
      <c r="P151" s="109"/>
      <c r="Q151" s="109"/>
      <c r="R151" s="110">
        <v>45642</v>
      </c>
      <c r="S151" s="110" t="s">
        <v>211</v>
      </c>
      <c r="T151" s="116" t="str">
        <f ca="1">IF(AND('Inserimento dati'!$B$3=$H$2, Tabella3[[#This Row],[LUN]]="X"), "X",IF(AND('Inserimento dati'!$B$3=$I$2, Tabella3[[#This Row],[MAR]]="X"), "X", IF(AND('Inserimento dati'!$B$3=$J$2, Tabella3[[#This Row],[MER]]="X"), "X",IF(AND('Inserimento dati'!$B$3=$K$2, Tabella3[[#This Row],[GIO]]="X"), "X", IF(AND('Inserimento dati'!$B$3=$L$2, Tabella3[[#This Row],[VEN]]="X"), "X","")))))</f>
        <v/>
      </c>
      <c r="U151" s="143" t="str">
        <f t="shared" ca="1" si="7"/>
        <v/>
      </c>
      <c r="V151" s="187">
        <v>45930.833333333336</v>
      </c>
    </row>
    <row r="152" spans="1:22" s="19" customFormat="1" ht="23.25" x14ac:dyDescent="0.2">
      <c r="A152" s="112"/>
      <c r="B152" s="112" t="str">
        <f t="shared" si="8"/>
        <v>X</v>
      </c>
      <c r="C152" s="112" t="str">
        <f>IF(OR(Tabella3[[#This Row],[LUN]]="X",Tabella3[[#This Row],[MAR]]="X",Tabella3[[#This Row],[MER]]="X",Tabella3[[#This Row],[GIO]]="X",Tabella3[[#This Row],[VEN]]="X",),"X","")</f>
        <v/>
      </c>
      <c r="D152" s="113" t="s">
        <v>87</v>
      </c>
      <c r="E152" s="109" t="s">
        <v>383</v>
      </c>
      <c r="F152" s="109">
        <v>700</v>
      </c>
      <c r="G152" s="109" t="s">
        <v>1922</v>
      </c>
      <c r="H152" s="111"/>
      <c r="I152" s="111"/>
      <c r="J152" s="111"/>
      <c r="K152" s="111"/>
      <c r="L152" s="111"/>
      <c r="M152" s="109" t="s">
        <v>1258</v>
      </c>
      <c r="N152" s="109"/>
      <c r="O152" s="109"/>
      <c r="P152" s="109"/>
      <c r="Q152" s="109"/>
      <c r="R152" s="110"/>
      <c r="S152" s="110"/>
      <c r="T152" s="116" t="str">
        <f ca="1">IF(AND('Inserimento dati'!$B$3=$H$2, Tabella3[[#This Row],[LUN]]="X"), "X",IF(AND('Inserimento dati'!$B$3=$I$2, Tabella3[[#This Row],[MAR]]="X"), "X", IF(AND('Inserimento dati'!$B$3=$J$2, Tabella3[[#This Row],[MER]]="X"), "X",IF(AND('Inserimento dati'!$B$3=$K$2, Tabella3[[#This Row],[GIO]]="X"), "X", IF(AND('Inserimento dati'!$B$3=$L$2, Tabella3[[#This Row],[VEN]]="X"), "X","")))))</f>
        <v/>
      </c>
      <c r="U152" s="143" t="str">
        <f t="shared" ca="1" si="7"/>
        <v/>
      </c>
      <c r="V152" s="187">
        <v>45930.833333333336</v>
      </c>
    </row>
    <row r="153" spans="1:22" s="19" customFormat="1" ht="23.25" x14ac:dyDescent="0.2">
      <c r="A153" s="112"/>
      <c r="B153" s="112" t="str">
        <f t="shared" si="8"/>
        <v>X</v>
      </c>
      <c r="C153" s="112" t="str">
        <f>IF(OR(Tabella3[[#This Row],[LUN]]="X",Tabella3[[#This Row],[MAR]]="X",Tabella3[[#This Row],[MER]]="X",Tabella3[[#This Row],[GIO]]="X",Tabella3[[#This Row],[VEN]]="X",),"X","")</f>
        <v/>
      </c>
      <c r="D153" s="113" t="s">
        <v>87</v>
      </c>
      <c r="E153" s="109" t="s">
        <v>248</v>
      </c>
      <c r="F153" s="109">
        <v>800</v>
      </c>
      <c r="G153" s="109" t="s">
        <v>1923</v>
      </c>
      <c r="H153" s="111"/>
      <c r="I153" s="111"/>
      <c r="J153" s="111"/>
      <c r="K153" s="111"/>
      <c r="L153" s="111"/>
      <c r="M153" s="109" t="s">
        <v>1258</v>
      </c>
      <c r="N153" s="109"/>
      <c r="O153" s="109"/>
      <c r="P153" s="109"/>
      <c r="Q153" s="109"/>
      <c r="R153" s="110"/>
      <c r="S153" s="110"/>
      <c r="T153" s="116" t="str">
        <f ca="1">IF(AND('Inserimento dati'!$B$3=$H$2, Tabella3[[#This Row],[LUN]]="X"), "X",IF(AND('Inserimento dati'!$B$3=$I$2, Tabella3[[#This Row],[MAR]]="X"), "X", IF(AND('Inserimento dati'!$B$3=$J$2, Tabella3[[#This Row],[MER]]="X"), "X",IF(AND('Inserimento dati'!$B$3=$K$2, Tabella3[[#This Row],[GIO]]="X"), "X", IF(AND('Inserimento dati'!$B$3=$L$2, Tabella3[[#This Row],[VEN]]="X"), "X","")))))</f>
        <v/>
      </c>
      <c r="U153" s="143" t="str">
        <f t="shared" ca="1" si="7"/>
        <v/>
      </c>
      <c r="V153" s="187">
        <v>45930.833333333336</v>
      </c>
    </row>
    <row r="154" spans="1:22" s="19" customFormat="1" ht="23.25" x14ac:dyDescent="0.2">
      <c r="A154" s="112"/>
      <c r="B154" s="112" t="str">
        <f t="shared" si="8"/>
        <v>X</v>
      </c>
      <c r="C154" s="112" t="str">
        <f>IF(OR(Tabella3[[#This Row],[LUN]]="X",Tabella3[[#This Row],[MAR]]="X",Tabella3[[#This Row],[MER]]="X",Tabella3[[#This Row],[GIO]]="X",Tabella3[[#This Row],[VEN]]="X",),"X","")</f>
        <v/>
      </c>
      <c r="D154" s="113" t="s">
        <v>87</v>
      </c>
      <c r="E154" s="109" t="s">
        <v>384</v>
      </c>
      <c r="F154" s="109">
        <v>1800</v>
      </c>
      <c r="G154" s="109" t="s">
        <v>1924</v>
      </c>
      <c r="H154" s="111"/>
      <c r="I154" s="111"/>
      <c r="J154" s="111"/>
      <c r="K154" s="111"/>
      <c r="L154" s="111"/>
      <c r="M154" s="109" t="s">
        <v>1258</v>
      </c>
      <c r="N154" s="109"/>
      <c r="O154" s="109"/>
      <c r="P154" s="109"/>
      <c r="Q154" s="109" t="s">
        <v>247</v>
      </c>
      <c r="R154" s="110"/>
      <c r="S154" s="110"/>
      <c r="T154" s="112" t="str">
        <f ca="1">IF(AND('Inserimento dati'!$B$3=$H$2, Tabella3[[#This Row],[LUN]]="X"), "X",IF(AND('Inserimento dati'!$B$3=$I$2, Tabella3[[#This Row],[MAR]]="X"), "X", IF(AND('Inserimento dati'!$B$3=$J$2, Tabella3[[#This Row],[MER]]="X"), "X",IF(AND('Inserimento dati'!$B$3=$K$2, Tabella3[[#This Row],[GIO]]="X"), "X", IF(AND('Inserimento dati'!$B$3=$L$2, Tabella3[[#This Row],[VEN]]="X"), "X","")))))</f>
        <v/>
      </c>
      <c r="U154" s="143" t="str">
        <f t="shared" ca="1" si="7"/>
        <v/>
      </c>
      <c r="V154" s="187">
        <v>45930.833333333336</v>
      </c>
    </row>
    <row r="155" spans="1:22" s="19" customFormat="1" ht="23.25" x14ac:dyDescent="0.2">
      <c r="A155" s="112"/>
      <c r="B155" s="112" t="str">
        <f t="shared" si="8"/>
        <v>X</v>
      </c>
      <c r="C155" s="112" t="str">
        <f>IF(OR(Tabella3[[#This Row],[LUN]]="X",Tabella3[[#This Row],[MAR]]="X",Tabella3[[#This Row],[MER]]="X",Tabella3[[#This Row],[GIO]]="X",Tabella3[[#This Row],[VEN]]="X",),"X","")</f>
        <v/>
      </c>
      <c r="D155" s="113" t="s">
        <v>87</v>
      </c>
      <c r="E155" s="109" t="s">
        <v>100</v>
      </c>
      <c r="F155" s="109" t="s">
        <v>97</v>
      </c>
      <c r="G155" s="109" t="s">
        <v>1925</v>
      </c>
      <c r="H155" s="111"/>
      <c r="I155" s="111"/>
      <c r="J155" s="111"/>
      <c r="K155" s="111"/>
      <c r="L155" s="111"/>
      <c r="M155" s="109" t="s">
        <v>1258</v>
      </c>
      <c r="N155" s="109"/>
      <c r="O155" s="109"/>
      <c r="P155" s="109"/>
      <c r="Q155" s="109" t="s">
        <v>251</v>
      </c>
      <c r="R155" s="110">
        <v>45645</v>
      </c>
      <c r="S155" s="110" t="s">
        <v>203</v>
      </c>
      <c r="T155" s="116" t="str">
        <f ca="1">IF(AND('Inserimento dati'!$B$3=$H$2, Tabella3[[#This Row],[LUN]]="X"), "X",IF(AND('Inserimento dati'!$B$3=$I$2, Tabella3[[#This Row],[MAR]]="X"), "X", IF(AND('Inserimento dati'!$B$3=$J$2, Tabella3[[#This Row],[MER]]="X"), "X",IF(AND('Inserimento dati'!$B$3=$K$2, Tabella3[[#This Row],[GIO]]="X"), "X", IF(AND('Inserimento dati'!$B$3=$L$2, Tabella3[[#This Row],[VEN]]="X"), "X","")))))</f>
        <v/>
      </c>
      <c r="U155" s="143" t="str">
        <f t="shared" ca="1" si="7"/>
        <v xml:space="preserve"> 1020692</v>
      </c>
      <c r="V155" s="187">
        <v>45930.833333333336</v>
      </c>
    </row>
    <row r="156" spans="1:22" s="19" customFormat="1" ht="23.25" x14ac:dyDescent="0.2">
      <c r="A156" s="112"/>
      <c r="B156" s="112" t="str">
        <f t="shared" si="8"/>
        <v>X</v>
      </c>
      <c r="C156" s="112" t="str">
        <f>IF(OR(Tabella3[[#This Row],[LUN]]="X",Tabella3[[#This Row],[MAR]]="X",Tabella3[[#This Row],[MER]]="X",Tabella3[[#This Row],[GIO]]="X",Tabella3[[#This Row],[VEN]]="X",),"X","")</f>
        <v/>
      </c>
      <c r="D156" s="113" t="s">
        <v>87</v>
      </c>
      <c r="E156" s="109" t="s">
        <v>224</v>
      </c>
      <c r="F156" s="109" t="s">
        <v>92</v>
      </c>
      <c r="G156" s="109" t="s">
        <v>1926</v>
      </c>
      <c r="H156" s="111"/>
      <c r="I156" s="111"/>
      <c r="J156" s="111"/>
      <c r="K156" s="111"/>
      <c r="L156" s="111"/>
      <c r="M156" s="109" t="s">
        <v>1258</v>
      </c>
      <c r="N156" s="109"/>
      <c r="O156" s="109"/>
      <c r="P156" s="109"/>
      <c r="Q156" s="109" t="s">
        <v>244</v>
      </c>
      <c r="R156" s="110">
        <v>45644</v>
      </c>
      <c r="S156" s="110" t="s">
        <v>203</v>
      </c>
      <c r="T156" s="116" t="str">
        <f ca="1">IF(AND('Inserimento dati'!$B$3=$H$2, Tabella3[[#This Row],[LUN]]="X"), "X",IF(AND('Inserimento dati'!$B$3=$I$2, Tabella3[[#This Row],[MAR]]="X"), "X", IF(AND('Inserimento dati'!$B$3=$J$2, Tabella3[[#This Row],[MER]]="X"), "X",IF(AND('Inserimento dati'!$B$3=$K$2, Tabella3[[#This Row],[GIO]]="X"), "X", IF(AND('Inserimento dati'!$B$3=$L$2, Tabella3[[#This Row],[VEN]]="X"), "X","")))))</f>
        <v/>
      </c>
      <c r="U156" s="143" t="str">
        <f t="shared" ca="1" si="7"/>
        <v/>
      </c>
      <c r="V156" s="187">
        <v>45930.833333333336</v>
      </c>
    </row>
    <row r="157" spans="1:22" s="19" customFormat="1" ht="23.25" x14ac:dyDescent="0.2">
      <c r="A157" s="112"/>
      <c r="B157" s="112" t="str">
        <f t="shared" si="8"/>
        <v>X</v>
      </c>
      <c r="C157" s="112" t="str">
        <f>IF(OR(Tabella3[[#This Row],[LUN]]="X",Tabella3[[#This Row],[MAR]]="X",Tabella3[[#This Row],[MER]]="X",Tabella3[[#This Row],[GIO]]="X",Tabella3[[#This Row],[VEN]]="X",),"X","")</f>
        <v/>
      </c>
      <c r="D157" s="113" t="s">
        <v>87</v>
      </c>
      <c r="E157" s="109" t="s">
        <v>385</v>
      </c>
      <c r="F157" s="109">
        <v>800</v>
      </c>
      <c r="G157" s="109" t="s">
        <v>1927</v>
      </c>
      <c r="H157" s="111"/>
      <c r="I157" s="111"/>
      <c r="J157" s="111"/>
      <c r="K157" s="111"/>
      <c r="L157" s="111"/>
      <c r="M157" s="109" t="s">
        <v>1258</v>
      </c>
      <c r="N157" s="109"/>
      <c r="O157" s="109"/>
      <c r="P157" s="109"/>
      <c r="Q157" s="109" t="s">
        <v>245</v>
      </c>
      <c r="R157" s="110">
        <v>45644</v>
      </c>
      <c r="S157" s="110" t="s">
        <v>203</v>
      </c>
      <c r="T157" s="116" t="str">
        <f ca="1">IF(AND('Inserimento dati'!$B$3=$H$2, Tabella3[[#This Row],[LUN]]="X"), "X",IF(AND('Inserimento dati'!$B$3=$I$2, Tabella3[[#This Row],[MAR]]="X"), "X", IF(AND('Inserimento dati'!$B$3=$J$2, Tabella3[[#This Row],[MER]]="X"), "X",IF(AND('Inserimento dati'!$B$3=$K$2, Tabella3[[#This Row],[GIO]]="X"), "X", IF(AND('Inserimento dati'!$B$3=$L$2, Tabella3[[#This Row],[VEN]]="X"), "X","")))))</f>
        <v/>
      </c>
      <c r="U157" s="143" t="str">
        <f t="shared" ca="1" si="7"/>
        <v/>
      </c>
      <c r="V157" s="187">
        <v>45930.833333333336</v>
      </c>
    </row>
    <row r="158" spans="1:22" s="19" customFormat="1" ht="23.25" x14ac:dyDescent="0.2">
      <c r="A158" s="112"/>
      <c r="B158" s="112" t="str">
        <f t="shared" si="8"/>
        <v>X</v>
      </c>
      <c r="C158" s="112" t="str">
        <f>IF(OR(Tabella3[[#This Row],[LUN]]="X",Tabella3[[#This Row],[MAR]]="X",Tabella3[[#This Row],[MER]]="X",Tabella3[[#This Row],[GIO]]="X",Tabella3[[#This Row],[VEN]]="X",),"X","")</f>
        <v/>
      </c>
      <c r="D158" s="113" t="s">
        <v>87</v>
      </c>
      <c r="E158" s="109" t="s">
        <v>386</v>
      </c>
      <c r="F158" s="109">
        <v>800</v>
      </c>
      <c r="G158" s="109" t="s">
        <v>1928</v>
      </c>
      <c r="H158" s="111"/>
      <c r="I158" s="111"/>
      <c r="J158" s="111"/>
      <c r="K158" s="111"/>
      <c r="L158" s="111"/>
      <c r="M158" s="109" t="s">
        <v>1258</v>
      </c>
      <c r="N158" s="109"/>
      <c r="O158" s="109"/>
      <c r="P158" s="109"/>
      <c r="Q158" s="109" t="s">
        <v>238</v>
      </c>
      <c r="R158" s="110">
        <v>45643</v>
      </c>
      <c r="S158" s="110" t="s">
        <v>239</v>
      </c>
      <c r="T158" s="116" t="str">
        <f ca="1">IF(AND('Inserimento dati'!$B$3=$H$2, Tabella3[[#This Row],[LUN]]="X"), "X",IF(AND('Inserimento dati'!$B$3=$I$2, Tabella3[[#This Row],[MAR]]="X"), "X", IF(AND('Inserimento dati'!$B$3=$J$2, Tabella3[[#This Row],[MER]]="X"), "X",IF(AND('Inserimento dati'!$B$3=$K$2, Tabella3[[#This Row],[GIO]]="X"), "X", IF(AND('Inserimento dati'!$B$3=$L$2, Tabella3[[#This Row],[VEN]]="X"), "X","")))))</f>
        <v/>
      </c>
      <c r="U158" s="143" t="str">
        <f t="shared" ca="1" si="7"/>
        <v/>
      </c>
      <c r="V158" s="187">
        <v>45930.833333333336</v>
      </c>
    </row>
    <row r="159" spans="1:22" s="19" customFormat="1" ht="23.25" x14ac:dyDescent="0.2">
      <c r="A159" s="112"/>
      <c r="B159" s="112" t="str">
        <f t="shared" si="8"/>
        <v>X</v>
      </c>
      <c r="C159" s="112" t="str">
        <f>IF(OR(Tabella3[[#This Row],[LUN]]="X",Tabella3[[#This Row],[MAR]]="X",Tabella3[[#This Row],[MER]]="X",Tabella3[[#This Row],[GIO]]="X",Tabella3[[#This Row],[VEN]]="X",),"X","")</f>
        <v/>
      </c>
      <c r="D159" s="113" t="s">
        <v>87</v>
      </c>
      <c r="E159" s="109" t="s">
        <v>235</v>
      </c>
      <c r="F159" s="109">
        <v>1800</v>
      </c>
      <c r="G159" s="109" t="s">
        <v>1929</v>
      </c>
      <c r="H159" s="111"/>
      <c r="I159" s="111"/>
      <c r="J159" s="111"/>
      <c r="K159" s="111"/>
      <c r="L159" s="111"/>
      <c r="M159" s="109" t="s">
        <v>1258</v>
      </c>
      <c r="N159" s="109"/>
      <c r="O159" s="109"/>
      <c r="P159" s="109"/>
      <c r="Q159" s="109"/>
      <c r="R159" s="110">
        <v>45643</v>
      </c>
      <c r="S159" s="110" t="s">
        <v>211</v>
      </c>
      <c r="T159" s="116" t="str">
        <f ca="1">IF(AND('Inserimento dati'!$B$3=$H$2, Tabella3[[#This Row],[LUN]]="X"), "X",IF(AND('Inserimento dati'!$B$3=$I$2, Tabella3[[#This Row],[MAR]]="X"), "X", IF(AND('Inserimento dati'!$B$3=$J$2, Tabella3[[#This Row],[MER]]="X"), "X",IF(AND('Inserimento dati'!$B$3=$K$2, Tabella3[[#This Row],[GIO]]="X"), "X", IF(AND('Inserimento dati'!$B$3=$L$2, Tabella3[[#This Row],[VEN]]="X"), "X","")))))</f>
        <v/>
      </c>
      <c r="U159" s="143" t="str">
        <f t="shared" ca="1" si="7"/>
        <v/>
      </c>
      <c r="V159" s="187">
        <v>45930.833333333336</v>
      </c>
    </row>
    <row r="160" spans="1:22" s="19" customFormat="1" ht="30" x14ac:dyDescent="0.2">
      <c r="A160" s="112"/>
      <c r="B160" s="112" t="str">
        <f t="shared" si="8"/>
        <v>X</v>
      </c>
      <c r="C160" s="112" t="str">
        <f>IF(OR(Tabella3[[#This Row],[LUN]]="X",Tabella3[[#This Row],[MAR]]="X",Tabella3[[#This Row],[MER]]="X",Tabella3[[#This Row],[GIO]]="X",Tabella3[[#This Row],[VEN]]="X",),"X","")</f>
        <v/>
      </c>
      <c r="D160" s="113" t="s">
        <v>87</v>
      </c>
      <c r="E160" s="109" t="s">
        <v>103</v>
      </c>
      <c r="F160" s="109">
        <v>800</v>
      </c>
      <c r="G160" s="109" t="s">
        <v>1923</v>
      </c>
      <c r="H160" s="111"/>
      <c r="I160" s="111"/>
      <c r="J160" s="111"/>
      <c r="K160" s="111"/>
      <c r="L160" s="111"/>
      <c r="M160" s="109" t="s">
        <v>1258</v>
      </c>
      <c r="N160" s="109"/>
      <c r="O160" s="109"/>
      <c r="P160" s="109"/>
      <c r="Q160" s="109" t="s">
        <v>237</v>
      </c>
      <c r="R160" s="110"/>
      <c r="S160" s="110"/>
      <c r="T160" s="116" t="str">
        <f ca="1">IF(AND('Inserimento dati'!$B$3=$H$2, Tabella3[[#This Row],[LUN]]="X"), "X",IF(AND('Inserimento dati'!$B$3=$I$2, Tabella3[[#This Row],[MAR]]="X"), "X", IF(AND('Inserimento dati'!$B$3=$J$2, Tabella3[[#This Row],[MER]]="X"), "X",IF(AND('Inserimento dati'!$B$3=$K$2, Tabella3[[#This Row],[GIO]]="X"), "X", IF(AND('Inserimento dati'!$B$3=$L$2, Tabella3[[#This Row],[VEN]]="X"), "X","")))))</f>
        <v/>
      </c>
      <c r="U160" s="143" t="str">
        <f t="shared" ca="1" si="7"/>
        <v/>
      </c>
      <c r="V160" s="187">
        <v>45930.833333333336</v>
      </c>
    </row>
    <row r="161" spans="1:22" s="19" customFormat="1" ht="23.25" x14ac:dyDescent="0.2">
      <c r="A161" s="112"/>
      <c r="B161" s="112" t="str">
        <f t="shared" si="8"/>
        <v>X</v>
      </c>
      <c r="C161" s="112" t="str">
        <f>IF(OR(Tabella3[[#This Row],[LUN]]="X",Tabella3[[#This Row],[MAR]]="X",Tabella3[[#This Row],[MER]]="X",Tabella3[[#This Row],[GIO]]="X",Tabella3[[#This Row],[VEN]]="X",),"X","")</f>
        <v/>
      </c>
      <c r="D161" s="113" t="s">
        <v>87</v>
      </c>
      <c r="E161" s="109" t="s">
        <v>231</v>
      </c>
      <c r="F161" s="109" t="s">
        <v>93</v>
      </c>
      <c r="G161" s="109" t="s">
        <v>1930</v>
      </c>
      <c r="H161" s="111"/>
      <c r="I161" s="111"/>
      <c r="J161" s="111"/>
      <c r="K161" s="111"/>
      <c r="L161" s="111"/>
      <c r="M161" s="109" t="s">
        <v>1258</v>
      </c>
      <c r="N161" s="109"/>
      <c r="O161" s="109"/>
      <c r="P161" s="109"/>
      <c r="Q161" s="109" t="s">
        <v>232</v>
      </c>
      <c r="R161" s="110">
        <v>45642</v>
      </c>
      <c r="S161" s="110" t="s">
        <v>230</v>
      </c>
      <c r="T161" s="116" t="str">
        <f ca="1">IF(AND('Inserimento dati'!$B$3=$H$2, Tabella3[[#This Row],[LUN]]="X"), "X",IF(AND('Inserimento dati'!$B$3=$I$2, Tabella3[[#This Row],[MAR]]="X"), "X", IF(AND('Inserimento dati'!$B$3=$J$2, Tabella3[[#This Row],[MER]]="X"), "X",IF(AND('Inserimento dati'!$B$3=$K$2, Tabella3[[#This Row],[GIO]]="X"), "X", IF(AND('Inserimento dati'!$B$3=$L$2, Tabella3[[#This Row],[VEN]]="X"), "X","")))))</f>
        <v/>
      </c>
      <c r="U161" s="143" t="str">
        <f t="shared" ca="1" si="7"/>
        <v/>
      </c>
      <c r="V161" s="187">
        <v>45930.833333333336</v>
      </c>
    </row>
    <row r="162" spans="1:22" s="19" customFormat="1" ht="23.25" x14ac:dyDescent="0.2">
      <c r="A162" s="112"/>
      <c r="B162" s="112" t="str">
        <f t="shared" si="8"/>
        <v>X</v>
      </c>
      <c r="C162" s="112" t="str">
        <f>IF(OR(Tabella3[[#This Row],[LUN]]="X",Tabella3[[#This Row],[MAR]]="X",Tabella3[[#This Row],[MER]]="X",Tabella3[[#This Row],[GIO]]="X",Tabella3[[#This Row],[VEN]]="X",),"X","")</f>
        <v/>
      </c>
      <c r="D162" s="113" t="s">
        <v>87</v>
      </c>
      <c r="E162" s="109" t="s">
        <v>387</v>
      </c>
      <c r="F162" s="109">
        <v>1800</v>
      </c>
      <c r="G162" s="109" t="s">
        <v>1931</v>
      </c>
      <c r="H162" s="111"/>
      <c r="I162" s="111"/>
      <c r="J162" s="111"/>
      <c r="K162" s="111"/>
      <c r="L162" s="111"/>
      <c r="M162" s="109" t="s">
        <v>1258</v>
      </c>
      <c r="N162" s="109"/>
      <c r="O162" s="109"/>
      <c r="P162" s="109"/>
      <c r="Q162" s="109" t="s">
        <v>149</v>
      </c>
      <c r="R162" s="110">
        <v>45642</v>
      </c>
      <c r="S162" s="110" t="s">
        <v>211</v>
      </c>
      <c r="T162" s="116" t="str">
        <f ca="1">IF(AND('Inserimento dati'!$B$3=$H$2, Tabella3[[#This Row],[LUN]]="X"), "X",IF(AND('Inserimento dati'!$B$3=$I$2, Tabella3[[#This Row],[MAR]]="X"), "X", IF(AND('Inserimento dati'!$B$3=$J$2, Tabella3[[#This Row],[MER]]="X"), "X",IF(AND('Inserimento dati'!$B$3=$K$2, Tabella3[[#This Row],[GIO]]="X"), "X", IF(AND('Inserimento dati'!$B$3=$L$2, Tabella3[[#This Row],[VEN]]="X"), "X","")))))</f>
        <v/>
      </c>
      <c r="U162" s="143" t="str">
        <f t="shared" ca="1" si="7"/>
        <v/>
      </c>
      <c r="V162" s="187">
        <v>45930.833333333336</v>
      </c>
    </row>
    <row r="163" spans="1:22" s="19" customFormat="1" ht="30" x14ac:dyDescent="0.2">
      <c r="A163" s="112"/>
      <c r="B163" s="112" t="str">
        <f t="shared" si="8"/>
        <v>X</v>
      </c>
      <c r="C163" s="112" t="str">
        <f>IF(OR(Tabella3[[#This Row],[LUN]]="X",Tabella3[[#This Row],[MAR]]="X",Tabella3[[#This Row],[MER]]="X",Tabella3[[#This Row],[GIO]]="X",Tabella3[[#This Row],[VEN]]="X",),"X","")</f>
        <v/>
      </c>
      <c r="D163" s="113" t="s">
        <v>87</v>
      </c>
      <c r="E163" s="109" t="s">
        <v>225</v>
      </c>
      <c r="F163" s="109" t="s">
        <v>96</v>
      </c>
      <c r="G163" s="109" t="s">
        <v>1932</v>
      </c>
      <c r="H163" s="111"/>
      <c r="I163" s="111"/>
      <c r="J163" s="111"/>
      <c r="K163" s="111"/>
      <c r="L163" s="111"/>
      <c r="M163" s="109" t="s">
        <v>1258</v>
      </c>
      <c r="N163" s="109"/>
      <c r="O163" s="109"/>
      <c r="P163" s="109"/>
      <c r="Q163" s="109" t="s">
        <v>227</v>
      </c>
      <c r="R163" s="110">
        <v>45642</v>
      </c>
      <c r="S163" s="110" t="s">
        <v>228</v>
      </c>
      <c r="T163" s="116" t="str">
        <f ca="1">IF(AND('Inserimento dati'!$B$3=$H$2, Tabella3[[#This Row],[LUN]]="X"), "X",IF(AND('Inserimento dati'!$B$3=$I$2, Tabella3[[#This Row],[MAR]]="X"), "X", IF(AND('Inserimento dati'!$B$3=$J$2, Tabella3[[#This Row],[MER]]="X"), "X",IF(AND('Inserimento dati'!$B$3=$K$2, Tabella3[[#This Row],[GIO]]="X"), "X", IF(AND('Inserimento dati'!$B$3=$L$2, Tabella3[[#This Row],[VEN]]="X"), "X","")))))</f>
        <v/>
      </c>
      <c r="U163" s="143" t="str">
        <f t="shared" ca="1" si="7"/>
        <v/>
      </c>
      <c r="V163" s="187">
        <v>45930.833333333336</v>
      </c>
    </row>
    <row r="164" spans="1:22" s="19" customFormat="1" ht="30" x14ac:dyDescent="0.2">
      <c r="A164" s="112"/>
      <c r="B164" s="112" t="str">
        <f t="shared" si="8"/>
        <v>X</v>
      </c>
      <c r="C164" s="112" t="str">
        <f>IF(OR(Tabella3[[#This Row],[LUN]]="X",Tabella3[[#This Row],[MAR]]="X",Tabella3[[#This Row],[MER]]="X",Tabella3[[#This Row],[GIO]]="X",Tabella3[[#This Row],[VEN]]="X",),"X","")</f>
        <v/>
      </c>
      <c r="D164" s="113" t="s">
        <v>87</v>
      </c>
      <c r="E164" s="109" t="s">
        <v>98</v>
      </c>
      <c r="F164" s="109" t="s">
        <v>92</v>
      </c>
      <c r="G164" s="109" t="s">
        <v>1933</v>
      </c>
      <c r="H164" s="111"/>
      <c r="I164" s="111"/>
      <c r="J164" s="111"/>
      <c r="K164" s="111"/>
      <c r="L164" s="111"/>
      <c r="M164" s="109" t="s">
        <v>1258</v>
      </c>
      <c r="N164" s="109"/>
      <c r="O164" s="109"/>
      <c r="P164" s="109"/>
      <c r="Q164" s="109"/>
      <c r="R164" s="110">
        <v>45638</v>
      </c>
      <c r="S164" s="110" t="s">
        <v>50</v>
      </c>
      <c r="T164" s="116" t="str">
        <f ca="1">IF(AND('Inserimento dati'!$B$3=$H$2, Tabella3[[#This Row],[LUN]]="X"), "X",IF(AND('Inserimento dati'!$B$3=$I$2, Tabella3[[#This Row],[MAR]]="X"), "X", IF(AND('Inserimento dati'!$B$3=$J$2, Tabella3[[#This Row],[MER]]="X"), "X",IF(AND('Inserimento dati'!$B$3=$K$2, Tabella3[[#This Row],[GIO]]="X"), "X", IF(AND('Inserimento dati'!$B$3=$L$2, Tabella3[[#This Row],[VEN]]="X"), "X","")))))</f>
        <v/>
      </c>
      <c r="U164" s="143" t="str">
        <f t="shared" ca="1" si="7"/>
        <v xml:space="preserve"> 1021089</v>
      </c>
      <c r="V164" s="187">
        <v>45930.833333333336</v>
      </c>
    </row>
    <row r="165" spans="1:22" s="19" customFormat="1" ht="23.25" x14ac:dyDescent="0.2">
      <c r="A165" s="112"/>
      <c r="B165" s="112" t="str">
        <f t="shared" si="8"/>
        <v>X</v>
      </c>
      <c r="C165" s="112" t="str">
        <f>IF(OR(Tabella3[[#This Row],[LUN]]="X",Tabella3[[#This Row],[MAR]]="X",Tabella3[[#This Row],[MER]]="X",Tabella3[[#This Row],[GIO]]="X",Tabella3[[#This Row],[VEN]]="X",),"X","")</f>
        <v/>
      </c>
      <c r="D165" s="113" t="s">
        <v>87</v>
      </c>
      <c r="E165" s="109" t="s">
        <v>169</v>
      </c>
      <c r="F165" s="109" t="s">
        <v>112</v>
      </c>
      <c r="G165" s="109" t="s">
        <v>1934</v>
      </c>
      <c r="H165" s="111"/>
      <c r="I165" s="111"/>
      <c r="J165" s="111"/>
      <c r="K165" s="111"/>
      <c r="L165" s="111"/>
      <c r="M165" s="109" t="s">
        <v>1258</v>
      </c>
      <c r="N165" s="109"/>
      <c r="O165" s="109"/>
      <c r="P165" s="109"/>
      <c r="Q165" s="109" t="s">
        <v>212</v>
      </c>
      <c r="R165" s="110">
        <v>45636</v>
      </c>
      <c r="S165" s="110" t="s">
        <v>211</v>
      </c>
      <c r="T165" s="116" t="str">
        <f ca="1">IF(AND('Inserimento dati'!$B$3=$H$2, Tabella3[[#This Row],[LUN]]="X"), "X",IF(AND('Inserimento dati'!$B$3=$I$2, Tabella3[[#This Row],[MAR]]="X"), "X", IF(AND('Inserimento dati'!$B$3=$J$2, Tabella3[[#This Row],[MER]]="X"), "X",IF(AND('Inserimento dati'!$B$3=$K$2, Tabella3[[#This Row],[GIO]]="X"), "X", IF(AND('Inserimento dati'!$B$3=$L$2, Tabella3[[#This Row],[VEN]]="X"), "X","")))))</f>
        <v/>
      </c>
      <c r="U165" s="143" t="str">
        <f t="shared" ca="1" si="7"/>
        <v xml:space="preserve"> 1021220</v>
      </c>
      <c r="V165" s="187">
        <v>45930.833333333336</v>
      </c>
    </row>
    <row r="166" spans="1:22" s="19" customFormat="1" ht="23.25" x14ac:dyDescent="0.2">
      <c r="A166" s="112"/>
      <c r="B166" s="112" t="str">
        <f t="shared" si="8"/>
        <v>X</v>
      </c>
      <c r="C166" s="112" t="str">
        <f>IF(OR(Tabella3[[#This Row],[LUN]]="X",Tabella3[[#This Row],[MAR]]="X",Tabella3[[#This Row],[MER]]="X",Tabella3[[#This Row],[GIO]]="X",Tabella3[[#This Row],[VEN]]="X",),"X","")</f>
        <v/>
      </c>
      <c r="D166" s="113" t="s">
        <v>87</v>
      </c>
      <c r="E166" s="109" t="s">
        <v>91</v>
      </c>
      <c r="F166" s="109" t="s">
        <v>92</v>
      </c>
      <c r="G166" s="109" t="s">
        <v>1935</v>
      </c>
      <c r="H166" s="111"/>
      <c r="I166" s="111"/>
      <c r="J166" s="111"/>
      <c r="K166" s="111"/>
      <c r="L166" s="111"/>
      <c r="M166" s="109" t="s">
        <v>1258</v>
      </c>
      <c r="N166" s="109"/>
      <c r="O166" s="109"/>
      <c r="P166" s="109"/>
      <c r="Q166" s="109"/>
      <c r="R166" s="110">
        <v>45632</v>
      </c>
      <c r="S166" s="110"/>
      <c r="T166" s="116" t="str">
        <f ca="1">IF(AND('Inserimento dati'!$B$3=$H$2, Tabella3[[#This Row],[LUN]]="X"), "X",IF(AND('Inserimento dati'!$B$3=$I$2, Tabella3[[#This Row],[MAR]]="X"), "X", IF(AND('Inserimento dati'!$B$3=$J$2, Tabella3[[#This Row],[MER]]="X"), "X",IF(AND('Inserimento dati'!$B$3=$K$2, Tabella3[[#This Row],[GIO]]="X"), "X", IF(AND('Inserimento dati'!$B$3=$L$2, Tabella3[[#This Row],[VEN]]="X"), "X","")))))</f>
        <v/>
      </c>
      <c r="U166" s="143" t="str">
        <f t="shared" ca="1" si="7"/>
        <v/>
      </c>
      <c r="V166" s="187">
        <v>45930.833333333336</v>
      </c>
    </row>
    <row r="167" spans="1:22" s="19" customFormat="1" ht="23.25" x14ac:dyDescent="0.2">
      <c r="A167" s="112"/>
      <c r="B167" s="112" t="str">
        <f t="shared" si="8"/>
        <v>X</v>
      </c>
      <c r="C167" s="112" t="str">
        <f>IF(OR(Tabella3[[#This Row],[LUN]]="X",Tabella3[[#This Row],[MAR]]="X",Tabella3[[#This Row],[MER]]="X",Tabella3[[#This Row],[GIO]]="X",Tabella3[[#This Row],[VEN]]="X",),"X","")</f>
        <v/>
      </c>
      <c r="D167" s="113" t="s">
        <v>87</v>
      </c>
      <c r="E167" s="109" t="s">
        <v>442</v>
      </c>
      <c r="F167" s="109" t="s">
        <v>93</v>
      </c>
      <c r="G167" s="109" t="s">
        <v>1936</v>
      </c>
      <c r="H167" s="111"/>
      <c r="I167" s="111"/>
      <c r="J167" s="111"/>
      <c r="K167" s="111"/>
      <c r="L167" s="111"/>
      <c r="M167" s="109" t="s">
        <v>1258</v>
      </c>
      <c r="N167" s="109"/>
      <c r="O167" s="109"/>
      <c r="P167" s="109"/>
      <c r="Q167" s="109"/>
      <c r="R167" s="110">
        <v>45632</v>
      </c>
      <c r="S167" s="110"/>
      <c r="T167" s="116" t="str">
        <f ca="1">IF(AND('Inserimento dati'!$B$3=$H$2, Tabella3[[#This Row],[LUN]]="X"), "X",IF(AND('Inserimento dati'!$B$3=$I$2, Tabella3[[#This Row],[MAR]]="X"), "X", IF(AND('Inserimento dati'!$B$3=$J$2, Tabella3[[#This Row],[MER]]="X"), "X",IF(AND('Inserimento dati'!$B$3=$K$2, Tabella3[[#This Row],[GIO]]="X"), "X", IF(AND('Inserimento dati'!$B$3=$L$2, Tabella3[[#This Row],[VEN]]="X"), "X","")))))</f>
        <v/>
      </c>
      <c r="U167" s="143" t="str">
        <f t="shared" ca="1" si="7"/>
        <v/>
      </c>
      <c r="V167" s="187">
        <v>45930.833333333336</v>
      </c>
    </row>
    <row r="168" spans="1:22" s="19" customFormat="1" ht="23.25" x14ac:dyDescent="0.2">
      <c r="A168" s="112"/>
      <c r="B168" s="112" t="str">
        <f t="shared" si="8"/>
        <v>X</v>
      </c>
      <c r="C168" s="112" t="str">
        <f>IF(OR(Tabella3[[#This Row],[LUN]]="X",Tabella3[[#This Row],[MAR]]="X",Tabella3[[#This Row],[MER]]="X",Tabella3[[#This Row],[GIO]]="X",Tabella3[[#This Row],[VEN]]="X",),"X","")</f>
        <v/>
      </c>
      <c r="D168" s="113" t="s">
        <v>87</v>
      </c>
      <c r="E168" s="109" t="s">
        <v>94</v>
      </c>
      <c r="F168" s="109">
        <v>2200</v>
      </c>
      <c r="G168" s="109" t="s">
        <v>1937</v>
      </c>
      <c r="H168" s="111"/>
      <c r="I168" s="111"/>
      <c r="J168" s="111"/>
      <c r="K168" s="111"/>
      <c r="L168" s="111"/>
      <c r="M168" s="109" t="s">
        <v>1258</v>
      </c>
      <c r="N168" s="109"/>
      <c r="O168" s="109"/>
      <c r="P168" s="109"/>
      <c r="Q168" s="109"/>
      <c r="R168" s="110">
        <v>45623</v>
      </c>
      <c r="S168" s="110" t="s">
        <v>211</v>
      </c>
      <c r="T168" s="116" t="str">
        <f ca="1">IF(AND('Inserimento dati'!$B$3=$H$2, Tabella3[[#This Row],[LUN]]="X"), "X",IF(AND('Inserimento dati'!$B$3=$I$2, Tabella3[[#This Row],[MAR]]="X"), "X", IF(AND('Inserimento dati'!$B$3=$J$2, Tabella3[[#This Row],[MER]]="X"), "X",IF(AND('Inserimento dati'!$B$3=$K$2, Tabella3[[#This Row],[GIO]]="X"), "X", IF(AND('Inserimento dati'!$B$3=$L$2, Tabella3[[#This Row],[VEN]]="X"), "X","")))))</f>
        <v/>
      </c>
      <c r="U168" s="143" t="str">
        <f t="shared" ca="1" si="7"/>
        <v/>
      </c>
      <c r="V168" s="187">
        <v>45930.833333333336</v>
      </c>
    </row>
    <row r="169" spans="1:22" s="19" customFormat="1" ht="30" x14ac:dyDescent="0.2">
      <c r="A169" s="112"/>
      <c r="B169" s="112" t="str">
        <f t="shared" si="8"/>
        <v>X</v>
      </c>
      <c r="C169" s="112" t="str">
        <f>IF(OR(Tabella3[[#This Row],[LUN]]="X",Tabella3[[#This Row],[MAR]]="X",Tabella3[[#This Row],[MER]]="X",Tabella3[[#This Row],[GIO]]="X",Tabella3[[#This Row],[VEN]]="X",),"X","")</f>
        <v/>
      </c>
      <c r="D169" s="113" t="s">
        <v>87</v>
      </c>
      <c r="E169" s="109" t="s">
        <v>205</v>
      </c>
      <c r="F169" s="109">
        <v>2400</v>
      </c>
      <c r="G169" s="109" t="s">
        <v>1938</v>
      </c>
      <c r="H169" s="111"/>
      <c r="I169" s="111"/>
      <c r="J169" s="111"/>
      <c r="K169" s="111"/>
      <c r="L169" s="111"/>
      <c r="M169" s="109" t="s">
        <v>1258</v>
      </c>
      <c r="N169" s="109"/>
      <c r="O169" s="109"/>
      <c r="P169" s="109"/>
      <c r="Q169" s="109" t="s">
        <v>209</v>
      </c>
      <c r="R169" s="110">
        <v>45635</v>
      </c>
      <c r="S169" s="110" t="s">
        <v>203</v>
      </c>
      <c r="T169" s="116" t="str">
        <f ca="1">IF(AND('Inserimento dati'!$B$3=$H$2, Tabella3[[#This Row],[LUN]]="X"), "X",IF(AND('Inserimento dati'!$B$3=$I$2, Tabella3[[#This Row],[MAR]]="X"), "X", IF(AND('Inserimento dati'!$B$3=$J$2, Tabella3[[#This Row],[MER]]="X"), "X",IF(AND('Inserimento dati'!$B$3=$K$2, Tabella3[[#This Row],[GIO]]="X"), "X", IF(AND('Inserimento dati'!$B$3=$L$2, Tabella3[[#This Row],[VEN]]="X"), "X","")))))</f>
        <v/>
      </c>
      <c r="U169" s="143" t="str">
        <f t="shared" ca="1" si="7"/>
        <v/>
      </c>
      <c r="V169" s="187">
        <v>45930.833333333336</v>
      </c>
    </row>
    <row r="170" spans="1:22" s="19" customFormat="1" ht="30" x14ac:dyDescent="0.2">
      <c r="A170" s="112"/>
      <c r="B170" s="112" t="str">
        <f t="shared" ref="B170:B201" si="9">IF(OR(A170="x",A170="X"),"",IF(ISBLANK(A170),"X",""))</f>
        <v>X</v>
      </c>
      <c r="C170" s="112" t="str">
        <f>IF(OR(Tabella3[[#This Row],[LUN]]="X",Tabella3[[#This Row],[MAR]]="X",Tabella3[[#This Row],[MER]]="X",Tabella3[[#This Row],[GIO]]="X",Tabella3[[#This Row],[VEN]]="X",),"X","")</f>
        <v/>
      </c>
      <c r="D170" s="113" t="s">
        <v>87</v>
      </c>
      <c r="E170" s="109" t="s">
        <v>388</v>
      </c>
      <c r="F170" s="109">
        <v>700</v>
      </c>
      <c r="G170" s="109" t="s">
        <v>1939</v>
      </c>
      <c r="H170" s="111"/>
      <c r="I170" s="111"/>
      <c r="J170" s="111"/>
      <c r="K170" s="111"/>
      <c r="L170" s="111"/>
      <c r="M170" s="109" t="s">
        <v>1258</v>
      </c>
      <c r="N170" s="109"/>
      <c r="O170" s="109"/>
      <c r="P170" s="109"/>
      <c r="Q170" s="109" t="s">
        <v>208</v>
      </c>
      <c r="R170" s="110">
        <v>45635</v>
      </c>
      <c r="S170" s="110" t="s">
        <v>206</v>
      </c>
      <c r="T170" s="116" t="str">
        <f ca="1">IF(AND('Inserimento dati'!$B$3=$H$2, Tabella3[[#This Row],[LUN]]="X"), "X",IF(AND('Inserimento dati'!$B$3=$I$2, Tabella3[[#This Row],[MAR]]="X"), "X", IF(AND('Inserimento dati'!$B$3=$J$2, Tabella3[[#This Row],[MER]]="X"), "X",IF(AND('Inserimento dati'!$B$3=$K$2, Tabella3[[#This Row],[GIO]]="X"), "X", IF(AND('Inserimento dati'!$B$3=$L$2, Tabella3[[#This Row],[VEN]]="X"), "X","")))))</f>
        <v/>
      </c>
      <c r="U170" s="143" t="str">
        <f t="shared" ca="1" si="7"/>
        <v/>
      </c>
      <c r="V170" s="187">
        <v>45930.833333333336</v>
      </c>
    </row>
    <row r="171" spans="1:22" s="19" customFormat="1" ht="30" x14ac:dyDescent="0.2">
      <c r="A171" s="112"/>
      <c r="B171" s="112" t="str">
        <f t="shared" si="9"/>
        <v>X</v>
      </c>
      <c r="C171" s="112" t="str">
        <f>IF(OR(Tabella3[[#This Row],[LUN]]="X",Tabella3[[#This Row],[MAR]]="X",Tabella3[[#This Row],[MER]]="X",Tabella3[[#This Row],[GIO]]="X",Tabella3[[#This Row],[VEN]]="X",),"X","")</f>
        <v/>
      </c>
      <c r="D171" s="113" t="s">
        <v>87</v>
      </c>
      <c r="E171" s="109" t="s">
        <v>90</v>
      </c>
      <c r="F171" s="109">
        <v>1100</v>
      </c>
      <c r="G171" s="109" t="s">
        <v>1940</v>
      </c>
      <c r="H171" s="111"/>
      <c r="I171" s="111"/>
      <c r="J171" s="111"/>
      <c r="K171" s="111"/>
      <c r="L171" s="111"/>
      <c r="M171" s="109" t="s">
        <v>1258</v>
      </c>
      <c r="N171" s="109"/>
      <c r="O171" s="109"/>
      <c r="P171" s="109"/>
      <c r="Q171" s="109" t="s">
        <v>221</v>
      </c>
      <c r="R171" s="110">
        <v>45635</v>
      </c>
      <c r="S171" s="110" t="s">
        <v>50</v>
      </c>
      <c r="T171" s="116" t="str">
        <f ca="1">IF(AND('Inserimento dati'!$B$3=$H$2, Tabella3[[#This Row],[LUN]]="X"), "X",IF(AND('Inserimento dati'!$B$3=$I$2, Tabella3[[#This Row],[MAR]]="X"), "X", IF(AND('Inserimento dati'!$B$3=$J$2, Tabella3[[#This Row],[MER]]="X"), "X",IF(AND('Inserimento dati'!$B$3=$K$2, Tabella3[[#This Row],[GIO]]="X"), "X", IF(AND('Inserimento dati'!$B$3=$L$2, Tabella3[[#This Row],[VEN]]="X"), "X","")))))</f>
        <v/>
      </c>
      <c r="U171" s="143" t="str">
        <f t="shared" ca="1" si="7"/>
        <v/>
      </c>
      <c r="V171" s="187">
        <v>45930.833333333336</v>
      </c>
    </row>
    <row r="172" spans="1:22" s="19" customFormat="1" ht="23.25" x14ac:dyDescent="0.2">
      <c r="A172" s="112"/>
      <c r="B172" s="112" t="str">
        <f t="shared" si="9"/>
        <v>X</v>
      </c>
      <c r="C172" s="112" t="str">
        <f>IF(OR(Tabella3[[#This Row],[LUN]]="X",Tabella3[[#This Row],[MAR]]="X",Tabella3[[#This Row],[MER]]="X",Tabella3[[#This Row],[GIO]]="X",Tabella3[[#This Row],[VEN]]="X",),"X","")</f>
        <v/>
      </c>
      <c r="D172" s="113" t="s">
        <v>87</v>
      </c>
      <c r="E172" s="109" t="s">
        <v>389</v>
      </c>
      <c r="F172" s="109">
        <v>2200</v>
      </c>
      <c r="G172" s="109" t="s">
        <v>1941</v>
      </c>
      <c r="H172" s="111"/>
      <c r="I172" s="111"/>
      <c r="J172" s="111"/>
      <c r="K172" s="111"/>
      <c r="L172" s="111"/>
      <c r="M172" s="109" t="s">
        <v>1258</v>
      </c>
      <c r="N172" s="109"/>
      <c r="O172" s="109"/>
      <c r="P172" s="109"/>
      <c r="Q172" s="109"/>
      <c r="R172" s="110">
        <v>45631</v>
      </c>
      <c r="S172" s="110"/>
      <c r="T172" s="116" t="str">
        <f ca="1">IF(AND('Inserimento dati'!$B$3=$H$2, Tabella3[[#This Row],[LUN]]="X"), "X",IF(AND('Inserimento dati'!$B$3=$I$2, Tabella3[[#This Row],[MAR]]="X"), "X", IF(AND('Inserimento dati'!$B$3=$J$2, Tabella3[[#This Row],[MER]]="X"), "X",IF(AND('Inserimento dati'!$B$3=$K$2, Tabella3[[#This Row],[GIO]]="X"), "X", IF(AND('Inserimento dati'!$B$3=$L$2, Tabella3[[#This Row],[VEN]]="X"), "X","")))))</f>
        <v/>
      </c>
      <c r="U172" s="143" t="str">
        <f t="shared" ca="1" si="7"/>
        <v/>
      </c>
      <c r="V172" s="187">
        <v>45930.833333333336</v>
      </c>
    </row>
    <row r="173" spans="1:22" s="19" customFormat="1" ht="23.25" x14ac:dyDescent="0.2">
      <c r="A173" s="112"/>
      <c r="B173" s="112" t="str">
        <f t="shared" si="9"/>
        <v>X</v>
      </c>
      <c r="C173" s="112" t="str">
        <f>IF(OR(Tabella3[[#This Row],[LUN]]="X",Tabella3[[#This Row],[MAR]]="X",Tabella3[[#This Row],[MER]]="X",Tabella3[[#This Row],[GIO]]="X",Tabella3[[#This Row],[VEN]]="X",),"X","")</f>
        <v/>
      </c>
      <c r="D173" s="113" t="s">
        <v>87</v>
      </c>
      <c r="E173" s="109" t="s">
        <v>390</v>
      </c>
      <c r="F173" s="109">
        <v>2200</v>
      </c>
      <c r="G173" s="109" t="s">
        <v>1942</v>
      </c>
      <c r="H173" s="111"/>
      <c r="I173" s="111"/>
      <c r="J173" s="111"/>
      <c r="K173" s="111"/>
      <c r="L173" s="111"/>
      <c r="M173" s="109" t="s">
        <v>1258</v>
      </c>
      <c r="N173" s="109"/>
      <c r="O173" s="109"/>
      <c r="P173" s="109"/>
      <c r="Q173" s="109"/>
      <c r="R173" s="110">
        <v>45631</v>
      </c>
      <c r="S173" s="110"/>
      <c r="T173" s="116" t="str">
        <f ca="1">IF(AND('Inserimento dati'!$B$3=$H$2, Tabella3[[#This Row],[LUN]]="X"), "X",IF(AND('Inserimento dati'!$B$3=$I$2, Tabella3[[#This Row],[MAR]]="X"), "X", IF(AND('Inserimento dati'!$B$3=$J$2, Tabella3[[#This Row],[MER]]="X"), "X",IF(AND('Inserimento dati'!$B$3=$K$2, Tabella3[[#This Row],[GIO]]="X"), "X", IF(AND('Inserimento dati'!$B$3=$L$2, Tabella3[[#This Row],[VEN]]="X"), "X","")))))</f>
        <v/>
      </c>
      <c r="U173" s="143" t="str">
        <f t="shared" ca="1" si="7"/>
        <v/>
      </c>
      <c r="V173" s="187">
        <v>45930.833333333336</v>
      </c>
    </row>
    <row r="174" spans="1:22" s="19" customFormat="1" ht="30" x14ac:dyDescent="0.2">
      <c r="A174" s="112"/>
      <c r="B174" s="112" t="str">
        <f t="shared" si="9"/>
        <v>X</v>
      </c>
      <c r="C174" s="112" t="str">
        <f>IF(OR(Tabella3[[#This Row],[LUN]]="X",Tabella3[[#This Row],[MAR]]="X",Tabella3[[#This Row],[MER]]="X",Tabella3[[#This Row],[GIO]]="X",Tabella3[[#This Row],[VEN]]="X",),"X","")</f>
        <v/>
      </c>
      <c r="D174" s="113" t="s">
        <v>87</v>
      </c>
      <c r="E174" s="109" t="s">
        <v>95</v>
      </c>
      <c r="F174" s="109" t="s">
        <v>96</v>
      </c>
      <c r="G174" s="109" t="s">
        <v>1943</v>
      </c>
      <c r="H174" s="111"/>
      <c r="I174" s="111"/>
      <c r="J174" s="111"/>
      <c r="K174" s="111"/>
      <c r="L174" s="111"/>
      <c r="M174" s="109" t="s">
        <v>1258</v>
      </c>
      <c r="N174" s="109"/>
      <c r="O174" s="109"/>
      <c r="P174" s="109"/>
      <c r="Q174" s="109" t="s">
        <v>219</v>
      </c>
      <c r="R174" s="110">
        <v>45628</v>
      </c>
      <c r="S174" s="110" t="s">
        <v>220</v>
      </c>
      <c r="T174" s="116" t="str">
        <f ca="1">IF(AND('Inserimento dati'!$B$3=$H$2, Tabella3[[#This Row],[LUN]]="X"), "X",IF(AND('Inserimento dati'!$B$3=$I$2, Tabella3[[#This Row],[MAR]]="X"), "X", IF(AND('Inserimento dati'!$B$3=$J$2, Tabella3[[#This Row],[MER]]="X"), "X",IF(AND('Inserimento dati'!$B$3=$K$2, Tabella3[[#This Row],[GIO]]="X"), "X", IF(AND('Inserimento dati'!$B$3=$L$2, Tabella3[[#This Row],[VEN]]="X"), "X","")))))</f>
        <v/>
      </c>
      <c r="U174" s="143" t="str">
        <f t="shared" ca="1" si="7"/>
        <v/>
      </c>
      <c r="V174" s="187">
        <v>45930.833333333336</v>
      </c>
    </row>
    <row r="175" spans="1:22" s="19" customFormat="1" ht="30" x14ac:dyDescent="0.2">
      <c r="A175" s="112"/>
      <c r="B175" s="112" t="str">
        <f t="shared" si="9"/>
        <v>X</v>
      </c>
      <c r="C175" s="112" t="str">
        <f>IF(OR(Tabella3[[#This Row],[LUN]]="X",Tabella3[[#This Row],[MAR]]="X",Tabella3[[#This Row],[MER]]="X",Tabella3[[#This Row],[GIO]]="X",Tabella3[[#This Row],[VEN]]="X",),"X","")</f>
        <v/>
      </c>
      <c r="D175" s="113" t="s">
        <v>87</v>
      </c>
      <c r="E175" s="109" t="s">
        <v>391</v>
      </c>
      <c r="F175" s="109">
        <v>1800</v>
      </c>
      <c r="G175" s="109" t="s">
        <v>1944</v>
      </c>
      <c r="H175" s="111"/>
      <c r="I175" s="111"/>
      <c r="J175" s="111"/>
      <c r="K175" s="111"/>
      <c r="L175" s="111"/>
      <c r="M175" s="109" t="s">
        <v>1258</v>
      </c>
      <c r="N175" s="109"/>
      <c r="O175" s="109"/>
      <c r="P175" s="109"/>
      <c r="Q175" s="109" t="s">
        <v>200</v>
      </c>
      <c r="R175" s="110">
        <v>45624</v>
      </c>
      <c r="S175" s="110" t="s">
        <v>50</v>
      </c>
      <c r="T175" s="116" t="str">
        <f ca="1">IF(AND('Inserimento dati'!$B$3=$H$2, Tabella3[[#This Row],[LUN]]="X"), "X",IF(AND('Inserimento dati'!$B$3=$I$2, Tabella3[[#This Row],[MAR]]="X"), "X", IF(AND('Inserimento dati'!$B$3=$J$2, Tabella3[[#This Row],[MER]]="X"), "X",IF(AND('Inserimento dati'!$B$3=$K$2, Tabella3[[#This Row],[GIO]]="X"), "X", IF(AND('Inserimento dati'!$B$3=$L$2, Tabella3[[#This Row],[VEN]]="X"), "X","")))))</f>
        <v/>
      </c>
      <c r="U175" s="143" t="str">
        <f t="shared" ca="1" si="7"/>
        <v/>
      </c>
      <c r="V175" s="187">
        <v>45930.833333333336</v>
      </c>
    </row>
    <row r="176" spans="1:22" s="19" customFormat="1" ht="60" x14ac:dyDescent="0.2">
      <c r="A176" s="112"/>
      <c r="B176" s="112" t="str">
        <f t="shared" si="9"/>
        <v>X</v>
      </c>
      <c r="C176" s="112" t="str">
        <f>IF(OR(Tabella3[[#This Row],[LUN]]="X",Tabella3[[#This Row],[MAR]]="X",Tabella3[[#This Row],[MER]]="X",Tabella3[[#This Row],[GIO]]="X",Tabella3[[#This Row],[VEN]]="X",),"X","")</f>
        <v/>
      </c>
      <c r="D176" s="113" t="s">
        <v>87</v>
      </c>
      <c r="E176" s="109" t="s">
        <v>120</v>
      </c>
      <c r="F176" s="109" t="s">
        <v>96</v>
      </c>
      <c r="G176" s="109" t="s">
        <v>1945</v>
      </c>
      <c r="H176" s="111"/>
      <c r="I176" s="111"/>
      <c r="J176" s="111"/>
      <c r="K176" s="111"/>
      <c r="L176" s="111"/>
      <c r="M176" s="109" t="s">
        <v>1258</v>
      </c>
      <c r="N176" s="109"/>
      <c r="O176" s="109"/>
      <c r="P176" s="109"/>
      <c r="Q176" s="109" t="s">
        <v>176</v>
      </c>
      <c r="R176" s="110">
        <v>45614</v>
      </c>
      <c r="S176" s="110" t="s">
        <v>177</v>
      </c>
      <c r="T176" s="116" t="str">
        <f ca="1">IF(AND('Inserimento dati'!$B$3=$H$2, Tabella3[[#This Row],[LUN]]="X"), "X",IF(AND('Inserimento dati'!$B$3=$I$2, Tabella3[[#This Row],[MAR]]="X"), "X", IF(AND('Inserimento dati'!$B$3=$J$2, Tabella3[[#This Row],[MER]]="X"), "X",IF(AND('Inserimento dati'!$B$3=$K$2, Tabella3[[#This Row],[GIO]]="X"), "X", IF(AND('Inserimento dati'!$B$3=$L$2, Tabella3[[#This Row],[VEN]]="X"), "X","")))))</f>
        <v/>
      </c>
      <c r="U176" s="143" t="str">
        <f t="shared" ca="1" si="7"/>
        <v/>
      </c>
      <c r="V176" s="187">
        <v>45930.833333333336</v>
      </c>
    </row>
    <row r="177" spans="1:22" s="19" customFormat="1" ht="23.25" x14ac:dyDescent="0.2">
      <c r="A177" s="112"/>
      <c r="B177" s="112" t="str">
        <f t="shared" si="9"/>
        <v>X</v>
      </c>
      <c r="C177" s="112" t="str">
        <f>IF(OR(Tabella3[[#This Row],[LUN]]="X",Tabella3[[#This Row],[MAR]]="X",Tabella3[[#This Row],[MER]]="X",Tabella3[[#This Row],[GIO]]="X",Tabella3[[#This Row],[VEN]]="X",),"X","")</f>
        <v/>
      </c>
      <c r="D177" s="113" t="s">
        <v>87</v>
      </c>
      <c r="E177" s="109" t="s">
        <v>170</v>
      </c>
      <c r="F177" s="109" t="s">
        <v>171</v>
      </c>
      <c r="G177" s="109" t="s">
        <v>1946</v>
      </c>
      <c r="H177" s="111"/>
      <c r="I177" s="111"/>
      <c r="J177" s="111"/>
      <c r="K177" s="111"/>
      <c r="L177" s="111"/>
      <c r="M177" s="109" t="s">
        <v>1258</v>
      </c>
      <c r="N177" s="109"/>
      <c r="O177" s="109"/>
      <c r="P177" s="109"/>
      <c r="Q177" s="109"/>
      <c r="R177" s="110">
        <v>45623</v>
      </c>
      <c r="S177" s="110"/>
      <c r="T177" s="116" t="str">
        <f ca="1">IF(AND('Inserimento dati'!$B$3=$H$2, Tabella3[[#This Row],[LUN]]="X"), "X",IF(AND('Inserimento dati'!$B$3=$I$2, Tabella3[[#This Row],[MAR]]="X"), "X", IF(AND('Inserimento dati'!$B$3=$J$2, Tabella3[[#This Row],[MER]]="X"), "X",IF(AND('Inserimento dati'!$B$3=$K$2, Tabella3[[#This Row],[GIO]]="X"), "X", IF(AND('Inserimento dati'!$B$3=$L$2, Tabella3[[#This Row],[VEN]]="X"), "X","")))))</f>
        <v/>
      </c>
      <c r="U177" s="143" t="str">
        <f t="shared" ca="1" si="7"/>
        <v/>
      </c>
      <c r="V177" s="187">
        <v>45930.833333333336</v>
      </c>
    </row>
    <row r="178" spans="1:22" s="19" customFormat="1" ht="23.25" x14ac:dyDescent="0.2">
      <c r="A178" s="112"/>
      <c r="B178" s="112" t="str">
        <f t="shared" si="9"/>
        <v>X</v>
      </c>
      <c r="C178" s="112" t="str">
        <f>IF(OR(Tabella3[[#This Row],[LUN]]="X",Tabella3[[#This Row],[MAR]]="X",Tabella3[[#This Row],[MER]]="X",Tabella3[[#This Row],[GIO]]="X",Tabella3[[#This Row],[VEN]]="X",),"X","")</f>
        <v/>
      </c>
      <c r="D178" s="113" t="s">
        <v>87</v>
      </c>
      <c r="E178" s="109" t="s">
        <v>121</v>
      </c>
      <c r="F178" s="109" t="s">
        <v>97</v>
      </c>
      <c r="G178" s="109" t="s">
        <v>1947</v>
      </c>
      <c r="H178" s="111"/>
      <c r="I178" s="111"/>
      <c r="J178" s="111"/>
      <c r="K178" s="111"/>
      <c r="L178" s="111"/>
      <c r="M178" s="109" t="s">
        <v>1258</v>
      </c>
      <c r="N178" s="109"/>
      <c r="O178" s="109"/>
      <c r="P178" s="109"/>
      <c r="Q178" s="109" t="s">
        <v>179</v>
      </c>
      <c r="R178" s="110">
        <v>45617</v>
      </c>
      <c r="S178" s="110"/>
      <c r="T178" s="116" t="str">
        <f ca="1">IF(AND('Inserimento dati'!$B$3=$H$2, Tabella3[[#This Row],[LUN]]="X"), "X",IF(AND('Inserimento dati'!$B$3=$I$2, Tabella3[[#This Row],[MAR]]="X"), "X", IF(AND('Inserimento dati'!$B$3=$J$2, Tabella3[[#This Row],[MER]]="X"), "X",IF(AND('Inserimento dati'!$B$3=$K$2, Tabella3[[#This Row],[GIO]]="X"), "X", IF(AND('Inserimento dati'!$B$3=$L$2, Tabella3[[#This Row],[VEN]]="X"), "X","")))))</f>
        <v/>
      </c>
      <c r="U178" s="143" t="str">
        <f t="shared" ca="1" si="7"/>
        <v xml:space="preserve"> 1021174</v>
      </c>
      <c r="V178" s="187">
        <v>45930.833333333336</v>
      </c>
    </row>
    <row r="179" spans="1:22" s="19" customFormat="1" ht="23.25" x14ac:dyDescent="0.2">
      <c r="A179" s="112"/>
      <c r="B179" s="112" t="str">
        <f t="shared" si="9"/>
        <v>X</v>
      </c>
      <c r="C179" s="112" t="str">
        <f>IF(OR(Tabella3[[#This Row],[LUN]]="X",Tabella3[[#This Row],[MAR]]="X",Tabella3[[#This Row],[MER]]="X",Tabella3[[#This Row],[GIO]]="X",Tabella3[[#This Row],[VEN]]="X",),"X","")</f>
        <v/>
      </c>
      <c r="D179" s="113" t="s">
        <v>87</v>
      </c>
      <c r="E179" s="109" t="s">
        <v>122</v>
      </c>
      <c r="F179" s="109" t="s">
        <v>97</v>
      </c>
      <c r="G179" s="109" t="s">
        <v>1948</v>
      </c>
      <c r="H179" s="111"/>
      <c r="I179" s="111"/>
      <c r="J179" s="111"/>
      <c r="K179" s="111"/>
      <c r="L179" s="111"/>
      <c r="M179" s="109" t="s">
        <v>1258</v>
      </c>
      <c r="N179" s="109"/>
      <c r="O179" s="109"/>
      <c r="P179" s="109"/>
      <c r="Q179" s="109" t="s">
        <v>179</v>
      </c>
      <c r="R179" s="110">
        <v>45617</v>
      </c>
      <c r="S179" s="110"/>
      <c r="T179" s="116" t="str">
        <f ca="1">IF(AND('Inserimento dati'!$B$3=$H$2, Tabella3[[#This Row],[LUN]]="X"), "X",IF(AND('Inserimento dati'!$B$3=$I$2, Tabella3[[#This Row],[MAR]]="X"), "X", IF(AND('Inserimento dati'!$B$3=$J$2, Tabella3[[#This Row],[MER]]="X"), "X",IF(AND('Inserimento dati'!$B$3=$K$2, Tabella3[[#This Row],[GIO]]="X"), "X", IF(AND('Inserimento dati'!$B$3=$L$2, Tabella3[[#This Row],[VEN]]="X"), "X","")))))</f>
        <v/>
      </c>
      <c r="U179" s="143" t="str">
        <f t="shared" ca="1" si="7"/>
        <v/>
      </c>
      <c r="V179" s="187">
        <v>45930.833333333336</v>
      </c>
    </row>
    <row r="180" spans="1:22" s="19" customFormat="1" ht="30" x14ac:dyDescent="0.2">
      <c r="A180" s="112"/>
      <c r="B180" s="112" t="str">
        <f t="shared" si="9"/>
        <v>X</v>
      </c>
      <c r="C180" s="112" t="str">
        <f>IF(OR(Tabella3[[#This Row],[LUN]]="X",Tabella3[[#This Row],[MAR]]="X",Tabella3[[#This Row],[MER]]="X",Tabella3[[#This Row],[GIO]]="X",Tabella3[[#This Row],[VEN]]="X",),"X","")</f>
        <v/>
      </c>
      <c r="D180" s="113" t="s">
        <v>87</v>
      </c>
      <c r="E180" s="109" t="s">
        <v>123</v>
      </c>
      <c r="F180" s="109" t="s">
        <v>96</v>
      </c>
      <c r="G180" s="109" t="s">
        <v>1949</v>
      </c>
      <c r="H180" s="111"/>
      <c r="I180" s="111"/>
      <c r="J180" s="111"/>
      <c r="K180" s="111"/>
      <c r="L180" s="111"/>
      <c r="M180" s="109" t="s">
        <v>1258</v>
      </c>
      <c r="N180" s="109"/>
      <c r="O180" s="109"/>
      <c r="P180" s="109"/>
      <c r="Q180" s="109" t="s">
        <v>124</v>
      </c>
      <c r="R180" s="110">
        <v>45610</v>
      </c>
      <c r="S180" s="110" t="s">
        <v>50</v>
      </c>
      <c r="T180" s="116" t="str">
        <f ca="1">IF(AND('Inserimento dati'!$B$3=$H$2, Tabella3[[#This Row],[LUN]]="X"), "X",IF(AND('Inserimento dati'!$B$3=$I$2, Tabella3[[#This Row],[MAR]]="X"), "X", IF(AND('Inserimento dati'!$B$3=$J$2, Tabella3[[#This Row],[MER]]="X"), "X",IF(AND('Inserimento dati'!$B$3=$K$2, Tabella3[[#This Row],[GIO]]="X"), "X", IF(AND('Inserimento dati'!$B$3=$L$2, Tabella3[[#This Row],[VEN]]="X"), "X","")))))</f>
        <v/>
      </c>
      <c r="U180" s="143" t="str">
        <f t="shared" ca="1" si="7"/>
        <v/>
      </c>
      <c r="V180" s="187">
        <v>45930.833333333336</v>
      </c>
    </row>
    <row r="181" spans="1:22" s="19" customFormat="1" ht="60" x14ac:dyDescent="0.2">
      <c r="A181" s="112"/>
      <c r="B181" s="112" t="str">
        <f t="shared" si="9"/>
        <v>X</v>
      </c>
      <c r="C181" s="112" t="str">
        <f>IF(OR(Tabella3[[#This Row],[LUN]]="X",Tabella3[[#This Row],[MAR]]="X",Tabella3[[#This Row],[MER]]="X",Tabella3[[#This Row],[GIO]]="X",Tabella3[[#This Row],[VEN]]="X",),"X","")</f>
        <v/>
      </c>
      <c r="D181" s="113" t="s">
        <v>87</v>
      </c>
      <c r="E181" s="109" t="s">
        <v>125</v>
      </c>
      <c r="F181" s="109" t="s">
        <v>88</v>
      </c>
      <c r="G181" s="109" t="s">
        <v>1950</v>
      </c>
      <c r="H181" s="111"/>
      <c r="I181" s="111"/>
      <c r="J181" s="111"/>
      <c r="K181" s="111"/>
      <c r="L181" s="111"/>
      <c r="M181" s="109" t="s">
        <v>1258</v>
      </c>
      <c r="N181" s="109"/>
      <c r="O181" s="109"/>
      <c r="P181" s="109"/>
      <c r="Q181" s="109" t="s">
        <v>126</v>
      </c>
      <c r="R181" s="110">
        <v>45615</v>
      </c>
      <c r="S181" s="110" t="s">
        <v>50</v>
      </c>
      <c r="T181" s="116" t="str">
        <f ca="1">IF(AND('Inserimento dati'!$B$3=$H$2, Tabella3[[#This Row],[LUN]]="X"), "X",IF(AND('Inserimento dati'!$B$3=$I$2, Tabella3[[#This Row],[MAR]]="X"), "X", IF(AND('Inserimento dati'!$B$3=$J$2, Tabella3[[#This Row],[MER]]="X"), "X",IF(AND('Inserimento dati'!$B$3=$K$2, Tabella3[[#This Row],[GIO]]="X"), "X", IF(AND('Inserimento dati'!$B$3=$L$2, Tabella3[[#This Row],[VEN]]="X"), "X","")))))</f>
        <v/>
      </c>
      <c r="U181" s="143" t="str">
        <f t="shared" ca="1" si="7"/>
        <v/>
      </c>
      <c r="V181" s="187">
        <v>45930.833333333336</v>
      </c>
    </row>
    <row r="182" spans="1:22" s="19" customFormat="1" ht="30" x14ac:dyDescent="0.2">
      <c r="A182" s="112"/>
      <c r="B182" s="112" t="str">
        <f t="shared" si="9"/>
        <v>X</v>
      </c>
      <c r="C182" s="112" t="str">
        <f>IF(OR(Tabella3[[#This Row],[LUN]]="X",Tabella3[[#This Row],[MAR]]="X",Tabella3[[#This Row],[MER]]="X",Tabella3[[#This Row],[GIO]]="X",Tabella3[[#This Row],[VEN]]="X",),"X","")</f>
        <v/>
      </c>
      <c r="D182" s="113" t="s">
        <v>87</v>
      </c>
      <c r="E182" s="109" t="s">
        <v>127</v>
      </c>
      <c r="F182" s="109">
        <v>700</v>
      </c>
      <c r="G182" s="109" t="s">
        <v>1951</v>
      </c>
      <c r="H182" s="111"/>
      <c r="I182" s="111"/>
      <c r="J182" s="111"/>
      <c r="K182" s="111"/>
      <c r="L182" s="111"/>
      <c r="M182" s="109" t="s">
        <v>1258</v>
      </c>
      <c r="N182" s="109"/>
      <c r="O182" s="109"/>
      <c r="P182" s="109"/>
      <c r="Q182" s="109" t="s">
        <v>128</v>
      </c>
      <c r="R182" s="110">
        <v>45617</v>
      </c>
      <c r="S182" s="110" t="s">
        <v>50</v>
      </c>
      <c r="T182" s="116" t="str">
        <f ca="1">IF(AND('Inserimento dati'!$B$3=$H$2, Tabella3[[#This Row],[LUN]]="X"), "X",IF(AND('Inserimento dati'!$B$3=$I$2, Tabella3[[#This Row],[MAR]]="X"), "X", IF(AND('Inserimento dati'!$B$3=$J$2, Tabella3[[#This Row],[MER]]="X"), "X",IF(AND('Inserimento dati'!$B$3=$K$2, Tabella3[[#This Row],[GIO]]="X"), "X", IF(AND('Inserimento dati'!$B$3=$L$2, Tabella3[[#This Row],[VEN]]="X"), "X","")))))</f>
        <v/>
      </c>
      <c r="U182" s="143" t="str">
        <f t="shared" ca="1" si="7"/>
        <v/>
      </c>
      <c r="V182" s="187">
        <v>45930.833333333336</v>
      </c>
    </row>
    <row r="183" spans="1:22" s="19" customFormat="1" ht="30" x14ac:dyDescent="0.2">
      <c r="A183" s="112"/>
      <c r="B183" s="112" t="str">
        <f t="shared" si="9"/>
        <v>X</v>
      </c>
      <c r="C183" s="112" t="str">
        <f>IF(OR(Tabella3[[#This Row],[LUN]]="X",Tabella3[[#This Row],[MAR]]="X",Tabella3[[#This Row],[MER]]="X",Tabella3[[#This Row],[GIO]]="X",Tabella3[[#This Row],[VEN]]="X",),"X","")</f>
        <v/>
      </c>
      <c r="D183" s="113" t="s">
        <v>87</v>
      </c>
      <c r="E183" s="109" t="s">
        <v>129</v>
      </c>
      <c r="F183" s="109">
        <v>700</v>
      </c>
      <c r="G183" s="109" t="s">
        <v>1952</v>
      </c>
      <c r="H183" s="111"/>
      <c r="I183" s="111"/>
      <c r="J183" s="111"/>
      <c r="K183" s="111"/>
      <c r="L183" s="111"/>
      <c r="M183" s="109" t="s">
        <v>1258</v>
      </c>
      <c r="N183" s="109"/>
      <c r="O183" s="109"/>
      <c r="P183" s="109"/>
      <c r="Q183" s="109" t="s">
        <v>130</v>
      </c>
      <c r="R183" s="110">
        <v>45617</v>
      </c>
      <c r="S183" s="110" t="s">
        <v>50</v>
      </c>
      <c r="T183" s="116" t="str">
        <f ca="1">IF(AND('Inserimento dati'!$B$3=$H$2, Tabella3[[#This Row],[LUN]]="X"), "X",IF(AND('Inserimento dati'!$B$3=$I$2, Tabella3[[#This Row],[MAR]]="X"), "X", IF(AND('Inserimento dati'!$B$3=$J$2, Tabella3[[#This Row],[MER]]="X"), "X",IF(AND('Inserimento dati'!$B$3=$K$2, Tabella3[[#This Row],[GIO]]="X"), "X", IF(AND('Inserimento dati'!$B$3=$L$2, Tabella3[[#This Row],[VEN]]="X"), "X","")))))</f>
        <v/>
      </c>
      <c r="U183" s="143" t="str">
        <f t="shared" ca="1" si="7"/>
        <v xml:space="preserve">  102089</v>
      </c>
      <c r="V183" s="187">
        <v>45930.833333333336</v>
      </c>
    </row>
    <row r="184" spans="1:22" s="19" customFormat="1" ht="30" x14ac:dyDescent="0.2">
      <c r="A184" s="112"/>
      <c r="B184" s="112" t="str">
        <f t="shared" si="9"/>
        <v>X</v>
      </c>
      <c r="C184" s="112" t="str">
        <f>IF(OR(Tabella3[[#This Row],[LUN]]="X",Tabella3[[#This Row],[MAR]]="X",Tabella3[[#This Row],[MER]]="X",Tabella3[[#This Row],[GIO]]="X",Tabella3[[#This Row],[VEN]]="X",),"X","")</f>
        <v/>
      </c>
      <c r="D184" s="113" t="s">
        <v>87</v>
      </c>
      <c r="E184" s="109" t="s">
        <v>131</v>
      </c>
      <c r="F184" s="109">
        <v>700</v>
      </c>
      <c r="G184" s="109" t="s">
        <v>1953</v>
      </c>
      <c r="H184" s="111"/>
      <c r="I184" s="111"/>
      <c r="J184" s="111"/>
      <c r="K184" s="111"/>
      <c r="L184" s="111"/>
      <c r="M184" s="109" t="s">
        <v>1258</v>
      </c>
      <c r="N184" s="109"/>
      <c r="O184" s="109"/>
      <c r="P184" s="109"/>
      <c r="Q184" s="109" t="s">
        <v>132</v>
      </c>
      <c r="R184" s="110">
        <v>45617</v>
      </c>
      <c r="S184" s="110" t="s">
        <v>50</v>
      </c>
      <c r="T184" s="116" t="str">
        <f ca="1">IF(AND('Inserimento dati'!$B$3=$H$2, Tabella3[[#This Row],[LUN]]="X"), "X",IF(AND('Inserimento dati'!$B$3=$I$2, Tabella3[[#This Row],[MAR]]="X"), "X", IF(AND('Inserimento dati'!$B$3=$J$2, Tabella3[[#This Row],[MER]]="X"), "X",IF(AND('Inserimento dati'!$B$3=$K$2, Tabella3[[#This Row],[GIO]]="X"), "X", IF(AND('Inserimento dati'!$B$3=$L$2, Tabella3[[#This Row],[VEN]]="X"), "X","")))))</f>
        <v/>
      </c>
      <c r="U184" s="143" t="str">
        <f t="shared" ca="1" si="7"/>
        <v/>
      </c>
      <c r="V184" s="187">
        <v>45930.833333333336</v>
      </c>
    </row>
    <row r="185" spans="1:22" s="19" customFormat="1" ht="45" x14ac:dyDescent="0.2">
      <c r="A185" s="112"/>
      <c r="B185" s="112" t="str">
        <f t="shared" si="9"/>
        <v>X</v>
      </c>
      <c r="C185" s="112" t="str">
        <f>IF(OR(Tabella3[[#This Row],[LUN]]="X",Tabella3[[#This Row],[MAR]]="X",Tabella3[[#This Row],[MER]]="X",Tabella3[[#This Row],[GIO]]="X",Tabella3[[#This Row],[VEN]]="X",),"X","")</f>
        <v/>
      </c>
      <c r="D185" s="113" t="s">
        <v>87</v>
      </c>
      <c r="E185" s="109" t="s">
        <v>133</v>
      </c>
      <c r="F185" s="109">
        <v>1100</v>
      </c>
      <c r="G185" s="109" t="s">
        <v>1954</v>
      </c>
      <c r="H185" s="111"/>
      <c r="I185" s="111"/>
      <c r="J185" s="111"/>
      <c r="K185" s="111"/>
      <c r="L185" s="111"/>
      <c r="M185" s="109" t="s">
        <v>1258</v>
      </c>
      <c r="N185" s="109"/>
      <c r="O185" s="109"/>
      <c r="P185" s="109"/>
      <c r="Q185" s="109" t="s">
        <v>134</v>
      </c>
      <c r="R185" s="110">
        <v>45617</v>
      </c>
      <c r="S185" s="110" t="s">
        <v>102</v>
      </c>
      <c r="T185" s="116" t="str">
        <f ca="1">IF(AND('Inserimento dati'!$B$3=$H$2, Tabella3[[#This Row],[LUN]]="X"), "X",IF(AND('Inserimento dati'!$B$3=$I$2, Tabella3[[#This Row],[MAR]]="X"), "X", IF(AND('Inserimento dati'!$B$3=$J$2, Tabella3[[#This Row],[MER]]="X"), "X",IF(AND('Inserimento dati'!$B$3=$K$2, Tabella3[[#This Row],[GIO]]="X"), "X", IF(AND('Inserimento dati'!$B$3=$L$2, Tabella3[[#This Row],[VEN]]="X"), "X","")))))</f>
        <v/>
      </c>
      <c r="U185" s="143" t="str">
        <f t="shared" ca="1" si="7"/>
        <v/>
      </c>
      <c r="V185" s="187">
        <v>45930.833333333336</v>
      </c>
    </row>
    <row r="186" spans="1:22" s="19" customFormat="1" ht="30" x14ac:dyDescent="0.2">
      <c r="A186" s="112"/>
      <c r="B186" s="112" t="str">
        <f t="shared" si="9"/>
        <v>X</v>
      </c>
      <c r="C186" s="112" t="str">
        <f>IF(OR(Tabella3[[#This Row],[LUN]]="X",Tabella3[[#This Row],[MAR]]="X",Tabella3[[#This Row],[MER]]="X",Tabella3[[#This Row],[GIO]]="X",Tabella3[[#This Row],[VEN]]="X",),"X","")</f>
        <v/>
      </c>
      <c r="D186" s="113" t="s">
        <v>87</v>
      </c>
      <c r="E186" s="109" t="s">
        <v>135</v>
      </c>
      <c r="F186" s="109">
        <v>800</v>
      </c>
      <c r="G186" s="109" t="s">
        <v>1955</v>
      </c>
      <c r="H186" s="111"/>
      <c r="I186" s="111"/>
      <c r="J186" s="111"/>
      <c r="K186" s="111"/>
      <c r="L186" s="111"/>
      <c r="M186" s="109" t="s">
        <v>1258</v>
      </c>
      <c r="N186" s="109"/>
      <c r="O186" s="109"/>
      <c r="P186" s="109"/>
      <c r="Q186" s="109" t="s">
        <v>136</v>
      </c>
      <c r="R186" s="110">
        <v>45614</v>
      </c>
      <c r="S186" s="110" t="s">
        <v>137</v>
      </c>
      <c r="T186" s="116" t="str">
        <f ca="1">IF(AND('Inserimento dati'!$B$3=$H$2, Tabella3[[#This Row],[LUN]]="X"), "X",IF(AND('Inserimento dati'!$B$3=$I$2, Tabella3[[#This Row],[MAR]]="X"), "X", IF(AND('Inserimento dati'!$B$3=$J$2, Tabella3[[#This Row],[MER]]="X"), "X",IF(AND('Inserimento dati'!$B$3=$K$2, Tabella3[[#This Row],[GIO]]="X"), "X", IF(AND('Inserimento dati'!$B$3=$L$2, Tabella3[[#This Row],[VEN]]="X"), "X","")))))</f>
        <v/>
      </c>
      <c r="U186" s="143" t="str">
        <f t="shared" ca="1" si="7"/>
        <v/>
      </c>
      <c r="V186" s="187">
        <v>45930.833333333336</v>
      </c>
    </row>
    <row r="187" spans="1:22" s="19" customFormat="1" ht="30" x14ac:dyDescent="0.2">
      <c r="A187" s="112"/>
      <c r="B187" s="112" t="str">
        <f t="shared" si="9"/>
        <v>X</v>
      </c>
      <c r="C187" s="112" t="str">
        <f>IF(OR(Tabella3[[#This Row],[LUN]]="X",Tabella3[[#This Row],[MAR]]="X",Tabella3[[#This Row],[MER]]="X",Tabella3[[#This Row],[GIO]]="X",Tabella3[[#This Row],[VEN]]="X",),"X","")</f>
        <v/>
      </c>
      <c r="D187" s="113" t="s">
        <v>87</v>
      </c>
      <c r="E187" s="109" t="s">
        <v>138</v>
      </c>
      <c r="F187" s="109" t="s">
        <v>96</v>
      </c>
      <c r="G187" s="109" t="s">
        <v>1956</v>
      </c>
      <c r="H187" s="111"/>
      <c r="I187" s="111"/>
      <c r="J187" s="111"/>
      <c r="K187" s="111"/>
      <c r="L187" s="111"/>
      <c r="M187" s="109" t="s">
        <v>1258</v>
      </c>
      <c r="N187" s="109"/>
      <c r="O187" s="109"/>
      <c r="P187" s="109"/>
      <c r="Q187" s="109" t="s">
        <v>180</v>
      </c>
      <c r="R187" s="110">
        <v>45610</v>
      </c>
      <c r="S187" s="110" t="s">
        <v>139</v>
      </c>
      <c r="T187" s="116" t="str">
        <f ca="1">IF(AND('Inserimento dati'!$B$3=$H$2, Tabella3[[#This Row],[LUN]]="X"), "X",IF(AND('Inserimento dati'!$B$3=$I$2, Tabella3[[#This Row],[MAR]]="X"), "X", IF(AND('Inserimento dati'!$B$3=$J$2, Tabella3[[#This Row],[MER]]="X"), "X",IF(AND('Inserimento dati'!$B$3=$K$2, Tabella3[[#This Row],[GIO]]="X"), "X", IF(AND('Inserimento dati'!$B$3=$L$2, Tabella3[[#This Row],[VEN]]="X"), "X","")))))</f>
        <v/>
      </c>
      <c r="U187" s="143" t="str">
        <f t="shared" ca="1" si="7"/>
        <v/>
      </c>
      <c r="V187" s="187">
        <v>45930.833333333336</v>
      </c>
    </row>
    <row r="188" spans="1:22" s="19" customFormat="1" ht="30" x14ac:dyDescent="0.2">
      <c r="A188" s="112"/>
      <c r="B188" s="112" t="str">
        <f t="shared" si="9"/>
        <v>X</v>
      </c>
      <c r="C188" s="112" t="str">
        <f>IF(OR(Tabella3[[#This Row],[LUN]]="X",Tabella3[[#This Row],[MAR]]="X",Tabella3[[#This Row],[MER]]="X",Tabella3[[#This Row],[GIO]]="X",Tabella3[[#This Row],[VEN]]="X",),"X","")</f>
        <v/>
      </c>
      <c r="D188" s="113" t="s">
        <v>87</v>
      </c>
      <c r="E188" s="109" t="s">
        <v>140</v>
      </c>
      <c r="F188" s="109">
        <v>700</v>
      </c>
      <c r="G188" s="109" t="s">
        <v>1957</v>
      </c>
      <c r="H188" s="111"/>
      <c r="I188" s="111"/>
      <c r="J188" s="111"/>
      <c r="K188" s="111"/>
      <c r="L188" s="111"/>
      <c r="M188" s="109" t="s">
        <v>1258</v>
      </c>
      <c r="N188" s="109"/>
      <c r="O188" s="109"/>
      <c r="P188" s="109"/>
      <c r="Q188" s="109" t="s">
        <v>1264</v>
      </c>
      <c r="R188" s="110">
        <v>45603</v>
      </c>
      <c r="S188" s="110" t="s">
        <v>11</v>
      </c>
      <c r="T188" s="116" t="str">
        <f ca="1">IF(AND('Inserimento dati'!$B$3=$H$2, Tabella3[[#This Row],[LUN]]="X"), "X",IF(AND('Inserimento dati'!$B$3=$I$2, Tabella3[[#This Row],[MAR]]="X"), "X", IF(AND('Inserimento dati'!$B$3=$J$2, Tabella3[[#This Row],[MER]]="X"), "X",IF(AND('Inserimento dati'!$B$3=$K$2, Tabella3[[#This Row],[GIO]]="X"), "X", IF(AND('Inserimento dati'!$B$3=$L$2, Tabella3[[#This Row],[VEN]]="X"), "X","")))))</f>
        <v/>
      </c>
      <c r="U188" s="143" t="str">
        <f t="shared" ca="1" si="7"/>
        <v/>
      </c>
      <c r="V188" s="187">
        <v>45930.833333333336</v>
      </c>
    </row>
    <row r="189" spans="1:22" s="19" customFormat="1" ht="30" x14ac:dyDescent="0.2">
      <c r="A189" s="112"/>
      <c r="B189" s="112" t="str">
        <f t="shared" si="9"/>
        <v>X</v>
      </c>
      <c r="C189" s="112" t="str">
        <f>IF(OR(Tabella3[[#This Row],[LUN]]="X",Tabella3[[#This Row],[MAR]]="X",Tabella3[[#This Row],[MER]]="X",Tabella3[[#This Row],[GIO]]="X",Tabella3[[#This Row],[VEN]]="X",),"X","")</f>
        <v/>
      </c>
      <c r="D189" s="113" t="s">
        <v>87</v>
      </c>
      <c r="E189" s="109" t="s">
        <v>142</v>
      </c>
      <c r="F189" s="109">
        <v>1800</v>
      </c>
      <c r="G189" s="109" t="s">
        <v>1958</v>
      </c>
      <c r="H189" s="111"/>
      <c r="I189" s="111"/>
      <c r="J189" s="111"/>
      <c r="K189" s="111"/>
      <c r="L189" s="111"/>
      <c r="M189" s="109" t="s">
        <v>1258</v>
      </c>
      <c r="N189" s="109"/>
      <c r="O189" s="109"/>
      <c r="P189" s="109"/>
      <c r="Q189" s="109" t="s">
        <v>1264</v>
      </c>
      <c r="R189" s="110">
        <v>45600</v>
      </c>
      <c r="S189" s="110" t="s">
        <v>102</v>
      </c>
      <c r="T189" s="116" t="str">
        <f ca="1">IF(AND('Inserimento dati'!$B$3=$H$2, Tabella3[[#This Row],[LUN]]="X"), "X",IF(AND('Inserimento dati'!$B$3=$I$2, Tabella3[[#This Row],[MAR]]="X"), "X", IF(AND('Inserimento dati'!$B$3=$J$2, Tabella3[[#This Row],[MER]]="X"), "X",IF(AND('Inserimento dati'!$B$3=$K$2, Tabella3[[#This Row],[GIO]]="X"), "X", IF(AND('Inserimento dati'!$B$3=$L$2, Tabella3[[#This Row],[VEN]]="X"), "X","")))))</f>
        <v/>
      </c>
      <c r="U189" s="143" t="str">
        <f t="shared" ca="1" si="7"/>
        <v/>
      </c>
      <c r="V189" s="187">
        <v>45930.833333333336</v>
      </c>
    </row>
    <row r="190" spans="1:22" s="19" customFormat="1" ht="30" x14ac:dyDescent="0.2">
      <c r="A190" s="112"/>
      <c r="B190" s="112" t="str">
        <f t="shared" si="9"/>
        <v>X</v>
      </c>
      <c r="C190" s="112" t="str">
        <f>IF(OR(Tabella3[[#This Row],[LUN]]="X",Tabella3[[#This Row],[MAR]]="X",Tabella3[[#This Row],[MER]]="X",Tabella3[[#This Row],[GIO]]="X",Tabella3[[#This Row],[VEN]]="X",),"X","")</f>
        <v/>
      </c>
      <c r="D190" s="113" t="s">
        <v>87</v>
      </c>
      <c r="E190" s="109" t="s">
        <v>143</v>
      </c>
      <c r="F190" s="109">
        <v>700</v>
      </c>
      <c r="G190" s="109" t="s">
        <v>1959</v>
      </c>
      <c r="H190" s="111"/>
      <c r="I190" s="111"/>
      <c r="J190" s="111"/>
      <c r="K190" s="111"/>
      <c r="L190" s="111"/>
      <c r="M190" s="109" t="s">
        <v>1258</v>
      </c>
      <c r="N190" s="109"/>
      <c r="O190" s="109"/>
      <c r="P190" s="109"/>
      <c r="Q190" s="109" t="s">
        <v>144</v>
      </c>
      <c r="R190" s="110">
        <v>45600</v>
      </c>
      <c r="S190" s="110" t="s">
        <v>102</v>
      </c>
      <c r="T190" s="116" t="str">
        <f ca="1">IF(AND('Inserimento dati'!$B$3=$H$2, Tabella3[[#This Row],[LUN]]="X"), "X",IF(AND('Inserimento dati'!$B$3=$I$2, Tabella3[[#This Row],[MAR]]="X"), "X", IF(AND('Inserimento dati'!$B$3=$J$2, Tabella3[[#This Row],[MER]]="X"), "X",IF(AND('Inserimento dati'!$B$3=$K$2, Tabella3[[#This Row],[GIO]]="X"), "X", IF(AND('Inserimento dati'!$B$3=$L$2, Tabella3[[#This Row],[VEN]]="X"), "X","")))))</f>
        <v/>
      </c>
      <c r="U190" s="143" t="str">
        <f t="shared" ca="1" si="7"/>
        <v/>
      </c>
      <c r="V190" s="187">
        <v>45930.833333333336</v>
      </c>
    </row>
    <row r="191" spans="1:22" s="19" customFormat="1" ht="23.25" x14ac:dyDescent="0.2">
      <c r="A191" s="112"/>
      <c r="B191" s="112" t="str">
        <f t="shared" si="9"/>
        <v>X</v>
      </c>
      <c r="C191" s="112" t="str">
        <f>IF(OR(Tabella3[[#This Row],[LUN]]="X",Tabella3[[#This Row],[MAR]]="X",Tabella3[[#This Row],[MER]]="X",Tabella3[[#This Row],[GIO]]="X",Tabella3[[#This Row],[VEN]]="X",),"X","")</f>
        <v/>
      </c>
      <c r="D191" s="113" t="s">
        <v>87</v>
      </c>
      <c r="E191" s="109" t="s">
        <v>145</v>
      </c>
      <c r="F191" s="109">
        <v>700</v>
      </c>
      <c r="G191" s="109" t="s">
        <v>1960</v>
      </c>
      <c r="H191" s="111"/>
      <c r="I191" s="111"/>
      <c r="J191" s="111"/>
      <c r="K191" s="111"/>
      <c r="L191" s="111"/>
      <c r="M191" s="109" t="s">
        <v>1258</v>
      </c>
      <c r="N191" s="109"/>
      <c r="O191" s="109"/>
      <c r="P191" s="109"/>
      <c r="Q191" s="109" t="s">
        <v>146</v>
      </c>
      <c r="R191" s="110">
        <v>45598</v>
      </c>
      <c r="S191" s="110" t="s">
        <v>147</v>
      </c>
      <c r="T191" s="116" t="str">
        <f ca="1">IF(AND('Inserimento dati'!$B$3=$H$2, Tabella3[[#This Row],[LUN]]="X"), "X",IF(AND('Inserimento dati'!$B$3=$I$2, Tabella3[[#This Row],[MAR]]="X"), "X", IF(AND('Inserimento dati'!$B$3=$J$2, Tabella3[[#This Row],[MER]]="X"), "X",IF(AND('Inserimento dati'!$B$3=$K$2, Tabella3[[#This Row],[GIO]]="X"), "X", IF(AND('Inserimento dati'!$B$3=$L$2, Tabella3[[#This Row],[VEN]]="X"), "X","")))))</f>
        <v/>
      </c>
      <c r="U191" s="143" t="str">
        <f t="shared" ca="1" si="7"/>
        <v/>
      </c>
      <c r="V191" s="187">
        <v>45930.833333333336</v>
      </c>
    </row>
    <row r="192" spans="1:22" s="19" customFormat="1" ht="30" x14ac:dyDescent="0.2">
      <c r="A192" s="112"/>
      <c r="B192" s="112" t="str">
        <f t="shared" si="9"/>
        <v>X</v>
      </c>
      <c r="C192" s="112" t="str">
        <f>IF(OR(Tabella3[[#This Row],[LUN]]="X",Tabella3[[#This Row],[MAR]]="X",Tabella3[[#This Row],[MER]]="X",Tabella3[[#This Row],[GIO]]="X",Tabella3[[#This Row],[VEN]]="X",),"X","")</f>
        <v/>
      </c>
      <c r="D192" s="113" t="s">
        <v>87</v>
      </c>
      <c r="E192" s="109" t="s">
        <v>148</v>
      </c>
      <c r="F192" s="109">
        <v>700</v>
      </c>
      <c r="G192" s="109" t="s">
        <v>1961</v>
      </c>
      <c r="H192" s="111"/>
      <c r="I192" s="111"/>
      <c r="J192" s="111"/>
      <c r="K192" s="111"/>
      <c r="L192" s="111"/>
      <c r="M192" s="109" t="s">
        <v>1258</v>
      </c>
      <c r="N192" s="109"/>
      <c r="O192" s="109"/>
      <c r="P192" s="109"/>
      <c r="Q192" s="109" t="s">
        <v>149</v>
      </c>
      <c r="R192" s="110">
        <v>45593</v>
      </c>
      <c r="S192" s="110" t="s">
        <v>150</v>
      </c>
      <c r="T192" s="116" t="str">
        <f ca="1">IF(AND('Inserimento dati'!$B$3=$H$2, Tabella3[[#This Row],[LUN]]="X"), "X",IF(AND('Inserimento dati'!$B$3=$I$2, Tabella3[[#This Row],[MAR]]="X"), "X", IF(AND('Inserimento dati'!$B$3=$J$2, Tabella3[[#This Row],[MER]]="X"), "X",IF(AND('Inserimento dati'!$B$3=$K$2, Tabella3[[#This Row],[GIO]]="X"), "X", IF(AND('Inserimento dati'!$B$3=$L$2, Tabella3[[#This Row],[VEN]]="X"), "X","")))))</f>
        <v/>
      </c>
      <c r="U192" s="143" t="str">
        <f t="shared" ca="1" si="7"/>
        <v/>
      </c>
      <c r="V192" s="187">
        <v>45930.833333333336</v>
      </c>
    </row>
    <row r="193" spans="1:22" s="19" customFormat="1" ht="30" x14ac:dyDescent="0.2">
      <c r="A193" s="112"/>
      <c r="B193" s="112" t="str">
        <f t="shared" si="9"/>
        <v>X</v>
      </c>
      <c r="C193" s="112" t="str">
        <f>IF(OR(Tabella3[[#This Row],[LUN]]="X",Tabella3[[#This Row],[MAR]]="X",Tabella3[[#This Row],[MER]]="X",Tabella3[[#This Row],[GIO]]="X",Tabella3[[#This Row],[VEN]]="X",),"X","")</f>
        <v/>
      </c>
      <c r="D193" s="113" t="s">
        <v>87</v>
      </c>
      <c r="E193" s="109" t="s">
        <v>151</v>
      </c>
      <c r="F193" s="109">
        <v>1400</v>
      </c>
      <c r="G193" s="109" t="s">
        <v>1962</v>
      </c>
      <c r="H193" s="111"/>
      <c r="I193" s="111"/>
      <c r="J193" s="111"/>
      <c r="K193" s="111"/>
      <c r="L193" s="111"/>
      <c r="M193" s="109" t="s">
        <v>1258</v>
      </c>
      <c r="N193" s="109"/>
      <c r="O193" s="109"/>
      <c r="P193" s="109"/>
      <c r="Q193" s="109" t="s">
        <v>152</v>
      </c>
      <c r="R193" s="110">
        <v>45600</v>
      </c>
      <c r="S193" s="110" t="s">
        <v>50</v>
      </c>
      <c r="T193" s="116" t="str">
        <f ca="1">IF(AND('Inserimento dati'!$B$3=$H$2, Tabella3[[#This Row],[LUN]]="X"), "X",IF(AND('Inserimento dati'!$B$3=$I$2, Tabella3[[#This Row],[MAR]]="X"), "X", IF(AND('Inserimento dati'!$B$3=$J$2, Tabella3[[#This Row],[MER]]="X"), "X",IF(AND('Inserimento dati'!$B$3=$K$2, Tabella3[[#This Row],[GIO]]="X"), "X", IF(AND('Inserimento dati'!$B$3=$L$2, Tabella3[[#This Row],[VEN]]="X"), "X","")))))</f>
        <v/>
      </c>
      <c r="U193" s="143" t="str">
        <f t="shared" ca="1" si="7"/>
        <v/>
      </c>
      <c r="V193" s="187">
        <v>45930.833333333336</v>
      </c>
    </row>
    <row r="194" spans="1:22" s="19" customFormat="1" ht="30" x14ac:dyDescent="0.2">
      <c r="A194" s="112"/>
      <c r="B194" s="112" t="str">
        <f t="shared" si="9"/>
        <v>X</v>
      </c>
      <c r="C194" s="112" t="str">
        <f>IF(OR(Tabella3[[#This Row],[LUN]]="X",Tabella3[[#This Row],[MAR]]="X",Tabella3[[#This Row],[MER]]="X",Tabella3[[#This Row],[GIO]]="X",Tabella3[[#This Row],[VEN]]="X",),"X","")</f>
        <v/>
      </c>
      <c r="D194" s="113" t="s">
        <v>87</v>
      </c>
      <c r="E194" s="109" t="s">
        <v>153</v>
      </c>
      <c r="F194" s="109">
        <v>1800</v>
      </c>
      <c r="G194" s="109" t="s">
        <v>1963</v>
      </c>
      <c r="H194" s="111"/>
      <c r="I194" s="111"/>
      <c r="J194" s="111"/>
      <c r="K194" s="111"/>
      <c r="L194" s="111"/>
      <c r="M194" s="109" t="s">
        <v>1258</v>
      </c>
      <c r="N194" s="109"/>
      <c r="O194" s="109"/>
      <c r="P194" s="109"/>
      <c r="Q194" s="109" t="s">
        <v>154</v>
      </c>
      <c r="R194" s="110">
        <v>45600</v>
      </c>
      <c r="S194" s="110" t="s">
        <v>50</v>
      </c>
      <c r="T194" s="116" t="str">
        <f ca="1">IF(AND('Inserimento dati'!$B$3=$H$2, Tabella3[[#This Row],[LUN]]="X"), "X",IF(AND('Inserimento dati'!$B$3=$I$2, Tabella3[[#This Row],[MAR]]="X"), "X", IF(AND('Inserimento dati'!$B$3=$J$2, Tabella3[[#This Row],[MER]]="X"), "X",IF(AND('Inserimento dati'!$B$3=$K$2, Tabella3[[#This Row],[GIO]]="X"), "X", IF(AND('Inserimento dati'!$B$3=$L$2, Tabella3[[#This Row],[VEN]]="X"), "X","")))))</f>
        <v/>
      </c>
      <c r="U194" s="143" t="str">
        <f t="shared" ca="1" si="7"/>
        <v/>
      </c>
      <c r="V194" s="187">
        <v>45930.833333333336</v>
      </c>
    </row>
    <row r="195" spans="1:22" s="19" customFormat="1" ht="30" x14ac:dyDescent="0.2">
      <c r="A195" s="112"/>
      <c r="B195" s="112" t="str">
        <f t="shared" si="9"/>
        <v>X</v>
      </c>
      <c r="C195" s="112" t="str">
        <f>IF(OR(Tabella3[[#This Row],[LUN]]="X",Tabella3[[#This Row],[MAR]]="X",Tabella3[[#This Row],[MER]]="X",Tabella3[[#This Row],[GIO]]="X",Tabella3[[#This Row],[VEN]]="X",),"X","")</f>
        <v/>
      </c>
      <c r="D195" s="113" t="s">
        <v>87</v>
      </c>
      <c r="E195" s="109" t="s">
        <v>155</v>
      </c>
      <c r="F195" s="109">
        <v>1100</v>
      </c>
      <c r="G195" s="109" t="s">
        <v>1964</v>
      </c>
      <c r="H195" s="111"/>
      <c r="I195" s="111"/>
      <c r="J195" s="111"/>
      <c r="K195" s="111"/>
      <c r="L195" s="111"/>
      <c r="M195" s="109" t="s">
        <v>1258</v>
      </c>
      <c r="N195" s="109"/>
      <c r="O195" s="109"/>
      <c r="P195" s="109"/>
      <c r="Q195" s="109" t="s">
        <v>156</v>
      </c>
      <c r="R195" s="110">
        <v>45601</v>
      </c>
      <c r="S195" s="110" t="s">
        <v>102</v>
      </c>
      <c r="T195" s="116" t="str">
        <f ca="1">IF(AND('Inserimento dati'!$B$3=$H$2, Tabella3[[#This Row],[LUN]]="X"), "X",IF(AND('Inserimento dati'!$B$3=$I$2, Tabella3[[#This Row],[MAR]]="X"), "X", IF(AND('Inserimento dati'!$B$3=$J$2, Tabella3[[#This Row],[MER]]="X"), "X",IF(AND('Inserimento dati'!$B$3=$K$2, Tabella3[[#This Row],[GIO]]="X"), "X", IF(AND('Inserimento dati'!$B$3=$L$2, Tabella3[[#This Row],[VEN]]="X"), "X","")))))</f>
        <v/>
      </c>
      <c r="U195" s="143" t="str">
        <f t="shared" ca="1" si="7"/>
        <v/>
      </c>
      <c r="V195" s="187">
        <v>45930.833333333336</v>
      </c>
    </row>
    <row r="196" spans="1:22" s="19" customFormat="1" ht="30" x14ac:dyDescent="0.2">
      <c r="A196" s="112"/>
      <c r="B196" s="112" t="str">
        <f t="shared" si="9"/>
        <v>X</v>
      </c>
      <c r="C196" s="112" t="str">
        <f>IF(OR(Tabella3[[#This Row],[LUN]]="X",Tabella3[[#This Row],[MAR]]="X",Tabella3[[#This Row],[MER]]="X",Tabella3[[#This Row],[GIO]]="X",Tabella3[[#This Row],[VEN]]="X",),"X","")</f>
        <v/>
      </c>
      <c r="D196" s="113" t="s">
        <v>87</v>
      </c>
      <c r="E196" s="109" t="s">
        <v>157</v>
      </c>
      <c r="F196" s="109" t="s">
        <v>88</v>
      </c>
      <c r="G196" s="109" t="s">
        <v>1965</v>
      </c>
      <c r="H196" s="111"/>
      <c r="I196" s="111"/>
      <c r="J196" s="111"/>
      <c r="K196" s="111"/>
      <c r="L196" s="111"/>
      <c r="M196" s="109" t="s">
        <v>1258</v>
      </c>
      <c r="N196" s="109"/>
      <c r="O196" s="109"/>
      <c r="P196" s="109"/>
      <c r="Q196" s="109" t="s">
        <v>1264</v>
      </c>
      <c r="R196" s="110">
        <v>45598</v>
      </c>
      <c r="S196" s="110" t="s">
        <v>150</v>
      </c>
      <c r="T196" s="116" t="str">
        <f ca="1">IF(AND('Inserimento dati'!$B$3=$H$2, Tabella3[[#This Row],[LUN]]="X"), "X",IF(AND('Inserimento dati'!$B$3=$I$2, Tabella3[[#This Row],[MAR]]="X"), "X", IF(AND('Inserimento dati'!$B$3=$J$2, Tabella3[[#This Row],[MER]]="X"), "X",IF(AND('Inserimento dati'!$B$3=$K$2, Tabella3[[#This Row],[GIO]]="X"), "X", IF(AND('Inserimento dati'!$B$3=$L$2, Tabella3[[#This Row],[VEN]]="X"), "X","")))))</f>
        <v/>
      </c>
      <c r="U196" s="143" t="str">
        <f t="shared" ca="1" si="7"/>
        <v/>
      </c>
      <c r="V196" s="187">
        <v>45930.833333333336</v>
      </c>
    </row>
    <row r="197" spans="1:22" s="19" customFormat="1" ht="23.25" x14ac:dyDescent="0.2">
      <c r="A197" s="112"/>
      <c r="B197" s="112" t="str">
        <f t="shared" si="9"/>
        <v>X</v>
      </c>
      <c r="C197" s="112" t="str">
        <f>IF(OR(Tabella3[[#This Row],[LUN]]="X",Tabella3[[#This Row],[MAR]]="X",Tabella3[[#This Row],[MER]]="X",Tabella3[[#This Row],[GIO]]="X",Tabella3[[#This Row],[VEN]]="X",),"X","")</f>
        <v/>
      </c>
      <c r="D197" s="113" t="s">
        <v>87</v>
      </c>
      <c r="E197" s="109" t="s">
        <v>1029</v>
      </c>
      <c r="F197" s="109" t="s">
        <v>114</v>
      </c>
      <c r="G197" s="109" t="s">
        <v>1966</v>
      </c>
      <c r="H197" s="111"/>
      <c r="I197" s="111"/>
      <c r="J197" s="111"/>
      <c r="K197" s="111"/>
      <c r="L197" s="111"/>
      <c r="M197" s="109" t="s">
        <v>1258</v>
      </c>
      <c r="N197" s="109"/>
      <c r="O197" s="109"/>
      <c r="P197" s="109"/>
      <c r="Q197" s="109" t="s">
        <v>1028</v>
      </c>
      <c r="R197" s="110">
        <v>45743</v>
      </c>
      <c r="S197" s="109" t="s">
        <v>203</v>
      </c>
      <c r="T197" s="116" t="str">
        <f ca="1">IF(AND('Inserimento dati'!$B$3=$H$2, Tabella3[[#This Row],[LUN]]="X"), "X",IF(AND('Inserimento dati'!$B$3=$I$2, Tabella3[[#This Row],[MAR]]="X"), "X", IF(AND('Inserimento dati'!$B$3=$J$2, Tabella3[[#This Row],[MER]]="X"), "X",IF(AND('Inserimento dati'!$B$3=$K$2, Tabella3[[#This Row],[GIO]]="X"), "X", IF(AND('Inserimento dati'!$B$3=$L$2, Tabella3[[#This Row],[VEN]]="X"), "X","")))))</f>
        <v/>
      </c>
      <c r="U197" s="143" t="str">
        <f t="shared" ref="U197:U260" ca="1" si="10">IFERROR(MID(G197,_xlfn.AGGREGATE(15,6,(ROW(INDIRECT("1:"&amp;LEN(G197)-7)))/(ISNUMBER(--MID(G197,ROW(INDIRECT("1:"&amp;LEN(G197)-7)),8))),1),8),"")</f>
        <v/>
      </c>
      <c r="V197" s="187">
        <v>45930.833333333336</v>
      </c>
    </row>
    <row r="198" spans="1:22" s="19" customFormat="1" ht="60" x14ac:dyDescent="0.2">
      <c r="A198" s="112"/>
      <c r="B198" s="112" t="str">
        <f t="shared" si="9"/>
        <v>X</v>
      </c>
      <c r="C198" s="112" t="str">
        <f>IF(OR(Tabella3[[#This Row],[LUN]]="X",Tabella3[[#This Row],[MAR]]="X",Tabella3[[#This Row],[MER]]="X",Tabella3[[#This Row],[GIO]]="X",Tabella3[[#This Row],[VEN]]="X",),"X","")</f>
        <v/>
      </c>
      <c r="D198" s="113" t="s">
        <v>87</v>
      </c>
      <c r="E198" s="109" t="s">
        <v>1129</v>
      </c>
      <c r="F198" s="109" t="s">
        <v>88</v>
      </c>
      <c r="G198" s="109" t="s">
        <v>1967</v>
      </c>
      <c r="H198" s="111"/>
      <c r="I198" s="111"/>
      <c r="J198" s="111"/>
      <c r="K198" s="111"/>
      <c r="L198" s="111"/>
      <c r="M198" s="109" t="s">
        <v>1258</v>
      </c>
      <c r="N198" s="109"/>
      <c r="O198" s="109"/>
      <c r="P198" s="109"/>
      <c r="Q198" s="109" t="s">
        <v>1281</v>
      </c>
      <c r="R198" s="110">
        <v>45784</v>
      </c>
      <c r="S198" s="109" t="s">
        <v>50</v>
      </c>
      <c r="T198" s="116" t="str">
        <f ca="1">IF(AND('Inserimento dati'!$B$3=$H$2, Tabella3[[#This Row],[LUN]]="X"), "X",IF(AND('Inserimento dati'!$B$3=$I$2, Tabella3[[#This Row],[MAR]]="X"), "X", IF(AND('Inserimento dati'!$B$3=$J$2, Tabella3[[#This Row],[MER]]="X"), "X",IF(AND('Inserimento dati'!$B$3=$K$2, Tabella3[[#This Row],[GIO]]="X"), "X", IF(AND('Inserimento dati'!$B$3=$L$2, Tabella3[[#This Row],[VEN]]="X"), "X","")))))</f>
        <v/>
      </c>
      <c r="U198" s="143" t="str">
        <f t="shared" ca="1" si="10"/>
        <v xml:space="preserve"> 1022221</v>
      </c>
      <c r="V198" s="187">
        <v>45930.833333333336</v>
      </c>
    </row>
    <row r="199" spans="1:22" s="19" customFormat="1" ht="23.25" x14ac:dyDescent="0.2">
      <c r="A199" s="112"/>
      <c r="B199" s="112" t="str">
        <f t="shared" si="9"/>
        <v>X</v>
      </c>
      <c r="C199" s="112" t="str">
        <f>IF(OR(Tabella3[[#This Row],[LUN]]="X",Tabella3[[#This Row],[MAR]]="X",Tabella3[[#This Row],[MER]]="X",Tabella3[[#This Row],[GIO]]="X",Tabella3[[#This Row],[VEN]]="X",),"X","")</f>
        <v/>
      </c>
      <c r="D199" s="113" t="s">
        <v>87</v>
      </c>
      <c r="E199" s="109" t="s">
        <v>1326</v>
      </c>
      <c r="F199" s="109" t="s">
        <v>114</v>
      </c>
      <c r="G199" s="109" t="s">
        <v>1968</v>
      </c>
      <c r="H199" s="111"/>
      <c r="I199" s="111"/>
      <c r="J199" s="111"/>
      <c r="K199" s="111"/>
      <c r="L199" s="111"/>
      <c r="M199" s="109" t="s">
        <v>1258</v>
      </c>
      <c r="N199" s="109"/>
      <c r="O199" s="109"/>
      <c r="P199" s="109"/>
      <c r="Q199" s="109"/>
      <c r="R199" s="110"/>
      <c r="S199" s="109"/>
      <c r="T199" s="69" t="str">
        <f ca="1">IF(AND('Inserimento dati'!$B$3=$H$2, Tabella3[[#This Row],[LUN]]="X"), "X",IF(AND('Inserimento dati'!$B$3=$I$2, Tabella3[[#This Row],[MAR]]="X"), "X", IF(AND('Inserimento dati'!$B$3=$J$2, Tabella3[[#This Row],[MER]]="X"), "X",IF(AND('Inserimento dati'!$B$3=$K$2, Tabella3[[#This Row],[GIO]]="X"), "X", IF(AND('Inserimento dati'!$B$3=$L$2, Tabella3[[#This Row],[VEN]]="X"), "X","")))))</f>
        <v/>
      </c>
      <c r="U199" s="143" t="str">
        <f t="shared" ca="1" si="10"/>
        <v/>
      </c>
      <c r="V199" s="187">
        <v>45930.833333333336</v>
      </c>
    </row>
    <row r="200" spans="1:22" s="19" customFormat="1" ht="30" x14ac:dyDescent="0.2">
      <c r="A200" s="112"/>
      <c r="B200" s="112" t="str">
        <f t="shared" si="9"/>
        <v>X</v>
      </c>
      <c r="C200" s="112" t="str">
        <f>IF(OR(Tabella3[[#This Row],[LUN]]="X",Tabella3[[#This Row],[MAR]]="X",Tabella3[[#This Row],[MER]]="X",Tabella3[[#This Row],[GIO]]="X",Tabella3[[#This Row],[VEN]]="X",),"X","")</f>
        <v/>
      </c>
      <c r="D200" s="113" t="s">
        <v>87</v>
      </c>
      <c r="E200" s="109" t="s">
        <v>927</v>
      </c>
      <c r="F200" s="109">
        <v>1100</v>
      </c>
      <c r="G200" s="109" t="s">
        <v>1969</v>
      </c>
      <c r="H200" s="111"/>
      <c r="I200" s="111"/>
      <c r="J200" s="111"/>
      <c r="K200" s="111"/>
      <c r="L200" s="111"/>
      <c r="M200" s="109" t="s">
        <v>1258</v>
      </c>
      <c r="N200" s="109"/>
      <c r="O200" s="109"/>
      <c r="P200" s="109"/>
      <c r="Q200" s="109" t="s">
        <v>1353</v>
      </c>
      <c r="R200" s="110">
        <v>45775</v>
      </c>
      <c r="S200" s="109" t="s">
        <v>1189</v>
      </c>
      <c r="T200" s="116" t="str">
        <f ca="1">IF(AND('Inserimento dati'!$B$3=$H$2, Tabella3[[#This Row],[LUN]]="X"), "X",IF(AND('Inserimento dati'!$B$3=$I$2, Tabella3[[#This Row],[MAR]]="X"), "X", IF(AND('Inserimento dati'!$B$3=$J$2, Tabella3[[#This Row],[MER]]="X"), "X",IF(AND('Inserimento dati'!$B$3=$K$2, Tabella3[[#This Row],[GIO]]="X"), "X", IF(AND('Inserimento dati'!$B$3=$L$2, Tabella3[[#This Row],[VEN]]="X"), "X","")))))</f>
        <v/>
      </c>
      <c r="U200" s="143" t="str">
        <f t="shared" ca="1" si="10"/>
        <v xml:space="preserve"> 1021801</v>
      </c>
      <c r="V200" s="187">
        <v>45930.833333333336</v>
      </c>
    </row>
    <row r="201" spans="1:22" s="19" customFormat="1" ht="45" x14ac:dyDescent="0.2">
      <c r="A201" s="112"/>
      <c r="B201" s="112" t="str">
        <f t="shared" si="9"/>
        <v>X</v>
      </c>
      <c r="C201" s="112" t="str">
        <f>IF(OR(Tabella3[[#This Row],[LUN]]="X",Tabella3[[#This Row],[MAR]]="X",Tabella3[[#This Row],[MER]]="X",Tabella3[[#This Row],[GIO]]="X",Tabella3[[#This Row],[VEN]]="X",),"X","")</f>
        <v/>
      </c>
      <c r="D201" s="113" t="s">
        <v>87</v>
      </c>
      <c r="E201" s="113" t="s">
        <v>1303</v>
      </c>
      <c r="F201" s="109">
        <v>1800</v>
      </c>
      <c r="G201" s="109" t="s">
        <v>1970</v>
      </c>
      <c r="H201" s="111"/>
      <c r="I201" s="111"/>
      <c r="J201" s="111"/>
      <c r="K201" s="111"/>
      <c r="L201" s="111"/>
      <c r="M201" s="109" t="s">
        <v>1258</v>
      </c>
      <c r="N201" s="109"/>
      <c r="O201" s="109"/>
      <c r="P201" s="109"/>
      <c r="Q201" s="109" t="s">
        <v>1372</v>
      </c>
      <c r="R201" s="110">
        <v>45791</v>
      </c>
      <c r="S201" s="109" t="s">
        <v>239</v>
      </c>
      <c r="T201" s="116" t="str">
        <f ca="1">IF(AND('Inserimento dati'!$B$3=$H$2, Tabella3[[#This Row],[LUN]]="X"), "X",IF(AND('Inserimento dati'!$B$3=$I$2, Tabella3[[#This Row],[MAR]]="X"), "X", IF(AND('Inserimento dati'!$B$3=$J$2, Tabella3[[#This Row],[MER]]="X"), "X",IF(AND('Inserimento dati'!$B$3=$K$2, Tabella3[[#This Row],[GIO]]="X"), "X", IF(AND('Inserimento dati'!$B$3=$L$2, Tabella3[[#This Row],[VEN]]="X"), "X","")))))</f>
        <v/>
      </c>
      <c r="U201" s="143" t="str">
        <f t="shared" ca="1" si="10"/>
        <v>10218265</v>
      </c>
      <c r="V201" s="187">
        <v>45930.833333333336</v>
      </c>
    </row>
    <row r="202" spans="1:22" s="19" customFormat="1" ht="23.25" x14ac:dyDescent="0.2">
      <c r="A202" s="112"/>
      <c r="B202" s="112" t="str">
        <f t="shared" ref="B202:B208" si="11">IF(OR(A202="x",A202="X"),"",IF(ISBLANK(A202),"X",""))</f>
        <v>X</v>
      </c>
      <c r="C202" s="112" t="str">
        <f>IF(OR(Tabella3[[#This Row],[LUN]]="X",Tabella3[[#This Row],[MAR]]="X",Tabella3[[#This Row],[MER]]="X",Tabella3[[#This Row],[GIO]]="X",Tabella3[[#This Row],[VEN]]="X",),"X","")</f>
        <v/>
      </c>
      <c r="D202" s="113" t="s">
        <v>87</v>
      </c>
      <c r="E202" s="109" t="s">
        <v>1334</v>
      </c>
      <c r="F202" s="109">
        <v>800</v>
      </c>
      <c r="G202" s="109" t="s">
        <v>1971</v>
      </c>
      <c r="H202" s="111"/>
      <c r="I202" s="111"/>
      <c r="J202" s="111"/>
      <c r="K202" s="111"/>
      <c r="L202" s="111"/>
      <c r="M202" s="109" t="s">
        <v>1258</v>
      </c>
      <c r="N202" s="109"/>
      <c r="O202" s="109"/>
      <c r="P202" s="109"/>
      <c r="Q202" s="109" t="s">
        <v>1374</v>
      </c>
      <c r="R202" s="110">
        <v>45790</v>
      </c>
      <c r="S202" s="109" t="s">
        <v>211</v>
      </c>
      <c r="T202" s="69" t="str">
        <f ca="1">IF(AND('Inserimento dati'!$B$3=$H$2, Tabella3[[#This Row],[LUN]]="X"), "X",IF(AND('Inserimento dati'!$B$3=$I$2, Tabella3[[#This Row],[MAR]]="X"), "X", IF(AND('Inserimento dati'!$B$3=$J$2, Tabella3[[#This Row],[MER]]="X"), "X",IF(AND('Inserimento dati'!$B$3=$K$2, Tabella3[[#This Row],[GIO]]="X"), "X", IF(AND('Inserimento dati'!$B$3=$L$2, Tabella3[[#This Row],[VEN]]="X"), "X","")))))</f>
        <v/>
      </c>
      <c r="U202" s="143" t="str">
        <f t="shared" ca="1" si="10"/>
        <v/>
      </c>
      <c r="V202" s="187">
        <v>45930.833333333336</v>
      </c>
    </row>
    <row r="203" spans="1:22" s="19" customFormat="1" ht="23.25" x14ac:dyDescent="0.2">
      <c r="A203" s="112"/>
      <c r="B203" s="112" t="str">
        <f t="shared" si="11"/>
        <v>X</v>
      </c>
      <c r="C203" s="112" t="str">
        <f>IF(OR(Tabella3[[#This Row],[LUN]]="X",Tabella3[[#This Row],[MAR]]="X",Tabella3[[#This Row],[MER]]="X",Tabella3[[#This Row],[GIO]]="X",Tabella3[[#This Row],[VEN]]="X",),"X","")</f>
        <v/>
      </c>
      <c r="D203" s="113" t="s">
        <v>87</v>
      </c>
      <c r="E203" s="109" t="s">
        <v>1356</v>
      </c>
      <c r="F203" s="109" t="s">
        <v>114</v>
      </c>
      <c r="G203" s="109" t="s">
        <v>1972</v>
      </c>
      <c r="H203" s="111"/>
      <c r="I203" s="111"/>
      <c r="J203" s="111"/>
      <c r="K203" s="111"/>
      <c r="L203" s="111"/>
      <c r="M203" s="109" t="s">
        <v>1258</v>
      </c>
      <c r="N203" s="110"/>
      <c r="O203" s="109"/>
      <c r="P203" s="109"/>
      <c r="Q203" s="109" t="s">
        <v>1372</v>
      </c>
      <c r="R203" s="110">
        <v>45791</v>
      </c>
      <c r="S203" s="109" t="s">
        <v>239</v>
      </c>
      <c r="T203" s="114" t="str">
        <f ca="1">IF(AND('Inserimento dati'!$B$3=$H$2, Tabella3[[#This Row],[LUN]]="X"), "X",IF(AND('Inserimento dati'!$B$3=$I$2, Tabella3[[#This Row],[MAR]]="X"), "X", IF(AND('Inserimento dati'!$B$3=$J$2, Tabella3[[#This Row],[MER]]="X"), "X",IF(AND('Inserimento dati'!$B$3=$K$2, Tabella3[[#This Row],[GIO]]="X"), "X", IF(AND('Inserimento dati'!$B$3=$L$2, Tabella3[[#This Row],[VEN]]="X"), "X","")))))</f>
        <v/>
      </c>
      <c r="U203" s="143" t="str">
        <f t="shared" ca="1" si="10"/>
        <v>10223752</v>
      </c>
      <c r="V203" s="187">
        <v>45930.833333333336</v>
      </c>
    </row>
    <row r="204" spans="1:22" s="19" customFormat="1" ht="23.25" x14ac:dyDescent="0.2">
      <c r="A204" s="112"/>
      <c r="B204" s="112" t="str">
        <f t="shared" si="11"/>
        <v>X</v>
      </c>
      <c r="C204" s="112" t="str">
        <f>IF(OR(Tabella3[[#This Row],[LUN]]="X",Tabella3[[#This Row],[MAR]]="X",Tabella3[[#This Row],[MER]]="X",Tabella3[[#This Row],[GIO]]="X",Tabella3[[#This Row],[VEN]]="X",),"X","")</f>
        <v/>
      </c>
      <c r="D204" s="113" t="s">
        <v>87</v>
      </c>
      <c r="E204" s="109" t="s">
        <v>1359</v>
      </c>
      <c r="F204" s="109" t="s">
        <v>114</v>
      </c>
      <c r="G204" s="109" t="s">
        <v>1973</v>
      </c>
      <c r="H204" s="111"/>
      <c r="I204" s="111"/>
      <c r="J204" s="111"/>
      <c r="K204" s="111"/>
      <c r="L204" s="111"/>
      <c r="M204" s="109" t="s">
        <v>1258</v>
      </c>
      <c r="N204" s="110"/>
      <c r="O204" s="109"/>
      <c r="P204" s="109"/>
      <c r="Q204" s="109" t="s">
        <v>1372</v>
      </c>
      <c r="R204" s="110">
        <v>45791</v>
      </c>
      <c r="S204" s="109" t="s">
        <v>239</v>
      </c>
      <c r="T204" s="114" t="str">
        <f ca="1">IF(AND('Inserimento dati'!$B$3=$H$2, Tabella3[[#This Row],[LUN]]="X"), "X",IF(AND('Inserimento dati'!$B$3=$I$2, Tabella3[[#This Row],[MAR]]="X"), "X", IF(AND('Inserimento dati'!$B$3=$J$2, Tabella3[[#This Row],[MER]]="X"), "X",IF(AND('Inserimento dati'!$B$3=$K$2, Tabella3[[#This Row],[GIO]]="X"), "X", IF(AND('Inserimento dati'!$B$3=$L$2, Tabella3[[#This Row],[VEN]]="X"), "X","")))))</f>
        <v/>
      </c>
      <c r="U204" s="143" t="str">
        <f t="shared" ca="1" si="10"/>
        <v>10223751</v>
      </c>
      <c r="V204" s="187">
        <v>45930.833333333336</v>
      </c>
    </row>
    <row r="205" spans="1:22" s="19" customFormat="1" ht="23.25" x14ac:dyDescent="0.2">
      <c r="A205" s="112"/>
      <c r="B205" s="112" t="str">
        <f t="shared" si="11"/>
        <v>X</v>
      </c>
      <c r="C205" s="112" t="str">
        <f>IF(OR(Tabella3[[#This Row],[LUN]]="X",Tabella3[[#This Row],[MAR]]="X",Tabella3[[#This Row],[MER]]="X",Tabella3[[#This Row],[GIO]]="X",Tabella3[[#This Row],[VEN]]="X",),"X","")</f>
        <v/>
      </c>
      <c r="D205" s="113" t="s">
        <v>87</v>
      </c>
      <c r="E205" s="109" t="s">
        <v>1360</v>
      </c>
      <c r="F205" s="109" t="s">
        <v>114</v>
      </c>
      <c r="G205" s="109" t="s">
        <v>1974</v>
      </c>
      <c r="H205" s="111"/>
      <c r="I205" s="111"/>
      <c r="J205" s="111"/>
      <c r="K205" s="111"/>
      <c r="L205" s="111"/>
      <c r="M205" s="109" t="s">
        <v>1258</v>
      </c>
      <c r="N205" s="109"/>
      <c r="O205" s="109"/>
      <c r="P205" s="109"/>
      <c r="Q205" s="109" t="s">
        <v>1372</v>
      </c>
      <c r="R205" s="110">
        <v>45791</v>
      </c>
      <c r="S205" s="109" t="s">
        <v>239</v>
      </c>
      <c r="T205" s="69" t="str">
        <f ca="1">IF(AND('Inserimento dati'!$B$3=$H$2, Tabella3[[#This Row],[LUN]]="X"), "X",IF(AND('Inserimento dati'!$B$3=$I$2, Tabella3[[#This Row],[MAR]]="X"), "X", IF(AND('Inserimento dati'!$B$3=$J$2, Tabella3[[#This Row],[MER]]="X"), "X",IF(AND('Inserimento dati'!$B$3=$K$2, Tabella3[[#This Row],[GIO]]="X"), "X", IF(AND('Inserimento dati'!$B$3=$L$2, Tabella3[[#This Row],[VEN]]="X"), "X","")))))</f>
        <v/>
      </c>
      <c r="U205" s="143" t="str">
        <f t="shared" ca="1" si="10"/>
        <v>10223749</v>
      </c>
      <c r="V205" s="187">
        <v>45930.833333333336</v>
      </c>
    </row>
    <row r="206" spans="1:22" s="19" customFormat="1" ht="30" x14ac:dyDescent="0.2">
      <c r="A206" s="112"/>
      <c r="B206" s="112" t="str">
        <f t="shared" si="11"/>
        <v>X</v>
      </c>
      <c r="C206" s="112" t="str">
        <f>IF(OR(Tabella3[[#This Row],[LUN]]="X",Tabella3[[#This Row],[MAR]]="X",Tabella3[[#This Row],[MER]]="X",Tabella3[[#This Row],[GIO]]="X",Tabella3[[#This Row],[VEN]]="X",),"X","")</f>
        <v/>
      </c>
      <c r="D206" s="113" t="s">
        <v>87</v>
      </c>
      <c r="E206" s="109" t="s">
        <v>1275</v>
      </c>
      <c r="F206" s="109" t="s">
        <v>112</v>
      </c>
      <c r="G206" s="109" t="s">
        <v>1975</v>
      </c>
      <c r="H206" s="111"/>
      <c r="I206" s="111"/>
      <c r="J206" s="111"/>
      <c r="K206" s="111"/>
      <c r="L206" s="111"/>
      <c r="M206" s="109" t="s">
        <v>1258</v>
      </c>
      <c r="N206" s="109"/>
      <c r="O206" s="109"/>
      <c r="P206" s="109"/>
      <c r="Q206" s="109"/>
      <c r="R206" s="110">
        <v>45785</v>
      </c>
      <c r="S206" s="109" t="s">
        <v>239</v>
      </c>
      <c r="T206" s="116" t="str">
        <f ca="1">IF(AND('Inserimento dati'!$B$3=$H$2, Tabella3[[#This Row],[LUN]]="X"), "X",IF(AND('Inserimento dati'!$B$3=$I$2, Tabella3[[#This Row],[MAR]]="X"), "X", IF(AND('Inserimento dati'!$B$3=$J$2, Tabella3[[#This Row],[MER]]="X"), "X",IF(AND('Inserimento dati'!$B$3=$K$2, Tabella3[[#This Row],[GIO]]="X"), "X", IF(AND('Inserimento dati'!$B$3=$L$2, Tabella3[[#This Row],[VEN]]="X"), "X","")))))</f>
        <v/>
      </c>
      <c r="U206" s="143" t="str">
        <f t="shared" ca="1" si="10"/>
        <v/>
      </c>
      <c r="V206" s="187">
        <v>45930.833333333336</v>
      </c>
    </row>
    <row r="207" spans="1:22" s="19" customFormat="1" ht="30" x14ac:dyDescent="0.2">
      <c r="A207" s="112"/>
      <c r="B207" s="112" t="str">
        <f t="shared" si="11"/>
        <v>X</v>
      </c>
      <c r="C207" s="112" t="str">
        <f>IF(OR(Tabella3[[#This Row],[LUN]]="X",Tabella3[[#This Row],[MAR]]="X",Tabella3[[#This Row],[MER]]="X",Tabella3[[#This Row],[GIO]]="X",Tabella3[[#This Row],[VEN]]="X",),"X","")</f>
        <v/>
      </c>
      <c r="D207" s="113" t="s">
        <v>87</v>
      </c>
      <c r="E207" s="109" t="s">
        <v>1276</v>
      </c>
      <c r="F207" s="109" t="s">
        <v>112</v>
      </c>
      <c r="G207" s="109" t="s">
        <v>1976</v>
      </c>
      <c r="H207" s="111"/>
      <c r="I207" s="111"/>
      <c r="J207" s="111"/>
      <c r="K207" s="111"/>
      <c r="L207" s="111"/>
      <c r="M207" s="109" t="s">
        <v>1258</v>
      </c>
      <c r="N207" s="109"/>
      <c r="O207" s="109"/>
      <c r="P207" s="109"/>
      <c r="Q207" s="109"/>
      <c r="R207" s="110">
        <v>45785</v>
      </c>
      <c r="S207" s="109" t="s">
        <v>239</v>
      </c>
      <c r="T207" s="116" t="str">
        <f ca="1">IF(AND('Inserimento dati'!$B$3=$H$2, Tabella3[[#This Row],[LUN]]="X"), "X",IF(AND('Inserimento dati'!$B$3=$I$2, Tabella3[[#This Row],[MAR]]="X"), "X", IF(AND('Inserimento dati'!$B$3=$J$2, Tabella3[[#This Row],[MER]]="X"), "X",IF(AND('Inserimento dati'!$B$3=$K$2, Tabella3[[#This Row],[GIO]]="X"), "X", IF(AND('Inserimento dati'!$B$3=$L$2, Tabella3[[#This Row],[VEN]]="X"), "X","")))))</f>
        <v/>
      </c>
      <c r="U207" s="143" t="str">
        <f t="shared" ca="1" si="10"/>
        <v/>
      </c>
      <c r="V207" s="187">
        <v>45930.833333333336</v>
      </c>
    </row>
    <row r="208" spans="1:22" s="19" customFormat="1" ht="45" x14ac:dyDescent="0.2">
      <c r="A208" s="112"/>
      <c r="B208" s="112" t="str">
        <f t="shared" si="11"/>
        <v>X</v>
      </c>
      <c r="C208" s="112" t="str">
        <f>IF(OR(Tabella3[[#This Row],[LUN]]="X",Tabella3[[#This Row],[MAR]]="X",Tabella3[[#This Row],[MER]]="X",Tabella3[[#This Row],[GIO]]="X",Tabella3[[#This Row],[VEN]]="X",),"X","")</f>
        <v/>
      </c>
      <c r="D208" s="113" t="s">
        <v>87</v>
      </c>
      <c r="E208" s="109" t="s">
        <v>968</v>
      </c>
      <c r="F208" s="109" t="s">
        <v>112</v>
      </c>
      <c r="G208" s="109" t="s">
        <v>1977</v>
      </c>
      <c r="H208" s="111"/>
      <c r="I208" s="111"/>
      <c r="J208" s="111"/>
      <c r="K208" s="111"/>
      <c r="L208" s="111"/>
      <c r="M208" s="109" t="s">
        <v>1258</v>
      </c>
      <c r="N208" s="109"/>
      <c r="O208" s="109"/>
      <c r="P208" s="109"/>
      <c r="Q208" s="109" t="s">
        <v>1118</v>
      </c>
      <c r="R208" s="110">
        <v>45762</v>
      </c>
      <c r="S208" s="109" t="s">
        <v>1117</v>
      </c>
      <c r="T208" s="116" t="str">
        <f ca="1">IF(AND('Inserimento dati'!$B$3=$H$2, Tabella3[[#This Row],[LUN]]="X"), "X",IF(AND('Inserimento dati'!$B$3=$I$2, Tabella3[[#This Row],[MAR]]="X"), "X", IF(AND('Inserimento dati'!$B$3=$J$2, Tabella3[[#This Row],[MER]]="X"), "X",IF(AND('Inserimento dati'!$B$3=$K$2, Tabella3[[#This Row],[GIO]]="X"), "X", IF(AND('Inserimento dati'!$B$3=$L$2, Tabella3[[#This Row],[VEN]]="X"), "X","")))))</f>
        <v/>
      </c>
      <c r="U208" s="143" t="str">
        <f t="shared" ca="1" si="10"/>
        <v/>
      </c>
      <c r="V208" s="187">
        <v>45930.833333333336</v>
      </c>
    </row>
    <row r="209" spans="1:22" s="19" customFormat="1" ht="23.25" x14ac:dyDescent="0.2">
      <c r="A209" s="112"/>
      <c r="B209" s="112" t="s">
        <v>23</v>
      </c>
      <c r="C209" s="112" t="str">
        <f>IF(OR(Tabella3[[#This Row],[LUN]]="X",Tabella3[[#This Row],[MAR]]="X",Tabella3[[#This Row],[MER]]="X",Tabella3[[#This Row],[GIO]]="X",Tabella3[[#This Row],[VEN]]="X",),"X","")</f>
        <v/>
      </c>
      <c r="D209" s="113" t="s">
        <v>87</v>
      </c>
      <c r="E209" s="109" t="s">
        <v>1383</v>
      </c>
      <c r="F209" s="109" t="s">
        <v>96</v>
      </c>
      <c r="G209" s="109" t="s">
        <v>1978</v>
      </c>
      <c r="H209" s="111"/>
      <c r="I209" s="111"/>
      <c r="J209" s="111"/>
      <c r="K209" s="111"/>
      <c r="L209" s="111"/>
      <c r="M209" s="109" t="s">
        <v>1258</v>
      </c>
      <c r="N209" s="109"/>
      <c r="O209" s="109"/>
      <c r="P209" s="109"/>
      <c r="Q209" s="109" t="s">
        <v>586</v>
      </c>
      <c r="R209" s="110">
        <v>45798</v>
      </c>
      <c r="S209" s="109" t="s">
        <v>220</v>
      </c>
      <c r="T209" s="67" t="str">
        <f ca="1">IF(AND('Inserimento dati'!$B$3=$H$2, Tabella3[[#This Row],[LUN]]="X"), "X",IF(AND('Inserimento dati'!$B$3=$I$2, Tabella3[[#This Row],[MAR]]="X"), "X", IF(AND('Inserimento dati'!$B$3=$J$2, Tabella3[[#This Row],[MER]]="X"), "X",IF(AND('Inserimento dati'!$B$3=$K$2, Tabella3[[#This Row],[GIO]]="X"), "X", IF(AND('Inserimento dati'!$B$3=$L$2, Tabella3[[#This Row],[VEN]]="X"), "X","")))))</f>
        <v/>
      </c>
      <c r="U209" s="144" t="str">
        <f t="shared" ca="1" si="10"/>
        <v/>
      </c>
      <c r="V209" s="187">
        <v>45930.833333333336</v>
      </c>
    </row>
    <row r="210" spans="1:22" s="19" customFormat="1" ht="30" x14ac:dyDescent="0.2">
      <c r="A210" s="112"/>
      <c r="B210" s="112">
        <v>1</v>
      </c>
      <c r="C210" s="112" t="str">
        <f>IF(OR(Tabella3[[#This Row],[LUN]]="X",Tabella3[[#This Row],[MAR]]="X",Tabella3[[#This Row],[MER]]="X",Tabella3[[#This Row],[GIO]]="X",Tabella3[[#This Row],[VEN]]="X",),"X","")</f>
        <v/>
      </c>
      <c r="D210" s="113" t="s">
        <v>87</v>
      </c>
      <c r="E210" s="109" t="s">
        <v>1095</v>
      </c>
      <c r="F210" s="109" t="s">
        <v>114</v>
      </c>
      <c r="G210" s="109" t="s">
        <v>1979</v>
      </c>
      <c r="H210" s="111"/>
      <c r="I210" s="111"/>
      <c r="J210" s="111"/>
      <c r="K210" s="111"/>
      <c r="L210" s="111"/>
      <c r="M210" s="109" t="s">
        <v>1258</v>
      </c>
      <c r="N210" s="109"/>
      <c r="O210" s="109"/>
      <c r="P210" s="109"/>
      <c r="Q210" s="109" t="s">
        <v>1670</v>
      </c>
      <c r="R210" s="110">
        <v>45800</v>
      </c>
      <c r="S210" s="109" t="s">
        <v>1671</v>
      </c>
      <c r="T210" s="116" t="str">
        <f ca="1">IF(AND('Inserimento dati'!$B$3=$H$2, Tabella3[[#This Row],[LUN]]="X"), "X",IF(AND('Inserimento dati'!$B$3=$I$2, Tabella3[[#This Row],[MAR]]="X"), "X", IF(AND('Inserimento dati'!$B$3=$J$2, Tabella3[[#This Row],[MER]]="X"), "X",IF(AND('Inserimento dati'!$B$3=$K$2, Tabella3[[#This Row],[GIO]]="X"), "X", IF(AND('Inserimento dati'!$B$3=$L$2, Tabella3[[#This Row],[VEN]]="X"), "X","")))))</f>
        <v/>
      </c>
      <c r="U210" s="143" t="str">
        <f t="shared" ca="1" si="10"/>
        <v>10221653</v>
      </c>
      <c r="V210" s="187">
        <v>45930.833333333336</v>
      </c>
    </row>
    <row r="211" spans="1:22" s="19" customFormat="1" ht="30" x14ac:dyDescent="0.2">
      <c r="A211" s="112"/>
      <c r="B211" s="112">
        <v>4</v>
      </c>
      <c r="C211" s="112" t="str">
        <f>IF(OR(Tabella3[[#This Row],[LUN]]="X",Tabella3[[#This Row],[MAR]]="X",Tabella3[[#This Row],[MER]]="X",Tabella3[[#This Row],[GIO]]="X",Tabella3[[#This Row],[VEN]]="X",),"X","")</f>
        <v/>
      </c>
      <c r="D211" s="113" t="s">
        <v>87</v>
      </c>
      <c r="E211" s="109" t="s">
        <v>1378</v>
      </c>
      <c r="F211" s="109" t="s">
        <v>96</v>
      </c>
      <c r="G211" s="109" t="s">
        <v>1980</v>
      </c>
      <c r="H211" s="111"/>
      <c r="I211" s="111"/>
      <c r="J211" s="111"/>
      <c r="K211" s="111"/>
      <c r="L211" s="111"/>
      <c r="M211" s="109" t="s">
        <v>1258</v>
      </c>
      <c r="N211" s="109"/>
      <c r="O211" s="109"/>
      <c r="P211" s="109"/>
      <c r="Q211" s="109" t="s">
        <v>1381</v>
      </c>
      <c r="R211" s="110">
        <v>45792</v>
      </c>
      <c r="S211" s="109" t="s">
        <v>713</v>
      </c>
      <c r="T211" s="69" t="str">
        <f ca="1">IF(AND('Inserimento dati'!$B$3=$H$2, Tabella3[[#This Row],[LUN]]="X"), "X",IF(AND('Inserimento dati'!$B$3=$I$2, Tabella3[[#This Row],[MAR]]="X"), "X", IF(AND('Inserimento dati'!$B$3=$J$2, Tabella3[[#This Row],[MER]]="X"), "X",IF(AND('Inserimento dati'!$B$3=$K$2, Tabella3[[#This Row],[GIO]]="X"), "X", IF(AND('Inserimento dati'!$B$3=$L$2, Tabella3[[#This Row],[VEN]]="X"), "X","")))))</f>
        <v/>
      </c>
      <c r="U211" s="143" t="str">
        <f t="shared" ca="1" si="10"/>
        <v/>
      </c>
      <c r="V211" s="187">
        <v>45930.833333333336</v>
      </c>
    </row>
    <row r="212" spans="1:22" s="19" customFormat="1" ht="23.25" x14ac:dyDescent="0.2">
      <c r="A212" s="112"/>
      <c r="B212" s="112">
        <v>1</v>
      </c>
      <c r="C212" s="112" t="str">
        <f>IF(OR(Tabella3[[#This Row],[LUN]]="X",Tabella3[[#This Row],[MAR]]="X",Tabella3[[#This Row],[MER]]="X",Tabella3[[#This Row],[GIO]]="X",Tabella3[[#This Row],[VEN]]="X",),"X","")</f>
        <v/>
      </c>
      <c r="D212" s="113" t="s">
        <v>87</v>
      </c>
      <c r="E212" s="109" t="s">
        <v>1305</v>
      </c>
      <c r="F212" s="109" t="s">
        <v>112</v>
      </c>
      <c r="G212" s="109" t="s">
        <v>1981</v>
      </c>
      <c r="H212" s="111"/>
      <c r="I212" s="111"/>
      <c r="J212" s="111"/>
      <c r="K212" s="111"/>
      <c r="L212" s="111"/>
      <c r="M212" s="109" t="s">
        <v>1258</v>
      </c>
      <c r="N212" s="109"/>
      <c r="O212" s="109"/>
      <c r="P212" s="109"/>
      <c r="Q212" s="109"/>
      <c r="R212" s="110"/>
      <c r="S212" s="109"/>
      <c r="T212" s="116" t="str">
        <f ca="1">IF(AND('Inserimento dati'!$B$3=$H$2, Tabella3[[#This Row],[LUN]]="X"), "X",IF(AND('Inserimento dati'!$B$3=$I$2, Tabella3[[#This Row],[MAR]]="X"), "X", IF(AND('Inserimento dati'!$B$3=$J$2, Tabella3[[#This Row],[MER]]="X"), "X",IF(AND('Inserimento dati'!$B$3=$K$2, Tabella3[[#This Row],[GIO]]="X"), "X", IF(AND('Inserimento dati'!$B$3=$L$2, Tabella3[[#This Row],[VEN]]="X"), "X","")))))</f>
        <v/>
      </c>
      <c r="U212" s="143" t="str">
        <f t="shared" ca="1" si="10"/>
        <v/>
      </c>
      <c r="V212" s="187">
        <v>45930.833333333336</v>
      </c>
    </row>
    <row r="213" spans="1:22" s="19" customFormat="1" ht="30" x14ac:dyDescent="0.2">
      <c r="A213" s="112"/>
      <c r="B213" s="112">
        <v>1</v>
      </c>
      <c r="C213" s="112" t="str">
        <f>IF(OR(Tabella3[[#This Row],[LUN]]="X",Tabella3[[#This Row],[MAR]]="X",Tabella3[[#This Row],[MER]]="X",Tabella3[[#This Row],[GIO]]="X",Tabella3[[#This Row],[VEN]]="X",),"X","")</f>
        <v/>
      </c>
      <c r="D213" s="113" t="s">
        <v>87</v>
      </c>
      <c r="E213" s="109" t="s">
        <v>1403</v>
      </c>
      <c r="F213" s="109" t="s">
        <v>112</v>
      </c>
      <c r="G213" s="109" t="s">
        <v>1982</v>
      </c>
      <c r="H213" s="111"/>
      <c r="I213" s="111"/>
      <c r="J213" s="111"/>
      <c r="K213" s="111"/>
      <c r="L213" s="111"/>
      <c r="M213" s="109" t="s">
        <v>1258</v>
      </c>
      <c r="N213" s="109"/>
      <c r="O213" s="109"/>
      <c r="P213" s="109"/>
      <c r="Q213" s="109" t="s">
        <v>1429</v>
      </c>
      <c r="R213" s="110">
        <v>45797</v>
      </c>
      <c r="S213" s="109" t="s">
        <v>211</v>
      </c>
      <c r="T213" s="116" t="str">
        <f ca="1">IF(AND('Inserimento dati'!$B$3=$H$2, Tabella3[[#This Row],[LUN]]="X"), "X",IF(AND('Inserimento dati'!$B$3=$I$2, Tabella3[[#This Row],[MAR]]="X"), "X", IF(AND('Inserimento dati'!$B$3=$J$2, Tabella3[[#This Row],[MER]]="X"), "X",IF(AND('Inserimento dati'!$B$3=$K$2, Tabella3[[#This Row],[GIO]]="X"), "X", IF(AND('Inserimento dati'!$B$3=$L$2, Tabella3[[#This Row],[VEN]]="X"), "X","")))))</f>
        <v/>
      </c>
      <c r="U213" s="144" t="str">
        <f t="shared" ca="1" si="10"/>
        <v/>
      </c>
      <c r="V213" s="187">
        <v>45930.833333333336</v>
      </c>
    </row>
    <row r="214" spans="1:22" s="19" customFormat="1" ht="60" x14ac:dyDescent="0.2">
      <c r="A214" s="112"/>
      <c r="B214" s="112" t="str">
        <f>IF(OR(A214="x",A214="X"),"",IF(ISBLANK(A214),"X",""))</f>
        <v>X</v>
      </c>
      <c r="C214" s="112" t="str">
        <f>IF(OR(Tabella3[[#This Row],[LUN]]="X",Tabella3[[#This Row],[MAR]]="X",Tabella3[[#This Row],[MER]]="X",Tabella3[[#This Row],[GIO]]="X",Tabella3[[#This Row],[VEN]]="X",),"X","")</f>
        <v/>
      </c>
      <c r="D214" s="113" t="s">
        <v>87</v>
      </c>
      <c r="E214" s="109" t="s">
        <v>1479</v>
      </c>
      <c r="F214" s="109" t="s">
        <v>93</v>
      </c>
      <c r="G214" s="109" t="s">
        <v>1983</v>
      </c>
      <c r="H214" s="111"/>
      <c r="I214" s="111"/>
      <c r="J214" s="111"/>
      <c r="K214" s="111"/>
      <c r="L214" s="111"/>
      <c r="M214" s="109" t="s">
        <v>1258</v>
      </c>
      <c r="N214" s="109"/>
      <c r="O214" s="109"/>
      <c r="P214" s="109"/>
      <c r="Q214" s="109" t="s">
        <v>1486</v>
      </c>
      <c r="R214" s="110">
        <v>45804</v>
      </c>
      <c r="S214" s="109" t="s">
        <v>1480</v>
      </c>
      <c r="T214" s="69" t="str">
        <f ca="1">IF(AND('Inserimento dati'!$B$3=$H$2, Tabella3[[#This Row],[LUN]]="X"), "X",IF(AND('Inserimento dati'!$B$3=$I$2, Tabella3[[#This Row],[MAR]]="X"), "X", IF(AND('Inserimento dati'!$B$3=$J$2, Tabella3[[#This Row],[MER]]="X"), "X",IF(AND('Inserimento dati'!$B$3=$K$2, Tabella3[[#This Row],[GIO]]="X"), "X", IF(AND('Inserimento dati'!$B$3=$L$2, Tabella3[[#This Row],[VEN]]="X"), "X","")))))</f>
        <v/>
      </c>
      <c r="U214" s="130" t="str">
        <f t="shared" ca="1" si="10"/>
        <v/>
      </c>
      <c r="V214" s="187">
        <v>45930.833333333336</v>
      </c>
    </row>
    <row r="215" spans="1:22" s="19" customFormat="1" ht="30" x14ac:dyDescent="0.2">
      <c r="A215" s="112"/>
      <c r="B215" s="112" t="str">
        <f>IF(OR(A215="x",A215="X"),"",IF(ISBLANK(A215),"X",""))</f>
        <v>X</v>
      </c>
      <c r="C215" s="112" t="str">
        <f>IF(OR(Tabella3[[#This Row],[LUN]]="X",Tabella3[[#This Row],[MAR]]="X",Tabella3[[#This Row],[MER]]="X",Tabella3[[#This Row],[GIO]]="X",Tabella3[[#This Row],[VEN]]="X",),"X","")</f>
        <v/>
      </c>
      <c r="D215" s="113" t="s">
        <v>87</v>
      </c>
      <c r="E215" s="109" t="s">
        <v>1481</v>
      </c>
      <c r="F215" s="109" t="s">
        <v>93</v>
      </c>
      <c r="G215" s="109" t="s">
        <v>1984</v>
      </c>
      <c r="H215" s="111"/>
      <c r="I215" s="111"/>
      <c r="J215" s="111"/>
      <c r="K215" s="111"/>
      <c r="L215" s="111"/>
      <c r="M215" s="109" t="s">
        <v>1258</v>
      </c>
      <c r="N215" s="109"/>
      <c r="O215" s="109"/>
      <c r="P215" s="109"/>
      <c r="Q215" s="109" t="s">
        <v>1482</v>
      </c>
      <c r="R215" s="110">
        <v>45804</v>
      </c>
      <c r="S215" s="109" t="s">
        <v>50</v>
      </c>
      <c r="T215" s="69" t="str">
        <f ca="1">IF(AND('Inserimento dati'!$B$3=$H$2, Tabella3[[#This Row],[LUN]]="X"), "X",IF(AND('Inserimento dati'!$B$3=$I$2, Tabella3[[#This Row],[MAR]]="X"), "X", IF(AND('Inserimento dati'!$B$3=$J$2, Tabella3[[#This Row],[MER]]="X"), "X",IF(AND('Inserimento dati'!$B$3=$K$2, Tabella3[[#This Row],[GIO]]="X"), "X", IF(AND('Inserimento dati'!$B$3=$L$2, Tabella3[[#This Row],[VEN]]="X"), "X","")))))</f>
        <v/>
      </c>
      <c r="U215" s="130" t="str">
        <f t="shared" ca="1" si="10"/>
        <v/>
      </c>
      <c r="V215" s="187">
        <v>45930.833333333336</v>
      </c>
    </row>
    <row r="216" spans="1:22" s="19" customFormat="1" ht="30" x14ac:dyDescent="0.2">
      <c r="A216" s="112"/>
      <c r="B216" s="112" t="s">
        <v>23</v>
      </c>
      <c r="C216" s="112" t="str">
        <f>IF(OR(Tabella3[[#This Row],[LUN]]="X",Tabella3[[#This Row],[MAR]]="X",Tabella3[[#This Row],[MER]]="X",Tabella3[[#This Row],[GIO]]="X",Tabella3[[#This Row],[VEN]]="X",),"X","")</f>
        <v/>
      </c>
      <c r="D216" s="113" t="s">
        <v>87</v>
      </c>
      <c r="E216" s="109" t="s">
        <v>1446</v>
      </c>
      <c r="F216" s="109" t="s">
        <v>114</v>
      </c>
      <c r="G216" s="109" t="s">
        <v>1985</v>
      </c>
      <c r="H216" s="111"/>
      <c r="I216" s="111"/>
      <c r="J216" s="111"/>
      <c r="K216" s="111"/>
      <c r="L216" s="111"/>
      <c r="M216" s="109" t="s">
        <v>1258</v>
      </c>
      <c r="N216" s="109"/>
      <c r="O216" s="109"/>
      <c r="P216" s="109"/>
      <c r="Q216" s="109" t="s">
        <v>1495</v>
      </c>
      <c r="R216" s="110">
        <v>45805</v>
      </c>
      <c r="S216" s="109" t="s">
        <v>1496</v>
      </c>
      <c r="T216" s="69" t="str">
        <f ca="1">IF(AND('Inserimento dati'!$B$3=$H$2, Tabella3[[#This Row],[LUN]]="X"), "X",IF(AND('Inserimento dati'!$B$3=$I$2, Tabella3[[#This Row],[MAR]]="X"), "X", IF(AND('Inserimento dati'!$B$3=$J$2, Tabella3[[#This Row],[MER]]="X"), "X",IF(AND('Inserimento dati'!$B$3=$K$2, Tabella3[[#This Row],[GIO]]="X"), "X", IF(AND('Inserimento dati'!$B$3=$L$2, Tabella3[[#This Row],[VEN]]="X"), "X","")))))</f>
        <v/>
      </c>
      <c r="U216" s="130" t="str">
        <f t="shared" ca="1" si="10"/>
        <v>10224188</v>
      </c>
      <c r="V216" s="187">
        <v>45930.833333333336</v>
      </c>
    </row>
    <row r="217" spans="1:22" s="19" customFormat="1" ht="30" x14ac:dyDescent="0.2">
      <c r="A217" s="112"/>
      <c r="B217" s="112">
        <v>1</v>
      </c>
      <c r="C217" s="112" t="str">
        <f>IF(OR(Tabella3[[#This Row],[LUN]]="X",Tabella3[[#This Row],[MAR]]="X",Tabella3[[#This Row],[MER]]="X",Tabella3[[#This Row],[GIO]]="X",Tabella3[[#This Row],[VEN]]="X",),"X","")</f>
        <v/>
      </c>
      <c r="D217" s="113" t="s">
        <v>87</v>
      </c>
      <c r="E217" s="109" t="s">
        <v>1302</v>
      </c>
      <c r="F217" s="109" t="s">
        <v>88</v>
      </c>
      <c r="G217" s="109" t="s">
        <v>1986</v>
      </c>
      <c r="H217" s="111"/>
      <c r="I217" s="111"/>
      <c r="J217" s="111"/>
      <c r="K217" s="111"/>
      <c r="L217" s="111"/>
      <c r="M217" s="109" t="s">
        <v>1258</v>
      </c>
      <c r="N217" s="109"/>
      <c r="O217" s="109"/>
      <c r="P217" s="109"/>
      <c r="Q217" s="109" t="s">
        <v>1492</v>
      </c>
      <c r="R217" s="110">
        <v>45805</v>
      </c>
      <c r="S217" s="109" t="s">
        <v>1493</v>
      </c>
      <c r="T217" s="67" t="str">
        <f ca="1">IF(AND('Inserimento dati'!$B$3=$H$2, Tabella3[[#This Row],[LUN]]="X"), "X",IF(AND('Inserimento dati'!$B$3=$I$2, Tabella3[[#This Row],[MAR]]="X"), "X", IF(AND('Inserimento dati'!$B$3=$J$2, Tabella3[[#This Row],[MER]]="X"), "X",IF(AND('Inserimento dati'!$B$3=$K$2, Tabella3[[#This Row],[GIO]]="X"), "X", IF(AND('Inserimento dati'!$B$3=$L$2, Tabella3[[#This Row],[VEN]]="X"), "X","")))))</f>
        <v/>
      </c>
      <c r="U217" s="143" t="str">
        <f t="shared" ca="1" si="10"/>
        <v/>
      </c>
      <c r="V217" s="187">
        <v>45930.833333333336</v>
      </c>
    </row>
    <row r="218" spans="1:22" s="19" customFormat="1" ht="23.25" x14ac:dyDescent="0.2">
      <c r="A218" s="112"/>
      <c r="B218" s="112" t="s">
        <v>23</v>
      </c>
      <c r="C218" s="112" t="str">
        <f>IF(OR(Tabella3[[#This Row],[LUN]]="X",Tabella3[[#This Row],[MAR]]="X",Tabella3[[#This Row],[MER]]="X",Tabella3[[#This Row],[GIO]]="X",Tabella3[[#This Row],[VEN]]="X",),"X","")</f>
        <v/>
      </c>
      <c r="D218" s="113" t="s">
        <v>87</v>
      </c>
      <c r="E218" s="109" t="s">
        <v>1489</v>
      </c>
      <c r="F218" s="109">
        <v>2200</v>
      </c>
      <c r="G218" s="109" t="s">
        <v>1987</v>
      </c>
      <c r="H218" s="111"/>
      <c r="I218" s="111"/>
      <c r="J218" s="111"/>
      <c r="K218" s="111"/>
      <c r="L218" s="111"/>
      <c r="M218" s="109" t="s">
        <v>1258</v>
      </c>
      <c r="N218" s="109"/>
      <c r="O218" s="109"/>
      <c r="P218" s="109"/>
      <c r="Q218" s="109" t="s">
        <v>1497</v>
      </c>
      <c r="R218" s="110">
        <v>45805</v>
      </c>
      <c r="S218" s="109" t="s">
        <v>1498</v>
      </c>
      <c r="T218" s="69" t="str">
        <f ca="1">IF(AND('Inserimento dati'!$B$3=$H$2, Tabella3[[#This Row],[LUN]]="X"), "X",IF(AND('Inserimento dati'!$B$3=$I$2, Tabella3[[#This Row],[MAR]]="X"), "X", IF(AND('Inserimento dati'!$B$3=$J$2, Tabella3[[#This Row],[MER]]="X"), "X",IF(AND('Inserimento dati'!$B$3=$K$2, Tabella3[[#This Row],[GIO]]="X"), "X", IF(AND('Inserimento dati'!$B$3=$L$2, Tabella3[[#This Row],[VEN]]="X"), "X","")))))</f>
        <v/>
      </c>
      <c r="U218" s="130" t="str">
        <f t="shared" ca="1" si="10"/>
        <v/>
      </c>
      <c r="V218" s="187">
        <v>45930.833333333336</v>
      </c>
    </row>
    <row r="219" spans="1:22" s="19" customFormat="1" ht="45" x14ac:dyDescent="0.2">
      <c r="A219" s="112"/>
      <c r="B219" s="112" t="s">
        <v>23</v>
      </c>
      <c r="C219" s="112" t="str">
        <f>IF(OR(Tabella3[[#This Row],[LUN]]="X",Tabella3[[#This Row],[MAR]]="X",Tabella3[[#This Row],[MER]]="X",Tabella3[[#This Row],[GIO]]="X",Tabella3[[#This Row],[VEN]]="X",),"X","")</f>
        <v/>
      </c>
      <c r="D219" s="113" t="s">
        <v>87</v>
      </c>
      <c r="E219" s="109" t="s">
        <v>1304</v>
      </c>
      <c r="F219" s="109" t="s">
        <v>112</v>
      </c>
      <c r="G219" s="109" t="s">
        <v>1988</v>
      </c>
      <c r="H219" s="111"/>
      <c r="I219" s="111"/>
      <c r="J219" s="111"/>
      <c r="K219" s="111"/>
      <c r="L219" s="111"/>
      <c r="M219" s="109" t="s">
        <v>1258</v>
      </c>
      <c r="N219" s="109"/>
      <c r="O219" s="109"/>
      <c r="P219" s="109"/>
      <c r="Q219" s="109" t="s">
        <v>1450</v>
      </c>
      <c r="R219" s="110">
        <v>45785</v>
      </c>
      <c r="S219" s="109" t="s">
        <v>239</v>
      </c>
      <c r="T219" s="116" t="str">
        <f ca="1">IF(AND('Inserimento dati'!$B$3=$H$2, Tabella3[[#This Row],[LUN]]="X"), "X",IF(AND('Inserimento dati'!$B$3=$I$2, Tabella3[[#This Row],[MAR]]="X"), "X", IF(AND('Inserimento dati'!$B$3=$J$2, Tabella3[[#This Row],[MER]]="X"), "X",IF(AND('Inserimento dati'!$B$3=$K$2, Tabella3[[#This Row],[GIO]]="X"), "X", IF(AND('Inserimento dati'!$B$3=$L$2, Tabella3[[#This Row],[VEN]]="X"), "X","")))))</f>
        <v/>
      </c>
      <c r="U219" s="143" t="str">
        <f t="shared" ca="1" si="10"/>
        <v/>
      </c>
      <c r="V219" s="187">
        <v>45930.833333333336</v>
      </c>
    </row>
    <row r="220" spans="1:22" s="19" customFormat="1" ht="23.25" x14ac:dyDescent="0.2">
      <c r="A220" s="112"/>
      <c r="B220" s="112" t="s">
        <v>23</v>
      </c>
      <c r="C220" s="112" t="str">
        <f>IF(OR(Tabella3[[#This Row],[LUN]]="X",Tabella3[[#This Row],[MAR]]="X",Tabella3[[#This Row],[MER]]="X",Tabella3[[#This Row],[GIO]]="X",Tabella3[[#This Row],[VEN]]="X",),"X","")</f>
        <v/>
      </c>
      <c r="D220" s="113" t="s">
        <v>87</v>
      </c>
      <c r="E220" s="109" t="s">
        <v>1491</v>
      </c>
      <c r="F220" s="109" t="s">
        <v>93</v>
      </c>
      <c r="G220" s="109" t="s">
        <v>1989</v>
      </c>
      <c r="H220" s="111"/>
      <c r="I220" s="111"/>
      <c r="J220" s="111"/>
      <c r="K220" s="111"/>
      <c r="L220" s="111"/>
      <c r="M220" s="109" t="s">
        <v>1258</v>
      </c>
      <c r="N220" s="109"/>
      <c r="O220" s="109"/>
      <c r="P220" s="109"/>
      <c r="Q220" s="109"/>
      <c r="R220" s="110"/>
      <c r="S220" s="109"/>
      <c r="T220" s="69" t="str">
        <f ca="1">IF(AND('Inserimento dati'!$B$3=$H$2, Tabella3[[#This Row],[LUN]]="X"), "X",IF(AND('Inserimento dati'!$B$3=$I$2, Tabella3[[#This Row],[MAR]]="X"), "X", IF(AND('Inserimento dati'!$B$3=$J$2, Tabella3[[#This Row],[MER]]="X"), "X",IF(AND('Inserimento dati'!$B$3=$K$2, Tabella3[[#This Row],[GIO]]="X"), "X", IF(AND('Inserimento dati'!$B$3=$L$2, Tabella3[[#This Row],[VEN]]="X"), "X","")))))</f>
        <v/>
      </c>
      <c r="U220" s="130" t="str">
        <f t="shared" ca="1" si="10"/>
        <v/>
      </c>
      <c r="V220" s="187">
        <v>45930.833333333336</v>
      </c>
    </row>
    <row r="221" spans="1:22" s="19" customFormat="1" ht="23.25" x14ac:dyDescent="0.2">
      <c r="A221" s="112"/>
      <c r="B221" s="112">
        <v>1</v>
      </c>
      <c r="C221" s="112" t="str">
        <f>IF(OR(Tabella3[[#This Row],[LUN]]="X",Tabella3[[#This Row],[MAR]]="X",Tabella3[[#This Row],[MER]]="X",Tabella3[[#This Row],[GIO]]="X",Tabella3[[#This Row],[VEN]]="X",),"X","")</f>
        <v/>
      </c>
      <c r="D221" s="113" t="s">
        <v>87</v>
      </c>
      <c r="E221" s="109" t="s">
        <v>1285</v>
      </c>
      <c r="F221" s="109">
        <v>700</v>
      </c>
      <c r="G221" s="109" t="s">
        <v>1990</v>
      </c>
      <c r="H221" s="111"/>
      <c r="I221" s="111"/>
      <c r="J221" s="111"/>
      <c r="K221" s="111"/>
      <c r="L221" s="111"/>
      <c r="M221" s="109" t="s">
        <v>1258</v>
      </c>
      <c r="N221" s="109"/>
      <c r="O221" s="109"/>
      <c r="P221" s="109"/>
      <c r="Q221" s="109"/>
      <c r="R221" s="110"/>
      <c r="S221" s="109"/>
      <c r="T221" s="67" t="str">
        <f ca="1">IF(AND('Inserimento dati'!$B$3=$H$2, Tabella3[[#This Row],[LUN]]="X"), "X",IF(AND('Inserimento dati'!$B$3=$I$2, Tabella3[[#This Row],[MAR]]="X"), "X", IF(AND('Inserimento dati'!$B$3=$J$2, Tabella3[[#This Row],[MER]]="X"), "X",IF(AND('Inserimento dati'!$B$3=$K$2, Tabella3[[#This Row],[GIO]]="X"), "X", IF(AND('Inserimento dati'!$B$3=$L$2, Tabella3[[#This Row],[VEN]]="X"), "X","")))))</f>
        <v/>
      </c>
      <c r="U221" s="143" t="str">
        <f t="shared" ca="1" si="10"/>
        <v>10220464</v>
      </c>
      <c r="V221" s="187">
        <v>45930.833333333336</v>
      </c>
    </row>
    <row r="222" spans="1:22" s="19" customFormat="1" ht="45" x14ac:dyDescent="0.2">
      <c r="A222" s="112"/>
      <c r="B222" s="112">
        <v>2</v>
      </c>
      <c r="C222" s="112" t="str">
        <f>IF(OR(Tabella3[[#This Row],[LUN]]="X",Tabella3[[#This Row],[MAR]]="X",Tabella3[[#This Row],[MER]]="X",Tabella3[[#This Row],[GIO]]="X",Tabella3[[#This Row],[VEN]]="X",),"X","")</f>
        <v/>
      </c>
      <c r="D222" s="113" t="s">
        <v>87</v>
      </c>
      <c r="E222" s="109" t="s">
        <v>1517</v>
      </c>
      <c r="F222" s="109">
        <v>800</v>
      </c>
      <c r="G222" s="109" t="s">
        <v>1991</v>
      </c>
      <c r="H222" s="111"/>
      <c r="I222" s="111"/>
      <c r="J222" s="111"/>
      <c r="K222" s="111"/>
      <c r="L222" s="111"/>
      <c r="M222" s="109" t="s">
        <v>1258</v>
      </c>
      <c r="N222" s="109"/>
      <c r="O222" s="109"/>
      <c r="P222" s="109"/>
      <c r="Q222" s="109" t="s">
        <v>1535</v>
      </c>
      <c r="R222" s="110">
        <v>45770</v>
      </c>
      <c r="S222" s="109" t="s">
        <v>1153</v>
      </c>
      <c r="T222" s="116" t="str">
        <f ca="1">IF(AND('Inserimento dati'!$B$3=$H$2, Tabella3[[#This Row],[LUN]]="X"), "X",IF(AND('Inserimento dati'!$B$3=$I$2, Tabella3[[#This Row],[MAR]]="X"), "X", IF(AND('Inserimento dati'!$B$3=$J$2, Tabella3[[#This Row],[MER]]="X"), "X",IF(AND('Inserimento dati'!$B$3=$K$2, Tabella3[[#This Row],[GIO]]="X"), "X", IF(AND('Inserimento dati'!$B$3=$L$2, Tabella3[[#This Row],[VEN]]="X"), "X","")))))</f>
        <v/>
      </c>
      <c r="U222" s="143" t="str">
        <f t="shared" ca="1" si="10"/>
        <v>10218060</v>
      </c>
      <c r="V222" s="187">
        <v>45930.833333333336</v>
      </c>
    </row>
    <row r="223" spans="1:22" s="19" customFormat="1" ht="30" x14ac:dyDescent="0.2">
      <c r="A223" s="112"/>
      <c r="B223" s="112">
        <v>3</v>
      </c>
      <c r="C223" s="112" t="str">
        <f>IF(OR(Tabella3[[#This Row],[LUN]]="X",Tabella3[[#This Row],[MAR]]="X",Tabella3[[#This Row],[MER]]="X",Tabella3[[#This Row],[GIO]]="X",Tabella3[[#This Row],[VEN]]="X",),"X","")</f>
        <v/>
      </c>
      <c r="D223" s="113" t="s">
        <v>87</v>
      </c>
      <c r="E223" s="109" t="s">
        <v>1569</v>
      </c>
      <c r="F223" s="109">
        <v>1400</v>
      </c>
      <c r="G223" s="109" t="s">
        <v>1992</v>
      </c>
      <c r="H223" s="111"/>
      <c r="I223" s="111"/>
      <c r="J223" s="111"/>
      <c r="K223" s="111"/>
      <c r="L223" s="111"/>
      <c r="M223" s="109" t="s">
        <v>1258</v>
      </c>
      <c r="N223" s="109"/>
      <c r="O223" s="109"/>
      <c r="P223" s="109"/>
      <c r="Q223" s="109" t="s">
        <v>1584</v>
      </c>
      <c r="R223" s="110">
        <v>45812</v>
      </c>
      <c r="S223" s="109" t="s">
        <v>1571</v>
      </c>
      <c r="T223" s="114" t="str">
        <f ca="1">IF(AND('Inserimento dati'!$B$3=$H$2, Tabella3[[#This Row],[LUN]]="X"), "X",IF(AND('Inserimento dati'!$B$3=$I$2, Tabella3[[#This Row],[MAR]]="X"), "X", IF(AND('Inserimento dati'!$B$3=$J$2, Tabella3[[#This Row],[MER]]="X"), "X",IF(AND('Inserimento dati'!$B$3=$K$2, Tabella3[[#This Row],[GIO]]="X"), "X", IF(AND('Inserimento dati'!$B$3=$L$2, Tabella3[[#This Row],[VEN]]="X"), "X","")))))</f>
        <v/>
      </c>
      <c r="U223" s="130" t="str">
        <f t="shared" ca="1" si="10"/>
        <v>10225267</v>
      </c>
      <c r="V223" s="187">
        <v>45930.833333333336</v>
      </c>
    </row>
    <row r="224" spans="1:22" s="19" customFormat="1" ht="23.25" x14ac:dyDescent="0.2">
      <c r="A224" s="112"/>
      <c r="B224" s="112">
        <v>4</v>
      </c>
      <c r="C224" s="112" t="str">
        <f>IF(OR(Tabella3[[#This Row],[LUN]]="X",Tabella3[[#This Row],[MAR]]="X",Tabella3[[#This Row],[MER]]="X",Tabella3[[#This Row],[GIO]]="X",Tabella3[[#This Row],[VEN]]="X",),"X","")</f>
        <v/>
      </c>
      <c r="D224" s="113" t="s">
        <v>87</v>
      </c>
      <c r="E224" s="109" t="s">
        <v>1401</v>
      </c>
      <c r="F224" s="109" t="s">
        <v>93</v>
      </c>
      <c r="G224" s="109" t="s">
        <v>1993</v>
      </c>
      <c r="H224" s="111"/>
      <c r="I224" s="111"/>
      <c r="J224" s="111"/>
      <c r="K224" s="111"/>
      <c r="L224" s="111"/>
      <c r="M224" s="109" t="s">
        <v>1258</v>
      </c>
      <c r="N224" s="109"/>
      <c r="O224" s="109"/>
      <c r="P224" s="109"/>
      <c r="Q224" s="109"/>
      <c r="R224" s="110"/>
      <c r="S224" s="109"/>
      <c r="T224" s="67" t="str">
        <f ca="1">IF(AND('Inserimento dati'!$B$3=$H$2, Tabella3[[#This Row],[LUN]]="X"), "X",IF(AND('Inserimento dati'!$B$3=$I$2, Tabella3[[#This Row],[MAR]]="X"), "X", IF(AND('Inserimento dati'!$B$3=$J$2, Tabella3[[#This Row],[MER]]="X"), "X",IF(AND('Inserimento dati'!$B$3=$K$2, Tabella3[[#This Row],[GIO]]="X"), "X", IF(AND('Inserimento dati'!$B$3=$L$2, Tabella3[[#This Row],[VEN]]="X"), "X","")))))</f>
        <v/>
      </c>
      <c r="U224" s="143" t="str">
        <f t="shared" ca="1" si="10"/>
        <v>10224035</v>
      </c>
      <c r="V224" s="187">
        <v>45930.833333333336</v>
      </c>
    </row>
    <row r="225" spans="1:22" s="19" customFormat="1" ht="23.25" x14ac:dyDescent="0.2">
      <c r="A225" s="112"/>
      <c r="B225" s="112">
        <v>4</v>
      </c>
      <c r="C225" s="112" t="str">
        <f>IF(OR(Tabella3[[#This Row],[LUN]]="X",Tabella3[[#This Row],[MAR]]="X",Tabella3[[#This Row],[MER]]="X",Tabella3[[#This Row],[GIO]]="X",Tabella3[[#This Row],[VEN]]="X",),"X","")</f>
        <v/>
      </c>
      <c r="D225" s="113" t="s">
        <v>87</v>
      </c>
      <c r="E225" s="109" t="s">
        <v>1287</v>
      </c>
      <c r="F225" s="109">
        <v>700</v>
      </c>
      <c r="G225" s="109" t="s">
        <v>1994</v>
      </c>
      <c r="H225" s="111"/>
      <c r="I225" s="111"/>
      <c r="J225" s="111"/>
      <c r="K225" s="111"/>
      <c r="L225" s="111"/>
      <c r="M225" s="109" t="s">
        <v>1258</v>
      </c>
      <c r="N225" s="109"/>
      <c r="O225" s="109"/>
      <c r="P225" s="109"/>
      <c r="Q225" s="109"/>
      <c r="R225" s="110"/>
      <c r="S225" s="109"/>
      <c r="T225" s="67" t="str">
        <f ca="1">IF(AND('Inserimento dati'!$B$3=$H$2, Tabella3[[#This Row],[LUN]]="X"), "X",IF(AND('Inserimento dati'!$B$3=$I$2, Tabella3[[#This Row],[MAR]]="X"), "X", IF(AND('Inserimento dati'!$B$3=$J$2, Tabella3[[#This Row],[MER]]="X"), "X",IF(AND('Inserimento dati'!$B$3=$K$2, Tabella3[[#This Row],[GIO]]="X"), "X", IF(AND('Inserimento dati'!$B$3=$L$2, Tabella3[[#This Row],[VEN]]="X"), "X","")))))</f>
        <v/>
      </c>
      <c r="U225" s="143" t="str">
        <f t="shared" ca="1" si="10"/>
        <v>10220465</v>
      </c>
      <c r="V225" s="187">
        <v>45930.833333333336</v>
      </c>
    </row>
    <row r="226" spans="1:22" s="19" customFormat="1" ht="23.25" x14ac:dyDescent="0.2">
      <c r="A226" s="112"/>
      <c r="B226" s="112">
        <v>4</v>
      </c>
      <c r="C226" s="112" t="str">
        <f>IF(OR(Tabella3[[#This Row],[LUN]]="X",Tabella3[[#This Row],[MAR]]="X",Tabella3[[#This Row],[MER]]="X",Tabella3[[#This Row],[GIO]]="X",Tabella3[[#This Row],[VEN]]="X",),"X","")</f>
        <v/>
      </c>
      <c r="D226" s="113" t="s">
        <v>87</v>
      </c>
      <c r="E226" s="109" t="s">
        <v>949</v>
      </c>
      <c r="F226" s="109">
        <v>1800</v>
      </c>
      <c r="G226" s="109" t="s">
        <v>1995</v>
      </c>
      <c r="H226" s="111"/>
      <c r="I226" s="111"/>
      <c r="J226" s="111"/>
      <c r="K226" s="111"/>
      <c r="L226" s="111"/>
      <c r="M226" s="109" t="s">
        <v>1258</v>
      </c>
      <c r="N226" s="109"/>
      <c r="O226" s="109"/>
      <c r="P226" s="109"/>
      <c r="Q226" s="109"/>
      <c r="R226" s="110"/>
      <c r="S226" s="109"/>
      <c r="T226" s="116" t="str">
        <f ca="1">IF(AND('Inserimento dati'!$B$3=$H$2, Tabella3[[#This Row],[LUN]]="X"), "X",IF(AND('Inserimento dati'!$B$3=$I$2, Tabella3[[#This Row],[MAR]]="X"), "X", IF(AND('Inserimento dati'!$B$3=$J$2, Tabella3[[#This Row],[MER]]="X"), "X",IF(AND('Inserimento dati'!$B$3=$K$2, Tabella3[[#This Row],[GIO]]="X"), "X", IF(AND('Inserimento dati'!$B$3=$L$2, Tabella3[[#This Row],[VEN]]="X"), "X","")))))</f>
        <v/>
      </c>
      <c r="U226" s="143" t="str">
        <f t="shared" ca="1" si="10"/>
        <v>10220619</v>
      </c>
      <c r="V226" s="187">
        <v>45930.833333333336</v>
      </c>
    </row>
    <row r="227" spans="1:22" s="19" customFormat="1" ht="23.25" x14ac:dyDescent="0.2">
      <c r="A227" s="112"/>
      <c r="B227" s="112">
        <v>4</v>
      </c>
      <c r="C227" s="112" t="str">
        <f>IF(OR(Tabella3[[#This Row],[LUN]]="X",Tabella3[[#This Row],[MAR]]="X",Tabella3[[#This Row],[MER]]="X",Tabella3[[#This Row],[GIO]]="X",Tabella3[[#This Row],[VEN]]="X",),"X","")</f>
        <v/>
      </c>
      <c r="D227" s="113" t="s">
        <v>87</v>
      </c>
      <c r="E227" s="109" t="s">
        <v>1149</v>
      </c>
      <c r="F227" s="109">
        <v>2200</v>
      </c>
      <c r="G227" s="109" t="s">
        <v>1996</v>
      </c>
      <c r="H227" s="111"/>
      <c r="I227" s="111"/>
      <c r="J227" s="111"/>
      <c r="K227" s="111"/>
      <c r="L227" s="111"/>
      <c r="M227" s="109" t="s">
        <v>1258</v>
      </c>
      <c r="N227" s="109"/>
      <c r="O227" s="109"/>
      <c r="P227" s="109"/>
      <c r="Q227" s="109"/>
      <c r="R227" s="110"/>
      <c r="S227" s="109"/>
      <c r="T227" s="116" t="str">
        <f ca="1">IF(AND('Inserimento dati'!$B$3=$H$2, Tabella3[[#This Row],[LUN]]="X"), "X",IF(AND('Inserimento dati'!$B$3=$I$2, Tabella3[[#This Row],[MAR]]="X"), "X", IF(AND('Inserimento dati'!$B$3=$J$2, Tabella3[[#This Row],[MER]]="X"), "X",IF(AND('Inserimento dati'!$B$3=$K$2, Tabella3[[#This Row],[GIO]]="X"), "X", IF(AND('Inserimento dati'!$B$3=$L$2, Tabella3[[#This Row],[VEN]]="X"), "X","")))))</f>
        <v/>
      </c>
      <c r="U227" s="143" t="str">
        <f t="shared" ca="1" si="10"/>
        <v>10222453</v>
      </c>
      <c r="V227" s="187">
        <v>45930.833333333336</v>
      </c>
    </row>
    <row r="228" spans="1:22" s="19" customFormat="1" ht="23.25" x14ac:dyDescent="0.2">
      <c r="A228" s="112"/>
      <c r="B228" s="112">
        <v>4</v>
      </c>
      <c r="C228" s="112" t="str">
        <f>IF(OR(Tabella3[[#This Row],[LUN]]="X",Tabella3[[#This Row],[MAR]]="X",Tabella3[[#This Row],[MER]]="X",Tabella3[[#This Row],[GIO]]="X",Tabella3[[#This Row],[VEN]]="X",),"X","")</f>
        <v/>
      </c>
      <c r="D228" s="113" t="s">
        <v>87</v>
      </c>
      <c r="E228" s="109" t="s">
        <v>1128</v>
      </c>
      <c r="F228" s="109" t="s">
        <v>114</v>
      </c>
      <c r="G228" s="109" t="s">
        <v>1997</v>
      </c>
      <c r="H228" s="111"/>
      <c r="I228" s="111"/>
      <c r="J228" s="111"/>
      <c r="K228" s="111"/>
      <c r="L228" s="111"/>
      <c r="M228" s="109" t="s">
        <v>1258</v>
      </c>
      <c r="N228" s="109"/>
      <c r="O228" s="109"/>
      <c r="P228" s="109"/>
      <c r="Q228" s="109"/>
      <c r="R228" s="110"/>
      <c r="S228" s="109"/>
      <c r="T228" s="116" t="str">
        <f ca="1">IF(AND('Inserimento dati'!$B$3=$H$2, Tabella3[[#This Row],[LUN]]="X"), "X",IF(AND('Inserimento dati'!$B$3=$I$2, Tabella3[[#This Row],[MAR]]="X"), "X", IF(AND('Inserimento dati'!$B$3=$J$2, Tabella3[[#This Row],[MER]]="X"), "X",IF(AND('Inserimento dati'!$B$3=$K$2, Tabella3[[#This Row],[GIO]]="X"), "X", IF(AND('Inserimento dati'!$B$3=$L$2, Tabella3[[#This Row],[VEN]]="X"), "X","")))))</f>
        <v/>
      </c>
      <c r="U228" s="143" t="str">
        <f t="shared" ca="1" si="10"/>
        <v>10222225</v>
      </c>
      <c r="V228" s="187">
        <v>45930.833333333336</v>
      </c>
    </row>
    <row r="229" spans="1:22" s="19" customFormat="1" ht="23.25" x14ac:dyDescent="0.2">
      <c r="A229" s="112"/>
      <c r="B229" s="112">
        <v>4</v>
      </c>
      <c r="C229" s="112" t="str">
        <f>IF(OR(Tabella3[[#This Row],[LUN]]="X",Tabella3[[#This Row],[MAR]]="X",Tabella3[[#This Row],[MER]]="X",Tabella3[[#This Row],[GIO]]="X",Tabella3[[#This Row],[VEN]]="X",),"X","")</f>
        <v/>
      </c>
      <c r="D229" s="113" t="s">
        <v>87</v>
      </c>
      <c r="E229" s="109" t="s">
        <v>1065</v>
      </c>
      <c r="F229" s="109">
        <v>1100</v>
      </c>
      <c r="G229" s="109" t="s">
        <v>1998</v>
      </c>
      <c r="H229" s="111"/>
      <c r="I229" s="111"/>
      <c r="J229" s="111"/>
      <c r="K229" s="111"/>
      <c r="L229" s="111"/>
      <c r="M229" s="109" t="s">
        <v>1258</v>
      </c>
      <c r="N229" s="109"/>
      <c r="O229" s="109"/>
      <c r="P229" s="109"/>
      <c r="Q229" s="109"/>
      <c r="R229" s="110"/>
      <c r="S229" s="110"/>
      <c r="T229" s="112" t="str">
        <f ca="1">IF(AND('Inserimento dati'!$B$3=$H$2, Tabella3[[#This Row],[LUN]]="X"), "X",IF(AND('Inserimento dati'!$B$3=$I$2, Tabella3[[#This Row],[MAR]]="X"), "X", IF(AND('Inserimento dati'!$B$3=$J$2, Tabella3[[#This Row],[MER]]="X"), "X",IF(AND('Inserimento dati'!$B$3=$K$2, Tabella3[[#This Row],[GIO]]="X"), "X", IF(AND('Inserimento dati'!$B$3=$L$2, Tabella3[[#This Row],[VEN]]="X"), "X","")))))</f>
        <v/>
      </c>
      <c r="U229" s="143" t="str">
        <f t="shared" ca="1" si="10"/>
        <v>10215991</v>
      </c>
      <c r="V229" s="187">
        <v>45930.833333333336</v>
      </c>
    </row>
    <row r="230" spans="1:22" s="19" customFormat="1" ht="23.25" x14ac:dyDescent="0.2">
      <c r="A230" s="112"/>
      <c r="B230" s="112">
        <v>4</v>
      </c>
      <c r="C230" s="112" t="str">
        <f>IF(OR(Tabella3[[#This Row],[LUN]]="X",Tabella3[[#This Row],[MAR]]="X",Tabella3[[#This Row],[MER]]="X",Tabella3[[#This Row],[GIO]]="X",Tabella3[[#This Row],[VEN]]="X",),"X","")</f>
        <v/>
      </c>
      <c r="D230" s="113" t="s">
        <v>87</v>
      </c>
      <c r="E230" s="109" t="s">
        <v>1062</v>
      </c>
      <c r="F230" s="109">
        <v>700</v>
      </c>
      <c r="G230" s="109" t="s">
        <v>1999</v>
      </c>
      <c r="H230" s="111"/>
      <c r="I230" s="111"/>
      <c r="J230" s="111"/>
      <c r="K230" s="111"/>
      <c r="L230" s="111"/>
      <c r="M230" s="109" t="s">
        <v>1258</v>
      </c>
      <c r="N230" s="109"/>
      <c r="O230" s="109"/>
      <c r="P230" s="109"/>
      <c r="Q230" s="109"/>
      <c r="R230" s="110"/>
      <c r="S230" s="109"/>
      <c r="T230" s="116" t="str">
        <f ca="1">IF(AND('Inserimento dati'!$B$3=$H$2, Tabella3[[#This Row],[LUN]]="X"), "X",IF(AND('Inserimento dati'!$B$3=$I$2, Tabella3[[#This Row],[MAR]]="X"), "X", IF(AND('Inserimento dati'!$B$3=$J$2, Tabella3[[#This Row],[MER]]="X"), "X",IF(AND('Inserimento dati'!$B$3=$K$2, Tabella3[[#This Row],[GIO]]="X"), "X", IF(AND('Inserimento dati'!$B$3=$L$2, Tabella3[[#This Row],[VEN]]="X"), "X","")))))</f>
        <v/>
      </c>
      <c r="U230" s="143" t="str">
        <f t="shared" ca="1" si="10"/>
        <v>10221625</v>
      </c>
      <c r="V230" s="187">
        <v>45930.833333333336</v>
      </c>
    </row>
    <row r="231" spans="1:22" s="19" customFormat="1" ht="23.25" x14ac:dyDescent="0.2">
      <c r="A231" s="112"/>
      <c r="B231" s="112">
        <v>4</v>
      </c>
      <c r="C231" s="112" t="str">
        <f>IF(OR(Tabella3[[#This Row],[LUN]]="X",Tabella3[[#This Row],[MAR]]="X",Tabella3[[#This Row],[MER]]="X",Tabella3[[#This Row],[GIO]]="X",Tabella3[[#This Row],[VEN]]="X",),"X","")</f>
        <v/>
      </c>
      <c r="D231" s="113" t="s">
        <v>87</v>
      </c>
      <c r="E231" s="109" t="s">
        <v>1069</v>
      </c>
      <c r="F231" s="109">
        <v>1400</v>
      </c>
      <c r="G231" s="109" t="s">
        <v>2000</v>
      </c>
      <c r="H231" s="111"/>
      <c r="I231" s="111"/>
      <c r="J231" s="111"/>
      <c r="K231" s="111"/>
      <c r="L231" s="111"/>
      <c r="M231" s="109" t="s">
        <v>1258</v>
      </c>
      <c r="N231" s="109"/>
      <c r="O231" s="109"/>
      <c r="P231" s="109"/>
      <c r="Q231" s="109"/>
      <c r="R231" s="110"/>
      <c r="S231" s="110"/>
      <c r="T231" s="112" t="str">
        <f ca="1">IF(AND('Inserimento dati'!$B$3=$H$2, Tabella3[[#This Row],[LUN]]="X"), "X",IF(AND('Inserimento dati'!$B$3=$I$2, Tabella3[[#This Row],[MAR]]="X"), "X", IF(AND('Inserimento dati'!$B$3=$J$2, Tabella3[[#This Row],[MER]]="X"), "X",IF(AND('Inserimento dati'!$B$3=$K$2, Tabella3[[#This Row],[GIO]]="X"), "X", IF(AND('Inserimento dati'!$B$3=$L$2, Tabella3[[#This Row],[VEN]]="X"), "X","")))))</f>
        <v/>
      </c>
      <c r="U231" s="143" t="str">
        <f t="shared" ca="1" si="10"/>
        <v>10215990</v>
      </c>
      <c r="V231" s="187">
        <v>45930.833333333336</v>
      </c>
    </row>
    <row r="232" spans="1:22" s="19" customFormat="1" ht="23.25" x14ac:dyDescent="0.2">
      <c r="A232" s="112"/>
      <c r="B232" s="112">
        <v>4</v>
      </c>
      <c r="C232" s="112" t="str">
        <f>IF(OR(Tabella3[[#This Row],[LUN]]="X",Tabella3[[#This Row],[MAR]]="X",Tabella3[[#This Row],[MER]]="X",Tabella3[[#This Row],[GIO]]="X",Tabella3[[#This Row],[VEN]]="X",),"X","")</f>
        <v/>
      </c>
      <c r="D232" s="113" t="s">
        <v>87</v>
      </c>
      <c r="E232" s="109" t="s">
        <v>636</v>
      </c>
      <c r="F232" s="109" t="s">
        <v>93</v>
      </c>
      <c r="G232" s="109" t="s">
        <v>2001</v>
      </c>
      <c r="H232" s="111"/>
      <c r="I232" s="111"/>
      <c r="J232" s="111"/>
      <c r="K232" s="111"/>
      <c r="L232" s="111"/>
      <c r="M232" s="109" t="s">
        <v>1258</v>
      </c>
      <c r="N232" s="109"/>
      <c r="O232" s="109"/>
      <c r="P232" s="109"/>
      <c r="Q232" s="109"/>
      <c r="R232" s="110"/>
      <c r="S232" s="109"/>
      <c r="T232" s="116" t="str">
        <f ca="1">IF(AND('Inserimento dati'!$B$3=$H$2, Tabella3[[#This Row],[LUN]]="X"), "X",IF(AND('Inserimento dati'!$B$3=$I$2, Tabella3[[#This Row],[MAR]]="X"), "X", IF(AND('Inserimento dati'!$B$3=$J$2, Tabella3[[#This Row],[MER]]="X"), "X",IF(AND('Inserimento dati'!$B$3=$K$2, Tabella3[[#This Row],[GIO]]="X"), "X", IF(AND('Inserimento dati'!$B$3=$L$2, Tabella3[[#This Row],[VEN]]="X"), "X","")))))</f>
        <v/>
      </c>
      <c r="U232" s="143" t="str">
        <f t="shared" ca="1" si="10"/>
        <v>10216874</v>
      </c>
      <c r="V232" s="187">
        <v>45930.833333333336</v>
      </c>
    </row>
    <row r="233" spans="1:22" s="19" customFormat="1" ht="23.25" x14ac:dyDescent="0.2">
      <c r="A233" s="112"/>
      <c r="B233" s="112">
        <v>4</v>
      </c>
      <c r="C233" s="112" t="str">
        <f>IF(OR(Tabella3[[#This Row],[LUN]]="X",Tabella3[[#This Row],[MAR]]="X",Tabella3[[#This Row],[MER]]="X",Tabella3[[#This Row],[GIO]]="X",Tabella3[[#This Row],[VEN]]="X",),"X","")</f>
        <v/>
      </c>
      <c r="D233" s="113" t="s">
        <v>87</v>
      </c>
      <c r="E233" s="109" t="s">
        <v>439</v>
      </c>
      <c r="F233" s="109" t="s">
        <v>114</v>
      </c>
      <c r="G233" s="109" t="s">
        <v>2002</v>
      </c>
      <c r="H233" s="111"/>
      <c r="I233" s="111"/>
      <c r="J233" s="111"/>
      <c r="K233" s="111"/>
      <c r="L233" s="111"/>
      <c r="M233" s="109" t="s">
        <v>1258</v>
      </c>
      <c r="N233" s="109"/>
      <c r="O233" s="109"/>
      <c r="P233" s="109"/>
      <c r="Q233" s="109"/>
      <c r="R233" s="110"/>
      <c r="S233" s="110"/>
      <c r="T233" s="112" t="str">
        <f ca="1">IF(AND('Inserimento dati'!$B$3=$H$2, Tabella3[[#This Row],[LUN]]="X"), "X",IF(AND('Inserimento dati'!$B$3=$I$2, Tabella3[[#This Row],[MAR]]="X"), "X", IF(AND('Inserimento dati'!$B$3=$J$2, Tabella3[[#This Row],[MER]]="X"), "X",IF(AND('Inserimento dati'!$B$3=$K$2, Tabella3[[#This Row],[GIO]]="X"), "X", IF(AND('Inserimento dati'!$B$3=$L$2, Tabella3[[#This Row],[VEN]]="X"), "X","")))))</f>
        <v/>
      </c>
      <c r="U233" s="143" t="str">
        <f t="shared" ca="1" si="10"/>
        <v>10215297</v>
      </c>
      <c r="V233" s="187">
        <v>45930.833333333336</v>
      </c>
    </row>
    <row r="234" spans="1:22" s="19" customFormat="1" ht="23.25" x14ac:dyDescent="0.2">
      <c r="A234" s="112"/>
      <c r="B234" s="112">
        <v>4</v>
      </c>
      <c r="C234" s="112" t="str">
        <f>IF(OR(Tabella3[[#This Row],[LUN]]="X",Tabella3[[#This Row],[MAR]]="X",Tabella3[[#This Row],[MER]]="X",Tabella3[[#This Row],[GIO]]="X",Tabella3[[#This Row],[VEN]]="X",),"X","")</f>
        <v/>
      </c>
      <c r="D234" s="113" t="s">
        <v>87</v>
      </c>
      <c r="E234" s="109" t="s">
        <v>440</v>
      </c>
      <c r="F234" s="109" t="s">
        <v>114</v>
      </c>
      <c r="G234" s="109" t="s">
        <v>2003</v>
      </c>
      <c r="H234" s="111"/>
      <c r="I234" s="111"/>
      <c r="J234" s="111"/>
      <c r="K234" s="111"/>
      <c r="L234" s="111"/>
      <c r="M234" s="109" t="s">
        <v>1258</v>
      </c>
      <c r="N234" s="109"/>
      <c r="O234" s="109"/>
      <c r="P234" s="109"/>
      <c r="Q234" s="109"/>
      <c r="R234" s="110"/>
      <c r="S234" s="110"/>
      <c r="T234" s="112" t="str">
        <f ca="1">IF(AND('Inserimento dati'!$B$3=$H$2, Tabella3[[#This Row],[LUN]]="X"), "X",IF(AND('Inserimento dati'!$B$3=$I$2, Tabella3[[#This Row],[MAR]]="X"), "X", IF(AND('Inserimento dati'!$B$3=$J$2, Tabella3[[#This Row],[MER]]="X"), "X",IF(AND('Inserimento dati'!$B$3=$K$2, Tabella3[[#This Row],[GIO]]="X"), "X", IF(AND('Inserimento dati'!$B$3=$L$2, Tabella3[[#This Row],[VEN]]="X"), "X","")))))</f>
        <v/>
      </c>
      <c r="U234" s="143" t="str">
        <f t="shared" ca="1" si="10"/>
        <v/>
      </c>
      <c r="V234" s="187">
        <v>45930.833333333336</v>
      </c>
    </row>
    <row r="235" spans="1:22" s="19" customFormat="1" ht="23.25" x14ac:dyDescent="0.2">
      <c r="A235" s="112"/>
      <c r="B235" s="112">
        <v>4</v>
      </c>
      <c r="C235" s="112" t="str">
        <f>IF(OR(Tabella3[[#This Row],[LUN]]="X",Tabella3[[#This Row],[MAR]]="X",Tabella3[[#This Row],[MER]]="X",Tabella3[[#This Row],[GIO]]="X",Tabella3[[#This Row],[VEN]]="X",),"X","")</f>
        <v/>
      </c>
      <c r="D235" s="113" t="s">
        <v>87</v>
      </c>
      <c r="E235" s="109" t="s">
        <v>317</v>
      </c>
      <c r="F235" s="109" t="s">
        <v>114</v>
      </c>
      <c r="G235" s="109" t="s">
        <v>2004</v>
      </c>
      <c r="H235" s="111"/>
      <c r="I235" s="111"/>
      <c r="J235" s="111"/>
      <c r="K235" s="111"/>
      <c r="L235" s="111"/>
      <c r="M235" s="109" t="s">
        <v>1258</v>
      </c>
      <c r="N235" s="109"/>
      <c r="O235" s="109"/>
      <c r="P235" s="109"/>
      <c r="Q235" s="109"/>
      <c r="R235" s="110"/>
      <c r="S235" s="110"/>
      <c r="T235" s="112" t="str">
        <f ca="1">IF(AND('Inserimento dati'!$B$3=$H$2, Tabella3[[#This Row],[LUN]]="X"), "X",IF(AND('Inserimento dati'!$B$3=$I$2, Tabella3[[#This Row],[MAR]]="X"), "X", IF(AND('Inserimento dati'!$B$3=$J$2, Tabella3[[#This Row],[MER]]="X"), "X",IF(AND('Inserimento dati'!$B$3=$K$2, Tabella3[[#This Row],[GIO]]="X"), "X", IF(AND('Inserimento dati'!$B$3=$L$2, Tabella3[[#This Row],[VEN]]="X"), "X","")))))</f>
        <v/>
      </c>
      <c r="U235" s="143" t="str">
        <f t="shared" ca="1" si="10"/>
        <v>10214483</v>
      </c>
      <c r="V235" s="187">
        <v>45930.833333333336</v>
      </c>
    </row>
    <row r="236" spans="1:22" s="19" customFormat="1" ht="23.25" x14ac:dyDescent="0.2">
      <c r="A236" s="112"/>
      <c r="B236" s="112">
        <v>4</v>
      </c>
      <c r="C236" s="112" t="str">
        <f>IF(OR(Tabella3[[#This Row],[LUN]]="X",Tabella3[[#This Row],[MAR]]="X",Tabella3[[#This Row],[MER]]="X",Tabella3[[#This Row],[GIO]]="X",Tabella3[[#This Row],[VEN]]="X",),"X","")</f>
        <v/>
      </c>
      <c r="D236" s="113" t="s">
        <v>87</v>
      </c>
      <c r="E236" s="109" t="s">
        <v>312</v>
      </c>
      <c r="F236" s="109">
        <v>700</v>
      </c>
      <c r="G236" s="109" t="s">
        <v>2005</v>
      </c>
      <c r="H236" s="111"/>
      <c r="I236" s="111"/>
      <c r="J236" s="111"/>
      <c r="K236" s="111"/>
      <c r="L236" s="111"/>
      <c r="M236" s="109" t="s">
        <v>1258</v>
      </c>
      <c r="N236" s="109"/>
      <c r="O236" s="109"/>
      <c r="P236" s="109"/>
      <c r="Q236" s="109"/>
      <c r="R236" s="110"/>
      <c r="S236" s="110"/>
      <c r="T236" s="112" t="str">
        <f ca="1">IF(AND('Inserimento dati'!$B$3=$H$2, Tabella3[[#This Row],[LUN]]="X"), "X",IF(AND('Inserimento dati'!$B$3=$I$2, Tabella3[[#This Row],[MAR]]="X"), "X", IF(AND('Inserimento dati'!$B$3=$J$2, Tabella3[[#This Row],[MER]]="X"), "X",IF(AND('Inserimento dati'!$B$3=$K$2, Tabella3[[#This Row],[GIO]]="X"), "X", IF(AND('Inserimento dati'!$B$3=$L$2, Tabella3[[#This Row],[VEN]]="X"), "X","")))))</f>
        <v/>
      </c>
      <c r="U236" s="143" t="str">
        <f t="shared" ca="1" si="10"/>
        <v>10214556</v>
      </c>
      <c r="V236" s="187">
        <v>45930.833333333336</v>
      </c>
    </row>
    <row r="237" spans="1:22" s="19" customFormat="1" ht="23.25" x14ac:dyDescent="0.2">
      <c r="A237" s="112"/>
      <c r="B237" s="112">
        <v>4</v>
      </c>
      <c r="C237" s="112" t="str">
        <f>IF(OR(Tabella3[[#This Row],[LUN]]="X",Tabella3[[#This Row],[MAR]]="X",Tabella3[[#This Row],[MER]]="X",Tabella3[[#This Row],[GIO]]="X",Tabella3[[#This Row],[VEN]]="X",),"X","")</f>
        <v/>
      </c>
      <c r="D237" s="113" t="s">
        <v>87</v>
      </c>
      <c r="E237" s="109" t="s">
        <v>449</v>
      </c>
      <c r="F237" s="109">
        <v>700</v>
      </c>
      <c r="G237" s="109" t="s">
        <v>2006</v>
      </c>
      <c r="H237" s="111"/>
      <c r="I237" s="111"/>
      <c r="J237" s="111"/>
      <c r="K237" s="111"/>
      <c r="L237" s="111"/>
      <c r="M237" s="109" t="s">
        <v>1258</v>
      </c>
      <c r="N237" s="109"/>
      <c r="O237" s="109"/>
      <c r="P237" s="109"/>
      <c r="Q237" s="109"/>
      <c r="R237" s="110"/>
      <c r="S237" s="110"/>
      <c r="T237" s="112" t="str">
        <f ca="1">IF(AND('Inserimento dati'!$B$3=$H$2, Tabella3[[#This Row],[LUN]]="X"), "X",IF(AND('Inserimento dati'!$B$3=$I$2, Tabella3[[#This Row],[MAR]]="X"), "X", IF(AND('Inserimento dati'!$B$3=$J$2, Tabella3[[#This Row],[MER]]="X"), "X",IF(AND('Inserimento dati'!$B$3=$K$2, Tabella3[[#This Row],[GIO]]="X"), "X", IF(AND('Inserimento dati'!$B$3=$L$2, Tabella3[[#This Row],[VEN]]="X"), "X","")))))</f>
        <v/>
      </c>
      <c r="U237" s="143" t="str">
        <f t="shared" ca="1" si="10"/>
        <v>10215414</v>
      </c>
      <c r="V237" s="187">
        <v>45930.833333333336</v>
      </c>
    </row>
    <row r="238" spans="1:22" s="19" customFormat="1" ht="23.25" x14ac:dyDescent="0.2">
      <c r="A238" s="112"/>
      <c r="B238" s="112">
        <v>4</v>
      </c>
      <c r="C238" s="112" t="str">
        <f>IF(OR(Tabella3[[#This Row],[LUN]]="X",Tabella3[[#This Row],[MAR]]="X",Tabella3[[#This Row],[MER]]="X",Tabella3[[#This Row],[GIO]]="X",Tabella3[[#This Row],[VEN]]="X",),"X","")</f>
        <v/>
      </c>
      <c r="D238" s="113" t="s">
        <v>87</v>
      </c>
      <c r="E238" s="109" t="s">
        <v>511</v>
      </c>
      <c r="F238" s="109" t="s">
        <v>88</v>
      </c>
      <c r="G238" s="109" t="s">
        <v>2007</v>
      </c>
      <c r="H238" s="111"/>
      <c r="I238" s="111"/>
      <c r="J238" s="111"/>
      <c r="K238" s="111"/>
      <c r="L238" s="111"/>
      <c r="M238" s="109" t="s">
        <v>1258</v>
      </c>
      <c r="N238" s="109"/>
      <c r="O238" s="109"/>
      <c r="P238" s="109"/>
      <c r="Q238" s="109"/>
      <c r="R238" s="110"/>
      <c r="S238" s="110"/>
      <c r="T238" s="112" t="str">
        <f ca="1">IF(AND('Inserimento dati'!$B$3=$H$2, Tabella3[[#This Row],[LUN]]="X"), "X",IF(AND('Inserimento dati'!$B$3=$I$2, Tabella3[[#This Row],[MAR]]="X"), "X", IF(AND('Inserimento dati'!$B$3=$J$2, Tabella3[[#This Row],[MER]]="X"), "X",IF(AND('Inserimento dati'!$B$3=$K$2, Tabella3[[#This Row],[GIO]]="X"), "X", IF(AND('Inserimento dati'!$B$3=$L$2, Tabella3[[#This Row],[VEN]]="X"), "X","")))))</f>
        <v/>
      </c>
      <c r="U238" s="143" t="str">
        <f t="shared" ca="1" si="10"/>
        <v>10215992</v>
      </c>
      <c r="V238" s="187">
        <v>45930.833333333336</v>
      </c>
    </row>
    <row r="239" spans="1:22" s="19" customFormat="1" ht="23.25" x14ac:dyDescent="0.2">
      <c r="A239" s="112"/>
      <c r="B239" s="112">
        <v>4</v>
      </c>
      <c r="C239" s="112" t="str">
        <f>IF(OR(Tabella3[[#This Row],[LUN]]="X",Tabella3[[#This Row],[MAR]]="X",Tabella3[[#This Row],[MER]]="X",Tabella3[[#This Row],[GIO]]="X",Tabella3[[#This Row],[VEN]]="X",),"X","")</f>
        <v/>
      </c>
      <c r="D239" s="113" t="s">
        <v>87</v>
      </c>
      <c r="E239" s="109" t="s">
        <v>513</v>
      </c>
      <c r="F239" s="109" t="s">
        <v>97</v>
      </c>
      <c r="G239" s="109" t="s">
        <v>2008</v>
      </c>
      <c r="H239" s="111"/>
      <c r="I239" s="111"/>
      <c r="J239" s="111"/>
      <c r="K239" s="111"/>
      <c r="L239" s="111"/>
      <c r="M239" s="109" t="s">
        <v>1258</v>
      </c>
      <c r="N239" s="109"/>
      <c r="O239" s="109"/>
      <c r="P239" s="109"/>
      <c r="Q239" s="109"/>
      <c r="R239" s="110"/>
      <c r="S239" s="110"/>
      <c r="T239" s="112" t="str">
        <f ca="1">IF(AND('Inserimento dati'!$B$3=$H$2, Tabella3[[#This Row],[LUN]]="X"), "X",IF(AND('Inserimento dati'!$B$3=$I$2, Tabella3[[#This Row],[MAR]]="X"), "X", IF(AND('Inserimento dati'!$B$3=$J$2, Tabella3[[#This Row],[MER]]="X"), "X",IF(AND('Inserimento dati'!$B$3=$K$2, Tabella3[[#This Row],[GIO]]="X"), "X", IF(AND('Inserimento dati'!$B$3=$L$2, Tabella3[[#This Row],[VEN]]="X"), "X","")))))</f>
        <v/>
      </c>
      <c r="U239" s="143" t="str">
        <f t="shared" ca="1" si="10"/>
        <v>10215992</v>
      </c>
      <c r="V239" s="187">
        <v>45930.833333333336</v>
      </c>
    </row>
    <row r="240" spans="1:22" s="19" customFormat="1" ht="23.25" x14ac:dyDescent="0.2">
      <c r="A240" s="112"/>
      <c r="B240" s="112">
        <v>4</v>
      </c>
      <c r="C240" s="112" t="str">
        <f>IF(OR(Tabella3[[#This Row],[LUN]]="X",Tabella3[[#This Row],[MAR]]="X",Tabella3[[#This Row],[MER]]="X",Tabella3[[#This Row],[GIO]]="X",Tabella3[[#This Row],[VEN]]="X",),"X","")</f>
        <v/>
      </c>
      <c r="D240" s="113" t="s">
        <v>87</v>
      </c>
      <c r="E240" s="109" t="s">
        <v>514</v>
      </c>
      <c r="F240" s="109" t="s">
        <v>97</v>
      </c>
      <c r="G240" s="109" t="s">
        <v>2009</v>
      </c>
      <c r="H240" s="111"/>
      <c r="I240" s="111"/>
      <c r="J240" s="111"/>
      <c r="K240" s="111"/>
      <c r="L240" s="111"/>
      <c r="M240" s="109" t="s">
        <v>1258</v>
      </c>
      <c r="N240" s="109"/>
      <c r="O240" s="109"/>
      <c r="P240" s="109"/>
      <c r="Q240" s="109"/>
      <c r="R240" s="110"/>
      <c r="S240" s="110"/>
      <c r="T240" s="112" t="str">
        <f ca="1">IF(AND('Inserimento dati'!$B$3=$H$2, Tabella3[[#This Row],[LUN]]="X"), "X",IF(AND('Inserimento dati'!$B$3=$I$2, Tabella3[[#This Row],[MAR]]="X"), "X", IF(AND('Inserimento dati'!$B$3=$J$2, Tabella3[[#This Row],[MER]]="X"), "X",IF(AND('Inserimento dati'!$B$3=$K$2, Tabella3[[#This Row],[GIO]]="X"), "X", IF(AND('Inserimento dati'!$B$3=$L$2, Tabella3[[#This Row],[VEN]]="X"), "X","")))))</f>
        <v/>
      </c>
      <c r="U240" s="143" t="str">
        <f t="shared" ca="1" si="10"/>
        <v>10215992</v>
      </c>
      <c r="V240" s="187">
        <v>45930.833333333336</v>
      </c>
    </row>
    <row r="241" spans="1:22" s="19" customFormat="1" ht="23.25" x14ac:dyDescent="0.2">
      <c r="A241" s="112"/>
      <c r="B241" s="112">
        <v>4</v>
      </c>
      <c r="C241" s="112" t="str">
        <f>IF(OR(Tabella3[[#This Row],[LUN]]="X",Tabella3[[#This Row],[MAR]]="X",Tabella3[[#This Row],[MER]]="X",Tabella3[[#This Row],[GIO]]="X",Tabella3[[#This Row],[VEN]]="X",),"X","")</f>
        <v/>
      </c>
      <c r="D241" s="113" t="s">
        <v>87</v>
      </c>
      <c r="E241" s="109" t="s">
        <v>515</v>
      </c>
      <c r="F241" s="109" t="s">
        <v>112</v>
      </c>
      <c r="G241" s="109" t="s">
        <v>2010</v>
      </c>
      <c r="H241" s="111"/>
      <c r="I241" s="111"/>
      <c r="J241" s="111"/>
      <c r="K241" s="111"/>
      <c r="L241" s="111"/>
      <c r="M241" s="109" t="s">
        <v>1258</v>
      </c>
      <c r="N241" s="109"/>
      <c r="O241" s="109"/>
      <c r="P241" s="109"/>
      <c r="Q241" s="109"/>
      <c r="R241" s="110"/>
      <c r="S241" s="110"/>
      <c r="T241" s="112" t="str">
        <f ca="1">IF(AND('Inserimento dati'!$B$3=$H$2, Tabella3[[#This Row],[LUN]]="X"), "X",IF(AND('Inserimento dati'!$B$3=$I$2, Tabella3[[#This Row],[MAR]]="X"), "X", IF(AND('Inserimento dati'!$B$3=$J$2, Tabella3[[#This Row],[MER]]="X"), "X",IF(AND('Inserimento dati'!$B$3=$K$2, Tabella3[[#This Row],[GIO]]="X"), "X", IF(AND('Inserimento dati'!$B$3=$L$2, Tabella3[[#This Row],[VEN]]="X"), "X","")))))</f>
        <v/>
      </c>
      <c r="U241" s="143" t="str">
        <f t="shared" ca="1" si="10"/>
        <v>10215992</v>
      </c>
      <c r="V241" s="187">
        <v>45930.833333333336</v>
      </c>
    </row>
    <row r="242" spans="1:22" s="19" customFormat="1" ht="23.25" x14ac:dyDescent="0.2">
      <c r="A242" s="112"/>
      <c r="B242" s="112">
        <v>4</v>
      </c>
      <c r="C242" s="112" t="str">
        <f>IF(OR(Tabella3[[#This Row],[LUN]]="X",Tabella3[[#This Row],[MAR]]="X",Tabella3[[#This Row],[MER]]="X",Tabella3[[#This Row],[GIO]]="X",Tabella3[[#This Row],[VEN]]="X",),"X","")</f>
        <v/>
      </c>
      <c r="D242" s="113" t="s">
        <v>87</v>
      </c>
      <c r="E242" s="109" t="s">
        <v>516</v>
      </c>
      <c r="F242" s="109" t="s">
        <v>93</v>
      </c>
      <c r="G242" s="109" t="s">
        <v>2011</v>
      </c>
      <c r="H242" s="111"/>
      <c r="I242" s="111"/>
      <c r="J242" s="111"/>
      <c r="K242" s="111"/>
      <c r="L242" s="111"/>
      <c r="M242" s="109" t="s">
        <v>1258</v>
      </c>
      <c r="N242" s="109"/>
      <c r="O242" s="109"/>
      <c r="P242" s="109"/>
      <c r="Q242" s="109"/>
      <c r="R242" s="110"/>
      <c r="S242" s="110"/>
      <c r="T242" s="112" t="str">
        <f ca="1">IF(AND('Inserimento dati'!$B$3=$H$2, Tabella3[[#This Row],[LUN]]="X"), "X",IF(AND('Inserimento dati'!$B$3=$I$2, Tabella3[[#This Row],[MAR]]="X"), "X", IF(AND('Inserimento dati'!$B$3=$J$2, Tabella3[[#This Row],[MER]]="X"), "X",IF(AND('Inserimento dati'!$B$3=$K$2, Tabella3[[#This Row],[GIO]]="X"), "X", IF(AND('Inserimento dati'!$B$3=$L$2, Tabella3[[#This Row],[VEN]]="X"), "X","")))))</f>
        <v/>
      </c>
      <c r="U242" s="143" t="str">
        <f t="shared" ca="1" si="10"/>
        <v>10215992</v>
      </c>
      <c r="V242" s="187">
        <v>45930.833333333336</v>
      </c>
    </row>
    <row r="243" spans="1:22" s="19" customFormat="1" ht="23.25" x14ac:dyDescent="0.2">
      <c r="A243" s="112"/>
      <c r="B243" s="112">
        <v>4</v>
      </c>
      <c r="C243" s="112" t="str">
        <f>IF(OR(Tabella3[[#This Row],[LUN]]="X",Tabella3[[#This Row],[MAR]]="X",Tabella3[[#This Row],[MER]]="X",Tabella3[[#This Row],[GIO]]="X",Tabella3[[#This Row],[VEN]]="X",),"X","")</f>
        <v/>
      </c>
      <c r="D243" s="113" t="s">
        <v>87</v>
      </c>
      <c r="E243" s="109" t="s">
        <v>517</v>
      </c>
      <c r="F243" s="109">
        <v>1100</v>
      </c>
      <c r="G243" s="109" t="s">
        <v>2012</v>
      </c>
      <c r="H243" s="111"/>
      <c r="I243" s="111"/>
      <c r="J243" s="111"/>
      <c r="K243" s="111"/>
      <c r="L243" s="111"/>
      <c r="M243" s="109" t="s">
        <v>1258</v>
      </c>
      <c r="N243" s="109"/>
      <c r="O243" s="109"/>
      <c r="P243" s="109"/>
      <c r="Q243" s="109"/>
      <c r="R243" s="110"/>
      <c r="S243" s="110"/>
      <c r="T243" s="112" t="str">
        <f ca="1">IF(AND('Inserimento dati'!$B$3=$H$2, Tabella3[[#This Row],[LUN]]="X"), "X",IF(AND('Inserimento dati'!$B$3=$I$2, Tabella3[[#This Row],[MAR]]="X"), "X", IF(AND('Inserimento dati'!$B$3=$J$2, Tabella3[[#This Row],[MER]]="X"), "X",IF(AND('Inserimento dati'!$B$3=$K$2, Tabella3[[#This Row],[GIO]]="X"), "X", IF(AND('Inserimento dati'!$B$3=$L$2, Tabella3[[#This Row],[VEN]]="X"), "X","")))))</f>
        <v/>
      </c>
      <c r="U243" s="143" t="str">
        <f t="shared" ca="1" si="10"/>
        <v>10215991</v>
      </c>
      <c r="V243" s="187">
        <v>45930.833333333336</v>
      </c>
    </row>
    <row r="244" spans="1:22" s="19" customFormat="1" ht="23.25" x14ac:dyDescent="0.2">
      <c r="A244" s="112"/>
      <c r="B244" s="112">
        <v>4</v>
      </c>
      <c r="C244" s="112" t="str">
        <f>IF(OR(Tabella3[[#This Row],[LUN]]="X",Tabella3[[#This Row],[MAR]]="X",Tabella3[[#This Row],[MER]]="X",Tabella3[[#This Row],[GIO]]="X",Tabella3[[#This Row],[VEN]]="X",),"X","")</f>
        <v/>
      </c>
      <c r="D244" s="113" t="s">
        <v>87</v>
      </c>
      <c r="E244" s="109" t="s">
        <v>518</v>
      </c>
      <c r="F244" s="109">
        <v>1100</v>
      </c>
      <c r="G244" s="109" t="s">
        <v>2013</v>
      </c>
      <c r="H244" s="111"/>
      <c r="I244" s="111"/>
      <c r="J244" s="111"/>
      <c r="K244" s="111"/>
      <c r="L244" s="111"/>
      <c r="M244" s="109" t="s">
        <v>1258</v>
      </c>
      <c r="N244" s="109"/>
      <c r="O244" s="109"/>
      <c r="P244" s="109"/>
      <c r="Q244" s="109"/>
      <c r="R244" s="110"/>
      <c r="S244" s="110"/>
      <c r="T244" s="112" t="str">
        <f ca="1">IF(AND('Inserimento dati'!$B$3=$H$2, Tabella3[[#This Row],[LUN]]="X"), "X",IF(AND('Inserimento dati'!$B$3=$I$2, Tabella3[[#This Row],[MAR]]="X"), "X", IF(AND('Inserimento dati'!$B$3=$J$2, Tabella3[[#This Row],[MER]]="X"), "X",IF(AND('Inserimento dati'!$B$3=$K$2, Tabella3[[#This Row],[GIO]]="X"), "X", IF(AND('Inserimento dati'!$B$3=$L$2, Tabella3[[#This Row],[VEN]]="X"), "X","")))))</f>
        <v/>
      </c>
      <c r="U244" s="143" t="str">
        <f t="shared" ca="1" si="10"/>
        <v>10215991</v>
      </c>
      <c r="V244" s="187">
        <v>45930.833333333336</v>
      </c>
    </row>
    <row r="245" spans="1:22" s="19" customFormat="1" ht="23.25" x14ac:dyDescent="0.2">
      <c r="A245" s="112"/>
      <c r="B245" s="112">
        <v>4</v>
      </c>
      <c r="C245" s="112" t="str">
        <f>IF(OR(Tabella3[[#This Row],[LUN]]="X",Tabella3[[#This Row],[MAR]]="X",Tabella3[[#This Row],[MER]]="X",Tabella3[[#This Row],[GIO]]="X",Tabella3[[#This Row],[VEN]]="X",),"X","")</f>
        <v/>
      </c>
      <c r="D245" s="113" t="s">
        <v>87</v>
      </c>
      <c r="E245" s="109" t="s">
        <v>494</v>
      </c>
      <c r="F245" s="109" t="s">
        <v>114</v>
      </c>
      <c r="G245" s="109" t="s">
        <v>2014</v>
      </c>
      <c r="H245" s="111"/>
      <c r="I245" s="111"/>
      <c r="J245" s="111"/>
      <c r="K245" s="111"/>
      <c r="L245" s="111"/>
      <c r="M245" s="109" t="s">
        <v>1258</v>
      </c>
      <c r="N245" s="109"/>
      <c r="O245" s="109"/>
      <c r="P245" s="109"/>
      <c r="Q245" s="109"/>
      <c r="R245" s="110"/>
      <c r="S245" s="109"/>
      <c r="T245" s="112" t="str">
        <f ca="1">IF(AND('Inserimento dati'!$B$3=$H$2, Tabella3[[#This Row],[LUN]]="X"), "X",IF(AND('Inserimento dati'!$B$3=$I$2, Tabella3[[#This Row],[MAR]]="X"), "X", IF(AND('Inserimento dati'!$B$3=$J$2, Tabella3[[#This Row],[MER]]="X"), "X",IF(AND('Inserimento dati'!$B$3=$K$2, Tabella3[[#This Row],[GIO]]="X"), "X", IF(AND('Inserimento dati'!$B$3=$L$2, Tabella3[[#This Row],[VEN]]="X"), "X","")))))</f>
        <v/>
      </c>
      <c r="U245" s="143" t="str">
        <f t="shared" ca="1" si="10"/>
        <v>10215761</v>
      </c>
      <c r="V245" s="187">
        <v>45930.833333333336</v>
      </c>
    </row>
    <row r="246" spans="1:22" s="19" customFormat="1" ht="23.25" x14ac:dyDescent="0.2">
      <c r="A246" s="112"/>
      <c r="B246" s="112">
        <v>4</v>
      </c>
      <c r="C246" s="112" t="str">
        <f>IF(OR(Tabella3[[#This Row],[LUN]]="X",Tabella3[[#This Row],[MAR]]="X",Tabella3[[#This Row],[MER]]="X",Tabella3[[#This Row],[GIO]]="X",Tabella3[[#This Row],[VEN]]="X",),"X","")</f>
        <v/>
      </c>
      <c r="D246" s="113" t="s">
        <v>87</v>
      </c>
      <c r="E246" s="109" t="s">
        <v>660</v>
      </c>
      <c r="F246" s="109">
        <v>700</v>
      </c>
      <c r="G246" s="109" t="s">
        <v>2015</v>
      </c>
      <c r="H246" s="111"/>
      <c r="I246" s="111"/>
      <c r="J246" s="111"/>
      <c r="K246" s="111"/>
      <c r="L246" s="111"/>
      <c r="M246" s="109" t="s">
        <v>1258</v>
      </c>
      <c r="N246" s="109"/>
      <c r="O246" s="109"/>
      <c r="P246" s="109"/>
      <c r="Q246" s="109"/>
      <c r="R246" s="110"/>
      <c r="S246" s="109"/>
      <c r="T246" s="116" t="str">
        <f ca="1">IF(AND('Inserimento dati'!$B$3=$H$2, Tabella3[[#This Row],[LUN]]="X"), "X",IF(AND('Inserimento dati'!$B$3=$I$2, Tabella3[[#This Row],[MAR]]="X"), "X", IF(AND('Inserimento dati'!$B$3=$J$2, Tabella3[[#This Row],[MER]]="X"), "X",IF(AND('Inserimento dati'!$B$3=$K$2, Tabella3[[#This Row],[GIO]]="X"), "X", IF(AND('Inserimento dati'!$B$3=$L$2, Tabella3[[#This Row],[VEN]]="X"), "X","")))))</f>
        <v/>
      </c>
      <c r="U246" s="143" t="str">
        <f t="shared" ca="1" si="10"/>
        <v>10209347</v>
      </c>
      <c r="V246" s="187">
        <v>45930.833333333336</v>
      </c>
    </row>
    <row r="247" spans="1:22" s="19" customFormat="1" ht="23.25" x14ac:dyDescent="0.2">
      <c r="A247" s="112"/>
      <c r="B247" s="112">
        <v>4</v>
      </c>
      <c r="C247" s="112" t="str">
        <f>IF(OR(Tabella3[[#This Row],[LUN]]="X",Tabella3[[#This Row],[MAR]]="X",Tabella3[[#This Row],[MER]]="X",Tabella3[[#This Row],[GIO]]="X",Tabella3[[#This Row],[VEN]]="X",),"X","")</f>
        <v/>
      </c>
      <c r="D247" s="113" t="s">
        <v>87</v>
      </c>
      <c r="E247" s="109" t="s">
        <v>659</v>
      </c>
      <c r="F247" s="109">
        <v>1100</v>
      </c>
      <c r="G247" s="109" t="s">
        <v>2016</v>
      </c>
      <c r="H247" s="111"/>
      <c r="I247" s="111"/>
      <c r="J247" s="111"/>
      <c r="K247" s="111"/>
      <c r="L247" s="111"/>
      <c r="M247" s="109" t="s">
        <v>1258</v>
      </c>
      <c r="N247" s="109"/>
      <c r="O247" s="109"/>
      <c r="P247" s="109"/>
      <c r="Q247" s="109"/>
      <c r="R247" s="110"/>
      <c r="S247" s="109"/>
      <c r="T247" s="116" t="str">
        <f ca="1">IF(AND('Inserimento dati'!$B$3=$H$2, Tabella3[[#This Row],[LUN]]="X"), "X",IF(AND('Inserimento dati'!$B$3=$I$2, Tabella3[[#This Row],[MAR]]="X"), "X", IF(AND('Inserimento dati'!$B$3=$J$2, Tabella3[[#This Row],[MER]]="X"), "X",IF(AND('Inserimento dati'!$B$3=$K$2, Tabella3[[#This Row],[GIO]]="X"), "X", IF(AND('Inserimento dati'!$B$3=$L$2, Tabella3[[#This Row],[VEN]]="X"), "X","")))))</f>
        <v/>
      </c>
      <c r="U247" s="143" t="str">
        <f t="shared" ca="1" si="10"/>
        <v/>
      </c>
      <c r="V247" s="187">
        <v>45930.833333333336</v>
      </c>
    </row>
    <row r="248" spans="1:22" s="19" customFormat="1" ht="23.25" x14ac:dyDescent="0.2">
      <c r="A248" s="112"/>
      <c r="B248" s="112">
        <v>4</v>
      </c>
      <c r="C248" s="112" t="str">
        <f>IF(OR(Tabella3[[#This Row],[LUN]]="X",Tabella3[[#This Row],[MAR]]="X",Tabella3[[#This Row],[MER]]="X",Tabella3[[#This Row],[GIO]]="X",Tabella3[[#This Row],[VEN]]="X",),"X","")</f>
        <v/>
      </c>
      <c r="D248" s="113" t="s">
        <v>87</v>
      </c>
      <c r="E248" s="109" t="s">
        <v>891</v>
      </c>
      <c r="F248" s="109">
        <v>1800</v>
      </c>
      <c r="G248" s="109" t="s">
        <v>2017</v>
      </c>
      <c r="H248" s="111"/>
      <c r="I248" s="111"/>
      <c r="J248" s="111"/>
      <c r="K248" s="111"/>
      <c r="L248" s="111"/>
      <c r="M248" s="109" t="s">
        <v>1258</v>
      </c>
      <c r="N248" s="109"/>
      <c r="O248" s="109"/>
      <c r="P248" s="109"/>
      <c r="Q248" s="109"/>
      <c r="R248" s="110"/>
      <c r="S248" s="109"/>
      <c r="T248" s="116" t="str">
        <f ca="1">IF(AND('Inserimento dati'!$B$3=$H$2, Tabella3[[#This Row],[LUN]]="X"), "X",IF(AND('Inserimento dati'!$B$3=$I$2, Tabella3[[#This Row],[MAR]]="X"), "X", IF(AND('Inserimento dati'!$B$3=$J$2, Tabella3[[#This Row],[MER]]="X"), "X",IF(AND('Inserimento dati'!$B$3=$K$2, Tabella3[[#This Row],[GIO]]="X"), "X", IF(AND('Inserimento dati'!$B$3=$L$2, Tabella3[[#This Row],[VEN]]="X"), "X","")))))</f>
        <v/>
      </c>
      <c r="U248" s="143" t="str">
        <f t="shared" ca="1" si="10"/>
        <v>10219447</v>
      </c>
      <c r="V248" s="187">
        <v>45930.833333333336</v>
      </c>
    </row>
    <row r="249" spans="1:22" s="19" customFormat="1" ht="30" x14ac:dyDescent="0.2">
      <c r="A249" s="112"/>
      <c r="B249" s="112">
        <v>4</v>
      </c>
      <c r="C249" s="112" t="str">
        <f>IF(OR(Tabella3[[#This Row],[LUN]]="X",Tabella3[[#This Row],[MAR]]="X",Tabella3[[#This Row],[MER]]="X",Tabella3[[#This Row],[GIO]]="X",Tabella3[[#This Row],[VEN]]="X",),"X","")</f>
        <v/>
      </c>
      <c r="D249" s="113" t="s">
        <v>87</v>
      </c>
      <c r="E249" s="109" t="s">
        <v>892</v>
      </c>
      <c r="F249" s="109">
        <v>700</v>
      </c>
      <c r="G249" s="109" t="s">
        <v>2018</v>
      </c>
      <c r="H249" s="111"/>
      <c r="I249" s="111"/>
      <c r="J249" s="111"/>
      <c r="K249" s="111"/>
      <c r="L249" s="111"/>
      <c r="M249" s="109" t="s">
        <v>1258</v>
      </c>
      <c r="N249" s="109"/>
      <c r="O249" s="109"/>
      <c r="P249" s="109"/>
      <c r="Q249" s="109"/>
      <c r="R249" s="110"/>
      <c r="S249" s="109"/>
      <c r="T249" s="116" t="str">
        <f ca="1">IF(AND('Inserimento dati'!$B$3=$H$2, Tabella3[[#This Row],[LUN]]="X"), "X",IF(AND('Inserimento dati'!$B$3=$I$2, Tabella3[[#This Row],[MAR]]="X"), "X", IF(AND('Inserimento dati'!$B$3=$J$2, Tabella3[[#This Row],[MER]]="X"), "X",IF(AND('Inserimento dati'!$B$3=$K$2, Tabella3[[#This Row],[GIO]]="X"), "X", IF(AND('Inserimento dati'!$B$3=$L$2, Tabella3[[#This Row],[VEN]]="X"), "X","")))))</f>
        <v/>
      </c>
      <c r="U249" s="143" t="str">
        <f t="shared" ca="1" si="10"/>
        <v>10219474</v>
      </c>
      <c r="V249" s="187">
        <v>45930.833333333336</v>
      </c>
    </row>
    <row r="250" spans="1:22" s="19" customFormat="1" ht="23.25" x14ac:dyDescent="0.2">
      <c r="A250" s="112"/>
      <c r="B250" s="112">
        <v>4</v>
      </c>
      <c r="C250" s="112" t="str">
        <f>IF(OR(Tabella3[[#This Row],[LUN]]="X",Tabella3[[#This Row],[MAR]]="X",Tabella3[[#This Row],[MER]]="X",Tabella3[[#This Row],[GIO]]="X",Tabella3[[#This Row],[VEN]]="X",),"X","")</f>
        <v/>
      </c>
      <c r="D250" s="113" t="s">
        <v>87</v>
      </c>
      <c r="E250" s="109" t="s">
        <v>987</v>
      </c>
      <c r="F250" s="109">
        <v>700</v>
      </c>
      <c r="G250" s="109" t="s">
        <v>2019</v>
      </c>
      <c r="H250" s="111"/>
      <c r="I250" s="111"/>
      <c r="J250" s="111"/>
      <c r="K250" s="111"/>
      <c r="L250" s="111"/>
      <c r="M250" s="109" t="s">
        <v>1258</v>
      </c>
      <c r="N250" s="109"/>
      <c r="O250" s="109"/>
      <c r="P250" s="109"/>
      <c r="Q250" s="109"/>
      <c r="R250" s="110"/>
      <c r="S250" s="109"/>
      <c r="T250" s="116" t="str">
        <f ca="1">IF(AND('Inserimento dati'!$B$3=$H$2, Tabella3[[#This Row],[LUN]]="X"), "X",IF(AND('Inserimento dati'!$B$3=$I$2, Tabella3[[#This Row],[MAR]]="X"), "X", IF(AND('Inserimento dati'!$B$3=$J$2, Tabella3[[#This Row],[MER]]="X"), "X",IF(AND('Inserimento dati'!$B$3=$K$2, Tabella3[[#This Row],[GIO]]="X"), "X", IF(AND('Inserimento dati'!$B$3=$L$2, Tabella3[[#This Row],[VEN]]="X"), "X","")))))</f>
        <v/>
      </c>
      <c r="U250" s="143" t="str">
        <f t="shared" ca="1" si="10"/>
        <v/>
      </c>
      <c r="V250" s="187">
        <v>45930.833333333336</v>
      </c>
    </row>
    <row r="251" spans="1:22" s="19" customFormat="1" ht="23.25" x14ac:dyDescent="0.2">
      <c r="A251" s="112"/>
      <c r="B251" s="112">
        <v>4</v>
      </c>
      <c r="C251" s="112" t="str">
        <f>IF(OR(Tabella3[[#This Row],[LUN]]="X",Tabella3[[#This Row],[MAR]]="X",Tabella3[[#This Row],[MER]]="X",Tabella3[[#This Row],[GIO]]="X",Tabella3[[#This Row],[VEN]]="X",),"X","")</f>
        <v/>
      </c>
      <c r="D251" s="113" t="s">
        <v>87</v>
      </c>
      <c r="E251" s="109" t="s">
        <v>1025</v>
      </c>
      <c r="F251" s="109">
        <v>2200</v>
      </c>
      <c r="G251" s="109" t="s">
        <v>2020</v>
      </c>
      <c r="H251" s="111"/>
      <c r="I251" s="111"/>
      <c r="J251" s="111"/>
      <c r="K251" s="111"/>
      <c r="L251" s="111"/>
      <c r="M251" s="109" t="s">
        <v>1258</v>
      </c>
      <c r="N251" s="109"/>
      <c r="O251" s="109"/>
      <c r="P251" s="109"/>
      <c r="Q251" s="109"/>
      <c r="R251" s="110"/>
      <c r="S251" s="109"/>
      <c r="T251" s="116" t="str">
        <f ca="1">IF(AND('Inserimento dati'!$B$3=$H$2, Tabella3[[#This Row],[LUN]]="X"), "X",IF(AND('Inserimento dati'!$B$3=$I$2, Tabella3[[#This Row],[MAR]]="X"), "X", IF(AND('Inserimento dati'!$B$3=$J$2, Tabella3[[#This Row],[MER]]="X"), "X",IF(AND('Inserimento dati'!$B$3=$K$2, Tabella3[[#This Row],[GIO]]="X"), "X", IF(AND('Inserimento dati'!$B$3=$L$2, Tabella3[[#This Row],[VEN]]="X"), "X","")))))</f>
        <v/>
      </c>
      <c r="U251" s="143" t="str">
        <f t="shared" ca="1" si="10"/>
        <v>10221416</v>
      </c>
      <c r="V251" s="187">
        <v>45930.833333333336</v>
      </c>
    </row>
    <row r="252" spans="1:22" s="19" customFormat="1" ht="23.25" x14ac:dyDescent="0.2">
      <c r="A252" s="112"/>
      <c r="B252" s="112">
        <v>4</v>
      </c>
      <c r="C252" s="112" t="str">
        <f>IF(OR(Tabella3[[#This Row],[LUN]]="X",Tabella3[[#This Row],[MAR]]="X",Tabella3[[#This Row],[MER]]="X",Tabella3[[#This Row],[GIO]]="X",Tabella3[[#This Row],[VEN]]="X",),"X","")</f>
        <v/>
      </c>
      <c r="D252" s="113" t="s">
        <v>87</v>
      </c>
      <c r="E252" s="109" t="s">
        <v>1096</v>
      </c>
      <c r="F252" s="109">
        <v>1800</v>
      </c>
      <c r="G252" s="109" t="s">
        <v>2021</v>
      </c>
      <c r="H252" s="111"/>
      <c r="I252" s="111"/>
      <c r="J252" s="111"/>
      <c r="K252" s="111"/>
      <c r="L252" s="111"/>
      <c r="M252" s="109" t="s">
        <v>1258</v>
      </c>
      <c r="N252" s="109"/>
      <c r="O252" s="109"/>
      <c r="P252" s="109"/>
      <c r="Q252" s="109"/>
      <c r="R252" s="110"/>
      <c r="S252" s="109"/>
      <c r="T252" s="116" t="str">
        <f ca="1">IF(AND('Inserimento dati'!$B$3=$H$2, Tabella3[[#This Row],[LUN]]="X"), "X",IF(AND('Inserimento dati'!$B$3=$I$2, Tabella3[[#This Row],[MAR]]="X"), "X", IF(AND('Inserimento dati'!$B$3=$J$2, Tabella3[[#This Row],[MER]]="X"), "X",IF(AND('Inserimento dati'!$B$3=$K$2, Tabella3[[#This Row],[GIO]]="X"), "X", IF(AND('Inserimento dati'!$B$3=$L$2, Tabella3[[#This Row],[VEN]]="X"), "X","")))))</f>
        <v/>
      </c>
      <c r="U252" s="143" t="str">
        <f t="shared" ca="1" si="10"/>
        <v>10222033</v>
      </c>
      <c r="V252" s="187">
        <v>45930.833333333336</v>
      </c>
    </row>
    <row r="253" spans="1:22" s="19" customFormat="1" ht="30" x14ac:dyDescent="0.2">
      <c r="A253" s="112"/>
      <c r="B253" s="112">
        <v>4</v>
      </c>
      <c r="C253" s="112" t="str">
        <f>IF(OR(Tabella3[[#This Row],[LUN]]="X",Tabella3[[#This Row],[MAR]]="X",Tabella3[[#This Row],[MER]]="X",Tabella3[[#This Row],[GIO]]="X",Tabella3[[#This Row],[VEN]]="X",),"X","")</f>
        <v/>
      </c>
      <c r="D253" s="113" t="s">
        <v>87</v>
      </c>
      <c r="E253" s="109" t="s">
        <v>1106</v>
      </c>
      <c r="F253" s="109" t="s">
        <v>114</v>
      </c>
      <c r="G253" s="109" t="s">
        <v>2022</v>
      </c>
      <c r="H253" s="111"/>
      <c r="I253" s="111"/>
      <c r="J253" s="111"/>
      <c r="K253" s="111"/>
      <c r="L253" s="111"/>
      <c r="M253" s="109" t="s">
        <v>1258</v>
      </c>
      <c r="N253" s="109"/>
      <c r="O253" s="109"/>
      <c r="P253" s="109"/>
      <c r="Q253" s="109"/>
      <c r="R253" s="110"/>
      <c r="S253" s="109"/>
      <c r="T253" s="116" t="str">
        <f ca="1">IF(AND('Inserimento dati'!$B$3=$H$2, Tabella3[[#This Row],[LUN]]="X"), "X",IF(AND('Inserimento dati'!$B$3=$I$2, Tabella3[[#This Row],[MAR]]="X"), "X", IF(AND('Inserimento dati'!$B$3=$J$2, Tabella3[[#This Row],[MER]]="X"), "X",IF(AND('Inserimento dati'!$B$3=$K$2, Tabella3[[#This Row],[GIO]]="X"), "X", IF(AND('Inserimento dati'!$B$3=$L$2, Tabella3[[#This Row],[VEN]]="X"), "X","")))))</f>
        <v/>
      </c>
      <c r="U253" s="143" t="str">
        <f t="shared" ca="1" si="10"/>
        <v/>
      </c>
      <c r="V253" s="187">
        <v>45930.833333333336</v>
      </c>
    </row>
    <row r="254" spans="1:22" s="19" customFormat="1" ht="23.25" x14ac:dyDescent="0.2">
      <c r="A254" s="112"/>
      <c r="B254" s="112">
        <v>4</v>
      </c>
      <c r="C254" s="112" t="str">
        <f>IF(OR(Tabella3[[#This Row],[LUN]]="X",Tabella3[[#This Row],[MAR]]="X",Tabella3[[#This Row],[MER]]="X",Tabella3[[#This Row],[GIO]]="X",Tabella3[[#This Row],[VEN]]="X",),"X","")</f>
        <v/>
      </c>
      <c r="D254" s="113" t="s">
        <v>87</v>
      </c>
      <c r="E254" s="109" t="s">
        <v>1150</v>
      </c>
      <c r="F254" s="109" t="s">
        <v>114</v>
      </c>
      <c r="G254" s="109" t="s">
        <v>2023</v>
      </c>
      <c r="H254" s="111"/>
      <c r="I254" s="111"/>
      <c r="J254" s="111"/>
      <c r="K254" s="111"/>
      <c r="L254" s="111"/>
      <c r="M254" s="109" t="s">
        <v>1258</v>
      </c>
      <c r="N254" s="110" t="s">
        <v>23</v>
      </c>
      <c r="O254" s="110"/>
      <c r="P254" s="110"/>
      <c r="Q254" s="110" t="s">
        <v>1173</v>
      </c>
      <c r="R254" s="110"/>
      <c r="S254" s="110"/>
      <c r="T254" s="116" t="str">
        <f ca="1">IF(AND('Inserimento dati'!$B$3=$H$2, Tabella3[[#This Row],[LUN]]="X"), "X",IF(AND('Inserimento dati'!$B$3=$I$2, Tabella3[[#This Row],[MAR]]="X"), "X", IF(AND('Inserimento dati'!$B$3=$J$2, Tabella3[[#This Row],[MER]]="X"), "X",IF(AND('Inserimento dati'!$B$3=$K$2, Tabella3[[#This Row],[GIO]]="X"), "X", IF(AND('Inserimento dati'!$B$3=$L$2, Tabella3[[#This Row],[VEN]]="X"), "X","")))))</f>
        <v/>
      </c>
      <c r="U254" s="143" t="str">
        <f t="shared" ca="1" si="10"/>
        <v>10215887</v>
      </c>
      <c r="V254" s="187">
        <v>45930.833333333336</v>
      </c>
    </row>
    <row r="255" spans="1:22" s="19" customFormat="1" ht="23.25" x14ac:dyDescent="0.2">
      <c r="A255" s="112"/>
      <c r="B255" s="112">
        <v>4</v>
      </c>
      <c r="C255" s="112" t="str">
        <f>IF(OR(Tabella3[[#This Row],[LUN]]="X",Tabella3[[#This Row],[MAR]]="X",Tabella3[[#This Row],[MER]]="X",Tabella3[[#This Row],[GIO]]="X",Tabella3[[#This Row],[VEN]]="X",),"X","")</f>
        <v/>
      </c>
      <c r="D255" s="113" t="s">
        <v>87</v>
      </c>
      <c r="E255" s="109" t="s">
        <v>1071</v>
      </c>
      <c r="F255" s="109">
        <v>1100</v>
      </c>
      <c r="G255" s="109" t="s">
        <v>2024</v>
      </c>
      <c r="H255" s="111"/>
      <c r="I255" s="111"/>
      <c r="J255" s="111"/>
      <c r="K255" s="111"/>
      <c r="L255" s="111"/>
      <c r="M255" s="109" t="s">
        <v>1258</v>
      </c>
      <c r="N255" s="109"/>
      <c r="O255" s="109"/>
      <c r="P255" s="109"/>
      <c r="Q255" s="109"/>
      <c r="R255" s="110"/>
      <c r="S255" s="110"/>
      <c r="T255" s="112" t="str">
        <f ca="1">IF(AND('Inserimento dati'!$B$3=$H$2, Tabella3[[#This Row],[LUN]]="X"), "X",IF(AND('Inserimento dati'!$B$3=$I$2, Tabella3[[#This Row],[MAR]]="X"), "X", IF(AND('Inserimento dati'!$B$3=$J$2, Tabella3[[#This Row],[MER]]="X"), "X",IF(AND('Inserimento dati'!$B$3=$K$2, Tabella3[[#This Row],[GIO]]="X"), "X", IF(AND('Inserimento dati'!$B$3=$L$2, Tabella3[[#This Row],[VEN]]="X"), "X","")))))</f>
        <v/>
      </c>
      <c r="U255" s="143" t="str">
        <f t="shared" ca="1" si="10"/>
        <v>10215991</v>
      </c>
      <c r="V255" s="187">
        <v>45930.833333333336</v>
      </c>
    </row>
    <row r="256" spans="1:22" s="19" customFormat="1" ht="45" x14ac:dyDescent="0.2">
      <c r="A256" s="112"/>
      <c r="B256" s="112">
        <v>4</v>
      </c>
      <c r="C256" s="112" t="str">
        <f>IF(OR(Tabella3[[#This Row],[LUN]]="X",Tabella3[[#This Row],[MAR]]="X",Tabella3[[#This Row],[MER]]="X",Tabella3[[#This Row],[GIO]]="X",Tabella3[[#This Row],[VEN]]="X",),"X","")</f>
        <v/>
      </c>
      <c r="D256" s="113" t="s">
        <v>87</v>
      </c>
      <c r="E256" s="109" t="s">
        <v>1277</v>
      </c>
      <c r="F256" s="109" t="s">
        <v>88</v>
      </c>
      <c r="G256" s="109" t="s">
        <v>2025</v>
      </c>
      <c r="H256" s="111"/>
      <c r="I256" s="111"/>
      <c r="J256" s="111"/>
      <c r="K256" s="111"/>
      <c r="L256" s="111"/>
      <c r="M256" s="109" t="s">
        <v>1258</v>
      </c>
      <c r="N256" s="109"/>
      <c r="O256" s="109"/>
      <c r="P256" s="109"/>
      <c r="Q256" s="109" t="s">
        <v>1282</v>
      </c>
      <c r="R256" s="110">
        <v>45641</v>
      </c>
      <c r="S256" s="110" t="s">
        <v>693</v>
      </c>
      <c r="T256" s="112" t="str">
        <f ca="1">IF(AND('Inserimento dati'!$B$3=$H$2, Tabella3[[#This Row],[LUN]]="X"), "X",IF(AND('Inserimento dati'!$B$3=$I$2, Tabella3[[#This Row],[MAR]]="X"), "X", IF(AND('Inserimento dati'!$B$3=$J$2, Tabella3[[#This Row],[MER]]="X"), "X",IF(AND('Inserimento dati'!$B$3=$K$2, Tabella3[[#This Row],[GIO]]="X"), "X", IF(AND('Inserimento dati'!$B$3=$L$2, Tabella3[[#This Row],[VEN]]="X"), "X","")))))</f>
        <v/>
      </c>
      <c r="U256" s="143" t="str">
        <f t="shared" ca="1" si="10"/>
        <v>10215992</v>
      </c>
      <c r="V256" s="187">
        <v>45930.833333333336</v>
      </c>
    </row>
    <row r="257" spans="1:22" s="19" customFormat="1" ht="23.25" x14ac:dyDescent="0.2">
      <c r="A257" s="112"/>
      <c r="B257" s="112">
        <v>4</v>
      </c>
      <c r="C257" s="112" t="str">
        <f>IF(OR(Tabella3[[#This Row],[LUN]]="X",Tabella3[[#This Row],[MAR]]="X",Tabella3[[#This Row],[MER]]="X",Tabella3[[#This Row],[GIO]]="X",Tabella3[[#This Row],[VEN]]="X",),"X","")</f>
        <v/>
      </c>
      <c r="D257" s="113" t="s">
        <v>87</v>
      </c>
      <c r="E257" s="109" t="s">
        <v>1389</v>
      </c>
      <c r="F257" s="109" t="s">
        <v>114</v>
      </c>
      <c r="G257" s="109" t="s">
        <v>2026</v>
      </c>
      <c r="H257" s="111"/>
      <c r="I257" s="111"/>
      <c r="J257" s="111"/>
      <c r="K257" s="111"/>
      <c r="L257" s="111"/>
      <c r="M257" s="109" t="s">
        <v>1258</v>
      </c>
      <c r="N257" s="109"/>
      <c r="O257" s="109"/>
      <c r="P257" s="109"/>
      <c r="Q257" s="109"/>
      <c r="R257" s="110"/>
      <c r="S257" s="109"/>
      <c r="T257" s="69" t="str">
        <f ca="1">IF(AND('Inserimento dati'!$B$3=$H$2, Tabella3[[#This Row],[LUN]]="X"), "X",IF(AND('Inserimento dati'!$B$3=$I$2, Tabella3[[#This Row],[MAR]]="X"), "X", IF(AND('Inserimento dati'!$B$3=$J$2, Tabella3[[#This Row],[MER]]="X"), "X",IF(AND('Inserimento dati'!$B$3=$K$2, Tabella3[[#This Row],[GIO]]="X"), "X", IF(AND('Inserimento dati'!$B$3=$L$2, Tabella3[[#This Row],[VEN]]="X"), "X","")))))</f>
        <v/>
      </c>
      <c r="U257" s="144" t="str">
        <f t="shared" ca="1" si="10"/>
        <v/>
      </c>
      <c r="V257" s="187">
        <v>45930.833333333336</v>
      </c>
    </row>
    <row r="258" spans="1:22" s="19" customFormat="1" ht="30" x14ac:dyDescent="0.2">
      <c r="A258" s="112"/>
      <c r="B258" s="112">
        <v>1</v>
      </c>
      <c r="C258" s="112" t="str">
        <f>IF(OR(Tabella3[[#This Row],[LUN]]="X",Tabella3[[#This Row],[MAR]]="X",Tabella3[[#This Row],[MER]]="X",Tabella3[[#This Row],[GIO]]="X",Tabella3[[#This Row],[VEN]]="X",),"X","")</f>
        <v/>
      </c>
      <c r="D258" s="113" t="s">
        <v>87</v>
      </c>
      <c r="E258" s="109" t="s">
        <v>1464</v>
      </c>
      <c r="F258" s="109" t="s">
        <v>112</v>
      </c>
      <c r="G258" s="109" t="s">
        <v>2028</v>
      </c>
      <c r="H258" s="111"/>
      <c r="I258" s="111"/>
      <c r="J258" s="111"/>
      <c r="K258" s="111"/>
      <c r="L258" s="111"/>
      <c r="M258" s="109" t="s">
        <v>1258</v>
      </c>
      <c r="N258" s="109"/>
      <c r="O258" s="109"/>
      <c r="P258" s="109"/>
      <c r="Q258" s="109" t="s">
        <v>1749</v>
      </c>
      <c r="R258" s="110">
        <v>45826</v>
      </c>
      <c r="S258" s="109" t="s">
        <v>211</v>
      </c>
      <c r="T258" s="116" t="str">
        <f ca="1">IF(AND('Inserimento dati'!$B$3=$H$2, Tabella3[[#This Row],[LUN]]="X"), "X",IF(AND('Inserimento dati'!$B$3=$I$2, Tabella3[[#This Row],[MAR]]="X"), "X", IF(AND('Inserimento dati'!$B$3=$J$2, Tabella3[[#This Row],[MER]]="X"), "X",IF(AND('Inserimento dati'!$B$3=$K$2, Tabella3[[#This Row],[GIO]]="X"), "X", IF(AND('Inserimento dati'!$B$3=$L$2, Tabella3[[#This Row],[VEN]]="X"), "X","")))))</f>
        <v/>
      </c>
      <c r="U258" s="143" t="str">
        <f t="shared" ca="1" si="10"/>
        <v>10225931</v>
      </c>
      <c r="V258" s="187">
        <v>45930.833333333336</v>
      </c>
    </row>
    <row r="259" spans="1:22" s="19" customFormat="1" ht="23.25" x14ac:dyDescent="0.2">
      <c r="A259" s="112"/>
      <c r="B259" s="112">
        <v>3</v>
      </c>
      <c r="C259" s="112" t="str">
        <f>IF(OR(Tabella3[[#This Row],[LUN]]="X",Tabella3[[#This Row],[MAR]]="X",Tabella3[[#This Row],[MER]]="X",Tabella3[[#This Row],[GIO]]="X",Tabella3[[#This Row],[VEN]]="X",),"X","")</f>
        <v/>
      </c>
      <c r="D259" s="113" t="s">
        <v>87</v>
      </c>
      <c r="E259" s="109" t="s">
        <v>1727</v>
      </c>
      <c r="F259" s="109">
        <v>1200</v>
      </c>
      <c r="G259" s="109" t="s">
        <v>2033</v>
      </c>
      <c r="H259" s="111"/>
      <c r="I259" s="111"/>
      <c r="J259" s="111"/>
      <c r="K259" s="111"/>
      <c r="L259" s="111"/>
      <c r="M259" s="109" t="s">
        <v>1258</v>
      </c>
      <c r="N259" s="109"/>
      <c r="O259" s="109"/>
      <c r="P259" s="109"/>
      <c r="Q259" s="109"/>
      <c r="R259" s="110"/>
      <c r="S259" s="109"/>
      <c r="T259" s="114" t="str">
        <f ca="1">IF(AND('Inserimento dati'!$B$3=$H$2, Tabella3[[#This Row],[LUN]]="X"), "X",IF(AND('Inserimento dati'!$B$3=$I$2, Tabella3[[#This Row],[MAR]]="X"), "X", IF(AND('Inserimento dati'!$B$3=$J$2, Tabella3[[#This Row],[MER]]="X"), "X",IF(AND('Inserimento dati'!$B$3=$K$2, Tabella3[[#This Row],[GIO]]="X"), "X", IF(AND('Inserimento dati'!$B$3=$L$2, Tabella3[[#This Row],[VEN]]="X"), "X","")))))</f>
        <v/>
      </c>
      <c r="U259" s="129" t="str">
        <f t="shared" ca="1" si="10"/>
        <v/>
      </c>
      <c r="V259" s="187">
        <v>45930.833333333336</v>
      </c>
    </row>
    <row r="260" spans="1:22" s="19" customFormat="1" ht="23.25" x14ac:dyDescent="0.2">
      <c r="A260" s="112"/>
      <c r="B260" s="112">
        <v>3</v>
      </c>
      <c r="C260" s="112" t="str">
        <f>IF(OR(Tabella3[[#This Row],[LUN]]="X",Tabella3[[#This Row],[MAR]]="X",Tabella3[[#This Row],[MER]]="X",Tabella3[[#This Row],[GIO]]="X",Tabella3[[#This Row],[VEN]]="X",),"X","")</f>
        <v/>
      </c>
      <c r="D260" s="113" t="s">
        <v>87</v>
      </c>
      <c r="E260" s="109" t="s">
        <v>1728</v>
      </c>
      <c r="F260" s="109">
        <v>1200</v>
      </c>
      <c r="G260" s="109" t="s">
        <v>2034</v>
      </c>
      <c r="H260" s="111"/>
      <c r="I260" s="111"/>
      <c r="J260" s="111"/>
      <c r="K260" s="111"/>
      <c r="L260" s="111"/>
      <c r="M260" s="109" t="s">
        <v>1258</v>
      </c>
      <c r="N260" s="109"/>
      <c r="O260" s="109"/>
      <c r="P260" s="109"/>
      <c r="Q260" s="109"/>
      <c r="R260" s="110"/>
      <c r="S260" s="109"/>
      <c r="T260" s="114" t="str">
        <f ca="1">IF(AND('Inserimento dati'!$B$3=$H$2, Tabella3[[#This Row],[LUN]]="X"), "X",IF(AND('Inserimento dati'!$B$3=$I$2, Tabella3[[#This Row],[MAR]]="X"), "X", IF(AND('Inserimento dati'!$B$3=$J$2, Tabella3[[#This Row],[MER]]="X"), "X",IF(AND('Inserimento dati'!$B$3=$K$2, Tabella3[[#This Row],[GIO]]="X"), "X", IF(AND('Inserimento dati'!$B$3=$L$2, Tabella3[[#This Row],[VEN]]="X"), "X","")))))</f>
        <v/>
      </c>
      <c r="U260" s="129" t="str">
        <f t="shared" ca="1" si="10"/>
        <v/>
      </c>
      <c r="V260" s="187">
        <v>45930.833333333336</v>
      </c>
    </row>
    <row r="261" spans="1:22" s="19" customFormat="1" ht="23.25" x14ac:dyDescent="0.2">
      <c r="A261" s="112"/>
      <c r="B261" s="112"/>
      <c r="C261" s="112" t="str">
        <f>IF(OR(Tabella3[[#This Row],[LUN]]="X",Tabella3[[#This Row],[MAR]]="X",Tabella3[[#This Row],[MER]]="X",Tabella3[[#This Row],[GIO]]="X",Tabella3[[#This Row],[VEN]]="X",),"X","")</f>
        <v/>
      </c>
      <c r="D261" s="113" t="s">
        <v>87</v>
      </c>
      <c r="E261" s="109" t="s">
        <v>2193</v>
      </c>
      <c r="F261" s="109">
        <v>1200</v>
      </c>
      <c r="G261" s="109" t="s">
        <v>2194</v>
      </c>
      <c r="H261" s="111"/>
      <c r="I261" s="111"/>
      <c r="J261" s="111"/>
      <c r="K261" s="111"/>
      <c r="L261" s="111"/>
      <c r="M261" s="109" t="s">
        <v>1258</v>
      </c>
      <c r="N261" s="109"/>
      <c r="O261" s="109"/>
      <c r="P261" s="109"/>
      <c r="Q261" s="109"/>
      <c r="R261" s="110"/>
      <c r="S261" s="109"/>
      <c r="T261" s="114" t="str">
        <f ca="1">IF(AND('Inserimento dati'!$B$3=$H$2, Tabella3[[#This Row],[LUN]]="X"), "X",IF(AND('Inserimento dati'!$B$3=$I$2, Tabella3[[#This Row],[MAR]]="X"), "X", IF(AND('Inserimento dati'!$B$3=$J$2, Tabella3[[#This Row],[MER]]="X"), "X",IF(AND('Inserimento dati'!$B$3=$K$2, Tabella3[[#This Row],[GIO]]="X"), "X", IF(AND('Inserimento dati'!$B$3=$L$2, Tabella3[[#This Row],[VEN]]="X"), "X","")))))</f>
        <v/>
      </c>
      <c r="U261" s="129" t="str">
        <f t="shared" ref="U261:U306" ca="1" si="12">IFERROR(MID(G261,_xlfn.AGGREGATE(15,6,(ROW(INDIRECT("1:"&amp;LEN(G261)-7)))/(ISNUMBER(--MID(G261,ROW(INDIRECT("1:"&amp;LEN(G261)-7)),8))),1),8),"")</f>
        <v>10226491</v>
      </c>
      <c r="V261" s="187">
        <v>45930.833333333336</v>
      </c>
    </row>
    <row r="262" spans="1:22" s="19" customFormat="1" ht="23.25" x14ac:dyDescent="0.2">
      <c r="A262" s="112"/>
      <c r="B262" s="112" t="str">
        <f>IF(OR(A262="x",A262="X"),"",IF(ISBLANK(A262),"X",""))</f>
        <v>X</v>
      </c>
      <c r="C262" s="112" t="str">
        <f>IF(OR(Tabella3[[#This Row],[LUN]]="X",Tabella3[[#This Row],[MAR]]="X",Tabella3[[#This Row],[MER]]="X",Tabella3[[#This Row],[GIO]]="X",Tabella3[[#This Row],[VEN]]="X",),"X","")</f>
        <v/>
      </c>
      <c r="D262" s="113" t="s">
        <v>87</v>
      </c>
      <c r="E262" s="109" t="s">
        <v>1650</v>
      </c>
      <c r="F262" s="109">
        <v>1400</v>
      </c>
      <c r="G262" s="109" t="s">
        <v>2036</v>
      </c>
      <c r="H262" s="111"/>
      <c r="I262" s="111"/>
      <c r="J262" s="111"/>
      <c r="K262" s="111"/>
      <c r="L262" s="111"/>
      <c r="M262" s="109" t="s">
        <v>1258</v>
      </c>
      <c r="N262" s="109"/>
      <c r="O262" s="109"/>
      <c r="P262" s="109"/>
      <c r="Q262" s="109" t="s">
        <v>232</v>
      </c>
      <c r="R262" s="110">
        <v>45835</v>
      </c>
      <c r="S262" s="109" t="s">
        <v>211</v>
      </c>
      <c r="T262" s="114" t="str">
        <f ca="1">IF(AND('Inserimento dati'!$B$3=$H$2, Tabella3[[#This Row],[LUN]]="X"), "X",IF(AND('Inserimento dati'!$B$3=$I$2, Tabella3[[#This Row],[MAR]]="X"), "X", IF(AND('Inserimento dati'!$B$3=$J$2, Tabella3[[#This Row],[MER]]="X"), "X",IF(AND('Inserimento dati'!$B$3=$K$2, Tabella3[[#This Row],[GIO]]="X"), "X", IF(AND('Inserimento dati'!$B$3=$L$2, Tabella3[[#This Row],[VEN]]="X"), "X","")))))</f>
        <v/>
      </c>
      <c r="U262" s="130" t="str">
        <f t="shared" ca="1" si="12"/>
        <v>10225475</v>
      </c>
      <c r="V262" s="187">
        <v>45930.833333333336</v>
      </c>
    </row>
    <row r="263" spans="1:22" s="19" customFormat="1" ht="30" x14ac:dyDescent="0.2">
      <c r="A263" s="112"/>
      <c r="B263" s="112" t="str">
        <f>IF(OR(A263="x",A263="X"),"",IF(ISBLANK(A263),"X",""))</f>
        <v>X</v>
      </c>
      <c r="C263" s="112" t="str">
        <f>IF(OR(Tabella3[[#This Row],[LUN]]="X",Tabella3[[#This Row],[MAR]]="X",Tabella3[[#This Row],[MER]]="X",Tabella3[[#This Row],[GIO]]="X",Tabella3[[#This Row],[VEN]]="X",),"X","")</f>
        <v/>
      </c>
      <c r="D263" s="113" t="s">
        <v>87</v>
      </c>
      <c r="E263" s="109" t="s">
        <v>1625</v>
      </c>
      <c r="F263" s="109">
        <v>1200</v>
      </c>
      <c r="G263" s="109" t="s">
        <v>2027</v>
      </c>
      <c r="H263" s="111"/>
      <c r="I263" s="111"/>
      <c r="J263" s="111"/>
      <c r="K263" s="111"/>
      <c r="L263" s="111"/>
      <c r="M263" s="109" t="s">
        <v>1258</v>
      </c>
      <c r="N263" s="109"/>
      <c r="O263" s="109"/>
      <c r="P263" s="109"/>
      <c r="Q263" s="109" t="s">
        <v>2218</v>
      </c>
      <c r="R263" s="110">
        <v>45838</v>
      </c>
      <c r="S263" s="109" t="s">
        <v>50</v>
      </c>
      <c r="T263" s="114" t="str">
        <f ca="1">IF(AND('Inserimento dati'!$B$3=$H$2, Tabella3[[#This Row],[LUN]]="X"), "X",IF(AND('Inserimento dati'!$B$3=$I$2, Tabella3[[#This Row],[MAR]]="X"), "X", IF(AND('Inserimento dati'!$B$3=$J$2, Tabella3[[#This Row],[MER]]="X"), "X",IF(AND('Inserimento dati'!$B$3=$K$2, Tabella3[[#This Row],[GIO]]="X"), "X", IF(AND('Inserimento dati'!$B$3=$L$2, Tabella3[[#This Row],[VEN]]="X"), "X","")))))</f>
        <v/>
      </c>
      <c r="U263" s="130" t="str">
        <f t="shared" ca="1" si="12"/>
        <v>10222966</v>
      </c>
      <c r="V263" s="187">
        <v>45930.833333333336</v>
      </c>
    </row>
    <row r="264" spans="1:22" s="19" customFormat="1" ht="30" x14ac:dyDescent="0.2">
      <c r="A264" s="112"/>
      <c r="B264" s="112">
        <v>3</v>
      </c>
      <c r="C264" s="112" t="str">
        <f>IF(OR(Tabella3[[#This Row],[LUN]]="X",Tabella3[[#This Row],[MAR]]="X",Tabella3[[#This Row],[MER]]="X",Tabella3[[#This Row],[GIO]]="X",Tabella3[[#This Row],[VEN]]="X",),"X","")</f>
        <v/>
      </c>
      <c r="D264" s="113" t="s">
        <v>87</v>
      </c>
      <c r="E264" s="109" t="s">
        <v>1583</v>
      </c>
      <c r="F264" s="109">
        <v>1100</v>
      </c>
      <c r="G264" s="109" t="s">
        <v>2030</v>
      </c>
      <c r="H264" s="111"/>
      <c r="I264" s="111"/>
      <c r="J264" s="111"/>
      <c r="K264" s="111"/>
      <c r="L264" s="111"/>
      <c r="M264" s="109" t="s">
        <v>1258</v>
      </c>
      <c r="N264" s="109"/>
      <c r="O264" s="109"/>
      <c r="P264" s="109"/>
      <c r="Q264" s="109" t="s">
        <v>2219</v>
      </c>
      <c r="R264" s="110">
        <v>45838</v>
      </c>
      <c r="S264" s="109" t="s">
        <v>453</v>
      </c>
      <c r="T264" s="114" t="str">
        <f ca="1">IF(AND('Inserimento dati'!$B$3=$H$2, Tabella3[[#This Row],[LUN]]="X"), "X",IF(AND('Inserimento dati'!$B$3=$I$2, Tabella3[[#This Row],[MAR]]="X"), "X", IF(AND('Inserimento dati'!$B$3=$J$2, Tabella3[[#This Row],[MER]]="X"), "X",IF(AND('Inserimento dati'!$B$3=$K$2, Tabella3[[#This Row],[GIO]]="X"), "X", IF(AND('Inserimento dati'!$B$3=$L$2, Tabella3[[#This Row],[VEN]]="X"), "X","")))))</f>
        <v/>
      </c>
      <c r="U264" s="130" t="str">
        <f t="shared" ca="1" si="12"/>
        <v>10224034</v>
      </c>
      <c r="V264" s="187">
        <v>45930.833333333336</v>
      </c>
    </row>
    <row r="265" spans="1:22" s="19" customFormat="1" ht="30" x14ac:dyDescent="0.2">
      <c r="A265" s="112"/>
      <c r="B265" s="112">
        <v>3</v>
      </c>
      <c r="C265" s="112" t="str">
        <f>IF(OR(Tabella3[[#This Row],[LUN]]="X",Tabella3[[#This Row],[MAR]]="X",Tabella3[[#This Row],[MER]]="X",Tabella3[[#This Row],[GIO]]="X",Tabella3[[#This Row],[VEN]]="X",),"X","")</f>
        <v/>
      </c>
      <c r="D265" s="113" t="s">
        <v>87</v>
      </c>
      <c r="E265" s="109" t="s">
        <v>1711</v>
      </c>
      <c r="F265" s="109" t="s">
        <v>92</v>
      </c>
      <c r="G265" s="109" t="s">
        <v>2029</v>
      </c>
      <c r="H265" s="111"/>
      <c r="I265" s="111"/>
      <c r="J265" s="111"/>
      <c r="K265" s="111"/>
      <c r="L265" s="111"/>
      <c r="M265" s="109" t="s">
        <v>1258</v>
      </c>
      <c r="N265" s="109"/>
      <c r="O265" s="109"/>
      <c r="P265" s="109"/>
      <c r="Q265" s="109" t="s">
        <v>2245</v>
      </c>
      <c r="R265" s="110">
        <v>45840</v>
      </c>
      <c r="S265" s="109" t="s">
        <v>2246</v>
      </c>
      <c r="T265" s="114" t="str">
        <f ca="1">IF(AND('Inserimento dati'!$B$3=$H$2, Tabella3[[#This Row],[LUN]]="X"), "X",IF(AND('Inserimento dati'!$B$3=$I$2, Tabella3[[#This Row],[MAR]]="X"), "X", IF(AND('Inserimento dati'!$B$3=$J$2, Tabella3[[#This Row],[MER]]="X"), "X",IF(AND('Inserimento dati'!$B$3=$K$2, Tabella3[[#This Row],[GIO]]="X"), "X", IF(AND('Inserimento dati'!$B$3=$L$2, Tabella3[[#This Row],[VEN]]="X"), "X","")))))</f>
        <v/>
      </c>
      <c r="U265" s="129" t="str">
        <f t="shared" ca="1" si="12"/>
        <v>10225850</v>
      </c>
      <c r="V265" s="187">
        <v>45930.833333333336</v>
      </c>
    </row>
    <row r="266" spans="1:22" s="19" customFormat="1" ht="30" x14ac:dyDescent="0.2">
      <c r="A266" s="112"/>
      <c r="B266" s="112">
        <v>3</v>
      </c>
      <c r="C266" s="112" t="str">
        <f>IF(OR(Tabella3[[#This Row],[LUN]]="X",Tabella3[[#This Row],[MAR]]="X",Tabella3[[#This Row],[MER]]="X",Tabella3[[#This Row],[GIO]]="X",Tabella3[[#This Row],[VEN]]="X",),"X","")</f>
        <v/>
      </c>
      <c r="D266" s="113" t="s">
        <v>87</v>
      </c>
      <c r="E266" s="109" t="s">
        <v>1691</v>
      </c>
      <c r="F266" s="109" t="s">
        <v>96</v>
      </c>
      <c r="G266" s="109" t="s">
        <v>2048</v>
      </c>
      <c r="H266" s="111"/>
      <c r="I266" s="111"/>
      <c r="J266" s="111"/>
      <c r="K266" s="111"/>
      <c r="L266" s="111"/>
      <c r="M266" s="109" t="s">
        <v>1258</v>
      </c>
      <c r="N266" s="109"/>
      <c r="O266" s="109"/>
      <c r="P266" s="109"/>
      <c r="Q266" s="109" t="s">
        <v>2247</v>
      </c>
      <c r="R266" s="110">
        <v>45840</v>
      </c>
      <c r="S266" s="109" t="s">
        <v>2246</v>
      </c>
      <c r="T266" s="114" t="str">
        <f ca="1">IF(AND('Inserimento dati'!$B$3=$H$2, Tabella3[[#This Row],[LUN]]="X"), "X",IF(AND('Inserimento dati'!$B$3=$I$2, Tabella3[[#This Row],[MAR]]="X"), "X", IF(AND('Inserimento dati'!$B$3=$J$2, Tabella3[[#This Row],[MER]]="X"), "X",IF(AND('Inserimento dati'!$B$3=$K$2, Tabella3[[#This Row],[GIO]]="X"), "X", IF(AND('Inserimento dati'!$B$3=$L$2, Tabella3[[#This Row],[VEN]]="X"), "X","")))))</f>
        <v/>
      </c>
      <c r="U266" s="129" t="str">
        <f t="shared" ca="1" si="12"/>
        <v>10225816</v>
      </c>
      <c r="V266" s="187">
        <v>45930.833333333336</v>
      </c>
    </row>
    <row r="267" spans="1:22" s="19" customFormat="1" ht="30" x14ac:dyDescent="0.2">
      <c r="A267" s="112"/>
      <c r="B267" s="112"/>
      <c r="C267" s="112" t="str">
        <f>IF(OR(Tabella3[[#This Row],[LUN]]="X",Tabella3[[#This Row],[MAR]]="X",Tabella3[[#This Row],[MER]]="X",Tabella3[[#This Row],[GIO]]="X",Tabella3[[#This Row],[VEN]]="X",),"X","")</f>
        <v/>
      </c>
      <c r="D267" s="113" t="s">
        <v>87</v>
      </c>
      <c r="E267" s="109" t="s">
        <v>2208</v>
      </c>
      <c r="F267" s="109" t="s">
        <v>97</v>
      </c>
      <c r="G267" s="109" t="s">
        <v>2205</v>
      </c>
      <c r="H267" s="111"/>
      <c r="I267" s="111"/>
      <c r="J267" s="111"/>
      <c r="K267" s="111"/>
      <c r="L267" s="111"/>
      <c r="M267" s="109" t="s">
        <v>1258</v>
      </c>
      <c r="N267" s="109"/>
      <c r="O267" s="109"/>
      <c r="P267" s="109"/>
      <c r="Q267" s="109" t="s">
        <v>2265</v>
      </c>
      <c r="R267" s="110">
        <v>45840</v>
      </c>
      <c r="S267" s="109" t="s">
        <v>1496</v>
      </c>
      <c r="T267" s="114" t="str">
        <f ca="1">IF(AND('Inserimento dati'!$B$3=$H$2, Tabella3[[#This Row],[LUN]]="X"), "X",IF(AND('Inserimento dati'!$B$3=$I$2, Tabella3[[#This Row],[MAR]]="X"), "X", IF(AND('Inserimento dati'!$B$3=$J$2, Tabella3[[#This Row],[MER]]="X"), "X",IF(AND('Inserimento dati'!$B$3=$K$2, Tabella3[[#This Row],[GIO]]="X"), "X", IF(AND('Inserimento dati'!$B$3=$L$2, Tabella3[[#This Row],[VEN]]="X"), "X","")))))</f>
        <v/>
      </c>
      <c r="U267" s="129" t="str">
        <f t="shared" ca="1" si="12"/>
        <v>10226540</v>
      </c>
      <c r="V267" s="187">
        <v>45930.833333333336</v>
      </c>
    </row>
    <row r="268" spans="1:22" s="19" customFormat="1" ht="30" x14ac:dyDescent="0.2">
      <c r="A268" s="112"/>
      <c r="B268" s="112"/>
      <c r="C268" s="112" t="str">
        <f>IF(OR(Tabella3[[#This Row],[LUN]]="X",Tabella3[[#This Row],[MAR]]="X",Tabella3[[#This Row],[MER]]="X",Tabella3[[#This Row],[GIO]]="X",Tabella3[[#This Row],[VEN]]="X",),"X","")</f>
        <v/>
      </c>
      <c r="D268" s="113" t="s">
        <v>87</v>
      </c>
      <c r="E268" s="109" t="s">
        <v>2209</v>
      </c>
      <c r="F268" s="109" t="s">
        <v>97</v>
      </c>
      <c r="G268" s="109" t="s">
        <v>2204</v>
      </c>
      <c r="H268" s="111"/>
      <c r="I268" s="111"/>
      <c r="J268" s="111"/>
      <c r="K268" s="111"/>
      <c r="L268" s="111"/>
      <c r="M268" s="109" t="s">
        <v>1258</v>
      </c>
      <c r="N268" s="109"/>
      <c r="O268" s="109"/>
      <c r="P268" s="109"/>
      <c r="Q268" s="109" t="s">
        <v>2265</v>
      </c>
      <c r="R268" s="110">
        <v>45840</v>
      </c>
      <c r="S268" s="109" t="s">
        <v>1496</v>
      </c>
      <c r="T268" s="114" t="str">
        <f ca="1">IF(AND('Inserimento dati'!$B$3=$H$2, Tabella3[[#This Row],[LUN]]="X"), "X",IF(AND('Inserimento dati'!$B$3=$I$2, Tabella3[[#This Row],[MAR]]="X"), "X", IF(AND('Inserimento dati'!$B$3=$J$2, Tabella3[[#This Row],[MER]]="X"), "X",IF(AND('Inserimento dati'!$B$3=$K$2, Tabella3[[#This Row],[GIO]]="X"), "X", IF(AND('Inserimento dati'!$B$3=$L$2, Tabella3[[#This Row],[VEN]]="X"), "X","")))))</f>
        <v/>
      </c>
      <c r="U268" s="129" t="str">
        <f t="shared" ca="1" si="12"/>
        <v>10226539</v>
      </c>
      <c r="V268" s="187">
        <v>45930.833333333336</v>
      </c>
    </row>
    <row r="269" spans="1:22" s="19" customFormat="1" ht="30" x14ac:dyDescent="0.2">
      <c r="A269" s="112"/>
      <c r="B269" s="112"/>
      <c r="C269" s="112" t="str">
        <f>IF(OR(Tabella3[[#This Row],[LUN]]="X",Tabella3[[#This Row],[MAR]]="X",Tabella3[[#This Row],[MER]]="X",Tabella3[[#This Row],[GIO]]="X",Tabella3[[#This Row],[VEN]]="X",),"X","")</f>
        <v/>
      </c>
      <c r="D269" s="113" t="s">
        <v>87</v>
      </c>
      <c r="E269" s="109" t="s">
        <v>1750</v>
      </c>
      <c r="F269" s="109">
        <v>1200</v>
      </c>
      <c r="G269" s="109" t="s">
        <v>2267</v>
      </c>
      <c r="H269" s="111"/>
      <c r="I269" s="111"/>
      <c r="J269" s="111"/>
      <c r="K269" s="111"/>
      <c r="L269" s="111"/>
      <c r="M269" s="109" t="s">
        <v>1258</v>
      </c>
      <c r="N269" s="109"/>
      <c r="O269" s="109"/>
      <c r="P269" s="109"/>
      <c r="Q269" s="109" t="s">
        <v>2285</v>
      </c>
      <c r="R269" s="110">
        <v>45841</v>
      </c>
      <c r="S269" s="109" t="s">
        <v>1048</v>
      </c>
      <c r="T269" s="114" t="str">
        <f ca="1">IF(AND('Inserimento dati'!$B$3=$H$2, Tabella3[[#This Row],[LUN]]="X"), "X",IF(AND('Inserimento dati'!$B$3=$I$2, Tabella3[[#This Row],[MAR]]="X"), "X", IF(AND('Inserimento dati'!$B$3=$J$2, Tabella3[[#This Row],[MER]]="X"), "X",IF(AND('Inserimento dati'!$B$3=$K$2, Tabella3[[#This Row],[GIO]]="X"), "X", IF(AND('Inserimento dati'!$B$3=$L$2, Tabella3[[#This Row],[VEN]]="X"), "X","")))))</f>
        <v/>
      </c>
      <c r="U269" s="129" t="str">
        <f t="shared" ca="1" si="12"/>
        <v>10226371</v>
      </c>
      <c r="V269" s="187">
        <v>45930.833333333336</v>
      </c>
    </row>
    <row r="270" spans="1:22" s="19" customFormat="1" ht="23.25" x14ac:dyDescent="0.2">
      <c r="A270" s="112"/>
      <c r="B270" s="112"/>
      <c r="C270" s="112" t="str">
        <f>IF(OR(Tabella3[[#This Row],[LUN]]="X",Tabella3[[#This Row],[MAR]]="X",Tabella3[[#This Row],[MER]]="X",Tabella3[[#This Row],[GIO]]="X",Tabella3[[#This Row],[VEN]]="X",),"X","")</f>
        <v/>
      </c>
      <c r="D270" s="113" t="s">
        <v>87</v>
      </c>
      <c r="E270" s="109" t="s">
        <v>2251</v>
      </c>
      <c r="F270" s="109">
        <v>1200</v>
      </c>
      <c r="G270" s="109" t="s">
        <v>2252</v>
      </c>
      <c r="H270" s="111"/>
      <c r="I270" s="111"/>
      <c r="J270" s="111"/>
      <c r="K270" s="111"/>
      <c r="L270" s="111"/>
      <c r="M270" s="109" t="s">
        <v>1258</v>
      </c>
      <c r="N270" s="109"/>
      <c r="O270" s="109"/>
      <c r="P270" s="109"/>
      <c r="Q270" s="109" t="s">
        <v>2312</v>
      </c>
      <c r="R270" s="110">
        <v>45845</v>
      </c>
      <c r="S270" s="109" t="s">
        <v>211</v>
      </c>
      <c r="T270" s="114" t="str">
        <f ca="1">IF(AND('Inserimento dati'!$B$3=$H$2, Tabella3[[#This Row],[LUN]]="X"), "X",IF(AND('Inserimento dati'!$B$3=$I$2, Tabella3[[#This Row],[MAR]]="X"), "X", IF(AND('Inserimento dati'!$B$3=$J$2, Tabella3[[#This Row],[MER]]="X"), "X",IF(AND('Inserimento dati'!$B$3=$K$2, Tabella3[[#This Row],[GIO]]="X"), "X", IF(AND('Inserimento dati'!$B$3=$L$2, Tabella3[[#This Row],[VEN]]="X"), "X","")))))</f>
        <v/>
      </c>
      <c r="U270" s="129" t="str">
        <f t="shared" ca="1" si="12"/>
        <v>10226804</v>
      </c>
      <c r="V270" s="187">
        <v>45930.833333333336</v>
      </c>
    </row>
    <row r="271" spans="1:22" s="19" customFormat="1" ht="23.25" x14ac:dyDescent="0.2">
      <c r="A271" s="112"/>
      <c r="B271" s="112"/>
      <c r="C271" s="112" t="str">
        <f>IF(OR(Tabella3[[#This Row],[LUN]]="X",Tabella3[[#This Row],[MAR]]="X",Tabella3[[#This Row],[MER]]="X",Tabella3[[#This Row],[GIO]]="X",Tabella3[[#This Row],[VEN]]="X",),"X","")</f>
        <v/>
      </c>
      <c r="D271" s="113" t="s">
        <v>87</v>
      </c>
      <c r="E271" s="109" t="s">
        <v>2313</v>
      </c>
      <c r="F271" s="109" t="s">
        <v>1616</v>
      </c>
      <c r="G271" s="109" t="s">
        <v>2314</v>
      </c>
      <c r="H271" s="111"/>
      <c r="I271" s="111"/>
      <c r="J271" s="111"/>
      <c r="K271" s="111"/>
      <c r="L271" s="111"/>
      <c r="M271" s="109" t="s">
        <v>1258</v>
      </c>
      <c r="N271" s="109"/>
      <c r="O271" s="109"/>
      <c r="P271" s="109"/>
      <c r="Q271" s="109" t="s">
        <v>2315</v>
      </c>
      <c r="R271" s="110"/>
      <c r="S271" s="109"/>
      <c r="T271" s="114" t="str">
        <f ca="1">IF(AND('Inserimento dati'!$B$3=$H$2, Tabella3[[#This Row],[LUN]]="X"), "X",IF(AND('Inserimento dati'!$B$3=$I$2, Tabella3[[#This Row],[MAR]]="X"), "X", IF(AND('Inserimento dati'!$B$3=$J$2, Tabella3[[#This Row],[MER]]="X"), "X",IF(AND('Inserimento dati'!$B$3=$K$2, Tabella3[[#This Row],[GIO]]="X"), "X", IF(AND('Inserimento dati'!$B$3=$L$2, Tabella3[[#This Row],[VEN]]="X"), "X","")))))</f>
        <v/>
      </c>
      <c r="U271" s="129" t="str">
        <f t="shared" ca="1" si="12"/>
        <v>10227021</v>
      </c>
      <c r="V271" s="187">
        <v>45930.833333333336</v>
      </c>
    </row>
    <row r="272" spans="1:22" s="19" customFormat="1" ht="45" x14ac:dyDescent="0.2">
      <c r="A272" s="112"/>
      <c r="B272" s="112"/>
      <c r="C272" s="112" t="str">
        <f>IF(OR(Tabella3[[#This Row],[LUN]]="X",Tabella3[[#This Row],[MAR]]="X",Tabella3[[#This Row],[MER]]="X",Tabella3[[#This Row],[GIO]]="X",Tabella3[[#This Row],[VEN]]="X",),"X","")</f>
        <v/>
      </c>
      <c r="D272" s="113" t="s">
        <v>87</v>
      </c>
      <c r="E272" s="109" t="s">
        <v>2294</v>
      </c>
      <c r="F272" s="109" t="s">
        <v>1616</v>
      </c>
      <c r="G272" s="109" t="s">
        <v>2295</v>
      </c>
      <c r="H272" s="111"/>
      <c r="I272" s="111"/>
      <c r="J272" s="111"/>
      <c r="K272" s="111"/>
      <c r="L272" s="111"/>
      <c r="M272" s="109" t="s">
        <v>1258</v>
      </c>
      <c r="N272" s="109"/>
      <c r="O272" s="109"/>
      <c r="P272" s="109"/>
      <c r="Q272" s="109" t="s">
        <v>2325</v>
      </c>
      <c r="R272" s="110">
        <v>45847</v>
      </c>
      <c r="S272" s="109" t="s">
        <v>2324</v>
      </c>
      <c r="T272" s="114" t="str">
        <f ca="1">IF(AND('Inserimento dati'!$B$3=$H$2, Tabella3[[#This Row],[LUN]]="X"), "X",IF(AND('Inserimento dati'!$B$3=$I$2, Tabella3[[#This Row],[MAR]]="X"), "X", IF(AND('Inserimento dati'!$B$3=$J$2, Tabella3[[#This Row],[MER]]="X"), "X",IF(AND('Inserimento dati'!$B$3=$K$2, Tabella3[[#This Row],[GIO]]="X"), "X", IF(AND('Inserimento dati'!$B$3=$L$2, Tabella3[[#This Row],[VEN]]="X"), "X","")))))</f>
        <v/>
      </c>
      <c r="U272" s="129" t="str">
        <f t="shared" ca="1" si="12"/>
        <v>10226981</v>
      </c>
      <c r="V272" s="187">
        <v>45930.833333333336</v>
      </c>
    </row>
    <row r="273" spans="1:22" s="19" customFormat="1" ht="30" x14ac:dyDescent="0.2">
      <c r="A273" s="112"/>
      <c r="B273" s="112"/>
      <c r="C273" s="112" t="str">
        <f>IF(OR(Tabella3[[#This Row],[LUN]]="X",Tabella3[[#This Row],[MAR]]="X",Tabella3[[#This Row],[MER]]="X",Tabella3[[#This Row],[GIO]]="X",Tabella3[[#This Row],[VEN]]="X",),"X","")</f>
        <v/>
      </c>
      <c r="D273" s="113" t="s">
        <v>87</v>
      </c>
      <c r="E273" s="109" t="s">
        <v>2254</v>
      </c>
      <c r="F273" s="109">
        <v>700</v>
      </c>
      <c r="G273" s="109" t="s">
        <v>2255</v>
      </c>
      <c r="H273" s="111"/>
      <c r="I273" s="111"/>
      <c r="J273" s="111"/>
      <c r="K273" s="111"/>
      <c r="L273" s="111"/>
      <c r="M273" s="109" t="s">
        <v>1258</v>
      </c>
      <c r="N273" s="109"/>
      <c r="O273" s="109"/>
      <c r="P273" s="109"/>
      <c r="Q273" s="109" t="s">
        <v>2332</v>
      </c>
      <c r="R273" s="110">
        <v>45847</v>
      </c>
      <c r="S273" s="109" t="s">
        <v>50</v>
      </c>
      <c r="T273" s="114" t="str">
        <f ca="1">IF(AND('Inserimento dati'!$B$3=$H$2, Tabella3[[#This Row],[LUN]]="X"), "X",IF(AND('Inserimento dati'!$B$3=$I$2, Tabella3[[#This Row],[MAR]]="X"), "X", IF(AND('Inserimento dati'!$B$3=$J$2, Tabella3[[#This Row],[MER]]="X"), "X",IF(AND('Inserimento dati'!$B$3=$K$2, Tabella3[[#This Row],[GIO]]="X"), "X", IF(AND('Inserimento dati'!$B$3=$L$2, Tabella3[[#This Row],[VEN]]="X"), "X","")))))</f>
        <v/>
      </c>
      <c r="U273" s="129" t="str">
        <f t="shared" ca="1" si="12"/>
        <v>10226805</v>
      </c>
      <c r="V273" s="187">
        <v>45930.833333333336</v>
      </c>
    </row>
    <row r="274" spans="1:22" s="19" customFormat="1" ht="30" x14ac:dyDescent="0.2">
      <c r="A274" s="112"/>
      <c r="B274" s="112"/>
      <c r="C274" s="112" t="str">
        <f>IF(OR(Tabella3[[#This Row],[LUN]]="X",Tabella3[[#This Row],[MAR]]="X",Tabella3[[#This Row],[MER]]="X",Tabella3[[#This Row],[GIO]]="X",Tabella3[[#This Row],[VEN]]="X",),"X","")</f>
        <v/>
      </c>
      <c r="D274" s="113" t="s">
        <v>87</v>
      </c>
      <c r="E274" s="109" t="s">
        <v>2256</v>
      </c>
      <c r="F274" s="109">
        <v>700</v>
      </c>
      <c r="G274" s="109" t="s">
        <v>2273</v>
      </c>
      <c r="H274" s="111"/>
      <c r="I274" s="111"/>
      <c r="J274" s="111"/>
      <c r="K274" s="111"/>
      <c r="L274" s="111"/>
      <c r="M274" s="109" t="s">
        <v>1258</v>
      </c>
      <c r="N274" s="109"/>
      <c r="O274" s="109"/>
      <c r="P274" s="109"/>
      <c r="Q274" s="109" t="s">
        <v>2332</v>
      </c>
      <c r="R274" s="110">
        <v>45847</v>
      </c>
      <c r="S274" s="109" t="s">
        <v>50</v>
      </c>
      <c r="T274" s="114" t="str">
        <f ca="1">IF(AND('Inserimento dati'!$B$3=$H$2, Tabella3[[#This Row],[LUN]]="X"), "X",IF(AND('Inserimento dati'!$B$3=$I$2, Tabella3[[#This Row],[MAR]]="X"), "X", IF(AND('Inserimento dati'!$B$3=$J$2, Tabella3[[#This Row],[MER]]="X"), "X",IF(AND('Inserimento dati'!$B$3=$K$2, Tabella3[[#This Row],[GIO]]="X"), "X", IF(AND('Inserimento dati'!$B$3=$L$2, Tabella3[[#This Row],[VEN]]="X"), "X","")))))</f>
        <v/>
      </c>
      <c r="U274" s="129" t="str">
        <f t="shared" ca="1" si="12"/>
        <v>10226806</v>
      </c>
      <c r="V274" s="187">
        <v>45930.833333333336</v>
      </c>
    </row>
    <row r="275" spans="1:22" s="19" customFormat="1" ht="30" x14ac:dyDescent="0.2">
      <c r="A275" s="112"/>
      <c r="B275" s="112">
        <v>2</v>
      </c>
      <c r="C275" s="112" t="str">
        <f>IF(OR(Tabella3[[#This Row],[LUN]]="X",Tabella3[[#This Row],[MAR]]="X",Tabella3[[#This Row],[MER]]="X",Tabella3[[#This Row],[GIO]]="X",Tabella3[[#This Row],[VEN]]="X",),"X","")</f>
        <v/>
      </c>
      <c r="D275" s="113" t="s">
        <v>87</v>
      </c>
      <c r="E275" s="109" t="s">
        <v>2358</v>
      </c>
      <c r="F275" s="109" t="s">
        <v>114</v>
      </c>
      <c r="G275" s="109" t="s">
        <v>2035</v>
      </c>
      <c r="H275" s="111"/>
      <c r="I275" s="111"/>
      <c r="J275" s="111"/>
      <c r="K275" s="111"/>
      <c r="L275" s="111"/>
      <c r="M275" s="109" t="s">
        <v>1258</v>
      </c>
      <c r="N275" s="109"/>
      <c r="O275" s="109"/>
      <c r="P275" s="109"/>
      <c r="Q275" s="109" t="s">
        <v>2375</v>
      </c>
      <c r="R275" s="110">
        <v>45852</v>
      </c>
      <c r="S275" s="109" t="s">
        <v>554</v>
      </c>
      <c r="T275" s="69" t="str">
        <f ca="1">IF(AND('Inserimento dati'!$B$3=$H$2, Tabella3[[#This Row],[LUN]]="X"), "X",IF(AND('Inserimento dati'!$B$3=$I$2, Tabella3[[#This Row],[MAR]]="X"), "X", IF(AND('Inserimento dati'!$B$3=$J$2, Tabella3[[#This Row],[MER]]="X"), "X",IF(AND('Inserimento dati'!$B$3=$K$2, Tabella3[[#This Row],[GIO]]="X"), "X", IF(AND('Inserimento dati'!$B$3=$L$2, Tabella3[[#This Row],[VEN]]="X"), "X","")))))</f>
        <v/>
      </c>
      <c r="U275" s="143" t="str">
        <f t="shared" ca="1" si="12"/>
        <v>10222849</v>
      </c>
      <c r="V275" s="187">
        <v>45930.833333333336</v>
      </c>
    </row>
    <row r="276" spans="1:22" s="19" customFormat="1" ht="30" x14ac:dyDescent="0.2">
      <c r="A276" s="112"/>
      <c r="B276" s="112">
        <v>2</v>
      </c>
      <c r="C276" s="112" t="str">
        <f>IF(OR(Tabella3[[#This Row],[LUN]]="X",Tabella3[[#This Row],[MAR]]="X",Tabella3[[#This Row],[MER]]="X",Tabella3[[#This Row],[GIO]]="X",Tabella3[[#This Row],[VEN]]="X",),"X","")</f>
        <v/>
      </c>
      <c r="D276" s="113" t="s">
        <v>87</v>
      </c>
      <c r="E276" s="109" t="s">
        <v>2357</v>
      </c>
      <c r="F276" s="109">
        <v>2200</v>
      </c>
      <c r="G276" s="109" t="s">
        <v>2045</v>
      </c>
      <c r="H276" s="111"/>
      <c r="I276" s="111"/>
      <c r="J276" s="111"/>
      <c r="K276" s="111"/>
      <c r="L276" s="111"/>
      <c r="M276" s="109" t="s">
        <v>1258</v>
      </c>
      <c r="N276" s="109"/>
      <c r="O276" s="109"/>
      <c r="P276" s="109"/>
      <c r="Q276" s="109" t="s">
        <v>2418</v>
      </c>
      <c r="R276" s="110">
        <v>45853</v>
      </c>
      <c r="S276" s="109" t="s">
        <v>102</v>
      </c>
      <c r="T276" s="69" t="str">
        <f ca="1">IF(AND('Inserimento dati'!$B$3=$H$2, Tabella3[[#This Row],[LUN]]="X"), "X",IF(AND('Inserimento dati'!$B$3=$I$2, Tabella3[[#This Row],[MAR]]="X"), "X", IF(AND('Inserimento dati'!$B$3=$J$2, Tabella3[[#This Row],[MER]]="X"), "X",IF(AND('Inserimento dati'!$B$3=$K$2, Tabella3[[#This Row],[GIO]]="X"), "X", IF(AND('Inserimento dati'!$B$3=$L$2, Tabella3[[#This Row],[VEN]]="X"), "X","")))))</f>
        <v/>
      </c>
      <c r="U276" s="143" t="str">
        <f t="shared" ca="1" si="12"/>
        <v>10211871</v>
      </c>
      <c r="V276" s="187">
        <v>45930.833333333336</v>
      </c>
    </row>
    <row r="277" spans="1:22" s="19" customFormat="1" ht="30" x14ac:dyDescent="0.2">
      <c r="A277" s="112"/>
      <c r="B277" s="112"/>
      <c r="C277" s="112" t="str">
        <f>IF(OR(Tabella3[[#This Row],[LUN]]="X",Tabella3[[#This Row],[MAR]]="X",Tabella3[[#This Row],[MER]]="X",Tabella3[[#This Row],[GIO]]="X",Tabella3[[#This Row],[VEN]]="X",),"X","")</f>
        <v/>
      </c>
      <c r="D277" s="113" t="s">
        <v>87</v>
      </c>
      <c r="E277" s="109" t="s">
        <v>1766</v>
      </c>
      <c r="F277" s="109">
        <v>1400</v>
      </c>
      <c r="G277" s="109" t="s">
        <v>2266</v>
      </c>
      <c r="H277" s="111"/>
      <c r="I277" s="111"/>
      <c r="J277" s="111"/>
      <c r="K277" s="111"/>
      <c r="L277" s="111"/>
      <c r="M277" s="109" t="s">
        <v>1258</v>
      </c>
      <c r="N277" s="109"/>
      <c r="O277" s="109" t="s">
        <v>23</v>
      </c>
      <c r="P277" s="109"/>
      <c r="Q277" s="109" t="s">
        <v>2411</v>
      </c>
      <c r="R277" s="110">
        <v>45840</v>
      </c>
      <c r="S277" s="109" t="s">
        <v>102</v>
      </c>
      <c r="T277" s="114" t="str">
        <f ca="1">IF(AND('Inserimento dati'!$B$3=$H$2, Tabella3[[#This Row],[LUN]]="X"), "X",IF(AND('Inserimento dati'!$B$3=$I$2, Tabella3[[#This Row],[MAR]]="X"), "X", IF(AND('Inserimento dati'!$B$3=$J$2, Tabella3[[#This Row],[MER]]="X"), "X",IF(AND('Inserimento dati'!$B$3=$K$2, Tabella3[[#This Row],[GIO]]="X"), "X", IF(AND('Inserimento dati'!$B$3=$L$2, Tabella3[[#This Row],[VEN]]="X"), "X","")))))</f>
        <v/>
      </c>
      <c r="U277" s="129" t="str">
        <f t="shared" ca="1" si="12"/>
        <v>00000001</v>
      </c>
      <c r="V277" s="187">
        <v>45930.833333333336</v>
      </c>
    </row>
    <row r="278" spans="1:22" s="19" customFormat="1" ht="30" x14ac:dyDescent="0.2">
      <c r="A278" s="112"/>
      <c r="B278" s="112"/>
      <c r="C278" s="112" t="str">
        <f>IF(OR(Tabella3[[#This Row],[LUN]]="X",Tabella3[[#This Row],[MAR]]="X",Tabella3[[#This Row],[MER]]="X",Tabella3[[#This Row],[GIO]]="X",Tabella3[[#This Row],[VEN]]="X",),"X","")</f>
        <v/>
      </c>
      <c r="D278" s="113" t="s">
        <v>87</v>
      </c>
      <c r="E278" s="109" t="s">
        <v>2395</v>
      </c>
      <c r="F278" s="109">
        <v>1400</v>
      </c>
      <c r="G278" s="109" t="s">
        <v>2396</v>
      </c>
      <c r="H278" s="111"/>
      <c r="I278" s="111"/>
      <c r="J278" s="111"/>
      <c r="K278" s="111"/>
      <c r="L278" s="111"/>
      <c r="M278" s="109" t="s">
        <v>1258</v>
      </c>
      <c r="N278" s="109"/>
      <c r="O278" s="109"/>
      <c r="P278" s="109"/>
      <c r="Q278" s="109" t="s">
        <v>2410</v>
      </c>
      <c r="R278" s="110">
        <v>45855</v>
      </c>
      <c r="S278" s="109" t="s">
        <v>102</v>
      </c>
      <c r="T278" s="114" t="str">
        <f ca="1">IF(AND('Inserimento dati'!$B$3=$H$2, Tabella3[[#This Row],[LUN]]="X"), "X",IF(AND('Inserimento dati'!$B$3=$I$2, Tabella3[[#This Row],[MAR]]="X"), "X", IF(AND('Inserimento dati'!$B$3=$J$2, Tabella3[[#This Row],[MER]]="X"), "X",IF(AND('Inserimento dati'!$B$3=$K$2, Tabella3[[#This Row],[GIO]]="X"), "X", IF(AND('Inserimento dati'!$B$3=$L$2, Tabella3[[#This Row],[VEN]]="X"), "X","")))))</f>
        <v/>
      </c>
      <c r="U278" s="93" t="str">
        <f t="shared" ca="1" si="12"/>
        <v/>
      </c>
      <c r="V278" s="187">
        <v>45930.833333333336</v>
      </c>
    </row>
    <row r="279" spans="1:22" s="19" customFormat="1" ht="30" x14ac:dyDescent="0.2">
      <c r="A279" s="112"/>
      <c r="B279" s="112"/>
      <c r="C279" s="112" t="str">
        <f>IF(OR(Tabella3[[#This Row],[LUN]]="X",Tabella3[[#This Row],[MAR]]="X",Tabella3[[#This Row],[MER]]="X",Tabella3[[#This Row],[GIO]]="X",Tabella3[[#This Row],[VEN]]="X",),"X","")</f>
        <v/>
      </c>
      <c r="D279" s="113" t="s">
        <v>87</v>
      </c>
      <c r="E279" s="109" t="s">
        <v>2397</v>
      </c>
      <c r="F279" s="109">
        <v>700</v>
      </c>
      <c r="G279" s="109" t="s">
        <v>2398</v>
      </c>
      <c r="H279" s="111"/>
      <c r="I279" s="111"/>
      <c r="J279" s="111"/>
      <c r="K279" s="111"/>
      <c r="L279" s="111"/>
      <c r="M279" s="109" t="s">
        <v>1258</v>
      </c>
      <c r="N279" s="109"/>
      <c r="O279" s="109"/>
      <c r="P279" s="109"/>
      <c r="Q279" s="109" t="s">
        <v>1175</v>
      </c>
      <c r="R279" s="110">
        <v>45855</v>
      </c>
      <c r="S279" s="109" t="s">
        <v>203</v>
      </c>
      <c r="T279" s="114" t="str">
        <f ca="1">IF(AND('Inserimento dati'!$B$3=$H$2, Tabella3[[#This Row],[LUN]]="X"), "X",IF(AND('Inserimento dati'!$B$3=$I$2, Tabella3[[#This Row],[MAR]]="X"), "X", IF(AND('Inserimento dati'!$B$3=$J$2, Tabella3[[#This Row],[MER]]="X"), "X",IF(AND('Inserimento dati'!$B$3=$K$2, Tabella3[[#This Row],[GIO]]="X"), "X", IF(AND('Inserimento dati'!$B$3=$L$2, Tabella3[[#This Row],[VEN]]="X"), "X","")))))</f>
        <v/>
      </c>
      <c r="U279" s="93" t="str">
        <f t="shared" ca="1" si="12"/>
        <v/>
      </c>
      <c r="V279" s="187">
        <v>45930.833333333336</v>
      </c>
    </row>
    <row r="280" spans="1:22" s="19" customFormat="1" ht="45" x14ac:dyDescent="0.2">
      <c r="A280" s="112"/>
      <c r="B280" s="112"/>
      <c r="C280" s="112" t="str">
        <f>IF(OR(Tabella3[[#This Row],[LUN]]="X",Tabella3[[#This Row],[MAR]]="X",Tabella3[[#This Row],[MER]]="X",Tabella3[[#This Row],[GIO]]="X",Tabella3[[#This Row],[VEN]]="X",),"X","")</f>
        <v/>
      </c>
      <c r="D280" s="113" t="s">
        <v>87</v>
      </c>
      <c r="E280" s="109" t="s">
        <v>2440</v>
      </c>
      <c r="F280" s="109">
        <v>2400</v>
      </c>
      <c r="G280" s="109" t="s">
        <v>2441</v>
      </c>
      <c r="H280" s="111"/>
      <c r="I280" s="111"/>
      <c r="J280" s="111"/>
      <c r="K280" s="111"/>
      <c r="L280" s="111"/>
      <c r="M280" s="109" t="s">
        <v>1258</v>
      </c>
      <c r="N280" s="109"/>
      <c r="O280" s="109"/>
      <c r="P280" s="109"/>
      <c r="Q280" s="109" t="s">
        <v>2447</v>
      </c>
      <c r="R280" s="110">
        <v>45859</v>
      </c>
      <c r="S280" s="109" t="s">
        <v>239</v>
      </c>
      <c r="T280" s="114" t="str">
        <f ca="1">IF(AND('Inserimento dati'!$B$3=$H$2, Tabella3[[#This Row],[LUN]]="X"), "X",IF(AND('Inserimento dati'!$B$3=$I$2, Tabella3[[#This Row],[MAR]]="X"), "X", IF(AND('Inserimento dati'!$B$3=$J$2, Tabella3[[#This Row],[MER]]="X"), "X",IF(AND('Inserimento dati'!$B$3=$K$2, Tabella3[[#This Row],[GIO]]="X"), "X", IF(AND('Inserimento dati'!$B$3=$L$2, Tabella3[[#This Row],[VEN]]="X"), "X","")))))</f>
        <v/>
      </c>
      <c r="U280" s="93" t="str">
        <f t="shared" ca="1" si="12"/>
        <v>10227611</v>
      </c>
      <c r="V280" s="187">
        <v>45930.833333333336</v>
      </c>
    </row>
    <row r="281" spans="1:22" s="19" customFormat="1" ht="45" x14ac:dyDescent="0.2">
      <c r="A281" s="112" t="s">
        <v>23</v>
      </c>
      <c r="B281" s="112"/>
      <c r="C281" s="112" t="str">
        <f>IF(OR(Tabella3[[#This Row],[LUN]]="X",Tabella3[[#This Row],[MAR]]="X",Tabella3[[#This Row],[MER]]="X",Tabella3[[#This Row],[GIO]]="X",Tabella3[[#This Row],[VEN]]="X",),"X","")</f>
        <v/>
      </c>
      <c r="D281" s="113" t="s">
        <v>87</v>
      </c>
      <c r="E281" s="109" t="s">
        <v>2338</v>
      </c>
      <c r="F281" s="109">
        <v>1200</v>
      </c>
      <c r="G281" s="109" t="s">
        <v>2339</v>
      </c>
      <c r="H281" s="111"/>
      <c r="I281" s="111"/>
      <c r="J281" s="111"/>
      <c r="K281" s="111"/>
      <c r="L281" s="111"/>
      <c r="M281" s="109" t="s">
        <v>1258</v>
      </c>
      <c r="N281" s="109"/>
      <c r="O281" s="109"/>
      <c r="P281" s="109"/>
      <c r="Q281" s="109"/>
      <c r="R281" s="110"/>
      <c r="S281" s="109"/>
      <c r="T281" s="114" t="str">
        <f ca="1">IF(AND('Inserimento dati'!$B$3=$H$2, Tabella3[[#This Row],[LUN]]="X"), "X",IF(AND('Inserimento dati'!$B$3=$I$2, Tabella3[[#This Row],[MAR]]="X"), "X", IF(AND('Inserimento dati'!$B$3=$J$2, Tabella3[[#This Row],[MER]]="X"), "X",IF(AND('Inserimento dati'!$B$3=$K$2, Tabella3[[#This Row],[GIO]]="X"), "X", IF(AND('Inserimento dati'!$B$3=$L$2, Tabella3[[#This Row],[VEN]]="X"), "X","")))))</f>
        <v/>
      </c>
      <c r="U281" s="93" t="str">
        <f t="shared" ca="1" si="12"/>
        <v/>
      </c>
      <c r="V281" s="187">
        <v>45930.833333333336</v>
      </c>
    </row>
    <row r="282" spans="1:22" s="19" customFormat="1" ht="45" x14ac:dyDescent="0.2">
      <c r="A282" s="112"/>
      <c r="B282" s="112"/>
      <c r="C282" s="112" t="str">
        <f>IF(OR(Tabella3[[#This Row],[LUN]]="X",Tabella3[[#This Row],[MAR]]="X",Tabella3[[#This Row],[MER]]="X",Tabella3[[#This Row],[GIO]]="X",Tabella3[[#This Row],[VEN]]="X",),"X","")</f>
        <v/>
      </c>
      <c r="D282" s="113" t="s">
        <v>87</v>
      </c>
      <c r="E282" s="109" t="s">
        <v>2383</v>
      </c>
      <c r="F282" s="109">
        <v>1800</v>
      </c>
      <c r="G282" s="109" t="s">
        <v>2384</v>
      </c>
      <c r="H282" s="111"/>
      <c r="I282" s="111"/>
      <c r="J282" s="111"/>
      <c r="K282" s="111"/>
      <c r="L282" s="111"/>
      <c r="M282" s="109" t="s">
        <v>1258</v>
      </c>
      <c r="N282" s="109"/>
      <c r="O282" s="109"/>
      <c r="P282" s="109"/>
      <c r="Q282" s="109" t="s">
        <v>2468</v>
      </c>
      <c r="R282" s="110">
        <v>45861</v>
      </c>
      <c r="S282" s="109" t="s">
        <v>239</v>
      </c>
      <c r="T282" s="114" t="str">
        <f ca="1">IF(AND('Inserimento dati'!$B$3=$H$2, Tabella3[[#This Row],[LUN]]="X"), "X",IF(AND('Inserimento dati'!$B$3=$I$2, Tabella3[[#This Row],[MAR]]="X"), "X", IF(AND('Inserimento dati'!$B$3=$J$2, Tabella3[[#This Row],[MER]]="X"), "X",IF(AND('Inserimento dati'!$B$3=$K$2, Tabella3[[#This Row],[GIO]]="X"), "X", IF(AND('Inserimento dati'!$B$3=$L$2, Tabella3[[#This Row],[VEN]]="X"), "X","")))))</f>
        <v/>
      </c>
      <c r="U282" s="93" t="str">
        <f t="shared" ca="1" si="12"/>
        <v>10227342</v>
      </c>
      <c r="V282" s="187">
        <v>45930.833333333336</v>
      </c>
    </row>
    <row r="283" spans="1:22" s="19" customFormat="1" ht="23.25" x14ac:dyDescent="0.2">
      <c r="A283" s="112"/>
      <c r="B283" s="112"/>
      <c r="C283" s="112" t="str">
        <f>IF(OR(Tabella3[[#This Row],[LUN]]="X",Tabella3[[#This Row],[MAR]]="X",Tabella3[[#This Row],[MER]]="X",Tabella3[[#This Row],[GIO]]="X",Tabella3[[#This Row],[VEN]]="X",),"X","")</f>
        <v/>
      </c>
      <c r="D283" s="113" t="s">
        <v>87</v>
      </c>
      <c r="E283" s="109" t="s">
        <v>2298</v>
      </c>
      <c r="F283" s="109">
        <v>2400</v>
      </c>
      <c r="G283" s="109" t="s">
        <v>2299</v>
      </c>
      <c r="H283" s="111"/>
      <c r="I283" s="111"/>
      <c r="J283" s="111"/>
      <c r="K283" s="111"/>
      <c r="L283" s="111"/>
      <c r="M283" s="109" t="s">
        <v>1258</v>
      </c>
      <c r="N283" s="109"/>
      <c r="O283" s="109"/>
      <c r="P283" s="109"/>
      <c r="Q283" s="109" t="s">
        <v>1174</v>
      </c>
      <c r="R283" s="110">
        <v>45855</v>
      </c>
      <c r="S283" s="109" t="s">
        <v>239</v>
      </c>
      <c r="T283" s="114" t="str">
        <f ca="1">IF(AND('Inserimento dati'!$B$3=$H$2, Tabella3[[#This Row],[LUN]]="X"), "X",IF(AND('Inserimento dati'!$B$3=$I$2, Tabella3[[#This Row],[MAR]]="X"), "X", IF(AND('Inserimento dati'!$B$3=$J$2, Tabella3[[#This Row],[MER]]="X"), "X",IF(AND('Inserimento dati'!$B$3=$K$2, Tabella3[[#This Row],[GIO]]="X"), "X", IF(AND('Inserimento dati'!$B$3=$L$2, Tabella3[[#This Row],[VEN]]="X"), "X","")))))</f>
        <v/>
      </c>
      <c r="U283" s="129" t="str">
        <f t="shared" ca="1" si="12"/>
        <v>10226982</v>
      </c>
      <c r="V283" s="187">
        <v>45930.833333333336</v>
      </c>
    </row>
    <row r="284" spans="1:22" s="19" customFormat="1" ht="30" x14ac:dyDescent="0.2">
      <c r="A284" s="112"/>
      <c r="B284" s="112"/>
      <c r="C284" s="112" t="str">
        <f>IF(OR(Tabella3[[#This Row],[LUN]]="X",Tabella3[[#This Row],[MAR]]="X",Tabella3[[#This Row],[MER]]="X",Tabella3[[#This Row],[GIO]]="X",Tabella3[[#This Row],[VEN]]="X",),"X","")</f>
        <v/>
      </c>
      <c r="D284" s="113" t="s">
        <v>87</v>
      </c>
      <c r="E284" s="109" t="s">
        <v>2486</v>
      </c>
      <c r="F284" s="109">
        <v>1800</v>
      </c>
      <c r="G284" s="109" t="s">
        <v>2487</v>
      </c>
      <c r="H284" s="111"/>
      <c r="I284" s="111"/>
      <c r="J284" s="111"/>
      <c r="K284" s="111"/>
      <c r="L284" s="111"/>
      <c r="M284" s="109" t="s">
        <v>1258</v>
      </c>
      <c r="N284" s="109"/>
      <c r="O284" s="109"/>
      <c r="P284" s="109"/>
      <c r="Q284" s="109" t="s">
        <v>2505</v>
      </c>
      <c r="R284" s="110">
        <v>45867</v>
      </c>
      <c r="S284" s="109" t="s">
        <v>2506</v>
      </c>
      <c r="T284" s="114" t="str">
        <f ca="1">IF(AND('Inserimento dati'!$B$3=$H$2, Tabella3[[#This Row],[LUN]]="X"), "X",IF(AND('Inserimento dati'!$B$3=$I$2, Tabella3[[#This Row],[MAR]]="X"), "X", IF(AND('Inserimento dati'!$B$3=$J$2, Tabella3[[#This Row],[MER]]="X"), "X",IF(AND('Inserimento dati'!$B$3=$K$2, Tabella3[[#This Row],[GIO]]="X"), "X", IF(AND('Inserimento dati'!$B$3=$L$2, Tabella3[[#This Row],[VEN]]="X"), "X","")))))</f>
        <v/>
      </c>
      <c r="U284" s="93" t="str">
        <f t="shared" ca="1" si="12"/>
        <v>10227903</v>
      </c>
      <c r="V284" s="187">
        <v>45930.833333333336</v>
      </c>
    </row>
    <row r="285" spans="1:22" s="19" customFormat="1" ht="30" x14ac:dyDescent="0.2">
      <c r="A285" s="112"/>
      <c r="B285" s="112"/>
      <c r="C285" s="112" t="str">
        <f>IF(OR(Tabella3[[#This Row],[LUN]]="X",Tabella3[[#This Row],[MAR]]="X",Tabella3[[#This Row],[MER]]="X",Tabella3[[#This Row],[GIO]]="X",Tabella3[[#This Row],[VEN]]="X",),"X","")</f>
        <v/>
      </c>
      <c r="D285" s="113" t="s">
        <v>87</v>
      </c>
      <c r="E285" s="109" t="s">
        <v>2479</v>
      </c>
      <c r="F285" s="109">
        <v>1800</v>
      </c>
      <c r="G285" s="109" t="s">
        <v>2480</v>
      </c>
      <c r="H285" s="111"/>
      <c r="I285" s="111"/>
      <c r="J285" s="111"/>
      <c r="K285" s="111"/>
      <c r="L285" s="111"/>
      <c r="M285" s="109" t="s">
        <v>1258</v>
      </c>
      <c r="N285" s="109"/>
      <c r="O285" s="109"/>
      <c r="P285" s="109"/>
      <c r="Q285" s="109" t="s">
        <v>2527</v>
      </c>
      <c r="R285" s="110">
        <v>45868</v>
      </c>
      <c r="S285" s="109" t="s">
        <v>239</v>
      </c>
      <c r="T285" s="114" t="str">
        <f ca="1">IF(AND('Inserimento dati'!$B$3=$H$2, Tabella3[[#This Row],[LUN]]="X"), "X",IF(AND('Inserimento dati'!$B$3=$I$2, Tabella3[[#This Row],[MAR]]="X"), "X", IF(AND('Inserimento dati'!$B$3=$J$2, Tabella3[[#This Row],[MER]]="X"), "X",IF(AND('Inserimento dati'!$B$3=$K$2, Tabella3[[#This Row],[GIO]]="X"), "X", IF(AND('Inserimento dati'!$B$3=$L$2, Tabella3[[#This Row],[VEN]]="X"), "X","")))))</f>
        <v/>
      </c>
      <c r="U285" s="93" t="str">
        <f t="shared" ca="1" si="12"/>
        <v>18000155</v>
      </c>
      <c r="V285" s="187">
        <v>45930.833333333336</v>
      </c>
    </row>
    <row r="286" spans="1:22" s="19" customFormat="1" ht="45" x14ac:dyDescent="0.2">
      <c r="A286" s="112"/>
      <c r="B286" s="112"/>
      <c r="C286" s="112" t="str">
        <f>IF(OR(Tabella3[[#This Row],[LUN]]="X",Tabella3[[#This Row],[MAR]]="X",Tabella3[[#This Row],[MER]]="X",Tabella3[[#This Row],[GIO]]="X",Tabella3[[#This Row],[VEN]]="X",),"X","")</f>
        <v/>
      </c>
      <c r="D286" s="113" t="s">
        <v>87</v>
      </c>
      <c r="E286" s="109" t="s">
        <v>2499</v>
      </c>
      <c r="F286" s="109" t="s">
        <v>1616</v>
      </c>
      <c r="G286" s="109" t="s">
        <v>2500</v>
      </c>
      <c r="H286" s="111"/>
      <c r="I286" s="111"/>
      <c r="J286" s="111"/>
      <c r="K286" s="111"/>
      <c r="L286" s="111"/>
      <c r="M286" s="109" t="s">
        <v>1258</v>
      </c>
      <c r="N286" s="109"/>
      <c r="O286" s="109"/>
      <c r="P286" s="109"/>
      <c r="Q286" s="109" t="s">
        <v>2526</v>
      </c>
      <c r="R286" s="110">
        <v>45868</v>
      </c>
      <c r="S286" s="109" t="s">
        <v>239</v>
      </c>
      <c r="T286" s="114" t="str">
        <f ca="1">IF(AND('Inserimento dati'!$B$3=$H$2, Tabella3[[#This Row],[LUN]]="X"), "X",IF(AND('Inserimento dati'!$B$3=$I$2, Tabella3[[#This Row],[MAR]]="X"), "X", IF(AND('Inserimento dati'!$B$3=$J$2, Tabella3[[#This Row],[MER]]="X"), "X",IF(AND('Inserimento dati'!$B$3=$K$2, Tabella3[[#This Row],[GIO]]="X"), "X", IF(AND('Inserimento dati'!$B$3=$L$2, Tabella3[[#This Row],[VEN]]="X"), "X","")))))</f>
        <v/>
      </c>
      <c r="U286" s="93" t="str">
        <f t="shared" ca="1" si="12"/>
        <v>10227999</v>
      </c>
      <c r="V286" s="187">
        <v>45930.833333333336</v>
      </c>
    </row>
    <row r="287" spans="1:22" s="19" customFormat="1" ht="30" x14ac:dyDescent="0.2">
      <c r="A287" s="112"/>
      <c r="B287" s="112"/>
      <c r="C287" s="112" t="str">
        <f>IF(OR(Tabella3[[#This Row],[LUN]]="X",Tabella3[[#This Row],[MAR]]="X",Tabella3[[#This Row],[MER]]="X",Tabella3[[#This Row],[GIO]]="X",Tabella3[[#This Row],[VEN]]="X",),"X","")</f>
        <v/>
      </c>
      <c r="D287" s="113" t="s">
        <v>87</v>
      </c>
      <c r="E287" s="109" t="s">
        <v>2380</v>
      </c>
      <c r="F287" s="109">
        <v>1100</v>
      </c>
      <c r="G287" s="109" t="s">
        <v>2381</v>
      </c>
      <c r="H287" s="111"/>
      <c r="I287" s="111"/>
      <c r="J287" s="111"/>
      <c r="K287" s="111"/>
      <c r="L287" s="111"/>
      <c r="M287" s="109" t="s">
        <v>1258</v>
      </c>
      <c r="N287" s="109"/>
      <c r="O287" s="109"/>
      <c r="P287" s="109"/>
      <c r="Q287" s="109" t="s">
        <v>2548</v>
      </c>
      <c r="R287" s="110"/>
      <c r="S287" s="109"/>
      <c r="T287" s="114" t="str">
        <f ca="1">IF(AND('Inserimento dati'!$B$3=$H$2, Tabella3[[#This Row],[LUN]]="X"), "X",IF(AND('Inserimento dati'!$B$3=$I$2, Tabella3[[#This Row],[MAR]]="X"), "X", IF(AND('Inserimento dati'!$B$3=$J$2, Tabella3[[#This Row],[MER]]="X"), "X",IF(AND('Inserimento dati'!$B$3=$K$2, Tabella3[[#This Row],[GIO]]="X"), "X", IF(AND('Inserimento dati'!$B$3=$L$2, Tabella3[[#This Row],[VEN]]="X"), "X","")))))</f>
        <v/>
      </c>
      <c r="U287" s="130" t="str">
        <f t="shared" ca="1" si="12"/>
        <v>10227311</v>
      </c>
      <c r="V287" s="187">
        <v>45930.833333333336</v>
      </c>
    </row>
    <row r="288" spans="1:22" s="19" customFormat="1" ht="23.25" x14ac:dyDescent="0.2">
      <c r="A288" s="112"/>
      <c r="B288" s="112"/>
      <c r="C288" s="112" t="str">
        <f>IF(OR(Tabella3[[#This Row],[LUN]]="X",Tabella3[[#This Row],[MAR]]="X",Tabella3[[#This Row],[MER]]="X",Tabella3[[#This Row],[GIO]]="X",Tabella3[[#This Row],[VEN]]="X",),"X","")</f>
        <v/>
      </c>
      <c r="D288" s="113" t="s">
        <v>87</v>
      </c>
      <c r="E288" s="109" t="s">
        <v>2463</v>
      </c>
      <c r="F288" s="109">
        <v>700</v>
      </c>
      <c r="G288" s="109" t="s">
        <v>2464</v>
      </c>
      <c r="H288" s="111"/>
      <c r="I288" s="111"/>
      <c r="J288" s="111"/>
      <c r="K288" s="111"/>
      <c r="L288" s="111"/>
      <c r="M288" s="109" t="s">
        <v>1258</v>
      </c>
      <c r="N288" s="109"/>
      <c r="O288" s="109"/>
      <c r="P288" s="109"/>
      <c r="Q288" s="109" t="s">
        <v>2559</v>
      </c>
      <c r="R288" s="110"/>
      <c r="S288" s="109"/>
      <c r="T288" s="114" t="str">
        <f ca="1">IF(AND('Inserimento dati'!$B$3=$H$2, Tabella3[[#This Row],[LUN]]="X"), "X",IF(AND('Inserimento dati'!$B$3=$I$2, Tabella3[[#This Row],[MAR]]="X"), "X", IF(AND('Inserimento dati'!$B$3=$J$2, Tabella3[[#This Row],[MER]]="X"), "X",IF(AND('Inserimento dati'!$B$3=$K$2, Tabella3[[#This Row],[GIO]]="X"), "X", IF(AND('Inserimento dati'!$B$3=$L$2, Tabella3[[#This Row],[VEN]]="X"), "X","")))))</f>
        <v/>
      </c>
      <c r="U288" s="93" t="str">
        <f t="shared" ca="1" si="12"/>
        <v>10227790</v>
      </c>
      <c r="V288" s="187">
        <v>45930.833333333336</v>
      </c>
    </row>
    <row r="289" spans="1:22" s="19" customFormat="1" ht="30" x14ac:dyDescent="0.2">
      <c r="A289" s="112"/>
      <c r="B289" s="112"/>
      <c r="C289" s="112" t="str">
        <f>IF(OR(Tabella3[[#This Row],[LUN]]="X",Tabella3[[#This Row],[MAR]]="X",Tabella3[[#This Row],[MER]]="X",Tabella3[[#This Row],[GIO]]="X",Tabella3[[#This Row],[VEN]]="X",),"X","")</f>
        <v/>
      </c>
      <c r="D289" s="113" t="s">
        <v>87</v>
      </c>
      <c r="E289" s="109" t="s">
        <v>2286</v>
      </c>
      <c r="F289" s="109">
        <v>700</v>
      </c>
      <c r="G289" s="109" t="s">
        <v>2287</v>
      </c>
      <c r="H289" s="111"/>
      <c r="I289" s="111"/>
      <c r="J289" s="111"/>
      <c r="K289" s="111"/>
      <c r="L289" s="111"/>
      <c r="M289" s="109" t="s">
        <v>1258</v>
      </c>
      <c r="N289" s="109"/>
      <c r="O289" s="109"/>
      <c r="P289" s="109"/>
      <c r="Q289" s="109" t="s">
        <v>2290</v>
      </c>
      <c r="R289" s="110">
        <v>45754</v>
      </c>
      <c r="S289" s="109" t="s">
        <v>211</v>
      </c>
      <c r="T289" s="114" t="str">
        <f ca="1">IF(AND('Inserimento dati'!$B$3=$H$2, Tabella3[[#This Row],[LUN]]="X"), "X",IF(AND('Inserimento dati'!$B$3=$I$2, Tabella3[[#This Row],[MAR]]="X"), "X", IF(AND('Inserimento dati'!$B$3=$J$2, Tabella3[[#This Row],[MER]]="X"), "X",IF(AND('Inserimento dati'!$B$3=$K$2, Tabella3[[#This Row],[GIO]]="X"), "X", IF(AND('Inserimento dati'!$B$3=$L$2, Tabella3[[#This Row],[VEN]]="X"), "X","")))))</f>
        <v/>
      </c>
      <c r="U289" s="129" t="str">
        <f t="shared" ca="1" si="12"/>
        <v>10226908</v>
      </c>
      <c r="V289" s="187">
        <v>45930.833333333336</v>
      </c>
    </row>
    <row r="290" spans="1:22" s="19" customFormat="1" ht="23.25" x14ac:dyDescent="0.2">
      <c r="A290" s="112"/>
      <c r="B290" s="112"/>
      <c r="C290" s="112" t="str">
        <f>IF(OR(Tabella3[[#This Row],[LUN]]="X",Tabella3[[#This Row],[MAR]]="X",Tabella3[[#This Row],[MER]]="X",Tabella3[[#This Row],[GIO]]="X",Tabella3[[#This Row],[VEN]]="X",),"X","")</f>
        <v/>
      </c>
      <c r="D290" s="113" t="s">
        <v>87</v>
      </c>
      <c r="E290" s="109" t="s">
        <v>1756</v>
      </c>
      <c r="F290" s="109">
        <v>800</v>
      </c>
      <c r="G290" s="109" t="s">
        <v>2031</v>
      </c>
      <c r="H290" s="111"/>
      <c r="I290" s="111"/>
      <c r="J290" s="111"/>
      <c r="K290" s="111"/>
      <c r="L290" s="111"/>
      <c r="M290" s="109" t="s">
        <v>1258</v>
      </c>
      <c r="N290" s="109"/>
      <c r="O290" s="109"/>
      <c r="P290" s="109"/>
      <c r="Q290" s="109" t="s">
        <v>149</v>
      </c>
      <c r="R290" s="110">
        <v>45833</v>
      </c>
      <c r="S290" s="109" t="s">
        <v>211</v>
      </c>
      <c r="T290" s="114" t="str">
        <f ca="1">IF(AND('Inserimento dati'!$B$3=$H$2, Tabella3[[#This Row],[LUN]]="X"), "X",IF(AND('Inserimento dati'!$B$3=$I$2, Tabella3[[#This Row],[MAR]]="X"), "X", IF(AND('Inserimento dati'!$B$3=$J$2, Tabella3[[#This Row],[MER]]="X"), "X",IF(AND('Inserimento dati'!$B$3=$K$2, Tabella3[[#This Row],[GIO]]="X"), "X", IF(AND('Inserimento dati'!$B$3=$L$2, Tabella3[[#This Row],[VEN]]="X"), "X","")))))</f>
        <v/>
      </c>
      <c r="U290" s="129" t="str">
        <f t="shared" ca="1" si="12"/>
        <v/>
      </c>
      <c r="V290" s="187">
        <v>45930.833333333336</v>
      </c>
    </row>
    <row r="291" spans="1:22" s="19" customFormat="1" ht="30" x14ac:dyDescent="0.2">
      <c r="A291" s="112"/>
      <c r="B291" s="112"/>
      <c r="C291" s="112" t="str">
        <f>IF(OR(Tabella3[[#This Row],[LUN]]="X",Tabella3[[#This Row],[MAR]]="X",Tabella3[[#This Row],[MER]]="X",Tabella3[[#This Row],[GIO]]="X",Tabella3[[#This Row],[VEN]]="X",),"X","")</f>
        <v/>
      </c>
      <c r="D291" s="113" t="s">
        <v>87</v>
      </c>
      <c r="E291" s="109" t="s">
        <v>2568</v>
      </c>
      <c r="F291" s="109" t="s">
        <v>1616</v>
      </c>
      <c r="G291" s="109" t="s">
        <v>2569</v>
      </c>
      <c r="H291" s="111"/>
      <c r="I291" s="111"/>
      <c r="J291" s="111"/>
      <c r="K291" s="111"/>
      <c r="L291" s="111"/>
      <c r="M291" s="109" t="s">
        <v>1258</v>
      </c>
      <c r="N291" s="109"/>
      <c r="O291" s="109"/>
      <c r="P291" s="109"/>
      <c r="Q291" s="109" t="s">
        <v>2589</v>
      </c>
      <c r="R291" s="110">
        <v>45881</v>
      </c>
      <c r="S291" s="109" t="s">
        <v>203</v>
      </c>
      <c r="T291" s="114" t="str">
        <f ca="1">IF(AND('Inserimento dati'!$B$3=$H$2, Tabella3[[#This Row],[LUN]]="X"), "X",IF(AND('Inserimento dati'!$B$3=$I$2, Tabella3[[#This Row],[MAR]]="X"), "X", IF(AND('Inserimento dati'!$B$3=$J$2, Tabella3[[#This Row],[MER]]="X"), "X",IF(AND('Inserimento dati'!$B$3=$K$2, Tabella3[[#This Row],[GIO]]="X"), "X", IF(AND('Inserimento dati'!$B$3=$L$2, Tabella3[[#This Row],[VEN]]="X"), "X","")))))</f>
        <v/>
      </c>
      <c r="U291" s="93" t="str">
        <f t="shared" ca="1" si="12"/>
        <v>10228612</v>
      </c>
      <c r="V291" s="187">
        <v>45930.833333333336</v>
      </c>
    </row>
    <row r="292" spans="1:22" s="19" customFormat="1" ht="30" x14ac:dyDescent="0.2">
      <c r="A292" s="112"/>
      <c r="B292" s="112"/>
      <c r="C292" s="112" t="str">
        <f>IF(OR(Tabella3[[#This Row],[LUN]]="X",Tabella3[[#This Row],[MAR]]="X",Tabella3[[#This Row],[MER]]="X",Tabella3[[#This Row],[GIO]]="X",Tabella3[[#This Row],[VEN]]="X",),"X","")</f>
        <v/>
      </c>
      <c r="D292" s="113" t="s">
        <v>87</v>
      </c>
      <c r="E292" s="109" t="s">
        <v>2570</v>
      </c>
      <c r="F292" s="109">
        <v>1400</v>
      </c>
      <c r="G292" s="109" t="s">
        <v>2571</v>
      </c>
      <c r="H292" s="111"/>
      <c r="I292" s="111"/>
      <c r="J292" s="111"/>
      <c r="K292" s="111"/>
      <c r="L292" s="111"/>
      <c r="M292" s="109" t="s">
        <v>1258</v>
      </c>
      <c r="N292" s="109"/>
      <c r="O292" s="109"/>
      <c r="P292" s="109"/>
      <c r="Q292" s="109" t="s">
        <v>2606</v>
      </c>
      <c r="R292" s="110">
        <v>45882</v>
      </c>
      <c r="S292" s="109" t="s">
        <v>239</v>
      </c>
      <c r="T292" s="114" t="str">
        <f ca="1">IF(AND('Inserimento dati'!$B$3=$H$2, Tabella3[[#This Row],[LUN]]="X"), "X",IF(AND('Inserimento dati'!$B$3=$I$2, Tabella3[[#This Row],[MAR]]="X"), "X", IF(AND('Inserimento dati'!$B$3=$J$2, Tabella3[[#This Row],[MER]]="X"), "X",IF(AND('Inserimento dati'!$B$3=$K$2, Tabella3[[#This Row],[GIO]]="X"), "X", IF(AND('Inserimento dati'!$B$3=$L$2, Tabella3[[#This Row],[VEN]]="X"), "X","")))))</f>
        <v/>
      </c>
      <c r="U292" s="93" t="str">
        <f t="shared" ca="1" si="12"/>
        <v>10228613</v>
      </c>
      <c r="V292" s="187">
        <v>45930.833333333336</v>
      </c>
    </row>
    <row r="293" spans="1:22" s="19" customFormat="1" ht="23.25" x14ac:dyDescent="0.2">
      <c r="A293" s="112"/>
      <c r="B293" s="112"/>
      <c r="C293" s="112" t="str">
        <f>IF(OR(Tabella3[[#This Row],[LUN]]="X",Tabella3[[#This Row],[MAR]]="X",Tabella3[[#This Row],[MER]]="X",Tabella3[[#This Row],[GIO]]="X",Tabella3[[#This Row],[VEN]]="X",),"X","")</f>
        <v/>
      </c>
      <c r="D293" s="113" t="s">
        <v>87</v>
      </c>
      <c r="E293" s="109" t="s">
        <v>2572</v>
      </c>
      <c r="F293" s="109">
        <v>1200</v>
      </c>
      <c r="G293" s="109" t="s">
        <v>2573</v>
      </c>
      <c r="H293" s="111"/>
      <c r="I293" s="111"/>
      <c r="J293" s="111"/>
      <c r="K293" s="111"/>
      <c r="L293" s="111"/>
      <c r="M293" s="109" t="s">
        <v>1258</v>
      </c>
      <c r="N293" s="109"/>
      <c r="O293" s="109"/>
      <c r="P293" s="109"/>
      <c r="Q293" s="109" t="s">
        <v>2631</v>
      </c>
      <c r="R293" s="110">
        <v>45882</v>
      </c>
      <c r="S293" s="109" t="s">
        <v>1207</v>
      </c>
      <c r="T293" s="114" t="str">
        <f ca="1">IF(AND('Inserimento dati'!$B$3=$H$2, Tabella3[[#This Row],[LUN]]="X"), "X",IF(AND('Inserimento dati'!$B$3=$I$2, Tabella3[[#This Row],[MAR]]="X"), "X", IF(AND('Inserimento dati'!$B$3=$J$2, Tabella3[[#This Row],[MER]]="X"), "X",IF(AND('Inserimento dati'!$B$3=$K$2, Tabella3[[#This Row],[GIO]]="X"), "X", IF(AND('Inserimento dati'!$B$3=$L$2, Tabella3[[#This Row],[VEN]]="X"), "X","")))))</f>
        <v/>
      </c>
      <c r="U293" s="93" t="str">
        <f t="shared" ca="1" si="12"/>
        <v/>
      </c>
      <c r="V293" s="187">
        <v>45930.833333333336</v>
      </c>
    </row>
    <row r="294" spans="1:22" s="19" customFormat="1" ht="23.25" x14ac:dyDescent="0.2">
      <c r="A294" s="112"/>
      <c r="B294" s="112"/>
      <c r="C294" s="112" t="str">
        <f>IF(OR(Tabella3[[#This Row],[LUN]]="X",Tabella3[[#This Row],[MAR]]="X",Tabella3[[#This Row],[MER]]="X",Tabella3[[#This Row],[GIO]]="X",Tabella3[[#This Row],[VEN]]="X",),"X","")</f>
        <v/>
      </c>
      <c r="D294" s="113" t="s">
        <v>87</v>
      </c>
      <c r="E294" s="109" t="s">
        <v>2688</v>
      </c>
      <c r="F294" s="109">
        <v>700</v>
      </c>
      <c r="G294" s="109" t="s">
        <v>2689</v>
      </c>
      <c r="H294" s="111"/>
      <c r="I294" s="111"/>
      <c r="J294" s="111"/>
      <c r="K294" s="111"/>
      <c r="L294" s="111"/>
      <c r="M294" s="109" t="s">
        <v>1258</v>
      </c>
      <c r="N294" s="109"/>
      <c r="O294" s="109"/>
      <c r="P294" s="109"/>
      <c r="Q294" s="109"/>
      <c r="R294" s="110">
        <v>45891</v>
      </c>
      <c r="S294" s="109" t="s">
        <v>206</v>
      </c>
      <c r="T294" s="114" t="str">
        <f ca="1">IF(AND('Inserimento dati'!$B$3=$H$2, Tabella3[[#This Row],[LUN]]="X"), "X",IF(AND('Inserimento dati'!$B$3=$I$2, Tabella3[[#This Row],[MAR]]="X"), "X", IF(AND('Inserimento dati'!$B$3=$J$2, Tabella3[[#This Row],[MER]]="X"), "X",IF(AND('Inserimento dati'!$B$3=$K$2, Tabella3[[#This Row],[GIO]]="X"), "X", IF(AND('Inserimento dati'!$B$3=$L$2, Tabella3[[#This Row],[VEN]]="X"), "X","")))))</f>
        <v/>
      </c>
      <c r="U294" s="93" t="str">
        <f t="shared" ca="1" si="12"/>
        <v/>
      </c>
      <c r="V294" s="187">
        <v>45930.833333333336</v>
      </c>
    </row>
    <row r="295" spans="1:22" s="19" customFormat="1" ht="23.25" x14ac:dyDescent="0.2">
      <c r="A295" s="112"/>
      <c r="B295" s="112"/>
      <c r="C295" s="112" t="str">
        <f>IF(OR(Tabella3[[#This Row],[LUN]]="X",Tabella3[[#This Row],[MAR]]="X",Tabella3[[#This Row],[MER]]="X",Tabella3[[#This Row],[GIO]]="X",Tabella3[[#This Row],[VEN]]="X",),"X","")</f>
        <v/>
      </c>
      <c r="D295" s="113" t="s">
        <v>87</v>
      </c>
      <c r="E295" s="109" t="s">
        <v>2636</v>
      </c>
      <c r="F295" s="109">
        <v>1800</v>
      </c>
      <c r="G295" s="109" t="s">
        <v>2637</v>
      </c>
      <c r="H295" s="111"/>
      <c r="I295" s="111"/>
      <c r="J295" s="111"/>
      <c r="K295" s="111"/>
      <c r="L295" s="111"/>
      <c r="M295" s="109" t="s">
        <v>1258</v>
      </c>
      <c r="N295" s="109"/>
      <c r="O295" s="109"/>
      <c r="P295" s="109"/>
      <c r="Q295" s="109"/>
      <c r="R295" s="110">
        <v>45891</v>
      </c>
      <c r="S295" s="109" t="s">
        <v>1048</v>
      </c>
      <c r="T295" s="114" t="str">
        <f ca="1">IF(AND('Inserimento dati'!$B$3=$H$2, Tabella3[[#This Row],[LUN]]="X"), "X",IF(AND('Inserimento dati'!$B$3=$I$2, Tabella3[[#This Row],[MAR]]="X"), "X", IF(AND('Inserimento dati'!$B$3=$J$2, Tabella3[[#This Row],[MER]]="X"), "X",IF(AND('Inserimento dati'!$B$3=$K$2, Tabella3[[#This Row],[GIO]]="X"), "X", IF(AND('Inserimento dati'!$B$3=$L$2, Tabella3[[#This Row],[VEN]]="X"), "X","")))))</f>
        <v/>
      </c>
      <c r="U295" s="93" t="str">
        <f t="shared" ca="1" si="12"/>
        <v/>
      </c>
      <c r="V295" s="187">
        <v>45930.833333333336</v>
      </c>
    </row>
    <row r="296" spans="1:22" s="19" customFormat="1" ht="23.25" x14ac:dyDescent="0.2">
      <c r="A296" s="112"/>
      <c r="B296" s="112"/>
      <c r="C296" s="112" t="str">
        <f>IF(OR(Tabella3[[#This Row],[LUN]]="X",Tabella3[[#This Row],[MAR]]="X",Tabella3[[#This Row],[MER]]="X",Tabella3[[#This Row],[GIO]]="X",Tabella3[[#This Row],[VEN]]="X",),"X","")</f>
        <v/>
      </c>
      <c r="D296" s="113" t="s">
        <v>87</v>
      </c>
      <c r="E296" s="170" t="s">
        <v>2565</v>
      </c>
      <c r="F296" s="109">
        <v>1400</v>
      </c>
      <c r="G296" s="109" t="s">
        <v>2564</v>
      </c>
      <c r="H296" s="111"/>
      <c r="I296" s="111"/>
      <c r="J296" s="111"/>
      <c r="K296" s="111"/>
      <c r="L296" s="111"/>
      <c r="M296" s="109" t="s">
        <v>1258</v>
      </c>
      <c r="N296" s="109"/>
      <c r="O296" s="109"/>
      <c r="P296" s="109"/>
      <c r="Q296" s="109"/>
      <c r="R296" s="110"/>
      <c r="S296" s="109"/>
      <c r="T296" s="114" t="str">
        <f ca="1">IF(AND('Inserimento dati'!$B$3=$H$2, Tabella3[[#This Row],[LUN]]="X"), "X",IF(AND('Inserimento dati'!$B$3=$I$2, Tabella3[[#This Row],[MAR]]="X"), "X", IF(AND('Inserimento dati'!$B$3=$J$2, Tabella3[[#This Row],[MER]]="X"), "X",IF(AND('Inserimento dati'!$B$3=$K$2, Tabella3[[#This Row],[GIO]]="X"), "X", IF(AND('Inserimento dati'!$B$3=$L$2, Tabella3[[#This Row],[VEN]]="X"), "X","")))))</f>
        <v/>
      </c>
      <c r="U296" s="93" t="str">
        <f t="shared" ca="1" si="12"/>
        <v/>
      </c>
      <c r="V296" s="187">
        <v>45930.833333333336</v>
      </c>
    </row>
    <row r="297" spans="1:22" s="19" customFormat="1" ht="23.25" x14ac:dyDescent="0.2">
      <c r="A297" s="112"/>
      <c r="B297" s="112"/>
      <c r="C297" s="112" t="str">
        <f>IF(OR(Tabella3[[#This Row],[LUN]]="X",Tabella3[[#This Row],[MAR]]="X",Tabella3[[#This Row],[MER]]="X",Tabella3[[#This Row],[GIO]]="X",Tabella3[[#This Row],[VEN]]="X",),"X","")</f>
        <v/>
      </c>
      <c r="D297" s="113" t="s">
        <v>87</v>
      </c>
      <c r="E297" s="109" t="s">
        <v>2709</v>
      </c>
      <c r="F297" s="109">
        <v>800</v>
      </c>
      <c r="G297" s="109" t="s">
        <v>2710</v>
      </c>
      <c r="H297" s="111"/>
      <c r="I297" s="111"/>
      <c r="J297" s="111"/>
      <c r="K297" s="111"/>
      <c r="L297" s="111"/>
      <c r="M297" s="109" t="s">
        <v>1258</v>
      </c>
      <c r="N297" s="109"/>
      <c r="O297" s="109"/>
      <c r="P297" s="109"/>
      <c r="Q297" s="109"/>
      <c r="R297" s="110">
        <v>45896</v>
      </c>
      <c r="S297" s="109" t="s">
        <v>1048</v>
      </c>
      <c r="T297" s="114" t="str">
        <f ca="1">IF(AND('Inserimento dati'!$B$3=$H$2, Tabella3[[#This Row],[LUN]]="X"), "X",IF(AND('Inserimento dati'!$B$3=$I$2, Tabella3[[#This Row],[MAR]]="X"), "X", IF(AND('Inserimento dati'!$B$3=$J$2, Tabella3[[#This Row],[MER]]="X"), "X",IF(AND('Inserimento dati'!$B$3=$K$2, Tabella3[[#This Row],[GIO]]="X"), "X", IF(AND('Inserimento dati'!$B$3=$L$2, Tabella3[[#This Row],[VEN]]="X"), "X","")))))</f>
        <v/>
      </c>
      <c r="U297" s="93" t="str">
        <f t="shared" ca="1" si="12"/>
        <v/>
      </c>
      <c r="V297" s="187">
        <v>45930.833333333336</v>
      </c>
    </row>
    <row r="298" spans="1:22" s="19" customFormat="1" ht="23.25" x14ac:dyDescent="0.2">
      <c r="A298" s="112"/>
      <c r="B298" s="112"/>
      <c r="C298" s="112" t="str">
        <f>IF(OR(Tabella3[[#This Row],[LUN]]="X",Tabella3[[#This Row],[MAR]]="X",Tabella3[[#This Row],[MER]]="X",Tabella3[[#This Row],[GIO]]="X",Tabella3[[#This Row],[VEN]]="X",),"X","")</f>
        <v/>
      </c>
      <c r="D298" s="113" t="s">
        <v>87</v>
      </c>
      <c r="E298" s="109" t="s">
        <v>2766</v>
      </c>
      <c r="F298" s="109">
        <v>700</v>
      </c>
      <c r="G298" s="109" t="s">
        <v>2767</v>
      </c>
      <c r="H298" s="111"/>
      <c r="I298" s="111"/>
      <c r="J298" s="111"/>
      <c r="K298" s="111"/>
      <c r="L298" s="111"/>
      <c r="M298" s="109" t="s">
        <v>1258</v>
      </c>
      <c r="N298" s="109"/>
      <c r="O298" s="109"/>
      <c r="P298" s="109"/>
      <c r="Q298" s="109"/>
      <c r="R298" s="110"/>
      <c r="S298" s="109"/>
      <c r="T298" s="114" t="str">
        <f ca="1">IF(AND('Inserimento dati'!$B$3=$H$2, Tabella3[[#This Row],[LUN]]="X"), "X",IF(AND('Inserimento dati'!$B$3=$I$2, Tabella3[[#This Row],[MAR]]="X"), "X", IF(AND('Inserimento dati'!$B$3=$J$2, Tabella3[[#This Row],[MER]]="X"), "X",IF(AND('Inserimento dati'!$B$3=$K$2, Tabella3[[#This Row],[GIO]]="X"), "X", IF(AND('Inserimento dati'!$B$3=$L$2, Tabella3[[#This Row],[VEN]]="X"), "X","")))))</f>
        <v/>
      </c>
      <c r="U298" s="93" t="str">
        <f t="shared" ca="1" si="12"/>
        <v>10229700</v>
      </c>
      <c r="V298" s="187">
        <v>45930.833333333336</v>
      </c>
    </row>
    <row r="299" spans="1:22" s="19" customFormat="1" ht="23.25" x14ac:dyDescent="0.2">
      <c r="A299" s="112"/>
      <c r="B299" s="112"/>
      <c r="C299" s="112" t="str">
        <f>IF(OR(Tabella3[[#This Row],[LUN]]="X",Tabella3[[#This Row],[MAR]]="X",Tabella3[[#This Row],[MER]]="X",Tabella3[[#This Row],[GIO]]="X",Tabella3[[#This Row],[VEN]]="X",),"X","")</f>
        <v/>
      </c>
      <c r="D299" s="113" t="s">
        <v>87</v>
      </c>
      <c r="E299" s="109" t="s">
        <v>2690</v>
      </c>
      <c r="F299" s="109">
        <v>1200</v>
      </c>
      <c r="G299" s="109" t="s">
        <v>2691</v>
      </c>
      <c r="H299" s="111"/>
      <c r="I299" s="111"/>
      <c r="J299" s="111"/>
      <c r="K299" s="111"/>
      <c r="L299" s="111"/>
      <c r="M299" s="109" t="s">
        <v>1258</v>
      </c>
      <c r="N299" s="109"/>
      <c r="O299" s="109"/>
      <c r="P299" s="109"/>
      <c r="Q299" s="109"/>
      <c r="R299" s="110">
        <v>45903</v>
      </c>
      <c r="S299" s="109" t="s">
        <v>211</v>
      </c>
      <c r="T299" s="114" t="str">
        <f ca="1">IF(AND('Inserimento dati'!$B$3=$H$2, Tabella3[[#This Row],[LUN]]="X"), "X",IF(AND('Inserimento dati'!$B$3=$I$2, Tabella3[[#This Row],[MAR]]="X"), "X", IF(AND('Inserimento dati'!$B$3=$J$2, Tabella3[[#This Row],[MER]]="X"), "X",IF(AND('Inserimento dati'!$B$3=$K$2, Tabella3[[#This Row],[GIO]]="X"), "X", IF(AND('Inserimento dati'!$B$3=$L$2, Tabella3[[#This Row],[VEN]]="X"), "X","")))))</f>
        <v/>
      </c>
      <c r="U299" s="93" t="str">
        <f t="shared" ca="1" si="12"/>
        <v>10229300</v>
      </c>
      <c r="V299" s="187">
        <v>45930.833333333336</v>
      </c>
    </row>
    <row r="300" spans="1:22" s="19" customFormat="1" ht="23.25" x14ac:dyDescent="0.2">
      <c r="A300" s="112"/>
      <c r="B300" s="112"/>
      <c r="C300" s="112" t="str">
        <f>IF(OR(Tabella3[[#This Row],[LUN]]="X",Tabella3[[#This Row],[MAR]]="X",Tabella3[[#This Row],[MER]]="X",Tabella3[[#This Row],[GIO]]="X",Tabella3[[#This Row],[VEN]]="X",),"X","")</f>
        <v/>
      </c>
      <c r="D300" s="113" t="s">
        <v>87</v>
      </c>
      <c r="E300" s="109" t="s">
        <v>2692</v>
      </c>
      <c r="F300" s="109">
        <v>1200</v>
      </c>
      <c r="G300" s="109" t="s">
        <v>2708</v>
      </c>
      <c r="H300" s="111"/>
      <c r="I300" s="111"/>
      <c r="J300" s="111"/>
      <c r="K300" s="111"/>
      <c r="L300" s="111"/>
      <c r="M300" s="109" t="s">
        <v>1258</v>
      </c>
      <c r="N300" s="109"/>
      <c r="O300" s="109"/>
      <c r="P300" s="109"/>
      <c r="Q300" s="109"/>
      <c r="R300" s="110">
        <v>45903</v>
      </c>
      <c r="S300" s="109" t="s">
        <v>211</v>
      </c>
      <c r="T300" s="114" t="str">
        <f ca="1">IF(AND('Inserimento dati'!$B$3=$H$2, Tabella3[[#This Row],[LUN]]="X"), "X",IF(AND('Inserimento dati'!$B$3=$I$2, Tabella3[[#This Row],[MAR]]="X"), "X", IF(AND('Inserimento dati'!$B$3=$J$2, Tabella3[[#This Row],[MER]]="X"), "X",IF(AND('Inserimento dati'!$B$3=$K$2, Tabella3[[#This Row],[GIO]]="X"), "X", IF(AND('Inserimento dati'!$B$3=$L$2, Tabella3[[#This Row],[VEN]]="X"), "X","")))))</f>
        <v/>
      </c>
      <c r="U300" s="93" t="str">
        <f t="shared" ca="1" si="12"/>
        <v>10229301</v>
      </c>
      <c r="V300" s="187">
        <v>45930.833333333336</v>
      </c>
    </row>
    <row r="301" spans="1:22" s="19" customFormat="1" ht="23.25" x14ac:dyDescent="0.2">
      <c r="A301" s="112"/>
      <c r="B301" s="112"/>
      <c r="C301" s="112" t="str">
        <f>IF(OR(Tabella3[[#This Row],[LUN]]="X",Tabella3[[#This Row],[MAR]]="X",Tabella3[[#This Row],[MER]]="X",Tabella3[[#This Row],[GIO]]="X",Tabella3[[#This Row],[VEN]]="X",),"X","")</f>
        <v/>
      </c>
      <c r="D301" s="113" t="s">
        <v>87</v>
      </c>
      <c r="E301" s="109" t="s">
        <v>2772</v>
      </c>
      <c r="F301" s="109">
        <v>1100</v>
      </c>
      <c r="G301" s="109" t="s">
        <v>2773</v>
      </c>
      <c r="H301" s="111"/>
      <c r="I301" s="111"/>
      <c r="J301" s="111"/>
      <c r="K301" s="111"/>
      <c r="L301" s="111"/>
      <c r="M301" s="109" t="s">
        <v>1258</v>
      </c>
      <c r="N301" s="109"/>
      <c r="O301" s="109"/>
      <c r="P301" s="109"/>
      <c r="Q301" s="109"/>
      <c r="R301" s="110"/>
      <c r="S301" s="109"/>
      <c r="T301" s="114" t="str">
        <f ca="1">IF(AND('Inserimento dati'!$B$3=$H$2, Tabella3[[#This Row],[LUN]]="X"), "X",IF(AND('Inserimento dati'!$B$3=$I$2, Tabella3[[#This Row],[MAR]]="X"), "X", IF(AND('Inserimento dati'!$B$3=$J$2, Tabella3[[#This Row],[MER]]="X"), "X",IF(AND('Inserimento dati'!$B$3=$K$2, Tabella3[[#This Row],[GIO]]="X"), "X", IF(AND('Inserimento dati'!$B$3=$L$2, Tabella3[[#This Row],[VEN]]="X"), "X","")))))</f>
        <v/>
      </c>
      <c r="U301" s="93" t="str">
        <f t="shared" ca="1" si="12"/>
        <v>10229710</v>
      </c>
      <c r="V301" s="187">
        <v>45930.833333333336</v>
      </c>
    </row>
    <row r="302" spans="1:22" s="19" customFormat="1" ht="23.25" x14ac:dyDescent="0.2">
      <c r="A302" s="112"/>
      <c r="B302" s="112"/>
      <c r="C302" s="112" t="str">
        <f>IF(OR(Tabella3[[#This Row],[LUN]]="X",Tabella3[[#This Row],[MAR]]="X",Tabella3[[#This Row],[MER]]="X",Tabella3[[#This Row],[GIO]]="X",Tabella3[[#This Row],[VEN]]="X",),"X","")</f>
        <v/>
      </c>
      <c r="D302" s="113" t="s">
        <v>87</v>
      </c>
      <c r="E302" s="109" t="s">
        <v>2815</v>
      </c>
      <c r="F302" s="109">
        <v>700</v>
      </c>
      <c r="G302" s="109" t="s">
        <v>2816</v>
      </c>
      <c r="H302" s="111"/>
      <c r="I302" s="111"/>
      <c r="J302" s="111"/>
      <c r="K302" s="111"/>
      <c r="L302" s="111"/>
      <c r="M302" s="109" t="s">
        <v>1258</v>
      </c>
      <c r="N302" s="109"/>
      <c r="O302" s="109"/>
      <c r="P302" s="109"/>
      <c r="Q302" s="109"/>
      <c r="R302" s="110"/>
      <c r="S302" s="109"/>
      <c r="T302" s="114" t="str">
        <f ca="1">IF(AND('Inserimento dati'!$B$3=$H$2, Tabella3[[#This Row],[LUN]]="X"), "X",IF(AND('Inserimento dati'!$B$3=$I$2, Tabella3[[#This Row],[MAR]]="X"), "X", IF(AND('Inserimento dati'!$B$3=$J$2, Tabella3[[#This Row],[MER]]="X"), "X",IF(AND('Inserimento dati'!$B$3=$K$2, Tabella3[[#This Row],[GIO]]="X"), "X", IF(AND('Inserimento dati'!$B$3=$L$2, Tabella3[[#This Row],[VEN]]="X"), "X","")))))</f>
        <v/>
      </c>
      <c r="U302" s="93" t="str">
        <f t="shared" ca="1" si="12"/>
        <v>10229802</v>
      </c>
      <c r="V302" s="187">
        <v>45930.833333333336</v>
      </c>
    </row>
    <row r="303" spans="1:22" s="19" customFormat="1" ht="30" x14ac:dyDescent="0.2">
      <c r="A303" s="112"/>
      <c r="B303" s="112"/>
      <c r="C303" s="112" t="str">
        <f>IF(OR(Tabella3[[#This Row],[LUN]]="X",Tabella3[[#This Row],[MAR]]="X",Tabella3[[#This Row],[MER]]="X",Tabella3[[#This Row],[GIO]]="X",Tabella3[[#This Row],[VEN]]="X",),"X","")</f>
        <v/>
      </c>
      <c r="D303" s="113" t="s">
        <v>87</v>
      </c>
      <c r="E303" s="109" t="s">
        <v>2819</v>
      </c>
      <c r="F303" s="109">
        <v>800</v>
      </c>
      <c r="G303" s="109" t="s">
        <v>2820</v>
      </c>
      <c r="H303" s="111"/>
      <c r="I303" s="111"/>
      <c r="J303" s="111"/>
      <c r="K303" s="111"/>
      <c r="L303" s="111"/>
      <c r="M303" s="109" t="s">
        <v>1258</v>
      </c>
      <c r="N303" s="109"/>
      <c r="O303" s="109"/>
      <c r="P303" s="109"/>
      <c r="Q303" s="109"/>
      <c r="R303" s="110"/>
      <c r="S303" s="109"/>
      <c r="T303" s="114" t="str">
        <f ca="1">IF(AND('Inserimento dati'!$B$3=$H$2, Tabella3[[#This Row],[LUN]]="X"), "X",IF(AND('Inserimento dati'!$B$3=$I$2, Tabella3[[#This Row],[MAR]]="X"), "X", IF(AND('Inserimento dati'!$B$3=$J$2, Tabella3[[#This Row],[MER]]="X"), "X",IF(AND('Inserimento dati'!$B$3=$K$2, Tabella3[[#This Row],[GIO]]="X"), "X", IF(AND('Inserimento dati'!$B$3=$L$2, Tabella3[[#This Row],[VEN]]="X"), "X","")))))</f>
        <v/>
      </c>
      <c r="U303" s="93" t="str">
        <f t="shared" ca="1" si="12"/>
        <v/>
      </c>
      <c r="V303" s="187">
        <v>45930.833333333336</v>
      </c>
    </row>
    <row r="304" spans="1:22" s="19" customFormat="1" ht="23.25" x14ac:dyDescent="0.2">
      <c r="A304" s="112"/>
      <c r="B304" s="112"/>
      <c r="C304" s="112" t="str">
        <f>IF(OR(Tabella3[[#This Row],[LUN]]="X",Tabella3[[#This Row],[MAR]]="X",Tabella3[[#This Row],[MER]]="X",Tabella3[[#This Row],[GIO]]="X",Tabella3[[#This Row],[VEN]]="X",),"X","")</f>
        <v/>
      </c>
      <c r="D304" s="113" t="s">
        <v>87</v>
      </c>
      <c r="E304" s="109" t="s">
        <v>2847</v>
      </c>
      <c r="F304" s="109">
        <v>1200</v>
      </c>
      <c r="G304" s="109" t="s">
        <v>2848</v>
      </c>
      <c r="H304" s="111"/>
      <c r="I304" s="111"/>
      <c r="J304" s="111"/>
      <c r="K304" s="111"/>
      <c r="L304" s="111"/>
      <c r="M304" s="109" t="s">
        <v>1258</v>
      </c>
      <c r="N304" s="109"/>
      <c r="O304" s="109"/>
      <c r="P304" s="109"/>
      <c r="Q304" s="109"/>
      <c r="R304" s="110">
        <v>45908</v>
      </c>
      <c r="S304" s="109" t="s">
        <v>211</v>
      </c>
      <c r="T304" s="114" t="str">
        <f ca="1">IF(AND('Inserimento dati'!$B$3=$H$2, Tabella3[[#This Row],[LUN]]="X"), "X",IF(AND('Inserimento dati'!$B$3=$I$2, Tabella3[[#This Row],[MAR]]="X"), "X", IF(AND('Inserimento dati'!$B$3=$J$2, Tabella3[[#This Row],[MER]]="X"), "X",IF(AND('Inserimento dati'!$B$3=$K$2, Tabella3[[#This Row],[GIO]]="X"), "X", IF(AND('Inserimento dati'!$B$3=$L$2, Tabella3[[#This Row],[VEN]]="X"), "X","")))))</f>
        <v/>
      </c>
      <c r="U304" s="93" t="str">
        <f t="shared" ca="1" si="12"/>
        <v/>
      </c>
      <c r="V304" s="187">
        <v>45930.833333333336</v>
      </c>
    </row>
    <row r="305" spans="1:22" s="19" customFormat="1" ht="23.25" x14ac:dyDescent="0.2">
      <c r="A305" s="112"/>
      <c r="B305" s="112"/>
      <c r="C305" s="112" t="str">
        <f>IF(OR(Tabella3[[#This Row],[LUN]]="X",Tabella3[[#This Row],[MAR]]="X",Tabella3[[#This Row],[MER]]="X",Tabella3[[#This Row],[GIO]]="X",Tabella3[[#This Row],[VEN]]="X",),"X","")</f>
        <v/>
      </c>
      <c r="D305" s="113" t="s">
        <v>87</v>
      </c>
      <c r="E305" s="109" t="s">
        <v>2880</v>
      </c>
      <c r="F305" s="109">
        <v>1200</v>
      </c>
      <c r="G305" s="109" t="s">
        <v>2881</v>
      </c>
      <c r="H305" s="111"/>
      <c r="I305" s="111"/>
      <c r="J305" s="111"/>
      <c r="K305" s="111"/>
      <c r="L305" s="111"/>
      <c r="M305" s="109" t="s">
        <v>1258</v>
      </c>
      <c r="N305" s="109"/>
      <c r="O305" s="109"/>
      <c r="P305" s="109"/>
      <c r="Q305" s="109"/>
      <c r="R305" s="110"/>
      <c r="S305" s="109"/>
      <c r="T305" s="114" t="str">
        <f ca="1">IF(AND('Inserimento dati'!$B$3=$H$2, Tabella3[[#This Row],[LUN]]="X"), "X",IF(AND('Inserimento dati'!$B$3=$I$2, Tabella3[[#This Row],[MAR]]="X"), "X", IF(AND('Inserimento dati'!$B$3=$J$2, Tabella3[[#This Row],[MER]]="X"), "X",IF(AND('Inserimento dati'!$B$3=$K$2, Tabella3[[#This Row],[GIO]]="X"), "X", IF(AND('Inserimento dati'!$B$3=$L$2, Tabella3[[#This Row],[VEN]]="X"), "X","")))))</f>
        <v/>
      </c>
      <c r="U305" s="93" t="str">
        <f t="shared" ca="1" si="12"/>
        <v/>
      </c>
      <c r="V305" s="187">
        <v>45930.833333333336</v>
      </c>
    </row>
    <row r="306" spans="1:22" s="19" customFormat="1" ht="30" x14ac:dyDescent="0.2">
      <c r="A306" s="112"/>
      <c r="B306" s="112"/>
      <c r="C306" s="112" t="str">
        <f>IF(OR(Tabella3[[#This Row],[LUN]]="X",Tabella3[[#This Row],[MAR]]="X",Tabella3[[#This Row],[MER]]="X",Tabella3[[#This Row],[GIO]]="X",Tabella3[[#This Row],[VEN]]="X",),"X","")</f>
        <v/>
      </c>
      <c r="D306" s="113" t="s">
        <v>87</v>
      </c>
      <c r="E306" s="109" t="s">
        <v>2884</v>
      </c>
      <c r="F306" s="109">
        <v>1800</v>
      </c>
      <c r="G306" s="109" t="s">
        <v>2885</v>
      </c>
      <c r="H306" s="111"/>
      <c r="I306" s="111"/>
      <c r="J306" s="111"/>
      <c r="K306" s="111"/>
      <c r="L306" s="111"/>
      <c r="M306" s="109" t="s">
        <v>1258</v>
      </c>
      <c r="N306" s="109"/>
      <c r="O306" s="109"/>
      <c r="P306" s="109"/>
      <c r="Q306" s="109"/>
      <c r="R306" s="110">
        <v>45911</v>
      </c>
      <c r="S306" s="109" t="s">
        <v>102</v>
      </c>
      <c r="T306" s="114" t="str">
        <f ca="1">IF(AND('Inserimento dati'!$B$3=$H$2, Tabella3[[#This Row],[LUN]]="X"), "X",IF(AND('Inserimento dati'!$B$3=$I$2, Tabella3[[#This Row],[MAR]]="X"), "X", IF(AND('Inserimento dati'!$B$3=$J$2, Tabella3[[#This Row],[MER]]="X"), "X",IF(AND('Inserimento dati'!$B$3=$K$2, Tabella3[[#This Row],[GIO]]="X"), "X", IF(AND('Inserimento dati'!$B$3=$L$2, Tabella3[[#This Row],[VEN]]="X"), "X","")))))</f>
        <v/>
      </c>
      <c r="U306" s="93" t="str">
        <f t="shared" ca="1" si="12"/>
        <v>10230147</v>
      </c>
      <c r="V306" s="187">
        <v>45930.833333333336</v>
      </c>
    </row>
    <row r="307" spans="1:22" s="19" customFormat="1" ht="30" x14ac:dyDescent="0.2">
      <c r="A307" s="112"/>
      <c r="B307" s="112"/>
      <c r="C307" s="112" t="str">
        <f>IF(OR(Tabella3[[#This Row],[LUN]]="X",Tabella3[[#This Row],[MAR]]="X",Tabella3[[#This Row],[MER]]="X",Tabella3[[#This Row],[GIO]]="X",Tabella3[[#This Row],[VEN]]="X",),"X","")</f>
        <v/>
      </c>
      <c r="D307" s="113" t="s">
        <v>87</v>
      </c>
      <c r="E307" s="109" t="s">
        <v>2888</v>
      </c>
      <c r="F307" s="109">
        <v>700</v>
      </c>
      <c r="G307" s="109" t="s">
        <v>2889</v>
      </c>
      <c r="H307" s="111"/>
      <c r="I307" s="111"/>
      <c r="J307" s="111"/>
      <c r="K307" s="111"/>
      <c r="L307" s="111"/>
      <c r="M307" s="109" t="s">
        <v>1258</v>
      </c>
      <c r="N307" s="109"/>
      <c r="O307" s="109"/>
      <c r="P307" s="109"/>
      <c r="Q307" s="109" t="s">
        <v>2933</v>
      </c>
      <c r="R307" s="110">
        <v>45912</v>
      </c>
      <c r="S307" s="109" t="s">
        <v>211</v>
      </c>
      <c r="T307" s="114" t="str">
        <f ca="1">IF(AND('Inserimento dati'!$B$3=$H$2, Tabella3[[#This Row],[LUN]]="X"), "X",IF(AND('Inserimento dati'!$B$3=$I$2, Tabella3[[#This Row],[MAR]]="X"), "X", IF(AND('Inserimento dati'!$B$3=$J$2, Tabella3[[#This Row],[MER]]="X"), "X",IF(AND('Inserimento dati'!$B$3=$K$2, Tabella3[[#This Row],[GIO]]="X"), "X", IF(AND('Inserimento dati'!$B$3=$L$2, Tabella3[[#This Row],[VEN]]="X"), "X","")))))</f>
        <v/>
      </c>
      <c r="U307" s="93"/>
      <c r="V307" s="187">
        <v>45930.833333333336</v>
      </c>
    </row>
    <row r="308" spans="1:22" s="19" customFormat="1" ht="105" x14ac:dyDescent="0.2">
      <c r="A308" s="112"/>
      <c r="B308" s="112"/>
      <c r="C308" s="112" t="str">
        <f>IF(OR(Tabella3[[#This Row],[LUN]]="X",Tabella3[[#This Row],[MAR]]="X",Tabella3[[#This Row],[MER]]="X",Tabella3[[#This Row],[GIO]]="X",Tabella3[[#This Row],[VEN]]="X",),"X","")</f>
        <v/>
      </c>
      <c r="D308" s="113" t="s">
        <v>87</v>
      </c>
      <c r="E308" s="109" t="s">
        <v>2874</v>
      </c>
      <c r="F308" s="109">
        <v>700</v>
      </c>
      <c r="G308" s="109" t="s">
        <v>2875</v>
      </c>
      <c r="H308" s="111"/>
      <c r="I308" s="111"/>
      <c r="J308" s="111"/>
      <c r="K308" s="111"/>
      <c r="L308" s="111"/>
      <c r="M308" s="109" t="s">
        <v>1258</v>
      </c>
      <c r="N308" s="109"/>
      <c r="O308" s="109"/>
      <c r="P308" s="109"/>
      <c r="Q308" s="109" t="s">
        <v>2932</v>
      </c>
      <c r="R308" s="110">
        <v>45912</v>
      </c>
      <c r="S308" s="109" t="s">
        <v>705</v>
      </c>
      <c r="T308" s="114" t="str">
        <f ca="1">IF(AND('Inserimento dati'!$B$3=$H$2, Tabella3[[#This Row],[LUN]]="X"), "X",IF(AND('Inserimento dati'!$B$3=$I$2, Tabella3[[#This Row],[MAR]]="X"), "X", IF(AND('Inserimento dati'!$B$3=$J$2, Tabella3[[#This Row],[MER]]="X"), "X",IF(AND('Inserimento dati'!$B$3=$K$2, Tabella3[[#This Row],[GIO]]="X"), "X", IF(AND('Inserimento dati'!$B$3=$L$2, Tabella3[[#This Row],[VEN]]="X"), "X","")))))</f>
        <v/>
      </c>
      <c r="U308" s="93" t="str">
        <f ca="1">IFERROR(MID(G308,_xlfn.AGGREGATE(15,6,(ROW(INDIRECT("1:"&amp;LEN(G308)-7)))/(ISNUMBER(--MID(G308,ROW(INDIRECT("1:"&amp;LEN(G308)-7)),8))),1),8),"")</f>
        <v>10230089</v>
      </c>
      <c r="V308" s="187">
        <v>45930.833333333336</v>
      </c>
    </row>
    <row r="309" spans="1:22" s="19" customFormat="1" ht="45" x14ac:dyDescent="0.2">
      <c r="A309" s="112"/>
      <c r="B309" s="112"/>
      <c r="C309" s="112" t="str">
        <f>IF(OR(Tabella3[[#This Row],[LUN]]="X",Tabella3[[#This Row],[MAR]]="X",Tabella3[[#This Row],[MER]]="X",Tabella3[[#This Row],[GIO]]="X",Tabella3[[#This Row],[VEN]]="X",),"X","")</f>
        <v/>
      </c>
      <c r="D309" s="113" t="s">
        <v>87</v>
      </c>
      <c r="E309" s="109" t="s">
        <v>2930</v>
      </c>
      <c r="F309" s="109">
        <v>2400</v>
      </c>
      <c r="G309" s="109" t="s">
        <v>2931</v>
      </c>
      <c r="H309" s="111"/>
      <c r="I309" s="111"/>
      <c r="J309" s="111"/>
      <c r="K309" s="111"/>
      <c r="L309" s="111"/>
      <c r="M309" s="109" t="s">
        <v>1258</v>
      </c>
      <c r="N309" s="109"/>
      <c r="O309" s="109"/>
      <c r="P309" s="109"/>
      <c r="Q309" s="109" t="s">
        <v>2983</v>
      </c>
      <c r="R309" s="110">
        <v>45917</v>
      </c>
      <c r="S309" s="109" t="s">
        <v>1074</v>
      </c>
      <c r="T309" s="114" t="str">
        <f ca="1">IF(AND('Inserimento dati'!$B$3=$H$2, Tabella3[[#This Row],[LUN]]="X"), "X",IF(AND('Inserimento dati'!$B$3=$I$2, Tabella3[[#This Row],[MAR]]="X"), "X", IF(AND('Inserimento dati'!$B$3=$J$2, Tabella3[[#This Row],[MER]]="X"), "X",IF(AND('Inserimento dati'!$B$3=$K$2, Tabella3[[#This Row],[GIO]]="X"), "X", IF(AND('Inserimento dati'!$B$3=$L$2, Tabella3[[#This Row],[VEN]]="X"), "X","")))))</f>
        <v/>
      </c>
      <c r="U309" s="93"/>
      <c r="V309" s="187">
        <v>45930.833333333336</v>
      </c>
    </row>
    <row r="310" spans="1:22" s="19" customFormat="1" ht="45" x14ac:dyDescent="0.2">
      <c r="A310" s="112"/>
      <c r="B310" s="112"/>
      <c r="C310" s="112" t="str">
        <f>IF(OR(Tabella3[[#This Row],[LUN]]="X",Tabella3[[#This Row],[MAR]]="X",Tabella3[[#This Row],[MER]]="X",Tabella3[[#This Row],[GIO]]="X",Tabella3[[#This Row],[VEN]]="X",),"X","")</f>
        <v/>
      </c>
      <c r="D310" s="113" t="s">
        <v>87</v>
      </c>
      <c r="E310" s="109" t="s">
        <v>2981</v>
      </c>
      <c r="F310" s="109">
        <v>800</v>
      </c>
      <c r="G310" s="109" t="s">
        <v>2982</v>
      </c>
      <c r="H310" s="111"/>
      <c r="I310" s="111"/>
      <c r="J310" s="111"/>
      <c r="K310" s="111"/>
      <c r="L310" s="111"/>
      <c r="M310" s="109" t="s">
        <v>1258</v>
      </c>
      <c r="N310" s="109"/>
      <c r="O310" s="109"/>
      <c r="P310" s="109"/>
      <c r="Q310" s="109" t="s">
        <v>3015</v>
      </c>
      <c r="R310" s="110">
        <v>45918</v>
      </c>
      <c r="S310" s="109" t="s">
        <v>211</v>
      </c>
      <c r="T310" s="114" t="str">
        <f ca="1">IF(AND('Inserimento dati'!$B$3=$H$2, Tabella3[[#This Row],[LUN]]="X"), "X",IF(AND('Inserimento dati'!$B$3=$I$2, Tabella3[[#This Row],[MAR]]="X"), "X", IF(AND('Inserimento dati'!$B$3=$J$2, Tabella3[[#This Row],[MER]]="X"), "X",IF(AND('Inserimento dati'!$B$3=$K$2, Tabella3[[#This Row],[GIO]]="X"), "X", IF(AND('Inserimento dati'!$B$3=$L$2, Tabella3[[#This Row],[VEN]]="X"), "X","")))))</f>
        <v/>
      </c>
      <c r="U310" s="93"/>
      <c r="V310" s="187">
        <v>45930.833333333336</v>
      </c>
    </row>
    <row r="311" spans="1:22" s="19" customFormat="1" ht="30" x14ac:dyDescent="0.2">
      <c r="A311" s="112"/>
      <c r="B311" s="112"/>
      <c r="C311" s="112" t="str">
        <f>IF(OR(Tabella3[[#This Row],[LUN]]="X",Tabella3[[#This Row],[MAR]]="X",Tabella3[[#This Row],[MER]]="X",Tabella3[[#This Row],[GIO]]="X",Tabella3[[#This Row],[VEN]]="X",),"X","")</f>
        <v/>
      </c>
      <c r="D311" s="113" t="s">
        <v>87</v>
      </c>
      <c r="E311" s="109" t="s">
        <v>3100</v>
      </c>
      <c r="F311" s="109">
        <v>4200</v>
      </c>
      <c r="G311" s="109" t="s">
        <v>3101</v>
      </c>
      <c r="H311" s="111"/>
      <c r="I311" s="111"/>
      <c r="J311" s="111"/>
      <c r="K311" s="111"/>
      <c r="L311" s="111"/>
      <c r="M311" s="109" t="s">
        <v>1258</v>
      </c>
      <c r="N311" s="109"/>
      <c r="O311" s="109"/>
      <c r="P311" s="109"/>
      <c r="Q311" s="109" t="s">
        <v>3110</v>
      </c>
      <c r="R311" s="110" t="s">
        <v>3111</v>
      </c>
      <c r="S311" s="109" t="s">
        <v>3109</v>
      </c>
      <c r="T311" s="114" t="str">
        <f ca="1">IF(AND('Inserimento dati'!$B$3=$H$2, Tabella3[[#This Row],[LUN]]="X"), "X",IF(AND('Inserimento dati'!$B$3=$I$2, Tabella3[[#This Row],[MAR]]="X"), "X", IF(AND('Inserimento dati'!$B$3=$J$2, Tabella3[[#This Row],[MER]]="X"), "X",IF(AND('Inserimento dati'!$B$3=$K$2, Tabella3[[#This Row],[GIO]]="X"), "X", IF(AND('Inserimento dati'!$B$3=$L$2, Tabella3[[#This Row],[VEN]]="X"), "X","")))))</f>
        <v/>
      </c>
      <c r="U311" s="93" t="str">
        <f t="shared" ref="U311:U356" ca="1" si="13">IFERROR(MID(G311,_xlfn.AGGREGATE(15,6,(ROW(INDIRECT("1:"&amp;LEN(G311)-7)))/(ISNUMBER(--MID(G311,ROW(INDIRECT("1:"&amp;LEN(G311)-7)),8))),1),8),"")</f>
        <v/>
      </c>
      <c r="V311" s="187">
        <v>45930.833333333336</v>
      </c>
    </row>
    <row r="312" spans="1:22" s="19" customFormat="1" ht="30" x14ac:dyDescent="0.2">
      <c r="A312" s="112"/>
      <c r="B312" s="112"/>
      <c r="C312" s="112" t="str">
        <f>IF(OR(Tabella3[[#This Row],[LUN]]="X",Tabella3[[#This Row],[MAR]]="X",Tabella3[[#This Row],[MER]]="X",Tabella3[[#This Row],[GIO]]="X",Tabella3[[#This Row],[VEN]]="X",),"X","")</f>
        <v/>
      </c>
      <c r="D312" s="113" t="s">
        <v>87</v>
      </c>
      <c r="E312" s="109" t="s">
        <v>2810</v>
      </c>
      <c r="F312" s="109">
        <v>1200</v>
      </c>
      <c r="G312" s="109" t="s">
        <v>2814</v>
      </c>
      <c r="H312" s="111"/>
      <c r="I312" s="111"/>
      <c r="J312" s="111"/>
      <c r="K312" s="111"/>
      <c r="L312" s="111"/>
      <c r="M312" s="109" t="s">
        <v>1036</v>
      </c>
      <c r="N312" s="109"/>
      <c r="O312" s="109"/>
      <c r="P312" s="109"/>
      <c r="Q312" s="109"/>
      <c r="R312" s="110"/>
      <c r="S312" s="109"/>
      <c r="T312" s="114" t="str">
        <f ca="1">IF(AND('Inserimento dati'!$B$3=$H$2, Tabella3[[#This Row],[LUN]]="X"), "X",IF(AND('Inserimento dati'!$B$3=$I$2, Tabella3[[#This Row],[MAR]]="X"), "X", IF(AND('Inserimento dati'!$B$3=$J$2, Tabella3[[#This Row],[MER]]="X"), "X",IF(AND('Inserimento dati'!$B$3=$K$2, Tabella3[[#This Row],[GIO]]="X"), "X", IF(AND('Inserimento dati'!$B$3=$L$2, Tabella3[[#This Row],[VEN]]="X"), "X","")))))</f>
        <v/>
      </c>
      <c r="U312" s="93" t="str">
        <f t="shared" ca="1" si="13"/>
        <v/>
      </c>
      <c r="V312" s="187">
        <v>45930.833333333336</v>
      </c>
    </row>
    <row r="313" spans="1:22" s="19" customFormat="1" ht="23.25" x14ac:dyDescent="0.2">
      <c r="A313" s="112"/>
      <c r="B313" s="112"/>
      <c r="C313" s="112" t="str">
        <f>IF(OR(Tabella3[[#This Row],[LUN]]="X",Tabella3[[#This Row],[MAR]]="X",Tabella3[[#This Row],[MER]]="X",Tabella3[[#This Row],[GIO]]="X",Tabella3[[#This Row],[VEN]]="X",),"X","")</f>
        <v/>
      </c>
      <c r="D313" s="113" t="s">
        <v>87</v>
      </c>
      <c r="E313" s="109" t="s">
        <v>2762</v>
      </c>
      <c r="F313" s="109">
        <v>700</v>
      </c>
      <c r="G313" s="109" t="s">
        <v>2763</v>
      </c>
      <c r="H313" s="111"/>
      <c r="I313" s="111"/>
      <c r="J313" s="111"/>
      <c r="K313" s="111"/>
      <c r="L313" s="111"/>
      <c r="M313" s="109" t="s">
        <v>1036</v>
      </c>
      <c r="N313" s="109"/>
      <c r="O313" s="109"/>
      <c r="P313" s="109"/>
      <c r="Q313" s="109"/>
      <c r="R313" s="110"/>
      <c r="S313" s="109"/>
      <c r="T313" s="114" t="str">
        <f ca="1">IF(AND('Inserimento dati'!$B$3=$H$2, Tabella3[[#This Row],[LUN]]="X"), "X",IF(AND('Inserimento dati'!$B$3=$I$2, Tabella3[[#This Row],[MAR]]="X"), "X", IF(AND('Inserimento dati'!$B$3=$J$2, Tabella3[[#This Row],[MER]]="X"), "X",IF(AND('Inserimento dati'!$B$3=$K$2, Tabella3[[#This Row],[GIO]]="X"), "X", IF(AND('Inserimento dati'!$B$3=$L$2, Tabella3[[#This Row],[VEN]]="X"), "X","")))))</f>
        <v/>
      </c>
      <c r="U313" s="93" t="str">
        <f t="shared" ca="1" si="13"/>
        <v/>
      </c>
      <c r="V313" s="187">
        <v>45930.833333333336</v>
      </c>
    </row>
    <row r="314" spans="1:22" s="19" customFormat="1" ht="23.25" x14ac:dyDescent="0.2">
      <c r="A314" s="112"/>
      <c r="B314" s="112"/>
      <c r="C314" s="112" t="str">
        <f>IF(OR(Tabella3[[#This Row],[LUN]]="X",Tabella3[[#This Row],[MAR]]="X",Tabella3[[#This Row],[MER]]="X",Tabella3[[#This Row],[GIO]]="X",Tabella3[[#This Row],[VEN]]="X",),"X","")</f>
        <v/>
      </c>
      <c r="D314" s="113" t="s">
        <v>87</v>
      </c>
      <c r="E314" s="109" t="s">
        <v>2533</v>
      </c>
      <c r="F314" s="109">
        <v>700</v>
      </c>
      <c r="G314" s="109" t="s">
        <v>2534</v>
      </c>
      <c r="H314" s="111"/>
      <c r="I314" s="111"/>
      <c r="J314" s="111"/>
      <c r="K314" s="111"/>
      <c r="L314" s="111"/>
      <c r="M314" s="109" t="s">
        <v>1036</v>
      </c>
      <c r="N314" s="109"/>
      <c r="O314" s="109"/>
      <c r="P314" s="109"/>
      <c r="Q314" s="109"/>
      <c r="R314" s="110"/>
      <c r="S314" s="109"/>
      <c r="T314" s="114" t="str">
        <f ca="1">IF(AND('Inserimento dati'!$B$3=$H$2, Tabella3[[#This Row],[LUN]]="X"), "X",IF(AND('Inserimento dati'!$B$3=$I$2, Tabella3[[#This Row],[MAR]]="X"), "X", IF(AND('Inserimento dati'!$B$3=$J$2, Tabella3[[#This Row],[MER]]="X"), "X",IF(AND('Inserimento dati'!$B$3=$K$2, Tabella3[[#This Row],[GIO]]="X"), "X", IF(AND('Inserimento dati'!$B$3=$L$2, Tabella3[[#This Row],[VEN]]="X"), "X","")))))</f>
        <v/>
      </c>
      <c r="U314" s="93" t="str">
        <f t="shared" ca="1" si="13"/>
        <v>10228362</v>
      </c>
      <c r="V314" s="187">
        <v>45930.833333333336</v>
      </c>
    </row>
    <row r="315" spans="1:22" s="19" customFormat="1" ht="23.25" x14ac:dyDescent="0.2">
      <c r="A315" s="112"/>
      <c r="B315" s="112"/>
      <c r="C315" s="112" t="str">
        <f>IF(OR(Tabella3[[#This Row],[LUN]]="X",Tabella3[[#This Row],[MAR]]="X",Tabella3[[#This Row],[MER]]="X",Tabella3[[#This Row],[GIO]]="X",Tabella3[[#This Row],[VEN]]="X",),"X","")</f>
        <v/>
      </c>
      <c r="D315" s="113" t="s">
        <v>87</v>
      </c>
      <c r="E315" s="109" t="s">
        <v>2535</v>
      </c>
      <c r="F315" s="109" t="s">
        <v>114</v>
      </c>
      <c r="G315" s="109" t="s">
        <v>2536</v>
      </c>
      <c r="H315" s="111"/>
      <c r="I315" s="111"/>
      <c r="J315" s="111"/>
      <c r="K315" s="111"/>
      <c r="L315" s="111"/>
      <c r="M315" s="109" t="s">
        <v>1036</v>
      </c>
      <c r="N315" s="109"/>
      <c r="O315" s="109"/>
      <c r="P315" s="109"/>
      <c r="Q315" s="109"/>
      <c r="R315" s="110"/>
      <c r="S315" s="109"/>
      <c r="T315" s="114" t="str">
        <f ca="1">IF(AND('Inserimento dati'!$B$3=$H$2, Tabella3[[#This Row],[LUN]]="X"), "X",IF(AND('Inserimento dati'!$B$3=$I$2, Tabella3[[#This Row],[MAR]]="X"), "X", IF(AND('Inserimento dati'!$B$3=$J$2, Tabella3[[#This Row],[MER]]="X"), "X",IF(AND('Inserimento dati'!$B$3=$K$2, Tabella3[[#This Row],[GIO]]="X"), "X", IF(AND('Inserimento dati'!$B$3=$L$2, Tabella3[[#This Row],[VEN]]="X"), "X","")))))</f>
        <v/>
      </c>
      <c r="U315" s="93" t="str">
        <f t="shared" ca="1" si="13"/>
        <v>10228364</v>
      </c>
      <c r="V315" s="187">
        <v>45930.833333333336</v>
      </c>
    </row>
    <row r="316" spans="1:22" s="19" customFormat="1" ht="30" x14ac:dyDescent="0.2">
      <c r="A316" s="112"/>
      <c r="B316" s="112"/>
      <c r="C316" s="112" t="str">
        <f>IF(OR(Tabella3[[#This Row],[LUN]]="X",Tabella3[[#This Row],[MAR]]="X",Tabella3[[#This Row],[MER]]="X",Tabella3[[#This Row],[GIO]]="X",Tabella3[[#This Row],[VEN]]="X",),"X","")</f>
        <v/>
      </c>
      <c r="D316" s="113" t="s">
        <v>87</v>
      </c>
      <c r="E316" s="109" t="s">
        <v>1733</v>
      </c>
      <c r="F316" s="109">
        <v>1200</v>
      </c>
      <c r="G316" s="109" t="s">
        <v>2032</v>
      </c>
      <c r="H316" s="111"/>
      <c r="I316" s="111"/>
      <c r="J316" s="111"/>
      <c r="K316" s="111"/>
      <c r="L316" s="111"/>
      <c r="M316" s="109" t="s">
        <v>1036</v>
      </c>
      <c r="N316" s="109"/>
      <c r="O316" s="109"/>
      <c r="P316" s="109"/>
      <c r="Q316" s="109"/>
      <c r="R316" s="110"/>
      <c r="S316" s="109"/>
      <c r="T316" s="114" t="str">
        <f ca="1">IF(AND('Inserimento dati'!$B$3=$H$2, Tabella3[[#This Row],[LUN]]="X"), "X",IF(AND('Inserimento dati'!$B$3=$I$2, Tabella3[[#This Row],[MAR]]="X"), "X", IF(AND('Inserimento dati'!$B$3=$J$2, Tabella3[[#This Row],[MER]]="X"), "X",IF(AND('Inserimento dati'!$B$3=$K$2, Tabella3[[#This Row],[GIO]]="X"), "X", IF(AND('Inserimento dati'!$B$3=$L$2, Tabella3[[#This Row],[VEN]]="X"), "X","")))))</f>
        <v/>
      </c>
      <c r="U316" s="129" t="str">
        <f t="shared" ca="1" si="13"/>
        <v/>
      </c>
      <c r="V316" s="187">
        <v>45930.833333333336</v>
      </c>
    </row>
    <row r="317" spans="1:22" s="19" customFormat="1" ht="30" x14ac:dyDescent="0.2">
      <c r="A317" s="112"/>
      <c r="B317" s="112">
        <v>3</v>
      </c>
      <c r="C317" s="112" t="str">
        <f>IF(OR(Tabella3[[#This Row],[LUN]]="X",Tabella3[[#This Row],[MAR]]="X",Tabella3[[#This Row],[MER]]="X",Tabella3[[#This Row],[GIO]]="X",Tabella3[[#This Row],[VEN]]="X",),"X","")</f>
        <v/>
      </c>
      <c r="D317" s="113" t="s">
        <v>87</v>
      </c>
      <c r="E317" s="109" t="s">
        <v>1683</v>
      </c>
      <c r="F317" s="109" t="s">
        <v>88</v>
      </c>
      <c r="G317" s="109" t="s">
        <v>2037</v>
      </c>
      <c r="H317" s="111"/>
      <c r="I317" s="111"/>
      <c r="J317" s="111"/>
      <c r="K317" s="111"/>
      <c r="L317" s="111"/>
      <c r="M317" s="109" t="s">
        <v>1036</v>
      </c>
      <c r="N317" s="109"/>
      <c r="O317" s="109"/>
      <c r="P317" s="109"/>
      <c r="Q317" s="109"/>
      <c r="R317" s="110"/>
      <c r="S317" s="109"/>
      <c r="T317" s="114" t="str">
        <f ca="1">IF(AND('Inserimento dati'!$B$3=$H$2, Tabella3[[#This Row],[LUN]]="X"), "X",IF(AND('Inserimento dati'!$B$3=$I$2, Tabella3[[#This Row],[MAR]]="X"), "X", IF(AND('Inserimento dati'!$B$3=$J$2, Tabella3[[#This Row],[MER]]="X"), "X",IF(AND('Inserimento dati'!$B$3=$K$2, Tabella3[[#This Row],[GIO]]="X"), "X", IF(AND('Inserimento dati'!$B$3=$L$2, Tabella3[[#This Row],[VEN]]="X"), "X","")))))</f>
        <v/>
      </c>
      <c r="U317" s="130" t="str">
        <f t="shared" ca="1" si="13"/>
        <v>10217843</v>
      </c>
      <c r="V317" s="187">
        <v>45930.833333333336</v>
      </c>
    </row>
    <row r="318" spans="1:22" s="19" customFormat="1" ht="23.25" x14ac:dyDescent="0.2">
      <c r="A318" s="112"/>
      <c r="B318" s="112">
        <v>1</v>
      </c>
      <c r="C318" s="112" t="str">
        <f>IF(OR(Tabella3[[#This Row],[LUN]]="X",Tabella3[[#This Row],[MAR]]="X",Tabella3[[#This Row],[MER]]="X",Tabella3[[#This Row],[GIO]]="X",Tabella3[[#This Row],[VEN]]="X",),"X","")</f>
        <v/>
      </c>
      <c r="D318" s="113" t="s">
        <v>87</v>
      </c>
      <c r="E318" s="109" t="s">
        <v>1520</v>
      </c>
      <c r="F318" s="109" t="s">
        <v>96</v>
      </c>
      <c r="G318" s="109" t="s">
        <v>2038</v>
      </c>
      <c r="H318" s="111"/>
      <c r="I318" s="111"/>
      <c r="J318" s="111"/>
      <c r="K318" s="111"/>
      <c r="L318" s="111"/>
      <c r="M318" s="109" t="s">
        <v>1036</v>
      </c>
      <c r="N318" s="109"/>
      <c r="O318" s="109"/>
      <c r="P318" s="109"/>
      <c r="Q318" s="109"/>
      <c r="R318" s="110"/>
      <c r="S318" s="109"/>
      <c r="T318" s="67" t="str">
        <f ca="1">IF(AND('Inserimento dati'!$B$3=$H$2, Tabella3[[#This Row],[LUN]]="X"), "X",IF(AND('Inserimento dati'!$B$3=$I$2, Tabella3[[#This Row],[MAR]]="X"), "X", IF(AND('Inserimento dati'!$B$3=$J$2, Tabella3[[#This Row],[MER]]="X"), "X",IF(AND('Inserimento dati'!$B$3=$K$2, Tabella3[[#This Row],[GIO]]="X"), "X", IF(AND('Inserimento dati'!$B$3=$L$2, Tabella3[[#This Row],[VEN]]="X"), "X","")))))</f>
        <v/>
      </c>
      <c r="U318" s="143" t="str">
        <f t="shared" ca="1" si="13"/>
        <v/>
      </c>
      <c r="V318" s="187">
        <v>45930.833333333336</v>
      </c>
    </row>
    <row r="319" spans="1:22" s="19" customFormat="1" ht="30" x14ac:dyDescent="0.2">
      <c r="A319" s="112"/>
      <c r="B319" s="112">
        <v>1</v>
      </c>
      <c r="C319" s="112" t="str">
        <f>IF(OR(Tabella3[[#This Row],[LUN]]="X",Tabella3[[#This Row],[MAR]]="X",Tabella3[[#This Row],[MER]]="X",Tabella3[[#This Row],[GIO]]="X",Tabella3[[#This Row],[VEN]]="X",),"X","")</f>
        <v/>
      </c>
      <c r="D319" s="113" t="s">
        <v>87</v>
      </c>
      <c r="E319" s="109" t="s">
        <v>1436</v>
      </c>
      <c r="F319" s="109">
        <v>1400</v>
      </c>
      <c r="G319" s="109" t="s">
        <v>2039</v>
      </c>
      <c r="H319" s="111"/>
      <c r="I319" s="111"/>
      <c r="J319" s="111"/>
      <c r="K319" s="111"/>
      <c r="L319" s="111"/>
      <c r="M319" s="109" t="s">
        <v>1036</v>
      </c>
      <c r="N319" s="109"/>
      <c r="O319" s="109"/>
      <c r="P319" s="109"/>
      <c r="Q319" s="109"/>
      <c r="R319" s="110"/>
      <c r="S319" s="109"/>
      <c r="T319" s="67" t="str">
        <f ca="1">IF(AND('Inserimento dati'!$B$3=$H$2, Tabella3[[#This Row],[LUN]]="X"), "X",IF(AND('Inserimento dati'!$B$3=$I$2, Tabella3[[#This Row],[MAR]]="X"), "X", IF(AND('Inserimento dati'!$B$3=$J$2, Tabella3[[#This Row],[MER]]="X"), "X",IF(AND('Inserimento dati'!$B$3=$K$2, Tabella3[[#This Row],[GIO]]="X"), "X", IF(AND('Inserimento dati'!$B$3=$L$2, Tabella3[[#This Row],[VEN]]="X"), "X","")))))</f>
        <v/>
      </c>
      <c r="U319" s="143" t="str">
        <f t="shared" ca="1" si="13"/>
        <v/>
      </c>
      <c r="V319" s="187">
        <v>45930.833333333336</v>
      </c>
    </row>
    <row r="320" spans="1:22" s="19" customFormat="1" ht="23.25" x14ac:dyDescent="0.2">
      <c r="A320" s="112"/>
      <c r="B320" s="112">
        <v>2</v>
      </c>
      <c r="C320" s="112" t="str">
        <f>IF(OR(Tabella3[[#This Row],[LUN]]="X",Tabella3[[#This Row],[MAR]]="X",Tabella3[[#This Row],[MER]]="X",Tabella3[[#This Row],[GIO]]="X",Tabella3[[#This Row],[VEN]]="X",),"X","")</f>
        <v/>
      </c>
      <c r="D320" s="113" t="s">
        <v>87</v>
      </c>
      <c r="E320" s="109" t="s">
        <v>924</v>
      </c>
      <c r="F320" s="109">
        <v>1800</v>
      </c>
      <c r="G320" s="109" t="s">
        <v>2040</v>
      </c>
      <c r="H320" s="111"/>
      <c r="I320" s="111"/>
      <c r="J320" s="111"/>
      <c r="K320" s="111"/>
      <c r="L320" s="111"/>
      <c r="M320" s="109" t="s">
        <v>1036</v>
      </c>
      <c r="N320" s="109"/>
      <c r="O320" s="109"/>
      <c r="P320" s="109"/>
      <c r="Q320" s="109"/>
      <c r="R320" s="110"/>
      <c r="S320" s="109"/>
      <c r="T320" s="116" t="str">
        <f ca="1">IF(AND('Inserimento dati'!$B$3=$H$2, Tabella3[[#This Row],[LUN]]="X"), "X",IF(AND('Inserimento dati'!$B$3=$I$2, Tabella3[[#This Row],[MAR]]="X"), "X", IF(AND('Inserimento dati'!$B$3=$J$2, Tabella3[[#This Row],[MER]]="X"), "X",IF(AND('Inserimento dati'!$B$3=$K$2, Tabella3[[#This Row],[GIO]]="X"), "X", IF(AND('Inserimento dati'!$B$3=$L$2, Tabella3[[#This Row],[VEN]]="X"), "X","")))))</f>
        <v/>
      </c>
      <c r="U320" s="143" t="str">
        <f t="shared" ca="1" si="13"/>
        <v>10218020</v>
      </c>
      <c r="V320" s="187">
        <v>45930.833333333336</v>
      </c>
    </row>
    <row r="321" spans="1:22" s="19" customFormat="1" ht="23.25" x14ac:dyDescent="0.2">
      <c r="A321" s="112"/>
      <c r="B321" s="112">
        <v>2</v>
      </c>
      <c r="C321" s="112" t="str">
        <f>IF(OR(Tabella3[[#This Row],[LUN]]="X",Tabella3[[#This Row],[MAR]]="X",Tabella3[[#This Row],[MER]]="X",Tabella3[[#This Row],[GIO]]="X",Tabella3[[#This Row],[VEN]]="X",),"X","")</f>
        <v/>
      </c>
      <c r="D321" s="113" t="s">
        <v>87</v>
      </c>
      <c r="E321" s="109" t="s">
        <v>925</v>
      </c>
      <c r="F321" s="109">
        <v>1100</v>
      </c>
      <c r="G321" s="109" t="s">
        <v>2041</v>
      </c>
      <c r="H321" s="111"/>
      <c r="I321" s="111"/>
      <c r="J321" s="111"/>
      <c r="K321" s="111"/>
      <c r="L321" s="111"/>
      <c r="M321" s="109" t="s">
        <v>1036</v>
      </c>
      <c r="N321" s="109"/>
      <c r="O321" s="109"/>
      <c r="P321" s="109"/>
      <c r="Q321" s="109"/>
      <c r="R321" s="110"/>
      <c r="S321" s="109"/>
      <c r="T321" s="116" t="str">
        <f ca="1">IF(AND('Inserimento dati'!$B$3=$H$2, Tabella3[[#This Row],[LUN]]="X"), "X",IF(AND('Inserimento dati'!$B$3=$I$2, Tabella3[[#This Row],[MAR]]="X"), "X", IF(AND('Inserimento dati'!$B$3=$J$2, Tabella3[[#This Row],[MER]]="X"), "X",IF(AND('Inserimento dati'!$B$3=$K$2, Tabella3[[#This Row],[GIO]]="X"), "X", IF(AND('Inserimento dati'!$B$3=$L$2, Tabella3[[#This Row],[VEN]]="X"), "X","")))))</f>
        <v/>
      </c>
      <c r="U321" s="143" t="str">
        <f t="shared" ca="1" si="13"/>
        <v>10218012</v>
      </c>
      <c r="V321" s="187">
        <v>45930.833333333336</v>
      </c>
    </row>
    <row r="322" spans="1:22" s="19" customFormat="1" ht="23.25" x14ac:dyDescent="0.2">
      <c r="A322" s="112"/>
      <c r="B322" s="112">
        <v>2</v>
      </c>
      <c r="C322" s="112" t="str">
        <f>IF(OR(Tabella3[[#This Row],[LUN]]="X",Tabella3[[#This Row],[MAR]]="X",Tabella3[[#This Row],[MER]]="X",Tabella3[[#This Row],[GIO]]="X",Tabella3[[#This Row],[VEN]]="X",),"X","")</f>
        <v/>
      </c>
      <c r="D322" s="113" t="s">
        <v>87</v>
      </c>
      <c r="E322" s="109" t="s">
        <v>1400</v>
      </c>
      <c r="F322" s="109" t="s">
        <v>93</v>
      </c>
      <c r="G322" s="109" t="s">
        <v>2042</v>
      </c>
      <c r="H322" s="111"/>
      <c r="I322" s="111"/>
      <c r="J322" s="111"/>
      <c r="K322" s="111"/>
      <c r="L322" s="111"/>
      <c r="M322" s="109" t="s">
        <v>1036</v>
      </c>
      <c r="N322" s="109"/>
      <c r="O322" s="109"/>
      <c r="P322" s="109"/>
      <c r="Q322" s="109"/>
      <c r="R322" s="110"/>
      <c r="S322" s="109"/>
      <c r="T322" s="67" t="str">
        <f ca="1">IF(AND('Inserimento dati'!$B$3=$H$2, Tabella3[[#This Row],[LUN]]="X"), "X",IF(AND('Inserimento dati'!$B$3=$I$2, Tabella3[[#This Row],[MAR]]="X"), "X", IF(AND('Inserimento dati'!$B$3=$J$2, Tabella3[[#This Row],[MER]]="X"), "X",IF(AND('Inserimento dati'!$B$3=$K$2, Tabella3[[#This Row],[GIO]]="X"), "X", IF(AND('Inserimento dati'!$B$3=$L$2, Tabella3[[#This Row],[VEN]]="X"), "X","")))))</f>
        <v/>
      </c>
      <c r="U322" s="143" t="str">
        <f t="shared" ca="1" si="13"/>
        <v>10224036</v>
      </c>
      <c r="V322" s="187">
        <v>45930.833333333336</v>
      </c>
    </row>
    <row r="323" spans="1:22" s="19" customFormat="1" ht="30" x14ac:dyDescent="0.2">
      <c r="A323" s="112"/>
      <c r="B323" s="112" t="str">
        <f>IF(OR(A323="x",A323="X"),"",IF(ISBLANK(A323),"X",""))</f>
        <v>X</v>
      </c>
      <c r="C323" s="112" t="str">
        <f>IF(OR(Tabella3[[#This Row],[LUN]]="X",Tabella3[[#This Row],[MAR]]="X",Tabella3[[#This Row],[MER]]="X",Tabella3[[#This Row],[GIO]]="X",Tabella3[[#This Row],[VEN]]="X",),"X","")</f>
        <v/>
      </c>
      <c r="D323" s="113" t="s">
        <v>87</v>
      </c>
      <c r="E323" s="109" t="s">
        <v>832</v>
      </c>
      <c r="F323" s="109" t="s">
        <v>112</v>
      </c>
      <c r="G323" s="109" t="s">
        <v>2043</v>
      </c>
      <c r="H323" s="111"/>
      <c r="I323" s="111"/>
      <c r="J323" s="111"/>
      <c r="K323" s="111"/>
      <c r="L323" s="111"/>
      <c r="M323" s="109" t="s">
        <v>1036</v>
      </c>
      <c r="N323" s="109"/>
      <c r="O323" s="109"/>
      <c r="P323" s="109"/>
      <c r="Q323" s="109" t="s">
        <v>1300</v>
      </c>
      <c r="R323" s="110">
        <v>45783</v>
      </c>
      <c r="S323" s="109" t="s">
        <v>1074</v>
      </c>
      <c r="T323" s="116" t="str">
        <f ca="1">IF(AND('Inserimento dati'!$B$3=$H$2, Tabella3[[#This Row],[LUN]]="X"), "X",IF(AND('Inserimento dati'!$B$3=$I$2, Tabella3[[#This Row],[MAR]]="X"), "X", IF(AND('Inserimento dati'!$B$3=$J$2, Tabella3[[#This Row],[MER]]="X"), "X",IF(AND('Inserimento dati'!$B$3=$K$2, Tabella3[[#This Row],[GIO]]="X"), "X", IF(AND('Inserimento dati'!$B$3=$L$2, Tabella3[[#This Row],[VEN]]="X"), "X","")))))</f>
        <v/>
      </c>
      <c r="U323" s="143" t="str">
        <f t="shared" ca="1" si="13"/>
        <v/>
      </c>
      <c r="V323" s="187">
        <v>45930.833333333336</v>
      </c>
    </row>
    <row r="324" spans="1:22" s="19" customFormat="1" ht="30" x14ac:dyDescent="0.2">
      <c r="A324" s="112"/>
      <c r="B324" s="112">
        <v>3</v>
      </c>
      <c r="C324" s="112" t="str">
        <f>IF(OR(Tabella3[[#This Row],[LUN]]="X",Tabella3[[#This Row],[MAR]]="X",Tabella3[[#This Row],[MER]]="X",Tabella3[[#This Row],[GIO]]="X",Tabella3[[#This Row],[VEN]]="X",),"X","")</f>
        <v/>
      </c>
      <c r="D324" s="113" t="s">
        <v>87</v>
      </c>
      <c r="E324" s="109" t="s">
        <v>1469</v>
      </c>
      <c r="F324" s="109">
        <v>700</v>
      </c>
      <c r="G324" s="109" t="s">
        <v>2044</v>
      </c>
      <c r="H324" s="111"/>
      <c r="I324" s="111"/>
      <c r="J324" s="111"/>
      <c r="K324" s="111"/>
      <c r="L324" s="111"/>
      <c r="M324" s="109" t="s">
        <v>1036</v>
      </c>
      <c r="N324" s="109"/>
      <c r="O324" s="109"/>
      <c r="P324" s="109"/>
      <c r="Q324" s="109"/>
      <c r="R324" s="110"/>
      <c r="S324" s="109"/>
      <c r="T324" s="69" t="str">
        <f ca="1">IF(AND('Inserimento dati'!$B$3=$H$2, Tabella3[[#This Row],[LUN]]="X"), "X",IF(AND('Inserimento dati'!$B$3=$I$2, Tabella3[[#This Row],[MAR]]="X"), "X", IF(AND('Inserimento dati'!$B$3=$J$2, Tabella3[[#This Row],[MER]]="X"), "X",IF(AND('Inserimento dati'!$B$3=$K$2, Tabella3[[#This Row],[GIO]]="X"), "X", IF(AND('Inserimento dati'!$B$3=$L$2, Tabella3[[#This Row],[VEN]]="X"), "X","")))))</f>
        <v/>
      </c>
      <c r="U324" s="130" t="str">
        <f t="shared" ca="1" si="13"/>
        <v>10222434</v>
      </c>
      <c r="V324" s="187">
        <v>45930.833333333336</v>
      </c>
    </row>
    <row r="325" spans="1:22" s="19" customFormat="1" ht="23.25" x14ac:dyDescent="0.2">
      <c r="A325" s="112"/>
      <c r="B325" s="112">
        <v>1</v>
      </c>
      <c r="C325" s="112" t="str">
        <f>IF(OR(Tabella3[[#This Row],[LUN]]="X",Tabella3[[#This Row],[MAR]]="X",Tabella3[[#This Row],[MER]]="X",Tabella3[[#This Row],[GIO]]="X",Tabella3[[#This Row],[VEN]]="X",),"X","")</f>
        <v/>
      </c>
      <c r="D325" s="113" t="s">
        <v>87</v>
      </c>
      <c r="E325" s="109" t="s">
        <v>1306</v>
      </c>
      <c r="F325" s="109" t="s">
        <v>88</v>
      </c>
      <c r="G325" s="109" t="s">
        <v>2049</v>
      </c>
      <c r="H325" s="111"/>
      <c r="I325" s="111"/>
      <c r="J325" s="111"/>
      <c r="K325" s="111"/>
      <c r="L325" s="111"/>
      <c r="M325" s="109" t="s">
        <v>1036</v>
      </c>
      <c r="N325" s="109"/>
      <c r="O325" s="109"/>
      <c r="P325" s="109"/>
      <c r="Q325" s="109" t="s">
        <v>89</v>
      </c>
      <c r="R325" s="110"/>
      <c r="S325" s="109"/>
      <c r="T325" s="67" t="str">
        <f ca="1">IF(AND('Inserimento dati'!$B$3=$H$2, Tabella3[[#This Row],[LUN]]="X"), "X",IF(AND('Inserimento dati'!$B$3=$I$2, Tabella3[[#This Row],[MAR]]="X"), "X", IF(AND('Inserimento dati'!$B$3=$J$2, Tabella3[[#This Row],[MER]]="X"), "X",IF(AND('Inserimento dati'!$B$3=$K$2, Tabella3[[#This Row],[GIO]]="X"), "X", IF(AND('Inserimento dati'!$B$3=$L$2, Tabella3[[#This Row],[VEN]]="X"), "X","")))))</f>
        <v/>
      </c>
      <c r="U325" s="143" t="str">
        <f t="shared" ca="1" si="13"/>
        <v/>
      </c>
      <c r="V325" s="187">
        <v>45930.833333333336</v>
      </c>
    </row>
    <row r="326" spans="1:22" s="19" customFormat="1" ht="23.25" x14ac:dyDescent="0.2">
      <c r="A326" s="112"/>
      <c r="B326" s="112">
        <v>3</v>
      </c>
      <c r="C326" s="112" t="str">
        <f>IF(OR(Tabella3[[#This Row],[LUN]]="X",Tabella3[[#This Row],[MAR]]="X",Tabella3[[#This Row],[MER]]="X",Tabella3[[#This Row],[GIO]]="X",Tabella3[[#This Row],[VEN]]="X",),"X","")</f>
        <v/>
      </c>
      <c r="D326" s="113" t="s">
        <v>87</v>
      </c>
      <c r="E326" s="109" t="s">
        <v>1712</v>
      </c>
      <c r="F326" s="109" t="s">
        <v>96</v>
      </c>
      <c r="G326" s="109" t="s">
        <v>2047</v>
      </c>
      <c r="H326" s="111"/>
      <c r="I326" s="111"/>
      <c r="J326" s="111"/>
      <c r="K326" s="111"/>
      <c r="L326" s="111"/>
      <c r="M326" s="109" t="s">
        <v>1036</v>
      </c>
      <c r="N326" s="109"/>
      <c r="O326" s="109"/>
      <c r="P326" s="109"/>
      <c r="Q326" s="109" t="s">
        <v>1713</v>
      </c>
      <c r="R326" s="110">
        <v>45825</v>
      </c>
      <c r="S326" s="109" t="s">
        <v>211</v>
      </c>
      <c r="T326" s="114" t="str">
        <f ca="1">IF(AND('Inserimento dati'!$B$3=$H$2, Tabella3[[#This Row],[LUN]]="X"), "X",IF(AND('Inserimento dati'!$B$3=$I$2, Tabella3[[#This Row],[MAR]]="X"), "X", IF(AND('Inserimento dati'!$B$3=$J$2, Tabella3[[#This Row],[MER]]="X"), "X",IF(AND('Inserimento dati'!$B$3=$K$2, Tabella3[[#This Row],[GIO]]="X"), "X", IF(AND('Inserimento dati'!$B$3=$L$2, Tabella3[[#This Row],[VEN]]="X"), "X","")))))</f>
        <v/>
      </c>
      <c r="U326" s="129" t="str">
        <f t="shared" ca="1" si="13"/>
        <v/>
      </c>
      <c r="V326" s="187">
        <v>45930.833333333336</v>
      </c>
    </row>
    <row r="327" spans="1:22" s="19" customFormat="1" ht="30" x14ac:dyDescent="0.2">
      <c r="A327" s="112"/>
      <c r="B327" s="112"/>
      <c r="C327" s="112" t="str">
        <f>IF(OR(Tabella3[[#This Row],[LUN]]="X",Tabella3[[#This Row],[MAR]]="X",Tabella3[[#This Row],[MER]]="X",Tabella3[[#This Row],[GIO]]="X",Tabella3[[#This Row],[VEN]]="X",),"X","")</f>
        <v/>
      </c>
      <c r="D327" s="113" t="s">
        <v>87</v>
      </c>
      <c r="E327" s="109" t="s">
        <v>1734</v>
      </c>
      <c r="F327" s="109">
        <v>1800</v>
      </c>
      <c r="G327" s="109" t="s">
        <v>2051</v>
      </c>
      <c r="H327" s="111"/>
      <c r="I327" s="111"/>
      <c r="J327" s="111"/>
      <c r="K327" s="111"/>
      <c r="L327" s="111"/>
      <c r="M327" s="109" t="s">
        <v>1036</v>
      </c>
      <c r="N327" s="109"/>
      <c r="O327" s="109"/>
      <c r="P327" s="109"/>
      <c r="Q327" s="109"/>
      <c r="R327" s="110"/>
      <c r="S327" s="109"/>
      <c r="T327" s="114" t="str">
        <f ca="1">IF(AND('Inserimento dati'!$B$3=$H$2, Tabella3[[#This Row],[LUN]]="X"), "X",IF(AND('Inserimento dati'!$B$3=$I$2, Tabella3[[#This Row],[MAR]]="X"), "X", IF(AND('Inserimento dati'!$B$3=$J$2, Tabella3[[#This Row],[MER]]="X"), "X",IF(AND('Inserimento dati'!$B$3=$K$2, Tabella3[[#This Row],[GIO]]="X"), "X", IF(AND('Inserimento dati'!$B$3=$L$2, Tabella3[[#This Row],[VEN]]="X"), "X","")))))</f>
        <v/>
      </c>
      <c r="U327" s="129" t="str">
        <f t="shared" ca="1" si="13"/>
        <v/>
      </c>
      <c r="V327" s="187">
        <v>45930.833333333336</v>
      </c>
    </row>
    <row r="328" spans="1:22" s="19" customFormat="1" ht="30" x14ac:dyDescent="0.2">
      <c r="A328" s="112" t="s">
        <v>23</v>
      </c>
      <c r="B328" s="112"/>
      <c r="C328" s="112" t="str">
        <f>IF(OR(Tabella3[[#This Row],[LUN]]="X",Tabella3[[#This Row],[MAR]]="X",Tabella3[[#This Row],[MER]]="X",Tabella3[[#This Row],[GIO]]="X",Tabella3[[#This Row],[VEN]]="X",),"X","")</f>
        <v/>
      </c>
      <c r="D328" s="113" t="s">
        <v>87</v>
      </c>
      <c r="E328" s="109" t="s">
        <v>2351</v>
      </c>
      <c r="F328" s="109">
        <v>1200</v>
      </c>
      <c r="G328" s="109" t="s">
        <v>2352</v>
      </c>
      <c r="H328" s="111"/>
      <c r="I328" s="111"/>
      <c r="J328" s="111"/>
      <c r="K328" s="111"/>
      <c r="L328" s="111"/>
      <c r="M328" s="109" t="s">
        <v>1036</v>
      </c>
      <c r="N328" s="109"/>
      <c r="O328" s="109"/>
      <c r="P328" s="109"/>
      <c r="Q328" s="109" t="s">
        <v>2562</v>
      </c>
      <c r="R328" s="110"/>
      <c r="S328" s="109"/>
      <c r="T328" s="114" t="str">
        <f ca="1">IF(AND('Inserimento dati'!$B$3=$H$2, Tabella3[[#This Row],[LUN]]="X"), "X",IF(AND('Inserimento dati'!$B$3=$I$2, Tabella3[[#This Row],[MAR]]="X"), "X", IF(AND('Inserimento dati'!$B$3=$J$2, Tabella3[[#This Row],[MER]]="X"), "X",IF(AND('Inserimento dati'!$B$3=$K$2, Tabella3[[#This Row],[GIO]]="X"), "X", IF(AND('Inserimento dati'!$B$3=$L$2, Tabella3[[#This Row],[VEN]]="X"), "X","")))))</f>
        <v/>
      </c>
      <c r="U328" s="93" t="str">
        <f t="shared" ca="1" si="13"/>
        <v/>
      </c>
      <c r="V328" s="187">
        <v>45930.833333333336</v>
      </c>
    </row>
    <row r="329" spans="1:22" s="19" customFormat="1" ht="23.25" x14ac:dyDescent="0.2">
      <c r="A329" s="112" t="s">
        <v>23</v>
      </c>
      <c r="B329" s="112"/>
      <c r="C329" s="112" t="str">
        <f>IF(OR(Tabella3[[#This Row],[LUN]]="X",Tabella3[[#This Row],[MAR]]="X",Tabella3[[#This Row],[MER]]="X",Tabella3[[#This Row],[GIO]]="X",Tabella3[[#This Row],[VEN]]="X",),"X","")</f>
        <v/>
      </c>
      <c r="D329" s="113" t="s">
        <v>87</v>
      </c>
      <c r="E329" s="109" t="s">
        <v>2340</v>
      </c>
      <c r="F329" s="109">
        <v>1200</v>
      </c>
      <c r="G329" s="109" t="s">
        <v>2341</v>
      </c>
      <c r="H329" s="111"/>
      <c r="I329" s="111"/>
      <c r="J329" s="111"/>
      <c r="K329" s="111"/>
      <c r="L329" s="111"/>
      <c r="M329" s="109" t="s">
        <v>1036</v>
      </c>
      <c r="N329" s="109"/>
      <c r="O329" s="109"/>
      <c r="P329" s="109"/>
      <c r="Q329" s="109" t="s">
        <v>2562</v>
      </c>
      <c r="R329" s="110"/>
      <c r="S329" s="109"/>
      <c r="T329" s="114" t="str">
        <f ca="1">IF(AND('Inserimento dati'!$B$3=$H$2, Tabella3[[#This Row],[LUN]]="X"), "X",IF(AND('Inserimento dati'!$B$3=$I$2, Tabella3[[#This Row],[MAR]]="X"), "X", IF(AND('Inserimento dati'!$B$3=$J$2, Tabella3[[#This Row],[MER]]="X"), "X",IF(AND('Inserimento dati'!$B$3=$K$2, Tabella3[[#This Row],[GIO]]="X"), "X", IF(AND('Inserimento dati'!$B$3=$L$2, Tabella3[[#This Row],[VEN]]="X"), "X","")))))</f>
        <v/>
      </c>
      <c r="U329" s="93" t="str">
        <f t="shared" ca="1" si="13"/>
        <v/>
      </c>
      <c r="V329" s="187">
        <v>45930.833333333336</v>
      </c>
    </row>
    <row r="330" spans="1:22" s="19" customFormat="1" ht="45" x14ac:dyDescent="0.2">
      <c r="A330" s="112" t="s">
        <v>23</v>
      </c>
      <c r="B330" s="112"/>
      <c r="C330" s="112" t="str">
        <f>IF(OR(Tabella3[[#This Row],[LUN]]="X",Tabella3[[#This Row],[MAR]]="X",Tabella3[[#This Row],[MER]]="X",Tabella3[[#This Row],[GIO]]="X",Tabella3[[#This Row],[VEN]]="X",),"X","")</f>
        <v/>
      </c>
      <c r="D330" s="113" t="s">
        <v>87</v>
      </c>
      <c r="E330" s="109" t="s">
        <v>2359</v>
      </c>
      <c r="F330" s="109">
        <v>1200</v>
      </c>
      <c r="G330" s="109" t="s">
        <v>2360</v>
      </c>
      <c r="H330" s="111"/>
      <c r="I330" s="111"/>
      <c r="J330" s="111"/>
      <c r="K330" s="111"/>
      <c r="L330" s="111"/>
      <c r="M330" s="109" t="s">
        <v>1036</v>
      </c>
      <c r="N330" s="109"/>
      <c r="O330" s="109"/>
      <c r="P330" s="109"/>
      <c r="Q330" s="109" t="s">
        <v>2562</v>
      </c>
      <c r="R330" s="110"/>
      <c r="S330" s="109"/>
      <c r="T330" s="114" t="str">
        <f ca="1">IF(AND('Inserimento dati'!$B$3=$H$2, Tabella3[[#This Row],[LUN]]="X"), "X",IF(AND('Inserimento dati'!$B$3=$I$2, Tabella3[[#This Row],[MAR]]="X"), "X", IF(AND('Inserimento dati'!$B$3=$J$2, Tabella3[[#This Row],[MER]]="X"), "X",IF(AND('Inserimento dati'!$B$3=$K$2, Tabella3[[#This Row],[GIO]]="X"), "X", IF(AND('Inserimento dati'!$B$3=$L$2, Tabella3[[#This Row],[VEN]]="X"), "X","")))))</f>
        <v/>
      </c>
      <c r="U330" s="93" t="str">
        <f t="shared" ca="1" si="13"/>
        <v/>
      </c>
      <c r="V330" s="187">
        <v>45930.833333333336</v>
      </c>
    </row>
    <row r="331" spans="1:22" s="19" customFormat="1" ht="23.25" x14ac:dyDescent="0.2">
      <c r="A331" s="112"/>
      <c r="B331" s="112"/>
      <c r="C331" s="112" t="str">
        <f>IF(OR(Tabella3[[#This Row],[LUN]]="X",Tabella3[[#This Row],[MAR]]="X",Tabella3[[#This Row],[MER]]="X",Tabella3[[#This Row],[GIO]]="X",Tabella3[[#This Row],[VEN]]="X",),"X","")</f>
        <v/>
      </c>
      <c r="D331" s="113" t="s">
        <v>87</v>
      </c>
      <c r="E331" s="109" t="s">
        <v>2333</v>
      </c>
      <c r="F331" s="109">
        <v>1800</v>
      </c>
      <c r="G331" s="109" t="s">
        <v>2334</v>
      </c>
      <c r="H331" s="111"/>
      <c r="I331" s="111"/>
      <c r="J331" s="111"/>
      <c r="K331" s="111"/>
      <c r="L331" s="111"/>
      <c r="M331" s="109" t="s">
        <v>1036</v>
      </c>
      <c r="N331" s="109"/>
      <c r="O331" s="109"/>
      <c r="P331" s="109"/>
      <c r="Q331" s="109" t="s">
        <v>2337</v>
      </c>
      <c r="R331" s="110">
        <v>45847</v>
      </c>
      <c r="S331" s="109" t="s">
        <v>211</v>
      </c>
      <c r="T331" s="114" t="str">
        <f ca="1">IF(AND('Inserimento dati'!$B$3=$H$2, Tabella3[[#This Row],[LUN]]="X"), "X",IF(AND('Inserimento dati'!$B$3=$I$2, Tabella3[[#This Row],[MAR]]="X"), "X", IF(AND('Inserimento dati'!$B$3=$J$2, Tabella3[[#This Row],[MER]]="X"), "X",IF(AND('Inserimento dati'!$B$3=$K$2, Tabella3[[#This Row],[GIO]]="X"), "X", IF(AND('Inserimento dati'!$B$3=$L$2, Tabella3[[#This Row],[VEN]]="X"), "X","")))))</f>
        <v/>
      </c>
      <c r="U331" s="93" t="str">
        <f t="shared" ca="1" si="13"/>
        <v/>
      </c>
      <c r="V331" s="187">
        <v>45930.833333333336</v>
      </c>
    </row>
    <row r="332" spans="1:22" s="19" customFormat="1" ht="135" x14ac:dyDescent="0.2">
      <c r="A332" s="112"/>
      <c r="B332" s="112" t="str">
        <f>IF(OR(A332="x",A332="X"),"",IF(ISBLANK(A332),"X",""))</f>
        <v>X</v>
      </c>
      <c r="C332" s="112" t="str">
        <f>IF(OR(Tabella3[[#This Row],[LUN]]="X",Tabella3[[#This Row],[MAR]]="X",Tabella3[[#This Row],[MER]]="X",Tabella3[[#This Row],[GIO]]="X",Tabella3[[#This Row],[VEN]]="X",),"X","")</f>
        <v/>
      </c>
      <c r="D332" s="113" t="s">
        <v>87</v>
      </c>
      <c r="E332" s="109" t="s">
        <v>1598</v>
      </c>
      <c r="F332" s="109" t="s">
        <v>114</v>
      </c>
      <c r="G332" s="109" t="s">
        <v>2272</v>
      </c>
      <c r="H332" s="111"/>
      <c r="I332" s="111"/>
      <c r="J332" s="111"/>
      <c r="K332" s="111"/>
      <c r="L332" s="111"/>
      <c r="M332" s="109" t="s">
        <v>1036</v>
      </c>
      <c r="N332" s="109" t="s">
        <v>23</v>
      </c>
      <c r="O332" s="109"/>
      <c r="P332" s="109"/>
      <c r="Q332" s="109" t="s">
        <v>1672</v>
      </c>
      <c r="R332" s="110">
        <v>45817</v>
      </c>
      <c r="S332" s="109" t="s">
        <v>1645</v>
      </c>
      <c r="T332" s="114" t="str">
        <f ca="1">IF(AND('Inserimento dati'!$B$3=$H$2, Tabella3[[#This Row],[LUN]]="X"), "X",IF(AND('Inserimento dati'!$B$3=$I$2, Tabella3[[#This Row],[MAR]]="X"), "X", IF(AND('Inserimento dati'!$B$3=$J$2, Tabella3[[#This Row],[MER]]="X"), "X",IF(AND('Inserimento dati'!$B$3=$K$2, Tabella3[[#This Row],[GIO]]="X"), "X", IF(AND('Inserimento dati'!$B$3=$L$2, Tabella3[[#This Row],[VEN]]="X"), "X","")))))</f>
        <v/>
      </c>
      <c r="U332" s="130" t="str">
        <f t="shared" ca="1" si="13"/>
        <v>00000002</v>
      </c>
      <c r="V332" s="187">
        <v>45930.833333333336</v>
      </c>
    </row>
    <row r="333" spans="1:22" s="19" customFormat="1" ht="30" x14ac:dyDescent="0.2">
      <c r="A333" s="112" t="s">
        <v>23</v>
      </c>
      <c r="B333" s="112"/>
      <c r="C333" s="112" t="str">
        <f>IF(OR(Tabella3[[#This Row],[LUN]]="X",Tabella3[[#This Row],[MAR]]="X",Tabella3[[#This Row],[MER]]="X",Tabella3[[#This Row],[GIO]]="X",Tabella3[[#This Row],[VEN]]="X",),"X","")</f>
        <v/>
      </c>
      <c r="D333" s="113" t="s">
        <v>87</v>
      </c>
      <c r="E333" s="109" t="s">
        <v>2355</v>
      </c>
      <c r="F333" s="109">
        <v>1200</v>
      </c>
      <c r="G333" s="109" t="s">
        <v>2356</v>
      </c>
      <c r="H333" s="111"/>
      <c r="I333" s="111"/>
      <c r="J333" s="111"/>
      <c r="K333" s="111"/>
      <c r="L333" s="111"/>
      <c r="M333" s="109" t="s">
        <v>1036</v>
      </c>
      <c r="N333" s="109"/>
      <c r="O333" s="109"/>
      <c r="P333" s="109"/>
      <c r="Q333" s="109" t="s">
        <v>2419</v>
      </c>
      <c r="R333" s="110">
        <v>45856</v>
      </c>
      <c r="S333" s="109" t="s">
        <v>2420</v>
      </c>
      <c r="T333" s="114" t="str">
        <f ca="1">IF(AND('Inserimento dati'!$B$3=$H$2, Tabella3[[#This Row],[LUN]]="X"), "X",IF(AND('Inserimento dati'!$B$3=$I$2, Tabella3[[#This Row],[MAR]]="X"), "X", IF(AND('Inserimento dati'!$B$3=$J$2, Tabella3[[#This Row],[MER]]="X"), "X",IF(AND('Inserimento dati'!$B$3=$K$2, Tabella3[[#This Row],[GIO]]="X"), "X", IF(AND('Inserimento dati'!$B$3=$L$2, Tabella3[[#This Row],[VEN]]="X"), "X","")))))</f>
        <v/>
      </c>
      <c r="U333" s="93" t="str">
        <f t="shared" ca="1" si="13"/>
        <v/>
      </c>
      <c r="V333" s="187">
        <v>45930.833333333336</v>
      </c>
    </row>
    <row r="334" spans="1:22" s="19" customFormat="1" ht="30" x14ac:dyDescent="0.2">
      <c r="A334" s="112"/>
      <c r="B334" s="112"/>
      <c r="C334" s="112" t="str">
        <f>IF(OR(Tabella3[[#This Row],[LUN]]="X",Tabella3[[#This Row],[MAR]]="X",Tabella3[[#This Row],[MER]]="X",Tabella3[[#This Row],[GIO]]="X",Tabella3[[#This Row],[VEN]]="X",),"X","")</f>
        <v/>
      </c>
      <c r="D334" s="113" t="s">
        <v>87</v>
      </c>
      <c r="E334" s="109" t="s">
        <v>2477</v>
      </c>
      <c r="F334" s="109">
        <v>1200</v>
      </c>
      <c r="G334" s="109" t="s">
        <v>2478</v>
      </c>
      <c r="H334" s="111"/>
      <c r="I334" s="111"/>
      <c r="J334" s="111"/>
      <c r="K334" s="111"/>
      <c r="L334" s="111"/>
      <c r="M334" s="109" t="s">
        <v>1036</v>
      </c>
      <c r="N334" s="109"/>
      <c r="O334" s="109"/>
      <c r="P334" s="109"/>
      <c r="Q334" s="109"/>
      <c r="R334" s="110"/>
      <c r="S334" s="109"/>
      <c r="T334" s="114" t="str">
        <f ca="1">IF(AND('Inserimento dati'!$B$3=$H$2, Tabella3[[#This Row],[LUN]]="X"), "X",IF(AND('Inserimento dati'!$B$3=$I$2, Tabella3[[#This Row],[MAR]]="X"), "X", IF(AND('Inserimento dati'!$B$3=$J$2, Tabella3[[#This Row],[MER]]="X"), "X",IF(AND('Inserimento dati'!$B$3=$K$2, Tabella3[[#This Row],[GIO]]="X"), "X", IF(AND('Inserimento dati'!$B$3=$L$2, Tabella3[[#This Row],[VEN]]="X"), "X","")))))</f>
        <v/>
      </c>
      <c r="U334" s="93" t="str">
        <f t="shared" ca="1" si="13"/>
        <v>10227873</v>
      </c>
      <c r="V334" s="187">
        <v>45930.833333333336</v>
      </c>
    </row>
    <row r="335" spans="1:22" s="19" customFormat="1" ht="30" x14ac:dyDescent="0.2">
      <c r="A335" s="112"/>
      <c r="B335" s="112"/>
      <c r="C335" s="112" t="str">
        <f>IF(OR(Tabella3[[#This Row],[LUN]]="X",Tabella3[[#This Row],[MAR]]="X",Tabella3[[#This Row],[MER]]="X",Tabella3[[#This Row],[GIO]]="X",Tabella3[[#This Row],[VEN]]="X",),"X","")</f>
        <v/>
      </c>
      <c r="D335" s="113" t="s">
        <v>87</v>
      </c>
      <c r="E335" s="109" t="s">
        <v>2540</v>
      </c>
      <c r="F335" s="109">
        <v>1200</v>
      </c>
      <c r="G335" s="109" t="s">
        <v>2541</v>
      </c>
      <c r="H335" s="111"/>
      <c r="I335" s="111"/>
      <c r="J335" s="111"/>
      <c r="K335" s="111"/>
      <c r="L335" s="111"/>
      <c r="M335" s="109" t="s">
        <v>1036</v>
      </c>
      <c r="N335" s="109"/>
      <c r="O335" s="109"/>
      <c r="P335" s="109"/>
      <c r="Q335" s="109"/>
      <c r="R335" s="110"/>
      <c r="S335" s="109"/>
      <c r="T335" s="114" t="str">
        <f ca="1">IF(AND('Inserimento dati'!$B$3=$H$2, Tabella3[[#This Row],[LUN]]="X"), "X",IF(AND('Inserimento dati'!$B$3=$I$2, Tabella3[[#This Row],[MAR]]="X"), "X", IF(AND('Inserimento dati'!$B$3=$J$2, Tabella3[[#This Row],[MER]]="X"), "X",IF(AND('Inserimento dati'!$B$3=$K$2, Tabella3[[#This Row],[GIO]]="X"), "X", IF(AND('Inserimento dati'!$B$3=$L$2, Tabella3[[#This Row],[VEN]]="X"), "X","")))))</f>
        <v/>
      </c>
      <c r="U335" s="93" t="str">
        <f t="shared" ca="1" si="13"/>
        <v/>
      </c>
      <c r="V335" s="187">
        <v>45930.833333333336</v>
      </c>
    </row>
    <row r="336" spans="1:22" s="19" customFormat="1" ht="45" x14ac:dyDescent="0.2">
      <c r="A336" s="112"/>
      <c r="B336" s="112"/>
      <c r="C336" s="112" t="str">
        <f>IF(OR(Tabella3[[#This Row],[LUN]]="X",Tabella3[[#This Row],[MAR]]="X",Tabella3[[#This Row],[MER]]="X",Tabella3[[#This Row],[GIO]]="X",Tabella3[[#This Row],[VEN]]="X",),"X","")</f>
        <v/>
      </c>
      <c r="D336" s="113" t="s">
        <v>87</v>
      </c>
      <c r="E336" s="109" t="s">
        <v>2389</v>
      </c>
      <c r="F336" s="109">
        <v>1200</v>
      </c>
      <c r="G336" s="109" t="s">
        <v>2390</v>
      </c>
      <c r="H336" s="111"/>
      <c r="I336" s="111"/>
      <c r="J336" s="111"/>
      <c r="K336" s="111"/>
      <c r="L336" s="111"/>
      <c r="M336" s="109" t="s">
        <v>1036</v>
      </c>
      <c r="N336" s="109"/>
      <c r="O336" s="109"/>
      <c r="P336" s="109"/>
      <c r="Q336" s="109" t="s">
        <v>2560</v>
      </c>
      <c r="R336" s="110"/>
      <c r="S336" s="109"/>
      <c r="T336" s="114" t="str">
        <f ca="1">IF(AND('Inserimento dati'!$B$3=$H$2, Tabella3[[#This Row],[LUN]]="X"), "X",IF(AND('Inserimento dati'!$B$3=$I$2, Tabella3[[#This Row],[MAR]]="X"), "X", IF(AND('Inserimento dati'!$B$3=$J$2, Tabella3[[#This Row],[MER]]="X"), "X",IF(AND('Inserimento dati'!$B$3=$K$2, Tabella3[[#This Row],[GIO]]="X"), "X", IF(AND('Inserimento dati'!$B$3=$L$2, Tabella3[[#This Row],[VEN]]="X"), "X","")))))</f>
        <v/>
      </c>
      <c r="U336" s="93" t="str">
        <f t="shared" ca="1" si="13"/>
        <v>10227344</v>
      </c>
      <c r="V336" s="187">
        <v>45930.833333333336</v>
      </c>
    </row>
    <row r="337" spans="1:22" s="19" customFormat="1" ht="23.25" x14ac:dyDescent="0.2">
      <c r="A337" s="112"/>
      <c r="B337" s="112"/>
      <c r="C337" s="112" t="str">
        <f>IF(OR(Tabella3[[#This Row],[LUN]]="X",Tabella3[[#This Row],[MAR]]="X",Tabella3[[#This Row],[MER]]="X",Tabella3[[#This Row],[GIO]]="X",Tabella3[[#This Row],[VEN]]="X",),"X","")</f>
        <v/>
      </c>
      <c r="D337" s="113" t="s">
        <v>87</v>
      </c>
      <c r="E337" s="109" t="s">
        <v>2576</v>
      </c>
      <c r="F337" s="109">
        <v>800</v>
      </c>
      <c r="G337" s="109" t="s">
        <v>2577</v>
      </c>
      <c r="H337" s="111"/>
      <c r="I337" s="111"/>
      <c r="J337" s="111"/>
      <c r="K337" s="111"/>
      <c r="L337" s="111"/>
      <c r="M337" s="109" t="s">
        <v>1036</v>
      </c>
      <c r="N337" s="109"/>
      <c r="O337" s="109"/>
      <c r="P337" s="109"/>
      <c r="Q337" s="109" t="s">
        <v>2581</v>
      </c>
      <c r="R337" s="110">
        <v>45880</v>
      </c>
      <c r="S337" s="109" t="s">
        <v>1642</v>
      </c>
      <c r="T337" s="114" t="str">
        <f ca="1">IF(AND('Inserimento dati'!$B$3=$H$2, Tabella3[[#This Row],[LUN]]="X"), "X",IF(AND('Inserimento dati'!$B$3=$I$2, Tabella3[[#This Row],[MAR]]="X"), "X", IF(AND('Inserimento dati'!$B$3=$J$2, Tabella3[[#This Row],[MER]]="X"), "X",IF(AND('Inserimento dati'!$B$3=$K$2, Tabella3[[#This Row],[GIO]]="X"), "X", IF(AND('Inserimento dati'!$B$3=$L$2, Tabella3[[#This Row],[VEN]]="X"), "X","")))))</f>
        <v/>
      </c>
      <c r="U337" s="93" t="str">
        <f t="shared" ca="1" si="13"/>
        <v>10228704</v>
      </c>
      <c r="V337" s="187">
        <v>45930.833333333336</v>
      </c>
    </row>
    <row r="338" spans="1:22" s="19" customFormat="1" ht="23.25" x14ac:dyDescent="0.2">
      <c r="A338" s="112"/>
      <c r="B338" s="112"/>
      <c r="C338" s="112" t="str">
        <f>IF(OR(Tabella3[[#This Row],[LUN]]="X",Tabella3[[#This Row],[MAR]]="X",Tabella3[[#This Row],[MER]]="X",Tabella3[[#This Row],[GIO]]="X",Tabella3[[#This Row],[VEN]]="X",),"X","")</f>
        <v/>
      </c>
      <c r="D338" s="113" t="s">
        <v>87</v>
      </c>
      <c r="E338" s="109" t="s">
        <v>2640</v>
      </c>
      <c r="F338" s="109">
        <v>700</v>
      </c>
      <c r="G338" s="109" t="s">
        <v>2641</v>
      </c>
      <c r="H338" s="111"/>
      <c r="I338" s="111"/>
      <c r="J338" s="111"/>
      <c r="K338" s="111"/>
      <c r="L338" s="111"/>
      <c r="M338" s="109" t="s">
        <v>1036</v>
      </c>
      <c r="N338" s="109"/>
      <c r="O338" s="109"/>
      <c r="P338" s="109"/>
      <c r="Q338" s="109"/>
      <c r="R338" s="110"/>
      <c r="S338" s="109"/>
      <c r="T338" s="114" t="str">
        <f ca="1">IF(AND('Inserimento dati'!$B$3=$H$2, Tabella3[[#This Row],[LUN]]="X"), "X",IF(AND('Inserimento dati'!$B$3=$I$2, Tabella3[[#This Row],[MAR]]="X"), "X", IF(AND('Inserimento dati'!$B$3=$J$2, Tabella3[[#This Row],[MER]]="X"), "X",IF(AND('Inserimento dati'!$B$3=$K$2, Tabella3[[#This Row],[GIO]]="X"), "X", IF(AND('Inserimento dati'!$B$3=$L$2, Tabella3[[#This Row],[VEN]]="X"), "X","")))))</f>
        <v/>
      </c>
      <c r="U338" s="93" t="str">
        <f t="shared" ca="1" si="13"/>
        <v/>
      </c>
      <c r="V338" s="187">
        <v>45930.833333333336</v>
      </c>
    </row>
    <row r="339" spans="1:22" s="19" customFormat="1" ht="23.25" x14ac:dyDescent="0.2">
      <c r="A339" s="112"/>
      <c r="B339" s="112"/>
      <c r="C339" s="112" t="str">
        <f>IF(OR(Tabella3[[#This Row],[LUN]]="X",Tabella3[[#This Row],[MAR]]="X",Tabella3[[#This Row],[MER]]="X",Tabella3[[#This Row],[GIO]]="X",Tabella3[[#This Row],[VEN]]="X",),"X","")</f>
        <v/>
      </c>
      <c r="D339" s="113" t="s">
        <v>87</v>
      </c>
      <c r="E339" s="109" t="s">
        <v>2650</v>
      </c>
      <c r="F339" s="109">
        <v>1200</v>
      </c>
      <c r="G339" s="109" t="s">
        <v>2651</v>
      </c>
      <c r="H339" s="111"/>
      <c r="I339" s="111"/>
      <c r="J339" s="111"/>
      <c r="K339" s="111"/>
      <c r="L339" s="111"/>
      <c r="M339" s="109" t="s">
        <v>1036</v>
      </c>
      <c r="N339" s="109"/>
      <c r="O339" s="109"/>
      <c r="P339" s="109"/>
      <c r="Q339" s="109"/>
      <c r="R339" s="110"/>
      <c r="S339" s="109"/>
      <c r="T339" s="114" t="str">
        <f ca="1">IF(AND('Inserimento dati'!$B$3=$H$2, Tabella3[[#This Row],[LUN]]="X"), "X",IF(AND('Inserimento dati'!$B$3=$I$2, Tabella3[[#This Row],[MAR]]="X"), "X", IF(AND('Inserimento dati'!$B$3=$J$2, Tabella3[[#This Row],[MER]]="X"), "X",IF(AND('Inserimento dati'!$B$3=$K$2, Tabella3[[#This Row],[GIO]]="X"), "X", IF(AND('Inserimento dati'!$B$3=$L$2, Tabella3[[#This Row],[VEN]]="X"), "X","")))))</f>
        <v/>
      </c>
      <c r="U339" s="93" t="str">
        <f t="shared" ca="1" si="13"/>
        <v/>
      </c>
      <c r="V339" s="187">
        <v>45930.833333333336</v>
      </c>
    </row>
    <row r="340" spans="1:22" s="19" customFormat="1" ht="30" x14ac:dyDescent="0.2">
      <c r="A340" s="112"/>
      <c r="B340" s="112"/>
      <c r="C340" s="112" t="str">
        <f>IF(OR(Tabella3[[#This Row],[LUN]]="X",Tabella3[[#This Row],[MAR]]="X",Tabella3[[#This Row],[MER]]="X",Tabella3[[#This Row],[GIO]]="X",Tabella3[[#This Row],[VEN]]="X",),"X","")</f>
        <v/>
      </c>
      <c r="D340" s="113" t="s">
        <v>87</v>
      </c>
      <c r="E340" s="109" t="s">
        <v>2652</v>
      </c>
      <c r="F340" s="109">
        <v>1200</v>
      </c>
      <c r="G340" s="109" t="s">
        <v>2653</v>
      </c>
      <c r="H340" s="111"/>
      <c r="I340" s="111"/>
      <c r="J340" s="111"/>
      <c r="K340" s="111"/>
      <c r="L340" s="111"/>
      <c r="M340" s="109" t="s">
        <v>1036</v>
      </c>
      <c r="N340" s="109"/>
      <c r="O340" s="109"/>
      <c r="P340" s="109"/>
      <c r="Q340" s="109"/>
      <c r="R340" s="110"/>
      <c r="S340" s="109"/>
      <c r="T340" s="114" t="str">
        <f ca="1">IF(AND('Inserimento dati'!$B$3=$H$2, Tabella3[[#This Row],[LUN]]="X"), "X",IF(AND('Inserimento dati'!$B$3=$I$2, Tabella3[[#This Row],[MAR]]="X"), "X", IF(AND('Inserimento dati'!$B$3=$J$2, Tabella3[[#This Row],[MER]]="X"), "X",IF(AND('Inserimento dati'!$B$3=$K$2, Tabella3[[#This Row],[GIO]]="X"), "X", IF(AND('Inserimento dati'!$B$3=$L$2, Tabella3[[#This Row],[VEN]]="X"), "X","")))))</f>
        <v/>
      </c>
      <c r="U340" s="93" t="str">
        <f t="shared" ca="1" si="13"/>
        <v/>
      </c>
      <c r="V340" s="187">
        <v>45930.833333333336</v>
      </c>
    </row>
    <row r="341" spans="1:22" s="19" customFormat="1" ht="30" x14ac:dyDescent="0.2">
      <c r="A341" s="112"/>
      <c r="B341" s="112"/>
      <c r="C341" s="112" t="str">
        <f>IF(OR(Tabella3[[#This Row],[LUN]]="X",Tabella3[[#This Row],[MAR]]="X",Tabella3[[#This Row],[MER]]="X",Tabella3[[#This Row],[GIO]]="X",Tabella3[[#This Row],[VEN]]="X",),"X","")</f>
        <v/>
      </c>
      <c r="D341" s="113" t="s">
        <v>87</v>
      </c>
      <c r="E341" s="109" t="s">
        <v>2586</v>
      </c>
      <c r="F341" s="109">
        <v>1400</v>
      </c>
      <c r="G341" s="109" t="s">
        <v>2587</v>
      </c>
      <c r="H341" s="111"/>
      <c r="I341" s="111"/>
      <c r="J341" s="111"/>
      <c r="K341" s="111"/>
      <c r="L341" s="111"/>
      <c r="M341" s="109" t="s">
        <v>1036</v>
      </c>
      <c r="N341" s="109"/>
      <c r="O341" s="109"/>
      <c r="P341" s="109"/>
      <c r="Q341" s="109"/>
      <c r="R341" s="110">
        <v>45889</v>
      </c>
      <c r="S341" s="109" t="s">
        <v>211</v>
      </c>
      <c r="T341" s="114" t="str">
        <f ca="1">IF(AND('Inserimento dati'!$B$3=$H$2, Tabella3[[#This Row],[LUN]]="X"), "X",IF(AND('Inserimento dati'!$B$3=$I$2, Tabella3[[#This Row],[MAR]]="X"), "X", IF(AND('Inserimento dati'!$B$3=$J$2, Tabella3[[#This Row],[MER]]="X"), "X",IF(AND('Inserimento dati'!$B$3=$K$2, Tabella3[[#This Row],[GIO]]="X"), "X", IF(AND('Inserimento dati'!$B$3=$L$2, Tabella3[[#This Row],[VEN]]="X"), "X","")))))</f>
        <v/>
      </c>
      <c r="U341" s="93" t="str">
        <f t="shared" ca="1" si="13"/>
        <v>10228743</v>
      </c>
      <c r="V341" s="187">
        <v>45930.833333333336</v>
      </c>
    </row>
    <row r="342" spans="1:22" s="19" customFormat="1" ht="23.25" x14ac:dyDescent="0.2">
      <c r="A342" s="112"/>
      <c r="B342" s="112"/>
      <c r="C342" s="112" t="str">
        <f>IF(OR(Tabella3[[#This Row],[LUN]]="X",Tabella3[[#This Row],[MAR]]="X",Tabella3[[#This Row],[MER]]="X",Tabella3[[#This Row],[GIO]]="X",Tabella3[[#This Row],[VEN]]="X",),"X","")</f>
        <v/>
      </c>
      <c r="D342" s="113" t="s">
        <v>87</v>
      </c>
      <c r="E342" s="109" t="s">
        <v>2666</v>
      </c>
      <c r="F342" s="109">
        <v>1400</v>
      </c>
      <c r="G342" s="109" t="s">
        <v>2667</v>
      </c>
      <c r="H342" s="111"/>
      <c r="I342" s="111"/>
      <c r="J342" s="111"/>
      <c r="K342" s="111"/>
      <c r="L342" s="111"/>
      <c r="M342" s="109" t="s">
        <v>1036</v>
      </c>
      <c r="N342" s="109"/>
      <c r="O342" s="109"/>
      <c r="P342" s="109"/>
      <c r="Q342" s="109"/>
      <c r="R342" s="110">
        <v>45889</v>
      </c>
      <c r="S342" s="109" t="s">
        <v>1048</v>
      </c>
      <c r="T342" s="114" t="str">
        <f ca="1">IF(AND('Inserimento dati'!$B$3=$H$2, Tabella3[[#This Row],[LUN]]="X"), "X",IF(AND('Inserimento dati'!$B$3=$I$2, Tabella3[[#This Row],[MAR]]="X"), "X", IF(AND('Inserimento dati'!$B$3=$J$2, Tabella3[[#This Row],[MER]]="X"), "X",IF(AND('Inserimento dati'!$B$3=$K$2, Tabella3[[#This Row],[GIO]]="X"), "X", IF(AND('Inserimento dati'!$B$3=$L$2, Tabella3[[#This Row],[VEN]]="X"), "X","")))))</f>
        <v/>
      </c>
      <c r="U342" s="93" t="str">
        <f t="shared" ca="1" si="13"/>
        <v/>
      </c>
      <c r="V342" s="187">
        <v>45930.833333333336</v>
      </c>
    </row>
    <row r="343" spans="1:22" s="19" customFormat="1" ht="30" x14ac:dyDescent="0.2">
      <c r="A343" s="112"/>
      <c r="B343" s="112"/>
      <c r="C343" s="112" t="str">
        <f>IF(OR(Tabella3[[#This Row],[LUN]]="X",Tabella3[[#This Row],[MAR]]="X",Tabella3[[#This Row],[MER]]="X",Tabella3[[#This Row],[GIO]]="X",Tabella3[[#This Row],[VEN]]="X",),"X","")</f>
        <v/>
      </c>
      <c r="D343" s="113" t="s">
        <v>87</v>
      </c>
      <c r="E343" s="109" t="s">
        <v>2634</v>
      </c>
      <c r="F343" s="109">
        <v>1200</v>
      </c>
      <c r="G343" s="109" t="s">
        <v>2635</v>
      </c>
      <c r="H343" s="111"/>
      <c r="I343" s="111"/>
      <c r="J343" s="111"/>
      <c r="K343" s="111"/>
      <c r="L343" s="111"/>
      <c r="M343" s="109" t="s">
        <v>1036</v>
      </c>
      <c r="N343" s="109"/>
      <c r="O343" s="109"/>
      <c r="P343" s="109"/>
      <c r="Q343" s="109" t="s">
        <v>2658</v>
      </c>
      <c r="R343" s="110">
        <v>45887</v>
      </c>
      <c r="S343" s="109" t="s">
        <v>50</v>
      </c>
      <c r="T343" s="114" t="str">
        <f ca="1">IF(AND('Inserimento dati'!$B$3=$H$2, Tabella3[[#This Row],[LUN]]="X"), "X",IF(AND('Inserimento dati'!$B$3=$I$2, Tabella3[[#This Row],[MAR]]="X"), "X", IF(AND('Inserimento dati'!$B$3=$J$2, Tabella3[[#This Row],[MER]]="X"), "X",IF(AND('Inserimento dati'!$B$3=$K$2, Tabella3[[#This Row],[GIO]]="X"), "X", IF(AND('Inserimento dati'!$B$3=$L$2, Tabella3[[#This Row],[VEN]]="X"), "X","")))))</f>
        <v/>
      </c>
      <c r="U343" s="93" t="str">
        <f t="shared" ca="1" si="13"/>
        <v/>
      </c>
      <c r="V343" s="187">
        <v>45930.833333333336</v>
      </c>
    </row>
    <row r="344" spans="1:22" s="19" customFormat="1" ht="23.25" x14ac:dyDescent="0.2">
      <c r="A344" s="112"/>
      <c r="B344" s="112"/>
      <c r="C344" s="112" t="str">
        <f>IF(OR(Tabella3[[#This Row],[LUN]]="X",Tabella3[[#This Row],[MAR]]="X",Tabella3[[#This Row],[MER]]="X",Tabella3[[#This Row],[GIO]]="X",Tabella3[[#This Row],[VEN]]="X",),"X","")</f>
        <v/>
      </c>
      <c r="D344" s="113" t="s">
        <v>87</v>
      </c>
      <c r="E344" s="109" t="s">
        <v>2744</v>
      </c>
      <c r="F344" s="109">
        <v>700</v>
      </c>
      <c r="G344" s="109" t="s">
        <v>2745</v>
      </c>
      <c r="H344" s="111"/>
      <c r="I344" s="111"/>
      <c r="J344" s="111"/>
      <c r="K344" s="111"/>
      <c r="L344" s="111"/>
      <c r="M344" s="109" t="s">
        <v>1036</v>
      </c>
      <c r="N344" s="109"/>
      <c r="O344" s="109"/>
      <c r="P344" s="109"/>
      <c r="Q344" s="109"/>
      <c r="R344" s="110"/>
      <c r="S344" s="109"/>
      <c r="T344" s="114" t="str">
        <f ca="1">IF(AND('Inserimento dati'!$B$3=$H$2, Tabella3[[#This Row],[LUN]]="X"), "X",IF(AND('Inserimento dati'!$B$3=$I$2, Tabella3[[#This Row],[MAR]]="X"), "X", IF(AND('Inserimento dati'!$B$3=$J$2, Tabella3[[#This Row],[MER]]="X"), "X",IF(AND('Inserimento dati'!$B$3=$K$2, Tabella3[[#This Row],[GIO]]="X"), "X", IF(AND('Inserimento dati'!$B$3=$L$2, Tabella3[[#This Row],[VEN]]="X"), "X","")))))</f>
        <v/>
      </c>
      <c r="U344" s="93" t="str">
        <f t="shared" ca="1" si="13"/>
        <v>10229568</v>
      </c>
      <c r="V344" s="187">
        <v>45930.833333333336</v>
      </c>
    </row>
    <row r="345" spans="1:22" s="19" customFormat="1" ht="23.25" x14ac:dyDescent="0.2">
      <c r="A345" s="112"/>
      <c r="B345" s="112"/>
      <c r="C345" s="112" t="str">
        <f>IF(OR(Tabella3[[#This Row],[LUN]]="X",Tabella3[[#This Row],[MAR]]="X",Tabella3[[#This Row],[MER]]="X",Tabella3[[#This Row],[GIO]]="X",Tabella3[[#This Row],[VEN]]="X",),"X","")</f>
        <v/>
      </c>
      <c r="D345" s="113" t="s">
        <v>87</v>
      </c>
      <c r="E345" s="109" t="s">
        <v>2770</v>
      </c>
      <c r="F345" s="109">
        <v>800</v>
      </c>
      <c r="G345" s="109" t="s">
        <v>2771</v>
      </c>
      <c r="H345" s="111"/>
      <c r="I345" s="111"/>
      <c r="J345" s="111"/>
      <c r="K345" s="111"/>
      <c r="L345" s="111"/>
      <c r="M345" s="109" t="s">
        <v>1036</v>
      </c>
      <c r="N345" s="109"/>
      <c r="O345" s="109"/>
      <c r="P345" s="109"/>
      <c r="Q345" s="109"/>
      <c r="R345" s="110"/>
      <c r="S345" s="109"/>
      <c r="T345" s="114" t="str">
        <f ca="1">IF(AND('Inserimento dati'!$B$3=$H$2, Tabella3[[#This Row],[LUN]]="X"), "X",IF(AND('Inserimento dati'!$B$3=$I$2, Tabella3[[#This Row],[MAR]]="X"), "X", IF(AND('Inserimento dati'!$B$3=$J$2, Tabella3[[#This Row],[MER]]="X"), "X",IF(AND('Inserimento dati'!$B$3=$K$2, Tabella3[[#This Row],[GIO]]="X"), "X", IF(AND('Inserimento dati'!$B$3=$L$2, Tabella3[[#This Row],[VEN]]="X"), "X","")))))</f>
        <v/>
      </c>
      <c r="U345" s="93" t="str">
        <f t="shared" ca="1" si="13"/>
        <v>10229705</v>
      </c>
      <c r="V345" s="187">
        <v>45930.833333333336</v>
      </c>
    </row>
    <row r="346" spans="1:22" s="19" customFormat="1" ht="23.25" x14ac:dyDescent="0.2">
      <c r="A346" s="112"/>
      <c r="B346" s="112"/>
      <c r="C346" s="112" t="str">
        <f>IF(OR(Tabella3[[#This Row],[LUN]]="X",Tabella3[[#This Row],[MAR]]="X",Tabella3[[#This Row],[MER]]="X",Tabella3[[#This Row],[GIO]]="X",Tabella3[[#This Row],[VEN]]="X",),"X","")</f>
        <v/>
      </c>
      <c r="D346" s="113" t="s">
        <v>87</v>
      </c>
      <c r="E346" s="109" t="s">
        <v>2748</v>
      </c>
      <c r="F346" s="109" t="s">
        <v>1616</v>
      </c>
      <c r="G346" s="109" t="s">
        <v>2749</v>
      </c>
      <c r="H346" s="111"/>
      <c r="I346" s="111"/>
      <c r="J346" s="111"/>
      <c r="K346" s="111"/>
      <c r="L346" s="111"/>
      <c r="M346" s="109" t="s">
        <v>1036</v>
      </c>
      <c r="N346" s="109"/>
      <c r="O346" s="109"/>
      <c r="P346" s="109"/>
      <c r="Q346" s="109"/>
      <c r="R346" s="110"/>
      <c r="S346" s="109"/>
      <c r="T346" s="114" t="str">
        <f ca="1">IF(AND('Inserimento dati'!$B$3=$H$2, Tabella3[[#This Row],[LUN]]="X"), "X",IF(AND('Inserimento dati'!$B$3=$I$2, Tabella3[[#This Row],[MAR]]="X"), "X", IF(AND('Inserimento dati'!$B$3=$J$2, Tabella3[[#This Row],[MER]]="X"), "X",IF(AND('Inserimento dati'!$B$3=$K$2, Tabella3[[#This Row],[GIO]]="X"), "X", IF(AND('Inserimento dati'!$B$3=$L$2, Tabella3[[#This Row],[VEN]]="X"), "X","")))))</f>
        <v/>
      </c>
      <c r="U346" s="93" t="str">
        <f t="shared" ca="1" si="13"/>
        <v>10229589</v>
      </c>
      <c r="V346" s="187">
        <v>45930.833333333336</v>
      </c>
    </row>
    <row r="347" spans="1:22" s="19" customFormat="1" ht="30" x14ac:dyDescent="0.2">
      <c r="A347" s="112"/>
      <c r="B347" s="112"/>
      <c r="C347" s="112" t="str">
        <f>IF(OR(Tabella3[[#This Row],[LUN]]="X",Tabella3[[#This Row],[MAR]]="X",Tabella3[[#This Row],[MER]]="X",Tabella3[[#This Row],[GIO]]="X",Tabella3[[#This Row],[VEN]]="X",),"X","")</f>
        <v/>
      </c>
      <c r="D347" s="113" t="s">
        <v>87</v>
      </c>
      <c r="E347" s="109" t="s">
        <v>2788</v>
      </c>
      <c r="F347" s="109">
        <v>1200</v>
      </c>
      <c r="G347" s="109" t="s">
        <v>2789</v>
      </c>
      <c r="H347" s="111"/>
      <c r="I347" s="111"/>
      <c r="J347" s="111"/>
      <c r="K347" s="111"/>
      <c r="L347" s="111"/>
      <c r="M347" s="109" t="s">
        <v>1036</v>
      </c>
      <c r="N347" s="109"/>
      <c r="O347" s="109"/>
      <c r="P347" s="109"/>
      <c r="Q347" s="109"/>
      <c r="R347" s="110"/>
      <c r="S347" s="109"/>
      <c r="T347" s="114" t="str">
        <f ca="1">IF(AND('Inserimento dati'!$B$3=$H$2, Tabella3[[#This Row],[LUN]]="X"), "X",IF(AND('Inserimento dati'!$B$3=$I$2, Tabella3[[#This Row],[MAR]]="X"), "X", IF(AND('Inserimento dati'!$B$3=$J$2, Tabella3[[#This Row],[MER]]="X"), "X",IF(AND('Inserimento dati'!$B$3=$K$2, Tabella3[[#This Row],[GIO]]="X"), "X", IF(AND('Inserimento dati'!$B$3=$L$2, Tabella3[[#This Row],[VEN]]="X"), "X","")))))</f>
        <v/>
      </c>
      <c r="U347" s="93" t="str">
        <f t="shared" ca="1" si="13"/>
        <v/>
      </c>
      <c r="V347" s="187">
        <v>45930.833333333336</v>
      </c>
    </row>
    <row r="348" spans="1:22" s="19" customFormat="1" ht="30" x14ac:dyDescent="0.2">
      <c r="A348" s="112" t="s">
        <v>23</v>
      </c>
      <c r="B348" s="112"/>
      <c r="C348" s="112" t="str">
        <f>IF(OR(Tabella3[[#This Row],[LUN]]="X",Tabella3[[#This Row],[MAR]]="X",Tabella3[[#This Row],[MER]]="X",Tabella3[[#This Row],[GIO]]="X",Tabella3[[#This Row],[VEN]]="X",),"X","")</f>
        <v/>
      </c>
      <c r="D348" s="113" t="s">
        <v>87</v>
      </c>
      <c r="E348" s="109" t="s">
        <v>2349</v>
      </c>
      <c r="F348" s="109">
        <v>1200</v>
      </c>
      <c r="G348" s="109" t="s">
        <v>2350</v>
      </c>
      <c r="H348" s="111"/>
      <c r="I348" s="111"/>
      <c r="J348" s="111"/>
      <c r="K348" s="111"/>
      <c r="L348" s="111"/>
      <c r="M348" s="109" t="s">
        <v>1036</v>
      </c>
      <c r="N348" s="109"/>
      <c r="O348" s="109"/>
      <c r="P348" s="109"/>
      <c r="Q348" s="109" t="s">
        <v>2562</v>
      </c>
      <c r="R348" s="110"/>
      <c r="S348" s="109"/>
      <c r="T348" s="114" t="str">
        <f ca="1">IF(AND('Inserimento dati'!$B$3=$H$2, Tabella3[[#This Row],[LUN]]="X"), "X",IF(AND('Inserimento dati'!$B$3=$I$2, Tabella3[[#This Row],[MAR]]="X"), "X", IF(AND('Inserimento dati'!$B$3=$J$2, Tabella3[[#This Row],[MER]]="X"), "X",IF(AND('Inserimento dati'!$B$3=$K$2, Tabella3[[#This Row],[GIO]]="X"), "X", IF(AND('Inserimento dati'!$B$3=$L$2, Tabella3[[#This Row],[VEN]]="X"), "X","")))))</f>
        <v/>
      </c>
      <c r="U348" s="93" t="str">
        <f t="shared" ca="1" si="13"/>
        <v/>
      </c>
      <c r="V348" s="187">
        <v>45930.833333333336</v>
      </c>
    </row>
    <row r="349" spans="1:22" s="19" customFormat="1" ht="23.25" x14ac:dyDescent="0.2">
      <c r="A349" s="112"/>
      <c r="B349" s="112"/>
      <c r="C349" s="112" t="str">
        <f>IF(OR(Tabella3[[#This Row],[LUN]]="X",Tabella3[[#This Row],[MAR]]="X",Tabella3[[#This Row],[MER]]="X",Tabella3[[#This Row],[GIO]]="X",Tabella3[[#This Row],[VEN]]="X",),"X","")</f>
        <v/>
      </c>
      <c r="D349" s="113" t="s">
        <v>87</v>
      </c>
      <c r="E349" s="109" t="s">
        <v>2768</v>
      </c>
      <c r="F349" s="109" t="s">
        <v>1616</v>
      </c>
      <c r="G349" s="109" t="s">
        <v>2769</v>
      </c>
      <c r="H349" s="111"/>
      <c r="I349" s="111"/>
      <c r="J349" s="111"/>
      <c r="K349" s="111"/>
      <c r="L349" s="111"/>
      <c r="M349" s="109" t="s">
        <v>1036</v>
      </c>
      <c r="N349" s="109"/>
      <c r="O349" s="109"/>
      <c r="P349" s="109"/>
      <c r="Q349" s="109"/>
      <c r="R349" s="110"/>
      <c r="S349" s="109"/>
      <c r="T349" s="114" t="str">
        <f ca="1">IF(AND('Inserimento dati'!$B$3=$H$2, Tabella3[[#This Row],[LUN]]="X"), "X",IF(AND('Inserimento dati'!$B$3=$I$2, Tabella3[[#This Row],[MAR]]="X"), "X", IF(AND('Inserimento dati'!$B$3=$J$2, Tabella3[[#This Row],[MER]]="X"), "X",IF(AND('Inserimento dati'!$B$3=$K$2, Tabella3[[#This Row],[GIO]]="X"), "X", IF(AND('Inserimento dati'!$B$3=$L$2, Tabella3[[#This Row],[VEN]]="X"), "X","")))))</f>
        <v/>
      </c>
      <c r="U349" s="93" t="str">
        <f t="shared" ca="1" si="13"/>
        <v>10229698</v>
      </c>
      <c r="V349" s="187">
        <v>45930.833333333336</v>
      </c>
    </row>
    <row r="350" spans="1:22" s="19" customFormat="1" ht="30" x14ac:dyDescent="0.2">
      <c r="A350" s="112"/>
      <c r="B350" s="112"/>
      <c r="C350" s="112" t="str">
        <f>IF(OR(Tabella3[[#This Row],[LUN]]="X",Tabella3[[#This Row],[MAR]]="X",Tabella3[[#This Row],[MER]]="X",Tabella3[[#This Row],[GIO]]="X",Tabella3[[#This Row],[VEN]]="X",),"X","")</f>
        <v/>
      </c>
      <c r="D350" s="113" t="s">
        <v>87</v>
      </c>
      <c r="E350" s="109" t="s">
        <v>2713</v>
      </c>
      <c r="F350" s="109">
        <v>1400</v>
      </c>
      <c r="G350" s="109" t="s">
        <v>2714</v>
      </c>
      <c r="H350" s="111"/>
      <c r="I350" s="111"/>
      <c r="J350" s="111"/>
      <c r="K350" s="111"/>
      <c r="L350" s="111"/>
      <c r="M350" s="109" t="s">
        <v>1036</v>
      </c>
      <c r="N350" s="109"/>
      <c r="O350" s="109"/>
      <c r="P350" s="109"/>
      <c r="Q350" s="109" t="s">
        <v>2806</v>
      </c>
      <c r="R350" s="110">
        <v>45903</v>
      </c>
      <c r="S350" s="109" t="s">
        <v>211</v>
      </c>
      <c r="T350" s="114" t="str">
        <f ca="1">IF(AND('Inserimento dati'!$B$3=$H$2, Tabella3[[#This Row],[LUN]]="X"), "X",IF(AND('Inserimento dati'!$B$3=$I$2, Tabella3[[#This Row],[MAR]]="X"), "X", IF(AND('Inserimento dati'!$B$3=$J$2, Tabella3[[#This Row],[MER]]="X"), "X",IF(AND('Inserimento dati'!$B$3=$K$2, Tabella3[[#This Row],[GIO]]="X"), "X", IF(AND('Inserimento dati'!$B$3=$L$2, Tabella3[[#This Row],[VEN]]="X"), "X","")))))</f>
        <v/>
      </c>
      <c r="U350" s="93" t="str">
        <f t="shared" ca="1" si="13"/>
        <v/>
      </c>
      <c r="V350" s="187">
        <v>45930.833333333336</v>
      </c>
    </row>
    <row r="351" spans="1:22" s="19" customFormat="1" ht="23.25" x14ac:dyDescent="0.2">
      <c r="A351" s="112"/>
      <c r="B351" s="112"/>
      <c r="C351" s="112" t="str">
        <f>IF(OR(Tabella3[[#This Row],[LUN]]="X",Tabella3[[#This Row],[MAR]]="X",Tabella3[[#This Row],[MER]]="X",Tabella3[[#This Row],[GIO]]="X",Tabella3[[#This Row],[VEN]]="X",),"X","")</f>
        <v/>
      </c>
      <c r="D351" s="113" t="s">
        <v>87</v>
      </c>
      <c r="E351" s="109" t="s">
        <v>2675</v>
      </c>
      <c r="F351" s="109">
        <v>1200</v>
      </c>
      <c r="G351" s="109" t="s">
        <v>2676</v>
      </c>
      <c r="H351" s="111"/>
      <c r="I351" s="111"/>
      <c r="J351" s="111"/>
      <c r="K351" s="111"/>
      <c r="L351" s="111"/>
      <c r="M351" s="109" t="s">
        <v>1036</v>
      </c>
      <c r="N351" s="109"/>
      <c r="O351" s="109"/>
      <c r="P351" s="109"/>
      <c r="Q351" s="109"/>
      <c r="R351" s="110"/>
      <c r="S351" s="109"/>
      <c r="T351" s="114" t="str">
        <f ca="1">IF(AND('Inserimento dati'!$B$3=$H$2, Tabella3[[#This Row],[LUN]]="X"), "X",IF(AND('Inserimento dati'!$B$3=$I$2, Tabella3[[#This Row],[MAR]]="X"), "X", IF(AND('Inserimento dati'!$B$3=$J$2, Tabella3[[#This Row],[MER]]="X"), "X",IF(AND('Inserimento dati'!$B$3=$K$2, Tabella3[[#This Row],[GIO]]="X"), "X", IF(AND('Inserimento dati'!$B$3=$L$2, Tabella3[[#This Row],[VEN]]="X"), "X","")))))</f>
        <v/>
      </c>
      <c r="U351" s="93" t="str">
        <f t="shared" ca="1" si="13"/>
        <v/>
      </c>
      <c r="V351" s="187">
        <v>45930.833333333336</v>
      </c>
    </row>
    <row r="352" spans="1:22" s="19" customFormat="1" ht="60" x14ac:dyDescent="0.2">
      <c r="A352" s="112"/>
      <c r="B352" s="112"/>
      <c r="C352" s="112" t="str">
        <f>IF(OR(Tabella3[[#This Row],[LUN]]="X",Tabella3[[#This Row],[MAR]]="X",Tabella3[[#This Row],[MER]]="X",Tabella3[[#This Row],[GIO]]="X",Tabella3[[#This Row],[VEN]]="X",),"X","")</f>
        <v/>
      </c>
      <c r="D352" s="113" t="s">
        <v>87</v>
      </c>
      <c r="E352" s="109" t="s">
        <v>2335</v>
      </c>
      <c r="F352" s="109">
        <v>1200</v>
      </c>
      <c r="G352" s="109" t="s">
        <v>2336</v>
      </c>
      <c r="H352" s="111"/>
      <c r="I352" s="111"/>
      <c r="J352" s="111"/>
      <c r="K352" s="111"/>
      <c r="L352" s="111"/>
      <c r="M352" s="109" t="s">
        <v>1036</v>
      </c>
      <c r="N352" s="109"/>
      <c r="O352" s="109"/>
      <c r="P352" s="109"/>
      <c r="Q352" s="109" t="s">
        <v>2507</v>
      </c>
      <c r="R352" s="110">
        <v>45867</v>
      </c>
      <c r="S352" s="109" t="s">
        <v>1074</v>
      </c>
      <c r="T352" s="114" t="str">
        <f ca="1">IF(AND('Inserimento dati'!$B$3=$H$2, Tabella3[[#This Row],[LUN]]="X"), "X",IF(AND('Inserimento dati'!$B$3=$I$2, Tabella3[[#This Row],[MAR]]="X"), "X", IF(AND('Inserimento dati'!$B$3=$J$2, Tabella3[[#This Row],[MER]]="X"), "X",IF(AND('Inserimento dati'!$B$3=$K$2, Tabella3[[#This Row],[GIO]]="X"), "X", IF(AND('Inserimento dati'!$B$3=$L$2, Tabella3[[#This Row],[VEN]]="X"), "X","")))))</f>
        <v/>
      </c>
      <c r="U352" s="93" t="str">
        <f t="shared" ca="1" si="13"/>
        <v/>
      </c>
      <c r="V352" s="187">
        <v>45930.833333333336</v>
      </c>
    </row>
    <row r="353" spans="1:22" s="19" customFormat="1" ht="23.25" x14ac:dyDescent="0.2">
      <c r="A353" s="112"/>
      <c r="B353" s="112"/>
      <c r="C353" s="112" t="str">
        <f>IF(OR(Tabella3[[#This Row],[LUN]]="X",Tabella3[[#This Row],[MAR]]="X",Tabella3[[#This Row],[MER]]="X",Tabella3[[#This Row],[GIO]]="X",Tabella3[[#This Row],[VEN]]="X",),"X","")</f>
        <v/>
      </c>
      <c r="D353" s="113" t="s">
        <v>87</v>
      </c>
      <c r="E353" s="109" t="s">
        <v>2870</v>
      </c>
      <c r="F353" s="109">
        <v>700</v>
      </c>
      <c r="G353" s="109" t="s">
        <v>2871</v>
      </c>
      <c r="H353" s="111"/>
      <c r="I353" s="111"/>
      <c r="J353" s="111"/>
      <c r="K353" s="111"/>
      <c r="L353" s="111"/>
      <c r="M353" s="109" t="s">
        <v>1036</v>
      </c>
      <c r="N353" s="109"/>
      <c r="O353" s="109"/>
      <c r="P353" s="109"/>
      <c r="Q353" s="109"/>
      <c r="R353" s="110"/>
      <c r="S353" s="109"/>
      <c r="T353" s="114" t="str">
        <f ca="1">IF(AND('Inserimento dati'!$B$3=$H$2, Tabella3[[#This Row],[LUN]]="X"), "X",IF(AND('Inserimento dati'!$B$3=$I$2, Tabella3[[#This Row],[MAR]]="X"), "X", IF(AND('Inserimento dati'!$B$3=$J$2, Tabella3[[#This Row],[MER]]="X"), "X",IF(AND('Inserimento dati'!$B$3=$K$2, Tabella3[[#This Row],[GIO]]="X"), "X", IF(AND('Inserimento dati'!$B$3=$L$2, Tabella3[[#This Row],[VEN]]="X"), "X","")))))</f>
        <v/>
      </c>
      <c r="U353" s="93" t="str">
        <f t="shared" ca="1" si="13"/>
        <v/>
      </c>
      <c r="V353" s="187">
        <v>45930.833333333336</v>
      </c>
    </row>
    <row r="354" spans="1:22" s="19" customFormat="1" ht="23.25" x14ac:dyDescent="0.2">
      <c r="A354" s="112"/>
      <c r="B354" s="112"/>
      <c r="C354" s="112" t="str">
        <f>IF(OR(Tabella3[[#This Row],[LUN]]="X",Tabella3[[#This Row],[MAR]]="X",Tabella3[[#This Row],[MER]]="X",Tabella3[[#This Row],[GIO]]="X",Tabella3[[#This Row],[VEN]]="X",),"X","")</f>
        <v/>
      </c>
      <c r="D354" s="113" t="s">
        <v>87</v>
      </c>
      <c r="E354" s="109" t="s">
        <v>2825</v>
      </c>
      <c r="F354" s="109">
        <v>700</v>
      </c>
      <c r="G354" s="109" t="s">
        <v>2826</v>
      </c>
      <c r="H354" s="111"/>
      <c r="I354" s="111"/>
      <c r="J354" s="111"/>
      <c r="K354" s="111"/>
      <c r="L354" s="111"/>
      <c r="M354" s="109" t="s">
        <v>1036</v>
      </c>
      <c r="N354" s="109"/>
      <c r="O354" s="109"/>
      <c r="P354" s="109"/>
      <c r="Q354" s="109" t="s">
        <v>2843</v>
      </c>
      <c r="R354" s="110">
        <v>45905</v>
      </c>
      <c r="S354" s="109" t="s">
        <v>211</v>
      </c>
      <c r="T354" s="114" t="str">
        <f ca="1">IF(AND('Inserimento dati'!$B$3=$H$2, Tabella3[[#This Row],[LUN]]="X"), "X",IF(AND('Inserimento dati'!$B$3=$I$2, Tabella3[[#This Row],[MAR]]="X"), "X", IF(AND('Inserimento dati'!$B$3=$J$2, Tabella3[[#This Row],[MER]]="X"), "X",IF(AND('Inserimento dati'!$B$3=$K$2, Tabella3[[#This Row],[GIO]]="X"), "X", IF(AND('Inserimento dati'!$B$3=$L$2, Tabella3[[#This Row],[VEN]]="X"), "X","")))))</f>
        <v/>
      </c>
      <c r="U354" s="93" t="str">
        <f t="shared" ca="1" si="13"/>
        <v/>
      </c>
      <c r="V354" s="187">
        <v>45930.833333333336</v>
      </c>
    </row>
    <row r="355" spans="1:22" s="19" customFormat="1" ht="23.25" x14ac:dyDescent="0.2">
      <c r="A355" s="112"/>
      <c r="B355" s="112"/>
      <c r="C355" s="112" t="str">
        <f>IF(OR(Tabella3[[#This Row],[LUN]]="X",Tabella3[[#This Row],[MAR]]="X",Tabella3[[#This Row],[MER]]="X",Tabella3[[#This Row],[GIO]]="X",Tabella3[[#This Row],[VEN]]="X",),"X","")</f>
        <v/>
      </c>
      <c r="D355" s="113" t="s">
        <v>87</v>
      </c>
      <c r="E355" s="109" t="s">
        <v>2867</v>
      </c>
      <c r="F355" s="109">
        <v>1200</v>
      </c>
      <c r="G355" s="109" t="s">
        <v>2868</v>
      </c>
      <c r="H355" s="111"/>
      <c r="I355" s="111"/>
      <c r="J355" s="111"/>
      <c r="K355" s="111"/>
      <c r="L355" s="111"/>
      <c r="M355" s="109" t="s">
        <v>1036</v>
      </c>
      <c r="N355" s="109"/>
      <c r="O355" s="109"/>
      <c r="P355" s="109"/>
      <c r="Q355" s="109"/>
      <c r="R355" s="110"/>
      <c r="S355" s="109"/>
      <c r="T355" s="114" t="str">
        <f ca="1">IF(AND('Inserimento dati'!$B$3=$H$2, Tabella3[[#This Row],[LUN]]="X"), "X",IF(AND('Inserimento dati'!$B$3=$I$2, Tabella3[[#This Row],[MAR]]="X"), "X", IF(AND('Inserimento dati'!$B$3=$J$2, Tabella3[[#This Row],[MER]]="X"), "X",IF(AND('Inserimento dati'!$B$3=$K$2, Tabella3[[#This Row],[GIO]]="X"), "X", IF(AND('Inserimento dati'!$B$3=$L$2, Tabella3[[#This Row],[VEN]]="X"), "X","")))))</f>
        <v/>
      </c>
      <c r="U355" s="93" t="str">
        <f t="shared" ca="1" si="13"/>
        <v>10230078</v>
      </c>
      <c r="V355" s="187">
        <v>45930.833333333336</v>
      </c>
    </row>
    <row r="356" spans="1:22" s="19" customFormat="1" ht="30" x14ac:dyDescent="0.2">
      <c r="A356" s="112"/>
      <c r="B356" s="112"/>
      <c r="C356" s="112" t="str">
        <f>IF(OR(Tabella3[[#This Row],[LUN]]="X",Tabella3[[#This Row],[MAR]]="X",Tabella3[[#This Row],[MER]]="X",Tabella3[[#This Row],[GIO]]="X",Tabella3[[#This Row],[VEN]]="X",),"X","")</f>
        <v/>
      </c>
      <c r="D356" s="113" t="s">
        <v>87</v>
      </c>
      <c r="E356" s="109" t="s">
        <v>2890</v>
      </c>
      <c r="F356" s="109">
        <v>2400</v>
      </c>
      <c r="G356" s="109" t="s">
        <v>2891</v>
      </c>
      <c r="H356" s="111"/>
      <c r="I356" s="111"/>
      <c r="J356" s="111"/>
      <c r="K356" s="111"/>
      <c r="L356" s="111"/>
      <c r="M356" s="109" t="s">
        <v>1036</v>
      </c>
      <c r="N356" s="109"/>
      <c r="O356" s="109"/>
      <c r="P356" s="109"/>
      <c r="Q356" s="109" t="s">
        <v>2934</v>
      </c>
      <c r="R356" s="110">
        <v>45911</v>
      </c>
      <c r="S356" s="109" t="s">
        <v>1074</v>
      </c>
      <c r="T356" s="114" t="str">
        <f ca="1">IF(AND('Inserimento dati'!$B$3=$H$2, Tabella3[[#This Row],[LUN]]="X"), "X",IF(AND('Inserimento dati'!$B$3=$I$2, Tabella3[[#This Row],[MAR]]="X"), "X", IF(AND('Inserimento dati'!$B$3=$J$2, Tabella3[[#This Row],[MER]]="X"), "X",IF(AND('Inserimento dati'!$B$3=$K$2, Tabella3[[#This Row],[GIO]]="X"), "X", IF(AND('Inserimento dati'!$B$3=$L$2, Tabella3[[#This Row],[VEN]]="X"), "X","")))))</f>
        <v/>
      </c>
      <c r="U356" s="93" t="str">
        <f t="shared" ca="1" si="13"/>
        <v/>
      </c>
      <c r="V356" s="187">
        <v>45930.833333333336</v>
      </c>
    </row>
    <row r="357" spans="1:22" s="19" customFormat="1" ht="23.25" x14ac:dyDescent="0.2">
      <c r="A357" s="112"/>
      <c r="B357" s="112"/>
      <c r="C357" s="112" t="str">
        <f>IF(OR(Tabella3[[#This Row],[LUN]]="X",Tabella3[[#This Row],[MAR]]="X",Tabella3[[#This Row],[MER]]="X",Tabella3[[#This Row],[GIO]]="X",Tabella3[[#This Row],[VEN]]="X",),"X","")</f>
        <v/>
      </c>
      <c r="D357" s="113" t="s">
        <v>87</v>
      </c>
      <c r="E357" s="109" t="s">
        <v>2953</v>
      </c>
      <c r="F357" s="109">
        <v>1200</v>
      </c>
      <c r="G357" s="109" t="s">
        <v>2965</v>
      </c>
      <c r="H357" s="111"/>
      <c r="I357" s="111"/>
      <c r="J357" s="111"/>
      <c r="K357" s="111"/>
      <c r="L357" s="111"/>
      <c r="M357" s="109" t="s">
        <v>1036</v>
      </c>
      <c r="N357" s="109"/>
      <c r="O357" s="109"/>
      <c r="P357" s="109"/>
      <c r="Q357" s="109"/>
      <c r="R357" s="110"/>
      <c r="S357" s="109"/>
      <c r="T357" s="114" t="str">
        <f ca="1">IF(AND('Inserimento dati'!$B$3=$H$2, Tabella3[[#This Row],[LUN]]="X"), "X",IF(AND('Inserimento dati'!$B$3=$I$2, Tabella3[[#This Row],[MAR]]="X"), "X", IF(AND('Inserimento dati'!$B$3=$J$2, Tabella3[[#This Row],[MER]]="X"), "X",IF(AND('Inserimento dati'!$B$3=$K$2, Tabella3[[#This Row],[GIO]]="X"), "X", IF(AND('Inserimento dati'!$B$3=$L$2, Tabella3[[#This Row],[VEN]]="X"), "X","")))))</f>
        <v/>
      </c>
      <c r="U357" s="93"/>
      <c r="V357" s="187">
        <v>45930.833333333336</v>
      </c>
    </row>
    <row r="358" spans="1:22" s="19" customFormat="1" ht="23.25" x14ac:dyDescent="0.2">
      <c r="A358" s="112"/>
      <c r="B358" s="112"/>
      <c r="C358" s="112" t="str">
        <f>IF(OR(Tabella3[[#This Row],[LUN]]="X",Tabella3[[#This Row],[MAR]]="X",Tabella3[[#This Row],[MER]]="X",Tabella3[[#This Row],[GIO]]="X",Tabella3[[#This Row],[VEN]]="X",),"X","")</f>
        <v/>
      </c>
      <c r="D358" s="113" t="s">
        <v>87</v>
      </c>
      <c r="E358" s="109" t="s">
        <v>2944</v>
      </c>
      <c r="F358" s="109">
        <v>1200</v>
      </c>
      <c r="G358" s="109" t="s">
        <v>2945</v>
      </c>
      <c r="H358" s="111"/>
      <c r="I358" s="111"/>
      <c r="J358" s="111"/>
      <c r="K358" s="111"/>
      <c r="L358" s="111"/>
      <c r="M358" s="109" t="s">
        <v>1036</v>
      </c>
      <c r="N358" s="109"/>
      <c r="O358" s="109"/>
      <c r="P358" s="109"/>
      <c r="Q358" s="109"/>
      <c r="R358" s="110"/>
      <c r="S358" s="109"/>
      <c r="T358" s="114" t="str">
        <f ca="1">IF(AND('Inserimento dati'!$B$3=$H$2, Tabella3[[#This Row],[LUN]]="X"), "X",IF(AND('Inserimento dati'!$B$3=$I$2, Tabella3[[#This Row],[MAR]]="X"), "X", IF(AND('Inserimento dati'!$B$3=$J$2, Tabella3[[#This Row],[MER]]="X"), "X",IF(AND('Inserimento dati'!$B$3=$K$2, Tabella3[[#This Row],[GIO]]="X"), "X", IF(AND('Inserimento dati'!$B$3=$L$2, Tabella3[[#This Row],[VEN]]="X"), "X","")))))</f>
        <v/>
      </c>
      <c r="U358" s="93"/>
      <c r="V358" s="187">
        <v>45930.833333333336</v>
      </c>
    </row>
    <row r="359" spans="1:22" s="19" customFormat="1" ht="30" x14ac:dyDescent="0.2">
      <c r="A359" s="112"/>
      <c r="B359" s="112"/>
      <c r="C359" s="112" t="str">
        <f>IF(OR(Tabella3[[#This Row],[LUN]]="X",Tabella3[[#This Row],[MAR]]="X",Tabella3[[#This Row],[MER]]="X",Tabella3[[#This Row],[GIO]]="X",Tabella3[[#This Row],[VEN]]="X",),"X","")</f>
        <v/>
      </c>
      <c r="D359" s="113" t="s">
        <v>87</v>
      </c>
      <c r="E359" s="109" t="s">
        <v>2863</v>
      </c>
      <c r="F359" s="109">
        <v>800</v>
      </c>
      <c r="G359" s="109" t="s">
        <v>2864</v>
      </c>
      <c r="H359" s="111"/>
      <c r="I359" s="111"/>
      <c r="J359" s="111"/>
      <c r="K359" s="111"/>
      <c r="L359" s="111"/>
      <c r="M359" s="109" t="s">
        <v>1036</v>
      </c>
      <c r="N359" s="109"/>
      <c r="O359" s="109"/>
      <c r="P359" s="109"/>
      <c r="Q359" s="109" t="s">
        <v>2927</v>
      </c>
      <c r="R359" s="110">
        <v>45910</v>
      </c>
      <c r="S359" s="109" t="s">
        <v>1074</v>
      </c>
      <c r="T359" s="114" t="str">
        <f ca="1">IF(AND('Inserimento dati'!$B$3=$H$2, Tabella3[[#This Row],[LUN]]="X"), "X",IF(AND('Inserimento dati'!$B$3=$I$2, Tabella3[[#This Row],[MAR]]="X"), "X", IF(AND('Inserimento dati'!$B$3=$J$2, Tabella3[[#This Row],[MER]]="X"), "X",IF(AND('Inserimento dati'!$B$3=$K$2, Tabella3[[#This Row],[GIO]]="X"), "X", IF(AND('Inserimento dati'!$B$3=$L$2, Tabella3[[#This Row],[VEN]]="X"), "X","")))))</f>
        <v/>
      </c>
      <c r="U359" s="93" t="str">
        <f ca="1">IFERROR(MID(G359,_xlfn.AGGREGATE(15,6,(ROW(INDIRECT("1:"&amp;LEN(G359)-7)))/(ISNUMBER(--MID(G359,ROW(INDIRECT("1:"&amp;LEN(G359)-7)),8))),1),8),"")</f>
        <v/>
      </c>
      <c r="V359" s="187">
        <v>45930.833333333336</v>
      </c>
    </row>
    <row r="360" spans="1:22" s="19" customFormat="1" ht="23.25" x14ac:dyDescent="0.2">
      <c r="A360" s="112"/>
      <c r="B360" s="112"/>
      <c r="C360" s="112" t="str">
        <f>IF(OR(Tabella3[[#This Row],[LUN]]="X",Tabella3[[#This Row],[MAR]]="X",Tabella3[[#This Row],[MER]]="X",Tabella3[[#This Row],[GIO]]="X",Tabella3[[#This Row],[VEN]]="X",),"X","")</f>
        <v/>
      </c>
      <c r="D360" s="113" t="s">
        <v>87</v>
      </c>
      <c r="E360" s="109" t="s">
        <v>2957</v>
      </c>
      <c r="F360" s="109">
        <v>1200</v>
      </c>
      <c r="G360" s="109" t="s">
        <v>2958</v>
      </c>
      <c r="H360" s="111"/>
      <c r="I360" s="111"/>
      <c r="J360" s="111"/>
      <c r="K360" s="111"/>
      <c r="L360" s="111"/>
      <c r="M360" s="109" t="s">
        <v>1036</v>
      </c>
      <c r="N360" s="109"/>
      <c r="O360" s="109"/>
      <c r="P360" s="109"/>
      <c r="Q360" s="109"/>
      <c r="R360" s="110"/>
      <c r="S360" s="109"/>
      <c r="T360" s="114" t="str">
        <f ca="1">IF(AND('Inserimento dati'!$B$3=$H$2, Tabella3[[#This Row],[LUN]]="X"), "X",IF(AND('Inserimento dati'!$B$3=$I$2, Tabella3[[#This Row],[MAR]]="X"), "X", IF(AND('Inserimento dati'!$B$3=$J$2, Tabella3[[#This Row],[MER]]="X"), "X",IF(AND('Inserimento dati'!$B$3=$K$2, Tabella3[[#This Row],[GIO]]="X"), "X", IF(AND('Inserimento dati'!$B$3=$L$2, Tabella3[[#This Row],[VEN]]="X"), "X","")))))</f>
        <v/>
      </c>
      <c r="U360" s="93"/>
      <c r="V360" s="187">
        <v>45930.833333333336</v>
      </c>
    </row>
    <row r="361" spans="1:22" s="19" customFormat="1" ht="30" x14ac:dyDescent="0.2">
      <c r="A361" s="112"/>
      <c r="B361" s="112"/>
      <c r="C361" s="112" t="str">
        <f>IF(OR(Tabella3[[#This Row],[LUN]]="X",Tabella3[[#This Row],[MAR]]="X",Tabella3[[#This Row],[MER]]="X",Tabella3[[#This Row],[GIO]]="X",Tabella3[[#This Row],[VEN]]="X",),"X","")</f>
        <v/>
      </c>
      <c r="D361" s="113" t="s">
        <v>87</v>
      </c>
      <c r="E361" s="109" t="s">
        <v>2961</v>
      </c>
      <c r="F361" s="109">
        <v>1200</v>
      </c>
      <c r="G361" s="109" t="s">
        <v>2962</v>
      </c>
      <c r="H361" s="111"/>
      <c r="I361" s="111"/>
      <c r="J361" s="111"/>
      <c r="K361" s="111"/>
      <c r="L361" s="111"/>
      <c r="M361" s="109" t="s">
        <v>1036</v>
      </c>
      <c r="N361" s="109"/>
      <c r="O361" s="109"/>
      <c r="P361" s="109"/>
      <c r="Q361" s="109"/>
      <c r="R361" s="110"/>
      <c r="S361" s="109"/>
      <c r="T361" s="114" t="str">
        <f ca="1">IF(AND('Inserimento dati'!$B$3=$H$2, Tabella3[[#This Row],[LUN]]="X"), "X",IF(AND('Inserimento dati'!$B$3=$I$2, Tabella3[[#This Row],[MAR]]="X"), "X", IF(AND('Inserimento dati'!$B$3=$J$2, Tabella3[[#This Row],[MER]]="X"), "X",IF(AND('Inserimento dati'!$B$3=$K$2, Tabella3[[#This Row],[GIO]]="X"), "X", IF(AND('Inserimento dati'!$B$3=$L$2, Tabella3[[#This Row],[VEN]]="X"), "X","")))))</f>
        <v/>
      </c>
      <c r="U361" s="93"/>
      <c r="V361" s="187">
        <v>45930.833333333336</v>
      </c>
    </row>
    <row r="362" spans="1:22" s="19" customFormat="1" ht="30" x14ac:dyDescent="0.2">
      <c r="A362" s="112"/>
      <c r="B362" s="112"/>
      <c r="C362" s="112" t="str">
        <f>IF(OR(Tabella3[[#This Row],[LUN]]="X",Tabella3[[#This Row],[MAR]]="X",Tabella3[[#This Row],[MER]]="X",Tabella3[[#This Row],[GIO]]="X",Tabella3[[#This Row],[VEN]]="X",),"X","")</f>
        <v/>
      </c>
      <c r="D362" s="113" t="s">
        <v>87</v>
      </c>
      <c r="E362" s="109" t="s">
        <v>2963</v>
      </c>
      <c r="F362" s="109">
        <v>1200</v>
      </c>
      <c r="G362" s="109" t="s">
        <v>2964</v>
      </c>
      <c r="H362" s="111"/>
      <c r="I362" s="111"/>
      <c r="J362" s="111"/>
      <c r="K362" s="111"/>
      <c r="L362" s="111"/>
      <c r="M362" s="109" t="s">
        <v>1036</v>
      </c>
      <c r="N362" s="109"/>
      <c r="O362" s="109"/>
      <c r="P362" s="109"/>
      <c r="Q362" s="109"/>
      <c r="R362" s="110"/>
      <c r="S362" s="109"/>
      <c r="T362" s="114" t="str">
        <f ca="1">IF(AND('Inserimento dati'!$B$3=$H$2, Tabella3[[#This Row],[LUN]]="X"), "X",IF(AND('Inserimento dati'!$B$3=$I$2, Tabella3[[#This Row],[MAR]]="X"), "X", IF(AND('Inserimento dati'!$B$3=$J$2, Tabella3[[#This Row],[MER]]="X"), "X",IF(AND('Inserimento dati'!$B$3=$K$2, Tabella3[[#This Row],[GIO]]="X"), "X", IF(AND('Inserimento dati'!$B$3=$L$2, Tabella3[[#This Row],[VEN]]="X"), "X","")))))</f>
        <v/>
      </c>
      <c r="U362" s="93"/>
      <c r="V362" s="187">
        <v>45930.833333333336</v>
      </c>
    </row>
    <row r="363" spans="1:22" s="19" customFormat="1" ht="23.25" x14ac:dyDescent="0.2">
      <c r="A363" s="112"/>
      <c r="B363" s="112"/>
      <c r="C363" s="112" t="str">
        <f>IF(OR(Tabella3[[#This Row],[LUN]]="X",Tabella3[[#This Row],[MAR]]="X",Tabella3[[#This Row],[MER]]="X",Tabella3[[#This Row],[GIO]]="X",Tabella3[[#This Row],[VEN]]="X",),"X","")</f>
        <v/>
      </c>
      <c r="D363" s="113" t="s">
        <v>87</v>
      </c>
      <c r="E363" s="109" t="s">
        <v>2959</v>
      </c>
      <c r="F363" s="109">
        <v>1200</v>
      </c>
      <c r="G363" s="109" t="s">
        <v>2960</v>
      </c>
      <c r="H363" s="111"/>
      <c r="I363" s="111"/>
      <c r="J363" s="111"/>
      <c r="K363" s="111"/>
      <c r="L363" s="111"/>
      <c r="M363" s="109" t="s">
        <v>1036</v>
      </c>
      <c r="N363" s="109"/>
      <c r="O363" s="109"/>
      <c r="P363" s="109"/>
      <c r="Q363" s="109"/>
      <c r="R363" s="110"/>
      <c r="S363" s="109"/>
      <c r="T363" s="114" t="str">
        <f ca="1">IF(AND('Inserimento dati'!$B$3=$H$2, Tabella3[[#This Row],[LUN]]="X"), "X",IF(AND('Inserimento dati'!$B$3=$I$2, Tabella3[[#This Row],[MAR]]="X"), "X", IF(AND('Inserimento dati'!$B$3=$J$2, Tabella3[[#This Row],[MER]]="X"), "X",IF(AND('Inserimento dati'!$B$3=$K$2, Tabella3[[#This Row],[GIO]]="X"), "X", IF(AND('Inserimento dati'!$B$3=$L$2, Tabella3[[#This Row],[VEN]]="X"), "X","")))))</f>
        <v/>
      </c>
      <c r="U363" s="93"/>
      <c r="V363" s="187">
        <v>45930.833333333336</v>
      </c>
    </row>
    <row r="364" spans="1:22" s="19" customFormat="1" ht="165" x14ac:dyDescent="0.2">
      <c r="A364" s="112"/>
      <c r="B364" s="112"/>
      <c r="C364" s="112" t="str">
        <f>IF(OR(Tabella3[[#This Row],[LUN]]="X",Tabella3[[#This Row],[MAR]]="X",Tabella3[[#This Row],[MER]]="X",Tabella3[[#This Row],[GIO]]="X",Tabella3[[#This Row],[VEN]]="X",),"X","")</f>
        <v/>
      </c>
      <c r="D364" s="113" t="s">
        <v>87</v>
      </c>
      <c r="E364" s="109" t="s">
        <v>2940</v>
      </c>
      <c r="F364" s="109" t="s">
        <v>114</v>
      </c>
      <c r="G364" s="109" t="s">
        <v>2941</v>
      </c>
      <c r="H364" s="111"/>
      <c r="I364" s="111"/>
      <c r="J364" s="111"/>
      <c r="K364" s="111"/>
      <c r="L364" s="111"/>
      <c r="M364" s="109" t="s">
        <v>1036</v>
      </c>
      <c r="N364" s="109"/>
      <c r="O364" s="109"/>
      <c r="P364" s="109"/>
      <c r="Q364" s="109" t="s">
        <v>2986</v>
      </c>
      <c r="R364" s="110">
        <v>45916</v>
      </c>
      <c r="S364" s="109" t="s">
        <v>239</v>
      </c>
      <c r="T364" s="114" t="str">
        <f ca="1">IF(AND('Inserimento dati'!$B$3=$H$2, Tabella3[[#This Row],[LUN]]="X"), "X",IF(AND('Inserimento dati'!$B$3=$I$2, Tabella3[[#This Row],[MAR]]="X"), "X", IF(AND('Inserimento dati'!$B$3=$J$2, Tabella3[[#This Row],[MER]]="X"), "X",IF(AND('Inserimento dati'!$B$3=$K$2, Tabella3[[#This Row],[GIO]]="X"), "X", IF(AND('Inserimento dati'!$B$3=$L$2, Tabella3[[#This Row],[VEN]]="X"), "X","")))))</f>
        <v/>
      </c>
      <c r="U364" s="93"/>
      <c r="V364" s="187">
        <v>45930.833333333336</v>
      </c>
    </row>
    <row r="365" spans="1:22" s="19" customFormat="1" ht="30" x14ac:dyDescent="0.2">
      <c r="A365" s="112"/>
      <c r="B365" s="112"/>
      <c r="C365" s="112" t="str">
        <f>IF(OR(Tabella3[[#This Row],[LUN]]="X",Tabella3[[#This Row],[MAR]]="X",Tabella3[[#This Row],[MER]]="X",Tabella3[[#This Row],[GIO]]="X",Tabella3[[#This Row],[VEN]]="X",),"X","")</f>
        <v/>
      </c>
      <c r="D365" s="113" t="s">
        <v>87</v>
      </c>
      <c r="E365" s="109" t="s">
        <v>2999</v>
      </c>
      <c r="F365" s="109">
        <v>700</v>
      </c>
      <c r="G365" s="109" t="s">
        <v>3000</v>
      </c>
      <c r="H365" s="111"/>
      <c r="I365" s="111"/>
      <c r="J365" s="111"/>
      <c r="K365" s="111"/>
      <c r="L365" s="111"/>
      <c r="M365" s="109" t="s">
        <v>1036</v>
      </c>
      <c r="N365" s="109"/>
      <c r="O365" s="109"/>
      <c r="P365" s="109"/>
      <c r="Q365" s="109" t="s">
        <v>3018</v>
      </c>
      <c r="R365" s="110">
        <v>45918</v>
      </c>
      <c r="S365" s="109" t="s">
        <v>239</v>
      </c>
      <c r="T365" s="114" t="str">
        <f ca="1">IF(AND('Inserimento dati'!$B$3=$H$2, Tabella3[[#This Row],[LUN]]="X"), "X",IF(AND('Inserimento dati'!$B$3=$I$2, Tabella3[[#This Row],[MAR]]="X"), "X", IF(AND('Inserimento dati'!$B$3=$J$2, Tabella3[[#This Row],[MER]]="X"), "X",IF(AND('Inserimento dati'!$B$3=$K$2, Tabella3[[#This Row],[GIO]]="X"), "X", IF(AND('Inserimento dati'!$B$3=$L$2, Tabella3[[#This Row],[VEN]]="X"), "X","")))))</f>
        <v/>
      </c>
      <c r="U365" s="93"/>
      <c r="V365" s="187">
        <v>45930.833333333336</v>
      </c>
    </row>
    <row r="366" spans="1:22" s="19" customFormat="1" ht="23.25" x14ac:dyDescent="0.2">
      <c r="A366" s="112"/>
      <c r="B366" s="112"/>
      <c r="C366" s="112" t="str">
        <f>IF(OR(Tabella3[[#This Row],[LUN]]="X",Tabella3[[#This Row],[MAR]]="X",Tabella3[[#This Row],[MER]]="X",Tabella3[[#This Row],[GIO]]="X",Tabella3[[#This Row],[VEN]]="X",),"X","")</f>
        <v/>
      </c>
      <c r="D366" s="113" t="s">
        <v>87</v>
      </c>
      <c r="E366" s="109" t="s">
        <v>2956</v>
      </c>
      <c r="F366" s="109">
        <v>1200</v>
      </c>
      <c r="G366" s="109" t="s">
        <v>3051</v>
      </c>
      <c r="H366" s="111"/>
      <c r="I366" s="111"/>
      <c r="J366" s="111"/>
      <c r="K366" s="111"/>
      <c r="L366" s="111"/>
      <c r="M366" s="109" t="s">
        <v>1036</v>
      </c>
      <c r="N366" s="109"/>
      <c r="O366" s="109"/>
      <c r="P366" s="109"/>
      <c r="Q366" s="109"/>
      <c r="R366" s="110"/>
      <c r="S366" s="109"/>
      <c r="T366" s="114" t="str">
        <f ca="1">IF(AND('Inserimento dati'!$B$3=$H$2, Tabella3[[#This Row],[LUN]]="X"), "X",IF(AND('Inserimento dati'!$B$3=$I$2, Tabella3[[#This Row],[MAR]]="X"), "X", IF(AND('Inserimento dati'!$B$3=$J$2, Tabella3[[#This Row],[MER]]="X"), "X",IF(AND('Inserimento dati'!$B$3=$K$2, Tabella3[[#This Row],[GIO]]="X"), "X", IF(AND('Inserimento dati'!$B$3=$L$2, Tabella3[[#This Row],[VEN]]="X"), "X","")))))</f>
        <v/>
      </c>
      <c r="U366" s="93"/>
      <c r="V366" s="187">
        <v>45930.833333333336</v>
      </c>
    </row>
    <row r="367" spans="1:22" s="19" customFormat="1" ht="30" x14ac:dyDescent="0.2">
      <c r="A367" s="112"/>
      <c r="B367" s="112"/>
      <c r="C367" s="112" t="str">
        <f>IF(OR(Tabella3[[#This Row],[LUN]]="X",Tabella3[[#This Row],[MAR]]="X",Tabella3[[#This Row],[MER]]="X",Tabella3[[#This Row],[GIO]]="X",Tabella3[[#This Row],[VEN]]="X",),"X","")</f>
        <v/>
      </c>
      <c r="D367" s="113" t="s">
        <v>87</v>
      </c>
      <c r="E367" s="109" t="s">
        <v>3029</v>
      </c>
      <c r="F367" s="109" t="s">
        <v>1616</v>
      </c>
      <c r="G367" s="109" t="s">
        <v>3030</v>
      </c>
      <c r="H367" s="111"/>
      <c r="I367" s="111"/>
      <c r="J367" s="111"/>
      <c r="K367" s="111"/>
      <c r="L367" s="111"/>
      <c r="M367" s="109" t="s">
        <v>1036</v>
      </c>
      <c r="N367" s="109"/>
      <c r="O367" s="109"/>
      <c r="P367" s="109"/>
      <c r="Q367" s="109" t="s">
        <v>3063</v>
      </c>
      <c r="R367" s="110">
        <v>45924</v>
      </c>
      <c r="S367" s="109" t="s">
        <v>211</v>
      </c>
      <c r="T367" s="114" t="str">
        <f ca="1">IF(AND('Inserimento dati'!$B$3=$H$2, Tabella3[[#This Row],[LUN]]="X"), "X",IF(AND('Inserimento dati'!$B$3=$I$2, Tabella3[[#This Row],[MAR]]="X"), "X", IF(AND('Inserimento dati'!$B$3=$J$2, Tabella3[[#This Row],[MER]]="X"), "X",IF(AND('Inserimento dati'!$B$3=$K$2, Tabella3[[#This Row],[GIO]]="X"), "X", IF(AND('Inserimento dati'!$B$3=$L$2, Tabella3[[#This Row],[VEN]]="X"), "X","")))))</f>
        <v/>
      </c>
      <c r="U367" s="93"/>
      <c r="V367" s="187">
        <v>45930.833333333336</v>
      </c>
    </row>
    <row r="368" spans="1:22" s="19" customFormat="1" ht="45" x14ac:dyDescent="0.2">
      <c r="A368" s="112"/>
      <c r="B368" s="112"/>
      <c r="C368" s="112" t="str">
        <f>IF(OR(Tabella3[[#This Row],[LUN]]="X",Tabella3[[#This Row],[MAR]]="X",Tabella3[[#This Row],[MER]]="X",Tabella3[[#This Row],[GIO]]="X",Tabella3[[#This Row],[VEN]]="X",),"X","")</f>
        <v/>
      </c>
      <c r="D368" s="113" t="s">
        <v>87</v>
      </c>
      <c r="E368" s="109" t="s">
        <v>3123</v>
      </c>
      <c r="F368" s="109">
        <v>1200</v>
      </c>
      <c r="G368" s="109" t="s">
        <v>3124</v>
      </c>
      <c r="H368" s="111"/>
      <c r="I368" s="111"/>
      <c r="J368" s="111"/>
      <c r="K368" s="111"/>
      <c r="L368" s="111"/>
      <c r="M368" s="109" t="s">
        <v>1036</v>
      </c>
      <c r="N368" s="109"/>
      <c r="O368" s="109"/>
      <c r="P368" s="109"/>
      <c r="Q368" s="109"/>
      <c r="R368" s="110"/>
      <c r="S368" s="109"/>
      <c r="T368" s="114" t="str">
        <f ca="1">IF(AND('Inserimento dati'!$B$3=$H$2, Tabella3[[#This Row],[LUN]]="X"), "X",IF(AND('Inserimento dati'!$B$3=$I$2, Tabella3[[#This Row],[MAR]]="X"), "X", IF(AND('Inserimento dati'!$B$3=$J$2, Tabella3[[#This Row],[MER]]="X"), "X",IF(AND('Inserimento dati'!$B$3=$K$2, Tabella3[[#This Row],[GIO]]="X"), "X", IF(AND('Inserimento dati'!$B$3=$L$2, Tabella3[[#This Row],[VEN]]="X"), "X","")))))</f>
        <v/>
      </c>
      <c r="U368" s="93"/>
      <c r="V368" s="187">
        <v>45930.833333333336</v>
      </c>
    </row>
    <row r="369" spans="1:22" s="19" customFormat="1" ht="23.25" x14ac:dyDescent="0.2">
      <c r="A369" s="112"/>
      <c r="B369" s="112"/>
      <c r="C369" s="112" t="str">
        <f>IF(OR(Tabella3[[#This Row],[LUN]]="X",Tabella3[[#This Row],[MAR]]="X",Tabella3[[#This Row],[MER]]="X",Tabella3[[#This Row],[GIO]]="X",Tabella3[[#This Row],[VEN]]="X",),"X","")</f>
        <v>X</v>
      </c>
      <c r="D369" s="113" t="s">
        <v>87</v>
      </c>
      <c r="E369" s="109" t="s">
        <v>3125</v>
      </c>
      <c r="F369" s="109">
        <v>700</v>
      </c>
      <c r="G369" s="109" t="s">
        <v>3126</v>
      </c>
      <c r="H369" s="111"/>
      <c r="I369" s="111" t="s">
        <v>23</v>
      </c>
      <c r="J369" s="111" t="s">
        <v>23</v>
      </c>
      <c r="K369" s="111" t="s">
        <v>23</v>
      </c>
      <c r="L369" s="111" t="s">
        <v>23</v>
      </c>
      <c r="M369" s="109" t="s">
        <v>1036</v>
      </c>
      <c r="N369" s="109"/>
      <c r="O369" s="109"/>
      <c r="P369" s="109"/>
      <c r="Q369" s="109"/>
      <c r="R369" s="110"/>
      <c r="S369" s="109"/>
      <c r="T369" s="114" t="str">
        <f ca="1">IF(AND('Inserimento dati'!$B$3=$H$2, Tabella3[[#This Row],[LUN]]="X"), "X",IF(AND('Inserimento dati'!$B$3=$I$2, Tabella3[[#This Row],[MAR]]="X"), "X", IF(AND('Inserimento dati'!$B$3=$J$2, Tabella3[[#This Row],[MER]]="X"), "X",IF(AND('Inserimento dati'!$B$3=$K$2, Tabella3[[#This Row],[GIO]]="X"), "X", IF(AND('Inserimento dati'!$B$3=$L$2, Tabella3[[#This Row],[VEN]]="X"), "X","")))))</f>
        <v>X</v>
      </c>
      <c r="U369" s="93"/>
      <c r="V369" s="187">
        <v>45930.833333333336</v>
      </c>
    </row>
    <row r="370" spans="1:22" s="19" customFormat="1" ht="23.25" x14ac:dyDescent="0.2">
      <c r="A370" s="112"/>
      <c r="B370" s="112"/>
      <c r="C370" s="112" t="str">
        <f>IF(OR(Tabella3[[#This Row],[LUN]]="X",Tabella3[[#This Row],[MAR]]="X",Tabella3[[#This Row],[MER]]="X",Tabella3[[#This Row],[GIO]]="X",Tabella3[[#This Row],[VEN]]="X",),"X","")</f>
        <v>X</v>
      </c>
      <c r="D370" s="113" t="s">
        <v>87</v>
      </c>
      <c r="E370" s="109" t="s">
        <v>3052</v>
      </c>
      <c r="F370" s="109">
        <v>700</v>
      </c>
      <c r="G370" s="109" t="s">
        <v>3053</v>
      </c>
      <c r="H370" s="111" t="s">
        <v>23</v>
      </c>
      <c r="I370" s="111" t="s">
        <v>23</v>
      </c>
      <c r="J370" s="111"/>
      <c r="K370" s="111"/>
      <c r="L370" s="111"/>
      <c r="M370" s="109" t="s">
        <v>1036</v>
      </c>
      <c r="N370" s="109"/>
      <c r="O370" s="109"/>
      <c r="P370" s="109"/>
      <c r="Q370" s="109"/>
      <c r="R370" s="110"/>
      <c r="S370" s="109"/>
      <c r="T370" s="114" t="str">
        <f ca="1">IF(AND('Inserimento dati'!$B$3=$H$2, Tabella3[[#This Row],[LUN]]="X"), "X",IF(AND('Inserimento dati'!$B$3=$I$2, Tabella3[[#This Row],[MAR]]="X"), "X", IF(AND('Inserimento dati'!$B$3=$J$2, Tabella3[[#This Row],[MER]]="X"), "X",IF(AND('Inserimento dati'!$B$3=$K$2, Tabella3[[#This Row],[GIO]]="X"), "X", IF(AND('Inserimento dati'!$B$3=$L$2, Tabella3[[#This Row],[VEN]]="X"), "X","")))))</f>
        <v>X</v>
      </c>
      <c r="U370" s="93"/>
      <c r="V370" s="187">
        <v>45930.833333333336</v>
      </c>
    </row>
    <row r="371" spans="1:22" s="19" customFormat="1" ht="23.25" x14ac:dyDescent="0.2">
      <c r="A371" s="112"/>
      <c r="B371" s="112"/>
      <c r="C371" s="112" t="str">
        <f>IF(OR(Tabella3[[#This Row],[LUN]]="X",Tabella3[[#This Row],[MAR]]="X",Tabella3[[#This Row],[MER]]="X",Tabella3[[#This Row],[GIO]]="X",Tabella3[[#This Row],[VEN]]="X",),"X","")</f>
        <v>X</v>
      </c>
      <c r="D371" s="113" t="s">
        <v>87</v>
      </c>
      <c r="E371" s="109" t="s">
        <v>3130</v>
      </c>
      <c r="F371" s="109" t="s">
        <v>1616</v>
      </c>
      <c r="G371" s="109" t="s">
        <v>3131</v>
      </c>
      <c r="H371" s="111" t="s">
        <v>23</v>
      </c>
      <c r="I371" s="111" t="s">
        <v>23</v>
      </c>
      <c r="J371" s="111"/>
      <c r="K371" s="111"/>
      <c r="L371" s="111"/>
      <c r="M371" s="109" t="s">
        <v>1036</v>
      </c>
      <c r="N371" s="109"/>
      <c r="O371" s="109"/>
      <c r="P371" s="109"/>
      <c r="Q371" s="109"/>
      <c r="R371" s="110"/>
      <c r="S371" s="109"/>
      <c r="T371" s="114" t="str">
        <f ca="1">IF(AND('Inserimento dati'!$B$3=$H$2, Tabella3[[#This Row],[LUN]]="X"), "X",IF(AND('Inserimento dati'!$B$3=$I$2, Tabella3[[#This Row],[MAR]]="X"), "X", IF(AND('Inserimento dati'!$B$3=$J$2, Tabella3[[#This Row],[MER]]="X"), "X",IF(AND('Inserimento dati'!$B$3=$K$2, Tabella3[[#This Row],[GIO]]="X"), "X", IF(AND('Inserimento dati'!$B$3=$L$2, Tabella3[[#This Row],[VEN]]="X"), "X","")))))</f>
        <v>X</v>
      </c>
      <c r="U371" s="93"/>
      <c r="V371" s="187">
        <v>45930.833333333336</v>
      </c>
    </row>
    <row r="372" spans="1:22" s="19" customFormat="1" ht="23.25" x14ac:dyDescent="0.2">
      <c r="A372" s="112"/>
      <c r="B372" s="112"/>
      <c r="C372" s="112" t="str">
        <f>IF(OR(Tabella3[[#This Row],[LUN]]="X",Tabella3[[#This Row],[MAR]]="X",Tabella3[[#This Row],[MER]]="X",Tabella3[[#This Row],[GIO]]="X",Tabella3[[#This Row],[VEN]]="X",),"X","")</f>
        <v>X</v>
      </c>
      <c r="D372" s="113" t="s">
        <v>87</v>
      </c>
      <c r="E372" s="109" t="s">
        <v>2538</v>
      </c>
      <c r="F372" s="109">
        <v>1800</v>
      </c>
      <c r="G372" s="109" t="s">
        <v>2539</v>
      </c>
      <c r="H372" s="111" t="s">
        <v>23</v>
      </c>
      <c r="I372" s="111"/>
      <c r="J372" s="111"/>
      <c r="K372" s="111"/>
      <c r="L372" s="111"/>
      <c r="M372" s="109" t="s">
        <v>1036</v>
      </c>
      <c r="N372" s="109"/>
      <c r="O372" s="109"/>
      <c r="P372" s="109"/>
      <c r="Q372" s="109"/>
      <c r="R372" s="110"/>
      <c r="S372" s="109"/>
      <c r="T372" s="114" t="str">
        <f ca="1">IF(AND('Inserimento dati'!$B$3=$H$2, Tabella3[[#This Row],[LUN]]="X"), "X",IF(AND('Inserimento dati'!$B$3=$I$2, Tabella3[[#This Row],[MAR]]="X"), "X", IF(AND('Inserimento dati'!$B$3=$J$2, Tabella3[[#This Row],[MER]]="X"), "X",IF(AND('Inserimento dati'!$B$3=$K$2, Tabella3[[#This Row],[GIO]]="X"), "X", IF(AND('Inserimento dati'!$B$3=$L$2, Tabella3[[#This Row],[VEN]]="X"), "X","")))))</f>
        <v/>
      </c>
      <c r="U372" s="93" t="str">
        <f ca="1">IFERROR(MID(G372,_xlfn.AGGREGATE(15,6,(ROW(INDIRECT("1:"&amp;LEN(G372)-7)))/(ISNUMBER(--MID(G372,ROW(INDIRECT("1:"&amp;LEN(G372)-7)),8))),1),8),"")</f>
        <v>10228396</v>
      </c>
      <c r="V372" s="187">
        <v>45930.833333333336</v>
      </c>
    </row>
    <row r="373" spans="1:22" s="19" customFormat="1" ht="23.25" x14ac:dyDescent="0.2">
      <c r="A373" s="112"/>
      <c r="B373" s="112"/>
      <c r="C373" s="112" t="str">
        <f>IF(OR(Tabella3[[#This Row],[LUN]]="X",Tabella3[[#This Row],[MAR]]="X",Tabella3[[#This Row],[MER]]="X",Tabella3[[#This Row],[GIO]]="X",Tabella3[[#This Row],[VEN]]="X",),"X","")</f>
        <v>X</v>
      </c>
      <c r="D373" s="113" t="s">
        <v>87</v>
      </c>
      <c r="E373" s="109" t="s">
        <v>3044</v>
      </c>
      <c r="F373" s="109" t="s">
        <v>114</v>
      </c>
      <c r="G373" s="109" t="s">
        <v>3045</v>
      </c>
      <c r="H373" s="111" t="s">
        <v>23</v>
      </c>
      <c r="I373" s="111" t="s">
        <v>23</v>
      </c>
      <c r="J373" s="111" t="s">
        <v>23</v>
      </c>
      <c r="K373" s="111" t="s">
        <v>23</v>
      </c>
      <c r="L373" s="111" t="s">
        <v>23</v>
      </c>
      <c r="M373" s="109" t="s">
        <v>1036</v>
      </c>
      <c r="N373" s="109"/>
      <c r="O373" s="109"/>
      <c r="P373" s="109"/>
      <c r="Q373" s="109"/>
      <c r="R373" s="110"/>
      <c r="S373" s="109"/>
      <c r="T373" s="114" t="str">
        <f ca="1">IF(AND('Inserimento dati'!$B$3=$H$2, Tabella3[[#This Row],[LUN]]="X"), "X",IF(AND('Inserimento dati'!$B$3=$I$2, Tabella3[[#This Row],[MAR]]="X"), "X", IF(AND('Inserimento dati'!$B$3=$J$2, Tabella3[[#This Row],[MER]]="X"), "X",IF(AND('Inserimento dati'!$B$3=$K$2, Tabella3[[#This Row],[GIO]]="X"), "X", IF(AND('Inserimento dati'!$B$3=$L$2, Tabella3[[#This Row],[VEN]]="X"), "X","")))))</f>
        <v>X</v>
      </c>
      <c r="U373" s="93"/>
      <c r="V373" s="187">
        <v>45930.833333333336</v>
      </c>
    </row>
    <row r="374" spans="1:22" s="19" customFormat="1" ht="23.25" x14ac:dyDescent="0.2">
      <c r="A374" s="112"/>
      <c r="B374" s="112"/>
      <c r="C374" s="112" t="str">
        <f>IF(OR(Tabella3[[#This Row],[LUN]]="X",Tabella3[[#This Row],[MAR]]="X",Tabella3[[#This Row],[MER]]="X",Tabella3[[#This Row],[GIO]]="X",Tabella3[[#This Row],[VEN]]="X",),"X","")</f>
        <v>X</v>
      </c>
      <c r="D374" s="113" t="s">
        <v>87</v>
      </c>
      <c r="E374" s="109" t="s">
        <v>2869</v>
      </c>
      <c r="F374" s="109">
        <v>1200</v>
      </c>
      <c r="G374" s="109" t="s">
        <v>2336</v>
      </c>
      <c r="H374" s="111" t="s">
        <v>23</v>
      </c>
      <c r="I374" s="111" t="s">
        <v>23</v>
      </c>
      <c r="J374" s="111"/>
      <c r="K374" s="111"/>
      <c r="L374" s="111"/>
      <c r="M374" s="109" t="s">
        <v>1036</v>
      </c>
      <c r="N374" s="109"/>
      <c r="O374" s="109"/>
      <c r="P374" s="109"/>
      <c r="Q374" s="109" t="s">
        <v>2989</v>
      </c>
      <c r="R374" s="110">
        <v>45915</v>
      </c>
      <c r="S374" s="109" t="s">
        <v>239</v>
      </c>
      <c r="T374" s="114" t="str">
        <f ca="1">IF(AND('Inserimento dati'!$B$3=$H$2, Tabella3[[#This Row],[LUN]]="X"), "X",IF(AND('Inserimento dati'!$B$3=$I$2, Tabella3[[#This Row],[MAR]]="X"), "X", IF(AND('Inserimento dati'!$B$3=$J$2, Tabella3[[#This Row],[MER]]="X"), "X",IF(AND('Inserimento dati'!$B$3=$K$2, Tabella3[[#This Row],[GIO]]="X"), "X", IF(AND('Inserimento dati'!$B$3=$L$2, Tabella3[[#This Row],[VEN]]="X"), "X","")))))</f>
        <v>X</v>
      </c>
      <c r="U374" s="93" t="str">
        <f ca="1">IFERROR(MID(G374,_xlfn.AGGREGATE(15,6,(ROW(INDIRECT("1:"&amp;LEN(G374)-7)))/(ISNUMBER(--MID(G374,ROW(INDIRECT("1:"&amp;LEN(G374)-7)),8))),1),8),"")</f>
        <v/>
      </c>
      <c r="V374" s="187">
        <v>45930.833333333336</v>
      </c>
    </row>
    <row r="375" spans="1:22" s="19" customFormat="1" ht="23.25" x14ac:dyDescent="0.2">
      <c r="A375" s="112"/>
      <c r="B375" s="112"/>
      <c r="C375" s="112" t="str">
        <f>IF(OR(Tabella3[[#This Row],[LUN]]="X",Tabella3[[#This Row],[MAR]]="X",Tabella3[[#This Row],[MER]]="X",Tabella3[[#This Row],[GIO]]="X",Tabella3[[#This Row],[VEN]]="X",),"X","")</f>
        <v>X</v>
      </c>
      <c r="D375" s="113" t="s">
        <v>87</v>
      </c>
      <c r="E375" s="109" t="s">
        <v>2827</v>
      </c>
      <c r="F375" s="109">
        <v>1200</v>
      </c>
      <c r="G375" s="109" t="s">
        <v>2828</v>
      </c>
      <c r="H375" s="111" t="s">
        <v>23</v>
      </c>
      <c r="I375" s="111" t="s">
        <v>23</v>
      </c>
      <c r="J375" s="111"/>
      <c r="K375" s="111"/>
      <c r="L375" s="111"/>
      <c r="M375" s="109" t="s">
        <v>1036</v>
      </c>
      <c r="N375" s="109"/>
      <c r="O375" s="109"/>
      <c r="P375" s="109"/>
      <c r="Q375" s="109"/>
      <c r="R375" s="110"/>
      <c r="S375" s="109"/>
      <c r="T375" s="114" t="str">
        <f ca="1">IF(AND('Inserimento dati'!$B$3=$H$2, Tabella3[[#This Row],[LUN]]="X"), "X",IF(AND('Inserimento dati'!$B$3=$I$2, Tabella3[[#This Row],[MAR]]="X"), "X", IF(AND('Inserimento dati'!$B$3=$J$2, Tabella3[[#This Row],[MER]]="X"), "X",IF(AND('Inserimento dati'!$B$3=$K$2, Tabella3[[#This Row],[GIO]]="X"), "X", IF(AND('Inserimento dati'!$B$3=$L$2, Tabella3[[#This Row],[VEN]]="X"), "X","")))))</f>
        <v>X</v>
      </c>
      <c r="U375" s="93" t="str">
        <f ca="1">IFERROR(MID(G375,_xlfn.AGGREGATE(15,6,(ROW(INDIRECT("1:"&amp;LEN(G375)-7)))/(ISNUMBER(--MID(G375,ROW(INDIRECT("1:"&amp;LEN(G375)-7)),8))),1),8),"")</f>
        <v>10229855</v>
      </c>
      <c r="V375" s="187">
        <v>45930.833333333336</v>
      </c>
    </row>
    <row r="376" spans="1:22" s="19" customFormat="1" ht="23.25" x14ac:dyDescent="0.2">
      <c r="A376" s="112"/>
      <c r="B376" s="112"/>
      <c r="C376" s="112" t="str">
        <f>IF(OR(Tabella3[[#This Row],[LUN]]="X",Tabella3[[#This Row],[MAR]]="X",Tabella3[[#This Row],[MER]]="X",Tabella3[[#This Row],[GIO]]="X",Tabella3[[#This Row],[VEN]]="X",),"X","")</f>
        <v/>
      </c>
      <c r="D376" s="113" t="s">
        <v>87</v>
      </c>
      <c r="E376" s="109" t="s">
        <v>3134</v>
      </c>
      <c r="F376" s="109" t="s">
        <v>1616</v>
      </c>
      <c r="G376" s="109" t="s">
        <v>3135</v>
      </c>
      <c r="H376" s="111"/>
      <c r="I376" s="111"/>
      <c r="J376" s="111"/>
      <c r="K376" s="111"/>
      <c r="L376" s="111"/>
      <c r="M376" s="109" t="s">
        <v>1036</v>
      </c>
      <c r="N376" s="109"/>
      <c r="O376" s="109"/>
      <c r="P376" s="109"/>
      <c r="Q376" s="109"/>
      <c r="R376" s="110"/>
      <c r="S376" s="109"/>
      <c r="T376" s="114" t="str">
        <f ca="1">IF(AND('Inserimento dati'!$B$3=$H$2, Tabella3[[#This Row],[LUN]]="X"), "X",IF(AND('Inserimento dati'!$B$3=$I$2, Tabella3[[#This Row],[MAR]]="X"), "X", IF(AND('Inserimento dati'!$B$3=$J$2, Tabella3[[#This Row],[MER]]="X"), "X",IF(AND('Inserimento dati'!$B$3=$K$2, Tabella3[[#This Row],[GIO]]="X"), "X", IF(AND('Inserimento dati'!$B$3=$L$2, Tabella3[[#This Row],[VEN]]="X"), "X","")))))</f>
        <v/>
      </c>
      <c r="U376" s="93"/>
      <c r="V376" s="187">
        <v>45930.833333333336</v>
      </c>
    </row>
    <row r="377" spans="1:22" s="19" customFormat="1" ht="23.25" x14ac:dyDescent="0.2">
      <c r="A377" s="112"/>
      <c r="B377" s="112"/>
      <c r="C377" s="112" t="str">
        <f>IF(OR(Tabella3[[#This Row],[LUN]]="X",Tabella3[[#This Row],[MAR]]="X",Tabella3[[#This Row],[MER]]="X",Tabella3[[#This Row],[GIO]]="X",Tabella3[[#This Row],[VEN]]="X",),"X","")</f>
        <v/>
      </c>
      <c r="D377" s="113" t="s">
        <v>87</v>
      </c>
      <c r="E377" s="109" t="s">
        <v>3054</v>
      </c>
      <c r="F377" s="109">
        <v>700</v>
      </c>
      <c r="G377" s="109" t="s">
        <v>3055</v>
      </c>
      <c r="H377" s="111"/>
      <c r="I377" s="111"/>
      <c r="J377" s="111"/>
      <c r="K377" s="111"/>
      <c r="L377" s="111"/>
      <c r="M377" s="109" t="s">
        <v>1036</v>
      </c>
      <c r="N377" s="109"/>
      <c r="O377" s="109"/>
      <c r="P377" s="109"/>
      <c r="Q377" s="109"/>
      <c r="R377" s="110"/>
      <c r="S377" s="109"/>
      <c r="T377" s="114" t="str">
        <f ca="1">IF(AND('Inserimento dati'!$B$3=$H$2, Tabella3[[#This Row],[LUN]]="X"), "X",IF(AND('Inserimento dati'!$B$3=$I$2, Tabella3[[#This Row],[MAR]]="X"), "X", IF(AND('Inserimento dati'!$B$3=$J$2, Tabella3[[#This Row],[MER]]="X"), "X",IF(AND('Inserimento dati'!$B$3=$K$2, Tabella3[[#This Row],[GIO]]="X"), "X", IF(AND('Inserimento dati'!$B$3=$L$2, Tabella3[[#This Row],[VEN]]="X"), "X","")))))</f>
        <v/>
      </c>
      <c r="U377" s="93"/>
      <c r="V377" s="187">
        <v>45930.833333333336</v>
      </c>
    </row>
    <row r="378" spans="1:22" s="19" customFormat="1" ht="30" x14ac:dyDescent="0.2">
      <c r="A378" s="112"/>
      <c r="B378" s="112"/>
      <c r="C378" s="112" t="str">
        <f>IF(OR(Tabella3[[#This Row],[LUN]]="X",Tabella3[[#This Row],[MAR]]="X",Tabella3[[#This Row],[MER]]="X",Tabella3[[#This Row],[GIO]]="X",Tabella3[[#This Row],[VEN]]="X",),"X","")</f>
        <v/>
      </c>
      <c r="D378" s="113" t="s">
        <v>87</v>
      </c>
      <c r="E378" s="109" t="s">
        <v>2922</v>
      </c>
      <c r="F378" s="109">
        <v>700</v>
      </c>
      <c r="G378" s="109" t="s">
        <v>2923</v>
      </c>
      <c r="H378" s="111"/>
      <c r="I378" s="111"/>
      <c r="J378" s="111"/>
      <c r="K378" s="111"/>
      <c r="L378" s="111"/>
      <c r="M378" s="109" t="s">
        <v>1257</v>
      </c>
      <c r="N378" s="109"/>
      <c r="O378" s="109"/>
      <c r="P378" s="109"/>
      <c r="Q378" s="109" t="s">
        <v>2990</v>
      </c>
      <c r="R378" s="110">
        <v>45915</v>
      </c>
      <c r="S378" s="109" t="s">
        <v>211</v>
      </c>
      <c r="T378" s="114" t="str">
        <f ca="1">IF(AND('Inserimento dati'!$B$3=$H$2, Tabella3[[#This Row],[LUN]]="X"), "X",IF(AND('Inserimento dati'!$B$3=$I$2, Tabella3[[#This Row],[MAR]]="X"), "X", IF(AND('Inserimento dati'!$B$3=$J$2, Tabella3[[#This Row],[MER]]="X"), "X",IF(AND('Inserimento dati'!$B$3=$K$2, Tabella3[[#This Row],[GIO]]="X"), "X", IF(AND('Inserimento dati'!$B$3=$L$2, Tabella3[[#This Row],[VEN]]="X"), "X","")))))</f>
        <v/>
      </c>
      <c r="U378" s="93"/>
      <c r="V378" s="187">
        <v>45930.833333333336</v>
      </c>
    </row>
    <row r="379" spans="1:22" s="19" customFormat="1" ht="30" x14ac:dyDescent="0.2">
      <c r="A379" s="112"/>
      <c r="B379" s="112"/>
      <c r="C379" s="112" t="str">
        <f>IF(OR(Tabella3[[#This Row],[LUN]]="X",Tabella3[[#This Row],[MAR]]="X",Tabella3[[#This Row],[MER]]="X",Tabella3[[#This Row],[GIO]]="X",Tabella3[[#This Row],[VEN]]="X",),"X","")</f>
        <v/>
      </c>
      <c r="D379" s="113" t="s">
        <v>87</v>
      </c>
      <c r="E379" s="109" t="s">
        <v>2924</v>
      </c>
      <c r="F379" s="109">
        <v>700</v>
      </c>
      <c r="G379" s="109" t="s">
        <v>2925</v>
      </c>
      <c r="H379" s="111"/>
      <c r="I379" s="111"/>
      <c r="J379" s="111"/>
      <c r="K379" s="111"/>
      <c r="L379" s="111"/>
      <c r="M379" s="109" t="s">
        <v>1257</v>
      </c>
      <c r="N379" s="109"/>
      <c r="O379" s="109"/>
      <c r="P379" s="109"/>
      <c r="Q379" s="109" t="s">
        <v>2990</v>
      </c>
      <c r="R379" s="110">
        <v>45915</v>
      </c>
      <c r="S379" s="109" t="s">
        <v>211</v>
      </c>
      <c r="T379" s="114" t="str">
        <f ca="1">IF(AND('Inserimento dati'!$B$3=$H$2, Tabella3[[#This Row],[LUN]]="X"), "X",IF(AND('Inserimento dati'!$B$3=$I$2, Tabella3[[#This Row],[MAR]]="X"), "X", IF(AND('Inserimento dati'!$B$3=$J$2, Tabella3[[#This Row],[MER]]="X"), "X",IF(AND('Inserimento dati'!$B$3=$K$2, Tabella3[[#This Row],[GIO]]="X"), "X", IF(AND('Inserimento dati'!$B$3=$L$2, Tabella3[[#This Row],[VEN]]="X"), "X","")))))</f>
        <v/>
      </c>
      <c r="U379" s="93"/>
      <c r="V379" s="187">
        <v>45930.833333333336</v>
      </c>
    </row>
    <row r="380" spans="1:22" s="19" customFormat="1" ht="30" x14ac:dyDescent="0.2">
      <c r="A380" s="112"/>
      <c r="B380" s="112"/>
      <c r="C380" s="112" t="str">
        <f>IF(OR(Tabella3[[#This Row],[LUN]]="X",Tabella3[[#This Row],[MAR]]="X",Tabella3[[#This Row],[MER]]="X",Tabella3[[#This Row],[GIO]]="X",Tabella3[[#This Row],[VEN]]="X",),"X","")</f>
        <v/>
      </c>
      <c r="D380" s="113" t="s">
        <v>87</v>
      </c>
      <c r="E380" s="109" t="s">
        <v>2673</v>
      </c>
      <c r="F380" s="109">
        <v>1100</v>
      </c>
      <c r="G380" s="109" t="s">
        <v>2674</v>
      </c>
      <c r="H380" s="111"/>
      <c r="I380" s="111"/>
      <c r="J380" s="111"/>
      <c r="K380" s="111"/>
      <c r="L380" s="111"/>
      <c r="M380" s="109" t="s">
        <v>1257</v>
      </c>
      <c r="N380" s="109"/>
      <c r="O380" s="109"/>
      <c r="P380" s="109"/>
      <c r="Q380" s="109" t="s">
        <v>2991</v>
      </c>
      <c r="R380" s="110">
        <v>45917</v>
      </c>
      <c r="S380" s="109" t="s">
        <v>211</v>
      </c>
      <c r="T380" s="114" t="str">
        <f ca="1">IF(AND('Inserimento dati'!$B$3=$H$2, Tabella3[[#This Row],[LUN]]="X"), "X",IF(AND('Inserimento dati'!$B$3=$I$2, Tabella3[[#This Row],[MAR]]="X"), "X", IF(AND('Inserimento dati'!$B$3=$J$2, Tabella3[[#This Row],[MER]]="X"), "X",IF(AND('Inserimento dati'!$B$3=$K$2, Tabella3[[#This Row],[GIO]]="X"), "X", IF(AND('Inserimento dati'!$B$3=$L$2, Tabella3[[#This Row],[VEN]]="X"), "X","")))))</f>
        <v/>
      </c>
      <c r="U380" s="93" t="str">
        <f ca="1">IFERROR(MID(G380,_xlfn.AGGREGATE(15,6,(ROW(INDIRECT("1:"&amp;LEN(G380)-7)))/(ISNUMBER(--MID(G380,ROW(INDIRECT("1:"&amp;LEN(G380)-7)),8))),1),8),"")</f>
        <v>10229177</v>
      </c>
      <c r="V380" s="187">
        <v>45930.833333333336</v>
      </c>
    </row>
    <row r="381" spans="1:22" s="19" customFormat="1" ht="60" x14ac:dyDescent="0.2">
      <c r="A381" s="112"/>
      <c r="B381" s="112"/>
      <c r="C381" s="112" t="str">
        <f>IF(OR(Tabella3[[#This Row],[LUN]]="X",Tabella3[[#This Row],[MAR]]="X",Tabella3[[#This Row],[MER]]="X",Tabella3[[#This Row],[GIO]]="X",Tabella3[[#This Row],[VEN]]="X",),"X","")</f>
        <v/>
      </c>
      <c r="D381" s="113" t="s">
        <v>87</v>
      </c>
      <c r="E381" s="109" t="s">
        <v>2966</v>
      </c>
      <c r="F381" s="109">
        <v>1200</v>
      </c>
      <c r="G381" s="109" t="s">
        <v>2967</v>
      </c>
      <c r="H381" s="111"/>
      <c r="I381" s="111"/>
      <c r="J381" s="111"/>
      <c r="K381" s="111"/>
      <c r="L381" s="111"/>
      <c r="M381" s="109" t="s">
        <v>1257</v>
      </c>
      <c r="N381" s="109"/>
      <c r="O381" s="109"/>
      <c r="P381" s="109"/>
      <c r="Q381" s="109" t="s">
        <v>2987</v>
      </c>
      <c r="R381" s="110">
        <v>45916</v>
      </c>
      <c r="S381" s="109" t="s">
        <v>211</v>
      </c>
      <c r="T381" s="114" t="str">
        <f ca="1">IF(AND('Inserimento dati'!$B$3=$H$2, Tabella3[[#This Row],[LUN]]="X"), "X",IF(AND('Inserimento dati'!$B$3=$I$2, Tabella3[[#This Row],[MAR]]="X"), "X", IF(AND('Inserimento dati'!$B$3=$J$2, Tabella3[[#This Row],[MER]]="X"), "X",IF(AND('Inserimento dati'!$B$3=$K$2, Tabella3[[#This Row],[GIO]]="X"), "X", IF(AND('Inserimento dati'!$B$3=$L$2, Tabella3[[#This Row],[VEN]]="X"), "X","")))))</f>
        <v/>
      </c>
      <c r="U381" s="93"/>
      <c r="V381" s="187">
        <v>45930.833333333336</v>
      </c>
    </row>
    <row r="382" spans="1:22" s="1" customFormat="1" ht="45" x14ac:dyDescent="0.25">
      <c r="A382" s="112"/>
      <c r="B382" s="112"/>
      <c r="C382" s="112" t="str">
        <f>IF(OR(Tabella3[[#This Row],[LUN]]="X",Tabella3[[#This Row],[MAR]]="X",Tabella3[[#This Row],[MER]]="X",Tabella3[[#This Row],[GIO]]="X",Tabella3[[#This Row],[VEN]]="X",),"X","")</f>
        <v/>
      </c>
      <c r="D382" s="113" t="s">
        <v>87</v>
      </c>
      <c r="E382" s="109" t="s">
        <v>2878</v>
      </c>
      <c r="F382" s="109">
        <v>1200</v>
      </c>
      <c r="G382" s="109" t="s">
        <v>2879</v>
      </c>
      <c r="H382" s="111"/>
      <c r="I382" s="111"/>
      <c r="J382" s="111"/>
      <c r="K382" s="111"/>
      <c r="L382" s="111"/>
      <c r="M382" s="109" t="s">
        <v>1257</v>
      </c>
      <c r="N382" s="109"/>
      <c r="O382" s="109"/>
      <c r="P382" s="109"/>
      <c r="Q382" s="109" t="s">
        <v>2935</v>
      </c>
      <c r="R382" s="110">
        <v>45912</v>
      </c>
      <c r="S382" s="109" t="s">
        <v>211</v>
      </c>
      <c r="T382" s="114" t="str">
        <f ca="1">IF(AND('Inserimento dati'!$B$3=$H$2, Tabella3[[#This Row],[LUN]]="X"), "X",IF(AND('Inserimento dati'!$B$3=$I$2, Tabella3[[#This Row],[MAR]]="X"), "X", IF(AND('Inserimento dati'!$B$3=$J$2, Tabella3[[#This Row],[MER]]="X"), "X",IF(AND('Inserimento dati'!$B$3=$K$2, Tabella3[[#This Row],[GIO]]="X"), "X", IF(AND('Inserimento dati'!$B$3=$L$2, Tabella3[[#This Row],[VEN]]="X"), "X","")))))</f>
        <v/>
      </c>
      <c r="U382" s="93" t="str">
        <f t="shared" ref="U382:U413" ca="1" si="14">IFERROR(MID(G382,_xlfn.AGGREGATE(15,6,(ROW(INDIRECT("1:"&amp;LEN(G382)-7)))/(ISNUMBER(--MID(G382,ROW(INDIRECT("1:"&amp;LEN(G382)-7)),8))),1),8),"")</f>
        <v>10230145</v>
      </c>
      <c r="V382" s="189">
        <v>45930.833333333336</v>
      </c>
    </row>
    <row r="383" spans="1:22" s="1" customFormat="1" ht="23.25" x14ac:dyDescent="0.25">
      <c r="A383" s="112"/>
      <c r="B383" s="112"/>
      <c r="C383" s="112" t="str">
        <f>IF(OR(Tabella3[[#This Row],[LUN]]="X",Tabella3[[#This Row],[MAR]]="X",Tabella3[[#This Row],[MER]]="X",Tabella3[[#This Row],[GIO]]="X",Tabella3[[#This Row],[VEN]]="X",),"X","")</f>
        <v/>
      </c>
      <c r="D383" s="113" t="s">
        <v>87</v>
      </c>
      <c r="E383" s="109" t="s">
        <v>2800</v>
      </c>
      <c r="F383" s="109">
        <v>1200</v>
      </c>
      <c r="G383" s="109" t="s">
        <v>2801</v>
      </c>
      <c r="H383" s="111"/>
      <c r="I383" s="111"/>
      <c r="J383" s="111"/>
      <c r="K383" s="111"/>
      <c r="L383" s="111"/>
      <c r="M383" s="109" t="s">
        <v>1257</v>
      </c>
      <c r="N383" s="109"/>
      <c r="O383" s="109"/>
      <c r="P383" s="109"/>
      <c r="Q383" s="109" t="s">
        <v>2844</v>
      </c>
      <c r="R383" s="110">
        <v>45905</v>
      </c>
      <c r="S383" s="109" t="s">
        <v>211</v>
      </c>
      <c r="T383" s="114" t="str">
        <f ca="1">IF(AND('Inserimento dati'!$B$3=$H$2, Tabella3[[#This Row],[LUN]]="X"), "X",IF(AND('Inserimento dati'!$B$3=$I$2, Tabella3[[#This Row],[MAR]]="X"), "X", IF(AND('Inserimento dati'!$B$3=$J$2, Tabella3[[#This Row],[MER]]="X"), "X",IF(AND('Inserimento dati'!$B$3=$K$2, Tabella3[[#This Row],[GIO]]="X"), "X", IF(AND('Inserimento dati'!$B$3=$L$2, Tabella3[[#This Row],[VEN]]="X"), "X","")))))</f>
        <v/>
      </c>
      <c r="U383" s="93" t="str">
        <f t="shared" ca="1" si="14"/>
        <v/>
      </c>
      <c r="V383" s="189">
        <v>45930.833333333336</v>
      </c>
    </row>
    <row r="384" spans="1:22" s="1" customFormat="1" ht="23.25" x14ac:dyDescent="0.25">
      <c r="A384" s="112"/>
      <c r="B384" s="112"/>
      <c r="C384" s="112" t="str">
        <f>IF(OR(Tabella3[[#This Row],[LUN]]="X",Tabella3[[#This Row],[MAR]]="X",Tabella3[[#This Row],[MER]]="X",Tabella3[[#This Row],[GIO]]="X",Tabella3[[#This Row],[VEN]]="X",),"X","")</f>
        <v/>
      </c>
      <c r="D384" s="113" t="s">
        <v>87</v>
      </c>
      <c r="E384" s="109" t="s">
        <v>2837</v>
      </c>
      <c r="F384" s="109">
        <v>700</v>
      </c>
      <c r="G384" s="109" t="s">
        <v>2838</v>
      </c>
      <c r="H384" s="111"/>
      <c r="I384" s="111"/>
      <c r="J384" s="111"/>
      <c r="K384" s="111"/>
      <c r="L384" s="111"/>
      <c r="M384" s="109" t="s">
        <v>1257</v>
      </c>
      <c r="N384" s="109"/>
      <c r="O384" s="109"/>
      <c r="P384" s="109"/>
      <c r="Q384" s="109"/>
      <c r="R384" s="110">
        <v>45905</v>
      </c>
      <c r="S384" s="109" t="s">
        <v>211</v>
      </c>
      <c r="T384" s="114" t="str">
        <f ca="1">IF(AND('Inserimento dati'!$B$3=$H$2, Tabella3[[#This Row],[LUN]]="X"), "X",IF(AND('Inserimento dati'!$B$3=$I$2, Tabella3[[#This Row],[MAR]]="X"), "X", IF(AND('Inserimento dati'!$B$3=$J$2, Tabella3[[#This Row],[MER]]="X"), "X",IF(AND('Inserimento dati'!$B$3=$K$2, Tabella3[[#This Row],[GIO]]="X"), "X", IF(AND('Inserimento dati'!$B$3=$L$2, Tabella3[[#This Row],[VEN]]="X"), "X","")))))</f>
        <v/>
      </c>
      <c r="U384" s="93" t="str">
        <f t="shared" ca="1" si="14"/>
        <v>10229879</v>
      </c>
      <c r="V384" s="189">
        <v>45930.833333333336</v>
      </c>
    </row>
    <row r="385" spans="1:22" s="1" customFormat="1" ht="30" x14ac:dyDescent="0.25">
      <c r="A385" s="112"/>
      <c r="B385" s="112"/>
      <c r="C385" s="112" t="str">
        <f>IF(OR(Tabella3[[#This Row],[LUN]]="X",Tabella3[[#This Row],[MAR]]="X",Tabella3[[#This Row],[MER]]="X",Tabella3[[#This Row],[GIO]]="X",Tabella3[[#This Row],[VEN]]="X",),"X","")</f>
        <v/>
      </c>
      <c r="D385" s="113" t="s">
        <v>87</v>
      </c>
      <c r="E385" s="109" t="s">
        <v>2654</v>
      </c>
      <c r="F385" s="109">
        <v>1200</v>
      </c>
      <c r="G385" s="109" t="s">
        <v>2655</v>
      </c>
      <c r="H385" s="111"/>
      <c r="I385" s="111"/>
      <c r="J385" s="111"/>
      <c r="K385" s="111"/>
      <c r="L385" s="111"/>
      <c r="M385" s="109" t="s">
        <v>1257</v>
      </c>
      <c r="N385" s="109"/>
      <c r="O385" s="109"/>
      <c r="P385" s="109"/>
      <c r="Q385" s="109" t="s">
        <v>2724</v>
      </c>
      <c r="R385" s="110">
        <v>45896</v>
      </c>
      <c r="S385" s="109" t="s">
        <v>211</v>
      </c>
      <c r="T385" s="114" t="str">
        <f ca="1">IF(AND('Inserimento dati'!$B$3=$H$2, Tabella3[[#This Row],[LUN]]="X"), "X",IF(AND('Inserimento dati'!$B$3=$I$2, Tabella3[[#This Row],[MAR]]="X"), "X", IF(AND('Inserimento dati'!$B$3=$J$2, Tabella3[[#This Row],[MER]]="X"), "X",IF(AND('Inserimento dati'!$B$3=$K$2, Tabella3[[#This Row],[GIO]]="X"), "X", IF(AND('Inserimento dati'!$B$3=$L$2, Tabella3[[#This Row],[VEN]]="X"), "X","")))))</f>
        <v/>
      </c>
      <c r="U385" s="93" t="str">
        <f t="shared" ca="1" si="14"/>
        <v/>
      </c>
      <c r="V385" s="189">
        <v>45930.833333333336</v>
      </c>
    </row>
    <row r="386" spans="1:22" s="1" customFormat="1" ht="45" x14ac:dyDescent="0.25">
      <c r="A386" s="112"/>
      <c r="B386" s="112"/>
      <c r="C386" s="112" t="str">
        <f>IF(OR(Tabella3[[#This Row],[LUN]]="X",Tabella3[[#This Row],[MAR]]="X",Tabella3[[#This Row],[MER]]="X",Tabella3[[#This Row],[GIO]]="X",Tabella3[[#This Row],[VEN]]="X",),"X","")</f>
        <v/>
      </c>
      <c r="D386" s="113" t="s">
        <v>87</v>
      </c>
      <c r="E386" s="109" t="s">
        <v>1660</v>
      </c>
      <c r="F386" s="109">
        <v>1400</v>
      </c>
      <c r="G386" s="109" t="s">
        <v>2054</v>
      </c>
      <c r="H386" s="111"/>
      <c r="I386" s="111"/>
      <c r="J386" s="111"/>
      <c r="K386" s="111"/>
      <c r="L386" s="111"/>
      <c r="M386" s="109" t="s">
        <v>1257</v>
      </c>
      <c r="N386" s="109"/>
      <c r="O386" s="109" t="s">
        <v>23</v>
      </c>
      <c r="P386" s="109" t="s">
        <v>23</v>
      </c>
      <c r="Q386" s="109" t="s">
        <v>1693</v>
      </c>
      <c r="R386" s="110">
        <v>45824</v>
      </c>
      <c r="S386" s="109" t="s">
        <v>50</v>
      </c>
      <c r="T386" s="114" t="str">
        <f ca="1">IF(AND('Inserimento dati'!$B$3=$H$2, Tabella3[[#This Row],[LUN]]="X"), "X",IF(AND('Inserimento dati'!$B$3=$I$2, Tabella3[[#This Row],[MAR]]="X"), "X", IF(AND('Inserimento dati'!$B$3=$J$2, Tabella3[[#This Row],[MER]]="X"), "X",IF(AND('Inserimento dati'!$B$3=$K$2, Tabella3[[#This Row],[GIO]]="X"), "X", IF(AND('Inserimento dati'!$B$3=$L$2, Tabella3[[#This Row],[VEN]]="X"), "X","")))))</f>
        <v/>
      </c>
      <c r="U386" s="93" t="str">
        <f t="shared" ca="1" si="14"/>
        <v>10224411</v>
      </c>
      <c r="V386" s="189">
        <v>45930.833333333336</v>
      </c>
    </row>
    <row r="387" spans="1:22" s="1" customFormat="1" ht="60" x14ac:dyDescent="0.25">
      <c r="A387" s="112"/>
      <c r="B387" s="112"/>
      <c r="C387" s="112" t="str">
        <f>IF(OR(Tabella3[[#This Row],[LUN]]="X",Tabella3[[#This Row],[MAR]]="X",Tabella3[[#This Row],[MER]]="X",Tabella3[[#This Row],[GIO]]="X",Tabella3[[#This Row],[VEN]]="X",),"X","")</f>
        <v/>
      </c>
      <c r="D387" s="113" t="s">
        <v>87</v>
      </c>
      <c r="E387" s="109" t="s">
        <v>2494</v>
      </c>
      <c r="F387" s="109" t="s">
        <v>114</v>
      </c>
      <c r="G387" s="109" t="s">
        <v>2495</v>
      </c>
      <c r="H387" s="111"/>
      <c r="I387" s="111"/>
      <c r="J387" s="111"/>
      <c r="K387" s="111"/>
      <c r="L387" s="111"/>
      <c r="M387" s="109" t="s">
        <v>1257</v>
      </c>
      <c r="N387" s="109"/>
      <c r="O387" s="109" t="s">
        <v>23</v>
      </c>
      <c r="P387" s="109"/>
      <c r="Q387" s="109" t="s">
        <v>2508</v>
      </c>
      <c r="R387" s="110">
        <v>45866</v>
      </c>
      <c r="S387" s="109" t="s">
        <v>50</v>
      </c>
      <c r="T387" s="114" t="str">
        <f ca="1">IF(AND('Inserimento dati'!$B$3=$H$2, Tabella3[[#This Row],[LUN]]="X"), "X",IF(AND('Inserimento dati'!$B$3=$I$2, Tabella3[[#This Row],[MAR]]="X"), "X", IF(AND('Inserimento dati'!$B$3=$J$2, Tabella3[[#This Row],[MER]]="X"), "X",IF(AND('Inserimento dati'!$B$3=$K$2, Tabella3[[#This Row],[GIO]]="X"), "X", IF(AND('Inserimento dati'!$B$3=$L$2, Tabella3[[#This Row],[VEN]]="X"), "X","")))))</f>
        <v/>
      </c>
      <c r="U387" s="93" t="str">
        <f t="shared" ca="1" si="14"/>
        <v/>
      </c>
      <c r="V387" s="189">
        <v>45930.833333333336</v>
      </c>
    </row>
    <row r="388" spans="1:22" s="1" customFormat="1" ht="30" x14ac:dyDescent="0.25">
      <c r="A388" s="112"/>
      <c r="B388" s="112">
        <v>3</v>
      </c>
      <c r="C388" s="112" t="str">
        <f>IF(OR(Tabella3[[#This Row],[LUN]]="X",Tabella3[[#This Row],[MAR]]="X",Tabella3[[#This Row],[MER]]="X",Tabella3[[#This Row],[GIO]]="X",Tabella3[[#This Row],[VEN]]="X",),"X","")</f>
        <v/>
      </c>
      <c r="D388" s="113" t="s">
        <v>87</v>
      </c>
      <c r="E388" s="109" t="s">
        <v>1684</v>
      </c>
      <c r="F388" s="109" t="s">
        <v>88</v>
      </c>
      <c r="G388" s="109" t="s">
        <v>2046</v>
      </c>
      <c r="H388" s="111"/>
      <c r="I388" s="111"/>
      <c r="J388" s="111"/>
      <c r="K388" s="111"/>
      <c r="L388" s="111"/>
      <c r="M388" s="109" t="s">
        <v>1257</v>
      </c>
      <c r="N388" s="109" t="s">
        <v>23</v>
      </c>
      <c r="O388" s="109"/>
      <c r="P388" s="109"/>
      <c r="Q388" s="109" t="s">
        <v>2417</v>
      </c>
      <c r="R388" s="110">
        <v>45856</v>
      </c>
      <c r="S388" s="109" t="s">
        <v>239</v>
      </c>
      <c r="T388" s="114" t="str">
        <f ca="1">IF(AND('Inserimento dati'!$B$3=$H$2, Tabella3[[#This Row],[LUN]]="X"), "X",IF(AND('Inserimento dati'!$B$3=$I$2, Tabella3[[#This Row],[MAR]]="X"), "X", IF(AND('Inserimento dati'!$B$3=$J$2, Tabella3[[#This Row],[MER]]="X"), "X",IF(AND('Inserimento dati'!$B$3=$K$2, Tabella3[[#This Row],[GIO]]="X"), "X", IF(AND('Inserimento dati'!$B$3=$L$2, Tabella3[[#This Row],[VEN]]="X"), "X","")))))</f>
        <v/>
      </c>
      <c r="U388" s="130" t="str">
        <f t="shared" ca="1" si="14"/>
        <v>10217843</v>
      </c>
      <c r="V388" s="189">
        <v>45930.833333333336</v>
      </c>
    </row>
    <row r="389" spans="1:22" s="1" customFormat="1" ht="30" x14ac:dyDescent="0.25">
      <c r="A389" s="112"/>
      <c r="B389" s="112"/>
      <c r="C389" s="112" t="str">
        <f>IF(OR(Tabella3[[#This Row],[LUN]]="X",Tabella3[[#This Row],[MAR]]="X",Tabella3[[#This Row],[MER]]="X",Tabella3[[#This Row],[GIO]]="X",Tabella3[[#This Row],[VEN]]="X",),"X","")</f>
        <v/>
      </c>
      <c r="D389" s="113" t="s">
        <v>87</v>
      </c>
      <c r="E389" s="109" t="s">
        <v>2300</v>
      </c>
      <c r="F389" s="109" t="s">
        <v>114</v>
      </c>
      <c r="G389" s="109" t="s">
        <v>2316</v>
      </c>
      <c r="H389" s="111"/>
      <c r="I389" s="111"/>
      <c r="J389" s="111"/>
      <c r="K389" s="111"/>
      <c r="L389" s="111"/>
      <c r="M389" s="109" t="s">
        <v>1257</v>
      </c>
      <c r="N389" s="109"/>
      <c r="O389" s="109" t="s">
        <v>23</v>
      </c>
      <c r="P389" s="109"/>
      <c r="Q389" s="109" t="s">
        <v>2366</v>
      </c>
      <c r="R389" s="110">
        <v>45846</v>
      </c>
      <c r="S389" s="109" t="s">
        <v>1074</v>
      </c>
      <c r="T389" s="114" t="str">
        <f ca="1">IF(AND('Inserimento dati'!$B$3=$H$2, Tabella3[[#This Row],[LUN]]="X"), "X",IF(AND('Inserimento dati'!$B$3=$I$2, Tabella3[[#This Row],[MAR]]="X"), "X", IF(AND('Inserimento dati'!$B$3=$J$2, Tabella3[[#This Row],[MER]]="X"), "X",IF(AND('Inserimento dati'!$B$3=$K$2, Tabella3[[#This Row],[GIO]]="X"), "X", IF(AND('Inserimento dati'!$B$3=$L$2, Tabella3[[#This Row],[VEN]]="X"), "X","")))))</f>
        <v/>
      </c>
      <c r="U389" s="129" t="str">
        <f t="shared" ca="1" si="14"/>
        <v>10226988</v>
      </c>
      <c r="V389" s="189">
        <v>45930.833333333336</v>
      </c>
    </row>
    <row r="390" spans="1:22" s="1" customFormat="1" ht="30" x14ac:dyDescent="0.25">
      <c r="A390" s="112"/>
      <c r="B390" s="112">
        <v>2</v>
      </c>
      <c r="C390" s="112" t="str">
        <f>IF(OR(Tabella3[[#This Row],[LUN]]="X",Tabella3[[#This Row],[MAR]]="X",Tabella3[[#This Row],[MER]]="X",Tabella3[[#This Row],[GIO]]="X",Tabella3[[#This Row],[VEN]]="X",),"X","")</f>
        <v/>
      </c>
      <c r="D390" s="113" t="s">
        <v>87</v>
      </c>
      <c r="E390" s="109" t="s">
        <v>1402</v>
      </c>
      <c r="F390" s="109">
        <v>1800</v>
      </c>
      <c r="G390" s="109" t="s">
        <v>2053</v>
      </c>
      <c r="H390" s="111"/>
      <c r="I390" s="111"/>
      <c r="J390" s="111"/>
      <c r="K390" s="111"/>
      <c r="L390" s="111"/>
      <c r="M390" s="109" t="s">
        <v>1257</v>
      </c>
      <c r="N390" s="109"/>
      <c r="O390" s="109"/>
      <c r="P390" s="109"/>
      <c r="Q390" s="109" t="s">
        <v>2416</v>
      </c>
      <c r="R390" s="110">
        <v>45855</v>
      </c>
      <c r="S390" s="109" t="s">
        <v>203</v>
      </c>
      <c r="T390" s="69" t="str">
        <f ca="1">IF(AND('Inserimento dati'!$B$3=$H$2, Tabella3[[#This Row],[LUN]]="X"), "X",IF(AND('Inserimento dati'!$B$3=$I$2, Tabella3[[#This Row],[MAR]]="X"), "X", IF(AND('Inserimento dati'!$B$3=$J$2, Tabella3[[#This Row],[MER]]="X"), "X",IF(AND('Inserimento dati'!$B$3=$K$2, Tabella3[[#This Row],[GIO]]="X"), "X", IF(AND('Inserimento dati'!$B$3=$L$2, Tabella3[[#This Row],[VEN]]="X"), "X","")))))</f>
        <v/>
      </c>
      <c r="U390" s="143" t="str">
        <f t="shared" ca="1" si="14"/>
        <v>10223642</v>
      </c>
      <c r="V390" s="189">
        <v>45930.833333333336</v>
      </c>
    </row>
    <row r="391" spans="1:22" s="1" customFormat="1" ht="75" x14ac:dyDescent="0.25">
      <c r="A391" s="112"/>
      <c r="B391" s="112"/>
      <c r="C391" s="112" t="str">
        <f>IF(OR(Tabella3[[#This Row],[LUN]]="X",Tabella3[[#This Row],[MAR]]="X",Tabella3[[#This Row],[MER]]="X",Tabella3[[#This Row],[GIO]]="X",Tabella3[[#This Row],[VEN]]="X",),"X","")</f>
        <v/>
      </c>
      <c r="D391" s="113" t="s">
        <v>87</v>
      </c>
      <c r="E391" s="109" t="s">
        <v>2253</v>
      </c>
      <c r="F391" s="109">
        <v>700</v>
      </c>
      <c r="G391" s="109" t="s">
        <v>2274</v>
      </c>
      <c r="H391" s="111"/>
      <c r="I391" s="111"/>
      <c r="J391" s="111"/>
      <c r="K391" s="111"/>
      <c r="L391" s="111"/>
      <c r="M391" s="109" t="s">
        <v>1257</v>
      </c>
      <c r="N391" s="109"/>
      <c r="O391" s="109"/>
      <c r="P391" s="109"/>
      <c r="Q391" s="109" t="s">
        <v>2326</v>
      </c>
      <c r="R391" s="110">
        <v>45846</v>
      </c>
      <c r="S391" s="109" t="s">
        <v>239</v>
      </c>
      <c r="T391" s="114" t="str">
        <f ca="1">IF(AND('Inserimento dati'!$B$3=$H$2, Tabella3[[#This Row],[LUN]]="X"), "X",IF(AND('Inserimento dati'!$B$3=$I$2, Tabella3[[#This Row],[MAR]]="X"), "X", IF(AND('Inserimento dati'!$B$3=$J$2, Tabella3[[#This Row],[MER]]="X"), "X",IF(AND('Inserimento dati'!$B$3=$K$2, Tabella3[[#This Row],[GIO]]="X"), "X", IF(AND('Inserimento dati'!$B$3=$L$2, Tabella3[[#This Row],[VEN]]="X"), "X","")))))</f>
        <v/>
      </c>
      <c r="U391" s="129" t="str">
        <f t="shared" ca="1" si="14"/>
        <v>10226807</v>
      </c>
      <c r="V391" s="189">
        <v>45930.833333333336</v>
      </c>
    </row>
    <row r="392" spans="1:22" s="1" customFormat="1" ht="120" x14ac:dyDescent="0.25">
      <c r="A392" s="112"/>
      <c r="B392" s="112"/>
      <c r="C392" s="112" t="str">
        <f>IF(OR(Tabella3[[#This Row],[LUN]]="X",Tabella3[[#This Row],[MAR]]="X",Tabella3[[#This Row],[MER]]="X",Tabella3[[#This Row],[GIO]]="X",Tabella3[[#This Row],[VEN]]="X",),"X","")</f>
        <v/>
      </c>
      <c r="D392" s="113" t="s">
        <v>87</v>
      </c>
      <c r="E392" s="109" t="s">
        <v>2200</v>
      </c>
      <c r="F392" s="109">
        <v>800</v>
      </c>
      <c r="G392" s="109" t="s">
        <v>2199</v>
      </c>
      <c r="H392" s="111"/>
      <c r="I392" s="111"/>
      <c r="J392" s="111"/>
      <c r="K392" s="111"/>
      <c r="L392" s="111"/>
      <c r="M392" s="109" t="s">
        <v>1257</v>
      </c>
      <c r="N392" s="109"/>
      <c r="O392" s="109"/>
      <c r="P392" s="109"/>
      <c r="Q392" s="109" t="s">
        <v>2264</v>
      </c>
      <c r="R392" s="110">
        <v>45838</v>
      </c>
      <c r="S392" s="109" t="s">
        <v>2262</v>
      </c>
      <c r="T392" s="114" t="str">
        <f ca="1">IF(AND('Inserimento dati'!$B$3=$H$2, Tabella3[[#This Row],[LUN]]="X"), "X",IF(AND('Inserimento dati'!$B$3=$I$2, Tabella3[[#This Row],[MAR]]="X"), "X", IF(AND('Inserimento dati'!$B$3=$J$2, Tabella3[[#This Row],[MER]]="X"), "X",IF(AND('Inserimento dati'!$B$3=$K$2, Tabella3[[#This Row],[GIO]]="X"), "X", IF(AND('Inserimento dati'!$B$3=$L$2, Tabella3[[#This Row],[VEN]]="X"), "X","")))))</f>
        <v/>
      </c>
      <c r="U392" s="129" t="str">
        <f t="shared" ca="1" si="14"/>
        <v>10226576</v>
      </c>
      <c r="V392" s="189">
        <v>45930.833333333336</v>
      </c>
    </row>
    <row r="393" spans="1:22" s="1" customFormat="1" ht="30" x14ac:dyDescent="0.25">
      <c r="A393" s="112"/>
      <c r="B393" s="112">
        <v>2</v>
      </c>
      <c r="C393" s="112" t="str">
        <f>IF(OR(Tabella3[[#This Row],[LUN]]="X",Tabella3[[#This Row],[MAR]]="X",Tabella3[[#This Row],[MER]]="X",Tabella3[[#This Row],[GIO]]="X",Tabella3[[#This Row],[VEN]]="X",),"X","")</f>
        <v/>
      </c>
      <c r="D393" s="113" t="s">
        <v>87</v>
      </c>
      <c r="E393" s="109" t="s">
        <v>1470</v>
      </c>
      <c r="F393" s="109">
        <v>1800</v>
      </c>
      <c r="G393" s="109" t="s">
        <v>2052</v>
      </c>
      <c r="H393" s="111"/>
      <c r="I393" s="111"/>
      <c r="J393" s="111"/>
      <c r="K393" s="111"/>
      <c r="L393" s="111"/>
      <c r="M393" s="109" t="s">
        <v>1257</v>
      </c>
      <c r="N393" s="109"/>
      <c r="O393" s="109"/>
      <c r="P393" s="109"/>
      <c r="Q393" s="109" t="s">
        <v>1708</v>
      </c>
      <c r="R393" s="110">
        <v>45824</v>
      </c>
      <c r="S393" s="109" t="s">
        <v>1074</v>
      </c>
      <c r="T393" s="69" t="str">
        <f ca="1">IF(AND('Inserimento dati'!$B$3=$H$2, Tabella3[[#This Row],[LUN]]="X"), "X",IF(AND('Inserimento dati'!$B$3=$I$2, Tabella3[[#This Row],[MAR]]="X"), "X", IF(AND('Inserimento dati'!$B$3=$J$2, Tabella3[[#This Row],[MER]]="X"), "X",IF(AND('Inserimento dati'!$B$3=$K$2, Tabella3[[#This Row],[GIO]]="X"), "X", IF(AND('Inserimento dati'!$B$3=$L$2, Tabella3[[#This Row],[VEN]]="X"), "X","")))))</f>
        <v/>
      </c>
      <c r="U393" s="130" t="str">
        <f t="shared" ca="1" si="14"/>
        <v>10223641</v>
      </c>
      <c r="V393" s="189">
        <v>45930.833333333336</v>
      </c>
    </row>
    <row r="394" spans="1:22" s="1" customFormat="1" ht="45" x14ac:dyDescent="0.25">
      <c r="A394" s="112"/>
      <c r="B394" s="112">
        <v>3</v>
      </c>
      <c r="C394" s="112" t="str">
        <f>IF(OR(Tabella3[[#This Row],[LUN]]="X",Tabella3[[#This Row],[MAR]]="X",Tabella3[[#This Row],[MER]]="X",Tabella3[[#This Row],[GIO]]="X",Tabella3[[#This Row],[VEN]]="X",),"X","")</f>
        <v/>
      </c>
      <c r="D394" s="113" t="s">
        <v>87</v>
      </c>
      <c r="E394" s="109" t="s">
        <v>1467</v>
      </c>
      <c r="F394" s="109">
        <v>1400</v>
      </c>
      <c r="G394" s="109" t="s">
        <v>2055</v>
      </c>
      <c r="H394" s="111"/>
      <c r="I394" s="111"/>
      <c r="J394" s="111"/>
      <c r="K394" s="111"/>
      <c r="L394" s="111"/>
      <c r="M394" s="109" t="s">
        <v>1257</v>
      </c>
      <c r="N394" s="109"/>
      <c r="O394" s="109" t="s">
        <v>23</v>
      </c>
      <c r="P394" s="113" t="s">
        <v>23</v>
      </c>
      <c r="Q394" s="109" t="s">
        <v>1693</v>
      </c>
      <c r="R394" s="110">
        <v>45824</v>
      </c>
      <c r="S394" s="109" t="s">
        <v>50</v>
      </c>
      <c r="T394" s="69" t="str">
        <f ca="1">IF(AND('Inserimento dati'!$B$3=$H$2, Tabella3[[#This Row],[LUN]]="X"), "X",IF(AND('Inserimento dati'!$B$3=$I$2, Tabella3[[#This Row],[MAR]]="X"), "X", IF(AND('Inserimento dati'!$B$3=$J$2, Tabella3[[#This Row],[MER]]="X"), "X",IF(AND('Inserimento dati'!$B$3=$K$2, Tabella3[[#This Row],[GIO]]="X"), "X", IF(AND('Inserimento dati'!$B$3=$L$2, Tabella3[[#This Row],[VEN]]="X"), "X","")))))</f>
        <v/>
      </c>
      <c r="U394" s="130" t="str">
        <f t="shared" ca="1" si="14"/>
        <v>10224410</v>
      </c>
      <c r="V394" s="189">
        <v>45930.833333333336</v>
      </c>
    </row>
    <row r="395" spans="1:22" s="1" customFormat="1" ht="30" x14ac:dyDescent="0.25">
      <c r="A395" s="112"/>
      <c r="B395" s="112">
        <v>2</v>
      </c>
      <c r="C395" s="112" t="str">
        <f>IF(OR(Tabella3[[#This Row],[LUN]]="X",Tabella3[[#This Row],[MAR]]="X",Tabella3[[#This Row],[MER]]="X",Tabella3[[#This Row],[GIO]]="X",Tabella3[[#This Row],[VEN]]="X",),"X","")</f>
        <v/>
      </c>
      <c r="D395" s="113" t="s">
        <v>87</v>
      </c>
      <c r="E395" s="109" t="s">
        <v>1097</v>
      </c>
      <c r="F395" s="109" t="s">
        <v>114</v>
      </c>
      <c r="G395" s="109" t="s">
        <v>2056</v>
      </c>
      <c r="H395" s="111"/>
      <c r="I395" s="111"/>
      <c r="J395" s="111"/>
      <c r="K395" s="111"/>
      <c r="L395" s="111"/>
      <c r="M395" s="109" t="s">
        <v>1257</v>
      </c>
      <c r="N395" s="109" t="s">
        <v>23</v>
      </c>
      <c r="O395" s="109"/>
      <c r="P395" s="109"/>
      <c r="Q395" s="109" t="s">
        <v>2263</v>
      </c>
      <c r="R395" s="110">
        <v>45782</v>
      </c>
      <c r="S395" s="109" t="s">
        <v>302</v>
      </c>
      <c r="T395" s="116" t="str">
        <f ca="1">IF(AND('Inserimento dati'!$B$3=$H$2, Tabella3[[#This Row],[LUN]]="X"), "X",IF(AND('Inserimento dati'!$B$3=$I$2, Tabella3[[#This Row],[MAR]]="X"), "X", IF(AND('Inserimento dati'!$B$3=$J$2, Tabella3[[#This Row],[MER]]="X"), "X",IF(AND('Inserimento dati'!$B$3=$K$2, Tabella3[[#This Row],[GIO]]="X"), "X", IF(AND('Inserimento dati'!$B$3=$L$2, Tabella3[[#This Row],[VEN]]="X"), "X","")))))</f>
        <v/>
      </c>
      <c r="U395" s="143" t="str">
        <f t="shared" ca="1" si="14"/>
        <v>10221652</v>
      </c>
      <c r="V395" s="189">
        <v>45930.833333333336</v>
      </c>
    </row>
    <row r="396" spans="1:22" s="1" customFormat="1" ht="30" x14ac:dyDescent="0.25">
      <c r="A396" s="112"/>
      <c r="B396" s="112">
        <v>2</v>
      </c>
      <c r="C396" s="112" t="str">
        <f>IF(OR(Tabella3[[#This Row],[LUN]]="X",Tabella3[[#This Row],[MAR]]="X",Tabella3[[#This Row],[MER]]="X",Tabella3[[#This Row],[GIO]]="X",Tabella3[[#This Row],[VEN]]="X",),"X","")</f>
        <v/>
      </c>
      <c r="D396" s="113" t="s">
        <v>87</v>
      </c>
      <c r="E396" s="109" t="s">
        <v>1098</v>
      </c>
      <c r="F396" s="109" t="s">
        <v>114</v>
      </c>
      <c r="G396" s="109" t="s">
        <v>2057</v>
      </c>
      <c r="H396" s="111"/>
      <c r="I396" s="111"/>
      <c r="J396" s="111"/>
      <c r="K396" s="111"/>
      <c r="L396" s="111"/>
      <c r="M396" s="109" t="s">
        <v>1257</v>
      </c>
      <c r="N396" s="109" t="s">
        <v>23</v>
      </c>
      <c r="O396" s="109"/>
      <c r="P396" s="109"/>
      <c r="Q396" s="109" t="s">
        <v>2263</v>
      </c>
      <c r="R396" s="110">
        <v>45782</v>
      </c>
      <c r="S396" s="109" t="s">
        <v>302</v>
      </c>
      <c r="T396" s="116" t="str">
        <f ca="1">IF(AND('Inserimento dati'!$B$3=$H$2, Tabella3[[#This Row],[LUN]]="X"), "X",IF(AND('Inserimento dati'!$B$3=$I$2, Tabella3[[#This Row],[MAR]]="X"), "X", IF(AND('Inserimento dati'!$B$3=$J$2, Tabella3[[#This Row],[MER]]="X"), "X",IF(AND('Inserimento dati'!$B$3=$K$2, Tabella3[[#This Row],[GIO]]="X"), "X", IF(AND('Inserimento dati'!$B$3=$L$2, Tabella3[[#This Row],[VEN]]="X"), "X","")))))</f>
        <v/>
      </c>
      <c r="U396" s="143" t="str">
        <f t="shared" ca="1" si="14"/>
        <v>10221651</v>
      </c>
      <c r="V396" s="189">
        <v>45930.833333333336</v>
      </c>
    </row>
    <row r="397" spans="1:22" s="1" customFormat="1" ht="135" x14ac:dyDescent="0.25">
      <c r="A397" s="112"/>
      <c r="B397" s="112">
        <v>1</v>
      </c>
      <c r="C397" s="112" t="str">
        <f>IF(OR(Tabella3[[#This Row],[LUN]]="X",Tabella3[[#This Row],[MAR]]="X",Tabella3[[#This Row],[MER]]="X",Tabella3[[#This Row],[GIO]]="X",Tabella3[[#This Row],[VEN]]="X",),"X","")</f>
        <v/>
      </c>
      <c r="D397" s="113" t="s">
        <v>87</v>
      </c>
      <c r="E397" s="109" t="s">
        <v>1050</v>
      </c>
      <c r="F397" s="109" t="s">
        <v>114</v>
      </c>
      <c r="G397" s="109" t="s">
        <v>2050</v>
      </c>
      <c r="H397" s="111"/>
      <c r="I397" s="111"/>
      <c r="J397" s="111"/>
      <c r="K397" s="111"/>
      <c r="L397" s="111"/>
      <c r="M397" s="109" t="s">
        <v>1257</v>
      </c>
      <c r="N397" s="109" t="s">
        <v>23</v>
      </c>
      <c r="O397" s="109"/>
      <c r="P397" s="109"/>
      <c r="Q397" s="109" t="s">
        <v>1672</v>
      </c>
      <c r="R397" s="110">
        <v>45817</v>
      </c>
      <c r="S397" s="109" t="s">
        <v>1645</v>
      </c>
      <c r="T397" s="116" t="str">
        <f ca="1">IF(AND('Inserimento dati'!$B$3=$H$2, Tabella3[[#This Row],[LUN]]="X"), "X",IF(AND('Inserimento dati'!$B$3=$I$2, Tabella3[[#This Row],[MAR]]="X"), "X", IF(AND('Inserimento dati'!$B$3=$J$2, Tabella3[[#This Row],[MER]]="X"), "X",IF(AND('Inserimento dati'!$B$3=$K$2, Tabella3[[#This Row],[GIO]]="X"), "X", IF(AND('Inserimento dati'!$B$3=$L$2, Tabella3[[#This Row],[VEN]]="X"), "X","")))))</f>
        <v/>
      </c>
      <c r="U397" s="143" t="str">
        <f t="shared" ca="1" si="14"/>
        <v/>
      </c>
      <c r="V397" s="189">
        <v>45930.833333333336</v>
      </c>
    </row>
    <row r="398" spans="1:22" s="1" customFormat="1" ht="30" x14ac:dyDescent="0.25">
      <c r="A398" s="112"/>
      <c r="B398" s="112">
        <v>2</v>
      </c>
      <c r="C398" s="112" t="str">
        <f>IF(OR(Tabella3[[#This Row],[LUN]]="X",Tabella3[[#This Row],[MAR]]="X",Tabella3[[#This Row],[MER]]="X",Tabella3[[#This Row],[GIO]]="X",Tabella3[[#This Row],[VEN]]="X",),"X","")</f>
        <v/>
      </c>
      <c r="D398" s="113" t="s">
        <v>87</v>
      </c>
      <c r="E398" s="109" t="s">
        <v>1338</v>
      </c>
      <c r="F398" s="109">
        <v>1100</v>
      </c>
      <c r="G398" s="109" t="s">
        <v>2058</v>
      </c>
      <c r="H398" s="111"/>
      <c r="I398" s="111"/>
      <c r="J398" s="111"/>
      <c r="K398" s="111"/>
      <c r="L398" s="111"/>
      <c r="M398" s="109" t="s">
        <v>1257</v>
      </c>
      <c r="N398" s="109"/>
      <c r="O398" s="109" t="s">
        <v>23</v>
      </c>
      <c r="P398" s="109" t="s">
        <v>23</v>
      </c>
      <c r="Q398" s="109" t="s">
        <v>1608</v>
      </c>
      <c r="R398" s="110">
        <v>45814</v>
      </c>
      <c r="S398" s="109" t="s">
        <v>50</v>
      </c>
      <c r="T398" s="67" t="str">
        <f ca="1">IF(AND('Inserimento dati'!$B$3=$H$2, Tabella3[[#This Row],[LUN]]="X"), "X",IF(AND('Inserimento dati'!$B$3=$I$2, Tabella3[[#This Row],[MAR]]="X"), "X", IF(AND('Inserimento dati'!$B$3=$J$2, Tabella3[[#This Row],[MER]]="X"), "X",IF(AND('Inserimento dati'!$B$3=$K$2, Tabella3[[#This Row],[GIO]]="X"), "X", IF(AND('Inserimento dati'!$B$3=$L$2, Tabella3[[#This Row],[VEN]]="X"), "X","")))))</f>
        <v/>
      </c>
      <c r="U398" s="143" t="str">
        <f t="shared" ca="1" si="14"/>
        <v>10223633</v>
      </c>
      <c r="V398" s="189">
        <v>45930.833333333336</v>
      </c>
    </row>
    <row r="399" spans="1:22" s="1" customFormat="1" ht="45" x14ac:dyDescent="0.25">
      <c r="A399" s="112"/>
      <c r="B399" s="112">
        <v>3</v>
      </c>
      <c r="C399" s="112" t="str">
        <f>IF(OR(Tabella3[[#This Row],[LUN]]="X",Tabella3[[#This Row],[MAR]]="X",Tabella3[[#This Row],[MER]]="X",Tabella3[[#This Row],[GIO]]="X",Tabella3[[#This Row],[VEN]]="X",),"X","")</f>
        <v/>
      </c>
      <c r="D399" s="113" t="s">
        <v>87</v>
      </c>
      <c r="E399" s="109" t="s">
        <v>1447</v>
      </c>
      <c r="F399" s="109" t="s">
        <v>97</v>
      </c>
      <c r="G399" s="109" t="s">
        <v>2059</v>
      </c>
      <c r="H399" s="111"/>
      <c r="I399" s="111"/>
      <c r="J399" s="111"/>
      <c r="K399" s="111"/>
      <c r="L399" s="111"/>
      <c r="M399" s="109" t="s">
        <v>1257</v>
      </c>
      <c r="N399" s="109"/>
      <c r="O399" s="109"/>
      <c r="P399" s="109"/>
      <c r="Q399" s="109" t="s">
        <v>1494</v>
      </c>
      <c r="R399" s="110"/>
      <c r="S399" s="109"/>
      <c r="T399" s="69" t="str">
        <f ca="1">IF(AND('Inserimento dati'!$B$3=$H$2, Tabella3[[#This Row],[LUN]]="X"), "X",IF(AND('Inserimento dati'!$B$3=$I$2, Tabella3[[#This Row],[MAR]]="X"), "X", IF(AND('Inserimento dati'!$B$3=$J$2, Tabella3[[#This Row],[MER]]="X"), "X",IF(AND('Inserimento dati'!$B$3=$K$2, Tabella3[[#This Row],[GIO]]="X"), "X", IF(AND('Inserimento dati'!$B$3=$L$2, Tabella3[[#This Row],[VEN]]="X"), "X","")))))</f>
        <v/>
      </c>
      <c r="U399" s="130" t="str">
        <f t="shared" ca="1" si="14"/>
        <v>10224189</v>
      </c>
      <c r="V399" s="189">
        <v>45930.833333333336</v>
      </c>
    </row>
    <row r="400" spans="1:22" s="1" customFormat="1" ht="30" x14ac:dyDescent="0.25">
      <c r="A400" s="112"/>
      <c r="B400" s="112">
        <v>4</v>
      </c>
      <c r="C400" s="112" t="str">
        <f>IF(OR(Tabella3[[#This Row],[LUN]]="X",Tabella3[[#This Row],[MAR]]="X",Tabella3[[#This Row],[MER]]="X",Tabella3[[#This Row],[GIO]]="X",Tabella3[[#This Row],[VEN]]="X",),"X","")</f>
        <v/>
      </c>
      <c r="D400" s="113" t="s">
        <v>87</v>
      </c>
      <c r="E400" s="109" t="s">
        <v>1379</v>
      </c>
      <c r="F400" s="109" t="s">
        <v>96</v>
      </c>
      <c r="G400" s="109" t="s">
        <v>2060</v>
      </c>
      <c r="H400" s="111"/>
      <c r="I400" s="111"/>
      <c r="J400" s="111"/>
      <c r="K400" s="111"/>
      <c r="L400" s="111"/>
      <c r="M400" s="109" t="s">
        <v>1257</v>
      </c>
      <c r="N400" s="109"/>
      <c r="O400" s="109"/>
      <c r="P400" s="109"/>
      <c r="Q400" s="109" t="s">
        <v>1373</v>
      </c>
      <c r="R400" s="110">
        <v>45791</v>
      </c>
      <c r="S400" s="109" t="s">
        <v>239</v>
      </c>
      <c r="T400" s="69" t="str">
        <f ca="1">IF(AND('Inserimento dati'!$B$3=$H$2, Tabella3[[#This Row],[LUN]]="X"), "X",IF(AND('Inserimento dati'!$B$3=$I$2, Tabella3[[#This Row],[MAR]]="X"), "X", IF(AND('Inserimento dati'!$B$3=$J$2, Tabella3[[#This Row],[MER]]="X"), "X",IF(AND('Inserimento dati'!$B$3=$K$2, Tabella3[[#This Row],[GIO]]="X"), "X", IF(AND('Inserimento dati'!$B$3=$L$2, Tabella3[[#This Row],[VEN]]="X"), "X","")))))</f>
        <v/>
      </c>
      <c r="U400" s="143" t="str">
        <f t="shared" ca="1" si="14"/>
        <v>10223786</v>
      </c>
      <c r="V400" s="189">
        <v>45930.833333333336</v>
      </c>
    </row>
    <row r="401" spans="1:22" s="1" customFormat="1" ht="30" x14ac:dyDescent="0.25">
      <c r="A401" s="112"/>
      <c r="B401" s="112">
        <v>4</v>
      </c>
      <c r="C401" s="112" t="str">
        <f>IF(OR(Tabella3[[#This Row],[LUN]]="X",Tabella3[[#This Row],[MAR]]="X",Tabella3[[#This Row],[MER]]="X",Tabella3[[#This Row],[GIO]]="X",Tabella3[[#This Row],[VEN]]="X",),"X","")</f>
        <v/>
      </c>
      <c r="D401" s="113" t="s">
        <v>87</v>
      </c>
      <c r="E401" s="109" t="s">
        <v>926</v>
      </c>
      <c r="F401" s="109">
        <v>1400</v>
      </c>
      <c r="G401" s="109" t="s">
        <v>2061</v>
      </c>
      <c r="H401" s="111"/>
      <c r="I401" s="111"/>
      <c r="J401" s="111"/>
      <c r="K401" s="111"/>
      <c r="L401" s="111"/>
      <c r="M401" s="109" t="s">
        <v>1257</v>
      </c>
      <c r="N401" s="109" t="s">
        <v>23</v>
      </c>
      <c r="O401" s="109"/>
      <c r="P401" s="109"/>
      <c r="Q401" s="109" t="s">
        <v>1301</v>
      </c>
      <c r="R401" s="110"/>
      <c r="S401" s="109"/>
      <c r="T401" s="116" t="str">
        <f ca="1">IF(AND('Inserimento dati'!$B$3=$H$2, Tabella3[[#This Row],[LUN]]="X"), "X",IF(AND('Inserimento dati'!$B$3=$I$2, Tabella3[[#This Row],[MAR]]="X"), "X", IF(AND('Inserimento dati'!$B$3=$J$2, Tabella3[[#This Row],[MER]]="X"), "X",IF(AND('Inserimento dati'!$B$3=$K$2, Tabella3[[#This Row],[GIO]]="X"), "X", IF(AND('Inserimento dati'!$B$3=$L$2, Tabella3[[#This Row],[VEN]]="X"), "X","")))))</f>
        <v/>
      </c>
      <c r="U401" s="143" t="str">
        <f t="shared" ca="1" si="14"/>
        <v>10217184</v>
      </c>
      <c r="V401" s="189">
        <v>45930.833333333336</v>
      </c>
    </row>
    <row r="402" spans="1:22" s="1" customFormat="1" ht="30" x14ac:dyDescent="0.25">
      <c r="A402" s="112"/>
      <c r="B402" s="112">
        <v>4</v>
      </c>
      <c r="C402" s="112" t="str">
        <f>IF(OR(Tabella3[[#This Row],[LUN]]="X",Tabella3[[#This Row],[MAR]]="X",Tabella3[[#This Row],[MER]]="X",Tabella3[[#This Row],[GIO]]="X",Tabella3[[#This Row],[VEN]]="X",),"X","")</f>
        <v/>
      </c>
      <c r="D402" s="113" t="s">
        <v>87</v>
      </c>
      <c r="E402" s="109" t="s">
        <v>938</v>
      </c>
      <c r="F402" s="109">
        <v>800</v>
      </c>
      <c r="G402" s="109" t="s">
        <v>2062</v>
      </c>
      <c r="H402" s="111"/>
      <c r="I402" s="111"/>
      <c r="J402" s="111"/>
      <c r="K402" s="111"/>
      <c r="L402" s="111"/>
      <c r="M402" s="109" t="s">
        <v>1257</v>
      </c>
      <c r="N402" s="109"/>
      <c r="O402" s="109"/>
      <c r="P402" s="109"/>
      <c r="Q402" s="109"/>
      <c r="R402" s="110"/>
      <c r="S402" s="109"/>
      <c r="T402" s="116" t="str">
        <f ca="1">IF(AND('Inserimento dati'!$B$3=$H$2, Tabella3[[#This Row],[LUN]]="X"), "X",IF(AND('Inserimento dati'!$B$3=$I$2, Tabella3[[#This Row],[MAR]]="X"), "X", IF(AND('Inserimento dati'!$B$3=$J$2, Tabella3[[#This Row],[MER]]="X"), "X",IF(AND('Inserimento dati'!$B$3=$K$2, Tabella3[[#This Row],[GIO]]="X"), "X", IF(AND('Inserimento dati'!$B$3=$L$2, Tabella3[[#This Row],[VEN]]="X"), "X","")))))</f>
        <v/>
      </c>
      <c r="U402" s="143" t="str">
        <f t="shared" ca="1" si="14"/>
        <v>10220466</v>
      </c>
      <c r="V402" s="189">
        <v>45930.833333333336</v>
      </c>
    </row>
    <row r="403" spans="1:22" s="1" customFormat="1" ht="30" x14ac:dyDescent="0.25">
      <c r="A403" s="112"/>
      <c r="B403" s="112">
        <v>4</v>
      </c>
      <c r="C403" s="112" t="str">
        <f>IF(OR(Tabella3[[#This Row],[LUN]]="X",Tabella3[[#This Row],[MAR]]="X",Tabella3[[#This Row],[MER]]="X",Tabella3[[#This Row],[GIO]]="X",Tabella3[[#This Row],[VEN]]="X",),"X","")</f>
        <v/>
      </c>
      <c r="D403" s="113" t="s">
        <v>87</v>
      </c>
      <c r="E403" s="109" t="s">
        <v>815</v>
      </c>
      <c r="F403" s="109" t="s">
        <v>93</v>
      </c>
      <c r="G403" s="109" t="s">
        <v>2063</v>
      </c>
      <c r="H403" s="111"/>
      <c r="I403" s="111"/>
      <c r="J403" s="111"/>
      <c r="K403" s="111"/>
      <c r="L403" s="111"/>
      <c r="M403" s="109" t="s">
        <v>1257</v>
      </c>
      <c r="N403" s="109" t="s">
        <v>23</v>
      </c>
      <c r="O403" s="109"/>
      <c r="P403" s="109"/>
      <c r="Q403" s="109" t="s">
        <v>1191</v>
      </c>
      <c r="R403" s="110">
        <v>45775</v>
      </c>
      <c r="S403" s="109" t="s">
        <v>1186</v>
      </c>
      <c r="T403" s="116" t="str">
        <f ca="1">IF(AND('Inserimento dati'!$B$3=$H$2, Tabella3[[#This Row],[LUN]]="X"), "X",IF(AND('Inserimento dati'!$B$3=$I$2, Tabella3[[#This Row],[MAR]]="X"), "X", IF(AND('Inserimento dati'!$B$3=$J$2, Tabella3[[#This Row],[MER]]="X"), "X",IF(AND('Inserimento dati'!$B$3=$K$2, Tabella3[[#This Row],[GIO]]="X"), "X", IF(AND('Inserimento dati'!$B$3=$L$2, Tabella3[[#This Row],[VEN]]="X"), "X","")))))</f>
        <v/>
      </c>
      <c r="U403" s="143" t="str">
        <f t="shared" ca="1" si="14"/>
        <v>10218827</v>
      </c>
      <c r="V403" s="189">
        <v>45930.833333333336</v>
      </c>
    </row>
    <row r="404" spans="1:22" s="1" customFormat="1" ht="23.25" x14ac:dyDescent="0.25">
      <c r="A404" s="112"/>
      <c r="B404" s="112">
        <v>4</v>
      </c>
      <c r="C404" s="112" t="str">
        <f>IF(OR(Tabella3[[#This Row],[LUN]]="X",Tabella3[[#This Row],[MAR]]="X",Tabella3[[#This Row],[MER]]="X",Tabella3[[#This Row],[GIO]]="X",Tabella3[[#This Row],[VEN]]="X",),"X","")</f>
        <v/>
      </c>
      <c r="D404" s="113" t="s">
        <v>87</v>
      </c>
      <c r="E404" s="109" t="s">
        <v>1067</v>
      </c>
      <c r="F404" s="109" t="s">
        <v>88</v>
      </c>
      <c r="G404" s="109" t="s">
        <v>2064</v>
      </c>
      <c r="H404" s="111"/>
      <c r="I404" s="111"/>
      <c r="J404" s="111"/>
      <c r="K404" s="111"/>
      <c r="L404" s="111"/>
      <c r="M404" s="109" t="s">
        <v>1257</v>
      </c>
      <c r="N404" s="109"/>
      <c r="O404" s="109"/>
      <c r="P404" s="109"/>
      <c r="Q404" s="109" t="s">
        <v>1120</v>
      </c>
      <c r="R404" s="110"/>
      <c r="S404" s="110"/>
      <c r="T404" s="112" t="str">
        <f ca="1">IF(AND('Inserimento dati'!$B$3=$H$2, Tabella3[[#This Row],[LUN]]="X"), "X",IF(AND('Inserimento dati'!$B$3=$I$2, Tabella3[[#This Row],[MAR]]="X"), "X", IF(AND('Inserimento dati'!$B$3=$J$2, Tabella3[[#This Row],[MER]]="X"), "X",IF(AND('Inserimento dati'!$B$3=$K$2, Tabella3[[#This Row],[GIO]]="X"), "X", IF(AND('Inserimento dati'!$B$3=$L$2, Tabella3[[#This Row],[VEN]]="X"), "X","")))))</f>
        <v/>
      </c>
      <c r="U404" s="143" t="str">
        <f t="shared" ca="1" si="14"/>
        <v>10215992</v>
      </c>
      <c r="V404" s="189">
        <v>45930.833333333336</v>
      </c>
    </row>
    <row r="405" spans="1:22" s="1" customFormat="1" ht="30" x14ac:dyDescent="0.25">
      <c r="A405" s="112"/>
      <c r="B405" s="112">
        <v>4</v>
      </c>
      <c r="C405" s="112" t="str">
        <f>IF(OR(Tabella3[[#This Row],[LUN]]="X",Tabella3[[#This Row],[MAR]]="X",Tabella3[[#This Row],[MER]]="X",Tabella3[[#This Row],[GIO]]="X",Tabella3[[#This Row],[VEN]]="X",),"X","")</f>
        <v/>
      </c>
      <c r="D405" s="113" t="s">
        <v>87</v>
      </c>
      <c r="E405" s="109" t="s">
        <v>1064</v>
      </c>
      <c r="F405" s="109">
        <v>1800</v>
      </c>
      <c r="G405" s="109" t="s">
        <v>2065</v>
      </c>
      <c r="H405" s="111"/>
      <c r="I405" s="111"/>
      <c r="J405" s="111"/>
      <c r="K405" s="111"/>
      <c r="L405" s="111"/>
      <c r="M405" s="109" t="s">
        <v>1257</v>
      </c>
      <c r="N405" s="109"/>
      <c r="O405" s="109"/>
      <c r="P405" s="109"/>
      <c r="Q405" s="109" t="s">
        <v>1052</v>
      </c>
      <c r="R405" s="110">
        <v>45715</v>
      </c>
      <c r="S405" s="109" t="s">
        <v>102</v>
      </c>
      <c r="T405" s="116" t="str">
        <f ca="1">IF(AND('Inserimento dati'!$B$3=$H$2, Tabella3[[#This Row],[LUN]]="X"), "X",IF(AND('Inserimento dati'!$B$3=$I$2, Tabella3[[#This Row],[MAR]]="X"), "X", IF(AND('Inserimento dati'!$B$3=$J$2, Tabella3[[#This Row],[MER]]="X"), "X",IF(AND('Inserimento dati'!$B$3=$K$2, Tabella3[[#This Row],[GIO]]="X"), "X", IF(AND('Inserimento dati'!$B$3=$L$2, Tabella3[[#This Row],[VEN]]="X"), "X","")))))</f>
        <v/>
      </c>
      <c r="U405" s="143" t="str">
        <f t="shared" ca="1" si="14"/>
        <v/>
      </c>
      <c r="V405" s="189">
        <v>45930.833333333336</v>
      </c>
    </row>
    <row r="406" spans="1:22" s="1" customFormat="1" ht="45" x14ac:dyDescent="0.25">
      <c r="A406" s="112"/>
      <c r="B406" s="112">
        <v>4</v>
      </c>
      <c r="C406" s="112" t="str">
        <f>IF(OR(Tabella3[[#This Row],[LUN]]="X",Tabella3[[#This Row],[MAR]]="X",Tabella3[[#This Row],[MER]]="X",Tabella3[[#This Row],[GIO]]="X",Tabella3[[#This Row],[VEN]]="X",),"X","")</f>
        <v/>
      </c>
      <c r="D406" s="113" t="s">
        <v>87</v>
      </c>
      <c r="E406" s="109" t="s">
        <v>1051</v>
      </c>
      <c r="F406" s="109">
        <v>1800</v>
      </c>
      <c r="G406" s="109" t="s">
        <v>2066</v>
      </c>
      <c r="H406" s="111"/>
      <c r="I406" s="111"/>
      <c r="J406" s="111"/>
      <c r="K406" s="111"/>
      <c r="L406" s="111"/>
      <c r="M406" s="109" t="s">
        <v>1257</v>
      </c>
      <c r="N406" s="109"/>
      <c r="O406" s="109"/>
      <c r="P406" s="109"/>
      <c r="Q406" s="109" t="s">
        <v>1382</v>
      </c>
      <c r="R406" s="110">
        <v>45756</v>
      </c>
      <c r="S406" s="109" t="s">
        <v>1048</v>
      </c>
      <c r="T406" s="116" t="str">
        <f ca="1">IF(AND('Inserimento dati'!$B$3=$H$2, Tabella3[[#This Row],[LUN]]="X"), "X",IF(AND('Inserimento dati'!$B$3=$I$2, Tabella3[[#This Row],[MAR]]="X"), "X", IF(AND('Inserimento dati'!$B$3=$J$2, Tabella3[[#This Row],[MER]]="X"), "X",IF(AND('Inserimento dati'!$B$3=$K$2, Tabella3[[#This Row],[GIO]]="X"), "X", IF(AND('Inserimento dati'!$B$3=$L$2, Tabella3[[#This Row],[VEN]]="X"), "X","")))))</f>
        <v/>
      </c>
      <c r="U406" s="143" t="str">
        <f t="shared" ca="1" si="14"/>
        <v/>
      </c>
      <c r="V406" s="189">
        <v>45930.833333333336</v>
      </c>
    </row>
    <row r="407" spans="1:22" s="1" customFormat="1" ht="30" x14ac:dyDescent="0.25">
      <c r="A407" s="112"/>
      <c r="B407" s="112">
        <v>4</v>
      </c>
      <c r="C407" s="112" t="str">
        <f>IF(OR(Tabella3[[#This Row],[LUN]]="X",Tabella3[[#This Row],[MAR]]="X",Tabella3[[#This Row],[MER]]="X",Tabella3[[#This Row],[GIO]]="X",Tabella3[[#This Row],[VEN]]="X",),"X","")</f>
        <v/>
      </c>
      <c r="D407" s="113" t="s">
        <v>87</v>
      </c>
      <c r="E407" s="109" t="s">
        <v>676</v>
      </c>
      <c r="F407" s="109" t="s">
        <v>96</v>
      </c>
      <c r="G407" s="109" t="s">
        <v>2067</v>
      </c>
      <c r="H407" s="111"/>
      <c r="I407" s="111"/>
      <c r="J407" s="111"/>
      <c r="K407" s="111"/>
      <c r="L407" s="111"/>
      <c r="M407" s="109" t="s">
        <v>1257</v>
      </c>
      <c r="N407" s="109"/>
      <c r="O407" s="109"/>
      <c r="P407" s="109"/>
      <c r="Q407" s="109" t="s">
        <v>881</v>
      </c>
      <c r="R407" s="110">
        <v>45726</v>
      </c>
      <c r="S407" s="109" t="s">
        <v>211</v>
      </c>
      <c r="T407" s="116" t="str">
        <f ca="1">IF(AND('Inserimento dati'!$B$3=$H$2, Tabella3[[#This Row],[LUN]]="X"), "X",IF(AND('Inserimento dati'!$B$3=$I$2, Tabella3[[#This Row],[MAR]]="X"), "X", IF(AND('Inserimento dati'!$B$3=$J$2, Tabella3[[#This Row],[MER]]="X"), "X",IF(AND('Inserimento dati'!$B$3=$K$2, Tabella3[[#This Row],[GIO]]="X"), "X", IF(AND('Inserimento dati'!$B$3=$L$2, Tabella3[[#This Row],[VEN]]="X"), "X","")))))</f>
        <v/>
      </c>
      <c r="U407" s="143" t="str">
        <f t="shared" ca="1" si="14"/>
        <v/>
      </c>
      <c r="V407" s="189">
        <v>45930.833333333336</v>
      </c>
    </row>
    <row r="408" spans="1:22" s="1" customFormat="1" ht="30" x14ac:dyDescent="0.25">
      <c r="A408" s="112"/>
      <c r="B408" s="112">
        <v>4</v>
      </c>
      <c r="C408" s="112" t="str">
        <f>IF(OR(Tabella3[[#This Row],[LUN]]="X",Tabella3[[#This Row],[MAR]]="X",Tabella3[[#This Row],[MER]]="X",Tabella3[[#This Row],[GIO]]="X",Tabella3[[#This Row],[VEN]]="X",),"X","")</f>
        <v/>
      </c>
      <c r="D408" s="113" t="s">
        <v>87</v>
      </c>
      <c r="E408" s="109" t="s">
        <v>796</v>
      </c>
      <c r="F408" s="109">
        <v>1100</v>
      </c>
      <c r="G408" s="109" t="s">
        <v>2068</v>
      </c>
      <c r="H408" s="111"/>
      <c r="I408" s="111"/>
      <c r="J408" s="111"/>
      <c r="K408" s="111"/>
      <c r="L408" s="111"/>
      <c r="M408" s="109" t="s">
        <v>1257</v>
      </c>
      <c r="N408" s="109"/>
      <c r="O408" s="109"/>
      <c r="P408" s="109"/>
      <c r="Q408" s="109" t="s">
        <v>835</v>
      </c>
      <c r="R408" s="110">
        <v>45720</v>
      </c>
      <c r="S408" s="109" t="s">
        <v>616</v>
      </c>
      <c r="T408" s="116" t="str">
        <f ca="1">IF(AND('Inserimento dati'!$B$3=$H$2, Tabella3[[#This Row],[LUN]]="X"), "X",IF(AND('Inserimento dati'!$B$3=$I$2, Tabella3[[#This Row],[MAR]]="X"), "X", IF(AND('Inserimento dati'!$B$3=$J$2, Tabella3[[#This Row],[MER]]="X"), "X",IF(AND('Inserimento dati'!$B$3=$K$2, Tabella3[[#This Row],[GIO]]="X"), "X", IF(AND('Inserimento dati'!$B$3=$L$2, Tabella3[[#This Row],[VEN]]="X"), "X","")))))</f>
        <v/>
      </c>
      <c r="U408" s="143" t="str">
        <f t="shared" ca="1" si="14"/>
        <v/>
      </c>
      <c r="V408" s="189">
        <v>45930.833333333336</v>
      </c>
    </row>
    <row r="409" spans="1:22" s="1" customFormat="1" ht="30" x14ac:dyDescent="0.25">
      <c r="A409" s="112"/>
      <c r="B409" s="112">
        <v>4</v>
      </c>
      <c r="C409" s="112" t="str">
        <f>IF(OR(Tabella3[[#This Row],[LUN]]="X",Tabella3[[#This Row],[MAR]]="X",Tabella3[[#This Row],[MER]]="X",Tabella3[[#This Row],[GIO]]="X",Tabella3[[#This Row],[VEN]]="X",),"X","")</f>
        <v/>
      </c>
      <c r="D409" s="113" t="s">
        <v>87</v>
      </c>
      <c r="E409" s="109" t="s">
        <v>795</v>
      </c>
      <c r="F409" s="109">
        <v>800</v>
      </c>
      <c r="G409" s="109" t="s">
        <v>2069</v>
      </c>
      <c r="H409" s="111"/>
      <c r="I409" s="111"/>
      <c r="J409" s="111"/>
      <c r="K409" s="111"/>
      <c r="L409" s="111"/>
      <c r="M409" s="109" t="s">
        <v>1257</v>
      </c>
      <c r="N409" s="109"/>
      <c r="O409" s="109"/>
      <c r="P409" s="109"/>
      <c r="Q409" s="109" t="s">
        <v>814</v>
      </c>
      <c r="R409" s="110">
        <v>45719</v>
      </c>
      <c r="S409" s="109" t="s">
        <v>616</v>
      </c>
      <c r="T409" s="116" t="str">
        <f ca="1">IF(AND('Inserimento dati'!$B$3=$H$2, Tabella3[[#This Row],[LUN]]="X"), "X",IF(AND('Inserimento dati'!$B$3=$I$2, Tabella3[[#This Row],[MAR]]="X"), "X", IF(AND('Inserimento dati'!$B$3=$J$2, Tabella3[[#This Row],[MER]]="X"), "X",IF(AND('Inserimento dati'!$B$3=$K$2, Tabella3[[#This Row],[GIO]]="X"), "X", IF(AND('Inserimento dati'!$B$3=$L$2, Tabella3[[#This Row],[VEN]]="X"), "X","")))))</f>
        <v/>
      </c>
      <c r="U409" s="143" t="str">
        <f t="shared" ca="1" si="14"/>
        <v/>
      </c>
      <c r="V409" s="189">
        <v>45930.833333333336</v>
      </c>
    </row>
    <row r="410" spans="1:22" s="1" customFormat="1" ht="30" x14ac:dyDescent="0.25">
      <c r="A410" s="112"/>
      <c r="B410" s="112">
        <v>4</v>
      </c>
      <c r="C410" s="112" t="str">
        <f>IF(OR(Tabella3[[#This Row],[LUN]]="X",Tabella3[[#This Row],[MAR]]="X",Tabella3[[#This Row],[MER]]="X",Tabella3[[#This Row],[GIO]]="X",Tabella3[[#This Row],[VEN]]="X",),"X","")</f>
        <v/>
      </c>
      <c r="D410" s="113" t="s">
        <v>87</v>
      </c>
      <c r="E410" s="109" t="s">
        <v>749</v>
      </c>
      <c r="F410" s="109">
        <v>800</v>
      </c>
      <c r="G410" s="109" t="s">
        <v>2070</v>
      </c>
      <c r="H410" s="111"/>
      <c r="I410" s="111"/>
      <c r="J410" s="111"/>
      <c r="K410" s="111"/>
      <c r="L410" s="111"/>
      <c r="M410" s="109" t="s">
        <v>1257</v>
      </c>
      <c r="N410" s="109" t="s">
        <v>23</v>
      </c>
      <c r="O410" s="109"/>
      <c r="P410" s="109"/>
      <c r="Q410" s="109" t="s">
        <v>738</v>
      </c>
      <c r="R410" s="110">
        <v>45707</v>
      </c>
      <c r="S410" s="109" t="s">
        <v>150</v>
      </c>
      <c r="T410" s="116" t="str">
        <f ca="1">IF(AND('Inserimento dati'!$B$3=$H$2, Tabella3[[#This Row],[LUN]]="X"), "X",IF(AND('Inserimento dati'!$B$3=$I$2, Tabella3[[#This Row],[MAR]]="X"), "X", IF(AND('Inserimento dati'!$B$3=$J$2, Tabella3[[#This Row],[MER]]="X"), "X",IF(AND('Inserimento dati'!$B$3=$K$2, Tabella3[[#This Row],[GIO]]="X"), "X", IF(AND('Inserimento dati'!$B$3=$L$2, Tabella3[[#This Row],[VEN]]="X"), "X","")))))</f>
        <v/>
      </c>
      <c r="U410" s="143" t="str">
        <f t="shared" ca="1" si="14"/>
        <v/>
      </c>
      <c r="V410" s="189">
        <v>45930.833333333336</v>
      </c>
    </row>
    <row r="411" spans="1:22" s="1" customFormat="1" ht="30" x14ac:dyDescent="0.25">
      <c r="A411" s="112"/>
      <c r="B411" s="112">
        <v>4</v>
      </c>
      <c r="C411" s="112" t="str">
        <f>IF(OR(Tabella3[[#This Row],[LUN]]="X",Tabella3[[#This Row],[MAR]]="X",Tabella3[[#This Row],[MER]]="X",Tabella3[[#This Row],[GIO]]="X",Tabella3[[#This Row],[VEN]]="X",),"X","")</f>
        <v/>
      </c>
      <c r="D411" s="113" t="s">
        <v>87</v>
      </c>
      <c r="E411" s="109" t="s">
        <v>637</v>
      </c>
      <c r="F411" s="109" t="s">
        <v>92</v>
      </c>
      <c r="G411" s="109" t="s">
        <v>2071</v>
      </c>
      <c r="H411" s="111"/>
      <c r="I411" s="111"/>
      <c r="J411" s="111"/>
      <c r="K411" s="111"/>
      <c r="L411" s="111"/>
      <c r="M411" s="109" t="s">
        <v>1257</v>
      </c>
      <c r="N411" s="109" t="s">
        <v>23</v>
      </c>
      <c r="O411" s="109" t="s">
        <v>23</v>
      </c>
      <c r="P411" s="109"/>
      <c r="Q411" s="109" t="s">
        <v>703</v>
      </c>
      <c r="R411" s="110">
        <v>45694</v>
      </c>
      <c r="S411" s="110" t="s">
        <v>50</v>
      </c>
      <c r="T411" s="116" t="str">
        <f ca="1">IF(AND('Inserimento dati'!$B$3=$H$2, Tabella3[[#This Row],[LUN]]="X"), "X",IF(AND('Inserimento dati'!$B$3=$I$2, Tabella3[[#This Row],[MAR]]="X"), "X", IF(AND('Inserimento dati'!$B$3=$J$2, Tabella3[[#This Row],[MER]]="X"), "X",IF(AND('Inserimento dati'!$B$3=$K$2, Tabella3[[#This Row],[GIO]]="X"), "X", IF(AND('Inserimento dati'!$B$3=$L$2, Tabella3[[#This Row],[VEN]]="X"), "X","")))))</f>
        <v/>
      </c>
      <c r="U411" s="143" t="str">
        <f t="shared" ca="1" si="14"/>
        <v/>
      </c>
      <c r="V411" s="189">
        <v>45930.833333333336</v>
      </c>
    </row>
    <row r="412" spans="1:22" s="1" customFormat="1" ht="30" x14ac:dyDescent="0.25">
      <c r="A412" s="112"/>
      <c r="B412" s="112">
        <v>4</v>
      </c>
      <c r="C412" s="112" t="str">
        <f>IF(OR(Tabella3[[#This Row],[LUN]]="X",Tabella3[[#This Row],[MAR]]="X",Tabella3[[#This Row],[MER]]="X",Tabella3[[#This Row],[GIO]]="X",Tabella3[[#This Row],[VEN]]="X",),"X","")</f>
        <v/>
      </c>
      <c r="D412" s="113" t="s">
        <v>87</v>
      </c>
      <c r="E412" s="109" t="s">
        <v>508</v>
      </c>
      <c r="F412" s="109" t="s">
        <v>97</v>
      </c>
      <c r="G412" s="109" t="s">
        <v>2072</v>
      </c>
      <c r="H412" s="111"/>
      <c r="I412" s="111"/>
      <c r="J412" s="111"/>
      <c r="K412" s="111"/>
      <c r="L412" s="111"/>
      <c r="M412" s="109" t="s">
        <v>1257</v>
      </c>
      <c r="N412" s="109"/>
      <c r="O412" s="109" t="s">
        <v>23</v>
      </c>
      <c r="P412" s="109"/>
      <c r="Q412" s="109" t="s">
        <v>689</v>
      </c>
      <c r="R412" s="110">
        <v>45694</v>
      </c>
      <c r="S412" s="110" t="s">
        <v>50</v>
      </c>
      <c r="T412" s="112" t="str">
        <f ca="1">IF(AND('Inserimento dati'!$B$3=$H$2, Tabella3[[#This Row],[LUN]]="X"), "X",IF(AND('Inserimento dati'!$B$3=$I$2, Tabella3[[#This Row],[MAR]]="X"), "X", IF(AND('Inserimento dati'!$B$3=$J$2, Tabella3[[#This Row],[MER]]="X"), "X",IF(AND('Inserimento dati'!$B$3=$K$2, Tabella3[[#This Row],[GIO]]="X"), "X", IF(AND('Inserimento dati'!$B$3=$L$2, Tabella3[[#This Row],[VEN]]="X"), "X","")))))</f>
        <v/>
      </c>
      <c r="U412" s="143" t="str">
        <f t="shared" ca="1" si="14"/>
        <v/>
      </c>
      <c r="V412" s="189">
        <v>45930.833333333336</v>
      </c>
    </row>
    <row r="413" spans="1:22" s="1" customFormat="1" ht="30" x14ac:dyDescent="0.25">
      <c r="A413" s="112"/>
      <c r="B413" s="112">
        <v>4</v>
      </c>
      <c r="C413" s="112" t="str">
        <f>IF(OR(Tabella3[[#This Row],[LUN]]="X",Tabella3[[#This Row],[MAR]]="X",Tabella3[[#This Row],[MER]]="X",Tabella3[[#This Row],[GIO]]="X",Tabella3[[#This Row],[VEN]]="X",),"X","")</f>
        <v/>
      </c>
      <c r="D413" s="113" t="s">
        <v>87</v>
      </c>
      <c r="E413" s="109" t="s">
        <v>509</v>
      </c>
      <c r="F413" s="109" t="s">
        <v>97</v>
      </c>
      <c r="G413" s="109" t="s">
        <v>2073</v>
      </c>
      <c r="H413" s="111"/>
      <c r="I413" s="111"/>
      <c r="J413" s="111"/>
      <c r="K413" s="111"/>
      <c r="L413" s="111"/>
      <c r="M413" s="109" t="s">
        <v>1257</v>
      </c>
      <c r="N413" s="109" t="s">
        <v>23</v>
      </c>
      <c r="O413" s="109" t="s">
        <v>23</v>
      </c>
      <c r="P413" s="109"/>
      <c r="Q413" s="109" t="s">
        <v>690</v>
      </c>
      <c r="R413" s="110">
        <v>45694</v>
      </c>
      <c r="S413" s="110" t="s">
        <v>50</v>
      </c>
      <c r="T413" s="112" t="str">
        <f ca="1">IF(AND('Inserimento dati'!$B$3=$H$2, Tabella3[[#This Row],[LUN]]="X"), "X",IF(AND('Inserimento dati'!$B$3=$I$2, Tabella3[[#This Row],[MAR]]="X"), "X", IF(AND('Inserimento dati'!$B$3=$J$2, Tabella3[[#This Row],[MER]]="X"), "X",IF(AND('Inserimento dati'!$B$3=$K$2, Tabella3[[#This Row],[GIO]]="X"), "X", IF(AND('Inserimento dati'!$B$3=$L$2, Tabella3[[#This Row],[VEN]]="X"), "X","")))))</f>
        <v/>
      </c>
      <c r="U413" s="143" t="str">
        <f t="shared" ca="1" si="14"/>
        <v/>
      </c>
      <c r="V413" s="189">
        <v>45930.833333333336</v>
      </c>
    </row>
    <row r="414" spans="1:22" s="1" customFormat="1" ht="30" x14ac:dyDescent="0.25">
      <c r="A414" s="112"/>
      <c r="B414" s="112">
        <v>4</v>
      </c>
      <c r="C414" s="112" t="str">
        <f>IF(OR(Tabella3[[#This Row],[LUN]]="X",Tabella3[[#This Row],[MAR]]="X",Tabella3[[#This Row],[MER]]="X",Tabella3[[#This Row],[GIO]]="X",Tabella3[[#This Row],[VEN]]="X",),"X","")</f>
        <v/>
      </c>
      <c r="D414" s="113" t="s">
        <v>87</v>
      </c>
      <c r="E414" s="109" t="s">
        <v>510</v>
      </c>
      <c r="F414" s="109" t="s">
        <v>88</v>
      </c>
      <c r="G414" s="109" t="s">
        <v>2074</v>
      </c>
      <c r="H414" s="111"/>
      <c r="I414" s="111"/>
      <c r="J414" s="111"/>
      <c r="K414" s="111"/>
      <c r="L414" s="111"/>
      <c r="M414" s="109" t="s">
        <v>1257</v>
      </c>
      <c r="N414" s="109"/>
      <c r="O414" s="109"/>
      <c r="P414" s="109" t="s">
        <v>23</v>
      </c>
      <c r="Q414" s="109" t="s">
        <v>641</v>
      </c>
      <c r="R414" s="110">
        <v>45694</v>
      </c>
      <c r="S414" s="110" t="s">
        <v>50</v>
      </c>
      <c r="T414" s="112" t="str">
        <f ca="1">IF(AND('Inserimento dati'!$B$3=$H$2, Tabella3[[#This Row],[LUN]]="X"), "X",IF(AND('Inserimento dati'!$B$3=$I$2, Tabella3[[#This Row],[MAR]]="X"), "X", IF(AND('Inserimento dati'!$B$3=$J$2, Tabella3[[#This Row],[MER]]="X"), "X",IF(AND('Inserimento dati'!$B$3=$K$2, Tabella3[[#This Row],[GIO]]="X"), "X", IF(AND('Inserimento dati'!$B$3=$L$2, Tabella3[[#This Row],[VEN]]="X"), "X","")))))</f>
        <v/>
      </c>
      <c r="U414" s="143" t="str">
        <f t="shared" ref="U414:U443" ca="1" si="15">IFERROR(MID(G414,_xlfn.AGGREGATE(15,6,(ROW(INDIRECT("1:"&amp;LEN(G414)-7)))/(ISNUMBER(--MID(G414,ROW(INDIRECT("1:"&amp;LEN(G414)-7)),8))),1),8),"")</f>
        <v/>
      </c>
      <c r="V414" s="189">
        <v>45930.833333333336</v>
      </c>
    </row>
    <row r="415" spans="1:22" s="1" customFormat="1" ht="45" x14ac:dyDescent="0.25">
      <c r="A415" s="112"/>
      <c r="B415" s="112">
        <v>4</v>
      </c>
      <c r="C415" s="112" t="str">
        <f>IF(OR(Tabella3[[#This Row],[LUN]]="X",Tabella3[[#This Row],[MAR]]="X",Tabella3[[#This Row],[MER]]="X",Tabella3[[#This Row],[GIO]]="X",Tabella3[[#This Row],[VEN]]="X",),"X","")</f>
        <v/>
      </c>
      <c r="D415" s="113" t="s">
        <v>87</v>
      </c>
      <c r="E415" s="109" t="s">
        <v>441</v>
      </c>
      <c r="F415" s="109" t="s">
        <v>97</v>
      </c>
      <c r="G415" s="109" t="s">
        <v>2075</v>
      </c>
      <c r="H415" s="111"/>
      <c r="I415" s="111"/>
      <c r="J415" s="111"/>
      <c r="K415" s="111"/>
      <c r="L415" s="111"/>
      <c r="M415" s="109" t="s">
        <v>1257</v>
      </c>
      <c r="N415" s="109" t="s">
        <v>23</v>
      </c>
      <c r="O415" s="109"/>
      <c r="P415" s="109"/>
      <c r="Q415" s="109" t="s">
        <v>408</v>
      </c>
      <c r="R415" s="110">
        <v>45673</v>
      </c>
      <c r="S415" s="110" t="s">
        <v>150</v>
      </c>
      <c r="T415" s="112" t="str">
        <f ca="1">IF(AND('Inserimento dati'!$B$3=$H$2, Tabella3[[#This Row],[LUN]]="X"), "X",IF(AND('Inserimento dati'!$B$3=$I$2, Tabella3[[#This Row],[MAR]]="X"), "X", IF(AND('Inserimento dati'!$B$3=$J$2, Tabella3[[#This Row],[MER]]="X"), "X",IF(AND('Inserimento dati'!$B$3=$K$2, Tabella3[[#This Row],[GIO]]="X"), "X", IF(AND('Inserimento dati'!$B$3=$L$2, Tabella3[[#This Row],[VEN]]="X"), "X","")))))</f>
        <v/>
      </c>
      <c r="U415" s="143" t="str">
        <f t="shared" ca="1" si="15"/>
        <v/>
      </c>
      <c r="V415" s="189">
        <v>45930.833333333336</v>
      </c>
    </row>
    <row r="416" spans="1:22" s="1" customFormat="1" ht="45" x14ac:dyDescent="0.25">
      <c r="A416" s="112"/>
      <c r="B416" s="112">
        <v>4</v>
      </c>
      <c r="C416" s="112" t="str">
        <f>IF(OR(Tabella3[[#This Row],[LUN]]="X",Tabella3[[#This Row],[MAR]]="X",Tabella3[[#This Row],[MER]]="X",Tabella3[[#This Row],[GIO]]="X",Tabella3[[#This Row],[VEN]]="X",),"X","")</f>
        <v/>
      </c>
      <c r="D416" s="113" t="s">
        <v>87</v>
      </c>
      <c r="E416" s="109" t="s">
        <v>101</v>
      </c>
      <c r="F416" s="109" t="s">
        <v>93</v>
      </c>
      <c r="G416" s="109" t="s">
        <v>2076</v>
      </c>
      <c r="H416" s="111"/>
      <c r="I416" s="111"/>
      <c r="J416" s="111"/>
      <c r="K416" s="111"/>
      <c r="L416" s="111"/>
      <c r="M416" s="109" t="s">
        <v>1257</v>
      </c>
      <c r="N416" s="109"/>
      <c r="O416" s="109"/>
      <c r="P416" s="109" t="s">
        <v>23</v>
      </c>
      <c r="Q416" s="109" t="s">
        <v>276</v>
      </c>
      <c r="R416" s="110">
        <v>45621</v>
      </c>
      <c r="S416" s="110" t="s">
        <v>11</v>
      </c>
      <c r="T416" s="116" t="str">
        <f ca="1">IF(AND('Inserimento dati'!$B$3=$H$2, Tabella3[[#This Row],[LUN]]="X"), "X",IF(AND('Inserimento dati'!$B$3=$I$2, Tabella3[[#This Row],[MAR]]="X"), "X", IF(AND('Inserimento dati'!$B$3=$J$2, Tabella3[[#This Row],[MER]]="X"), "X",IF(AND('Inserimento dati'!$B$3=$K$2, Tabella3[[#This Row],[GIO]]="X"), "X", IF(AND('Inserimento dati'!$B$3=$L$2, Tabella3[[#This Row],[VEN]]="X"), "X","")))))</f>
        <v/>
      </c>
      <c r="U416" s="143" t="str">
        <f t="shared" ca="1" si="15"/>
        <v/>
      </c>
      <c r="V416" s="189">
        <v>45930.833333333336</v>
      </c>
    </row>
    <row r="417" spans="1:22" s="1" customFormat="1" ht="30" x14ac:dyDescent="0.25">
      <c r="A417" s="112"/>
      <c r="B417" s="112">
        <v>4</v>
      </c>
      <c r="C417" s="112" t="str">
        <f>IF(OR(Tabella3[[#This Row],[LUN]]="X",Tabella3[[#This Row],[MAR]]="X",Tabella3[[#This Row],[MER]]="X",Tabella3[[#This Row],[GIO]]="X",Tabella3[[#This Row],[VEN]]="X",),"X","")</f>
        <v/>
      </c>
      <c r="D417" s="113" t="s">
        <v>87</v>
      </c>
      <c r="E417" s="109" t="s">
        <v>519</v>
      </c>
      <c r="F417" s="109">
        <v>1100</v>
      </c>
      <c r="G417" s="109" t="s">
        <v>2077</v>
      </c>
      <c r="H417" s="111"/>
      <c r="I417" s="111"/>
      <c r="J417" s="111"/>
      <c r="K417" s="111"/>
      <c r="L417" s="111"/>
      <c r="M417" s="109" t="s">
        <v>1257</v>
      </c>
      <c r="N417" s="109"/>
      <c r="O417" s="109" t="s">
        <v>23</v>
      </c>
      <c r="P417" s="109" t="s">
        <v>23</v>
      </c>
      <c r="Q417" s="109" t="s">
        <v>633</v>
      </c>
      <c r="R417" s="110">
        <v>45693</v>
      </c>
      <c r="S417" s="110" t="s">
        <v>50</v>
      </c>
      <c r="T417" s="112" t="str">
        <f ca="1">IF(AND('Inserimento dati'!$B$3=$H$2, Tabella3[[#This Row],[LUN]]="X"), "X",IF(AND('Inserimento dati'!$B$3=$I$2, Tabella3[[#This Row],[MAR]]="X"), "X", IF(AND('Inserimento dati'!$B$3=$J$2, Tabella3[[#This Row],[MER]]="X"), "X",IF(AND('Inserimento dati'!$B$3=$K$2, Tabella3[[#This Row],[GIO]]="X"), "X", IF(AND('Inserimento dati'!$B$3=$L$2, Tabella3[[#This Row],[VEN]]="X"), "X","")))))</f>
        <v/>
      </c>
      <c r="U417" s="143" t="str">
        <f t="shared" ca="1" si="15"/>
        <v/>
      </c>
      <c r="V417" s="189">
        <v>45930.833333333336</v>
      </c>
    </row>
    <row r="418" spans="1:22" s="1" customFormat="1" ht="30" x14ac:dyDescent="0.25">
      <c r="A418" s="112"/>
      <c r="B418" s="112">
        <v>4</v>
      </c>
      <c r="C418" s="112" t="str">
        <f>IF(OR(Tabella3[[#This Row],[LUN]]="X",Tabella3[[#This Row],[MAR]]="X",Tabella3[[#This Row],[MER]]="X",Tabella3[[#This Row],[GIO]]="X",Tabella3[[#This Row],[VEN]]="X",),"X","")</f>
        <v/>
      </c>
      <c r="D418" s="113" t="s">
        <v>87</v>
      </c>
      <c r="E418" s="109" t="s">
        <v>520</v>
      </c>
      <c r="F418" s="109">
        <v>1100</v>
      </c>
      <c r="G418" s="109" t="s">
        <v>2078</v>
      </c>
      <c r="H418" s="111"/>
      <c r="I418" s="111"/>
      <c r="J418" s="111"/>
      <c r="K418" s="111"/>
      <c r="L418" s="111"/>
      <c r="M418" s="109" t="s">
        <v>1257</v>
      </c>
      <c r="N418" s="109"/>
      <c r="O418" s="109" t="s">
        <v>23</v>
      </c>
      <c r="P418" s="109" t="s">
        <v>23</v>
      </c>
      <c r="Q418" s="109" t="s">
        <v>633</v>
      </c>
      <c r="R418" s="110">
        <v>45693</v>
      </c>
      <c r="S418" s="110" t="s">
        <v>50</v>
      </c>
      <c r="T418" s="112" t="str">
        <f ca="1">IF(AND('Inserimento dati'!$B$3=$H$2, Tabella3[[#This Row],[LUN]]="X"), "X",IF(AND('Inserimento dati'!$B$3=$I$2, Tabella3[[#This Row],[MAR]]="X"), "X", IF(AND('Inserimento dati'!$B$3=$J$2, Tabella3[[#This Row],[MER]]="X"), "X",IF(AND('Inserimento dati'!$B$3=$K$2, Tabella3[[#This Row],[GIO]]="X"), "X", IF(AND('Inserimento dati'!$B$3=$L$2, Tabella3[[#This Row],[VEN]]="X"), "X","")))))</f>
        <v/>
      </c>
      <c r="U418" s="143" t="str">
        <f t="shared" ca="1" si="15"/>
        <v/>
      </c>
      <c r="V418" s="189">
        <v>45930.833333333336</v>
      </c>
    </row>
    <row r="419" spans="1:22" s="1" customFormat="1" ht="45" x14ac:dyDescent="0.25">
      <c r="A419" s="112"/>
      <c r="B419" s="112">
        <v>4</v>
      </c>
      <c r="C419" s="112" t="str">
        <f>IF(OR(Tabella3[[#This Row],[LUN]]="X",Tabella3[[#This Row],[MAR]]="X",Tabella3[[#This Row],[MER]]="X",Tabella3[[#This Row],[GIO]]="X",Tabella3[[#This Row],[VEN]]="X",),"X","")</f>
        <v/>
      </c>
      <c r="D419" s="113" t="s">
        <v>87</v>
      </c>
      <c r="E419" s="109" t="s">
        <v>521</v>
      </c>
      <c r="F419" s="109">
        <v>1400</v>
      </c>
      <c r="G419" s="109" t="s">
        <v>2079</v>
      </c>
      <c r="H419" s="111"/>
      <c r="I419" s="111"/>
      <c r="J419" s="111"/>
      <c r="K419" s="111"/>
      <c r="L419" s="111"/>
      <c r="M419" s="109" t="s">
        <v>1257</v>
      </c>
      <c r="N419" s="109"/>
      <c r="O419" s="109"/>
      <c r="P419" s="109" t="s">
        <v>23</v>
      </c>
      <c r="Q419" s="109" t="s">
        <v>600</v>
      </c>
      <c r="R419" s="110">
        <v>45688</v>
      </c>
      <c r="S419" s="109" t="s">
        <v>50</v>
      </c>
      <c r="T419" s="112" t="str">
        <f ca="1">IF(AND('Inserimento dati'!$B$3=$H$2, Tabella3[[#This Row],[LUN]]="X"), "X",IF(AND('Inserimento dati'!$B$3=$I$2, Tabella3[[#This Row],[MAR]]="X"), "X", IF(AND('Inserimento dati'!$B$3=$J$2, Tabella3[[#This Row],[MER]]="X"), "X",IF(AND('Inserimento dati'!$B$3=$K$2, Tabella3[[#This Row],[GIO]]="X"), "X", IF(AND('Inserimento dati'!$B$3=$L$2, Tabella3[[#This Row],[VEN]]="X"), "X","")))))</f>
        <v/>
      </c>
      <c r="U419" s="143" t="str">
        <f t="shared" ca="1" si="15"/>
        <v/>
      </c>
      <c r="V419" s="189">
        <v>45930.833333333336</v>
      </c>
    </row>
    <row r="420" spans="1:22" s="1" customFormat="1" ht="30" x14ac:dyDescent="0.25">
      <c r="A420" s="112"/>
      <c r="B420" s="112">
        <v>4</v>
      </c>
      <c r="C420" s="112" t="str">
        <f>IF(OR(Tabella3[[#This Row],[LUN]]="X",Tabella3[[#This Row],[MAR]]="X",Tabella3[[#This Row],[MER]]="X",Tabella3[[#This Row],[GIO]]="X",Tabella3[[#This Row],[VEN]]="X",),"X","")</f>
        <v/>
      </c>
      <c r="D420" s="113" t="s">
        <v>87</v>
      </c>
      <c r="E420" s="109" t="s">
        <v>537</v>
      </c>
      <c r="F420" s="109">
        <v>1800</v>
      </c>
      <c r="G420" s="109" t="s">
        <v>2080</v>
      </c>
      <c r="H420" s="111"/>
      <c r="I420" s="111"/>
      <c r="J420" s="111"/>
      <c r="K420" s="111"/>
      <c r="L420" s="111"/>
      <c r="M420" s="109" t="s">
        <v>1257</v>
      </c>
      <c r="N420" s="109"/>
      <c r="O420" s="109" t="s">
        <v>23</v>
      </c>
      <c r="P420" s="109"/>
      <c r="Q420" s="109" t="s">
        <v>601</v>
      </c>
      <c r="R420" s="110">
        <v>45687</v>
      </c>
      <c r="S420" s="109" t="s">
        <v>203</v>
      </c>
      <c r="T420" s="116" t="str">
        <f ca="1">IF(AND('Inserimento dati'!$B$3=$H$2, Tabella3[[#This Row],[LUN]]="X"), "X",IF(AND('Inserimento dati'!$B$3=$I$2, Tabella3[[#This Row],[MAR]]="X"), "X", IF(AND('Inserimento dati'!$B$3=$J$2, Tabella3[[#This Row],[MER]]="X"), "X",IF(AND('Inserimento dati'!$B$3=$K$2, Tabella3[[#This Row],[GIO]]="X"), "X", IF(AND('Inserimento dati'!$B$3=$L$2, Tabella3[[#This Row],[VEN]]="X"), "X","")))))</f>
        <v/>
      </c>
      <c r="U420" s="143" t="str">
        <f t="shared" ca="1" si="15"/>
        <v/>
      </c>
      <c r="V420" s="189">
        <v>45930.833333333336</v>
      </c>
    </row>
    <row r="421" spans="1:22" s="1" customFormat="1" ht="30" x14ac:dyDescent="0.25">
      <c r="A421" s="112"/>
      <c r="B421" s="112">
        <v>4</v>
      </c>
      <c r="C421" s="112" t="str">
        <f>IF(OR(Tabella3[[#This Row],[LUN]]="X",Tabella3[[#This Row],[MAR]]="X",Tabella3[[#This Row],[MER]]="X",Tabella3[[#This Row],[GIO]]="X",Tabella3[[#This Row],[VEN]]="X",),"X","")</f>
        <v/>
      </c>
      <c r="D421" s="113" t="s">
        <v>87</v>
      </c>
      <c r="E421" s="109" t="s">
        <v>538</v>
      </c>
      <c r="F421" s="109">
        <v>1800</v>
      </c>
      <c r="G421" s="109" t="s">
        <v>2081</v>
      </c>
      <c r="H421" s="111"/>
      <c r="I421" s="111"/>
      <c r="J421" s="111"/>
      <c r="K421" s="111"/>
      <c r="L421" s="111"/>
      <c r="M421" s="109" t="s">
        <v>1257</v>
      </c>
      <c r="N421" s="109"/>
      <c r="O421" s="109" t="s">
        <v>23</v>
      </c>
      <c r="P421" s="109"/>
      <c r="Q421" s="109" t="s">
        <v>601</v>
      </c>
      <c r="R421" s="110">
        <v>45687</v>
      </c>
      <c r="S421" s="109" t="s">
        <v>203</v>
      </c>
      <c r="T421" s="116" t="str">
        <f ca="1">IF(AND('Inserimento dati'!$B$3=$H$2, Tabella3[[#This Row],[LUN]]="X"), "X",IF(AND('Inserimento dati'!$B$3=$I$2, Tabella3[[#This Row],[MAR]]="X"), "X", IF(AND('Inserimento dati'!$B$3=$J$2, Tabella3[[#This Row],[MER]]="X"), "X",IF(AND('Inserimento dati'!$B$3=$K$2, Tabella3[[#This Row],[GIO]]="X"), "X", IF(AND('Inserimento dati'!$B$3=$L$2, Tabella3[[#This Row],[VEN]]="X"), "X","")))))</f>
        <v/>
      </c>
      <c r="U421" s="144" t="str">
        <f t="shared" ca="1" si="15"/>
        <v/>
      </c>
      <c r="V421" s="189">
        <v>45930.833333333336</v>
      </c>
    </row>
    <row r="422" spans="1:22" s="1" customFormat="1" ht="30" x14ac:dyDescent="0.25">
      <c r="A422" s="112"/>
      <c r="B422" s="112">
        <v>4</v>
      </c>
      <c r="C422" s="112" t="str">
        <f>IF(OR(Tabella3[[#This Row],[LUN]]="X",Tabella3[[#This Row],[MAR]]="X",Tabella3[[#This Row],[MER]]="X",Tabella3[[#This Row],[GIO]]="X",Tabella3[[#This Row],[VEN]]="X",),"X","")</f>
        <v/>
      </c>
      <c r="D422" s="113" t="s">
        <v>87</v>
      </c>
      <c r="E422" s="109" t="s">
        <v>536</v>
      </c>
      <c r="F422" s="109">
        <v>1800</v>
      </c>
      <c r="G422" s="109" t="s">
        <v>2082</v>
      </c>
      <c r="H422" s="111"/>
      <c r="I422" s="111"/>
      <c r="J422" s="111"/>
      <c r="K422" s="111"/>
      <c r="L422" s="111"/>
      <c r="M422" s="109" t="s">
        <v>1257</v>
      </c>
      <c r="N422" s="109"/>
      <c r="O422" s="109" t="s">
        <v>23</v>
      </c>
      <c r="P422" s="109"/>
      <c r="Q422" s="109" t="s">
        <v>601</v>
      </c>
      <c r="R422" s="110">
        <v>45687</v>
      </c>
      <c r="S422" s="109" t="s">
        <v>203</v>
      </c>
      <c r="T422" s="116" t="str">
        <f ca="1">IF(AND('Inserimento dati'!$B$3=$H$2, Tabella3[[#This Row],[LUN]]="X"), "X",IF(AND('Inserimento dati'!$B$3=$I$2, Tabella3[[#This Row],[MAR]]="X"), "X", IF(AND('Inserimento dati'!$B$3=$J$2, Tabella3[[#This Row],[MER]]="X"), "X",IF(AND('Inserimento dati'!$B$3=$K$2, Tabella3[[#This Row],[GIO]]="X"), "X", IF(AND('Inserimento dati'!$B$3=$L$2, Tabella3[[#This Row],[VEN]]="X"), "X","")))))</f>
        <v/>
      </c>
      <c r="U422" s="144" t="str">
        <f t="shared" ca="1" si="15"/>
        <v/>
      </c>
      <c r="V422" s="189">
        <v>45930.833333333336</v>
      </c>
    </row>
    <row r="423" spans="1:22" s="1" customFormat="1" ht="45" x14ac:dyDescent="0.25">
      <c r="A423" s="112"/>
      <c r="B423" s="112">
        <v>4</v>
      </c>
      <c r="C423" s="112" t="str">
        <f>IF(OR(Tabella3[[#This Row],[LUN]]="X",Tabella3[[#This Row],[MAR]]="X",Tabella3[[#This Row],[MER]]="X",Tabella3[[#This Row],[GIO]]="X",Tabella3[[#This Row],[VEN]]="X",),"X","")</f>
        <v/>
      </c>
      <c r="D423" s="113" t="s">
        <v>87</v>
      </c>
      <c r="E423" s="109" t="s">
        <v>523</v>
      </c>
      <c r="F423" s="109">
        <v>1400</v>
      </c>
      <c r="G423" s="109" t="s">
        <v>2083</v>
      </c>
      <c r="H423" s="111"/>
      <c r="I423" s="111"/>
      <c r="J423" s="111"/>
      <c r="K423" s="111"/>
      <c r="L423" s="111"/>
      <c r="M423" s="109" t="s">
        <v>1257</v>
      </c>
      <c r="N423" s="109"/>
      <c r="O423" s="109"/>
      <c r="P423" s="109" t="s">
        <v>23</v>
      </c>
      <c r="Q423" s="109" t="s">
        <v>562</v>
      </c>
      <c r="R423" s="110">
        <v>45686</v>
      </c>
      <c r="S423" s="110" t="s">
        <v>211</v>
      </c>
      <c r="T423" s="112" t="str">
        <f ca="1">IF(AND('Inserimento dati'!$B$3=$H$2, Tabella3[[#This Row],[LUN]]="X"), "X",IF(AND('Inserimento dati'!$B$3=$I$2, Tabella3[[#This Row],[MAR]]="X"), "X", IF(AND('Inserimento dati'!$B$3=$J$2, Tabella3[[#This Row],[MER]]="X"), "X",IF(AND('Inserimento dati'!$B$3=$K$2, Tabella3[[#This Row],[GIO]]="X"), "X", IF(AND('Inserimento dati'!$B$3=$L$2, Tabella3[[#This Row],[VEN]]="X"), "X","")))))</f>
        <v/>
      </c>
      <c r="U423" s="144" t="str">
        <f t="shared" ca="1" si="15"/>
        <v/>
      </c>
      <c r="V423" s="189">
        <v>45930.833333333336</v>
      </c>
    </row>
    <row r="424" spans="1:22" ht="45" x14ac:dyDescent="0.25">
      <c r="A424" s="112"/>
      <c r="B424" s="112">
        <v>4</v>
      </c>
      <c r="C424" s="112" t="str">
        <f>IF(OR(Tabella3[[#This Row],[LUN]]="X",Tabella3[[#This Row],[MAR]]="X",Tabella3[[#This Row],[MER]]="X",Tabella3[[#This Row],[GIO]]="X",Tabella3[[#This Row],[VEN]]="X",),"X","")</f>
        <v/>
      </c>
      <c r="D424" s="113" t="s">
        <v>87</v>
      </c>
      <c r="E424" s="109" t="s">
        <v>311</v>
      </c>
      <c r="F424" s="109" t="s">
        <v>114</v>
      </c>
      <c r="G424" s="109" t="s">
        <v>2084</v>
      </c>
      <c r="H424" s="111"/>
      <c r="I424" s="111"/>
      <c r="J424" s="111"/>
      <c r="K424" s="111"/>
      <c r="L424" s="111"/>
      <c r="M424" s="109" t="s">
        <v>1257</v>
      </c>
      <c r="N424" s="109" t="s">
        <v>23</v>
      </c>
      <c r="O424" s="109"/>
      <c r="P424" s="109"/>
      <c r="Q424" s="109" t="s">
        <v>691</v>
      </c>
      <c r="R424" s="110">
        <v>45674</v>
      </c>
      <c r="S424" s="110" t="s">
        <v>203</v>
      </c>
      <c r="T424" s="112" t="str">
        <f ca="1">IF(AND('Inserimento dati'!$B$3=$H$2, Tabella3[[#This Row],[LUN]]="X"), "X",IF(AND('Inserimento dati'!$B$3=$I$2, Tabella3[[#This Row],[MAR]]="X"), "X", IF(AND('Inserimento dati'!$B$3=$J$2, Tabella3[[#This Row],[MER]]="X"), "X",IF(AND('Inserimento dati'!$B$3=$K$2, Tabella3[[#This Row],[GIO]]="X"), "X", IF(AND('Inserimento dati'!$B$3=$L$2, Tabella3[[#This Row],[VEN]]="X"), "X","")))))</f>
        <v/>
      </c>
      <c r="U424" s="144" t="str">
        <f t="shared" ca="1" si="15"/>
        <v/>
      </c>
      <c r="V424" s="193">
        <v>45930.833333333336</v>
      </c>
    </row>
    <row r="425" spans="1:22" ht="60" x14ac:dyDescent="0.25">
      <c r="A425" s="112"/>
      <c r="B425" s="112">
        <v>4</v>
      </c>
      <c r="C425" s="112" t="str">
        <f>IF(OR(Tabella3[[#This Row],[LUN]]="X",Tabella3[[#This Row],[MAR]]="X",Tabella3[[#This Row],[MER]]="X",Tabella3[[#This Row],[GIO]]="X",Tabella3[[#This Row],[VEN]]="X",),"X","")</f>
        <v/>
      </c>
      <c r="D425" s="113" t="s">
        <v>87</v>
      </c>
      <c r="E425" s="109" t="s">
        <v>318</v>
      </c>
      <c r="F425" s="109" t="s">
        <v>313</v>
      </c>
      <c r="G425" s="109" t="s">
        <v>2085</v>
      </c>
      <c r="H425" s="111"/>
      <c r="I425" s="111"/>
      <c r="J425" s="111"/>
      <c r="K425" s="111"/>
      <c r="L425" s="111"/>
      <c r="M425" s="109" t="s">
        <v>1257</v>
      </c>
      <c r="N425" s="109" t="s">
        <v>23</v>
      </c>
      <c r="O425" s="109"/>
      <c r="P425" s="109"/>
      <c r="Q425" s="109" t="s">
        <v>692</v>
      </c>
      <c r="R425" s="110">
        <v>45679</v>
      </c>
      <c r="S425" s="110" t="s">
        <v>203</v>
      </c>
      <c r="T425" s="112" t="str">
        <f ca="1">IF(AND('Inserimento dati'!$B$3=$H$2, Tabella3[[#This Row],[LUN]]="X"), "X",IF(AND('Inserimento dati'!$B$3=$I$2, Tabella3[[#This Row],[MAR]]="X"), "X", IF(AND('Inserimento dati'!$B$3=$J$2, Tabella3[[#This Row],[MER]]="X"), "X",IF(AND('Inserimento dati'!$B$3=$K$2, Tabella3[[#This Row],[GIO]]="X"), "X", IF(AND('Inserimento dati'!$B$3=$L$2, Tabella3[[#This Row],[VEN]]="X"), "X","")))))</f>
        <v/>
      </c>
      <c r="U425" s="144" t="str">
        <f t="shared" ca="1" si="15"/>
        <v xml:space="preserve"> 1021448</v>
      </c>
      <c r="V425" s="193">
        <v>45930.833333333336</v>
      </c>
    </row>
    <row r="426" spans="1:22" ht="90" x14ac:dyDescent="0.25">
      <c r="A426" s="112"/>
      <c r="B426" s="112">
        <v>4</v>
      </c>
      <c r="C426" s="112" t="str">
        <f>IF(OR(Tabella3[[#This Row],[LUN]]="X",Tabella3[[#This Row],[MAR]]="X",Tabella3[[#This Row],[MER]]="X",Tabella3[[#This Row],[GIO]]="X",Tabella3[[#This Row],[VEN]]="X",),"X","")</f>
        <v/>
      </c>
      <c r="D426" s="113" t="s">
        <v>87</v>
      </c>
      <c r="E426" s="109" t="s">
        <v>332</v>
      </c>
      <c r="F426" s="109">
        <v>800</v>
      </c>
      <c r="G426" s="109" t="s">
        <v>2086</v>
      </c>
      <c r="H426" s="111"/>
      <c r="I426" s="111"/>
      <c r="J426" s="111"/>
      <c r="K426" s="111"/>
      <c r="L426" s="111"/>
      <c r="M426" s="109" t="s">
        <v>1257</v>
      </c>
      <c r="N426" s="109"/>
      <c r="O426" s="109" t="s">
        <v>23</v>
      </c>
      <c r="P426" s="109"/>
      <c r="Q426" s="109" t="s">
        <v>481</v>
      </c>
      <c r="R426" s="110">
        <v>45679</v>
      </c>
      <c r="S426" s="109" t="s">
        <v>203</v>
      </c>
      <c r="T426" s="112" t="str">
        <f ca="1">IF(AND('Inserimento dati'!$B$3=$H$2, Tabella3[[#This Row],[LUN]]="X"), "X",IF(AND('Inserimento dati'!$B$3=$I$2, Tabella3[[#This Row],[MAR]]="X"), "X", IF(AND('Inserimento dati'!$B$3=$J$2, Tabella3[[#This Row],[MER]]="X"), "X",IF(AND('Inserimento dati'!$B$3=$K$2, Tabella3[[#This Row],[GIO]]="X"), "X", IF(AND('Inserimento dati'!$B$3=$L$2, Tabella3[[#This Row],[VEN]]="X"), "X","")))))</f>
        <v/>
      </c>
      <c r="U426" s="144" t="str">
        <f t="shared" ca="1" si="15"/>
        <v/>
      </c>
      <c r="V426" s="193">
        <v>45930.833333333336</v>
      </c>
    </row>
    <row r="427" spans="1:22" ht="30" x14ac:dyDescent="0.25">
      <c r="A427" s="112"/>
      <c r="B427" s="112">
        <v>4</v>
      </c>
      <c r="C427" s="112" t="str">
        <f>IF(OR(Tabella3[[#This Row],[LUN]]="X",Tabella3[[#This Row],[MAR]]="X",Tabella3[[#This Row],[MER]]="X",Tabella3[[#This Row],[GIO]]="X",Tabella3[[#This Row],[VEN]]="X",),"X","")</f>
        <v/>
      </c>
      <c r="D427" s="113" t="s">
        <v>87</v>
      </c>
      <c r="E427" s="109" t="s">
        <v>315</v>
      </c>
      <c r="F427" s="109">
        <v>2400</v>
      </c>
      <c r="G427" s="109" t="s">
        <v>2087</v>
      </c>
      <c r="H427" s="111"/>
      <c r="I427" s="111"/>
      <c r="J427" s="111"/>
      <c r="K427" s="111"/>
      <c r="L427" s="111"/>
      <c r="M427" s="109" t="s">
        <v>1257</v>
      </c>
      <c r="N427" s="109" t="s">
        <v>23</v>
      </c>
      <c r="O427" s="109"/>
      <c r="P427" s="109"/>
      <c r="Q427" s="109" t="s">
        <v>446</v>
      </c>
      <c r="R427" s="110"/>
      <c r="S427" s="110"/>
      <c r="T427" s="112" t="str">
        <f ca="1">IF(AND('Inserimento dati'!$B$3=$H$2, Tabella3[[#This Row],[LUN]]="X"), "X",IF(AND('Inserimento dati'!$B$3=$I$2, Tabella3[[#This Row],[MAR]]="X"), "X", IF(AND('Inserimento dati'!$B$3=$J$2, Tabella3[[#This Row],[MER]]="X"), "X",IF(AND('Inserimento dati'!$B$3=$K$2, Tabella3[[#This Row],[GIO]]="X"), "X", IF(AND('Inserimento dati'!$B$3=$L$2, Tabella3[[#This Row],[VEN]]="X"), "X","")))))</f>
        <v/>
      </c>
      <c r="U427" s="144" t="str">
        <f t="shared" ca="1" si="15"/>
        <v>10212837</v>
      </c>
      <c r="V427" s="193">
        <v>45930.833333333336</v>
      </c>
    </row>
    <row r="428" spans="1:22" ht="45" x14ac:dyDescent="0.25">
      <c r="A428" s="112"/>
      <c r="B428" s="112">
        <v>4</v>
      </c>
      <c r="C428" s="112" t="str">
        <f>IF(OR(Tabella3[[#This Row],[LUN]]="X",Tabella3[[#This Row],[MAR]]="X",Tabella3[[#This Row],[MER]]="X",Tabella3[[#This Row],[GIO]]="X",Tabella3[[#This Row],[VEN]]="X",),"X","")</f>
        <v/>
      </c>
      <c r="D428" s="113" t="s">
        <v>87</v>
      </c>
      <c r="E428" s="109" t="s">
        <v>320</v>
      </c>
      <c r="F428" s="109" t="s">
        <v>88</v>
      </c>
      <c r="G428" s="109" t="s">
        <v>2088</v>
      </c>
      <c r="H428" s="111"/>
      <c r="I428" s="111"/>
      <c r="J428" s="111"/>
      <c r="K428" s="111"/>
      <c r="L428" s="111"/>
      <c r="M428" s="109" t="s">
        <v>1257</v>
      </c>
      <c r="N428" s="109"/>
      <c r="O428" s="109" t="s">
        <v>23</v>
      </c>
      <c r="P428" s="109" t="s">
        <v>23</v>
      </c>
      <c r="Q428" s="109" t="s">
        <v>249</v>
      </c>
      <c r="R428" s="110">
        <v>45645</v>
      </c>
      <c r="S428" s="110" t="s">
        <v>203</v>
      </c>
      <c r="T428" s="116" t="str">
        <f ca="1">IF(AND('Inserimento dati'!$B$3=$H$2, Tabella3[[#This Row],[LUN]]="X"), "X",IF(AND('Inserimento dati'!$B$3=$I$2, Tabella3[[#This Row],[MAR]]="X"), "X", IF(AND('Inserimento dati'!$B$3=$J$2, Tabella3[[#This Row],[MER]]="X"), "X",IF(AND('Inserimento dati'!$B$3=$K$2, Tabella3[[#This Row],[GIO]]="X"), "X", IF(AND('Inserimento dati'!$B$3=$L$2, Tabella3[[#This Row],[VEN]]="X"), "X","")))))</f>
        <v/>
      </c>
      <c r="U428" s="144" t="str">
        <f t="shared" ca="1" si="15"/>
        <v/>
      </c>
      <c r="V428" s="193">
        <v>45930.833333333336</v>
      </c>
    </row>
    <row r="429" spans="1:22" ht="23.25" x14ac:dyDescent="0.25">
      <c r="A429" s="112"/>
      <c r="B429" s="112">
        <v>4</v>
      </c>
      <c r="C429" s="112" t="str">
        <f>IF(OR(Tabella3[[#This Row],[LUN]]="X",Tabella3[[#This Row],[MAR]]="X",Tabella3[[#This Row],[MER]]="X",Tabella3[[#This Row],[GIO]]="X",Tabella3[[#This Row],[VEN]]="X",),"X","")</f>
        <v/>
      </c>
      <c r="D429" s="113" t="s">
        <v>87</v>
      </c>
      <c r="E429" s="109" t="s">
        <v>229</v>
      </c>
      <c r="F429" s="109" t="s">
        <v>96</v>
      </c>
      <c r="G429" s="109" t="s">
        <v>2089</v>
      </c>
      <c r="H429" s="111"/>
      <c r="I429" s="111"/>
      <c r="J429" s="111"/>
      <c r="K429" s="111"/>
      <c r="L429" s="111"/>
      <c r="M429" s="109" t="s">
        <v>1257</v>
      </c>
      <c r="N429" s="109" t="s">
        <v>23</v>
      </c>
      <c r="O429" s="109"/>
      <c r="P429" s="109"/>
      <c r="Q429" s="109" t="s">
        <v>445</v>
      </c>
      <c r="R429" s="110">
        <v>45642</v>
      </c>
      <c r="S429" s="110" t="s">
        <v>230</v>
      </c>
      <c r="T429" s="116" t="str">
        <f ca="1">IF(AND('Inserimento dati'!$B$3=$H$2, Tabella3[[#This Row],[LUN]]="X"), "X",IF(AND('Inserimento dati'!$B$3=$I$2, Tabella3[[#This Row],[MAR]]="X"), "X", IF(AND('Inserimento dati'!$B$3=$J$2, Tabella3[[#This Row],[MER]]="X"), "X",IF(AND('Inserimento dati'!$B$3=$K$2, Tabella3[[#This Row],[GIO]]="X"), "X", IF(AND('Inserimento dati'!$B$3=$L$2, Tabella3[[#This Row],[VEN]]="X"), "X","")))))</f>
        <v/>
      </c>
      <c r="U429" s="144" t="str">
        <f t="shared" ca="1" si="15"/>
        <v/>
      </c>
      <c r="V429" s="193">
        <v>45930.833333333336</v>
      </c>
    </row>
    <row r="430" spans="1:22" ht="45" x14ac:dyDescent="0.25">
      <c r="A430" s="112"/>
      <c r="B430" s="112">
        <v>4</v>
      </c>
      <c r="C430" s="112" t="str">
        <f>IF(OR(Tabella3[[#This Row],[LUN]]="X",Tabella3[[#This Row],[MAR]]="X",Tabella3[[#This Row],[MER]]="X",Tabella3[[#This Row],[GIO]]="X",Tabella3[[#This Row],[VEN]]="X",),"X","")</f>
        <v/>
      </c>
      <c r="D430" s="113" t="s">
        <v>87</v>
      </c>
      <c r="E430" s="109" t="s">
        <v>365</v>
      </c>
      <c r="F430" s="109" t="s">
        <v>97</v>
      </c>
      <c r="G430" s="109" t="s">
        <v>2090</v>
      </c>
      <c r="H430" s="111"/>
      <c r="I430" s="111"/>
      <c r="J430" s="111"/>
      <c r="K430" s="111"/>
      <c r="L430" s="111"/>
      <c r="M430" s="109" t="s">
        <v>1257</v>
      </c>
      <c r="N430" s="109" t="s">
        <v>23</v>
      </c>
      <c r="O430" s="109"/>
      <c r="P430" s="109"/>
      <c r="Q430" s="109" t="s">
        <v>218</v>
      </c>
      <c r="R430" s="110">
        <v>45629</v>
      </c>
      <c r="S430" s="110" t="s">
        <v>150</v>
      </c>
      <c r="T430" s="116" t="str">
        <f ca="1">IF(AND('Inserimento dati'!$B$3=$H$2, Tabella3[[#This Row],[LUN]]="X"), "X",IF(AND('Inserimento dati'!$B$3=$I$2, Tabella3[[#This Row],[MAR]]="X"), "X", IF(AND('Inserimento dati'!$B$3=$J$2, Tabella3[[#This Row],[MER]]="X"), "X",IF(AND('Inserimento dati'!$B$3=$K$2, Tabella3[[#This Row],[GIO]]="X"), "X", IF(AND('Inserimento dati'!$B$3=$L$2, Tabella3[[#This Row],[VEN]]="X"), "X","")))))</f>
        <v/>
      </c>
      <c r="U430" s="144" t="str">
        <f t="shared" ca="1" si="15"/>
        <v/>
      </c>
      <c r="V430" s="193">
        <v>45930.833333333336</v>
      </c>
    </row>
    <row r="431" spans="1:22" ht="45" x14ac:dyDescent="0.25">
      <c r="A431" s="112"/>
      <c r="B431" s="112">
        <v>4</v>
      </c>
      <c r="C431" s="112" t="str">
        <f>IF(OR(Tabella3[[#This Row],[LUN]]="X",Tabella3[[#This Row],[MAR]]="X",Tabella3[[#This Row],[MER]]="X",Tabella3[[#This Row],[GIO]]="X",Tabella3[[#This Row],[VEN]]="X",),"X","")</f>
        <v/>
      </c>
      <c r="D431" s="113" t="s">
        <v>87</v>
      </c>
      <c r="E431" s="109" t="s">
        <v>366</v>
      </c>
      <c r="F431" s="109" t="s">
        <v>97</v>
      </c>
      <c r="G431" s="109" t="s">
        <v>2091</v>
      </c>
      <c r="H431" s="111"/>
      <c r="I431" s="111"/>
      <c r="J431" s="111"/>
      <c r="K431" s="111"/>
      <c r="L431" s="111"/>
      <c r="M431" s="109" t="s">
        <v>1257</v>
      </c>
      <c r="N431" s="109" t="s">
        <v>23</v>
      </c>
      <c r="O431" s="109"/>
      <c r="P431" s="109"/>
      <c r="Q431" s="109" t="s">
        <v>218</v>
      </c>
      <c r="R431" s="110">
        <v>45636</v>
      </c>
      <c r="S431" s="110" t="s">
        <v>150</v>
      </c>
      <c r="T431" s="116" t="str">
        <f ca="1">IF(AND('Inserimento dati'!$B$3=$H$2, Tabella3[[#This Row],[LUN]]="X"), "X",IF(AND('Inserimento dati'!$B$3=$I$2, Tabella3[[#This Row],[MAR]]="X"), "X", IF(AND('Inserimento dati'!$B$3=$J$2, Tabella3[[#This Row],[MER]]="X"), "X",IF(AND('Inserimento dati'!$B$3=$K$2, Tabella3[[#This Row],[GIO]]="X"), "X", IF(AND('Inserimento dati'!$B$3=$L$2, Tabella3[[#This Row],[VEN]]="X"), "X","")))))</f>
        <v/>
      </c>
      <c r="U431" s="144" t="str">
        <f t="shared" ca="1" si="15"/>
        <v/>
      </c>
      <c r="V431" s="193">
        <v>45930.833333333336</v>
      </c>
    </row>
    <row r="432" spans="1:22" ht="45" x14ac:dyDescent="0.25">
      <c r="A432" s="112"/>
      <c r="B432" s="112">
        <v>4</v>
      </c>
      <c r="C432" s="112" t="str">
        <f>IF(OR(Tabella3[[#This Row],[LUN]]="X",Tabella3[[#This Row],[MAR]]="X",Tabella3[[#This Row],[MER]]="X",Tabella3[[#This Row],[GIO]]="X",Tabella3[[#This Row],[VEN]]="X",),"X","")</f>
        <v/>
      </c>
      <c r="D432" s="113" t="s">
        <v>87</v>
      </c>
      <c r="E432" s="109" t="s">
        <v>367</v>
      </c>
      <c r="F432" s="109" t="s">
        <v>97</v>
      </c>
      <c r="G432" s="109" t="s">
        <v>2092</v>
      </c>
      <c r="H432" s="111"/>
      <c r="I432" s="111"/>
      <c r="J432" s="111"/>
      <c r="K432" s="111"/>
      <c r="L432" s="111"/>
      <c r="M432" s="109" t="s">
        <v>1257</v>
      </c>
      <c r="N432" s="109" t="s">
        <v>23</v>
      </c>
      <c r="O432" s="109"/>
      <c r="P432" s="109"/>
      <c r="Q432" s="109" t="s">
        <v>218</v>
      </c>
      <c r="R432" s="110">
        <v>45629</v>
      </c>
      <c r="S432" s="110" t="s">
        <v>150</v>
      </c>
      <c r="T432" s="116" t="str">
        <f ca="1">IF(AND('Inserimento dati'!$B$3=$H$2, Tabella3[[#This Row],[LUN]]="X"), "X",IF(AND('Inserimento dati'!$B$3=$I$2, Tabella3[[#This Row],[MAR]]="X"), "X", IF(AND('Inserimento dati'!$B$3=$J$2, Tabella3[[#This Row],[MER]]="X"), "X",IF(AND('Inserimento dati'!$B$3=$K$2, Tabella3[[#This Row],[GIO]]="X"), "X", IF(AND('Inserimento dati'!$B$3=$L$2, Tabella3[[#This Row],[VEN]]="X"), "X","")))))</f>
        <v/>
      </c>
      <c r="U432" s="144" t="str">
        <f t="shared" ca="1" si="15"/>
        <v/>
      </c>
      <c r="V432" s="193">
        <v>45930.833333333336</v>
      </c>
    </row>
    <row r="433" spans="1:22" ht="45" x14ac:dyDescent="0.25">
      <c r="A433" s="112"/>
      <c r="B433" s="112">
        <v>4</v>
      </c>
      <c r="C433" s="112" t="str">
        <f>IF(OR(Tabella3[[#This Row],[LUN]]="X",Tabella3[[#This Row],[MAR]]="X",Tabella3[[#This Row],[MER]]="X",Tabella3[[#This Row],[GIO]]="X",Tabella3[[#This Row],[VEN]]="X",),"X","")</f>
        <v/>
      </c>
      <c r="D433" s="113" t="s">
        <v>87</v>
      </c>
      <c r="E433" s="109" t="s">
        <v>368</v>
      </c>
      <c r="F433" s="109" t="s">
        <v>97</v>
      </c>
      <c r="G433" s="109" t="s">
        <v>2093</v>
      </c>
      <c r="H433" s="111"/>
      <c r="I433" s="111"/>
      <c r="J433" s="111"/>
      <c r="K433" s="111"/>
      <c r="L433" s="111"/>
      <c r="M433" s="109" t="s">
        <v>1257</v>
      </c>
      <c r="N433" s="109" t="s">
        <v>23</v>
      </c>
      <c r="O433" s="109"/>
      <c r="P433" s="109"/>
      <c r="Q433" s="109" t="s">
        <v>218</v>
      </c>
      <c r="R433" s="110">
        <v>45636</v>
      </c>
      <c r="S433" s="110" t="s">
        <v>150</v>
      </c>
      <c r="T433" s="116" t="str">
        <f ca="1">IF(AND('Inserimento dati'!$B$3=$H$2, Tabella3[[#This Row],[LUN]]="X"), "X",IF(AND('Inserimento dati'!$B$3=$I$2, Tabella3[[#This Row],[MAR]]="X"), "X", IF(AND('Inserimento dati'!$B$3=$J$2, Tabella3[[#This Row],[MER]]="X"), "X",IF(AND('Inserimento dati'!$B$3=$K$2, Tabella3[[#This Row],[GIO]]="X"), "X", IF(AND('Inserimento dati'!$B$3=$L$2, Tabella3[[#This Row],[VEN]]="X"), "X","")))))</f>
        <v/>
      </c>
      <c r="U433" s="144" t="str">
        <f t="shared" ca="1" si="15"/>
        <v/>
      </c>
      <c r="V433" s="193">
        <v>45930.833333333336</v>
      </c>
    </row>
    <row r="434" spans="1:22" ht="23.25" x14ac:dyDescent="0.25">
      <c r="A434" s="112"/>
      <c r="B434" s="112">
        <v>4</v>
      </c>
      <c r="C434" s="112" t="str">
        <f>IF(OR(Tabella3[[#This Row],[LUN]]="X",Tabella3[[#This Row],[MAR]]="X",Tabella3[[#This Row],[MER]]="X",Tabella3[[#This Row],[GIO]]="X",Tabella3[[#This Row],[VEN]]="X",),"X","")</f>
        <v/>
      </c>
      <c r="D434" s="113" t="s">
        <v>87</v>
      </c>
      <c r="E434" s="109" t="s">
        <v>104</v>
      </c>
      <c r="F434" s="109">
        <v>700</v>
      </c>
      <c r="G434" s="109" t="s">
        <v>2094</v>
      </c>
      <c r="H434" s="111"/>
      <c r="I434" s="111"/>
      <c r="J434" s="111"/>
      <c r="K434" s="111"/>
      <c r="L434" s="111"/>
      <c r="M434" s="109" t="s">
        <v>1257</v>
      </c>
      <c r="N434" s="109"/>
      <c r="O434" s="109" t="s">
        <v>23</v>
      </c>
      <c r="P434" s="109"/>
      <c r="Q434" s="109" t="s">
        <v>105</v>
      </c>
      <c r="R434" s="110">
        <v>45579</v>
      </c>
      <c r="S434" s="110"/>
      <c r="T434" s="116" t="str">
        <f ca="1">IF(AND('Inserimento dati'!$B$3=$H$2, Tabella3[[#This Row],[LUN]]="X"), "X",IF(AND('Inserimento dati'!$B$3=$I$2, Tabella3[[#This Row],[MAR]]="X"), "X", IF(AND('Inserimento dati'!$B$3=$J$2, Tabella3[[#This Row],[MER]]="X"), "X",IF(AND('Inserimento dati'!$B$3=$K$2, Tabella3[[#This Row],[GIO]]="X"), "X", IF(AND('Inserimento dati'!$B$3=$L$2, Tabella3[[#This Row],[VEN]]="X"), "X","")))))</f>
        <v/>
      </c>
      <c r="U434" s="144" t="str">
        <f t="shared" ca="1" si="15"/>
        <v/>
      </c>
      <c r="V434" s="193">
        <v>45930.833333333336</v>
      </c>
    </row>
    <row r="435" spans="1:22" ht="60" x14ac:dyDescent="0.25">
      <c r="A435" s="112"/>
      <c r="B435" s="112">
        <v>4</v>
      </c>
      <c r="C435" s="112" t="str">
        <f>IF(OR(Tabella3[[#This Row],[LUN]]="X",Tabella3[[#This Row],[MAR]]="X",Tabella3[[#This Row],[MER]]="X",Tabella3[[#This Row],[GIO]]="X",Tabella3[[#This Row],[VEN]]="X",),"X","")</f>
        <v/>
      </c>
      <c r="D435" s="113" t="s">
        <v>87</v>
      </c>
      <c r="E435" s="109" t="s">
        <v>106</v>
      </c>
      <c r="F435" s="109">
        <v>700</v>
      </c>
      <c r="G435" s="109" t="s">
        <v>2095</v>
      </c>
      <c r="H435" s="111"/>
      <c r="I435" s="111"/>
      <c r="J435" s="111"/>
      <c r="K435" s="111"/>
      <c r="L435" s="111"/>
      <c r="M435" s="109" t="s">
        <v>1257</v>
      </c>
      <c r="N435" s="109" t="s">
        <v>23</v>
      </c>
      <c r="O435" s="109"/>
      <c r="P435" s="109"/>
      <c r="Q435" s="109" t="s">
        <v>694</v>
      </c>
      <c r="R435" s="110">
        <v>45582</v>
      </c>
      <c r="S435" s="110" t="s">
        <v>693</v>
      </c>
      <c r="T435" s="116" t="str">
        <f ca="1">IF(AND('Inserimento dati'!$B$3=$H$2, Tabella3[[#This Row],[LUN]]="X"), "X",IF(AND('Inserimento dati'!$B$3=$I$2, Tabella3[[#This Row],[MAR]]="X"), "X", IF(AND('Inserimento dati'!$B$3=$J$2, Tabella3[[#This Row],[MER]]="X"), "X",IF(AND('Inserimento dati'!$B$3=$K$2, Tabella3[[#This Row],[GIO]]="X"), "X", IF(AND('Inserimento dati'!$B$3=$L$2, Tabella3[[#This Row],[VEN]]="X"), "X","")))))</f>
        <v/>
      </c>
      <c r="U435" s="144" t="str">
        <f t="shared" ca="1" si="15"/>
        <v/>
      </c>
      <c r="V435" s="193">
        <v>45930.833333333336</v>
      </c>
    </row>
    <row r="436" spans="1:22" ht="23.25" x14ac:dyDescent="0.25">
      <c r="A436" s="112"/>
      <c r="B436" s="112">
        <v>4</v>
      </c>
      <c r="C436" s="112" t="str">
        <f>IF(OR(Tabella3[[#This Row],[LUN]]="X",Tabella3[[#This Row],[MAR]]="X",Tabella3[[#This Row],[MER]]="X",Tabella3[[#This Row],[GIO]]="X",Tabella3[[#This Row],[VEN]]="X",),"X","")</f>
        <v/>
      </c>
      <c r="D436" s="113" t="s">
        <v>87</v>
      </c>
      <c r="E436" s="109" t="s">
        <v>109</v>
      </c>
      <c r="F436" s="109">
        <v>1800</v>
      </c>
      <c r="G436" s="109" t="s">
        <v>2096</v>
      </c>
      <c r="H436" s="111"/>
      <c r="I436" s="111"/>
      <c r="J436" s="111"/>
      <c r="K436" s="111"/>
      <c r="L436" s="111"/>
      <c r="M436" s="109" t="s">
        <v>1257</v>
      </c>
      <c r="N436" s="109"/>
      <c r="O436" s="109" t="s">
        <v>23</v>
      </c>
      <c r="P436" s="109"/>
      <c r="Q436" s="109" t="s">
        <v>110</v>
      </c>
      <c r="R436" s="110">
        <v>45580</v>
      </c>
      <c r="S436" s="110"/>
      <c r="T436" s="116" t="str">
        <f ca="1">IF(AND('Inserimento dati'!$B$3=$H$2, Tabella3[[#This Row],[LUN]]="X"), "X",IF(AND('Inserimento dati'!$B$3=$I$2, Tabella3[[#This Row],[MAR]]="X"), "X", IF(AND('Inserimento dati'!$B$3=$J$2, Tabella3[[#This Row],[MER]]="X"), "X",IF(AND('Inserimento dati'!$B$3=$K$2, Tabella3[[#This Row],[GIO]]="X"), "X", IF(AND('Inserimento dati'!$B$3=$L$2, Tabella3[[#This Row],[VEN]]="X"), "X","")))))</f>
        <v/>
      </c>
      <c r="U436" s="144" t="str">
        <f t="shared" ca="1" si="15"/>
        <v/>
      </c>
      <c r="V436" s="193">
        <v>45930.833333333336</v>
      </c>
    </row>
    <row r="437" spans="1:22" ht="23.25" x14ac:dyDescent="0.25">
      <c r="A437" s="112"/>
      <c r="B437" s="112">
        <v>4</v>
      </c>
      <c r="C437" s="112" t="str">
        <f>IF(OR(Tabella3[[#This Row],[LUN]]="X",Tabella3[[#This Row],[MAR]]="X",Tabella3[[#This Row],[MER]]="X",Tabella3[[#This Row],[GIO]]="X",Tabella3[[#This Row],[VEN]]="X",),"X","")</f>
        <v/>
      </c>
      <c r="D437" s="113" t="s">
        <v>87</v>
      </c>
      <c r="E437" s="109" t="s">
        <v>116</v>
      </c>
      <c r="F437" s="109" t="s">
        <v>93</v>
      </c>
      <c r="G437" s="109" t="s">
        <v>2097</v>
      </c>
      <c r="H437" s="111"/>
      <c r="I437" s="111"/>
      <c r="J437" s="111"/>
      <c r="K437" s="111"/>
      <c r="L437" s="111"/>
      <c r="M437" s="109" t="s">
        <v>1257</v>
      </c>
      <c r="N437" s="109"/>
      <c r="O437" s="109" t="s">
        <v>23</v>
      </c>
      <c r="P437" s="109"/>
      <c r="Q437" s="109" t="s">
        <v>117</v>
      </c>
      <c r="R437" s="110">
        <v>45616</v>
      </c>
      <c r="S437" s="110"/>
      <c r="T437" s="116" t="str">
        <f ca="1">IF(AND('Inserimento dati'!$B$3=$H$2, Tabella3[[#This Row],[LUN]]="X"), "X",IF(AND('Inserimento dati'!$B$3=$I$2, Tabella3[[#This Row],[MAR]]="X"), "X", IF(AND('Inserimento dati'!$B$3=$J$2, Tabella3[[#This Row],[MER]]="X"), "X",IF(AND('Inserimento dati'!$B$3=$K$2, Tabella3[[#This Row],[GIO]]="X"), "X", IF(AND('Inserimento dati'!$B$3=$L$2, Tabella3[[#This Row],[VEN]]="X"), "X","")))))</f>
        <v/>
      </c>
      <c r="U437" s="144" t="str">
        <f t="shared" ca="1" si="15"/>
        <v xml:space="preserve"> 1021159</v>
      </c>
      <c r="V437" s="193">
        <v>45930.833333333336</v>
      </c>
    </row>
    <row r="438" spans="1:22" ht="30" x14ac:dyDescent="0.25">
      <c r="A438" s="112"/>
      <c r="B438" s="112">
        <v>4</v>
      </c>
      <c r="C438" s="112" t="str">
        <f>IF(OR(Tabella3[[#This Row],[LUN]]="X",Tabella3[[#This Row],[MAR]]="X",Tabella3[[#This Row],[MER]]="X",Tabella3[[#This Row],[GIO]]="X",Tabella3[[#This Row],[VEN]]="X",),"X","")</f>
        <v/>
      </c>
      <c r="D438" s="113" t="s">
        <v>87</v>
      </c>
      <c r="E438" s="109" t="s">
        <v>118</v>
      </c>
      <c r="F438" s="109" t="s">
        <v>88</v>
      </c>
      <c r="G438" s="109" t="s">
        <v>2098</v>
      </c>
      <c r="H438" s="111"/>
      <c r="I438" s="111"/>
      <c r="J438" s="111"/>
      <c r="K438" s="111"/>
      <c r="L438" s="111"/>
      <c r="M438" s="109" t="s">
        <v>1257</v>
      </c>
      <c r="N438" s="109"/>
      <c r="O438" s="109"/>
      <c r="P438" s="109" t="s">
        <v>23</v>
      </c>
      <c r="Q438" s="109" t="s">
        <v>119</v>
      </c>
      <c r="R438" s="110">
        <v>45615</v>
      </c>
      <c r="S438" s="110" t="s">
        <v>50</v>
      </c>
      <c r="T438" s="116" t="str">
        <f ca="1">IF(AND('Inserimento dati'!$B$3=$H$2, Tabella3[[#This Row],[LUN]]="X"), "X",IF(AND('Inserimento dati'!$B$3=$I$2, Tabella3[[#This Row],[MAR]]="X"), "X", IF(AND('Inserimento dati'!$B$3=$J$2, Tabella3[[#This Row],[MER]]="X"), "X",IF(AND('Inserimento dati'!$B$3=$K$2, Tabella3[[#This Row],[GIO]]="X"), "X", IF(AND('Inserimento dati'!$B$3=$L$2, Tabella3[[#This Row],[VEN]]="X"), "X","")))))</f>
        <v/>
      </c>
      <c r="U438" s="144" t="str">
        <f t="shared" ca="1" si="15"/>
        <v/>
      </c>
      <c r="V438" s="193">
        <v>45930.833333333336</v>
      </c>
    </row>
    <row r="439" spans="1:22" ht="30" x14ac:dyDescent="0.25">
      <c r="A439" s="112"/>
      <c r="B439" s="112">
        <v>4</v>
      </c>
      <c r="C439" s="112" t="str">
        <f>IF(OR(Tabella3[[#This Row],[LUN]]="X",Tabella3[[#This Row],[MAR]]="X",Tabella3[[#This Row],[MER]]="X",Tabella3[[#This Row],[GIO]]="X",Tabella3[[#This Row],[VEN]]="X",),"X","")</f>
        <v/>
      </c>
      <c r="D439" s="113" t="s">
        <v>87</v>
      </c>
      <c r="E439" s="109" t="s">
        <v>111</v>
      </c>
      <c r="F439" s="109" t="s">
        <v>112</v>
      </c>
      <c r="G439" s="109" t="s">
        <v>2099</v>
      </c>
      <c r="H439" s="111"/>
      <c r="I439" s="111"/>
      <c r="J439" s="111"/>
      <c r="K439" s="111"/>
      <c r="L439" s="111"/>
      <c r="M439" s="109" t="s">
        <v>1257</v>
      </c>
      <c r="N439" s="109" t="s">
        <v>23</v>
      </c>
      <c r="O439" s="109"/>
      <c r="P439" s="109"/>
      <c r="Q439" s="109" t="s">
        <v>178</v>
      </c>
      <c r="R439" s="110">
        <v>45595</v>
      </c>
      <c r="S439" s="110" t="s">
        <v>50</v>
      </c>
      <c r="T439" s="116" t="str">
        <f ca="1">IF(AND('Inserimento dati'!$B$3=$H$2, Tabella3[[#This Row],[LUN]]="X"), "X",IF(AND('Inserimento dati'!$B$3=$I$2, Tabella3[[#This Row],[MAR]]="X"), "X", IF(AND('Inserimento dati'!$B$3=$J$2, Tabella3[[#This Row],[MER]]="X"), "X",IF(AND('Inserimento dati'!$B$3=$K$2, Tabella3[[#This Row],[GIO]]="X"), "X", IF(AND('Inserimento dati'!$B$3=$L$2, Tabella3[[#This Row],[VEN]]="X"), "X","")))))</f>
        <v/>
      </c>
      <c r="U439" s="144" t="str">
        <f t="shared" ca="1" si="15"/>
        <v>1: 1200/</v>
      </c>
      <c r="V439" s="193">
        <v>45930.833333333336</v>
      </c>
    </row>
    <row r="440" spans="1:22" ht="45" x14ac:dyDescent="0.25">
      <c r="A440" s="112"/>
      <c r="B440" s="112">
        <v>4</v>
      </c>
      <c r="C440" s="112" t="str">
        <f>IF(OR(Tabella3[[#This Row],[LUN]]="X",Tabella3[[#This Row],[MAR]]="X",Tabella3[[#This Row],[MER]]="X",Tabella3[[#This Row],[GIO]]="X",Tabella3[[#This Row],[VEN]]="X",),"X","")</f>
        <v/>
      </c>
      <c r="D440" s="113" t="s">
        <v>87</v>
      </c>
      <c r="E440" s="109" t="s">
        <v>272</v>
      </c>
      <c r="F440" s="109" t="s">
        <v>93</v>
      </c>
      <c r="G440" s="109" t="s">
        <v>2100</v>
      </c>
      <c r="H440" s="111"/>
      <c r="I440" s="111"/>
      <c r="J440" s="111"/>
      <c r="K440" s="111"/>
      <c r="L440" s="111"/>
      <c r="M440" s="109" t="s">
        <v>1257</v>
      </c>
      <c r="N440" s="109" t="s">
        <v>23</v>
      </c>
      <c r="O440" s="109"/>
      <c r="P440" s="109"/>
      <c r="Q440" s="109" t="s">
        <v>303</v>
      </c>
      <c r="R440" s="110">
        <v>45664</v>
      </c>
      <c r="S440" s="110" t="s">
        <v>302</v>
      </c>
      <c r="T440" s="112" t="str">
        <f ca="1">IF(AND('Inserimento dati'!$B$3=$H$2, Tabella3[[#This Row],[LUN]]="X"), "X",IF(AND('Inserimento dati'!$B$3=$I$2, Tabella3[[#This Row],[MAR]]="X"), "X", IF(AND('Inserimento dati'!$B$3=$J$2, Tabella3[[#This Row],[MER]]="X"), "X",IF(AND('Inserimento dati'!$B$3=$K$2, Tabella3[[#This Row],[GIO]]="X"), "X", IF(AND('Inserimento dati'!$B$3=$L$2, Tabella3[[#This Row],[VEN]]="X"), "X","")))))</f>
        <v/>
      </c>
      <c r="U440" s="144" t="str">
        <f t="shared" ca="1" si="15"/>
        <v xml:space="preserve"> 1021378</v>
      </c>
      <c r="V440" s="193">
        <v>45930.833333333336</v>
      </c>
    </row>
    <row r="441" spans="1:22" ht="30" x14ac:dyDescent="0.25">
      <c r="A441" s="112"/>
      <c r="B441" s="112"/>
      <c r="C441" s="112" t="str">
        <f>IF(OR(Tabella3[[#This Row],[LUN]]="X",Tabella3[[#This Row],[MAR]]="X",Tabella3[[#This Row],[MER]]="X",Tabella3[[#This Row],[GIO]]="X",Tabella3[[#This Row],[VEN]]="X",),"X","")</f>
        <v/>
      </c>
      <c r="D441" s="113" t="s">
        <v>87</v>
      </c>
      <c r="E441" s="109" t="s">
        <v>2203</v>
      </c>
      <c r="F441" s="109">
        <v>800</v>
      </c>
      <c r="G441" s="109" t="s">
        <v>2268</v>
      </c>
      <c r="H441" s="111"/>
      <c r="I441" s="111"/>
      <c r="J441" s="111"/>
      <c r="K441" s="111"/>
      <c r="L441" s="111"/>
      <c r="M441" s="109" t="s">
        <v>1257</v>
      </c>
      <c r="N441" s="109"/>
      <c r="O441" s="109"/>
      <c r="P441" s="109"/>
      <c r="Q441" s="109" t="s">
        <v>2337</v>
      </c>
      <c r="R441" s="110">
        <v>45848</v>
      </c>
      <c r="S441" s="109" t="s">
        <v>239</v>
      </c>
      <c r="T441" s="114" t="str">
        <f ca="1">IF(AND('Inserimento dati'!$B$3=$H$2, Tabella3[[#This Row],[LUN]]="X"), "X",IF(AND('Inserimento dati'!$B$3=$I$2, Tabella3[[#This Row],[MAR]]="X"), "X", IF(AND('Inserimento dati'!$B$3=$J$2, Tabella3[[#This Row],[MER]]="X"), "X",IF(AND('Inserimento dati'!$B$3=$K$2, Tabella3[[#This Row],[GIO]]="X"), "X", IF(AND('Inserimento dati'!$B$3=$L$2, Tabella3[[#This Row],[VEN]]="X"), "X","")))))</f>
        <v/>
      </c>
      <c r="U441" s="129" t="str">
        <f t="shared" ca="1" si="15"/>
        <v>10226577</v>
      </c>
      <c r="V441" s="193">
        <v>45930.833333333336</v>
      </c>
    </row>
    <row r="442" spans="1:22" ht="45" x14ac:dyDescent="0.25">
      <c r="A442" s="112"/>
      <c r="B442" s="112">
        <v>3</v>
      </c>
      <c r="C442" s="112" t="str">
        <f>IF(OR(Tabella3[[#This Row],[LUN]]="X",Tabella3[[#This Row],[MAR]]="X",Tabella3[[#This Row],[MER]]="X",Tabella3[[#This Row],[GIO]]="X",Tabella3[[#This Row],[VEN]]="X",),"X","")</f>
        <v/>
      </c>
      <c r="D442" s="113" t="s">
        <v>87</v>
      </c>
      <c r="E442" s="109" t="s">
        <v>1660</v>
      </c>
      <c r="F442" s="109">
        <v>1400</v>
      </c>
      <c r="G442" s="109" t="s">
        <v>2054</v>
      </c>
      <c r="H442" s="111"/>
      <c r="I442" s="111"/>
      <c r="J442" s="111"/>
      <c r="K442" s="111"/>
      <c r="L442" s="111"/>
      <c r="M442" s="109" t="s">
        <v>1257</v>
      </c>
      <c r="N442" s="109"/>
      <c r="O442" s="109" t="s">
        <v>23</v>
      </c>
      <c r="P442" s="113" t="s">
        <v>23</v>
      </c>
      <c r="Q442" s="109" t="s">
        <v>1693</v>
      </c>
      <c r="R442" s="110">
        <v>45824</v>
      </c>
      <c r="S442" s="109" t="s">
        <v>50</v>
      </c>
      <c r="T442" s="114" t="str">
        <f ca="1">IF(AND('Inserimento dati'!$B$3=$H$2, Tabella3[[#This Row],[LUN]]="X"), "X",IF(AND('Inserimento dati'!$B$3=$I$2, Tabella3[[#This Row],[MAR]]="X"), "X", IF(AND('Inserimento dati'!$B$3=$J$2, Tabella3[[#This Row],[MER]]="X"), "X",IF(AND('Inserimento dati'!$B$3=$K$2, Tabella3[[#This Row],[GIO]]="X"), "X", IF(AND('Inserimento dati'!$B$3=$L$2, Tabella3[[#This Row],[VEN]]="X"), "X","")))))</f>
        <v/>
      </c>
      <c r="U442" s="130" t="str">
        <f t="shared" ca="1" si="15"/>
        <v>10224411</v>
      </c>
      <c r="V442" s="193">
        <v>45930.833333333336</v>
      </c>
    </row>
    <row r="443" spans="1:22" ht="23.25" x14ac:dyDescent="0.25">
      <c r="A443" s="112"/>
      <c r="B443" s="112"/>
      <c r="C443" s="112" t="str">
        <f>IF(OR(Tabella3[[#This Row],[LUN]]="X",Tabella3[[#This Row],[MAR]]="X",Tabella3[[#This Row],[MER]]="X",Tabella3[[#This Row],[GIO]]="X",Tabella3[[#This Row],[VEN]]="X",),"X","")</f>
        <v/>
      </c>
      <c r="D443" s="113" t="s">
        <v>87</v>
      </c>
      <c r="E443" s="109" t="s">
        <v>2563</v>
      </c>
      <c r="F443" s="109">
        <v>1400</v>
      </c>
      <c r="G443" s="109" t="s">
        <v>2564</v>
      </c>
      <c r="H443" s="111"/>
      <c r="I443" s="111"/>
      <c r="J443" s="111"/>
      <c r="K443" s="111"/>
      <c r="L443" s="111"/>
      <c r="M443" s="109" t="s">
        <v>3112</v>
      </c>
      <c r="N443" s="109"/>
      <c r="O443" s="109"/>
      <c r="P443" s="109"/>
      <c r="Q443" s="109" t="s">
        <v>3113</v>
      </c>
      <c r="R443" s="110"/>
      <c r="S443" s="109" t="s">
        <v>211</v>
      </c>
      <c r="T443" s="114" t="str">
        <f ca="1">IF(AND('Inserimento dati'!$B$3=$H$2, Tabella3[[#This Row],[LUN]]="X"), "X",IF(AND('Inserimento dati'!$B$3=$I$2, Tabella3[[#This Row],[MAR]]="X"), "X", IF(AND('Inserimento dati'!$B$3=$J$2, Tabella3[[#This Row],[MER]]="X"), "X",IF(AND('Inserimento dati'!$B$3=$K$2, Tabella3[[#This Row],[GIO]]="X"), "X", IF(AND('Inserimento dati'!$B$3=$L$2, Tabella3[[#This Row],[VEN]]="X"), "X","")))))</f>
        <v/>
      </c>
      <c r="U443" s="93" t="str">
        <f t="shared" ca="1" si="15"/>
        <v/>
      </c>
      <c r="V443" s="193">
        <v>45930.833333333336</v>
      </c>
    </row>
  </sheetData>
  <sortState ref="A383:U443">
    <sortCondition ref="B3"/>
  </sortState>
  <mergeCells count="2">
    <mergeCell ref="A1:D1"/>
    <mergeCell ref="N2:P2"/>
  </mergeCells>
  <phoneticPr fontId="14" type="noConversion"/>
  <conditionalFormatting sqref="N164:S164 N394:S394 N395:P395 M392:P392 N393:P393 N378:S378 N381:S381 N166:S214 E164:G443 M382:S391 M379:S380 M396:S443 M215:S377">
    <cfRule type="expression" dxfId="5579" priority="2839">
      <formula>SEARCH("IN CORSO",$M164)&gt;0</formula>
    </cfRule>
    <cfRule type="expression" dxfId="5578" priority="2840">
      <formula>SEARCH("CHIUSO",$M164)&gt;0</formula>
    </cfRule>
    <cfRule type="expression" dxfId="5577" priority="2841">
      <formula>SEARCH("EMESSO",$M164)&gt;0</formula>
    </cfRule>
    <cfRule type="expression" dxfId="5576" priority="2842">
      <formula>SEARCH("RICHIESTO",$M164)&gt;0</formula>
    </cfRule>
    <cfRule type="expression" dxfId="5575" priority="2843">
      <formula>SEARCH("DA CHIUDERE",$M164)&gt;0</formula>
    </cfRule>
    <cfRule type="expression" dxfId="5574" priority="2844">
      <formula>SEARCH("INTERROTTO",$M164)&gt;0</formula>
    </cfRule>
  </conditionalFormatting>
  <conditionalFormatting sqref="R165:S165">
    <cfRule type="expression" dxfId="5573" priority="2833">
      <formula>SEARCH("IN CORSO",$M165)&gt;0</formula>
    </cfRule>
    <cfRule type="expression" dxfId="5572" priority="2834">
      <formula>SEARCH("CHIUSO",$M165)&gt;0</formula>
    </cfRule>
    <cfRule type="expression" dxfId="5571" priority="2835">
      <formula>SEARCH("EMESSO",$M165)&gt;0</formula>
    </cfRule>
    <cfRule type="expression" dxfId="5570" priority="2836">
      <formula>SEARCH("RICHIESTO",$M165)&gt;0</formula>
    </cfRule>
    <cfRule type="expression" dxfId="5569" priority="2837">
      <formula>SEARCH("DA CHIUDERE",$M165)&gt;0</formula>
    </cfRule>
    <cfRule type="expression" dxfId="5568" priority="2838">
      <formula>SEARCH("INTERROTTO",$M165)&gt;0</formula>
    </cfRule>
  </conditionalFormatting>
  <conditionalFormatting sqref="E163:G163 N163:S163">
    <cfRule type="expression" dxfId="5567" priority="2827">
      <formula>SEARCH("IN CORSO",$M163)&gt;0</formula>
    </cfRule>
    <cfRule type="expression" dxfId="5566" priority="2828">
      <formula>SEARCH("CHIUSO",$M163)&gt;0</formula>
    </cfRule>
    <cfRule type="expression" dxfId="5565" priority="2829">
      <formula>SEARCH("EMESSO",$M163)&gt;0</formula>
    </cfRule>
    <cfRule type="expression" dxfId="5564" priority="2830">
      <formula>SEARCH("RICHIESTO",$M163)&gt;0</formula>
    </cfRule>
    <cfRule type="expression" dxfId="5563" priority="2831">
      <formula>SEARCH("DA CHIUDERE",$M163)&gt;0</formula>
    </cfRule>
    <cfRule type="expression" dxfId="5562" priority="2832">
      <formula>SEARCH("INTERROTTO",$M163)&gt;0</formula>
    </cfRule>
  </conditionalFormatting>
  <conditionalFormatting sqref="E162:G162 N162:S162">
    <cfRule type="expression" dxfId="5561" priority="2821">
      <formula>SEARCH("IN CORSO",$M162)&gt;0</formula>
    </cfRule>
    <cfRule type="expression" dxfId="5560" priority="2822">
      <formula>SEARCH("CHIUSO",$M162)&gt;0</formula>
    </cfRule>
    <cfRule type="expression" dxfId="5559" priority="2823">
      <formula>SEARCH("EMESSO",$M162)&gt;0</formula>
    </cfRule>
    <cfRule type="expression" dxfId="5558" priority="2824">
      <formula>SEARCH("RICHIESTO",$M162)&gt;0</formula>
    </cfRule>
    <cfRule type="expression" dxfId="5557" priority="2825">
      <formula>SEARCH("DA CHIUDERE",$M162)&gt;0</formula>
    </cfRule>
    <cfRule type="expression" dxfId="5556" priority="2826">
      <formula>SEARCH("INTERROTTO",$M162)&gt;0</formula>
    </cfRule>
  </conditionalFormatting>
  <conditionalFormatting sqref="E161:G161 N161:S161">
    <cfRule type="expression" dxfId="5555" priority="2815">
      <formula>SEARCH("IN CORSO",$M161)&gt;0</formula>
    </cfRule>
    <cfRule type="expression" dxfId="5554" priority="2816">
      <formula>SEARCH("CHIUSO",$M161)&gt;0</formula>
    </cfRule>
    <cfRule type="expression" dxfId="5553" priority="2817">
      <formula>SEARCH("EMESSO",$M161)&gt;0</formula>
    </cfRule>
    <cfRule type="expression" dxfId="5552" priority="2818">
      <formula>SEARCH("RICHIESTO",$M161)&gt;0</formula>
    </cfRule>
    <cfRule type="expression" dxfId="5551" priority="2819">
      <formula>SEARCH("DA CHIUDERE",$M161)&gt;0</formula>
    </cfRule>
    <cfRule type="expression" dxfId="5550" priority="2820">
      <formula>SEARCH("INTERROTTO",$M161)&gt;0</formula>
    </cfRule>
  </conditionalFormatting>
  <conditionalFormatting sqref="E160:G160 N160:S160">
    <cfRule type="expression" dxfId="5549" priority="2809">
      <formula>SEARCH("IN CORSO",$M160)&gt;0</formula>
    </cfRule>
    <cfRule type="expression" dxfId="5548" priority="2810">
      <formula>SEARCH("CHIUSO",$M160)&gt;0</formula>
    </cfRule>
    <cfRule type="expression" dxfId="5547" priority="2811">
      <formula>SEARCH("EMESSO",$M160)&gt;0</formula>
    </cfRule>
    <cfRule type="expression" dxfId="5546" priority="2812">
      <formula>SEARCH("RICHIESTO",$M160)&gt;0</formula>
    </cfRule>
    <cfRule type="expression" dxfId="5545" priority="2813">
      <formula>SEARCH("DA CHIUDERE",$M160)&gt;0</formula>
    </cfRule>
    <cfRule type="expression" dxfId="5544" priority="2814">
      <formula>SEARCH("INTERROTTO",$M160)&gt;0</formula>
    </cfRule>
  </conditionalFormatting>
  <conditionalFormatting sqref="E159:G159 N159:S159">
    <cfRule type="expression" dxfId="5543" priority="2803">
      <formula>SEARCH("IN CORSO",$M159)&gt;0</formula>
    </cfRule>
    <cfRule type="expression" dxfId="5542" priority="2804">
      <formula>SEARCH("CHIUSO",$M159)&gt;0</formula>
    </cfRule>
    <cfRule type="expression" dxfId="5541" priority="2805">
      <formula>SEARCH("EMESSO",$M159)&gt;0</formula>
    </cfRule>
    <cfRule type="expression" dxfId="5540" priority="2806">
      <formula>SEARCH("RICHIESTO",$M159)&gt;0</formula>
    </cfRule>
    <cfRule type="expression" dxfId="5539" priority="2807">
      <formula>SEARCH("DA CHIUDERE",$M159)&gt;0</formula>
    </cfRule>
    <cfRule type="expression" dxfId="5538" priority="2808">
      <formula>SEARCH("INTERROTTO",$M159)&gt;0</formula>
    </cfRule>
  </conditionalFormatting>
  <conditionalFormatting sqref="E158:G158 N158:S158">
    <cfRule type="expression" dxfId="5537" priority="2797">
      <formula>SEARCH("IN CORSO",$M158)&gt;0</formula>
    </cfRule>
    <cfRule type="expression" dxfId="5536" priority="2798">
      <formula>SEARCH("CHIUSO",$M158)&gt;0</formula>
    </cfRule>
    <cfRule type="expression" dxfId="5535" priority="2799">
      <formula>SEARCH("EMESSO",$M158)&gt;0</formula>
    </cfRule>
    <cfRule type="expression" dxfId="5534" priority="2800">
      <formula>SEARCH("RICHIESTO",$M158)&gt;0</formula>
    </cfRule>
    <cfRule type="expression" dxfId="5533" priority="2801">
      <formula>SEARCH("DA CHIUDERE",$M158)&gt;0</formula>
    </cfRule>
    <cfRule type="expression" dxfId="5532" priority="2802">
      <formula>SEARCH("INTERROTTO",$M158)&gt;0</formula>
    </cfRule>
  </conditionalFormatting>
  <conditionalFormatting sqref="E157:G157 N157:S157">
    <cfRule type="expression" dxfId="5531" priority="2791">
      <formula>SEARCH("IN CORSO",$M157)&gt;0</formula>
    </cfRule>
    <cfRule type="expression" dxfId="5530" priority="2792">
      <formula>SEARCH("CHIUSO",$M157)&gt;0</formula>
    </cfRule>
    <cfRule type="expression" dxfId="5529" priority="2793">
      <formula>SEARCH("EMESSO",$M157)&gt;0</formula>
    </cfRule>
    <cfRule type="expression" dxfId="5528" priority="2794">
      <formula>SEARCH("RICHIESTO",$M157)&gt;0</formula>
    </cfRule>
    <cfRule type="expression" dxfId="5527" priority="2795">
      <formula>SEARCH("DA CHIUDERE",$M157)&gt;0</formula>
    </cfRule>
    <cfRule type="expression" dxfId="5526" priority="2796">
      <formula>SEARCH("INTERROTTO",$M157)&gt;0</formula>
    </cfRule>
  </conditionalFormatting>
  <conditionalFormatting sqref="G156 N156:Q156">
    <cfRule type="expression" dxfId="5525" priority="2785">
      <formula>SEARCH("IN CORSO",$M156)&gt;0</formula>
    </cfRule>
    <cfRule type="expression" dxfId="5524" priority="2786">
      <formula>SEARCH("CHIUSO",$M156)&gt;0</formula>
    </cfRule>
    <cfRule type="expression" dxfId="5523" priority="2787">
      <formula>SEARCH("EMESSO",$M156)&gt;0</formula>
    </cfRule>
    <cfRule type="expression" dxfId="5522" priority="2788">
      <formula>SEARCH("RICHIESTO",$M156)&gt;0</formula>
    </cfRule>
    <cfRule type="expression" dxfId="5521" priority="2789">
      <formula>SEARCH("DA CHIUDERE",$M156)&gt;0</formula>
    </cfRule>
    <cfRule type="expression" dxfId="5520" priority="2790">
      <formula>SEARCH("INTERROTTO",$M156)&gt;0</formula>
    </cfRule>
  </conditionalFormatting>
  <conditionalFormatting sqref="E155:G155 E156:F156 N155:S155">
    <cfRule type="expression" dxfId="5519" priority="2779">
      <formula>SEARCH("IN CORSO",$M155)&gt;0</formula>
    </cfRule>
    <cfRule type="expression" dxfId="5518" priority="2780">
      <formula>SEARCH("CHIUSO",$M155)&gt;0</formula>
    </cfRule>
    <cfRule type="expression" dxfId="5517" priority="2781">
      <formula>SEARCH("EMESSO",$M155)&gt;0</formula>
    </cfRule>
    <cfRule type="expression" dxfId="5516" priority="2782">
      <formula>SEARCH("RICHIESTO",$M155)&gt;0</formula>
    </cfRule>
    <cfRule type="expression" dxfId="5515" priority="2783">
      <formula>SEARCH("DA CHIUDERE",$M155)&gt;0</formula>
    </cfRule>
    <cfRule type="expression" dxfId="5514" priority="2784">
      <formula>SEARCH("INTERROTTO",$M155)&gt;0</formula>
    </cfRule>
  </conditionalFormatting>
  <conditionalFormatting sqref="R156:S156">
    <cfRule type="expression" dxfId="5513" priority="2773">
      <formula>SEARCH("IN CORSO",$M156)&gt;0</formula>
    </cfRule>
    <cfRule type="expression" dxfId="5512" priority="2774">
      <formula>SEARCH("CHIUSO",$M156)&gt;0</formula>
    </cfRule>
    <cfRule type="expression" dxfId="5511" priority="2775">
      <formula>SEARCH("EMESSO",$M156)&gt;0</formula>
    </cfRule>
    <cfRule type="expression" dxfId="5510" priority="2776">
      <formula>SEARCH("RICHIESTO",$M156)&gt;0</formula>
    </cfRule>
    <cfRule type="expression" dxfId="5509" priority="2777">
      <formula>SEARCH("DA CHIUDERE",$M156)&gt;0</formula>
    </cfRule>
    <cfRule type="expression" dxfId="5508" priority="2778">
      <formula>SEARCH("INTERROTTO",$M156)&gt;0</formula>
    </cfRule>
  </conditionalFormatting>
  <conditionalFormatting sqref="E154:G154 N154:S154">
    <cfRule type="expression" dxfId="5507" priority="2767">
      <formula>SEARCH("IN CORSO",$M154)&gt;0</formula>
    </cfRule>
    <cfRule type="expression" dxfId="5506" priority="2768">
      <formula>SEARCH("CHIUSO",$M154)&gt;0</formula>
    </cfRule>
    <cfRule type="expression" dxfId="5505" priority="2769">
      <formula>SEARCH("EMESSO",$M154)&gt;0</formula>
    </cfRule>
    <cfRule type="expression" dxfId="5504" priority="2770">
      <formula>SEARCH("RICHIESTO",$M154)&gt;0</formula>
    </cfRule>
    <cfRule type="expression" dxfId="5503" priority="2771">
      <formula>SEARCH("DA CHIUDERE",$M154)&gt;0</formula>
    </cfRule>
    <cfRule type="expression" dxfId="5502" priority="2772">
      <formula>SEARCH("INTERROTTO",$M154)&gt;0</formula>
    </cfRule>
  </conditionalFormatting>
  <conditionalFormatting sqref="E153:G153 N153:S153">
    <cfRule type="expression" dxfId="5501" priority="2761">
      <formula>SEARCH("IN CORSO",$M153)&gt;0</formula>
    </cfRule>
    <cfRule type="expression" dxfId="5500" priority="2762">
      <formula>SEARCH("CHIUSO",$M153)&gt;0</formula>
    </cfRule>
    <cfRule type="expression" dxfId="5499" priority="2763">
      <formula>SEARCH("EMESSO",$M153)&gt;0</formula>
    </cfRule>
    <cfRule type="expression" dxfId="5498" priority="2764">
      <formula>SEARCH("RICHIESTO",$M153)&gt;0</formula>
    </cfRule>
    <cfRule type="expression" dxfId="5497" priority="2765">
      <formula>SEARCH("DA CHIUDERE",$M153)&gt;0</formula>
    </cfRule>
    <cfRule type="expression" dxfId="5496" priority="2766">
      <formula>SEARCH("INTERROTTO",$M153)&gt;0</formula>
    </cfRule>
  </conditionalFormatting>
  <conditionalFormatting sqref="E152:G152 N152:S152">
    <cfRule type="expression" dxfId="5495" priority="2755">
      <formula>SEARCH("IN CORSO",$M152)&gt;0</formula>
    </cfRule>
    <cfRule type="expression" dxfId="5494" priority="2756">
      <formula>SEARCH("CHIUSO",$M152)&gt;0</formula>
    </cfRule>
    <cfRule type="expression" dxfId="5493" priority="2757">
      <formula>SEARCH("EMESSO",$M152)&gt;0</formula>
    </cfRule>
    <cfRule type="expression" dxfId="5492" priority="2758">
      <formula>SEARCH("RICHIESTO",$M152)&gt;0</formula>
    </cfRule>
    <cfRule type="expression" dxfId="5491" priority="2759">
      <formula>SEARCH("DA CHIUDERE",$M152)&gt;0</formula>
    </cfRule>
    <cfRule type="expression" dxfId="5490" priority="2760">
      <formula>SEARCH("INTERROTTO",$M152)&gt;0</formula>
    </cfRule>
  </conditionalFormatting>
  <conditionalFormatting sqref="E149:G149 N149:S149">
    <cfRule type="expression" dxfId="5489" priority="2725">
      <formula>SEARCH("IN CORSO",$M149)&gt;0</formula>
    </cfRule>
    <cfRule type="expression" dxfId="5488" priority="2726">
      <formula>SEARCH("CHIUSO",$M149)&gt;0</formula>
    </cfRule>
    <cfRule type="expression" dxfId="5487" priority="2727">
      <formula>SEARCH("EMESSO",$M149)&gt;0</formula>
    </cfRule>
    <cfRule type="expression" dxfId="5486" priority="2728">
      <formula>SEARCH("RICHIESTO",$M149)&gt;0</formula>
    </cfRule>
    <cfRule type="expression" dxfId="5485" priority="2729">
      <formula>SEARCH("DA CHIUDERE",$M149)&gt;0</formula>
    </cfRule>
    <cfRule type="expression" dxfId="5484" priority="2730">
      <formula>SEARCH("INTERROTTO",$M149)&gt;0</formula>
    </cfRule>
  </conditionalFormatting>
  <conditionalFormatting sqref="E148:G148 N148:S148">
    <cfRule type="expression" dxfId="5483" priority="2713">
      <formula>SEARCH("IN CORSO",$M148)&gt;0</formula>
    </cfRule>
    <cfRule type="expression" dxfId="5482" priority="2714">
      <formula>SEARCH("CHIUSO",$M148)&gt;0</formula>
    </cfRule>
    <cfRule type="expression" dxfId="5481" priority="2715">
      <formula>SEARCH("EMESSO",$M148)&gt;0</formula>
    </cfRule>
    <cfRule type="expression" dxfId="5480" priority="2716">
      <formula>SEARCH("RICHIESTO",$M148)&gt;0</formula>
    </cfRule>
    <cfRule type="expression" dxfId="5479" priority="2717">
      <formula>SEARCH("DA CHIUDERE",$M148)&gt;0</formula>
    </cfRule>
    <cfRule type="expression" dxfId="5478" priority="2718">
      <formula>SEARCH("INTERROTTO",$M148)&gt;0</formula>
    </cfRule>
  </conditionalFormatting>
  <conditionalFormatting sqref="E147:G147 N147:S147">
    <cfRule type="expression" dxfId="5477" priority="2701">
      <formula>SEARCH("IN CORSO",$M147)&gt;0</formula>
    </cfRule>
    <cfRule type="expression" dxfId="5476" priority="2702">
      <formula>SEARCH("CHIUSO",$M147)&gt;0</formula>
    </cfRule>
    <cfRule type="expression" dxfId="5475" priority="2703">
      <formula>SEARCH("EMESSO",$M147)&gt;0</formula>
    </cfRule>
    <cfRule type="expression" dxfId="5474" priority="2704">
      <formula>SEARCH("RICHIESTO",$M147)&gt;0</formula>
    </cfRule>
    <cfRule type="expression" dxfId="5473" priority="2705">
      <formula>SEARCH("DA CHIUDERE",$M147)&gt;0</formula>
    </cfRule>
    <cfRule type="expression" dxfId="5472" priority="2706">
      <formula>SEARCH("INTERROTTO",$M147)&gt;0</formula>
    </cfRule>
  </conditionalFormatting>
  <conditionalFormatting sqref="E146:G146 N146:S146">
    <cfRule type="expression" dxfId="5471" priority="2689">
      <formula>SEARCH("IN CORSO",$M146)&gt;0</formula>
    </cfRule>
    <cfRule type="expression" dxfId="5470" priority="2690">
      <formula>SEARCH("CHIUSO",$M146)&gt;0</formula>
    </cfRule>
    <cfRule type="expression" dxfId="5469" priority="2691">
      <formula>SEARCH("EMESSO",$M146)&gt;0</formula>
    </cfRule>
    <cfRule type="expression" dxfId="5468" priority="2692">
      <formula>SEARCH("RICHIESTO",$M146)&gt;0</formula>
    </cfRule>
    <cfRule type="expression" dxfId="5467" priority="2693">
      <formula>SEARCH("DA CHIUDERE",$M146)&gt;0</formula>
    </cfRule>
    <cfRule type="expression" dxfId="5466" priority="2694">
      <formula>SEARCH("INTERROTTO",$M146)&gt;0</formula>
    </cfRule>
  </conditionalFormatting>
  <conditionalFormatting sqref="E145:G145 N145:S145">
    <cfRule type="expression" dxfId="5465" priority="2677">
      <formula>SEARCH("IN CORSO",$M145)&gt;0</formula>
    </cfRule>
    <cfRule type="expression" dxfId="5464" priority="2678">
      <formula>SEARCH("CHIUSO",$M145)&gt;0</formula>
    </cfRule>
    <cfRule type="expression" dxfId="5463" priority="2679">
      <formula>SEARCH("EMESSO",$M145)&gt;0</formula>
    </cfRule>
    <cfRule type="expression" dxfId="5462" priority="2680">
      <formula>SEARCH("RICHIESTO",$M145)&gt;0</formula>
    </cfRule>
    <cfRule type="expression" dxfId="5461" priority="2681">
      <formula>SEARCH("DA CHIUDERE",$M145)&gt;0</formula>
    </cfRule>
    <cfRule type="expression" dxfId="5460" priority="2682">
      <formula>SEARCH("INTERROTTO",$M145)&gt;0</formula>
    </cfRule>
  </conditionalFormatting>
  <conditionalFormatting sqref="E144:G144 N144:S144">
    <cfRule type="expression" dxfId="5459" priority="2665">
      <formula>SEARCH("IN CORSO",$M144)&gt;0</formula>
    </cfRule>
    <cfRule type="expression" dxfId="5458" priority="2666">
      <formula>SEARCH("CHIUSO",$M144)&gt;0</formula>
    </cfRule>
    <cfRule type="expression" dxfId="5457" priority="2667">
      <formula>SEARCH("EMESSO",$M144)&gt;0</formula>
    </cfRule>
    <cfRule type="expression" dxfId="5456" priority="2668">
      <formula>SEARCH("RICHIESTO",$M144)&gt;0</formula>
    </cfRule>
    <cfRule type="expression" dxfId="5455" priority="2669">
      <formula>SEARCH("DA CHIUDERE",$M144)&gt;0</formula>
    </cfRule>
    <cfRule type="expression" dxfId="5454" priority="2670">
      <formula>SEARCH("INTERROTTO",$M144)&gt;0</formula>
    </cfRule>
  </conditionalFormatting>
  <conditionalFormatting sqref="E143:G143 N143:S143">
    <cfRule type="expression" dxfId="5453" priority="2653">
      <formula>SEARCH("IN CORSO",$M143)&gt;0</formula>
    </cfRule>
    <cfRule type="expression" dxfId="5452" priority="2654">
      <formula>SEARCH("CHIUSO",$M143)&gt;0</formula>
    </cfRule>
    <cfRule type="expression" dxfId="5451" priority="2655">
      <formula>SEARCH("EMESSO",$M143)&gt;0</formula>
    </cfRule>
    <cfRule type="expression" dxfId="5450" priority="2656">
      <formula>SEARCH("RICHIESTO",$M143)&gt;0</formula>
    </cfRule>
    <cfRule type="expression" dxfId="5449" priority="2657">
      <formula>SEARCH("DA CHIUDERE",$M143)&gt;0</formula>
    </cfRule>
    <cfRule type="expression" dxfId="5448" priority="2658">
      <formula>SEARCH("INTERROTTO",$M143)&gt;0</formula>
    </cfRule>
  </conditionalFormatting>
  <conditionalFormatting sqref="E142:G142 N142:S142">
    <cfRule type="expression" dxfId="5447" priority="2641">
      <formula>SEARCH("IN CORSO",$M142)&gt;0</formula>
    </cfRule>
    <cfRule type="expression" dxfId="5446" priority="2642">
      <formula>SEARCH("CHIUSO",$M142)&gt;0</formula>
    </cfRule>
    <cfRule type="expression" dxfId="5445" priority="2643">
      <formula>SEARCH("EMESSO",$M142)&gt;0</formula>
    </cfRule>
    <cfRule type="expression" dxfId="5444" priority="2644">
      <formula>SEARCH("RICHIESTO",$M142)&gt;0</formula>
    </cfRule>
    <cfRule type="expression" dxfId="5443" priority="2645">
      <formula>SEARCH("DA CHIUDERE",$M142)&gt;0</formula>
    </cfRule>
    <cfRule type="expression" dxfId="5442" priority="2646">
      <formula>SEARCH("INTERROTTO",$M142)&gt;0</formula>
    </cfRule>
  </conditionalFormatting>
  <conditionalFormatting sqref="E141:G141 N141:S141">
    <cfRule type="expression" dxfId="5441" priority="2629">
      <formula>SEARCH("IN CORSO",$M141)&gt;0</formula>
    </cfRule>
    <cfRule type="expression" dxfId="5440" priority="2630">
      <formula>SEARCH("CHIUSO",$M141)&gt;0</formula>
    </cfRule>
    <cfRule type="expression" dxfId="5439" priority="2631">
      <formula>SEARCH("EMESSO",$M141)&gt;0</formula>
    </cfRule>
    <cfRule type="expression" dxfId="5438" priority="2632">
      <formula>SEARCH("RICHIESTO",$M141)&gt;0</formula>
    </cfRule>
    <cfRule type="expression" dxfId="5437" priority="2633">
      <formula>SEARCH("DA CHIUDERE",$M141)&gt;0</formula>
    </cfRule>
    <cfRule type="expression" dxfId="5436" priority="2634">
      <formula>SEARCH("INTERROTTO",$M141)&gt;0</formula>
    </cfRule>
  </conditionalFormatting>
  <conditionalFormatting sqref="E140:G140 N140:S140">
    <cfRule type="expression" dxfId="5435" priority="2617">
      <formula>SEARCH("IN CORSO",$M140)&gt;0</formula>
    </cfRule>
    <cfRule type="expression" dxfId="5434" priority="2618">
      <formula>SEARCH("CHIUSO",$M140)&gt;0</formula>
    </cfRule>
    <cfRule type="expression" dxfId="5433" priority="2619">
      <formula>SEARCH("EMESSO",$M140)&gt;0</formula>
    </cfRule>
    <cfRule type="expression" dxfId="5432" priority="2620">
      <formula>SEARCH("RICHIESTO",$M140)&gt;0</formula>
    </cfRule>
    <cfRule type="expression" dxfId="5431" priority="2621">
      <formula>SEARCH("DA CHIUDERE",$M140)&gt;0</formula>
    </cfRule>
    <cfRule type="expression" dxfId="5430" priority="2622">
      <formula>SEARCH("INTERROTTO",$M140)&gt;0</formula>
    </cfRule>
  </conditionalFormatting>
  <conditionalFormatting sqref="E139:F139 N139:S139">
    <cfRule type="expression" dxfId="5429" priority="2605">
      <formula>SEARCH("IN CORSO",$M139)&gt;0</formula>
    </cfRule>
    <cfRule type="expression" dxfId="5428" priority="2606">
      <formula>SEARCH("CHIUSO",$M139)&gt;0</formula>
    </cfRule>
    <cfRule type="expression" dxfId="5427" priority="2607">
      <formula>SEARCH("EMESSO",$M139)&gt;0</formula>
    </cfRule>
    <cfRule type="expression" dxfId="5426" priority="2608">
      <formula>SEARCH("RICHIESTO",$M139)&gt;0</formula>
    </cfRule>
    <cfRule type="expression" dxfId="5425" priority="2609">
      <formula>SEARCH("DA CHIUDERE",$M139)&gt;0</formula>
    </cfRule>
    <cfRule type="expression" dxfId="5424" priority="2610">
      <formula>SEARCH("INTERROTTO",$M139)&gt;0</formula>
    </cfRule>
  </conditionalFormatting>
  <conditionalFormatting sqref="E138:F138 N138:S138">
    <cfRule type="expression" dxfId="5423" priority="2587">
      <formula>SEARCH("IN CORSO",$M138)&gt;0</formula>
    </cfRule>
    <cfRule type="expression" dxfId="5422" priority="2588">
      <formula>SEARCH("CHIUSO",$M138)&gt;0</formula>
    </cfRule>
    <cfRule type="expression" dxfId="5421" priority="2589">
      <formula>SEARCH("EMESSO",$M138)&gt;0</formula>
    </cfRule>
    <cfRule type="expression" dxfId="5420" priority="2590">
      <formula>SEARCH("RICHIESTO",$M138)&gt;0</formula>
    </cfRule>
    <cfRule type="expression" dxfId="5419" priority="2591">
      <formula>SEARCH("DA CHIUDERE",$M138)&gt;0</formula>
    </cfRule>
    <cfRule type="expression" dxfId="5418" priority="2592">
      <formula>SEARCH("INTERROTTO",$M138)&gt;0</formula>
    </cfRule>
  </conditionalFormatting>
  <conditionalFormatting sqref="G139">
    <cfRule type="expression" dxfId="5417" priority="2593">
      <formula>SEARCH("IN CORSO",$M139)&gt;0</formula>
    </cfRule>
    <cfRule type="expression" dxfId="5416" priority="2594">
      <formula>SEARCH("CHIUSO",$M139)&gt;0</formula>
    </cfRule>
    <cfRule type="expression" dxfId="5415" priority="2595">
      <formula>SEARCH("EMESSO",$M139)&gt;0</formula>
    </cfRule>
    <cfRule type="expression" dxfId="5414" priority="2596">
      <formula>SEARCH("RICHIESTO",$M139)&gt;0</formula>
    </cfRule>
    <cfRule type="expression" dxfId="5413" priority="2597">
      <formula>SEARCH("DA CHIUDERE",$M139)&gt;0</formula>
    </cfRule>
    <cfRule type="expression" dxfId="5412" priority="2598">
      <formula>SEARCH("INTERROTTO",$M139)&gt;0</formula>
    </cfRule>
  </conditionalFormatting>
  <conditionalFormatting sqref="E137:F137 N137:S137">
    <cfRule type="expression" dxfId="5411" priority="2569">
      <formula>SEARCH("IN CORSO",$M137)&gt;0</formula>
    </cfRule>
    <cfRule type="expression" dxfId="5410" priority="2570">
      <formula>SEARCH("CHIUSO",$M137)&gt;0</formula>
    </cfRule>
    <cfRule type="expression" dxfId="5409" priority="2571">
      <formula>SEARCH("EMESSO",$M137)&gt;0</formula>
    </cfRule>
    <cfRule type="expression" dxfId="5408" priority="2572">
      <formula>SEARCH("RICHIESTO",$M137)&gt;0</formula>
    </cfRule>
    <cfRule type="expression" dxfId="5407" priority="2573">
      <formula>SEARCH("DA CHIUDERE",$M137)&gt;0</formula>
    </cfRule>
    <cfRule type="expression" dxfId="5406" priority="2574">
      <formula>SEARCH("INTERROTTO",$M137)&gt;0</formula>
    </cfRule>
  </conditionalFormatting>
  <conditionalFormatting sqref="G138">
    <cfRule type="expression" dxfId="5405" priority="2575">
      <formula>SEARCH("IN CORSO",$M138)&gt;0</formula>
    </cfRule>
    <cfRule type="expression" dxfId="5404" priority="2576">
      <formula>SEARCH("CHIUSO",$M138)&gt;0</formula>
    </cfRule>
    <cfRule type="expression" dxfId="5403" priority="2577">
      <formula>SEARCH("EMESSO",$M138)&gt;0</formula>
    </cfRule>
    <cfRule type="expression" dxfId="5402" priority="2578">
      <formula>SEARCH("RICHIESTO",$M138)&gt;0</formula>
    </cfRule>
    <cfRule type="expression" dxfId="5401" priority="2579">
      <formula>SEARCH("DA CHIUDERE",$M138)&gt;0</formula>
    </cfRule>
    <cfRule type="expression" dxfId="5400" priority="2580">
      <formula>SEARCH("INTERROTTO",$M138)&gt;0</formula>
    </cfRule>
  </conditionalFormatting>
  <conditionalFormatting sqref="E136:F136 N136:S136">
    <cfRule type="expression" dxfId="5399" priority="2551">
      <formula>SEARCH("IN CORSO",$M136)&gt;0</formula>
    </cfRule>
    <cfRule type="expression" dxfId="5398" priority="2552">
      <formula>SEARCH("CHIUSO",$M136)&gt;0</formula>
    </cfRule>
    <cfRule type="expression" dxfId="5397" priority="2553">
      <formula>SEARCH("EMESSO",$M136)&gt;0</formula>
    </cfRule>
    <cfRule type="expression" dxfId="5396" priority="2554">
      <formula>SEARCH("RICHIESTO",$M136)&gt;0</formula>
    </cfRule>
    <cfRule type="expression" dxfId="5395" priority="2555">
      <formula>SEARCH("DA CHIUDERE",$M136)&gt;0</formula>
    </cfRule>
    <cfRule type="expression" dxfId="5394" priority="2556">
      <formula>SEARCH("INTERROTTO",$M136)&gt;0</formula>
    </cfRule>
  </conditionalFormatting>
  <conditionalFormatting sqref="G137">
    <cfRule type="expression" dxfId="5393" priority="2557">
      <formula>SEARCH("IN CORSO",$M137)&gt;0</formula>
    </cfRule>
    <cfRule type="expression" dxfId="5392" priority="2558">
      <formula>SEARCH("CHIUSO",$M137)&gt;0</formula>
    </cfRule>
    <cfRule type="expression" dxfId="5391" priority="2559">
      <formula>SEARCH("EMESSO",$M137)&gt;0</formula>
    </cfRule>
    <cfRule type="expression" dxfId="5390" priority="2560">
      <formula>SEARCH("RICHIESTO",$M137)&gt;0</formula>
    </cfRule>
    <cfRule type="expression" dxfId="5389" priority="2561">
      <formula>SEARCH("DA CHIUDERE",$M137)&gt;0</formula>
    </cfRule>
    <cfRule type="expression" dxfId="5388" priority="2562">
      <formula>SEARCH("INTERROTTO",$M137)&gt;0</formula>
    </cfRule>
  </conditionalFormatting>
  <conditionalFormatting sqref="E135:F135 N135:S135">
    <cfRule type="expression" dxfId="5387" priority="2533">
      <formula>SEARCH("IN CORSO",$M135)&gt;0</formula>
    </cfRule>
    <cfRule type="expression" dxfId="5386" priority="2534">
      <formula>SEARCH("CHIUSO",$M135)&gt;0</formula>
    </cfRule>
    <cfRule type="expression" dxfId="5385" priority="2535">
      <formula>SEARCH("EMESSO",$M135)&gt;0</formula>
    </cfRule>
    <cfRule type="expression" dxfId="5384" priority="2536">
      <formula>SEARCH("RICHIESTO",$M135)&gt;0</formula>
    </cfRule>
    <cfRule type="expression" dxfId="5383" priority="2537">
      <formula>SEARCH("DA CHIUDERE",$M135)&gt;0</formula>
    </cfRule>
    <cfRule type="expression" dxfId="5382" priority="2538">
      <formula>SEARCH("INTERROTTO",$M135)&gt;0</formula>
    </cfRule>
  </conditionalFormatting>
  <conditionalFormatting sqref="G136">
    <cfRule type="expression" dxfId="5381" priority="2539">
      <formula>SEARCH("IN CORSO",$M136)&gt;0</formula>
    </cfRule>
    <cfRule type="expression" dxfId="5380" priority="2540">
      <formula>SEARCH("CHIUSO",$M136)&gt;0</formula>
    </cfRule>
    <cfRule type="expression" dxfId="5379" priority="2541">
      <formula>SEARCH("EMESSO",$M136)&gt;0</formula>
    </cfRule>
    <cfRule type="expression" dxfId="5378" priority="2542">
      <formula>SEARCH("RICHIESTO",$M136)&gt;0</formula>
    </cfRule>
    <cfRule type="expression" dxfId="5377" priority="2543">
      <formula>SEARCH("DA CHIUDERE",$M136)&gt;0</formula>
    </cfRule>
    <cfRule type="expression" dxfId="5376" priority="2544">
      <formula>SEARCH("INTERROTTO",$M136)&gt;0</formula>
    </cfRule>
  </conditionalFormatting>
  <conditionalFormatting sqref="E134:F134 N134:S134">
    <cfRule type="expression" dxfId="5375" priority="2515">
      <formula>SEARCH("IN CORSO",$M134)&gt;0</formula>
    </cfRule>
    <cfRule type="expression" dxfId="5374" priority="2516">
      <formula>SEARCH("CHIUSO",$M134)&gt;0</formula>
    </cfRule>
    <cfRule type="expression" dxfId="5373" priority="2517">
      <formula>SEARCH("EMESSO",$M134)&gt;0</formula>
    </cfRule>
    <cfRule type="expression" dxfId="5372" priority="2518">
      <formula>SEARCH("RICHIESTO",$M134)&gt;0</formula>
    </cfRule>
    <cfRule type="expression" dxfId="5371" priority="2519">
      <formula>SEARCH("DA CHIUDERE",$M134)&gt;0</formula>
    </cfRule>
    <cfRule type="expression" dxfId="5370" priority="2520">
      <formula>SEARCH("INTERROTTO",$M134)&gt;0</formula>
    </cfRule>
  </conditionalFormatting>
  <conditionalFormatting sqref="G135">
    <cfRule type="expression" dxfId="5369" priority="2521">
      <formula>SEARCH("IN CORSO",$M135)&gt;0</formula>
    </cfRule>
    <cfRule type="expression" dxfId="5368" priority="2522">
      <formula>SEARCH("CHIUSO",$M135)&gt;0</formula>
    </cfRule>
    <cfRule type="expression" dxfId="5367" priority="2523">
      <formula>SEARCH("EMESSO",$M135)&gt;0</formula>
    </cfRule>
    <cfRule type="expression" dxfId="5366" priority="2524">
      <formula>SEARCH("RICHIESTO",$M135)&gt;0</formula>
    </cfRule>
    <cfRule type="expression" dxfId="5365" priority="2525">
      <formula>SEARCH("DA CHIUDERE",$M135)&gt;0</formula>
    </cfRule>
    <cfRule type="expression" dxfId="5364" priority="2526">
      <formula>SEARCH("INTERROTTO",$M135)&gt;0</formula>
    </cfRule>
  </conditionalFormatting>
  <conditionalFormatting sqref="N165:Q165">
    <cfRule type="expression" dxfId="5363" priority="2845">
      <formula>SEARCH("IN CORSO",$M165)&gt;0</formula>
    </cfRule>
    <cfRule type="expression" dxfId="5362" priority="2846">
      <formula>SEARCH("CHIUSO",$M165)&gt;0</formula>
    </cfRule>
    <cfRule type="expression" dxfId="5361" priority="2847">
      <formula>SEARCH("EMESSO",$M165)&gt;0</formula>
    </cfRule>
    <cfRule type="expression" dxfId="5360" priority="2848">
      <formula>SEARCH("RICHIESTO",$M165)&gt;0</formula>
    </cfRule>
    <cfRule type="expression" dxfId="5359" priority="2849">
      <formula>SEARCH("DA CHIUDERE",$M165)&gt;0</formula>
    </cfRule>
    <cfRule type="expression" dxfId="5358" priority="2850">
      <formula>SEARCH("INTERROTTO",$M165)&gt;0</formula>
    </cfRule>
  </conditionalFormatting>
  <conditionalFormatting sqref="E151:G151 N151:S151">
    <cfRule type="expression" dxfId="5357" priority="2749">
      <formula>SEARCH("IN CORSO",$M151)&gt;0</formula>
    </cfRule>
    <cfRule type="expression" dxfId="5356" priority="2750">
      <formula>SEARCH("CHIUSO",$M151)&gt;0</formula>
    </cfRule>
    <cfRule type="expression" dxfId="5355" priority="2751">
      <formula>SEARCH("EMESSO",$M151)&gt;0</formula>
    </cfRule>
    <cfRule type="expression" dxfId="5354" priority="2752">
      <formula>SEARCH("RICHIESTO",$M151)&gt;0</formula>
    </cfRule>
    <cfRule type="expression" dxfId="5353" priority="2753">
      <formula>SEARCH("DA CHIUDERE",$M151)&gt;0</formula>
    </cfRule>
    <cfRule type="expression" dxfId="5352" priority="2754">
      <formula>SEARCH("INTERROTTO",$M151)&gt;0</formula>
    </cfRule>
  </conditionalFormatting>
  <conditionalFormatting sqref="E150:G150 N150:S150">
    <cfRule type="expression" dxfId="5351" priority="2737">
      <formula>SEARCH("IN CORSO",$M150)&gt;0</formula>
    </cfRule>
    <cfRule type="expression" dxfId="5350" priority="2738">
      <formula>SEARCH("CHIUSO",$M150)&gt;0</formula>
    </cfRule>
    <cfRule type="expression" dxfId="5349" priority="2739">
      <formula>SEARCH("EMESSO",$M150)&gt;0</formula>
    </cfRule>
    <cfRule type="expression" dxfId="5348" priority="2740">
      <formula>SEARCH("RICHIESTO",$M150)&gt;0</formula>
    </cfRule>
    <cfRule type="expression" dxfId="5347" priority="2741">
      <formula>SEARCH("DA CHIUDERE",$M150)&gt;0</formula>
    </cfRule>
    <cfRule type="expression" dxfId="5346" priority="2742">
      <formula>SEARCH("INTERROTTO",$M150)&gt;0</formula>
    </cfRule>
  </conditionalFormatting>
  <conditionalFormatting sqref="E133:F133 N133:S133">
    <cfRule type="expression" dxfId="5345" priority="2497">
      <formula>SEARCH("IN CORSO",$M133)&gt;0</formula>
    </cfRule>
    <cfRule type="expression" dxfId="5344" priority="2498">
      <formula>SEARCH("CHIUSO",$M133)&gt;0</formula>
    </cfRule>
    <cfRule type="expression" dxfId="5343" priority="2499">
      <formula>SEARCH("EMESSO",$M133)&gt;0</formula>
    </cfRule>
    <cfRule type="expression" dxfId="5342" priority="2500">
      <formula>SEARCH("RICHIESTO",$M133)&gt;0</formula>
    </cfRule>
    <cfRule type="expression" dxfId="5341" priority="2501">
      <formula>SEARCH("DA CHIUDERE",$M133)&gt;0</formula>
    </cfRule>
    <cfRule type="expression" dxfId="5340" priority="2502">
      <formula>SEARCH("INTERROTTO",$M133)&gt;0</formula>
    </cfRule>
  </conditionalFormatting>
  <conditionalFormatting sqref="G134">
    <cfRule type="expression" dxfId="5339" priority="2503">
      <formula>SEARCH("IN CORSO",$M134)&gt;0</formula>
    </cfRule>
    <cfRule type="expression" dxfId="5338" priority="2504">
      <formula>SEARCH("CHIUSO",$M134)&gt;0</formula>
    </cfRule>
    <cfRule type="expression" dxfId="5337" priority="2505">
      <formula>SEARCH("EMESSO",$M134)&gt;0</formula>
    </cfRule>
    <cfRule type="expression" dxfId="5336" priority="2506">
      <formula>SEARCH("RICHIESTO",$M134)&gt;0</formula>
    </cfRule>
    <cfRule type="expression" dxfId="5335" priority="2507">
      <formula>SEARCH("DA CHIUDERE",$M134)&gt;0</formula>
    </cfRule>
    <cfRule type="expression" dxfId="5334" priority="2508">
      <formula>SEARCH("INTERROTTO",$M134)&gt;0</formula>
    </cfRule>
  </conditionalFormatting>
  <conditionalFormatting sqref="E132:F132 N132:S132">
    <cfRule type="expression" dxfId="5333" priority="2479">
      <formula>SEARCH("IN CORSO",$M132)&gt;0</formula>
    </cfRule>
    <cfRule type="expression" dxfId="5332" priority="2480">
      <formula>SEARCH("CHIUSO",$M132)&gt;0</formula>
    </cfRule>
    <cfRule type="expression" dxfId="5331" priority="2481">
      <formula>SEARCH("EMESSO",$M132)&gt;0</formula>
    </cfRule>
    <cfRule type="expression" dxfId="5330" priority="2482">
      <formula>SEARCH("RICHIESTO",$M132)&gt;0</formula>
    </cfRule>
    <cfRule type="expression" dxfId="5329" priority="2483">
      <formula>SEARCH("DA CHIUDERE",$M132)&gt;0</formula>
    </cfRule>
    <cfRule type="expression" dxfId="5328" priority="2484">
      <formula>SEARCH("INTERROTTO",$M132)&gt;0</formula>
    </cfRule>
  </conditionalFormatting>
  <conditionalFormatting sqref="G133">
    <cfRule type="expression" dxfId="5327" priority="2485">
      <formula>SEARCH("IN CORSO",$M133)&gt;0</formula>
    </cfRule>
    <cfRule type="expression" dxfId="5326" priority="2486">
      <formula>SEARCH("CHIUSO",$M133)&gt;0</formula>
    </cfRule>
    <cfRule type="expression" dxfId="5325" priority="2487">
      <formula>SEARCH("EMESSO",$M133)&gt;0</formula>
    </cfRule>
    <cfRule type="expression" dxfId="5324" priority="2488">
      <formula>SEARCH("RICHIESTO",$M133)&gt;0</formula>
    </cfRule>
    <cfRule type="expression" dxfId="5323" priority="2489">
      <formula>SEARCH("DA CHIUDERE",$M133)&gt;0</formula>
    </cfRule>
    <cfRule type="expression" dxfId="5322" priority="2490">
      <formula>SEARCH("INTERROTTO",$M133)&gt;0</formula>
    </cfRule>
  </conditionalFormatting>
  <conditionalFormatting sqref="G132">
    <cfRule type="expression" dxfId="5321" priority="2467">
      <formula>SEARCH("IN CORSO",$M132)&gt;0</formula>
    </cfRule>
    <cfRule type="expression" dxfId="5320" priority="2468">
      <formula>SEARCH("CHIUSO",$M132)&gt;0</formula>
    </cfRule>
    <cfRule type="expression" dxfId="5319" priority="2469">
      <formula>SEARCH("EMESSO",$M132)&gt;0</formula>
    </cfRule>
    <cfRule type="expression" dxfId="5318" priority="2470">
      <formula>SEARCH("RICHIESTO",$M132)&gt;0</formula>
    </cfRule>
    <cfRule type="expression" dxfId="5317" priority="2471">
      <formula>SEARCH("DA CHIUDERE",$M132)&gt;0</formula>
    </cfRule>
    <cfRule type="expression" dxfId="5316" priority="2472">
      <formula>SEARCH("INTERROTTO",$M132)&gt;0</formula>
    </cfRule>
  </conditionalFormatting>
  <conditionalFormatting sqref="G131">
    <cfRule type="expression" dxfId="5315" priority="2449">
      <formula>SEARCH("IN CORSO",$M131)&gt;0</formula>
    </cfRule>
    <cfRule type="expression" dxfId="5314" priority="2450">
      <formula>SEARCH("CHIUSO",$M131)&gt;0</formula>
    </cfRule>
    <cfRule type="expression" dxfId="5313" priority="2451">
      <formula>SEARCH("EMESSO",$M131)&gt;0</formula>
    </cfRule>
    <cfRule type="expression" dxfId="5312" priority="2452">
      <formula>SEARCH("RICHIESTO",$M131)&gt;0</formula>
    </cfRule>
    <cfRule type="expression" dxfId="5311" priority="2453">
      <formula>SEARCH("DA CHIUDERE",$M131)&gt;0</formula>
    </cfRule>
    <cfRule type="expression" dxfId="5310" priority="2454">
      <formula>SEARCH("INTERROTTO",$M131)&gt;0</formula>
    </cfRule>
  </conditionalFormatting>
  <conditionalFormatting sqref="E131:F131 N131:S131">
    <cfRule type="expression" dxfId="5309" priority="2455">
      <formula>SEARCH("IN CORSO",$M131)&gt;0</formula>
    </cfRule>
    <cfRule type="expression" dxfId="5308" priority="2456">
      <formula>SEARCH("CHIUSO",$M131)&gt;0</formula>
    </cfRule>
    <cfRule type="expression" dxfId="5307" priority="2457">
      <formula>SEARCH("EMESSO",$M131)&gt;0</formula>
    </cfRule>
    <cfRule type="expression" dxfId="5306" priority="2458">
      <formula>SEARCH("RICHIESTO",$M131)&gt;0</formula>
    </cfRule>
    <cfRule type="expression" dxfId="5305" priority="2459">
      <formula>SEARCH("DA CHIUDERE",$M131)&gt;0</formula>
    </cfRule>
    <cfRule type="expression" dxfId="5304" priority="2460">
      <formula>SEARCH("INTERROTTO",$M131)&gt;0</formula>
    </cfRule>
  </conditionalFormatting>
  <conditionalFormatting sqref="G130">
    <cfRule type="expression" dxfId="5303" priority="2431">
      <formula>SEARCH("IN CORSO",$M130)&gt;0</formula>
    </cfRule>
    <cfRule type="expression" dxfId="5302" priority="2432">
      <formula>SEARCH("CHIUSO",$M130)&gt;0</formula>
    </cfRule>
    <cfRule type="expression" dxfId="5301" priority="2433">
      <formula>SEARCH("EMESSO",$M130)&gt;0</formula>
    </cfRule>
    <cfRule type="expression" dxfId="5300" priority="2434">
      <formula>SEARCH("RICHIESTO",$M130)&gt;0</formula>
    </cfRule>
    <cfRule type="expression" dxfId="5299" priority="2435">
      <formula>SEARCH("DA CHIUDERE",$M130)&gt;0</formula>
    </cfRule>
    <cfRule type="expression" dxfId="5298" priority="2436">
      <formula>SEARCH("INTERROTTO",$M130)&gt;0</formula>
    </cfRule>
  </conditionalFormatting>
  <conditionalFormatting sqref="E130:F130 N130:S130">
    <cfRule type="expression" dxfId="5297" priority="2437">
      <formula>SEARCH("IN CORSO",$M130)&gt;0</formula>
    </cfRule>
    <cfRule type="expression" dxfId="5296" priority="2438">
      <formula>SEARCH("CHIUSO",$M130)&gt;0</formula>
    </cfRule>
    <cfRule type="expression" dxfId="5295" priority="2439">
      <formula>SEARCH("EMESSO",$M130)&gt;0</formula>
    </cfRule>
    <cfRule type="expression" dxfId="5294" priority="2440">
      <formula>SEARCH("RICHIESTO",$M130)&gt;0</formula>
    </cfRule>
    <cfRule type="expression" dxfId="5293" priority="2441">
      <formula>SEARCH("DA CHIUDERE",$M130)&gt;0</formula>
    </cfRule>
    <cfRule type="expression" dxfId="5292" priority="2442">
      <formula>SEARCH("INTERROTTO",$M130)&gt;0</formula>
    </cfRule>
  </conditionalFormatting>
  <conditionalFormatting sqref="E129:F129 N129:S129">
    <cfRule type="expression" dxfId="5291" priority="2407">
      <formula>SEARCH("IN CORSO",$M129)&gt;0</formula>
    </cfRule>
    <cfRule type="expression" dxfId="5290" priority="2408">
      <formula>SEARCH("CHIUSO",$M129)&gt;0</formula>
    </cfRule>
    <cfRule type="expression" dxfId="5289" priority="2409">
      <formula>SEARCH("EMESSO",$M129)&gt;0</formula>
    </cfRule>
    <cfRule type="expression" dxfId="5288" priority="2410">
      <formula>SEARCH("RICHIESTO",$M129)&gt;0</formula>
    </cfRule>
    <cfRule type="expression" dxfId="5287" priority="2411">
      <formula>SEARCH("DA CHIUDERE",$M129)&gt;0</formula>
    </cfRule>
    <cfRule type="expression" dxfId="5286" priority="2412">
      <formula>SEARCH("INTERROTTO",$M129)&gt;0</formula>
    </cfRule>
  </conditionalFormatting>
  <conditionalFormatting sqref="G129">
    <cfRule type="expression" dxfId="5285" priority="2401">
      <formula>SEARCH("IN CORSO",$M129)&gt;0</formula>
    </cfRule>
    <cfRule type="expression" dxfId="5284" priority="2402">
      <formula>SEARCH("CHIUSO",$M129)&gt;0</formula>
    </cfRule>
    <cfRule type="expression" dxfId="5283" priority="2403">
      <formula>SEARCH("EMESSO",$M129)&gt;0</formula>
    </cfRule>
    <cfRule type="expression" dxfId="5282" priority="2404">
      <formula>SEARCH("RICHIESTO",$M129)&gt;0</formula>
    </cfRule>
    <cfRule type="expression" dxfId="5281" priority="2405">
      <formula>SEARCH("DA CHIUDERE",$M129)&gt;0</formula>
    </cfRule>
    <cfRule type="expression" dxfId="5280" priority="2406">
      <formula>SEARCH("INTERROTTO",$M129)&gt;0</formula>
    </cfRule>
  </conditionalFormatting>
  <conditionalFormatting sqref="G128">
    <cfRule type="expression" dxfId="5279" priority="2383">
      <formula>SEARCH("IN CORSO",$M128)&gt;0</formula>
    </cfRule>
    <cfRule type="expression" dxfId="5278" priority="2384">
      <formula>SEARCH("CHIUSO",$M128)&gt;0</formula>
    </cfRule>
    <cfRule type="expression" dxfId="5277" priority="2385">
      <formula>SEARCH("EMESSO",$M128)&gt;0</formula>
    </cfRule>
    <cfRule type="expression" dxfId="5276" priority="2386">
      <formula>SEARCH("RICHIESTO",$M128)&gt;0</formula>
    </cfRule>
    <cfRule type="expression" dxfId="5275" priority="2387">
      <formula>SEARCH("DA CHIUDERE",$M128)&gt;0</formula>
    </cfRule>
    <cfRule type="expression" dxfId="5274" priority="2388">
      <formula>SEARCH("INTERROTTO",$M128)&gt;0</formula>
    </cfRule>
  </conditionalFormatting>
  <conditionalFormatting sqref="E128:F128 N128:S128">
    <cfRule type="expression" dxfId="5273" priority="2389">
      <formula>SEARCH("IN CORSO",$M128)&gt;0</formula>
    </cfRule>
    <cfRule type="expression" dxfId="5272" priority="2390">
      <formula>SEARCH("CHIUSO",$M128)&gt;0</formula>
    </cfRule>
    <cfRule type="expression" dxfId="5271" priority="2391">
      <formula>SEARCH("EMESSO",$M128)&gt;0</formula>
    </cfRule>
    <cfRule type="expression" dxfId="5270" priority="2392">
      <formula>SEARCH("RICHIESTO",$M128)&gt;0</formula>
    </cfRule>
    <cfRule type="expression" dxfId="5269" priority="2393">
      <formula>SEARCH("DA CHIUDERE",$M128)&gt;0</formula>
    </cfRule>
    <cfRule type="expression" dxfId="5268" priority="2394">
      <formula>SEARCH("INTERROTTO",$M128)&gt;0</formula>
    </cfRule>
  </conditionalFormatting>
  <conditionalFormatting sqref="G127">
    <cfRule type="expression" dxfId="5267" priority="2365">
      <formula>SEARCH("IN CORSO",$M127)&gt;0</formula>
    </cfRule>
    <cfRule type="expression" dxfId="5266" priority="2366">
      <formula>SEARCH("CHIUSO",$M127)&gt;0</formula>
    </cfRule>
    <cfRule type="expression" dxfId="5265" priority="2367">
      <formula>SEARCH("EMESSO",$M127)&gt;0</formula>
    </cfRule>
    <cfRule type="expression" dxfId="5264" priority="2368">
      <formula>SEARCH("RICHIESTO",$M127)&gt;0</formula>
    </cfRule>
    <cfRule type="expression" dxfId="5263" priority="2369">
      <formula>SEARCH("DA CHIUDERE",$M127)&gt;0</formula>
    </cfRule>
    <cfRule type="expression" dxfId="5262" priority="2370">
      <formula>SEARCH("INTERROTTO",$M127)&gt;0</formula>
    </cfRule>
  </conditionalFormatting>
  <conditionalFormatting sqref="E127:F127 N127:S127">
    <cfRule type="expression" dxfId="5261" priority="2371">
      <formula>SEARCH("IN CORSO",$M127)&gt;0</formula>
    </cfRule>
    <cfRule type="expression" dxfId="5260" priority="2372">
      <formula>SEARCH("CHIUSO",$M127)&gt;0</formula>
    </cfRule>
    <cfRule type="expression" dxfId="5259" priority="2373">
      <formula>SEARCH("EMESSO",$M127)&gt;0</formula>
    </cfRule>
    <cfRule type="expression" dxfId="5258" priority="2374">
      <formula>SEARCH("RICHIESTO",$M127)&gt;0</formula>
    </cfRule>
    <cfRule type="expression" dxfId="5257" priority="2375">
      <formula>SEARCH("DA CHIUDERE",$M127)&gt;0</formula>
    </cfRule>
    <cfRule type="expression" dxfId="5256" priority="2376">
      <formula>SEARCH("INTERROTTO",$M127)&gt;0</formula>
    </cfRule>
  </conditionalFormatting>
  <conditionalFormatting sqref="G126">
    <cfRule type="expression" dxfId="5255" priority="2347">
      <formula>SEARCH("IN CORSO",$M126)&gt;0</formula>
    </cfRule>
    <cfRule type="expression" dxfId="5254" priority="2348">
      <formula>SEARCH("CHIUSO",$M126)&gt;0</formula>
    </cfRule>
    <cfRule type="expression" dxfId="5253" priority="2349">
      <formula>SEARCH("EMESSO",$M126)&gt;0</formula>
    </cfRule>
    <cfRule type="expression" dxfId="5252" priority="2350">
      <formula>SEARCH("RICHIESTO",$M126)&gt;0</formula>
    </cfRule>
    <cfRule type="expression" dxfId="5251" priority="2351">
      <formula>SEARCH("DA CHIUDERE",$M126)&gt;0</formula>
    </cfRule>
    <cfRule type="expression" dxfId="5250" priority="2352">
      <formula>SEARCH("INTERROTTO",$M126)&gt;0</formula>
    </cfRule>
  </conditionalFormatting>
  <conditionalFormatting sqref="E126:F126 N126:S126">
    <cfRule type="expression" dxfId="5249" priority="2353">
      <formula>SEARCH("IN CORSO",$M126)&gt;0</formula>
    </cfRule>
    <cfRule type="expression" dxfId="5248" priority="2354">
      <formula>SEARCH("CHIUSO",$M126)&gt;0</formula>
    </cfRule>
    <cfRule type="expression" dxfId="5247" priority="2355">
      <formula>SEARCH("EMESSO",$M126)&gt;0</formula>
    </cfRule>
    <cfRule type="expression" dxfId="5246" priority="2356">
      <formula>SEARCH("RICHIESTO",$M126)&gt;0</formula>
    </cfRule>
    <cfRule type="expression" dxfId="5245" priority="2357">
      <formula>SEARCH("DA CHIUDERE",$M126)&gt;0</formula>
    </cfRule>
    <cfRule type="expression" dxfId="5244" priority="2358">
      <formula>SEARCH("INTERROTTO",$M126)&gt;0</formula>
    </cfRule>
  </conditionalFormatting>
  <conditionalFormatting sqref="G125">
    <cfRule type="expression" dxfId="5243" priority="2329">
      <formula>SEARCH("IN CORSO",$M125)&gt;0</formula>
    </cfRule>
    <cfRule type="expression" dxfId="5242" priority="2330">
      <formula>SEARCH("CHIUSO",$M125)&gt;0</formula>
    </cfRule>
    <cfRule type="expression" dxfId="5241" priority="2331">
      <formula>SEARCH("EMESSO",$M125)&gt;0</formula>
    </cfRule>
    <cfRule type="expression" dxfId="5240" priority="2332">
      <formula>SEARCH("RICHIESTO",$M125)&gt;0</formula>
    </cfRule>
    <cfRule type="expression" dxfId="5239" priority="2333">
      <formula>SEARCH("DA CHIUDERE",$M125)&gt;0</formula>
    </cfRule>
    <cfRule type="expression" dxfId="5238" priority="2334">
      <formula>SEARCH("INTERROTTO",$M125)&gt;0</formula>
    </cfRule>
  </conditionalFormatting>
  <conditionalFormatting sqref="E125:F125 N125:S125">
    <cfRule type="expression" dxfId="5237" priority="2335">
      <formula>SEARCH("IN CORSO",$M125)&gt;0</formula>
    </cfRule>
    <cfRule type="expression" dxfId="5236" priority="2336">
      <formula>SEARCH("CHIUSO",$M125)&gt;0</formula>
    </cfRule>
    <cfRule type="expression" dxfId="5235" priority="2337">
      <formula>SEARCH("EMESSO",$M125)&gt;0</formula>
    </cfRule>
    <cfRule type="expression" dxfId="5234" priority="2338">
      <formula>SEARCH("RICHIESTO",$M125)&gt;0</formula>
    </cfRule>
    <cfRule type="expression" dxfId="5233" priority="2339">
      <formula>SEARCH("DA CHIUDERE",$M125)&gt;0</formula>
    </cfRule>
    <cfRule type="expression" dxfId="5232" priority="2340">
      <formula>SEARCH("INTERROTTO",$M125)&gt;0</formula>
    </cfRule>
  </conditionalFormatting>
  <conditionalFormatting sqref="G124">
    <cfRule type="expression" dxfId="5231" priority="2311">
      <formula>SEARCH("IN CORSO",$M124)&gt;0</formula>
    </cfRule>
    <cfRule type="expression" dxfId="5230" priority="2312">
      <formula>SEARCH("CHIUSO",$M124)&gt;0</formula>
    </cfRule>
    <cfRule type="expression" dxfId="5229" priority="2313">
      <formula>SEARCH("EMESSO",$M124)&gt;0</formula>
    </cfRule>
    <cfRule type="expression" dxfId="5228" priority="2314">
      <formula>SEARCH("RICHIESTO",$M124)&gt;0</formula>
    </cfRule>
    <cfRule type="expression" dxfId="5227" priority="2315">
      <formula>SEARCH("DA CHIUDERE",$M124)&gt;0</formula>
    </cfRule>
    <cfRule type="expression" dxfId="5226" priority="2316">
      <formula>SEARCH("INTERROTTO",$M124)&gt;0</formula>
    </cfRule>
  </conditionalFormatting>
  <conditionalFormatting sqref="E124:F124 N124:S124">
    <cfRule type="expression" dxfId="5225" priority="2317">
      <formula>SEARCH("IN CORSO",$M124)&gt;0</formula>
    </cfRule>
    <cfRule type="expression" dxfId="5224" priority="2318">
      <formula>SEARCH("CHIUSO",$M124)&gt;0</formula>
    </cfRule>
    <cfRule type="expression" dxfId="5223" priority="2319">
      <formula>SEARCH("EMESSO",$M124)&gt;0</formula>
    </cfRule>
    <cfRule type="expression" dxfId="5222" priority="2320">
      <formula>SEARCH("RICHIESTO",$M124)&gt;0</formula>
    </cfRule>
    <cfRule type="expression" dxfId="5221" priority="2321">
      <formula>SEARCH("DA CHIUDERE",$M124)&gt;0</formula>
    </cfRule>
    <cfRule type="expression" dxfId="5220" priority="2322">
      <formula>SEARCH("INTERROTTO",$M124)&gt;0</formula>
    </cfRule>
  </conditionalFormatting>
  <conditionalFormatting sqref="G123">
    <cfRule type="expression" dxfId="5219" priority="2293">
      <formula>SEARCH("IN CORSO",$M123)&gt;0</formula>
    </cfRule>
    <cfRule type="expression" dxfId="5218" priority="2294">
      <formula>SEARCH("CHIUSO",$M123)&gt;0</formula>
    </cfRule>
    <cfRule type="expression" dxfId="5217" priority="2295">
      <formula>SEARCH("EMESSO",$M123)&gt;0</formula>
    </cfRule>
    <cfRule type="expression" dxfId="5216" priority="2296">
      <formula>SEARCH("RICHIESTO",$M123)&gt;0</formula>
    </cfRule>
    <cfRule type="expression" dxfId="5215" priority="2297">
      <formula>SEARCH("DA CHIUDERE",$M123)&gt;0</formula>
    </cfRule>
    <cfRule type="expression" dxfId="5214" priority="2298">
      <formula>SEARCH("INTERROTTO",$M123)&gt;0</formula>
    </cfRule>
  </conditionalFormatting>
  <conditionalFormatting sqref="E123:F123 N123:S123">
    <cfRule type="expression" dxfId="5213" priority="2299">
      <formula>SEARCH("IN CORSO",$M123)&gt;0</formula>
    </cfRule>
    <cfRule type="expression" dxfId="5212" priority="2300">
      <formula>SEARCH("CHIUSO",$M123)&gt;0</formula>
    </cfRule>
    <cfRule type="expression" dxfId="5211" priority="2301">
      <formula>SEARCH("EMESSO",$M123)&gt;0</formula>
    </cfRule>
    <cfRule type="expression" dxfId="5210" priority="2302">
      <formula>SEARCH("RICHIESTO",$M123)&gt;0</formula>
    </cfRule>
    <cfRule type="expression" dxfId="5209" priority="2303">
      <formula>SEARCH("DA CHIUDERE",$M123)&gt;0</formula>
    </cfRule>
    <cfRule type="expression" dxfId="5208" priority="2304">
      <formula>SEARCH("INTERROTTO",$M123)&gt;0</formula>
    </cfRule>
  </conditionalFormatting>
  <conditionalFormatting sqref="M395">
    <cfRule type="expression" dxfId="5207" priority="2275">
      <formula>SEARCH("IN CORSO",$M395)&gt;0</formula>
    </cfRule>
    <cfRule type="expression" dxfId="5206" priority="2276">
      <formula>SEARCH("CHIUSO",$M395)&gt;0</formula>
    </cfRule>
    <cfRule type="expression" dxfId="5205" priority="2277">
      <formula>SEARCH("EMESSO",$M395)&gt;0</formula>
    </cfRule>
    <cfRule type="expression" dxfId="5204" priority="2278">
      <formula>SEARCH("RICHIESTO",$M395)&gt;0</formula>
    </cfRule>
    <cfRule type="expression" dxfId="5203" priority="2279">
      <formula>SEARCH("DA CHIUDERE",$M395)&gt;0</formula>
    </cfRule>
    <cfRule type="expression" dxfId="5202" priority="2280">
      <formula>SEARCH("INTERROTTO",$M395)&gt;0</formula>
    </cfRule>
  </conditionalFormatting>
  <conditionalFormatting sqref="E122:F122 N122:S122">
    <cfRule type="expression" dxfId="5201" priority="2269">
      <formula>SEARCH("IN CORSO",$M122)&gt;0</formula>
    </cfRule>
    <cfRule type="expression" dxfId="5200" priority="2270">
      <formula>SEARCH("CHIUSO",$M122)&gt;0</formula>
    </cfRule>
    <cfRule type="expression" dxfId="5199" priority="2271">
      <formula>SEARCH("EMESSO",$M122)&gt;0</formula>
    </cfRule>
    <cfRule type="expression" dxfId="5198" priority="2272">
      <formula>SEARCH("RICHIESTO",$M122)&gt;0</formula>
    </cfRule>
    <cfRule type="expression" dxfId="5197" priority="2273">
      <formula>SEARCH("DA CHIUDERE",$M122)&gt;0</formula>
    </cfRule>
    <cfRule type="expression" dxfId="5196" priority="2274">
      <formula>SEARCH("INTERROTTO",$M122)&gt;0</formula>
    </cfRule>
  </conditionalFormatting>
  <conditionalFormatting sqref="G122">
    <cfRule type="expression" dxfId="5195" priority="2263">
      <formula>SEARCH("IN CORSO",$M122)&gt;0</formula>
    </cfRule>
    <cfRule type="expression" dxfId="5194" priority="2264">
      <formula>SEARCH("CHIUSO",$M122)&gt;0</formula>
    </cfRule>
    <cfRule type="expression" dxfId="5193" priority="2265">
      <formula>SEARCH("EMESSO",$M122)&gt;0</formula>
    </cfRule>
    <cfRule type="expression" dxfId="5192" priority="2266">
      <formula>SEARCH("RICHIESTO",$M122)&gt;0</formula>
    </cfRule>
    <cfRule type="expression" dxfId="5191" priority="2267">
      <formula>SEARCH("DA CHIUDERE",$M122)&gt;0</formula>
    </cfRule>
    <cfRule type="expression" dxfId="5190" priority="2268">
      <formula>SEARCH("INTERROTTO",$M122)&gt;0</formula>
    </cfRule>
  </conditionalFormatting>
  <conditionalFormatting sqref="G121">
    <cfRule type="expression" dxfId="5189" priority="2245">
      <formula>SEARCH("IN CORSO",$M121)&gt;0</formula>
    </cfRule>
    <cfRule type="expression" dxfId="5188" priority="2246">
      <formula>SEARCH("CHIUSO",$M121)&gt;0</formula>
    </cfRule>
    <cfRule type="expression" dxfId="5187" priority="2247">
      <formula>SEARCH("EMESSO",$M121)&gt;0</formula>
    </cfRule>
    <cfRule type="expression" dxfId="5186" priority="2248">
      <formula>SEARCH("RICHIESTO",$M121)&gt;0</formula>
    </cfRule>
    <cfRule type="expression" dxfId="5185" priority="2249">
      <formula>SEARCH("DA CHIUDERE",$M121)&gt;0</formula>
    </cfRule>
    <cfRule type="expression" dxfId="5184" priority="2250">
      <formula>SEARCH("INTERROTTO",$M121)&gt;0</formula>
    </cfRule>
  </conditionalFormatting>
  <conditionalFormatting sqref="E121:F121 N121:S121">
    <cfRule type="expression" dxfId="5183" priority="2251">
      <formula>SEARCH("IN CORSO",$M121)&gt;0</formula>
    </cfRule>
    <cfRule type="expression" dxfId="5182" priority="2252">
      <formula>SEARCH("CHIUSO",$M121)&gt;0</formula>
    </cfRule>
    <cfRule type="expression" dxfId="5181" priority="2253">
      <formula>SEARCH("EMESSO",$M121)&gt;0</formula>
    </cfRule>
    <cfRule type="expression" dxfId="5180" priority="2254">
      <formula>SEARCH("RICHIESTO",$M121)&gt;0</formula>
    </cfRule>
    <cfRule type="expression" dxfId="5179" priority="2255">
      <formula>SEARCH("DA CHIUDERE",$M121)&gt;0</formula>
    </cfRule>
    <cfRule type="expression" dxfId="5178" priority="2256">
      <formula>SEARCH("INTERROTTO",$M121)&gt;0</formula>
    </cfRule>
  </conditionalFormatting>
  <conditionalFormatting sqref="G120">
    <cfRule type="expression" dxfId="5177" priority="2227">
      <formula>SEARCH("IN CORSO",$M120)&gt;0</formula>
    </cfRule>
    <cfRule type="expression" dxfId="5176" priority="2228">
      <formula>SEARCH("CHIUSO",$M120)&gt;0</formula>
    </cfRule>
    <cfRule type="expression" dxfId="5175" priority="2229">
      <formula>SEARCH("EMESSO",$M120)&gt;0</formula>
    </cfRule>
    <cfRule type="expression" dxfId="5174" priority="2230">
      <formula>SEARCH("RICHIESTO",$M120)&gt;0</formula>
    </cfRule>
    <cfRule type="expression" dxfId="5173" priority="2231">
      <formula>SEARCH("DA CHIUDERE",$M120)&gt;0</formula>
    </cfRule>
    <cfRule type="expression" dxfId="5172" priority="2232">
      <formula>SEARCH("INTERROTTO",$M120)&gt;0</formula>
    </cfRule>
  </conditionalFormatting>
  <conditionalFormatting sqref="E120:F120 N120:S120">
    <cfRule type="expression" dxfId="5171" priority="2233">
      <formula>SEARCH("IN CORSO",$M120)&gt;0</formula>
    </cfRule>
    <cfRule type="expression" dxfId="5170" priority="2234">
      <formula>SEARCH("CHIUSO",$M120)&gt;0</formula>
    </cfRule>
    <cfRule type="expression" dxfId="5169" priority="2235">
      <formula>SEARCH("EMESSO",$M120)&gt;0</formula>
    </cfRule>
    <cfRule type="expression" dxfId="5168" priority="2236">
      <formula>SEARCH("RICHIESTO",$M120)&gt;0</formula>
    </cfRule>
    <cfRule type="expression" dxfId="5167" priority="2237">
      <formula>SEARCH("DA CHIUDERE",$M120)&gt;0</formula>
    </cfRule>
    <cfRule type="expression" dxfId="5166" priority="2238">
      <formula>SEARCH("INTERROTTO",$M120)&gt;0</formula>
    </cfRule>
  </conditionalFormatting>
  <conditionalFormatting sqref="G119">
    <cfRule type="expression" dxfId="5165" priority="2209">
      <formula>SEARCH("IN CORSO",$M119)&gt;0</formula>
    </cfRule>
    <cfRule type="expression" dxfId="5164" priority="2210">
      <formula>SEARCH("CHIUSO",$M119)&gt;0</formula>
    </cfRule>
    <cfRule type="expression" dxfId="5163" priority="2211">
      <formula>SEARCH("EMESSO",$M119)&gt;0</formula>
    </cfRule>
    <cfRule type="expression" dxfId="5162" priority="2212">
      <formula>SEARCH("RICHIESTO",$M119)&gt;0</formula>
    </cfRule>
    <cfRule type="expression" dxfId="5161" priority="2213">
      <formula>SEARCH("DA CHIUDERE",$M119)&gt;0</formula>
    </cfRule>
    <cfRule type="expression" dxfId="5160" priority="2214">
      <formula>SEARCH("INTERROTTO",$M119)&gt;0</formula>
    </cfRule>
  </conditionalFormatting>
  <conditionalFormatting sqref="E119:F119 N119:S119">
    <cfRule type="expression" dxfId="5159" priority="2215">
      <formula>SEARCH("IN CORSO",$M119)&gt;0</formula>
    </cfRule>
    <cfRule type="expression" dxfId="5158" priority="2216">
      <formula>SEARCH("CHIUSO",$M119)&gt;0</formula>
    </cfRule>
    <cfRule type="expression" dxfId="5157" priority="2217">
      <formula>SEARCH("EMESSO",$M119)&gt;0</formula>
    </cfRule>
    <cfRule type="expression" dxfId="5156" priority="2218">
      <formula>SEARCH("RICHIESTO",$M119)&gt;0</formula>
    </cfRule>
    <cfRule type="expression" dxfId="5155" priority="2219">
      <formula>SEARCH("DA CHIUDERE",$M119)&gt;0</formula>
    </cfRule>
    <cfRule type="expression" dxfId="5154" priority="2220">
      <formula>SEARCH("INTERROTTO",$M119)&gt;0</formula>
    </cfRule>
  </conditionalFormatting>
  <conditionalFormatting sqref="G118">
    <cfRule type="expression" dxfId="5153" priority="2191">
      <formula>SEARCH("IN CORSO",$M118)&gt;0</formula>
    </cfRule>
    <cfRule type="expression" dxfId="5152" priority="2192">
      <formula>SEARCH("CHIUSO",$M118)&gt;0</formula>
    </cfRule>
    <cfRule type="expression" dxfId="5151" priority="2193">
      <formula>SEARCH("EMESSO",$M118)&gt;0</formula>
    </cfRule>
    <cfRule type="expression" dxfId="5150" priority="2194">
      <formula>SEARCH("RICHIESTO",$M118)&gt;0</formula>
    </cfRule>
    <cfRule type="expression" dxfId="5149" priority="2195">
      <formula>SEARCH("DA CHIUDERE",$M118)&gt;0</formula>
    </cfRule>
    <cfRule type="expression" dxfId="5148" priority="2196">
      <formula>SEARCH("INTERROTTO",$M118)&gt;0</formula>
    </cfRule>
  </conditionalFormatting>
  <conditionalFormatting sqref="E118:F118 N118:S118">
    <cfRule type="expression" dxfId="5147" priority="2197">
      <formula>SEARCH("IN CORSO",$M118)&gt;0</formula>
    </cfRule>
    <cfRule type="expression" dxfId="5146" priority="2198">
      <formula>SEARCH("CHIUSO",$M118)&gt;0</formula>
    </cfRule>
    <cfRule type="expression" dxfId="5145" priority="2199">
      <formula>SEARCH("EMESSO",$M118)&gt;0</formula>
    </cfRule>
    <cfRule type="expression" dxfId="5144" priority="2200">
      <formula>SEARCH("RICHIESTO",$M118)&gt;0</formula>
    </cfRule>
    <cfRule type="expression" dxfId="5143" priority="2201">
      <formula>SEARCH("DA CHIUDERE",$M118)&gt;0</formula>
    </cfRule>
    <cfRule type="expression" dxfId="5142" priority="2202">
      <formula>SEARCH("INTERROTTO",$M118)&gt;0</formula>
    </cfRule>
  </conditionalFormatting>
  <conditionalFormatting sqref="R395:S395">
    <cfRule type="expression" dxfId="5141" priority="2167">
      <formula>SEARCH("IN CORSO",$M395)&gt;0</formula>
    </cfRule>
    <cfRule type="expression" dxfId="5140" priority="2168">
      <formula>SEARCH("CHIUSO",$M395)&gt;0</formula>
    </cfRule>
    <cfRule type="expression" dxfId="5139" priority="2169">
      <formula>SEARCH("EMESSO",$M395)&gt;0</formula>
    </cfRule>
    <cfRule type="expression" dxfId="5138" priority="2170">
      <formula>SEARCH("RICHIESTO",$M395)&gt;0</formula>
    </cfRule>
    <cfRule type="expression" dxfId="5137" priority="2171">
      <formula>SEARCH("DA CHIUDERE",$M395)&gt;0</formula>
    </cfRule>
    <cfRule type="expression" dxfId="5136" priority="2172">
      <formula>SEARCH("INTERROTTO",$M395)&gt;0</formula>
    </cfRule>
  </conditionalFormatting>
  <conditionalFormatting sqref="Q395">
    <cfRule type="expression" dxfId="5135" priority="2173">
      <formula>SEARCH("IN CORSO",$M395)&gt;0</formula>
    </cfRule>
    <cfRule type="expression" dxfId="5134" priority="2174">
      <formula>SEARCH("CHIUSO",$M395)&gt;0</formula>
    </cfRule>
    <cfRule type="expression" dxfId="5133" priority="2175">
      <formula>SEARCH("EMESSO",$M395)&gt;0</formula>
    </cfRule>
    <cfRule type="expression" dxfId="5132" priority="2176">
      <formula>SEARCH("RICHIESTO",$M395)&gt;0</formula>
    </cfRule>
    <cfRule type="expression" dxfId="5131" priority="2177">
      <formula>SEARCH("DA CHIUDERE",$M395)&gt;0</formula>
    </cfRule>
    <cfRule type="expression" dxfId="5130" priority="2178">
      <formula>SEARCH("INTERROTTO",$M395)&gt;0</formula>
    </cfRule>
  </conditionalFormatting>
  <conditionalFormatting sqref="Q392:S392 Q393">
    <cfRule type="expression" dxfId="5129" priority="2161">
      <formula>SEARCH("IN CORSO",$M392)&gt;0</formula>
    </cfRule>
    <cfRule type="expression" dxfId="5128" priority="2162">
      <formula>SEARCH("CHIUSO",$M392)&gt;0</formula>
    </cfRule>
    <cfRule type="expression" dxfId="5127" priority="2163">
      <formula>SEARCH("EMESSO",$M392)&gt;0</formula>
    </cfRule>
    <cfRule type="expression" dxfId="5126" priority="2164">
      <formula>SEARCH("RICHIESTO",$M392)&gt;0</formula>
    </cfRule>
    <cfRule type="expression" dxfId="5125" priority="2165">
      <formula>SEARCH("DA CHIUDERE",$M392)&gt;0</formula>
    </cfRule>
    <cfRule type="expression" dxfId="5124" priority="2166">
      <formula>SEARCH("INTERROTTO",$M392)&gt;0</formula>
    </cfRule>
  </conditionalFormatting>
  <conditionalFormatting sqref="M393">
    <cfRule type="expression" dxfId="5123" priority="2155">
      <formula>SEARCH("IN CORSO",$M393)&gt;0</formula>
    </cfRule>
    <cfRule type="expression" dxfId="5122" priority="2156">
      <formula>SEARCH("CHIUSO",$M393)&gt;0</formula>
    </cfRule>
    <cfRule type="expression" dxfId="5121" priority="2157">
      <formula>SEARCH("EMESSO",$M393)&gt;0</formula>
    </cfRule>
    <cfRule type="expression" dxfId="5120" priority="2158">
      <formula>SEARCH("RICHIESTO",$M393)&gt;0</formula>
    </cfRule>
    <cfRule type="expression" dxfId="5119" priority="2159">
      <formula>SEARCH("DA CHIUDERE",$M393)&gt;0</formula>
    </cfRule>
    <cfRule type="expression" dxfId="5118" priority="2160">
      <formula>SEARCH("INTERROTTO",$M393)&gt;0</formula>
    </cfRule>
  </conditionalFormatting>
  <conditionalFormatting sqref="R393:S393">
    <cfRule type="expression" dxfId="5117" priority="2149">
      <formula>SEARCH("IN CORSO",$M393)&gt;0</formula>
    </cfRule>
    <cfRule type="expression" dxfId="5116" priority="2150">
      <formula>SEARCH("CHIUSO",$M393)&gt;0</formula>
    </cfRule>
    <cfRule type="expression" dxfId="5115" priority="2151">
      <formula>SEARCH("EMESSO",$M393)&gt;0</formula>
    </cfRule>
    <cfRule type="expression" dxfId="5114" priority="2152">
      <formula>SEARCH("RICHIESTO",$M393)&gt;0</formula>
    </cfRule>
    <cfRule type="expression" dxfId="5113" priority="2153">
      <formula>SEARCH("DA CHIUDERE",$M393)&gt;0</formula>
    </cfRule>
    <cfRule type="expression" dxfId="5112" priority="2154">
      <formula>SEARCH("INTERROTTO",$M393)&gt;0</formula>
    </cfRule>
  </conditionalFormatting>
  <conditionalFormatting sqref="E117:F117 N117:S117">
    <cfRule type="expression" dxfId="5111" priority="2143">
      <formula>SEARCH("IN CORSO",$M117)&gt;0</formula>
    </cfRule>
    <cfRule type="expression" dxfId="5110" priority="2144">
      <formula>SEARCH("CHIUSO",$M117)&gt;0</formula>
    </cfRule>
    <cfRule type="expression" dxfId="5109" priority="2145">
      <formula>SEARCH("EMESSO",$M117)&gt;0</formula>
    </cfRule>
    <cfRule type="expression" dxfId="5108" priority="2146">
      <formula>SEARCH("RICHIESTO",$M117)&gt;0</formula>
    </cfRule>
    <cfRule type="expression" dxfId="5107" priority="2147">
      <formula>SEARCH("DA CHIUDERE",$M117)&gt;0</formula>
    </cfRule>
    <cfRule type="expression" dxfId="5106" priority="2148">
      <formula>SEARCH("INTERROTTO",$M117)&gt;0</formula>
    </cfRule>
  </conditionalFormatting>
  <conditionalFormatting sqref="G117">
    <cfRule type="expression" dxfId="5105" priority="2137">
      <formula>SEARCH("IN CORSO",$M117)&gt;0</formula>
    </cfRule>
    <cfRule type="expression" dxfId="5104" priority="2138">
      <formula>SEARCH("CHIUSO",$M117)&gt;0</formula>
    </cfRule>
    <cfRule type="expression" dxfId="5103" priority="2139">
      <formula>SEARCH("EMESSO",$M117)&gt;0</formula>
    </cfRule>
    <cfRule type="expression" dxfId="5102" priority="2140">
      <formula>SEARCH("RICHIESTO",$M117)&gt;0</formula>
    </cfRule>
    <cfRule type="expression" dxfId="5101" priority="2141">
      <formula>SEARCH("DA CHIUDERE",$M117)&gt;0</formula>
    </cfRule>
    <cfRule type="expression" dxfId="5100" priority="2142">
      <formula>SEARCH("INTERROTTO",$M117)&gt;0</formula>
    </cfRule>
  </conditionalFormatting>
  <conditionalFormatting sqref="G116">
    <cfRule type="expression" dxfId="5099" priority="2119">
      <formula>SEARCH("IN CORSO",$M116)&gt;0</formula>
    </cfRule>
    <cfRule type="expression" dxfId="5098" priority="2120">
      <formula>SEARCH("CHIUSO",$M116)&gt;0</formula>
    </cfRule>
    <cfRule type="expression" dxfId="5097" priority="2121">
      <formula>SEARCH("EMESSO",$M116)&gt;0</formula>
    </cfRule>
    <cfRule type="expression" dxfId="5096" priority="2122">
      <formula>SEARCH("RICHIESTO",$M116)&gt;0</formula>
    </cfRule>
    <cfRule type="expression" dxfId="5095" priority="2123">
      <formula>SEARCH("DA CHIUDERE",$M116)&gt;0</formula>
    </cfRule>
    <cfRule type="expression" dxfId="5094" priority="2124">
      <formula>SEARCH("INTERROTTO",$M116)&gt;0</formula>
    </cfRule>
  </conditionalFormatting>
  <conditionalFormatting sqref="E116:F116 N116:S116">
    <cfRule type="expression" dxfId="5093" priority="2125">
      <formula>SEARCH("IN CORSO",$M116)&gt;0</formula>
    </cfRule>
    <cfRule type="expression" dxfId="5092" priority="2126">
      <formula>SEARCH("CHIUSO",$M116)&gt;0</formula>
    </cfRule>
    <cfRule type="expression" dxfId="5091" priority="2127">
      <formula>SEARCH("EMESSO",$M116)&gt;0</formula>
    </cfRule>
    <cfRule type="expression" dxfId="5090" priority="2128">
      <formula>SEARCH("RICHIESTO",$M116)&gt;0</formula>
    </cfRule>
    <cfRule type="expression" dxfId="5089" priority="2129">
      <formula>SEARCH("DA CHIUDERE",$M116)&gt;0</formula>
    </cfRule>
    <cfRule type="expression" dxfId="5088" priority="2130">
      <formula>SEARCH("INTERROTTO",$M116)&gt;0</formula>
    </cfRule>
  </conditionalFormatting>
  <conditionalFormatting sqref="G115">
    <cfRule type="expression" dxfId="5087" priority="2101">
      <formula>SEARCH("IN CORSO",$M115)&gt;0</formula>
    </cfRule>
    <cfRule type="expression" dxfId="5086" priority="2102">
      <formula>SEARCH("CHIUSO",$M115)&gt;0</formula>
    </cfRule>
    <cfRule type="expression" dxfId="5085" priority="2103">
      <formula>SEARCH("EMESSO",$M115)&gt;0</formula>
    </cfRule>
    <cfRule type="expression" dxfId="5084" priority="2104">
      <formula>SEARCH("RICHIESTO",$M115)&gt;0</formula>
    </cfRule>
    <cfRule type="expression" dxfId="5083" priority="2105">
      <formula>SEARCH("DA CHIUDERE",$M115)&gt;0</formula>
    </cfRule>
    <cfRule type="expression" dxfId="5082" priority="2106">
      <formula>SEARCH("INTERROTTO",$M115)&gt;0</formula>
    </cfRule>
  </conditionalFormatting>
  <conditionalFormatting sqref="E115:F115 N115:S115">
    <cfRule type="expression" dxfId="5081" priority="2107">
      <formula>SEARCH("IN CORSO",$M115)&gt;0</formula>
    </cfRule>
    <cfRule type="expression" dxfId="5080" priority="2108">
      <formula>SEARCH("CHIUSO",$M115)&gt;0</formula>
    </cfRule>
    <cfRule type="expression" dxfId="5079" priority="2109">
      <formula>SEARCH("EMESSO",$M115)&gt;0</formula>
    </cfRule>
    <cfRule type="expression" dxfId="5078" priority="2110">
      <formula>SEARCH("RICHIESTO",$M115)&gt;0</formula>
    </cfRule>
    <cfRule type="expression" dxfId="5077" priority="2111">
      <formula>SEARCH("DA CHIUDERE",$M115)&gt;0</formula>
    </cfRule>
    <cfRule type="expression" dxfId="5076" priority="2112">
      <formula>SEARCH("INTERROTTO",$M115)&gt;0</formula>
    </cfRule>
  </conditionalFormatting>
  <conditionalFormatting sqref="G114">
    <cfRule type="expression" dxfId="5075" priority="2083">
      <formula>SEARCH("IN CORSO",$M114)&gt;0</formula>
    </cfRule>
    <cfRule type="expression" dxfId="5074" priority="2084">
      <formula>SEARCH("CHIUSO",$M114)&gt;0</formula>
    </cfRule>
    <cfRule type="expression" dxfId="5073" priority="2085">
      <formula>SEARCH("EMESSO",$M114)&gt;0</formula>
    </cfRule>
    <cfRule type="expression" dxfId="5072" priority="2086">
      <formula>SEARCH("RICHIESTO",$M114)&gt;0</formula>
    </cfRule>
    <cfRule type="expression" dxfId="5071" priority="2087">
      <formula>SEARCH("DA CHIUDERE",$M114)&gt;0</formula>
    </cfRule>
    <cfRule type="expression" dxfId="5070" priority="2088">
      <formula>SEARCH("INTERROTTO",$M114)&gt;0</formula>
    </cfRule>
  </conditionalFormatting>
  <conditionalFormatting sqref="E114:F114 N114:S114">
    <cfRule type="expression" dxfId="5069" priority="2089">
      <formula>SEARCH("IN CORSO",$M114)&gt;0</formula>
    </cfRule>
    <cfRule type="expression" dxfId="5068" priority="2090">
      <formula>SEARCH("CHIUSO",$M114)&gt;0</formula>
    </cfRule>
    <cfRule type="expression" dxfId="5067" priority="2091">
      <formula>SEARCH("EMESSO",$M114)&gt;0</formula>
    </cfRule>
    <cfRule type="expression" dxfId="5066" priority="2092">
      <formula>SEARCH("RICHIESTO",$M114)&gt;0</formula>
    </cfRule>
    <cfRule type="expression" dxfId="5065" priority="2093">
      <formula>SEARCH("DA CHIUDERE",$M114)&gt;0</formula>
    </cfRule>
    <cfRule type="expression" dxfId="5064" priority="2094">
      <formula>SEARCH("INTERROTTO",$M114)&gt;0</formula>
    </cfRule>
  </conditionalFormatting>
  <conditionalFormatting sqref="G113">
    <cfRule type="expression" dxfId="5063" priority="2065">
      <formula>SEARCH("IN CORSO",$M113)&gt;0</formula>
    </cfRule>
    <cfRule type="expression" dxfId="5062" priority="2066">
      <formula>SEARCH("CHIUSO",$M113)&gt;0</formula>
    </cfRule>
    <cfRule type="expression" dxfId="5061" priority="2067">
      <formula>SEARCH("EMESSO",$M113)&gt;0</formula>
    </cfRule>
    <cfRule type="expression" dxfId="5060" priority="2068">
      <formula>SEARCH("RICHIESTO",$M113)&gt;0</formula>
    </cfRule>
    <cfRule type="expression" dxfId="5059" priority="2069">
      <formula>SEARCH("DA CHIUDERE",$M113)&gt;0</formula>
    </cfRule>
    <cfRule type="expression" dxfId="5058" priority="2070">
      <formula>SEARCH("INTERROTTO",$M113)&gt;0</formula>
    </cfRule>
  </conditionalFormatting>
  <conditionalFormatting sqref="E113:F113 N113:S113">
    <cfRule type="expression" dxfId="5057" priority="2071">
      <formula>SEARCH("IN CORSO",$M113)&gt;0</formula>
    </cfRule>
    <cfRule type="expression" dxfId="5056" priority="2072">
      <formula>SEARCH("CHIUSO",$M113)&gt;0</formula>
    </cfRule>
    <cfRule type="expression" dxfId="5055" priority="2073">
      <formula>SEARCH("EMESSO",$M113)&gt;0</formula>
    </cfRule>
    <cfRule type="expression" dxfId="5054" priority="2074">
      <formula>SEARCH("RICHIESTO",$M113)&gt;0</formula>
    </cfRule>
    <cfRule type="expression" dxfId="5053" priority="2075">
      <formula>SEARCH("DA CHIUDERE",$M113)&gt;0</formula>
    </cfRule>
    <cfRule type="expression" dxfId="5052" priority="2076">
      <formula>SEARCH("INTERROTTO",$M113)&gt;0</formula>
    </cfRule>
  </conditionalFormatting>
  <conditionalFormatting sqref="E112:F112 N112:S112">
    <cfRule type="expression" dxfId="5051" priority="2047">
      <formula>SEARCH("IN CORSO",$M112)&gt;0</formula>
    </cfRule>
    <cfRule type="expression" dxfId="5050" priority="2048">
      <formula>SEARCH("CHIUSO",$M112)&gt;0</formula>
    </cfRule>
    <cfRule type="expression" dxfId="5049" priority="2049">
      <formula>SEARCH("EMESSO",$M112)&gt;0</formula>
    </cfRule>
    <cfRule type="expression" dxfId="5048" priority="2050">
      <formula>SEARCH("RICHIESTO",$M112)&gt;0</formula>
    </cfRule>
    <cfRule type="expression" dxfId="5047" priority="2051">
      <formula>SEARCH("DA CHIUDERE",$M112)&gt;0</formula>
    </cfRule>
    <cfRule type="expression" dxfId="5046" priority="2052">
      <formula>SEARCH("INTERROTTO",$M112)&gt;0</formula>
    </cfRule>
  </conditionalFormatting>
  <conditionalFormatting sqref="M394">
    <cfRule type="expression" dxfId="5045" priority="2053">
      <formula>SEARCH("IN CORSO",$M394)&gt;0</formula>
    </cfRule>
    <cfRule type="expression" dxfId="5044" priority="2054">
      <formula>SEARCH("CHIUSO",$M394)&gt;0</formula>
    </cfRule>
    <cfRule type="expression" dxfId="5043" priority="2055">
      <formula>SEARCH("EMESSO",$M394)&gt;0</formula>
    </cfRule>
    <cfRule type="expression" dxfId="5042" priority="2056">
      <formula>SEARCH("RICHIESTO",$M394)&gt;0</formula>
    </cfRule>
    <cfRule type="expression" dxfId="5041" priority="2057">
      <formula>SEARCH("DA CHIUDERE",$M394)&gt;0</formula>
    </cfRule>
    <cfRule type="expression" dxfId="5040" priority="2058">
      <formula>SEARCH("INTERROTTO",$M394)&gt;0</formula>
    </cfRule>
  </conditionalFormatting>
  <conditionalFormatting sqref="G112">
    <cfRule type="expression" dxfId="5039" priority="2041">
      <formula>SEARCH("IN CORSO",$M112)&gt;0</formula>
    </cfRule>
    <cfRule type="expression" dxfId="5038" priority="2042">
      <formula>SEARCH("CHIUSO",$M112)&gt;0</formula>
    </cfRule>
    <cfRule type="expression" dxfId="5037" priority="2043">
      <formula>SEARCH("EMESSO",$M112)&gt;0</formula>
    </cfRule>
    <cfRule type="expression" dxfId="5036" priority="2044">
      <formula>SEARCH("RICHIESTO",$M112)&gt;0</formula>
    </cfRule>
    <cfRule type="expression" dxfId="5035" priority="2045">
      <formula>SEARCH("DA CHIUDERE",$M112)&gt;0</formula>
    </cfRule>
    <cfRule type="expression" dxfId="5034" priority="2046">
      <formula>SEARCH("INTERROTTO",$M112)&gt;0</formula>
    </cfRule>
  </conditionalFormatting>
  <conditionalFormatting sqref="G111">
    <cfRule type="expression" dxfId="5033" priority="2023">
      <formula>SEARCH("IN CORSO",$M111)&gt;0</formula>
    </cfRule>
    <cfRule type="expression" dxfId="5032" priority="2024">
      <formula>SEARCH("CHIUSO",$M111)&gt;0</formula>
    </cfRule>
    <cfRule type="expression" dxfId="5031" priority="2025">
      <formula>SEARCH("EMESSO",$M111)&gt;0</formula>
    </cfRule>
    <cfRule type="expression" dxfId="5030" priority="2026">
      <formula>SEARCH("RICHIESTO",$M111)&gt;0</formula>
    </cfRule>
    <cfRule type="expression" dxfId="5029" priority="2027">
      <formula>SEARCH("DA CHIUDERE",$M111)&gt;0</formula>
    </cfRule>
    <cfRule type="expression" dxfId="5028" priority="2028">
      <formula>SEARCH("INTERROTTO",$M111)&gt;0</formula>
    </cfRule>
  </conditionalFormatting>
  <conditionalFormatting sqref="E111:F111 N111:S111">
    <cfRule type="expression" dxfId="5027" priority="2029">
      <formula>SEARCH("IN CORSO",$M111)&gt;0</formula>
    </cfRule>
    <cfRule type="expression" dxfId="5026" priority="2030">
      <formula>SEARCH("CHIUSO",$M111)&gt;0</formula>
    </cfRule>
    <cfRule type="expression" dxfId="5025" priority="2031">
      <formula>SEARCH("EMESSO",$M111)&gt;0</formula>
    </cfRule>
    <cfRule type="expression" dxfId="5024" priority="2032">
      <formula>SEARCH("RICHIESTO",$M111)&gt;0</formula>
    </cfRule>
    <cfRule type="expression" dxfId="5023" priority="2033">
      <formula>SEARCH("DA CHIUDERE",$M111)&gt;0</formula>
    </cfRule>
    <cfRule type="expression" dxfId="5022" priority="2034">
      <formula>SEARCH("INTERROTTO",$M111)&gt;0</formula>
    </cfRule>
  </conditionalFormatting>
  <conditionalFormatting sqref="G110">
    <cfRule type="expression" dxfId="5021" priority="2005">
      <formula>SEARCH("IN CORSO",$M110)&gt;0</formula>
    </cfRule>
    <cfRule type="expression" dxfId="5020" priority="2006">
      <formula>SEARCH("CHIUSO",$M110)&gt;0</formula>
    </cfRule>
    <cfRule type="expression" dxfId="5019" priority="2007">
      <formula>SEARCH("EMESSO",$M110)&gt;0</formula>
    </cfRule>
    <cfRule type="expression" dxfId="5018" priority="2008">
      <formula>SEARCH("RICHIESTO",$M110)&gt;0</formula>
    </cfRule>
    <cfRule type="expression" dxfId="5017" priority="2009">
      <formula>SEARCH("DA CHIUDERE",$M110)&gt;0</formula>
    </cfRule>
    <cfRule type="expression" dxfId="5016" priority="2010">
      <formula>SEARCH("INTERROTTO",$M110)&gt;0</formula>
    </cfRule>
  </conditionalFormatting>
  <conditionalFormatting sqref="E110:F110 N110:S110">
    <cfRule type="expression" dxfId="5015" priority="2011">
      <formula>SEARCH("IN CORSO",$M110)&gt;0</formula>
    </cfRule>
    <cfRule type="expression" dxfId="5014" priority="2012">
      <formula>SEARCH("CHIUSO",$M110)&gt;0</formula>
    </cfRule>
    <cfRule type="expression" dxfId="5013" priority="2013">
      <formula>SEARCH("EMESSO",$M110)&gt;0</formula>
    </cfRule>
    <cfRule type="expression" dxfId="5012" priority="2014">
      <formula>SEARCH("RICHIESTO",$M110)&gt;0</formula>
    </cfRule>
    <cfRule type="expression" dxfId="5011" priority="2015">
      <formula>SEARCH("DA CHIUDERE",$M110)&gt;0</formula>
    </cfRule>
    <cfRule type="expression" dxfId="5010" priority="2016">
      <formula>SEARCH("INTERROTTO",$M110)&gt;0</formula>
    </cfRule>
  </conditionalFormatting>
  <conditionalFormatting sqref="G109">
    <cfRule type="expression" dxfId="5009" priority="1987">
      <formula>SEARCH("IN CORSO",$M109)&gt;0</formula>
    </cfRule>
    <cfRule type="expression" dxfId="5008" priority="1988">
      <formula>SEARCH("CHIUSO",$M109)&gt;0</formula>
    </cfRule>
    <cfRule type="expression" dxfId="5007" priority="1989">
      <formula>SEARCH("EMESSO",$M109)&gt;0</formula>
    </cfRule>
    <cfRule type="expression" dxfId="5006" priority="1990">
      <formula>SEARCH("RICHIESTO",$M109)&gt;0</formula>
    </cfRule>
    <cfRule type="expression" dxfId="5005" priority="1991">
      <formula>SEARCH("DA CHIUDERE",$M109)&gt;0</formula>
    </cfRule>
    <cfRule type="expression" dxfId="5004" priority="1992">
      <formula>SEARCH("INTERROTTO",$M109)&gt;0</formula>
    </cfRule>
  </conditionalFormatting>
  <conditionalFormatting sqref="E109:F109 N109:S109">
    <cfRule type="expression" dxfId="5003" priority="1993">
      <formula>SEARCH("IN CORSO",$M109)&gt;0</formula>
    </cfRule>
    <cfRule type="expression" dxfId="5002" priority="1994">
      <formula>SEARCH("CHIUSO",$M109)&gt;0</formula>
    </cfRule>
    <cfRule type="expression" dxfId="5001" priority="1995">
      <formula>SEARCH("EMESSO",$M109)&gt;0</formula>
    </cfRule>
    <cfRule type="expression" dxfId="5000" priority="1996">
      <formula>SEARCH("RICHIESTO",$M109)&gt;0</formula>
    </cfRule>
    <cfRule type="expression" dxfId="4999" priority="1997">
      <formula>SEARCH("DA CHIUDERE",$M109)&gt;0</formula>
    </cfRule>
    <cfRule type="expression" dxfId="4998" priority="1998">
      <formula>SEARCH("INTERROTTO",$M109)&gt;0</formula>
    </cfRule>
  </conditionalFormatting>
  <conditionalFormatting sqref="G108">
    <cfRule type="expression" dxfId="4997" priority="1969">
      <formula>SEARCH("IN CORSO",$M108)&gt;0</formula>
    </cfRule>
    <cfRule type="expression" dxfId="4996" priority="1970">
      <formula>SEARCH("CHIUSO",$M108)&gt;0</formula>
    </cfRule>
    <cfRule type="expression" dxfId="4995" priority="1971">
      <formula>SEARCH("EMESSO",$M108)&gt;0</formula>
    </cfRule>
    <cfRule type="expression" dxfId="4994" priority="1972">
      <formula>SEARCH("RICHIESTO",$M108)&gt;0</formula>
    </cfRule>
    <cfRule type="expression" dxfId="4993" priority="1973">
      <formula>SEARCH("DA CHIUDERE",$M108)&gt;0</formula>
    </cfRule>
    <cfRule type="expression" dxfId="4992" priority="1974">
      <formula>SEARCH("INTERROTTO",$M108)&gt;0</formula>
    </cfRule>
  </conditionalFormatting>
  <conditionalFormatting sqref="E108:F108 N108:S108">
    <cfRule type="expression" dxfId="4991" priority="1975">
      <formula>SEARCH("IN CORSO",$M108)&gt;0</formula>
    </cfRule>
    <cfRule type="expression" dxfId="4990" priority="1976">
      <formula>SEARCH("CHIUSO",$M108)&gt;0</formula>
    </cfRule>
    <cfRule type="expression" dxfId="4989" priority="1977">
      <formula>SEARCH("EMESSO",$M108)&gt;0</formula>
    </cfRule>
    <cfRule type="expression" dxfId="4988" priority="1978">
      <formula>SEARCH("RICHIESTO",$M108)&gt;0</formula>
    </cfRule>
    <cfRule type="expression" dxfId="4987" priority="1979">
      <formula>SEARCH("DA CHIUDERE",$M108)&gt;0</formula>
    </cfRule>
    <cfRule type="expression" dxfId="4986" priority="1980">
      <formula>SEARCH("INTERROTTO",$M108)&gt;0</formula>
    </cfRule>
  </conditionalFormatting>
  <conditionalFormatting sqref="G107">
    <cfRule type="expression" dxfId="4985" priority="1951">
      <formula>SEARCH("IN CORSO",$M107)&gt;0</formula>
    </cfRule>
    <cfRule type="expression" dxfId="4984" priority="1952">
      <formula>SEARCH("CHIUSO",$M107)&gt;0</formula>
    </cfRule>
    <cfRule type="expression" dxfId="4983" priority="1953">
      <formula>SEARCH("EMESSO",$M107)&gt;0</formula>
    </cfRule>
    <cfRule type="expression" dxfId="4982" priority="1954">
      <formula>SEARCH("RICHIESTO",$M107)&gt;0</formula>
    </cfRule>
    <cfRule type="expression" dxfId="4981" priority="1955">
      <formula>SEARCH("DA CHIUDERE",$M107)&gt;0</formula>
    </cfRule>
    <cfRule type="expression" dxfId="4980" priority="1956">
      <formula>SEARCH("INTERROTTO",$M107)&gt;0</formula>
    </cfRule>
  </conditionalFormatting>
  <conditionalFormatting sqref="E107:F107 N107:S107">
    <cfRule type="expression" dxfId="4979" priority="1957">
      <formula>SEARCH("IN CORSO",$M107)&gt;0</formula>
    </cfRule>
    <cfRule type="expression" dxfId="4978" priority="1958">
      <formula>SEARCH("CHIUSO",$M107)&gt;0</formula>
    </cfRule>
    <cfRule type="expression" dxfId="4977" priority="1959">
      <formula>SEARCH("EMESSO",$M107)&gt;0</formula>
    </cfRule>
    <cfRule type="expression" dxfId="4976" priority="1960">
      <formula>SEARCH("RICHIESTO",$M107)&gt;0</formula>
    </cfRule>
    <cfRule type="expression" dxfId="4975" priority="1961">
      <formula>SEARCH("DA CHIUDERE",$M107)&gt;0</formula>
    </cfRule>
    <cfRule type="expression" dxfId="4974" priority="1962">
      <formula>SEARCH("INTERROTTO",$M107)&gt;0</formula>
    </cfRule>
  </conditionalFormatting>
  <conditionalFormatting sqref="G106">
    <cfRule type="expression" dxfId="4973" priority="1933">
      <formula>SEARCH("IN CORSO",$M106)&gt;0</formula>
    </cfRule>
    <cfRule type="expression" dxfId="4972" priority="1934">
      <formula>SEARCH("CHIUSO",$M106)&gt;0</formula>
    </cfRule>
    <cfRule type="expression" dxfId="4971" priority="1935">
      <formula>SEARCH("EMESSO",$M106)&gt;0</formula>
    </cfRule>
    <cfRule type="expression" dxfId="4970" priority="1936">
      <formula>SEARCH("RICHIESTO",$M106)&gt;0</formula>
    </cfRule>
    <cfRule type="expression" dxfId="4969" priority="1937">
      <formula>SEARCH("DA CHIUDERE",$M106)&gt;0</formula>
    </cfRule>
    <cfRule type="expression" dxfId="4968" priority="1938">
      <formula>SEARCH("INTERROTTO",$M106)&gt;0</formula>
    </cfRule>
  </conditionalFormatting>
  <conditionalFormatting sqref="E106:F106 N106:S106">
    <cfRule type="expression" dxfId="4967" priority="1939">
      <formula>SEARCH("IN CORSO",$M106)&gt;0</formula>
    </cfRule>
    <cfRule type="expression" dxfId="4966" priority="1940">
      <formula>SEARCH("CHIUSO",$M106)&gt;0</formula>
    </cfRule>
    <cfRule type="expression" dxfId="4965" priority="1941">
      <formula>SEARCH("EMESSO",$M106)&gt;0</formula>
    </cfRule>
    <cfRule type="expression" dxfId="4964" priority="1942">
      <formula>SEARCH("RICHIESTO",$M106)&gt;0</formula>
    </cfRule>
    <cfRule type="expression" dxfId="4963" priority="1943">
      <formula>SEARCH("DA CHIUDERE",$M106)&gt;0</formula>
    </cfRule>
    <cfRule type="expression" dxfId="4962" priority="1944">
      <formula>SEARCH("INTERROTTO",$M106)&gt;0</formula>
    </cfRule>
  </conditionalFormatting>
  <conditionalFormatting sqref="G105">
    <cfRule type="expression" dxfId="4961" priority="1915">
      <formula>SEARCH("IN CORSO",$M105)&gt;0</formula>
    </cfRule>
    <cfRule type="expression" dxfId="4960" priority="1916">
      <formula>SEARCH("CHIUSO",$M105)&gt;0</formula>
    </cfRule>
    <cfRule type="expression" dxfId="4959" priority="1917">
      <formula>SEARCH("EMESSO",$M105)&gt;0</formula>
    </cfRule>
    <cfRule type="expression" dxfId="4958" priority="1918">
      <formula>SEARCH("RICHIESTO",$M105)&gt;0</formula>
    </cfRule>
    <cfRule type="expression" dxfId="4957" priority="1919">
      <formula>SEARCH("DA CHIUDERE",$M105)&gt;0</formula>
    </cfRule>
    <cfRule type="expression" dxfId="4956" priority="1920">
      <formula>SEARCH("INTERROTTO",$M105)&gt;0</formula>
    </cfRule>
  </conditionalFormatting>
  <conditionalFormatting sqref="E105:F105 N105:S105">
    <cfRule type="expression" dxfId="4955" priority="1921">
      <formula>SEARCH("IN CORSO",$M105)&gt;0</formula>
    </cfRule>
    <cfRule type="expression" dxfId="4954" priority="1922">
      <formula>SEARCH("CHIUSO",$M105)&gt;0</formula>
    </cfRule>
    <cfRule type="expression" dxfId="4953" priority="1923">
      <formula>SEARCH("EMESSO",$M105)&gt;0</formula>
    </cfRule>
    <cfRule type="expression" dxfId="4952" priority="1924">
      <formula>SEARCH("RICHIESTO",$M105)&gt;0</formula>
    </cfRule>
    <cfRule type="expression" dxfId="4951" priority="1925">
      <formula>SEARCH("DA CHIUDERE",$M105)&gt;0</formula>
    </cfRule>
    <cfRule type="expression" dxfId="4950" priority="1926">
      <formula>SEARCH("INTERROTTO",$M105)&gt;0</formula>
    </cfRule>
  </conditionalFormatting>
  <conditionalFormatting sqref="G104">
    <cfRule type="expression" dxfId="4949" priority="1897">
      <formula>SEARCH("IN CORSO",$M104)&gt;0</formula>
    </cfRule>
    <cfRule type="expression" dxfId="4948" priority="1898">
      <formula>SEARCH("CHIUSO",$M104)&gt;0</formula>
    </cfRule>
    <cfRule type="expression" dxfId="4947" priority="1899">
      <formula>SEARCH("EMESSO",$M104)&gt;0</formula>
    </cfRule>
    <cfRule type="expression" dxfId="4946" priority="1900">
      <formula>SEARCH("RICHIESTO",$M104)&gt;0</formula>
    </cfRule>
    <cfRule type="expression" dxfId="4945" priority="1901">
      <formula>SEARCH("DA CHIUDERE",$M104)&gt;0</formula>
    </cfRule>
    <cfRule type="expression" dxfId="4944" priority="1902">
      <formula>SEARCH("INTERROTTO",$M104)&gt;0</formula>
    </cfRule>
  </conditionalFormatting>
  <conditionalFormatting sqref="E104:F104 N104:S104">
    <cfRule type="expression" dxfId="4943" priority="1903">
      <formula>SEARCH("IN CORSO",$M104)&gt;0</formula>
    </cfRule>
    <cfRule type="expression" dxfId="4942" priority="1904">
      <formula>SEARCH("CHIUSO",$M104)&gt;0</formula>
    </cfRule>
    <cfRule type="expression" dxfId="4941" priority="1905">
      <formula>SEARCH("EMESSO",$M104)&gt;0</formula>
    </cfRule>
    <cfRule type="expression" dxfId="4940" priority="1906">
      <formula>SEARCH("RICHIESTO",$M104)&gt;0</formula>
    </cfRule>
    <cfRule type="expression" dxfId="4939" priority="1907">
      <formula>SEARCH("DA CHIUDERE",$M104)&gt;0</formula>
    </cfRule>
    <cfRule type="expression" dxfId="4938" priority="1908">
      <formula>SEARCH("INTERROTTO",$M104)&gt;0</formula>
    </cfRule>
  </conditionalFormatting>
  <conditionalFormatting sqref="G103">
    <cfRule type="expression" dxfId="4937" priority="1879">
      <formula>SEARCH("IN CORSO",$M103)&gt;0</formula>
    </cfRule>
    <cfRule type="expression" dxfId="4936" priority="1880">
      <formula>SEARCH("CHIUSO",$M103)&gt;0</formula>
    </cfRule>
    <cfRule type="expression" dxfId="4935" priority="1881">
      <formula>SEARCH("EMESSO",$M103)&gt;0</formula>
    </cfRule>
    <cfRule type="expression" dxfId="4934" priority="1882">
      <formula>SEARCH("RICHIESTO",$M103)&gt;0</formula>
    </cfRule>
    <cfRule type="expression" dxfId="4933" priority="1883">
      <formula>SEARCH("DA CHIUDERE",$M103)&gt;0</formula>
    </cfRule>
    <cfRule type="expression" dxfId="4932" priority="1884">
      <formula>SEARCH("INTERROTTO",$M103)&gt;0</formula>
    </cfRule>
  </conditionalFormatting>
  <conditionalFormatting sqref="E103:F103 N103:S103">
    <cfRule type="expression" dxfId="4931" priority="1885">
      <formula>SEARCH("IN CORSO",$M103)&gt;0</formula>
    </cfRule>
    <cfRule type="expression" dxfId="4930" priority="1886">
      <formula>SEARCH("CHIUSO",$M103)&gt;0</formula>
    </cfRule>
    <cfRule type="expression" dxfId="4929" priority="1887">
      <formula>SEARCH("EMESSO",$M103)&gt;0</formula>
    </cfRule>
    <cfRule type="expression" dxfId="4928" priority="1888">
      <formula>SEARCH("RICHIESTO",$M103)&gt;0</formula>
    </cfRule>
    <cfRule type="expression" dxfId="4927" priority="1889">
      <formula>SEARCH("DA CHIUDERE",$M103)&gt;0</formula>
    </cfRule>
    <cfRule type="expression" dxfId="4926" priority="1890">
      <formula>SEARCH("INTERROTTO",$M103)&gt;0</formula>
    </cfRule>
  </conditionalFormatting>
  <conditionalFormatting sqref="G102">
    <cfRule type="expression" dxfId="4925" priority="1861">
      <formula>SEARCH("IN CORSO",$M102)&gt;0</formula>
    </cfRule>
    <cfRule type="expression" dxfId="4924" priority="1862">
      <formula>SEARCH("CHIUSO",$M102)&gt;0</formula>
    </cfRule>
    <cfRule type="expression" dxfId="4923" priority="1863">
      <formula>SEARCH("EMESSO",$M102)&gt;0</formula>
    </cfRule>
    <cfRule type="expression" dxfId="4922" priority="1864">
      <formula>SEARCH("RICHIESTO",$M102)&gt;0</formula>
    </cfRule>
    <cfRule type="expression" dxfId="4921" priority="1865">
      <formula>SEARCH("DA CHIUDERE",$M102)&gt;0</formula>
    </cfRule>
    <cfRule type="expression" dxfId="4920" priority="1866">
      <formula>SEARCH("INTERROTTO",$M102)&gt;0</formula>
    </cfRule>
  </conditionalFormatting>
  <conditionalFormatting sqref="E102:F102 N102:S102">
    <cfRule type="expression" dxfId="4919" priority="1867">
      <formula>SEARCH("IN CORSO",$M102)&gt;0</formula>
    </cfRule>
    <cfRule type="expression" dxfId="4918" priority="1868">
      <formula>SEARCH("CHIUSO",$M102)&gt;0</formula>
    </cfRule>
    <cfRule type="expression" dxfId="4917" priority="1869">
      <formula>SEARCH("EMESSO",$M102)&gt;0</formula>
    </cfRule>
    <cfRule type="expression" dxfId="4916" priority="1870">
      <formula>SEARCH("RICHIESTO",$M102)&gt;0</formula>
    </cfRule>
    <cfRule type="expression" dxfId="4915" priority="1871">
      <formula>SEARCH("DA CHIUDERE",$M102)&gt;0</formula>
    </cfRule>
    <cfRule type="expression" dxfId="4914" priority="1872">
      <formula>SEARCH("INTERROTTO",$M102)&gt;0</formula>
    </cfRule>
  </conditionalFormatting>
  <conditionalFormatting sqref="E101:F101 N101:S101">
    <cfRule type="expression" dxfId="4913" priority="1849">
      <formula>SEARCH("IN CORSO",$M101)&gt;0</formula>
    </cfRule>
    <cfRule type="expression" dxfId="4912" priority="1850">
      <formula>SEARCH("CHIUSO",$M101)&gt;0</formula>
    </cfRule>
    <cfRule type="expression" dxfId="4911" priority="1851">
      <formula>SEARCH("EMESSO",$M101)&gt;0</formula>
    </cfRule>
    <cfRule type="expression" dxfId="4910" priority="1852">
      <formula>SEARCH("RICHIESTO",$M101)&gt;0</formula>
    </cfRule>
    <cfRule type="expression" dxfId="4909" priority="1853">
      <formula>SEARCH("DA CHIUDERE",$M101)&gt;0</formula>
    </cfRule>
    <cfRule type="expression" dxfId="4908" priority="1854">
      <formula>SEARCH("INTERROTTO",$M101)&gt;0</formula>
    </cfRule>
  </conditionalFormatting>
  <conditionalFormatting sqref="G101">
    <cfRule type="expression" dxfId="4907" priority="1843">
      <formula>SEARCH("IN CORSO",$M101)&gt;0</formula>
    </cfRule>
    <cfRule type="expression" dxfId="4906" priority="1844">
      <formula>SEARCH("CHIUSO",$M101)&gt;0</formula>
    </cfRule>
    <cfRule type="expression" dxfId="4905" priority="1845">
      <formula>SEARCH("EMESSO",$M101)&gt;0</formula>
    </cfRule>
    <cfRule type="expression" dxfId="4904" priority="1846">
      <formula>SEARCH("RICHIESTO",$M101)&gt;0</formula>
    </cfRule>
    <cfRule type="expression" dxfId="4903" priority="1847">
      <formula>SEARCH("DA CHIUDERE",$M101)&gt;0</formula>
    </cfRule>
    <cfRule type="expression" dxfId="4902" priority="1848">
      <formula>SEARCH("INTERROTTO",$M101)&gt;0</formula>
    </cfRule>
  </conditionalFormatting>
  <conditionalFormatting sqref="E100:F100 N100:S100">
    <cfRule type="expression" dxfId="4901" priority="1825">
      <formula>SEARCH("IN CORSO",$M100)&gt;0</formula>
    </cfRule>
    <cfRule type="expression" dxfId="4900" priority="1826">
      <formula>SEARCH("CHIUSO",$M100)&gt;0</formula>
    </cfRule>
    <cfRule type="expression" dxfId="4899" priority="1827">
      <formula>SEARCH("EMESSO",$M100)&gt;0</formula>
    </cfRule>
    <cfRule type="expression" dxfId="4898" priority="1828">
      <formula>SEARCH("RICHIESTO",$M100)&gt;0</formula>
    </cfRule>
    <cfRule type="expression" dxfId="4897" priority="1829">
      <formula>SEARCH("DA CHIUDERE",$M100)&gt;0</formula>
    </cfRule>
    <cfRule type="expression" dxfId="4896" priority="1830">
      <formula>SEARCH("INTERROTTO",$M100)&gt;0</formula>
    </cfRule>
  </conditionalFormatting>
  <conditionalFormatting sqref="G100">
    <cfRule type="expression" dxfId="4895" priority="1819">
      <formula>SEARCH("IN CORSO",$M100)&gt;0</formula>
    </cfRule>
    <cfRule type="expression" dxfId="4894" priority="1820">
      <formula>SEARCH("CHIUSO",$M100)&gt;0</formula>
    </cfRule>
    <cfRule type="expression" dxfId="4893" priority="1821">
      <formula>SEARCH("EMESSO",$M100)&gt;0</formula>
    </cfRule>
    <cfRule type="expression" dxfId="4892" priority="1822">
      <formula>SEARCH("RICHIESTO",$M100)&gt;0</formula>
    </cfRule>
    <cfRule type="expression" dxfId="4891" priority="1823">
      <formula>SEARCH("DA CHIUDERE",$M100)&gt;0</formula>
    </cfRule>
    <cfRule type="expression" dxfId="4890" priority="1824">
      <formula>SEARCH("INTERROTTO",$M100)&gt;0</formula>
    </cfRule>
  </conditionalFormatting>
  <conditionalFormatting sqref="E99:F99 N99:S99">
    <cfRule type="expression" dxfId="4889" priority="1801">
      <formula>SEARCH("IN CORSO",$M99)&gt;0</formula>
    </cfRule>
    <cfRule type="expression" dxfId="4888" priority="1802">
      <formula>SEARCH("CHIUSO",$M99)&gt;0</formula>
    </cfRule>
    <cfRule type="expression" dxfId="4887" priority="1803">
      <formula>SEARCH("EMESSO",$M99)&gt;0</formula>
    </cfRule>
    <cfRule type="expression" dxfId="4886" priority="1804">
      <formula>SEARCH("RICHIESTO",$M99)&gt;0</formula>
    </cfRule>
    <cfRule type="expression" dxfId="4885" priority="1805">
      <formula>SEARCH("DA CHIUDERE",$M99)&gt;0</formula>
    </cfRule>
    <cfRule type="expression" dxfId="4884" priority="1806">
      <formula>SEARCH("INTERROTTO",$M99)&gt;0</formula>
    </cfRule>
  </conditionalFormatting>
  <conditionalFormatting sqref="M381">
    <cfRule type="expression" dxfId="4883" priority="1807">
      <formula>SEARCH("IN CORSO",$M381)&gt;0</formula>
    </cfRule>
    <cfRule type="expression" dxfId="4882" priority="1808">
      <formula>SEARCH("CHIUSO",$M381)&gt;0</formula>
    </cfRule>
    <cfRule type="expression" dxfId="4881" priority="1809">
      <formula>SEARCH("EMESSO",$M381)&gt;0</formula>
    </cfRule>
    <cfRule type="expression" dxfId="4880" priority="1810">
      <formula>SEARCH("RICHIESTO",$M381)&gt;0</formula>
    </cfRule>
    <cfRule type="expression" dxfId="4879" priority="1811">
      <formula>SEARCH("DA CHIUDERE",$M381)&gt;0</formula>
    </cfRule>
    <cfRule type="expression" dxfId="4878" priority="1812">
      <formula>SEARCH("INTERROTTO",$M381)&gt;0</formula>
    </cfRule>
  </conditionalFormatting>
  <conditionalFormatting sqref="G99">
    <cfRule type="expression" dxfId="4877" priority="1795">
      <formula>SEARCH("IN CORSO",$M99)&gt;0</formula>
    </cfRule>
    <cfRule type="expression" dxfId="4876" priority="1796">
      <formula>SEARCH("CHIUSO",$M99)&gt;0</formula>
    </cfRule>
    <cfRule type="expression" dxfId="4875" priority="1797">
      <formula>SEARCH("EMESSO",$M99)&gt;0</formula>
    </cfRule>
    <cfRule type="expression" dxfId="4874" priority="1798">
      <formula>SEARCH("RICHIESTO",$M99)&gt;0</formula>
    </cfRule>
    <cfRule type="expression" dxfId="4873" priority="1799">
      <formula>SEARCH("DA CHIUDERE",$M99)&gt;0</formula>
    </cfRule>
    <cfRule type="expression" dxfId="4872" priority="1800">
      <formula>SEARCH("INTERROTTO",$M99)&gt;0</formula>
    </cfRule>
  </conditionalFormatting>
  <conditionalFormatting sqref="G98">
    <cfRule type="expression" dxfId="4871" priority="1771">
      <formula>SEARCH("IN CORSO",$M98)&gt;0</formula>
    </cfRule>
    <cfRule type="expression" dxfId="4870" priority="1772">
      <formula>SEARCH("CHIUSO",$M98)&gt;0</formula>
    </cfRule>
    <cfRule type="expression" dxfId="4869" priority="1773">
      <formula>SEARCH("EMESSO",$M98)&gt;0</formula>
    </cfRule>
    <cfRule type="expression" dxfId="4868" priority="1774">
      <formula>SEARCH("RICHIESTO",$M98)&gt;0</formula>
    </cfRule>
    <cfRule type="expression" dxfId="4867" priority="1775">
      <formula>SEARCH("DA CHIUDERE",$M98)&gt;0</formula>
    </cfRule>
    <cfRule type="expression" dxfId="4866" priority="1776">
      <formula>SEARCH("INTERROTTO",$M98)&gt;0</formula>
    </cfRule>
  </conditionalFormatting>
  <conditionalFormatting sqref="E98:F98 N98:S98">
    <cfRule type="expression" dxfId="4865" priority="1777">
      <formula>SEARCH("IN CORSO",$M98)&gt;0</formula>
    </cfRule>
    <cfRule type="expression" dxfId="4864" priority="1778">
      <formula>SEARCH("CHIUSO",$M98)&gt;0</formula>
    </cfRule>
    <cfRule type="expression" dxfId="4863" priority="1779">
      <formula>SEARCH("EMESSO",$M98)&gt;0</formula>
    </cfRule>
    <cfRule type="expression" dxfId="4862" priority="1780">
      <formula>SEARCH("RICHIESTO",$M98)&gt;0</formula>
    </cfRule>
    <cfRule type="expression" dxfId="4861" priority="1781">
      <formula>SEARCH("DA CHIUDERE",$M98)&gt;0</formula>
    </cfRule>
    <cfRule type="expression" dxfId="4860" priority="1782">
      <formula>SEARCH("INTERROTTO",$M98)&gt;0</formula>
    </cfRule>
  </conditionalFormatting>
  <conditionalFormatting sqref="G97">
    <cfRule type="expression" dxfId="4859" priority="1753">
      <formula>SEARCH("IN CORSO",$M97)&gt;0</formula>
    </cfRule>
    <cfRule type="expression" dxfId="4858" priority="1754">
      <formula>SEARCH("CHIUSO",$M97)&gt;0</formula>
    </cfRule>
    <cfRule type="expression" dxfId="4857" priority="1755">
      <formula>SEARCH("EMESSO",$M97)&gt;0</formula>
    </cfRule>
    <cfRule type="expression" dxfId="4856" priority="1756">
      <formula>SEARCH("RICHIESTO",$M97)&gt;0</formula>
    </cfRule>
    <cfRule type="expression" dxfId="4855" priority="1757">
      <formula>SEARCH("DA CHIUDERE",$M97)&gt;0</formula>
    </cfRule>
    <cfRule type="expression" dxfId="4854" priority="1758">
      <formula>SEARCH("INTERROTTO",$M97)&gt;0</formula>
    </cfRule>
  </conditionalFormatting>
  <conditionalFormatting sqref="E97:F97 N97:S97">
    <cfRule type="expression" dxfId="4853" priority="1759">
      <formula>SEARCH("IN CORSO",$M97)&gt;0</formula>
    </cfRule>
    <cfRule type="expression" dxfId="4852" priority="1760">
      <formula>SEARCH("CHIUSO",$M97)&gt;0</formula>
    </cfRule>
    <cfRule type="expression" dxfId="4851" priority="1761">
      <formula>SEARCH("EMESSO",$M97)&gt;0</formula>
    </cfRule>
    <cfRule type="expression" dxfId="4850" priority="1762">
      <formula>SEARCH("RICHIESTO",$M97)&gt;0</formula>
    </cfRule>
    <cfRule type="expression" dxfId="4849" priority="1763">
      <formula>SEARCH("DA CHIUDERE",$M97)&gt;0</formula>
    </cfRule>
    <cfRule type="expression" dxfId="4848" priority="1764">
      <formula>SEARCH("INTERROTTO",$M97)&gt;0</formula>
    </cfRule>
  </conditionalFormatting>
  <conditionalFormatting sqref="G96">
    <cfRule type="expression" dxfId="4847" priority="1735">
      <formula>SEARCH("IN CORSO",$M96)&gt;0</formula>
    </cfRule>
    <cfRule type="expression" dxfId="4846" priority="1736">
      <formula>SEARCH("CHIUSO",$M96)&gt;0</formula>
    </cfRule>
    <cfRule type="expression" dxfId="4845" priority="1737">
      <formula>SEARCH("EMESSO",$M96)&gt;0</formula>
    </cfRule>
    <cfRule type="expression" dxfId="4844" priority="1738">
      <formula>SEARCH("RICHIESTO",$M96)&gt;0</formula>
    </cfRule>
    <cfRule type="expression" dxfId="4843" priority="1739">
      <formula>SEARCH("DA CHIUDERE",$M96)&gt;0</formula>
    </cfRule>
    <cfRule type="expression" dxfId="4842" priority="1740">
      <formula>SEARCH("INTERROTTO",$M96)&gt;0</formula>
    </cfRule>
  </conditionalFormatting>
  <conditionalFormatting sqref="E96:F96 N96:S96">
    <cfRule type="expression" dxfId="4841" priority="1741">
      <formula>SEARCH("IN CORSO",$M96)&gt;0</formula>
    </cfRule>
    <cfRule type="expression" dxfId="4840" priority="1742">
      <formula>SEARCH("CHIUSO",$M96)&gt;0</formula>
    </cfRule>
    <cfRule type="expression" dxfId="4839" priority="1743">
      <formula>SEARCH("EMESSO",$M96)&gt;0</formula>
    </cfRule>
    <cfRule type="expression" dxfId="4838" priority="1744">
      <formula>SEARCH("RICHIESTO",$M96)&gt;0</formula>
    </cfRule>
    <cfRule type="expression" dxfId="4837" priority="1745">
      <formula>SEARCH("DA CHIUDERE",$M96)&gt;0</formula>
    </cfRule>
    <cfRule type="expression" dxfId="4836" priority="1746">
      <formula>SEARCH("INTERROTTO",$M96)&gt;0</formula>
    </cfRule>
  </conditionalFormatting>
  <conditionalFormatting sqref="G95">
    <cfRule type="expression" dxfId="4835" priority="1717">
      <formula>SEARCH("IN CORSO",$M95)&gt;0</formula>
    </cfRule>
    <cfRule type="expression" dxfId="4834" priority="1718">
      <formula>SEARCH("CHIUSO",$M95)&gt;0</formula>
    </cfRule>
    <cfRule type="expression" dxfId="4833" priority="1719">
      <formula>SEARCH("EMESSO",$M95)&gt;0</formula>
    </cfRule>
    <cfRule type="expression" dxfId="4832" priority="1720">
      <formula>SEARCH("RICHIESTO",$M95)&gt;0</formula>
    </cfRule>
    <cfRule type="expression" dxfId="4831" priority="1721">
      <formula>SEARCH("DA CHIUDERE",$M95)&gt;0</formula>
    </cfRule>
    <cfRule type="expression" dxfId="4830" priority="1722">
      <formula>SEARCH("INTERROTTO",$M95)&gt;0</formula>
    </cfRule>
  </conditionalFormatting>
  <conditionalFormatting sqref="E95:F95 N95:S95">
    <cfRule type="expression" dxfId="4829" priority="1723">
      <formula>SEARCH("IN CORSO",$M95)&gt;0</formula>
    </cfRule>
    <cfRule type="expression" dxfId="4828" priority="1724">
      <formula>SEARCH("CHIUSO",$M95)&gt;0</formula>
    </cfRule>
    <cfRule type="expression" dxfId="4827" priority="1725">
      <formula>SEARCH("EMESSO",$M95)&gt;0</formula>
    </cfRule>
    <cfRule type="expression" dxfId="4826" priority="1726">
      <formula>SEARCH("RICHIESTO",$M95)&gt;0</formula>
    </cfRule>
    <cfRule type="expression" dxfId="4825" priority="1727">
      <formula>SEARCH("DA CHIUDERE",$M95)&gt;0</formula>
    </cfRule>
    <cfRule type="expression" dxfId="4824" priority="1728">
      <formula>SEARCH("INTERROTTO",$M95)&gt;0</formula>
    </cfRule>
  </conditionalFormatting>
  <conditionalFormatting sqref="G94">
    <cfRule type="expression" dxfId="4823" priority="1699">
      <formula>SEARCH("IN CORSO",$M94)&gt;0</formula>
    </cfRule>
    <cfRule type="expression" dxfId="4822" priority="1700">
      <formula>SEARCH("CHIUSO",$M94)&gt;0</formula>
    </cfRule>
    <cfRule type="expression" dxfId="4821" priority="1701">
      <formula>SEARCH("EMESSO",$M94)&gt;0</formula>
    </cfRule>
    <cfRule type="expression" dxfId="4820" priority="1702">
      <formula>SEARCH("RICHIESTO",$M94)&gt;0</formula>
    </cfRule>
    <cfRule type="expression" dxfId="4819" priority="1703">
      <formula>SEARCH("DA CHIUDERE",$M94)&gt;0</formula>
    </cfRule>
    <cfRule type="expression" dxfId="4818" priority="1704">
      <formula>SEARCH("INTERROTTO",$M94)&gt;0</formula>
    </cfRule>
  </conditionalFormatting>
  <conditionalFormatting sqref="E94:F94 N94:S94">
    <cfRule type="expression" dxfId="4817" priority="1705">
      <formula>SEARCH("IN CORSO",$M94)&gt;0</formula>
    </cfRule>
    <cfRule type="expression" dxfId="4816" priority="1706">
      <formula>SEARCH("CHIUSO",$M94)&gt;0</formula>
    </cfRule>
    <cfRule type="expression" dxfId="4815" priority="1707">
      <formula>SEARCH("EMESSO",$M94)&gt;0</formula>
    </cfRule>
    <cfRule type="expression" dxfId="4814" priority="1708">
      <formula>SEARCH("RICHIESTO",$M94)&gt;0</formula>
    </cfRule>
    <cfRule type="expression" dxfId="4813" priority="1709">
      <formula>SEARCH("DA CHIUDERE",$M94)&gt;0</formula>
    </cfRule>
    <cfRule type="expression" dxfId="4812" priority="1710">
      <formula>SEARCH("INTERROTTO",$M94)&gt;0</formula>
    </cfRule>
  </conditionalFormatting>
  <conditionalFormatting sqref="E93:F93 N93:S93">
    <cfRule type="expression" dxfId="4811" priority="1669">
      <formula>SEARCH("IN CORSO",$M93)&gt;0</formula>
    </cfRule>
    <cfRule type="expression" dxfId="4810" priority="1670">
      <formula>SEARCH("CHIUSO",$M93)&gt;0</formula>
    </cfRule>
    <cfRule type="expression" dxfId="4809" priority="1671">
      <formula>SEARCH("EMESSO",$M93)&gt;0</formula>
    </cfRule>
    <cfRule type="expression" dxfId="4808" priority="1672">
      <formula>SEARCH("RICHIESTO",$M93)&gt;0</formula>
    </cfRule>
    <cfRule type="expression" dxfId="4807" priority="1673">
      <formula>SEARCH("DA CHIUDERE",$M93)&gt;0</formula>
    </cfRule>
    <cfRule type="expression" dxfId="4806" priority="1674">
      <formula>SEARCH("INTERROTTO",$M93)&gt;0</formula>
    </cfRule>
  </conditionalFormatting>
  <conditionalFormatting sqref="G93">
    <cfRule type="expression" dxfId="4805" priority="1663">
      <formula>SEARCH("IN CORSO",$M93)&gt;0</formula>
    </cfRule>
    <cfRule type="expression" dxfId="4804" priority="1664">
      <formula>SEARCH("CHIUSO",$M93)&gt;0</formula>
    </cfRule>
    <cfRule type="expression" dxfId="4803" priority="1665">
      <formula>SEARCH("EMESSO",$M93)&gt;0</formula>
    </cfRule>
    <cfRule type="expression" dxfId="4802" priority="1666">
      <formula>SEARCH("RICHIESTO",$M93)&gt;0</formula>
    </cfRule>
    <cfRule type="expression" dxfId="4801" priority="1667">
      <formula>SEARCH("DA CHIUDERE",$M93)&gt;0</formula>
    </cfRule>
    <cfRule type="expression" dxfId="4800" priority="1668">
      <formula>SEARCH("INTERROTTO",$M93)&gt;0</formula>
    </cfRule>
  </conditionalFormatting>
  <conditionalFormatting sqref="G92">
    <cfRule type="expression" dxfId="4799" priority="1645">
      <formula>SEARCH("IN CORSO",$M92)&gt;0</formula>
    </cfRule>
    <cfRule type="expression" dxfId="4798" priority="1646">
      <formula>SEARCH("CHIUSO",$M92)&gt;0</formula>
    </cfRule>
    <cfRule type="expression" dxfId="4797" priority="1647">
      <formula>SEARCH("EMESSO",$M92)&gt;0</formula>
    </cfRule>
    <cfRule type="expression" dxfId="4796" priority="1648">
      <formula>SEARCH("RICHIESTO",$M92)&gt;0</formula>
    </cfRule>
    <cfRule type="expression" dxfId="4795" priority="1649">
      <formula>SEARCH("DA CHIUDERE",$M92)&gt;0</formula>
    </cfRule>
    <cfRule type="expression" dxfId="4794" priority="1650">
      <formula>SEARCH("INTERROTTO",$M92)&gt;0</formula>
    </cfRule>
  </conditionalFormatting>
  <conditionalFormatting sqref="E92:F92 N92:S92">
    <cfRule type="expression" dxfId="4793" priority="1651">
      <formula>SEARCH("IN CORSO",$M92)&gt;0</formula>
    </cfRule>
    <cfRule type="expression" dxfId="4792" priority="1652">
      <formula>SEARCH("CHIUSO",$M92)&gt;0</formula>
    </cfRule>
    <cfRule type="expression" dxfId="4791" priority="1653">
      <formula>SEARCH("EMESSO",$M92)&gt;0</formula>
    </cfRule>
    <cfRule type="expression" dxfId="4790" priority="1654">
      <formula>SEARCH("RICHIESTO",$M92)&gt;0</formula>
    </cfRule>
    <cfRule type="expression" dxfId="4789" priority="1655">
      <formula>SEARCH("DA CHIUDERE",$M92)&gt;0</formula>
    </cfRule>
    <cfRule type="expression" dxfId="4788" priority="1656">
      <formula>SEARCH("INTERROTTO",$M92)&gt;0</formula>
    </cfRule>
  </conditionalFormatting>
  <conditionalFormatting sqref="G91">
    <cfRule type="expression" dxfId="4787" priority="1627">
      <formula>SEARCH("IN CORSO",$M91)&gt;0</formula>
    </cfRule>
    <cfRule type="expression" dxfId="4786" priority="1628">
      <formula>SEARCH("CHIUSO",$M91)&gt;0</formula>
    </cfRule>
    <cfRule type="expression" dxfId="4785" priority="1629">
      <formula>SEARCH("EMESSO",$M91)&gt;0</formula>
    </cfRule>
    <cfRule type="expression" dxfId="4784" priority="1630">
      <formula>SEARCH("RICHIESTO",$M91)&gt;0</formula>
    </cfRule>
    <cfRule type="expression" dxfId="4783" priority="1631">
      <formula>SEARCH("DA CHIUDERE",$M91)&gt;0</formula>
    </cfRule>
    <cfRule type="expression" dxfId="4782" priority="1632">
      <formula>SEARCH("INTERROTTO",$M91)&gt;0</formula>
    </cfRule>
  </conditionalFormatting>
  <conditionalFormatting sqref="E91:F91 N91:S91">
    <cfRule type="expression" dxfId="4781" priority="1633">
      <formula>SEARCH("IN CORSO",$M91)&gt;0</formula>
    </cfRule>
    <cfRule type="expression" dxfId="4780" priority="1634">
      <formula>SEARCH("CHIUSO",$M91)&gt;0</formula>
    </cfRule>
    <cfRule type="expression" dxfId="4779" priority="1635">
      <formula>SEARCH("EMESSO",$M91)&gt;0</formula>
    </cfRule>
    <cfRule type="expression" dxfId="4778" priority="1636">
      <formula>SEARCH("RICHIESTO",$M91)&gt;0</formula>
    </cfRule>
    <cfRule type="expression" dxfId="4777" priority="1637">
      <formula>SEARCH("DA CHIUDERE",$M91)&gt;0</formula>
    </cfRule>
    <cfRule type="expression" dxfId="4776" priority="1638">
      <formula>SEARCH("INTERROTTO",$M91)&gt;0</formula>
    </cfRule>
  </conditionalFormatting>
  <conditionalFormatting sqref="G90">
    <cfRule type="expression" dxfId="4775" priority="1609">
      <formula>SEARCH("IN CORSO",$M90)&gt;0</formula>
    </cfRule>
    <cfRule type="expression" dxfId="4774" priority="1610">
      <formula>SEARCH("CHIUSO",$M90)&gt;0</formula>
    </cfRule>
    <cfRule type="expression" dxfId="4773" priority="1611">
      <formula>SEARCH("EMESSO",$M90)&gt;0</formula>
    </cfRule>
    <cfRule type="expression" dxfId="4772" priority="1612">
      <formula>SEARCH("RICHIESTO",$M90)&gt;0</formula>
    </cfRule>
    <cfRule type="expression" dxfId="4771" priority="1613">
      <formula>SEARCH("DA CHIUDERE",$M90)&gt;0</formula>
    </cfRule>
    <cfRule type="expression" dxfId="4770" priority="1614">
      <formula>SEARCH("INTERROTTO",$M90)&gt;0</formula>
    </cfRule>
  </conditionalFormatting>
  <conditionalFormatting sqref="E90:F90 N90:S90">
    <cfRule type="expression" dxfId="4769" priority="1615">
      <formula>SEARCH("IN CORSO",$M90)&gt;0</formula>
    </cfRule>
    <cfRule type="expression" dxfId="4768" priority="1616">
      <formula>SEARCH("CHIUSO",$M90)&gt;0</formula>
    </cfRule>
    <cfRule type="expression" dxfId="4767" priority="1617">
      <formula>SEARCH("EMESSO",$M90)&gt;0</formula>
    </cfRule>
    <cfRule type="expression" dxfId="4766" priority="1618">
      <formula>SEARCH("RICHIESTO",$M90)&gt;0</formula>
    </cfRule>
    <cfRule type="expression" dxfId="4765" priority="1619">
      <formula>SEARCH("DA CHIUDERE",$M90)&gt;0</formula>
    </cfRule>
    <cfRule type="expression" dxfId="4764" priority="1620">
      <formula>SEARCH("INTERROTTO",$M90)&gt;0</formula>
    </cfRule>
  </conditionalFormatting>
  <conditionalFormatting sqref="G89">
    <cfRule type="expression" dxfId="4763" priority="1591">
      <formula>SEARCH("IN CORSO",$M89)&gt;0</formula>
    </cfRule>
    <cfRule type="expression" dxfId="4762" priority="1592">
      <formula>SEARCH("CHIUSO",$M89)&gt;0</formula>
    </cfRule>
    <cfRule type="expression" dxfId="4761" priority="1593">
      <formula>SEARCH("EMESSO",$M89)&gt;0</formula>
    </cfRule>
    <cfRule type="expression" dxfId="4760" priority="1594">
      <formula>SEARCH("RICHIESTO",$M89)&gt;0</formula>
    </cfRule>
    <cfRule type="expression" dxfId="4759" priority="1595">
      <formula>SEARCH("DA CHIUDERE",$M89)&gt;0</formula>
    </cfRule>
    <cfRule type="expression" dxfId="4758" priority="1596">
      <formula>SEARCH("INTERROTTO",$M89)&gt;0</formula>
    </cfRule>
  </conditionalFormatting>
  <conditionalFormatting sqref="E89:F89 N89:P89 R89:S89">
    <cfRule type="expression" dxfId="4757" priority="1597">
      <formula>SEARCH("IN CORSO",$M89)&gt;0</formula>
    </cfRule>
    <cfRule type="expression" dxfId="4756" priority="1598">
      <formula>SEARCH("CHIUSO",$M89)&gt;0</formula>
    </cfRule>
    <cfRule type="expression" dxfId="4755" priority="1599">
      <formula>SEARCH("EMESSO",$M89)&gt;0</formula>
    </cfRule>
    <cfRule type="expression" dxfId="4754" priority="1600">
      <formula>SEARCH("RICHIESTO",$M89)&gt;0</formula>
    </cfRule>
    <cfRule type="expression" dxfId="4753" priority="1601">
      <formula>SEARCH("DA CHIUDERE",$M89)&gt;0</formula>
    </cfRule>
    <cfRule type="expression" dxfId="4752" priority="1602">
      <formula>SEARCH("INTERROTTO",$M89)&gt;0</formula>
    </cfRule>
  </conditionalFormatting>
  <conditionalFormatting sqref="G88">
    <cfRule type="expression" dxfId="4751" priority="1573">
      <formula>SEARCH("IN CORSO",$M88)&gt;0</formula>
    </cfRule>
    <cfRule type="expression" dxfId="4750" priority="1574">
      <formula>SEARCH("CHIUSO",$M88)&gt;0</formula>
    </cfRule>
    <cfRule type="expression" dxfId="4749" priority="1575">
      <formula>SEARCH("EMESSO",$M88)&gt;0</formula>
    </cfRule>
    <cfRule type="expression" dxfId="4748" priority="1576">
      <formula>SEARCH("RICHIESTO",$M88)&gt;0</formula>
    </cfRule>
    <cfRule type="expression" dxfId="4747" priority="1577">
      <formula>SEARCH("DA CHIUDERE",$M88)&gt;0</formula>
    </cfRule>
    <cfRule type="expression" dxfId="4746" priority="1578">
      <formula>SEARCH("INTERROTTO",$M88)&gt;0</formula>
    </cfRule>
  </conditionalFormatting>
  <conditionalFormatting sqref="E88:F88 N88:S88">
    <cfRule type="expression" dxfId="4745" priority="1579">
      <formula>SEARCH("IN CORSO",$M88)&gt;0</formula>
    </cfRule>
    <cfRule type="expression" dxfId="4744" priority="1580">
      <formula>SEARCH("CHIUSO",$M88)&gt;0</formula>
    </cfRule>
    <cfRule type="expression" dxfId="4743" priority="1581">
      <formula>SEARCH("EMESSO",$M88)&gt;0</formula>
    </cfRule>
    <cfRule type="expression" dxfId="4742" priority="1582">
      <formula>SEARCH("RICHIESTO",$M88)&gt;0</formula>
    </cfRule>
    <cfRule type="expression" dxfId="4741" priority="1583">
      <formula>SEARCH("DA CHIUDERE",$M88)&gt;0</formula>
    </cfRule>
    <cfRule type="expression" dxfId="4740" priority="1584">
      <formula>SEARCH("INTERROTTO",$M88)&gt;0</formula>
    </cfRule>
  </conditionalFormatting>
  <conditionalFormatting sqref="G87">
    <cfRule type="expression" dxfId="4739" priority="1555">
      <formula>SEARCH("IN CORSO",$M87)&gt;0</formula>
    </cfRule>
    <cfRule type="expression" dxfId="4738" priority="1556">
      <formula>SEARCH("CHIUSO",$M87)&gt;0</formula>
    </cfRule>
    <cfRule type="expression" dxfId="4737" priority="1557">
      <formula>SEARCH("EMESSO",$M87)&gt;0</formula>
    </cfRule>
    <cfRule type="expression" dxfId="4736" priority="1558">
      <formula>SEARCH("RICHIESTO",$M87)&gt;0</formula>
    </cfRule>
    <cfRule type="expression" dxfId="4735" priority="1559">
      <formula>SEARCH("DA CHIUDERE",$M87)&gt;0</formula>
    </cfRule>
    <cfRule type="expression" dxfId="4734" priority="1560">
      <formula>SEARCH("INTERROTTO",$M87)&gt;0</formula>
    </cfRule>
  </conditionalFormatting>
  <conditionalFormatting sqref="E87:F87 N87:S87">
    <cfRule type="expression" dxfId="4733" priority="1561">
      <formula>SEARCH("IN CORSO",$M87)&gt;0</formula>
    </cfRule>
    <cfRule type="expression" dxfId="4732" priority="1562">
      <formula>SEARCH("CHIUSO",$M87)&gt;0</formula>
    </cfRule>
    <cfRule type="expression" dxfId="4731" priority="1563">
      <formula>SEARCH("EMESSO",$M87)&gt;0</formula>
    </cfRule>
    <cfRule type="expression" dxfId="4730" priority="1564">
      <formula>SEARCH("RICHIESTO",$M87)&gt;0</formula>
    </cfRule>
    <cfRule type="expression" dxfId="4729" priority="1565">
      <formula>SEARCH("DA CHIUDERE",$M87)&gt;0</formula>
    </cfRule>
    <cfRule type="expression" dxfId="4728" priority="1566">
      <formula>SEARCH("INTERROTTO",$M87)&gt;0</formula>
    </cfRule>
  </conditionalFormatting>
  <conditionalFormatting sqref="G86">
    <cfRule type="expression" dxfId="4727" priority="1537">
      <formula>SEARCH("IN CORSO",$M86)&gt;0</formula>
    </cfRule>
    <cfRule type="expression" dxfId="4726" priority="1538">
      <formula>SEARCH("CHIUSO",$M86)&gt;0</formula>
    </cfRule>
    <cfRule type="expression" dxfId="4725" priority="1539">
      <formula>SEARCH("EMESSO",$M86)&gt;0</formula>
    </cfRule>
    <cfRule type="expression" dxfId="4724" priority="1540">
      <formula>SEARCH("RICHIESTO",$M86)&gt;0</formula>
    </cfRule>
    <cfRule type="expression" dxfId="4723" priority="1541">
      <formula>SEARCH("DA CHIUDERE",$M86)&gt;0</formula>
    </cfRule>
    <cfRule type="expression" dxfId="4722" priority="1542">
      <formula>SEARCH("INTERROTTO",$M86)&gt;0</formula>
    </cfRule>
  </conditionalFormatting>
  <conditionalFormatting sqref="E86:F86 N86:S86">
    <cfRule type="expression" dxfId="4721" priority="1543">
      <formula>SEARCH("IN CORSO",$M86)&gt;0</formula>
    </cfRule>
    <cfRule type="expression" dxfId="4720" priority="1544">
      <formula>SEARCH("CHIUSO",$M86)&gt;0</formula>
    </cfRule>
    <cfRule type="expression" dxfId="4719" priority="1545">
      <formula>SEARCH("EMESSO",$M86)&gt;0</formula>
    </cfRule>
    <cfRule type="expression" dxfId="4718" priority="1546">
      <formula>SEARCH("RICHIESTO",$M86)&gt;0</formula>
    </cfRule>
    <cfRule type="expression" dxfId="4717" priority="1547">
      <formula>SEARCH("DA CHIUDERE",$M86)&gt;0</formula>
    </cfRule>
    <cfRule type="expression" dxfId="4716" priority="1548">
      <formula>SEARCH("INTERROTTO",$M86)&gt;0</formula>
    </cfRule>
  </conditionalFormatting>
  <conditionalFormatting sqref="G85">
    <cfRule type="expression" dxfId="4715" priority="1519">
      <formula>SEARCH("IN CORSO",$M85)&gt;0</formula>
    </cfRule>
    <cfRule type="expression" dxfId="4714" priority="1520">
      <formula>SEARCH("CHIUSO",$M85)&gt;0</formula>
    </cfRule>
    <cfRule type="expression" dxfId="4713" priority="1521">
      <formula>SEARCH("EMESSO",$M85)&gt;0</formula>
    </cfRule>
    <cfRule type="expression" dxfId="4712" priority="1522">
      <formula>SEARCH("RICHIESTO",$M85)&gt;0</formula>
    </cfRule>
    <cfRule type="expression" dxfId="4711" priority="1523">
      <formula>SEARCH("DA CHIUDERE",$M85)&gt;0</formula>
    </cfRule>
    <cfRule type="expression" dxfId="4710" priority="1524">
      <formula>SEARCH("INTERROTTO",$M85)&gt;0</formula>
    </cfRule>
  </conditionalFormatting>
  <conditionalFormatting sqref="E85:F85 N85:S85">
    <cfRule type="expression" dxfId="4709" priority="1525">
      <formula>SEARCH("IN CORSO",$M85)&gt;0</formula>
    </cfRule>
    <cfRule type="expression" dxfId="4708" priority="1526">
      <formula>SEARCH("CHIUSO",$M85)&gt;0</formula>
    </cfRule>
    <cfRule type="expression" dxfId="4707" priority="1527">
      <formula>SEARCH("EMESSO",$M85)&gt;0</formula>
    </cfRule>
    <cfRule type="expression" dxfId="4706" priority="1528">
      <formula>SEARCH("RICHIESTO",$M85)&gt;0</formula>
    </cfRule>
    <cfRule type="expression" dxfId="4705" priority="1529">
      <formula>SEARCH("DA CHIUDERE",$M85)&gt;0</formula>
    </cfRule>
    <cfRule type="expression" dxfId="4704" priority="1530">
      <formula>SEARCH("INTERROTTO",$M85)&gt;0</formula>
    </cfRule>
  </conditionalFormatting>
  <conditionalFormatting sqref="M86:M214">
    <cfRule type="expression" dxfId="4703" priority="1507">
      <formula>SEARCH("IN CORSO",$M86)&gt;0</formula>
    </cfRule>
    <cfRule type="expression" dxfId="4702" priority="1508">
      <formula>SEARCH("CHIUSO",$M86)&gt;0</formula>
    </cfRule>
    <cfRule type="expression" dxfId="4701" priority="1509">
      <formula>SEARCH("EMESSO",$M86)&gt;0</formula>
    </cfRule>
    <cfRule type="expression" dxfId="4700" priority="1510">
      <formula>SEARCH("RICHIESTO",$M86)&gt;0</formula>
    </cfRule>
    <cfRule type="expression" dxfId="4699" priority="1511">
      <formula>SEARCH("DA CHIUDERE",$M86)&gt;0</formula>
    </cfRule>
    <cfRule type="expression" dxfId="4698" priority="1512">
      <formula>SEARCH("INTERROTTO",$M86)&gt;0</formula>
    </cfRule>
  </conditionalFormatting>
  <conditionalFormatting sqref="M85">
    <cfRule type="expression" dxfId="4697" priority="1501">
      <formula>SEARCH("IN CORSO",$M85)&gt;0</formula>
    </cfRule>
    <cfRule type="expression" dxfId="4696" priority="1502">
      <formula>SEARCH("CHIUSO",$M85)&gt;0</formula>
    </cfRule>
    <cfRule type="expression" dxfId="4695" priority="1503">
      <formula>SEARCH("EMESSO",$M85)&gt;0</formula>
    </cfRule>
    <cfRule type="expression" dxfId="4694" priority="1504">
      <formula>SEARCH("RICHIESTO",$M85)&gt;0</formula>
    </cfRule>
    <cfRule type="expression" dxfId="4693" priority="1505">
      <formula>SEARCH("DA CHIUDERE",$M85)&gt;0</formula>
    </cfRule>
    <cfRule type="expression" dxfId="4692" priority="1506">
      <formula>SEARCH("INTERROTTO",$M85)&gt;0</formula>
    </cfRule>
  </conditionalFormatting>
  <conditionalFormatting sqref="G84">
    <cfRule type="expression" dxfId="4691" priority="1489">
      <formula>SEARCH("IN CORSO",$M84)&gt;0</formula>
    </cfRule>
    <cfRule type="expression" dxfId="4690" priority="1490">
      <formula>SEARCH("CHIUSO",$M84)&gt;0</formula>
    </cfRule>
    <cfRule type="expression" dxfId="4689" priority="1491">
      <formula>SEARCH("EMESSO",$M84)&gt;0</formula>
    </cfRule>
    <cfRule type="expression" dxfId="4688" priority="1492">
      <formula>SEARCH("RICHIESTO",$M84)&gt;0</formula>
    </cfRule>
    <cfRule type="expression" dxfId="4687" priority="1493">
      <formula>SEARCH("DA CHIUDERE",$M84)&gt;0</formula>
    </cfRule>
    <cfRule type="expression" dxfId="4686" priority="1494">
      <formula>SEARCH("INTERROTTO",$M84)&gt;0</formula>
    </cfRule>
  </conditionalFormatting>
  <conditionalFormatting sqref="E84:F84 N84:S84">
    <cfRule type="expression" dxfId="4685" priority="1495">
      <formula>SEARCH("IN CORSO",$M84)&gt;0</formula>
    </cfRule>
    <cfRule type="expression" dxfId="4684" priority="1496">
      <formula>SEARCH("CHIUSO",$M84)&gt;0</formula>
    </cfRule>
    <cfRule type="expression" dxfId="4683" priority="1497">
      <formula>SEARCH("EMESSO",$M84)&gt;0</formula>
    </cfRule>
    <cfRule type="expression" dxfId="4682" priority="1498">
      <formula>SEARCH("RICHIESTO",$M84)&gt;0</formula>
    </cfRule>
    <cfRule type="expression" dxfId="4681" priority="1499">
      <formula>SEARCH("DA CHIUDERE",$M84)&gt;0</formula>
    </cfRule>
    <cfRule type="expression" dxfId="4680" priority="1500">
      <formula>SEARCH("INTERROTTO",$M84)&gt;0</formula>
    </cfRule>
  </conditionalFormatting>
  <conditionalFormatting sqref="G83">
    <cfRule type="expression" dxfId="4679" priority="1471">
      <formula>SEARCH("IN CORSO",$M83)&gt;0</formula>
    </cfRule>
    <cfRule type="expression" dxfId="4678" priority="1472">
      <formula>SEARCH("CHIUSO",$M83)&gt;0</formula>
    </cfRule>
    <cfRule type="expression" dxfId="4677" priority="1473">
      <formula>SEARCH("EMESSO",$M83)&gt;0</formula>
    </cfRule>
    <cfRule type="expression" dxfId="4676" priority="1474">
      <formula>SEARCH("RICHIESTO",$M83)&gt;0</formula>
    </cfRule>
    <cfRule type="expression" dxfId="4675" priority="1475">
      <formula>SEARCH("DA CHIUDERE",$M83)&gt;0</formula>
    </cfRule>
    <cfRule type="expression" dxfId="4674" priority="1476">
      <formula>SEARCH("INTERROTTO",$M83)&gt;0</formula>
    </cfRule>
  </conditionalFormatting>
  <conditionalFormatting sqref="E83:F83 N83:S83">
    <cfRule type="expression" dxfId="4673" priority="1477">
      <formula>SEARCH("IN CORSO",$M83)&gt;0</formula>
    </cfRule>
    <cfRule type="expression" dxfId="4672" priority="1478">
      <formula>SEARCH("CHIUSO",$M83)&gt;0</formula>
    </cfRule>
    <cfRule type="expression" dxfId="4671" priority="1479">
      <formula>SEARCH("EMESSO",$M83)&gt;0</formula>
    </cfRule>
    <cfRule type="expression" dxfId="4670" priority="1480">
      <formula>SEARCH("RICHIESTO",$M83)&gt;0</formula>
    </cfRule>
    <cfRule type="expression" dxfId="4669" priority="1481">
      <formula>SEARCH("DA CHIUDERE",$M83)&gt;0</formula>
    </cfRule>
    <cfRule type="expression" dxfId="4668" priority="1482">
      <formula>SEARCH("INTERROTTO",$M83)&gt;0</formula>
    </cfRule>
  </conditionalFormatting>
  <conditionalFormatting sqref="G82">
    <cfRule type="expression" dxfId="4667" priority="1453">
      <formula>SEARCH("IN CORSO",$M82)&gt;0</formula>
    </cfRule>
    <cfRule type="expression" dxfId="4666" priority="1454">
      <formula>SEARCH("CHIUSO",$M82)&gt;0</formula>
    </cfRule>
    <cfRule type="expression" dxfId="4665" priority="1455">
      <formula>SEARCH("EMESSO",$M82)&gt;0</formula>
    </cfRule>
    <cfRule type="expression" dxfId="4664" priority="1456">
      <formula>SEARCH("RICHIESTO",$M82)&gt;0</formula>
    </cfRule>
    <cfRule type="expression" dxfId="4663" priority="1457">
      <formula>SEARCH("DA CHIUDERE",$M82)&gt;0</formula>
    </cfRule>
    <cfRule type="expression" dxfId="4662" priority="1458">
      <formula>SEARCH("INTERROTTO",$M82)&gt;0</formula>
    </cfRule>
  </conditionalFormatting>
  <conditionalFormatting sqref="E82:F82 N82:S82">
    <cfRule type="expression" dxfId="4661" priority="1459">
      <formula>SEARCH("IN CORSO",$M82)&gt;0</formula>
    </cfRule>
    <cfRule type="expression" dxfId="4660" priority="1460">
      <formula>SEARCH("CHIUSO",$M82)&gt;0</formula>
    </cfRule>
    <cfRule type="expression" dxfId="4659" priority="1461">
      <formula>SEARCH("EMESSO",$M82)&gt;0</formula>
    </cfRule>
    <cfRule type="expression" dxfId="4658" priority="1462">
      <formula>SEARCH("RICHIESTO",$M82)&gt;0</formula>
    </cfRule>
    <cfRule type="expression" dxfId="4657" priority="1463">
      <formula>SEARCH("DA CHIUDERE",$M82)&gt;0</formula>
    </cfRule>
    <cfRule type="expression" dxfId="4656" priority="1464">
      <formula>SEARCH("INTERROTTO",$M82)&gt;0</formula>
    </cfRule>
  </conditionalFormatting>
  <conditionalFormatting sqref="M82">
    <cfRule type="expression" dxfId="4655" priority="1447">
      <formula>SEARCH("IN CORSO",$M82)&gt;0</formula>
    </cfRule>
    <cfRule type="expression" dxfId="4654" priority="1448">
      <formula>SEARCH("CHIUSO",$M82)&gt;0</formula>
    </cfRule>
    <cfRule type="expression" dxfId="4653" priority="1449">
      <formula>SEARCH("EMESSO",$M82)&gt;0</formula>
    </cfRule>
    <cfRule type="expression" dxfId="4652" priority="1450">
      <formula>SEARCH("RICHIESTO",$M82)&gt;0</formula>
    </cfRule>
    <cfRule type="expression" dxfId="4651" priority="1451">
      <formula>SEARCH("DA CHIUDERE",$M82)&gt;0</formula>
    </cfRule>
    <cfRule type="expression" dxfId="4650" priority="1452">
      <formula>SEARCH("INTERROTTO",$M82)&gt;0</formula>
    </cfRule>
  </conditionalFormatting>
  <conditionalFormatting sqref="M83:M84">
    <cfRule type="expression" dxfId="4649" priority="1441">
      <formula>SEARCH("IN CORSO",$M83)&gt;0</formula>
    </cfRule>
    <cfRule type="expression" dxfId="4648" priority="1442">
      <formula>SEARCH("CHIUSO",$M83)&gt;0</formula>
    </cfRule>
    <cfRule type="expression" dxfId="4647" priority="1443">
      <formula>SEARCH("EMESSO",$M83)&gt;0</formula>
    </cfRule>
    <cfRule type="expression" dxfId="4646" priority="1444">
      <formula>SEARCH("RICHIESTO",$M83)&gt;0</formula>
    </cfRule>
    <cfRule type="expression" dxfId="4645" priority="1445">
      <formula>SEARCH("DA CHIUDERE",$M83)&gt;0</formula>
    </cfRule>
    <cfRule type="expression" dxfId="4644" priority="1446">
      <formula>SEARCH("INTERROTTO",$M83)&gt;0</formula>
    </cfRule>
  </conditionalFormatting>
  <conditionalFormatting sqref="G81">
    <cfRule type="expression" dxfId="4643" priority="1429">
      <formula>SEARCH("IN CORSO",$M81)&gt;0</formula>
    </cfRule>
    <cfRule type="expression" dxfId="4642" priority="1430">
      <formula>SEARCH("CHIUSO",$M81)&gt;0</formula>
    </cfRule>
    <cfRule type="expression" dxfId="4641" priority="1431">
      <formula>SEARCH("EMESSO",$M81)&gt;0</formula>
    </cfRule>
    <cfRule type="expression" dxfId="4640" priority="1432">
      <formula>SEARCH("RICHIESTO",$M81)&gt;0</formula>
    </cfRule>
    <cfRule type="expression" dxfId="4639" priority="1433">
      <formula>SEARCH("DA CHIUDERE",$M81)&gt;0</formula>
    </cfRule>
    <cfRule type="expression" dxfId="4638" priority="1434">
      <formula>SEARCH("INTERROTTO",$M81)&gt;0</formula>
    </cfRule>
  </conditionalFormatting>
  <conditionalFormatting sqref="E81:F81 N81:S81">
    <cfRule type="expression" dxfId="4637" priority="1435">
      <formula>SEARCH("IN CORSO",$M81)&gt;0</formula>
    </cfRule>
    <cfRule type="expression" dxfId="4636" priority="1436">
      <formula>SEARCH("CHIUSO",$M81)&gt;0</formula>
    </cfRule>
    <cfRule type="expression" dxfId="4635" priority="1437">
      <formula>SEARCH("EMESSO",$M81)&gt;0</formula>
    </cfRule>
    <cfRule type="expression" dxfId="4634" priority="1438">
      <formula>SEARCH("RICHIESTO",$M81)&gt;0</formula>
    </cfRule>
    <cfRule type="expression" dxfId="4633" priority="1439">
      <formula>SEARCH("DA CHIUDERE",$M81)&gt;0</formula>
    </cfRule>
    <cfRule type="expression" dxfId="4632" priority="1440">
      <formula>SEARCH("INTERROTTO",$M81)&gt;0</formula>
    </cfRule>
  </conditionalFormatting>
  <conditionalFormatting sqref="M81">
    <cfRule type="expression" dxfId="4631" priority="1423">
      <formula>SEARCH("IN CORSO",$M81)&gt;0</formula>
    </cfRule>
    <cfRule type="expression" dxfId="4630" priority="1424">
      <formula>SEARCH("CHIUSO",$M81)&gt;0</formula>
    </cfRule>
    <cfRule type="expression" dxfId="4629" priority="1425">
      <formula>SEARCH("EMESSO",$M81)&gt;0</formula>
    </cfRule>
    <cfRule type="expression" dxfId="4628" priority="1426">
      <formula>SEARCH("RICHIESTO",$M81)&gt;0</formula>
    </cfRule>
    <cfRule type="expression" dxfId="4627" priority="1427">
      <formula>SEARCH("DA CHIUDERE",$M81)&gt;0</formula>
    </cfRule>
    <cfRule type="expression" dxfId="4626" priority="1428">
      <formula>SEARCH("INTERROTTO",$M81)&gt;0</formula>
    </cfRule>
  </conditionalFormatting>
  <conditionalFormatting sqref="G80">
    <cfRule type="expression" dxfId="4625" priority="1411">
      <formula>SEARCH("IN CORSO",$M80)&gt;0</formula>
    </cfRule>
    <cfRule type="expression" dxfId="4624" priority="1412">
      <formula>SEARCH("CHIUSO",$M80)&gt;0</formula>
    </cfRule>
    <cfRule type="expression" dxfId="4623" priority="1413">
      <formula>SEARCH("EMESSO",$M80)&gt;0</formula>
    </cfRule>
    <cfRule type="expression" dxfId="4622" priority="1414">
      <formula>SEARCH("RICHIESTO",$M80)&gt;0</formula>
    </cfRule>
    <cfRule type="expression" dxfId="4621" priority="1415">
      <formula>SEARCH("DA CHIUDERE",$M80)&gt;0</formula>
    </cfRule>
    <cfRule type="expression" dxfId="4620" priority="1416">
      <formula>SEARCH("INTERROTTO",$M80)&gt;0</formula>
    </cfRule>
  </conditionalFormatting>
  <conditionalFormatting sqref="E80:F80 N80:S80">
    <cfRule type="expression" dxfId="4619" priority="1417">
      <formula>SEARCH("IN CORSO",$M80)&gt;0</formula>
    </cfRule>
    <cfRule type="expression" dxfId="4618" priority="1418">
      <formula>SEARCH("CHIUSO",$M80)&gt;0</formula>
    </cfRule>
    <cfRule type="expression" dxfId="4617" priority="1419">
      <formula>SEARCH("EMESSO",$M80)&gt;0</formula>
    </cfRule>
    <cfRule type="expression" dxfId="4616" priority="1420">
      <formula>SEARCH("RICHIESTO",$M80)&gt;0</formula>
    </cfRule>
    <cfRule type="expression" dxfId="4615" priority="1421">
      <formula>SEARCH("DA CHIUDERE",$M80)&gt;0</formula>
    </cfRule>
    <cfRule type="expression" dxfId="4614" priority="1422">
      <formula>SEARCH("INTERROTTO",$M80)&gt;0</formula>
    </cfRule>
  </conditionalFormatting>
  <conditionalFormatting sqref="M80">
    <cfRule type="expression" dxfId="4613" priority="1405">
      <formula>SEARCH("IN CORSO",$M80)&gt;0</formula>
    </cfRule>
    <cfRule type="expression" dxfId="4612" priority="1406">
      <formula>SEARCH("CHIUSO",$M80)&gt;0</formula>
    </cfRule>
    <cfRule type="expression" dxfId="4611" priority="1407">
      <formula>SEARCH("EMESSO",$M80)&gt;0</formula>
    </cfRule>
    <cfRule type="expression" dxfId="4610" priority="1408">
      <formula>SEARCH("RICHIESTO",$M80)&gt;0</formula>
    </cfRule>
    <cfRule type="expression" dxfId="4609" priority="1409">
      <formula>SEARCH("DA CHIUDERE",$M80)&gt;0</formula>
    </cfRule>
    <cfRule type="expression" dxfId="4608" priority="1410">
      <formula>SEARCH("INTERROTTO",$M80)&gt;0</formula>
    </cfRule>
  </conditionalFormatting>
  <conditionalFormatting sqref="G79">
    <cfRule type="expression" dxfId="4607" priority="1393">
      <formula>SEARCH("IN CORSO",$M79)&gt;0</formula>
    </cfRule>
    <cfRule type="expression" dxfId="4606" priority="1394">
      <formula>SEARCH("CHIUSO",$M79)&gt;0</formula>
    </cfRule>
    <cfRule type="expression" dxfId="4605" priority="1395">
      <formula>SEARCH("EMESSO",$M79)&gt;0</formula>
    </cfRule>
    <cfRule type="expression" dxfId="4604" priority="1396">
      <formula>SEARCH("RICHIESTO",$M79)&gt;0</formula>
    </cfRule>
    <cfRule type="expression" dxfId="4603" priority="1397">
      <formula>SEARCH("DA CHIUDERE",$M79)&gt;0</formula>
    </cfRule>
    <cfRule type="expression" dxfId="4602" priority="1398">
      <formula>SEARCH("INTERROTTO",$M79)&gt;0</formula>
    </cfRule>
  </conditionalFormatting>
  <conditionalFormatting sqref="E79:F79 N79:S79">
    <cfRule type="expression" dxfId="4601" priority="1399">
      <formula>SEARCH("IN CORSO",$M79)&gt;0</formula>
    </cfRule>
    <cfRule type="expression" dxfId="4600" priority="1400">
      <formula>SEARCH("CHIUSO",$M79)&gt;0</formula>
    </cfRule>
    <cfRule type="expression" dxfId="4599" priority="1401">
      <formula>SEARCH("EMESSO",$M79)&gt;0</formula>
    </cfRule>
    <cfRule type="expression" dxfId="4598" priority="1402">
      <formula>SEARCH("RICHIESTO",$M79)&gt;0</formula>
    </cfRule>
    <cfRule type="expression" dxfId="4597" priority="1403">
      <formula>SEARCH("DA CHIUDERE",$M79)&gt;0</formula>
    </cfRule>
    <cfRule type="expression" dxfId="4596" priority="1404">
      <formula>SEARCH("INTERROTTO",$M79)&gt;0</formula>
    </cfRule>
  </conditionalFormatting>
  <conditionalFormatting sqref="M79">
    <cfRule type="expression" dxfId="4595" priority="1387">
      <formula>SEARCH("IN CORSO",$M79)&gt;0</formula>
    </cfRule>
    <cfRule type="expression" dxfId="4594" priority="1388">
      <formula>SEARCH("CHIUSO",$M79)&gt;0</formula>
    </cfRule>
    <cfRule type="expression" dxfId="4593" priority="1389">
      <formula>SEARCH("EMESSO",$M79)&gt;0</formula>
    </cfRule>
    <cfRule type="expression" dxfId="4592" priority="1390">
      <formula>SEARCH("RICHIESTO",$M79)&gt;0</formula>
    </cfRule>
    <cfRule type="expression" dxfId="4591" priority="1391">
      <formula>SEARCH("DA CHIUDERE",$M79)&gt;0</formula>
    </cfRule>
    <cfRule type="expression" dxfId="4590" priority="1392">
      <formula>SEARCH("INTERROTTO",$M79)&gt;0</formula>
    </cfRule>
  </conditionalFormatting>
  <conditionalFormatting sqref="Q89">
    <cfRule type="expression" dxfId="4589" priority="1381">
      <formula>SEARCH("IN CORSO",$M89)&gt;0</formula>
    </cfRule>
    <cfRule type="expression" dxfId="4588" priority="1382">
      <formula>SEARCH("CHIUSO",$M89)&gt;0</formula>
    </cfRule>
    <cfRule type="expression" dxfId="4587" priority="1383">
      <formula>SEARCH("EMESSO",$M89)&gt;0</formula>
    </cfRule>
    <cfRule type="expression" dxfId="4586" priority="1384">
      <formula>SEARCH("RICHIESTO",$M89)&gt;0</formula>
    </cfRule>
    <cfRule type="expression" dxfId="4585" priority="1385">
      <formula>SEARCH("DA CHIUDERE",$M89)&gt;0</formula>
    </cfRule>
    <cfRule type="expression" dxfId="4584" priority="1386">
      <formula>SEARCH("INTERROTTO",$M89)&gt;0</formula>
    </cfRule>
  </conditionalFormatting>
  <conditionalFormatting sqref="G78">
    <cfRule type="expression" dxfId="4583" priority="1369">
      <formula>SEARCH("IN CORSO",$M78)&gt;0</formula>
    </cfRule>
    <cfRule type="expression" dxfId="4582" priority="1370">
      <formula>SEARCH("CHIUSO",$M78)&gt;0</formula>
    </cfRule>
    <cfRule type="expression" dxfId="4581" priority="1371">
      <formula>SEARCH("EMESSO",$M78)&gt;0</formula>
    </cfRule>
    <cfRule type="expression" dxfId="4580" priority="1372">
      <formula>SEARCH("RICHIESTO",$M78)&gt;0</formula>
    </cfRule>
    <cfRule type="expression" dxfId="4579" priority="1373">
      <formula>SEARCH("DA CHIUDERE",$M78)&gt;0</formula>
    </cfRule>
    <cfRule type="expression" dxfId="4578" priority="1374">
      <formula>SEARCH("INTERROTTO",$M78)&gt;0</formula>
    </cfRule>
  </conditionalFormatting>
  <conditionalFormatting sqref="E78:F78 N78:S78">
    <cfRule type="expression" dxfId="4577" priority="1375">
      <formula>SEARCH("IN CORSO",$M78)&gt;0</formula>
    </cfRule>
    <cfRule type="expression" dxfId="4576" priority="1376">
      <formula>SEARCH("CHIUSO",$M78)&gt;0</formula>
    </cfRule>
    <cfRule type="expression" dxfId="4575" priority="1377">
      <formula>SEARCH("EMESSO",$M78)&gt;0</formula>
    </cfRule>
    <cfRule type="expression" dxfId="4574" priority="1378">
      <formula>SEARCH("RICHIESTO",$M78)&gt;0</formula>
    </cfRule>
    <cfRule type="expression" dxfId="4573" priority="1379">
      <formula>SEARCH("DA CHIUDERE",$M78)&gt;0</formula>
    </cfRule>
    <cfRule type="expression" dxfId="4572" priority="1380">
      <formula>SEARCH("INTERROTTO",$M78)&gt;0</formula>
    </cfRule>
  </conditionalFormatting>
  <conditionalFormatting sqref="M78">
    <cfRule type="expression" dxfId="4571" priority="1363">
      <formula>SEARCH("IN CORSO",$M78)&gt;0</formula>
    </cfRule>
    <cfRule type="expression" dxfId="4570" priority="1364">
      <formula>SEARCH("CHIUSO",$M78)&gt;0</formula>
    </cfRule>
    <cfRule type="expression" dxfId="4569" priority="1365">
      <formula>SEARCH("EMESSO",$M78)&gt;0</formula>
    </cfRule>
    <cfRule type="expression" dxfId="4568" priority="1366">
      <formula>SEARCH("RICHIESTO",$M78)&gt;0</formula>
    </cfRule>
    <cfRule type="expression" dxfId="4567" priority="1367">
      <formula>SEARCH("DA CHIUDERE",$M78)&gt;0</formula>
    </cfRule>
    <cfRule type="expression" dxfId="4566" priority="1368">
      <formula>SEARCH("INTERROTTO",$M78)&gt;0</formula>
    </cfRule>
  </conditionalFormatting>
  <conditionalFormatting sqref="G77">
    <cfRule type="expression" dxfId="4565" priority="1351">
      <formula>SEARCH("IN CORSO",$M77)&gt;0</formula>
    </cfRule>
    <cfRule type="expression" dxfId="4564" priority="1352">
      <formula>SEARCH("CHIUSO",$M77)&gt;0</formula>
    </cfRule>
    <cfRule type="expression" dxfId="4563" priority="1353">
      <formula>SEARCH("EMESSO",$M77)&gt;0</formula>
    </cfRule>
    <cfRule type="expression" dxfId="4562" priority="1354">
      <formula>SEARCH("RICHIESTO",$M77)&gt;0</formula>
    </cfRule>
    <cfRule type="expression" dxfId="4561" priority="1355">
      <formula>SEARCH("DA CHIUDERE",$M77)&gt;0</formula>
    </cfRule>
    <cfRule type="expression" dxfId="4560" priority="1356">
      <formula>SEARCH("INTERROTTO",$M77)&gt;0</formula>
    </cfRule>
  </conditionalFormatting>
  <conditionalFormatting sqref="E77:F77 N77:S77">
    <cfRule type="expression" dxfId="4559" priority="1357">
      <formula>SEARCH("IN CORSO",$M77)&gt;0</formula>
    </cfRule>
    <cfRule type="expression" dxfId="4558" priority="1358">
      <formula>SEARCH("CHIUSO",$M77)&gt;0</formula>
    </cfRule>
    <cfRule type="expression" dxfId="4557" priority="1359">
      <formula>SEARCH("EMESSO",$M77)&gt;0</formula>
    </cfRule>
    <cfRule type="expression" dxfId="4556" priority="1360">
      <formula>SEARCH("RICHIESTO",$M77)&gt;0</formula>
    </cfRule>
    <cfRule type="expression" dxfId="4555" priority="1361">
      <formula>SEARCH("DA CHIUDERE",$M77)&gt;0</formula>
    </cfRule>
    <cfRule type="expression" dxfId="4554" priority="1362">
      <formula>SEARCH("INTERROTTO",$M77)&gt;0</formula>
    </cfRule>
  </conditionalFormatting>
  <conditionalFormatting sqref="M77">
    <cfRule type="expression" dxfId="4553" priority="1345">
      <formula>SEARCH("IN CORSO",$M77)&gt;0</formula>
    </cfRule>
    <cfRule type="expression" dxfId="4552" priority="1346">
      <formula>SEARCH("CHIUSO",$M77)&gt;0</formula>
    </cfRule>
    <cfRule type="expression" dxfId="4551" priority="1347">
      <formula>SEARCH("EMESSO",$M77)&gt;0</formula>
    </cfRule>
    <cfRule type="expression" dxfId="4550" priority="1348">
      <formula>SEARCH("RICHIESTO",$M77)&gt;0</formula>
    </cfRule>
    <cfRule type="expression" dxfId="4549" priority="1349">
      <formula>SEARCH("DA CHIUDERE",$M77)&gt;0</formula>
    </cfRule>
    <cfRule type="expression" dxfId="4548" priority="1350">
      <formula>SEARCH("INTERROTTO",$M77)&gt;0</formula>
    </cfRule>
  </conditionalFormatting>
  <conditionalFormatting sqref="G76">
    <cfRule type="expression" dxfId="4547" priority="1333">
      <formula>SEARCH("IN CORSO",$M76)&gt;0</formula>
    </cfRule>
    <cfRule type="expression" dxfId="4546" priority="1334">
      <formula>SEARCH("CHIUSO",$M76)&gt;0</formula>
    </cfRule>
    <cfRule type="expression" dxfId="4545" priority="1335">
      <formula>SEARCH("EMESSO",$M76)&gt;0</formula>
    </cfRule>
    <cfRule type="expression" dxfId="4544" priority="1336">
      <formula>SEARCH("RICHIESTO",$M76)&gt;0</formula>
    </cfRule>
    <cfRule type="expression" dxfId="4543" priority="1337">
      <formula>SEARCH("DA CHIUDERE",$M76)&gt;0</formula>
    </cfRule>
    <cfRule type="expression" dxfId="4542" priority="1338">
      <formula>SEARCH("INTERROTTO",$M76)&gt;0</formula>
    </cfRule>
  </conditionalFormatting>
  <conditionalFormatting sqref="E76:F76 N76:S76">
    <cfRule type="expression" dxfId="4541" priority="1339">
      <formula>SEARCH("IN CORSO",$M76)&gt;0</formula>
    </cfRule>
    <cfRule type="expression" dxfId="4540" priority="1340">
      <formula>SEARCH("CHIUSO",$M76)&gt;0</formula>
    </cfRule>
    <cfRule type="expression" dxfId="4539" priority="1341">
      <formula>SEARCH("EMESSO",$M76)&gt;0</formula>
    </cfRule>
    <cfRule type="expression" dxfId="4538" priority="1342">
      <formula>SEARCH("RICHIESTO",$M76)&gt;0</formula>
    </cfRule>
    <cfRule type="expression" dxfId="4537" priority="1343">
      <formula>SEARCH("DA CHIUDERE",$M76)&gt;0</formula>
    </cfRule>
    <cfRule type="expression" dxfId="4536" priority="1344">
      <formula>SEARCH("INTERROTTO",$M76)&gt;0</formula>
    </cfRule>
  </conditionalFormatting>
  <conditionalFormatting sqref="M76">
    <cfRule type="expression" dxfId="4535" priority="1327">
      <formula>SEARCH("IN CORSO",$M76)&gt;0</formula>
    </cfRule>
    <cfRule type="expression" dxfId="4534" priority="1328">
      <formula>SEARCH("CHIUSO",$M76)&gt;0</formula>
    </cfRule>
    <cfRule type="expression" dxfId="4533" priority="1329">
      <formula>SEARCH("EMESSO",$M76)&gt;0</formula>
    </cfRule>
    <cfRule type="expression" dxfId="4532" priority="1330">
      <formula>SEARCH("RICHIESTO",$M76)&gt;0</formula>
    </cfRule>
    <cfRule type="expression" dxfId="4531" priority="1331">
      <formula>SEARCH("DA CHIUDERE",$M76)&gt;0</formula>
    </cfRule>
    <cfRule type="expression" dxfId="4530" priority="1332">
      <formula>SEARCH("INTERROTTO",$M76)&gt;0</formula>
    </cfRule>
  </conditionalFormatting>
  <conditionalFormatting sqref="G75">
    <cfRule type="expression" dxfId="4529" priority="1315">
      <formula>SEARCH("IN CORSO",$M75)&gt;0</formula>
    </cfRule>
    <cfRule type="expression" dxfId="4528" priority="1316">
      <formula>SEARCH("CHIUSO",$M75)&gt;0</formula>
    </cfRule>
    <cfRule type="expression" dxfId="4527" priority="1317">
      <formula>SEARCH("EMESSO",$M75)&gt;0</formula>
    </cfRule>
    <cfRule type="expression" dxfId="4526" priority="1318">
      <formula>SEARCH("RICHIESTO",$M75)&gt;0</formula>
    </cfRule>
    <cfRule type="expression" dxfId="4525" priority="1319">
      <formula>SEARCH("DA CHIUDERE",$M75)&gt;0</formula>
    </cfRule>
    <cfRule type="expression" dxfId="4524" priority="1320">
      <formula>SEARCH("INTERROTTO",$M75)&gt;0</formula>
    </cfRule>
  </conditionalFormatting>
  <conditionalFormatting sqref="E75:F75 N75:S75">
    <cfRule type="expression" dxfId="4523" priority="1321">
      <formula>SEARCH("IN CORSO",$M75)&gt;0</formula>
    </cfRule>
    <cfRule type="expression" dxfId="4522" priority="1322">
      <formula>SEARCH("CHIUSO",$M75)&gt;0</formula>
    </cfRule>
    <cfRule type="expression" dxfId="4521" priority="1323">
      <formula>SEARCH("EMESSO",$M75)&gt;0</formula>
    </cfRule>
    <cfRule type="expression" dxfId="4520" priority="1324">
      <formula>SEARCH("RICHIESTO",$M75)&gt;0</formula>
    </cfRule>
    <cfRule type="expression" dxfId="4519" priority="1325">
      <formula>SEARCH("DA CHIUDERE",$M75)&gt;0</formula>
    </cfRule>
    <cfRule type="expression" dxfId="4518" priority="1326">
      <formula>SEARCH("INTERROTTO",$M75)&gt;0</formula>
    </cfRule>
  </conditionalFormatting>
  <conditionalFormatting sqref="M75">
    <cfRule type="expression" dxfId="4517" priority="1309">
      <formula>SEARCH("IN CORSO",$M75)&gt;0</formula>
    </cfRule>
    <cfRule type="expression" dxfId="4516" priority="1310">
      <formula>SEARCH("CHIUSO",$M75)&gt;0</formula>
    </cfRule>
    <cfRule type="expression" dxfId="4515" priority="1311">
      <formula>SEARCH("EMESSO",$M75)&gt;0</formula>
    </cfRule>
    <cfRule type="expression" dxfId="4514" priority="1312">
      <formula>SEARCH("RICHIESTO",$M75)&gt;0</formula>
    </cfRule>
    <cfRule type="expression" dxfId="4513" priority="1313">
      <formula>SEARCH("DA CHIUDERE",$M75)&gt;0</formula>
    </cfRule>
    <cfRule type="expression" dxfId="4512" priority="1314">
      <formula>SEARCH("INTERROTTO",$M75)&gt;0</formula>
    </cfRule>
  </conditionalFormatting>
  <conditionalFormatting sqref="G74">
    <cfRule type="expression" dxfId="4511" priority="1297">
      <formula>SEARCH("IN CORSO",$M74)&gt;0</formula>
    </cfRule>
    <cfRule type="expression" dxfId="4510" priority="1298">
      <formula>SEARCH("CHIUSO",$M74)&gt;0</formula>
    </cfRule>
    <cfRule type="expression" dxfId="4509" priority="1299">
      <formula>SEARCH("EMESSO",$M74)&gt;0</formula>
    </cfRule>
    <cfRule type="expression" dxfId="4508" priority="1300">
      <formula>SEARCH("RICHIESTO",$M74)&gt;0</formula>
    </cfRule>
    <cfRule type="expression" dxfId="4507" priority="1301">
      <formula>SEARCH("DA CHIUDERE",$M74)&gt;0</formula>
    </cfRule>
    <cfRule type="expression" dxfId="4506" priority="1302">
      <formula>SEARCH("INTERROTTO",$M74)&gt;0</formula>
    </cfRule>
  </conditionalFormatting>
  <conditionalFormatting sqref="E74:F74 N74:S74">
    <cfRule type="expression" dxfId="4505" priority="1303">
      <formula>SEARCH("IN CORSO",$M74)&gt;0</formula>
    </cfRule>
    <cfRule type="expression" dxfId="4504" priority="1304">
      <formula>SEARCH("CHIUSO",$M74)&gt;0</formula>
    </cfRule>
    <cfRule type="expression" dxfId="4503" priority="1305">
      <formula>SEARCH("EMESSO",$M74)&gt;0</formula>
    </cfRule>
    <cfRule type="expression" dxfId="4502" priority="1306">
      <formula>SEARCH("RICHIESTO",$M74)&gt;0</formula>
    </cfRule>
    <cfRule type="expression" dxfId="4501" priority="1307">
      <formula>SEARCH("DA CHIUDERE",$M74)&gt;0</formula>
    </cfRule>
    <cfRule type="expression" dxfId="4500" priority="1308">
      <formula>SEARCH("INTERROTTO",$M74)&gt;0</formula>
    </cfRule>
  </conditionalFormatting>
  <conditionalFormatting sqref="M74">
    <cfRule type="expression" dxfId="4499" priority="1291">
      <formula>SEARCH("IN CORSO",$M74)&gt;0</formula>
    </cfRule>
    <cfRule type="expression" dxfId="4498" priority="1292">
      <formula>SEARCH("CHIUSO",$M74)&gt;0</formula>
    </cfRule>
    <cfRule type="expression" dxfId="4497" priority="1293">
      <formula>SEARCH("EMESSO",$M74)&gt;0</formula>
    </cfRule>
    <cfRule type="expression" dxfId="4496" priority="1294">
      <formula>SEARCH("RICHIESTO",$M74)&gt;0</formula>
    </cfRule>
    <cfRule type="expression" dxfId="4495" priority="1295">
      <formula>SEARCH("DA CHIUDERE",$M74)&gt;0</formula>
    </cfRule>
    <cfRule type="expression" dxfId="4494" priority="1296">
      <formula>SEARCH("INTERROTTO",$M74)&gt;0</formula>
    </cfRule>
  </conditionalFormatting>
  <conditionalFormatting sqref="G73">
    <cfRule type="expression" dxfId="4493" priority="1279">
      <formula>SEARCH("IN CORSO",$M73)&gt;0</formula>
    </cfRule>
    <cfRule type="expression" dxfId="4492" priority="1280">
      <formula>SEARCH("CHIUSO",$M73)&gt;0</formula>
    </cfRule>
    <cfRule type="expression" dxfId="4491" priority="1281">
      <formula>SEARCH("EMESSO",$M73)&gt;0</formula>
    </cfRule>
    <cfRule type="expression" dxfId="4490" priority="1282">
      <formula>SEARCH("RICHIESTO",$M73)&gt;0</formula>
    </cfRule>
    <cfRule type="expression" dxfId="4489" priority="1283">
      <formula>SEARCH("DA CHIUDERE",$M73)&gt;0</formula>
    </cfRule>
    <cfRule type="expression" dxfId="4488" priority="1284">
      <formula>SEARCH("INTERROTTO",$M73)&gt;0</formula>
    </cfRule>
  </conditionalFormatting>
  <conditionalFormatting sqref="E73:F73 N73:S73">
    <cfRule type="expression" dxfId="4487" priority="1285">
      <formula>SEARCH("IN CORSO",$M73)&gt;0</formula>
    </cfRule>
    <cfRule type="expression" dxfId="4486" priority="1286">
      <formula>SEARCH("CHIUSO",$M73)&gt;0</formula>
    </cfRule>
    <cfRule type="expression" dxfId="4485" priority="1287">
      <formula>SEARCH("EMESSO",$M73)&gt;0</formula>
    </cfRule>
    <cfRule type="expression" dxfId="4484" priority="1288">
      <formula>SEARCH("RICHIESTO",$M73)&gt;0</formula>
    </cfRule>
    <cfRule type="expression" dxfId="4483" priority="1289">
      <formula>SEARCH("DA CHIUDERE",$M73)&gt;0</formula>
    </cfRule>
    <cfRule type="expression" dxfId="4482" priority="1290">
      <formula>SEARCH("INTERROTTO",$M73)&gt;0</formula>
    </cfRule>
  </conditionalFormatting>
  <conditionalFormatting sqref="M73">
    <cfRule type="expression" dxfId="4481" priority="1273">
      <formula>SEARCH("IN CORSO",$M73)&gt;0</formula>
    </cfRule>
    <cfRule type="expression" dxfId="4480" priority="1274">
      <formula>SEARCH("CHIUSO",$M73)&gt;0</formula>
    </cfRule>
    <cfRule type="expression" dxfId="4479" priority="1275">
      <formula>SEARCH("EMESSO",$M73)&gt;0</formula>
    </cfRule>
    <cfRule type="expression" dxfId="4478" priority="1276">
      <formula>SEARCH("RICHIESTO",$M73)&gt;0</formula>
    </cfRule>
    <cfRule type="expression" dxfId="4477" priority="1277">
      <formula>SEARCH("DA CHIUDERE",$M73)&gt;0</formula>
    </cfRule>
    <cfRule type="expression" dxfId="4476" priority="1278">
      <formula>SEARCH("INTERROTTO",$M73)&gt;0</formula>
    </cfRule>
  </conditionalFormatting>
  <conditionalFormatting sqref="G72">
    <cfRule type="expression" dxfId="4475" priority="1261">
      <formula>SEARCH("IN CORSO",$M72)&gt;0</formula>
    </cfRule>
    <cfRule type="expression" dxfId="4474" priority="1262">
      <formula>SEARCH("CHIUSO",$M72)&gt;0</formula>
    </cfRule>
    <cfRule type="expression" dxfId="4473" priority="1263">
      <formula>SEARCH("EMESSO",$M72)&gt;0</formula>
    </cfRule>
    <cfRule type="expression" dxfId="4472" priority="1264">
      <formula>SEARCH("RICHIESTO",$M72)&gt;0</formula>
    </cfRule>
    <cfRule type="expression" dxfId="4471" priority="1265">
      <formula>SEARCH("DA CHIUDERE",$M72)&gt;0</formula>
    </cfRule>
    <cfRule type="expression" dxfId="4470" priority="1266">
      <formula>SEARCH("INTERROTTO",$M72)&gt;0</formula>
    </cfRule>
  </conditionalFormatting>
  <conditionalFormatting sqref="E72:F72 N72:S72">
    <cfRule type="expression" dxfId="4469" priority="1267">
      <formula>SEARCH("IN CORSO",$M72)&gt;0</formula>
    </cfRule>
    <cfRule type="expression" dxfId="4468" priority="1268">
      <formula>SEARCH("CHIUSO",$M72)&gt;0</formula>
    </cfRule>
    <cfRule type="expression" dxfId="4467" priority="1269">
      <formula>SEARCH("EMESSO",$M72)&gt;0</formula>
    </cfRule>
    <cfRule type="expression" dxfId="4466" priority="1270">
      <formula>SEARCH("RICHIESTO",$M72)&gt;0</formula>
    </cfRule>
    <cfRule type="expression" dxfId="4465" priority="1271">
      <formula>SEARCH("DA CHIUDERE",$M72)&gt;0</formula>
    </cfRule>
    <cfRule type="expression" dxfId="4464" priority="1272">
      <formula>SEARCH("INTERROTTO",$M72)&gt;0</formula>
    </cfRule>
  </conditionalFormatting>
  <conditionalFormatting sqref="M72">
    <cfRule type="expression" dxfId="4463" priority="1255">
      <formula>SEARCH("IN CORSO",$M72)&gt;0</formula>
    </cfRule>
    <cfRule type="expression" dxfId="4462" priority="1256">
      <formula>SEARCH("CHIUSO",$M72)&gt;0</formula>
    </cfRule>
    <cfRule type="expression" dxfId="4461" priority="1257">
      <formula>SEARCH("EMESSO",$M72)&gt;0</formula>
    </cfRule>
    <cfRule type="expression" dxfId="4460" priority="1258">
      <formula>SEARCH("RICHIESTO",$M72)&gt;0</formula>
    </cfRule>
    <cfRule type="expression" dxfId="4459" priority="1259">
      <formula>SEARCH("DA CHIUDERE",$M72)&gt;0</formula>
    </cfRule>
    <cfRule type="expression" dxfId="4458" priority="1260">
      <formula>SEARCH("INTERROTTO",$M72)&gt;0</formula>
    </cfRule>
  </conditionalFormatting>
  <conditionalFormatting sqref="G71">
    <cfRule type="expression" dxfId="4457" priority="1243">
      <formula>SEARCH("IN CORSO",$M71)&gt;0</formula>
    </cfRule>
    <cfRule type="expression" dxfId="4456" priority="1244">
      <formula>SEARCH("CHIUSO",$M71)&gt;0</formula>
    </cfRule>
    <cfRule type="expression" dxfId="4455" priority="1245">
      <formula>SEARCH("EMESSO",$M71)&gt;0</formula>
    </cfRule>
    <cfRule type="expression" dxfId="4454" priority="1246">
      <formula>SEARCH("RICHIESTO",$M71)&gt;0</formula>
    </cfRule>
    <cfRule type="expression" dxfId="4453" priority="1247">
      <formula>SEARCH("DA CHIUDERE",$M71)&gt;0</formula>
    </cfRule>
    <cfRule type="expression" dxfId="4452" priority="1248">
      <formula>SEARCH("INTERROTTO",$M71)&gt;0</formula>
    </cfRule>
  </conditionalFormatting>
  <conditionalFormatting sqref="E71:F71 N71:S71">
    <cfRule type="expression" dxfId="4451" priority="1249">
      <formula>SEARCH("IN CORSO",$M71)&gt;0</formula>
    </cfRule>
    <cfRule type="expression" dxfId="4450" priority="1250">
      <formula>SEARCH("CHIUSO",$M71)&gt;0</formula>
    </cfRule>
    <cfRule type="expression" dxfId="4449" priority="1251">
      <formula>SEARCH("EMESSO",$M71)&gt;0</formula>
    </cfRule>
    <cfRule type="expression" dxfId="4448" priority="1252">
      <formula>SEARCH("RICHIESTO",$M71)&gt;0</formula>
    </cfRule>
    <cfRule type="expression" dxfId="4447" priority="1253">
      <formula>SEARCH("DA CHIUDERE",$M71)&gt;0</formula>
    </cfRule>
    <cfRule type="expression" dxfId="4446" priority="1254">
      <formula>SEARCH("INTERROTTO",$M71)&gt;0</formula>
    </cfRule>
  </conditionalFormatting>
  <conditionalFormatting sqref="M71">
    <cfRule type="expression" dxfId="4445" priority="1237">
      <formula>SEARCH("IN CORSO",$M71)&gt;0</formula>
    </cfRule>
    <cfRule type="expression" dxfId="4444" priority="1238">
      <formula>SEARCH("CHIUSO",$M71)&gt;0</formula>
    </cfRule>
    <cfRule type="expression" dxfId="4443" priority="1239">
      <formula>SEARCH("EMESSO",$M71)&gt;0</formula>
    </cfRule>
    <cfRule type="expression" dxfId="4442" priority="1240">
      <formula>SEARCH("RICHIESTO",$M71)&gt;0</formula>
    </cfRule>
    <cfRule type="expression" dxfId="4441" priority="1241">
      <formula>SEARCH("DA CHIUDERE",$M71)&gt;0</formula>
    </cfRule>
    <cfRule type="expression" dxfId="4440" priority="1242">
      <formula>SEARCH("INTERROTTO",$M71)&gt;0</formula>
    </cfRule>
  </conditionalFormatting>
  <conditionalFormatting sqref="G70">
    <cfRule type="expression" dxfId="4439" priority="1225">
      <formula>SEARCH("IN CORSO",$M70)&gt;0</formula>
    </cfRule>
    <cfRule type="expression" dxfId="4438" priority="1226">
      <formula>SEARCH("CHIUSO",$M70)&gt;0</formula>
    </cfRule>
    <cfRule type="expression" dxfId="4437" priority="1227">
      <formula>SEARCH("EMESSO",$M70)&gt;0</formula>
    </cfRule>
    <cfRule type="expression" dxfId="4436" priority="1228">
      <formula>SEARCH("RICHIESTO",$M70)&gt;0</formula>
    </cfRule>
    <cfRule type="expression" dxfId="4435" priority="1229">
      <formula>SEARCH("DA CHIUDERE",$M70)&gt;0</formula>
    </cfRule>
    <cfRule type="expression" dxfId="4434" priority="1230">
      <formula>SEARCH("INTERROTTO",$M70)&gt;0</formula>
    </cfRule>
  </conditionalFormatting>
  <conditionalFormatting sqref="E70:F70 N70:S70">
    <cfRule type="expression" dxfId="4433" priority="1231">
      <formula>SEARCH("IN CORSO",$M70)&gt;0</formula>
    </cfRule>
    <cfRule type="expression" dxfId="4432" priority="1232">
      <formula>SEARCH("CHIUSO",$M70)&gt;0</formula>
    </cfRule>
    <cfRule type="expression" dxfId="4431" priority="1233">
      <formula>SEARCH("EMESSO",$M70)&gt;0</formula>
    </cfRule>
    <cfRule type="expression" dxfId="4430" priority="1234">
      <formula>SEARCH("RICHIESTO",$M70)&gt;0</formula>
    </cfRule>
    <cfRule type="expression" dxfId="4429" priority="1235">
      <formula>SEARCH("DA CHIUDERE",$M70)&gt;0</formula>
    </cfRule>
    <cfRule type="expression" dxfId="4428" priority="1236">
      <formula>SEARCH("INTERROTTO",$M70)&gt;0</formula>
    </cfRule>
  </conditionalFormatting>
  <conditionalFormatting sqref="M70">
    <cfRule type="expression" dxfId="4427" priority="1219">
      <formula>SEARCH("IN CORSO",$M70)&gt;0</formula>
    </cfRule>
    <cfRule type="expression" dxfId="4426" priority="1220">
      <formula>SEARCH("CHIUSO",$M70)&gt;0</formula>
    </cfRule>
    <cfRule type="expression" dxfId="4425" priority="1221">
      <formula>SEARCH("EMESSO",$M70)&gt;0</formula>
    </cfRule>
    <cfRule type="expression" dxfId="4424" priority="1222">
      <formula>SEARCH("RICHIESTO",$M70)&gt;0</formula>
    </cfRule>
    <cfRule type="expression" dxfId="4423" priority="1223">
      <formula>SEARCH("DA CHIUDERE",$M70)&gt;0</formula>
    </cfRule>
    <cfRule type="expression" dxfId="4422" priority="1224">
      <formula>SEARCH("INTERROTTO",$M70)&gt;0</formula>
    </cfRule>
  </conditionalFormatting>
  <conditionalFormatting sqref="G69">
    <cfRule type="expression" dxfId="4421" priority="1207">
      <formula>SEARCH("IN CORSO",$M69)&gt;0</formula>
    </cfRule>
    <cfRule type="expression" dxfId="4420" priority="1208">
      <formula>SEARCH("CHIUSO",$M69)&gt;0</formula>
    </cfRule>
    <cfRule type="expression" dxfId="4419" priority="1209">
      <formula>SEARCH("EMESSO",$M69)&gt;0</formula>
    </cfRule>
    <cfRule type="expression" dxfId="4418" priority="1210">
      <formula>SEARCH("RICHIESTO",$M69)&gt;0</formula>
    </cfRule>
    <cfRule type="expression" dxfId="4417" priority="1211">
      <formula>SEARCH("DA CHIUDERE",$M69)&gt;0</formula>
    </cfRule>
    <cfRule type="expression" dxfId="4416" priority="1212">
      <formula>SEARCH("INTERROTTO",$M69)&gt;0</formula>
    </cfRule>
  </conditionalFormatting>
  <conditionalFormatting sqref="E69:F69 N69:S69">
    <cfRule type="expression" dxfId="4415" priority="1213">
      <formula>SEARCH("IN CORSO",$M69)&gt;0</formula>
    </cfRule>
    <cfRule type="expression" dxfId="4414" priority="1214">
      <formula>SEARCH("CHIUSO",$M69)&gt;0</formula>
    </cfRule>
    <cfRule type="expression" dxfId="4413" priority="1215">
      <formula>SEARCH("EMESSO",$M69)&gt;0</formula>
    </cfRule>
    <cfRule type="expression" dxfId="4412" priority="1216">
      <formula>SEARCH("RICHIESTO",$M69)&gt;0</formula>
    </cfRule>
    <cfRule type="expression" dxfId="4411" priority="1217">
      <formula>SEARCH("DA CHIUDERE",$M69)&gt;0</formula>
    </cfRule>
    <cfRule type="expression" dxfId="4410" priority="1218">
      <formula>SEARCH("INTERROTTO",$M69)&gt;0</formula>
    </cfRule>
  </conditionalFormatting>
  <conditionalFormatting sqref="M69">
    <cfRule type="expression" dxfId="4409" priority="1201">
      <formula>SEARCH("IN CORSO",$M69)&gt;0</formula>
    </cfRule>
    <cfRule type="expression" dxfId="4408" priority="1202">
      <formula>SEARCH("CHIUSO",$M69)&gt;0</formula>
    </cfRule>
    <cfRule type="expression" dxfId="4407" priority="1203">
      <formula>SEARCH("EMESSO",$M69)&gt;0</formula>
    </cfRule>
    <cfRule type="expression" dxfId="4406" priority="1204">
      <formula>SEARCH("RICHIESTO",$M69)&gt;0</formula>
    </cfRule>
    <cfRule type="expression" dxfId="4405" priority="1205">
      <formula>SEARCH("DA CHIUDERE",$M69)&gt;0</formula>
    </cfRule>
    <cfRule type="expression" dxfId="4404" priority="1206">
      <formula>SEARCH("INTERROTTO",$M69)&gt;0</formula>
    </cfRule>
  </conditionalFormatting>
  <conditionalFormatting sqref="G68">
    <cfRule type="expression" dxfId="4403" priority="1189">
      <formula>SEARCH("IN CORSO",$M68)&gt;0</formula>
    </cfRule>
    <cfRule type="expression" dxfId="4402" priority="1190">
      <formula>SEARCH("CHIUSO",$M68)&gt;0</formula>
    </cfRule>
    <cfRule type="expression" dxfId="4401" priority="1191">
      <formula>SEARCH("EMESSO",$M68)&gt;0</formula>
    </cfRule>
    <cfRule type="expression" dxfId="4400" priority="1192">
      <formula>SEARCH("RICHIESTO",$M68)&gt;0</formula>
    </cfRule>
    <cfRule type="expression" dxfId="4399" priority="1193">
      <formula>SEARCH("DA CHIUDERE",$M68)&gt;0</formula>
    </cfRule>
    <cfRule type="expression" dxfId="4398" priority="1194">
      <formula>SEARCH("INTERROTTO",$M68)&gt;0</formula>
    </cfRule>
  </conditionalFormatting>
  <conditionalFormatting sqref="E68:F68 N68:S68">
    <cfRule type="expression" dxfId="4397" priority="1195">
      <formula>SEARCH("IN CORSO",$M68)&gt;0</formula>
    </cfRule>
    <cfRule type="expression" dxfId="4396" priority="1196">
      <formula>SEARCH("CHIUSO",$M68)&gt;0</formula>
    </cfRule>
    <cfRule type="expression" dxfId="4395" priority="1197">
      <formula>SEARCH("EMESSO",$M68)&gt;0</formula>
    </cfRule>
    <cfRule type="expression" dxfId="4394" priority="1198">
      <formula>SEARCH("RICHIESTO",$M68)&gt;0</formula>
    </cfRule>
    <cfRule type="expression" dxfId="4393" priority="1199">
      <formula>SEARCH("DA CHIUDERE",$M68)&gt;0</formula>
    </cfRule>
    <cfRule type="expression" dxfId="4392" priority="1200">
      <formula>SEARCH("INTERROTTO",$M68)&gt;0</formula>
    </cfRule>
  </conditionalFormatting>
  <conditionalFormatting sqref="M68">
    <cfRule type="expression" dxfId="4391" priority="1183">
      <formula>SEARCH("IN CORSO",$M68)&gt;0</formula>
    </cfRule>
    <cfRule type="expression" dxfId="4390" priority="1184">
      <formula>SEARCH("CHIUSO",$M68)&gt;0</formula>
    </cfRule>
    <cfRule type="expression" dxfId="4389" priority="1185">
      <formula>SEARCH("EMESSO",$M68)&gt;0</formula>
    </cfRule>
    <cfRule type="expression" dxfId="4388" priority="1186">
      <formula>SEARCH("RICHIESTO",$M68)&gt;0</formula>
    </cfRule>
    <cfRule type="expression" dxfId="4387" priority="1187">
      <formula>SEARCH("DA CHIUDERE",$M68)&gt;0</formula>
    </cfRule>
    <cfRule type="expression" dxfId="4386" priority="1188">
      <formula>SEARCH("INTERROTTO",$M68)&gt;0</formula>
    </cfRule>
  </conditionalFormatting>
  <conditionalFormatting sqref="G67">
    <cfRule type="expression" dxfId="4385" priority="1171">
      <formula>SEARCH("IN CORSO",$M67)&gt;0</formula>
    </cfRule>
    <cfRule type="expression" dxfId="4384" priority="1172">
      <formula>SEARCH("CHIUSO",$M67)&gt;0</formula>
    </cfRule>
    <cfRule type="expression" dxfId="4383" priority="1173">
      <formula>SEARCH("EMESSO",$M67)&gt;0</formula>
    </cfRule>
    <cfRule type="expression" dxfId="4382" priority="1174">
      <formula>SEARCH("RICHIESTO",$M67)&gt;0</formula>
    </cfRule>
    <cfRule type="expression" dxfId="4381" priority="1175">
      <formula>SEARCH("DA CHIUDERE",$M67)&gt;0</formula>
    </cfRule>
    <cfRule type="expression" dxfId="4380" priority="1176">
      <formula>SEARCH("INTERROTTO",$M67)&gt;0</formula>
    </cfRule>
  </conditionalFormatting>
  <conditionalFormatting sqref="E67:F67 N67:S67">
    <cfRule type="expression" dxfId="4379" priority="1177">
      <formula>SEARCH("IN CORSO",$M67)&gt;0</formula>
    </cfRule>
    <cfRule type="expression" dxfId="4378" priority="1178">
      <formula>SEARCH("CHIUSO",$M67)&gt;0</formula>
    </cfRule>
    <cfRule type="expression" dxfId="4377" priority="1179">
      <formula>SEARCH("EMESSO",$M67)&gt;0</formula>
    </cfRule>
    <cfRule type="expression" dxfId="4376" priority="1180">
      <formula>SEARCH("RICHIESTO",$M67)&gt;0</formula>
    </cfRule>
    <cfRule type="expression" dxfId="4375" priority="1181">
      <formula>SEARCH("DA CHIUDERE",$M67)&gt;0</formula>
    </cfRule>
    <cfRule type="expression" dxfId="4374" priority="1182">
      <formula>SEARCH("INTERROTTO",$M67)&gt;0</formula>
    </cfRule>
  </conditionalFormatting>
  <conditionalFormatting sqref="M67">
    <cfRule type="expression" dxfId="4373" priority="1165">
      <formula>SEARCH("IN CORSO",$M67)&gt;0</formula>
    </cfRule>
    <cfRule type="expression" dxfId="4372" priority="1166">
      <formula>SEARCH("CHIUSO",$M67)&gt;0</formula>
    </cfRule>
    <cfRule type="expression" dxfId="4371" priority="1167">
      <formula>SEARCH("EMESSO",$M67)&gt;0</formula>
    </cfRule>
    <cfRule type="expression" dxfId="4370" priority="1168">
      <formula>SEARCH("RICHIESTO",$M67)&gt;0</formula>
    </cfRule>
    <cfRule type="expression" dxfId="4369" priority="1169">
      <formula>SEARCH("DA CHIUDERE",$M67)&gt;0</formula>
    </cfRule>
    <cfRule type="expression" dxfId="4368" priority="1170">
      <formula>SEARCH("INTERROTTO",$M67)&gt;0</formula>
    </cfRule>
  </conditionalFormatting>
  <conditionalFormatting sqref="G66">
    <cfRule type="expression" dxfId="4367" priority="1153">
      <formula>SEARCH("IN CORSO",$M66)&gt;0</formula>
    </cfRule>
    <cfRule type="expression" dxfId="4366" priority="1154">
      <formula>SEARCH("CHIUSO",$M66)&gt;0</formula>
    </cfRule>
    <cfRule type="expression" dxfId="4365" priority="1155">
      <formula>SEARCH("EMESSO",$M66)&gt;0</formula>
    </cfRule>
    <cfRule type="expression" dxfId="4364" priority="1156">
      <formula>SEARCH("RICHIESTO",$M66)&gt;0</formula>
    </cfRule>
    <cfRule type="expression" dxfId="4363" priority="1157">
      <formula>SEARCH("DA CHIUDERE",$M66)&gt;0</formula>
    </cfRule>
    <cfRule type="expression" dxfId="4362" priority="1158">
      <formula>SEARCH("INTERROTTO",$M66)&gt;0</formula>
    </cfRule>
  </conditionalFormatting>
  <conditionalFormatting sqref="E66:F66 N66:S66">
    <cfRule type="expression" dxfId="4361" priority="1159">
      <formula>SEARCH("IN CORSO",$M66)&gt;0</formula>
    </cfRule>
    <cfRule type="expression" dxfId="4360" priority="1160">
      <formula>SEARCH("CHIUSO",$M66)&gt;0</formula>
    </cfRule>
    <cfRule type="expression" dxfId="4359" priority="1161">
      <formula>SEARCH("EMESSO",$M66)&gt;0</formula>
    </cfRule>
    <cfRule type="expression" dxfId="4358" priority="1162">
      <formula>SEARCH("RICHIESTO",$M66)&gt;0</formula>
    </cfRule>
    <cfRule type="expression" dxfId="4357" priority="1163">
      <formula>SEARCH("DA CHIUDERE",$M66)&gt;0</formula>
    </cfRule>
    <cfRule type="expression" dxfId="4356" priority="1164">
      <formula>SEARCH("INTERROTTO",$M66)&gt;0</formula>
    </cfRule>
  </conditionalFormatting>
  <conditionalFormatting sqref="M66">
    <cfRule type="expression" dxfId="4355" priority="1147">
      <formula>SEARCH("IN CORSO",$M66)&gt;0</formula>
    </cfRule>
    <cfRule type="expression" dxfId="4354" priority="1148">
      <formula>SEARCH("CHIUSO",$M66)&gt;0</formula>
    </cfRule>
    <cfRule type="expression" dxfId="4353" priority="1149">
      <formula>SEARCH("EMESSO",$M66)&gt;0</formula>
    </cfRule>
    <cfRule type="expression" dxfId="4352" priority="1150">
      <formula>SEARCH("RICHIESTO",$M66)&gt;0</formula>
    </cfRule>
    <cfRule type="expression" dxfId="4351" priority="1151">
      <formula>SEARCH("DA CHIUDERE",$M66)&gt;0</formula>
    </cfRule>
    <cfRule type="expression" dxfId="4350" priority="1152">
      <formula>SEARCH("INTERROTTO",$M66)&gt;0</formula>
    </cfRule>
  </conditionalFormatting>
  <conditionalFormatting sqref="G65">
    <cfRule type="expression" dxfId="4349" priority="1135">
      <formula>SEARCH("IN CORSO",$M65)&gt;0</formula>
    </cfRule>
    <cfRule type="expression" dxfId="4348" priority="1136">
      <formula>SEARCH("CHIUSO",$M65)&gt;0</formula>
    </cfRule>
    <cfRule type="expression" dxfId="4347" priority="1137">
      <formula>SEARCH("EMESSO",$M65)&gt;0</formula>
    </cfRule>
    <cfRule type="expression" dxfId="4346" priority="1138">
      <formula>SEARCH("RICHIESTO",$M65)&gt;0</formula>
    </cfRule>
    <cfRule type="expression" dxfId="4345" priority="1139">
      <formula>SEARCH("DA CHIUDERE",$M65)&gt;0</formula>
    </cfRule>
    <cfRule type="expression" dxfId="4344" priority="1140">
      <formula>SEARCH("INTERROTTO",$M65)&gt;0</formula>
    </cfRule>
  </conditionalFormatting>
  <conditionalFormatting sqref="E65:F65 N65:S65">
    <cfRule type="expression" dxfId="4343" priority="1141">
      <formula>SEARCH("IN CORSO",$M65)&gt;0</formula>
    </cfRule>
    <cfRule type="expression" dxfId="4342" priority="1142">
      <formula>SEARCH("CHIUSO",$M65)&gt;0</formula>
    </cfRule>
    <cfRule type="expression" dxfId="4341" priority="1143">
      <formula>SEARCH("EMESSO",$M65)&gt;0</formula>
    </cfRule>
    <cfRule type="expression" dxfId="4340" priority="1144">
      <formula>SEARCH("RICHIESTO",$M65)&gt;0</formula>
    </cfRule>
    <cfRule type="expression" dxfId="4339" priority="1145">
      <formula>SEARCH("DA CHIUDERE",$M65)&gt;0</formula>
    </cfRule>
    <cfRule type="expression" dxfId="4338" priority="1146">
      <formula>SEARCH("INTERROTTO",$M65)&gt;0</formula>
    </cfRule>
  </conditionalFormatting>
  <conditionalFormatting sqref="M65">
    <cfRule type="expression" dxfId="4337" priority="1129">
      <formula>SEARCH("IN CORSO",$M65)&gt;0</formula>
    </cfRule>
    <cfRule type="expression" dxfId="4336" priority="1130">
      <formula>SEARCH("CHIUSO",$M65)&gt;0</formula>
    </cfRule>
    <cfRule type="expression" dxfId="4335" priority="1131">
      <formula>SEARCH("EMESSO",$M65)&gt;0</formula>
    </cfRule>
    <cfRule type="expression" dxfId="4334" priority="1132">
      <formula>SEARCH("RICHIESTO",$M65)&gt;0</formula>
    </cfRule>
    <cfRule type="expression" dxfId="4333" priority="1133">
      <formula>SEARCH("DA CHIUDERE",$M65)&gt;0</formula>
    </cfRule>
    <cfRule type="expression" dxfId="4332" priority="1134">
      <formula>SEARCH("INTERROTTO",$M65)&gt;0</formula>
    </cfRule>
  </conditionalFormatting>
  <conditionalFormatting sqref="G64">
    <cfRule type="expression" dxfId="4331" priority="1117">
      <formula>SEARCH("IN CORSO",$M64)&gt;0</formula>
    </cfRule>
    <cfRule type="expression" dxfId="4330" priority="1118">
      <formula>SEARCH("CHIUSO",$M64)&gt;0</formula>
    </cfRule>
    <cfRule type="expression" dxfId="4329" priority="1119">
      <formula>SEARCH("EMESSO",$M64)&gt;0</formula>
    </cfRule>
    <cfRule type="expression" dxfId="4328" priority="1120">
      <formula>SEARCH("RICHIESTO",$M64)&gt;0</formula>
    </cfRule>
    <cfRule type="expression" dxfId="4327" priority="1121">
      <formula>SEARCH("DA CHIUDERE",$M64)&gt;0</formula>
    </cfRule>
    <cfRule type="expression" dxfId="4326" priority="1122">
      <formula>SEARCH("INTERROTTO",$M64)&gt;0</formula>
    </cfRule>
  </conditionalFormatting>
  <conditionalFormatting sqref="E64:F64 N64:S64">
    <cfRule type="expression" dxfId="4325" priority="1123">
      <formula>SEARCH("IN CORSO",$M64)&gt;0</formula>
    </cfRule>
    <cfRule type="expression" dxfId="4324" priority="1124">
      <formula>SEARCH("CHIUSO",$M64)&gt;0</formula>
    </cfRule>
    <cfRule type="expression" dxfId="4323" priority="1125">
      <formula>SEARCH("EMESSO",$M64)&gt;0</formula>
    </cfRule>
    <cfRule type="expression" dxfId="4322" priority="1126">
      <formula>SEARCH("RICHIESTO",$M64)&gt;0</formula>
    </cfRule>
    <cfRule type="expression" dxfId="4321" priority="1127">
      <formula>SEARCH("DA CHIUDERE",$M64)&gt;0</formula>
    </cfRule>
    <cfRule type="expression" dxfId="4320" priority="1128">
      <formula>SEARCH("INTERROTTO",$M64)&gt;0</formula>
    </cfRule>
  </conditionalFormatting>
  <conditionalFormatting sqref="M64">
    <cfRule type="expression" dxfId="4319" priority="1111">
      <formula>SEARCH("IN CORSO",$M64)&gt;0</formula>
    </cfRule>
    <cfRule type="expression" dxfId="4318" priority="1112">
      <formula>SEARCH("CHIUSO",$M64)&gt;0</formula>
    </cfRule>
    <cfRule type="expression" dxfId="4317" priority="1113">
      <formula>SEARCH("EMESSO",$M64)&gt;0</formula>
    </cfRule>
    <cfRule type="expression" dxfId="4316" priority="1114">
      <formula>SEARCH("RICHIESTO",$M64)&gt;0</formula>
    </cfRule>
    <cfRule type="expression" dxfId="4315" priority="1115">
      <formula>SEARCH("DA CHIUDERE",$M64)&gt;0</formula>
    </cfRule>
    <cfRule type="expression" dxfId="4314" priority="1116">
      <formula>SEARCH("INTERROTTO",$M64)&gt;0</formula>
    </cfRule>
  </conditionalFormatting>
  <conditionalFormatting sqref="G63">
    <cfRule type="expression" dxfId="4313" priority="1099">
      <formula>SEARCH("IN CORSO",$M63)&gt;0</formula>
    </cfRule>
    <cfRule type="expression" dxfId="4312" priority="1100">
      <formula>SEARCH("CHIUSO",$M63)&gt;0</formula>
    </cfRule>
    <cfRule type="expression" dxfId="4311" priority="1101">
      <formula>SEARCH("EMESSO",$M63)&gt;0</formula>
    </cfRule>
    <cfRule type="expression" dxfId="4310" priority="1102">
      <formula>SEARCH("RICHIESTO",$M63)&gt;0</formula>
    </cfRule>
    <cfRule type="expression" dxfId="4309" priority="1103">
      <formula>SEARCH("DA CHIUDERE",$M63)&gt;0</formula>
    </cfRule>
    <cfRule type="expression" dxfId="4308" priority="1104">
      <formula>SEARCH("INTERROTTO",$M63)&gt;0</formula>
    </cfRule>
  </conditionalFormatting>
  <conditionalFormatting sqref="E63:F63 N63:S63">
    <cfRule type="expression" dxfId="4307" priority="1105">
      <formula>SEARCH("IN CORSO",$M63)&gt;0</formula>
    </cfRule>
    <cfRule type="expression" dxfId="4306" priority="1106">
      <formula>SEARCH("CHIUSO",$M63)&gt;0</formula>
    </cfRule>
    <cfRule type="expression" dxfId="4305" priority="1107">
      <formula>SEARCH("EMESSO",$M63)&gt;0</formula>
    </cfRule>
    <cfRule type="expression" dxfId="4304" priority="1108">
      <formula>SEARCH("RICHIESTO",$M63)&gt;0</formula>
    </cfRule>
    <cfRule type="expression" dxfId="4303" priority="1109">
      <formula>SEARCH("DA CHIUDERE",$M63)&gt;0</formula>
    </cfRule>
    <cfRule type="expression" dxfId="4302" priority="1110">
      <formula>SEARCH("INTERROTTO",$M63)&gt;0</formula>
    </cfRule>
  </conditionalFormatting>
  <conditionalFormatting sqref="M63">
    <cfRule type="expression" dxfId="4301" priority="1093">
      <formula>SEARCH("IN CORSO",$M63)&gt;0</formula>
    </cfRule>
    <cfRule type="expression" dxfId="4300" priority="1094">
      <formula>SEARCH("CHIUSO",$M63)&gt;0</formula>
    </cfRule>
    <cfRule type="expression" dxfId="4299" priority="1095">
      <formula>SEARCH("EMESSO",$M63)&gt;0</formula>
    </cfRule>
    <cfRule type="expression" dxfId="4298" priority="1096">
      <formula>SEARCH("RICHIESTO",$M63)&gt;0</formula>
    </cfRule>
    <cfRule type="expression" dxfId="4297" priority="1097">
      <formula>SEARCH("DA CHIUDERE",$M63)&gt;0</formula>
    </cfRule>
    <cfRule type="expression" dxfId="4296" priority="1098">
      <formula>SEARCH("INTERROTTO",$M63)&gt;0</formula>
    </cfRule>
  </conditionalFormatting>
  <conditionalFormatting sqref="G62">
    <cfRule type="expression" dxfId="4295" priority="1081">
      <formula>SEARCH("IN CORSO",$M62)&gt;0</formula>
    </cfRule>
    <cfRule type="expression" dxfId="4294" priority="1082">
      <formula>SEARCH("CHIUSO",$M62)&gt;0</formula>
    </cfRule>
    <cfRule type="expression" dxfId="4293" priority="1083">
      <formula>SEARCH("EMESSO",$M62)&gt;0</formula>
    </cfRule>
    <cfRule type="expression" dxfId="4292" priority="1084">
      <formula>SEARCH("RICHIESTO",$M62)&gt;0</formula>
    </cfRule>
    <cfRule type="expression" dxfId="4291" priority="1085">
      <formula>SEARCH("DA CHIUDERE",$M62)&gt;0</formula>
    </cfRule>
    <cfRule type="expression" dxfId="4290" priority="1086">
      <formula>SEARCH("INTERROTTO",$M62)&gt;0</formula>
    </cfRule>
  </conditionalFormatting>
  <conditionalFormatting sqref="E62:F62 N62:S62">
    <cfRule type="expression" dxfId="4289" priority="1087">
      <formula>SEARCH("IN CORSO",$M62)&gt;0</formula>
    </cfRule>
    <cfRule type="expression" dxfId="4288" priority="1088">
      <formula>SEARCH("CHIUSO",$M62)&gt;0</formula>
    </cfRule>
    <cfRule type="expression" dxfId="4287" priority="1089">
      <formula>SEARCH("EMESSO",$M62)&gt;0</formula>
    </cfRule>
    <cfRule type="expression" dxfId="4286" priority="1090">
      <formula>SEARCH("RICHIESTO",$M62)&gt;0</formula>
    </cfRule>
    <cfRule type="expression" dxfId="4285" priority="1091">
      <formula>SEARCH("DA CHIUDERE",$M62)&gt;0</formula>
    </cfRule>
    <cfRule type="expression" dxfId="4284" priority="1092">
      <formula>SEARCH("INTERROTTO",$M62)&gt;0</formula>
    </cfRule>
  </conditionalFormatting>
  <conditionalFormatting sqref="M62">
    <cfRule type="expression" dxfId="4283" priority="1075">
      <formula>SEARCH("IN CORSO",$M62)&gt;0</formula>
    </cfRule>
    <cfRule type="expression" dxfId="4282" priority="1076">
      <formula>SEARCH("CHIUSO",$M62)&gt;0</formula>
    </cfRule>
    <cfRule type="expression" dxfId="4281" priority="1077">
      <formula>SEARCH("EMESSO",$M62)&gt;0</formula>
    </cfRule>
    <cfRule type="expression" dxfId="4280" priority="1078">
      <formula>SEARCH("RICHIESTO",$M62)&gt;0</formula>
    </cfRule>
    <cfRule type="expression" dxfId="4279" priority="1079">
      <formula>SEARCH("DA CHIUDERE",$M62)&gt;0</formula>
    </cfRule>
    <cfRule type="expression" dxfId="4278" priority="1080">
      <formula>SEARCH("INTERROTTO",$M62)&gt;0</formula>
    </cfRule>
  </conditionalFormatting>
  <conditionalFormatting sqref="G61">
    <cfRule type="expression" dxfId="4277" priority="1063">
      <formula>SEARCH("IN CORSO",$M61)&gt;0</formula>
    </cfRule>
    <cfRule type="expression" dxfId="4276" priority="1064">
      <formula>SEARCH("CHIUSO",$M61)&gt;0</formula>
    </cfRule>
    <cfRule type="expression" dxfId="4275" priority="1065">
      <formula>SEARCH("EMESSO",$M61)&gt;0</formula>
    </cfRule>
    <cfRule type="expression" dxfId="4274" priority="1066">
      <formula>SEARCH("RICHIESTO",$M61)&gt;0</formula>
    </cfRule>
    <cfRule type="expression" dxfId="4273" priority="1067">
      <formula>SEARCH("DA CHIUDERE",$M61)&gt;0</formula>
    </cfRule>
    <cfRule type="expression" dxfId="4272" priority="1068">
      <formula>SEARCH("INTERROTTO",$M61)&gt;0</formula>
    </cfRule>
  </conditionalFormatting>
  <conditionalFormatting sqref="E61:F61 N61:S61">
    <cfRule type="expression" dxfId="4271" priority="1069">
      <formula>SEARCH("IN CORSO",$M61)&gt;0</formula>
    </cfRule>
    <cfRule type="expression" dxfId="4270" priority="1070">
      <formula>SEARCH("CHIUSO",$M61)&gt;0</formula>
    </cfRule>
    <cfRule type="expression" dxfId="4269" priority="1071">
      <formula>SEARCH("EMESSO",$M61)&gt;0</formula>
    </cfRule>
    <cfRule type="expression" dxfId="4268" priority="1072">
      <formula>SEARCH("RICHIESTO",$M61)&gt;0</formula>
    </cfRule>
    <cfRule type="expression" dxfId="4267" priority="1073">
      <formula>SEARCH("DA CHIUDERE",$M61)&gt;0</formula>
    </cfRule>
    <cfRule type="expression" dxfId="4266" priority="1074">
      <formula>SEARCH("INTERROTTO",$M61)&gt;0</formula>
    </cfRule>
  </conditionalFormatting>
  <conditionalFormatting sqref="M61">
    <cfRule type="expression" dxfId="4265" priority="1057">
      <formula>SEARCH("IN CORSO",$M61)&gt;0</formula>
    </cfRule>
    <cfRule type="expression" dxfId="4264" priority="1058">
      <formula>SEARCH("CHIUSO",$M61)&gt;0</formula>
    </cfRule>
    <cfRule type="expression" dxfId="4263" priority="1059">
      <formula>SEARCH("EMESSO",$M61)&gt;0</formula>
    </cfRule>
    <cfRule type="expression" dxfId="4262" priority="1060">
      <formula>SEARCH("RICHIESTO",$M61)&gt;0</formula>
    </cfRule>
    <cfRule type="expression" dxfId="4261" priority="1061">
      <formula>SEARCH("DA CHIUDERE",$M61)&gt;0</formula>
    </cfRule>
    <cfRule type="expression" dxfId="4260" priority="1062">
      <formula>SEARCH("INTERROTTO",$M61)&gt;0</formula>
    </cfRule>
  </conditionalFormatting>
  <conditionalFormatting sqref="G60">
    <cfRule type="expression" dxfId="4259" priority="1045">
      <formula>SEARCH("IN CORSO",$M60)&gt;0</formula>
    </cfRule>
    <cfRule type="expression" dxfId="4258" priority="1046">
      <formula>SEARCH("CHIUSO",$M60)&gt;0</formula>
    </cfRule>
    <cfRule type="expression" dxfId="4257" priority="1047">
      <formula>SEARCH("EMESSO",$M60)&gt;0</formula>
    </cfRule>
    <cfRule type="expression" dxfId="4256" priority="1048">
      <formula>SEARCH("RICHIESTO",$M60)&gt;0</formula>
    </cfRule>
    <cfRule type="expression" dxfId="4255" priority="1049">
      <formula>SEARCH("DA CHIUDERE",$M60)&gt;0</formula>
    </cfRule>
    <cfRule type="expression" dxfId="4254" priority="1050">
      <formula>SEARCH("INTERROTTO",$M60)&gt;0</formula>
    </cfRule>
  </conditionalFormatting>
  <conditionalFormatting sqref="E60:F60 N60:S60">
    <cfRule type="expression" dxfId="4253" priority="1051">
      <formula>SEARCH("IN CORSO",$M60)&gt;0</formula>
    </cfRule>
    <cfRule type="expression" dxfId="4252" priority="1052">
      <formula>SEARCH("CHIUSO",$M60)&gt;0</formula>
    </cfRule>
    <cfRule type="expression" dxfId="4251" priority="1053">
      <formula>SEARCH("EMESSO",$M60)&gt;0</formula>
    </cfRule>
    <cfRule type="expression" dxfId="4250" priority="1054">
      <formula>SEARCH("RICHIESTO",$M60)&gt;0</formula>
    </cfRule>
    <cfRule type="expression" dxfId="4249" priority="1055">
      <formula>SEARCH("DA CHIUDERE",$M60)&gt;0</formula>
    </cfRule>
    <cfRule type="expression" dxfId="4248" priority="1056">
      <formula>SEARCH("INTERROTTO",$M60)&gt;0</formula>
    </cfRule>
  </conditionalFormatting>
  <conditionalFormatting sqref="M60">
    <cfRule type="expression" dxfId="4247" priority="1039">
      <formula>SEARCH("IN CORSO",$M60)&gt;0</formula>
    </cfRule>
    <cfRule type="expression" dxfId="4246" priority="1040">
      <formula>SEARCH("CHIUSO",$M60)&gt;0</formula>
    </cfRule>
    <cfRule type="expression" dxfId="4245" priority="1041">
      <formula>SEARCH("EMESSO",$M60)&gt;0</formula>
    </cfRule>
    <cfRule type="expression" dxfId="4244" priority="1042">
      <formula>SEARCH("RICHIESTO",$M60)&gt;0</formula>
    </cfRule>
    <cfRule type="expression" dxfId="4243" priority="1043">
      <formula>SEARCH("DA CHIUDERE",$M60)&gt;0</formula>
    </cfRule>
    <cfRule type="expression" dxfId="4242" priority="1044">
      <formula>SEARCH("INTERROTTO",$M60)&gt;0</formula>
    </cfRule>
  </conditionalFormatting>
  <conditionalFormatting sqref="G59">
    <cfRule type="expression" dxfId="4241" priority="1027">
      <formula>SEARCH("IN CORSO",$M59)&gt;0</formula>
    </cfRule>
    <cfRule type="expression" dxfId="4240" priority="1028">
      <formula>SEARCH("CHIUSO",$M59)&gt;0</formula>
    </cfRule>
    <cfRule type="expression" dxfId="4239" priority="1029">
      <formula>SEARCH("EMESSO",$M59)&gt;0</formula>
    </cfRule>
    <cfRule type="expression" dxfId="4238" priority="1030">
      <formula>SEARCH("RICHIESTO",$M59)&gt;0</formula>
    </cfRule>
    <cfRule type="expression" dxfId="4237" priority="1031">
      <formula>SEARCH("DA CHIUDERE",$M59)&gt;0</formula>
    </cfRule>
    <cfRule type="expression" dxfId="4236" priority="1032">
      <formula>SEARCH("INTERROTTO",$M59)&gt;0</formula>
    </cfRule>
  </conditionalFormatting>
  <conditionalFormatting sqref="E59:F59 N59:S59">
    <cfRule type="expression" dxfId="4235" priority="1033">
      <formula>SEARCH("IN CORSO",$M59)&gt;0</formula>
    </cfRule>
    <cfRule type="expression" dxfId="4234" priority="1034">
      <formula>SEARCH("CHIUSO",$M59)&gt;0</formula>
    </cfRule>
    <cfRule type="expression" dxfId="4233" priority="1035">
      <formula>SEARCH("EMESSO",$M59)&gt;0</formula>
    </cfRule>
    <cfRule type="expression" dxfId="4232" priority="1036">
      <formula>SEARCH("RICHIESTO",$M59)&gt;0</formula>
    </cfRule>
    <cfRule type="expression" dxfId="4231" priority="1037">
      <formula>SEARCH("DA CHIUDERE",$M59)&gt;0</formula>
    </cfRule>
    <cfRule type="expression" dxfId="4230" priority="1038">
      <formula>SEARCH("INTERROTTO",$M59)&gt;0</formula>
    </cfRule>
  </conditionalFormatting>
  <conditionalFormatting sqref="M59">
    <cfRule type="expression" dxfId="4229" priority="1021">
      <formula>SEARCH("IN CORSO",$M59)&gt;0</formula>
    </cfRule>
    <cfRule type="expression" dxfId="4228" priority="1022">
      <formula>SEARCH("CHIUSO",$M59)&gt;0</formula>
    </cfRule>
    <cfRule type="expression" dxfId="4227" priority="1023">
      <formula>SEARCH("EMESSO",$M59)&gt;0</formula>
    </cfRule>
    <cfRule type="expression" dxfId="4226" priority="1024">
      <formula>SEARCH("RICHIESTO",$M59)&gt;0</formula>
    </cfRule>
    <cfRule type="expression" dxfId="4225" priority="1025">
      <formula>SEARCH("DA CHIUDERE",$M59)&gt;0</formula>
    </cfRule>
    <cfRule type="expression" dxfId="4224" priority="1026">
      <formula>SEARCH("INTERROTTO",$M59)&gt;0</formula>
    </cfRule>
  </conditionalFormatting>
  <conditionalFormatting sqref="G58">
    <cfRule type="expression" dxfId="4223" priority="1009">
      <formula>SEARCH("IN CORSO",$M58)&gt;0</formula>
    </cfRule>
    <cfRule type="expression" dxfId="4222" priority="1010">
      <formula>SEARCH("CHIUSO",$M58)&gt;0</formula>
    </cfRule>
    <cfRule type="expression" dxfId="4221" priority="1011">
      <formula>SEARCH("EMESSO",$M58)&gt;0</formula>
    </cfRule>
    <cfRule type="expression" dxfId="4220" priority="1012">
      <formula>SEARCH("RICHIESTO",$M58)&gt;0</formula>
    </cfRule>
    <cfRule type="expression" dxfId="4219" priority="1013">
      <formula>SEARCH("DA CHIUDERE",$M58)&gt;0</formula>
    </cfRule>
    <cfRule type="expression" dxfId="4218" priority="1014">
      <formula>SEARCH("INTERROTTO",$M58)&gt;0</formula>
    </cfRule>
  </conditionalFormatting>
  <conditionalFormatting sqref="E58:F58 N58:S58">
    <cfRule type="expression" dxfId="4217" priority="1015">
      <formula>SEARCH("IN CORSO",$M58)&gt;0</formula>
    </cfRule>
    <cfRule type="expression" dxfId="4216" priority="1016">
      <formula>SEARCH("CHIUSO",$M58)&gt;0</formula>
    </cfRule>
    <cfRule type="expression" dxfId="4215" priority="1017">
      <formula>SEARCH("EMESSO",$M58)&gt;0</formula>
    </cfRule>
    <cfRule type="expression" dxfId="4214" priority="1018">
      <formula>SEARCH("RICHIESTO",$M58)&gt;0</formula>
    </cfRule>
    <cfRule type="expression" dxfId="4213" priority="1019">
      <formula>SEARCH("DA CHIUDERE",$M58)&gt;0</formula>
    </cfRule>
    <cfRule type="expression" dxfId="4212" priority="1020">
      <formula>SEARCH("INTERROTTO",$M58)&gt;0</formula>
    </cfRule>
  </conditionalFormatting>
  <conditionalFormatting sqref="M58">
    <cfRule type="expression" dxfId="4211" priority="1003">
      <formula>SEARCH("IN CORSO",$M58)&gt;0</formula>
    </cfRule>
    <cfRule type="expression" dxfId="4210" priority="1004">
      <formula>SEARCH("CHIUSO",$M58)&gt;0</formula>
    </cfRule>
    <cfRule type="expression" dxfId="4209" priority="1005">
      <formula>SEARCH("EMESSO",$M58)&gt;0</formula>
    </cfRule>
    <cfRule type="expression" dxfId="4208" priority="1006">
      <formula>SEARCH("RICHIESTO",$M58)&gt;0</formula>
    </cfRule>
    <cfRule type="expression" dxfId="4207" priority="1007">
      <formula>SEARCH("DA CHIUDERE",$M58)&gt;0</formula>
    </cfRule>
    <cfRule type="expression" dxfId="4206" priority="1008">
      <formula>SEARCH("INTERROTTO",$M58)&gt;0</formula>
    </cfRule>
  </conditionalFormatting>
  <conditionalFormatting sqref="G57">
    <cfRule type="expression" dxfId="4205" priority="991">
      <formula>SEARCH("IN CORSO",$M57)&gt;0</formula>
    </cfRule>
    <cfRule type="expression" dxfId="4204" priority="992">
      <formula>SEARCH("CHIUSO",$M57)&gt;0</formula>
    </cfRule>
    <cfRule type="expression" dxfId="4203" priority="993">
      <formula>SEARCH("EMESSO",$M57)&gt;0</formula>
    </cfRule>
    <cfRule type="expression" dxfId="4202" priority="994">
      <formula>SEARCH("RICHIESTO",$M57)&gt;0</formula>
    </cfRule>
    <cfRule type="expression" dxfId="4201" priority="995">
      <formula>SEARCH("DA CHIUDERE",$M57)&gt;0</formula>
    </cfRule>
    <cfRule type="expression" dxfId="4200" priority="996">
      <formula>SEARCH("INTERROTTO",$M57)&gt;0</formula>
    </cfRule>
  </conditionalFormatting>
  <conditionalFormatting sqref="E57:F57 N57:S57">
    <cfRule type="expression" dxfId="4199" priority="997">
      <formula>SEARCH("IN CORSO",$M57)&gt;0</formula>
    </cfRule>
    <cfRule type="expression" dxfId="4198" priority="998">
      <formula>SEARCH("CHIUSO",$M57)&gt;0</formula>
    </cfRule>
    <cfRule type="expression" dxfId="4197" priority="999">
      <formula>SEARCH("EMESSO",$M57)&gt;0</formula>
    </cfRule>
    <cfRule type="expression" dxfId="4196" priority="1000">
      <formula>SEARCH("RICHIESTO",$M57)&gt;0</formula>
    </cfRule>
    <cfRule type="expression" dxfId="4195" priority="1001">
      <formula>SEARCH("DA CHIUDERE",$M57)&gt;0</formula>
    </cfRule>
    <cfRule type="expression" dxfId="4194" priority="1002">
      <formula>SEARCH("INTERROTTO",$M57)&gt;0</formula>
    </cfRule>
  </conditionalFormatting>
  <conditionalFormatting sqref="M57">
    <cfRule type="expression" dxfId="4193" priority="985">
      <formula>SEARCH("IN CORSO",$M57)&gt;0</formula>
    </cfRule>
    <cfRule type="expression" dxfId="4192" priority="986">
      <formula>SEARCH("CHIUSO",$M57)&gt;0</formula>
    </cfRule>
    <cfRule type="expression" dxfId="4191" priority="987">
      <formula>SEARCH("EMESSO",$M57)&gt;0</formula>
    </cfRule>
    <cfRule type="expression" dxfId="4190" priority="988">
      <formula>SEARCH("RICHIESTO",$M57)&gt;0</formula>
    </cfRule>
    <cfRule type="expression" dxfId="4189" priority="989">
      <formula>SEARCH("DA CHIUDERE",$M57)&gt;0</formula>
    </cfRule>
    <cfRule type="expression" dxfId="4188" priority="990">
      <formula>SEARCH("INTERROTTO",$M57)&gt;0</formula>
    </cfRule>
  </conditionalFormatting>
  <conditionalFormatting sqref="G56">
    <cfRule type="expression" dxfId="4187" priority="973">
      <formula>SEARCH("IN CORSO",$M56)&gt;0</formula>
    </cfRule>
    <cfRule type="expression" dxfId="4186" priority="974">
      <formula>SEARCH("CHIUSO",$M56)&gt;0</formula>
    </cfRule>
    <cfRule type="expression" dxfId="4185" priority="975">
      <formula>SEARCH("EMESSO",$M56)&gt;0</formula>
    </cfRule>
    <cfRule type="expression" dxfId="4184" priority="976">
      <formula>SEARCH("RICHIESTO",$M56)&gt;0</formula>
    </cfRule>
    <cfRule type="expression" dxfId="4183" priority="977">
      <formula>SEARCH("DA CHIUDERE",$M56)&gt;0</formula>
    </cfRule>
    <cfRule type="expression" dxfId="4182" priority="978">
      <formula>SEARCH("INTERROTTO",$M56)&gt;0</formula>
    </cfRule>
  </conditionalFormatting>
  <conditionalFormatting sqref="E56:F56 N56:S56">
    <cfRule type="expression" dxfId="4181" priority="979">
      <formula>SEARCH("IN CORSO",$M56)&gt;0</formula>
    </cfRule>
    <cfRule type="expression" dxfId="4180" priority="980">
      <formula>SEARCH("CHIUSO",$M56)&gt;0</formula>
    </cfRule>
    <cfRule type="expression" dxfId="4179" priority="981">
      <formula>SEARCH("EMESSO",$M56)&gt;0</formula>
    </cfRule>
    <cfRule type="expression" dxfId="4178" priority="982">
      <formula>SEARCH("RICHIESTO",$M56)&gt;0</formula>
    </cfRule>
    <cfRule type="expression" dxfId="4177" priority="983">
      <formula>SEARCH("DA CHIUDERE",$M56)&gt;0</formula>
    </cfRule>
    <cfRule type="expression" dxfId="4176" priority="984">
      <formula>SEARCH("INTERROTTO",$M56)&gt;0</formula>
    </cfRule>
  </conditionalFormatting>
  <conditionalFormatting sqref="M56">
    <cfRule type="expression" dxfId="4175" priority="967">
      <formula>SEARCH("IN CORSO",$M56)&gt;0</formula>
    </cfRule>
    <cfRule type="expression" dxfId="4174" priority="968">
      <formula>SEARCH("CHIUSO",$M56)&gt;0</formula>
    </cfRule>
    <cfRule type="expression" dxfId="4173" priority="969">
      <formula>SEARCH("EMESSO",$M56)&gt;0</formula>
    </cfRule>
    <cfRule type="expression" dxfId="4172" priority="970">
      <formula>SEARCH("RICHIESTO",$M56)&gt;0</formula>
    </cfRule>
    <cfRule type="expression" dxfId="4171" priority="971">
      <formula>SEARCH("DA CHIUDERE",$M56)&gt;0</formula>
    </cfRule>
    <cfRule type="expression" dxfId="4170" priority="972">
      <formula>SEARCH("INTERROTTO",$M56)&gt;0</formula>
    </cfRule>
  </conditionalFormatting>
  <conditionalFormatting sqref="G55">
    <cfRule type="expression" dxfId="4169" priority="955">
      <formula>SEARCH("IN CORSO",$M55)&gt;0</formula>
    </cfRule>
    <cfRule type="expression" dxfId="4168" priority="956">
      <formula>SEARCH("CHIUSO",$M55)&gt;0</formula>
    </cfRule>
    <cfRule type="expression" dxfId="4167" priority="957">
      <formula>SEARCH("EMESSO",$M55)&gt;0</formula>
    </cfRule>
    <cfRule type="expression" dxfId="4166" priority="958">
      <formula>SEARCH("RICHIESTO",$M55)&gt;0</formula>
    </cfRule>
    <cfRule type="expression" dxfId="4165" priority="959">
      <formula>SEARCH("DA CHIUDERE",$M55)&gt;0</formula>
    </cfRule>
    <cfRule type="expression" dxfId="4164" priority="960">
      <formula>SEARCH("INTERROTTO",$M55)&gt;0</formula>
    </cfRule>
  </conditionalFormatting>
  <conditionalFormatting sqref="E55:F55 N55:S55">
    <cfRule type="expression" dxfId="4163" priority="961">
      <formula>SEARCH("IN CORSO",$M55)&gt;0</formula>
    </cfRule>
    <cfRule type="expression" dxfId="4162" priority="962">
      <formula>SEARCH("CHIUSO",$M55)&gt;0</formula>
    </cfRule>
    <cfRule type="expression" dxfId="4161" priority="963">
      <formula>SEARCH("EMESSO",$M55)&gt;0</formula>
    </cfRule>
    <cfRule type="expression" dxfId="4160" priority="964">
      <formula>SEARCH("RICHIESTO",$M55)&gt;0</formula>
    </cfRule>
    <cfRule type="expression" dxfId="4159" priority="965">
      <formula>SEARCH("DA CHIUDERE",$M55)&gt;0</formula>
    </cfRule>
    <cfRule type="expression" dxfId="4158" priority="966">
      <formula>SEARCH("INTERROTTO",$M55)&gt;0</formula>
    </cfRule>
  </conditionalFormatting>
  <conditionalFormatting sqref="M55">
    <cfRule type="expression" dxfId="4157" priority="949">
      <formula>SEARCH("IN CORSO",$M55)&gt;0</formula>
    </cfRule>
    <cfRule type="expression" dxfId="4156" priority="950">
      <formula>SEARCH("CHIUSO",$M55)&gt;0</formula>
    </cfRule>
    <cfRule type="expression" dxfId="4155" priority="951">
      <formula>SEARCH("EMESSO",$M55)&gt;0</formula>
    </cfRule>
    <cfRule type="expression" dxfId="4154" priority="952">
      <formula>SEARCH("RICHIESTO",$M55)&gt;0</formula>
    </cfRule>
    <cfRule type="expression" dxfId="4153" priority="953">
      <formula>SEARCH("DA CHIUDERE",$M55)&gt;0</formula>
    </cfRule>
    <cfRule type="expression" dxfId="4152" priority="954">
      <formula>SEARCH("INTERROTTO",$M55)&gt;0</formula>
    </cfRule>
  </conditionalFormatting>
  <conditionalFormatting sqref="G54">
    <cfRule type="expression" dxfId="4151" priority="937">
      <formula>SEARCH("IN CORSO",$M54)&gt;0</formula>
    </cfRule>
    <cfRule type="expression" dxfId="4150" priority="938">
      <formula>SEARCH("CHIUSO",$M54)&gt;0</formula>
    </cfRule>
    <cfRule type="expression" dxfId="4149" priority="939">
      <formula>SEARCH("EMESSO",$M54)&gt;0</formula>
    </cfRule>
    <cfRule type="expression" dxfId="4148" priority="940">
      <formula>SEARCH("RICHIESTO",$M54)&gt;0</formula>
    </cfRule>
    <cfRule type="expression" dxfId="4147" priority="941">
      <formula>SEARCH("DA CHIUDERE",$M54)&gt;0</formula>
    </cfRule>
    <cfRule type="expression" dxfId="4146" priority="942">
      <formula>SEARCH("INTERROTTO",$M54)&gt;0</formula>
    </cfRule>
  </conditionalFormatting>
  <conditionalFormatting sqref="E54:F54 N54:S54">
    <cfRule type="expression" dxfId="4145" priority="943">
      <formula>SEARCH("IN CORSO",$M54)&gt;0</formula>
    </cfRule>
    <cfRule type="expression" dxfId="4144" priority="944">
      <formula>SEARCH("CHIUSO",$M54)&gt;0</formula>
    </cfRule>
    <cfRule type="expression" dxfId="4143" priority="945">
      <formula>SEARCH("EMESSO",$M54)&gt;0</formula>
    </cfRule>
    <cfRule type="expression" dxfId="4142" priority="946">
      <formula>SEARCH("RICHIESTO",$M54)&gt;0</formula>
    </cfRule>
    <cfRule type="expression" dxfId="4141" priority="947">
      <formula>SEARCH("DA CHIUDERE",$M54)&gt;0</formula>
    </cfRule>
    <cfRule type="expression" dxfId="4140" priority="948">
      <formula>SEARCH("INTERROTTO",$M54)&gt;0</formula>
    </cfRule>
  </conditionalFormatting>
  <conditionalFormatting sqref="M54">
    <cfRule type="expression" dxfId="4139" priority="931">
      <formula>SEARCH("IN CORSO",$M54)&gt;0</formula>
    </cfRule>
    <cfRule type="expression" dxfId="4138" priority="932">
      <formula>SEARCH("CHIUSO",$M54)&gt;0</formula>
    </cfRule>
    <cfRule type="expression" dxfId="4137" priority="933">
      <formula>SEARCH("EMESSO",$M54)&gt;0</formula>
    </cfRule>
    <cfRule type="expression" dxfId="4136" priority="934">
      <formula>SEARCH("RICHIESTO",$M54)&gt;0</formula>
    </cfRule>
    <cfRule type="expression" dxfId="4135" priority="935">
      <formula>SEARCH("DA CHIUDERE",$M54)&gt;0</formula>
    </cfRule>
    <cfRule type="expression" dxfId="4134" priority="936">
      <formula>SEARCH("INTERROTTO",$M54)&gt;0</formula>
    </cfRule>
  </conditionalFormatting>
  <conditionalFormatting sqref="G53">
    <cfRule type="expression" dxfId="4133" priority="919">
      <formula>SEARCH("IN CORSO",$M53)&gt;0</formula>
    </cfRule>
    <cfRule type="expression" dxfId="4132" priority="920">
      <formula>SEARCH("CHIUSO",$M53)&gt;0</formula>
    </cfRule>
    <cfRule type="expression" dxfId="4131" priority="921">
      <formula>SEARCH("EMESSO",$M53)&gt;0</formula>
    </cfRule>
    <cfRule type="expression" dxfId="4130" priority="922">
      <formula>SEARCH("RICHIESTO",$M53)&gt;0</formula>
    </cfRule>
    <cfRule type="expression" dxfId="4129" priority="923">
      <formula>SEARCH("DA CHIUDERE",$M53)&gt;0</formula>
    </cfRule>
    <cfRule type="expression" dxfId="4128" priority="924">
      <formula>SEARCH("INTERROTTO",$M53)&gt;0</formula>
    </cfRule>
  </conditionalFormatting>
  <conditionalFormatting sqref="E53:F53 N53:S53">
    <cfRule type="expression" dxfId="4127" priority="925">
      <formula>SEARCH("IN CORSO",$M53)&gt;0</formula>
    </cfRule>
    <cfRule type="expression" dxfId="4126" priority="926">
      <formula>SEARCH("CHIUSO",$M53)&gt;0</formula>
    </cfRule>
    <cfRule type="expression" dxfId="4125" priority="927">
      <formula>SEARCH("EMESSO",$M53)&gt;0</formula>
    </cfRule>
    <cfRule type="expression" dxfId="4124" priority="928">
      <formula>SEARCH("RICHIESTO",$M53)&gt;0</formula>
    </cfRule>
    <cfRule type="expression" dxfId="4123" priority="929">
      <formula>SEARCH("DA CHIUDERE",$M53)&gt;0</formula>
    </cfRule>
    <cfRule type="expression" dxfId="4122" priority="930">
      <formula>SEARCH("INTERROTTO",$M53)&gt;0</formula>
    </cfRule>
  </conditionalFormatting>
  <conditionalFormatting sqref="M53">
    <cfRule type="expression" dxfId="4121" priority="913">
      <formula>SEARCH("IN CORSO",$M53)&gt;0</formula>
    </cfRule>
    <cfRule type="expression" dxfId="4120" priority="914">
      <formula>SEARCH("CHIUSO",$M53)&gt;0</formula>
    </cfRule>
    <cfRule type="expression" dxfId="4119" priority="915">
      <formula>SEARCH("EMESSO",$M53)&gt;0</formula>
    </cfRule>
    <cfRule type="expression" dxfId="4118" priority="916">
      <formula>SEARCH("RICHIESTO",$M53)&gt;0</formula>
    </cfRule>
    <cfRule type="expression" dxfId="4117" priority="917">
      <formula>SEARCH("DA CHIUDERE",$M53)&gt;0</formula>
    </cfRule>
    <cfRule type="expression" dxfId="4116" priority="918">
      <formula>SEARCH("INTERROTTO",$M53)&gt;0</formula>
    </cfRule>
  </conditionalFormatting>
  <conditionalFormatting sqref="G52">
    <cfRule type="expression" dxfId="4115" priority="901">
      <formula>SEARCH("IN CORSO",$M52)&gt;0</formula>
    </cfRule>
    <cfRule type="expression" dxfId="4114" priority="902">
      <formula>SEARCH("CHIUSO",$M52)&gt;0</formula>
    </cfRule>
    <cfRule type="expression" dxfId="4113" priority="903">
      <formula>SEARCH("EMESSO",$M52)&gt;0</formula>
    </cfRule>
    <cfRule type="expression" dxfId="4112" priority="904">
      <formula>SEARCH("RICHIESTO",$M52)&gt;0</formula>
    </cfRule>
    <cfRule type="expression" dxfId="4111" priority="905">
      <formula>SEARCH("DA CHIUDERE",$M52)&gt;0</formula>
    </cfRule>
    <cfRule type="expression" dxfId="4110" priority="906">
      <formula>SEARCH("INTERROTTO",$M52)&gt;0</formula>
    </cfRule>
  </conditionalFormatting>
  <conditionalFormatting sqref="E52:F52 N52:S52">
    <cfRule type="expression" dxfId="4109" priority="907">
      <formula>SEARCH("IN CORSO",$M52)&gt;0</formula>
    </cfRule>
    <cfRule type="expression" dxfId="4108" priority="908">
      <formula>SEARCH("CHIUSO",$M52)&gt;0</formula>
    </cfRule>
    <cfRule type="expression" dxfId="4107" priority="909">
      <formula>SEARCH("EMESSO",$M52)&gt;0</formula>
    </cfRule>
    <cfRule type="expression" dxfId="4106" priority="910">
      <formula>SEARCH("RICHIESTO",$M52)&gt;0</formula>
    </cfRule>
    <cfRule type="expression" dxfId="4105" priority="911">
      <formula>SEARCH("DA CHIUDERE",$M52)&gt;0</formula>
    </cfRule>
    <cfRule type="expression" dxfId="4104" priority="912">
      <formula>SEARCH("INTERROTTO",$M52)&gt;0</formula>
    </cfRule>
  </conditionalFormatting>
  <conditionalFormatting sqref="M52">
    <cfRule type="expression" dxfId="4103" priority="895">
      <formula>SEARCH("IN CORSO",$M52)&gt;0</formula>
    </cfRule>
    <cfRule type="expression" dxfId="4102" priority="896">
      <formula>SEARCH("CHIUSO",$M52)&gt;0</formula>
    </cfRule>
    <cfRule type="expression" dxfId="4101" priority="897">
      <formula>SEARCH("EMESSO",$M52)&gt;0</formula>
    </cfRule>
    <cfRule type="expression" dxfId="4100" priority="898">
      <formula>SEARCH("RICHIESTO",$M52)&gt;0</formula>
    </cfRule>
    <cfRule type="expression" dxfId="4099" priority="899">
      <formula>SEARCH("DA CHIUDERE",$M52)&gt;0</formula>
    </cfRule>
    <cfRule type="expression" dxfId="4098" priority="900">
      <formula>SEARCH("INTERROTTO",$M52)&gt;0</formula>
    </cfRule>
  </conditionalFormatting>
  <conditionalFormatting sqref="G51">
    <cfRule type="expression" dxfId="4097" priority="883">
      <formula>SEARCH("IN CORSO",$M51)&gt;0</formula>
    </cfRule>
    <cfRule type="expression" dxfId="4096" priority="884">
      <formula>SEARCH("CHIUSO",$M51)&gt;0</formula>
    </cfRule>
    <cfRule type="expression" dxfId="4095" priority="885">
      <formula>SEARCH("EMESSO",$M51)&gt;0</formula>
    </cfRule>
    <cfRule type="expression" dxfId="4094" priority="886">
      <formula>SEARCH("RICHIESTO",$M51)&gt;0</formula>
    </cfRule>
    <cfRule type="expression" dxfId="4093" priority="887">
      <formula>SEARCH("DA CHIUDERE",$M51)&gt;0</formula>
    </cfRule>
    <cfRule type="expression" dxfId="4092" priority="888">
      <formula>SEARCH("INTERROTTO",$M51)&gt;0</formula>
    </cfRule>
  </conditionalFormatting>
  <conditionalFormatting sqref="E51:F51 N51:S51">
    <cfRule type="expression" dxfId="4091" priority="889">
      <formula>SEARCH("IN CORSO",$M51)&gt;0</formula>
    </cfRule>
    <cfRule type="expression" dxfId="4090" priority="890">
      <formula>SEARCH("CHIUSO",$M51)&gt;0</formula>
    </cfRule>
    <cfRule type="expression" dxfId="4089" priority="891">
      <formula>SEARCH("EMESSO",$M51)&gt;0</formula>
    </cfRule>
    <cfRule type="expression" dxfId="4088" priority="892">
      <formula>SEARCH("RICHIESTO",$M51)&gt;0</formula>
    </cfRule>
    <cfRule type="expression" dxfId="4087" priority="893">
      <formula>SEARCH("DA CHIUDERE",$M51)&gt;0</formula>
    </cfRule>
    <cfRule type="expression" dxfId="4086" priority="894">
      <formula>SEARCH("INTERROTTO",$M51)&gt;0</formula>
    </cfRule>
  </conditionalFormatting>
  <conditionalFormatting sqref="M51">
    <cfRule type="expression" dxfId="4085" priority="877">
      <formula>SEARCH("IN CORSO",$M51)&gt;0</formula>
    </cfRule>
    <cfRule type="expression" dxfId="4084" priority="878">
      <formula>SEARCH("CHIUSO",$M51)&gt;0</formula>
    </cfRule>
    <cfRule type="expression" dxfId="4083" priority="879">
      <formula>SEARCH("EMESSO",$M51)&gt;0</formula>
    </cfRule>
    <cfRule type="expression" dxfId="4082" priority="880">
      <formula>SEARCH("RICHIESTO",$M51)&gt;0</formula>
    </cfRule>
    <cfRule type="expression" dxfId="4081" priority="881">
      <formula>SEARCH("DA CHIUDERE",$M51)&gt;0</formula>
    </cfRule>
    <cfRule type="expression" dxfId="4080" priority="882">
      <formula>SEARCH("INTERROTTO",$M51)&gt;0</formula>
    </cfRule>
  </conditionalFormatting>
  <conditionalFormatting sqref="G50">
    <cfRule type="expression" dxfId="4079" priority="865">
      <formula>SEARCH("IN CORSO",$M50)&gt;0</formula>
    </cfRule>
    <cfRule type="expression" dxfId="4078" priority="866">
      <formula>SEARCH("CHIUSO",$M50)&gt;0</formula>
    </cfRule>
    <cfRule type="expression" dxfId="4077" priority="867">
      <formula>SEARCH("EMESSO",$M50)&gt;0</formula>
    </cfRule>
    <cfRule type="expression" dxfId="4076" priority="868">
      <formula>SEARCH("RICHIESTO",$M50)&gt;0</formula>
    </cfRule>
    <cfRule type="expression" dxfId="4075" priority="869">
      <formula>SEARCH("DA CHIUDERE",$M50)&gt;0</formula>
    </cfRule>
    <cfRule type="expression" dxfId="4074" priority="870">
      <formula>SEARCH("INTERROTTO",$M50)&gt;0</formula>
    </cfRule>
  </conditionalFormatting>
  <conditionalFormatting sqref="E50:F50 N50:S50">
    <cfRule type="expression" dxfId="4073" priority="871">
      <formula>SEARCH("IN CORSO",$M50)&gt;0</formula>
    </cfRule>
    <cfRule type="expression" dxfId="4072" priority="872">
      <formula>SEARCH("CHIUSO",$M50)&gt;0</formula>
    </cfRule>
    <cfRule type="expression" dxfId="4071" priority="873">
      <formula>SEARCH("EMESSO",$M50)&gt;0</formula>
    </cfRule>
    <cfRule type="expression" dxfId="4070" priority="874">
      <formula>SEARCH("RICHIESTO",$M50)&gt;0</formula>
    </cfRule>
    <cfRule type="expression" dxfId="4069" priority="875">
      <formula>SEARCH("DA CHIUDERE",$M50)&gt;0</formula>
    </cfRule>
    <cfRule type="expression" dxfId="4068" priority="876">
      <formula>SEARCH("INTERROTTO",$M50)&gt;0</formula>
    </cfRule>
  </conditionalFormatting>
  <conditionalFormatting sqref="M50">
    <cfRule type="expression" dxfId="4067" priority="859">
      <formula>SEARCH("IN CORSO",$M50)&gt;0</formula>
    </cfRule>
    <cfRule type="expression" dxfId="4066" priority="860">
      <formula>SEARCH("CHIUSO",$M50)&gt;0</formula>
    </cfRule>
    <cfRule type="expression" dxfId="4065" priority="861">
      <formula>SEARCH("EMESSO",$M50)&gt;0</formula>
    </cfRule>
    <cfRule type="expression" dxfId="4064" priority="862">
      <formula>SEARCH("RICHIESTO",$M50)&gt;0</formula>
    </cfRule>
    <cfRule type="expression" dxfId="4063" priority="863">
      <formula>SEARCH("DA CHIUDERE",$M50)&gt;0</formula>
    </cfRule>
    <cfRule type="expression" dxfId="4062" priority="864">
      <formula>SEARCH("INTERROTTO",$M50)&gt;0</formula>
    </cfRule>
  </conditionalFormatting>
  <conditionalFormatting sqref="G49">
    <cfRule type="expression" dxfId="4061" priority="847">
      <formula>SEARCH("IN CORSO",$M49)&gt;0</formula>
    </cfRule>
    <cfRule type="expression" dxfId="4060" priority="848">
      <formula>SEARCH("CHIUSO",$M49)&gt;0</formula>
    </cfRule>
    <cfRule type="expression" dxfId="4059" priority="849">
      <formula>SEARCH("EMESSO",$M49)&gt;0</formula>
    </cfRule>
    <cfRule type="expression" dxfId="4058" priority="850">
      <formula>SEARCH("RICHIESTO",$M49)&gt;0</formula>
    </cfRule>
    <cfRule type="expression" dxfId="4057" priority="851">
      <formula>SEARCH("DA CHIUDERE",$M49)&gt;0</formula>
    </cfRule>
    <cfRule type="expression" dxfId="4056" priority="852">
      <formula>SEARCH("INTERROTTO",$M49)&gt;0</formula>
    </cfRule>
  </conditionalFormatting>
  <conditionalFormatting sqref="E49:F49 N49:S49">
    <cfRule type="expression" dxfId="4055" priority="853">
      <formula>SEARCH("IN CORSO",$M49)&gt;0</formula>
    </cfRule>
    <cfRule type="expression" dxfId="4054" priority="854">
      <formula>SEARCH("CHIUSO",$M49)&gt;0</formula>
    </cfRule>
    <cfRule type="expression" dxfId="4053" priority="855">
      <formula>SEARCH("EMESSO",$M49)&gt;0</formula>
    </cfRule>
    <cfRule type="expression" dxfId="4052" priority="856">
      <formula>SEARCH("RICHIESTO",$M49)&gt;0</formula>
    </cfRule>
    <cfRule type="expression" dxfId="4051" priority="857">
      <formula>SEARCH("DA CHIUDERE",$M49)&gt;0</formula>
    </cfRule>
    <cfRule type="expression" dxfId="4050" priority="858">
      <formula>SEARCH("INTERROTTO",$M49)&gt;0</formula>
    </cfRule>
  </conditionalFormatting>
  <conditionalFormatting sqref="M49">
    <cfRule type="expression" dxfId="4049" priority="841">
      <formula>SEARCH("IN CORSO",$M49)&gt;0</formula>
    </cfRule>
    <cfRule type="expression" dxfId="4048" priority="842">
      <formula>SEARCH("CHIUSO",$M49)&gt;0</formula>
    </cfRule>
    <cfRule type="expression" dxfId="4047" priority="843">
      <formula>SEARCH("EMESSO",$M49)&gt;0</formula>
    </cfRule>
    <cfRule type="expression" dxfId="4046" priority="844">
      <formula>SEARCH("RICHIESTO",$M49)&gt;0</formula>
    </cfRule>
    <cfRule type="expression" dxfId="4045" priority="845">
      <formula>SEARCH("DA CHIUDERE",$M49)&gt;0</formula>
    </cfRule>
    <cfRule type="expression" dxfId="4044" priority="846">
      <formula>SEARCH("INTERROTTO",$M49)&gt;0</formula>
    </cfRule>
  </conditionalFormatting>
  <conditionalFormatting sqref="G48">
    <cfRule type="expression" dxfId="4043" priority="829">
      <formula>SEARCH("IN CORSO",$M48)&gt;0</formula>
    </cfRule>
    <cfRule type="expression" dxfId="4042" priority="830">
      <formula>SEARCH("CHIUSO",$M48)&gt;0</formula>
    </cfRule>
    <cfRule type="expression" dxfId="4041" priority="831">
      <formula>SEARCH("EMESSO",$M48)&gt;0</formula>
    </cfRule>
    <cfRule type="expression" dxfId="4040" priority="832">
      <formula>SEARCH("RICHIESTO",$M48)&gt;0</formula>
    </cfRule>
    <cfRule type="expression" dxfId="4039" priority="833">
      <formula>SEARCH("DA CHIUDERE",$M48)&gt;0</formula>
    </cfRule>
    <cfRule type="expression" dxfId="4038" priority="834">
      <formula>SEARCH("INTERROTTO",$M48)&gt;0</formula>
    </cfRule>
  </conditionalFormatting>
  <conditionalFormatting sqref="E48:F48 N48:S48">
    <cfRule type="expression" dxfId="4037" priority="835">
      <formula>SEARCH("IN CORSO",$M48)&gt;0</formula>
    </cfRule>
    <cfRule type="expression" dxfId="4036" priority="836">
      <formula>SEARCH("CHIUSO",$M48)&gt;0</formula>
    </cfRule>
    <cfRule type="expression" dxfId="4035" priority="837">
      <formula>SEARCH("EMESSO",$M48)&gt;0</formula>
    </cfRule>
    <cfRule type="expression" dxfId="4034" priority="838">
      <formula>SEARCH("RICHIESTO",$M48)&gt;0</formula>
    </cfRule>
    <cfRule type="expression" dxfId="4033" priority="839">
      <formula>SEARCH("DA CHIUDERE",$M48)&gt;0</formula>
    </cfRule>
    <cfRule type="expression" dxfId="4032" priority="840">
      <formula>SEARCH("INTERROTTO",$M48)&gt;0</formula>
    </cfRule>
  </conditionalFormatting>
  <conditionalFormatting sqref="M48">
    <cfRule type="expression" dxfId="4031" priority="823">
      <formula>SEARCH("IN CORSO",$M48)&gt;0</formula>
    </cfRule>
    <cfRule type="expression" dxfId="4030" priority="824">
      <formula>SEARCH("CHIUSO",$M48)&gt;0</formula>
    </cfRule>
    <cfRule type="expression" dxfId="4029" priority="825">
      <formula>SEARCH("EMESSO",$M48)&gt;0</formula>
    </cfRule>
    <cfRule type="expression" dxfId="4028" priority="826">
      <formula>SEARCH("RICHIESTO",$M48)&gt;0</formula>
    </cfRule>
    <cfRule type="expression" dxfId="4027" priority="827">
      <formula>SEARCH("DA CHIUDERE",$M48)&gt;0</formula>
    </cfRule>
    <cfRule type="expression" dxfId="4026" priority="828">
      <formula>SEARCH("INTERROTTO",$M48)&gt;0</formula>
    </cfRule>
  </conditionalFormatting>
  <conditionalFormatting sqref="G47">
    <cfRule type="expression" dxfId="4025" priority="811">
      <formula>SEARCH("IN CORSO",$M47)&gt;0</formula>
    </cfRule>
    <cfRule type="expression" dxfId="4024" priority="812">
      <formula>SEARCH("CHIUSO",$M47)&gt;0</formula>
    </cfRule>
    <cfRule type="expression" dxfId="4023" priority="813">
      <formula>SEARCH("EMESSO",$M47)&gt;0</formula>
    </cfRule>
    <cfRule type="expression" dxfId="4022" priority="814">
      <formula>SEARCH("RICHIESTO",$M47)&gt;0</formula>
    </cfRule>
    <cfRule type="expression" dxfId="4021" priority="815">
      <formula>SEARCH("DA CHIUDERE",$M47)&gt;0</formula>
    </cfRule>
    <cfRule type="expression" dxfId="4020" priority="816">
      <formula>SEARCH("INTERROTTO",$M47)&gt;0</formula>
    </cfRule>
  </conditionalFormatting>
  <conditionalFormatting sqref="E47:F47 N47:S47">
    <cfRule type="expression" dxfId="4019" priority="817">
      <formula>SEARCH("IN CORSO",$M47)&gt;0</formula>
    </cfRule>
    <cfRule type="expression" dxfId="4018" priority="818">
      <formula>SEARCH("CHIUSO",$M47)&gt;0</formula>
    </cfRule>
    <cfRule type="expression" dxfId="4017" priority="819">
      <formula>SEARCH("EMESSO",$M47)&gt;0</formula>
    </cfRule>
    <cfRule type="expression" dxfId="4016" priority="820">
      <formula>SEARCH("RICHIESTO",$M47)&gt;0</formula>
    </cfRule>
    <cfRule type="expression" dxfId="4015" priority="821">
      <formula>SEARCH("DA CHIUDERE",$M47)&gt;0</formula>
    </cfRule>
    <cfRule type="expression" dxfId="4014" priority="822">
      <formula>SEARCH("INTERROTTO",$M47)&gt;0</formula>
    </cfRule>
  </conditionalFormatting>
  <conditionalFormatting sqref="M47">
    <cfRule type="expression" dxfId="4013" priority="805">
      <formula>SEARCH("IN CORSO",$M47)&gt;0</formula>
    </cfRule>
    <cfRule type="expression" dxfId="4012" priority="806">
      <formula>SEARCH("CHIUSO",$M47)&gt;0</formula>
    </cfRule>
    <cfRule type="expression" dxfId="4011" priority="807">
      <formula>SEARCH("EMESSO",$M47)&gt;0</formula>
    </cfRule>
    <cfRule type="expression" dxfId="4010" priority="808">
      <formula>SEARCH("RICHIESTO",$M47)&gt;0</formula>
    </cfRule>
    <cfRule type="expression" dxfId="4009" priority="809">
      <formula>SEARCH("DA CHIUDERE",$M47)&gt;0</formula>
    </cfRule>
    <cfRule type="expression" dxfId="4008" priority="810">
      <formula>SEARCH("INTERROTTO",$M47)&gt;0</formula>
    </cfRule>
  </conditionalFormatting>
  <conditionalFormatting sqref="G46">
    <cfRule type="expression" dxfId="4007" priority="793">
      <formula>SEARCH("IN CORSO",$M46)&gt;0</formula>
    </cfRule>
    <cfRule type="expression" dxfId="4006" priority="794">
      <formula>SEARCH("CHIUSO",$M46)&gt;0</formula>
    </cfRule>
    <cfRule type="expression" dxfId="4005" priority="795">
      <formula>SEARCH("EMESSO",$M46)&gt;0</formula>
    </cfRule>
    <cfRule type="expression" dxfId="4004" priority="796">
      <formula>SEARCH("RICHIESTO",$M46)&gt;0</formula>
    </cfRule>
    <cfRule type="expression" dxfId="4003" priority="797">
      <formula>SEARCH("DA CHIUDERE",$M46)&gt;0</formula>
    </cfRule>
    <cfRule type="expression" dxfId="4002" priority="798">
      <formula>SEARCH("INTERROTTO",$M46)&gt;0</formula>
    </cfRule>
  </conditionalFormatting>
  <conditionalFormatting sqref="E46:F46 N46:S46">
    <cfRule type="expression" dxfId="4001" priority="799">
      <formula>SEARCH("IN CORSO",$M46)&gt;0</formula>
    </cfRule>
    <cfRule type="expression" dxfId="4000" priority="800">
      <formula>SEARCH("CHIUSO",$M46)&gt;0</formula>
    </cfRule>
    <cfRule type="expression" dxfId="3999" priority="801">
      <formula>SEARCH("EMESSO",$M46)&gt;0</formula>
    </cfRule>
    <cfRule type="expression" dxfId="3998" priority="802">
      <formula>SEARCH("RICHIESTO",$M46)&gt;0</formula>
    </cfRule>
    <cfRule type="expression" dxfId="3997" priority="803">
      <formula>SEARCH("DA CHIUDERE",$M46)&gt;0</formula>
    </cfRule>
    <cfRule type="expression" dxfId="3996" priority="804">
      <formula>SEARCH("INTERROTTO",$M46)&gt;0</formula>
    </cfRule>
  </conditionalFormatting>
  <conditionalFormatting sqref="M46">
    <cfRule type="expression" dxfId="3995" priority="787">
      <formula>SEARCH("IN CORSO",$M46)&gt;0</formula>
    </cfRule>
    <cfRule type="expression" dxfId="3994" priority="788">
      <formula>SEARCH("CHIUSO",$M46)&gt;0</formula>
    </cfRule>
    <cfRule type="expression" dxfId="3993" priority="789">
      <formula>SEARCH("EMESSO",$M46)&gt;0</formula>
    </cfRule>
    <cfRule type="expression" dxfId="3992" priority="790">
      <formula>SEARCH("RICHIESTO",$M46)&gt;0</formula>
    </cfRule>
    <cfRule type="expression" dxfId="3991" priority="791">
      <formula>SEARCH("DA CHIUDERE",$M46)&gt;0</formula>
    </cfRule>
    <cfRule type="expression" dxfId="3990" priority="792">
      <formula>SEARCH("INTERROTTO",$M46)&gt;0</formula>
    </cfRule>
  </conditionalFormatting>
  <conditionalFormatting sqref="G45">
    <cfRule type="expression" dxfId="3989" priority="775">
      <formula>SEARCH("IN CORSO",$M45)&gt;0</formula>
    </cfRule>
    <cfRule type="expression" dxfId="3988" priority="776">
      <formula>SEARCH("CHIUSO",$M45)&gt;0</formula>
    </cfRule>
    <cfRule type="expression" dxfId="3987" priority="777">
      <formula>SEARCH("EMESSO",$M45)&gt;0</formula>
    </cfRule>
    <cfRule type="expression" dxfId="3986" priority="778">
      <formula>SEARCH("RICHIESTO",$M45)&gt;0</formula>
    </cfRule>
    <cfRule type="expression" dxfId="3985" priority="779">
      <formula>SEARCH("DA CHIUDERE",$M45)&gt;0</formula>
    </cfRule>
    <cfRule type="expression" dxfId="3984" priority="780">
      <formula>SEARCH("INTERROTTO",$M45)&gt;0</formula>
    </cfRule>
  </conditionalFormatting>
  <conditionalFormatting sqref="E45:F45 N45:S45">
    <cfRule type="expression" dxfId="3983" priority="781">
      <formula>SEARCH("IN CORSO",$M45)&gt;0</formula>
    </cfRule>
    <cfRule type="expression" dxfId="3982" priority="782">
      <formula>SEARCH("CHIUSO",$M45)&gt;0</formula>
    </cfRule>
    <cfRule type="expression" dxfId="3981" priority="783">
      <formula>SEARCH("EMESSO",$M45)&gt;0</formula>
    </cfRule>
    <cfRule type="expression" dxfId="3980" priority="784">
      <formula>SEARCH("RICHIESTO",$M45)&gt;0</formula>
    </cfRule>
    <cfRule type="expression" dxfId="3979" priority="785">
      <formula>SEARCH("DA CHIUDERE",$M45)&gt;0</formula>
    </cfRule>
    <cfRule type="expression" dxfId="3978" priority="786">
      <formula>SEARCH("INTERROTTO",$M45)&gt;0</formula>
    </cfRule>
  </conditionalFormatting>
  <conditionalFormatting sqref="M45">
    <cfRule type="expression" dxfId="3977" priority="769">
      <formula>SEARCH("IN CORSO",$M45)&gt;0</formula>
    </cfRule>
    <cfRule type="expression" dxfId="3976" priority="770">
      <formula>SEARCH("CHIUSO",$M45)&gt;0</formula>
    </cfRule>
    <cfRule type="expression" dxfId="3975" priority="771">
      <formula>SEARCH("EMESSO",$M45)&gt;0</formula>
    </cfRule>
    <cfRule type="expression" dxfId="3974" priority="772">
      <formula>SEARCH("RICHIESTO",$M45)&gt;0</formula>
    </cfRule>
    <cfRule type="expression" dxfId="3973" priority="773">
      <formula>SEARCH("DA CHIUDERE",$M45)&gt;0</formula>
    </cfRule>
    <cfRule type="expression" dxfId="3972" priority="774">
      <formula>SEARCH("INTERROTTO",$M45)&gt;0</formula>
    </cfRule>
  </conditionalFormatting>
  <conditionalFormatting sqref="G44">
    <cfRule type="expression" dxfId="3971" priority="739">
      <formula>SEARCH("IN CORSO",$M44)&gt;0</formula>
    </cfRule>
    <cfRule type="expression" dxfId="3970" priority="740">
      <formula>SEARCH("CHIUSO",$M44)&gt;0</formula>
    </cfRule>
    <cfRule type="expression" dxfId="3969" priority="741">
      <formula>SEARCH("EMESSO",$M44)&gt;0</formula>
    </cfRule>
    <cfRule type="expression" dxfId="3968" priority="742">
      <formula>SEARCH("RICHIESTO",$M44)&gt;0</formula>
    </cfRule>
    <cfRule type="expression" dxfId="3967" priority="743">
      <formula>SEARCH("DA CHIUDERE",$M44)&gt;0</formula>
    </cfRule>
    <cfRule type="expression" dxfId="3966" priority="744">
      <formula>SEARCH("INTERROTTO",$M44)&gt;0</formula>
    </cfRule>
  </conditionalFormatting>
  <conditionalFormatting sqref="E44:F44 N44:S44">
    <cfRule type="expression" dxfId="3965" priority="745">
      <formula>SEARCH("IN CORSO",$M44)&gt;0</formula>
    </cfRule>
    <cfRule type="expression" dxfId="3964" priority="746">
      <formula>SEARCH("CHIUSO",$M44)&gt;0</formula>
    </cfRule>
    <cfRule type="expression" dxfId="3963" priority="747">
      <formula>SEARCH("EMESSO",$M44)&gt;0</formula>
    </cfRule>
    <cfRule type="expression" dxfId="3962" priority="748">
      <formula>SEARCH("RICHIESTO",$M44)&gt;0</formula>
    </cfRule>
    <cfRule type="expression" dxfId="3961" priority="749">
      <formula>SEARCH("DA CHIUDERE",$M44)&gt;0</formula>
    </cfRule>
    <cfRule type="expression" dxfId="3960" priority="750">
      <formula>SEARCH("INTERROTTO",$M44)&gt;0</formula>
    </cfRule>
  </conditionalFormatting>
  <conditionalFormatting sqref="M44">
    <cfRule type="expression" dxfId="3959" priority="733">
      <formula>SEARCH("IN CORSO",$M44)&gt;0</formula>
    </cfRule>
    <cfRule type="expression" dxfId="3958" priority="734">
      <formula>SEARCH("CHIUSO",$M44)&gt;0</formula>
    </cfRule>
    <cfRule type="expression" dxfId="3957" priority="735">
      <formula>SEARCH("EMESSO",$M44)&gt;0</formula>
    </cfRule>
    <cfRule type="expression" dxfId="3956" priority="736">
      <formula>SEARCH("RICHIESTO",$M44)&gt;0</formula>
    </cfRule>
    <cfRule type="expression" dxfId="3955" priority="737">
      <formula>SEARCH("DA CHIUDERE",$M44)&gt;0</formula>
    </cfRule>
    <cfRule type="expression" dxfId="3954" priority="738">
      <formula>SEARCH("INTERROTTO",$M44)&gt;0</formula>
    </cfRule>
  </conditionalFormatting>
  <conditionalFormatting sqref="M378">
    <cfRule type="expression" dxfId="3953" priority="727">
      <formula>SEARCH("IN CORSO",$M378)&gt;0</formula>
    </cfRule>
    <cfRule type="expression" dxfId="3952" priority="728">
      <formula>SEARCH("CHIUSO",$M378)&gt;0</formula>
    </cfRule>
    <cfRule type="expression" dxfId="3951" priority="729">
      <formula>SEARCH("EMESSO",$M378)&gt;0</formula>
    </cfRule>
    <cfRule type="expression" dxfId="3950" priority="730">
      <formula>SEARCH("RICHIESTO",$M378)&gt;0</formula>
    </cfRule>
    <cfRule type="expression" dxfId="3949" priority="731">
      <formula>SEARCH("DA CHIUDERE",$M378)&gt;0</formula>
    </cfRule>
    <cfRule type="expression" dxfId="3948" priority="732">
      <formula>SEARCH("INTERROTTO",$M378)&gt;0</formula>
    </cfRule>
  </conditionalFormatting>
  <conditionalFormatting sqref="G43">
    <cfRule type="expression" dxfId="3947" priority="715">
      <formula>SEARCH("IN CORSO",$M43)&gt;0</formula>
    </cfRule>
    <cfRule type="expression" dxfId="3946" priority="716">
      <formula>SEARCH("CHIUSO",$M43)&gt;0</formula>
    </cfRule>
    <cfRule type="expression" dxfId="3945" priority="717">
      <formula>SEARCH("EMESSO",$M43)&gt;0</formula>
    </cfRule>
    <cfRule type="expression" dxfId="3944" priority="718">
      <formula>SEARCH("RICHIESTO",$M43)&gt;0</formula>
    </cfRule>
    <cfRule type="expression" dxfId="3943" priority="719">
      <formula>SEARCH("DA CHIUDERE",$M43)&gt;0</formula>
    </cfRule>
    <cfRule type="expression" dxfId="3942" priority="720">
      <formula>SEARCH("INTERROTTO",$M43)&gt;0</formula>
    </cfRule>
  </conditionalFormatting>
  <conditionalFormatting sqref="E43:F43 N43:S43">
    <cfRule type="expression" dxfId="3941" priority="721">
      <formula>SEARCH("IN CORSO",$M43)&gt;0</formula>
    </cfRule>
    <cfRule type="expression" dxfId="3940" priority="722">
      <formula>SEARCH("CHIUSO",$M43)&gt;0</formula>
    </cfRule>
    <cfRule type="expression" dxfId="3939" priority="723">
      <formula>SEARCH("EMESSO",$M43)&gt;0</formula>
    </cfRule>
    <cfRule type="expression" dxfId="3938" priority="724">
      <formula>SEARCH("RICHIESTO",$M43)&gt;0</formula>
    </cfRule>
    <cfRule type="expression" dxfId="3937" priority="725">
      <formula>SEARCH("DA CHIUDERE",$M43)&gt;0</formula>
    </cfRule>
    <cfRule type="expression" dxfId="3936" priority="726">
      <formula>SEARCH("INTERROTTO",$M43)&gt;0</formula>
    </cfRule>
  </conditionalFormatting>
  <conditionalFormatting sqref="M43">
    <cfRule type="expression" dxfId="3935" priority="709">
      <formula>SEARCH("IN CORSO",$M43)&gt;0</formula>
    </cfRule>
    <cfRule type="expression" dxfId="3934" priority="710">
      <formula>SEARCH("CHIUSO",$M43)&gt;0</formula>
    </cfRule>
    <cfRule type="expression" dxfId="3933" priority="711">
      <formula>SEARCH("EMESSO",$M43)&gt;0</formula>
    </cfRule>
    <cfRule type="expression" dxfId="3932" priority="712">
      <formula>SEARCH("RICHIESTO",$M43)&gt;0</formula>
    </cfRule>
    <cfRule type="expression" dxfId="3931" priority="713">
      <formula>SEARCH("DA CHIUDERE",$M43)&gt;0</formula>
    </cfRule>
    <cfRule type="expression" dxfId="3930" priority="714">
      <formula>SEARCH("INTERROTTO",$M43)&gt;0</formula>
    </cfRule>
  </conditionalFormatting>
  <conditionalFormatting sqref="G42">
    <cfRule type="expression" dxfId="3929" priority="697">
      <formula>SEARCH("IN CORSO",$M42)&gt;0</formula>
    </cfRule>
    <cfRule type="expression" dxfId="3928" priority="698">
      <formula>SEARCH("CHIUSO",$M42)&gt;0</formula>
    </cfRule>
    <cfRule type="expression" dxfId="3927" priority="699">
      <formula>SEARCH("EMESSO",$M42)&gt;0</formula>
    </cfRule>
    <cfRule type="expression" dxfId="3926" priority="700">
      <formula>SEARCH("RICHIESTO",$M42)&gt;0</formula>
    </cfRule>
    <cfRule type="expression" dxfId="3925" priority="701">
      <formula>SEARCH("DA CHIUDERE",$M42)&gt;0</formula>
    </cfRule>
    <cfRule type="expression" dxfId="3924" priority="702">
      <formula>SEARCH("INTERROTTO",$M42)&gt;0</formula>
    </cfRule>
  </conditionalFormatting>
  <conditionalFormatting sqref="E42:F42 N42:S42">
    <cfRule type="expression" dxfId="3923" priority="703">
      <formula>SEARCH("IN CORSO",$M42)&gt;0</formula>
    </cfRule>
    <cfRule type="expression" dxfId="3922" priority="704">
      <formula>SEARCH("CHIUSO",$M42)&gt;0</formula>
    </cfRule>
    <cfRule type="expression" dxfId="3921" priority="705">
      <formula>SEARCH("EMESSO",$M42)&gt;0</formula>
    </cfRule>
    <cfRule type="expression" dxfId="3920" priority="706">
      <formula>SEARCH("RICHIESTO",$M42)&gt;0</formula>
    </cfRule>
    <cfRule type="expression" dxfId="3919" priority="707">
      <formula>SEARCH("DA CHIUDERE",$M42)&gt;0</formula>
    </cfRule>
    <cfRule type="expression" dxfId="3918" priority="708">
      <formula>SEARCH("INTERROTTO",$M42)&gt;0</formula>
    </cfRule>
  </conditionalFormatting>
  <conditionalFormatting sqref="M42">
    <cfRule type="expression" dxfId="3917" priority="691">
      <formula>SEARCH("IN CORSO",$M42)&gt;0</formula>
    </cfRule>
    <cfRule type="expression" dxfId="3916" priority="692">
      <formula>SEARCH("CHIUSO",$M42)&gt;0</formula>
    </cfRule>
    <cfRule type="expression" dxfId="3915" priority="693">
      <formula>SEARCH("EMESSO",$M42)&gt;0</formula>
    </cfRule>
    <cfRule type="expression" dxfId="3914" priority="694">
      <formula>SEARCH("RICHIESTO",$M42)&gt;0</formula>
    </cfRule>
    <cfRule type="expression" dxfId="3913" priority="695">
      <formula>SEARCH("DA CHIUDERE",$M42)&gt;0</formula>
    </cfRule>
    <cfRule type="expression" dxfId="3912" priority="696">
      <formula>SEARCH("INTERROTTO",$M42)&gt;0</formula>
    </cfRule>
  </conditionalFormatting>
  <conditionalFormatting sqref="G41">
    <cfRule type="expression" dxfId="3911" priority="679">
      <formula>SEARCH("IN CORSO",$M41)&gt;0</formula>
    </cfRule>
    <cfRule type="expression" dxfId="3910" priority="680">
      <formula>SEARCH("CHIUSO",$M41)&gt;0</formula>
    </cfRule>
    <cfRule type="expression" dxfId="3909" priority="681">
      <formula>SEARCH("EMESSO",$M41)&gt;0</formula>
    </cfRule>
    <cfRule type="expression" dxfId="3908" priority="682">
      <formula>SEARCH("RICHIESTO",$M41)&gt;0</formula>
    </cfRule>
    <cfRule type="expression" dxfId="3907" priority="683">
      <formula>SEARCH("DA CHIUDERE",$M41)&gt;0</formula>
    </cfRule>
    <cfRule type="expression" dxfId="3906" priority="684">
      <formula>SEARCH("INTERROTTO",$M41)&gt;0</formula>
    </cfRule>
  </conditionalFormatting>
  <conditionalFormatting sqref="E41:F41 N41:S41">
    <cfRule type="expression" dxfId="3905" priority="685">
      <formula>SEARCH("IN CORSO",$M41)&gt;0</formula>
    </cfRule>
    <cfRule type="expression" dxfId="3904" priority="686">
      <formula>SEARCH("CHIUSO",$M41)&gt;0</formula>
    </cfRule>
    <cfRule type="expression" dxfId="3903" priority="687">
      <formula>SEARCH("EMESSO",$M41)&gt;0</formula>
    </cfRule>
    <cfRule type="expression" dxfId="3902" priority="688">
      <formula>SEARCH("RICHIESTO",$M41)&gt;0</formula>
    </cfRule>
    <cfRule type="expression" dxfId="3901" priority="689">
      <formula>SEARCH("DA CHIUDERE",$M41)&gt;0</formula>
    </cfRule>
    <cfRule type="expression" dxfId="3900" priority="690">
      <formula>SEARCH("INTERROTTO",$M41)&gt;0</formula>
    </cfRule>
  </conditionalFormatting>
  <conditionalFormatting sqref="M41">
    <cfRule type="expression" dxfId="3899" priority="673">
      <formula>SEARCH("IN CORSO",$M41)&gt;0</formula>
    </cfRule>
    <cfRule type="expression" dxfId="3898" priority="674">
      <formula>SEARCH("CHIUSO",$M41)&gt;0</formula>
    </cfRule>
    <cfRule type="expression" dxfId="3897" priority="675">
      <formula>SEARCH("EMESSO",$M41)&gt;0</formula>
    </cfRule>
    <cfRule type="expression" dxfId="3896" priority="676">
      <formula>SEARCH("RICHIESTO",$M41)&gt;0</formula>
    </cfRule>
    <cfRule type="expression" dxfId="3895" priority="677">
      <formula>SEARCH("DA CHIUDERE",$M41)&gt;0</formula>
    </cfRule>
    <cfRule type="expression" dxfId="3894" priority="678">
      <formula>SEARCH("INTERROTTO",$M41)&gt;0</formula>
    </cfRule>
  </conditionalFormatting>
  <conditionalFormatting sqref="G40">
    <cfRule type="expression" dxfId="3893" priority="661">
      <formula>SEARCH("IN CORSO",$M40)&gt;0</formula>
    </cfRule>
    <cfRule type="expression" dxfId="3892" priority="662">
      <formula>SEARCH("CHIUSO",$M40)&gt;0</formula>
    </cfRule>
    <cfRule type="expression" dxfId="3891" priority="663">
      <formula>SEARCH("EMESSO",$M40)&gt;0</formula>
    </cfRule>
    <cfRule type="expression" dxfId="3890" priority="664">
      <formula>SEARCH("RICHIESTO",$M40)&gt;0</formula>
    </cfRule>
    <cfRule type="expression" dxfId="3889" priority="665">
      <formula>SEARCH("DA CHIUDERE",$M40)&gt;0</formula>
    </cfRule>
    <cfRule type="expression" dxfId="3888" priority="666">
      <formula>SEARCH("INTERROTTO",$M40)&gt;0</formula>
    </cfRule>
  </conditionalFormatting>
  <conditionalFormatting sqref="E40:F40 N40:S40">
    <cfRule type="expression" dxfId="3887" priority="667">
      <formula>SEARCH("IN CORSO",$M40)&gt;0</formula>
    </cfRule>
    <cfRule type="expression" dxfId="3886" priority="668">
      <formula>SEARCH("CHIUSO",$M40)&gt;0</formula>
    </cfRule>
    <cfRule type="expression" dxfId="3885" priority="669">
      <formula>SEARCH("EMESSO",$M40)&gt;0</formula>
    </cfRule>
    <cfRule type="expression" dxfId="3884" priority="670">
      <formula>SEARCH("RICHIESTO",$M40)&gt;0</formula>
    </cfRule>
    <cfRule type="expression" dxfId="3883" priority="671">
      <formula>SEARCH("DA CHIUDERE",$M40)&gt;0</formula>
    </cfRule>
    <cfRule type="expression" dxfId="3882" priority="672">
      <formula>SEARCH("INTERROTTO",$M40)&gt;0</formula>
    </cfRule>
  </conditionalFormatting>
  <conditionalFormatting sqref="M40">
    <cfRule type="expression" dxfId="3881" priority="655">
      <formula>SEARCH("IN CORSO",$M40)&gt;0</formula>
    </cfRule>
    <cfRule type="expression" dxfId="3880" priority="656">
      <formula>SEARCH("CHIUSO",$M40)&gt;0</formula>
    </cfRule>
    <cfRule type="expression" dxfId="3879" priority="657">
      <formula>SEARCH("EMESSO",$M40)&gt;0</formula>
    </cfRule>
    <cfRule type="expression" dxfId="3878" priority="658">
      <formula>SEARCH("RICHIESTO",$M40)&gt;0</formula>
    </cfRule>
    <cfRule type="expression" dxfId="3877" priority="659">
      <formula>SEARCH("DA CHIUDERE",$M40)&gt;0</formula>
    </cfRule>
    <cfRule type="expression" dxfId="3876" priority="660">
      <formula>SEARCH("INTERROTTO",$M40)&gt;0</formula>
    </cfRule>
  </conditionalFormatting>
  <conditionalFormatting sqref="G39">
    <cfRule type="expression" dxfId="3875" priority="643">
      <formula>SEARCH("IN CORSO",$M39)&gt;0</formula>
    </cfRule>
    <cfRule type="expression" dxfId="3874" priority="644">
      <formula>SEARCH("CHIUSO",$M39)&gt;0</formula>
    </cfRule>
    <cfRule type="expression" dxfId="3873" priority="645">
      <formula>SEARCH("EMESSO",$M39)&gt;0</formula>
    </cfRule>
    <cfRule type="expression" dxfId="3872" priority="646">
      <formula>SEARCH("RICHIESTO",$M39)&gt;0</formula>
    </cfRule>
    <cfRule type="expression" dxfId="3871" priority="647">
      <formula>SEARCH("DA CHIUDERE",$M39)&gt;0</formula>
    </cfRule>
    <cfRule type="expression" dxfId="3870" priority="648">
      <formula>SEARCH("INTERROTTO",$M39)&gt;0</formula>
    </cfRule>
  </conditionalFormatting>
  <conditionalFormatting sqref="E39:F39 N39:S39">
    <cfRule type="expression" dxfId="3869" priority="649">
      <formula>SEARCH("IN CORSO",$M39)&gt;0</formula>
    </cfRule>
    <cfRule type="expression" dxfId="3868" priority="650">
      <formula>SEARCH("CHIUSO",$M39)&gt;0</formula>
    </cfRule>
    <cfRule type="expression" dxfId="3867" priority="651">
      <formula>SEARCH("EMESSO",$M39)&gt;0</formula>
    </cfRule>
    <cfRule type="expression" dxfId="3866" priority="652">
      <formula>SEARCH("RICHIESTO",$M39)&gt;0</formula>
    </cfRule>
    <cfRule type="expression" dxfId="3865" priority="653">
      <formula>SEARCH("DA CHIUDERE",$M39)&gt;0</formula>
    </cfRule>
    <cfRule type="expression" dxfId="3864" priority="654">
      <formula>SEARCH("INTERROTTO",$M39)&gt;0</formula>
    </cfRule>
  </conditionalFormatting>
  <conditionalFormatting sqref="M39">
    <cfRule type="expression" dxfId="3863" priority="637">
      <formula>SEARCH("IN CORSO",$M39)&gt;0</formula>
    </cfRule>
    <cfRule type="expression" dxfId="3862" priority="638">
      <formula>SEARCH("CHIUSO",$M39)&gt;0</formula>
    </cfRule>
    <cfRule type="expression" dxfId="3861" priority="639">
      <formula>SEARCH("EMESSO",$M39)&gt;0</formula>
    </cfRule>
    <cfRule type="expression" dxfId="3860" priority="640">
      <formula>SEARCH("RICHIESTO",$M39)&gt;0</formula>
    </cfRule>
    <cfRule type="expression" dxfId="3859" priority="641">
      <formula>SEARCH("DA CHIUDERE",$M39)&gt;0</formula>
    </cfRule>
    <cfRule type="expression" dxfId="3858" priority="642">
      <formula>SEARCH("INTERROTTO",$M39)&gt;0</formula>
    </cfRule>
  </conditionalFormatting>
  <conditionalFormatting sqref="G38">
    <cfRule type="expression" dxfId="3857" priority="625">
      <formula>SEARCH("IN CORSO",$M38)&gt;0</formula>
    </cfRule>
    <cfRule type="expression" dxfId="3856" priority="626">
      <formula>SEARCH("CHIUSO",$M38)&gt;0</formula>
    </cfRule>
    <cfRule type="expression" dxfId="3855" priority="627">
      <formula>SEARCH("EMESSO",$M38)&gt;0</formula>
    </cfRule>
    <cfRule type="expression" dxfId="3854" priority="628">
      <formula>SEARCH("RICHIESTO",$M38)&gt;0</formula>
    </cfRule>
    <cfRule type="expression" dxfId="3853" priority="629">
      <formula>SEARCH("DA CHIUDERE",$M38)&gt;0</formula>
    </cfRule>
    <cfRule type="expression" dxfId="3852" priority="630">
      <formula>SEARCH("INTERROTTO",$M38)&gt;0</formula>
    </cfRule>
  </conditionalFormatting>
  <conditionalFormatting sqref="E38:F38 N38:S38">
    <cfRule type="expression" dxfId="3851" priority="631">
      <formula>SEARCH("IN CORSO",$M38)&gt;0</formula>
    </cfRule>
    <cfRule type="expression" dxfId="3850" priority="632">
      <formula>SEARCH("CHIUSO",$M38)&gt;0</formula>
    </cfRule>
    <cfRule type="expression" dxfId="3849" priority="633">
      <formula>SEARCH("EMESSO",$M38)&gt;0</formula>
    </cfRule>
    <cfRule type="expression" dxfId="3848" priority="634">
      <formula>SEARCH("RICHIESTO",$M38)&gt;0</formula>
    </cfRule>
    <cfRule type="expression" dxfId="3847" priority="635">
      <formula>SEARCH("DA CHIUDERE",$M38)&gt;0</formula>
    </cfRule>
    <cfRule type="expression" dxfId="3846" priority="636">
      <formula>SEARCH("INTERROTTO",$M38)&gt;0</formula>
    </cfRule>
  </conditionalFormatting>
  <conditionalFormatting sqref="M38">
    <cfRule type="expression" dxfId="3845" priority="619">
      <formula>SEARCH("IN CORSO",$M38)&gt;0</formula>
    </cfRule>
    <cfRule type="expression" dxfId="3844" priority="620">
      <formula>SEARCH("CHIUSO",$M38)&gt;0</formula>
    </cfRule>
    <cfRule type="expression" dxfId="3843" priority="621">
      <formula>SEARCH("EMESSO",$M38)&gt;0</formula>
    </cfRule>
    <cfRule type="expression" dxfId="3842" priority="622">
      <formula>SEARCH("RICHIESTO",$M38)&gt;0</formula>
    </cfRule>
    <cfRule type="expression" dxfId="3841" priority="623">
      <formula>SEARCH("DA CHIUDERE",$M38)&gt;0</formula>
    </cfRule>
    <cfRule type="expression" dxfId="3840" priority="624">
      <formula>SEARCH("INTERROTTO",$M38)&gt;0</formula>
    </cfRule>
  </conditionalFormatting>
  <conditionalFormatting sqref="G37">
    <cfRule type="expression" dxfId="3839" priority="607">
      <formula>SEARCH("IN CORSO",$M37)&gt;0</formula>
    </cfRule>
    <cfRule type="expression" dxfId="3838" priority="608">
      <formula>SEARCH("CHIUSO",$M37)&gt;0</formula>
    </cfRule>
    <cfRule type="expression" dxfId="3837" priority="609">
      <formula>SEARCH("EMESSO",$M37)&gt;0</formula>
    </cfRule>
    <cfRule type="expression" dxfId="3836" priority="610">
      <formula>SEARCH("RICHIESTO",$M37)&gt;0</formula>
    </cfRule>
    <cfRule type="expression" dxfId="3835" priority="611">
      <formula>SEARCH("DA CHIUDERE",$M37)&gt;0</formula>
    </cfRule>
    <cfRule type="expression" dxfId="3834" priority="612">
      <formula>SEARCH("INTERROTTO",$M37)&gt;0</formula>
    </cfRule>
  </conditionalFormatting>
  <conditionalFormatting sqref="E37:F37 N37:S37">
    <cfRule type="expression" dxfId="3833" priority="613">
      <formula>SEARCH("IN CORSO",$M37)&gt;0</formula>
    </cfRule>
    <cfRule type="expression" dxfId="3832" priority="614">
      <formula>SEARCH("CHIUSO",$M37)&gt;0</formula>
    </cfRule>
    <cfRule type="expression" dxfId="3831" priority="615">
      <formula>SEARCH("EMESSO",$M37)&gt;0</formula>
    </cfRule>
    <cfRule type="expression" dxfId="3830" priority="616">
      <formula>SEARCH("RICHIESTO",$M37)&gt;0</formula>
    </cfRule>
    <cfRule type="expression" dxfId="3829" priority="617">
      <formula>SEARCH("DA CHIUDERE",$M37)&gt;0</formula>
    </cfRule>
    <cfRule type="expression" dxfId="3828" priority="618">
      <formula>SEARCH("INTERROTTO",$M37)&gt;0</formula>
    </cfRule>
  </conditionalFormatting>
  <conditionalFormatting sqref="M37">
    <cfRule type="expression" dxfId="3827" priority="601">
      <formula>SEARCH("IN CORSO",$M37)&gt;0</formula>
    </cfRule>
    <cfRule type="expression" dxfId="3826" priority="602">
      <formula>SEARCH("CHIUSO",$M37)&gt;0</formula>
    </cfRule>
    <cfRule type="expression" dxfId="3825" priority="603">
      <formula>SEARCH("EMESSO",$M37)&gt;0</formula>
    </cfRule>
    <cfRule type="expression" dxfId="3824" priority="604">
      <formula>SEARCH("RICHIESTO",$M37)&gt;0</formula>
    </cfRule>
    <cfRule type="expression" dxfId="3823" priority="605">
      <formula>SEARCH("DA CHIUDERE",$M37)&gt;0</formula>
    </cfRule>
    <cfRule type="expression" dxfId="3822" priority="606">
      <formula>SEARCH("INTERROTTO",$M37)&gt;0</formula>
    </cfRule>
  </conditionalFormatting>
  <conditionalFormatting sqref="G36">
    <cfRule type="expression" dxfId="3821" priority="589">
      <formula>SEARCH("IN CORSO",$M36)&gt;0</formula>
    </cfRule>
    <cfRule type="expression" dxfId="3820" priority="590">
      <formula>SEARCH("CHIUSO",$M36)&gt;0</formula>
    </cfRule>
    <cfRule type="expression" dxfId="3819" priority="591">
      <formula>SEARCH("EMESSO",$M36)&gt;0</formula>
    </cfRule>
    <cfRule type="expression" dxfId="3818" priority="592">
      <formula>SEARCH("RICHIESTO",$M36)&gt;0</formula>
    </cfRule>
    <cfRule type="expression" dxfId="3817" priority="593">
      <formula>SEARCH("DA CHIUDERE",$M36)&gt;0</formula>
    </cfRule>
    <cfRule type="expression" dxfId="3816" priority="594">
      <formula>SEARCH("INTERROTTO",$M36)&gt;0</formula>
    </cfRule>
  </conditionalFormatting>
  <conditionalFormatting sqref="E36:F36 N36:S36">
    <cfRule type="expression" dxfId="3815" priority="595">
      <formula>SEARCH("IN CORSO",$M36)&gt;0</formula>
    </cfRule>
    <cfRule type="expression" dxfId="3814" priority="596">
      <formula>SEARCH("CHIUSO",$M36)&gt;0</formula>
    </cfRule>
    <cfRule type="expression" dxfId="3813" priority="597">
      <formula>SEARCH("EMESSO",$M36)&gt;0</formula>
    </cfRule>
    <cfRule type="expression" dxfId="3812" priority="598">
      <formula>SEARCH("RICHIESTO",$M36)&gt;0</formula>
    </cfRule>
    <cfRule type="expression" dxfId="3811" priority="599">
      <formula>SEARCH("DA CHIUDERE",$M36)&gt;0</formula>
    </cfRule>
    <cfRule type="expression" dxfId="3810" priority="600">
      <formula>SEARCH("INTERROTTO",$M36)&gt;0</formula>
    </cfRule>
  </conditionalFormatting>
  <conditionalFormatting sqref="M36">
    <cfRule type="expression" dxfId="3809" priority="583">
      <formula>SEARCH("IN CORSO",$M36)&gt;0</formula>
    </cfRule>
    <cfRule type="expression" dxfId="3808" priority="584">
      <formula>SEARCH("CHIUSO",$M36)&gt;0</formula>
    </cfRule>
    <cfRule type="expression" dxfId="3807" priority="585">
      <formula>SEARCH("EMESSO",$M36)&gt;0</formula>
    </cfRule>
    <cfRule type="expression" dxfId="3806" priority="586">
      <formula>SEARCH("RICHIESTO",$M36)&gt;0</formula>
    </cfRule>
    <cfRule type="expression" dxfId="3805" priority="587">
      <formula>SEARCH("DA CHIUDERE",$M36)&gt;0</formula>
    </cfRule>
    <cfRule type="expression" dxfId="3804" priority="588">
      <formula>SEARCH("INTERROTTO",$M36)&gt;0</formula>
    </cfRule>
  </conditionalFormatting>
  <conditionalFormatting sqref="G35">
    <cfRule type="expression" dxfId="3803" priority="571">
      <formula>SEARCH("IN CORSO",$M35)&gt;0</formula>
    </cfRule>
    <cfRule type="expression" dxfId="3802" priority="572">
      <formula>SEARCH("CHIUSO",$M35)&gt;0</formula>
    </cfRule>
    <cfRule type="expression" dxfId="3801" priority="573">
      <formula>SEARCH("EMESSO",$M35)&gt;0</formula>
    </cfRule>
    <cfRule type="expression" dxfId="3800" priority="574">
      <formula>SEARCH("RICHIESTO",$M35)&gt;0</formula>
    </cfRule>
    <cfRule type="expression" dxfId="3799" priority="575">
      <formula>SEARCH("DA CHIUDERE",$M35)&gt;0</formula>
    </cfRule>
    <cfRule type="expression" dxfId="3798" priority="576">
      <formula>SEARCH("INTERROTTO",$M35)&gt;0</formula>
    </cfRule>
  </conditionalFormatting>
  <conditionalFormatting sqref="E35:F35 N35:S35">
    <cfRule type="expression" dxfId="3797" priority="577">
      <formula>SEARCH("IN CORSO",$M35)&gt;0</formula>
    </cfRule>
    <cfRule type="expression" dxfId="3796" priority="578">
      <formula>SEARCH("CHIUSO",$M35)&gt;0</formula>
    </cfRule>
    <cfRule type="expression" dxfId="3795" priority="579">
      <formula>SEARCH("EMESSO",$M35)&gt;0</formula>
    </cfRule>
    <cfRule type="expression" dxfId="3794" priority="580">
      <formula>SEARCH("RICHIESTO",$M35)&gt;0</formula>
    </cfRule>
    <cfRule type="expression" dxfId="3793" priority="581">
      <formula>SEARCH("DA CHIUDERE",$M35)&gt;0</formula>
    </cfRule>
    <cfRule type="expression" dxfId="3792" priority="582">
      <formula>SEARCH("INTERROTTO",$M35)&gt;0</formula>
    </cfRule>
  </conditionalFormatting>
  <conditionalFormatting sqref="M35">
    <cfRule type="expression" dxfId="3791" priority="565">
      <formula>SEARCH("IN CORSO",$M35)&gt;0</formula>
    </cfRule>
    <cfRule type="expression" dxfId="3790" priority="566">
      <formula>SEARCH("CHIUSO",$M35)&gt;0</formula>
    </cfRule>
    <cfRule type="expression" dxfId="3789" priority="567">
      <formula>SEARCH("EMESSO",$M35)&gt;0</formula>
    </cfRule>
    <cfRule type="expression" dxfId="3788" priority="568">
      <formula>SEARCH("RICHIESTO",$M35)&gt;0</formula>
    </cfRule>
    <cfRule type="expression" dxfId="3787" priority="569">
      <formula>SEARCH("DA CHIUDERE",$M35)&gt;0</formula>
    </cfRule>
    <cfRule type="expression" dxfId="3786" priority="570">
      <formula>SEARCH("INTERROTTO",$M35)&gt;0</formula>
    </cfRule>
  </conditionalFormatting>
  <conditionalFormatting sqref="G34">
    <cfRule type="expression" dxfId="3785" priority="553">
      <formula>SEARCH("IN CORSO",$M34)&gt;0</formula>
    </cfRule>
    <cfRule type="expression" dxfId="3784" priority="554">
      <formula>SEARCH("CHIUSO",$M34)&gt;0</formula>
    </cfRule>
    <cfRule type="expression" dxfId="3783" priority="555">
      <formula>SEARCH("EMESSO",$M34)&gt;0</formula>
    </cfRule>
    <cfRule type="expression" dxfId="3782" priority="556">
      <formula>SEARCH("RICHIESTO",$M34)&gt;0</formula>
    </cfRule>
    <cfRule type="expression" dxfId="3781" priority="557">
      <formula>SEARCH("DA CHIUDERE",$M34)&gt;0</formula>
    </cfRule>
    <cfRule type="expression" dxfId="3780" priority="558">
      <formula>SEARCH("INTERROTTO",$M34)&gt;0</formula>
    </cfRule>
  </conditionalFormatting>
  <conditionalFormatting sqref="E34:F34 N34:S34">
    <cfRule type="expression" dxfId="3779" priority="559">
      <formula>SEARCH("IN CORSO",$M34)&gt;0</formula>
    </cfRule>
    <cfRule type="expression" dxfId="3778" priority="560">
      <formula>SEARCH("CHIUSO",$M34)&gt;0</formula>
    </cfRule>
    <cfRule type="expression" dxfId="3777" priority="561">
      <formula>SEARCH("EMESSO",$M34)&gt;0</formula>
    </cfRule>
    <cfRule type="expression" dxfId="3776" priority="562">
      <formula>SEARCH("RICHIESTO",$M34)&gt;0</formula>
    </cfRule>
    <cfRule type="expression" dxfId="3775" priority="563">
      <formula>SEARCH("DA CHIUDERE",$M34)&gt;0</formula>
    </cfRule>
    <cfRule type="expression" dxfId="3774" priority="564">
      <formula>SEARCH("INTERROTTO",$M34)&gt;0</formula>
    </cfRule>
  </conditionalFormatting>
  <conditionalFormatting sqref="M34">
    <cfRule type="expression" dxfId="3773" priority="547">
      <formula>SEARCH("IN CORSO",$M34)&gt;0</formula>
    </cfRule>
    <cfRule type="expression" dxfId="3772" priority="548">
      <formula>SEARCH("CHIUSO",$M34)&gt;0</formula>
    </cfRule>
    <cfRule type="expression" dxfId="3771" priority="549">
      <formula>SEARCH("EMESSO",$M34)&gt;0</formula>
    </cfRule>
    <cfRule type="expression" dxfId="3770" priority="550">
      <formula>SEARCH("RICHIESTO",$M34)&gt;0</formula>
    </cfRule>
    <cfRule type="expression" dxfId="3769" priority="551">
      <formula>SEARCH("DA CHIUDERE",$M34)&gt;0</formula>
    </cfRule>
    <cfRule type="expression" dxfId="3768" priority="552">
      <formula>SEARCH("INTERROTTO",$M34)&gt;0</formula>
    </cfRule>
  </conditionalFormatting>
  <conditionalFormatting sqref="G33">
    <cfRule type="expression" dxfId="3767" priority="535">
      <formula>SEARCH("IN CORSO",$M33)&gt;0</formula>
    </cfRule>
    <cfRule type="expression" dxfId="3766" priority="536">
      <formula>SEARCH("CHIUSO",$M33)&gt;0</formula>
    </cfRule>
    <cfRule type="expression" dxfId="3765" priority="537">
      <formula>SEARCH("EMESSO",$M33)&gt;0</formula>
    </cfRule>
    <cfRule type="expression" dxfId="3764" priority="538">
      <formula>SEARCH("RICHIESTO",$M33)&gt;0</formula>
    </cfRule>
    <cfRule type="expression" dxfId="3763" priority="539">
      <formula>SEARCH("DA CHIUDERE",$M33)&gt;0</formula>
    </cfRule>
    <cfRule type="expression" dxfId="3762" priority="540">
      <formula>SEARCH("INTERROTTO",$M33)&gt;0</formula>
    </cfRule>
  </conditionalFormatting>
  <conditionalFormatting sqref="E33:F33 N33:S33">
    <cfRule type="expression" dxfId="3761" priority="541">
      <formula>SEARCH("IN CORSO",$M33)&gt;0</formula>
    </cfRule>
    <cfRule type="expression" dxfId="3760" priority="542">
      <formula>SEARCH("CHIUSO",$M33)&gt;0</formula>
    </cfRule>
    <cfRule type="expression" dxfId="3759" priority="543">
      <formula>SEARCH("EMESSO",$M33)&gt;0</formula>
    </cfRule>
    <cfRule type="expression" dxfId="3758" priority="544">
      <formula>SEARCH("RICHIESTO",$M33)&gt;0</formula>
    </cfRule>
    <cfRule type="expression" dxfId="3757" priority="545">
      <formula>SEARCH("DA CHIUDERE",$M33)&gt;0</formula>
    </cfRule>
    <cfRule type="expression" dxfId="3756" priority="546">
      <formula>SEARCH("INTERROTTO",$M33)&gt;0</formula>
    </cfRule>
  </conditionalFormatting>
  <conditionalFormatting sqref="M33">
    <cfRule type="expression" dxfId="3755" priority="529">
      <formula>SEARCH("IN CORSO",$M33)&gt;0</formula>
    </cfRule>
    <cfRule type="expression" dxfId="3754" priority="530">
      <formula>SEARCH("CHIUSO",$M33)&gt;0</formula>
    </cfRule>
    <cfRule type="expression" dxfId="3753" priority="531">
      <formula>SEARCH("EMESSO",$M33)&gt;0</formula>
    </cfRule>
    <cfRule type="expression" dxfId="3752" priority="532">
      <formula>SEARCH("RICHIESTO",$M33)&gt;0</formula>
    </cfRule>
    <cfRule type="expression" dxfId="3751" priority="533">
      <formula>SEARCH("DA CHIUDERE",$M33)&gt;0</formula>
    </cfRule>
    <cfRule type="expression" dxfId="3750" priority="534">
      <formula>SEARCH("INTERROTTO",$M33)&gt;0</formula>
    </cfRule>
  </conditionalFormatting>
  <conditionalFormatting sqref="G32">
    <cfRule type="expression" dxfId="3749" priority="517">
      <formula>SEARCH("IN CORSO",$M32)&gt;0</formula>
    </cfRule>
    <cfRule type="expression" dxfId="3748" priority="518">
      <formula>SEARCH("CHIUSO",$M32)&gt;0</formula>
    </cfRule>
    <cfRule type="expression" dxfId="3747" priority="519">
      <formula>SEARCH("EMESSO",$M32)&gt;0</formula>
    </cfRule>
    <cfRule type="expression" dxfId="3746" priority="520">
      <formula>SEARCH("RICHIESTO",$M32)&gt;0</formula>
    </cfRule>
    <cfRule type="expression" dxfId="3745" priority="521">
      <formula>SEARCH("DA CHIUDERE",$M32)&gt;0</formula>
    </cfRule>
    <cfRule type="expression" dxfId="3744" priority="522">
      <formula>SEARCH("INTERROTTO",$M32)&gt;0</formula>
    </cfRule>
  </conditionalFormatting>
  <conditionalFormatting sqref="E32:F32 N32:S32">
    <cfRule type="expression" dxfId="3743" priority="523">
      <formula>SEARCH("IN CORSO",$M32)&gt;0</formula>
    </cfRule>
    <cfRule type="expression" dxfId="3742" priority="524">
      <formula>SEARCH("CHIUSO",$M32)&gt;0</formula>
    </cfRule>
    <cfRule type="expression" dxfId="3741" priority="525">
      <formula>SEARCH("EMESSO",$M32)&gt;0</formula>
    </cfRule>
    <cfRule type="expression" dxfId="3740" priority="526">
      <formula>SEARCH("RICHIESTO",$M32)&gt;0</formula>
    </cfRule>
    <cfRule type="expression" dxfId="3739" priority="527">
      <formula>SEARCH("DA CHIUDERE",$M32)&gt;0</formula>
    </cfRule>
    <cfRule type="expression" dxfId="3738" priority="528">
      <formula>SEARCH("INTERROTTO",$M32)&gt;0</formula>
    </cfRule>
  </conditionalFormatting>
  <conditionalFormatting sqref="M32">
    <cfRule type="expression" dxfId="3737" priority="511">
      <formula>SEARCH("IN CORSO",$M32)&gt;0</formula>
    </cfRule>
    <cfRule type="expression" dxfId="3736" priority="512">
      <formula>SEARCH("CHIUSO",$M32)&gt;0</formula>
    </cfRule>
    <cfRule type="expression" dxfId="3735" priority="513">
      <formula>SEARCH("EMESSO",$M32)&gt;0</formula>
    </cfRule>
    <cfRule type="expression" dxfId="3734" priority="514">
      <formula>SEARCH("RICHIESTO",$M32)&gt;0</formula>
    </cfRule>
    <cfRule type="expression" dxfId="3733" priority="515">
      <formula>SEARCH("DA CHIUDERE",$M32)&gt;0</formula>
    </cfRule>
    <cfRule type="expression" dxfId="3732" priority="516">
      <formula>SEARCH("INTERROTTO",$M32)&gt;0</formula>
    </cfRule>
  </conditionalFormatting>
  <conditionalFormatting sqref="G31">
    <cfRule type="expression" dxfId="3731" priority="499">
      <formula>SEARCH("IN CORSO",$M31)&gt;0</formula>
    </cfRule>
    <cfRule type="expression" dxfId="3730" priority="500">
      <formula>SEARCH("CHIUSO",$M31)&gt;0</formula>
    </cfRule>
    <cfRule type="expression" dxfId="3729" priority="501">
      <formula>SEARCH("EMESSO",$M31)&gt;0</formula>
    </cfRule>
    <cfRule type="expression" dxfId="3728" priority="502">
      <formula>SEARCH("RICHIESTO",$M31)&gt;0</formula>
    </cfRule>
    <cfRule type="expression" dxfId="3727" priority="503">
      <formula>SEARCH("DA CHIUDERE",$M31)&gt;0</formula>
    </cfRule>
    <cfRule type="expression" dxfId="3726" priority="504">
      <formula>SEARCH("INTERROTTO",$M31)&gt;0</formula>
    </cfRule>
  </conditionalFormatting>
  <conditionalFormatting sqref="E31:F31 N31:S31">
    <cfRule type="expression" dxfId="3725" priority="505">
      <formula>SEARCH("IN CORSO",$M31)&gt;0</formula>
    </cfRule>
    <cfRule type="expression" dxfId="3724" priority="506">
      <formula>SEARCH("CHIUSO",$M31)&gt;0</formula>
    </cfRule>
    <cfRule type="expression" dxfId="3723" priority="507">
      <formula>SEARCH("EMESSO",$M31)&gt;0</formula>
    </cfRule>
    <cfRule type="expression" dxfId="3722" priority="508">
      <formula>SEARCH("RICHIESTO",$M31)&gt;0</formula>
    </cfRule>
    <cfRule type="expression" dxfId="3721" priority="509">
      <formula>SEARCH("DA CHIUDERE",$M31)&gt;0</formula>
    </cfRule>
    <cfRule type="expression" dxfId="3720" priority="510">
      <formula>SEARCH("INTERROTTO",$M31)&gt;0</formula>
    </cfRule>
  </conditionalFormatting>
  <conditionalFormatting sqref="M31">
    <cfRule type="expression" dxfId="3719" priority="493">
      <formula>SEARCH("IN CORSO",$M31)&gt;0</formula>
    </cfRule>
    <cfRule type="expression" dxfId="3718" priority="494">
      <formula>SEARCH("CHIUSO",$M31)&gt;0</formula>
    </cfRule>
    <cfRule type="expression" dxfId="3717" priority="495">
      <formula>SEARCH("EMESSO",$M31)&gt;0</formula>
    </cfRule>
    <cfRule type="expression" dxfId="3716" priority="496">
      <formula>SEARCH("RICHIESTO",$M31)&gt;0</formula>
    </cfRule>
    <cfRule type="expression" dxfId="3715" priority="497">
      <formula>SEARCH("DA CHIUDERE",$M31)&gt;0</formula>
    </cfRule>
    <cfRule type="expression" dxfId="3714" priority="498">
      <formula>SEARCH("INTERROTTO",$M31)&gt;0</formula>
    </cfRule>
  </conditionalFormatting>
  <conditionalFormatting sqref="G30">
    <cfRule type="expression" dxfId="3713" priority="481">
      <formula>SEARCH("IN CORSO",$M30)&gt;0</formula>
    </cfRule>
    <cfRule type="expression" dxfId="3712" priority="482">
      <formula>SEARCH("CHIUSO",$M30)&gt;0</formula>
    </cfRule>
    <cfRule type="expression" dxfId="3711" priority="483">
      <formula>SEARCH("EMESSO",$M30)&gt;0</formula>
    </cfRule>
    <cfRule type="expression" dxfId="3710" priority="484">
      <formula>SEARCH("RICHIESTO",$M30)&gt;0</formula>
    </cfRule>
    <cfRule type="expression" dxfId="3709" priority="485">
      <formula>SEARCH("DA CHIUDERE",$M30)&gt;0</formula>
    </cfRule>
    <cfRule type="expression" dxfId="3708" priority="486">
      <formula>SEARCH("INTERROTTO",$M30)&gt;0</formula>
    </cfRule>
  </conditionalFormatting>
  <conditionalFormatting sqref="E30:F30 N30:S30">
    <cfRule type="expression" dxfId="3707" priority="487">
      <formula>SEARCH("IN CORSO",$M30)&gt;0</formula>
    </cfRule>
    <cfRule type="expression" dxfId="3706" priority="488">
      <formula>SEARCH("CHIUSO",$M30)&gt;0</formula>
    </cfRule>
    <cfRule type="expression" dxfId="3705" priority="489">
      <formula>SEARCH("EMESSO",$M30)&gt;0</formula>
    </cfRule>
    <cfRule type="expression" dxfId="3704" priority="490">
      <formula>SEARCH("RICHIESTO",$M30)&gt;0</formula>
    </cfRule>
    <cfRule type="expression" dxfId="3703" priority="491">
      <formula>SEARCH("DA CHIUDERE",$M30)&gt;0</formula>
    </cfRule>
    <cfRule type="expression" dxfId="3702" priority="492">
      <formula>SEARCH("INTERROTTO",$M30)&gt;0</formula>
    </cfRule>
  </conditionalFormatting>
  <conditionalFormatting sqref="M30">
    <cfRule type="expression" dxfId="3701" priority="475">
      <formula>SEARCH("IN CORSO",$M30)&gt;0</formula>
    </cfRule>
    <cfRule type="expression" dxfId="3700" priority="476">
      <formula>SEARCH("CHIUSO",$M30)&gt;0</formula>
    </cfRule>
    <cfRule type="expression" dxfId="3699" priority="477">
      <formula>SEARCH("EMESSO",$M30)&gt;0</formula>
    </cfRule>
    <cfRule type="expression" dxfId="3698" priority="478">
      <formula>SEARCH("RICHIESTO",$M30)&gt;0</formula>
    </cfRule>
    <cfRule type="expression" dxfId="3697" priority="479">
      <formula>SEARCH("DA CHIUDERE",$M30)&gt;0</formula>
    </cfRule>
    <cfRule type="expression" dxfId="3696" priority="480">
      <formula>SEARCH("INTERROTTO",$M30)&gt;0</formula>
    </cfRule>
  </conditionalFormatting>
  <conditionalFormatting sqref="G29">
    <cfRule type="expression" dxfId="3695" priority="463">
      <formula>SEARCH("IN CORSO",$M29)&gt;0</formula>
    </cfRule>
    <cfRule type="expression" dxfId="3694" priority="464">
      <formula>SEARCH("CHIUSO",$M29)&gt;0</formula>
    </cfRule>
    <cfRule type="expression" dxfId="3693" priority="465">
      <formula>SEARCH("EMESSO",$M29)&gt;0</formula>
    </cfRule>
    <cfRule type="expression" dxfId="3692" priority="466">
      <formula>SEARCH("RICHIESTO",$M29)&gt;0</formula>
    </cfRule>
    <cfRule type="expression" dxfId="3691" priority="467">
      <formula>SEARCH("DA CHIUDERE",$M29)&gt;0</formula>
    </cfRule>
    <cfRule type="expression" dxfId="3690" priority="468">
      <formula>SEARCH("INTERROTTO",$M29)&gt;0</formula>
    </cfRule>
  </conditionalFormatting>
  <conditionalFormatting sqref="E29:F29 N29:S29">
    <cfRule type="expression" dxfId="3689" priority="469">
      <formula>SEARCH("IN CORSO",$M29)&gt;0</formula>
    </cfRule>
    <cfRule type="expression" dxfId="3688" priority="470">
      <formula>SEARCH("CHIUSO",$M29)&gt;0</formula>
    </cfRule>
    <cfRule type="expression" dxfId="3687" priority="471">
      <formula>SEARCH("EMESSO",$M29)&gt;0</formula>
    </cfRule>
    <cfRule type="expression" dxfId="3686" priority="472">
      <formula>SEARCH("RICHIESTO",$M29)&gt;0</formula>
    </cfRule>
    <cfRule type="expression" dxfId="3685" priority="473">
      <formula>SEARCH("DA CHIUDERE",$M29)&gt;0</formula>
    </cfRule>
    <cfRule type="expression" dxfId="3684" priority="474">
      <formula>SEARCH("INTERROTTO",$M29)&gt;0</formula>
    </cfRule>
  </conditionalFormatting>
  <conditionalFormatting sqref="M29">
    <cfRule type="expression" dxfId="3683" priority="457">
      <formula>SEARCH("IN CORSO",$M29)&gt;0</formula>
    </cfRule>
    <cfRule type="expression" dxfId="3682" priority="458">
      <formula>SEARCH("CHIUSO",$M29)&gt;0</formula>
    </cfRule>
    <cfRule type="expression" dxfId="3681" priority="459">
      <formula>SEARCH("EMESSO",$M29)&gt;0</formula>
    </cfRule>
    <cfRule type="expression" dxfId="3680" priority="460">
      <formula>SEARCH("RICHIESTO",$M29)&gt;0</formula>
    </cfRule>
    <cfRule type="expression" dxfId="3679" priority="461">
      <formula>SEARCH("DA CHIUDERE",$M29)&gt;0</formula>
    </cfRule>
    <cfRule type="expression" dxfId="3678" priority="462">
      <formula>SEARCH("INTERROTTO",$M29)&gt;0</formula>
    </cfRule>
  </conditionalFormatting>
  <conditionalFormatting sqref="G28">
    <cfRule type="expression" dxfId="3677" priority="445">
      <formula>SEARCH("IN CORSO",$M28)&gt;0</formula>
    </cfRule>
    <cfRule type="expression" dxfId="3676" priority="446">
      <formula>SEARCH("CHIUSO",$M28)&gt;0</formula>
    </cfRule>
    <cfRule type="expression" dxfId="3675" priority="447">
      <formula>SEARCH("EMESSO",$M28)&gt;0</formula>
    </cfRule>
    <cfRule type="expression" dxfId="3674" priority="448">
      <formula>SEARCH("RICHIESTO",$M28)&gt;0</formula>
    </cfRule>
    <cfRule type="expression" dxfId="3673" priority="449">
      <formula>SEARCH("DA CHIUDERE",$M28)&gt;0</formula>
    </cfRule>
    <cfRule type="expression" dxfId="3672" priority="450">
      <formula>SEARCH("INTERROTTO",$M28)&gt;0</formula>
    </cfRule>
  </conditionalFormatting>
  <conditionalFormatting sqref="E28:F28 N28:S28">
    <cfRule type="expression" dxfId="3671" priority="451">
      <formula>SEARCH("IN CORSO",$M28)&gt;0</formula>
    </cfRule>
    <cfRule type="expression" dxfId="3670" priority="452">
      <formula>SEARCH("CHIUSO",$M28)&gt;0</formula>
    </cfRule>
    <cfRule type="expression" dxfId="3669" priority="453">
      <formula>SEARCH("EMESSO",$M28)&gt;0</formula>
    </cfRule>
    <cfRule type="expression" dxfId="3668" priority="454">
      <formula>SEARCH("RICHIESTO",$M28)&gt;0</formula>
    </cfRule>
    <cfRule type="expression" dxfId="3667" priority="455">
      <formula>SEARCH("DA CHIUDERE",$M28)&gt;0</formula>
    </cfRule>
    <cfRule type="expression" dxfId="3666" priority="456">
      <formula>SEARCH("INTERROTTO",$M28)&gt;0</formula>
    </cfRule>
  </conditionalFormatting>
  <conditionalFormatting sqref="M28">
    <cfRule type="expression" dxfId="3665" priority="439">
      <formula>SEARCH("IN CORSO",$M28)&gt;0</formula>
    </cfRule>
    <cfRule type="expression" dxfId="3664" priority="440">
      <formula>SEARCH("CHIUSO",$M28)&gt;0</formula>
    </cfRule>
    <cfRule type="expression" dxfId="3663" priority="441">
      <formula>SEARCH("EMESSO",$M28)&gt;0</formula>
    </cfRule>
    <cfRule type="expression" dxfId="3662" priority="442">
      <formula>SEARCH("RICHIESTO",$M28)&gt;0</formula>
    </cfRule>
    <cfRule type="expression" dxfId="3661" priority="443">
      <formula>SEARCH("DA CHIUDERE",$M28)&gt;0</formula>
    </cfRule>
    <cfRule type="expression" dxfId="3660" priority="444">
      <formula>SEARCH("INTERROTTO",$M28)&gt;0</formula>
    </cfRule>
  </conditionalFormatting>
  <conditionalFormatting sqref="G27">
    <cfRule type="expression" dxfId="3659" priority="427">
      <formula>SEARCH("IN CORSO",$M27)&gt;0</formula>
    </cfRule>
    <cfRule type="expression" dxfId="3658" priority="428">
      <formula>SEARCH("CHIUSO",$M27)&gt;0</formula>
    </cfRule>
    <cfRule type="expression" dxfId="3657" priority="429">
      <formula>SEARCH("EMESSO",$M27)&gt;0</formula>
    </cfRule>
    <cfRule type="expression" dxfId="3656" priority="430">
      <formula>SEARCH("RICHIESTO",$M27)&gt;0</formula>
    </cfRule>
    <cfRule type="expression" dxfId="3655" priority="431">
      <formula>SEARCH("DA CHIUDERE",$M27)&gt;0</formula>
    </cfRule>
    <cfRule type="expression" dxfId="3654" priority="432">
      <formula>SEARCH("INTERROTTO",$M27)&gt;0</formula>
    </cfRule>
  </conditionalFormatting>
  <conditionalFormatting sqref="E27:F27 N27:S27">
    <cfRule type="expression" dxfId="3653" priority="433">
      <formula>SEARCH("IN CORSO",$M27)&gt;0</formula>
    </cfRule>
    <cfRule type="expression" dxfId="3652" priority="434">
      <formula>SEARCH("CHIUSO",$M27)&gt;0</formula>
    </cfRule>
    <cfRule type="expression" dxfId="3651" priority="435">
      <formula>SEARCH("EMESSO",$M27)&gt;0</formula>
    </cfRule>
    <cfRule type="expression" dxfId="3650" priority="436">
      <formula>SEARCH("RICHIESTO",$M27)&gt;0</formula>
    </cfRule>
    <cfRule type="expression" dxfId="3649" priority="437">
      <formula>SEARCH("DA CHIUDERE",$M27)&gt;0</formula>
    </cfRule>
    <cfRule type="expression" dxfId="3648" priority="438">
      <formula>SEARCH("INTERROTTO",$M27)&gt;0</formula>
    </cfRule>
  </conditionalFormatting>
  <conditionalFormatting sqref="M27">
    <cfRule type="expression" dxfId="3647" priority="421">
      <formula>SEARCH("IN CORSO",$M27)&gt;0</formula>
    </cfRule>
    <cfRule type="expression" dxfId="3646" priority="422">
      <formula>SEARCH("CHIUSO",$M27)&gt;0</formula>
    </cfRule>
    <cfRule type="expression" dxfId="3645" priority="423">
      <formula>SEARCH("EMESSO",$M27)&gt;0</formula>
    </cfRule>
    <cfRule type="expression" dxfId="3644" priority="424">
      <formula>SEARCH("RICHIESTO",$M27)&gt;0</formula>
    </cfRule>
    <cfRule type="expression" dxfId="3643" priority="425">
      <formula>SEARCH("DA CHIUDERE",$M27)&gt;0</formula>
    </cfRule>
    <cfRule type="expression" dxfId="3642" priority="426">
      <formula>SEARCH("INTERROTTO",$M27)&gt;0</formula>
    </cfRule>
  </conditionalFormatting>
  <conditionalFormatting sqref="G26">
    <cfRule type="expression" dxfId="3641" priority="409">
      <formula>SEARCH("IN CORSO",$M26)&gt;0</formula>
    </cfRule>
    <cfRule type="expression" dxfId="3640" priority="410">
      <formula>SEARCH("CHIUSO",$M26)&gt;0</formula>
    </cfRule>
    <cfRule type="expression" dxfId="3639" priority="411">
      <formula>SEARCH("EMESSO",$M26)&gt;0</formula>
    </cfRule>
    <cfRule type="expression" dxfId="3638" priority="412">
      <formula>SEARCH("RICHIESTO",$M26)&gt;0</formula>
    </cfRule>
    <cfRule type="expression" dxfId="3637" priority="413">
      <formula>SEARCH("DA CHIUDERE",$M26)&gt;0</formula>
    </cfRule>
    <cfRule type="expression" dxfId="3636" priority="414">
      <formula>SEARCH("INTERROTTO",$M26)&gt;0</formula>
    </cfRule>
  </conditionalFormatting>
  <conditionalFormatting sqref="E26:F26 N26:S26">
    <cfRule type="expression" dxfId="3635" priority="415">
      <formula>SEARCH("IN CORSO",$M26)&gt;0</formula>
    </cfRule>
    <cfRule type="expression" dxfId="3634" priority="416">
      <formula>SEARCH("CHIUSO",$M26)&gt;0</formula>
    </cfRule>
    <cfRule type="expression" dxfId="3633" priority="417">
      <formula>SEARCH("EMESSO",$M26)&gt;0</formula>
    </cfRule>
    <cfRule type="expression" dxfId="3632" priority="418">
      <formula>SEARCH("RICHIESTO",$M26)&gt;0</formula>
    </cfRule>
    <cfRule type="expression" dxfId="3631" priority="419">
      <formula>SEARCH("DA CHIUDERE",$M26)&gt;0</formula>
    </cfRule>
    <cfRule type="expression" dxfId="3630" priority="420">
      <formula>SEARCH("INTERROTTO",$M26)&gt;0</formula>
    </cfRule>
  </conditionalFormatting>
  <conditionalFormatting sqref="M26">
    <cfRule type="expression" dxfId="3629" priority="403">
      <formula>SEARCH("IN CORSO",$M26)&gt;0</formula>
    </cfRule>
    <cfRule type="expression" dxfId="3628" priority="404">
      <formula>SEARCH("CHIUSO",$M26)&gt;0</formula>
    </cfRule>
    <cfRule type="expression" dxfId="3627" priority="405">
      <formula>SEARCH("EMESSO",$M26)&gt;0</formula>
    </cfRule>
    <cfRule type="expression" dxfId="3626" priority="406">
      <formula>SEARCH("RICHIESTO",$M26)&gt;0</formula>
    </cfRule>
    <cfRule type="expression" dxfId="3625" priority="407">
      <formula>SEARCH("DA CHIUDERE",$M26)&gt;0</formula>
    </cfRule>
    <cfRule type="expression" dxfId="3624" priority="408">
      <formula>SEARCH("INTERROTTO",$M26)&gt;0</formula>
    </cfRule>
  </conditionalFormatting>
  <conditionalFormatting sqref="G25">
    <cfRule type="expression" dxfId="3623" priority="391">
      <formula>SEARCH("IN CORSO",$M25)&gt;0</formula>
    </cfRule>
    <cfRule type="expression" dxfId="3622" priority="392">
      <formula>SEARCH("CHIUSO",$M25)&gt;0</formula>
    </cfRule>
    <cfRule type="expression" dxfId="3621" priority="393">
      <formula>SEARCH("EMESSO",$M25)&gt;0</formula>
    </cfRule>
    <cfRule type="expression" dxfId="3620" priority="394">
      <formula>SEARCH("RICHIESTO",$M25)&gt;0</formula>
    </cfRule>
    <cfRule type="expression" dxfId="3619" priority="395">
      <formula>SEARCH("DA CHIUDERE",$M25)&gt;0</formula>
    </cfRule>
    <cfRule type="expression" dxfId="3618" priority="396">
      <formula>SEARCH("INTERROTTO",$M25)&gt;0</formula>
    </cfRule>
  </conditionalFormatting>
  <conditionalFormatting sqref="E25:F25 N25:S25">
    <cfRule type="expression" dxfId="3617" priority="397">
      <formula>SEARCH("IN CORSO",$M25)&gt;0</formula>
    </cfRule>
    <cfRule type="expression" dxfId="3616" priority="398">
      <formula>SEARCH("CHIUSO",$M25)&gt;0</formula>
    </cfRule>
    <cfRule type="expression" dxfId="3615" priority="399">
      <formula>SEARCH("EMESSO",$M25)&gt;0</formula>
    </cfRule>
    <cfRule type="expression" dxfId="3614" priority="400">
      <formula>SEARCH("RICHIESTO",$M25)&gt;0</formula>
    </cfRule>
    <cfRule type="expression" dxfId="3613" priority="401">
      <formula>SEARCH("DA CHIUDERE",$M25)&gt;0</formula>
    </cfRule>
    <cfRule type="expression" dxfId="3612" priority="402">
      <formula>SEARCH("INTERROTTO",$M25)&gt;0</formula>
    </cfRule>
  </conditionalFormatting>
  <conditionalFormatting sqref="M25">
    <cfRule type="expression" dxfId="3611" priority="385">
      <formula>SEARCH("IN CORSO",$M25)&gt;0</formula>
    </cfRule>
    <cfRule type="expression" dxfId="3610" priority="386">
      <formula>SEARCH("CHIUSO",$M25)&gt;0</formula>
    </cfRule>
    <cfRule type="expression" dxfId="3609" priority="387">
      <formula>SEARCH("EMESSO",$M25)&gt;0</formula>
    </cfRule>
    <cfRule type="expression" dxfId="3608" priority="388">
      <formula>SEARCH("RICHIESTO",$M25)&gt;0</formula>
    </cfRule>
    <cfRule type="expression" dxfId="3607" priority="389">
      <formula>SEARCH("DA CHIUDERE",$M25)&gt;0</formula>
    </cfRule>
    <cfRule type="expression" dxfId="3606" priority="390">
      <formula>SEARCH("INTERROTTO",$M25)&gt;0</formula>
    </cfRule>
  </conditionalFormatting>
  <conditionalFormatting sqref="G24">
    <cfRule type="expression" dxfId="3605" priority="373">
      <formula>SEARCH("IN CORSO",$M24)&gt;0</formula>
    </cfRule>
    <cfRule type="expression" dxfId="3604" priority="374">
      <formula>SEARCH("CHIUSO",$M24)&gt;0</formula>
    </cfRule>
    <cfRule type="expression" dxfId="3603" priority="375">
      <formula>SEARCH("EMESSO",$M24)&gt;0</formula>
    </cfRule>
    <cfRule type="expression" dxfId="3602" priority="376">
      <formula>SEARCH("RICHIESTO",$M24)&gt;0</formula>
    </cfRule>
    <cfRule type="expression" dxfId="3601" priority="377">
      <formula>SEARCH("DA CHIUDERE",$M24)&gt;0</formula>
    </cfRule>
    <cfRule type="expression" dxfId="3600" priority="378">
      <formula>SEARCH("INTERROTTO",$M24)&gt;0</formula>
    </cfRule>
  </conditionalFormatting>
  <conditionalFormatting sqref="E24:F24 N24:S24">
    <cfRule type="expression" dxfId="3599" priority="379">
      <formula>SEARCH("IN CORSO",$M24)&gt;0</formula>
    </cfRule>
    <cfRule type="expression" dxfId="3598" priority="380">
      <formula>SEARCH("CHIUSO",$M24)&gt;0</formula>
    </cfRule>
    <cfRule type="expression" dxfId="3597" priority="381">
      <formula>SEARCH("EMESSO",$M24)&gt;0</formula>
    </cfRule>
    <cfRule type="expression" dxfId="3596" priority="382">
      <formula>SEARCH("RICHIESTO",$M24)&gt;0</formula>
    </cfRule>
    <cfRule type="expression" dxfId="3595" priority="383">
      <formula>SEARCH("DA CHIUDERE",$M24)&gt;0</formula>
    </cfRule>
    <cfRule type="expression" dxfId="3594" priority="384">
      <formula>SEARCH("INTERROTTO",$M24)&gt;0</formula>
    </cfRule>
  </conditionalFormatting>
  <conditionalFormatting sqref="M24">
    <cfRule type="expression" dxfId="3593" priority="367">
      <formula>SEARCH("IN CORSO",$M24)&gt;0</formula>
    </cfRule>
    <cfRule type="expression" dxfId="3592" priority="368">
      <formula>SEARCH("CHIUSO",$M24)&gt;0</formula>
    </cfRule>
    <cfRule type="expression" dxfId="3591" priority="369">
      <formula>SEARCH("EMESSO",$M24)&gt;0</formula>
    </cfRule>
    <cfRule type="expression" dxfId="3590" priority="370">
      <formula>SEARCH("RICHIESTO",$M24)&gt;0</formula>
    </cfRule>
    <cfRule type="expression" dxfId="3589" priority="371">
      <formula>SEARCH("DA CHIUDERE",$M24)&gt;0</formula>
    </cfRule>
    <cfRule type="expression" dxfId="3588" priority="372">
      <formula>SEARCH("INTERROTTO",$M24)&gt;0</formula>
    </cfRule>
  </conditionalFormatting>
  <conditionalFormatting sqref="G23">
    <cfRule type="expression" dxfId="3587" priority="355">
      <formula>SEARCH("IN CORSO",$M23)&gt;0</formula>
    </cfRule>
    <cfRule type="expression" dxfId="3586" priority="356">
      <formula>SEARCH("CHIUSO",$M23)&gt;0</formula>
    </cfRule>
    <cfRule type="expression" dxfId="3585" priority="357">
      <formula>SEARCH("EMESSO",$M23)&gt;0</formula>
    </cfRule>
    <cfRule type="expression" dxfId="3584" priority="358">
      <formula>SEARCH("RICHIESTO",$M23)&gt;0</formula>
    </cfRule>
    <cfRule type="expression" dxfId="3583" priority="359">
      <formula>SEARCH("DA CHIUDERE",$M23)&gt;0</formula>
    </cfRule>
    <cfRule type="expression" dxfId="3582" priority="360">
      <formula>SEARCH("INTERROTTO",$M23)&gt;0</formula>
    </cfRule>
  </conditionalFormatting>
  <conditionalFormatting sqref="E23:F23 N23:S23">
    <cfRule type="expression" dxfId="3581" priority="361">
      <formula>SEARCH("IN CORSO",$M23)&gt;0</formula>
    </cfRule>
    <cfRule type="expression" dxfId="3580" priority="362">
      <formula>SEARCH("CHIUSO",$M23)&gt;0</formula>
    </cfRule>
    <cfRule type="expression" dxfId="3579" priority="363">
      <formula>SEARCH("EMESSO",$M23)&gt;0</formula>
    </cfRule>
    <cfRule type="expression" dxfId="3578" priority="364">
      <formula>SEARCH("RICHIESTO",$M23)&gt;0</formula>
    </cfRule>
    <cfRule type="expression" dxfId="3577" priority="365">
      <formula>SEARCH("DA CHIUDERE",$M23)&gt;0</formula>
    </cfRule>
    <cfRule type="expression" dxfId="3576" priority="366">
      <formula>SEARCH("INTERROTTO",$M23)&gt;0</formula>
    </cfRule>
  </conditionalFormatting>
  <conditionalFormatting sqref="M23">
    <cfRule type="expression" dxfId="3575" priority="349">
      <formula>SEARCH("IN CORSO",$M23)&gt;0</formula>
    </cfRule>
    <cfRule type="expression" dxfId="3574" priority="350">
      <formula>SEARCH("CHIUSO",$M23)&gt;0</formula>
    </cfRule>
    <cfRule type="expression" dxfId="3573" priority="351">
      <formula>SEARCH("EMESSO",$M23)&gt;0</formula>
    </cfRule>
    <cfRule type="expression" dxfId="3572" priority="352">
      <formula>SEARCH("RICHIESTO",$M23)&gt;0</formula>
    </cfRule>
    <cfRule type="expression" dxfId="3571" priority="353">
      <formula>SEARCH("DA CHIUDERE",$M23)&gt;0</formula>
    </cfRule>
    <cfRule type="expression" dxfId="3570" priority="354">
      <formula>SEARCH("INTERROTTO",$M23)&gt;0</formula>
    </cfRule>
  </conditionalFormatting>
  <conditionalFormatting sqref="G22">
    <cfRule type="expression" dxfId="3569" priority="337">
      <formula>SEARCH("IN CORSO",$M22)&gt;0</formula>
    </cfRule>
    <cfRule type="expression" dxfId="3568" priority="338">
      <formula>SEARCH("CHIUSO",$M22)&gt;0</formula>
    </cfRule>
    <cfRule type="expression" dxfId="3567" priority="339">
      <formula>SEARCH("EMESSO",$M22)&gt;0</formula>
    </cfRule>
    <cfRule type="expression" dxfId="3566" priority="340">
      <formula>SEARCH("RICHIESTO",$M22)&gt;0</formula>
    </cfRule>
    <cfRule type="expression" dxfId="3565" priority="341">
      <formula>SEARCH("DA CHIUDERE",$M22)&gt;0</formula>
    </cfRule>
    <cfRule type="expression" dxfId="3564" priority="342">
      <formula>SEARCH("INTERROTTO",$M22)&gt;0</formula>
    </cfRule>
  </conditionalFormatting>
  <conditionalFormatting sqref="E22:F22 N22:S22">
    <cfRule type="expression" dxfId="3563" priority="343">
      <formula>SEARCH("IN CORSO",$M22)&gt;0</formula>
    </cfRule>
    <cfRule type="expression" dxfId="3562" priority="344">
      <formula>SEARCH("CHIUSO",$M22)&gt;0</formula>
    </cfRule>
    <cfRule type="expression" dxfId="3561" priority="345">
      <formula>SEARCH("EMESSO",$M22)&gt;0</formula>
    </cfRule>
    <cfRule type="expression" dxfId="3560" priority="346">
      <formula>SEARCH("RICHIESTO",$M22)&gt;0</formula>
    </cfRule>
    <cfRule type="expression" dxfId="3559" priority="347">
      <formula>SEARCH("DA CHIUDERE",$M22)&gt;0</formula>
    </cfRule>
    <cfRule type="expression" dxfId="3558" priority="348">
      <formula>SEARCH("INTERROTTO",$M22)&gt;0</formula>
    </cfRule>
  </conditionalFormatting>
  <conditionalFormatting sqref="M22">
    <cfRule type="expression" dxfId="3557" priority="331">
      <formula>SEARCH("IN CORSO",$M22)&gt;0</formula>
    </cfRule>
    <cfRule type="expression" dxfId="3556" priority="332">
      <formula>SEARCH("CHIUSO",$M22)&gt;0</formula>
    </cfRule>
    <cfRule type="expression" dxfId="3555" priority="333">
      <formula>SEARCH("EMESSO",$M22)&gt;0</formula>
    </cfRule>
    <cfRule type="expression" dxfId="3554" priority="334">
      <formula>SEARCH("RICHIESTO",$M22)&gt;0</formula>
    </cfRule>
    <cfRule type="expression" dxfId="3553" priority="335">
      <formula>SEARCH("DA CHIUDERE",$M22)&gt;0</formula>
    </cfRule>
    <cfRule type="expression" dxfId="3552" priority="336">
      <formula>SEARCH("INTERROTTO",$M22)&gt;0</formula>
    </cfRule>
  </conditionalFormatting>
  <conditionalFormatting sqref="G21">
    <cfRule type="expression" dxfId="3551" priority="319">
      <formula>SEARCH("IN CORSO",$M21)&gt;0</formula>
    </cfRule>
    <cfRule type="expression" dxfId="3550" priority="320">
      <formula>SEARCH("CHIUSO",$M21)&gt;0</formula>
    </cfRule>
    <cfRule type="expression" dxfId="3549" priority="321">
      <formula>SEARCH("EMESSO",$M21)&gt;0</formula>
    </cfRule>
    <cfRule type="expression" dxfId="3548" priority="322">
      <formula>SEARCH("RICHIESTO",$M21)&gt;0</formula>
    </cfRule>
    <cfRule type="expression" dxfId="3547" priority="323">
      <formula>SEARCH("DA CHIUDERE",$M21)&gt;0</formula>
    </cfRule>
    <cfRule type="expression" dxfId="3546" priority="324">
      <formula>SEARCH("INTERROTTO",$M21)&gt;0</formula>
    </cfRule>
  </conditionalFormatting>
  <conditionalFormatting sqref="E21:F21 N21:S21">
    <cfRule type="expression" dxfId="3545" priority="325">
      <formula>SEARCH("IN CORSO",$M21)&gt;0</formula>
    </cfRule>
    <cfRule type="expression" dxfId="3544" priority="326">
      <formula>SEARCH("CHIUSO",$M21)&gt;0</formula>
    </cfRule>
    <cfRule type="expression" dxfId="3543" priority="327">
      <formula>SEARCH("EMESSO",$M21)&gt;0</formula>
    </cfRule>
    <cfRule type="expression" dxfId="3542" priority="328">
      <formula>SEARCH("RICHIESTO",$M21)&gt;0</formula>
    </cfRule>
    <cfRule type="expression" dxfId="3541" priority="329">
      <formula>SEARCH("DA CHIUDERE",$M21)&gt;0</formula>
    </cfRule>
    <cfRule type="expression" dxfId="3540" priority="330">
      <formula>SEARCH("INTERROTTO",$M21)&gt;0</formula>
    </cfRule>
  </conditionalFormatting>
  <conditionalFormatting sqref="M21">
    <cfRule type="expression" dxfId="3539" priority="313">
      <formula>SEARCH("IN CORSO",$M21)&gt;0</formula>
    </cfRule>
    <cfRule type="expression" dxfId="3538" priority="314">
      <formula>SEARCH("CHIUSO",$M21)&gt;0</formula>
    </cfRule>
    <cfRule type="expression" dxfId="3537" priority="315">
      <formula>SEARCH("EMESSO",$M21)&gt;0</formula>
    </cfRule>
    <cfRule type="expression" dxfId="3536" priority="316">
      <formula>SEARCH("RICHIESTO",$M21)&gt;0</formula>
    </cfRule>
    <cfRule type="expression" dxfId="3535" priority="317">
      <formula>SEARCH("DA CHIUDERE",$M21)&gt;0</formula>
    </cfRule>
    <cfRule type="expression" dxfId="3534" priority="318">
      <formula>SEARCH("INTERROTTO",$M21)&gt;0</formula>
    </cfRule>
  </conditionalFormatting>
  <conditionalFormatting sqref="G20">
    <cfRule type="expression" dxfId="3533" priority="301">
      <formula>SEARCH("IN CORSO",$M20)&gt;0</formula>
    </cfRule>
    <cfRule type="expression" dxfId="3532" priority="302">
      <formula>SEARCH("CHIUSO",$M20)&gt;0</formula>
    </cfRule>
    <cfRule type="expression" dxfId="3531" priority="303">
      <formula>SEARCH("EMESSO",$M20)&gt;0</formula>
    </cfRule>
    <cfRule type="expression" dxfId="3530" priority="304">
      <formula>SEARCH("RICHIESTO",$M20)&gt;0</formula>
    </cfRule>
    <cfRule type="expression" dxfId="3529" priority="305">
      <formula>SEARCH("DA CHIUDERE",$M20)&gt;0</formula>
    </cfRule>
    <cfRule type="expression" dxfId="3528" priority="306">
      <formula>SEARCH("INTERROTTO",$M20)&gt;0</formula>
    </cfRule>
  </conditionalFormatting>
  <conditionalFormatting sqref="E20:F20 N20:S20">
    <cfRule type="expression" dxfId="3527" priority="307">
      <formula>SEARCH("IN CORSO",$M20)&gt;0</formula>
    </cfRule>
    <cfRule type="expression" dxfId="3526" priority="308">
      <formula>SEARCH("CHIUSO",$M20)&gt;0</formula>
    </cfRule>
    <cfRule type="expression" dxfId="3525" priority="309">
      <formula>SEARCH("EMESSO",$M20)&gt;0</formula>
    </cfRule>
    <cfRule type="expression" dxfId="3524" priority="310">
      <formula>SEARCH("RICHIESTO",$M20)&gt;0</formula>
    </cfRule>
    <cfRule type="expression" dxfId="3523" priority="311">
      <formula>SEARCH("DA CHIUDERE",$M20)&gt;0</formula>
    </cfRule>
    <cfRule type="expression" dxfId="3522" priority="312">
      <formula>SEARCH("INTERROTTO",$M20)&gt;0</formula>
    </cfRule>
  </conditionalFormatting>
  <conditionalFormatting sqref="M20">
    <cfRule type="expression" dxfId="3521" priority="295">
      <formula>SEARCH("IN CORSO",$M20)&gt;0</formula>
    </cfRule>
    <cfRule type="expression" dxfId="3520" priority="296">
      <formula>SEARCH("CHIUSO",$M20)&gt;0</formula>
    </cfRule>
    <cfRule type="expression" dxfId="3519" priority="297">
      <formula>SEARCH("EMESSO",$M20)&gt;0</formula>
    </cfRule>
    <cfRule type="expression" dxfId="3518" priority="298">
      <formula>SEARCH("RICHIESTO",$M20)&gt;0</formula>
    </cfRule>
    <cfRule type="expression" dxfId="3517" priority="299">
      <formula>SEARCH("DA CHIUDERE",$M20)&gt;0</formula>
    </cfRule>
    <cfRule type="expression" dxfId="3516" priority="300">
      <formula>SEARCH("INTERROTTO",$M20)&gt;0</formula>
    </cfRule>
  </conditionalFormatting>
  <conditionalFormatting sqref="G19">
    <cfRule type="expression" dxfId="3515" priority="283">
      <formula>SEARCH("IN CORSO",$M19)&gt;0</formula>
    </cfRule>
    <cfRule type="expression" dxfId="3514" priority="284">
      <formula>SEARCH("CHIUSO",$M19)&gt;0</formula>
    </cfRule>
    <cfRule type="expression" dxfId="3513" priority="285">
      <formula>SEARCH("EMESSO",$M19)&gt;0</formula>
    </cfRule>
    <cfRule type="expression" dxfId="3512" priority="286">
      <formula>SEARCH("RICHIESTO",$M19)&gt;0</formula>
    </cfRule>
    <cfRule type="expression" dxfId="3511" priority="287">
      <formula>SEARCH("DA CHIUDERE",$M19)&gt;0</formula>
    </cfRule>
    <cfRule type="expression" dxfId="3510" priority="288">
      <formula>SEARCH("INTERROTTO",$M19)&gt;0</formula>
    </cfRule>
  </conditionalFormatting>
  <conditionalFormatting sqref="E19:F19 N19:S19">
    <cfRule type="expression" dxfId="3509" priority="289">
      <formula>SEARCH("IN CORSO",$M19)&gt;0</formula>
    </cfRule>
    <cfRule type="expression" dxfId="3508" priority="290">
      <formula>SEARCH("CHIUSO",$M19)&gt;0</formula>
    </cfRule>
    <cfRule type="expression" dxfId="3507" priority="291">
      <formula>SEARCH("EMESSO",$M19)&gt;0</formula>
    </cfRule>
    <cfRule type="expression" dxfId="3506" priority="292">
      <formula>SEARCH("RICHIESTO",$M19)&gt;0</formula>
    </cfRule>
    <cfRule type="expression" dxfId="3505" priority="293">
      <formula>SEARCH("DA CHIUDERE",$M19)&gt;0</formula>
    </cfRule>
    <cfRule type="expression" dxfId="3504" priority="294">
      <formula>SEARCH("INTERROTTO",$M19)&gt;0</formula>
    </cfRule>
  </conditionalFormatting>
  <conditionalFormatting sqref="M19">
    <cfRule type="expression" dxfId="3503" priority="277">
      <formula>SEARCH("IN CORSO",$M19)&gt;0</formula>
    </cfRule>
    <cfRule type="expression" dxfId="3502" priority="278">
      <formula>SEARCH("CHIUSO",$M19)&gt;0</formula>
    </cfRule>
    <cfRule type="expression" dxfId="3501" priority="279">
      <formula>SEARCH("EMESSO",$M19)&gt;0</formula>
    </cfRule>
    <cfRule type="expression" dxfId="3500" priority="280">
      <formula>SEARCH("RICHIESTO",$M19)&gt;0</formula>
    </cfRule>
    <cfRule type="expression" dxfId="3499" priority="281">
      <formula>SEARCH("DA CHIUDERE",$M19)&gt;0</formula>
    </cfRule>
    <cfRule type="expression" dxfId="3498" priority="282">
      <formula>SEARCH("INTERROTTO",$M19)&gt;0</formula>
    </cfRule>
  </conditionalFormatting>
  <conditionalFormatting sqref="G18">
    <cfRule type="expression" dxfId="3497" priority="265">
      <formula>SEARCH("IN CORSO",$M18)&gt;0</formula>
    </cfRule>
    <cfRule type="expression" dxfId="3496" priority="266">
      <formula>SEARCH("CHIUSO",$M18)&gt;0</formula>
    </cfRule>
    <cfRule type="expression" dxfId="3495" priority="267">
      <formula>SEARCH("EMESSO",$M18)&gt;0</formula>
    </cfRule>
    <cfRule type="expression" dxfId="3494" priority="268">
      <formula>SEARCH("RICHIESTO",$M18)&gt;0</formula>
    </cfRule>
    <cfRule type="expression" dxfId="3493" priority="269">
      <formula>SEARCH("DA CHIUDERE",$M18)&gt;0</formula>
    </cfRule>
    <cfRule type="expression" dxfId="3492" priority="270">
      <formula>SEARCH("INTERROTTO",$M18)&gt;0</formula>
    </cfRule>
  </conditionalFormatting>
  <conditionalFormatting sqref="E18:F18 N18:S18">
    <cfRule type="expression" dxfId="3491" priority="271">
      <formula>SEARCH("IN CORSO",$M18)&gt;0</formula>
    </cfRule>
    <cfRule type="expression" dxfId="3490" priority="272">
      <formula>SEARCH("CHIUSO",$M18)&gt;0</formula>
    </cfRule>
    <cfRule type="expression" dxfId="3489" priority="273">
      <formula>SEARCH("EMESSO",$M18)&gt;0</formula>
    </cfRule>
    <cfRule type="expression" dxfId="3488" priority="274">
      <formula>SEARCH("RICHIESTO",$M18)&gt;0</formula>
    </cfRule>
    <cfRule type="expression" dxfId="3487" priority="275">
      <formula>SEARCH("DA CHIUDERE",$M18)&gt;0</formula>
    </cfRule>
    <cfRule type="expression" dxfId="3486" priority="276">
      <formula>SEARCH("INTERROTTO",$M18)&gt;0</formula>
    </cfRule>
  </conditionalFormatting>
  <conditionalFormatting sqref="M18">
    <cfRule type="expression" dxfId="3485" priority="259">
      <formula>SEARCH("IN CORSO",$M18)&gt;0</formula>
    </cfRule>
    <cfRule type="expression" dxfId="3484" priority="260">
      <formula>SEARCH("CHIUSO",$M18)&gt;0</formula>
    </cfRule>
    <cfRule type="expression" dxfId="3483" priority="261">
      <formula>SEARCH("EMESSO",$M18)&gt;0</formula>
    </cfRule>
    <cfRule type="expression" dxfId="3482" priority="262">
      <formula>SEARCH("RICHIESTO",$M18)&gt;0</formula>
    </cfRule>
    <cfRule type="expression" dxfId="3481" priority="263">
      <formula>SEARCH("DA CHIUDERE",$M18)&gt;0</formula>
    </cfRule>
    <cfRule type="expression" dxfId="3480" priority="264">
      <formula>SEARCH("INTERROTTO",$M18)&gt;0</formula>
    </cfRule>
  </conditionalFormatting>
  <conditionalFormatting sqref="G17">
    <cfRule type="expression" dxfId="3479" priority="247">
      <formula>SEARCH("IN CORSO",$M17)&gt;0</formula>
    </cfRule>
    <cfRule type="expression" dxfId="3478" priority="248">
      <formula>SEARCH("CHIUSO",$M17)&gt;0</formula>
    </cfRule>
    <cfRule type="expression" dxfId="3477" priority="249">
      <formula>SEARCH("EMESSO",$M17)&gt;0</formula>
    </cfRule>
    <cfRule type="expression" dxfId="3476" priority="250">
      <formula>SEARCH("RICHIESTO",$M17)&gt;0</formula>
    </cfRule>
    <cfRule type="expression" dxfId="3475" priority="251">
      <formula>SEARCH("DA CHIUDERE",$M17)&gt;0</formula>
    </cfRule>
    <cfRule type="expression" dxfId="3474" priority="252">
      <formula>SEARCH("INTERROTTO",$M17)&gt;0</formula>
    </cfRule>
  </conditionalFormatting>
  <conditionalFormatting sqref="E17:F17 N17:S17">
    <cfRule type="expression" dxfId="3473" priority="253">
      <formula>SEARCH("IN CORSO",$M17)&gt;0</formula>
    </cfRule>
    <cfRule type="expression" dxfId="3472" priority="254">
      <formula>SEARCH("CHIUSO",$M17)&gt;0</formula>
    </cfRule>
    <cfRule type="expression" dxfId="3471" priority="255">
      <formula>SEARCH("EMESSO",$M17)&gt;0</formula>
    </cfRule>
    <cfRule type="expression" dxfId="3470" priority="256">
      <formula>SEARCH("RICHIESTO",$M17)&gt;0</formula>
    </cfRule>
    <cfRule type="expression" dxfId="3469" priority="257">
      <formula>SEARCH("DA CHIUDERE",$M17)&gt;0</formula>
    </cfRule>
    <cfRule type="expression" dxfId="3468" priority="258">
      <formula>SEARCH("INTERROTTO",$M17)&gt;0</formula>
    </cfRule>
  </conditionalFormatting>
  <conditionalFormatting sqref="M17">
    <cfRule type="expression" dxfId="3467" priority="241">
      <formula>SEARCH("IN CORSO",$M17)&gt;0</formula>
    </cfRule>
    <cfRule type="expression" dxfId="3466" priority="242">
      <formula>SEARCH("CHIUSO",$M17)&gt;0</formula>
    </cfRule>
    <cfRule type="expression" dxfId="3465" priority="243">
      <formula>SEARCH("EMESSO",$M17)&gt;0</formula>
    </cfRule>
    <cfRule type="expression" dxfId="3464" priority="244">
      <formula>SEARCH("RICHIESTO",$M17)&gt;0</formula>
    </cfRule>
    <cfRule type="expression" dxfId="3463" priority="245">
      <formula>SEARCH("DA CHIUDERE",$M17)&gt;0</formula>
    </cfRule>
    <cfRule type="expression" dxfId="3462" priority="246">
      <formula>SEARCH("INTERROTTO",$M17)&gt;0</formula>
    </cfRule>
  </conditionalFormatting>
  <conditionalFormatting sqref="G16">
    <cfRule type="expression" dxfId="3461" priority="229">
      <formula>SEARCH("IN CORSO",$M16)&gt;0</formula>
    </cfRule>
    <cfRule type="expression" dxfId="3460" priority="230">
      <formula>SEARCH("CHIUSO",$M16)&gt;0</formula>
    </cfRule>
    <cfRule type="expression" dxfId="3459" priority="231">
      <formula>SEARCH("EMESSO",$M16)&gt;0</formula>
    </cfRule>
    <cfRule type="expression" dxfId="3458" priority="232">
      <formula>SEARCH("RICHIESTO",$M16)&gt;0</formula>
    </cfRule>
    <cfRule type="expression" dxfId="3457" priority="233">
      <formula>SEARCH("DA CHIUDERE",$M16)&gt;0</formula>
    </cfRule>
    <cfRule type="expression" dxfId="3456" priority="234">
      <formula>SEARCH("INTERROTTO",$M16)&gt;0</formula>
    </cfRule>
  </conditionalFormatting>
  <conditionalFormatting sqref="E16:F16 N16:S16">
    <cfRule type="expression" dxfId="3455" priority="235">
      <formula>SEARCH("IN CORSO",$M16)&gt;0</formula>
    </cfRule>
    <cfRule type="expression" dxfId="3454" priority="236">
      <formula>SEARCH("CHIUSO",$M16)&gt;0</formula>
    </cfRule>
    <cfRule type="expression" dxfId="3453" priority="237">
      <formula>SEARCH("EMESSO",$M16)&gt;0</formula>
    </cfRule>
    <cfRule type="expression" dxfId="3452" priority="238">
      <formula>SEARCH("RICHIESTO",$M16)&gt;0</formula>
    </cfRule>
    <cfRule type="expression" dxfId="3451" priority="239">
      <formula>SEARCH("DA CHIUDERE",$M16)&gt;0</formula>
    </cfRule>
    <cfRule type="expression" dxfId="3450" priority="240">
      <formula>SEARCH("INTERROTTO",$M16)&gt;0</formula>
    </cfRule>
  </conditionalFormatting>
  <conditionalFormatting sqref="M16">
    <cfRule type="expression" dxfId="3449" priority="223">
      <formula>SEARCH("IN CORSO",$M16)&gt;0</formula>
    </cfRule>
    <cfRule type="expression" dxfId="3448" priority="224">
      <formula>SEARCH("CHIUSO",$M16)&gt;0</formula>
    </cfRule>
    <cfRule type="expression" dxfId="3447" priority="225">
      <formula>SEARCH("EMESSO",$M16)&gt;0</formula>
    </cfRule>
    <cfRule type="expression" dxfId="3446" priority="226">
      <formula>SEARCH("RICHIESTO",$M16)&gt;0</formula>
    </cfRule>
    <cfRule type="expression" dxfId="3445" priority="227">
      <formula>SEARCH("DA CHIUDERE",$M16)&gt;0</formula>
    </cfRule>
    <cfRule type="expression" dxfId="3444" priority="228">
      <formula>SEARCH("INTERROTTO",$M16)&gt;0</formula>
    </cfRule>
  </conditionalFormatting>
  <conditionalFormatting sqref="G15">
    <cfRule type="expression" dxfId="3443" priority="211">
      <formula>SEARCH("IN CORSO",$M15)&gt;0</formula>
    </cfRule>
    <cfRule type="expression" dxfId="3442" priority="212">
      <formula>SEARCH("CHIUSO",$M15)&gt;0</formula>
    </cfRule>
    <cfRule type="expression" dxfId="3441" priority="213">
      <formula>SEARCH("EMESSO",$M15)&gt;0</formula>
    </cfRule>
    <cfRule type="expression" dxfId="3440" priority="214">
      <formula>SEARCH("RICHIESTO",$M15)&gt;0</formula>
    </cfRule>
    <cfRule type="expression" dxfId="3439" priority="215">
      <formula>SEARCH("DA CHIUDERE",$M15)&gt;0</formula>
    </cfRule>
    <cfRule type="expression" dxfId="3438" priority="216">
      <formula>SEARCH("INTERROTTO",$M15)&gt;0</formula>
    </cfRule>
  </conditionalFormatting>
  <conditionalFormatting sqref="E15:F15 N15:S15">
    <cfRule type="expression" dxfId="3437" priority="217">
      <formula>SEARCH("IN CORSO",$M15)&gt;0</formula>
    </cfRule>
    <cfRule type="expression" dxfId="3436" priority="218">
      <formula>SEARCH("CHIUSO",$M15)&gt;0</formula>
    </cfRule>
    <cfRule type="expression" dxfId="3435" priority="219">
      <formula>SEARCH("EMESSO",$M15)&gt;0</formula>
    </cfRule>
    <cfRule type="expression" dxfId="3434" priority="220">
      <formula>SEARCH("RICHIESTO",$M15)&gt;0</formula>
    </cfRule>
    <cfRule type="expression" dxfId="3433" priority="221">
      <formula>SEARCH("DA CHIUDERE",$M15)&gt;0</formula>
    </cfRule>
    <cfRule type="expression" dxfId="3432" priority="222">
      <formula>SEARCH("INTERROTTO",$M15)&gt;0</formula>
    </cfRule>
  </conditionalFormatting>
  <conditionalFormatting sqref="M15">
    <cfRule type="expression" dxfId="3431" priority="205">
      <formula>SEARCH("IN CORSO",$M15)&gt;0</formula>
    </cfRule>
    <cfRule type="expression" dxfId="3430" priority="206">
      <formula>SEARCH("CHIUSO",$M15)&gt;0</formula>
    </cfRule>
    <cfRule type="expression" dxfId="3429" priority="207">
      <formula>SEARCH("EMESSO",$M15)&gt;0</formula>
    </cfRule>
    <cfRule type="expression" dxfId="3428" priority="208">
      <formula>SEARCH("RICHIESTO",$M15)&gt;0</formula>
    </cfRule>
    <cfRule type="expression" dxfId="3427" priority="209">
      <formula>SEARCH("DA CHIUDERE",$M15)&gt;0</formula>
    </cfRule>
    <cfRule type="expression" dxfId="3426" priority="210">
      <formula>SEARCH("INTERROTTO",$M15)&gt;0</formula>
    </cfRule>
  </conditionalFormatting>
  <conditionalFormatting sqref="G14">
    <cfRule type="expression" dxfId="3425" priority="193">
      <formula>SEARCH("IN CORSO",$M14)&gt;0</formula>
    </cfRule>
    <cfRule type="expression" dxfId="3424" priority="194">
      <formula>SEARCH("CHIUSO",$M14)&gt;0</formula>
    </cfRule>
    <cfRule type="expression" dxfId="3423" priority="195">
      <formula>SEARCH("EMESSO",$M14)&gt;0</formula>
    </cfRule>
    <cfRule type="expression" dxfId="3422" priority="196">
      <formula>SEARCH("RICHIESTO",$M14)&gt;0</formula>
    </cfRule>
    <cfRule type="expression" dxfId="3421" priority="197">
      <formula>SEARCH("DA CHIUDERE",$M14)&gt;0</formula>
    </cfRule>
    <cfRule type="expression" dxfId="3420" priority="198">
      <formula>SEARCH("INTERROTTO",$M14)&gt;0</formula>
    </cfRule>
  </conditionalFormatting>
  <conditionalFormatting sqref="E14:F14 N14:S14">
    <cfRule type="expression" dxfId="3419" priority="199">
      <formula>SEARCH("IN CORSO",$M14)&gt;0</formula>
    </cfRule>
    <cfRule type="expression" dxfId="3418" priority="200">
      <formula>SEARCH("CHIUSO",$M14)&gt;0</formula>
    </cfRule>
    <cfRule type="expression" dxfId="3417" priority="201">
      <formula>SEARCH("EMESSO",$M14)&gt;0</formula>
    </cfRule>
    <cfRule type="expression" dxfId="3416" priority="202">
      <formula>SEARCH("RICHIESTO",$M14)&gt;0</formula>
    </cfRule>
    <cfRule type="expression" dxfId="3415" priority="203">
      <formula>SEARCH("DA CHIUDERE",$M14)&gt;0</formula>
    </cfRule>
    <cfRule type="expression" dxfId="3414" priority="204">
      <formula>SEARCH("INTERROTTO",$M14)&gt;0</formula>
    </cfRule>
  </conditionalFormatting>
  <conditionalFormatting sqref="M14">
    <cfRule type="expression" dxfId="3413" priority="187">
      <formula>SEARCH("IN CORSO",$M14)&gt;0</formula>
    </cfRule>
    <cfRule type="expression" dxfId="3412" priority="188">
      <formula>SEARCH("CHIUSO",$M14)&gt;0</formula>
    </cfRule>
    <cfRule type="expression" dxfId="3411" priority="189">
      <formula>SEARCH("EMESSO",$M14)&gt;0</formula>
    </cfRule>
    <cfRule type="expression" dxfId="3410" priority="190">
      <formula>SEARCH("RICHIESTO",$M14)&gt;0</formula>
    </cfRule>
    <cfRule type="expression" dxfId="3409" priority="191">
      <formula>SEARCH("DA CHIUDERE",$M14)&gt;0</formula>
    </cfRule>
    <cfRule type="expression" dxfId="3408" priority="192">
      <formula>SEARCH("INTERROTTO",$M14)&gt;0</formula>
    </cfRule>
  </conditionalFormatting>
  <conditionalFormatting sqref="G13">
    <cfRule type="expression" dxfId="3407" priority="175">
      <formula>SEARCH("IN CORSO",$M13)&gt;0</formula>
    </cfRule>
    <cfRule type="expression" dxfId="3406" priority="176">
      <formula>SEARCH("CHIUSO",$M13)&gt;0</formula>
    </cfRule>
    <cfRule type="expression" dxfId="3405" priority="177">
      <formula>SEARCH("EMESSO",$M13)&gt;0</formula>
    </cfRule>
    <cfRule type="expression" dxfId="3404" priority="178">
      <formula>SEARCH("RICHIESTO",$M13)&gt;0</formula>
    </cfRule>
    <cfRule type="expression" dxfId="3403" priority="179">
      <formula>SEARCH("DA CHIUDERE",$M13)&gt;0</formula>
    </cfRule>
    <cfRule type="expression" dxfId="3402" priority="180">
      <formula>SEARCH("INTERROTTO",$M13)&gt;0</formula>
    </cfRule>
  </conditionalFormatting>
  <conditionalFormatting sqref="E13:F13 N13:S13">
    <cfRule type="expression" dxfId="3401" priority="181">
      <formula>SEARCH("IN CORSO",$M13)&gt;0</formula>
    </cfRule>
    <cfRule type="expression" dxfId="3400" priority="182">
      <formula>SEARCH("CHIUSO",$M13)&gt;0</formula>
    </cfRule>
    <cfRule type="expression" dxfId="3399" priority="183">
      <formula>SEARCH("EMESSO",$M13)&gt;0</formula>
    </cfRule>
    <cfRule type="expression" dxfId="3398" priority="184">
      <formula>SEARCH("RICHIESTO",$M13)&gt;0</formula>
    </cfRule>
    <cfRule type="expression" dxfId="3397" priority="185">
      <formula>SEARCH("DA CHIUDERE",$M13)&gt;0</formula>
    </cfRule>
    <cfRule type="expression" dxfId="3396" priority="186">
      <formula>SEARCH("INTERROTTO",$M13)&gt;0</formula>
    </cfRule>
  </conditionalFormatting>
  <conditionalFormatting sqref="M13">
    <cfRule type="expression" dxfId="3395" priority="169">
      <formula>SEARCH("IN CORSO",$M13)&gt;0</formula>
    </cfRule>
    <cfRule type="expression" dxfId="3394" priority="170">
      <formula>SEARCH("CHIUSO",$M13)&gt;0</formula>
    </cfRule>
    <cfRule type="expression" dxfId="3393" priority="171">
      <formula>SEARCH("EMESSO",$M13)&gt;0</formula>
    </cfRule>
    <cfRule type="expression" dxfId="3392" priority="172">
      <formula>SEARCH("RICHIESTO",$M13)&gt;0</formula>
    </cfRule>
    <cfRule type="expression" dxfId="3391" priority="173">
      <formula>SEARCH("DA CHIUDERE",$M13)&gt;0</formula>
    </cfRule>
    <cfRule type="expression" dxfId="3390" priority="174">
      <formula>SEARCH("INTERROTTO",$M13)&gt;0</formula>
    </cfRule>
  </conditionalFormatting>
  <conditionalFormatting sqref="G12">
    <cfRule type="expression" dxfId="3389" priority="157">
      <formula>SEARCH("IN CORSO",$M12)&gt;0</formula>
    </cfRule>
    <cfRule type="expression" dxfId="3388" priority="158">
      <formula>SEARCH("CHIUSO",$M12)&gt;0</formula>
    </cfRule>
    <cfRule type="expression" dxfId="3387" priority="159">
      <formula>SEARCH("EMESSO",$M12)&gt;0</formula>
    </cfRule>
    <cfRule type="expression" dxfId="3386" priority="160">
      <formula>SEARCH("RICHIESTO",$M12)&gt;0</formula>
    </cfRule>
    <cfRule type="expression" dxfId="3385" priority="161">
      <formula>SEARCH("DA CHIUDERE",$M12)&gt;0</formula>
    </cfRule>
    <cfRule type="expression" dxfId="3384" priority="162">
      <formula>SEARCH("INTERROTTO",$M12)&gt;0</formula>
    </cfRule>
  </conditionalFormatting>
  <conditionalFormatting sqref="E12:F12 N12:S12">
    <cfRule type="expression" dxfId="3383" priority="163">
      <formula>SEARCH("IN CORSO",$M12)&gt;0</formula>
    </cfRule>
    <cfRule type="expression" dxfId="3382" priority="164">
      <formula>SEARCH("CHIUSO",$M12)&gt;0</formula>
    </cfRule>
    <cfRule type="expression" dxfId="3381" priority="165">
      <formula>SEARCH("EMESSO",$M12)&gt;0</formula>
    </cfRule>
    <cfRule type="expression" dxfId="3380" priority="166">
      <formula>SEARCH("RICHIESTO",$M12)&gt;0</formula>
    </cfRule>
    <cfRule type="expression" dxfId="3379" priority="167">
      <formula>SEARCH("DA CHIUDERE",$M12)&gt;0</formula>
    </cfRule>
    <cfRule type="expression" dxfId="3378" priority="168">
      <formula>SEARCH("INTERROTTO",$M12)&gt;0</formula>
    </cfRule>
  </conditionalFormatting>
  <conditionalFormatting sqref="M12">
    <cfRule type="expression" dxfId="3377" priority="151">
      <formula>SEARCH("IN CORSO",$M12)&gt;0</formula>
    </cfRule>
    <cfRule type="expression" dxfId="3376" priority="152">
      <formula>SEARCH("CHIUSO",$M12)&gt;0</formula>
    </cfRule>
    <cfRule type="expression" dxfId="3375" priority="153">
      <formula>SEARCH("EMESSO",$M12)&gt;0</formula>
    </cfRule>
    <cfRule type="expression" dxfId="3374" priority="154">
      <formula>SEARCH("RICHIESTO",$M12)&gt;0</formula>
    </cfRule>
    <cfRule type="expression" dxfId="3373" priority="155">
      <formula>SEARCH("DA CHIUDERE",$M12)&gt;0</formula>
    </cfRule>
    <cfRule type="expression" dxfId="3372" priority="156">
      <formula>SEARCH("INTERROTTO",$M12)&gt;0</formula>
    </cfRule>
  </conditionalFormatting>
  <conditionalFormatting sqref="G11">
    <cfRule type="expression" dxfId="3371" priority="139">
      <formula>SEARCH("IN CORSO",$M11)&gt;0</formula>
    </cfRule>
    <cfRule type="expression" dxfId="3370" priority="140">
      <formula>SEARCH("CHIUSO",$M11)&gt;0</formula>
    </cfRule>
    <cfRule type="expression" dxfId="3369" priority="141">
      <formula>SEARCH("EMESSO",$M11)&gt;0</formula>
    </cfRule>
    <cfRule type="expression" dxfId="3368" priority="142">
      <formula>SEARCH("RICHIESTO",$M11)&gt;0</formula>
    </cfRule>
    <cfRule type="expression" dxfId="3367" priority="143">
      <formula>SEARCH("DA CHIUDERE",$M11)&gt;0</formula>
    </cfRule>
    <cfRule type="expression" dxfId="3366" priority="144">
      <formula>SEARCH("INTERROTTO",$M11)&gt;0</formula>
    </cfRule>
  </conditionalFormatting>
  <conditionalFormatting sqref="E11:F11 N11:S11">
    <cfRule type="expression" dxfId="3365" priority="145">
      <formula>SEARCH("IN CORSO",$M11)&gt;0</formula>
    </cfRule>
    <cfRule type="expression" dxfId="3364" priority="146">
      <formula>SEARCH("CHIUSO",$M11)&gt;0</formula>
    </cfRule>
    <cfRule type="expression" dxfId="3363" priority="147">
      <formula>SEARCH("EMESSO",$M11)&gt;0</formula>
    </cfRule>
    <cfRule type="expression" dxfId="3362" priority="148">
      <formula>SEARCH("RICHIESTO",$M11)&gt;0</formula>
    </cfRule>
    <cfRule type="expression" dxfId="3361" priority="149">
      <formula>SEARCH("DA CHIUDERE",$M11)&gt;0</formula>
    </cfRule>
    <cfRule type="expression" dxfId="3360" priority="150">
      <formula>SEARCH("INTERROTTO",$M11)&gt;0</formula>
    </cfRule>
  </conditionalFormatting>
  <conditionalFormatting sqref="M11">
    <cfRule type="expression" dxfId="3359" priority="133">
      <formula>SEARCH("IN CORSO",$M11)&gt;0</formula>
    </cfRule>
    <cfRule type="expression" dxfId="3358" priority="134">
      <formula>SEARCH("CHIUSO",$M11)&gt;0</formula>
    </cfRule>
    <cfRule type="expression" dxfId="3357" priority="135">
      <formula>SEARCH("EMESSO",$M11)&gt;0</formula>
    </cfRule>
    <cfRule type="expression" dxfId="3356" priority="136">
      <formula>SEARCH("RICHIESTO",$M11)&gt;0</formula>
    </cfRule>
    <cfRule type="expression" dxfId="3355" priority="137">
      <formula>SEARCH("DA CHIUDERE",$M11)&gt;0</formula>
    </cfRule>
    <cfRule type="expression" dxfId="3354" priority="138">
      <formula>SEARCH("INTERROTTO",$M11)&gt;0</formula>
    </cfRule>
  </conditionalFormatting>
  <conditionalFormatting sqref="G10">
    <cfRule type="expression" dxfId="3353" priority="121">
      <formula>SEARCH("IN CORSO",$M10)&gt;0</formula>
    </cfRule>
    <cfRule type="expression" dxfId="3352" priority="122">
      <formula>SEARCH("CHIUSO",$M10)&gt;0</formula>
    </cfRule>
    <cfRule type="expression" dxfId="3351" priority="123">
      <formula>SEARCH("EMESSO",$M10)&gt;0</formula>
    </cfRule>
    <cfRule type="expression" dxfId="3350" priority="124">
      <formula>SEARCH("RICHIESTO",$M10)&gt;0</formula>
    </cfRule>
    <cfRule type="expression" dxfId="3349" priority="125">
      <formula>SEARCH("DA CHIUDERE",$M10)&gt;0</formula>
    </cfRule>
    <cfRule type="expression" dxfId="3348" priority="126">
      <formula>SEARCH("INTERROTTO",$M10)&gt;0</formula>
    </cfRule>
  </conditionalFormatting>
  <conditionalFormatting sqref="E10:F10 N10:S10">
    <cfRule type="expression" dxfId="3347" priority="127">
      <formula>SEARCH("IN CORSO",$M10)&gt;0</formula>
    </cfRule>
    <cfRule type="expression" dxfId="3346" priority="128">
      <formula>SEARCH("CHIUSO",$M10)&gt;0</formula>
    </cfRule>
    <cfRule type="expression" dxfId="3345" priority="129">
      <formula>SEARCH("EMESSO",$M10)&gt;0</formula>
    </cfRule>
    <cfRule type="expression" dxfId="3344" priority="130">
      <formula>SEARCH("RICHIESTO",$M10)&gt;0</formula>
    </cfRule>
    <cfRule type="expression" dxfId="3343" priority="131">
      <formula>SEARCH("DA CHIUDERE",$M10)&gt;0</formula>
    </cfRule>
    <cfRule type="expression" dxfId="3342" priority="132">
      <formula>SEARCH("INTERROTTO",$M10)&gt;0</formula>
    </cfRule>
  </conditionalFormatting>
  <conditionalFormatting sqref="M10">
    <cfRule type="expression" dxfId="3341" priority="115">
      <formula>SEARCH("IN CORSO",$M10)&gt;0</formula>
    </cfRule>
    <cfRule type="expression" dxfId="3340" priority="116">
      <formula>SEARCH("CHIUSO",$M10)&gt;0</formula>
    </cfRule>
    <cfRule type="expression" dxfId="3339" priority="117">
      <formula>SEARCH("EMESSO",$M10)&gt;0</formula>
    </cfRule>
    <cfRule type="expression" dxfId="3338" priority="118">
      <formula>SEARCH("RICHIESTO",$M10)&gt;0</formula>
    </cfRule>
    <cfRule type="expression" dxfId="3337" priority="119">
      <formula>SEARCH("DA CHIUDERE",$M10)&gt;0</formula>
    </cfRule>
    <cfRule type="expression" dxfId="3336" priority="120">
      <formula>SEARCH("INTERROTTO",$M10)&gt;0</formula>
    </cfRule>
  </conditionalFormatting>
  <conditionalFormatting sqref="G9">
    <cfRule type="expression" dxfId="3335" priority="103">
      <formula>SEARCH("IN CORSO",$M9)&gt;0</formula>
    </cfRule>
    <cfRule type="expression" dxfId="3334" priority="104">
      <formula>SEARCH("CHIUSO",$M9)&gt;0</formula>
    </cfRule>
    <cfRule type="expression" dxfId="3333" priority="105">
      <formula>SEARCH("EMESSO",$M9)&gt;0</formula>
    </cfRule>
    <cfRule type="expression" dxfId="3332" priority="106">
      <formula>SEARCH("RICHIESTO",$M9)&gt;0</formula>
    </cfRule>
    <cfRule type="expression" dxfId="3331" priority="107">
      <formula>SEARCH("DA CHIUDERE",$M9)&gt;0</formula>
    </cfRule>
    <cfRule type="expression" dxfId="3330" priority="108">
      <formula>SEARCH("INTERROTTO",$M9)&gt;0</formula>
    </cfRule>
  </conditionalFormatting>
  <conditionalFormatting sqref="E9:F9 N9:S9">
    <cfRule type="expression" dxfId="3329" priority="109">
      <formula>SEARCH("IN CORSO",$M9)&gt;0</formula>
    </cfRule>
    <cfRule type="expression" dxfId="3328" priority="110">
      <formula>SEARCH("CHIUSO",$M9)&gt;0</formula>
    </cfRule>
    <cfRule type="expression" dxfId="3327" priority="111">
      <formula>SEARCH("EMESSO",$M9)&gt;0</formula>
    </cfRule>
    <cfRule type="expression" dxfId="3326" priority="112">
      <formula>SEARCH("RICHIESTO",$M9)&gt;0</formula>
    </cfRule>
    <cfRule type="expression" dxfId="3325" priority="113">
      <formula>SEARCH("DA CHIUDERE",$M9)&gt;0</formula>
    </cfRule>
    <cfRule type="expression" dxfId="3324" priority="114">
      <formula>SEARCH("INTERROTTO",$M9)&gt;0</formula>
    </cfRule>
  </conditionalFormatting>
  <conditionalFormatting sqref="M9">
    <cfRule type="expression" dxfId="3323" priority="97">
      <formula>SEARCH("IN CORSO",$M9)&gt;0</formula>
    </cfRule>
    <cfRule type="expression" dxfId="3322" priority="98">
      <formula>SEARCH("CHIUSO",$M9)&gt;0</formula>
    </cfRule>
    <cfRule type="expression" dxfId="3321" priority="99">
      <formula>SEARCH("EMESSO",$M9)&gt;0</formula>
    </cfRule>
    <cfRule type="expression" dxfId="3320" priority="100">
      <formula>SEARCH("RICHIESTO",$M9)&gt;0</formula>
    </cfRule>
    <cfRule type="expression" dxfId="3319" priority="101">
      <formula>SEARCH("DA CHIUDERE",$M9)&gt;0</formula>
    </cfRule>
    <cfRule type="expression" dxfId="3318" priority="102">
      <formula>SEARCH("INTERROTTO",$M9)&gt;0</formula>
    </cfRule>
  </conditionalFormatting>
  <conditionalFormatting sqref="G8">
    <cfRule type="expression" dxfId="3317" priority="85">
      <formula>SEARCH("IN CORSO",$M8)&gt;0</formula>
    </cfRule>
    <cfRule type="expression" dxfId="3316" priority="86">
      <formula>SEARCH("CHIUSO",$M8)&gt;0</formula>
    </cfRule>
    <cfRule type="expression" dxfId="3315" priority="87">
      <formula>SEARCH("EMESSO",$M8)&gt;0</formula>
    </cfRule>
    <cfRule type="expression" dxfId="3314" priority="88">
      <formula>SEARCH("RICHIESTO",$M8)&gt;0</formula>
    </cfRule>
    <cfRule type="expression" dxfId="3313" priority="89">
      <formula>SEARCH("DA CHIUDERE",$M8)&gt;0</formula>
    </cfRule>
    <cfRule type="expression" dxfId="3312" priority="90">
      <formula>SEARCH("INTERROTTO",$M8)&gt;0</formula>
    </cfRule>
  </conditionalFormatting>
  <conditionalFormatting sqref="E8:F8 N8:S8">
    <cfRule type="expression" dxfId="3311" priority="91">
      <formula>SEARCH("IN CORSO",$M8)&gt;0</formula>
    </cfRule>
    <cfRule type="expression" dxfId="3310" priority="92">
      <formula>SEARCH("CHIUSO",$M8)&gt;0</formula>
    </cfRule>
    <cfRule type="expression" dxfId="3309" priority="93">
      <formula>SEARCH("EMESSO",$M8)&gt;0</formula>
    </cfRule>
    <cfRule type="expression" dxfId="3308" priority="94">
      <formula>SEARCH("RICHIESTO",$M8)&gt;0</formula>
    </cfRule>
    <cfRule type="expression" dxfId="3307" priority="95">
      <formula>SEARCH("DA CHIUDERE",$M8)&gt;0</formula>
    </cfRule>
    <cfRule type="expression" dxfId="3306" priority="96">
      <formula>SEARCH("INTERROTTO",$M8)&gt;0</formula>
    </cfRule>
  </conditionalFormatting>
  <conditionalFormatting sqref="M8">
    <cfRule type="expression" dxfId="3305" priority="73">
      <formula>SEARCH("IN CORSO",$M8)&gt;0</formula>
    </cfRule>
    <cfRule type="expression" dxfId="3304" priority="74">
      <formula>SEARCH("CHIUSO",$M8)&gt;0</formula>
    </cfRule>
    <cfRule type="expression" dxfId="3303" priority="75">
      <formula>SEARCH("EMESSO",$M8)&gt;0</formula>
    </cfRule>
    <cfRule type="expression" dxfId="3302" priority="76">
      <formula>SEARCH("RICHIESTO",$M8)&gt;0</formula>
    </cfRule>
    <cfRule type="expression" dxfId="3301" priority="77">
      <formula>SEARCH("DA CHIUDERE",$M8)&gt;0</formula>
    </cfRule>
    <cfRule type="expression" dxfId="3300" priority="78">
      <formula>SEARCH("INTERROTTO",$M8)&gt;0</formula>
    </cfRule>
  </conditionalFormatting>
  <conditionalFormatting sqref="G7">
    <cfRule type="expression" dxfId="3299" priority="61">
      <formula>SEARCH("IN CORSO",$M7)&gt;0</formula>
    </cfRule>
    <cfRule type="expression" dxfId="3298" priority="62">
      <formula>SEARCH("CHIUSO",$M7)&gt;0</formula>
    </cfRule>
    <cfRule type="expression" dxfId="3297" priority="63">
      <formula>SEARCH("EMESSO",$M7)&gt;0</formula>
    </cfRule>
    <cfRule type="expression" dxfId="3296" priority="64">
      <formula>SEARCH("RICHIESTO",$M7)&gt;0</formula>
    </cfRule>
    <cfRule type="expression" dxfId="3295" priority="65">
      <formula>SEARCH("DA CHIUDERE",$M7)&gt;0</formula>
    </cfRule>
    <cfRule type="expression" dxfId="3294" priority="66">
      <formula>SEARCH("INTERROTTO",$M7)&gt;0</formula>
    </cfRule>
  </conditionalFormatting>
  <conditionalFormatting sqref="E7:F7 N7:S7">
    <cfRule type="expression" dxfId="3293" priority="67">
      <formula>SEARCH("IN CORSO",$M7)&gt;0</formula>
    </cfRule>
    <cfRule type="expression" dxfId="3292" priority="68">
      <formula>SEARCH("CHIUSO",$M7)&gt;0</formula>
    </cfRule>
    <cfRule type="expression" dxfId="3291" priority="69">
      <formula>SEARCH("EMESSO",$M7)&gt;0</formula>
    </cfRule>
    <cfRule type="expression" dxfId="3290" priority="70">
      <formula>SEARCH("RICHIESTO",$M7)&gt;0</formula>
    </cfRule>
    <cfRule type="expression" dxfId="3289" priority="71">
      <formula>SEARCH("DA CHIUDERE",$M7)&gt;0</formula>
    </cfRule>
    <cfRule type="expression" dxfId="3288" priority="72">
      <formula>SEARCH("INTERROTTO",$M7)&gt;0</formula>
    </cfRule>
  </conditionalFormatting>
  <conditionalFormatting sqref="M7">
    <cfRule type="expression" dxfId="3287" priority="55">
      <formula>SEARCH("IN CORSO",$M7)&gt;0</formula>
    </cfRule>
    <cfRule type="expression" dxfId="3286" priority="56">
      <formula>SEARCH("CHIUSO",$M7)&gt;0</formula>
    </cfRule>
    <cfRule type="expression" dxfId="3285" priority="57">
      <formula>SEARCH("EMESSO",$M7)&gt;0</formula>
    </cfRule>
    <cfRule type="expression" dxfId="3284" priority="58">
      <formula>SEARCH("RICHIESTO",$M7)&gt;0</formula>
    </cfRule>
    <cfRule type="expression" dxfId="3283" priority="59">
      <formula>SEARCH("DA CHIUDERE",$M7)&gt;0</formula>
    </cfRule>
    <cfRule type="expression" dxfId="3282" priority="60">
      <formula>SEARCH("INTERROTTO",$M7)&gt;0</formula>
    </cfRule>
  </conditionalFormatting>
  <conditionalFormatting sqref="G6">
    <cfRule type="expression" dxfId="3281" priority="43">
      <formula>SEARCH("IN CORSO",$M6)&gt;0</formula>
    </cfRule>
    <cfRule type="expression" dxfId="3280" priority="44">
      <formula>SEARCH("CHIUSO",$M6)&gt;0</formula>
    </cfRule>
    <cfRule type="expression" dxfId="3279" priority="45">
      <formula>SEARCH("EMESSO",$M6)&gt;0</formula>
    </cfRule>
    <cfRule type="expression" dxfId="3278" priority="46">
      <formula>SEARCH("RICHIESTO",$M6)&gt;0</formula>
    </cfRule>
    <cfRule type="expression" dxfId="3277" priority="47">
      <formula>SEARCH("DA CHIUDERE",$M6)&gt;0</formula>
    </cfRule>
    <cfRule type="expression" dxfId="3276" priority="48">
      <formula>SEARCH("INTERROTTO",$M6)&gt;0</formula>
    </cfRule>
  </conditionalFormatting>
  <conditionalFormatting sqref="E6:F6 N6:S6">
    <cfRule type="expression" dxfId="3275" priority="49">
      <formula>SEARCH("IN CORSO",$M6)&gt;0</formula>
    </cfRule>
    <cfRule type="expression" dxfId="3274" priority="50">
      <formula>SEARCH("CHIUSO",$M6)&gt;0</formula>
    </cfRule>
    <cfRule type="expression" dxfId="3273" priority="51">
      <formula>SEARCH("EMESSO",$M6)&gt;0</formula>
    </cfRule>
    <cfRule type="expression" dxfId="3272" priority="52">
      <formula>SEARCH("RICHIESTO",$M6)&gt;0</formula>
    </cfRule>
    <cfRule type="expression" dxfId="3271" priority="53">
      <formula>SEARCH("DA CHIUDERE",$M6)&gt;0</formula>
    </cfRule>
    <cfRule type="expression" dxfId="3270" priority="54">
      <formula>SEARCH("INTERROTTO",$M6)&gt;0</formula>
    </cfRule>
  </conditionalFormatting>
  <conditionalFormatting sqref="M6">
    <cfRule type="expression" dxfId="3269" priority="37">
      <formula>SEARCH("IN CORSO",$M6)&gt;0</formula>
    </cfRule>
    <cfRule type="expression" dxfId="3268" priority="38">
      <formula>SEARCH("CHIUSO",$M6)&gt;0</formula>
    </cfRule>
    <cfRule type="expression" dxfId="3267" priority="39">
      <formula>SEARCH("EMESSO",$M6)&gt;0</formula>
    </cfRule>
    <cfRule type="expression" dxfId="3266" priority="40">
      <formula>SEARCH("RICHIESTO",$M6)&gt;0</formula>
    </cfRule>
    <cfRule type="expression" dxfId="3265" priority="41">
      <formula>SEARCH("DA CHIUDERE",$M6)&gt;0</formula>
    </cfRule>
    <cfRule type="expression" dxfId="3264" priority="42">
      <formula>SEARCH("INTERROTTO",$M6)&gt;0</formula>
    </cfRule>
  </conditionalFormatting>
  <conditionalFormatting sqref="G5">
    <cfRule type="expression" dxfId="3263" priority="25">
      <formula>SEARCH("IN CORSO",$M5)&gt;0</formula>
    </cfRule>
    <cfRule type="expression" dxfId="3262" priority="26">
      <formula>SEARCH("CHIUSO",$M5)&gt;0</formula>
    </cfRule>
    <cfRule type="expression" dxfId="3261" priority="27">
      <formula>SEARCH("EMESSO",$M5)&gt;0</formula>
    </cfRule>
    <cfRule type="expression" dxfId="3260" priority="28">
      <formula>SEARCH("RICHIESTO",$M5)&gt;0</formula>
    </cfRule>
    <cfRule type="expression" dxfId="3259" priority="29">
      <formula>SEARCH("DA CHIUDERE",$M5)&gt;0</formula>
    </cfRule>
    <cfRule type="expression" dxfId="3258" priority="30">
      <formula>SEARCH("INTERROTTO",$M5)&gt;0</formula>
    </cfRule>
  </conditionalFormatting>
  <conditionalFormatting sqref="E5:F5 N5:S5">
    <cfRule type="expression" dxfId="3257" priority="31">
      <formula>SEARCH("IN CORSO",$M5)&gt;0</formula>
    </cfRule>
    <cfRule type="expression" dxfId="3256" priority="32">
      <formula>SEARCH("CHIUSO",$M5)&gt;0</formula>
    </cfRule>
    <cfRule type="expression" dxfId="3255" priority="33">
      <formula>SEARCH("EMESSO",$M5)&gt;0</formula>
    </cfRule>
    <cfRule type="expression" dxfId="3254" priority="34">
      <formula>SEARCH("RICHIESTO",$M5)&gt;0</formula>
    </cfRule>
    <cfRule type="expression" dxfId="3253" priority="35">
      <formula>SEARCH("DA CHIUDERE",$M5)&gt;0</formula>
    </cfRule>
    <cfRule type="expression" dxfId="3252" priority="36">
      <formula>SEARCH("INTERROTTO",$M5)&gt;0</formula>
    </cfRule>
  </conditionalFormatting>
  <conditionalFormatting sqref="M5">
    <cfRule type="expression" dxfId="3251" priority="19">
      <formula>SEARCH("IN CORSO",$M5)&gt;0</formula>
    </cfRule>
    <cfRule type="expression" dxfId="3250" priority="20">
      <formula>SEARCH("CHIUSO",$M5)&gt;0</formula>
    </cfRule>
    <cfRule type="expression" dxfId="3249" priority="21">
      <formula>SEARCH("EMESSO",$M5)&gt;0</formula>
    </cfRule>
    <cfRule type="expression" dxfId="3248" priority="22">
      <formula>SEARCH("RICHIESTO",$M5)&gt;0</formula>
    </cfRule>
    <cfRule type="expression" dxfId="3247" priority="23">
      <formula>SEARCH("DA CHIUDERE",$M5)&gt;0</formula>
    </cfRule>
    <cfRule type="expression" dxfId="3246" priority="24">
      <formula>SEARCH("INTERROTTO",$M5)&gt;0</formula>
    </cfRule>
  </conditionalFormatting>
  <conditionalFormatting sqref="G4">
    <cfRule type="expression" dxfId="3245" priority="7">
      <formula>SEARCH("IN CORSO",$M4)&gt;0</formula>
    </cfRule>
    <cfRule type="expression" dxfId="3244" priority="8">
      <formula>SEARCH("CHIUSO",$M4)&gt;0</formula>
    </cfRule>
    <cfRule type="expression" dxfId="3243" priority="9">
      <formula>SEARCH("EMESSO",$M4)&gt;0</formula>
    </cfRule>
    <cfRule type="expression" dxfId="3242" priority="10">
      <formula>SEARCH("RICHIESTO",$M4)&gt;0</formula>
    </cfRule>
    <cfRule type="expression" dxfId="3241" priority="11">
      <formula>SEARCH("DA CHIUDERE",$M4)&gt;0</formula>
    </cfRule>
    <cfRule type="expression" dxfId="3240" priority="12">
      <formula>SEARCH("INTERROTTO",$M4)&gt;0</formula>
    </cfRule>
  </conditionalFormatting>
  <conditionalFormatting sqref="E4:F4 N4:S4">
    <cfRule type="expression" dxfId="3239" priority="13">
      <formula>SEARCH("IN CORSO",$M4)&gt;0</formula>
    </cfRule>
    <cfRule type="expression" dxfId="3238" priority="14">
      <formula>SEARCH("CHIUSO",$M4)&gt;0</formula>
    </cfRule>
    <cfRule type="expression" dxfId="3237" priority="15">
      <formula>SEARCH("EMESSO",$M4)&gt;0</formula>
    </cfRule>
    <cfRule type="expression" dxfId="3236" priority="16">
      <formula>SEARCH("RICHIESTO",$M4)&gt;0</formula>
    </cfRule>
    <cfRule type="expression" dxfId="3235" priority="17">
      <formula>SEARCH("DA CHIUDERE",$M4)&gt;0</formula>
    </cfRule>
    <cfRule type="expression" dxfId="3234" priority="18">
      <formula>SEARCH("INTERROTTO",$M4)&gt;0</formula>
    </cfRule>
  </conditionalFormatting>
  <conditionalFormatting sqref="M4">
    <cfRule type="expression" dxfId="3233" priority="1">
      <formula>SEARCH("IN CORSO",$M4)&gt;0</formula>
    </cfRule>
    <cfRule type="expression" dxfId="3232" priority="2">
      <formula>SEARCH("CHIUSO",$M4)&gt;0</formula>
    </cfRule>
    <cfRule type="expression" dxfId="3231" priority="3">
      <formula>SEARCH("EMESSO",$M4)&gt;0</formula>
    </cfRule>
    <cfRule type="expression" dxfId="3230" priority="4">
      <formula>SEARCH("RICHIESTO",$M4)&gt;0</formula>
    </cfRule>
    <cfRule type="expression" dxfId="3229" priority="5">
      <formula>SEARCH("DA CHIUDERE",$M4)&gt;0</formula>
    </cfRule>
    <cfRule type="expression" dxfId="3228" priority="6">
      <formula>SEARCH("INTERROTTO",$M4)&gt;0</formula>
    </cfRule>
  </conditionalFormatting>
  <dataValidations count="1">
    <dataValidation type="list" allowBlank="1" sqref="M396:M443 M382:M394 M83:M380" xr:uid="{78FDE9CB-A6C4-4095-A32B-0337583317F5}">
      <formula1>"RICHIESTO,EMESSO,IN CORSO,INTERROTTO,DA CHIUDERE,SCADUTO,CHIUSO,DA ATTENZIONARE,"</formula1>
    </dataValidation>
  </dataValidations>
  <printOptions horizontalCentered="1"/>
  <pageMargins left="0" right="0" top="0" bottom="0" header="0" footer="0"/>
  <pageSetup paperSize="9" scale="48"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V34"/>
  <sheetViews>
    <sheetView workbookViewId="0">
      <selection activeCell="A4" sqref="A4:U29"/>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8" width="8.5" style="10" customWidth="1"/>
    <col min="29" max="16384" width="7.75" style="10"/>
  </cols>
  <sheetData>
    <row r="1" spans="1:22" ht="128.1" customHeight="1" x14ac:dyDescent="0.35">
      <c r="A1" s="194"/>
      <c r="B1" s="194"/>
      <c r="C1" s="194"/>
      <c r="D1" s="194"/>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5" t="s">
        <v>1256</v>
      </c>
      <c r="O2" s="195"/>
      <c r="P2" s="195"/>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6" t="s">
        <v>1392</v>
      </c>
      <c r="V3" s="19" t="s">
        <v>3158</v>
      </c>
    </row>
    <row r="4" spans="1:22" s="19" customFormat="1" ht="23.25" x14ac:dyDescent="0.25">
      <c r="A4" s="112"/>
      <c r="B4" s="112" t="str">
        <f t="shared" ref="B4:B29" si="0">IF(OR(A4="x",A4="X"),"",IF(ISBLANK(A4),"X",""))</f>
        <v>X</v>
      </c>
      <c r="C4" s="112" t="str">
        <f>IF(OR(TabellaCTE[[#This Row],[LUN]]="X",TabellaCTE[[#This Row],[MAR]]="X",TabellaCTE[[#This Row],[MER]]="X",TabellaCTE[[#This Row],[GIO]]="X",TabellaCTE[[#This Row],[VEN]]="X",),"X","")</f>
        <v/>
      </c>
      <c r="D4" s="113" t="s">
        <v>158</v>
      </c>
      <c r="E4" s="109" t="s">
        <v>1621</v>
      </c>
      <c r="F4" s="109">
        <v>2600</v>
      </c>
      <c r="G4" s="109" t="s">
        <v>1622</v>
      </c>
      <c r="H4" s="111"/>
      <c r="I4" s="111"/>
      <c r="J4" s="111"/>
      <c r="K4" s="111"/>
      <c r="L4" s="111"/>
      <c r="M4" s="109" t="s">
        <v>1258</v>
      </c>
      <c r="N4" s="109"/>
      <c r="O4" s="109"/>
      <c r="P4" s="109"/>
      <c r="Q4" s="109" t="s">
        <v>1641</v>
      </c>
      <c r="R4" s="110">
        <v>45789</v>
      </c>
      <c r="S4" s="109" t="s">
        <v>1642</v>
      </c>
      <c r="T4" s="139" t="str">
        <f ca="1">IF(AND('Inserimento dati'!$B$3=$H$2, TabellaCTE[[#This Row],[LUN]]="X"), "X",IF(AND('Inserimento dati'!$B$3=$I$2, TabellaCTE[[#This Row],[MAR]]="X"), "X", IF(AND('Inserimento dati'!$B$3=$J$2, TabellaCTE[[#This Row],[MER]]="X"), "X",IF(AND('Inserimento dati'!$B$3=$K$2, TabellaCTE[[#This Row],[GIO]]="X"), "X", IF(AND('Inserimento dati'!$B$3=$L$2, TabellaCTE[[#This Row],[VEN]]="X"), "X","")))))</f>
        <v/>
      </c>
      <c r="U4" s="160" t="str">
        <f t="shared" ref="U4:U25" ca="1" si="1">IFERROR(MID(G4,_xlfn.AGGREGATE(15,6,(ROW(INDIRECT("1:"&amp;LEN(G4)-7)))/(ISNUMBER(--MID(G4,ROW(INDIRECT("1:"&amp;LEN(G4)-7)),8))),1),8),"")</f>
        <v/>
      </c>
      <c r="V4" s="187">
        <v>45930.833333333336</v>
      </c>
    </row>
    <row r="5" spans="1:22" s="19" customFormat="1" ht="23.25" x14ac:dyDescent="0.25">
      <c r="A5" s="112"/>
      <c r="B5" s="112" t="str">
        <f t="shared" si="0"/>
        <v>X</v>
      </c>
      <c r="C5" s="112" t="str">
        <f>IF(OR(TabellaCTE[[#This Row],[LUN]]="X",TabellaCTE[[#This Row],[MAR]]="X",TabellaCTE[[#This Row],[MER]]="X",TabellaCTE[[#This Row],[GIO]]="X",TabellaCTE[[#This Row],[VEN]]="X",),"X","")</f>
        <v/>
      </c>
      <c r="D5" s="113" t="s">
        <v>158</v>
      </c>
      <c r="E5" s="109" t="s">
        <v>1034</v>
      </c>
      <c r="F5" s="109">
        <v>2600</v>
      </c>
      <c r="G5" s="109" t="s">
        <v>1033</v>
      </c>
      <c r="H5" s="111"/>
      <c r="I5" s="111"/>
      <c r="J5" s="111"/>
      <c r="K5" s="111"/>
      <c r="L5" s="111"/>
      <c r="M5" s="109" t="s">
        <v>1258</v>
      </c>
      <c r="N5" s="109"/>
      <c r="O5" s="109"/>
      <c r="P5" s="109"/>
      <c r="Q5" s="109"/>
      <c r="R5" s="110"/>
      <c r="S5" s="109"/>
      <c r="T5" s="139" t="str">
        <f ca="1">IF(AND('Inserimento dati'!$B$3=$H$2, TabellaCTE[[#This Row],[LUN]]="X"), "X",IF(AND('Inserimento dati'!$B$3=$I$2, TabellaCTE[[#This Row],[MAR]]="X"), "X", IF(AND('Inserimento dati'!$B$3=$J$2, TabellaCTE[[#This Row],[MER]]="X"), "X",IF(AND('Inserimento dati'!$B$3=$K$2, TabellaCTE[[#This Row],[GIO]]="X"), "X", IF(AND('Inserimento dati'!$B$3=$L$2, TabellaCTE[[#This Row],[VEN]]="X"), "X","")))))</f>
        <v/>
      </c>
      <c r="U5" s="160" t="str">
        <f t="shared" ca="1" si="1"/>
        <v/>
      </c>
      <c r="V5" s="187">
        <v>45930.833333333336</v>
      </c>
    </row>
    <row r="6" spans="1:22" s="19" customFormat="1" ht="23.25" x14ac:dyDescent="0.25">
      <c r="A6" s="112"/>
      <c r="B6" s="112" t="str">
        <f t="shared" si="0"/>
        <v>X</v>
      </c>
      <c r="C6" s="112" t="str">
        <f>IF(OR(TabellaCTE[[#This Row],[LUN]]="X",TabellaCTE[[#This Row],[MAR]]="X",TabellaCTE[[#This Row],[MER]]="X",TabellaCTE[[#This Row],[GIO]]="X",TabellaCTE[[#This Row],[VEN]]="X",),"X","")</f>
        <v/>
      </c>
      <c r="D6" s="113" t="s">
        <v>158</v>
      </c>
      <c r="E6" s="109" t="s">
        <v>988</v>
      </c>
      <c r="F6" s="109">
        <v>2000</v>
      </c>
      <c r="G6" s="109" t="s">
        <v>862</v>
      </c>
      <c r="H6" s="111"/>
      <c r="I6" s="111"/>
      <c r="J6" s="111"/>
      <c r="K6" s="111"/>
      <c r="L6" s="111"/>
      <c r="M6" s="109" t="s">
        <v>1258</v>
      </c>
      <c r="N6" s="109"/>
      <c r="O6" s="109"/>
      <c r="P6" s="109"/>
      <c r="Q6" s="109"/>
      <c r="R6" s="110"/>
      <c r="S6" s="109"/>
      <c r="T6" s="139" t="str">
        <f ca="1">IF(AND('Inserimento dati'!$B$3=$H$2, TabellaCTE[[#This Row],[LUN]]="X"), "X",IF(AND('Inserimento dati'!$B$3=$I$2, TabellaCTE[[#This Row],[MAR]]="X"), "X", IF(AND('Inserimento dati'!$B$3=$J$2, TabellaCTE[[#This Row],[MER]]="X"), "X",IF(AND('Inserimento dati'!$B$3=$K$2, TabellaCTE[[#This Row],[GIO]]="X"), "X", IF(AND('Inserimento dati'!$B$3=$L$2, TabellaCTE[[#This Row],[VEN]]="X"), "X","")))))</f>
        <v/>
      </c>
      <c r="U6" s="140" t="str">
        <f t="shared" ca="1" si="1"/>
        <v/>
      </c>
      <c r="V6" s="187">
        <v>45930.833333333336</v>
      </c>
    </row>
    <row r="7" spans="1:22" s="19" customFormat="1" ht="23.25" x14ac:dyDescent="0.25">
      <c r="A7" s="112"/>
      <c r="B7" s="112" t="str">
        <f t="shared" si="0"/>
        <v>X</v>
      </c>
      <c r="C7" s="112" t="str">
        <f>IF(OR(TabellaCTE[[#This Row],[LUN]]="X",TabellaCTE[[#This Row],[MAR]]="X",TabellaCTE[[#This Row],[MER]]="X",TabellaCTE[[#This Row],[GIO]]="X",TabellaCTE[[#This Row],[VEN]]="X",),"X","")</f>
        <v/>
      </c>
      <c r="D7" s="113" t="s">
        <v>158</v>
      </c>
      <c r="E7" s="109" t="s">
        <v>810</v>
      </c>
      <c r="F7" s="109">
        <v>2600</v>
      </c>
      <c r="G7" s="109" t="s">
        <v>804</v>
      </c>
      <c r="H7" s="111"/>
      <c r="I7" s="111"/>
      <c r="J7" s="111"/>
      <c r="K7" s="111"/>
      <c r="L7" s="111"/>
      <c r="M7" s="109" t="s">
        <v>1258</v>
      </c>
      <c r="N7" s="109"/>
      <c r="O7" s="109"/>
      <c r="P7" s="109"/>
      <c r="Q7" s="109" t="s">
        <v>828</v>
      </c>
      <c r="R7" s="110">
        <v>45720</v>
      </c>
      <c r="S7" s="109" t="s">
        <v>239</v>
      </c>
      <c r="T7" s="139" t="str">
        <f ca="1">IF(AND('Inserimento dati'!$B$3=$H$2, TabellaCTE[[#This Row],[LUN]]="X"), "X",IF(AND('Inserimento dati'!$B$3=$I$2, TabellaCTE[[#This Row],[MAR]]="X"), "X", IF(AND('Inserimento dati'!$B$3=$J$2, TabellaCTE[[#This Row],[MER]]="X"), "X",IF(AND('Inserimento dati'!$B$3=$K$2, TabellaCTE[[#This Row],[GIO]]="X"), "X", IF(AND('Inserimento dati'!$B$3=$L$2, TabellaCTE[[#This Row],[VEN]]="X"), "X","")))))</f>
        <v/>
      </c>
      <c r="U7" s="140" t="str">
        <f t="shared" ca="1" si="1"/>
        <v/>
      </c>
      <c r="V7" s="187">
        <v>45930.833333333336</v>
      </c>
    </row>
    <row r="8" spans="1:22" s="19" customFormat="1" ht="30" x14ac:dyDescent="0.25">
      <c r="A8" s="112"/>
      <c r="B8" s="112" t="str">
        <f t="shared" si="0"/>
        <v>X</v>
      </c>
      <c r="C8" s="112" t="str">
        <f>IF(OR(TabellaCTE[[#This Row],[LUN]]="X",TabellaCTE[[#This Row],[MAR]]="X",TabellaCTE[[#This Row],[MER]]="X",TabellaCTE[[#This Row],[GIO]]="X",TabellaCTE[[#This Row],[VEN]]="X",),"X","")</f>
        <v/>
      </c>
      <c r="D8" s="113" t="s">
        <v>158</v>
      </c>
      <c r="E8" s="109" t="s">
        <v>680</v>
      </c>
      <c r="F8" s="109">
        <v>2600</v>
      </c>
      <c r="G8" s="109" t="s">
        <v>646</v>
      </c>
      <c r="H8" s="111"/>
      <c r="I8" s="111"/>
      <c r="J8" s="111"/>
      <c r="K8" s="111"/>
      <c r="L8" s="111"/>
      <c r="M8" s="109" t="s">
        <v>1258</v>
      </c>
      <c r="N8" s="109"/>
      <c r="O8" s="109"/>
      <c r="P8" s="109"/>
      <c r="Q8" s="109" t="s">
        <v>809</v>
      </c>
      <c r="R8" s="110">
        <v>45716</v>
      </c>
      <c r="S8" s="109" t="s">
        <v>213</v>
      </c>
      <c r="T8" s="139" t="str">
        <f ca="1">IF(AND('Inserimento dati'!$B$3=$H$2, TabellaCTE[[#This Row],[LUN]]="X"), "X",IF(AND('Inserimento dati'!$B$3=$I$2, TabellaCTE[[#This Row],[MAR]]="X"), "X", IF(AND('Inserimento dati'!$B$3=$J$2, TabellaCTE[[#This Row],[MER]]="X"), "X",IF(AND('Inserimento dati'!$B$3=$K$2, TabellaCTE[[#This Row],[GIO]]="X"), "X", IF(AND('Inserimento dati'!$B$3=$L$2, TabellaCTE[[#This Row],[VEN]]="X"), "X","")))))</f>
        <v/>
      </c>
      <c r="U8" s="140" t="str">
        <f t="shared" ca="1" si="1"/>
        <v/>
      </c>
      <c r="V8" s="187">
        <v>45930.833333333336</v>
      </c>
    </row>
    <row r="9" spans="1:22" s="19" customFormat="1" ht="23.25" x14ac:dyDescent="0.25">
      <c r="A9" s="112"/>
      <c r="B9" s="112" t="str">
        <f t="shared" si="0"/>
        <v>X</v>
      </c>
      <c r="C9" s="112" t="str">
        <f>IF(OR(TabellaCTE[[#This Row],[LUN]]="X",TabellaCTE[[#This Row],[MAR]]="X",TabellaCTE[[#This Row],[MER]]="X",TabellaCTE[[#This Row],[GIO]]="X",TabellaCTE[[#This Row],[VEN]]="X",),"X","")</f>
        <v/>
      </c>
      <c r="D9" s="113" t="s">
        <v>158</v>
      </c>
      <c r="E9" s="109" t="s">
        <v>403</v>
      </c>
      <c r="F9" s="109">
        <v>2000</v>
      </c>
      <c r="G9" s="109" t="s">
        <v>241</v>
      </c>
      <c r="H9" s="111"/>
      <c r="I9" s="111"/>
      <c r="J9" s="111"/>
      <c r="K9" s="111"/>
      <c r="L9" s="111"/>
      <c r="M9" s="109" t="s">
        <v>1258</v>
      </c>
      <c r="N9" s="109"/>
      <c r="O9" s="109"/>
      <c r="P9" s="109"/>
      <c r="Q9" s="109"/>
      <c r="R9" s="110"/>
      <c r="S9" s="110"/>
      <c r="T9" s="139" t="str">
        <f ca="1">IF(AND('Inserimento dati'!$B$3=$H$2, TabellaCTE[[#This Row],[LUN]]="X"), "X",IF(AND('Inserimento dati'!$B$3=$I$2, TabellaCTE[[#This Row],[MAR]]="X"), "X", IF(AND('Inserimento dati'!$B$3=$J$2, TabellaCTE[[#This Row],[MER]]="X"), "X",IF(AND('Inserimento dati'!$B$3=$K$2, TabellaCTE[[#This Row],[GIO]]="X"), "X", IF(AND('Inserimento dati'!$B$3=$L$2, TabellaCTE[[#This Row],[VEN]]="X"), "X","")))))</f>
        <v/>
      </c>
      <c r="U9" s="140" t="str">
        <f t="shared" ca="1" si="1"/>
        <v/>
      </c>
      <c r="V9" s="187">
        <v>45930.833333333336</v>
      </c>
    </row>
    <row r="10" spans="1:22" s="19" customFormat="1" ht="30" x14ac:dyDescent="0.25">
      <c r="A10" s="112"/>
      <c r="B10" s="112" t="str">
        <f t="shared" si="0"/>
        <v>X</v>
      </c>
      <c r="C10" s="112" t="str">
        <f>IF(OR(TabellaCTE[[#This Row],[LUN]]="X",TabellaCTE[[#This Row],[MAR]]="X",TabellaCTE[[#This Row],[MER]]="X",TabellaCTE[[#This Row],[GIO]]="X",TabellaCTE[[#This Row],[VEN]]="X",),"X","")</f>
        <v/>
      </c>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39" t="str">
        <f ca="1">IF(AND('Inserimento dati'!$B$3=$H$2, TabellaCTE[[#This Row],[LUN]]="X"), "X",IF(AND('Inserimento dati'!$B$3=$I$2, TabellaCTE[[#This Row],[MAR]]="X"), "X", IF(AND('Inserimento dati'!$B$3=$J$2, TabellaCTE[[#This Row],[MER]]="X"), "X",IF(AND('Inserimento dati'!$B$3=$K$2, TabellaCTE[[#This Row],[GIO]]="X"), "X", IF(AND('Inserimento dati'!$B$3=$L$2, TabellaCTE[[#This Row],[VEN]]="X"), "X","")))))</f>
        <v/>
      </c>
      <c r="U10" s="140" t="str">
        <f t="shared" ca="1" si="1"/>
        <v/>
      </c>
      <c r="V10" s="187">
        <v>45930.833333333336</v>
      </c>
    </row>
    <row r="11" spans="1:22" s="19" customFormat="1" ht="23.25" x14ac:dyDescent="0.25">
      <c r="A11" s="112"/>
      <c r="B11" s="112" t="str">
        <f t="shared" si="0"/>
        <v>X</v>
      </c>
      <c r="C11" s="112" t="str">
        <f>IF(OR(TabellaCTE[[#This Row],[LUN]]="X",TabellaCTE[[#This Row],[MAR]]="X",TabellaCTE[[#This Row],[MER]]="X",TabellaCTE[[#This Row],[GIO]]="X",TabellaCTE[[#This Row],[VEN]]="X",),"X","")</f>
        <v/>
      </c>
      <c r="D11" s="113" t="s">
        <v>158</v>
      </c>
      <c r="E11" s="109" t="s">
        <v>309</v>
      </c>
      <c r="F11" s="109">
        <v>2000</v>
      </c>
      <c r="G11" s="109" t="s">
        <v>310</v>
      </c>
      <c r="H11" s="111"/>
      <c r="I11" s="111"/>
      <c r="J11" s="111"/>
      <c r="K11" s="111"/>
      <c r="L11" s="111"/>
      <c r="M11" s="109" t="s">
        <v>1258</v>
      </c>
      <c r="N11" s="109"/>
      <c r="O11" s="109"/>
      <c r="P11" s="109"/>
      <c r="Q11" s="109"/>
      <c r="R11" s="110"/>
      <c r="S11" s="110"/>
      <c r="T11" s="139" t="str">
        <f ca="1">IF(AND('Inserimento dati'!$B$3=$H$2, TabellaCTE[[#This Row],[LUN]]="X"), "X",IF(AND('Inserimento dati'!$B$3=$I$2, TabellaCTE[[#This Row],[MAR]]="X"), "X", IF(AND('Inserimento dati'!$B$3=$J$2, TabellaCTE[[#This Row],[MER]]="X"), "X",IF(AND('Inserimento dati'!$B$3=$K$2, TabellaCTE[[#This Row],[GIO]]="X"), "X", IF(AND('Inserimento dati'!$B$3=$L$2, TabellaCTE[[#This Row],[VEN]]="X"), "X","")))))</f>
        <v/>
      </c>
      <c r="U11" s="140" t="str">
        <f t="shared" ca="1" si="1"/>
        <v/>
      </c>
      <c r="V11" s="187">
        <v>45930.833333333336</v>
      </c>
    </row>
    <row r="12" spans="1:22" s="19" customFormat="1" ht="30" x14ac:dyDescent="0.25">
      <c r="A12" s="112"/>
      <c r="B12" s="112" t="str">
        <f t="shared" si="0"/>
        <v>X</v>
      </c>
      <c r="C12" s="112" t="str">
        <f>IF(OR(TabellaCTE[[#This Row],[LUN]]="X",TabellaCTE[[#This Row],[MAR]]="X",TabellaCTE[[#This Row],[MER]]="X",TabellaCTE[[#This Row],[GIO]]="X",TabellaCTE[[#This Row],[VEN]]="X",),"X","")</f>
        <v/>
      </c>
      <c r="D12" s="113" t="s">
        <v>158</v>
      </c>
      <c r="E12" s="109" t="s">
        <v>400</v>
      </c>
      <c r="F12" s="109">
        <v>2800</v>
      </c>
      <c r="G12" s="109" t="s">
        <v>306</v>
      </c>
      <c r="H12" s="111"/>
      <c r="I12" s="111"/>
      <c r="J12" s="111"/>
      <c r="K12" s="111"/>
      <c r="L12" s="111"/>
      <c r="M12" s="109" t="s">
        <v>1258</v>
      </c>
      <c r="N12" s="109"/>
      <c r="O12" s="109"/>
      <c r="P12" s="109"/>
      <c r="Q12" s="109"/>
      <c r="R12" s="110"/>
      <c r="S12" s="110"/>
      <c r="T12" s="139" t="str">
        <f ca="1">IF(AND('Inserimento dati'!$B$3=$H$2, TabellaCTE[[#This Row],[LUN]]="X"), "X",IF(AND('Inserimento dati'!$B$3=$I$2, TabellaCTE[[#This Row],[MAR]]="X"), "X", IF(AND('Inserimento dati'!$B$3=$J$2, TabellaCTE[[#This Row],[MER]]="X"), "X",IF(AND('Inserimento dati'!$B$3=$K$2, TabellaCTE[[#This Row],[GIO]]="X"), "X", IF(AND('Inserimento dati'!$B$3=$L$2, TabellaCTE[[#This Row],[VEN]]="X"), "X","")))))</f>
        <v/>
      </c>
      <c r="U12" s="140" t="str">
        <f t="shared" ca="1" si="1"/>
        <v/>
      </c>
      <c r="V12" s="187">
        <v>45930.833333333336</v>
      </c>
    </row>
    <row r="13" spans="1:22" s="19" customFormat="1" ht="30" x14ac:dyDescent="0.25">
      <c r="A13" s="112"/>
      <c r="B13" s="112" t="str">
        <f t="shared" si="0"/>
        <v>X</v>
      </c>
      <c r="C13" s="112" t="str">
        <f>IF(OR(TabellaCTE[[#This Row],[LUN]]="X",TabellaCTE[[#This Row],[MAR]]="X",TabellaCTE[[#This Row],[MER]]="X",TabellaCTE[[#This Row],[GIO]]="X",TabellaCTE[[#This Row],[VEN]]="X",),"X","")</f>
        <v/>
      </c>
      <c r="D13" s="113" t="s">
        <v>158</v>
      </c>
      <c r="E13" s="109" t="s">
        <v>242</v>
      </c>
      <c r="F13" s="109">
        <v>2000</v>
      </c>
      <c r="G13" s="109" t="s">
        <v>243</v>
      </c>
      <c r="H13" s="111"/>
      <c r="I13" s="111"/>
      <c r="J13" s="111"/>
      <c r="K13" s="111"/>
      <c r="L13" s="111"/>
      <c r="M13" s="109" t="s">
        <v>1258</v>
      </c>
      <c r="N13" s="109"/>
      <c r="O13" s="109"/>
      <c r="P13" s="109"/>
      <c r="Q13" s="109"/>
      <c r="R13" s="110"/>
      <c r="S13" s="110"/>
      <c r="T13" s="139" t="str">
        <f ca="1">IF(AND('Inserimento dati'!$B$3=$H$2, TabellaCTE[[#This Row],[LUN]]="X"), "X",IF(AND('Inserimento dati'!$B$3=$I$2, TabellaCTE[[#This Row],[MAR]]="X"), "X", IF(AND('Inserimento dati'!$B$3=$J$2, TabellaCTE[[#This Row],[MER]]="X"), "X",IF(AND('Inserimento dati'!$B$3=$K$2, TabellaCTE[[#This Row],[GIO]]="X"), "X", IF(AND('Inserimento dati'!$B$3=$L$2, TabellaCTE[[#This Row],[VEN]]="X"), "X","")))))</f>
        <v/>
      </c>
      <c r="U13" s="140" t="str">
        <f t="shared" ca="1" si="1"/>
        <v/>
      </c>
      <c r="V13" s="187">
        <v>45930.833333333336</v>
      </c>
    </row>
    <row r="14" spans="1:22" s="19" customFormat="1" ht="23.25" x14ac:dyDescent="0.25">
      <c r="A14" s="112"/>
      <c r="B14" s="112" t="str">
        <f t="shared" si="0"/>
        <v>X</v>
      </c>
      <c r="C14" s="112" t="str">
        <f>IF(OR(TabellaCTE[[#This Row],[LUN]]="X",TabellaCTE[[#This Row],[MAR]]="X",TabellaCTE[[#This Row],[MER]]="X",TabellaCTE[[#This Row],[GIO]]="X",TabellaCTE[[#This Row],[VEN]]="X",),"X","")</f>
        <v/>
      </c>
      <c r="D14" s="113" t="s">
        <v>158</v>
      </c>
      <c r="E14" s="109" t="s">
        <v>159</v>
      </c>
      <c r="F14" s="109">
        <v>2000</v>
      </c>
      <c r="G14" s="109" t="s">
        <v>160</v>
      </c>
      <c r="H14" s="111"/>
      <c r="I14" s="111"/>
      <c r="J14" s="111"/>
      <c r="K14" s="111"/>
      <c r="L14" s="111"/>
      <c r="M14" s="109" t="s">
        <v>1258</v>
      </c>
      <c r="N14" s="109"/>
      <c r="O14" s="109"/>
      <c r="P14" s="109"/>
      <c r="Q14" s="109" t="s">
        <v>89</v>
      </c>
      <c r="R14" s="110"/>
      <c r="S14" s="110"/>
      <c r="T14" s="139" t="str">
        <f ca="1">IF(AND('Inserimento dati'!$B$3=$H$2, TabellaCTE[[#This Row],[LUN]]="X"), "X",IF(AND('Inserimento dati'!$B$3=$I$2, TabellaCTE[[#This Row],[MAR]]="X"), "X", IF(AND('Inserimento dati'!$B$3=$J$2, TabellaCTE[[#This Row],[MER]]="X"), "X",IF(AND('Inserimento dati'!$B$3=$K$2, TabellaCTE[[#This Row],[GIO]]="X"), "X", IF(AND('Inserimento dati'!$B$3=$L$2, TabellaCTE[[#This Row],[VEN]]="X"), "X","")))))</f>
        <v/>
      </c>
      <c r="U14" s="140" t="str">
        <f t="shared" ca="1" si="1"/>
        <v/>
      </c>
      <c r="V14" s="187">
        <v>45930.833333333336</v>
      </c>
    </row>
    <row r="15" spans="1:22" s="19" customFormat="1" ht="23.25" x14ac:dyDescent="0.25">
      <c r="A15" s="112"/>
      <c r="B15" s="112" t="str">
        <f t="shared" si="0"/>
        <v>X</v>
      </c>
      <c r="C15" s="112" t="str">
        <f>IF(OR(TabellaCTE[[#This Row],[LUN]]="X",TabellaCTE[[#This Row],[MAR]]="X",TabellaCTE[[#This Row],[MER]]="X",TabellaCTE[[#This Row],[GIO]]="X",TabellaCTE[[#This Row],[VEN]]="X",),"X","")</f>
        <v/>
      </c>
      <c r="D15" s="113" t="s">
        <v>158</v>
      </c>
      <c r="E15" s="109" t="s">
        <v>161</v>
      </c>
      <c r="F15" s="109" t="s">
        <v>158</v>
      </c>
      <c r="G15" s="109" t="s">
        <v>162</v>
      </c>
      <c r="H15" s="111"/>
      <c r="I15" s="111"/>
      <c r="J15" s="111"/>
      <c r="K15" s="111"/>
      <c r="L15" s="111"/>
      <c r="M15" s="109" t="s">
        <v>1258</v>
      </c>
      <c r="N15" s="109"/>
      <c r="O15" s="109"/>
      <c r="P15" s="109"/>
      <c r="Q15" s="109" t="s">
        <v>89</v>
      </c>
      <c r="R15" s="110"/>
      <c r="S15" s="110"/>
      <c r="T15" s="139" t="str">
        <f ca="1">IF(AND('Inserimento dati'!$B$3=$H$2, TabellaCTE[[#This Row],[LUN]]="X"), "X",IF(AND('Inserimento dati'!$B$3=$I$2, TabellaCTE[[#This Row],[MAR]]="X"), "X", IF(AND('Inserimento dati'!$B$3=$J$2, TabellaCTE[[#This Row],[MER]]="X"), "X",IF(AND('Inserimento dati'!$B$3=$K$2, TabellaCTE[[#This Row],[GIO]]="X"), "X", IF(AND('Inserimento dati'!$B$3=$L$2, TabellaCTE[[#This Row],[VEN]]="X"), "X","")))))</f>
        <v/>
      </c>
      <c r="U15" s="140" t="str">
        <f t="shared" ca="1" si="1"/>
        <v/>
      </c>
      <c r="V15" s="187">
        <v>45930.833333333336</v>
      </c>
    </row>
    <row r="16" spans="1:22" s="19" customFormat="1" ht="23.25" x14ac:dyDescent="0.25">
      <c r="A16" s="112"/>
      <c r="B16" s="112" t="str">
        <f t="shared" si="0"/>
        <v>X</v>
      </c>
      <c r="C16" s="112" t="str">
        <f>IF(OR(TabellaCTE[[#This Row],[LUN]]="X",TabellaCTE[[#This Row],[MAR]]="X",TabellaCTE[[#This Row],[MER]]="X",TabellaCTE[[#This Row],[GIO]]="X",TabellaCTE[[#This Row],[VEN]]="X",),"X","")</f>
        <v/>
      </c>
      <c r="D16" s="113" t="s">
        <v>158</v>
      </c>
      <c r="E16" s="109" t="s">
        <v>163</v>
      </c>
      <c r="F16" s="109">
        <v>2800</v>
      </c>
      <c r="G16" s="109" t="s">
        <v>164</v>
      </c>
      <c r="H16" s="111"/>
      <c r="I16" s="111"/>
      <c r="J16" s="111"/>
      <c r="K16" s="111"/>
      <c r="L16" s="111"/>
      <c r="M16" s="109" t="s">
        <v>1258</v>
      </c>
      <c r="N16" s="109"/>
      <c r="O16" s="109"/>
      <c r="P16" s="109"/>
      <c r="Q16" s="109" t="s">
        <v>89</v>
      </c>
      <c r="R16" s="110"/>
      <c r="S16" s="110"/>
      <c r="T16" s="139" t="str">
        <f ca="1">IF(AND('Inserimento dati'!$B$3=$H$2, TabellaCTE[[#This Row],[LUN]]="X"), "X",IF(AND('Inserimento dati'!$B$3=$I$2, TabellaCTE[[#This Row],[MAR]]="X"), "X", IF(AND('Inserimento dati'!$B$3=$J$2, TabellaCTE[[#This Row],[MER]]="X"), "X",IF(AND('Inserimento dati'!$B$3=$K$2, TabellaCTE[[#This Row],[GIO]]="X"), "X", IF(AND('Inserimento dati'!$B$3=$L$2, TabellaCTE[[#This Row],[VEN]]="X"), "X","")))))</f>
        <v/>
      </c>
      <c r="U16" s="140" t="str">
        <f t="shared" ca="1" si="1"/>
        <v/>
      </c>
      <c r="V16" s="187">
        <v>45930.833333333336</v>
      </c>
    </row>
    <row r="17" spans="1:22" s="19" customFormat="1" ht="30" x14ac:dyDescent="0.25">
      <c r="A17" s="112"/>
      <c r="B17" s="112" t="str">
        <f t="shared" si="0"/>
        <v>X</v>
      </c>
      <c r="C17" s="112" t="str">
        <f>IF(OR(TabellaCTE[[#This Row],[LUN]]="X",TabellaCTE[[#This Row],[MAR]]="X",TabellaCTE[[#This Row],[MER]]="X",TabellaCTE[[#This Row],[GIO]]="X",TabellaCTE[[#This Row],[VEN]]="X",),"X","")</f>
        <v/>
      </c>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t="str">
        <f ca="1">IF(AND('Inserimento dati'!$B$3=$H$2, TabellaCTE[[#This Row],[LUN]]="X"), "X",IF(AND('Inserimento dati'!$B$3=$I$2, TabellaCTE[[#This Row],[MAR]]="X"), "X", IF(AND('Inserimento dati'!$B$3=$J$2, TabellaCTE[[#This Row],[MER]]="X"), "X",IF(AND('Inserimento dati'!$B$3=$K$2, TabellaCTE[[#This Row],[GIO]]="X"), "X", IF(AND('Inserimento dati'!$B$3=$L$2, TabellaCTE[[#This Row],[VEN]]="X"), "X","")))))</f>
        <v/>
      </c>
      <c r="U17" s="140" t="str">
        <f t="shared" ca="1" si="1"/>
        <v/>
      </c>
      <c r="V17" s="187">
        <v>45930.833333333336</v>
      </c>
    </row>
    <row r="18" spans="1:22" s="19" customFormat="1" ht="30" x14ac:dyDescent="0.25">
      <c r="A18" s="112"/>
      <c r="B18" s="112" t="str">
        <f t="shared" si="0"/>
        <v>X</v>
      </c>
      <c r="C18" s="112" t="str">
        <f>IF(OR(TabellaCTE[[#This Row],[LUN]]="X",TabellaCTE[[#This Row],[MAR]]="X",TabellaCTE[[#This Row],[MER]]="X",TabellaCTE[[#This Row],[GIO]]="X",TabellaCTE[[#This Row],[VEN]]="X",),"X","")</f>
        <v/>
      </c>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t="str">
        <f ca="1">IF(AND('Inserimento dati'!$B$3=$H$2, TabellaCTE[[#This Row],[LUN]]="X"), "X",IF(AND('Inserimento dati'!$B$3=$I$2, TabellaCTE[[#This Row],[MAR]]="X"), "X", IF(AND('Inserimento dati'!$B$3=$J$2, TabellaCTE[[#This Row],[MER]]="X"), "X",IF(AND('Inserimento dati'!$B$3=$K$2, TabellaCTE[[#This Row],[GIO]]="X"), "X", IF(AND('Inserimento dati'!$B$3=$L$2, TabellaCTE[[#This Row],[VEN]]="X"), "X","")))))</f>
        <v/>
      </c>
      <c r="U18" s="140" t="str">
        <f t="shared" ca="1" si="1"/>
        <v/>
      </c>
      <c r="V18" s="187">
        <v>45930.833333333336</v>
      </c>
    </row>
    <row r="19" spans="1:22" s="1" customFormat="1" ht="23.25" x14ac:dyDescent="0.25">
      <c r="A19" s="112"/>
      <c r="B19" s="112" t="str">
        <f t="shared" si="0"/>
        <v>X</v>
      </c>
      <c r="C19" s="112" t="str">
        <f>IF(OR(TabellaCTE[[#This Row],[LUN]]="X",TabellaCTE[[#This Row],[MAR]]="X",TabellaCTE[[#This Row],[MER]]="X",TabellaCTE[[#This Row],[GIO]]="X",TabellaCTE[[#This Row],[VEN]]="X",),"X","")</f>
        <v/>
      </c>
      <c r="D19" s="113" t="s">
        <v>158</v>
      </c>
      <c r="E19" s="109" t="s">
        <v>195</v>
      </c>
      <c r="F19" s="109" t="s">
        <v>190</v>
      </c>
      <c r="G19" s="109" t="s">
        <v>198</v>
      </c>
      <c r="H19" s="111"/>
      <c r="I19" s="111"/>
      <c r="J19" s="111"/>
      <c r="K19" s="111"/>
      <c r="L19" s="111"/>
      <c r="M19" s="109" t="s">
        <v>1258</v>
      </c>
      <c r="N19" s="109"/>
      <c r="O19" s="109"/>
      <c r="P19" s="109"/>
      <c r="Q19" s="109"/>
      <c r="R19" s="110"/>
      <c r="S19" s="110"/>
      <c r="T19" s="112" t="str">
        <f ca="1">IF(AND('Inserimento dati'!$B$3=$H$2, TabellaCTE[[#This Row],[LUN]]="X"), "X",IF(AND('Inserimento dati'!$B$3=$I$2, TabellaCTE[[#This Row],[MAR]]="X"), "X", IF(AND('Inserimento dati'!$B$3=$J$2, TabellaCTE[[#This Row],[MER]]="X"), "X",IF(AND('Inserimento dati'!$B$3=$K$2, TabellaCTE[[#This Row],[GIO]]="X"), "X", IF(AND('Inserimento dati'!$B$3=$L$2, TabellaCTE[[#This Row],[VEN]]="X"), "X","")))))</f>
        <v/>
      </c>
      <c r="U19" s="140" t="str">
        <f t="shared" ca="1" si="1"/>
        <v/>
      </c>
      <c r="V19" s="189">
        <v>45930.833333333336</v>
      </c>
    </row>
    <row r="20" spans="1:22" s="1" customFormat="1" ht="23.25" x14ac:dyDescent="0.25">
      <c r="A20" s="112"/>
      <c r="B20" s="112" t="str">
        <f t="shared" si="0"/>
        <v>X</v>
      </c>
      <c r="C20" s="112" t="str">
        <f>IF(OR(TabellaCTE[[#This Row],[LUN]]="X",TabellaCTE[[#This Row],[MAR]]="X",TabellaCTE[[#This Row],[MER]]="X",TabellaCTE[[#This Row],[GIO]]="X",TabellaCTE[[#This Row],[VEN]]="X",),"X","")</f>
        <v/>
      </c>
      <c r="D20" s="113" t="s">
        <v>158</v>
      </c>
      <c r="E20" s="109" t="s">
        <v>196</v>
      </c>
      <c r="F20" s="109" t="s">
        <v>190</v>
      </c>
      <c r="G20" s="109" t="s">
        <v>197</v>
      </c>
      <c r="H20" s="111"/>
      <c r="I20" s="111"/>
      <c r="J20" s="111"/>
      <c r="K20" s="111"/>
      <c r="L20" s="111"/>
      <c r="M20" s="109" t="s">
        <v>1258</v>
      </c>
      <c r="N20" s="109"/>
      <c r="O20" s="109"/>
      <c r="P20" s="109"/>
      <c r="Q20" s="109"/>
      <c r="R20" s="110"/>
      <c r="S20" s="110"/>
      <c r="T20" s="112" t="str">
        <f ca="1">IF(AND('Inserimento dati'!$B$3=$H$2, TabellaCTE[[#This Row],[LUN]]="X"), "X",IF(AND('Inserimento dati'!$B$3=$I$2, TabellaCTE[[#This Row],[MAR]]="X"), "X", IF(AND('Inserimento dati'!$B$3=$J$2, TabellaCTE[[#This Row],[MER]]="X"), "X",IF(AND('Inserimento dati'!$B$3=$K$2, TabellaCTE[[#This Row],[GIO]]="X"), "X", IF(AND('Inserimento dati'!$B$3=$L$2, TabellaCTE[[#This Row],[VEN]]="X"), "X","")))))</f>
        <v/>
      </c>
      <c r="U20" s="140" t="str">
        <f t="shared" ca="1" si="1"/>
        <v/>
      </c>
      <c r="V20" s="189">
        <v>45930.833333333336</v>
      </c>
    </row>
    <row r="21" spans="1:22" s="1" customFormat="1" ht="23.25" x14ac:dyDescent="0.25">
      <c r="A21" s="112"/>
      <c r="B21" s="112" t="str">
        <f t="shared" si="0"/>
        <v>X</v>
      </c>
      <c r="C21" s="112" t="str">
        <f>IF(OR(TabellaCTE[[#This Row],[LUN]]="X",TabellaCTE[[#This Row],[MAR]]="X",TabellaCTE[[#This Row],[MER]]="X",TabellaCTE[[#This Row],[GIO]]="X",TabellaCTE[[#This Row],[VEN]]="X",),"X","")</f>
        <v/>
      </c>
      <c r="D21" s="113" t="s">
        <v>158</v>
      </c>
      <c r="E21" s="109" t="s">
        <v>193</v>
      </c>
      <c r="F21" s="109" t="s">
        <v>190</v>
      </c>
      <c r="G21" s="109" t="s">
        <v>194</v>
      </c>
      <c r="H21" s="111"/>
      <c r="I21" s="111"/>
      <c r="J21" s="111"/>
      <c r="K21" s="111"/>
      <c r="L21" s="111"/>
      <c r="M21" s="109" t="s">
        <v>1258</v>
      </c>
      <c r="N21" s="109"/>
      <c r="O21" s="109"/>
      <c r="P21" s="109"/>
      <c r="Q21" s="109"/>
      <c r="R21" s="110"/>
      <c r="S21" s="110"/>
      <c r="T21" s="112" t="str">
        <f ca="1">IF(AND('Inserimento dati'!$B$3=$H$2, TabellaCTE[[#This Row],[LUN]]="X"), "X",IF(AND('Inserimento dati'!$B$3=$I$2, TabellaCTE[[#This Row],[MAR]]="X"), "X", IF(AND('Inserimento dati'!$B$3=$J$2, TabellaCTE[[#This Row],[MER]]="X"), "X",IF(AND('Inserimento dati'!$B$3=$K$2, TabellaCTE[[#This Row],[GIO]]="X"), "X", IF(AND('Inserimento dati'!$B$3=$L$2, TabellaCTE[[#This Row],[VEN]]="X"), "X","")))))</f>
        <v/>
      </c>
      <c r="U21" s="140" t="str">
        <f t="shared" ca="1" si="1"/>
        <v/>
      </c>
      <c r="V21" s="189">
        <v>45930.833333333336</v>
      </c>
    </row>
    <row r="22" spans="1:22" s="1" customFormat="1" ht="30" x14ac:dyDescent="0.25">
      <c r="A22" s="112"/>
      <c r="B22" s="112" t="str">
        <f t="shared" si="0"/>
        <v>X</v>
      </c>
      <c r="C22" s="112" t="str">
        <f>IF(OR(TabellaCTE[[#This Row],[LUN]]="X",TabellaCTE[[#This Row],[MAR]]="X",TabellaCTE[[#This Row],[MER]]="X",TabellaCTE[[#This Row],[GIO]]="X",TabellaCTE[[#This Row],[VEN]]="X",),"X","")</f>
        <v/>
      </c>
      <c r="D22" s="113" t="s">
        <v>158</v>
      </c>
      <c r="E22" s="109" t="s">
        <v>188</v>
      </c>
      <c r="F22" s="109" t="s">
        <v>190</v>
      </c>
      <c r="G22" s="109" t="s">
        <v>192</v>
      </c>
      <c r="H22" s="111"/>
      <c r="I22" s="111"/>
      <c r="J22" s="111"/>
      <c r="K22" s="111"/>
      <c r="L22" s="111"/>
      <c r="M22" s="109" t="s">
        <v>1258</v>
      </c>
      <c r="N22" s="109"/>
      <c r="O22" s="109"/>
      <c r="P22" s="109"/>
      <c r="Q22" s="109"/>
      <c r="R22" s="110"/>
      <c r="S22" s="110"/>
      <c r="T22" s="112" t="str">
        <f ca="1">IF(AND('Inserimento dati'!$B$3=$H$2, TabellaCTE[[#This Row],[LUN]]="X"), "X",IF(AND('Inserimento dati'!$B$3=$I$2, TabellaCTE[[#This Row],[MAR]]="X"), "X", IF(AND('Inserimento dati'!$B$3=$J$2, TabellaCTE[[#This Row],[MER]]="X"), "X",IF(AND('Inserimento dati'!$B$3=$K$2, TabellaCTE[[#This Row],[GIO]]="X"), "X", IF(AND('Inserimento dati'!$B$3=$L$2, TabellaCTE[[#This Row],[VEN]]="X"), "X","")))))</f>
        <v/>
      </c>
      <c r="U22" s="140" t="str">
        <f t="shared" ca="1" si="1"/>
        <v/>
      </c>
      <c r="V22" s="189">
        <v>45930.833333333336</v>
      </c>
    </row>
    <row r="23" spans="1:22" s="1" customFormat="1" ht="23.25" x14ac:dyDescent="0.25">
      <c r="A23" s="112"/>
      <c r="B23" s="112" t="str">
        <f t="shared" si="0"/>
        <v>X</v>
      </c>
      <c r="C23" s="112" t="str">
        <f>IF(OR(TabellaCTE[[#This Row],[LUN]]="X",TabellaCTE[[#This Row],[MAR]]="X",TabellaCTE[[#This Row],[MER]]="X",TabellaCTE[[#This Row],[GIO]]="X",TabellaCTE[[#This Row],[VEN]]="X",),"X","")</f>
        <v/>
      </c>
      <c r="D23" s="113" t="s">
        <v>158</v>
      </c>
      <c r="E23" s="109" t="s">
        <v>191</v>
      </c>
      <c r="F23" s="109" t="s">
        <v>190</v>
      </c>
      <c r="G23" s="109" t="s">
        <v>189</v>
      </c>
      <c r="H23" s="111"/>
      <c r="I23" s="111"/>
      <c r="J23" s="111"/>
      <c r="K23" s="111"/>
      <c r="L23" s="111"/>
      <c r="M23" s="109" t="s">
        <v>1258</v>
      </c>
      <c r="N23" s="109"/>
      <c r="O23" s="109"/>
      <c r="P23" s="109"/>
      <c r="Q23" s="109"/>
      <c r="R23" s="110"/>
      <c r="S23" s="110"/>
      <c r="T23" s="112" t="str">
        <f ca="1">IF(AND('Inserimento dati'!$B$3=$H$2, TabellaCTE[[#This Row],[LUN]]="X"), "X",IF(AND('Inserimento dati'!$B$3=$I$2, TabellaCTE[[#This Row],[MAR]]="X"), "X", IF(AND('Inserimento dati'!$B$3=$J$2, TabellaCTE[[#This Row],[MER]]="X"), "X",IF(AND('Inserimento dati'!$B$3=$K$2, TabellaCTE[[#This Row],[GIO]]="X"), "X", IF(AND('Inserimento dati'!$B$3=$L$2, TabellaCTE[[#This Row],[VEN]]="X"), "X","")))))</f>
        <v/>
      </c>
      <c r="U23" s="140" t="str">
        <f t="shared" ca="1" si="1"/>
        <v/>
      </c>
      <c r="V23" s="189">
        <v>45930.833333333336</v>
      </c>
    </row>
    <row r="24" spans="1:22" s="1" customFormat="1" ht="30" x14ac:dyDescent="0.25">
      <c r="A24" s="112"/>
      <c r="B24" s="112" t="str">
        <f t="shared" si="0"/>
        <v>X</v>
      </c>
      <c r="C24" s="112" t="str">
        <f>IF(OR(TabellaCTE[[#This Row],[LUN]]="X",TabellaCTE[[#This Row],[MAR]]="X",TabellaCTE[[#This Row],[MER]]="X",TabellaCTE[[#This Row],[GIO]]="X",TabellaCTE[[#This Row],[VEN]]="X",),"X","")</f>
        <v/>
      </c>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t="str">
        <f ca="1">IF(AND('Inserimento dati'!$B$3=$H$2, TabellaCTE[[#This Row],[LUN]]="X"), "X",IF(AND('Inserimento dati'!$B$3=$I$2, TabellaCTE[[#This Row],[MAR]]="X"), "X", IF(AND('Inserimento dati'!$B$3=$J$2, TabellaCTE[[#This Row],[MER]]="X"), "X",IF(AND('Inserimento dati'!$B$3=$K$2, TabellaCTE[[#This Row],[GIO]]="X"), "X", IF(AND('Inserimento dati'!$B$3=$L$2, TabellaCTE[[#This Row],[VEN]]="X"), "X","")))))</f>
        <v/>
      </c>
      <c r="U24" s="140" t="str">
        <f t="shared" ca="1" si="1"/>
        <v/>
      </c>
      <c r="V24" s="189">
        <v>45930.833333333336</v>
      </c>
    </row>
    <row r="25" spans="1:22" s="1" customFormat="1" ht="30" x14ac:dyDescent="0.25">
      <c r="A25" s="112"/>
      <c r="B25" s="112" t="str">
        <f t="shared" si="0"/>
        <v>X</v>
      </c>
      <c r="C25" s="112" t="str">
        <f>IF(OR(TabellaCTE[[#This Row],[LUN]]="X",TabellaCTE[[#This Row],[MAR]]="X",TabellaCTE[[#This Row],[MER]]="X",TabellaCTE[[#This Row],[GIO]]="X",TabellaCTE[[#This Row],[VEN]]="X",),"X","")</f>
        <v/>
      </c>
      <c r="D25" s="113" t="s">
        <v>158</v>
      </c>
      <c r="E25" s="109" t="s">
        <v>1355</v>
      </c>
      <c r="F25" s="109">
        <v>2600</v>
      </c>
      <c r="G25" s="109" t="s">
        <v>1354</v>
      </c>
      <c r="H25" s="111"/>
      <c r="I25" s="111"/>
      <c r="J25" s="111"/>
      <c r="K25" s="111"/>
      <c r="L25" s="111"/>
      <c r="M25" s="109" t="s">
        <v>1258</v>
      </c>
      <c r="N25" s="109"/>
      <c r="O25" s="109"/>
      <c r="P25" s="109"/>
      <c r="Q25" s="109" t="s">
        <v>1710</v>
      </c>
      <c r="R25" s="110"/>
      <c r="S25" s="109"/>
      <c r="T25" s="115" t="str">
        <f ca="1">IF(AND('Inserimento dati'!$B$3=$H$2, TabellaCTE[[#This Row],[LUN]]="X"), "X",IF(AND('Inserimento dati'!$B$3=$I$2, TabellaCTE[[#This Row],[MAR]]="X"), "X", IF(AND('Inserimento dati'!$B$3=$J$2, TabellaCTE[[#This Row],[MER]]="X"), "X",IF(AND('Inserimento dati'!$B$3=$K$2, TabellaCTE[[#This Row],[GIO]]="X"), "X", IF(AND('Inserimento dati'!$B$3=$L$2, TabellaCTE[[#This Row],[VEN]]="X"), "X","")))))</f>
        <v/>
      </c>
      <c r="U25" s="140" t="str">
        <f t="shared" ca="1" si="1"/>
        <v/>
      </c>
      <c r="V25" s="189">
        <v>45930.833333333336</v>
      </c>
    </row>
    <row r="26" spans="1:22" s="1" customFormat="1" ht="23.25" x14ac:dyDescent="0.25">
      <c r="A26" s="112"/>
      <c r="B26" s="112" t="str">
        <f t="shared" si="0"/>
        <v>X</v>
      </c>
      <c r="C26" s="112" t="str">
        <f>IF(OR(TabellaCTE[[#This Row],[LUN]]="X",TabellaCTE[[#This Row],[MAR]]="X",TabellaCTE[[#This Row],[MER]]="X",TabellaCTE[[#This Row],[GIO]]="X",TabellaCTE[[#This Row],[VEN]]="X",),"X","")</f>
        <v/>
      </c>
      <c r="D26" s="113" t="s">
        <v>158</v>
      </c>
      <c r="E26" s="109" t="s">
        <v>2764</v>
      </c>
      <c r="F26" s="109">
        <v>2000</v>
      </c>
      <c r="G26" s="109" t="s">
        <v>2765</v>
      </c>
      <c r="H26" s="111"/>
      <c r="I26" s="111"/>
      <c r="J26" s="111"/>
      <c r="K26" s="111"/>
      <c r="L26" s="111"/>
      <c r="M26" s="109" t="s">
        <v>1036</v>
      </c>
      <c r="N26" s="109"/>
      <c r="O26" s="109"/>
      <c r="P26" s="109"/>
      <c r="Q26" s="109"/>
      <c r="R26" s="110"/>
      <c r="S26" s="109"/>
      <c r="T26" s="127" t="str">
        <f ca="1">IF(AND('Inserimento dati'!$B$3=$H$2, TabellaCTE[[#This Row],[LUN]]="X"), "X",IF(AND('Inserimento dati'!$B$3=$I$2, TabellaCTE[[#This Row],[MAR]]="X"), "X", IF(AND('Inserimento dati'!$B$3=$J$2, TabellaCTE[[#This Row],[MER]]="X"), "X",IF(AND('Inserimento dati'!$B$3=$K$2, TabellaCTE[[#This Row],[GIO]]="X"), "X", IF(AND('Inserimento dati'!$B$3=$L$2, TabellaCTE[[#This Row],[VEN]]="X"), "X","")))))</f>
        <v/>
      </c>
      <c r="U26" s="161"/>
      <c r="V26" s="189">
        <v>45930.833333333336</v>
      </c>
    </row>
    <row r="27" spans="1:22" s="1" customFormat="1" ht="45" x14ac:dyDescent="0.25">
      <c r="A27" s="112"/>
      <c r="B27" s="112" t="str">
        <f t="shared" si="0"/>
        <v>X</v>
      </c>
      <c r="C27" s="112" t="str">
        <f>IF(OR(TabellaCTE[[#This Row],[LUN]]="X",TabellaCTE[[#This Row],[MAR]]="X",TabellaCTE[[#This Row],[MER]]="X",TabellaCTE[[#This Row],[GIO]]="X",TabellaCTE[[#This Row],[VEN]]="X",),"X","")</f>
        <v/>
      </c>
      <c r="D27" s="113" t="s">
        <v>158</v>
      </c>
      <c r="E27" s="109" t="s">
        <v>2448</v>
      </c>
      <c r="F27" s="109" t="s">
        <v>190</v>
      </c>
      <c r="G27" s="109" t="s">
        <v>2449</v>
      </c>
      <c r="H27" s="111"/>
      <c r="I27" s="111"/>
      <c r="J27" s="111"/>
      <c r="K27" s="111"/>
      <c r="L27" s="111"/>
      <c r="M27" s="109" t="s">
        <v>1036</v>
      </c>
      <c r="N27" s="109"/>
      <c r="O27" s="109"/>
      <c r="P27" s="109"/>
      <c r="Q27" s="109"/>
      <c r="R27" s="110"/>
      <c r="S27" s="109"/>
      <c r="T27" s="127" t="str">
        <f ca="1">IF(AND('Inserimento dati'!$B$3=$H$2, TabellaCTE[[#This Row],[LUN]]="X"), "X",IF(AND('Inserimento dati'!$B$3=$I$2, TabellaCTE[[#This Row],[MAR]]="X"), "X", IF(AND('Inserimento dati'!$B$3=$J$2, TabellaCTE[[#This Row],[MER]]="X"), "X",IF(AND('Inserimento dati'!$B$3=$K$2, TabellaCTE[[#This Row],[GIO]]="X"), "X", IF(AND('Inserimento dati'!$B$3=$L$2, TabellaCTE[[#This Row],[VEN]]="X"), "X","")))))</f>
        <v/>
      </c>
      <c r="U27" s="161"/>
      <c r="V27" s="189">
        <v>45930.833333333336</v>
      </c>
    </row>
    <row r="28" spans="1:22" s="1" customFormat="1" ht="30" x14ac:dyDescent="0.25">
      <c r="A28" s="112"/>
      <c r="B28" s="112" t="str">
        <f t="shared" si="0"/>
        <v>X</v>
      </c>
      <c r="C28" s="112" t="str">
        <f>IF(OR(TabellaCTE[[#This Row],[LUN]]="X",TabellaCTE[[#This Row],[MAR]]="X",TabellaCTE[[#This Row],[MER]]="X",TabellaCTE[[#This Row],[GIO]]="X",TabellaCTE[[#This Row],[VEN]]="X",),"X","")</f>
        <v/>
      </c>
      <c r="D28" s="113" t="s">
        <v>158</v>
      </c>
      <c r="E28" s="109" t="s">
        <v>1778</v>
      </c>
      <c r="F28" s="109" t="s">
        <v>190</v>
      </c>
      <c r="G28" s="109" t="s">
        <v>1777</v>
      </c>
      <c r="H28" s="111"/>
      <c r="I28" s="111"/>
      <c r="J28" s="111"/>
      <c r="K28" s="111"/>
      <c r="L28" s="111"/>
      <c r="M28" s="109" t="s">
        <v>1036</v>
      </c>
      <c r="N28" s="109"/>
      <c r="O28" s="109"/>
      <c r="P28" s="109"/>
      <c r="Q28" s="109"/>
      <c r="R28" s="110"/>
      <c r="S28" s="109"/>
      <c r="T28" s="127" t="str">
        <f ca="1">IF(AND('Inserimento dati'!$B$3=$H$2, TabellaCTE[[#This Row],[LUN]]="X"), "X",IF(AND('Inserimento dati'!$B$3=$I$2, TabellaCTE[[#This Row],[MAR]]="X"), "X", IF(AND('Inserimento dati'!$B$3=$J$2, TabellaCTE[[#This Row],[MER]]="X"), "X",IF(AND('Inserimento dati'!$B$3=$K$2, TabellaCTE[[#This Row],[GIO]]="X"), "X", IF(AND('Inserimento dati'!$B$3=$L$2, TabellaCTE[[#This Row],[VEN]]="X"), "X","")))))</f>
        <v/>
      </c>
      <c r="U28" s="141" t="str">
        <f ca="1">IFERROR(MID(G28,_xlfn.AGGREGATE(15,6,(ROW(INDIRECT("1:"&amp;LEN(G28)-7)))/(ISNUMBER(--MID(G28,ROW(INDIRECT("1:"&amp;LEN(G28)-7)),8))),1),8),"")</f>
        <v/>
      </c>
      <c r="V28" s="189">
        <v>45930.833333333336</v>
      </c>
    </row>
    <row r="29" spans="1:22" ht="30" x14ac:dyDescent="0.25">
      <c r="A29" s="112"/>
      <c r="B29" s="112" t="str">
        <f t="shared" si="0"/>
        <v>X</v>
      </c>
      <c r="C29" s="112" t="str">
        <f>IF(OR(TabellaCTE[[#This Row],[LUN]]="X",TabellaCTE[[#This Row],[MAR]]="X",TabellaCTE[[#This Row],[MER]]="X",TabellaCTE[[#This Row],[GIO]]="X",TabellaCTE[[#This Row],[VEN]]="X",),"X","")</f>
        <v/>
      </c>
      <c r="D29" s="113" t="s">
        <v>158</v>
      </c>
      <c r="E29" s="109" t="s">
        <v>1685</v>
      </c>
      <c r="F29" s="109" t="s">
        <v>190</v>
      </c>
      <c r="G29" s="109" t="s">
        <v>1686</v>
      </c>
      <c r="H29" s="111"/>
      <c r="I29" s="111"/>
      <c r="J29" s="111"/>
      <c r="K29" s="111"/>
      <c r="L29" s="111"/>
      <c r="M29" s="109" t="s">
        <v>1036</v>
      </c>
      <c r="N29" s="109"/>
      <c r="O29" s="109"/>
      <c r="P29" s="109"/>
      <c r="Q29" s="109" t="s">
        <v>1709</v>
      </c>
      <c r="R29" s="110"/>
      <c r="S29" s="109"/>
      <c r="T29" s="114" t="str">
        <f ca="1">IF(AND('Inserimento dati'!$B$3=$H$2, TabellaCTE[[#This Row],[LUN]]="X"), "X",IF(AND('Inserimento dati'!$B$3=$I$2, TabellaCTE[[#This Row],[MAR]]="X"), "X", IF(AND('Inserimento dati'!$B$3=$J$2, TabellaCTE[[#This Row],[MER]]="X"), "X",IF(AND('Inserimento dati'!$B$3=$K$2, TabellaCTE[[#This Row],[GIO]]="X"), "X", IF(AND('Inserimento dati'!$B$3=$L$2, TabellaCTE[[#This Row],[VEN]]="X"), "X","")))))</f>
        <v/>
      </c>
      <c r="U29" s="142" t="str">
        <f ca="1">IFERROR(MID(G29,_xlfn.AGGREGATE(15,6,(ROW(INDIRECT("1:"&amp;LEN(G29)-7)))/(ISNUMBER(--MID(G29,ROW(INDIRECT("1:"&amp;LEN(G29)-7)),8))),1),8),"")</f>
        <v/>
      </c>
      <c r="V29" s="193">
        <v>45930.833333333336</v>
      </c>
    </row>
    <row r="30" spans="1:22"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04" priority="19">
      <formula>SEARCH("IN CORSO",$M7)&gt;0</formula>
    </cfRule>
    <cfRule type="expression" dxfId="3203" priority="20">
      <formula>SEARCH("CHIUSO",$M7)&gt;0</formula>
    </cfRule>
    <cfRule type="expression" dxfId="3202" priority="21">
      <formula>SEARCH("EMESSO",$M7)&gt;0</formula>
    </cfRule>
    <cfRule type="expression" dxfId="3201" priority="22">
      <formula>SEARCH("RICHIESTO",$M7)&gt;0</formula>
    </cfRule>
    <cfRule type="expression" dxfId="3200" priority="23">
      <formula>SEARCH("DA CHIUDERE",$M7)&gt;0</formula>
    </cfRule>
    <cfRule type="expression" dxfId="3199" priority="24">
      <formula>SEARCH("INTERROTTO",$M7)&gt;0</formula>
    </cfRule>
  </conditionalFormatting>
  <conditionalFormatting sqref="E9:G29 M9:S29">
    <cfRule type="expression" dxfId="3198" priority="31">
      <formula>SEARCH("IN CORSO",$M9)&gt;0</formula>
    </cfRule>
    <cfRule type="expression" dxfId="3197" priority="32">
      <formula>SEARCH("CHIUSO",$M9)&gt;0</formula>
    </cfRule>
    <cfRule type="expression" dxfId="3196" priority="33">
      <formula>SEARCH("EMESSO",$M9)&gt;0</formula>
    </cfRule>
    <cfRule type="expression" dxfId="3195" priority="34">
      <formula>SEARCH("RICHIESTO",$M9)&gt;0</formula>
    </cfRule>
    <cfRule type="expression" dxfId="3194" priority="35">
      <formula>SEARCH("DA CHIUDERE",$M9)&gt;0</formula>
    </cfRule>
    <cfRule type="expression" dxfId="3193" priority="36">
      <formula>SEARCH("INTERROTTO",$M9)&gt;0</formula>
    </cfRule>
  </conditionalFormatting>
  <conditionalFormatting sqref="E8:G8 M8:S8">
    <cfRule type="expression" dxfId="3192" priority="25">
      <formula>SEARCH("IN CORSO",$M8)&gt;0</formula>
    </cfRule>
    <cfRule type="expression" dxfId="3191" priority="26">
      <formula>SEARCH("CHIUSO",$M8)&gt;0</formula>
    </cfRule>
    <cfRule type="expression" dxfId="3190" priority="27">
      <formula>SEARCH("EMESSO",$M8)&gt;0</formula>
    </cfRule>
    <cfRule type="expression" dxfId="3189" priority="28">
      <formula>SEARCH("RICHIESTO",$M8)&gt;0</formula>
    </cfRule>
    <cfRule type="expression" dxfId="3188" priority="29">
      <formula>SEARCH("DA CHIUDERE",$M8)&gt;0</formula>
    </cfRule>
    <cfRule type="expression" dxfId="3187" priority="30">
      <formula>SEARCH("INTERROTTO",$M8)&gt;0</formula>
    </cfRule>
  </conditionalFormatting>
  <conditionalFormatting sqref="E6:G6 M6:S6">
    <cfRule type="expression" dxfId="3186" priority="13">
      <formula>SEARCH("IN CORSO",$M6)&gt;0</formula>
    </cfRule>
    <cfRule type="expression" dxfId="3185" priority="14">
      <formula>SEARCH("CHIUSO",$M6)&gt;0</formula>
    </cfRule>
    <cfRule type="expression" dxfId="3184" priority="15">
      <formula>SEARCH("EMESSO",$M6)&gt;0</formula>
    </cfRule>
    <cfRule type="expression" dxfId="3183" priority="16">
      <formula>SEARCH("RICHIESTO",$M6)&gt;0</formula>
    </cfRule>
    <cfRule type="expression" dxfId="3182" priority="17">
      <formula>SEARCH("DA CHIUDERE",$M6)&gt;0</formula>
    </cfRule>
    <cfRule type="expression" dxfId="3181" priority="18">
      <formula>SEARCH("INTERROTTO",$M6)&gt;0</formula>
    </cfRule>
  </conditionalFormatting>
  <conditionalFormatting sqref="E5:G5 M5:S5">
    <cfRule type="expression" dxfId="3180" priority="7">
      <formula>SEARCH("IN CORSO",$M5)&gt;0</formula>
    </cfRule>
    <cfRule type="expression" dxfId="3179" priority="8">
      <formula>SEARCH("CHIUSO",$M5)&gt;0</formula>
    </cfRule>
    <cfRule type="expression" dxfId="3178" priority="9">
      <formula>SEARCH("EMESSO",$M5)&gt;0</formula>
    </cfRule>
    <cfRule type="expression" dxfId="3177" priority="10">
      <formula>SEARCH("RICHIESTO",$M5)&gt;0</formula>
    </cfRule>
    <cfRule type="expression" dxfId="3176" priority="11">
      <formula>SEARCH("DA CHIUDERE",$M5)&gt;0</formula>
    </cfRule>
    <cfRule type="expression" dxfId="3175" priority="12">
      <formula>SEARCH("INTERROTTO",$M5)&gt;0</formula>
    </cfRule>
  </conditionalFormatting>
  <conditionalFormatting sqref="E4:G4 M4:S4">
    <cfRule type="expression" dxfId="3174" priority="1">
      <formula>SEARCH("IN CORSO",$M4)&gt;0</formula>
    </cfRule>
    <cfRule type="expression" dxfId="3173" priority="2">
      <formula>SEARCH("CHIUSO",$M4)&gt;0</formula>
    </cfRule>
    <cfRule type="expression" dxfId="3172" priority="3">
      <formula>SEARCH("EMESSO",$M4)&gt;0</formula>
    </cfRule>
    <cfRule type="expression" dxfId="3171" priority="4">
      <formula>SEARCH("RICHIESTO",$M4)&gt;0</formula>
    </cfRule>
    <cfRule type="expression" dxfId="3170" priority="5">
      <formula>SEARCH("DA CHIUDERE",$M4)&gt;0</formula>
    </cfRule>
    <cfRule type="expression" dxfId="3169"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V182"/>
  <sheetViews>
    <sheetView tabSelected="1" topLeftCell="E4" workbookViewId="0">
      <selection activeCell="N7" sqref="N7"/>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16384" width="7.75" style="10"/>
  </cols>
  <sheetData>
    <row r="1" spans="1:22" ht="128.1" customHeight="1" x14ac:dyDescent="0.35">
      <c r="A1" s="194"/>
      <c r="B1" s="194"/>
      <c r="C1" s="194"/>
      <c r="D1" s="194"/>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5" t="s">
        <v>1256</v>
      </c>
      <c r="O2" s="195"/>
      <c r="P2" s="195"/>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0" t="s">
        <v>1392</v>
      </c>
      <c r="V3" s="19" t="s">
        <v>3158</v>
      </c>
    </row>
    <row r="4" spans="1:22" s="19" customFormat="1" ht="45" x14ac:dyDescent="0.2">
      <c r="A4" s="112"/>
      <c r="B4" s="112"/>
      <c r="C4" s="112" t="str">
        <f>IF(OR(TabellaBLENDING[[#This Row],[LUN]]="X",TabellaBLENDING[[#This Row],[MAR]]="X",TabellaBLENDING[[#This Row],[MER]]="X",TabellaBLENDING[[#This Row],[GIO]]="X",TabellaBLENDING[[#This Row],[VEN]]="X",),"X","")</f>
        <v/>
      </c>
      <c r="D4" s="109" t="s">
        <v>287</v>
      </c>
      <c r="E4" s="109" t="s">
        <v>2483</v>
      </c>
      <c r="F4" s="109" t="s">
        <v>1703</v>
      </c>
      <c r="G4" s="109" t="s">
        <v>2484</v>
      </c>
      <c r="H4" s="111"/>
      <c r="I4" s="111"/>
      <c r="J4" s="111"/>
      <c r="K4" s="111"/>
      <c r="L4" s="111"/>
      <c r="M4" s="109" t="s">
        <v>1258</v>
      </c>
      <c r="N4" s="109"/>
      <c r="O4" s="109"/>
      <c r="P4" s="109"/>
      <c r="Q4" s="109" t="s">
        <v>2485</v>
      </c>
      <c r="R4" s="110">
        <v>45863</v>
      </c>
      <c r="S4" s="110" t="s">
        <v>239</v>
      </c>
      <c r="T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0"/>
      <c r="V4" s="187">
        <v>45930.833333333336</v>
      </c>
    </row>
    <row r="5" spans="1:22" s="19" customFormat="1" ht="30" x14ac:dyDescent="0.2">
      <c r="A5" s="112"/>
      <c r="B5" s="112" t="str">
        <f t="shared" ref="B5:B36" si="0">IF(OR(A5="x",A5="X"),"",IF(ISBLANK(A5),"X",""))</f>
        <v>X</v>
      </c>
      <c r="C5" s="112" t="str">
        <f>IF(OR(TabellaBLENDING[[#This Row],[LUN]]="X",TabellaBLENDING[[#This Row],[MAR]]="X",TabellaBLENDING[[#This Row],[MER]]="X",TabellaBLENDING[[#This Row],[GIO]]="X",TabellaBLENDING[[#This Row],[VEN]]="X",),"X","")</f>
        <v/>
      </c>
      <c r="D5" s="109" t="s">
        <v>287</v>
      </c>
      <c r="E5" s="109" t="s">
        <v>1556</v>
      </c>
      <c r="F5" s="109" t="s">
        <v>287</v>
      </c>
      <c r="G5" s="109" t="s">
        <v>1546</v>
      </c>
      <c r="H5" s="111"/>
      <c r="I5" s="111"/>
      <c r="J5" s="111"/>
      <c r="K5" s="111"/>
      <c r="L5" s="111"/>
      <c r="M5" s="109" t="s">
        <v>1258</v>
      </c>
      <c r="N5" s="109"/>
      <c r="O5" s="109"/>
      <c r="P5" s="109"/>
      <c r="Q5" s="109"/>
      <c r="R5" s="110"/>
      <c r="S5" s="110"/>
      <c r="T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8" t="str">
        <f t="shared" ref="U5:U36" ca="1" si="1">IFERROR(MID(G5,_xlfn.AGGREGATE(15,6,(ROW(INDIRECT("1:"&amp;LEN(G5)-7)))/(ISNUMBER(--MID(G5,ROW(INDIRECT("1:"&amp;LEN(G5)-7)),8))),1),8),"")</f>
        <v/>
      </c>
      <c r="V5" s="187">
        <v>45930.833333333336</v>
      </c>
    </row>
    <row r="6" spans="1:22" s="19" customFormat="1" ht="30" x14ac:dyDescent="0.2">
      <c r="A6" s="112"/>
      <c r="B6" s="112" t="str">
        <f t="shared" si="0"/>
        <v>X</v>
      </c>
      <c r="C6" s="112" t="str">
        <f>IF(OR(TabellaBLENDING[[#This Row],[LUN]]="X",TabellaBLENDING[[#This Row],[MAR]]="X",TabellaBLENDING[[#This Row],[MER]]="X",TabellaBLENDING[[#This Row],[GIO]]="X",TabellaBLENDING[[#This Row],[VEN]]="X",),"X","")</f>
        <v/>
      </c>
      <c r="D6" s="109" t="s">
        <v>287</v>
      </c>
      <c r="E6" s="109" t="s">
        <v>1613</v>
      </c>
      <c r="F6" s="109">
        <v>6500</v>
      </c>
      <c r="G6" s="109" t="s">
        <v>1614</v>
      </c>
      <c r="H6" s="111"/>
      <c r="I6" s="111"/>
      <c r="J6" s="111"/>
      <c r="K6" s="111"/>
      <c r="L6" s="111"/>
      <c r="M6" s="109" t="s">
        <v>1258</v>
      </c>
      <c r="N6" s="109"/>
      <c r="O6" s="109"/>
      <c r="P6" s="109"/>
      <c r="Q6" s="109" t="s">
        <v>1640</v>
      </c>
      <c r="R6" s="110">
        <v>45763</v>
      </c>
      <c r="S6" s="110" t="s">
        <v>239</v>
      </c>
      <c r="T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8" t="str">
        <f t="shared" ca="1" si="1"/>
        <v/>
      </c>
      <c r="V6" s="187">
        <v>45930.833333333336</v>
      </c>
    </row>
    <row r="7" spans="1:22" s="19" customFormat="1" ht="23.25" x14ac:dyDescent="0.2">
      <c r="A7" s="112"/>
      <c r="B7" s="112" t="str">
        <f t="shared" si="0"/>
        <v>X</v>
      </c>
      <c r="C7" s="112" t="str">
        <f>IF(OR(TabellaBLENDING[[#This Row],[LUN]]="X",TabellaBLENDING[[#This Row],[MAR]]="X",TabellaBLENDING[[#This Row],[MER]]="X",TabellaBLENDING[[#This Row],[GIO]]="X",TabellaBLENDING[[#This Row],[VEN]]="X",),"X","")</f>
        <v/>
      </c>
      <c r="D7" s="109" t="s">
        <v>287</v>
      </c>
      <c r="E7" s="109" t="s">
        <v>1617</v>
      </c>
      <c r="F7" s="109">
        <v>6500</v>
      </c>
      <c r="G7" s="109" t="s">
        <v>1618</v>
      </c>
      <c r="H7" s="111"/>
      <c r="I7" s="111"/>
      <c r="J7" s="111"/>
      <c r="K7" s="111"/>
      <c r="L7" s="111"/>
      <c r="M7" s="109" t="s">
        <v>1258</v>
      </c>
      <c r="N7" s="109"/>
      <c r="O7" s="109"/>
      <c r="P7" s="109"/>
      <c r="Q7" s="109" t="s">
        <v>1640</v>
      </c>
      <c r="R7" s="110">
        <v>45769</v>
      </c>
      <c r="S7" s="110" t="s">
        <v>1074</v>
      </c>
      <c r="T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8" t="str">
        <f t="shared" ca="1" si="1"/>
        <v/>
      </c>
      <c r="V7" s="187">
        <v>45930.833333333336</v>
      </c>
    </row>
    <row r="8" spans="1:22" s="19" customFormat="1" ht="23.25" x14ac:dyDescent="0.2">
      <c r="A8" s="112"/>
      <c r="B8" s="112" t="str">
        <f t="shared" si="0"/>
        <v>X</v>
      </c>
      <c r="C8" s="112" t="str">
        <f>IF(OR(TabellaBLENDING[[#This Row],[LUN]]="X",TabellaBLENDING[[#This Row],[MAR]]="X",TabellaBLENDING[[#This Row],[MER]]="X",TabellaBLENDING[[#This Row],[GIO]]="X",TabellaBLENDING[[#This Row],[VEN]]="X",),"X","")</f>
        <v/>
      </c>
      <c r="D8" s="109" t="s">
        <v>287</v>
      </c>
      <c r="E8" s="109" t="s">
        <v>1627</v>
      </c>
      <c r="F8" s="109">
        <v>6500</v>
      </c>
      <c r="G8" s="109" t="s">
        <v>1628</v>
      </c>
      <c r="H8" s="111"/>
      <c r="I8" s="111"/>
      <c r="J8" s="111"/>
      <c r="K8" s="111"/>
      <c r="L8" s="111"/>
      <c r="M8" s="109" t="s">
        <v>1258</v>
      </c>
      <c r="N8" s="109"/>
      <c r="O8" s="109"/>
      <c r="P8" s="109"/>
      <c r="Q8" s="109" t="s">
        <v>1640</v>
      </c>
      <c r="R8" s="110">
        <v>45797</v>
      </c>
      <c r="S8" s="110" t="s">
        <v>206</v>
      </c>
      <c r="T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8" t="str">
        <f t="shared" ca="1" si="1"/>
        <v/>
      </c>
      <c r="V8" s="187">
        <v>45930.833333333336</v>
      </c>
    </row>
    <row r="9" spans="1:22" s="19" customFormat="1" ht="30" x14ac:dyDescent="0.2">
      <c r="A9" s="112"/>
      <c r="B9" s="112" t="str">
        <f t="shared" si="0"/>
        <v>X</v>
      </c>
      <c r="C9" s="112" t="str">
        <f>IF(OR(TabellaBLENDING[[#This Row],[LUN]]="X",TabellaBLENDING[[#This Row],[MAR]]="X",TabellaBLENDING[[#This Row],[MER]]="X",TabellaBLENDING[[#This Row],[GIO]]="X",TabellaBLENDING[[#This Row],[VEN]]="X",),"X","")</f>
        <v/>
      </c>
      <c r="D9" s="109" t="s">
        <v>287</v>
      </c>
      <c r="E9" s="109" t="s">
        <v>1634</v>
      </c>
      <c r="F9" s="109">
        <v>4500</v>
      </c>
      <c r="G9" s="109" t="s">
        <v>1635</v>
      </c>
      <c r="H9" s="111"/>
      <c r="I9" s="111"/>
      <c r="J9" s="111"/>
      <c r="K9" s="111"/>
      <c r="L9" s="111"/>
      <c r="M9" s="109" t="s">
        <v>1258</v>
      </c>
      <c r="N9" s="109"/>
      <c r="O9" s="109"/>
      <c r="P9" s="109"/>
      <c r="Q9" s="109" t="s">
        <v>1640</v>
      </c>
      <c r="R9" s="110">
        <v>45806</v>
      </c>
      <c r="S9" s="110" t="s">
        <v>239</v>
      </c>
      <c r="T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8" t="str">
        <f t="shared" ca="1" si="1"/>
        <v/>
      </c>
      <c r="V9" s="187">
        <v>45930.833333333336</v>
      </c>
    </row>
    <row r="10" spans="1:22" s="19" customFormat="1" ht="30" x14ac:dyDescent="0.25">
      <c r="A10" s="112"/>
      <c r="B10" s="112" t="str">
        <f t="shared" si="0"/>
        <v>X</v>
      </c>
      <c r="C10" s="112" t="str">
        <f>IF(OR(TabellaBLENDING[[#This Row],[LUN]]="X",TabellaBLENDING[[#This Row],[MAR]]="X",TabellaBLENDING[[#This Row],[MER]]="X",TabellaBLENDING[[#This Row],[GIO]]="X",TabellaBLENDING[[#This Row],[VEN]]="X",),"X","")</f>
        <v/>
      </c>
      <c r="D10" s="109" t="s">
        <v>287</v>
      </c>
      <c r="E10" s="109" t="s">
        <v>1328</v>
      </c>
      <c r="F10" s="109" t="s">
        <v>287</v>
      </c>
      <c r="G10" s="109" t="s">
        <v>1330</v>
      </c>
      <c r="H10" s="111"/>
      <c r="I10" s="111"/>
      <c r="J10" s="111"/>
      <c r="K10" s="111"/>
      <c r="L10" s="111"/>
      <c r="M10" s="109" t="s">
        <v>1258</v>
      </c>
      <c r="N10" s="109"/>
      <c r="O10" s="109"/>
      <c r="P10" s="109"/>
      <c r="Q10" s="109"/>
      <c r="R10" s="110"/>
      <c r="S10" s="110"/>
      <c r="T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0" t="str">
        <f t="shared" ca="1" si="1"/>
        <v/>
      </c>
      <c r="V10" s="187">
        <v>45930.833333333336</v>
      </c>
    </row>
    <row r="11" spans="1:22" s="19" customFormat="1" ht="30" x14ac:dyDescent="0.25">
      <c r="A11" s="112"/>
      <c r="B11" s="112" t="str">
        <f t="shared" si="0"/>
        <v>X</v>
      </c>
      <c r="C11" s="112" t="str">
        <f>IF(OR(TabellaBLENDING[[#This Row],[LUN]]="X",TabellaBLENDING[[#This Row],[MAR]]="X",TabellaBLENDING[[#This Row],[MER]]="X",TabellaBLENDING[[#This Row],[GIO]]="X",TabellaBLENDING[[#This Row],[VEN]]="X",),"X","")</f>
        <v/>
      </c>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0" t="str">
        <f t="shared" ca="1" si="1"/>
        <v/>
      </c>
      <c r="V11" s="187">
        <v>45930.833333333336</v>
      </c>
    </row>
    <row r="12" spans="1:22" s="19" customFormat="1" ht="30" x14ac:dyDescent="0.25">
      <c r="A12" s="112"/>
      <c r="B12" s="112" t="str">
        <f t="shared" si="0"/>
        <v>X</v>
      </c>
      <c r="C12" s="112" t="str">
        <f>IF(OR(TabellaBLENDING[[#This Row],[LUN]]="X",TabellaBLENDING[[#This Row],[MAR]]="X",TabellaBLENDING[[#This Row],[MER]]="X",TabellaBLENDING[[#This Row],[GIO]]="X",TabellaBLENDING[[#This Row],[VEN]]="X",),"X","")</f>
        <v/>
      </c>
      <c r="D12" s="109" t="s">
        <v>287</v>
      </c>
      <c r="E12" s="109" t="s">
        <v>1017</v>
      </c>
      <c r="F12" s="109" t="s">
        <v>287</v>
      </c>
      <c r="G12" s="109" t="s">
        <v>1014</v>
      </c>
      <c r="H12" s="111"/>
      <c r="I12" s="111"/>
      <c r="J12" s="111"/>
      <c r="K12" s="111"/>
      <c r="L12" s="111"/>
      <c r="M12" s="109" t="s">
        <v>1258</v>
      </c>
      <c r="N12" s="109"/>
      <c r="O12" s="109"/>
      <c r="P12" s="109"/>
      <c r="Q12" s="109"/>
      <c r="R12" s="110"/>
      <c r="S12" s="110"/>
      <c r="T1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0" t="str">
        <f t="shared" ca="1" si="1"/>
        <v/>
      </c>
      <c r="V12" s="187">
        <v>45930.833333333336</v>
      </c>
    </row>
    <row r="13" spans="1:22" s="19" customFormat="1" ht="30" x14ac:dyDescent="0.25">
      <c r="A13" s="112"/>
      <c r="B13" s="112" t="str">
        <f t="shared" si="0"/>
        <v>X</v>
      </c>
      <c r="C13" s="112" t="str">
        <f>IF(OR(TabellaBLENDING[[#This Row],[LUN]]="X",TabellaBLENDING[[#This Row],[MAR]]="X",TabellaBLENDING[[#This Row],[MER]]="X",TabellaBLENDING[[#This Row],[GIO]]="X",TabellaBLENDING[[#This Row],[VEN]]="X",),"X","")</f>
        <v/>
      </c>
      <c r="D13" s="109" t="s">
        <v>287</v>
      </c>
      <c r="E13" s="109" t="s">
        <v>1137</v>
      </c>
      <c r="F13" s="109" t="s">
        <v>287</v>
      </c>
      <c r="G13" s="109" t="s">
        <v>1132</v>
      </c>
      <c r="H13" s="111"/>
      <c r="I13" s="111"/>
      <c r="J13" s="111"/>
      <c r="K13" s="111"/>
      <c r="L13" s="111"/>
      <c r="M13" s="109" t="s">
        <v>1258</v>
      </c>
      <c r="N13" s="110"/>
      <c r="O13" s="110"/>
      <c r="P13" s="110"/>
      <c r="Q13" s="110"/>
      <c r="R13" s="110"/>
      <c r="S13" s="110"/>
      <c r="T1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0" t="str">
        <f t="shared" ca="1" si="1"/>
        <v/>
      </c>
      <c r="V13" s="187">
        <v>45930.833333333336</v>
      </c>
    </row>
    <row r="14" spans="1:22" s="19" customFormat="1" ht="30" x14ac:dyDescent="0.25">
      <c r="A14" s="112"/>
      <c r="B14" s="112" t="str">
        <f t="shared" si="0"/>
        <v>X</v>
      </c>
      <c r="C14" s="112" t="str">
        <f>IF(OR(TabellaBLENDING[[#This Row],[LUN]]="X",TabellaBLENDING[[#This Row],[MAR]]="X",TabellaBLENDING[[#This Row],[MER]]="X",TabellaBLENDING[[#This Row],[GIO]]="X",TabellaBLENDING[[#This Row],[VEN]]="X",),"X","")</f>
        <v/>
      </c>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0" t="str">
        <f t="shared" ca="1" si="1"/>
        <v/>
      </c>
      <c r="V14" s="187">
        <v>45930.833333333336</v>
      </c>
    </row>
    <row r="15" spans="1:22" s="19" customFormat="1" ht="30" x14ac:dyDescent="0.25">
      <c r="A15" s="112"/>
      <c r="B15" s="112" t="str">
        <f t="shared" si="0"/>
        <v>X</v>
      </c>
      <c r="C15" s="112" t="str">
        <f>IF(OR(TabellaBLENDING[[#This Row],[LUN]]="X",TabellaBLENDING[[#This Row],[MAR]]="X",TabellaBLENDING[[#This Row],[MER]]="X",TabellaBLENDING[[#This Row],[GIO]]="X",TabellaBLENDING[[#This Row],[VEN]]="X",),"X","")</f>
        <v/>
      </c>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0" t="str">
        <f t="shared" ca="1" si="1"/>
        <v/>
      </c>
      <c r="V15" s="187">
        <v>45930.833333333336</v>
      </c>
    </row>
    <row r="16" spans="1:22" s="19" customFormat="1" ht="30" x14ac:dyDescent="0.2">
      <c r="A16" s="112"/>
      <c r="B16" s="112" t="str">
        <f t="shared" si="0"/>
        <v>X</v>
      </c>
      <c r="C16" s="112" t="str">
        <f>IF(OR(TabellaBLENDING[[#This Row],[LUN]]="X",TabellaBLENDING[[#This Row],[MAR]]="X",TabellaBLENDING[[#This Row],[MER]]="X",TabellaBLENDING[[#This Row],[GIO]]="X",TabellaBLENDING[[#This Row],[VEN]]="X",),"X","")</f>
        <v/>
      </c>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58" t="str">
        <f t="shared" ca="1" si="1"/>
        <v/>
      </c>
      <c r="V16" s="187">
        <v>45930.833333333336</v>
      </c>
    </row>
    <row r="17" spans="1:22" s="19" customFormat="1" ht="30" x14ac:dyDescent="0.25">
      <c r="A17" s="112"/>
      <c r="B17" s="112" t="str">
        <f t="shared" si="0"/>
        <v>X</v>
      </c>
      <c r="C17" s="112" t="str">
        <f>IF(OR(TabellaBLENDING[[#This Row],[LUN]]="X",TabellaBLENDING[[#This Row],[MAR]]="X",TabellaBLENDING[[#This Row],[MER]]="X",TabellaBLENDING[[#This Row],[GIO]]="X",TabellaBLENDING[[#This Row],[VEN]]="X",),"X","")</f>
        <v/>
      </c>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0" t="str">
        <f t="shared" ca="1" si="1"/>
        <v/>
      </c>
      <c r="V17" s="187">
        <v>45930.833333333336</v>
      </c>
    </row>
    <row r="18" spans="1:22" s="19" customFormat="1" ht="30" x14ac:dyDescent="0.25">
      <c r="A18" s="112"/>
      <c r="B18" s="112" t="str">
        <f t="shared" si="0"/>
        <v>X</v>
      </c>
      <c r="C18" s="112" t="str">
        <f>IF(OR(TabellaBLENDING[[#This Row],[LUN]]="X",TabellaBLENDING[[#This Row],[MAR]]="X",TabellaBLENDING[[#This Row],[MER]]="X",TabellaBLENDING[[#This Row],[GIO]]="X",TabellaBLENDING[[#This Row],[VEN]]="X",),"X","")</f>
        <v/>
      </c>
      <c r="D18" s="109" t="s">
        <v>287</v>
      </c>
      <c r="E18" s="109" t="s">
        <v>1136</v>
      </c>
      <c r="F18" s="109" t="s">
        <v>287</v>
      </c>
      <c r="G18" s="109" t="s">
        <v>413</v>
      </c>
      <c r="H18" s="111"/>
      <c r="I18" s="111"/>
      <c r="J18" s="111"/>
      <c r="K18" s="111"/>
      <c r="L18" s="111"/>
      <c r="M18" s="109" t="s">
        <v>1258</v>
      </c>
      <c r="N18" s="109"/>
      <c r="O18" s="109"/>
      <c r="P18" s="109"/>
      <c r="Q18" s="109"/>
      <c r="R18" s="110"/>
      <c r="S18" s="110"/>
      <c r="T1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0" t="str">
        <f t="shared" ca="1" si="1"/>
        <v/>
      </c>
      <c r="V18" s="187">
        <v>45930.833333333336</v>
      </c>
    </row>
    <row r="19" spans="1:22" s="19" customFormat="1" ht="30" x14ac:dyDescent="0.25">
      <c r="A19" s="112"/>
      <c r="B19" s="112" t="str">
        <f t="shared" si="0"/>
        <v>X</v>
      </c>
      <c r="C19" s="112" t="str">
        <f>IF(OR(TabellaBLENDING[[#This Row],[LUN]]="X",TabellaBLENDING[[#This Row],[MAR]]="X",TabellaBLENDING[[#This Row],[MER]]="X",TabellaBLENDING[[#This Row],[GIO]]="X",TabellaBLENDING[[#This Row],[VEN]]="X",),"X","")</f>
        <v/>
      </c>
      <c r="D19" s="109" t="s">
        <v>287</v>
      </c>
      <c r="E19" s="109" t="s">
        <v>751</v>
      </c>
      <c r="F19" s="109" t="s">
        <v>287</v>
      </c>
      <c r="G19" s="109" t="s">
        <v>732</v>
      </c>
      <c r="H19" s="111"/>
      <c r="I19" s="111"/>
      <c r="J19" s="111"/>
      <c r="K19" s="111"/>
      <c r="L19" s="111"/>
      <c r="M19" s="109" t="s">
        <v>1258</v>
      </c>
      <c r="N19" s="109"/>
      <c r="O19" s="109"/>
      <c r="P19" s="109"/>
      <c r="Q19" s="109"/>
      <c r="R19" s="110">
        <v>45710</v>
      </c>
      <c r="S19" s="110"/>
      <c r="T1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0" t="str">
        <f t="shared" ca="1" si="1"/>
        <v/>
      </c>
      <c r="V19" s="187">
        <v>45930.833333333336</v>
      </c>
    </row>
    <row r="20" spans="1:22" s="19" customFormat="1" ht="30" x14ac:dyDescent="0.25">
      <c r="A20" s="112"/>
      <c r="B20" s="112" t="str">
        <f t="shared" si="0"/>
        <v>X</v>
      </c>
      <c r="C20" s="112" t="str">
        <f>IF(OR(TabellaBLENDING[[#This Row],[LUN]]="X",TabellaBLENDING[[#This Row],[MAR]]="X",TabellaBLENDING[[#This Row],[MER]]="X",TabellaBLENDING[[#This Row],[GIO]]="X",TabellaBLENDING[[#This Row],[VEN]]="X",),"X","")</f>
        <v/>
      </c>
      <c r="D20" s="109" t="s">
        <v>287</v>
      </c>
      <c r="E20" s="109" t="s">
        <v>1115</v>
      </c>
      <c r="F20" s="109" t="s">
        <v>287</v>
      </c>
      <c r="G20" s="109" t="s">
        <v>1110</v>
      </c>
      <c r="H20" s="111"/>
      <c r="I20" s="111"/>
      <c r="J20" s="111"/>
      <c r="K20" s="111"/>
      <c r="L20" s="111"/>
      <c r="M20" s="109" t="s">
        <v>1258</v>
      </c>
      <c r="N20" s="109"/>
      <c r="O20" s="109"/>
      <c r="P20" s="109"/>
      <c r="Q20" s="109"/>
      <c r="R20" s="110"/>
      <c r="S20" s="110"/>
      <c r="T2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0" t="str">
        <f t="shared" ca="1" si="1"/>
        <v/>
      </c>
      <c r="V20" s="187">
        <v>45930.833333333336</v>
      </c>
    </row>
    <row r="21" spans="1:22" s="19" customFormat="1" ht="30" x14ac:dyDescent="0.25">
      <c r="A21" s="112"/>
      <c r="B21" s="112" t="str">
        <f t="shared" si="0"/>
        <v>X</v>
      </c>
      <c r="C21" s="112" t="str">
        <f>IF(OR(TabellaBLENDING[[#This Row],[LUN]]="X",TabellaBLENDING[[#This Row],[MAR]]="X",TabellaBLENDING[[#This Row],[MER]]="X",TabellaBLENDING[[#This Row],[GIO]]="X",TabellaBLENDING[[#This Row],[VEN]]="X",),"X","")</f>
        <v/>
      </c>
      <c r="D21" s="109" t="s">
        <v>287</v>
      </c>
      <c r="E21" s="109" t="s">
        <v>1107</v>
      </c>
      <c r="F21" s="109" t="s">
        <v>287</v>
      </c>
      <c r="G21" s="109" t="s">
        <v>1101</v>
      </c>
      <c r="H21" s="111"/>
      <c r="I21" s="111"/>
      <c r="J21" s="111"/>
      <c r="K21" s="111"/>
      <c r="L21" s="111"/>
      <c r="M21" s="109" t="s">
        <v>1258</v>
      </c>
      <c r="N21" s="109"/>
      <c r="O21" s="109"/>
      <c r="P21" s="109"/>
      <c r="Q21" s="109"/>
      <c r="R21" s="110"/>
      <c r="S21" s="110"/>
      <c r="T2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0" t="str">
        <f t="shared" ca="1" si="1"/>
        <v/>
      </c>
      <c r="V21" s="187">
        <v>45930.833333333336</v>
      </c>
    </row>
    <row r="22" spans="1:22" s="19" customFormat="1" ht="30" x14ac:dyDescent="0.25">
      <c r="A22" s="112"/>
      <c r="B22" s="112" t="str">
        <f t="shared" si="0"/>
        <v>X</v>
      </c>
      <c r="C22" s="112" t="str">
        <f>IF(OR(TabellaBLENDING[[#This Row],[LUN]]="X",TabellaBLENDING[[#This Row],[MAR]]="X",TabellaBLENDING[[#This Row],[MER]]="X",TabellaBLENDING[[#This Row],[GIO]]="X",TabellaBLENDING[[#This Row],[VEN]]="X",),"X","")</f>
        <v/>
      </c>
      <c r="D22" s="109" t="s">
        <v>287</v>
      </c>
      <c r="E22" s="109" t="s">
        <v>1045</v>
      </c>
      <c r="F22" s="109" t="s">
        <v>287</v>
      </c>
      <c r="G22" s="109" t="s">
        <v>1044</v>
      </c>
      <c r="H22" s="111"/>
      <c r="I22" s="111"/>
      <c r="J22" s="111"/>
      <c r="K22" s="111"/>
      <c r="L22" s="111"/>
      <c r="M22" s="109" t="s">
        <v>1258</v>
      </c>
      <c r="N22" s="109"/>
      <c r="O22" s="109"/>
      <c r="P22" s="109"/>
      <c r="Q22" s="109"/>
      <c r="R22" s="110"/>
      <c r="S22" s="110"/>
      <c r="T2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0" t="str">
        <f t="shared" ca="1" si="1"/>
        <v/>
      </c>
      <c r="V22" s="187">
        <v>45930.833333333336</v>
      </c>
    </row>
    <row r="23" spans="1:22" s="19" customFormat="1" ht="23.25" x14ac:dyDescent="0.25">
      <c r="A23" s="112"/>
      <c r="B23" s="112" t="str">
        <f t="shared" si="0"/>
        <v>X</v>
      </c>
      <c r="C23" s="112" t="str">
        <f>IF(OR(TabellaBLENDING[[#This Row],[LUN]]="X",TabellaBLENDING[[#This Row],[MAR]]="X",TabellaBLENDING[[#This Row],[MER]]="X",TabellaBLENDING[[#This Row],[GIO]]="X",TabellaBLENDING[[#This Row],[VEN]]="X",),"X","")</f>
        <v/>
      </c>
      <c r="D23" s="109" t="s">
        <v>287</v>
      </c>
      <c r="E23" s="109" t="s">
        <v>1041</v>
      </c>
      <c r="F23" s="109" t="s">
        <v>292</v>
      </c>
      <c r="G23" s="109" t="s">
        <v>1039</v>
      </c>
      <c r="H23" s="111"/>
      <c r="I23" s="111"/>
      <c r="J23" s="111"/>
      <c r="K23" s="111"/>
      <c r="L23" s="111"/>
      <c r="M23" s="109" t="s">
        <v>1258</v>
      </c>
      <c r="N23" s="109"/>
      <c r="O23" s="109"/>
      <c r="P23" s="109"/>
      <c r="Q23" s="109"/>
      <c r="R23" s="110"/>
      <c r="S23" s="110"/>
      <c r="T2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0" t="str">
        <f t="shared" ca="1" si="1"/>
        <v/>
      </c>
      <c r="V23" s="187">
        <v>45930.833333333336</v>
      </c>
    </row>
    <row r="24" spans="1:22" s="19" customFormat="1" ht="30" x14ac:dyDescent="0.25">
      <c r="A24" s="112"/>
      <c r="B24" s="112" t="str">
        <f t="shared" si="0"/>
        <v>X</v>
      </c>
      <c r="C24" s="112" t="str">
        <f>IF(OR(TabellaBLENDING[[#This Row],[LUN]]="X",TabellaBLENDING[[#This Row],[MAR]]="X",TabellaBLENDING[[#This Row],[MER]]="X",TabellaBLENDING[[#This Row],[GIO]]="X",TabellaBLENDING[[#This Row],[VEN]]="X",),"X","")</f>
        <v/>
      </c>
      <c r="D24" s="109" t="s">
        <v>287</v>
      </c>
      <c r="E24" s="109" t="s">
        <v>1027</v>
      </c>
      <c r="F24" s="109" t="s">
        <v>287</v>
      </c>
      <c r="G24" s="109" t="s">
        <v>1021</v>
      </c>
      <c r="H24" s="111"/>
      <c r="I24" s="111"/>
      <c r="J24" s="111"/>
      <c r="K24" s="111"/>
      <c r="L24" s="111"/>
      <c r="M24" s="109" t="s">
        <v>1258</v>
      </c>
      <c r="N24" s="109"/>
      <c r="O24" s="109"/>
      <c r="P24" s="109"/>
      <c r="Q24" s="109"/>
      <c r="R24" s="110"/>
      <c r="S24" s="110"/>
      <c r="T2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0" t="str">
        <f t="shared" ca="1" si="1"/>
        <v/>
      </c>
      <c r="V24" s="187">
        <v>45930.833333333336</v>
      </c>
    </row>
    <row r="25" spans="1:22" s="19" customFormat="1" ht="30" x14ac:dyDescent="0.25">
      <c r="A25" s="112"/>
      <c r="B25" s="112" t="str">
        <f t="shared" si="0"/>
        <v>X</v>
      </c>
      <c r="C25" s="112" t="str">
        <f>IF(OR(TabellaBLENDING[[#This Row],[LUN]]="X",TabellaBLENDING[[#This Row],[MAR]]="X",TabellaBLENDING[[#This Row],[MER]]="X",TabellaBLENDING[[#This Row],[GIO]]="X",TabellaBLENDING[[#This Row],[VEN]]="X",),"X","")</f>
        <v/>
      </c>
      <c r="D25" s="109" t="s">
        <v>287</v>
      </c>
      <c r="E25" s="109" t="s">
        <v>1018</v>
      </c>
      <c r="F25" s="109" t="s">
        <v>287</v>
      </c>
      <c r="G25" s="109" t="s">
        <v>1013</v>
      </c>
      <c r="H25" s="111"/>
      <c r="I25" s="111"/>
      <c r="J25" s="111"/>
      <c r="K25" s="111"/>
      <c r="L25" s="111"/>
      <c r="M25" s="109" t="s">
        <v>1258</v>
      </c>
      <c r="N25" s="109"/>
      <c r="O25" s="109"/>
      <c r="P25" s="109"/>
      <c r="Q25" s="109"/>
      <c r="R25" s="110"/>
      <c r="S25" s="110"/>
      <c r="T2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0" t="str">
        <f t="shared" ca="1" si="1"/>
        <v/>
      </c>
      <c r="V25" s="187">
        <v>45930.833333333336</v>
      </c>
    </row>
    <row r="26" spans="1:22" s="19" customFormat="1" ht="23.25" x14ac:dyDescent="0.25">
      <c r="A26" s="112"/>
      <c r="B26" s="112" t="str">
        <f t="shared" si="0"/>
        <v>X</v>
      </c>
      <c r="C26" s="112" t="str">
        <f>IF(OR(TabellaBLENDING[[#This Row],[LUN]]="X",TabellaBLENDING[[#This Row],[MAR]]="X",TabellaBLENDING[[#This Row],[MER]]="X",TabellaBLENDING[[#This Row],[GIO]]="X",TabellaBLENDING[[#This Row],[VEN]]="X",),"X","")</f>
        <v/>
      </c>
      <c r="D26" s="109" t="s">
        <v>287</v>
      </c>
      <c r="E26" s="109" t="s">
        <v>1007</v>
      </c>
      <c r="F26" s="109" t="s">
        <v>292</v>
      </c>
      <c r="G26" s="109" t="s">
        <v>1004</v>
      </c>
      <c r="H26" s="111"/>
      <c r="I26" s="111"/>
      <c r="J26" s="111"/>
      <c r="K26" s="111"/>
      <c r="L26" s="111"/>
      <c r="M26" s="109" t="s">
        <v>1258</v>
      </c>
      <c r="N26" s="109"/>
      <c r="O26" s="109"/>
      <c r="P26" s="109"/>
      <c r="Q26" s="109"/>
      <c r="R26" s="110"/>
      <c r="S26" s="110"/>
      <c r="T2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0" t="str">
        <f t="shared" ca="1" si="1"/>
        <v/>
      </c>
      <c r="V26" s="187">
        <v>45930.833333333336</v>
      </c>
    </row>
    <row r="27" spans="1:22" s="19" customFormat="1" ht="23.25" x14ac:dyDescent="0.25">
      <c r="A27" s="112"/>
      <c r="B27" s="112" t="str">
        <f t="shared" si="0"/>
        <v>X</v>
      </c>
      <c r="C27" s="112" t="str">
        <f>IF(OR(TabellaBLENDING[[#This Row],[LUN]]="X",TabellaBLENDING[[#This Row],[MAR]]="X",TabellaBLENDING[[#This Row],[MER]]="X",TabellaBLENDING[[#This Row],[GIO]]="X",TabellaBLENDING[[#This Row],[VEN]]="X",),"X","")</f>
        <v/>
      </c>
      <c r="D27" s="109" t="s">
        <v>287</v>
      </c>
      <c r="E27" s="109" t="s">
        <v>989</v>
      </c>
      <c r="F27" s="109" t="s">
        <v>530</v>
      </c>
      <c r="G27" s="109" t="s">
        <v>982</v>
      </c>
      <c r="H27" s="111"/>
      <c r="I27" s="111"/>
      <c r="J27" s="111"/>
      <c r="K27" s="111"/>
      <c r="L27" s="111"/>
      <c r="M27" s="109" t="s">
        <v>1258</v>
      </c>
      <c r="N27" s="109"/>
      <c r="O27" s="109"/>
      <c r="P27" s="109"/>
      <c r="Q27" s="109"/>
      <c r="R27" s="110"/>
      <c r="S27" s="110"/>
      <c r="T2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0" t="str">
        <f t="shared" ca="1" si="1"/>
        <v/>
      </c>
      <c r="V27" s="187">
        <v>45930.833333333336</v>
      </c>
    </row>
    <row r="28" spans="1:22" s="19" customFormat="1" ht="23.25" x14ac:dyDescent="0.25">
      <c r="A28" s="112"/>
      <c r="B28" s="112" t="str">
        <f t="shared" si="0"/>
        <v>X</v>
      </c>
      <c r="C28" s="112" t="str">
        <f>IF(OR(TabellaBLENDING[[#This Row],[LUN]]="X",TabellaBLENDING[[#This Row],[MAR]]="X",TabellaBLENDING[[#This Row],[MER]]="X",TabellaBLENDING[[#This Row],[GIO]]="X",TabellaBLENDING[[#This Row],[VEN]]="X",),"X","")</f>
        <v/>
      </c>
      <c r="D28" s="109" t="s">
        <v>287</v>
      </c>
      <c r="E28" s="109" t="s">
        <v>990</v>
      </c>
      <c r="F28" s="109" t="s">
        <v>530</v>
      </c>
      <c r="G28" s="109" t="s">
        <v>981</v>
      </c>
      <c r="H28" s="111"/>
      <c r="I28" s="111"/>
      <c r="J28" s="111"/>
      <c r="K28" s="111"/>
      <c r="L28" s="111"/>
      <c r="M28" s="109" t="s">
        <v>1258</v>
      </c>
      <c r="N28" s="109"/>
      <c r="O28" s="109"/>
      <c r="P28" s="109"/>
      <c r="Q28" s="109"/>
      <c r="R28" s="110"/>
      <c r="S28" s="110"/>
      <c r="T2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0" t="str">
        <f t="shared" ca="1" si="1"/>
        <v/>
      </c>
      <c r="V28" s="187">
        <v>45930.833333333336</v>
      </c>
    </row>
    <row r="29" spans="1:22" s="19" customFormat="1" ht="45" x14ac:dyDescent="0.25">
      <c r="A29" s="112"/>
      <c r="B29" s="112" t="str">
        <f t="shared" si="0"/>
        <v>X</v>
      </c>
      <c r="C29" s="112" t="str">
        <f>IF(OR(TabellaBLENDING[[#This Row],[LUN]]="X",TabellaBLENDING[[#This Row],[MAR]]="X",TabellaBLENDING[[#This Row],[MER]]="X",TabellaBLENDING[[#This Row],[GIO]]="X",TabellaBLENDING[[#This Row],[VEN]]="X",),"X","")</f>
        <v/>
      </c>
      <c r="D29" s="109" t="s">
        <v>287</v>
      </c>
      <c r="E29" s="109" t="s">
        <v>1008</v>
      </c>
      <c r="F29" s="109" t="s">
        <v>287</v>
      </c>
      <c r="G29" s="109" t="s">
        <v>1003</v>
      </c>
      <c r="H29" s="111"/>
      <c r="I29" s="111"/>
      <c r="J29" s="111"/>
      <c r="K29" s="111"/>
      <c r="L29" s="111"/>
      <c r="M29" s="109" t="s">
        <v>1258</v>
      </c>
      <c r="N29" s="109"/>
      <c r="O29" s="109"/>
      <c r="P29" s="109"/>
      <c r="Q29" s="109"/>
      <c r="R29" s="110"/>
      <c r="S29" s="110"/>
      <c r="T2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0" t="str">
        <f t="shared" ca="1" si="1"/>
        <v/>
      </c>
      <c r="V29" s="187">
        <v>45930.833333333336</v>
      </c>
    </row>
    <row r="30" spans="1:22" s="19" customFormat="1" ht="30" x14ac:dyDescent="0.25">
      <c r="A30" s="112"/>
      <c r="B30" s="112" t="str">
        <f t="shared" si="0"/>
        <v>X</v>
      </c>
      <c r="C30" s="112" t="str">
        <f>IF(OR(TabellaBLENDING[[#This Row],[LUN]]="X",TabellaBLENDING[[#This Row],[MAR]]="X",TabellaBLENDING[[#This Row],[MER]]="X",TabellaBLENDING[[#This Row],[GIO]]="X",TabellaBLENDING[[#This Row],[VEN]]="X",),"X","")</f>
        <v/>
      </c>
      <c r="D30" s="109" t="s">
        <v>287</v>
      </c>
      <c r="E30" s="109" t="s">
        <v>971</v>
      </c>
      <c r="F30" s="109" t="s">
        <v>287</v>
      </c>
      <c r="G30" s="109" t="s">
        <v>941</v>
      </c>
      <c r="H30" s="111"/>
      <c r="I30" s="111"/>
      <c r="J30" s="111"/>
      <c r="K30" s="111"/>
      <c r="L30" s="111"/>
      <c r="M30" s="109" t="s">
        <v>1258</v>
      </c>
      <c r="N30" s="109"/>
      <c r="O30" s="109"/>
      <c r="P30" s="109"/>
      <c r="Q30" s="109"/>
      <c r="R30" s="110"/>
      <c r="S30" s="110"/>
      <c r="T3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0" t="str">
        <f t="shared" ca="1" si="1"/>
        <v/>
      </c>
      <c r="V30" s="187">
        <v>45930.833333333336</v>
      </c>
    </row>
    <row r="31" spans="1:22" s="19" customFormat="1" ht="30" x14ac:dyDescent="0.25">
      <c r="A31" s="112"/>
      <c r="B31" s="112" t="str">
        <f t="shared" si="0"/>
        <v>X</v>
      </c>
      <c r="C31" s="112" t="str">
        <f>IF(OR(TabellaBLENDING[[#This Row],[LUN]]="X",TabellaBLENDING[[#This Row],[MAR]]="X",TabellaBLENDING[[#This Row],[MER]]="X",TabellaBLENDING[[#This Row],[GIO]]="X",TabellaBLENDING[[#This Row],[VEN]]="X",),"X","")</f>
        <v/>
      </c>
      <c r="D31" s="109" t="s">
        <v>287</v>
      </c>
      <c r="E31" s="109" t="s">
        <v>972</v>
      </c>
      <c r="F31" s="109" t="s">
        <v>287</v>
      </c>
      <c r="G31" s="109" t="s">
        <v>940</v>
      </c>
      <c r="H31" s="111"/>
      <c r="I31" s="111"/>
      <c r="J31" s="111"/>
      <c r="K31" s="111"/>
      <c r="L31" s="111"/>
      <c r="M31" s="109" t="s">
        <v>1258</v>
      </c>
      <c r="N31" s="109"/>
      <c r="O31" s="109"/>
      <c r="P31" s="109"/>
      <c r="Q31" s="109"/>
      <c r="R31" s="110"/>
      <c r="S31" s="110"/>
      <c r="T3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0" t="str">
        <f t="shared" ca="1" si="1"/>
        <v/>
      </c>
      <c r="V31" s="187">
        <v>45930.833333333336</v>
      </c>
    </row>
    <row r="32" spans="1:22" s="19" customFormat="1" ht="30" x14ac:dyDescent="0.25">
      <c r="A32" s="112"/>
      <c r="B32" s="112" t="str">
        <f t="shared" si="0"/>
        <v>X</v>
      </c>
      <c r="C32" s="112" t="str">
        <f>IF(OR(TabellaBLENDING[[#This Row],[LUN]]="X",TabellaBLENDING[[#This Row],[MAR]]="X",TabellaBLENDING[[#This Row],[MER]]="X",TabellaBLENDING[[#This Row],[GIO]]="X",TabellaBLENDING[[#This Row],[VEN]]="X",),"X","")</f>
        <v/>
      </c>
      <c r="D32" s="109" t="s">
        <v>287</v>
      </c>
      <c r="E32" s="109" t="s">
        <v>973</v>
      </c>
      <c r="F32" s="109" t="s">
        <v>287</v>
      </c>
      <c r="G32" s="109" t="s">
        <v>942</v>
      </c>
      <c r="H32" s="111"/>
      <c r="I32" s="111"/>
      <c r="J32" s="111"/>
      <c r="K32" s="111"/>
      <c r="L32" s="111"/>
      <c r="M32" s="109" t="s">
        <v>1258</v>
      </c>
      <c r="N32" s="109"/>
      <c r="O32" s="109"/>
      <c r="P32" s="109"/>
      <c r="Q32" s="109"/>
      <c r="R32" s="110"/>
      <c r="S32" s="110"/>
      <c r="T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0" t="str">
        <f t="shared" ca="1" si="1"/>
        <v/>
      </c>
      <c r="V32" s="187">
        <v>45930.833333333336</v>
      </c>
    </row>
    <row r="33" spans="1:22" s="19" customFormat="1" ht="30" x14ac:dyDescent="0.25">
      <c r="A33" s="112"/>
      <c r="B33" s="112" t="str">
        <f t="shared" si="0"/>
        <v>X</v>
      </c>
      <c r="C33" s="112" t="str">
        <f>IF(OR(TabellaBLENDING[[#This Row],[LUN]]="X",TabellaBLENDING[[#This Row],[MAR]]="X",TabellaBLENDING[[#This Row],[MER]]="X",TabellaBLENDING[[#This Row],[GIO]]="X",TabellaBLENDING[[#This Row],[VEN]]="X",),"X","")</f>
        <v/>
      </c>
      <c r="D33" s="109" t="s">
        <v>287</v>
      </c>
      <c r="E33" s="109" t="s">
        <v>974</v>
      </c>
      <c r="F33" s="109" t="s">
        <v>287</v>
      </c>
      <c r="G33" s="109" t="s">
        <v>943</v>
      </c>
      <c r="H33" s="111"/>
      <c r="I33" s="111"/>
      <c r="J33" s="111"/>
      <c r="K33" s="111"/>
      <c r="L33" s="111"/>
      <c r="M33" s="109" t="s">
        <v>1258</v>
      </c>
      <c r="N33" s="109"/>
      <c r="O33" s="109"/>
      <c r="P33" s="109"/>
      <c r="Q33" s="109"/>
      <c r="R33" s="110"/>
      <c r="S33" s="110"/>
      <c r="T3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0" t="str">
        <f t="shared" ca="1" si="1"/>
        <v/>
      </c>
      <c r="V33" s="187">
        <v>45930.833333333336</v>
      </c>
    </row>
    <row r="34" spans="1:22" s="19" customFormat="1" ht="30" x14ac:dyDescent="0.25">
      <c r="A34" s="112"/>
      <c r="B34" s="112" t="str">
        <f t="shared" si="0"/>
        <v>X</v>
      </c>
      <c r="C34" s="112" t="str">
        <f>IF(OR(TabellaBLENDING[[#This Row],[LUN]]="X",TabellaBLENDING[[#This Row],[MAR]]="X",TabellaBLENDING[[#This Row],[MER]]="X",TabellaBLENDING[[#This Row],[GIO]]="X",TabellaBLENDING[[#This Row],[VEN]]="X",),"X","")</f>
        <v/>
      </c>
      <c r="D34" s="109" t="s">
        <v>287</v>
      </c>
      <c r="E34" s="109" t="s">
        <v>930</v>
      </c>
      <c r="F34" s="109" t="s">
        <v>287</v>
      </c>
      <c r="G34" s="109" t="s">
        <v>929</v>
      </c>
      <c r="H34" s="111"/>
      <c r="I34" s="111"/>
      <c r="J34" s="111"/>
      <c r="K34" s="111"/>
      <c r="L34" s="111"/>
      <c r="M34" s="109" t="s">
        <v>1258</v>
      </c>
      <c r="N34" s="109"/>
      <c r="O34" s="109"/>
      <c r="P34" s="109"/>
      <c r="Q34" s="109"/>
      <c r="R34" s="110"/>
      <c r="S34" s="110"/>
      <c r="T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0" t="str">
        <f t="shared" ca="1" si="1"/>
        <v/>
      </c>
      <c r="V34" s="187">
        <v>45930.833333333336</v>
      </c>
    </row>
    <row r="35" spans="1:22" s="19" customFormat="1" ht="30" x14ac:dyDescent="0.25">
      <c r="A35" s="112"/>
      <c r="B35" s="112" t="str">
        <f t="shared" si="0"/>
        <v>X</v>
      </c>
      <c r="C35" s="112" t="str">
        <f>IF(OR(TabellaBLENDING[[#This Row],[LUN]]="X",TabellaBLENDING[[#This Row],[MAR]]="X",TabellaBLENDING[[#This Row],[MER]]="X",TabellaBLENDING[[#This Row],[GIO]]="X",TabellaBLENDING[[#This Row],[VEN]]="X",),"X","")</f>
        <v/>
      </c>
      <c r="D35" s="109" t="s">
        <v>287</v>
      </c>
      <c r="E35" s="109" t="s">
        <v>860</v>
      </c>
      <c r="F35" s="109" t="s">
        <v>287</v>
      </c>
      <c r="G35" s="109" t="s">
        <v>861</v>
      </c>
      <c r="H35" s="111"/>
      <c r="I35" s="111"/>
      <c r="J35" s="111"/>
      <c r="K35" s="111"/>
      <c r="L35" s="111"/>
      <c r="M35" s="109" t="s">
        <v>1258</v>
      </c>
      <c r="N35" s="109"/>
      <c r="O35" s="109"/>
      <c r="P35" s="109"/>
      <c r="Q35" s="109"/>
      <c r="R35" s="110"/>
      <c r="S35" s="110" t="s">
        <v>635</v>
      </c>
      <c r="T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0" t="str">
        <f t="shared" ca="1" si="1"/>
        <v/>
      </c>
      <c r="V35" s="187">
        <v>45930.833333333336</v>
      </c>
    </row>
    <row r="36" spans="1:22" s="19" customFormat="1" ht="30" x14ac:dyDescent="0.25">
      <c r="A36" s="112"/>
      <c r="B36" s="112" t="str">
        <f t="shared" si="0"/>
        <v>X</v>
      </c>
      <c r="C36" s="112" t="str">
        <f>IF(OR(TabellaBLENDING[[#This Row],[LUN]]="X",TabellaBLENDING[[#This Row],[MAR]]="X",TabellaBLENDING[[#This Row],[MER]]="X",TabellaBLENDING[[#This Row],[GIO]]="X",TabellaBLENDING[[#This Row],[VEN]]="X",),"X","")</f>
        <v/>
      </c>
      <c r="D36" s="109" t="s">
        <v>287</v>
      </c>
      <c r="E36" s="109" t="s">
        <v>969</v>
      </c>
      <c r="F36" s="109" t="s">
        <v>530</v>
      </c>
      <c r="G36" s="109" t="s">
        <v>953</v>
      </c>
      <c r="H36" s="111"/>
      <c r="I36" s="111"/>
      <c r="J36" s="111"/>
      <c r="K36" s="111"/>
      <c r="L36" s="111"/>
      <c r="M36" s="109" t="s">
        <v>1258</v>
      </c>
      <c r="N36" s="109"/>
      <c r="O36" s="109"/>
      <c r="P36" s="109"/>
      <c r="Q36" s="109"/>
      <c r="R36" s="110"/>
      <c r="S36" s="110"/>
      <c r="T3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0" t="str">
        <f t="shared" ca="1" si="1"/>
        <v/>
      </c>
      <c r="V36" s="187">
        <v>45930.833333333336</v>
      </c>
    </row>
    <row r="37" spans="1:22" s="19" customFormat="1" ht="30" x14ac:dyDescent="0.25">
      <c r="A37" s="112"/>
      <c r="B37" s="112" t="str">
        <f t="shared" ref="B37:B68" si="2">IF(OR(A37="x",A37="X"),"",IF(ISBLANK(A37),"X",""))</f>
        <v>X</v>
      </c>
      <c r="C37" s="112" t="str">
        <f>IF(OR(TabellaBLENDING[[#This Row],[LUN]]="X",TabellaBLENDING[[#This Row],[MAR]]="X",TabellaBLENDING[[#This Row],[MER]]="X",TabellaBLENDING[[#This Row],[GIO]]="X",TabellaBLENDING[[#This Row],[VEN]]="X",),"X","")</f>
        <v/>
      </c>
      <c r="D37" s="109" t="s">
        <v>287</v>
      </c>
      <c r="E37" s="109" t="s">
        <v>970</v>
      </c>
      <c r="F37" s="109" t="s">
        <v>287</v>
      </c>
      <c r="G37" s="109" t="s">
        <v>952</v>
      </c>
      <c r="H37" s="111"/>
      <c r="I37" s="111"/>
      <c r="J37" s="111"/>
      <c r="K37" s="111"/>
      <c r="L37" s="111"/>
      <c r="M37" s="109" t="s">
        <v>1258</v>
      </c>
      <c r="N37" s="109"/>
      <c r="O37" s="109"/>
      <c r="P37" s="109"/>
      <c r="Q37" s="109"/>
      <c r="R37" s="110"/>
      <c r="S37" s="110"/>
      <c r="T3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0" t="str">
        <f t="shared" ref="U37:U68" ca="1" si="3">IFERROR(MID(G37,_xlfn.AGGREGATE(15,6,(ROW(INDIRECT("1:"&amp;LEN(G37)-7)))/(ISNUMBER(--MID(G37,ROW(INDIRECT("1:"&amp;LEN(G37)-7)),8))),1),8),"")</f>
        <v/>
      </c>
      <c r="V37" s="187">
        <v>45930.833333333336</v>
      </c>
    </row>
    <row r="38" spans="1:22" s="19" customFormat="1" ht="23.25" x14ac:dyDescent="0.25">
      <c r="A38" s="112"/>
      <c r="B38" s="112" t="str">
        <f t="shared" si="2"/>
        <v>X</v>
      </c>
      <c r="C38" s="112" t="str">
        <f>IF(OR(TabellaBLENDING[[#This Row],[LUN]]="X",TabellaBLENDING[[#This Row],[MAR]]="X",TabellaBLENDING[[#This Row],[MER]]="X",TabellaBLENDING[[#This Row],[GIO]]="X",TabellaBLENDING[[#This Row],[VEN]]="X",),"X","")</f>
        <v/>
      </c>
      <c r="D38" s="109" t="s">
        <v>287</v>
      </c>
      <c r="E38" s="109" t="s">
        <v>975</v>
      </c>
      <c r="F38" s="109" t="s">
        <v>292</v>
      </c>
      <c r="G38" s="109" t="s">
        <v>939</v>
      </c>
      <c r="H38" s="111"/>
      <c r="I38" s="111"/>
      <c r="J38" s="111"/>
      <c r="K38" s="111"/>
      <c r="L38" s="111"/>
      <c r="M38" s="109" t="s">
        <v>1258</v>
      </c>
      <c r="N38" s="109"/>
      <c r="O38" s="109"/>
      <c r="P38" s="109"/>
      <c r="Q38" s="109"/>
      <c r="R38" s="110"/>
      <c r="S38" s="110"/>
      <c r="T3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0" t="str">
        <f t="shared" ca="1" si="3"/>
        <v/>
      </c>
      <c r="V38" s="187">
        <v>45930.833333333336</v>
      </c>
    </row>
    <row r="39" spans="1:22" s="19" customFormat="1" ht="30" x14ac:dyDescent="0.25">
      <c r="A39" s="112"/>
      <c r="B39" s="112" t="str">
        <f t="shared" si="2"/>
        <v>X</v>
      </c>
      <c r="C39" s="112" t="str">
        <f>IF(OR(TabellaBLENDING[[#This Row],[LUN]]="X",TabellaBLENDING[[#This Row],[MAR]]="X",TabellaBLENDING[[#This Row],[MER]]="X",TabellaBLENDING[[#This Row],[GIO]]="X",TabellaBLENDING[[#This Row],[VEN]]="X",),"X","")</f>
        <v/>
      </c>
      <c r="D39" s="109" t="s">
        <v>287</v>
      </c>
      <c r="E39" s="109" t="s">
        <v>976</v>
      </c>
      <c r="F39" s="109" t="s">
        <v>287</v>
      </c>
      <c r="G39" s="109" t="s">
        <v>937</v>
      </c>
      <c r="H39" s="111"/>
      <c r="I39" s="111"/>
      <c r="J39" s="111"/>
      <c r="K39" s="111"/>
      <c r="L39" s="111"/>
      <c r="M39" s="109" t="s">
        <v>1258</v>
      </c>
      <c r="N39" s="109"/>
      <c r="O39" s="109"/>
      <c r="P39" s="109"/>
      <c r="Q39" s="109"/>
      <c r="R39" s="110"/>
      <c r="S39" s="110"/>
      <c r="T3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0" t="str">
        <f t="shared" ca="1" si="3"/>
        <v/>
      </c>
      <c r="V39" s="187">
        <v>45930.833333333336</v>
      </c>
    </row>
    <row r="40" spans="1:22" s="19" customFormat="1" ht="30" x14ac:dyDescent="0.25">
      <c r="A40" s="112"/>
      <c r="B40" s="112" t="str">
        <f t="shared" si="2"/>
        <v>X</v>
      </c>
      <c r="C40" s="112" t="str">
        <f>IF(OR(TabellaBLENDING[[#This Row],[LUN]]="X",TabellaBLENDING[[#This Row],[MAR]]="X",TabellaBLENDING[[#This Row],[MER]]="X",TabellaBLENDING[[#This Row],[GIO]]="X",TabellaBLENDING[[#This Row],[VEN]]="X",),"X","")</f>
        <v/>
      </c>
      <c r="D40" s="109" t="s">
        <v>287</v>
      </c>
      <c r="E40" s="109" t="s">
        <v>852</v>
      </c>
      <c r="F40" s="109" t="s">
        <v>287</v>
      </c>
      <c r="G40" s="109" t="s">
        <v>875</v>
      </c>
      <c r="H40" s="111"/>
      <c r="I40" s="111"/>
      <c r="J40" s="111"/>
      <c r="K40" s="111"/>
      <c r="L40" s="111"/>
      <c r="M40" s="109" t="s">
        <v>1258</v>
      </c>
      <c r="N40" s="109"/>
      <c r="O40" s="109"/>
      <c r="P40" s="109"/>
      <c r="Q40" s="109"/>
      <c r="R40" s="110"/>
      <c r="S40" s="110" t="s">
        <v>554</v>
      </c>
      <c r="T4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0" t="str">
        <f t="shared" ca="1" si="3"/>
        <v/>
      </c>
      <c r="V40" s="187">
        <v>45930.833333333336</v>
      </c>
    </row>
    <row r="41" spans="1:22" s="19" customFormat="1" ht="45" x14ac:dyDescent="0.25">
      <c r="A41" s="112"/>
      <c r="B41" s="112" t="str">
        <f t="shared" si="2"/>
        <v>X</v>
      </c>
      <c r="C41" s="112" t="str">
        <f>IF(OR(TabellaBLENDING[[#This Row],[LUN]]="X",TabellaBLENDING[[#This Row],[MAR]]="X",TabellaBLENDING[[#This Row],[MER]]="X",TabellaBLENDING[[#This Row],[GIO]]="X",TabellaBLENDING[[#This Row],[VEN]]="X",),"X","")</f>
        <v/>
      </c>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0" t="str">
        <f t="shared" ca="1" si="3"/>
        <v/>
      </c>
      <c r="V41" s="187">
        <v>45930.833333333336</v>
      </c>
    </row>
    <row r="42" spans="1:22" s="19" customFormat="1" ht="30" x14ac:dyDescent="0.25">
      <c r="A42" s="112"/>
      <c r="B42" s="112" t="str">
        <f t="shared" si="2"/>
        <v>X</v>
      </c>
      <c r="C42" s="112" t="str">
        <f>IF(OR(TabellaBLENDING[[#This Row],[LUN]]="X",TabellaBLENDING[[#This Row],[MAR]]="X",TabellaBLENDING[[#This Row],[MER]]="X",TabellaBLENDING[[#This Row],[GIO]]="X",TabellaBLENDING[[#This Row],[VEN]]="X",),"X","")</f>
        <v/>
      </c>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0" t="str">
        <f t="shared" ca="1" si="3"/>
        <v/>
      </c>
      <c r="V42" s="187">
        <v>45930.833333333336</v>
      </c>
    </row>
    <row r="43" spans="1:22" s="19" customFormat="1" ht="30" x14ac:dyDescent="0.25">
      <c r="A43" s="112"/>
      <c r="B43" s="112" t="str">
        <f t="shared" si="2"/>
        <v>X</v>
      </c>
      <c r="C43" s="112" t="str">
        <f>IF(OR(TabellaBLENDING[[#This Row],[LUN]]="X",TabellaBLENDING[[#This Row],[MAR]]="X",TabellaBLENDING[[#This Row],[MER]]="X",TabellaBLENDING[[#This Row],[GIO]]="X",TabellaBLENDING[[#This Row],[VEN]]="X",),"X","")</f>
        <v/>
      </c>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0" t="str">
        <f t="shared" ca="1" si="3"/>
        <v/>
      </c>
      <c r="V43" s="187">
        <v>45930.833333333336</v>
      </c>
    </row>
    <row r="44" spans="1:22" s="19" customFormat="1" ht="30" x14ac:dyDescent="0.25">
      <c r="A44" s="112"/>
      <c r="B44" s="112" t="str">
        <f t="shared" si="2"/>
        <v>X</v>
      </c>
      <c r="C44" s="112" t="str">
        <f>IF(OR(TabellaBLENDING[[#This Row],[LUN]]="X",TabellaBLENDING[[#This Row],[MAR]]="X",TabellaBLENDING[[#This Row],[MER]]="X",TabellaBLENDING[[#This Row],[GIO]]="X",TabellaBLENDING[[#This Row],[VEN]]="X",),"X","")</f>
        <v/>
      </c>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0" t="str">
        <f t="shared" ca="1" si="3"/>
        <v/>
      </c>
      <c r="V44" s="187">
        <v>45930.833333333336</v>
      </c>
    </row>
    <row r="45" spans="1:22" s="19" customFormat="1" ht="23.25" x14ac:dyDescent="0.25">
      <c r="A45" s="112"/>
      <c r="B45" s="112" t="str">
        <f t="shared" si="2"/>
        <v>X</v>
      </c>
      <c r="C45" s="112" t="str">
        <f>IF(OR(TabellaBLENDING[[#This Row],[LUN]]="X",TabellaBLENDING[[#This Row],[MAR]]="X",TabellaBLENDING[[#This Row],[MER]]="X",TabellaBLENDING[[#This Row],[GIO]]="X",TabellaBLENDING[[#This Row],[VEN]]="X",),"X","")</f>
        <v/>
      </c>
      <c r="D45" s="109" t="s">
        <v>287</v>
      </c>
      <c r="E45" s="109" t="s">
        <v>685</v>
      </c>
      <c r="F45" s="109">
        <v>1300</v>
      </c>
      <c r="G45" s="109" t="s">
        <v>650</v>
      </c>
      <c r="H45" s="111"/>
      <c r="I45" s="111"/>
      <c r="J45" s="111"/>
      <c r="K45" s="111"/>
      <c r="L45" s="111"/>
      <c r="M45" s="109" t="s">
        <v>1258</v>
      </c>
      <c r="N45" s="109"/>
      <c r="O45" s="109"/>
      <c r="P45" s="109"/>
      <c r="Q45" s="109"/>
      <c r="R45" s="110"/>
      <c r="S45" s="110" t="s">
        <v>635</v>
      </c>
      <c r="T4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0" t="str">
        <f t="shared" ca="1" si="3"/>
        <v/>
      </c>
      <c r="V45" s="187">
        <v>45930.833333333336</v>
      </c>
    </row>
    <row r="46" spans="1:22" s="19" customFormat="1" ht="23.25" x14ac:dyDescent="0.25">
      <c r="A46" s="112"/>
      <c r="B46" s="112" t="str">
        <f t="shared" si="2"/>
        <v>X</v>
      </c>
      <c r="C46" s="112" t="str">
        <f>IF(OR(TabellaBLENDING[[#This Row],[LUN]]="X",TabellaBLENDING[[#This Row],[MAR]]="X",TabellaBLENDING[[#This Row],[MER]]="X",TabellaBLENDING[[#This Row],[GIO]]="X",TabellaBLENDING[[#This Row],[VEN]]="X",),"X","")</f>
        <v/>
      </c>
      <c r="D46" s="109" t="s">
        <v>287</v>
      </c>
      <c r="E46" s="109" t="s">
        <v>686</v>
      </c>
      <c r="F46" s="109">
        <v>1300</v>
      </c>
      <c r="G46" s="109" t="s">
        <v>651</v>
      </c>
      <c r="H46" s="111"/>
      <c r="I46" s="111"/>
      <c r="J46" s="111"/>
      <c r="K46" s="111"/>
      <c r="L46" s="111"/>
      <c r="M46" s="109" t="s">
        <v>1258</v>
      </c>
      <c r="N46" s="109"/>
      <c r="O46" s="109"/>
      <c r="P46" s="109"/>
      <c r="Q46" s="109"/>
      <c r="R46" s="110"/>
      <c r="S46" s="110" t="s">
        <v>635</v>
      </c>
      <c r="T4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0" t="str">
        <f t="shared" ca="1" si="3"/>
        <v/>
      </c>
      <c r="V46" s="187">
        <v>45930.833333333336</v>
      </c>
    </row>
    <row r="47" spans="1:22" s="19" customFormat="1" ht="30" x14ac:dyDescent="0.25">
      <c r="A47" s="112"/>
      <c r="B47" s="112" t="str">
        <f t="shared" si="2"/>
        <v>X</v>
      </c>
      <c r="C47" s="112" t="str">
        <f>IF(OR(TabellaBLENDING[[#This Row],[LUN]]="X",TabellaBLENDING[[#This Row],[MAR]]="X",TabellaBLENDING[[#This Row],[MER]]="X",TabellaBLENDING[[#This Row],[GIO]]="X",TabellaBLENDING[[#This Row],[VEN]]="X",),"X","")</f>
        <v/>
      </c>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0" t="str">
        <f t="shared" ca="1" si="3"/>
        <v/>
      </c>
      <c r="V47" s="187">
        <v>45930.833333333336</v>
      </c>
    </row>
    <row r="48" spans="1:22" s="19" customFormat="1" ht="30" x14ac:dyDescent="0.25">
      <c r="A48" s="112"/>
      <c r="B48" s="112" t="str">
        <f t="shared" si="2"/>
        <v>X</v>
      </c>
      <c r="C48" s="112" t="str">
        <f>IF(OR(TabellaBLENDING[[#This Row],[LUN]]="X",TabellaBLENDING[[#This Row],[MAR]]="X",TabellaBLENDING[[#This Row],[MER]]="X",TabellaBLENDING[[#This Row],[GIO]]="X",TabellaBLENDING[[#This Row],[VEN]]="X",),"X","")</f>
        <v/>
      </c>
      <c r="D48" s="109" t="s">
        <v>287</v>
      </c>
      <c r="E48" s="109" t="s">
        <v>629</v>
      </c>
      <c r="F48" s="109" t="s">
        <v>287</v>
      </c>
      <c r="G48" s="109" t="s">
        <v>614</v>
      </c>
      <c r="H48" s="111"/>
      <c r="I48" s="111"/>
      <c r="J48" s="111"/>
      <c r="K48" s="111"/>
      <c r="L48" s="111"/>
      <c r="M48" s="109" t="s">
        <v>1258</v>
      </c>
      <c r="N48" s="109"/>
      <c r="O48" s="109"/>
      <c r="P48" s="109"/>
      <c r="Q48" s="109"/>
      <c r="R48" s="110"/>
      <c r="S48" s="110" t="s">
        <v>635</v>
      </c>
      <c r="T4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0" t="str">
        <f t="shared" ca="1" si="3"/>
        <v/>
      </c>
      <c r="V48" s="187">
        <v>45930.833333333336</v>
      </c>
    </row>
    <row r="49" spans="1:22" s="19" customFormat="1" ht="30" x14ac:dyDescent="0.25">
      <c r="A49" s="112"/>
      <c r="B49" s="112" t="str">
        <f t="shared" si="2"/>
        <v>X</v>
      </c>
      <c r="C49" s="112" t="str">
        <f>IF(OR(TabellaBLENDING[[#This Row],[LUN]]="X",TabellaBLENDING[[#This Row],[MAR]]="X",TabellaBLENDING[[#This Row],[MER]]="X",TabellaBLENDING[[#This Row],[GIO]]="X",TabellaBLENDING[[#This Row],[VEN]]="X",),"X","")</f>
        <v/>
      </c>
      <c r="D49" s="109" t="s">
        <v>287</v>
      </c>
      <c r="E49" s="109" t="s">
        <v>630</v>
      </c>
      <c r="F49" s="109" t="s">
        <v>287</v>
      </c>
      <c r="G49" s="109" t="s">
        <v>613</v>
      </c>
      <c r="H49" s="111"/>
      <c r="I49" s="111"/>
      <c r="J49" s="111"/>
      <c r="K49" s="111"/>
      <c r="L49" s="111"/>
      <c r="M49" s="109" t="s">
        <v>1258</v>
      </c>
      <c r="N49" s="109"/>
      <c r="O49" s="109"/>
      <c r="P49" s="109"/>
      <c r="Q49" s="109"/>
      <c r="R49" s="110"/>
      <c r="S49" s="110" t="s">
        <v>635</v>
      </c>
      <c r="T4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0" t="str">
        <f t="shared" ca="1" si="3"/>
        <v/>
      </c>
      <c r="V49" s="187">
        <v>45930.833333333336</v>
      </c>
    </row>
    <row r="50" spans="1:22" s="19" customFormat="1" ht="30" x14ac:dyDescent="0.25">
      <c r="A50" s="112"/>
      <c r="B50" s="112" t="str">
        <f t="shared" si="2"/>
        <v>X</v>
      </c>
      <c r="C50" s="112" t="str">
        <f>IF(OR(TabellaBLENDING[[#This Row],[LUN]]="X",TabellaBLENDING[[#This Row],[MAR]]="X",TabellaBLENDING[[#This Row],[MER]]="X",TabellaBLENDING[[#This Row],[GIO]]="X",TabellaBLENDING[[#This Row],[VEN]]="X",),"X","")</f>
        <v/>
      </c>
      <c r="D50" s="109" t="s">
        <v>287</v>
      </c>
      <c r="E50" s="109" t="s">
        <v>631</v>
      </c>
      <c r="F50" s="109" t="s">
        <v>287</v>
      </c>
      <c r="G50" s="109" t="s">
        <v>612</v>
      </c>
      <c r="H50" s="111"/>
      <c r="I50" s="111"/>
      <c r="J50" s="111"/>
      <c r="K50" s="111"/>
      <c r="L50" s="111"/>
      <c r="M50" s="109" t="s">
        <v>1258</v>
      </c>
      <c r="N50" s="109"/>
      <c r="O50" s="109"/>
      <c r="P50" s="109"/>
      <c r="Q50" s="109"/>
      <c r="R50" s="110"/>
      <c r="S50" s="110" t="s">
        <v>635</v>
      </c>
      <c r="T5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0" t="str">
        <f t="shared" ca="1" si="3"/>
        <v/>
      </c>
      <c r="V50" s="187">
        <v>45930.833333333336</v>
      </c>
    </row>
    <row r="51" spans="1:22" s="19" customFormat="1" ht="30" x14ac:dyDescent="0.25">
      <c r="A51" s="112"/>
      <c r="B51" s="112" t="str">
        <f t="shared" si="2"/>
        <v>X</v>
      </c>
      <c r="C51" s="112" t="str">
        <f>IF(OR(TabellaBLENDING[[#This Row],[LUN]]="X",TabellaBLENDING[[#This Row],[MAR]]="X",TabellaBLENDING[[#This Row],[MER]]="X",TabellaBLENDING[[#This Row],[GIO]]="X",TabellaBLENDING[[#This Row],[VEN]]="X",),"X","")</f>
        <v/>
      </c>
      <c r="D51" s="109" t="s">
        <v>287</v>
      </c>
      <c r="E51" s="109" t="s">
        <v>632</v>
      </c>
      <c r="F51" s="109" t="s">
        <v>287</v>
      </c>
      <c r="G51" s="109" t="s">
        <v>611</v>
      </c>
      <c r="H51" s="111"/>
      <c r="I51" s="111"/>
      <c r="J51" s="111"/>
      <c r="K51" s="111"/>
      <c r="L51" s="111"/>
      <c r="M51" s="109" t="s">
        <v>1258</v>
      </c>
      <c r="N51" s="109"/>
      <c r="O51" s="109"/>
      <c r="P51" s="109"/>
      <c r="Q51" s="109"/>
      <c r="R51" s="110"/>
      <c r="S51" s="110" t="s">
        <v>635</v>
      </c>
      <c r="T5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0" t="str">
        <f t="shared" ca="1" si="3"/>
        <v/>
      </c>
      <c r="V51" s="187">
        <v>45930.833333333336</v>
      </c>
    </row>
    <row r="52" spans="1:22" s="19" customFormat="1" ht="23.25" x14ac:dyDescent="0.25">
      <c r="A52" s="112"/>
      <c r="B52" s="112" t="str">
        <f t="shared" si="2"/>
        <v>X</v>
      </c>
      <c r="C52" s="112" t="str">
        <f>IF(OR(TabellaBLENDING[[#This Row],[LUN]]="X",TabellaBLENDING[[#This Row],[MAR]]="X",TabellaBLENDING[[#This Row],[MER]]="X",TabellaBLENDING[[#This Row],[GIO]]="X",TabellaBLENDING[[#This Row],[VEN]]="X",),"X","")</f>
        <v/>
      </c>
      <c r="D52" s="109" t="s">
        <v>287</v>
      </c>
      <c r="E52" s="109" t="s">
        <v>559</v>
      </c>
      <c r="F52" s="109" t="s">
        <v>530</v>
      </c>
      <c r="G52" s="109" t="s">
        <v>558</v>
      </c>
      <c r="H52" s="111"/>
      <c r="I52" s="111"/>
      <c r="J52" s="111"/>
      <c r="K52" s="111"/>
      <c r="L52" s="111"/>
      <c r="M52" s="109" t="s">
        <v>1258</v>
      </c>
      <c r="N52" s="109"/>
      <c r="O52" s="109"/>
      <c r="P52" s="109"/>
      <c r="Q52" s="109"/>
      <c r="R52" s="110"/>
      <c r="S52" s="110"/>
      <c r="T5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0" t="str">
        <f t="shared" ca="1" si="3"/>
        <v/>
      </c>
      <c r="V52" s="187">
        <v>45930.833333333336</v>
      </c>
    </row>
    <row r="53" spans="1:22" s="19" customFormat="1" ht="30" x14ac:dyDescent="0.25">
      <c r="A53" s="112"/>
      <c r="B53" s="112" t="str">
        <f t="shared" si="2"/>
        <v>X</v>
      </c>
      <c r="C53" s="112" t="str">
        <f>IF(OR(TabellaBLENDING[[#This Row],[LUN]]="X",TabellaBLENDING[[#This Row],[MAR]]="X",TabellaBLENDING[[#This Row],[MER]]="X",TabellaBLENDING[[#This Row],[GIO]]="X",TabellaBLENDING[[#This Row],[VEN]]="X",),"X","")</f>
        <v/>
      </c>
      <c r="D53" s="109" t="s">
        <v>287</v>
      </c>
      <c r="E53" s="109" t="s">
        <v>585</v>
      </c>
      <c r="F53" s="109">
        <v>1300</v>
      </c>
      <c r="G53" s="109" t="s">
        <v>584</v>
      </c>
      <c r="H53" s="111"/>
      <c r="I53" s="111"/>
      <c r="J53" s="111"/>
      <c r="K53" s="111"/>
      <c r="L53" s="111"/>
      <c r="M53" s="109" t="s">
        <v>1258</v>
      </c>
      <c r="N53" s="109"/>
      <c r="O53" s="109"/>
      <c r="P53" s="109"/>
      <c r="Q53" s="109"/>
      <c r="R53" s="110"/>
      <c r="S53" s="110"/>
      <c r="T5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40" t="str">
        <f t="shared" ca="1" si="3"/>
        <v/>
      </c>
      <c r="V53" s="187">
        <v>45930.833333333336</v>
      </c>
    </row>
    <row r="54" spans="1:22" s="19" customFormat="1" ht="23.25" x14ac:dyDescent="0.25">
      <c r="A54" s="112"/>
      <c r="B54" s="112" t="str">
        <f t="shared" si="2"/>
        <v>X</v>
      </c>
      <c r="C54" s="112" t="str">
        <f>IF(OR(TabellaBLENDING[[#This Row],[LUN]]="X",TabellaBLENDING[[#This Row],[MAR]]="X",TabellaBLENDING[[#This Row],[MER]]="X",TabellaBLENDING[[#This Row],[GIO]]="X",TabellaBLENDING[[#This Row],[VEN]]="X",),"X","")</f>
        <v/>
      </c>
      <c r="D54" s="109" t="s">
        <v>287</v>
      </c>
      <c r="E54" s="109" t="s">
        <v>583</v>
      </c>
      <c r="F54" s="109" t="s">
        <v>530</v>
      </c>
      <c r="G54" s="109" t="s">
        <v>582</v>
      </c>
      <c r="H54" s="111"/>
      <c r="I54" s="111"/>
      <c r="J54" s="111"/>
      <c r="K54" s="111"/>
      <c r="L54" s="111"/>
      <c r="M54" s="109" t="s">
        <v>1258</v>
      </c>
      <c r="N54" s="109"/>
      <c r="O54" s="109"/>
      <c r="P54" s="109"/>
      <c r="Q54" s="109"/>
      <c r="R54" s="110"/>
      <c r="S54" s="110"/>
      <c r="T5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40" t="str">
        <f t="shared" ca="1" si="3"/>
        <v/>
      </c>
      <c r="V54" s="187">
        <v>45930.833333333336</v>
      </c>
    </row>
    <row r="55" spans="1:22" s="19" customFormat="1" ht="23.25" x14ac:dyDescent="0.25">
      <c r="A55" s="112"/>
      <c r="B55" s="112" t="str">
        <f t="shared" si="2"/>
        <v>X</v>
      </c>
      <c r="C55" s="112" t="str">
        <f>IF(OR(TabellaBLENDING[[#This Row],[LUN]]="X",TabellaBLENDING[[#This Row],[MAR]]="X",TabellaBLENDING[[#This Row],[MER]]="X",TabellaBLENDING[[#This Row],[GIO]]="X",TabellaBLENDING[[#This Row],[VEN]]="X",),"X","")</f>
        <v/>
      </c>
      <c r="D55" s="109" t="s">
        <v>287</v>
      </c>
      <c r="E55" s="109" t="s">
        <v>595</v>
      </c>
      <c r="F55" s="109" t="s">
        <v>530</v>
      </c>
      <c r="G55" s="109" t="s">
        <v>594</v>
      </c>
      <c r="H55" s="111"/>
      <c r="I55" s="111"/>
      <c r="J55" s="111"/>
      <c r="K55" s="111"/>
      <c r="L55" s="111"/>
      <c r="M55" s="109" t="s">
        <v>1258</v>
      </c>
      <c r="N55" s="109"/>
      <c r="O55" s="109"/>
      <c r="P55" s="109"/>
      <c r="Q55" s="109"/>
      <c r="R55" s="110"/>
      <c r="S55" s="110"/>
      <c r="T5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0" t="str">
        <f t="shared" ca="1" si="3"/>
        <v/>
      </c>
      <c r="V55" s="187">
        <v>45930.833333333336</v>
      </c>
    </row>
    <row r="56" spans="1:22" s="19" customFormat="1" ht="30" x14ac:dyDescent="0.25">
      <c r="A56" s="112"/>
      <c r="B56" s="112" t="str">
        <f t="shared" si="2"/>
        <v>X</v>
      </c>
      <c r="C56" s="112" t="str">
        <f>IF(OR(TabellaBLENDING[[#This Row],[LUN]]="X",TabellaBLENDING[[#This Row],[MAR]]="X",TabellaBLENDING[[#This Row],[MER]]="X",TabellaBLENDING[[#This Row],[GIO]]="X",TabellaBLENDING[[#This Row],[VEN]]="X",),"X","")</f>
        <v/>
      </c>
      <c r="D56" s="109" t="s">
        <v>287</v>
      </c>
      <c r="E56" s="109" t="s">
        <v>596</v>
      </c>
      <c r="F56" s="109" t="s">
        <v>287</v>
      </c>
      <c r="G56" s="109" t="s">
        <v>593</v>
      </c>
      <c r="H56" s="111"/>
      <c r="I56" s="111"/>
      <c r="J56" s="111"/>
      <c r="K56" s="111"/>
      <c r="L56" s="111"/>
      <c r="M56" s="109" t="s">
        <v>1258</v>
      </c>
      <c r="N56" s="109"/>
      <c r="O56" s="109"/>
      <c r="P56" s="109"/>
      <c r="Q56" s="109"/>
      <c r="R56" s="110"/>
      <c r="S56" s="110"/>
      <c r="T5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0" t="str">
        <f t="shared" ca="1" si="3"/>
        <v/>
      </c>
      <c r="V56" s="187">
        <v>45930.833333333336</v>
      </c>
    </row>
    <row r="57" spans="1:22" s="19" customFormat="1" ht="30" x14ac:dyDescent="0.25">
      <c r="A57" s="112"/>
      <c r="B57" s="112" t="str">
        <f t="shared" si="2"/>
        <v>X</v>
      </c>
      <c r="C57" s="112" t="str">
        <f>IF(OR(TabellaBLENDING[[#This Row],[LUN]]="X",TabellaBLENDING[[#This Row],[MAR]]="X",TabellaBLENDING[[#This Row],[MER]]="X",TabellaBLENDING[[#This Row],[GIO]]="X",TabellaBLENDING[[#This Row],[VEN]]="X",),"X","")</f>
        <v/>
      </c>
      <c r="D57" s="109" t="s">
        <v>287</v>
      </c>
      <c r="E57" s="109" t="s">
        <v>580</v>
      </c>
      <c r="F57" s="109" t="s">
        <v>287</v>
      </c>
      <c r="G57" s="109" t="s">
        <v>579</v>
      </c>
      <c r="H57" s="111"/>
      <c r="I57" s="111"/>
      <c r="J57" s="111"/>
      <c r="K57" s="111"/>
      <c r="L57" s="111"/>
      <c r="M57" s="109" t="s">
        <v>1258</v>
      </c>
      <c r="N57" s="109"/>
      <c r="O57" s="109"/>
      <c r="P57" s="109"/>
      <c r="Q57" s="109"/>
      <c r="R57" s="110"/>
      <c r="S57" s="110"/>
      <c r="T5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0" t="str">
        <f t="shared" ca="1" si="3"/>
        <v/>
      </c>
      <c r="V57" s="187">
        <v>45930.833333333336</v>
      </c>
    </row>
    <row r="58" spans="1:22" s="19" customFormat="1" ht="30" x14ac:dyDescent="0.25">
      <c r="A58" s="112"/>
      <c r="B58" s="112" t="str">
        <f t="shared" si="2"/>
        <v>X</v>
      </c>
      <c r="C58" s="112" t="str">
        <f>IF(OR(TabellaBLENDING[[#This Row],[LUN]]="X",TabellaBLENDING[[#This Row],[MAR]]="X",TabellaBLENDING[[#This Row],[MER]]="X",TabellaBLENDING[[#This Row],[GIO]]="X",TabellaBLENDING[[#This Row],[VEN]]="X",),"X","")</f>
        <v/>
      </c>
      <c r="D58" s="109" t="s">
        <v>287</v>
      </c>
      <c r="E58" s="109" t="s">
        <v>437</v>
      </c>
      <c r="F58" s="109" t="s">
        <v>412</v>
      </c>
      <c r="G58" s="109" t="s">
        <v>413</v>
      </c>
      <c r="H58" s="111"/>
      <c r="I58" s="111"/>
      <c r="J58" s="111"/>
      <c r="K58" s="111"/>
      <c r="L58" s="111"/>
      <c r="M58" s="109" t="s">
        <v>1258</v>
      </c>
      <c r="N58" s="109"/>
      <c r="O58" s="109"/>
      <c r="P58" s="109"/>
      <c r="Q58" s="109"/>
      <c r="R58" s="110"/>
      <c r="S58" s="110"/>
      <c r="T5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0" t="str">
        <f t="shared" ca="1" si="3"/>
        <v/>
      </c>
      <c r="V58" s="187">
        <v>45930.833333333336</v>
      </c>
    </row>
    <row r="59" spans="1:22" s="19" customFormat="1" ht="23.25" x14ac:dyDescent="0.25">
      <c r="A59" s="112"/>
      <c r="B59" s="112" t="str">
        <f t="shared" si="2"/>
        <v>X</v>
      </c>
      <c r="C59" s="112" t="str">
        <f>IF(OR(TabellaBLENDING[[#This Row],[LUN]]="X",TabellaBLENDING[[#This Row],[MAR]]="X",TabellaBLENDING[[#This Row],[MER]]="X",TabellaBLENDING[[#This Row],[GIO]]="X",TabellaBLENDING[[#This Row],[VEN]]="X",),"X","")</f>
        <v/>
      </c>
      <c r="D59" s="109" t="s">
        <v>287</v>
      </c>
      <c r="E59" s="109" t="s">
        <v>560</v>
      </c>
      <c r="F59" s="109" t="s">
        <v>530</v>
      </c>
      <c r="G59" s="109" t="s">
        <v>557</v>
      </c>
      <c r="H59" s="111"/>
      <c r="I59" s="111"/>
      <c r="J59" s="111"/>
      <c r="K59" s="111"/>
      <c r="L59" s="111"/>
      <c r="M59" s="109" t="s">
        <v>1258</v>
      </c>
      <c r="N59" s="109"/>
      <c r="O59" s="109"/>
      <c r="P59" s="109"/>
      <c r="Q59" s="109"/>
      <c r="R59" s="110"/>
      <c r="S59" s="110"/>
      <c r="T5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0" t="str">
        <f t="shared" ca="1" si="3"/>
        <v/>
      </c>
      <c r="V59" s="187">
        <v>45930.833333333336</v>
      </c>
    </row>
    <row r="60" spans="1:22" s="19" customFormat="1" ht="23.25" x14ac:dyDescent="0.25">
      <c r="A60" s="112"/>
      <c r="B60" s="112" t="str">
        <f t="shared" si="2"/>
        <v>X</v>
      </c>
      <c r="C60" s="112" t="str">
        <f>IF(OR(TabellaBLENDING[[#This Row],[LUN]]="X",TabellaBLENDING[[#This Row],[MAR]]="X",TabellaBLENDING[[#This Row],[MER]]="X",TabellaBLENDING[[#This Row],[GIO]]="X",TabellaBLENDING[[#This Row],[VEN]]="X",),"X","")</f>
        <v/>
      </c>
      <c r="D60" s="109" t="s">
        <v>287</v>
      </c>
      <c r="E60" s="109" t="s">
        <v>531</v>
      </c>
      <c r="F60" s="109" t="s">
        <v>530</v>
      </c>
      <c r="G60" s="109" t="s">
        <v>528</v>
      </c>
      <c r="H60" s="111"/>
      <c r="I60" s="111"/>
      <c r="J60" s="111"/>
      <c r="K60" s="111"/>
      <c r="L60" s="111"/>
      <c r="M60" s="109" t="s">
        <v>1258</v>
      </c>
      <c r="N60" s="109"/>
      <c r="O60" s="109"/>
      <c r="P60" s="109"/>
      <c r="Q60" s="109"/>
      <c r="R60" s="110"/>
      <c r="S60" s="110"/>
      <c r="T6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0" t="str">
        <f t="shared" ca="1" si="3"/>
        <v/>
      </c>
      <c r="V60" s="187">
        <v>45930.833333333336</v>
      </c>
    </row>
    <row r="61" spans="1:22" s="19" customFormat="1" ht="30" x14ac:dyDescent="0.25">
      <c r="A61" s="112"/>
      <c r="B61" s="112" t="str">
        <f t="shared" si="2"/>
        <v>X</v>
      </c>
      <c r="C61" s="112" t="str">
        <f>IF(OR(TabellaBLENDING[[#This Row],[LUN]]="X",TabellaBLENDING[[#This Row],[MAR]]="X",TabellaBLENDING[[#This Row],[MER]]="X",TabellaBLENDING[[#This Row],[GIO]]="X",TabellaBLENDING[[#This Row],[VEN]]="X",),"X","")</f>
        <v/>
      </c>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0" t="str">
        <f t="shared" ca="1" si="3"/>
        <v/>
      </c>
      <c r="V61" s="187">
        <v>45930.833333333336</v>
      </c>
    </row>
    <row r="62" spans="1:22" s="19" customFormat="1" ht="23.25" x14ac:dyDescent="0.25">
      <c r="A62" s="112"/>
      <c r="B62" s="112" t="str">
        <f t="shared" si="2"/>
        <v>X</v>
      </c>
      <c r="C62" s="112" t="str">
        <f>IF(OR(TabellaBLENDING[[#This Row],[LUN]]="X",TabellaBLENDING[[#This Row],[MAR]]="X",TabellaBLENDING[[#This Row],[MER]]="X",TabellaBLENDING[[#This Row],[GIO]]="X",TabellaBLENDING[[#This Row],[VEN]]="X",),"X","")</f>
        <v/>
      </c>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0" t="str">
        <f t="shared" ca="1" si="3"/>
        <v/>
      </c>
      <c r="V62" s="187">
        <v>45930.833333333336</v>
      </c>
    </row>
    <row r="63" spans="1:22" s="19" customFormat="1" ht="23.25" x14ac:dyDescent="0.25">
      <c r="A63" s="112"/>
      <c r="B63" s="112" t="str">
        <f t="shared" si="2"/>
        <v>X</v>
      </c>
      <c r="C63" s="112" t="str">
        <f>IF(OR(TabellaBLENDING[[#This Row],[LUN]]="X",TabellaBLENDING[[#This Row],[MAR]]="X",TabellaBLENDING[[#This Row],[MER]]="X",TabellaBLENDING[[#This Row],[GIO]]="X",TabellaBLENDING[[#This Row],[VEN]]="X",),"X","")</f>
        <v/>
      </c>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0" t="str">
        <f t="shared" ca="1" si="3"/>
        <v/>
      </c>
      <c r="V63" s="187">
        <v>45930.833333333336</v>
      </c>
    </row>
    <row r="64" spans="1:22" s="19" customFormat="1" ht="23.25" x14ac:dyDescent="0.25">
      <c r="A64" s="112"/>
      <c r="B64" s="112" t="str">
        <f t="shared" si="2"/>
        <v>X</v>
      </c>
      <c r="C64" s="112" t="str">
        <f>IF(OR(TabellaBLENDING[[#This Row],[LUN]]="X",TabellaBLENDING[[#This Row],[MAR]]="X",TabellaBLENDING[[#This Row],[MER]]="X",TabellaBLENDING[[#This Row],[GIO]]="X",TabellaBLENDING[[#This Row],[VEN]]="X",),"X","")</f>
        <v/>
      </c>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0" t="str">
        <f t="shared" ca="1" si="3"/>
        <v/>
      </c>
      <c r="V64" s="187">
        <v>45930.833333333336</v>
      </c>
    </row>
    <row r="65" spans="1:22" s="19" customFormat="1" ht="30" x14ac:dyDescent="0.25">
      <c r="A65" s="112"/>
      <c r="B65" s="112" t="str">
        <f t="shared" si="2"/>
        <v>X</v>
      </c>
      <c r="C65" s="112" t="str">
        <f>IF(OR(TabellaBLENDING[[#This Row],[LUN]]="X",TabellaBLENDING[[#This Row],[MAR]]="X",TabellaBLENDING[[#This Row],[MER]]="X",TabellaBLENDING[[#This Row],[GIO]]="X",TabellaBLENDING[[#This Row],[VEN]]="X",),"X","")</f>
        <v/>
      </c>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0" t="str">
        <f t="shared" ca="1" si="3"/>
        <v/>
      </c>
      <c r="V65" s="187">
        <v>45930.833333333336</v>
      </c>
    </row>
    <row r="66" spans="1:22" s="19" customFormat="1" ht="30" x14ac:dyDescent="0.25">
      <c r="A66" s="112"/>
      <c r="B66" s="112" t="str">
        <f t="shared" si="2"/>
        <v>X</v>
      </c>
      <c r="C66" s="112" t="str">
        <f>IF(OR(TabellaBLENDING[[#This Row],[LUN]]="X",TabellaBLENDING[[#This Row],[MAR]]="X",TabellaBLENDING[[#This Row],[MER]]="X",TabellaBLENDING[[#This Row],[GIO]]="X",TabellaBLENDING[[#This Row],[VEN]]="X",),"X","")</f>
        <v/>
      </c>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0" t="str">
        <f t="shared" ca="1" si="3"/>
        <v/>
      </c>
      <c r="V66" s="187">
        <v>45930.833333333336</v>
      </c>
    </row>
    <row r="67" spans="1:22" s="19" customFormat="1" ht="30" x14ac:dyDescent="0.25">
      <c r="A67" s="112"/>
      <c r="B67" s="112" t="str">
        <f t="shared" si="2"/>
        <v>X</v>
      </c>
      <c r="C67" s="112" t="str">
        <f>IF(OR(TabellaBLENDING[[#This Row],[LUN]]="X",TabellaBLENDING[[#This Row],[MAR]]="X",TabellaBLENDING[[#This Row],[MER]]="X",TabellaBLENDING[[#This Row],[GIO]]="X",TabellaBLENDING[[#This Row],[VEN]]="X",),"X","")</f>
        <v/>
      </c>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0" t="str">
        <f t="shared" ca="1" si="3"/>
        <v/>
      </c>
      <c r="V67" s="187">
        <v>45930.833333333336</v>
      </c>
    </row>
    <row r="68" spans="1:22" s="19" customFormat="1" ht="30" x14ac:dyDescent="0.25">
      <c r="A68" s="112"/>
      <c r="B68" s="112" t="str">
        <f t="shared" si="2"/>
        <v>X</v>
      </c>
      <c r="C68" s="112" t="str">
        <f>IF(OR(TabellaBLENDING[[#This Row],[LUN]]="X",TabellaBLENDING[[#This Row],[MAR]]="X",TabellaBLENDING[[#This Row],[MER]]="X",TabellaBLENDING[[#This Row],[GIO]]="X",TabellaBLENDING[[#This Row],[VEN]]="X",),"X","")</f>
        <v/>
      </c>
      <c r="D68" s="109" t="s">
        <v>287</v>
      </c>
      <c r="E68" s="109" t="s">
        <v>398</v>
      </c>
      <c r="F68" s="109" t="s">
        <v>287</v>
      </c>
      <c r="G68" s="109" t="s">
        <v>328</v>
      </c>
      <c r="H68" s="111"/>
      <c r="I68" s="111"/>
      <c r="J68" s="111"/>
      <c r="K68" s="111"/>
      <c r="L68" s="111"/>
      <c r="M68" s="109" t="s">
        <v>1258</v>
      </c>
      <c r="N68" s="109"/>
      <c r="O68" s="109"/>
      <c r="P68" s="109"/>
      <c r="Q68" s="109"/>
      <c r="R68" s="110"/>
      <c r="S68" s="110"/>
      <c r="T6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0" t="str">
        <f t="shared" ca="1" si="3"/>
        <v/>
      </c>
      <c r="V68" s="187">
        <v>45930.833333333336</v>
      </c>
    </row>
    <row r="69" spans="1:22" s="19" customFormat="1" ht="30" x14ac:dyDescent="0.25">
      <c r="A69" s="112"/>
      <c r="B69" s="112" t="str">
        <f t="shared" ref="B69:B77" si="4">IF(OR(A69="x",A69="X"),"",IF(ISBLANK(A69),"X",""))</f>
        <v>X</v>
      </c>
      <c r="C69" s="112" t="str">
        <f>IF(OR(TabellaBLENDING[[#This Row],[LUN]]="X",TabellaBLENDING[[#This Row],[MAR]]="X",TabellaBLENDING[[#This Row],[MER]]="X",TabellaBLENDING[[#This Row],[GIO]]="X",TabellaBLENDING[[#This Row],[VEN]]="X",),"X","")</f>
        <v/>
      </c>
      <c r="D69" s="109" t="s">
        <v>287</v>
      </c>
      <c r="E69" s="109" t="s">
        <v>399</v>
      </c>
      <c r="F69" s="109" t="s">
        <v>292</v>
      </c>
      <c r="G69" s="109" t="s">
        <v>293</v>
      </c>
      <c r="H69" s="111"/>
      <c r="I69" s="111"/>
      <c r="J69" s="111"/>
      <c r="K69" s="111"/>
      <c r="L69" s="111"/>
      <c r="M69" s="109" t="s">
        <v>1258</v>
      </c>
      <c r="N69" s="109"/>
      <c r="O69" s="109"/>
      <c r="P69" s="109"/>
      <c r="Q69" s="109"/>
      <c r="R69" s="110"/>
      <c r="S69" s="110"/>
      <c r="T6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0" t="str">
        <f t="shared" ref="U69:U94" ca="1" si="5">IFERROR(MID(G69,_xlfn.AGGREGATE(15,6,(ROW(INDIRECT("1:"&amp;LEN(G69)-7)))/(ISNUMBER(--MID(G69,ROW(INDIRECT("1:"&amp;LEN(G69)-7)),8))),1),8),"")</f>
        <v/>
      </c>
      <c r="V69" s="187">
        <v>45930.833333333336</v>
      </c>
    </row>
    <row r="70" spans="1:22" s="19" customFormat="1" ht="30" x14ac:dyDescent="0.25">
      <c r="A70" s="112"/>
      <c r="B70" s="112" t="str">
        <f t="shared" si="4"/>
        <v>X</v>
      </c>
      <c r="C70" s="112" t="str">
        <f>IF(OR(TabellaBLENDING[[#This Row],[LUN]]="X",TabellaBLENDING[[#This Row],[MAR]]="X",TabellaBLENDING[[#This Row],[MER]]="X",TabellaBLENDING[[#This Row],[GIO]]="X",TabellaBLENDING[[#This Row],[VEN]]="X",),"X","")</f>
        <v/>
      </c>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0" t="str">
        <f t="shared" ca="1" si="5"/>
        <v/>
      </c>
      <c r="V70" s="187">
        <v>45930.833333333336</v>
      </c>
    </row>
    <row r="71" spans="1:22" s="19" customFormat="1" ht="30" x14ac:dyDescent="0.25">
      <c r="A71" s="112"/>
      <c r="B71" s="112" t="str">
        <f t="shared" si="4"/>
        <v>X</v>
      </c>
      <c r="C71" s="112" t="str">
        <f>IF(OR(TabellaBLENDING[[#This Row],[LUN]]="X",TabellaBLENDING[[#This Row],[MAR]]="X",TabellaBLENDING[[#This Row],[MER]]="X",TabellaBLENDING[[#This Row],[GIO]]="X",TabellaBLENDING[[#This Row],[VEN]]="X",),"X","")</f>
        <v/>
      </c>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0" t="str">
        <f t="shared" ca="1" si="5"/>
        <v/>
      </c>
      <c r="V71" s="187">
        <v>45930.833333333336</v>
      </c>
    </row>
    <row r="72" spans="1:22" s="19" customFormat="1" ht="30" x14ac:dyDescent="0.25">
      <c r="A72" s="112"/>
      <c r="B72" s="112" t="str">
        <f t="shared" si="4"/>
        <v>X</v>
      </c>
      <c r="C72" s="112" t="str">
        <f>IF(OR(TabellaBLENDING[[#This Row],[LUN]]="X",TabellaBLENDING[[#This Row],[MAR]]="X",TabellaBLENDING[[#This Row],[MER]]="X",TabellaBLENDING[[#This Row],[GIO]]="X",TabellaBLENDING[[#This Row],[VEN]]="X",),"X","")</f>
        <v/>
      </c>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0" t="str">
        <f t="shared" ca="1" si="5"/>
        <v/>
      </c>
      <c r="V72" s="187">
        <v>45930.833333333336</v>
      </c>
    </row>
    <row r="73" spans="1:22" s="19" customFormat="1" ht="30" x14ac:dyDescent="0.25">
      <c r="A73" s="112"/>
      <c r="B73" s="112" t="str">
        <f t="shared" si="4"/>
        <v>X</v>
      </c>
      <c r="C73" s="112" t="str">
        <f>IF(OR(TabellaBLENDING[[#This Row],[LUN]]="X",TabellaBLENDING[[#This Row],[MAR]]="X",TabellaBLENDING[[#This Row],[MER]]="X",TabellaBLENDING[[#This Row],[GIO]]="X",TabellaBLENDING[[#This Row],[VEN]]="X",),"X","")</f>
        <v/>
      </c>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0" t="str">
        <f t="shared" ca="1" si="5"/>
        <v/>
      </c>
      <c r="V73" s="187">
        <v>45930.833333333336</v>
      </c>
    </row>
    <row r="74" spans="1:22" s="19" customFormat="1" ht="30" x14ac:dyDescent="0.25">
      <c r="A74" s="112"/>
      <c r="B74" s="112" t="str">
        <f t="shared" si="4"/>
        <v>X</v>
      </c>
      <c r="C74" s="112" t="str">
        <f>IF(OR(TabellaBLENDING[[#This Row],[LUN]]="X",TabellaBLENDING[[#This Row],[MAR]]="X",TabellaBLENDING[[#This Row],[MER]]="X",TabellaBLENDING[[#This Row],[GIO]]="X",TabellaBLENDING[[#This Row],[VEN]]="X",),"X","")</f>
        <v/>
      </c>
      <c r="D74" s="109" t="s">
        <v>287</v>
      </c>
      <c r="E74" s="109" t="s">
        <v>1299</v>
      </c>
      <c r="F74" s="109" t="s">
        <v>287</v>
      </c>
      <c r="G74" s="109" t="s">
        <v>1297</v>
      </c>
      <c r="H74" s="111"/>
      <c r="I74" s="111"/>
      <c r="J74" s="111"/>
      <c r="K74" s="111"/>
      <c r="L74" s="111"/>
      <c r="M74" s="109" t="s">
        <v>1258</v>
      </c>
      <c r="N74" s="109"/>
      <c r="O74" s="109"/>
      <c r="P74" s="109"/>
      <c r="Q74" s="109"/>
      <c r="R74" s="110"/>
      <c r="S74" s="110"/>
      <c r="T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0" t="str">
        <f t="shared" ca="1" si="5"/>
        <v/>
      </c>
      <c r="V74" s="187">
        <v>45930.833333333336</v>
      </c>
    </row>
    <row r="75" spans="1:22" s="19" customFormat="1" ht="23.25" x14ac:dyDescent="0.25">
      <c r="A75" s="112"/>
      <c r="B75" s="112" t="str">
        <f t="shared" si="4"/>
        <v>X</v>
      </c>
      <c r="C75" s="112" t="str">
        <f>IF(OR(TabellaBLENDING[[#This Row],[LUN]]="X",TabellaBLENDING[[#This Row],[MAR]]="X",TabellaBLENDING[[#This Row],[MER]]="X",TabellaBLENDING[[#This Row],[GIO]]="X",TabellaBLENDING[[#This Row],[VEN]]="X",),"X","")</f>
        <v/>
      </c>
      <c r="D75" s="109" t="s">
        <v>287</v>
      </c>
      <c r="E75" s="109" t="s">
        <v>1348</v>
      </c>
      <c r="F75" s="109" t="s">
        <v>530</v>
      </c>
      <c r="G75" s="109" t="s">
        <v>1344</v>
      </c>
      <c r="H75" s="111"/>
      <c r="I75" s="111"/>
      <c r="J75" s="111"/>
      <c r="K75" s="111"/>
      <c r="L75" s="111"/>
      <c r="M75" s="109" t="s">
        <v>1258</v>
      </c>
      <c r="N75" s="109"/>
      <c r="O75" s="109"/>
      <c r="P75" s="109"/>
      <c r="Q75" s="109"/>
      <c r="R75" s="110"/>
      <c r="S75" s="110"/>
      <c r="T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0" t="str">
        <f t="shared" ca="1" si="5"/>
        <v/>
      </c>
      <c r="V75" s="187">
        <v>45930.833333333336</v>
      </c>
    </row>
    <row r="76" spans="1:22" s="19" customFormat="1" ht="30" x14ac:dyDescent="0.25">
      <c r="A76" s="112"/>
      <c r="B76" s="112" t="str">
        <f t="shared" si="4"/>
        <v>X</v>
      </c>
      <c r="C76" s="112" t="str">
        <f>IF(OR(TabellaBLENDING[[#This Row],[LUN]]="X",TabellaBLENDING[[#This Row],[MAR]]="X",TabellaBLENDING[[#This Row],[MER]]="X",TabellaBLENDING[[#This Row],[GIO]]="X",TabellaBLENDING[[#This Row],[VEN]]="X",),"X","")</f>
        <v/>
      </c>
      <c r="D76" s="109" t="s">
        <v>287</v>
      </c>
      <c r="E76" s="109" t="s">
        <v>1365</v>
      </c>
      <c r="F76" s="109" t="s">
        <v>287</v>
      </c>
      <c r="G76" s="109" t="s">
        <v>1364</v>
      </c>
      <c r="H76" s="111"/>
      <c r="I76" s="111"/>
      <c r="J76" s="111"/>
      <c r="K76" s="111"/>
      <c r="L76" s="111"/>
      <c r="M76" s="109" t="s">
        <v>1258</v>
      </c>
      <c r="N76" s="109"/>
      <c r="O76" s="109"/>
      <c r="P76" s="109"/>
      <c r="Q76" s="109"/>
      <c r="R76" s="110"/>
      <c r="S76" s="110"/>
      <c r="T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0" t="str">
        <f t="shared" ca="1" si="5"/>
        <v/>
      </c>
      <c r="V76" s="187">
        <v>45930.833333333336</v>
      </c>
    </row>
    <row r="77" spans="1:22" s="19" customFormat="1" ht="30" x14ac:dyDescent="0.25">
      <c r="A77" s="112"/>
      <c r="B77" s="112" t="str">
        <f t="shared" si="4"/>
        <v>X</v>
      </c>
      <c r="C77" s="112" t="str">
        <f>IF(OR(TabellaBLENDING[[#This Row],[LUN]]="X",TabellaBLENDING[[#This Row],[MAR]]="X",TabellaBLENDING[[#This Row],[MER]]="X",TabellaBLENDING[[#This Row],[GIO]]="X",TabellaBLENDING[[#This Row],[VEN]]="X",),"X","")</f>
        <v/>
      </c>
      <c r="D77" s="109" t="s">
        <v>287</v>
      </c>
      <c r="E77" s="109" t="s">
        <v>1366</v>
      </c>
      <c r="F77" s="109" t="s">
        <v>287</v>
      </c>
      <c r="G77" s="109" t="s">
        <v>1363</v>
      </c>
      <c r="H77" s="111"/>
      <c r="I77" s="111"/>
      <c r="J77" s="111"/>
      <c r="K77" s="111"/>
      <c r="L77" s="111"/>
      <c r="M77" s="109" t="s">
        <v>1258</v>
      </c>
      <c r="N77" s="109"/>
      <c r="O77" s="109"/>
      <c r="P77" s="109"/>
      <c r="Q77" s="109"/>
      <c r="R77" s="110"/>
      <c r="S77" s="110"/>
      <c r="T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0" t="str">
        <f t="shared" ca="1" si="5"/>
        <v/>
      </c>
      <c r="V77" s="187">
        <v>45930.833333333336</v>
      </c>
    </row>
    <row r="78" spans="1:22" s="19" customFormat="1" ht="30" x14ac:dyDescent="0.2">
      <c r="A78" s="112"/>
      <c r="B78" s="112"/>
      <c r="C78" s="112" t="str">
        <f>IF(OR(TabellaBLENDING[[#This Row],[LUN]]="X",TabellaBLENDING[[#This Row],[MAR]]="X",TabellaBLENDING[[#This Row],[MER]]="X",TabellaBLENDING[[#This Row],[GIO]]="X",TabellaBLENDING[[#This Row],[VEN]]="X",),"X","")</f>
        <v/>
      </c>
      <c r="D78" s="109" t="s">
        <v>287</v>
      </c>
      <c r="E78" s="109" t="s">
        <v>1453</v>
      </c>
      <c r="F78" s="109" t="s">
        <v>287</v>
      </c>
      <c r="G78" s="109" t="s">
        <v>1448</v>
      </c>
      <c r="H78" s="111"/>
      <c r="I78" s="111"/>
      <c r="J78" s="111"/>
      <c r="K78" s="111"/>
      <c r="L78" s="111"/>
      <c r="M78" s="109" t="s">
        <v>1258</v>
      </c>
      <c r="N78" s="109"/>
      <c r="O78" s="109"/>
      <c r="P78" s="109"/>
      <c r="Q78" s="109"/>
      <c r="R78" s="110"/>
      <c r="S78" s="110"/>
      <c r="T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4" t="str">
        <f t="shared" ca="1" si="5"/>
        <v/>
      </c>
      <c r="V78" s="187">
        <v>45930.833333333336</v>
      </c>
    </row>
    <row r="79" spans="1:22" s="19" customFormat="1" ht="23.25" x14ac:dyDescent="0.2">
      <c r="A79" s="112"/>
      <c r="B79" s="112"/>
      <c r="C79" s="112" t="str">
        <f>IF(OR(TabellaBLENDING[[#This Row],[LUN]]="X",TabellaBLENDING[[#This Row],[MAR]]="X",TabellaBLENDING[[#This Row],[MER]]="X",TabellaBLENDING[[#This Row],[GIO]]="X",TabellaBLENDING[[#This Row],[VEN]]="X",),"X","")</f>
        <v/>
      </c>
      <c r="D79" s="109" t="s">
        <v>287</v>
      </c>
      <c r="E79" s="109" t="s">
        <v>1476</v>
      </c>
      <c r="F79" s="109" t="s">
        <v>530</v>
      </c>
      <c r="G79" s="109" t="s">
        <v>1473</v>
      </c>
      <c r="H79" s="111"/>
      <c r="I79" s="111"/>
      <c r="J79" s="111"/>
      <c r="K79" s="111"/>
      <c r="L79" s="111"/>
      <c r="M79" s="109" t="s">
        <v>1258</v>
      </c>
      <c r="N79" s="109"/>
      <c r="O79" s="109"/>
      <c r="P79" s="109"/>
      <c r="Q79" s="109"/>
      <c r="R79" s="110"/>
      <c r="S79" s="110"/>
      <c r="T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2" t="str">
        <f t="shared" ca="1" si="5"/>
        <v/>
      </c>
      <c r="V79" s="187">
        <v>45930.833333333336</v>
      </c>
    </row>
    <row r="80" spans="1:22" s="19" customFormat="1" ht="23.25" x14ac:dyDescent="0.2">
      <c r="A80" s="112"/>
      <c r="B80" s="112"/>
      <c r="C80" s="112" t="str">
        <f>IF(OR(TabellaBLENDING[[#This Row],[LUN]]="X",TabellaBLENDING[[#This Row],[MAR]]="X",TabellaBLENDING[[#This Row],[MER]]="X",TabellaBLENDING[[#This Row],[GIO]]="X",TabellaBLENDING[[#This Row],[VEN]]="X",),"X","")</f>
        <v/>
      </c>
      <c r="D80" s="109" t="s">
        <v>287</v>
      </c>
      <c r="E80" s="109" t="s">
        <v>1477</v>
      </c>
      <c r="F80" s="109" t="s">
        <v>530</v>
      </c>
      <c r="G80" s="109" t="s">
        <v>1472</v>
      </c>
      <c r="H80" s="111"/>
      <c r="I80" s="111"/>
      <c r="J80" s="111"/>
      <c r="K80" s="111"/>
      <c r="L80" s="111"/>
      <c r="M80" s="109" t="s">
        <v>1258</v>
      </c>
      <c r="N80" s="109"/>
      <c r="O80" s="109"/>
      <c r="P80" s="109"/>
      <c r="Q80" s="109"/>
      <c r="R80" s="110"/>
      <c r="S80" s="110"/>
      <c r="T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2" t="str">
        <f t="shared" ca="1" si="5"/>
        <v/>
      </c>
      <c r="V80" s="187">
        <v>45930.833333333336</v>
      </c>
    </row>
    <row r="81" spans="1:22" s="19" customFormat="1" ht="30" x14ac:dyDescent="0.2">
      <c r="A81" s="112"/>
      <c r="B81" s="112"/>
      <c r="C81" s="112" t="str">
        <f>IF(OR(TabellaBLENDING[[#This Row],[LUN]]="X",TabellaBLENDING[[#This Row],[MAR]]="X",TabellaBLENDING[[#This Row],[MER]]="X",TabellaBLENDING[[#This Row],[GIO]]="X",TabellaBLENDING[[#This Row],[VEN]]="X",),"X","")</f>
        <v/>
      </c>
      <c r="D81" s="109" t="s">
        <v>287</v>
      </c>
      <c r="E81" s="109" t="s">
        <v>1501</v>
      </c>
      <c r="F81" s="109" t="s">
        <v>287</v>
      </c>
      <c r="G81" s="109" t="s">
        <v>1499</v>
      </c>
      <c r="H81" s="111"/>
      <c r="I81" s="111"/>
      <c r="J81" s="111"/>
      <c r="K81" s="111"/>
      <c r="L81" s="111"/>
      <c r="M81" s="109" t="s">
        <v>1258</v>
      </c>
      <c r="N81" s="109"/>
      <c r="O81" s="109"/>
      <c r="P81" s="109"/>
      <c r="Q81" s="109"/>
      <c r="R81" s="110"/>
      <c r="S81" s="110"/>
      <c r="T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2" t="str">
        <f t="shared" ca="1" si="5"/>
        <v/>
      </c>
      <c r="V81" s="187">
        <v>45930.833333333336</v>
      </c>
    </row>
    <row r="82" spans="1:22" s="19" customFormat="1" ht="30" x14ac:dyDescent="0.2">
      <c r="A82" s="112"/>
      <c r="B82" s="112" t="str">
        <f>IF(OR(A82="x",A82="X"),"",IF(ISBLANK(A82),"X",""))</f>
        <v>X</v>
      </c>
      <c r="C82" s="112" t="str">
        <f>IF(OR(TabellaBLENDING[[#This Row],[LUN]]="X",TabellaBLENDING[[#This Row],[MAR]]="X",TabellaBLENDING[[#This Row],[MER]]="X",TabellaBLENDING[[#This Row],[GIO]]="X",TabellaBLENDING[[#This Row],[VEN]]="X",),"X","")</f>
        <v/>
      </c>
      <c r="D82" s="109" t="s">
        <v>287</v>
      </c>
      <c r="E82" s="109" t="s">
        <v>1515</v>
      </c>
      <c r="F82" s="109" t="s">
        <v>287</v>
      </c>
      <c r="G82" s="109" t="s">
        <v>1528</v>
      </c>
      <c r="H82" s="111"/>
      <c r="I82" s="111"/>
      <c r="J82" s="111"/>
      <c r="K82" s="111"/>
      <c r="L82" s="111"/>
      <c r="M82" s="109" t="s">
        <v>1258</v>
      </c>
      <c r="N82" s="109"/>
      <c r="O82" s="109"/>
      <c r="P82" s="109"/>
      <c r="Q82" s="109"/>
      <c r="R82" s="110"/>
      <c r="S82" s="110"/>
      <c r="T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4" t="str">
        <f t="shared" ca="1" si="5"/>
        <v/>
      </c>
      <c r="V82" s="187">
        <v>45930.833333333336</v>
      </c>
    </row>
    <row r="83" spans="1:22" s="19" customFormat="1" ht="30" x14ac:dyDescent="0.2">
      <c r="A83" s="112"/>
      <c r="B83" s="112"/>
      <c r="C83" s="112" t="str">
        <f>IF(OR(TabellaBLENDING[[#This Row],[LUN]]="X",TabellaBLENDING[[#This Row],[MAR]]="X",TabellaBLENDING[[#This Row],[MER]]="X",TabellaBLENDING[[#This Row],[GIO]]="X",TabellaBLENDING[[#This Row],[VEN]]="X",),"X","")</f>
        <v/>
      </c>
      <c r="D83" s="109" t="s">
        <v>287</v>
      </c>
      <c r="E83" s="109" t="s">
        <v>1516</v>
      </c>
      <c r="F83" s="109" t="s">
        <v>287</v>
      </c>
      <c r="G83" s="109" t="s">
        <v>1529</v>
      </c>
      <c r="H83" s="111"/>
      <c r="I83" s="111"/>
      <c r="J83" s="111"/>
      <c r="K83" s="111"/>
      <c r="L83" s="111"/>
      <c r="M83" s="109" t="s">
        <v>1258</v>
      </c>
      <c r="N83" s="109"/>
      <c r="O83" s="109"/>
      <c r="P83" s="109"/>
      <c r="Q83" s="109"/>
      <c r="R83" s="110"/>
      <c r="S83" s="110"/>
      <c r="T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2" t="str">
        <f t="shared" ca="1" si="5"/>
        <v/>
      </c>
      <c r="V83" s="187">
        <v>45930.833333333336</v>
      </c>
    </row>
    <row r="84" spans="1:22" s="19" customFormat="1" ht="30" x14ac:dyDescent="0.2">
      <c r="A84" s="112"/>
      <c r="B84" s="112" t="str">
        <f t="shared" ref="B84:B90" si="6">IF(OR(A84="x",A84="X"),"",IF(ISBLANK(A84),"X",""))</f>
        <v>X</v>
      </c>
      <c r="C84" s="112" t="str">
        <f>IF(OR(TabellaBLENDING[[#This Row],[LUN]]="X",TabellaBLENDING[[#This Row],[MAR]]="X",TabellaBLENDING[[#This Row],[MER]]="X",TabellaBLENDING[[#This Row],[GIO]]="X",TabellaBLENDING[[#This Row],[VEN]]="X",),"X","")</f>
        <v/>
      </c>
      <c r="D84" s="109" t="s">
        <v>287</v>
      </c>
      <c r="E84" s="109" t="s">
        <v>1514</v>
      </c>
      <c r="F84" s="109" t="s">
        <v>287</v>
      </c>
      <c r="G84" s="109" t="s">
        <v>1527</v>
      </c>
      <c r="H84" s="111"/>
      <c r="I84" s="111"/>
      <c r="J84" s="111"/>
      <c r="K84" s="111"/>
      <c r="L84" s="111"/>
      <c r="M84" s="109" t="s">
        <v>1258</v>
      </c>
      <c r="N84" s="109"/>
      <c r="O84" s="109"/>
      <c r="P84" s="109"/>
      <c r="Q84" s="109"/>
      <c r="R84" s="110"/>
      <c r="S84" s="110"/>
      <c r="T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4" t="str">
        <f t="shared" ca="1" si="5"/>
        <v/>
      </c>
      <c r="V84" s="187">
        <v>45930.833333333336</v>
      </c>
    </row>
    <row r="85" spans="1:22" s="19" customFormat="1" ht="30" x14ac:dyDescent="0.2">
      <c r="A85" s="112"/>
      <c r="B85" s="112" t="str">
        <f t="shared" si="6"/>
        <v>X</v>
      </c>
      <c r="C85" s="112" t="str">
        <f>IF(OR(TabellaBLENDING[[#This Row],[LUN]]="X",TabellaBLENDING[[#This Row],[MAR]]="X",TabellaBLENDING[[#This Row],[MER]]="X",TabellaBLENDING[[#This Row],[GIO]]="X",TabellaBLENDING[[#This Row],[VEN]]="X",),"X","")</f>
        <v/>
      </c>
      <c r="D85" s="109" t="s">
        <v>287</v>
      </c>
      <c r="E85" s="109" t="s">
        <v>1512</v>
      </c>
      <c r="F85" s="109" t="s">
        <v>287</v>
      </c>
      <c r="G85" s="109" t="s">
        <v>1505</v>
      </c>
      <c r="H85" s="111"/>
      <c r="I85" s="111"/>
      <c r="J85" s="111"/>
      <c r="K85" s="111"/>
      <c r="L85" s="111"/>
      <c r="M85" s="109" t="s">
        <v>1258</v>
      </c>
      <c r="N85" s="109"/>
      <c r="O85" s="109"/>
      <c r="P85" s="109"/>
      <c r="Q85" s="109"/>
      <c r="R85" s="110"/>
      <c r="S85" s="110"/>
      <c r="T8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4" t="str">
        <f t="shared" ca="1" si="5"/>
        <v/>
      </c>
      <c r="V85" s="187">
        <v>45930.833333333336</v>
      </c>
    </row>
    <row r="86" spans="1:22" s="19" customFormat="1" ht="30" x14ac:dyDescent="0.2">
      <c r="A86" s="112"/>
      <c r="B86" s="112" t="str">
        <f t="shared" si="6"/>
        <v>X</v>
      </c>
      <c r="C86" s="112" t="str">
        <f>IF(OR(TabellaBLENDING[[#This Row],[LUN]]="X",TabellaBLENDING[[#This Row],[MAR]]="X",TabellaBLENDING[[#This Row],[MER]]="X",TabellaBLENDING[[#This Row],[GIO]]="X",TabellaBLENDING[[#This Row],[VEN]]="X",),"X","")</f>
        <v/>
      </c>
      <c r="D86" s="109" t="s">
        <v>287</v>
      </c>
      <c r="E86" s="109" t="s">
        <v>1510</v>
      </c>
      <c r="F86" s="109" t="s">
        <v>287</v>
      </c>
      <c r="G86" s="109" t="s">
        <v>1503</v>
      </c>
      <c r="H86" s="111"/>
      <c r="I86" s="111"/>
      <c r="J86" s="111"/>
      <c r="K86" s="111"/>
      <c r="L86" s="111"/>
      <c r="M86" s="109" t="s">
        <v>1258</v>
      </c>
      <c r="N86" s="109"/>
      <c r="O86" s="109"/>
      <c r="P86" s="109"/>
      <c r="Q86" s="109"/>
      <c r="R86" s="110"/>
      <c r="S86" s="110"/>
      <c r="T8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4" t="str">
        <f t="shared" ca="1" si="5"/>
        <v/>
      </c>
      <c r="V86" s="187">
        <v>45930.833333333336</v>
      </c>
    </row>
    <row r="87" spans="1:22" s="19" customFormat="1" ht="30" x14ac:dyDescent="0.2">
      <c r="A87" s="112"/>
      <c r="B87" s="112" t="str">
        <f t="shared" si="6"/>
        <v>X</v>
      </c>
      <c r="C87" s="112" t="str">
        <f>IF(OR(TabellaBLENDING[[#This Row],[LUN]]="X",TabellaBLENDING[[#This Row],[MAR]]="X",TabellaBLENDING[[#This Row],[MER]]="X",TabellaBLENDING[[#This Row],[GIO]]="X",TabellaBLENDING[[#This Row],[VEN]]="X",),"X","")</f>
        <v/>
      </c>
      <c r="D87" s="109" t="s">
        <v>287</v>
      </c>
      <c r="E87" s="109" t="s">
        <v>1511</v>
      </c>
      <c r="F87" s="109" t="s">
        <v>287</v>
      </c>
      <c r="G87" s="109" t="s">
        <v>1504</v>
      </c>
      <c r="H87" s="111"/>
      <c r="I87" s="111"/>
      <c r="J87" s="111"/>
      <c r="K87" s="111"/>
      <c r="L87" s="111"/>
      <c r="M87" s="109" t="s">
        <v>1258</v>
      </c>
      <c r="N87" s="109"/>
      <c r="O87" s="109"/>
      <c r="P87" s="109"/>
      <c r="Q87" s="109"/>
      <c r="R87" s="110"/>
      <c r="S87" s="110"/>
      <c r="T8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4" t="str">
        <f t="shared" ca="1" si="5"/>
        <v/>
      </c>
      <c r="V87" s="187">
        <v>45930.833333333336</v>
      </c>
    </row>
    <row r="88" spans="1:22" s="19" customFormat="1" ht="30" x14ac:dyDescent="0.2">
      <c r="A88" s="112"/>
      <c r="B88" s="112" t="str">
        <f t="shared" si="6"/>
        <v>X</v>
      </c>
      <c r="C88" s="112" t="str">
        <f>IF(OR(TabellaBLENDING[[#This Row],[LUN]]="X",TabellaBLENDING[[#This Row],[MAR]]="X",TabellaBLENDING[[#This Row],[MER]]="X",TabellaBLENDING[[#This Row],[GIO]]="X",TabellaBLENDING[[#This Row],[VEN]]="X",),"X","")</f>
        <v/>
      </c>
      <c r="D88" s="109" t="s">
        <v>287</v>
      </c>
      <c r="E88" s="109" t="s">
        <v>1533</v>
      </c>
      <c r="F88" s="109" t="s">
        <v>287</v>
      </c>
      <c r="G88" s="109" t="s">
        <v>1541</v>
      </c>
      <c r="H88" s="111"/>
      <c r="I88" s="111"/>
      <c r="J88" s="111"/>
      <c r="K88" s="111"/>
      <c r="L88" s="111"/>
      <c r="M88" s="109" t="s">
        <v>1258</v>
      </c>
      <c r="N88" s="109"/>
      <c r="O88" s="109"/>
      <c r="P88" s="109"/>
      <c r="Q88" s="109"/>
      <c r="R88" s="110"/>
      <c r="S88" s="110"/>
      <c r="T8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4" t="str">
        <f t="shared" ca="1" si="5"/>
        <v/>
      </c>
      <c r="V88" s="187">
        <v>45930.833333333336</v>
      </c>
    </row>
    <row r="89" spans="1:22" s="19" customFormat="1" ht="30" x14ac:dyDescent="0.2">
      <c r="A89" s="112"/>
      <c r="B89" s="112" t="str">
        <f t="shared" si="6"/>
        <v>X</v>
      </c>
      <c r="C89" s="112" t="str">
        <f>IF(OR(TabellaBLENDING[[#This Row],[LUN]]="X",TabellaBLENDING[[#This Row],[MAR]]="X",TabellaBLENDING[[#This Row],[MER]]="X",TabellaBLENDING[[#This Row],[GIO]]="X",TabellaBLENDING[[#This Row],[VEN]]="X",),"X","")</f>
        <v/>
      </c>
      <c r="D89" s="109" t="s">
        <v>287</v>
      </c>
      <c r="E89" s="109" t="s">
        <v>1555</v>
      </c>
      <c r="F89" s="109" t="s">
        <v>287</v>
      </c>
      <c r="G89" s="109" t="s">
        <v>1545</v>
      </c>
      <c r="H89" s="111"/>
      <c r="I89" s="111"/>
      <c r="J89" s="111"/>
      <c r="K89" s="111"/>
      <c r="L89" s="111"/>
      <c r="M89" s="109" t="s">
        <v>1258</v>
      </c>
      <c r="N89" s="109"/>
      <c r="O89" s="109"/>
      <c r="P89" s="109"/>
      <c r="Q89" s="109"/>
      <c r="R89" s="110"/>
      <c r="S89" s="110"/>
      <c r="T8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4" t="str">
        <f t="shared" ca="1" si="5"/>
        <v/>
      </c>
      <c r="V89" s="187">
        <v>45930.833333333336</v>
      </c>
    </row>
    <row r="90" spans="1:22" s="19" customFormat="1" ht="30" x14ac:dyDescent="0.2">
      <c r="A90" s="112"/>
      <c r="B90" s="112" t="str">
        <f t="shared" si="6"/>
        <v>X</v>
      </c>
      <c r="C90" s="112" t="str">
        <f>IF(OR(TabellaBLENDING[[#This Row],[LUN]]="X",TabellaBLENDING[[#This Row],[MAR]]="X",TabellaBLENDING[[#This Row],[MER]]="X",TabellaBLENDING[[#This Row],[GIO]]="X",TabellaBLENDING[[#This Row],[VEN]]="X",),"X","")</f>
        <v/>
      </c>
      <c r="D90" s="109" t="s">
        <v>287</v>
      </c>
      <c r="E90" s="109" t="s">
        <v>1531</v>
      </c>
      <c r="F90" s="109" t="s">
        <v>287</v>
      </c>
      <c r="G90" s="109" t="s">
        <v>1544</v>
      </c>
      <c r="H90" s="111"/>
      <c r="I90" s="111"/>
      <c r="J90" s="111"/>
      <c r="K90" s="111"/>
      <c r="L90" s="111"/>
      <c r="M90" s="109" t="s">
        <v>1258</v>
      </c>
      <c r="N90" s="109"/>
      <c r="O90" s="109"/>
      <c r="P90" s="109"/>
      <c r="Q90" s="109"/>
      <c r="R90" s="110"/>
      <c r="S90" s="110"/>
      <c r="T9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4" t="str">
        <f t="shared" ca="1" si="5"/>
        <v/>
      </c>
      <c r="V90" s="187">
        <v>45930.833333333336</v>
      </c>
    </row>
    <row r="91" spans="1:22" s="19" customFormat="1" ht="23.25" x14ac:dyDescent="0.2">
      <c r="A91" s="112"/>
      <c r="B91" s="112"/>
      <c r="C91" s="112" t="str">
        <f>IF(OR(TabellaBLENDING[[#This Row],[LUN]]="X",TabellaBLENDING[[#This Row],[MAR]]="X",TabellaBLENDING[[#This Row],[MER]]="X",TabellaBLENDING[[#This Row],[GIO]]="X",TabellaBLENDING[[#This Row],[VEN]]="X",),"X","")</f>
        <v/>
      </c>
      <c r="D91" s="109" t="s">
        <v>287</v>
      </c>
      <c r="E91" s="109" t="s">
        <v>2249</v>
      </c>
      <c r="F91" s="109">
        <v>6500</v>
      </c>
      <c r="G91" s="109" t="s">
        <v>2250</v>
      </c>
      <c r="H91" s="111"/>
      <c r="I91" s="111"/>
      <c r="J91" s="111"/>
      <c r="K91" s="111"/>
      <c r="L91" s="111"/>
      <c r="M91" s="109" t="s">
        <v>1258</v>
      </c>
      <c r="N91" s="109"/>
      <c r="O91" s="109"/>
      <c r="P91" s="109"/>
      <c r="Q91" s="109"/>
      <c r="R91" s="110"/>
      <c r="S91" s="110"/>
      <c r="T9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7" t="str">
        <f t="shared" ca="1" si="5"/>
        <v/>
      </c>
      <c r="V91" s="187">
        <v>45930.833333333336</v>
      </c>
    </row>
    <row r="92" spans="1:22" s="19" customFormat="1" ht="23.25" x14ac:dyDescent="0.2">
      <c r="A92" s="112"/>
      <c r="B92" s="112"/>
      <c r="C92" s="112" t="str">
        <f>IF(OR(TabellaBLENDING[[#This Row],[LUN]]="X",TabellaBLENDING[[#This Row],[MAR]]="X",TabellaBLENDING[[#This Row],[MER]]="X",TabellaBLENDING[[#This Row],[GIO]]="X",TabellaBLENDING[[#This Row],[VEN]]="X",),"X","")</f>
        <v/>
      </c>
      <c r="D92" s="109" t="s">
        <v>287</v>
      </c>
      <c r="E92" s="109" t="s">
        <v>2226</v>
      </c>
      <c r="F92" s="109">
        <v>6000</v>
      </c>
      <c r="G92" s="109" t="s">
        <v>2227</v>
      </c>
      <c r="H92" s="111"/>
      <c r="I92" s="111"/>
      <c r="J92" s="111"/>
      <c r="K92" s="111"/>
      <c r="L92" s="111"/>
      <c r="M92" s="109" t="s">
        <v>1258</v>
      </c>
      <c r="N92" s="109"/>
      <c r="O92" s="109"/>
      <c r="P92" s="109"/>
      <c r="Q92" s="109"/>
      <c r="R92" s="110"/>
      <c r="S92" s="110"/>
      <c r="T9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7" t="str">
        <f t="shared" ca="1" si="5"/>
        <v/>
      </c>
      <c r="V92" s="187">
        <v>45930.833333333336</v>
      </c>
    </row>
    <row r="93" spans="1:22" s="19" customFormat="1" ht="30" x14ac:dyDescent="0.2">
      <c r="A93" s="112"/>
      <c r="B93" s="112" t="str">
        <f>IF(OR(A93="x",A93="X"),"",IF(ISBLANK(A93),"X",""))</f>
        <v>X</v>
      </c>
      <c r="C93" s="112" t="str">
        <f>IF(OR(TabellaBLENDING[[#This Row],[LUN]]="X",TabellaBLENDING[[#This Row],[MAR]]="X",TabellaBLENDING[[#This Row],[MER]]="X",TabellaBLENDING[[#This Row],[GIO]]="X",TabellaBLENDING[[#This Row],[VEN]]="X",),"X","")</f>
        <v/>
      </c>
      <c r="D93" s="109" t="s">
        <v>287</v>
      </c>
      <c r="E93" s="109" t="s">
        <v>1513</v>
      </c>
      <c r="F93" s="109" t="s">
        <v>287</v>
      </c>
      <c r="G93" s="109" t="s">
        <v>1506</v>
      </c>
      <c r="H93" s="111"/>
      <c r="I93" s="111"/>
      <c r="J93" s="111"/>
      <c r="K93" s="111"/>
      <c r="L93" s="111"/>
      <c r="M93" s="109" t="s">
        <v>1258</v>
      </c>
      <c r="N93" s="109"/>
      <c r="O93" s="109"/>
      <c r="P93" s="109"/>
      <c r="Q93" s="109"/>
      <c r="R93" s="110"/>
      <c r="S93" s="110"/>
      <c r="T9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4" t="str">
        <f t="shared" ca="1" si="5"/>
        <v/>
      </c>
      <c r="V93" s="187">
        <v>45930.833333333336</v>
      </c>
    </row>
    <row r="94" spans="1:22" s="19" customFormat="1" ht="23.25" x14ac:dyDescent="0.2">
      <c r="A94" s="112"/>
      <c r="B94" s="112"/>
      <c r="C94" s="112" t="str">
        <f>IF(OR(TabellaBLENDING[[#This Row],[LUN]]="X",TabellaBLENDING[[#This Row],[MAR]]="X",TabellaBLENDING[[#This Row],[MER]]="X",TabellaBLENDING[[#This Row],[GIO]]="X",TabellaBLENDING[[#This Row],[VEN]]="X",),"X","")</f>
        <v/>
      </c>
      <c r="D94" s="109" t="s">
        <v>287</v>
      </c>
      <c r="E94" s="109" t="s">
        <v>2239</v>
      </c>
      <c r="F94" s="109">
        <v>6000</v>
      </c>
      <c r="G94" s="109" t="s">
        <v>2240</v>
      </c>
      <c r="H94" s="111"/>
      <c r="I94" s="111"/>
      <c r="J94" s="111"/>
      <c r="K94" s="111"/>
      <c r="L94" s="111"/>
      <c r="M94" s="109" t="s">
        <v>1258</v>
      </c>
      <c r="N94" s="109"/>
      <c r="O94" s="109"/>
      <c r="P94" s="109"/>
      <c r="Q94" s="109"/>
      <c r="R94" s="110"/>
      <c r="S94" s="110"/>
      <c r="T9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7" t="str">
        <f t="shared" ca="1" si="5"/>
        <v/>
      </c>
      <c r="V94" s="187">
        <v>45930.833333333336</v>
      </c>
    </row>
    <row r="95" spans="1:22" s="19" customFormat="1" ht="30" x14ac:dyDescent="0.2">
      <c r="A95" s="112"/>
      <c r="B95" s="112"/>
      <c r="C95" s="112" t="str">
        <f>IF(OR(TabellaBLENDING[[#This Row],[LUN]]="X",TabellaBLENDING[[#This Row],[MAR]]="X",TabellaBLENDING[[#This Row],[MER]]="X",TabellaBLENDING[[#This Row],[GIO]]="X",TabellaBLENDING[[#This Row],[VEN]]="X",),"X","")</f>
        <v/>
      </c>
      <c r="D95" s="109" t="s">
        <v>287</v>
      </c>
      <c r="E95" s="109" t="s">
        <v>2452</v>
      </c>
      <c r="F95" s="109" t="s">
        <v>1595</v>
      </c>
      <c r="G95" s="109" t="s">
        <v>2453</v>
      </c>
      <c r="H95" s="111"/>
      <c r="I95" s="111"/>
      <c r="J95" s="111"/>
      <c r="K95" s="111"/>
      <c r="L95" s="111"/>
      <c r="M95" s="109" t="s">
        <v>1258</v>
      </c>
      <c r="N95" s="109"/>
      <c r="O95" s="109"/>
      <c r="P95" s="109"/>
      <c r="Q95" s="109"/>
      <c r="R95" s="110"/>
      <c r="S95" s="110"/>
      <c r="T9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1"/>
      <c r="V95" s="187">
        <v>45930.833333333336</v>
      </c>
    </row>
    <row r="96" spans="1:22" s="19" customFormat="1" ht="30" x14ac:dyDescent="0.2">
      <c r="A96" s="112"/>
      <c r="B96" s="112"/>
      <c r="C96" s="112" t="str">
        <f>IF(OR(TabellaBLENDING[[#This Row],[LUN]]="X",TabellaBLENDING[[#This Row],[MAR]]="X",TabellaBLENDING[[#This Row],[MER]]="X",TabellaBLENDING[[#This Row],[GIO]]="X",TabellaBLENDING[[#This Row],[VEN]]="X",),"X","")</f>
        <v/>
      </c>
      <c r="D96" s="109" t="s">
        <v>287</v>
      </c>
      <c r="E96" s="109" t="s">
        <v>2450</v>
      </c>
      <c r="F96" s="109" t="s">
        <v>1595</v>
      </c>
      <c r="G96" s="109" t="s">
        <v>2451</v>
      </c>
      <c r="H96" s="111"/>
      <c r="I96" s="111"/>
      <c r="J96" s="111"/>
      <c r="K96" s="111"/>
      <c r="L96" s="111"/>
      <c r="M96" s="109" t="s">
        <v>1258</v>
      </c>
      <c r="N96" s="109"/>
      <c r="O96" s="109"/>
      <c r="P96" s="109"/>
      <c r="Q96" s="109"/>
      <c r="R96" s="110"/>
      <c r="S96" s="110"/>
      <c r="T9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1"/>
      <c r="V96" s="187">
        <v>45930.833333333336</v>
      </c>
    </row>
    <row r="97" spans="1:22" s="19" customFormat="1" ht="23.25" x14ac:dyDescent="0.2">
      <c r="A97" s="112"/>
      <c r="B97" s="112"/>
      <c r="C97" s="112" t="str">
        <f>IF(OR(TabellaBLENDING[[#This Row],[LUN]]="X",TabellaBLENDING[[#This Row],[MAR]]="X",TabellaBLENDING[[#This Row],[MER]]="X",TabellaBLENDING[[#This Row],[GIO]]="X",TabellaBLENDING[[#This Row],[VEN]]="X",),"X","")</f>
        <v/>
      </c>
      <c r="D97" s="109" t="s">
        <v>287</v>
      </c>
      <c r="E97" s="109" t="s">
        <v>2519</v>
      </c>
      <c r="F97" s="109" t="s">
        <v>1595</v>
      </c>
      <c r="G97" s="109" t="s">
        <v>2520</v>
      </c>
      <c r="H97" s="111"/>
      <c r="I97" s="111"/>
      <c r="J97" s="111"/>
      <c r="K97" s="111"/>
      <c r="L97" s="111"/>
      <c r="M97" s="109" t="s">
        <v>1258</v>
      </c>
      <c r="N97" s="109"/>
      <c r="O97" s="109"/>
      <c r="P97" s="109"/>
      <c r="Q97" s="109"/>
      <c r="R97" s="110"/>
      <c r="S97" s="110"/>
      <c r="T9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1"/>
      <c r="V97" s="187">
        <v>45930.833333333336</v>
      </c>
    </row>
    <row r="98" spans="1:22" s="19" customFormat="1" ht="30" x14ac:dyDescent="0.2">
      <c r="A98" s="112"/>
      <c r="B98" s="112" t="str">
        <f>IF(OR(A98="x",A98="X"),"",IF(ISBLANK(A98),"X",""))</f>
        <v>X</v>
      </c>
      <c r="C98" s="112" t="str">
        <f>IF(OR(TabellaBLENDING[[#This Row],[LUN]]="X",TabellaBLENDING[[#This Row],[MAR]]="X",TabellaBLENDING[[#This Row],[MER]]="X",TabellaBLENDING[[#This Row],[GIO]]="X",TabellaBLENDING[[#This Row],[VEN]]="X",),"X","")</f>
        <v/>
      </c>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4" t="str">
        <f ca="1">IFERROR(MID(G98,_xlfn.AGGREGATE(15,6,(ROW(INDIRECT("1:"&amp;LEN(G98)-7)))/(ISNUMBER(--MID(G98,ROW(INDIRECT("1:"&amp;LEN(G98)-7)),8))),1),8),"")</f>
        <v/>
      </c>
      <c r="V98" s="187">
        <v>45930.833333333336</v>
      </c>
    </row>
    <row r="99" spans="1:22" s="19" customFormat="1" ht="30" x14ac:dyDescent="0.2">
      <c r="A99" s="112"/>
      <c r="B99" s="112" t="str">
        <f>IF(OR(A99="x",A99="X"),"",IF(ISBLANK(A99),"X",""))</f>
        <v>X</v>
      </c>
      <c r="C99" s="112" t="str">
        <f>IF(OR(TabellaBLENDING[[#This Row],[LUN]]="X",TabellaBLENDING[[#This Row],[MAR]]="X",TabellaBLENDING[[#This Row],[MER]]="X",TabellaBLENDING[[#This Row],[GIO]]="X",TabellaBLENDING[[#This Row],[VEN]]="X",),"X","")</f>
        <v/>
      </c>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4" t="str">
        <f ca="1">IFERROR(MID(G99,_xlfn.AGGREGATE(15,6,(ROW(INDIRECT("1:"&amp;LEN(G99)-7)))/(ISNUMBER(--MID(G99,ROW(INDIRECT("1:"&amp;LEN(G99)-7)),8))),1),8),"")</f>
        <v/>
      </c>
      <c r="V99" s="187">
        <v>45930.833333333336</v>
      </c>
    </row>
    <row r="100" spans="1:22" s="19" customFormat="1" ht="23.25" x14ac:dyDescent="0.2">
      <c r="A100" s="112"/>
      <c r="B100" s="112"/>
      <c r="C100" s="112" t="str">
        <f>IF(OR(TabellaBLENDING[[#This Row],[LUN]]="X",TabellaBLENDING[[#This Row],[MAR]]="X",TabellaBLENDING[[#This Row],[MER]]="X",TabellaBLENDING[[#This Row],[GIO]]="X",TabellaBLENDING[[#This Row],[VEN]]="X",),"X","")</f>
        <v/>
      </c>
      <c r="D100" s="109" t="s">
        <v>287</v>
      </c>
      <c r="E100" s="109" t="s">
        <v>2774</v>
      </c>
      <c r="F100" s="109">
        <v>7000</v>
      </c>
      <c r="G100" s="109" t="s">
        <v>478</v>
      </c>
      <c r="H100" s="111"/>
      <c r="I100" s="111"/>
      <c r="J100" s="111"/>
      <c r="K100" s="111"/>
      <c r="L100" s="111"/>
      <c r="M100" s="109" t="s">
        <v>1258</v>
      </c>
      <c r="N100" s="109"/>
      <c r="O100" s="109"/>
      <c r="P100" s="109"/>
      <c r="Q100" s="109"/>
      <c r="R100" s="110"/>
      <c r="S100" s="110"/>
      <c r="T10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1"/>
      <c r="V100" s="187">
        <v>45930.833333333336</v>
      </c>
    </row>
    <row r="101" spans="1:22" s="19" customFormat="1" ht="30" x14ac:dyDescent="0.2">
      <c r="A101" s="112"/>
      <c r="B101" s="112"/>
      <c r="C101" s="112" t="str">
        <f>IF(OR(TabellaBLENDING[[#This Row],[LUN]]="X",TabellaBLENDING[[#This Row],[MAR]]="X",TabellaBLENDING[[#This Row],[MER]]="X",TabellaBLENDING[[#This Row],[GIO]]="X",TabellaBLENDING[[#This Row],[VEN]]="X",),"X","")</f>
        <v/>
      </c>
      <c r="D101" s="109" t="s">
        <v>287</v>
      </c>
      <c r="E101" s="109" t="s">
        <v>2777</v>
      </c>
      <c r="F101" s="109">
        <v>7000</v>
      </c>
      <c r="G101" s="109" t="s">
        <v>2778</v>
      </c>
      <c r="H101" s="111"/>
      <c r="I101" s="111"/>
      <c r="J101" s="111"/>
      <c r="K101" s="111"/>
      <c r="L101" s="111"/>
      <c r="M101" s="109" t="s">
        <v>1258</v>
      </c>
      <c r="N101" s="109"/>
      <c r="O101" s="109"/>
      <c r="P101" s="109"/>
      <c r="Q101" s="109"/>
      <c r="R101" s="110"/>
      <c r="S101" s="110"/>
      <c r="T10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1"/>
      <c r="V101" s="187">
        <v>45930.833333333336</v>
      </c>
    </row>
    <row r="102" spans="1:22" s="19" customFormat="1" ht="23.25" x14ac:dyDescent="0.2">
      <c r="A102" s="112"/>
      <c r="B102" s="112"/>
      <c r="C102" s="112" t="str">
        <f>IF(OR(TabellaBLENDING[[#This Row],[LUN]]="X",TabellaBLENDING[[#This Row],[MAR]]="X",TabellaBLENDING[[#This Row],[MER]]="X",TabellaBLENDING[[#This Row],[GIO]]="X",TabellaBLENDING[[#This Row],[VEN]]="X",),"X","")</f>
        <v/>
      </c>
      <c r="D102" s="109" t="s">
        <v>287</v>
      </c>
      <c r="E102" s="109" t="s">
        <v>2782</v>
      </c>
      <c r="F102" s="109">
        <v>1300</v>
      </c>
      <c r="G102" s="109" t="s">
        <v>2783</v>
      </c>
      <c r="H102" s="111"/>
      <c r="I102" s="111"/>
      <c r="J102" s="111"/>
      <c r="K102" s="111"/>
      <c r="L102" s="111"/>
      <c r="M102" s="109" t="s">
        <v>1258</v>
      </c>
      <c r="N102" s="109"/>
      <c r="O102" s="109"/>
      <c r="P102" s="109"/>
      <c r="Q102" s="109"/>
      <c r="R102" s="110">
        <v>45903</v>
      </c>
      <c r="S102" s="110" t="s">
        <v>206</v>
      </c>
      <c r="T10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1"/>
      <c r="V102" s="187">
        <v>45930.833333333336</v>
      </c>
    </row>
    <row r="103" spans="1:22" s="19" customFormat="1" ht="30" x14ac:dyDescent="0.2">
      <c r="A103" s="112"/>
      <c r="B103" s="112"/>
      <c r="C103" s="112" t="str">
        <f>IF(OR(TabellaBLENDING[[#This Row],[LUN]]="X",TabellaBLENDING[[#This Row],[MAR]]="X",TabellaBLENDING[[#This Row],[MER]]="X",TabellaBLENDING[[#This Row],[GIO]]="X",TabellaBLENDING[[#This Row],[VEN]]="X",),"X","")</f>
        <v/>
      </c>
      <c r="D103" s="109" t="s">
        <v>287</v>
      </c>
      <c r="E103" s="109" t="s">
        <v>2804</v>
      </c>
      <c r="F103" s="109">
        <v>7000</v>
      </c>
      <c r="G103" s="109" t="s">
        <v>2805</v>
      </c>
      <c r="H103" s="111"/>
      <c r="I103" s="111"/>
      <c r="J103" s="111"/>
      <c r="K103" s="111"/>
      <c r="L103" s="111"/>
      <c r="M103" s="109" t="s">
        <v>1258</v>
      </c>
      <c r="N103" s="109"/>
      <c r="O103" s="109"/>
      <c r="P103" s="109"/>
      <c r="Q103" s="109"/>
      <c r="R103" s="110"/>
      <c r="S103" s="110"/>
      <c r="T10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1"/>
      <c r="V103" s="187">
        <v>45930.833333333336</v>
      </c>
    </row>
    <row r="104" spans="1:22" s="19" customFormat="1" ht="30" x14ac:dyDescent="0.2">
      <c r="A104" s="112"/>
      <c r="B104" s="112"/>
      <c r="C104" s="112" t="str">
        <f>IF(OR(TabellaBLENDING[[#This Row],[LUN]]="X",TabellaBLENDING[[#This Row],[MAR]]="X",TabellaBLENDING[[#This Row],[MER]]="X",TabellaBLENDING[[#This Row],[GIO]]="X",TabellaBLENDING[[#This Row],[VEN]]="X",),"X","")</f>
        <v/>
      </c>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1"/>
      <c r="V104" s="187">
        <v>45930.833333333336</v>
      </c>
    </row>
    <row r="105" spans="1:22" s="19" customFormat="1" ht="30" x14ac:dyDescent="0.2">
      <c r="A105" s="112"/>
      <c r="B105" s="112"/>
      <c r="C105" s="112" t="str">
        <f>IF(OR(TabellaBLENDING[[#This Row],[LUN]]="X",TabellaBLENDING[[#This Row],[MAR]]="X",TabellaBLENDING[[#This Row],[MER]]="X",TabellaBLENDING[[#This Row],[GIO]]="X",TabellaBLENDING[[#This Row],[VEN]]="X",),"X","")</f>
        <v/>
      </c>
      <c r="D105" s="109" t="s">
        <v>287</v>
      </c>
      <c r="E105" s="109" t="s">
        <v>2823</v>
      </c>
      <c r="F105" s="109">
        <v>7000</v>
      </c>
      <c r="G105" s="109" t="s">
        <v>2824</v>
      </c>
      <c r="H105" s="111"/>
      <c r="I105" s="111"/>
      <c r="J105" s="111"/>
      <c r="K105" s="111"/>
      <c r="L105" s="111"/>
      <c r="M105" s="109" t="s">
        <v>1258</v>
      </c>
      <c r="N105" s="109"/>
      <c r="O105" s="109"/>
      <c r="P105" s="109"/>
      <c r="Q105" s="109"/>
      <c r="R105" s="110"/>
      <c r="S105" s="110"/>
      <c r="T10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1"/>
      <c r="V105" s="187">
        <v>45930.833333333336</v>
      </c>
    </row>
    <row r="106" spans="1:22" s="19" customFormat="1" ht="23.25" x14ac:dyDescent="0.2">
      <c r="A106" s="112"/>
      <c r="B106" s="112"/>
      <c r="C106" s="112" t="str">
        <f>IF(OR(TabellaBLENDING[[#This Row],[LUN]]="X",TabellaBLENDING[[#This Row],[MAR]]="X",TabellaBLENDING[[#This Row],[MER]]="X",TabellaBLENDING[[#This Row],[GIO]]="X",TabellaBLENDING[[#This Row],[VEN]]="X",),"X","")</f>
        <v/>
      </c>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1"/>
      <c r="V106" s="187">
        <v>45930.833333333336</v>
      </c>
    </row>
    <row r="107" spans="1:22" s="19" customFormat="1" ht="30" x14ac:dyDescent="0.2">
      <c r="A107" s="112"/>
      <c r="B107" s="112"/>
      <c r="C107" s="112" t="str">
        <f>IF(OR(TabellaBLENDING[[#This Row],[LUN]]="X",TabellaBLENDING[[#This Row],[MAR]]="X",TabellaBLENDING[[#This Row],[MER]]="X",TabellaBLENDING[[#This Row],[GIO]]="X",TabellaBLENDING[[#This Row],[VEN]]="X",),"X","")</f>
        <v/>
      </c>
      <c r="D107" s="109" t="s">
        <v>287</v>
      </c>
      <c r="E107" s="109" t="s">
        <v>2835</v>
      </c>
      <c r="F107" s="109" t="s">
        <v>1595</v>
      </c>
      <c r="G107" s="109" t="s">
        <v>2836</v>
      </c>
      <c r="H107" s="111"/>
      <c r="I107" s="111"/>
      <c r="J107" s="111"/>
      <c r="K107" s="111"/>
      <c r="L107" s="111"/>
      <c r="M107" s="109" t="s">
        <v>1258</v>
      </c>
      <c r="N107" s="109"/>
      <c r="O107" s="109"/>
      <c r="P107" s="109"/>
      <c r="Q107" s="109"/>
      <c r="R107" s="110"/>
      <c r="S107" s="110"/>
      <c r="T10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1"/>
      <c r="V107" s="187">
        <v>45930.833333333336</v>
      </c>
    </row>
    <row r="108" spans="1:22" s="19" customFormat="1" ht="23.25" x14ac:dyDescent="0.2">
      <c r="A108" s="112"/>
      <c r="B108" s="112"/>
      <c r="C108" s="112" t="str">
        <f>IF(OR(TabellaBLENDING[[#This Row],[LUN]]="X",TabellaBLENDING[[#This Row],[MAR]]="X",TabellaBLENDING[[#This Row],[MER]]="X",TabellaBLENDING[[#This Row],[GIO]]="X",TabellaBLENDING[[#This Row],[VEN]]="X",),"X","")</f>
        <v/>
      </c>
      <c r="D108" s="109" t="s">
        <v>287</v>
      </c>
      <c r="E108" s="109" t="s">
        <v>2872</v>
      </c>
      <c r="F108" s="109">
        <v>6500</v>
      </c>
      <c r="G108" s="109" t="s">
        <v>2873</v>
      </c>
      <c r="H108" s="111"/>
      <c r="I108" s="111"/>
      <c r="J108" s="111"/>
      <c r="K108" s="111"/>
      <c r="L108" s="111"/>
      <c r="M108" s="109" t="s">
        <v>1258</v>
      </c>
      <c r="N108" s="109"/>
      <c r="O108" s="109"/>
      <c r="P108" s="109"/>
      <c r="Q108" s="109"/>
      <c r="R108" s="110"/>
      <c r="S108" s="110"/>
      <c r="T10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1"/>
      <c r="V108" s="187">
        <v>45930.833333333336</v>
      </c>
    </row>
    <row r="109" spans="1:22" s="19" customFormat="1" ht="75" x14ac:dyDescent="0.2">
      <c r="A109" s="112"/>
      <c r="B109" s="112"/>
      <c r="C109" s="112" t="str">
        <f>IF(OR(TabellaBLENDING[[#This Row],[LUN]]="X",TabellaBLENDING[[#This Row],[MAR]]="X",TabellaBLENDING[[#This Row],[MER]]="X",TabellaBLENDING[[#This Row],[GIO]]="X",TabellaBLENDING[[#This Row],[VEN]]="X",),"X","")</f>
        <v/>
      </c>
      <c r="D109" s="109" t="s">
        <v>287</v>
      </c>
      <c r="E109" s="109" t="s">
        <v>2972</v>
      </c>
      <c r="F109" s="109" t="s">
        <v>1595</v>
      </c>
      <c r="G109" s="109" t="s">
        <v>2973</v>
      </c>
      <c r="H109" s="111"/>
      <c r="I109" s="111"/>
      <c r="J109" s="111"/>
      <c r="K109" s="111"/>
      <c r="L109" s="111"/>
      <c r="M109" s="109" t="s">
        <v>1258</v>
      </c>
      <c r="N109" s="109"/>
      <c r="O109" s="109"/>
      <c r="P109" s="109"/>
      <c r="Q109" s="109" t="s">
        <v>2992</v>
      </c>
      <c r="R109" s="110">
        <v>45917</v>
      </c>
      <c r="S109" s="110" t="s">
        <v>206</v>
      </c>
      <c r="T10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1"/>
      <c r="V109" s="187">
        <v>45930.833333333336</v>
      </c>
    </row>
    <row r="110" spans="1:22" s="19" customFormat="1" ht="23.25" x14ac:dyDescent="0.2">
      <c r="A110" s="112"/>
      <c r="B110" s="112"/>
      <c r="C110" s="112" t="str">
        <f>IF(OR(TabellaBLENDING[[#This Row],[LUN]]="X",TabellaBLENDING[[#This Row],[MAR]]="X",TabellaBLENDING[[#This Row],[MER]]="X",TabellaBLENDING[[#This Row],[GIO]]="X",TabellaBLENDING[[#This Row],[VEN]]="X",),"X","")</f>
        <v/>
      </c>
      <c r="D110" s="109" t="s">
        <v>287</v>
      </c>
      <c r="E110" s="109" t="s">
        <v>2995</v>
      </c>
      <c r="F110" s="109">
        <v>6500</v>
      </c>
      <c r="G110" s="109" t="s">
        <v>2996</v>
      </c>
      <c r="H110" s="111"/>
      <c r="I110" s="111"/>
      <c r="J110" s="111"/>
      <c r="K110" s="111"/>
      <c r="L110" s="111"/>
      <c r="M110" s="109" t="s">
        <v>1258</v>
      </c>
      <c r="N110" s="109"/>
      <c r="O110" s="109"/>
      <c r="P110" s="109"/>
      <c r="Q110" s="109" t="s">
        <v>3016</v>
      </c>
      <c r="R110" s="110">
        <v>45918</v>
      </c>
      <c r="S110" s="110" t="s">
        <v>206</v>
      </c>
      <c r="T1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1"/>
      <c r="V110" s="187">
        <v>45930.833333333336</v>
      </c>
    </row>
    <row r="111" spans="1:22" s="19" customFormat="1" ht="30" x14ac:dyDescent="0.2">
      <c r="A111" s="112"/>
      <c r="B111" s="112"/>
      <c r="C111" s="112" t="str">
        <f>IF(OR(TabellaBLENDING[[#This Row],[LUN]]="X",TabellaBLENDING[[#This Row],[MAR]]="X",TabellaBLENDING[[#This Row],[MER]]="X",TabellaBLENDING[[#This Row],[GIO]]="X",TabellaBLENDING[[#This Row],[VEN]]="X",),"X","")</f>
        <v/>
      </c>
      <c r="D111" s="109" t="s">
        <v>287</v>
      </c>
      <c r="E111" s="109" t="s">
        <v>2876</v>
      </c>
      <c r="F111" s="109">
        <v>6500</v>
      </c>
      <c r="G111" s="109" t="s">
        <v>2877</v>
      </c>
      <c r="H111" s="111"/>
      <c r="I111" s="111"/>
      <c r="J111" s="111"/>
      <c r="K111" s="111"/>
      <c r="L111" s="111"/>
      <c r="M111" s="109" t="s">
        <v>1258</v>
      </c>
      <c r="N111" s="109"/>
      <c r="O111" s="109"/>
      <c r="P111" s="109"/>
      <c r="Q111" s="109" t="s">
        <v>3012</v>
      </c>
      <c r="R111" s="110">
        <v>45918</v>
      </c>
      <c r="S111" s="110" t="s">
        <v>206</v>
      </c>
      <c r="T11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1"/>
      <c r="V111" s="187">
        <v>45930.833333333336</v>
      </c>
    </row>
    <row r="112" spans="1:22" s="19" customFormat="1" ht="23.25" x14ac:dyDescent="0.2">
      <c r="A112" s="112"/>
      <c r="B112" s="112"/>
      <c r="C112" s="112" t="str">
        <f>IF(OR(TabellaBLENDING[[#This Row],[LUN]]="X",TabellaBLENDING[[#This Row],[MAR]]="X",TabellaBLENDING[[#This Row],[MER]]="X",TabellaBLENDING[[#This Row],[GIO]]="X",TabellaBLENDING[[#This Row],[VEN]]="X",),"X","")</f>
        <v/>
      </c>
      <c r="D112" s="109" t="s">
        <v>287</v>
      </c>
      <c r="E112" s="109" t="s">
        <v>3008</v>
      </c>
      <c r="F112" s="109">
        <v>6500</v>
      </c>
      <c r="G112" s="109" t="s">
        <v>3009</v>
      </c>
      <c r="H112" s="111"/>
      <c r="I112" s="111"/>
      <c r="J112" s="111"/>
      <c r="K112" s="111"/>
      <c r="L112" s="111"/>
      <c r="M112" s="109" t="s">
        <v>1258</v>
      </c>
      <c r="N112" s="109"/>
      <c r="O112" s="109"/>
      <c r="P112" s="109"/>
      <c r="Q112" s="109" t="s">
        <v>3035</v>
      </c>
      <c r="R112" s="110">
        <v>45919</v>
      </c>
      <c r="S112" s="110" t="s">
        <v>206</v>
      </c>
      <c r="T11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1"/>
      <c r="V112" s="187">
        <v>45930.833333333336</v>
      </c>
    </row>
    <row r="113" spans="1:22" s="19" customFormat="1" ht="23.25" x14ac:dyDescent="0.2">
      <c r="A113" s="112"/>
      <c r="B113" s="112"/>
      <c r="C113" s="112" t="str">
        <f>IF(OR(TabellaBLENDING[[#This Row],[LUN]]="X",TabellaBLENDING[[#This Row],[MAR]]="X",TabellaBLENDING[[#This Row],[MER]]="X",TabellaBLENDING[[#This Row],[GIO]]="X",TabellaBLENDING[[#This Row],[VEN]]="X",),"X","")</f>
        <v/>
      </c>
      <c r="D113" s="109" t="s">
        <v>287</v>
      </c>
      <c r="E113" s="109" t="s">
        <v>3006</v>
      </c>
      <c r="F113" s="109" t="s">
        <v>1595</v>
      </c>
      <c r="G113" s="109" t="s">
        <v>3007</v>
      </c>
      <c r="H113" s="111"/>
      <c r="I113" s="111"/>
      <c r="J113" s="111"/>
      <c r="K113" s="111"/>
      <c r="L113" s="111"/>
      <c r="M113" s="109" t="s">
        <v>1258</v>
      </c>
      <c r="N113" s="109"/>
      <c r="O113" s="109"/>
      <c r="P113" s="109"/>
      <c r="Q113" s="109" t="s">
        <v>3038</v>
      </c>
      <c r="R113" s="110">
        <v>45922</v>
      </c>
      <c r="S113" s="110" t="s">
        <v>206</v>
      </c>
      <c r="T11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1"/>
      <c r="V113" s="187">
        <v>45930.833333333336</v>
      </c>
    </row>
    <row r="114" spans="1:22" s="19" customFormat="1" ht="23.25" x14ac:dyDescent="0.2">
      <c r="A114" s="112"/>
      <c r="B114" s="112"/>
      <c r="C114" s="112" t="str">
        <f>IF(OR(TabellaBLENDING[[#This Row],[LUN]]="X",TabellaBLENDING[[#This Row],[MAR]]="X",TabellaBLENDING[[#This Row],[MER]]="X",TabellaBLENDING[[#This Row],[GIO]]="X",TabellaBLENDING[[#This Row],[VEN]]="X",),"X","")</f>
        <v/>
      </c>
      <c r="D114" s="109" t="s">
        <v>287</v>
      </c>
      <c r="E114" s="109" t="s">
        <v>3021</v>
      </c>
      <c r="F114" s="109" t="s">
        <v>1595</v>
      </c>
      <c r="G114" s="109" t="s">
        <v>3022</v>
      </c>
      <c r="H114" s="111"/>
      <c r="I114" s="111"/>
      <c r="J114" s="111"/>
      <c r="K114" s="111"/>
      <c r="L114" s="111"/>
      <c r="M114" s="109" t="s">
        <v>1258</v>
      </c>
      <c r="N114" s="109"/>
      <c r="O114" s="109"/>
      <c r="P114" s="109"/>
      <c r="Q114" s="109" t="s">
        <v>3039</v>
      </c>
      <c r="R114" s="110">
        <v>45922</v>
      </c>
      <c r="S114" s="110" t="s">
        <v>206</v>
      </c>
      <c r="T11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1"/>
      <c r="V114" s="187">
        <v>45930.833333333336</v>
      </c>
    </row>
    <row r="115" spans="1:22" s="19" customFormat="1" ht="23.25" x14ac:dyDescent="0.2">
      <c r="A115" s="112"/>
      <c r="B115" s="112"/>
      <c r="C115" s="112" t="str">
        <f>IF(OR(TabellaBLENDING[[#This Row],[LUN]]="X",TabellaBLENDING[[#This Row],[MAR]]="X",TabellaBLENDING[[#This Row],[MER]]="X",TabellaBLENDING[[#This Row],[GIO]]="X",TabellaBLENDING[[#This Row],[VEN]]="X",),"X","")</f>
        <v>X</v>
      </c>
      <c r="D115" s="109" t="s">
        <v>287</v>
      </c>
      <c r="E115" s="109" t="s">
        <v>3138</v>
      </c>
      <c r="F115" s="109">
        <v>6200</v>
      </c>
      <c r="G115" s="109" t="s">
        <v>3139</v>
      </c>
      <c r="H115" s="111"/>
      <c r="I115" s="111" t="s">
        <v>23</v>
      </c>
      <c r="J115" s="111" t="s">
        <v>23</v>
      </c>
      <c r="K115" s="111"/>
      <c r="L115" s="111"/>
      <c r="M115" s="109" t="s">
        <v>1036</v>
      </c>
      <c r="N115" s="109"/>
      <c r="O115" s="109"/>
      <c r="P115" s="109"/>
      <c r="Q115" s="109"/>
      <c r="R115" s="110"/>
      <c r="S115" s="110"/>
      <c r="T11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5" s="151"/>
      <c r="V115" s="187">
        <v>45930.833333333336</v>
      </c>
    </row>
    <row r="116" spans="1:22" s="19" customFormat="1" ht="23.25" x14ac:dyDescent="0.2">
      <c r="A116" s="112"/>
      <c r="B116" s="112"/>
      <c r="C116" s="112" t="str">
        <f>IF(OR(TabellaBLENDING[[#This Row],[LUN]]="X",TabellaBLENDING[[#This Row],[MAR]]="X",TabellaBLENDING[[#This Row],[MER]]="X",TabellaBLENDING[[#This Row],[GIO]]="X",TabellaBLENDING[[#This Row],[VEN]]="X",),"X","")</f>
        <v>X</v>
      </c>
      <c r="D116" s="109" t="s">
        <v>287</v>
      </c>
      <c r="E116" s="109" t="s">
        <v>3056</v>
      </c>
      <c r="F116" s="109">
        <v>6500</v>
      </c>
      <c r="G116" s="109" t="s">
        <v>3057</v>
      </c>
      <c r="H116" s="111"/>
      <c r="I116" s="111" t="s">
        <v>23</v>
      </c>
      <c r="J116" s="111"/>
      <c r="K116" s="111"/>
      <c r="L116" s="111"/>
      <c r="M116" s="109" t="s">
        <v>1036</v>
      </c>
      <c r="N116" s="109"/>
      <c r="O116" s="109"/>
      <c r="P116" s="109"/>
      <c r="Q116" s="109"/>
      <c r="R116" s="110"/>
      <c r="S116" s="110"/>
      <c r="T11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6" s="151"/>
      <c r="V116" s="187">
        <v>45930.833333333336</v>
      </c>
    </row>
    <row r="117" spans="1:22" s="19" customFormat="1" ht="23.25" x14ac:dyDescent="0.2">
      <c r="A117" s="112"/>
      <c r="B117" s="112"/>
      <c r="C117" s="112" t="str">
        <f>IF(OR(TabellaBLENDING[[#This Row],[LUN]]="X",TabellaBLENDING[[#This Row],[MAR]]="X",TabellaBLENDING[[#This Row],[MER]]="X",TabellaBLENDING[[#This Row],[GIO]]="X",TabellaBLENDING[[#This Row],[VEN]]="X",),"X","")</f>
        <v>X</v>
      </c>
      <c r="D117" s="109" t="s">
        <v>287</v>
      </c>
      <c r="E117" s="109" t="s">
        <v>3058</v>
      </c>
      <c r="F117" s="109" t="s">
        <v>1595</v>
      </c>
      <c r="G117" s="109" t="s">
        <v>3059</v>
      </c>
      <c r="H117" s="111"/>
      <c r="I117" s="111" t="s">
        <v>23</v>
      </c>
      <c r="J117" s="111"/>
      <c r="K117" s="111"/>
      <c r="L117" s="111"/>
      <c r="M117" s="109" t="s">
        <v>1036</v>
      </c>
      <c r="N117" s="109"/>
      <c r="O117" s="109"/>
      <c r="P117" s="109"/>
      <c r="Q117" s="109"/>
      <c r="R117" s="110"/>
      <c r="S117" s="110"/>
      <c r="T11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7" s="151"/>
      <c r="V117" s="187">
        <v>45930.833333333336</v>
      </c>
    </row>
    <row r="118" spans="1:22" s="19" customFormat="1" ht="23.25" x14ac:dyDescent="0.2">
      <c r="A118" s="112"/>
      <c r="B118" s="112"/>
      <c r="C118" s="112" t="str">
        <f>IF(OR(TabellaBLENDING[[#This Row],[LUN]]="X",TabellaBLENDING[[#This Row],[MAR]]="X",TabellaBLENDING[[#This Row],[MER]]="X",TabellaBLENDING[[#This Row],[GIO]]="X",TabellaBLENDING[[#This Row],[VEN]]="X",),"X","")</f>
        <v/>
      </c>
      <c r="D118" s="109" t="s">
        <v>287</v>
      </c>
      <c r="E118" s="109" t="s">
        <v>2711</v>
      </c>
      <c r="F118" s="109">
        <v>6500</v>
      </c>
      <c r="G118" s="109" t="s">
        <v>2712</v>
      </c>
      <c r="H118" s="111"/>
      <c r="I118" s="111"/>
      <c r="J118" s="111"/>
      <c r="K118" s="111"/>
      <c r="L118" s="111"/>
      <c r="M118" s="109" t="s">
        <v>1036</v>
      </c>
      <c r="N118" s="109"/>
      <c r="O118" s="109"/>
      <c r="P118" s="109"/>
      <c r="Q118" s="109"/>
      <c r="R118" s="110">
        <v>45895</v>
      </c>
      <c r="S118" s="110" t="s">
        <v>206</v>
      </c>
      <c r="T11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1"/>
      <c r="V118" s="187">
        <v>45930.833333333336</v>
      </c>
    </row>
    <row r="119" spans="1:22" s="19" customFormat="1" ht="23.25" x14ac:dyDescent="0.2">
      <c r="A119" s="112"/>
      <c r="B119" s="112"/>
      <c r="C119" s="112" t="str">
        <f>IF(OR(TabellaBLENDING[[#This Row],[LUN]]="X",TabellaBLENDING[[#This Row],[MAR]]="X",TabellaBLENDING[[#This Row],[MER]]="X",TabellaBLENDING[[#This Row],[GIO]]="X",TabellaBLENDING[[#This Row],[VEN]]="X",),"X","")</f>
        <v/>
      </c>
      <c r="D119" s="109" t="s">
        <v>287</v>
      </c>
      <c r="E119" s="109" t="s">
        <v>2598</v>
      </c>
      <c r="F119" s="109" t="s">
        <v>1703</v>
      </c>
      <c r="G119" s="109" t="s">
        <v>2599</v>
      </c>
      <c r="H119" s="111"/>
      <c r="I119" s="111"/>
      <c r="J119" s="111"/>
      <c r="K119" s="111"/>
      <c r="L119" s="111"/>
      <c r="M119" s="109" t="s">
        <v>1036</v>
      </c>
      <c r="N119" s="109"/>
      <c r="O119" s="109"/>
      <c r="P119" s="109"/>
      <c r="Q119" s="109"/>
      <c r="R119" s="110"/>
      <c r="S119" s="110"/>
      <c r="T11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1"/>
      <c r="V119" s="187">
        <v>45930.833333333336</v>
      </c>
    </row>
    <row r="120" spans="1:22" s="19" customFormat="1" ht="23.25" x14ac:dyDescent="0.2">
      <c r="A120" s="112"/>
      <c r="B120" s="112"/>
      <c r="C120" s="112" t="str">
        <f>IF(OR(TabellaBLENDING[[#This Row],[LUN]]="X",TabellaBLENDING[[#This Row],[MAR]]="X",TabellaBLENDING[[#This Row],[MER]]="X",TabellaBLENDING[[#This Row],[GIO]]="X",TabellaBLENDING[[#This Row],[VEN]]="X",),"X","")</f>
        <v/>
      </c>
      <c r="D120" s="109" t="s">
        <v>287</v>
      </c>
      <c r="E120" s="109" t="s">
        <v>2578</v>
      </c>
      <c r="F120" s="109">
        <v>6500</v>
      </c>
      <c r="G120" s="109" t="s">
        <v>2579</v>
      </c>
      <c r="H120" s="111"/>
      <c r="I120" s="111"/>
      <c r="J120" s="111"/>
      <c r="K120" s="111"/>
      <c r="L120" s="111"/>
      <c r="M120" s="109" t="s">
        <v>1036</v>
      </c>
      <c r="N120" s="109"/>
      <c r="O120" s="109"/>
      <c r="P120" s="109"/>
      <c r="Q120" s="109"/>
      <c r="R120" s="110"/>
      <c r="S120" s="110"/>
      <c r="T12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1"/>
      <c r="V120" s="187">
        <v>45930.833333333336</v>
      </c>
    </row>
    <row r="121" spans="1:22" s="19" customFormat="1" ht="23.25" x14ac:dyDescent="0.2">
      <c r="A121" s="112"/>
      <c r="B121" s="112"/>
      <c r="C121" s="112" t="str">
        <f>IF(OR(TabellaBLENDING[[#This Row],[LUN]]="X",TabellaBLENDING[[#This Row],[MAR]]="X",TabellaBLENDING[[#This Row],[MER]]="X",TabellaBLENDING[[#This Row],[GIO]]="X",TabellaBLENDING[[#This Row],[VEN]]="X",),"X","")</f>
        <v/>
      </c>
      <c r="D121" s="109" t="s">
        <v>287</v>
      </c>
      <c r="E121" s="109" t="s">
        <v>2566</v>
      </c>
      <c r="F121" s="109" t="s">
        <v>1703</v>
      </c>
      <c r="G121" s="109" t="s">
        <v>2567</v>
      </c>
      <c r="H121" s="111"/>
      <c r="I121" s="111"/>
      <c r="J121" s="111"/>
      <c r="K121" s="111"/>
      <c r="L121" s="111"/>
      <c r="M121" s="109" t="s">
        <v>1036</v>
      </c>
      <c r="N121" s="109"/>
      <c r="O121" s="109"/>
      <c r="P121" s="109"/>
      <c r="Q121" s="109"/>
      <c r="R121" s="110"/>
      <c r="S121" s="110"/>
      <c r="T12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1"/>
      <c r="V121" s="187">
        <v>45930.833333333336</v>
      </c>
    </row>
    <row r="122" spans="1:22" s="19" customFormat="1" ht="23.25" x14ac:dyDescent="0.2">
      <c r="A122" s="112"/>
      <c r="B122" s="112"/>
      <c r="C122" s="112" t="str">
        <f>IF(OR(TabellaBLENDING[[#This Row],[LUN]]="X",TabellaBLENDING[[#This Row],[MAR]]="X",TabellaBLENDING[[#This Row],[MER]]="X",TabellaBLENDING[[#This Row],[GIO]]="X",TabellaBLENDING[[#This Row],[VEN]]="X",),"X","")</f>
        <v/>
      </c>
      <c r="D122" s="109" t="s">
        <v>287</v>
      </c>
      <c r="E122" s="109" t="s">
        <v>2553</v>
      </c>
      <c r="F122" s="109" t="s">
        <v>1703</v>
      </c>
      <c r="G122" s="109" t="s">
        <v>2554</v>
      </c>
      <c r="H122" s="111"/>
      <c r="I122" s="111"/>
      <c r="J122" s="111"/>
      <c r="K122" s="111"/>
      <c r="L122" s="111"/>
      <c r="M122" s="109" t="s">
        <v>1036</v>
      </c>
      <c r="N122" s="109"/>
      <c r="O122" s="109"/>
      <c r="P122" s="109"/>
      <c r="Q122" s="109"/>
      <c r="R122" s="110"/>
      <c r="S122" s="110"/>
      <c r="T12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1"/>
      <c r="V122" s="187">
        <v>45930.833333333336</v>
      </c>
    </row>
    <row r="123" spans="1:22" s="19" customFormat="1" ht="23.25" x14ac:dyDescent="0.2">
      <c r="A123" s="112"/>
      <c r="B123" s="112"/>
      <c r="C123" s="112" t="str">
        <f>IF(OR(TabellaBLENDING[[#This Row],[LUN]]="X",TabellaBLENDING[[#This Row],[MAR]]="X",TabellaBLENDING[[#This Row],[MER]]="X",TabellaBLENDING[[#This Row],[GIO]]="X",TabellaBLENDING[[#This Row],[VEN]]="X",),"X","")</f>
        <v/>
      </c>
      <c r="D123" s="109" t="s">
        <v>287</v>
      </c>
      <c r="E123" s="109" t="s">
        <v>2542</v>
      </c>
      <c r="F123" s="109" t="s">
        <v>1703</v>
      </c>
      <c r="G123" s="109" t="s">
        <v>2543</v>
      </c>
      <c r="H123" s="111"/>
      <c r="I123" s="111"/>
      <c r="J123" s="111"/>
      <c r="K123" s="111"/>
      <c r="L123" s="111"/>
      <c r="M123" s="109" t="s">
        <v>1036</v>
      </c>
      <c r="N123" s="109"/>
      <c r="O123" s="109"/>
      <c r="P123" s="109"/>
      <c r="Q123" s="109"/>
      <c r="R123" s="110"/>
      <c r="S123" s="110"/>
      <c r="T12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1"/>
      <c r="V123" s="187">
        <v>45930.833333333336</v>
      </c>
    </row>
    <row r="124" spans="1:22" s="19" customFormat="1" ht="30" x14ac:dyDescent="0.2">
      <c r="A124" s="112"/>
      <c r="B124" s="112"/>
      <c r="C124" s="112" t="str">
        <f>IF(OR(TabellaBLENDING[[#This Row],[LUN]]="X",TabellaBLENDING[[#This Row],[MAR]]="X",TabellaBLENDING[[#This Row],[MER]]="X",TabellaBLENDING[[#This Row],[GIO]]="X",TabellaBLENDING[[#This Row],[VEN]]="X",),"X","")</f>
        <v/>
      </c>
      <c r="D124" s="109" t="s">
        <v>287</v>
      </c>
      <c r="E124" s="109" t="s">
        <v>2470</v>
      </c>
      <c r="F124" s="109" t="s">
        <v>1595</v>
      </c>
      <c r="G124" s="109" t="s">
        <v>2471</v>
      </c>
      <c r="H124" s="111"/>
      <c r="I124" s="111"/>
      <c r="J124" s="111"/>
      <c r="K124" s="111"/>
      <c r="L124" s="111"/>
      <c r="M124" s="109" t="s">
        <v>1036</v>
      </c>
      <c r="N124" s="109"/>
      <c r="O124" s="109"/>
      <c r="P124" s="109"/>
      <c r="Q124" s="109"/>
      <c r="R124" s="110"/>
      <c r="S124" s="110"/>
      <c r="T12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1"/>
      <c r="V124" s="187">
        <v>45930.833333333336</v>
      </c>
    </row>
    <row r="125" spans="1:22" s="19" customFormat="1" ht="23.25" x14ac:dyDescent="0.2">
      <c r="A125" s="112"/>
      <c r="B125" s="112"/>
      <c r="C125" s="112" t="str">
        <f>IF(OR(TabellaBLENDING[[#This Row],[LUN]]="X",TabellaBLENDING[[#This Row],[MAR]]="X",TabellaBLENDING[[#This Row],[MER]]="X",TabellaBLENDING[[#This Row],[GIO]]="X",TabellaBLENDING[[#This Row],[VEN]]="X",),"X","")</f>
        <v/>
      </c>
      <c r="D125" s="109" t="s">
        <v>287</v>
      </c>
      <c r="E125" s="109" t="s">
        <v>2393</v>
      </c>
      <c r="F125" s="109">
        <v>6500</v>
      </c>
      <c r="G125" s="109" t="s">
        <v>2394</v>
      </c>
      <c r="H125" s="111"/>
      <c r="I125" s="111"/>
      <c r="J125" s="111"/>
      <c r="K125" s="111"/>
      <c r="L125" s="111"/>
      <c r="M125" s="109" t="s">
        <v>1036</v>
      </c>
      <c r="N125" s="109"/>
      <c r="O125" s="109"/>
      <c r="P125" s="109"/>
      <c r="Q125" s="109"/>
      <c r="R125" s="110"/>
      <c r="S125" s="110"/>
      <c r="T12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1"/>
      <c r="V125" s="187">
        <v>45930.833333333336</v>
      </c>
    </row>
    <row r="126" spans="1:22" s="19" customFormat="1" ht="23.25" x14ac:dyDescent="0.2">
      <c r="A126" s="112"/>
      <c r="B126" s="112"/>
      <c r="C126" s="112" t="str">
        <f>IF(OR(TabellaBLENDING[[#This Row],[LUN]]="X",TabellaBLENDING[[#This Row],[MAR]]="X",TabellaBLENDING[[#This Row],[MER]]="X",TabellaBLENDING[[#This Row],[GIO]]="X",TabellaBLENDING[[#This Row],[VEN]]="X",),"X","")</f>
        <v/>
      </c>
      <c r="D126" s="109" t="s">
        <v>287</v>
      </c>
      <c r="E126" s="109" t="s">
        <v>2234</v>
      </c>
      <c r="F126" s="109">
        <v>6000</v>
      </c>
      <c r="G126" s="109" t="s">
        <v>2235</v>
      </c>
      <c r="H126" s="111"/>
      <c r="I126" s="111"/>
      <c r="J126" s="111"/>
      <c r="K126" s="111"/>
      <c r="L126" s="111"/>
      <c r="M126" s="109" t="s">
        <v>1036</v>
      </c>
      <c r="N126" s="109"/>
      <c r="O126" s="109"/>
      <c r="P126" s="109"/>
      <c r="Q126" s="109"/>
      <c r="R126" s="110"/>
      <c r="S126" s="110"/>
      <c r="T12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7" t="str">
        <f t="shared" ref="U126:U157" ca="1" si="7">IFERROR(MID(G126,_xlfn.AGGREGATE(15,6,(ROW(INDIRECT("1:"&amp;LEN(G126)-7)))/(ISNUMBER(--MID(G126,ROW(INDIRECT("1:"&amp;LEN(G126)-7)),8))),1),8),"")</f>
        <v/>
      </c>
      <c r="V126" s="187">
        <v>45930.833333333336</v>
      </c>
    </row>
    <row r="127" spans="1:22" s="19" customFormat="1" ht="23.25" x14ac:dyDescent="0.2">
      <c r="A127" s="112"/>
      <c r="B127" s="112"/>
      <c r="C127" s="112" t="str">
        <f>IF(OR(TabellaBLENDING[[#This Row],[LUN]]="X",TabellaBLENDING[[#This Row],[MAR]]="X",TabellaBLENDING[[#This Row],[MER]]="X",TabellaBLENDING[[#This Row],[GIO]]="X",TabellaBLENDING[[#This Row],[VEN]]="X",),"X","")</f>
        <v/>
      </c>
      <c r="D127" s="109" t="s">
        <v>287</v>
      </c>
      <c r="E127" s="109" t="s">
        <v>2195</v>
      </c>
      <c r="F127" s="109">
        <v>6500</v>
      </c>
      <c r="G127" s="109" t="s">
        <v>528</v>
      </c>
      <c r="H127" s="111"/>
      <c r="I127" s="111"/>
      <c r="J127" s="111"/>
      <c r="K127" s="111"/>
      <c r="L127" s="111"/>
      <c r="M127" s="109" t="s">
        <v>1036</v>
      </c>
      <c r="N127" s="109"/>
      <c r="O127" s="109"/>
      <c r="P127" s="109"/>
      <c r="Q127" s="109"/>
      <c r="R127" s="110"/>
      <c r="S127" s="110"/>
      <c r="T12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7" t="str">
        <f t="shared" ca="1" si="7"/>
        <v/>
      </c>
      <c r="V127" s="187">
        <v>45930.833333333336</v>
      </c>
    </row>
    <row r="128" spans="1:22" s="19" customFormat="1" ht="23.25" x14ac:dyDescent="0.2">
      <c r="A128" s="112"/>
      <c r="B128" s="112"/>
      <c r="C128" s="112" t="str">
        <f>IF(OR(TabellaBLENDING[[#This Row],[LUN]]="X",TabellaBLENDING[[#This Row],[MAR]]="X",TabellaBLENDING[[#This Row],[MER]]="X",TabellaBLENDING[[#This Row],[GIO]]="X",TabellaBLENDING[[#This Row],[VEN]]="X",),"X","")</f>
        <v/>
      </c>
      <c r="D128" s="109" t="s">
        <v>287</v>
      </c>
      <c r="E128" s="109" t="s">
        <v>1689</v>
      </c>
      <c r="F128" s="109">
        <v>6500</v>
      </c>
      <c r="G128" s="109" t="s">
        <v>1690</v>
      </c>
      <c r="H128" s="111"/>
      <c r="I128" s="111"/>
      <c r="J128" s="111"/>
      <c r="K128" s="111"/>
      <c r="L128" s="111"/>
      <c r="M128" s="109" t="s">
        <v>1036</v>
      </c>
      <c r="N128" s="109"/>
      <c r="O128" s="109"/>
      <c r="P128" s="109"/>
      <c r="Q128" s="109"/>
      <c r="R128" s="110">
        <v>45824</v>
      </c>
      <c r="S128" s="110" t="s">
        <v>206</v>
      </c>
      <c r="T12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7" t="str">
        <f t="shared" ca="1" si="7"/>
        <v/>
      </c>
      <c r="V128" s="187">
        <v>45930.833333333336</v>
      </c>
    </row>
    <row r="129" spans="1:22" s="19" customFormat="1" ht="23.25" x14ac:dyDescent="0.2">
      <c r="A129" s="112"/>
      <c r="B129" s="112"/>
      <c r="C129" s="112" t="str">
        <f>IF(OR(TabellaBLENDING[[#This Row],[LUN]]="X",TabellaBLENDING[[#This Row],[MAR]]="X",TabellaBLENDING[[#This Row],[MER]]="X",TabellaBLENDING[[#This Row],[GIO]]="X",TabellaBLENDING[[#This Row],[VEN]]="X",),"X","")</f>
        <v/>
      </c>
      <c r="D129" s="109" t="s">
        <v>287</v>
      </c>
      <c r="E129" s="109" t="s">
        <v>1438</v>
      </c>
      <c r="F129" s="109" t="s">
        <v>530</v>
      </c>
      <c r="G129" s="109" t="s">
        <v>1430</v>
      </c>
      <c r="H129" s="111"/>
      <c r="I129" s="111"/>
      <c r="J129" s="111"/>
      <c r="K129" s="111"/>
      <c r="L129" s="111"/>
      <c r="M129" s="109" t="s">
        <v>1036</v>
      </c>
      <c r="N129" s="109"/>
      <c r="O129" s="109"/>
      <c r="P129" s="109"/>
      <c r="Q129" s="109"/>
      <c r="R129" s="110"/>
      <c r="S129" s="110"/>
      <c r="T12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4" t="str">
        <f t="shared" ca="1" si="7"/>
        <v/>
      </c>
      <c r="V129" s="187">
        <v>45930.833333333336</v>
      </c>
    </row>
    <row r="130" spans="1:22" s="19" customFormat="1" ht="30" x14ac:dyDescent="0.25">
      <c r="A130" s="112"/>
      <c r="B130" s="112" t="str">
        <f t="shared" ref="B130:B138" si="8">IF(OR(A130="x",A130="X"),"",IF(ISBLANK(A130),"X",""))</f>
        <v>X</v>
      </c>
      <c r="C130" s="112" t="str">
        <f>IF(OR(TabellaBLENDING[[#This Row],[LUN]]="X",TabellaBLENDING[[#This Row],[MAR]]="X",TabellaBLENDING[[#This Row],[MER]]="X",TabellaBLENDING[[#This Row],[GIO]]="X",TabellaBLENDING[[#This Row],[VEN]]="X",),"X","")</f>
        <v/>
      </c>
      <c r="D130" s="109" t="s">
        <v>287</v>
      </c>
      <c r="E130" s="109" t="s">
        <v>1391</v>
      </c>
      <c r="F130" s="109" t="s">
        <v>287</v>
      </c>
      <c r="G130" s="109" t="s">
        <v>1390</v>
      </c>
      <c r="H130" s="111"/>
      <c r="I130" s="111"/>
      <c r="J130" s="111"/>
      <c r="K130" s="111"/>
      <c r="L130" s="111"/>
      <c r="M130" s="109" t="s">
        <v>1036</v>
      </c>
      <c r="N130" s="109"/>
      <c r="O130" s="109"/>
      <c r="P130" s="109"/>
      <c r="Q130" s="109"/>
      <c r="R130" s="110"/>
      <c r="S130" s="110"/>
      <c r="T130" s="6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0" t="str">
        <f t="shared" ca="1" si="7"/>
        <v/>
      </c>
      <c r="V130" s="187">
        <v>45930.833333333336</v>
      </c>
    </row>
    <row r="131" spans="1:22" s="19" customFormat="1" ht="30" x14ac:dyDescent="0.25">
      <c r="A131" s="112"/>
      <c r="B131" s="112" t="str">
        <f t="shared" si="8"/>
        <v>X</v>
      </c>
      <c r="C131" s="112" t="str">
        <f>IF(OR(TabellaBLENDING[[#This Row],[LUN]]="X",TabellaBLENDING[[#This Row],[MAR]]="X",TabellaBLENDING[[#This Row],[MER]]="X",TabellaBLENDING[[#This Row],[GIO]]="X",TabellaBLENDING[[#This Row],[VEN]]="X",),"X","")</f>
        <v/>
      </c>
      <c r="D131" s="109" t="s">
        <v>287</v>
      </c>
      <c r="E131" s="109" t="s">
        <v>1327</v>
      </c>
      <c r="F131" s="109" t="s">
        <v>287</v>
      </c>
      <c r="G131" s="109" t="s">
        <v>1329</v>
      </c>
      <c r="H131" s="111"/>
      <c r="I131" s="111"/>
      <c r="J131" s="111"/>
      <c r="K131" s="111"/>
      <c r="L131" s="111"/>
      <c r="M131" s="109" t="s">
        <v>1036</v>
      </c>
      <c r="N131" s="109"/>
      <c r="O131" s="109"/>
      <c r="P131" s="109"/>
      <c r="Q131" s="109"/>
      <c r="R131" s="110"/>
      <c r="S131" s="110"/>
      <c r="T131" s="145"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0" t="str">
        <f t="shared" ca="1" si="7"/>
        <v/>
      </c>
      <c r="V131" s="187">
        <v>45930.833333333336</v>
      </c>
    </row>
    <row r="132" spans="1:22" s="19" customFormat="1" ht="30" x14ac:dyDescent="0.25">
      <c r="A132" s="112"/>
      <c r="B132" s="112" t="str">
        <f t="shared" si="8"/>
        <v>X</v>
      </c>
      <c r="C132" s="112" t="str">
        <f>IF(OR(TabellaBLENDING[[#This Row],[LUN]]="X",TabellaBLENDING[[#This Row],[MAR]]="X",TabellaBLENDING[[#This Row],[MER]]="X",TabellaBLENDING[[#This Row],[GIO]]="X",TabellaBLENDING[[#This Row],[VEN]]="X",),"X","")</f>
        <v/>
      </c>
      <c r="D132" s="109" t="s">
        <v>287</v>
      </c>
      <c r="E132" s="109" t="s">
        <v>1361</v>
      </c>
      <c r="F132" s="109" t="s">
        <v>287</v>
      </c>
      <c r="G132" s="109" t="s">
        <v>1358</v>
      </c>
      <c r="H132" s="111"/>
      <c r="I132" s="111"/>
      <c r="J132" s="111"/>
      <c r="K132" s="111"/>
      <c r="L132" s="111"/>
      <c r="M132" s="109" t="s">
        <v>1036</v>
      </c>
      <c r="N132" s="109"/>
      <c r="O132" s="109"/>
      <c r="P132" s="109"/>
      <c r="Q132" s="109"/>
      <c r="R132" s="110">
        <v>45792</v>
      </c>
      <c r="S132" s="110" t="s">
        <v>1279</v>
      </c>
      <c r="T13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0" t="str">
        <f t="shared" ca="1" si="7"/>
        <v/>
      </c>
      <c r="V132" s="187">
        <v>45930.833333333336</v>
      </c>
    </row>
    <row r="133" spans="1:22" s="19" customFormat="1" ht="30" x14ac:dyDescent="0.25">
      <c r="A133" s="112"/>
      <c r="B133" s="112" t="str">
        <f t="shared" si="8"/>
        <v>X</v>
      </c>
      <c r="C133" s="112" t="str">
        <f>IF(OR(TabellaBLENDING[[#This Row],[LUN]]="X",TabellaBLENDING[[#This Row],[MAR]]="X",TabellaBLENDING[[#This Row],[MER]]="X",TabellaBLENDING[[#This Row],[GIO]]="X",TabellaBLENDING[[#This Row],[VEN]]="X",),"X","")</f>
        <v/>
      </c>
      <c r="D133" s="109" t="s">
        <v>287</v>
      </c>
      <c r="E133" s="109" t="s">
        <v>1362</v>
      </c>
      <c r="F133" s="109" t="s">
        <v>287</v>
      </c>
      <c r="G133" s="109" t="s">
        <v>1357</v>
      </c>
      <c r="H133" s="111"/>
      <c r="I133" s="111"/>
      <c r="J133" s="111"/>
      <c r="K133" s="111"/>
      <c r="L133" s="111"/>
      <c r="M133" s="109" t="s">
        <v>1036</v>
      </c>
      <c r="N133" s="109"/>
      <c r="O133" s="109"/>
      <c r="P133" s="109"/>
      <c r="Q133" s="109"/>
      <c r="R133" s="110">
        <v>45792</v>
      </c>
      <c r="S133" s="110" t="s">
        <v>1279</v>
      </c>
      <c r="T13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0" t="str">
        <f t="shared" ca="1" si="7"/>
        <v/>
      </c>
      <c r="V133" s="187">
        <v>45930.833333333336</v>
      </c>
    </row>
    <row r="134" spans="1:22" s="19" customFormat="1" ht="30" x14ac:dyDescent="0.25">
      <c r="A134" s="112"/>
      <c r="B134" s="112" t="str">
        <f t="shared" si="8"/>
        <v>X</v>
      </c>
      <c r="C134" s="112" t="str">
        <f>IF(OR(TabellaBLENDING[[#This Row],[LUN]]="X",TabellaBLENDING[[#This Row],[MAR]]="X",TabellaBLENDING[[#This Row],[MER]]="X",TabellaBLENDING[[#This Row],[GIO]]="X",TabellaBLENDING[[#This Row],[VEN]]="X",),"X","")</f>
        <v/>
      </c>
      <c r="D134" s="109" t="s">
        <v>287</v>
      </c>
      <c r="E134" s="109" t="s">
        <v>991</v>
      </c>
      <c r="F134" s="109" t="s">
        <v>287</v>
      </c>
      <c r="G134" s="109" t="s">
        <v>1159</v>
      </c>
      <c r="H134" s="111"/>
      <c r="I134" s="111"/>
      <c r="J134" s="111"/>
      <c r="K134" s="111"/>
      <c r="L134" s="111"/>
      <c r="M134" s="109" t="s">
        <v>1036</v>
      </c>
      <c r="N134" s="109"/>
      <c r="O134" s="109"/>
      <c r="P134" s="109"/>
      <c r="Q134" s="109"/>
      <c r="R134" s="110"/>
      <c r="S134" s="110"/>
      <c r="T1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0" t="str">
        <f t="shared" ca="1" si="7"/>
        <v/>
      </c>
      <c r="V134" s="187">
        <v>45930.833333333336</v>
      </c>
    </row>
    <row r="135" spans="1:22" s="19" customFormat="1" ht="30" x14ac:dyDescent="0.2">
      <c r="A135" s="112"/>
      <c r="B135" s="112" t="str">
        <f t="shared" si="8"/>
        <v>X</v>
      </c>
      <c r="C135" s="112" t="str">
        <f>IF(OR(TabellaBLENDING[[#This Row],[LUN]]="X",TabellaBLENDING[[#This Row],[MAR]]="X",TabellaBLENDING[[#This Row],[MER]]="X",TabellaBLENDING[[#This Row],[GIO]]="X",TabellaBLENDING[[#This Row],[VEN]]="X",),"X","")</f>
        <v/>
      </c>
      <c r="D135" s="109" t="s">
        <v>287</v>
      </c>
      <c r="E135" s="109" t="s">
        <v>1440</v>
      </c>
      <c r="F135" s="109" t="s">
        <v>287</v>
      </c>
      <c r="G135" s="109" t="s">
        <v>1441</v>
      </c>
      <c r="H135" s="111"/>
      <c r="I135" s="111"/>
      <c r="J135" s="111"/>
      <c r="K135" s="111"/>
      <c r="L135" s="111"/>
      <c r="M135" s="109" t="s">
        <v>1036</v>
      </c>
      <c r="N135" s="109"/>
      <c r="O135" s="109"/>
      <c r="P135" s="109"/>
      <c r="Q135" s="109"/>
      <c r="R135" s="110"/>
      <c r="S135" s="110"/>
      <c r="T13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4" t="str">
        <f t="shared" ca="1" si="7"/>
        <v/>
      </c>
      <c r="V135" s="187">
        <v>45930.833333333336</v>
      </c>
    </row>
    <row r="136" spans="1:22" s="19" customFormat="1" ht="30" x14ac:dyDescent="0.2">
      <c r="A136" s="112"/>
      <c r="B136" s="112" t="str">
        <f t="shared" si="8"/>
        <v>X</v>
      </c>
      <c r="C136" s="112" t="str">
        <f>IF(OR(TabellaBLENDING[[#This Row],[LUN]]="X",TabellaBLENDING[[#This Row],[MAR]]="X",TabellaBLENDING[[#This Row],[MER]]="X",TabellaBLENDING[[#This Row],[GIO]]="X",TabellaBLENDING[[#This Row],[VEN]]="X",),"X","")</f>
        <v/>
      </c>
      <c r="D136" s="109" t="s">
        <v>287</v>
      </c>
      <c r="E136" s="109" t="s">
        <v>1526</v>
      </c>
      <c r="F136" s="109" t="s">
        <v>287</v>
      </c>
      <c r="G136" s="109" t="s">
        <v>1542</v>
      </c>
      <c r="H136" s="111"/>
      <c r="I136" s="111"/>
      <c r="J136" s="111"/>
      <c r="K136" s="111"/>
      <c r="L136" s="111"/>
      <c r="M136" s="109" t="s">
        <v>1036</v>
      </c>
      <c r="N136" s="109"/>
      <c r="O136" s="109"/>
      <c r="P136" s="109"/>
      <c r="Q136" s="109"/>
      <c r="R136" s="110"/>
      <c r="S136" s="110"/>
      <c r="T13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4" t="str">
        <f t="shared" ca="1" si="7"/>
        <v/>
      </c>
      <c r="V136" s="187">
        <v>45930.833333333336</v>
      </c>
    </row>
    <row r="137" spans="1:22" s="19" customFormat="1" ht="30" x14ac:dyDescent="0.2">
      <c r="A137" s="112"/>
      <c r="B137" s="112" t="str">
        <f t="shared" si="8"/>
        <v>X</v>
      </c>
      <c r="C137" s="112" t="str">
        <f>IF(OR(TabellaBLENDING[[#This Row],[LUN]]="X",TabellaBLENDING[[#This Row],[MAR]]="X",TabellaBLENDING[[#This Row],[MER]]="X",TabellaBLENDING[[#This Row],[GIO]]="X",TabellaBLENDING[[#This Row],[VEN]]="X",),"X","")</f>
        <v/>
      </c>
      <c r="D137" s="109" t="s">
        <v>287</v>
      </c>
      <c r="E137" s="109" t="s">
        <v>1559</v>
      </c>
      <c r="F137" s="109" t="s">
        <v>287</v>
      </c>
      <c r="G137" s="109" t="s">
        <v>1549</v>
      </c>
      <c r="H137" s="111"/>
      <c r="I137" s="111"/>
      <c r="J137" s="111"/>
      <c r="K137" s="111"/>
      <c r="L137" s="111"/>
      <c r="M137" s="109" t="s">
        <v>1036</v>
      </c>
      <c r="N137" s="109"/>
      <c r="O137" s="109"/>
      <c r="P137" s="109"/>
      <c r="Q137" s="109"/>
      <c r="R137" s="110"/>
      <c r="S137" s="110"/>
      <c r="T13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4" t="str">
        <f t="shared" ca="1" si="7"/>
        <v/>
      </c>
      <c r="V137" s="187">
        <v>45930.833333333336</v>
      </c>
    </row>
    <row r="138" spans="1:22" s="19" customFormat="1" ht="30" x14ac:dyDescent="0.2">
      <c r="A138" s="112"/>
      <c r="B138" s="112" t="str">
        <f t="shared" si="8"/>
        <v>X</v>
      </c>
      <c r="C138" s="112" t="str">
        <f>IF(OR(TabellaBLENDING[[#This Row],[LUN]]="X",TabellaBLENDING[[#This Row],[MAR]]="X",TabellaBLENDING[[#This Row],[MER]]="X",TabellaBLENDING[[#This Row],[GIO]]="X",TabellaBLENDING[[#This Row],[VEN]]="X",),"X","")</f>
        <v/>
      </c>
      <c r="D138" s="109" t="s">
        <v>287</v>
      </c>
      <c r="E138" s="109" t="s">
        <v>1532</v>
      </c>
      <c r="F138" s="109" t="s">
        <v>287</v>
      </c>
      <c r="G138" s="109" t="s">
        <v>1543</v>
      </c>
      <c r="H138" s="111"/>
      <c r="I138" s="111"/>
      <c r="J138" s="111"/>
      <c r="K138" s="111"/>
      <c r="L138" s="111"/>
      <c r="M138" s="109" t="s">
        <v>1036</v>
      </c>
      <c r="N138" s="109"/>
      <c r="O138" s="109"/>
      <c r="P138" s="109"/>
      <c r="Q138" s="109"/>
      <c r="R138" s="110"/>
      <c r="S138" s="110"/>
      <c r="T13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4" t="str">
        <f t="shared" ca="1" si="7"/>
        <v/>
      </c>
      <c r="V138" s="187">
        <v>45930.833333333336</v>
      </c>
    </row>
    <row r="139" spans="1:22" s="19" customFormat="1" ht="23.25" x14ac:dyDescent="0.2">
      <c r="A139" s="112"/>
      <c r="B139" s="112"/>
      <c r="C139" s="112" t="str">
        <f>IF(OR(TabellaBLENDING[[#This Row],[LUN]]="X",TabellaBLENDING[[#This Row],[MAR]]="X",TabellaBLENDING[[#This Row],[MER]]="X",TabellaBLENDING[[#This Row],[GIO]]="X",TabellaBLENDING[[#This Row],[VEN]]="X",),"X","")</f>
        <v/>
      </c>
      <c r="D139" s="109" t="s">
        <v>287</v>
      </c>
      <c r="E139" s="109" t="s">
        <v>1697</v>
      </c>
      <c r="F139" s="109" t="s">
        <v>1595</v>
      </c>
      <c r="G139" s="109" t="s">
        <v>1698</v>
      </c>
      <c r="H139" s="111"/>
      <c r="I139" s="111"/>
      <c r="J139" s="111"/>
      <c r="K139" s="111"/>
      <c r="L139" s="111"/>
      <c r="M139" s="109" t="s">
        <v>1036</v>
      </c>
      <c r="N139" s="109"/>
      <c r="O139" s="109"/>
      <c r="P139" s="109"/>
      <c r="Q139" s="109"/>
      <c r="R139" s="110"/>
      <c r="S139" s="110"/>
      <c r="T13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7" t="str">
        <f t="shared" ca="1" si="7"/>
        <v/>
      </c>
      <c r="V139" s="187">
        <v>45930.833333333336</v>
      </c>
    </row>
    <row r="140" spans="1:22" s="19" customFormat="1" ht="23.25" x14ac:dyDescent="0.2">
      <c r="A140" s="112"/>
      <c r="B140" s="112"/>
      <c r="C140" s="112" t="str">
        <f>IF(OR(TabellaBLENDING[[#This Row],[LUN]]="X",TabellaBLENDING[[#This Row],[MAR]]="X",TabellaBLENDING[[#This Row],[MER]]="X",TabellaBLENDING[[#This Row],[GIO]]="X",TabellaBLENDING[[#This Row],[VEN]]="X",),"X","")</f>
        <v/>
      </c>
      <c r="D140" s="109" t="s">
        <v>287</v>
      </c>
      <c r="E140" s="109" t="s">
        <v>2224</v>
      </c>
      <c r="F140" s="109">
        <v>6000</v>
      </c>
      <c r="G140" s="109" t="s">
        <v>2225</v>
      </c>
      <c r="H140" s="111"/>
      <c r="I140" s="111"/>
      <c r="J140" s="111"/>
      <c r="K140" s="111"/>
      <c r="L140" s="111"/>
      <c r="M140" s="109" t="s">
        <v>1036</v>
      </c>
      <c r="N140" s="109"/>
      <c r="O140" s="109"/>
      <c r="P140" s="109"/>
      <c r="Q140" s="109"/>
      <c r="R140" s="110"/>
      <c r="S140" s="110"/>
      <c r="T14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7" t="str">
        <f t="shared" ca="1" si="7"/>
        <v/>
      </c>
      <c r="V140" s="187">
        <v>45930.833333333336</v>
      </c>
    </row>
    <row r="141" spans="1:22" s="19" customFormat="1" ht="23.25" x14ac:dyDescent="0.2">
      <c r="A141" s="112"/>
      <c r="B141" s="112"/>
      <c r="C141" s="112" t="str">
        <f>IF(OR(TabellaBLENDING[[#This Row],[LUN]]="X",TabellaBLENDING[[#This Row],[MAR]]="X",TabellaBLENDING[[#This Row],[MER]]="X",TabellaBLENDING[[#This Row],[GIO]]="X",TabellaBLENDING[[#This Row],[VEN]]="X",),"X","")</f>
        <v/>
      </c>
      <c r="D141" s="109" t="s">
        <v>287</v>
      </c>
      <c r="E141" s="109" t="s">
        <v>1731</v>
      </c>
      <c r="F141" s="109">
        <v>6200</v>
      </c>
      <c r="G141" s="109" t="s">
        <v>1732</v>
      </c>
      <c r="H141" s="111"/>
      <c r="I141" s="111"/>
      <c r="J141" s="111"/>
      <c r="K141" s="111"/>
      <c r="L141" s="111"/>
      <c r="M141" s="109" t="s">
        <v>1036</v>
      </c>
      <c r="N141" s="109"/>
      <c r="O141" s="109"/>
      <c r="P141" s="109"/>
      <c r="Q141" s="109"/>
      <c r="R141" s="110"/>
      <c r="S141" s="110"/>
      <c r="T14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7" t="str">
        <f t="shared" ca="1" si="7"/>
        <v/>
      </c>
      <c r="V141" s="187">
        <v>45930.833333333336</v>
      </c>
    </row>
    <row r="142" spans="1:22" s="19" customFormat="1" ht="23.25" x14ac:dyDescent="0.2">
      <c r="A142" s="112"/>
      <c r="B142" s="112"/>
      <c r="C142" s="112" t="str">
        <f>IF(OR(TabellaBLENDING[[#This Row],[LUN]]="X",TabellaBLENDING[[#This Row],[MAR]]="X",TabellaBLENDING[[#This Row],[MER]]="X",TabellaBLENDING[[#This Row],[GIO]]="X",TabellaBLENDING[[#This Row],[VEN]]="X",),"X","")</f>
        <v/>
      </c>
      <c r="D142" s="109" t="s">
        <v>287</v>
      </c>
      <c r="E142" s="109" t="s">
        <v>1747</v>
      </c>
      <c r="F142" s="109" t="s">
        <v>1703</v>
      </c>
      <c r="G142" s="109" t="s">
        <v>1748</v>
      </c>
      <c r="H142" s="111"/>
      <c r="I142" s="111"/>
      <c r="J142" s="111"/>
      <c r="K142" s="111"/>
      <c r="L142" s="111"/>
      <c r="M142" s="109" t="s">
        <v>1036</v>
      </c>
      <c r="N142" s="109"/>
      <c r="O142" s="109"/>
      <c r="P142" s="109"/>
      <c r="Q142" s="109"/>
      <c r="R142" s="110"/>
      <c r="S142" s="110"/>
      <c r="T14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7" t="str">
        <f t="shared" ca="1" si="7"/>
        <v/>
      </c>
      <c r="V142" s="187">
        <v>45930.833333333336</v>
      </c>
    </row>
    <row r="143" spans="1:22" s="19" customFormat="1" ht="23.25" x14ac:dyDescent="0.2">
      <c r="A143" s="112"/>
      <c r="B143" s="112"/>
      <c r="C143" s="112" t="str">
        <f>IF(OR(TabellaBLENDING[[#This Row],[LUN]]="X",TabellaBLENDING[[#This Row],[MAR]]="X",TabellaBLENDING[[#This Row],[MER]]="X",TabellaBLENDING[[#This Row],[GIO]]="X",TabellaBLENDING[[#This Row],[VEN]]="X",),"X","")</f>
        <v/>
      </c>
      <c r="D143" s="109" t="s">
        <v>287</v>
      </c>
      <c r="E143" s="109" t="s">
        <v>1745</v>
      </c>
      <c r="F143" s="109">
        <v>6500</v>
      </c>
      <c r="G143" s="109" t="s">
        <v>1746</v>
      </c>
      <c r="H143" s="111"/>
      <c r="I143" s="111"/>
      <c r="J143" s="111"/>
      <c r="K143" s="111"/>
      <c r="L143" s="111"/>
      <c r="M143" s="109" t="s">
        <v>1036</v>
      </c>
      <c r="N143" s="109"/>
      <c r="O143" s="109"/>
      <c r="P143" s="109"/>
      <c r="Q143" s="109"/>
      <c r="R143" s="110"/>
      <c r="S143" s="110"/>
      <c r="T14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7" t="str">
        <f t="shared" ca="1" si="7"/>
        <v/>
      </c>
      <c r="V143" s="187">
        <v>45930.833333333336</v>
      </c>
    </row>
    <row r="144" spans="1:22" s="19" customFormat="1" ht="30" x14ac:dyDescent="0.2">
      <c r="A144" s="112"/>
      <c r="B144" s="112"/>
      <c r="C144" s="112" t="str">
        <f>IF(OR(TabellaBLENDING[[#This Row],[LUN]]="X",TabellaBLENDING[[#This Row],[MAR]]="X",TabellaBLENDING[[#This Row],[MER]]="X",TabellaBLENDING[[#This Row],[GIO]]="X",TabellaBLENDING[[#This Row],[VEN]]="X",),"X","")</f>
        <v/>
      </c>
      <c r="D144" s="109" t="s">
        <v>287</v>
      </c>
      <c r="E144" s="109" t="s">
        <v>2197</v>
      </c>
      <c r="F144" s="109">
        <v>6500</v>
      </c>
      <c r="G144" s="109" t="s">
        <v>2198</v>
      </c>
      <c r="H144" s="111"/>
      <c r="I144" s="111"/>
      <c r="J144" s="111"/>
      <c r="K144" s="111"/>
      <c r="L144" s="111"/>
      <c r="M144" s="109" t="s">
        <v>1036</v>
      </c>
      <c r="N144" s="109"/>
      <c r="O144" s="109"/>
      <c r="P144" s="109"/>
      <c r="Q144" s="109"/>
      <c r="R144" s="110"/>
      <c r="S144" s="110"/>
      <c r="T14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7" t="str">
        <f t="shared" ca="1" si="7"/>
        <v>10226579</v>
      </c>
      <c r="V144" s="187">
        <v>45930.833333333336</v>
      </c>
    </row>
    <row r="145" spans="1:22" s="19" customFormat="1" ht="23.25" x14ac:dyDescent="0.2">
      <c r="A145" s="112"/>
      <c r="B145" s="112" t="str">
        <f>IF(OR(A145="x",A145="X"),"",IF(ISBLANK(A145),"X",""))</f>
        <v>X</v>
      </c>
      <c r="C145" s="112" t="str">
        <f>IF(OR(TabellaBLENDING[[#This Row],[LUN]]="X",TabellaBLENDING[[#This Row],[MAR]]="X",TabellaBLENDING[[#This Row],[MER]]="X",TabellaBLENDING[[#This Row],[GIO]]="X",TabellaBLENDING[[#This Row],[VEN]]="X",),"X","")</f>
        <v/>
      </c>
      <c r="D145" s="109" t="s">
        <v>287</v>
      </c>
      <c r="E145" s="109" t="s">
        <v>1593</v>
      </c>
      <c r="F145" s="109" t="s">
        <v>1595</v>
      </c>
      <c r="G145" s="109" t="s">
        <v>1594</v>
      </c>
      <c r="H145" s="111"/>
      <c r="I145" s="111"/>
      <c r="J145" s="111"/>
      <c r="K145" s="111"/>
      <c r="L145" s="111"/>
      <c r="M145" s="109" t="s">
        <v>1036</v>
      </c>
      <c r="N145" s="109"/>
      <c r="O145" s="109"/>
      <c r="P145" s="109"/>
      <c r="Q145" s="109"/>
      <c r="R145" s="110"/>
      <c r="S145" s="110"/>
      <c r="T14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4" t="str">
        <f t="shared" ca="1" si="7"/>
        <v/>
      </c>
      <c r="V145" s="187">
        <v>45930.833333333336</v>
      </c>
    </row>
    <row r="146" spans="1:22" s="19" customFormat="1" ht="30" x14ac:dyDescent="0.2">
      <c r="A146" s="112"/>
      <c r="B146" s="112"/>
      <c r="C146" s="112" t="str">
        <f>IF(OR(TabellaBLENDING[[#This Row],[LUN]]="X",TabellaBLENDING[[#This Row],[MAR]]="X",TabellaBLENDING[[#This Row],[MER]]="X",TabellaBLENDING[[#This Row],[GIO]]="X",TabellaBLENDING[[#This Row],[VEN]]="X",),"X","")</f>
        <v/>
      </c>
      <c r="D146" s="109" t="s">
        <v>287</v>
      </c>
      <c r="E146" s="109" t="s">
        <v>1699</v>
      </c>
      <c r="F146" s="109">
        <v>6500</v>
      </c>
      <c r="G146" s="109" t="s">
        <v>1700</v>
      </c>
      <c r="H146" s="111"/>
      <c r="I146" s="111"/>
      <c r="J146" s="111"/>
      <c r="K146" s="111"/>
      <c r="L146" s="111"/>
      <c r="M146" s="109" t="s">
        <v>1036</v>
      </c>
      <c r="N146" s="109"/>
      <c r="O146" s="109"/>
      <c r="P146" s="109"/>
      <c r="Q146" s="109"/>
      <c r="R146" s="110"/>
      <c r="S146" s="110"/>
      <c r="T14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7" t="str">
        <f t="shared" ca="1" si="7"/>
        <v/>
      </c>
      <c r="V146" s="187">
        <v>45930.833333333336</v>
      </c>
    </row>
    <row r="147" spans="1:22" s="19" customFormat="1" ht="23.25" x14ac:dyDescent="0.2">
      <c r="A147" s="112"/>
      <c r="B147" s="112"/>
      <c r="C147" s="112" t="str">
        <f>IF(OR(TabellaBLENDING[[#This Row],[LUN]]="X",TabellaBLENDING[[#This Row],[MAR]]="X",TabellaBLENDING[[#This Row],[MER]]="X",TabellaBLENDING[[#This Row],[GIO]]="X",TabellaBLENDING[[#This Row],[VEN]]="X",),"X","")</f>
        <v/>
      </c>
      <c r="D147" s="109" t="s">
        <v>287</v>
      </c>
      <c r="E147" s="109" t="s">
        <v>2210</v>
      </c>
      <c r="F147" s="109" t="s">
        <v>1703</v>
      </c>
      <c r="G147" s="109" t="s">
        <v>2211</v>
      </c>
      <c r="H147" s="111"/>
      <c r="I147" s="111"/>
      <c r="J147" s="111"/>
      <c r="K147" s="111"/>
      <c r="L147" s="111"/>
      <c r="M147" s="109" t="s">
        <v>1036</v>
      </c>
      <c r="N147" s="109"/>
      <c r="O147" s="109"/>
      <c r="P147" s="109"/>
      <c r="Q147" s="109"/>
      <c r="R147" s="110"/>
      <c r="S147" s="110"/>
      <c r="T14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7" t="str">
        <f t="shared" ca="1" si="7"/>
        <v/>
      </c>
      <c r="V147" s="187">
        <v>45930.833333333336</v>
      </c>
    </row>
    <row r="148" spans="1:22" s="19" customFormat="1" ht="30" x14ac:dyDescent="0.25">
      <c r="A148" s="112"/>
      <c r="B148" s="112"/>
      <c r="C148" s="112" t="str">
        <f>IF(OR(TabellaBLENDING[[#This Row],[LUN]]="X",TabellaBLENDING[[#This Row],[MAR]]="X",TabellaBLENDING[[#This Row],[MER]]="X",TabellaBLENDING[[#This Row],[GIO]]="X",TabellaBLENDING[[#This Row],[VEN]]="X",),"X","")</f>
        <v/>
      </c>
      <c r="D148" s="109" t="s">
        <v>287</v>
      </c>
      <c r="E148" s="109" t="s">
        <v>1471</v>
      </c>
      <c r="F148" s="109" t="s">
        <v>292</v>
      </c>
      <c r="G148" s="109" t="s">
        <v>1465</v>
      </c>
      <c r="H148" s="111"/>
      <c r="I148" s="111"/>
      <c r="J148" s="111"/>
      <c r="K148" s="111"/>
      <c r="L148" s="111"/>
      <c r="M148" s="109" t="s">
        <v>1036</v>
      </c>
      <c r="N148" s="109"/>
      <c r="O148" s="109"/>
      <c r="P148" s="109"/>
      <c r="Q148" s="109"/>
      <c r="R148" s="110"/>
      <c r="S148" s="110"/>
      <c r="T14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0" t="str">
        <f t="shared" ca="1" si="7"/>
        <v/>
      </c>
      <c r="V148" s="187">
        <v>45930.833333333336</v>
      </c>
    </row>
    <row r="149" spans="1:22" s="19" customFormat="1" ht="30" x14ac:dyDescent="0.2">
      <c r="A149" s="112"/>
      <c r="B149" s="112" t="str">
        <f>IF(OR(A149="x",A149="X"),"",IF(ISBLANK(A149),"X",""))</f>
        <v>X</v>
      </c>
      <c r="C149" s="112" t="str">
        <f>IF(OR(TabellaBLENDING[[#This Row],[LUN]]="X",TabellaBLENDING[[#This Row],[MAR]]="X",TabellaBLENDING[[#This Row],[MER]]="X",TabellaBLENDING[[#This Row],[GIO]]="X",TabellaBLENDING[[#This Row],[VEN]]="X",),"X","")</f>
        <v/>
      </c>
      <c r="D149" s="109" t="s">
        <v>287</v>
      </c>
      <c r="E149" s="109" t="s">
        <v>1557</v>
      </c>
      <c r="F149" s="109" t="s">
        <v>287</v>
      </c>
      <c r="G149" s="109" t="s">
        <v>1547</v>
      </c>
      <c r="H149" s="111"/>
      <c r="I149" s="111"/>
      <c r="J149" s="111"/>
      <c r="K149" s="111"/>
      <c r="L149" s="111"/>
      <c r="M149" s="109" t="s">
        <v>1036</v>
      </c>
      <c r="N149" s="109"/>
      <c r="O149" s="109"/>
      <c r="P149" s="109"/>
      <c r="Q149" s="109"/>
      <c r="R149" s="110"/>
      <c r="S149" s="110"/>
      <c r="T14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4" t="str">
        <f t="shared" ca="1" si="7"/>
        <v/>
      </c>
      <c r="V149" s="187">
        <v>45930.833333333336</v>
      </c>
    </row>
    <row r="150" spans="1:22" s="19" customFormat="1" ht="30" x14ac:dyDescent="0.2">
      <c r="A150" s="112"/>
      <c r="B150" s="112" t="str">
        <f>IF(OR(A150="x",A150="X"),"",IF(ISBLANK(A150),"X",""))</f>
        <v>X</v>
      </c>
      <c r="C150" s="112" t="str">
        <f>IF(OR(TabellaBLENDING[[#This Row],[LUN]]="X",TabellaBLENDING[[#This Row],[MAR]]="X",TabellaBLENDING[[#This Row],[MER]]="X",TabellaBLENDING[[#This Row],[GIO]]="X",TabellaBLENDING[[#This Row],[VEN]]="X",),"X","")</f>
        <v/>
      </c>
      <c r="D150" s="109" t="s">
        <v>287</v>
      </c>
      <c r="E150" s="109" t="s">
        <v>1558</v>
      </c>
      <c r="F150" s="109" t="s">
        <v>287</v>
      </c>
      <c r="G150" s="109" t="s">
        <v>1548</v>
      </c>
      <c r="H150" s="111"/>
      <c r="I150" s="111"/>
      <c r="J150" s="111"/>
      <c r="K150" s="111"/>
      <c r="L150" s="111"/>
      <c r="M150" s="109" t="s">
        <v>1036</v>
      </c>
      <c r="N150" s="109"/>
      <c r="O150" s="109"/>
      <c r="P150" s="109"/>
      <c r="Q150" s="109"/>
      <c r="R150" s="110"/>
      <c r="S150" s="110"/>
      <c r="T15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4" t="str">
        <f t="shared" ca="1" si="7"/>
        <v/>
      </c>
      <c r="V150" s="187">
        <v>45930.833333333336</v>
      </c>
    </row>
    <row r="151" spans="1:22" s="19" customFormat="1" ht="23.25" x14ac:dyDescent="0.2">
      <c r="A151" s="112"/>
      <c r="B151" s="112"/>
      <c r="C151" s="112" t="str">
        <f>IF(OR(TabellaBLENDING[[#This Row],[LUN]]="X",TabellaBLENDING[[#This Row],[MAR]]="X",TabellaBLENDING[[#This Row],[MER]]="X",TabellaBLENDING[[#This Row],[GIO]]="X",TabellaBLENDING[[#This Row],[VEN]]="X",),"X","")</f>
        <v/>
      </c>
      <c r="D151" s="109" t="s">
        <v>287</v>
      </c>
      <c r="E151" s="109" t="s">
        <v>2228</v>
      </c>
      <c r="F151" s="109">
        <v>6000</v>
      </c>
      <c r="G151" s="109" t="s">
        <v>2229</v>
      </c>
      <c r="H151" s="111"/>
      <c r="I151" s="111"/>
      <c r="J151" s="111"/>
      <c r="K151" s="111"/>
      <c r="L151" s="111"/>
      <c r="M151" s="109" t="s">
        <v>1036</v>
      </c>
      <c r="N151" s="109"/>
      <c r="O151" s="109"/>
      <c r="P151" s="109"/>
      <c r="Q151" s="109"/>
      <c r="R151" s="110"/>
      <c r="S151" s="110"/>
      <c r="T15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7" t="str">
        <f t="shared" ca="1" si="7"/>
        <v/>
      </c>
      <c r="V151" s="187">
        <v>45930.833333333336</v>
      </c>
    </row>
    <row r="152" spans="1:22" s="19" customFormat="1" ht="23.25" x14ac:dyDescent="0.2">
      <c r="A152" s="112"/>
      <c r="B152" s="112"/>
      <c r="C152" s="112" t="str">
        <f>IF(OR(TabellaBLENDING[[#This Row],[LUN]]="X",TabellaBLENDING[[#This Row],[MAR]]="X",TabellaBLENDING[[#This Row],[MER]]="X",TabellaBLENDING[[#This Row],[GIO]]="X",TabellaBLENDING[[#This Row],[VEN]]="X",),"X","")</f>
        <v/>
      </c>
      <c r="D152" s="109" t="s">
        <v>287</v>
      </c>
      <c r="E152" s="109" t="s">
        <v>2320</v>
      </c>
      <c r="F152" s="109">
        <v>6500</v>
      </c>
      <c r="G152" s="109" t="s">
        <v>2321</v>
      </c>
      <c r="H152" s="111"/>
      <c r="I152" s="111"/>
      <c r="J152" s="111"/>
      <c r="K152" s="111"/>
      <c r="L152" s="111"/>
      <c r="M152" s="109" t="s">
        <v>1036</v>
      </c>
      <c r="N152" s="109"/>
      <c r="O152" s="109"/>
      <c r="P152" s="109"/>
      <c r="Q152" s="109"/>
      <c r="R152" s="110"/>
      <c r="S152" s="110"/>
      <c r="T15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7" t="str">
        <f t="shared" ca="1" si="7"/>
        <v/>
      </c>
      <c r="V152" s="187">
        <v>45930.833333333336</v>
      </c>
    </row>
    <row r="153" spans="1:22" s="19" customFormat="1" ht="23.25" x14ac:dyDescent="0.2">
      <c r="A153" s="112"/>
      <c r="B153" s="112"/>
      <c r="C153" s="112" t="str">
        <f>IF(OR(TabellaBLENDING[[#This Row],[LUN]]="X",TabellaBLENDING[[#This Row],[MAR]]="X",TabellaBLENDING[[#This Row],[MER]]="X",TabellaBLENDING[[#This Row],[GIO]]="X",TabellaBLENDING[[#This Row],[VEN]]="X",),"X","")</f>
        <v/>
      </c>
      <c r="D153" s="109" t="s">
        <v>287</v>
      </c>
      <c r="E153" s="109" t="s">
        <v>1701</v>
      </c>
      <c r="F153" s="109" t="s">
        <v>1703</v>
      </c>
      <c r="G153" s="109" t="s">
        <v>1702</v>
      </c>
      <c r="H153" s="111"/>
      <c r="I153" s="111"/>
      <c r="J153" s="111"/>
      <c r="K153" s="111"/>
      <c r="L153" s="111"/>
      <c r="M153" s="109" t="s">
        <v>1036</v>
      </c>
      <c r="N153" s="109"/>
      <c r="O153" s="109"/>
      <c r="P153" s="109"/>
      <c r="Q153" s="109"/>
      <c r="R153" s="110"/>
      <c r="S153" s="110"/>
      <c r="T15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7" t="str">
        <f t="shared" ca="1" si="7"/>
        <v/>
      </c>
      <c r="V153" s="187">
        <v>45930.833333333336</v>
      </c>
    </row>
    <row r="154" spans="1:22" s="19" customFormat="1" ht="23.25" x14ac:dyDescent="0.2">
      <c r="A154" s="112"/>
      <c r="B154" s="112"/>
      <c r="C154" s="112" t="str">
        <f>IF(OR(TabellaBLENDING[[#This Row],[LUN]]="X",TabellaBLENDING[[#This Row],[MAR]]="X",TabellaBLENDING[[#This Row],[MER]]="X",TabellaBLENDING[[#This Row],[GIO]]="X",TabellaBLENDING[[#This Row],[VEN]]="X",),"X","")</f>
        <v/>
      </c>
      <c r="D154" s="109" t="s">
        <v>287</v>
      </c>
      <c r="E154" s="109" t="s">
        <v>2230</v>
      </c>
      <c r="F154" s="109">
        <v>6000</v>
      </c>
      <c r="G154" s="109" t="s">
        <v>2231</v>
      </c>
      <c r="H154" s="111"/>
      <c r="I154" s="111"/>
      <c r="J154" s="111"/>
      <c r="K154" s="111"/>
      <c r="L154" s="111"/>
      <c r="M154" s="109" t="s">
        <v>1036</v>
      </c>
      <c r="N154" s="109"/>
      <c r="O154" s="109"/>
      <c r="P154" s="109"/>
      <c r="Q154" s="109"/>
      <c r="R154" s="110"/>
      <c r="S154" s="110"/>
      <c r="T15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7" t="str">
        <f t="shared" ca="1" si="7"/>
        <v/>
      </c>
      <c r="V154" s="187">
        <v>45930.833333333336</v>
      </c>
    </row>
    <row r="155" spans="1:22" s="19" customFormat="1" ht="23.25" x14ac:dyDescent="0.2">
      <c r="A155" s="112"/>
      <c r="B155" s="112"/>
      <c r="C155" s="112" t="str">
        <f>IF(OR(TabellaBLENDING[[#This Row],[LUN]]="X",TabellaBLENDING[[#This Row],[MAR]]="X",TabellaBLENDING[[#This Row],[MER]]="X",TabellaBLENDING[[#This Row],[GIO]]="X",TabellaBLENDING[[#This Row],[VEN]]="X",),"X","")</f>
        <v/>
      </c>
      <c r="D155" s="109" t="s">
        <v>287</v>
      </c>
      <c r="E155" s="109" t="s">
        <v>2322</v>
      </c>
      <c r="F155" s="109">
        <v>6500</v>
      </c>
      <c r="G155" s="109" t="s">
        <v>2323</v>
      </c>
      <c r="H155" s="111"/>
      <c r="I155" s="111"/>
      <c r="J155" s="111"/>
      <c r="K155" s="111"/>
      <c r="L155" s="111"/>
      <c r="M155" s="109" t="s">
        <v>1036</v>
      </c>
      <c r="N155" s="109"/>
      <c r="O155" s="109"/>
      <c r="P155" s="109"/>
      <c r="Q155" s="109"/>
      <c r="R155" s="110"/>
      <c r="S155" s="110"/>
      <c r="T15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7" t="str">
        <f t="shared" ca="1" si="7"/>
        <v/>
      </c>
      <c r="V155" s="187">
        <v>45930.833333333336</v>
      </c>
    </row>
    <row r="156" spans="1:22" s="19" customFormat="1" ht="23.25" x14ac:dyDescent="0.2">
      <c r="A156" s="112"/>
      <c r="B156" s="112"/>
      <c r="C156" s="112" t="str">
        <f>IF(OR(TabellaBLENDING[[#This Row],[LUN]]="X",TabellaBLENDING[[#This Row],[MAR]]="X",TabellaBLENDING[[#This Row],[MER]]="X",TabellaBLENDING[[#This Row],[GIO]]="X",TabellaBLENDING[[#This Row],[VEN]]="X",),"X","")</f>
        <v/>
      </c>
      <c r="D156" s="109" t="s">
        <v>287</v>
      </c>
      <c r="E156" s="109" t="s">
        <v>2236</v>
      </c>
      <c r="F156" s="109">
        <v>6000</v>
      </c>
      <c r="G156" s="109" t="s">
        <v>2237</v>
      </c>
      <c r="H156" s="111"/>
      <c r="I156" s="111"/>
      <c r="J156" s="111"/>
      <c r="K156" s="111"/>
      <c r="L156" s="111"/>
      <c r="M156" s="109" t="s">
        <v>1036</v>
      </c>
      <c r="N156" s="109"/>
      <c r="O156" s="109"/>
      <c r="P156" s="109"/>
      <c r="Q156" s="109"/>
      <c r="R156" s="110"/>
      <c r="S156" s="110"/>
      <c r="T15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7" t="str">
        <f t="shared" ca="1" si="7"/>
        <v/>
      </c>
      <c r="V156" s="187">
        <v>45930.833333333336</v>
      </c>
    </row>
    <row r="157" spans="1:22" s="19" customFormat="1" ht="23.25" x14ac:dyDescent="0.2">
      <c r="A157" s="112"/>
      <c r="B157" s="112"/>
      <c r="C157" s="112" t="str">
        <f>IF(OR(TabellaBLENDING[[#This Row],[LUN]]="X",TabellaBLENDING[[#This Row],[MAR]]="X",TabellaBLENDING[[#This Row],[MER]]="X",TabellaBLENDING[[#This Row],[GIO]]="X",TabellaBLENDING[[#This Row],[VEN]]="X",),"X","")</f>
        <v/>
      </c>
      <c r="D157" s="109" t="s">
        <v>287</v>
      </c>
      <c r="E157" s="109" t="s">
        <v>2232</v>
      </c>
      <c r="F157" s="109">
        <v>6000</v>
      </c>
      <c r="G157" s="109" t="s">
        <v>2233</v>
      </c>
      <c r="H157" s="111"/>
      <c r="I157" s="111"/>
      <c r="J157" s="111"/>
      <c r="K157" s="111"/>
      <c r="L157" s="111"/>
      <c r="M157" s="109" t="s">
        <v>1036</v>
      </c>
      <c r="N157" s="109"/>
      <c r="O157" s="109"/>
      <c r="P157" s="109"/>
      <c r="Q157" s="109"/>
      <c r="R157" s="110"/>
      <c r="S157" s="110"/>
      <c r="T15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7" t="str">
        <f t="shared" ca="1" si="7"/>
        <v/>
      </c>
      <c r="V157" s="187">
        <v>45930.833333333336</v>
      </c>
    </row>
    <row r="158" spans="1:22" s="19" customFormat="1" ht="23.25" x14ac:dyDescent="0.2">
      <c r="A158" s="112"/>
      <c r="B158" s="112"/>
      <c r="C158" s="112" t="str">
        <f>IF(OR(TabellaBLENDING[[#This Row],[LUN]]="X",TabellaBLENDING[[#This Row],[MAR]]="X",TabellaBLENDING[[#This Row],[MER]]="X",TabellaBLENDING[[#This Row],[GIO]]="X",TabellaBLENDING[[#This Row],[VEN]]="X",),"X","")</f>
        <v/>
      </c>
      <c r="D158" s="109" t="s">
        <v>287</v>
      </c>
      <c r="E158" s="109" t="s">
        <v>2369</v>
      </c>
      <c r="F158" s="109" t="s">
        <v>1703</v>
      </c>
      <c r="G158" s="109" t="s">
        <v>2370</v>
      </c>
      <c r="H158" s="111"/>
      <c r="I158" s="111"/>
      <c r="J158" s="111"/>
      <c r="K158" s="111"/>
      <c r="L158" s="111"/>
      <c r="M158" s="109" t="s">
        <v>1036</v>
      </c>
      <c r="N158" s="109"/>
      <c r="O158" s="109"/>
      <c r="P158" s="109"/>
      <c r="Q158" s="109"/>
      <c r="R158" s="110"/>
      <c r="S158" s="110"/>
      <c r="T15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1"/>
      <c r="V158" s="187">
        <v>45930.833333333336</v>
      </c>
    </row>
    <row r="159" spans="1:22" s="19" customFormat="1" ht="30" x14ac:dyDescent="0.2">
      <c r="A159" s="112"/>
      <c r="B159" s="112"/>
      <c r="C159" s="112" t="str">
        <f>IF(OR(TabellaBLENDING[[#This Row],[LUN]]="X",TabellaBLENDING[[#This Row],[MAR]]="X",TabellaBLENDING[[#This Row],[MER]]="X",TabellaBLENDING[[#This Row],[GIO]]="X",TabellaBLENDING[[#This Row],[VEN]]="X",),"X","")</f>
        <v/>
      </c>
      <c r="D159" s="109" t="s">
        <v>287</v>
      </c>
      <c r="E159" s="109" t="s">
        <v>2454</v>
      </c>
      <c r="F159" s="109" t="s">
        <v>1595</v>
      </c>
      <c r="G159" s="109" t="s">
        <v>2455</v>
      </c>
      <c r="H159" s="111"/>
      <c r="I159" s="111"/>
      <c r="J159" s="111"/>
      <c r="K159" s="111"/>
      <c r="L159" s="111"/>
      <c r="M159" s="109" t="s">
        <v>1036</v>
      </c>
      <c r="N159" s="109"/>
      <c r="O159" s="109"/>
      <c r="P159" s="109"/>
      <c r="Q159" s="109"/>
      <c r="R159" s="110"/>
      <c r="S159" s="110"/>
      <c r="T15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1"/>
      <c r="V159" s="187">
        <v>45930.833333333336</v>
      </c>
    </row>
    <row r="160" spans="1:22" s="19" customFormat="1" ht="23.25" x14ac:dyDescent="0.2">
      <c r="A160" s="112"/>
      <c r="B160" s="112"/>
      <c r="C160" s="112" t="str">
        <f>IF(OR(TabellaBLENDING[[#This Row],[LUN]]="X",TabellaBLENDING[[#This Row],[MAR]]="X",TabellaBLENDING[[#This Row],[MER]]="X",TabellaBLENDING[[#This Row],[GIO]]="X",TabellaBLENDING[[#This Row],[VEN]]="X",),"X","")</f>
        <v/>
      </c>
      <c r="D160" s="109" t="s">
        <v>287</v>
      </c>
      <c r="E160" s="109" t="s">
        <v>2544</v>
      </c>
      <c r="F160" s="109">
        <v>6300</v>
      </c>
      <c r="G160" s="109" t="s">
        <v>2545</v>
      </c>
      <c r="H160" s="111"/>
      <c r="I160" s="111"/>
      <c r="J160" s="111"/>
      <c r="K160" s="111"/>
      <c r="L160" s="111"/>
      <c r="M160" s="109" t="s">
        <v>1036</v>
      </c>
      <c r="N160" s="109"/>
      <c r="O160" s="109"/>
      <c r="P160" s="109"/>
      <c r="Q160" s="109"/>
      <c r="R160" s="110"/>
      <c r="S160" s="110"/>
      <c r="T16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1"/>
      <c r="V160" s="187">
        <v>45930.833333333336</v>
      </c>
    </row>
    <row r="161" spans="1:22" s="19" customFormat="1" ht="30" x14ac:dyDescent="0.2">
      <c r="A161" s="112"/>
      <c r="B161" s="112"/>
      <c r="C161" s="112" t="str">
        <f>IF(OR(TabellaBLENDING[[#This Row],[LUN]]="X",TabellaBLENDING[[#This Row],[MAR]]="X",TabellaBLENDING[[#This Row],[MER]]="X",TabellaBLENDING[[#This Row],[GIO]]="X",TabellaBLENDING[[#This Row],[VEN]]="X",),"X","")</f>
        <v/>
      </c>
      <c r="D161" s="109" t="s">
        <v>287</v>
      </c>
      <c r="E161" s="109" t="s">
        <v>2600</v>
      </c>
      <c r="F161" s="109" t="s">
        <v>2602</v>
      </c>
      <c r="G161" s="109" t="s">
        <v>2601</v>
      </c>
      <c r="H161" s="111"/>
      <c r="I161" s="111"/>
      <c r="J161" s="111"/>
      <c r="K161" s="111"/>
      <c r="L161" s="111"/>
      <c r="M161" s="109" t="s">
        <v>1036</v>
      </c>
      <c r="N161" s="109"/>
      <c r="O161" s="109"/>
      <c r="P161" s="109"/>
      <c r="Q161" s="109"/>
      <c r="R161" s="110"/>
      <c r="S161" s="110"/>
      <c r="T16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1"/>
      <c r="V161" s="187">
        <v>45930.833333333336</v>
      </c>
    </row>
    <row r="162" spans="1:22" s="19" customFormat="1" ht="30" x14ac:dyDescent="0.2">
      <c r="A162" s="112"/>
      <c r="B162" s="112"/>
      <c r="C162" s="112" t="str">
        <f>IF(OR(TabellaBLENDING[[#This Row],[LUN]]="X",TabellaBLENDING[[#This Row],[MAR]]="X",TabellaBLENDING[[#This Row],[MER]]="X",TabellaBLENDING[[#This Row],[GIO]]="X",TabellaBLENDING[[#This Row],[VEN]]="X",),"X","")</f>
        <v/>
      </c>
      <c r="D162" s="109" t="s">
        <v>287</v>
      </c>
      <c r="E162" s="109" t="s">
        <v>2611</v>
      </c>
      <c r="F162" s="109" t="s">
        <v>1703</v>
      </c>
      <c r="G162" s="109" t="s">
        <v>2612</v>
      </c>
      <c r="H162" s="111"/>
      <c r="I162" s="111"/>
      <c r="J162" s="111"/>
      <c r="K162" s="111"/>
      <c r="L162" s="111"/>
      <c r="M162" s="109" t="s">
        <v>1036</v>
      </c>
      <c r="N162" s="109"/>
      <c r="O162" s="109"/>
      <c r="P162" s="109"/>
      <c r="Q162" s="109"/>
      <c r="R162" s="110"/>
      <c r="S162" s="110"/>
      <c r="T16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1"/>
      <c r="V162" s="187">
        <v>45930.833333333336</v>
      </c>
    </row>
    <row r="163" spans="1:22" s="19" customFormat="1" ht="30" x14ac:dyDescent="0.2">
      <c r="A163" s="112"/>
      <c r="B163" s="112"/>
      <c r="C163" s="112" t="str">
        <f>IF(OR(TabellaBLENDING[[#This Row],[LUN]]="X",TabellaBLENDING[[#This Row],[MAR]]="X",TabellaBLENDING[[#This Row],[MER]]="X",TabellaBLENDING[[#This Row],[GIO]]="X",TabellaBLENDING[[#This Row],[VEN]]="X",),"X","")</f>
        <v/>
      </c>
      <c r="D163" s="109" t="s">
        <v>287</v>
      </c>
      <c r="E163" s="109" t="s">
        <v>2555</v>
      </c>
      <c r="F163" s="109" t="s">
        <v>1703</v>
      </c>
      <c r="G163" s="109" t="s">
        <v>2556</v>
      </c>
      <c r="H163" s="111"/>
      <c r="I163" s="111"/>
      <c r="J163" s="111"/>
      <c r="K163" s="111"/>
      <c r="L163" s="111"/>
      <c r="M163" s="109" t="s">
        <v>1036</v>
      </c>
      <c r="N163" s="109"/>
      <c r="O163" s="109"/>
      <c r="P163" s="109"/>
      <c r="Q163" s="109" t="s">
        <v>2669</v>
      </c>
      <c r="R163" s="110">
        <v>45888</v>
      </c>
      <c r="S163" s="110" t="s">
        <v>206</v>
      </c>
      <c r="T16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1"/>
      <c r="V163" s="187">
        <v>45930.833333333336</v>
      </c>
    </row>
    <row r="164" spans="1:22" s="19" customFormat="1" ht="30" x14ac:dyDescent="0.2">
      <c r="A164" s="112"/>
      <c r="B164" s="112"/>
      <c r="C164" s="112" t="str">
        <f>IF(OR(TabellaBLENDING[[#This Row],[LUN]]="X",TabellaBLENDING[[#This Row],[MAR]]="X",TabellaBLENDING[[#This Row],[MER]]="X",TabellaBLENDING[[#This Row],[GIO]]="X",TabellaBLENDING[[#This Row],[VEN]]="X",),"X","")</f>
        <v/>
      </c>
      <c r="D164" s="109" t="s">
        <v>287</v>
      </c>
      <c r="E164" s="109" t="s">
        <v>2613</v>
      </c>
      <c r="F164" s="109" t="s">
        <v>1703</v>
      </c>
      <c r="G164" s="109" t="s">
        <v>2614</v>
      </c>
      <c r="H164" s="111"/>
      <c r="I164" s="111"/>
      <c r="J164" s="111"/>
      <c r="K164" s="111"/>
      <c r="L164" s="111"/>
      <c r="M164" s="109" t="s">
        <v>1036</v>
      </c>
      <c r="N164" s="109"/>
      <c r="O164" s="109"/>
      <c r="P164" s="109"/>
      <c r="Q164" s="109"/>
      <c r="R164" s="110"/>
      <c r="S164" s="110"/>
      <c r="T16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1"/>
      <c r="V164" s="187">
        <v>45930.833333333336</v>
      </c>
    </row>
    <row r="165" spans="1:22" s="19" customFormat="1" ht="23.25" x14ac:dyDescent="0.2">
      <c r="A165" s="112"/>
      <c r="B165" s="112"/>
      <c r="C165" s="112" t="str">
        <f>IF(OR(TabellaBLENDING[[#This Row],[LUN]]="X",TabellaBLENDING[[#This Row],[MAR]]="X",TabellaBLENDING[[#This Row],[MER]]="X",TabellaBLENDING[[#This Row],[GIO]]="X",TabellaBLENDING[[#This Row],[VEN]]="X",),"X","")</f>
        <v/>
      </c>
      <c r="D165" s="109" t="s">
        <v>287</v>
      </c>
      <c r="E165" s="109" t="s">
        <v>2841</v>
      </c>
      <c r="F165" s="109" t="s">
        <v>1703</v>
      </c>
      <c r="G165" s="109" t="s">
        <v>2842</v>
      </c>
      <c r="H165" s="111"/>
      <c r="I165" s="111"/>
      <c r="J165" s="111"/>
      <c r="K165" s="111"/>
      <c r="L165" s="111"/>
      <c r="M165" s="109" t="s">
        <v>1036</v>
      </c>
      <c r="N165" s="109"/>
      <c r="O165" s="109"/>
      <c r="P165" s="109"/>
      <c r="Q165" s="109"/>
      <c r="R165" s="110"/>
      <c r="S165" s="110"/>
      <c r="T16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1"/>
      <c r="V165" s="187">
        <v>45930.833333333336</v>
      </c>
    </row>
    <row r="166" spans="1:22" s="19" customFormat="1" ht="30" x14ac:dyDescent="0.2">
      <c r="A166" s="112"/>
      <c r="B166" s="112"/>
      <c r="C166" s="112" t="str">
        <f>IF(OR(TabellaBLENDING[[#This Row],[LUN]]="X",TabellaBLENDING[[#This Row],[MAR]]="X",TabellaBLENDING[[#This Row],[MER]]="X",TabellaBLENDING[[#This Row],[GIO]]="X",TabellaBLENDING[[#This Row],[VEN]]="X",),"X","")</f>
        <v/>
      </c>
      <c r="D166" s="109" t="s">
        <v>287</v>
      </c>
      <c r="E166" s="109" t="s">
        <v>2845</v>
      </c>
      <c r="F166" s="109" t="s">
        <v>1595</v>
      </c>
      <c r="G166" s="109" t="s">
        <v>2846</v>
      </c>
      <c r="H166" s="111"/>
      <c r="I166" s="111"/>
      <c r="J166" s="111"/>
      <c r="K166" s="111"/>
      <c r="L166" s="111"/>
      <c r="M166" s="109" t="s">
        <v>1036</v>
      </c>
      <c r="N166" s="109"/>
      <c r="O166" s="109"/>
      <c r="P166" s="109"/>
      <c r="Q166" s="109"/>
      <c r="R166" s="110"/>
      <c r="S166" s="110"/>
      <c r="T16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1"/>
      <c r="V166" s="187">
        <v>45930.833333333336</v>
      </c>
    </row>
    <row r="167" spans="1:22" s="19" customFormat="1" ht="30" x14ac:dyDescent="0.2">
      <c r="A167" s="112"/>
      <c r="B167" s="112" t="str">
        <f>IF(OR(A167="x",A167="X"),"",IF(ISBLANK(A167),"X",""))</f>
        <v>X</v>
      </c>
      <c r="C167" s="112" t="str">
        <f>IF(OR(TabellaBLENDING[[#This Row],[LUN]]="X",TabellaBLENDING[[#This Row],[MAR]]="X",TabellaBLENDING[[#This Row],[MER]]="X",TabellaBLENDING[[#This Row],[GIO]]="X",TabellaBLENDING[[#This Row],[VEN]]="X",),"X","")</f>
        <v/>
      </c>
      <c r="D167" s="109" t="s">
        <v>287</v>
      </c>
      <c r="E167" s="109" t="s">
        <v>1562</v>
      </c>
      <c r="F167" s="109" t="s">
        <v>287</v>
      </c>
      <c r="G167" s="109" t="s">
        <v>1552</v>
      </c>
      <c r="H167" s="111"/>
      <c r="I167" s="111"/>
      <c r="J167" s="111"/>
      <c r="K167" s="111"/>
      <c r="L167" s="111"/>
      <c r="M167" s="109" t="s">
        <v>1036</v>
      </c>
      <c r="N167" s="109"/>
      <c r="O167" s="109"/>
      <c r="P167" s="109"/>
      <c r="Q167" s="109"/>
      <c r="R167" s="110">
        <v>45894</v>
      </c>
      <c r="S167" s="110" t="s">
        <v>206</v>
      </c>
      <c r="T16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4" t="str">
        <f ca="1">IFERROR(MID(G167,_xlfn.AGGREGATE(15,6,(ROW(INDIRECT("1:"&amp;LEN(G167)-7)))/(ISNUMBER(--MID(G167,ROW(INDIRECT("1:"&amp;LEN(G167)-7)),8))),1),8),"")</f>
        <v/>
      </c>
      <c r="V167" s="187">
        <v>45930.833333333336</v>
      </c>
    </row>
    <row r="168" spans="1:22" s="19" customFormat="1" ht="30" x14ac:dyDescent="0.2">
      <c r="A168" s="112"/>
      <c r="B168" s="112" t="str">
        <f>IF(OR(A168="x",A168="X"),"",IF(ISBLANK(A168),"X",""))</f>
        <v>X</v>
      </c>
      <c r="C168" s="112" t="str">
        <f>IF(OR(TabellaBLENDING[[#This Row],[LUN]]="X",TabellaBLENDING[[#This Row],[MAR]]="X",TabellaBLENDING[[#This Row],[MER]]="X",TabellaBLENDING[[#This Row],[GIO]]="X",TabellaBLENDING[[#This Row],[VEN]]="X",),"X","")</f>
        <v/>
      </c>
      <c r="D168" s="109" t="s">
        <v>287</v>
      </c>
      <c r="E168" s="109" t="s">
        <v>1561</v>
      </c>
      <c r="F168" s="109" t="s">
        <v>287</v>
      </c>
      <c r="G168" s="109" t="s">
        <v>1551</v>
      </c>
      <c r="H168" s="111"/>
      <c r="I168" s="111"/>
      <c r="J168" s="111"/>
      <c r="K168" s="111"/>
      <c r="L168" s="111"/>
      <c r="M168" s="109" t="s">
        <v>1036</v>
      </c>
      <c r="N168" s="109"/>
      <c r="O168" s="109"/>
      <c r="P168" s="109"/>
      <c r="Q168" s="109"/>
      <c r="R168" s="110"/>
      <c r="S168" s="110"/>
      <c r="T16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4" t="str">
        <f ca="1">IFERROR(MID(G168,_xlfn.AGGREGATE(15,6,(ROW(INDIRECT("1:"&amp;LEN(G168)-7)))/(ISNUMBER(--MID(G168,ROW(INDIRECT("1:"&amp;LEN(G168)-7)),8))),1),8),"")</f>
        <v/>
      </c>
      <c r="V168" s="187">
        <v>45930.833333333336</v>
      </c>
    </row>
    <row r="169" spans="1:22" s="19" customFormat="1" ht="30" x14ac:dyDescent="0.2">
      <c r="A169" s="112"/>
      <c r="B169" s="112" t="str">
        <f>IF(OR(A169="x",A169="X"),"",IF(ISBLANK(A169),"X",""))</f>
        <v>X</v>
      </c>
      <c r="C169" s="112" t="str">
        <f>IF(OR(TabellaBLENDING[[#This Row],[LUN]]="X",TabellaBLENDING[[#This Row],[MAR]]="X",TabellaBLENDING[[#This Row],[MER]]="X",TabellaBLENDING[[#This Row],[GIO]]="X",TabellaBLENDING[[#This Row],[VEN]]="X",),"X","")</f>
        <v/>
      </c>
      <c r="D169" s="109" t="s">
        <v>287</v>
      </c>
      <c r="E169" s="109" t="s">
        <v>1560</v>
      </c>
      <c r="F169" s="109" t="s">
        <v>287</v>
      </c>
      <c r="G169" s="109" t="s">
        <v>1550</v>
      </c>
      <c r="H169" s="111"/>
      <c r="I169" s="111"/>
      <c r="J169" s="111"/>
      <c r="K169" s="111"/>
      <c r="L169" s="111"/>
      <c r="M169" s="109" t="s">
        <v>1036</v>
      </c>
      <c r="N169" s="109"/>
      <c r="O169" s="109"/>
      <c r="P169" s="109"/>
      <c r="Q169" s="109"/>
      <c r="R169" s="110"/>
      <c r="S169" s="110"/>
      <c r="T16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4" t="str">
        <f ca="1">IFERROR(MID(G169,_xlfn.AGGREGATE(15,6,(ROW(INDIRECT("1:"&amp;LEN(G169)-7)))/(ISNUMBER(--MID(G169,ROW(INDIRECT("1:"&amp;LEN(G169)-7)),8))),1),8),"")</f>
        <v/>
      </c>
      <c r="V169" s="187">
        <v>45930.833333333336</v>
      </c>
    </row>
    <row r="170" spans="1:22" s="19" customFormat="1" ht="23.25" x14ac:dyDescent="0.2">
      <c r="A170" s="112"/>
      <c r="B170" s="112"/>
      <c r="C170" s="112" t="str">
        <f>IF(OR(TabellaBLENDING[[#This Row],[LUN]]="X",TabellaBLENDING[[#This Row],[MAR]]="X",TabellaBLENDING[[#This Row],[MER]]="X",TabellaBLENDING[[#This Row],[GIO]]="X",TabellaBLENDING[[#This Row],[VEN]]="X",),"X","")</f>
        <v/>
      </c>
      <c r="D170" s="109" t="s">
        <v>287</v>
      </c>
      <c r="E170" s="109" t="s">
        <v>2882</v>
      </c>
      <c r="F170" s="109" t="s">
        <v>1595</v>
      </c>
      <c r="G170" s="109" t="s">
        <v>2883</v>
      </c>
      <c r="H170" s="111"/>
      <c r="I170" s="111"/>
      <c r="J170" s="111"/>
      <c r="K170" s="111"/>
      <c r="L170" s="111"/>
      <c r="M170" s="109" t="s">
        <v>1036</v>
      </c>
      <c r="N170" s="109"/>
      <c r="O170" s="109"/>
      <c r="P170" s="109"/>
      <c r="Q170" s="109"/>
      <c r="R170" s="110"/>
      <c r="S170" s="110"/>
      <c r="T17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1"/>
      <c r="V170" s="187">
        <v>45930.833333333336</v>
      </c>
    </row>
    <row r="171" spans="1:22" s="19" customFormat="1" ht="30" x14ac:dyDescent="0.2">
      <c r="A171" s="112"/>
      <c r="B171" s="112"/>
      <c r="C171" s="112" t="str">
        <f>IF(OR(TabellaBLENDING[[#This Row],[LUN]]="X",TabellaBLENDING[[#This Row],[MAR]]="X",TabellaBLENDING[[#This Row],[MER]]="X",TabellaBLENDING[[#This Row],[GIO]]="X",TabellaBLENDING[[#This Row],[VEN]]="X",),"X","")</f>
        <v/>
      </c>
      <c r="D171" s="109" t="s">
        <v>287</v>
      </c>
      <c r="E171" s="109" t="s">
        <v>2938</v>
      </c>
      <c r="F171" s="109">
        <v>1300</v>
      </c>
      <c r="G171" s="109" t="s">
        <v>2939</v>
      </c>
      <c r="H171" s="111"/>
      <c r="I171" s="111"/>
      <c r="J171" s="111"/>
      <c r="K171" s="111"/>
      <c r="L171" s="111"/>
      <c r="M171" s="109" t="s">
        <v>1036</v>
      </c>
      <c r="N171" s="109"/>
      <c r="O171" s="109"/>
      <c r="P171" s="109"/>
      <c r="Q171" s="109"/>
      <c r="R171" s="110"/>
      <c r="S171" s="110"/>
      <c r="T17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1"/>
      <c r="V171" s="187">
        <v>45930.833333333336</v>
      </c>
    </row>
    <row r="172" spans="1:22" s="19" customFormat="1" ht="30" x14ac:dyDescent="0.2">
      <c r="A172" s="112"/>
      <c r="B172" s="112"/>
      <c r="C172" s="112" t="str">
        <f>IF(OR(TabellaBLENDING[[#This Row],[LUN]]="X",TabellaBLENDING[[#This Row],[MAR]]="X",TabellaBLENDING[[#This Row],[MER]]="X",TabellaBLENDING[[#This Row],[GIO]]="X",TabellaBLENDING[[#This Row],[VEN]]="X",),"X","")</f>
        <v/>
      </c>
      <c r="D172" s="109" t="s">
        <v>287</v>
      </c>
      <c r="E172" s="109" t="s">
        <v>2839</v>
      </c>
      <c r="F172" s="109">
        <v>1300</v>
      </c>
      <c r="G172" s="109" t="s">
        <v>2840</v>
      </c>
      <c r="H172" s="111"/>
      <c r="I172" s="111"/>
      <c r="J172" s="111"/>
      <c r="K172" s="111"/>
      <c r="L172" s="111"/>
      <c r="M172" s="109" t="s">
        <v>1036</v>
      </c>
      <c r="N172" s="109"/>
      <c r="O172" s="109"/>
      <c r="P172" s="109"/>
      <c r="Q172" s="109"/>
      <c r="R172" s="110"/>
      <c r="S172" s="110"/>
      <c r="T17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1"/>
      <c r="V172" s="187">
        <v>45930.833333333336</v>
      </c>
    </row>
    <row r="173" spans="1:22" s="19" customFormat="1" ht="23.25" x14ac:dyDescent="0.2">
      <c r="A173" s="112"/>
      <c r="B173" s="112"/>
      <c r="C173" s="112" t="str">
        <f>IF(OR(TabellaBLENDING[[#This Row],[LUN]]="X",TabellaBLENDING[[#This Row],[MAR]]="X",TabellaBLENDING[[#This Row],[MER]]="X",TabellaBLENDING[[#This Row],[GIO]]="X",TabellaBLENDING[[#This Row],[VEN]]="X",),"X","")</f>
        <v/>
      </c>
      <c r="D173" s="109" t="s">
        <v>287</v>
      </c>
      <c r="E173" s="109" t="s">
        <v>3023</v>
      </c>
      <c r="F173" s="109">
        <v>6200</v>
      </c>
      <c r="G173" s="109" t="s">
        <v>3024</v>
      </c>
      <c r="H173" s="111"/>
      <c r="I173" s="111"/>
      <c r="J173" s="111"/>
      <c r="K173" s="111"/>
      <c r="L173" s="111"/>
      <c r="M173" s="109" t="s">
        <v>1036</v>
      </c>
      <c r="N173" s="109"/>
      <c r="O173" s="109"/>
      <c r="P173" s="109"/>
      <c r="Q173" s="109"/>
      <c r="R173" s="110"/>
      <c r="S173" s="110"/>
      <c r="T17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1"/>
      <c r="V173" s="187">
        <v>45930.833333333336</v>
      </c>
    </row>
    <row r="174" spans="1:22" s="19" customFormat="1" ht="45" x14ac:dyDescent="0.2">
      <c r="A174" s="112"/>
      <c r="B174" s="112"/>
      <c r="C174" s="112" t="str">
        <f>IF(OR(TabellaBLENDING[[#This Row],[LUN]]="X",TabellaBLENDING[[#This Row],[MAR]]="X",TabellaBLENDING[[#This Row],[MER]]="X",TabellaBLENDING[[#This Row],[GIO]]="X",TabellaBLENDING[[#This Row],[VEN]]="X",),"X","")</f>
        <v/>
      </c>
      <c r="D174" s="109" t="s">
        <v>287</v>
      </c>
      <c r="E174" s="109" t="s">
        <v>3041</v>
      </c>
      <c r="F174" s="109">
        <v>6500</v>
      </c>
      <c r="G174" s="109" t="s">
        <v>3042</v>
      </c>
      <c r="H174" s="111"/>
      <c r="I174" s="111"/>
      <c r="J174" s="111"/>
      <c r="K174" s="111"/>
      <c r="L174" s="111"/>
      <c r="M174" s="109" t="s">
        <v>1036</v>
      </c>
      <c r="N174" s="109"/>
      <c r="O174" s="109"/>
      <c r="P174" s="109"/>
      <c r="Q174" s="109" t="s">
        <v>3064</v>
      </c>
      <c r="R174" s="110">
        <v>45924</v>
      </c>
      <c r="S174" s="110" t="s">
        <v>203</v>
      </c>
      <c r="T1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1"/>
      <c r="V174" s="187">
        <v>45930.833333333336</v>
      </c>
    </row>
    <row r="175" spans="1:22" s="19" customFormat="1" ht="90" x14ac:dyDescent="0.2">
      <c r="A175" s="112"/>
      <c r="B175" s="112"/>
      <c r="C175" s="112" t="str">
        <f>IF(OR(TabellaBLENDING[[#This Row],[LUN]]="X",TabellaBLENDING[[#This Row],[MAR]]="X",TabellaBLENDING[[#This Row],[MER]]="X",TabellaBLENDING[[#This Row],[GIO]]="X",TabellaBLENDING[[#This Row],[VEN]]="X",),"X","")</f>
        <v/>
      </c>
      <c r="D175" s="109" t="s">
        <v>287</v>
      </c>
      <c r="E175" s="109" t="s">
        <v>3010</v>
      </c>
      <c r="F175" s="109">
        <v>6200</v>
      </c>
      <c r="G175" s="109" t="s">
        <v>3011</v>
      </c>
      <c r="H175" s="111"/>
      <c r="I175" s="111"/>
      <c r="J175" s="111"/>
      <c r="K175" s="111"/>
      <c r="L175" s="111"/>
      <c r="M175" s="109" t="s">
        <v>1036</v>
      </c>
      <c r="N175" s="109"/>
      <c r="O175" s="109"/>
      <c r="P175" s="109"/>
      <c r="Q175" s="109" t="s">
        <v>3065</v>
      </c>
      <c r="R175" s="110">
        <v>45924</v>
      </c>
      <c r="S175" s="110" t="s">
        <v>206</v>
      </c>
      <c r="T1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1"/>
      <c r="V175" s="187">
        <v>45930.833333333336</v>
      </c>
    </row>
    <row r="176" spans="1:22" s="19" customFormat="1" ht="23.25" x14ac:dyDescent="0.2">
      <c r="A176" s="112"/>
      <c r="B176" s="112"/>
      <c r="C176" s="112" t="str">
        <f>IF(OR(TabellaBLENDING[[#This Row],[LUN]]="X",TabellaBLENDING[[#This Row],[MAR]]="X",TabellaBLENDING[[#This Row],[MER]]="X",TabellaBLENDING[[#This Row],[GIO]]="X",TabellaBLENDING[[#This Row],[VEN]]="X",),"X","")</f>
        <v>X</v>
      </c>
      <c r="D176" s="109" t="s">
        <v>287</v>
      </c>
      <c r="E176" s="109" t="s">
        <v>3060</v>
      </c>
      <c r="F176" s="109">
        <v>6400</v>
      </c>
      <c r="G176" s="109" t="s">
        <v>3061</v>
      </c>
      <c r="H176" s="111"/>
      <c r="I176" s="111" t="s">
        <v>23</v>
      </c>
      <c r="J176" s="111"/>
      <c r="K176" s="111"/>
      <c r="L176" s="111"/>
      <c r="M176" s="109" t="s">
        <v>1036</v>
      </c>
      <c r="N176" s="109"/>
      <c r="O176" s="109"/>
      <c r="P176" s="109"/>
      <c r="Q176" s="109"/>
      <c r="R176" s="110"/>
      <c r="S176" s="110"/>
      <c r="T1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6" s="151"/>
      <c r="V176" s="187">
        <v>45930.833333333336</v>
      </c>
    </row>
    <row r="177" spans="1:22" s="19" customFormat="1" ht="23.25" x14ac:dyDescent="0.2">
      <c r="A177" s="112"/>
      <c r="B177" s="112"/>
      <c r="C177" s="112" t="str">
        <f>IF(OR(TabellaBLENDING[[#This Row],[LUN]]="X",TabellaBLENDING[[#This Row],[MAR]]="X",TabellaBLENDING[[#This Row],[MER]]="X",TabellaBLENDING[[#This Row],[GIO]]="X",TabellaBLENDING[[#This Row],[VEN]]="X",),"X","")</f>
        <v/>
      </c>
      <c r="D177" s="109" t="s">
        <v>287</v>
      </c>
      <c r="E177" s="109" t="s">
        <v>3043</v>
      </c>
      <c r="F177" s="109">
        <v>6500</v>
      </c>
      <c r="G177" s="109" t="s">
        <v>3042</v>
      </c>
      <c r="H177" s="111"/>
      <c r="I177" s="111"/>
      <c r="J177" s="111"/>
      <c r="K177" s="111"/>
      <c r="L177" s="111"/>
      <c r="M177" s="109" t="s">
        <v>1036</v>
      </c>
      <c r="N177" s="109"/>
      <c r="O177" s="109"/>
      <c r="P177" s="109"/>
      <c r="Q177" s="109"/>
      <c r="R177" s="110"/>
      <c r="S177" s="110"/>
      <c r="T1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7" s="151"/>
      <c r="V177" s="187">
        <v>45930.833333333336</v>
      </c>
    </row>
    <row r="178" spans="1:22" s="19" customFormat="1" ht="23.25" x14ac:dyDescent="0.2">
      <c r="A178" s="112"/>
      <c r="B178" s="112"/>
      <c r="C178" s="112" t="str">
        <f>IF(OR(TabellaBLENDING[[#This Row],[LUN]]="X",TabellaBLENDING[[#This Row],[MAR]]="X",TabellaBLENDING[[#This Row],[MER]]="X",TabellaBLENDING[[#This Row],[GIO]]="X",TabellaBLENDING[[#This Row],[VEN]]="X",),"X","")</f>
        <v>X</v>
      </c>
      <c r="D178" s="109" t="s">
        <v>287</v>
      </c>
      <c r="E178" s="109" t="s">
        <v>3136</v>
      </c>
      <c r="F178" s="109">
        <v>6200</v>
      </c>
      <c r="G178" s="109" t="s">
        <v>3137</v>
      </c>
      <c r="H178" s="111"/>
      <c r="I178" s="111" t="s">
        <v>23</v>
      </c>
      <c r="J178" s="111" t="s">
        <v>23</v>
      </c>
      <c r="K178" s="111"/>
      <c r="L178" s="111"/>
      <c r="M178" s="109" t="s">
        <v>1036</v>
      </c>
      <c r="N178" s="109"/>
      <c r="O178" s="109"/>
      <c r="P178" s="109"/>
      <c r="Q178" s="109"/>
      <c r="R178" s="110"/>
      <c r="S178" s="110"/>
      <c r="T1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8" s="151"/>
      <c r="V178" s="187">
        <v>45930.833333333336</v>
      </c>
    </row>
    <row r="179" spans="1:22" s="19" customFormat="1" ht="30" x14ac:dyDescent="0.25">
      <c r="A179" s="112"/>
      <c r="B179" s="112" t="str">
        <f>IF(OR(A179="x",A179="X"),"",IF(ISBLANK(A179),"X",""))</f>
        <v>X</v>
      </c>
      <c r="C179" s="112" t="str">
        <f>IF(OR(TabellaBLENDING[[#This Row],[LUN]]="X",TabellaBLENDING[[#This Row],[MAR]]="X",TabellaBLENDING[[#This Row],[MER]]="X",TabellaBLENDING[[#This Row],[GIO]]="X",TabellaBLENDING[[#This Row],[VEN]]="X",),"X","")</f>
        <v/>
      </c>
      <c r="D179" s="109" t="s">
        <v>287</v>
      </c>
      <c r="E179" s="109" t="s">
        <v>826</v>
      </c>
      <c r="F179" s="109" t="s">
        <v>292</v>
      </c>
      <c r="G179" s="109" t="s">
        <v>762</v>
      </c>
      <c r="H179" s="111"/>
      <c r="I179" s="111"/>
      <c r="J179" s="111"/>
      <c r="K179" s="111"/>
      <c r="L179" s="111"/>
      <c r="M179" s="109" t="s">
        <v>1257</v>
      </c>
      <c r="N179" s="109"/>
      <c r="O179" s="109"/>
      <c r="P179" s="109"/>
      <c r="Q179" s="109" t="s">
        <v>771</v>
      </c>
      <c r="R179" s="110">
        <v>45712</v>
      </c>
      <c r="S179" s="110" t="s">
        <v>554</v>
      </c>
      <c r="T17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40" t="str">
        <f ca="1">IFERROR(MID(G179,_xlfn.AGGREGATE(15,6,(ROW(INDIRECT("1:"&amp;LEN(G179)-7)))/(ISNUMBER(--MID(G179,ROW(INDIRECT("1:"&amp;LEN(G179)-7)),8))),1),8),"")</f>
        <v/>
      </c>
      <c r="V179" s="187">
        <v>45930.833333333336</v>
      </c>
    </row>
    <row r="180" spans="1:22" s="19" customFormat="1" ht="30" x14ac:dyDescent="0.25">
      <c r="A180" s="112"/>
      <c r="B180" s="112" t="str">
        <f>IF(OR(A180="x",A180="X"),"",IF(ISBLANK(A180),"X",""))</f>
        <v>X</v>
      </c>
      <c r="C180" s="112" t="str">
        <f>IF(OR(TabellaBLENDING[[#This Row],[LUN]]="X",TabellaBLENDING[[#This Row],[MAR]]="X",TabellaBLENDING[[#This Row],[MER]]="X",TabellaBLENDING[[#This Row],[GIO]]="X",TabellaBLENDING[[#This Row],[VEN]]="X",),"X","")</f>
        <v/>
      </c>
      <c r="D180" s="109" t="s">
        <v>287</v>
      </c>
      <c r="E180" s="109" t="s">
        <v>684</v>
      </c>
      <c r="F180" s="109" t="s">
        <v>287</v>
      </c>
      <c r="G180" s="109" t="s">
        <v>667</v>
      </c>
      <c r="H180" s="111"/>
      <c r="I180" s="111"/>
      <c r="J180" s="111"/>
      <c r="K180" s="111"/>
      <c r="L180" s="111"/>
      <c r="M180" s="109" t="s">
        <v>1257</v>
      </c>
      <c r="N180" s="109"/>
      <c r="O180" s="109"/>
      <c r="P180" s="109"/>
      <c r="Q180" s="109" t="s">
        <v>682</v>
      </c>
      <c r="R180" s="110">
        <v>45700</v>
      </c>
      <c r="S180" s="110" t="s">
        <v>635</v>
      </c>
      <c r="T18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40" t="str">
        <f ca="1">IFERROR(MID(G180,_xlfn.AGGREGATE(15,6,(ROW(INDIRECT("1:"&amp;LEN(G180)-7)))/(ISNUMBER(--MID(G180,ROW(INDIRECT("1:"&amp;LEN(G180)-7)),8))),1),8),"")</f>
        <v/>
      </c>
      <c r="V180" s="187">
        <v>45930.833333333336</v>
      </c>
    </row>
    <row r="181" spans="1:22" s="19" customFormat="1" ht="23.25" x14ac:dyDescent="0.2">
      <c r="A181" s="112"/>
      <c r="B181" s="112"/>
      <c r="C181" s="112" t="str">
        <f>IF(OR(TabellaBLENDING[[#This Row],[LUN]]="X",TabellaBLENDING[[#This Row],[MAR]]="X",TabellaBLENDING[[#This Row],[MER]]="X",TabellaBLENDING[[#This Row],[GIO]]="X",TabellaBLENDING[[#This Row],[VEN]]="X",),"X","")</f>
        <v/>
      </c>
      <c r="D181" s="109" t="s">
        <v>287</v>
      </c>
      <c r="E181" s="109" t="s">
        <v>2238</v>
      </c>
      <c r="F181" s="109">
        <v>6000</v>
      </c>
      <c r="G181" s="109" t="s">
        <v>2237</v>
      </c>
      <c r="H181" s="111"/>
      <c r="I181" s="111"/>
      <c r="J181" s="111"/>
      <c r="K181" s="111"/>
      <c r="L181" s="111"/>
      <c r="M181" s="109" t="s">
        <v>2663</v>
      </c>
      <c r="N181" s="109"/>
      <c r="O181" s="109"/>
      <c r="P181" s="109"/>
      <c r="Q181" s="109"/>
      <c r="R181" s="110"/>
      <c r="S181" s="110"/>
      <c r="T1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37" t="str">
        <f ca="1">IFERROR(MID(G181,_xlfn.AGGREGATE(15,6,(ROW(INDIRECT("1:"&amp;LEN(G181)-7)))/(ISNUMBER(--MID(G181,ROW(INDIRECT("1:"&amp;LEN(G181)-7)),8))),1),8),"")</f>
        <v/>
      </c>
      <c r="V181" s="187">
        <v>45930.833333333336</v>
      </c>
    </row>
    <row r="182" spans="1:22" s="19" customFormat="1" ht="23.25" x14ac:dyDescent="0.2">
      <c r="A182" s="112"/>
      <c r="B182" s="112"/>
      <c r="C182" s="112" t="str">
        <f>IF(OR(TabellaBLENDING[[#This Row],[LUN]]="X",TabellaBLENDING[[#This Row],[MAR]]="X",TabellaBLENDING[[#This Row],[MER]]="X",TabellaBLENDING[[#This Row],[GIO]]="X",TabellaBLENDING[[#This Row],[VEN]]="X",),"X","")</f>
        <v/>
      </c>
      <c r="D182" s="109" t="s">
        <v>287</v>
      </c>
      <c r="E182" s="109" t="s">
        <v>2241</v>
      </c>
      <c r="F182" s="109">
        <v>6000</v>
      </c>
      <c r="G182" s="109" t="s">
        <v>2242</v>
      </c>
      <c r="H182" s="111"/>
      <c r="I182" s="111"/>
      <c r="J182" s="111"/>
      <c r="K182" s="111"/>
      <c r="L182" s="111"/>
      <c r="M182" s="109" t="s">
        <v>2663</v>
      </c>
      <c r="N182" s="109"/>
      <c r="O182" s="109"/>
      <c r="P182" s="109"/>
      <c r="Q182" s="109"/>
      <c r="R182" s="110"/>
      <c r="S182" s="110"/>
      <c r="T1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37" t="str">
        <f ca="1">IFERROR(MID(G182,_xlfn.AGGREGATE(15,6,(ROW(INDIRECT("1:"&amp;LEN(G182)-7)))/(ISNUMBER(--MID(G182,ROW(INDIRECT("1:"&amp;LEN(G182)-7)),8))),1),8),"")</f>
        <v/>
      </c>
      <c r="V182" s="187">
        <v>45930.833333333336</v>
      </c>
    </row>
  </sheetData>
  <mergeCells count="2">
    <mergeCell ref="A1:D1"/>
    <mergeCell ref="N2:P2"/>
  </mergeCells>
  <conditionalFormatting sqref="F111 E115:G182 M115:S182">
    <cfRule type="expression" dxfId="3144" priority="3019">
      <formula>SEARCH("IN CORSO",$M111)&gt;0</formula>
    </cfRule>
    <cfRule type="expression" dxfId="3143" priority="3020">
      <formula>SEARCH("CHIUSO",$M111)&gt;0</formula>
    </cfRule>
    <cfRule type="expression" dxfId="3142" priority="3021">
      <formula>SEARCH("EMESSO",$M111)&gt;0</formula>
    </cfRule>
    <cfRule type="expression" dxfId="3141" priority="3022">
      <formula>SEARCH("RICHIESTO",$M111)&gt;0</formula>
    </cfRule>
    <cfRule type="expression" dxfId="3140" priority="3023">
      <formula>SEARCH("DA CHIUDERE",$M111)&gt;0</formula>
    </cfRule>
    <cfRule type="expression" dxfId="3139" priority="3024">
      <formula>SEARCH("INTERROTTO",$M111)&gt;0</formula>
    </cfRule>
  </conditionalFormatting>
  <conditionalFormatting sqref="F112">
    <cfRule type="expression" dxfId="3138" priority="3031">
      <formula>SEARCH("IN CORSO",$M112)&gt;0</formula>
    </cfRule>
    <cfRule type="expression" dxfId="3137" priority="3032">
      <formula>SEARCH("CHIUSO",$M112)&gt;0</formula>
    </cfRule>
    <cfRule type="expression" dxfId="3136" priority="3033">
      <formula>SEARCH("EMESSO",$M112)&gt;0</formula>
    </cfRule>
    <cfRule type="expression" dxfId="3135" priority="3034">
      <formula>SEARCH("RICHIESTO",$M112)&gt;0</formula>
    </cfRule>
    <cfRule type="expression" dxfId="3134" priority="3035">
      <formula>SEARCH("DA CHIUDERE",$M112)&gt;0</formula>
    </cfRule>
    <cfRule type="expression" dxfId="3133" priority="3036">
      <formula>SEARCH("INTERROTTO",$M112)&gt;0</formula>
    </cfRule>
  </conditionalFormatting>
  <conditionalFormatting sqref="E113 G113 M113:S113">
    <cfRule type="expression" dxfId="3132" priority="3049">
      <formula>SEARCH("IN CORSO",$M113)&gt;0</formula>
    </cfRule>
    <cfRule type="expression" dxfId="3131" priority="3050">
      <formula>SEARCH("CHIUSO",$M113)&gt;0</formula>
    </cfRule>
    <cfRule type="expression" dxfId="3130" priority="3051">
      <formula>SEARCH("EMESSO",$M113)&gt;0</formula>
    </cfRule>
    <cfRule type="expression" dxfId="3129" priority="3052">
      <formula>SEARCH("RICHIESTO",$M113)&gt;0</formula>
    </cfRule>
    <cfRule type="expression" dxfId="3128" priority="3053">
      <formula>SEARCH("DA CHIUDERE",$M113)&gt;0</formula>
    </cfRule>
    <cfRule type="expression" dxfId="3127" priority="3054">
      <formula>SEARCH("INTERROTTO",$M113)&gt;0</formula>
    </cfRule>
  </conditionalFormatting>
  <conditionalFormatting sqref="F113">
    <cfRule type="expression" dxfId="3126" priority="3043">
      <formula>SEARCH("IN CORSO",$M113)&gt;0</formula>
    </cfRule>
    <cfRule type="expression" dxfId="3125" priority="3044">
      <formula>SEARCH("CHIUSO",$M113)&gt;0</formula>
    </cfRule>
    <cfRule type="expression" dxfId="3124" priority="3045">
      <formula>SEARCH("EMESSO",$M113)&gt;0</formula>
    </cfRule>
    <cfRule type="expression" dxfId="3123" priority="3046">
      <formula>SEARCH("RICHIESTO",$M113)&gt;0</formula>
    </cfRule>
    <cfRule type="expression" dxfId="3122" priority="3047">
      <formula>SEARCH("DA CHIUDERE",$M113)&gt;0</formula>
    </cfRule>
    <cfRule type="expression" dxfId="3121" priority="3048">
      <formula>SEARCH("INTERROTTO",$M113)&gt;0</formula>
    </cfRule>
  </conditionalFormatting>
  <conditionalFormatting sqref="M84:M97">
    <cfRule type="expression" dxfId="3120" priority="3061">
      <formula>SEARCH("IN CORSO",$M84)&gt;0</formula>
    </cfRule>
    <cfRule type="expression" dxfId="3119" priority="3062">
      <formula>SEARCH("CHIUSO",$M84)&gt;0</formula>
    </cfRule>
    <cfRule type="expression" dxfId="3118" priority="3063">
      <formula>SEARCH("EMESSO",$M84)&gt;0</formula>
    </cfRule>
    <cfRule type="expression" dxfId="3117" priority="3064">
      <formula>SEARCH("RICHIESTO",$M84)&gt;0</formula>
    </cfRule>
    <cfRule type="expression" dxfId="3116" priority="3065">
      <formula>SEARCH("DA CHIUDERE",$M84)&gt;0</formula>
    </cfRule>
    <cfRule type="expression" dxfId="3115" priority="3066">
      <formula>SEARCH("INTERROTTO",$M84)&gt;0</formula>
    </cfRule>
  </conditionalFormatting>
  <conditionalFormatting sqref="E112 G112 M112:S112">
    <cfRule type="expression" dxfId="3114" priority="3037">
      <formula>SEARCH("IN CORSO",$M112)&gt;0</formula>
    </cfRule>
    <cfRule type="expression" dxfId="3113" priority="3038">
      <formula>SEARCH("CHIUSO",$M112)&gt;0</formula>
    </cfRule>
    <cfRule type="expression" dxfId="3112" priority="3039">
      <formula>SEARCH("EMESSO",$M112)&gt;0</formula>
    </cfRule>
    <cfRule type="expression" dxfId="3111" priority="3040">
      <formula>SEARCH("RICHIESTO",$M112)&gt;0</formula>
    </cfRule>
    <cfRule type="expression" dxfId="3110" priority="3041">
      <formula>SEARCH("DA CHIUDERE",$M112)&gt;0</formula>
    </cfRule>
    <cfRule type="expression" dxfId="3109" priority="3042">
      <formula>SEARCH("INTERROTTO",$M112)&gt;0</formula>
    </cfRule>
  </conditionalFormatting>
  <conditionalFormatting sqref="E111 G111 M111:S111">
    <cfRule type="expression" dxfId="3108" priority="3025">
      <formula>SEARCH("IN CORSO",$M111)&gt;0</formula>
    </cfRule>
    <cfRule type="expression" dxfId="3107" priority="3026">
      <formula>SEARCH("CHIUSO",$M111)&gt;0</formula>
    </cfRule>
    <cfRule type="expression" dxfId="3106" priority="3027">
      <formula>SEARCH("EMESSO",$M111)&gt;0</formula>
    </cfRule>
    <cfRule type="expression" dxfId="3105" priority="3028">
      <formula>SEARCH("RICHIESTO",$M111)&gt;0</formula>
    </cfRule>
    <cfRule type="expression" dxfId="3104" priority="3029">
      <formula>SEARCH("DA CHIUDERE",$M111)&gt;0</formula>
    </cfRule>
    <cfRule type="expression" dxfId="3103" priority="3030">
      <formula>SEARCH("INTERROTTO",$M111)&gt;0</formula>
    </cfRule>
  </conditionalFormatting>
  <conditionalFormatting sqref="E107 G107 M107:S107">
    <cfRule type="expression" dxfId="3102" priority="2977">
      <formula>SEARCH("IN CORSO",$M107)&gt;0</formula>
    </cfRule>
    <cfRule type="expression" dxfId="3101" priority="2978">
      <formula>SEARCH("CHIUSO",$M107)&gt;0</formula>
    </cfRule>
    <cfRule type="expression" dxfId="3100" priority="2979">
      <formula>SEARCH("EMESSO",$M107)&gt;0</formula>
    </cfRule>
    <cfRule type="expression" dxfId="3099" priority="2980">
      <formula>SEARCH("RICHIESTO",$M107)&gt;0</formula>
    </cfRule>
    <cfRule type="expression" dxfId="3098" priority="2981">
      <formula>SEARCH("DA CHIUDERE",$M107)&gt;0</formula>
    </cfRule>
    <cfRule type="expression" dxfId="3097" priority="2982">
      <formula>SEARCH("INTERROTTO",$M107)&gt;0</formula>
    </cfRule>
  </conditionalFormatting>
  <conditionalFormatting sqref="N106:S106">
    <cfRule type="expression" dxfId="3096" priority="2965">
      <formula>SEARCH("IN CORSO",$M106)&gt;0</formula>
    </cfRule>
    <cfRule type="expression" dxfId="3095" priority="2966">
      <formula>SEARCH("CHIUSO",$M106)&gt;0</formula>
    </cfRule>
    <cfRule type="expression" dxfId="3094" priority="2967">
      <formula>SEARCH("EMESSO",$M106)&gt;0</formula>
    </cfRule>
    <cfRule type="expression" dxfId="3093" priority="2968">
      <formula>SEARCH("RICHIESTO",$M106)&gt;0</formula>
    </cfRule>
    <cfRule type="expression" dxfId="3092" priority="2969">
      <formula>SEARCH("DA CHIUDERE",$M106)&gt;0</formula>
    </cfRule>
    <cfRule type="expression" dxfId="3091" priority="2970">
      <formula>SEARCH("INTERROTTO",$M106)&gt;0</formula>
    </cfRule>
  </conditionalFormatting>
  <conditionalFormatting sqref="F108">
    <cfRule type="expression" dxfId="3090" priority="2983">
      <formula>SEARCH("IN CORSO",$M108)&gt;0</formula>
    </cfRule>
    <cfRule type="expression" dxfId="3089" priority="2984">
      <formula>SEARCH("CHIUSO",$M108)&gt;0</formula>
    </cfRule>
    <cfRule type="expression" dxfId="3088" priority="2985">
      <formula>SEARCH("EMESSO",$M108)&gt;0</formula>
    </cfRule>
    <cfRule type="expression" dxfId="3087" priority="2986">
      <formula>SEARCH("RICHIESTO",$M108)&gt;0</formula>
    </cfRule>
    <cfRule type="expression" dxfId="3086" priority="2987">
      <formula>SEARCH("DA CHIUDERE",$M108)&gt;0</formula>
    </cfRule>
    <cfRule type="expression" dxfId="3085" priority="2988">
      <formula>SEARCH("INTERROTTO",$M108)&gt;0</formula>
    </cfRule>
  </conditionalFormatting>
  <conditionalFormatting sqref="G105">
    <cfRule type="expression" dxfId="3084" priority="2935">
      <formula>SEARCH("IN CORSO",$M105)&gt;0</formula>
    </cfRule>
    <cfRule type="expression" dxfId="3083" priority="2936">
      <formula>SEARCH("CHIUSO",$M105)&gt;0</formula>
    </cfRule>
    <cfRule type="expression" dxfId="3082" priority="2937">
      <formula>SEARCH("EMESSO",$M105)&gt;0</formula>
    </cfRule>
    <cfRule type="expression" dxfId="3081" priority="2938">
      <formula>SEARCH("RICHIESTO",$M105)&gt;0</formula>
    </cfRule>
    <cfRule type="expression" dxfId="3080" priority="2939">
      <formula>SEARCH("DA CHIUDERE",$M105)&gt;0</formula>
    </cfRule>
    <cfRule type="expression" dxfId="3079" priority="2940">
      <formula>SEARCH("INTERROTTO",$M105)&gt;0</formula>
    </cfRule>
  </conditionalFormatting>
  <conditionalFormatting sqref="E106 G106 M106">
    <cfRule type="expression" dxfId="3078" priority="2959">
      <formula>SEARCH("IN CORSO",$M106)&gt;0</formula>
    </cfRule>
    <cfRule type="expression" dxfId="3077" priority="2960">
      <formula>SEARCH("CHIUSO",$M106)&gt;0</formula>
    </cfRule>
    <cfRule type="expression" dxfId="3076" priority="2961">
      <formula>SEARCH("EMESSO",$M106)&gt;0</formula>
    </cfRule>
    <cfRule type="expression" dxfId="3075" priority="2962">
      <formula>SEARCH("RICHIESTO",$M106)&gt;0</formula>
    </cfRule>
    <cfRule type="expression" dxfId="3074" priority="2963">
      <formula>SEARCH("DA CHIUDERE",$M106)&gt;0</formula>
    </cfRule>
    <cfRule type="expression" dxfId="3073" priority="2964">
      <formula>SEARCH("INTERROTTO",$M106)&gt;0</formula>
    </cfRule>
  </conditionalFormatting>
  <conditionalFormatting sqref="F106">
    <cfRule type="expression" dxfId="3072" priority="2953">
      <formula>SEARCH("IN CORSO",$M106)&gt;0</formula>
    </cfRule>
    <cfRule type="expression" dxfId="3071" priority="2954">
      <formula>SEARCH("CHIUSO",$M106)&gt;0</formula>
    </cfRule>
    <cfRule type="expression" dxfId="3070" priority="2955">
      <formula>SEARCH("EMESSO",$M106)&gt;0</formula>
    </cfRule>
    <cfRule type="expression" dxfId="3069" priority="2956">
      <formula>SEARCH("RICHIESTO",$M106)&gt;0</formula>
    </cfRule>
    <cfRule type="expression" dxfId="3068" priority="2957">
      <formula>SEARCH("DA CHIUDERE",$M106)&gt;0</formula>
    </cfRule>
    <cfRule type="expression" dxfId="3067" priority="2958">
      <formula>SEARCH("INTERROTTO",$M106)&gt;0</formula>
    </cfRule>
  </conditionalFormatting>
  <conditionalFormatting sqref="E105">
    <cfRule type="expression" dxfId="3066" priority="2941">
      <formula>SEARCH("IN CORSO",$M105)&gt;0</formula>
    </cfRule>
    <cfRule type="expression" dxfId="3065" priority="2942">
      <formula>SEARCH("CHIUSO",$M105)&gt;0</formula>
    </cfRule>
    <cfRule type="expression" dxfId="3064" priority="2943">
      <formula>SEARCH("EMESSO",$M105)&gt;0</formula>
    </cfRule>
    <cfRule type="expression" dxfId="3063" priority="2944">
      <formula>SEARCH("RICHIESTO",$M105)&gt;0</formula>
    </cfRule>
    <cfRule type="expression" dxfId="3062" priority="2945">
      <formula>SEARCH("DA CHIUDERE",$M105)&gt;0</formula>
    </cfRule>
    <cfRule type="expression" dxfId="3061" priority="2946">
      <formula>SEARCH("INTERROTTO",$M105)&gt;0</formula>
    </cfRule>
  </conditionalFormatting>
  <conditionalFormatting sqref="N103:S103">
    <cfRule type="expression" dxfId="3060" priority="2905">
      <formula>SEARCH("IN CORSO",$M103)&gt;0</formula>
    </cfRule>
    <cfRule type="expression" dxfId="3059" priority="2906">
      <formula>SEARCH("CHIUSO",$M103)&gt;0</formula>
    </cfRule>
    <cfRule type="expression" dxfId="3058" priority="2907">
      <formula>SEARCH("EMESSO",$M103)&gt;0</formula>
    </cfRule>
    <cfRule type="expression" dxfId="3057" priority="2908">
      <formula>SEARCH("RICHIESTO",$M103)&gt;0</formula>
    </cfRule>
    <cfRule type="expression" dxfId="3056" priority="2909">
      <formula>SEARCH("DA CHIUDERE",$M103)&gt;0</formula>
    </cfRule>
    <cfRule type="expression" dxfId="3055" priority="2910">
      <formula>SEARCH("INTERROTTO",$M103)&gt;0</formula>
    </cfRule>
  </conditionalFormatting>
  <conditionalFormatting sqref="N105:S105">
    <cfRule type="expression" dxfId="3054" priority="2947">
      <formula>SEARCH("IN CORSO",$M105)&gt;0</formula>
    </cfRule>
    <cfRule type="expression" dxfId="3053" priority="2948">
      <formula>SEARCH("CHIUSO",$M105)&gt;0</formula>
    </cfRule>
    <cfRule type="expression" dxfId="3052" priority="2949">
      <formula>SEARCH("EMESSO",$M105)&gt;0</formula>
    </cfRule>
    <cfRule type="expression" dxfId="3051" priority="2950">
      <formula>SEARCH("RICHIESTO",$M105)&gt;0</formula>
    </cfRule>
    <cfRule type="expression" dxfId="3050" priority="2951">
      <formula>SEARCH("DA CHIUDERE",$M105)&gt;0</formula>
    </cfRule>
    <cfRule type="expression" dxfId="3049" priority="2952">
      <formula>SEARCH("INTERROTTO",$M105)&gt;0</formula>
    </cfRule>
  </conditionalFormatting>
  <conditionalFormatting sqref="M105">
    <cfRule type="expression" dxfId="3048" priority="2929">
      <formula>SEARCH("IN CORSO",$M105)&gt;0</formula>
    </cfRule>
    <cfRule type="expression" dxfId="3047" priority="2930">
      <formula>SEARCH("CHIUSO",$M105)&gt;0</formula>
    </cfRule>
    <cfRule type="expression" dxfId="3046" priority="2931">
      <formula>SEARCH("EMESSO",$M105)&gt;0</formula>
    </cfRule>
    <cfRule type="expression" dxfId="3045" priority="2932">
      <formula>SEARCH("RICHIESTO",$M105)&gt;0</formula>
    </cfRule>
    <cfRule type="expression" dxfId="3044" priority="2933">
      <formula>SEARCH("DA CHIUDERE",$M105)&gt;0</formula>
    </cfRule>
    <cfRule type="expression" dxfId="3043" priority="2934">
      <formula>SEARCH("INTERROTTO",$M105)&gt;0</formula>
    </cfRule>
  </conditionalFormatting>
  <conditionalFormatting sqref="F105">
    <cfRule type="expression" dxfId="3042" priority="2923">
      <formula>SEARCH("IN CORSO",$M105)&gt;0</formula>
    </cfRule>
    <cfRule type="expression" dxfId="3041" priority="2924">
      <formula>SEARCH("CHIUSO",$M105)&gt;0</formula>
    </cfRule>
    <cfRule type="expression" dxfId="3040" priority="2925">
      <formula>SEARCH("EMESSO",$M105)&gt;0</formula>
    </cfRule>
    <cfRule type="expression" dxfId="3039" priority="2926">
      <formula>SEARCH("RICHIESTO",$M105)&gt;0</formula>
    </cfRule>
    <cfRule type="expression" dxfId="3038" priority="2927">
      <formula>SEARCH("DA CHIUDERE",$M105)&gt;0</formula>
    </cfRule>
    <cfRule type="expression" dxfId="3037" priority="2928">
      <formula>SEARCH("INTERROTTO",$M105)&gt;0</formula>
    </cfRule>
  </conditionalFormatting>
  <conditionalFormatting sqref="E104">
    <cfRule type="expression" dxfId="3036" priority="2911">
      <formula>SEARCH("IN CORSO",$M104)&gt;0</formula>
    </cfRule>
    <cfRule type="expression" dxfId="3035" priority="2912">
      <formula>SEARCH("CHIUSO",$M104)&gt;0</formula>
    </cfRule>
    <cfRule type="expression" dxfId="3034" priority="2913">
      <formula>SEARCH("EMESSO",$M104)&gt;0</formula>
    </cfRule>
    <cfRule type="expression" dxfId="3033" priority="2914">
      <formula>SEARCH("RICHIESTO",$M104)&gt;0</formula>
    </cfRule>
    <cfRule type="expression" dxfId="3032" priority="2915">
      <formula>SEARCH("DA CHIUDERE",$M104)&gt;0</formula>
    </cfRule>
    <cfRule type="expression" dxfId="3031" priority="2916">
      <formula>SEARCH("INTERROTTO",$M104)&gt;0</formula>
    </cfRule>
  </conditionalFormatting>
  <conditionalFormatting sqref="N104:S104">
    <cfRule type="expression" dxfId="3030" priority="2917">
      <formula>SEARCH("IN CORSO",$M104)&gt;0</formula>
    </cfRule>
    <cfRule type="expression" dxfId="3029" priority="2918">
      <formula>SEARCH("CHIUSO",$M104)&gt;0</formula>
    </cfRule>
    <cfRule type="expression" dxfId="3028" priority="2919">
      <formula>SEARCH("EMESSO",$M104)&gt;0</formula>
    </cfRule>
    <cfRule type="expression" dxfId="3027" priority="2920">
      <formula>SEARCH("RICHIESTO",$M104)&gt;0</formula>
    </cfRule>
    <cfRule type="expression" dxfId="3026" priority="2921">
      <formula>SEARCH("DA CHIUDERE",$M104)&gt;0</formula>
    </cfRule>
    <cfRule type="expression" dxfId="3025" priority="2922">
      <formula>SEARCH("INTERROTTO",$M104)&gt;0</formula>
    </cfRule>
  </conditionalFormatting>
  <conditionalFormatting sqref="E103">
    <cfRule type="expression" dxfId="3024" priority="2899">
      <formula>SEARCH("IN CORSO",$M103)&gt;0</formula>
    </cfRule>
    <cfRule type="expression" dxfId="3023" priority="2900">
      <formula>SEARCH("CHIUSO",$M103)&gt;0</formula>
    </cfRule>
    <cfRule type="expression" dxfId="3022" priority="2901">
      <formula>SEARCH("EMESSO",$M103)&gt;0</formula>
    </cfRule>
    <cfRule type="expression" dxfId="3021" priority="2902">
      <formula>SEARCH("RICHIESTO",$M103)&gt;0</formula>
    </cfRule>
    <cfRule type="expression" dxfId="3020" priority="2903">
      <formula>SEARCH("DA CHIUDERE",$M103)&gt;0</formula>
    </cfRule>
    <cfRule type="expression" dxfId="3019" priority="2904">
      <formula>SEARCH("INTERROTTO",$M103)&gt;0</formula>
    </cfRule>
  </conditionalFormatting>
  <conditionalFormatting sqref="N102:S102">
    <cfRule type="expression" dxfId="3018" priority="2893">
      <formula>SEARCH("IN CORSO",$M102)&gt;0</formula>
    </cfRule>
    <cfRule type="expression" dxfId="3017" priority="2894">
      <formula>SEARCH("CHIUSO",$M102)&gt;0</formula>
    </cfRule>
    <cfRule type="expression" dxfId="3016" priority="2895">
      <formula>SEARCH("EMESSO",$M102)&gt;0</formula>
    </cfRule>
    <cfRule type="expression" dxfId="3015" priority="2896">
      <formula>SEARCH("RICHIESTO",$M102)&gt;0</formula>
    </cfRule>
    <cfRule type="expression" dxfId="3014" priority="2897">
      <formula>SEARCH("DA CHIUDERE",$M102)&gt;0</formula>
    </cfRule>
    <cfRule type="expression" dxfId="3013" priority="2898">
      <formula>SEARCH("INTERROTTO",$M102)&gt;0</formula>
    </cfRule>
  </conditionalFormatting>
  <conditionalFormatting sqref="N100:S100">
    <cfRule type="expression" dxfId="3012" priority="2827">
      <formula>SEARCH("IN CORSO",$M100)&gt;0</formula>
    </cfRule>
    <cfRule type="expression" dxfId="3011" priority="2828">
      <formula>SEARCH("CHIUSO",$M100)&gt;0</formula>
    </cfRule>
    <cfRule type="expression" dxfId="3010" priority="2829">
      <formula>SEARCH("EMESSO",$M100)&gt;0</formula>
    </cfRule>
    <cfRule type="expression" dxfId="3009" priority="2830">
      <formula>SEARCH("RICHIESTO",$M100)&gt;0</formula>
    </cfRule>
    <cfRule type="expression" dxfId="3008" priority="2831">
      <formula>SEARCH("DA CHIUDERE",$M100)&gt;0</formula>
    </cfRule>
    <cfRule type="expression" dxfId="3007" priority="2832">
      <formula>SEARCH("INTERROTTO",$M100)&gt;0</formula>
    </cfRule>
  </conditionalFormatting>
  <conditionalFormatting sqref="G100">
    <cfRule type="expression" dxfId="3006" priority="2815">
      <formula>SEARCH("IN CORSO",$M100)&gt;0</formula>
    </cfRule>
    <cfRule type="expression" dxfId="3005" priority="2816">
      <formula>SEARCH("CHIUSO",$M100)&gt;0</formula>
    </cfRule>
    <cfRule type="expression" dxfId="3004" priority="2817">
      <formula>SEARCH("EMESSO",$M100)&gt;0</formula>
    </cfRule>
    <cfRule type="expression" dxfId="3003" priority="2818">
      <formula>SEARCH("RICHIESTO",$M100)&gt;0</formula>
    </cfRule>
    <cfRule type="expression" dxfId="3002" priority="2819">
      <formula>SEARCH("DA CHIUDERE",$M100)&gt;0</formula>
    </cfRule>
    <cfRule type="expression" dxfId="3001" priority="2820">
      <formula>SEARCH("INTERROTTO",$M100)&gt;0</formula>
    </cfRule>
  </conditionalFormatting>
  <conditionalFormatting sqref="E100">
    <cfRule type="expression" dxfId="3000" priority="2821">
      <formula>SEARCH("IN CORSO",$M100)&gt;0</formula>
    </cfRule>
    <cfRule type="expression" dxfId="2999" priority="2822">
      <formula>SEARCH("CHIUSO",$M100)&gt;0</formula>
    </cfRule>
    <cfRule type="expression" dxfId="2998" priority="2823">
      <formula>SEARCH("EMESSO",$M100)&gt;0</formula>
    </cfRule>
    <cfRule type="expression" dxfId="2997" priority="2824">
      <formula>SEARCH("RICHIESTO",$M100)&gt;0</formula>
    </cfRule>
    <cfRule type="expression" dxfId="2996" priority="2825">
      <formula>SEARCH("DA CHIUDERE",$M100)&gt;0</formula>
    </cfRule>
    <cfRule type="expression" dxfId="2995" priority="2826">
      <formula>SEARCH("INTERROTTO",$M100)&gt;0</formula>
    </cfRule>
  </conditionalFormatting>
  <conditionalFormatting sqref="F100">
    <cfRule type="expression" dxfId="2994" priority="2809">
      <formula>SEARCH("IN CORSO",$M100)&gt;0</formula>
    </cfRule>
    <cfRule type="expression" dxfId="2993" priority="2810">
      <formula>SEARCH("CHIUSO",$M100)&gt;0</formula>
    </cfRule>
    <cfRule type="expression" dxfId="2992" priority="2811">
      <formula>SEARCH("EMESSO",$M100)&gt;0</formula>
    </cfRule>
    <cfRule type="expression" dxfId="2991" priority="2812">
      <formula>SEARCH("RICHIESTO",$M100)&gt;0</formula>
    </cfRule>
    <cfRule type="expression" dxfId="2990" priority="2813">
      <formula>SEARCH("DA CHIUDERE",$M100)&gt;0</formula>
    </cfRule>
    <cfRule type="expression" dxfId="2989" priority="2814">
      <formula>SEARCH("INTERROTTO",$M100)&gt;0</formula>
    </cfRule>
  </conditionalFormatting>
  <conditionalFormatting sqref="N99:S99">
    <cfRule type="expression" dxfId="2988" priority="2797">
      <formula>SEARCH("IN CORSO",$M99)&gt;0</formula>
    </cfRule>
    <cfRule type="expression" dxfId="2987" priority="2798">
      <formula>SEARCH("CHIUSO",$M99)&gt;0</formula>
    </cfRule>
    <cfRule type="expression" dxfId="2986" priority="2799">
      <formula>SEARCH("EMESSO",$M99)&gt;0</formula>
    </cfRule>
    <cfRule type="expression" dxfId="2985" priority="2800">
      <formula>SEARCH("RICHIESTO",$M99)&gt;0</formula>
    </cfRule>
    <cfRule type="expression" dxfId="2984" priority="2801">
      <formula>SEARCH("DA CHIUDERE",$M99)&gt;0</formula>
    </cfRule>
    <cfRule type="expression" dxfId="2983" priority="2802">
      <formula>SEARCH("INTERROTTO",$M99)&gt;0</formula>
    </cfRule>
  </conditionalFormatting>
  <conditionalFormatting sqref="G99">
    <cfRule type="expression" dxfId="2982" priority="2785">
      <formula>SEARCH("IN CORSO",$M99)&gt;0</formula>
    </cfRule>
    <cfRule type="expression" dxfId="2981" priority="2786">
      <formula>SEARCH("CHIUSO",$M99)&gt;0</formula>
    </cfRule>
    <cfRule type="expression" dxfId="2980" priority="2787">
      <formula>SEARCH("EMESSO",$M99)&gt;0</formula>
    </cfRule>
    <cfRule type="expression" dxfId="2979" priority="2788">
      <formula>SEARCH("RICHIESTO",$M99)&gt;0</formula>
    </cfRule>
    <cfRule type="expression" dxfId="2978" priority="2789">
      <formula>SEARCH("DA CHIUDERE",$M99)&gt;0</formula>
    </cfRule>
    <cfRule type="expression" dxfId="2977" priority="2790">
      <formula>SEARCH("INTERROTTO",$M99)&gt;0</formula>
    </cfRule>
  </conditionalFormatting>
  <conditionalFormatting sqref="E99">
    <cfRule type="expression" dxfId="2976" priority="2791">
      <formula>SEARCH("IN CORSO",$M99)&gt;0</formula>
    </cfRule>
    <cfRule type="expression" dxfId="2975" priority="2792">
      <formula>SEARCH("CHIUSO",$M99)&gt;0</formula>
    </cfRule>
    <cfRule type="expression" dxfId="2974" priority="2793">
      <formula>SEARCH("EMESSO",$M99)&gt;0</formula>
    </cfRule>
    <cfRule type="expression" dxfId="2973" priority="2794">
      <formula>SEARCH("RICHIESTO",$M99)&gt;0</formula>
    </cfRule>
    <cfRule type="expression" dxfId="2972" priority="2795">
      <formula>SEARCH("DA CHIUDERE",$M99)&gt;0</formula>
    </cfRule>
    <cfRule type="expression" dxfId="2971" priority="2796">
      <formula>SEARCH("INTERROTTO",$M99)&gt;0</formula>
    </cfRule>
  </conditionalFormatting>
  <conditionalFormatting sqref="F99">
    <cfRule type="expression" dxfId="2970" priority="2779">
      <formula>SEARCH("IN CORSO",$M99)&gt;0</formula>
    </cfRule>
    <cfRule type="expression" dxfId="2969" priority="2780">
      <formula>SEARCH("CHIUSO",$M99)&gt;0</formula>
    </cfRule>
    <cfRule type="expression" dxfId="2968" priority="2781">
      <formula>SEARCH("EMESSO",$M99)&gt;0</formula>
    </cfRule>
    <cfRule type="expression" dxfId="2967" priority="2782">
      <formula>SEARCH("RICHIESTO",$M99)&gt;0</formula>
    </cfRule>
    <cfRule type="expression" dxfId="2966" priority="2783">
      <formula>SEARCH("DA CHIUDERE",$M99)&gt;0</formula>
    </cfRule>
    <cfRule type="expression" dxfId="2965" priority="2784">
      <formula>SEARCH("INTERROTTO",$M99)&gt;0</formula>
    </cfRule>
  </conditionalFormatting>
  <conditionalFormatting sqref="N98:S98">
    <cfRule type="expression" dxfId="2964" priority="2767">
      <formula>SEARCH("IN CORSO",$M98)&gt;0</formula>
    </cfRule>
    <cfRule type="expression" dxfId="2963" priority="2768">
      <formula>SEARCH("CHIUSO",$M98)&gt;0</formula>
    </cfRule>
    <cfRule type="expression" dxfId="2962" priority="2769">
      <formula>SEARCH("EMESSO",$M98)&gt;0</formula>
    </cfRule>
    <cfRule type="expression" dxfId="2961" priority="2770">
      <formula>SEARCH("RICHIESTO",$M98)&gt;0</formula>
    </cfRule>
    <cfRule type="expression" dxfId="2960" priority="2771">
      <formula>SEARCH("DA CHIUDERE",$M98)&gt;0</formula>
    </cfRule>
    <cfRule type="expression" dxfId="2959" priority="2772">
      <formula>SEARCH("INTERROTTO",$M98)&gt;0</formula>
    </cfRule>
  </conditionalFormatting>
  <conditionalFormatting sqref="G98">
    <cfRule type="expression" dxfId="2958" priority="2755">
      <formula>SEARCH("IN CORSO",$M98)&gt;0</formula>
    </cfRule>
    <cfRule type="expression" dxfId="2957" priority="2756">
      <formula>SEARCH("CHIUSO",$M98)&gt;0</formula>
    </cfRule>
    <cfRule type="expression" dxfId="2956" priority="2757">
      <formula>SEARCH("EMESSO",$M98)&gt;0</formula>
    </cfRule>
    <cfRule type="expression" dxfId="2955" priority="2758">
      <formula>SEARCH("RICHIESTO",$M98)&gt;0</formula>
    </cfRule>
    <cfRule type="expression" dxfId="2954" priority="2759">
      <formula>SEARCH("DA CHIUDERE",$M98)&gt;0</formula>
    </cfRule>
    <cfRule type="expression" dxfId="2953" priority="2760">
      <formula>SEARCH("INTERROTTO",$M98)&gt;0</formula>
    </cfRule>
  </conditionalFormatting>
  <conditionalFormatting sqref="E98">
    <cfRule type="expression" dxfId="2952" priority="2761">
      <formula>SEARCH("IN CORSO",$M98)&gt;0</formula>
    </cfRule>
    <cfRule type="expression" dxfId="2951" priority="2762">
      <formula>SEARCH("CHIUSO",$M98)&gt;0</formula>
    </cfRule>
    <cfRule type="expression" dxfId="2950" priority="2763">
      <formula>SEARCH("EMESSO",$M98)&gt;0</formula>
    </cfRule>
    <cfRule type="expression" dxfId="2949" priority="2764">
      <formula>SEARCH("RICHIESTO",$M98)&gt;0</formula>
    </cfRule>
    <cfRule type="expression" dxfId="2948" priority="2765">
      <formula>SEARCH("DA CHIUDERE",$M98)&gt;0</formula>
    </cfRule>
    <cfRule type="expression" dxfId="2947" priority="2766">
      <formula>SEARCH("INTERROTTO",$M98)&gt;0</formula>
    </cfRule>
  </conditionalFormatting>
  <conditionalFormatting sqref="F98">
    <cfRule type="expression" dxfId="2946" priority="2749">
      <formula>SEARCH("IN CORSO",$M98)&gt;0</formula>
    </cfRule>
    <cfRule type="expression" dxfId="2945" priority="2750">
      <formula>SEARCH("CHIUSO",$M98)&gt;0</formula>
    </cfRule>
    <cfRule type="expression" dxfId="2944" priority="2751">
      <formula>SEARCH("EMESSO",$M98)&gt;0</formula>
    </cfRule>
    <cfRule type="expression" dxfId="2943" priority="2752">
      <formula>SEARCH("RICHIESTO",$M98)&gt;0</formula>
    </cfRule>
    <cfRule type="expression" dxfId="2942" priority="2753">
      <formula>SEARCH("DA CHIUDERE",$M98)&gt;0</formula>
    </cfRule>
    <cfRule type="expression" dxfId="2941" priority="2754">
      <formula>SEARCH("INTERROTTO",$M98)&gt;0</formula>
    </cfRule>
  </conditionalFormatting>
  <conditionalFormatting sqref="N97:S97">
    <cfRule type="expression" dxfId="2940" priority="2737">
      <formula>SEARCH("IN CORSO",$M97)&gt;0</formula>
    </cfRule>
    <cfRule type="expression" dxfId="2939" priority="2738">
      <formula>SEARCH("CHIUSO",$M97)&gt;0</formula>
    </cfRule>
    <cfRule type="expression" dxfId="2938" priority="2739">
      <formula>SEARCH("EMESSO",$M97)&gt;0</formula>
    </cfRule>
    <cfRule type="expression" dxfId="2937" priority="2740">
      <formula>SEARCH("RICHIESTO",$M97)&gt;0</formula>
    </cfRule>
    <cfRule type="expression" dxfId="2936" priority="2741">
      <formula>SEARCH("DA CHIUDERE",$M97)&gt;0</formula>
    </cfRule>
    <cfRule type="expression" dxfId="2935" priority="2742">
      <formula>SEARCH("INTERROTTO",$M97)&gt;0</formula>
    </cfRule>
  </conditionalFormatting>
  <conditionalFormatting sqref="G97">
    <cfRule type="expression" dxfId="2934" priority="2725">
      <formula>SEARCH("IN CORSO",$M97)&gt;0</formula>
    </cfRule>
    <cfRule type="expression" dxfId="2933" priority="2726">
      <formula>SEARCH("CHIUSO",$M97)&gt;0</formula>
    </cfRule>
    <cfRule type="expression" dxfId="2932" priority="2727">
      <formula>SEARCH("EMESSO",$M97)&gt;0</formula>
    </cfRule>
    <cfRule type="expression" dxfId="2931" priority="2728">
      <formula>SEARCH("RICHIESTO",$M97)&gt;0</formula>
    </cfRule>
    <cfRule type="expression" dxfId="2930" priority="2729">
      <formula>SEARCH("DA CHIUDERE",$M97)&gt;0</formula>
    </cfRule>
    <cfRule type="expression" dxfId="2929" priority="2730">
      <formula>SEARCH("INTERROTTO",$M97)&gt;0</formula>
    </cfRule>
  </conditionalFormatting>
  <conditionalFormatting sqref="E97">
    <cfRule type="expression" dxfId="2928" priority="2731">
      <formula>SEARCH("IN CORSO",$M97)&gt;0</formula>
    </cfRule>
    <cfRule type="expression" dxfId="2927" priority="2732">
      <formula>SEARCH("CHIUSO",$M97)&gt;0</formula>
    </cfRule>
    <cfRule type="expression" dxfId="2926" priority="2733">
      <formula>SEARCH("EMESSO",$M97)&gt;0</formula>
    </cfRule>
    <cfRule type="expression" dxfId="2925" priority="2734">
      <formula>SEARCH("RICHIESTO",$M97)&gt;0</formula>
    </cfRule>
    <cfRule type="expression" dxfId="2924" priority="2735">
      <formula>SEARCH("DA CHIUDERE",$M97)&gt;0</formula>
    </cfRule>
    <cfRule type="expression" dxfId="2923" priority="2736">
      <formula>SEARCH("INTERROTTO",$M97)&gt;0</formula>
    </cfRule>
  </conditionalFormatting>
  <conditionalFormatting sqref="F97">
    <cfRule type="expression" dxfId="2922" priority="2719">
      <formula>SEARCH("IN CORSO",$M97)&gt;0</formula>
    </cfRule>
    <cfRule type="expression" dxfId="2921" priority="2720">
      <formula>SEARCH("CHIUSO",$M97)&gt;0</formula>
    </cfRule>
    <cfRule type="expression" dxfId="2920" priority="2721">
      <formula>SEARCH("EMESSO",$M97)&gt;0</formula>
    </cfRule>
    <cfRule type="expression" dxfId="2919" priority="2722">
      <formula>SEARCH("RICHIESTO",$M97)&gt;0</formula>
    </cfRule>
    <cfRule type="expression" dxfId="2918" priority="2723">
      <formula>SEARCH("DA CHIUDERE",$M97)&gt;0</formula>
    </cfRule>
    <cfRule type="expression" dxfId="2917" priority="2724">
      <formula>SEARCH("INTERROTTO",$M97)&gt;0</formula>
    </cfRule>
  </conditionalFormatting>
  <conditionalFormatting sqref="E96">
    <cfRule type="expression" dxfId="2916" priority="2707">
      <formula>SEARCH("IN CORSO",$M96)&gt;0</formula>
    </cfRule>
    <cfRule type="expression" dxfId="2915" priority="2708">
      <formula>SEARCH("CHIUSO",$M96)&gt;0</formula>
    </cfRule>
    <cfRule type="expression" dxfId="2914" priority="2709">
      <formula>SEARCH("EMESSO",$M96)&gt;0</formula>
    </cfRule>
    <cfRule type="expression" dxfId="2913" priority="2710">
      <formula>SEARCH("RICHIESTO",$M96)&gt;0</formula>
    </cfRule>
    <cfRule type="expression" dxfId="2912" priority="2711">
      <formula>SEARCH("DA CHIUDERE",$M96)&gt;0</formula>
    </cfRule>
    <cfRule type="expression" dxfId="2911" priority="2712">
      <formula>SEARCH("INTERROTTO",$M96)&gt;0</formula>
    </cfRule>
  </conditionalFormatting>
  <conditionalFormatting sqref="F96">
    <cfRule type="expression" dxfId="2910" priority="2695">
      <formula>SEARCH("IN CORSO",$M96)&gt;0</formula>
    </cfRule>
    <cfRule type="expression" dxfId="2909" priority="2696">
      <formula>SEARCH("CHIUSO",$M96)&gt;0</formula>
    </cfRule>
    <cfRule type="expression" dxfId="2908" priority="2697">
      <formula>SEARCH("EMESSO",$M96)&gt;0</formula>
    </cfRule>
    <cfRule type="expression" dxfId="2907" priority="2698">
      <formula>SEARCH("RICHIESTO",$M96)&gt;0</formula>
    </cfRule>
    <cfRule type="expression" dxfId="2906" priority="2699">
      <formula>SEARCH("DA CHIUDERE",$M96)&gt;0</formula>
    </cfRule>
    <cfRule type="expression" dxfId="2905" priority="2700">
      <formula>SEARCH("INTERROTTO",$M96)&gt;0</formula>
    </cfRule>
  </conditionalFormatting>
  <conditionalFormatting sqref="G96">
    <cfRule type="expression" dxfId="2904" priority="2701">
      <formula>SEARCH("IN CORSO",$M96)&gt;0</formula>
    </cfRule>
    <cfRule type="expression" dxfId="2903" priority="2702">
      <formula>SEARCH("CHIUSO",$M96)&gt;0</formula>
    </cfRule>
    <cfRule type="expression" dxfId="2902" priority="2703">
      <formula>SEARCH("EMESSO",$M96)&gt;0</formula>
    </cfRule>
    <cfRule type="expression" dxfId="2901" priority="2704">
      <formula>SEARCH("RICHIESTO",$M96)&gt;0</formula>
    </cfRule>
    <cfRule type="expression" dxfId="2900" priority="2705">
      <formula>SEARCH("DA CHIUDERE",$M96)&gt;0</formula>
    </cfRule>
    <cfRule type="expression" dxfId="2899" priority="2706">
      <formula>SEARCH("INTERROTTO",$M96)&gt;0</formula>
    </cfRule>
  </conditionalFormatting>
  <conditionalFormatting sqref="N95:S95">
    <cfRule type="expression" dxfId="2898" priority="2689">
      <formula>SEARCH("IN CORSO",$M95)&gt;0</formula>
    </cfRule>
    <cfRule type="expression" dxfId="2897" priority="2690">
      <formula>SEARCH("CHIUSO",$M95)&gt;0</formula>
    </cfRule>
    <cfRule type="expression" dxfId="2896" priority="2691">
      <formula>SEARCH("EMESSO",$M95)&gt;0</formula>
    </cfRule>
    <cfRule type="expression" dxfId="2895" priority="2692">
      <formula>SEARCH("RICHIESTO",$M95)&gt;0</formula>
    </cfRule>
    <cfRule type="expression" dxfId="2894" priority="2693">
      <formula>SEARCH("DA CHIUDERE",$M95)&gt;0</formula>
    </cfRule>
    <cfRule type="expression" dxfId="2893" priority="2694">
      <formula>SEARCH("INTERROTTO",$M95)&gt;0</formula>
    </cfRule>
  </conditionalFormatting>
  <conditionalFormatting sqref="G95">
    <cfRule type="expression" dxfId="2892" priority="2677">
      <formula>SEARCH("IN CORSO",$M95)&gt;0</formula>
    </cfRule>
    <cfRule type="expression" dxfId="2891" priority="2678">
      <formula>SEARCH("CHIUSO",$M95)&gt;0</formula>
    </cfRule>
    <cfRule type="expression" dxfId="2890" priority="2679">
      <formula>SEARCH("EMESSO",$M95)&gt;0</formula>
    </cfRule>
    <cfRule type="expression" dxfId="2889" priority="2680">
      <formula>SEARCH("RICHIESTO",$M95)&gt;0</formula>
    </cfRule>
    <cfRule type="expression" dxfId="2888" priority="2681">
      <formula>SEARCH("DA CHIUDERE",$M95)&gt;0</formula>
    </cfRule>
    <cfRule type="expression" dxfId="2887" priority="2682">
      <formula>SEARCH("INTERROTTO",$M95)&gt;0</formula>
    </cfRule>
  </conditionalFormatting>
  <conditionalFormatting sqref="N94:S94">
    <cfRule type="expression" dxfId="2886" priority="2665">
      <formula>SEARCH("IN CORSO",$M94)&gt;0</formula>
    </cfRule>
    <cfRule type="expression" dxfId="2885" priority="2666">
      <formula>SEARCH("CHIUSO",$M94)&gt;0</formula>
    </cfRule>
    <cfRule type="expression" dxfId="2884" priority="2667">
      <formula>SEARCH("EMESSO",$M94)&gt;0</formula>
    </cfRule>
    <cfRule type="expression" dxfId="2883" priority="2668">
      <formula>SEARCH("RICHIESTO",$M94)&gt;0</formula>
    </cfRule>
    <cfRule type="expression" dxfId="2882" priority="2669">
      <formula>SEARCH("DA CHIUDERE",$M94)&gt;0</formula>
    </cfRule>
    <cfRule type="expression" dxfId="2881" priority="2670">
      <formula>SEARCH("INTERROTTO",$M94)&gt;0</formula>
    </cfRule>
  </conditionalFormatting>
  <conditionalFormatting sqref="F95">
    <cfRule type="expression" dxfId="2880" priority="2671">
      <formula>SEARCH("IN CORSO",$M95)&gt;0</formula>
    </cfRule>
    <cfRule type="expression" dxfId="2879" priority="2672">
      <formula>SEARCH("CHIUSO",$M95)&gt;0</formula>
    </cfRule>
    <cfRule type="expression" dxfId="2878" priority="2673">
      <formula>SEARCH("EMESSO",$M95)&gt;0</formula>
    </cfRule>
    <cfRule type="expression" dxfId="2877" priority="2674">
      <formula>SEARCH("RICHIESTO",$M95)&gt;0</formula>
    </cfRule>
    <cfRule type="expression" dxfId="2876" priority="2675">
      <formula>SEARCH("DA CHIUDERE",$M95)&gt;0</formula>
    </cfRule>
    <cfRule type="expression" dxfId="2875" priority="2676">
      <formula>SEARCH("INTERROTTO",$M95)&gt;0</formula>
    </cfRule>
  </conditionalFormatting>
  <conditionalFormatting sqref="E94">
    <cfRule type="expression" dxfId="2874" priority="2659">
      <formula>SEARCH("IN CORSO",$M94)&gt;0</formula>
    </cfRule>
    <cfRule type="expression" dxfId="2873" priority="2660">
      <formula>SEARCH("CHIUSO",$M94)&gt;0</formula>
    </cfRule>
    <cfRule type="expression" dxfId="2872" priority="2661">
      <formula>SEARCH("EMESSO",$M94)&gt;0</formula>
    </cfRule>
    <cfRule type="expression" dxfId="2871" priority="2662">
      <formula>SEARCH("RICHIESTO",$M94)&gt;0</formula>
    </cfRule>
    <cfRule type="expression" dxfId="2870" priority="2663">
      <formula>SEARCH("DA CHIUDERE",$M94)&gt;0</formula>
    </cfRule>
    <cfRule type="expression" dxfId="2869" priority="2664">
      <formula>SEARCH("INTERROTTO",$M94)&gt;0</formula>
    </cfRule>
  </conditionalFormatting>
  <conditionalFormatting sqref="F94">
    <cfRule type="expression" dxfId="2868" priority="2647">
      <formula>SEARCH("IN CORSO",$M94)&gt;0</formula>
    </cfRule>
    <cfRule type="expression" dxfId="2867" priority="2648">
      <formula>SEARCH("CHIUSO",$M94)&gt;0</formula>
    </cfRule>
    <cfRule type="expression" dxfId="2866" priority="2649">
      <formula>SEARCH("EMESSO",$M94)&gt;0</formula>
    </cfRule>
    <cfRule type="expression" dxfId="2865" priority="2650">
      <formula>SEARCH("RICHIESTO",$M94)&gt;0</formula>
    </cfRule>
    <cfRule type="expression" dxfId="2864" priority="2651">
      <formula>SEARCH("DA CHIUDERE",$M94)&gt;0</formula>
    </cfRule>
    <cfRule type="expression" dxfId="2863" priority="2652">
      <formula>SEARCH("INTERROTTO",$M94)&gt;0</formula>
    </cfRule>
  </conditionalFormatting>
  <conditionalFormatting sqref="E93">
    <cfRule type="expression" dxfId="2862" priority="2635">
      <formula>SEARCH("IN CORSO",$M93)&gt;0</formula>
    </cfRule>
    <cfRule type="expression" dxfId="2861" priority="2636">
      <formula>SEARCH("CHIUSO",$M93)&gt;0</formula>
    </cfRule>
    <cfRule type="expression" dxfId="2860" priority="2637">
      <formula>SEARCH("EMESSO",$M93)&gt;0</formula>
    </cfRule>
    <cfRule type="expression" dxfId="2859" priority="2638">
      <formula>SEARCH("RICHIESTO",$M93)&gt;0</formula>
    </cfRule>
    <cfRule type="expression" dxfId="2858" priority="2639">
      <formula>SEARCH("DA CHIUDERE",$M93)&gt;0</formula>
    </cfRule>
    <cfRule type="expression" dxfId="2857" priority="2640">
      <formula>SEARCH("INTERROTTO",$M93)&gt;0</formula>
    </cfRule>
  </conditionalFormatting>
  <conditionalFormatting sqref="N93:S93">
    <cfRule type="expression" dxfId="2856" priority="2641">
      <formula>SEARCH("IN CORSO",$M93)&gt;0</formula>
    </cfRule>
    <cfRule type="expression" dxfId="2855" priority="2642">
      <formula>SEARCH("CHIUSO",$M93)&gt;0</formula>
    </cfRule>
    <cfRule type="expression" dxfId="2854" priority="2643">
      <formula>SEARCH("EMESSO",$M93)&gt;0</formula>
    </cfRule>
    <cfRule type="expression" dxfId="2853" priority="2644">
      <formula>SEARCH("RICHIESTO",$M93)&gt;0</formula>
    </cfRule>
    <cfRule type="expression" dxfId="2852" priority="2645">
      <formula>SEARCH("DA CHIUDERE",$M93)&gt;0</formula>
    </cfRule>
    <cfRule type="expression" dxfId="2851" priority="2646">
      <formula>SEARCH("INTERROTTO",$M93)&gt;0</formula>
    </cfRule>
  </conditionalFormatting>
  <conditionalFormatting sqref="G93">
    <cfRule type="expression" dxfId="2850" priority="2629">
      <formula>SEARCH("IN CORSO",$M93)&gt;0</formula>
    </cfRule>
    <cfRule type="expression" dxfId="2849" priority="2630">
      <formula>SEARCH("CHIUSO",$M93)&gt;0</formula>
    </cfRule>
    <cfRule type="expression" dxfId="2848" priority="2631">
      <formula>SEARCH("EMESSO",$M93)&gt;0</formula>
    </cfRule>
    <cfRule type="expression" dxfId="2847" priority="2632">
      <formula>SEARCH("RICHIESTO",$M93)&gt;0</formula>
    </cfRule>
    <cfRule type="expression" dxfId="2846" priority="2633">
      <formula>SEARCH("DA CHIUDERE",$M93)&gt;0</formula>
    </cfRule>
    <cfRule type="expression" dxfId="2845" priority="2634">
      <formula>SEARCH("INTERROTTO",$M93)&gt;0</formula>
    </cfRule>
  </conditionalFormatting>
  <conditionalFormatting sqref="N92:S92">
    <cfRule type="expression" dxfId="2844" priority="2617">
      <formula>SEARCH("IN CORSO",$M92)&gt;0</formula>
    </cfRule>
    <cfRule type="expression" dxfId="2843" priority="2618">
      <formula>SEARCH("CHIUSO",$M92)&gt;0</formula>
    </cfRule>
    <cfRule type="expression" dxfId="2842" priority="2619">
      <formula>SEARCH("EMESSO",$M92)&gt;0</formula>
    </cfRule>
    <cfRule type="expression" dxfId="2841" priority="2620">
      <formula>SEARCH("RICHIESTO",$M92)&gt;0</formula>
    </cfRule>
    <cfRule type="expression" dxfId="2840" priority="2621">
      <formula>SEARCH("DA CHIUDERE",$M92)&gt;0</formula>
    </cfRule>
    <cfRule type="expression" dxfId="2839" priority="2622">
      <formula>SEARCH("INTERROTTO",$M92)&gt;0</formula>
    </cfRule>
  </conditionalFormatting>
  <conditionalFormatting sqref="G92">
    <cfRule type="expression" dxfId="2838" priority="2605">
      <formula>SEARCH("IN CORSO",$M92)&gt;0</formula>
    </cfRule>
    <cfRule type="expression" dxfId="2837" priority="2606">
      <formula>SEARCH("CHIUSO",$M92)&gt;0</formula>
    </cfRule>
    <cfRule type="expression" dxfId="2836" priority="2607">
      <formula>SEARCH("EMESSO",$M92)&gt;0</formula>
    </cfRule>
    <cfRule type="expression" dxfId="2835" priority="2608">
      <formula>SEARCH("RICHIESTO",$M92)&gt;0</formula>
    </cfRule>
    <cfRule type="expression" dxfId="2834" priority="2609">
      <formula>SEARCH("DA CHIUDERE",$M92)&gt;0</formula>
    </cfRule>
    <cfRule type="expression" dxfId="2833" priority="2610">
      <formula>SEARCH("INTERROTTO",$M92)&gt;0</formula>
    </cfRule>
  </conditionalFormatting>
  <conditionalFormatting sqref="E92">
    <cfRule type="expression" dxfId="2832" priority="2611">
      <formula>SEARCH("IN CORSO",$M92)&gt;0</formula>
    </cfRule>
    <cfRule type="expression" dxfId="2831" priority="2612">
      <formula>SEARCH("CHIUSO",$M92)&gt;0</formula>
    </cfRule>
    <cfRule type="expression" dxfId="2830" priority="2613">
      <formula>SEARCH("EMESSO",$M92)&gt;0</formula>
    </cfRule>
    <cfRule type="expression" dxfId="2829" priority="2614">
      <formula>SEARCH("RICHIESTO",$M92)&gt;0</formula>
    </cfRule>
    <cfRule type="expression" dxfId="2828" priority="2615">
      <formula>SEARCH("DA CHIUDERE",$M92)&gt;0</formula>
    </cfRule>
    <cfRule type="expression" dxfId="2827" priority="2616">
      <formula>SEARCH("INTERROTTO",$M92)&gt;0</formula>
    </cfRule>
  </conditionalFormatting>
  <conditionalFormatting sqref="F92">
    <cfRule type="expression" dxfId="2826" priority="2599">
      <formula>SEARCH("IN CORSO",$M92)&gt;0</formula>
    </cfRule>
    <cfRule type="expression" dxfId="2825" priority="2600">
      <formula>SEARCH("CHIUSO",$M92)&gt;0</formula>
    </cfRule>
    <cfRule type="expression" dxfId="2824" priority="2601">
      <formula>SEARCH("EMESSO",$M92)&gt;0</formula>
    </cfRule>
    <cfRule type="expression" dxfId="2823" priority="2602">
      <formula>SEARCH("RICHIESTO",$M92)&gt;0</formula>
    </cfRule>
    <cfRule type="expression" dxfId="2822" priority="2603">
      <formula>SEARCH("DA CHIUDERE",$M92)&gt;0</formula>
    </cfRule>
    <cfRule type="expression" dxfId="2821" priority="2604">
      <formula>SEARCH("INTERROTTO",$M92)&gt;0</formula>
    </cfRule>
  </conditionalFormatting>
  <conditionalFormatting sqref="E91">
    <cfRule type="expression" dxfId="2820" priority="2587">
      <formula>SEARCH("IN CORSO",$M91)&gt;0</formula>
    </cfRule>
    <cfRule type="expression" dxfId="2819" priority="2588">
      <formula>SEARCH("CHIUSO",$M91)&gt;0</formula>
    </cfRule>
    <cfRule type="expression" dxfId="2818" priority="2589">
      <formula>SEARCH("EMESSO",$M91)&gt;0</formula>
    </cfRule>
    <cfRule type="expression" dxfId="2817" priority="2590">
      <formula>SEARCH("RICHIESTO",$M91)&gt;0</formula>
    </cfRule>
    <cfRule type="expression" dxfId="2816" priority="2591">
      <formula>SEARCH("DA CHIUDERE",$M91)&gt;0</formula>
    </cfRule>
    <cfRule type="expression" dxfId="2815" priority="2592">
      <formula>SEARCH("INTERROTTO",$M91)&gt;0</formula>
    </cfRule>
  </conditionalFormatting>
  <conditionalFormatting sqref="F91">
    <cfRule type="expression" dxfId="2814" priority="2575">
      <formula>SEARCH("IN CORSO",$M91)&gt;0</formula>
    </cfRule>
    <cfRule type="expression" dxfId="2813" priority="2576">
      <formula>SEARCH("CHIUSO",$M91)&gt;0</formula>
    </cfRule>
    <cfRule type="expression" dxfId="2812" priority="2577">
      <formula>SEARCH("EMESSO",$M91)&gt;0</formula>
    </cfRule>
    <cfRule type="expression" dxfId="2811" priority="2578">
      <formula>SEARCH("RICHIESTO",$M91)&gt;0</formula>
    </cfRule>
    <cfRule type="expression" dxfId="2810" priority="2579">
      <formula>SEARCH("DA CHIUDERE",$M91)&gt;0</formula>
    </cfRule>
    <cfRule type="expression" dxfId="2809" priority="2580">
      <formula>SEARCH("INTERROTTO",$M91)&gt;0</formula>
    </cfRule>
  </conditionalFormatting>
  <conditionalFormatting sqref="G91">
    <cfRule type="expression" dxfId="2808" priority="2581">
      <formula>SEARCH("IN CORSO",$M91)&gt;0</formula>
    </cfRule>
    <cfRule type="expression" dxfId="2807" priority="2582">
      <formula>SEARCH("CHIUSO",$M91)&gt;0</formula>
    </cfRule>
    <cfRule type="expression" dxfId="2806" priority="2583">
      <formula>SEARCH("EMESSO",$M91)&gt;0</formula>
    </cfRule>
    <cfRule type="expression" dxfId="2805" priority="2584">
      <formula>SEARCH("RICHIESTO",$M91)&gt;0</formula>
    </cfRule>
    <cfRule type="expression" dxfId="2804" priority="2585">
      <formula>SEARCH("DA CHIUDERE",$M91)&gt;0</formula>
    </cfRule>
    <cfRule type="expression" dxfId="2803" priority="2586">
      <formula>SEARCH("INTERROTTO",$M91)&gt;0</formula>
    </cfRule>
  </conditionalFormatting>
  <conditionalFormatting sqref="N90:S90">
    <cfRule type="expression" dxfId="2802" priority="2569">
      <formula>SEARCH("IN CORSO",$M90)&gt;0</formula>
    </cfRule>
    <cfRule type="expression" dxfId="2801" priority="2570">
      <formula>SEARCH("CHIUSO",$M90)&gt;0</formula>
    </cfRule>
    <cfRule type="expression" dxfId="2800" priority="2571">
      <formula>SEARCH("EMESSO",$M90)&gt;0</formula>
    </cfRule>
    <cfRule type="expression" dxfId="2799" priority="2572">
      <formula>SEARCH("RICHIESTO",$M90)&gt;0</formula>
    </cfRule>
    <cfRule type="expression" dxfId="2798" priority="2573">
      <formula>SEARCH("DA CHIUDERE",$M90)&gt;0</formula>
    </cfRule>
    <cfRule type="expression" dxfId="2797" priority="2574">
      <formula>SEARCH("INTERROTTO",$M90)&gt;0</formula>
    </cfRule>
  </conditionalFormatting>
  <conditionalFormatting sqref="G90">
    <cfRule type="expression" dxfId="2796" priority="2557">
      <formula>SEARCH("IN CORSO",$M90)&gt;0</formula>
    </cfRule>
    <cfRule type="expression" dxfId="2795" priority="2558">
      <formula>SEARCH("CHIUSO",$M90)&gt;0</formula>
    </cfRule>
    <cfRule type="expression" dxfId="2794" priority="2559">
      <formula>SEARCH("EMESSO",$M90)&gt;0</formula>
    </cfRule>
    <cfRule type="expression" dxfId="2793" priority="2560">
      <formula>SEARCH("RICHIESTO",$M90)&gt;0</formula>
    </cfRule>
    <cfRule type="expression" dxfId="2792" priority="2561">
      <formula>SEARCH("DA CHIUDERE",$M90)&gt;0</formula>
    </cfRule>
    <cfRule type="expression" dxfId="2791" priority="2562">
      <formula>SEARCH("INTERROTTO",$M90)&gt;0</formula>
    </cfRule>
  </conditionalFormatting>
  <conditionalFormatting sqref="N89:S89">
    <cfRule type="expression" dxfId="2790" priority="2545">
      <formula>SEARCH("IN CORSO",$M89)&gt;0</formula>
    </cfRule>
    <cfRule type="expression" dxfId="2789" priority="2546">
      <formula>SEARCH("CHIUSO",$M89)&gt;0</formula>
    </cfRule>
    <cfRule type="expression" dxfId="2788" priority="2547">
      <formula>SEARCH("EMESSO",$M89)&gt;0</formula>
    </cfRule>
    <cfRule type="expression" dxfId="2787" priority="2548">
      <formula>SEARCH("RICHIESTO",$M89)&gt;0</formula>
    </cfRule>
    <cfRule type="expression" dxfId="2786" priority="2549">
      <formula>SEARCH("DA CHIUDERE",$M89)&gt;0</formula>
    </cfRule>
    <cfRule type="expression" dxfId="2785" priority="2550">
      <formula>SEARCH("INTERROTTO",$M89)&gt;0</formula>
    </cfRule>
  </conditionalFormatting>
  <conditionalFormatting sqref="F90">
    <cfRule type="expression" dxfId="2784" priority="2551">
      <formula>SEARCH("IN CORSO",$M90)&gt;0</formula>
    </cfRule>
    <cfRule type="expression" dxfId="2783" priority="2552">
      <formula>SEARCH("CHIUSO",$M90)&gt;0</formula>
    </cfRule>
    <cfRule type="expression" dxfId="2782" priority="2553">
      <formula>SEARCH("EMESSO",$M90)&gt;0</formula>
    </cfRule>
    <cfRule type="expression" dxfId="2781" priority="2554">
      <formula>SEARCH("RICHIESTO",$M90)&gt;0</formula>
    </cfRule>
    <cfRule type="expression" dxfId="2780" priority="2555">
      <formula>SEARCH("DA CHIUDERE",$M90)&gt;0</formula>
    </cfRule>
    <cfRule type="expression" dxfId="2779" priority="2556">
      <formula>SEARCH("INTERROTTO",$M90)&gt;0</formula>
    </cfRule>
  </conditionalFormatting>
  <conditionalFormatting sqref="E89">
    <cfRule type="expression" dxfId="2778" priority="2539">
      <formula>SEARCH("IN CORSO",$M89)&gt;0</formula>
    </cfRule>
    <cfRule type="expression" dxfId="2777" priority="2540">
      <formula>SEARCH("CHIUSO",$M89)&gt;0</formula>
    </cfRule>
    <cfRule type="expression" dxfId="2776" priority="2541">
      <formula>SEARCH("EMESSO",$M89)&gt;0</formula>
    </cfRule>
    <cfRule type="expression" dxfId="2775" priority="2542">
      <formula>SEARCH("RICHIESTO",$M89)&gt;0</formula>
    </cfRule>
    <cfRule type="expression" dxfId="2774" priority="2543">
      <formula>SEARCH("DA CHIUDERE",$M89)&gt;0</formula>
    </cfRule>
    <cfRule type="expression" dxfId="2773" priority="2544">
      <formula>SEARCH("INTERROTTO",$M89)&gt;0</formula>
    </cfRule>
  </conditionalFormatting>
  <conditionalFormatting sqref="F89">
    <cfRule type="expression" dxfId="2772" priority="2527">
      <formula>SEARCH("IN CORSO",$M89)&gt;0</formula>
    </cfRule>
    <cfRule type="expression" dxfId="2771" priority="2528">
      <formula>SEARCH("CHIUSO",$M89)&gt;0</formula>
    </cfRule>
    <cfRule type="expression" dxfId="2770" priority="2529">
      <formula>SEARCH("EMESSO",$M89)&gt;0</formula>
    </cfRule>
    <cfRule type="expression" dxfId="2769" priority="2530">
      <formula>SEARCH("RICHIESTO",$M89)&gt;0</formula>
    </cfRule>
    <cfRule type="expression" dxfId="2768" priority="2531">
      <formula>SEARCH("DA CHIUDERE",$M89)&gt;0</formula>
    </cfRule>
    <cfRule type="expression" dxfId="2767" priority="2532">
      <formula>SEARCH("INTERROTTO",$M89)&gt;0</formula>
    </cfRule>
  </conditionalFormatting>
  <conditionalFormatting sqref="E88">
    <cfRule type="expression" dxfId="2766" priority="2515">
      <formula>SEARCH("IN CORSO",$M88)&gt;0</formula>
    </cfRule>
    <cfRule type="expression" dxfId="2765" priority="2516">
      <formula>SEARCH("CHIUSO",$M88)&gt;0</formula>
    </cfRule>
    <cfRule type="expression" dxfId="2764" priority="2517">
      <formula>SEARCH("EMESSO",$M88)&gt;0</formula>
    </cfRule>
    <cfRule type="expression" dxfId="2763" priority="2518">
      <formula>SEARCH("RICHIESTO",$M88)&gt;0</formula>
    </cfRule>
    <cfRule type="expression" dxfId="2762" priority="2519">
      <formula>SEARCH("DA CHIUDERE",$M88)&gt;0</formula>
    </cfRule>
    <cfRule type="expression" dxfId="2761" priority="2520">
      <formula>SEARCH("INTERROTTO",$M88)&gt;0</formula>
    </cfRule>
  </conditionalFormatting>
  <conditionalFormatting sqref="N88:S88">
    <cfRule type="expression" dxfId="2760" priority="2521">
      <formula>SEARCH("IN CORSO",$M88)&gt;0</formula>
    </cfRule>
    <cfRule type="expression" dxfId="2759" priority="2522">
      <formula>SEARCH("CHIUSO",$M88)&gt;0</formula>
    </cfRule>
    <cfRule type="expression" dxfId="2758" priority="2523">
      <formula>SEARCH("EMESSO",$M88)&gt;0</formula>
    </cfRule>
    <cfRule type="expression" dxfId="2757" priority="2524">
      <formula>SEARCH("RICHIESTO",$M88)&gt;0</formula>
    </cfRule>
    <cfRule type="expression" dxfId="2756" priority="2525">
      <formula>SEARCH("DA CHIUDERE",$M88)&gt;0</formula>
    </cfRule>
    <cfRule type="expression" dxfId="2755" priority="2526">
      <formula>SEARCH("INTERROTTO",$M88)&gt;0</formula>
    </cfRule>
  </conditionalFormatting>
  <conditionalFormatting sqref="G88">
    <cfRule type="expression" dxfId="2754" priority="2509">
      <formula>SEARCH("IN CORSO",$M88)&gt;0</formula>
    </cfRule>
    <cfRule type="expression" dxfId="2753" priority="2510">
      <formula>SEARCH("CHIUSO",$M88)&gt;0</formula>
    </cfRule>
    <cfRule type="expression" dxfId="2752" priority="2511">
      <formula>SEARCH("EMESSO",$M88)&gt;0</formula>
    </cfRule>
    <cfRule type="expression" dxfId="2751" priority="2512">
      <formula>SEARCH("RICHIESTO",$M88)&gt;0</formula>
    </cfRule>
    <cfRule type="expression" dxfId="2750" priority="2513">
      <formula>SEARCH("DA CHIUDERE",$M88)&gt;0</formula>
    </cfRule>
    <cfRule type="expression" dxfId="2749" priority="2514">
      <formula>SEARCH("INTERROTTO",$M88)&gt;0</formula>
    </cfRule>
  </conditionalFormatting>
  <conditionalFormatting sqref="N87:S87">
    <cfRule type="expression" dxfId="2748" priority="2497">
      <formula>SEARCH("IN CORSO",$M87)&gt;0</formula>
    </cfRule>
    <cfRule type="expression" dxfId="2747" priority="2498">
      <formula>SEARCH("CHIUSO",$M87)&gt;0</formula>
    </cfRule>
    <cfRule type="expression" dxfId="2746" priority="2499">
      <formula>SEARCH("EMESSO",$M87)&gt;0</formula>
    </cfRule>
    <cfRule type="expression" dxfId="2745" priority="2500">
      <formula>SEARCH("RICHIESTO",$M87)&gt;0</formula>
    </cfRule>
    <cfRule type="expression" dxfId="2744" priority="2501">
      <formula>SEARCH("DA CHIUDERE",$M87)&gt;0</formula>
    </cfRule>
    <cfRule type="expression" dxfId="2743" priority="2502">
      <formula>SEARCH("INTERROTTO",$M87)&gt;0</formula>
    </cfRule>
  </conditionalFormatting>
  <conditionalFormatting sqref="G87">
    <cfRule type="expression" dxfId="2742" priority="2485">
      <formula>SEARCH("IN CORSO",$M87)&gt;0</formula>
    </cfRule>
    <cfRule type="expression" dxfId="2741" priority="2486">
      <formula>SEARCH("CHIUSO",$M87)&gt;0</formula>
    </cfRule>
    <cfRule type="expression" dxfId="2740" priority="2487">
      <formula>SEARCH("EMESSO",$M87)&gt;0</formula>
    </cfRule>
    <cfRule type="expression" dxfId="2739" priority="2488">
      <formula>SEARCH("RICHIESTO",$M87)&gt;0</formula>
    </cfRule>
    <cfRule type="expression" dxfId="2738" priority="2489">
      <formula>SEARCH("DA CHIUDERE",$M87)&gt;0</formula>
    </cfRule>
    <cfRule type="expression" dxfId="2737" priority="2490">
      <formula>SEARCH("INTERROTTO",$M87)&gt;0</formula>
    </cfRule>
  </conditionalFormatting>
  <conditionalFormatting sqref="E87">
    <cfRule type="expression" dxfId="2736" priority="2491">
      <formula>SEARCH("IN CORSO",$M87)&gt;0</formula>
    </cfRule>
    <cfRule type="expression" dxfId="2735" priority="2492">
      <formula>SEARCH("CHIUSO",$M87)&gt;0</formula>
    </cfRule>
    <cfRule type="expression" dxfId="2734" priority="2493">
      <formula>SEARCH("EMESSO",$M87)&gt;0</formula>
    </cfRule>
    <cfRule type="expression" dxfId="2733" priority="2494">
      <formula>SEARCH("RICHIESTO",$M87)&gt;0</formula>
    </cfRule>
    <cfRule type="expression" dxfId="2732" priority="2495">
      <formula>SEARCH("DA CHIUDERE",$M87)&gt;0</formula>
    </cfRule>
    <cfRule type="expression" dxfId="2731" priority="2496">
      <formula>SEARCH("INTERROTTO",$M87)&gt;0</formula>
    </cfRule>
  </conditionalFormatting>
  <conditionalFormatting sqref="F87">
    <cfRule type="expression" dxfId="2730" priority="2479">
      <formula>SEARCH("IN CORSO",$M87)&gt;0</formula>
    </cfRule>
    <cfRule type="expression" dxfId="2729" priority="2480">
      <formula>SEARCH("CHIUSO",$M87)&gt;0</formula>
    </cfRule>
    <cfRule type="expression" dxfId="2728" priority="2481">
      <formula>SEARCH("EMESSO",$M87)&gt;0</formula>
    </cfRule>
    <cfRule type="expression" dxfId="2727" priority="2482">
      <formula>SEARCH("RICHIESTO",$M87)&gt;0</formula>
    </cfRule>
    <cfRule type="expression" dxfId="2726" priority="2483">
      <formula>SEARCH("DA CHIUDERE",$M87)&gt;0</formula>
    </cfRule>
    <cfRule type="expression" dxfId="2725" priority="2484">
      <formula>SEARCH("INTERROTTO",$M87)&gt;0</formula>
    </cfRule>
  </conditionalFormatting>
  <conditionalFormatting sqref="E86">
    <cfRule type="expression" dxfId="2724" priority="2467">
      <formula>SEARCH("IN CORSO",$M86)&gt;0</formula>
    </cfRule>
    <cfRule type="expression" dxfId="2723" priority="2468">
      <formula>SEARCH("CHIUSO",$M86)&gt;0</formula>
    </cfRule>
    <cfRule type="expression" dxfId="2722" priority="2469">
      <formula>SEARCH("EMESSO",$M86)&gt;0</formula>
    </cfRule>
    <cfRule type="expression" dxfId="2721" priority="2470">
      <formula>SEARCH("RICHIESTO",$M86)&gt;0</formula>
    </cfRule>
    <cfRule type="expression" dxfId="2720" priority="2471">
      <formula>SEARCH("DA CHIUDERE",$M86)&gt;0</formula>
    </cfRule>
    <cfRule type="expression" dxfId="2719" priority="2472">
      <formula>SEARCH("INTERROTTO",$M86)&gt;0</formula>
    </cfRule>
  </conditionalFormatting>
  <conditionalFormatting sqref="F86">
    <cfRule type="expression" dxfId="2718" priority="2455">
      <formula>SEARCH("IN CORSO",$M86)&gt;0</formula>
    </cfRule>
    <cfRule type="expression" dxfId="2717" priority="2456">
      <formula>SEARCH("CHIUSO",$M86)&gt;0</formula>
    </cfRule>
    <cfRule type="expression" dxfId="2716" priority="2457">
      <formula>SEARCH("EMESSO",$M86)&gt;0</formula>
    </cfRule>
    <cfRule type="expression" dxfId="2715" priority="2458">
      <formula>SEARCH("RICHIESTO",$M86)&gt;0</formula>
    </cfRule>
    <cfRule type="expression" dxfId="2714" priority="2459">
      <formula>SEARCH("DA CHIUDERE",$M86)&gt;0</formula>
    </cfRule>
    <cfRule type="expression" dxfId="2713" priority="2460">
      <formula>SEARCH("INTERROTTO",$M86)&gt;0</formula>
    </cfRule>
  </conditionalFormatting>
  <conditionalFormatting sqref="G86">
    <cfRule type="expression" dxfId="2712" priority="2461">
      <formula>SEARCH("IN CORSO",$M86)&gt;0</formula>
    </cfRule>
    <cfRule type="expression" dxfId="2711" priority="2462">
      <formula>SEARCH("CHIUSO",$M86)&gt;0</formula>
    </cfRule>
    <cfRule type="expression" dxfId="2710" priority="2463">
      <formula>SEARCH("EMESSO",$M86)&gt;0</formula>
    </cfRule>
    <cfRule type="expression" dxfId="2709" priority="2464">
      <formula>SEARCH("RICHIESTO",$M86)&gt;0</formula>
    </cfRule>
    <cfRule type="expression" dxfId="2708" priority="2465">
      <formula>SEARCH("DA CHIUDERE",$M86)&gt;0</formula>
    </cfRule>
    <cfRule type="expression" dxfId="2707" priority="2466">
      <formula>SEARCH("INTERROTTO",$M86)&gt;0</formula>
    </cfRule>
  </conditionalFormatting>
  <conditionalFormatting sqref="N85:S85">
    <cfRule type="expression" dxfId="2706" priority="2449">
      <formula>SEARCH("IN CORSO",$M85)&gt;0</formula>
    </cfRule>
    <cfRule type="expression" dxfId="2705" priority="2450">
      <formula>SEARCH("CHIUSO",$M85)&gt;0</formula>
    </cfRule>
    <cfRule type="expression" dxfId="2704" priority="2451">
      <formula>SEARCH("EMESSO",$M85)&gt;0</formula>
    </cfRule>
    <cfRule type="expression" dxfId="2703" priority="2452">
      <formula>SEARCH("RICHIESTO",$M85)&gt;0</formula>
    </cfRule>
    <cfRule type="expression" dxfId="2702" priority="2453">
      <formula>SEARCH("DA CHIUDERE",$M85)&gt;0</formula>
    </cfRule>
    <cfRule type="expression" dxfId="2701" priority="2454">
      <formula>SEARCH("INTERROTTO",$M85)&gt;0</formula>
    </cfRule>
  </conditionalFormatting>
  <conditionalFormatting sqref="G85">
    <cfRule type="expression" dxfId="2700" priority="2437">
      <formula>SEARCH("IN CORSO",$M85)&gt;0</formula>
    </cfRule>
    <cfRule type="expression" dxfId="2699" priority="2438">
      <formula>SEARCH("CHIUSO",$M85)&gt;0</formula>
    </cfRule>
    <cfRule type="expression" dxfId="2698" priority="2439">
      <formula>SEARCH("EMESSO",$M85)&gt;0</formula>
    </cfRule>
    <cfRule type="expression" dxfId="2697" priority="2440">
      <formula>SEARCH("RICHIESTO",$M85)&gt;0</formula>
    </cfRule>
    <cfRule type="expression" dxfId="2696" priority="2441">
      <formula>SEARCH("DA CHIUDERE",$M85)&gt;0</formula>
    </cfRule>
    <cfRule type="expression" dxfId="2695" priority="2442">
      <formula>SEARCH("INTERROTTO",$M85)&gt;0</formula>
    </cfRule>
  </conditionalFormatting>
  <conditionalFormatting sqref="N84:S84">
    <cfRule type="expression" dxfId="2694" priority="2425">
      <formula>SEARCH("IN CORSO",$M84)&gt;0</formula>
    </cfRule>
    <cfRule type="expression" dxfId="2693" priority="2426">
      <formula>SEARCH("CHIUSO",$M84)&gt;0</formula>
    </cfRule>
    <cfRule type="expression" dxfId="2692" priority="2427">
      <formula>SEARCH("EMESSO",$M84)&gt;0</formula>
    </cfRule>
    <cfRule type="expression" dxfId="2691" priority="2428">
      <formula>SEARCH("RICHIESTO",$M84)&gt;0</formula>
    </cfRule>
    <cfRule type="expression" dxfId="2690" priority="2429">
      <formula>SEARCH("DA CHIUDERE",$M84)&gt;0</formula>
    </cfRule>
    <cfRule type="expression" dxfId="2689" priority="2430">
      <formula>SEARCH("INTERROTTO",$M84)&gt;0</formula>
    </cfRule>
  </conditionalFormatting>
  <conditionalFormatting sqref="F85">
    <cfRule type="expression" dxfId="2688" priority="2431">
      <formula>SEARCH("IN CORSO",$M85)&gt;0</formula>
    </cfRule>
    <cfRule type="expression" dxfId="2687" priority="2432">
      <formula>SEARCH("CHIUSO",$M85)&gt;0</formula>
    </cfRule>
    <cfRule type="expression" dxfId="2686" priority="2433">
      <formula>SEARCH("EMESSO",$M85)&gt;0</formula>
    </cfRule>
    <cfRule type="expression" dxfId="2685" priority="2434">
      <formula>SEARCH("RICHIESTO",$M85)&gt;0</formula>
    </cfRule>
    <cfRule type="expression" dxfId="2684" priority="2435">
      <formula>SEARCH("DA CHIUDERE",$M85)&gt;0</formula>
    </cfRule>
    <cfRule type="expression" dxfId="2683" priority="2436">
      <formula>SEARCH("INTERROTTO",$M85)&gt;0</formula>
    </cfRule>
  </conditionalFormatting>
  <conditionalFormatting sqref="E84">
    <cfRule type="expression" dxfId="2682" priority="2419">
      <formula>SEARCH("IN CORSO",$M84)&gt;0</formula>
    </cfRule>
    <cfRule type="expression" dxfId="2681" priority="2420">
      <formula>SEARCH("CHIUSO",$M84)&gt;0</formula>
    </cfRule>
    <cfRule type="expression" dxfId="2680" priority="2421">
      <formula>SEARCH("EMESSO",$M84)&gt;0</formula>
    </cfRule>
    <cfRule type="expression" dxfId="2679" priority="2422">
      <formula>SEARCH("RICHIESTO",$M84)&gt;0</formula>
    </cfRule>
    <cfRule type="expression" dxfId="2678" priority="2423">
      <formula>SEARCH("DA CHIUDERE",$M84)&gt;0</formula>
    </cfRule>
    <cfRule type="expression" dxfId="2677" priority="2424">
      <formula>SEARCH("INTERROTTO",$M84)&gt;0</formula>
    </cfRule>
  </conditionalFormatting>
  <conditionalFormatting sqref="M83">
    <cfRule type="expression" dxfId="2676" priority="2401">
      <formula>SEARCH("IN CORSO",$M83)&gt;0</formula>
    </cfRule>
    <cfRule type="expression" dxfId="2675" priority="2402">
      <formula>SEARCH("CHIUSO",$M83)&gt;0</formula>
    </cfRule>
    <cfRule type="expression" dxfId="2674" priority="2403">
      <formula>SEARCH("EMESSO",$M83)&gt;0</formula>
    </cfRule>
    <cfRule type="expression" dxfId="2673" priority="2404">
      <formula>SEARCH("RICHIESTO",$M83)&gt;0</formula>
    </cfRule>
    <cfRule type="expression" dxfId="2672" priority="2405">
      <formula>SEARCH("DA CHIUDERE",$M83)&gt;0</formula>
    </cfRule>
    <cfRule type="expression" dxfId="2671" priority="2406">
      <formula>SEARCH("INTERROTTO",$M83)&gt;0</formula>
    </cfRule>
  </conditionalFormatting>
  <conditionalFormatting sqref="N83:S83">
    <cfRule type="expression" dxfId="2670" priority="2395">
      <formula>SEARCH("IN CORSO",$M83)&gt;0</formula>
    </cfRule>
    <cfRule type="expression" dxfId="2669" priority="2396">
      <formula>SEARCH("CHIUSO",$M83)&gt;0</formula>
    </cfRule>
    <cfRule type="expression" dxfId="2668" priority="2397">
      <formula>SEARCH("EMESSO",$M83)&gt;0</formula>
    </cfRule>
    <cfRule type="expression" dxfId="2667" priority="2398">
      <formula>SEARCH("RICHIESTO",$M83)&gt;0</formula>
    </cfRule>
    <cfRule type="expression" dxfId="2666" priority="2399">
      <formula>SEARCH("DA CHIUDERE",$M83)&gt;0</formula>
    </cfRule>
    <cfRule type="expression" dxfId="2665" priority="2400">
      <formula>SEARCH("INTERROTTO",$M83)&gt;0</formula>
    </cfRule>
  </conditionalFormatting>
  <conditionalFormatting sqref="G83">
    <cfRule type="expression" dxfId="2664" priority="2383">
      <formula>SEARCH("IN CORSO",$M83)&gt;0</formula>
    </cfRule>
    <cfRule type="expression" dxfId="2663" priority="2384">
      <formula>SEARCH("CHIUSO",$M83)&gt;0</formula>
    </cfRule>
    <cfRule type="expression" dxfId="2662" priority="2385">
      <formula>SEARCH("EMESSO",$M83)&gt;0</formula>
    </cfRule>
    <cfRule type="expression" dxfId="2661" priority="2386">
      <formula>SEARCH("RICHIESTO",$M83)&gt;0</formula>
    </cfRule>
    <cfRule type="expression" dxfId="2660" priority="2387">
      <formula>SEARCH("DA CHIUDERE",$M83)&gt;0</formula>
    </cfRule>
    <cfRule type="expression" dxfId="2659" priority="2388">
      <formula>SEARCH("INTERROTTO",$M83)&gt;0</formula>
    </cfRule>
  </conditionalFormatting>
  <conditionalFormatting sqref="E83">
    <cfRule type="expression" dxfId="2658" priority="2389">
      <formula>SEARCH("IN CORSO",$M83)&gt;0</formula>
    </cfRule>
    <cfRule type="expression" dxfId="2657" priority="2390">
      <formula>SEARCH("CHIUSO",$M83)&gt;0</formula>
    </cfRule>
    <cfRule type="expression" dxfId="2656" priority="2391">
      <formula>SEARCH("EMESSO",$M83)&gt;0</formula>
    </cfRule>
    <cfRule type="expression" dxfId="2655" priority="2392">
      <formula>SEARCH("RICHIESTO",$M83)&gt;0</formula>
    </cfRule>
    <cfRule type="expression" dxfId="2654" priority="2393">
      <formula>SEARCH("DA CHIUDERE",$M83)&gt;0</formula>
    </cfRule>
    <cfRule type="expression" dxfId="2653" priority="2394">
      <formula>SEARCH("INTERROTTO",$M83)&gt;0</formula>
    </cfRule>
  </conditionalFormatting>
  <conditionalFormatting sqref="F83">
    <cfRule type="expression" dxfId="2652" priority="2377">
      <formula>SEARCH("IN CORSO",$M83)&gt;0</formula>
    </cfRule>
    <cfRule type="expression" dxfId="2651" priority="2378">
      <formula>SEARCH("CHIUSO",$M83)&gt;0</formula>
    </cfRule>
    <cfRule type="expression" dxfId="2650" priority="2379">
      <formula>SEARCH("EMESSO",$M83)&gt;0</formula>
    </cfRule>
    <cfRule type="expression" dxfId="2649" priority="2380">
      <formula>SEARCH("RICHIESTO",$M83)&gt;0</formula>
    </cfRule>
    <cfRule type="expression" dxfId="2648" priority="2381">
      <formula>SEARCH("DA CHIUDERE",$M83)&gt;0</formula>
    </cfRule>
    <cfRule type="expression" dxfId="2647" priority="2382">
      <formula>SEARCH("INTERROTTO",$M83)&gt;0</formula>
    </cfRule>
  </conditionalFormatting>
  <conditionalFormatting sqref="M82">
    <cfRule type="expression" dxfId="2646" priority="2371">
      <formula>SEARCH("IN CORSO",$M82)&gt;0</formula>
    </cfRule>
    <cfRule type="expression" dxfId="2645" priority="2372">
      <formula>SEARCH("CHIUSO",$M82)&gt;0</formula>
    </cfRule>
    <cfRule type="expression" dxfId="2644" priority="2373">
      <formula>SEARCH("EMESSO",$M82)&gt;0</formula>
    </cfRule>
    <cfRule type="expression" dxfId="2643" priority="2374">
      <formula>SEARCH("RICHIESTO",$M82)&gt;0</formula>
    </cfRule>
    <cfRule type="expression" dxfId="2642" priority="2375">
      <formula>SEARCH("DA CHIUDERE",$M82)&gt;0</formula>
    </cfRule>
    <cfRule type="expression" dxfId="2641" priority="2376">
      <formula>SEARCH("INTERROTTO",$M82)&gt;0</formula>
    </cfRule>
  </conditionalFormatting>
  <conditionalFormatting sqref="N82:S82">
    <cfRule type="expression" dxfId="2640" priority="2365">
      <formula>SEARCH("IN CORSO",$M82)&gt;0</formula>
    </cfRule>
    <cfRule type="expression" dxfId="2639" priority="2366">
      <formula>SEARCH("CHIUSO",$M82)&gt;0</formula>
    </cfRule>
    <cfRule type="expression" dxfId="2638" priority="2367">
      <formula>SEARCH("EMESSO",$M82)&gt;0</formula>
    </cfRule>
    <cfRule type="expression" dxfId="2637" priority="2368">
      <formula>SEARCH("RICHIESTO",$M82)&gt;0</formula>
    </cfRule>
    <cfRule type="expression" dxfId="2636" priority="2369">
      <formula>SEARCH("DA CHIUDERE",$M82)&gt;0</formula>
    </cfRule>
    <cfRule type="expression" dxfId="2635" priority="2370">
      <formula>SEARCH("INTERROTTO",$M82)&gt;0</formula>
    </cfRule>
  </conditionalFormatting>
  <conditionalFormatting sqref="G82">
    <cfRule type="expression" dxfId="2634" priority="2353">
      <formula>SEARCH("IN CORSO",$M82)&gt;0</formula>
    </cfRule>
    <cfRule type="expression" dxfId="2633" priority="2354">
      <formula>SEARCH("CHIUSO",$M82)&gt;0</formula>
    </cfRule>
    <cfRule type="expression" dxfId="2632" priority="2355">
      <formula>SEARCH("EMESSO",$M82)&gt;0</formula>
    </cfRule>
    <cfRule type="expression" dxfId="2631" priority="2356">
      <formula>SEARCH("RICHIESTO",$M82)&gt;0</formula>
    </cfRule>
    <cfRule type="expression" dxfId="2630" priority="2357">
      <formula>SEARCH("DA CHIUDERE",$M82)&gt;0</formula>
    </cfRule>
    <cfRule type="expression" dxfId="2629" priority="2358">
      <formula>SEARCH("INTERROTTO",$M82)&gt;0</formula>
    </cfRule>
  </conditionalFormatting>
  <conditionalFormatting sqref="E82">
    <cfRule type="expression" dxfId="2628" priority="2359">
      <formula>SEARCH("IN CORSO",$M82)&gt;0</formula>
    </cfRule>
    <cfRule type="expression" dxfId="2627" priority="2360">
      <formula>SEARCH("CHIUSO",$M82)&gt;0</formula>
    </cfRule>
    <cfRule type="expression" dxfId="2626" priority="2361">
      <formula>SEARCH("EMESSO",$M82)&gt;0</formula>
    </cfRule>
    <cfRule type="expression" dxfId="2625" priority="2362">
      <formula>SEARCH("RICHIESTO",$M82)&gt;0</formula>
    </cfRule>
    <cfRule type="expression" dxfId="2624" priority="2363">
      <formula>SEARCH("DA CHIUDERE",$M82)&gt;0</formula>
    </cfRule>
    <cfRule type="expression" dxfId="2623" priority="2364">
      <formula>SEARCH("INTERROTTO",$M82)&gt;0</formula>
    </cfRule>
  </conditionalFormatting>
  <conditionalFormatting sqref="F82">
    <cfRule type="expression" dxfId="2622" priority="2347">
      <formula>SEARCH("IN CORSO",$M82)&gt;0</formula>
    </cfRule>
    <cfRule type="expression" dxfId="2621" priority="2348">
      <formula>SEARCH("CHIUSO",$M82)&gt;0</formula>
    </cfRule>
    <cfRule type="expression" dxfId="2620" priority="2349">
      <formula>SEARCH("EMESSO",$M82)&gt;0</formula>
    </cfRule>
    <cfRule type="expression" dxfId="2619" priority="2350">
      <formula>SEARCH("RICHIESTO",$M82)&gt;0</formula>
    </cfRule>
    <cfRule type="expression" dxfId="2618" priority="2351">
      <formula>SEARCH("DA CHIUDERE",$M82)&gt;0</formula>
    </cfRule>
    <cfRule type="expression" dxfId="2617" priority="2352">
      <formula>SEARCH("INTERROTTO",$M82)&gt;0</formula>
    </cfRule>
  </conditionalFormatting>
  <conditionalFormatting sqref="M81">
    <cfRule type="expression" dxfId="2616" priority="2341">
      <formula>SEARCH("IN CORSO",$M81)&gt;0</formula>
    </cfRule>
    <cfRule type="expression" dxfId="2615" priority="2342">
      <formula>SEARCH("CHIUSO",$M81)&gt;0</formula>
    </cfRule>
    <cfRule type="expression" dxfId="2614" priority="2343">
      <formula>SEARCH("EMESSO",$M81)&gt;0</formula>
    </cfRule>
    <cfRule type="expression" dxfId="2613" priority="2344">
      <formula>SEARCH("RICHIESTO",$M81)&gt;0</formula>
    </cfRule>
    <cfRule type="expression" dxfId="2612" priority="2345">
      <formula>SEARCH("DA CHIUDERE",$M81)&gt;0</formula>
    </cfRule>
    <cfRule type="expression" dxfId="2611" priority="2346">
      <formula>SEARCH("INTERROTTO",$M81)&gt;0</formula>
    </cfRule>
  </conditionalFormatting>
  <conditionalFormatting sqref="N81:S81">
    <cfRule type="expression" dxfId="2610" priority="2335">
      <formula>SEARCH("IN CORSO",$M81)&gt;0</formula>
    </cfRule>
    <cfRule type="expression" dxfId="2609" priority="2336">
      <formula>SEARCH("CHIUSO",$M81)&gt;0</formula>
    </cfRule>
    <cfRule type="expression" dxfId="2608" priority="2337">
      <formula>SEARCH("EMESSO",$M81)&gt;0</formula>
    </cfRule>
    <cfRule type="expression" dxfId="2607" priority="2338">
      <formula>SEARCH("RICHIESTO",$M81)&gt;0</formula>
    </cfRule>
    <cfRule type="expression" dxfId="2606" priority="2339">
      <formula>SEARCH("DA CHIUDERE",$M81)&gt;0</formula>
    </cfRule>
    <cfRule type="expression" dxfId="2605" priority="2340">
      <formula>SEARCH("INTERROTTO",$M81)&gt;0</formula>
    </cfRule>
  </conditionalFormatting>
  <conditionalFormatting sqref="G81">
    <cfRule type="expression" dxfId="2604" priority="2323">
      <formula>SEARCH("IN CORSO",$M81)&gt;0</formula>
    </cfRule>
    <cfRule type="expression" dxfId="2603" priority="2324">
      <formula>SEARCH("CHIUSO",$M81)&gt;0</formula>
    </cfRule>
    <cfRule type="expression" dxfId="2602" priority="2325">
      <formula>SEARCH("EMESSO",$M81)&gt;0</formula>
    </cfRule>
    <cfRule type="expression" dxfId="2601" priority="2326">
      <formula>SEARCH("RICHIESTO",$M81)&gt;0</formula>
    </cfRule>
    <cfRule type="expression" dxfId="2600" priority="2327">
      <formula>SEARCH("DA CHIUDERE",$M81)&gt;0</formula>
    </cfRule>
    <cfRule type="expression" dxfId="2599" priority="2328">
      <formula>SEARCH("INTERROTTO",$M81)&gt;0</formula>
    </cfRule>
  </conditionalFormatting>
  <conditionalFormatting sqref="E81">
    <cfRule type="expression" dxfId="2598" priority="2329">
      <formula>SEARCH("IN CORSO",$M81)&gt;0</formula>
    </cfRule>
    <cfRule type="expression" dxfId="2597" priority="2330">
      <formula>SEARCH("CHIUSO",$M81)&gt;0</formula>
    </cfRule>
    <cfRule type="expression" dxfId="2596" priority="2331">
      <formula>SEARCH("EMESSO",$M81)&gt;0</formula>
    </cfRule>
    <cfRule type="expression" dxfId="2595" priority="2332">
      <formula>SEARCH("RICHIESTO",$M81)&gt;0</formula>
    </cfRule>
    <cfRule type="expression" dxfId="2594" priority="2333">
      <formula>SEARCH("DA CHIUDERE",$M81)&gt;0</formula>
    </cfRule>
    <cfRule type="expression" dxfId="2593" priority="2334">
      <formula>SEARCH("INTERROTTO",$M81)&gt;0</formula>
    </cfRule>
  </conditionalFormatting>
  <conditionalFormatting sqref="F81">
    <cfRule type="expression" dxfId="2592" priority="2317">
      <formula>SEARCH("IN CORSO",$M81)&gt;0</formula>
    </cfRule>
    <cfRule type="expression" dxfId="2591" priority="2318">
      <formula>SEARCH("CHIUSO",$M81)&gt;0</formula>
    </cfRule>
    <cfRule type="expression" dxfId="2590" priority="2319">
      <formula>SEARCH("EMESSO",$M81)&gt;0</formula>
    </cfRule>
    <cfRule type="expression" dxfId="2589" priority="2320">
      <formula>SEARCH("RICHIESTO",$M81)&gt;0</formula>
    </cfRule>
    <cfRule type="expression" dxfId="2588" priority="2321">
      <formula>SEARCH("DA CHIUDERE",$M81)&gt;0</formula>
    </cfRule>
    <cfRule type="expression" dxfId="2587" priority="2322">
      <formula>SEARCH("INTERROTTO",$M81)&gt;0</formula>
    </cfRule>
  </conditionalFormatting>
  <conditionalFormatting sqref="M80">
    <cfRule type="expression" dxfId="2586" priority="2311">
      <formula>SEARCH("IN CORSO",$M80)&gt;0</formula>
    </cfRule>
    <cfRule type="expression" dxfId="2585" priority="2312">
      <formula>SEARCH("CHIUSO",$M80)&gt;0</formula>
    </cfRule>
    <cfRule type="expression" dxfId="2584" priority="2313">
      <formula>SEARCH("EMESSO",$M80)&gt;0</formula>
    </cfRule>
    <cfRule type="expression" dxfId="2583" priority="2314">
      <formula>SEARCH("RICHIESTO",$M80)&gt;0</formula>
    </cfRule>
    <cfRule type="expression" dxfId="2582" priority="2315">
      <formula>SEARCH("DA CHIUDERE",$M80)&gt;0</formula>
    </cfRule>
    <cfRule type="expression" dxfId="2581" priority="2316">
      <formula>SEARCH("INTERROTTO",$M80)&gt;0</formula>
    </cfRule>
  </conditionalFormatting>
  <conditionalFormatting sqref="N80:S80">
    <cfRule type="expression" dxfId="2580" priority="2305">
      <formula>SEARCH("IN CORSO",$M80)&gt;0</formula>
    </cfRule>
    <cfRule type="expression" dxfId="2579" priority="2306">
      <formula>SEARCH("CHIUSO",$M80)&gt;0</formula>
    </cfRule>
    <cfRule type="expression" dxfId="2578" priority="2307">
      <formula>SEARCH("EMESSO",$M80)&gt;0</formula>
    </cfRule>
    <cfRule type="expression" dxfId="2577" priority="2308">
      <formula>SEARCH("RICHIESTO",$M80)&gt;0</formula>
    </cfRule>
    <cfRule type="expression" dxfId="2576" priority="2309">
      <formula>SEARCH("DA CHIUDERE",$M80)&gt;0</formula>
    </cfRule>
    <cfRule type="expression" dxfId="2575" priority="2310">
      <formula>SEARCH("INTERROTTO",$M80)&gt;0</formula>
    </cfRule>
  </conditionalFormatting>
  <conditionalFormatting sqref="G80">
    <cfRule type="expression" dxfId="2574" priority="2293">
      <formula>SEARCH("IN CORSO",$M80)&gt;0</formula>
    </cfRule>
    <cfRule type="expression" dxfId="2573" priority="2294">
      <formula>SEARCH("CHIUSO",$M80)&gt;0</formula>
    </cfRule>
    <cfRule type="expression" dxfId="2572" priority="2295">
      <formula>SEARCH("EMESSO",$M80)&gt;0</formula>
    </cfRule>
    <cfRule type="expression" dxfId="2571" priority="2296">
      <formula>SEARCH("RICHIESTO",$M80)&gt;0</formula>
    </cfRule>
    <cfRule type="expression" dxfId="2570" priority="2297">
      <formula>SEARCH("DA CHIUDERE",$M80)&gt;0</formula>
    </cfRule>
    <cfRule type="expression" dxfId="2569" priority="2298">
      <formula>SEARCH("INTERROTTO",$M80)&gt;0</formula>
    </cfRule>
  </conditionalFormatting>
  <conditionalFormatting sqref="E80">
    <cfRule type="expression" dxfId="2568" priority="2299">
      <formula>SEARCH("IN CORSO",$M80)&gt;0</formula>
    </cfRule>
    <cfRule type="expression" dxfId="2567" priority="2300">
      <formula>SEARCH("CHIUSO",$M80)&gt;0</formula>
    </cfRule>
    <cfRule type="expression" dxfId="2566" priority="2301">
      <formula>SEARCH("EMESSO",$M80)&gt;0</formula>
    </cfRule>
    <cfRule type="expression" dxfId="2565" priority="2302">
      <formula>SEARCH("RICHIESTO",$M80)&gt;0</formula>
    </cfRule>
    <cfRule type="expression" dxfId="2564" priority="2303">
      <formula>SEARCH("DA CHIUDERE",$M80)&gt;0</formula>
    </cfRule>
    <cfRule type="expression" dxfId="2563" priority="2304">
      <formula>SEARCH("INTERROTTO",$M80)&gt;0</formula>
    </cfRule>
  </conditionalFormatting>
  <conditionalFormatting sqref="F80">
    <cfRule type="expression" dxfId="2562" priority="2287">
      <formula>SEARCH("IN CORSO",$M80)&gt;0</formula>
    </cfRule>
    <cfRule type="expression" dxfId="2561" priority="2288">
      <formula>SEARCH("CHIUSO",$M80)&gt;0</formula>
    </cfRule>
    <cfRule type="expression" dxfId="2560" priority="2289">
      <formula>SEARCH("EMESSO",$M80)&gt;0</formula>
    </cfRule>
    <cfRule type="expression" dxfId="2559" priority="2290">
      <formula>SEARCH("RICHIESTO",$M80)&gt;0</formula>
    </cfRule>
    <cfRule type="expression" dxfId="2558" priority="2291">
      <formula>SEARCH("DA CHIUDERE",$M80)&gt;0</formula>
    </cfRule>
    <cfRule type="expression" dxfId="2557" priority="2292">
      <formula>SEARCH("INTERROTTO",$M80)&gt;0</formula>
    </cfRule>
  </conditionalFormatting>
  <conditionalFormatting sqref="M79">
    <cfRule type="expression" dxfId="2556" priority="2281">
      <formula>SEARCH("IN CORSO",$M79)&gt;0</formula>
    </cfRule>
    <cfRule type="expression" dxfId="2555" priority="2282">
      <formula>SEARCH("CHIUSO",$M79)&gt;0</formula>
    </cfRule>
    <cfRule type="expression" dxfId="2554" priority="2283">
      <formula>SEARCH("EMESSO",$M79)&gt;0</formula>
    </cfRule>
    <cfRule type="expression" dxfId="2553" priority="2284">
      <formula>SEARCH("RICHIESTO",$M79)&gt;0</formula>
    </cfRule>
    <cfRule type="expression" dxfId="2552" priority="2285">
      <formula>SEARCH("DA CHIUDERE",$M79)&gt;0</formula>
    </cfRule>
    <cfRule type="expression" dxfId="2551" priority="2286">
      <formula>SEARCH("INTERROTTO",$M79)&gt;0</formula>
    </cfRule>
  </conditionalFormatting>
  <conditionalFormatting sqref="N79:S79">
    <cfRule type="expression" dxfId="2550" priority="2275">
      <formula>SEARCH("IN CORSO",$M79)&gt;0</formula>
    </cfRule>
    <cfRule type="expression" dxfId="2549" priority="2276">
      <formula>SEARCH("CHIUSO",$M79)&gt;0</formula>
    </cfRule>
    <cfRule type="expression" dxfId="2548" priority="2277">
      <formula>SEARCH("EMESSO",$M79)&gt;0</formula>
    </cfRule>
    <cfRule type="expression" dxfId="2547" priority="2278">
      <formula>SEARCH("RICHIESTO",$M79)&gt;0</formula>
    </cfRule>
    <cfRule type="expression" dxfId="2546" priority="2279">
      <formula>SEARCH("DA CHIUDERE",$M79)&gt;0</formula>
    </cfRule>
    <cfRule type="expression" dxfId="2545" priority="2280">
      <formula>SEARCH("INTERROTTO",$M79)&gt;0</formula>
    </cfRule>
  </conditionalFormatting>
  <conditionalFormatting sqref="G79">
    <cfRule type="expression" dxfId="2544" priority="2263">
      <formula>SEARCH("IN CORSO",$M79)&gt;0</formula>
    </cfRule>
    <cfRule type="expression" dxfId="2543" priority="2264">
      <formula>SEARCH("CHIUSO",$M79)&gt;0</formula>
    </cfRule>
    <cfRule type="expression" dxfId="2542" priority="2265">
      <formula>SEARCH("EMESSO",$M79)&gt;0</formula>
    </cfRule>
    <cfRule type="expression" dxfId="2541" priority="2266">
      <formula>SEARCH("RICHIESTO",$M79)&gt;0</formula>
    </cfRule>
    <cfRule type="expression" dxfId="2540" priority="2267">
      <formula>SEARCH("DA CHIUDERE",$M79)&gt;0</formula>
    </cfRule>
    <cfRule type="expression" dxfId="2539" priority="2268">
      <formula>SEARCH("INTERROTTO",$M79)&gt;0</formula>
    </cfRule>
  </conditionalFormatting>
  <conditionalFormatting sqref="E79">
    <cfRule type="expression" dxfId="2538" priority="2269">
      <formula>SEARCH("IN CORSO",$M79)&gt;0</formula>
    </cfRule>
    <cfRule type="expression" dxfId="2537" priority="2270">
      <formula>SEARCH("CHIUSO",$M79)&gt;0</formula>
    </cfRule>
    <cfRule type="expression" dxfId="2536" priority="2271">
      <formula>SEARCH("EMESSO",$M79)&gt;0</formula>
    </cfRule>
    <cfRule type="expression" dxfId="2535" priority="2272">
      <formula>SEARCH("RICHIESTO",$M79)&gt;0</formula>
    </cfRule>
    <cfRule type="expression" dxfId="2534" priority="2273">
      <formula>SEARCH("DA CHIUDERE",$M79)&gt;0</formula>
    </cfRule>
    <cfRule type="expression" dxfId="2533" priority="2274">
      <formula>SEARCH("INTERROTTO",$M79)&gt;0</formula>
    </cfRule>
  </conditionalFormatting>
  <conditionalFormatting sqref="F79">
    <cfRule type="expression" dxfId="2532" priority="2257">
      <formula>SEARCH("IN CORSO",$M79)&gt;0</formula>
    </cfRule>
    <cfRule type="expression" dxfId="2531" priority="2258">
      <formula>SEARCH("CHIUSO",$M79)&gt;0</formula>
    </cfRule>
    <cfRule type="expression" dxfId="2530" priority="2259">
      <formula>SEARCH("EMESSO",$M79)&gt;0</formula>
    </cfRule>
    <cfRule type="expression" dxfId="2529" priority="2260">
      <formula>SEARCH("RICHIESTO",$M79)&gt;0</formula>
    </cfRule>
    <cfRule type="expression" dxfId="2528" priority="2261">
      <formula>SEARCH("DA CHIUDERE",$M79)&gt;0</formula>
    </cfRule>
    <cfRule type="expression" dxfId="2527" priority="2262">
      <formula>SEARCH("INTERROTTO",$M79)&gt;0</formula>
    </cfRule>
  </conditionalFormatting>
  <conditionalFormatting sqref="M78">
    <cfRule type="expression" dxfId="2526" priority="2251">
      <formula>SEARCH("IN CORSO",$M78)&gt;0</formula>
    </cfRule>
    <cfRule type="expression" dxfId="2525" priority="2252">
      <formula>SEARCH("CHIUSO",$M78)&gt;0</formula>
    </cfRule>
    <cfRule type="expression" dxfId="2524" priority="2253">
      <formula>SEARCH("EMESSO",$M78)&gt;0</formula>
    </cfRule>
    <cfRule type="expression" dxfId="2523" priority="2254">
      <formula>SEARCH("RICHIESTO",$M78)&gt;0</formula>
    </cfRule>
    <cfRule type="expression" dxfId="2522" priority="2255">
      <formula>SEARCH("DA CHIUDERE",$M78)&gt;0</formula>
    </cfRule>
    <cfRule type="expression" dxfId="2521" priority="2256">
      <formula>SEARCH("INTERROTTO",$M78)&gt;0</formula>
    </cfRule>
  </conditionalFormatting>
  <conditionalFormatting sqref="N78:S78">
    <cfRule type="expression" dxfId="2520" priority="2245">
      <formula>SEARCH("IN CORSO",$M78)&gt;0</formula>
    </cfRule>
    <cfRule type="expression" dxfId="2519" priority="2246">
      <formula>SEARCH("CHIUSO",$M78)&gt;0</formula>
    </cfRule>
    <cfRule type="expression" dxfId="2518" priority="2247">
      <formula>SEARCH("EMESSO",$M78)&gt;0</formula>
    </cfRule>
    <cfRule type="expression" dxfId="2517" priority="2248">
      <formula>SEARCH("RICHIESTO",$M78)&gt;0</formula>
    </cfRule>
    <cfRule type="expression" dxfId="2516" priority="2249">
      <formula>SEARCH("DA CHIUDERE",$M78)&gt;0</formula>
    </cfRule>
    <cfRule type="expression" dxfId="2515" priority="2250">
      <formula>SEARCH("INTERROTTO",$M78)&gt;0</formula>
    </cfRule>
  </conditionalFormatting>
  <conditionalFormatting sqref="G78">
    <cfRule type="expression" dxfId="2514" priority="2233">
      <formula>SEARCH("IN CORSO",$M78)&gt;0</formula>
    </cfRule>
    <cfRule type="expression" dxfId="2513" priority="2234">
      <formula>SEARCH("CHIUSO",$M78)&gt;0</formula>
    </cfRule>
    <cfRule type="expression" dxfId="2512" priority="2235">
      <formula>SEARCH("EMESSO",$M78)&gt;0</formula>
    </cfRule>
    <cfRule type="expression" dxfId="2511" priority="2236">
      <formula>SEARCH("RICHIESTO",$M78)&gt;0</formula>
    </cfRule>
    <cfRule type="expression" dxfId="2510" priority="2237">
      <formula>SEARCH("DA CHIUDERE",$M78)&gt;0</formula>
    </cfRule>
    <cfRule type="expression" dxfId="2509" priority="2238">
      <formula>SEARCH("INTERROTTO",$M78)&gt;0</formula>
    </cfRule>
  </conditionalFormatting>
  <conditionalFormatting sqref="E78">
    <cfRule type="expression" dxfId="2508" priority="2239">
      <formula>SEARCH("IN CORSO",$M78)&gt;0</formula>
    </cfRule>
    <cfRule type="expression" dxfId="2507" priority="2240">
      <formula>SEARCH("CHIUSO",$M78)&gt;0</formula>
    </cfRule>
    <cfRule type="expression" dxfId="2506" priority="2241">
      <formula>SEARCH("EMESSO",$M78)&gt;0</formula>
    </cfRule>
    <cfRule type="expression" dxfId="2505" priority="2242">
      <formula>SEARCH("RICHIESTO",$M78)&gt;0</formula>
    </cfRule>
    <cfRule type="expression" dxfId="2504" priority="2243">
      <formula>SEARCH("DA CHIUDERE",$M78)&gt;0</formula>
    </cfRule>
    <cfRule type="expression" dxfId="2503" priority="2244">
      <formula>SEARCH("INTERROTTO",$M78)&gt;0</formula>
    </cfRule>
  </conditionalFormatting>
  <conditionalFormatting sqref="F78">
    <cfRule type="expression" dxfId="2502" priority="2227">
      <formula>SEARCH("IN CORSO",$M78)&gt;0</formula>
    </cfRule>
    <cfRule type="expression" dxfId="2501" priority="2228">
      <formula>SEARCH("CHIUSO",$M78)&gt;0</formula>
    </cfRule>
    <cfRule type="expression" dxfId="2500" priority="2229">
      <formula>SEARCH("EMESSO",$M78)&gt;0</formula>
    </cfRule>
    <cfRule type="expression" dxfId="2499" priority="2230">
      <formula>SEARCH("RICHIESTO",$M78)&gt;0</formula>
    </cfRule>
    <cfRule type="expression" dxfId="2498" priority="2231">
      <formula>SEARCH("DA CHIUDERE",$M78)&gt;0</formula>
    </cfRule>
    <cfRule type="expression" dxfId="2497" priority="2232">
      <formula>SEARCH("INTERROTTO",$M78)&gt;0</formula>
    </cfRule>
  </conditionalFormatting>
  <conditionalFormatting sqref="E114:G114 M114:S114">
    <cfRule type="expression" dxfId="2496" priority="3055">
      <formula>SEARCH("IN CORSO",$M114)&gt;0</formula>
    </cfRule>
    <cfRule type="expression" dxfId="2495" priority="3056">
      <formula>SEARCH("CHIUSO",$M114)&gt;0</formula>
    </cfRule>
    <cfRule type="expression" dxfId="2494" priority="3057">
      <formula>SEARCH("EMESSO",$M114)&gt;0</formula>
    </cfRule>
    <cfRule type="expression" dxfId="2493" priority="3058">
      <formula>SEARCH("RICHIESTO",$M114)&gt;0</formula>
    </cfRule>
    <cfRule type="expression" dxfId="2492" priority="3059">
      <formula>SEARCH("DA CHIUDERE",$M114)&gt;0</formula>
    </cfRule>
    <cfRule type="expression" dxfId="2491" priority="3060">
      <formula>SEARCH("INTERROTTO",$M114)&gt;0</formula>
    </cfRule>
  </conditionalFormatting>
  <conditionalFormatting sqref="E110 G110 M110:S110">
    <cfRule type="expression" dxfId="2490" priority="3013">
      <formula>SEARCH("IN CORSO",$M110)&gt;0</formula>
    </cfRule>
    <cfRule type="expression" dxfId="2489" priority="3014">
      <formula>SEARCH("CHIUSO",$M110)&gt;0</formula>
    </cfRule>
    <cfRule type="expression" dxfId="2488" priority="3015">
      <formula>SEARCH("EMESSO",$M110)&gt;0</formula>
    </cfRule>
    <cfRule type="expression" dxfId="2487" priority="3016">
      <formula>SEARCH("RICHIESTO",$M110)&gt;0</formula>
    </cfRule>
    <cfRule type="expression" dxfId="2486" priority="3017">
      <formula>SEARCH("DA CHIUDERE",$M110)&gt;0</formula>
    </cfRule>
    <cfRule type="expression" dxfId="2485" priority="3018">
      <formula>SEARCH("INTERROTTO",$M110)&gt;0</formula>
    </cfRule>
  </conditionalFormatting>
  <conditionalFormatting sqref="F110">
    <cfRule type="expression" dxfId="2484" priority="3007">
      <formula>SEARCH("IN CORSO",$M110)&gt;0</formula>
    </cfRule>
    <cfRule type="expression" dxfId="2483" priority="3008">
      <formula>SEARCH("CHIUSO",$M110)&gt;0</formula>
    </cfRule>
    <cfRule type="expression" dxfId="2482" priority="3009">
      <formula>SEARCH("EMESSO",$M110)&gt;0</formula>
    </cfRule>
    <cfRule type="expression" dxfId="2481" priority="3010">
      <formula>SEARCH("RICHIESTO",$M110)&gt;0</formula>
    </cfRule>
    <cfRule type="expression" dxfId="2480" priority="3011">
      <formula>SEARCH("DA CHIUDERE",$M110)&gt;0</formula>
    </cfRule>
    <cfRule type="expression" dxfId="2479" priority="3012">
      <formula>SEARCH("INTERROTTO",$M110)&gt;0</formula>
    </cfRule>
  </conditionalFormatting>
  <conditionalFormatting sqref="E109 G109 M109:S109">
    <cfRule type="expression" dxfId="2478" priority="3001">
      <formula>SEARCH("IN CORSO",$M109)&gt;0</formula>
    </cfRule>
    <cfRule type="expression" dxfId="2477" priority="3002">
      <formula>SEARCH("CHIUSO",$M109)&gt;0</formula>
    </cfRule>
    <cfRule type="expression" dxfId="2476" priority="3003">
      <formula>SEARCH("EMESSO",$M109)&gt;0</formula>
    </cfRule>
    <cfRule type="expression" dxfId="2475" priority="3004">
      <formula>SEARCH("RICHIESTO",$M109)&gt;0</formula>
    </cfRule>
    <cfRule type="expression" dxfId="2474" priority="3005">
      <formula>SEARCH("DA CHIUDERE",$M109)&gt;0</formula>
    </cfRule>
    <cfRule type="expression" dxfId="2473" priority="3006">
      <formula>SEARCH("INTERROTTO",$M109)&gt;0</formula>
    </cfRule>
  </conditionalFormatting>
  <conditionalFormatting sqref="F109">
    <cfRule type="expression" dxfId="2472" priority="2995">
      <formula>SEARCH("IN CORSO",$M109)&gt;0</formula>
    </cfRule>
    <cfRule type="expression" dxfId="2471" priority="2996">
      <formula>SEARCH("CHIUSO",$M109)&gt;0</formula>
    </cfRule>
    <cfRule type="expression" dxfId="2470" priority="2997">
      <formula>SEARCH("EMESSO",$M109)&gt;0</formula>
    </cfRule>
    <cfRule type="expression" dxfId="2469" priority="2998">
      <formula>SEARCH("RICHIESTO",$M109)&gt;0</formula>
    </cfRule>
    <cfRule type="expression" dxfId="2468" priority="2999">
      <formula>SEARCH("DA CHIUDERE",$M109)&gt;0</formula>
    </cfRule>
    <cfRule type="expression" dxfId="2467" priority="3000">
      <formula>SEARCH("INTERROTTO",$M109)&gt;0</formula>
    </cfRule>
  </conditionalFormatting>
  <conditionalFormatting sqref="E108 G108 M108:S108">
    <cfRule type="expression" dxfId="2466" priority="2989">
      <formula>SEARCH("IN CORSO",$M108)&gt;0</formula>
    </cfRule>
    <cfRule type="expression" dxfId="2465" priority="2990">
      <formula>SEARCH("CHIUSO",$M108)&gt;0</formula>
    </cfRule>
    <cfRule type="expression" dxfId="2464" priority="2991">
      <formula>SEARCH("EMESSO",$M108)&gt;0</formula>
    </cfRule>
    <cfRule type="expression" dxfId="2463" priority="2992">
      <formula>SEARCH("RICHIESTO",$M108)&gt;0</formula>
    </cfRule>
    <cfRule type="expression" dxfId="2462" priority="2993">
      <formula>SEARCH("DA CHIUDERE",$M108)&gt;0</formula>
    </cfRule>
    <cfRule type="expression" dxfId="2461" priority="2994">
      <formula>SEARCH("INTERROTTO",$M108)&gt;0</formula>
    </cfRule>
  </conditionalFormatting>
  <conditionalFormatting sqref="F107">
    <cfRule type="expression" dxfId="2460" priority="2971">
      <formula>SEARCH("IN CORSO",$M107)&gt;0</formula>
    </cfRule>
    <cfRule type="expression" dxfId="2459" priority="2972">
      <formula>SEARCH("CHIUSO",$M107)&gt;0</formula>
    </cfRule>
    <cfRule type="expression" dxfId="2458" priority="2973">
      <formula>SEARCH("EMESSO",$M107)&gt;0</formula>
    </cfRule>
    <cfRule type="expression" dxfId="2457" priority="2974">
      <formula>SEARCH("RICHIESTO",$M107)&gt;0</formula>
    </cfRule>
    <cfRule type="expression" dxfId="2456" priority="2975">
      <formula>SEARCH("DA CHIUDERE",$M107)&gt;0</formula>
    </cfRule>
    <cfRule type="expression" dxfId="2455" priority="2976">
      <formula>SEARCH("INTERROTTO",$M107)&gt;0</formula>
    </cfRule>
  </conditionalFormatting>
  <conditionalFormatting sqref="E102">
    <cfRule type="expression" dxfId="2454" priority="2887">
      <formula>SEARCH("IN CORSO",$M102)&gt;0</formula>
    </cfRule>
    <cfRule type="expression" dxfId="2453" priority="2888">
      <formula>SEARCH("CHIUSO",$M102)&gt;0</formula>
    </cfRule>
    <cfRule type="expression" dxfId="2452" priority="2889">
      <formula>SEARCH("EMESSO",$M102)&gt;0</formula>
    </cfRule>
    <cfRule type="expression" dxfId="2451" priority="2890">
      <formula>SEARCH("RICHIESTO",$M102)&gt;0</formula>
    </cfRule>
    <cfRule type="expression" dxfId="2450" priority="2891">
      <formula>SEARCH("DA CHIUDERE",$M102)&gt;0</formula>
    </cfRule>
    <cfRule type="expression" dxfId="2449" priority="2892">
      <formula>SEARCH("INTERROTTO",$M102)&gt;0</formula>
    </cfRule>
  </conditionalFormatting>
  <conditionalFormatting sqref="E101">
    <cfRule type="expression" dxfId="2448" priority="2875">
      <formula>SEARCH("IN CORSO",$M101)&gt;0</formula>
    </cfRule>
    <cfRule type="expression" dxfId="2447" priority="2876">
      <formula>SEARCH("CHIUSO",$M101)&gt;0</formula>
    </cfRule>
    <cfRule type="expression" dxfId="2446" priority="2877">
      <formula>SEARCH("EMESSO",$M101)&gt;0</formula>
    </cfRule>
    <cfRule type="expression" dxfId="2445" priority="2878">
      <formula>SEARCH("RICHIESTO",$M101)&gt;0</formula>
    </cfRule>
    <cfRule type="expression" dxfId="2444" priority="2879">
      <formula>SEARCH("DA CHIUDERE",$M101)&gt;0</formula>
    </cfRule>
    <cfRule type="expression" dxfId="2443" priority="2880">
      <formula>SEARCH("INTERROTTO",$M101)&gt;0</formula>
    </cfRule>
  </conditionalFormatting>
  <conditionalFormatting sqref="M102:M104">
    <cfRule type="expression" dxfId="2442" priority="2833">
      <formula>SEARCH("IN CORSO",$M102)&gt;0</formula>
    </cfRule>
    <cfRule type="expression" dxfId="2441" priority="2834">
      <formula>SEARCH("CHIUSO",$M102)&gt;0</formula>
    </cfRule>
    <cfRule type="expression" dxfId="2440" priority="2835">
      <formula>SEARCH("EMESSO",$M102)&gt;0</formula>
    </cfRule>
    <cfRule type="expression" dxfId="2439" priority="2836">
      <formula>SEARCH("RICHIESTO",$M102)&gt;0</formula>
    </cfRule>
    <cfRule type="expression" dxfId="2438" priority="2837">
      <formula>SEARCH("DA CHIUDERE",$M102)&gt;0</formula>
    </cfRule>
    <cfRule type="expression" dxfId="2437" priority="2838">
      <formula>SEARCH("INTERROTTO",$M102)&gt;0</formula>
    </cfRule>
  </conditionalFormatting>
  <conditionalFormatting sqref="G101">
    <cfRule type="expression" dxfId="2436" priority="2845">
      <formula>SEARCH("IN CORSO",$M101)&gt;0</formula>
    </cfRule>
    <cfRule type="expression" dxfId="2435" priority="2846">
      <formula>SEARCH("CHIUSO",$M101)&gt;0</formula>
    </cfRule>
    <cfRule type="expression" dxfId="2434" priority="2847">
      <formula>SEARCH("EMESSO",$M101)&gt;0</formula>
    </cfRule>
    <cfRule type="expression" dxfId="2433" priority="2848">
      <formula>SEARCH("RICHIESTO",$M101)&gt;0</formula>
    </cfRule>
    <cfRule type="expression" dxfId="2432" priority="2849">
      <formula>SEARCH("DA CHIUDERE",$M101)&gt;0</formula>
    </cfRule>
    <cfRule type="expression" dxfId="2431" priority="2850">
      <formula>SEARCH("INTERROTTO",$M101)&gt;0</formula>
    </cfRule>
  </conditionalFormatting>
  <conditionalFormatting sqref="G104">
    <cfRule type="expression" dxfId="2430" priority="2863">
      <formula>SEARCH("IN CORSO",$M104)&gt;0</formula>
    </cfRule>
    <cfRule type="expression" dxfId="2429" priority="2864">
      <formula>SEARCH("CHIUSO",$M104)&gt;0</formula>
    </cfRule>
    <cfRule type="expression" dxfId="2428" priority="2865">
      <formula>SEARCH("EMESSO",$M104)&gt;0</formula>
    </cfRule>
    <cfRule type="expression" dxfId="2427" priority="2866">
      <formula>SEARCH("RICHIESTO",$M104)&gt;0</formula>
    </cfRule>
    <cfRule type="expression" dxfId="2426" priority="2867">
      <formula>SEARCH("DA CHIUDERE",$M104)&gt;0</formula>
    </cfRule>
    <cfRule type="expression" dxfId="2425" priority="2868">
      <formula>SEARCH("INTERROTTO",$M104)&gt;0</formula>
    </cfRule>
  </conditionalFormatting>
  <conditionalFormatting sqref="G103">
    <cfRule type="expression" dxfId="2424" priority="2857">
      <formula>SEARCH("IN CORSO",$M103)&gt;0</formula>
    </cfRule>
    <cfRule type="expression" dxfId="2423" priority="2858">
      <formula>SEARCH("CHIUSO",$M103)&gt;0</formula>
    </cfRule>
    <cfRule type="expression" dxfId="2422" priority="2859">
      <formula>SEARCH("EMESSO",$M103)&gt;0</formula>
    </cfRule>
    <cfRule type="expression" dxfId="2421" priority="2860">
      <formula>SEARCH("RICHIESTO",$M103)&gt;0</formula>
    </cfRule>
    <cfRule type="expression" dxfId="2420" priority="2861">
      <formula>SEARCH("DA CHIUDERE",$M103)&gt;0</formula>
    </cfRule>
    <cfRule type="expression" dxfId="2419" priority="2862">
      <formula>SEARCH("INTERROTTO",$M103)&gt;0</formula>
    </cfRule>
  </conditionalFormatting>
  <conditionalFormatting sqref="N101:S101">
    <cfRule type="expression" dxfId="2418" priority="2881">
      <formula>SEARCH("IN CORSO",$M101)&gt;0</formula>
    </cfRule>
    <cfRule type="expression" dxfId="2417" priority="2882">
      <formula>SEARCH("CHIUSO",$M101)&gt;0</formula>
    </cfRule>
    <cfRule type="expression" dxfId="2416" priority="2883">
      <formula>SEARCH("EMESSO",$M101)&gt;0</formula>
    </cfRule>
    <cfRule type="expression" dxfId="2415" priority="2884">
      <formula>SEARCH("RICHIESTO",$M101)&gt;0</formula>
    </cfRule>
    <cfRule type="expression" dxfId="2414" priority="2885">
      <formula>SEARCH("DA CHIUDERE",$M101)&gt;0</formula>
    </cfRule>
    <cfRule type="expression" dxfId="2413" priority="2886">
      <formula>SEARCH("INTERROTTO",$M101)&gt;0</formula>
    </cfRule>
  </conditionalFormatting>
  <conditionalFormatting sqref="M101">
    <cfRule type="expression" dxfId="2412" priority="2869">
      <formula>SEARCH("IN CORSO",$M101)&gt;0</formula>
    </cfRule>
    <cfRule type="expression" dxfId="2411" priority="2870">
      <formula>SEARCH("CHIUSO",$M101)&gt;0</formula>
    </cfRule>
    <cfRule type="expression" dxfId="2410" priority="2871">
      <formula>SEARCH("EMESSO",$M101)&gt;0</formula>
    </cfRule>
    <cfRule type="expression" dxfId="2409" priority="2872">
      <formula>SEARCH("RICHIESTO",$M101)&gt;0</formula>
    </cfRule>
    <cfRule type="expression" dxfId="2408" priority="2873">
      <formula>SEARCH("DA CHIUDERE",$M101)&gt;0</formula>
    </cfRule>
    <cfRule type="expression" dxfId="2407" priority="2874">
      <formula>SEARCH("INTERROTTO",$M101)&gt;0</formula>
    </cfRule>
  </conditionalFormatting>
  <conditionalFormatting sqref="G102">
    <cfRule type="expression" dxfId="2406" priority="2851">
      <formula>SEARCH("IN CORSO",$M102)&gt;0</formula>
    </cfRule>
    <cfRule type="expression" dxfId="2405" priority="2852">
      <formula>SEARCH("CHIUSO",$M102)&gt;0</formula>
    </cfRule>
    <cfRule type="expression" dxfId="2404" priority="2853">
      <formula>SEARCH("EMESSO",$M102)&gt;0</formula>
    </cfRule>
    <cfRule type="expression" dxfId="2403" priority="2854">
      <formula>SEARCH("RICHIESTO",$M102)&gt;0</formula>
    </cfRule>
    <cfRule type="expression" dxfId="2402" priority="2855">
      <formula>SEARCH("DA CHIUDERE",$M102)&gt;0</formula>
    </cfRule>
    <cfRule type="expression" dxfId="2401" priority="2856">
      <formula>SEARCH("INTERROTTO",$M102)&gt;0</formula>
    </cfRule>
  </conditionalFormatting>
  <conditionalFormatting sqref="F101:F104">
    <cfRule type="expression" dxfId="2400" priority="2839">
      <formula>SEARCH("IN CORSO",$M101)&gt;0</formula>
    </cfRule>
    <cfRule type="expression" dxfId="2399" priority="2840">
      <formula>SEARCH("CHIUSO",$M101)&gt;0</formula>
    </cfRule>
    <cfRule type="expression" dxfId="2398" priority="2841">
      <formula>SEARCH("EMESSO",$M101)&gt;0</formula>
    </cfRule>
    <cfRule type="expression" dxfId="2397" priority="2842">
      <formula>SEARCH("RICHIESTO",$M101)&gt;0</formula>
    </cfRule>
    <cfRule type="expression" dxfId="2396" priority="2843">
      <formula>SEARCH("DA CHIUDERE",$M101)&gt;0</formula>
    </cfRule>
    <cfRule type="expression" dxfId="2395" priority="2844">
      <formula>SEARCH("INTERROTTO",$M101)&gt;0</formula>
    </cfRule>
  </conditionalFormatting>
  <conditionalFormatting sqref="M100">
    <cfRule type="expression" dxfId="2394" priority="2803">
      <formula>SEARCH("IN CORSO",$M100)&gt;0</formula>
    </cfRule>
    <cfRule type="expression" dxfId="2393" priority="2804">
      <formula>SEARCH("CHIUSO",$M100)&gt;0</formula>
    </cfRule>
    <cfRule type="expression" dxfId="2392" priority="2805">
      <formula>SEARCH("EMESSO",$M100)&gt;0</formula>
    </cfRule>
    <cfRule type="expression" dxfId="2391" priority="2806">
      <formula>SEARCH("RICHIESTO",$M100)&gt;0</formula>
    </cfRule>
    <cfRule type="expression" dxfId="2390" priority="2807">
      <formula>SEARCH("DA CHIUDERE",$M100)&gt;0</formula>
    </cfRule>
    <cfRule type="expression" dxfId="2389" priority="2808">
      <formula>SEARCH("INTERROTTO",$M100)&gt;0</formula>
    </cfRule>
  </conditionalFormatting>
  <conditionalFormatting sqref="M99">
    <cfRule type="expression" dxfId="2388" priority="2773">
      <formula>SEARCH("IN CORSO",$M99)&gt;0</formula>
    </cfRule>
    <cfRule type="expression" dxfId="2387" priority="2774">
      <formula>SEARCH("CHIUSO",$M99)&gt;0</formula>
    </cfRule>
    <cfRule type="expression" dxfId="2386" priority="2775">
      <formula>SEARCH("EMESSO",$M99)&gt;0</formula>
    </cfRule>
    <cfRule type="expression" dxfId="2385" priority="2776">
      <formula>SEARCH("RICHIESTO",$M99)&gt;0</formula>
    </cfRule>
    <cfRule type="expression" dxfId="2384" priority="2777">
      <formula>SEARCH("DA CHIUDERE",$M99)&gt;0</formula>
    </cfRule>
    <cfRule type="expression" dxfId="2383" priority="2778">
      <formula>SEARCH("INTERROTTO",$M99)&gt;0</formula>
    </cfRule>
  </conditionalFormatting>
  <conditionalFormatting sqref="M98">
    <cfRule type="expression" dxfId="2382" priority="2743">
      <formula>SEARCH("IN CORSO",$M98)&gt;0</formula>
    </cfRule>
    <cfRule type="expression" dxfId="2381" priority="2744">
      <formula>SEARCH("CHIUSO",$M98)&gt;0</formula>
    </cfRule>
    <cfRule type="expression" dxfId="2380" priority="2745">
      <formula>SEARCH("EMESSO",$M98)&gt;0</formula>
    </cfRule>
    <cfRule type="expression" dxfId="2379" priority="2746">
      <formula>SEARCH("RICHIESTO",$M98)&gt;0</formula>
    </cfRule>
    <cfRule type="expression" dxfId="2378" priority="2747">
      <formula>SEARCH("DA CHIUDERE",$M98)&gt;0</formula>
    </cfRule>
    <cfRule type="expression" dxfId="2377" priority="2748">
      <formula>SEARCH("INTERROTTO",$M98)&gt;0</formula>
    </cfRule>
  </conditionalFormatting>
  <conditionalFormatting sqref="N96:S96">
    <cfRule type="expression" dxfId="2376" priority="2713">
      <formula>SEARCH("IN CORSO",$M96)&gt;0</formula>
    </cfRule>
    <cfRule type="expression" dxfId="2375" priority="2714">
      <formula>SEARCH("CHIUSO",$M96)&gt;0</formula>
    </cfRule>
    <cfRule type="expression" dxfId="2374" priority="2715">
      <formula>SEARCH("EMESSO",$M96)&gt;0</formula>
    </cfRule>
    <cfRule type="expression" dxfId="2373" priority="2716">
      <formula>SEARCH("RICHIESTO",$M96)&gt;0</formula>
    </cfRule>
    <cfRule type="expression" dxfId="2372" priority="2717">
      <formula>SEARCH("DA CHIUDERE",$M96)&gt;0</formula>
    </cfRule>
    <cfRule type="expression" dxfId="2371" priority="2718">
      <formula>SEARCH("INTERROTTO",$M96)&gt;0</formula>
    </cfRule>
  </conditionalFormatting>
  <conditionalFormatting sqref="E95">
    <cfRule type="expression" dxfId="2370" priority="2683">
      <formula>SEARCH("IN CORSO",$M95)&gt;0</formula>
    </cfRule>
    <cfRule type="expression" dxfId="2369" priority="2684">
      <formula>SEARCH("CHIUSO",$M95)&gt;0</formula>
    </cfRule>
    <cfRule type="expression" dxfId="2368" priority="2685">
      <formula>SEARCH("EMESSO",$M95)&gt;0</formula>
    </cfRule>
    <cfRule type="expression" dxfId="2367" priority="2686">
      <formula>SEARCH("RICHIESTO",$M95)&gt;0</formula>
    </cfRule>
    <cfRule type="expression" dxfId="2366" priority="2687">
      <formula>SEARCH("DA CHIUDERE",$M95)&gt;0</formula>
    </cfRule>
    <cfRule type="expression" dxfId="2365" priority="2688">
      <formula>SEARCH("INTERROTTO",$M95)&gt;0</formula>
    </cfRule>
  </conditionalFormatting>
  <conditionalFormatting sqref="G94">
    <cfRule type="expression" dxfId="2364" priority="2653">
      <formula>SEARCH("IN CORSO",$M94)&gt;0</formula>
    </cfRule>
    <cfRule type="expression" dxfId="2363" priority="2654">
      <formula>SEARCH("CHIUSO",$M94)&gt;0</formula>
    </cfRule>
    <cfRule type="expression" dxfId="2362" priority="2655">
      <formula>SEARCH("EMESSO",$M94)&gt;0</formula>
    </cfRule>
    <cfRule type="expression" dxfId="2361" priority="2656">
      <formula>SEARCH("RICHIESTO",$M94)&gt;0</formula>
    </cfRule>
    <cfRule type="expression" dxfId="2360" priority="2657">
      <formula>SEARCH("DA CHIUDERE",$M94)&gt;0</formula>
    </cfRule>
    <cfRule type="expression" dxfId="2359" priority="2658">
      <formula>SEARCH("INTERROTTO",$M94)&gt;0</formula>
    </cfRule>
  </conditionalFormatting>
  <conditionalFormatting sqref="F93">
    <cfRule type="expression" dxfId="2358" priority="2623">
      <formula>SEARCH("IN CORSO",$M93)&gt;0</formula>
    </cfRule>
    <cfRule type="expression" dxfId="2357" priority="2624">
      <formula>SEARCH("CHIUSO",$M93)&gt;0</formula>
    </cfRule>
    <cfRule type="expression" dxfId="2356" priority="2625">
      <formula>SEARCH("EMESSO",$M93)&gt;0</formula>
    </cfRule>
    <cfRule type="expression" dxfId="2355" priority="2626">
      <formula>SEARCH("RICHIESTO",$M93)&gt;0</formula>
    </cfRule>
    <cfRule type="expression" dxfId="2354" priority="2627">
      <formula>SEARCH("DA CHIUDERE",$M93)&gt;0</formula>
    </cfRule>
    <cfRule type="expression" dxfId="2353" priority="2628">
      <formula>SEARCH("INTERROTTO",$M93)&gt;0</formula>
    </cfRule>
  </conditionalFormatting>
  <conditionalFormatting sqref="N91:S91">
    <cfRule type="expression" dxfId="2352" priority="2593">
      <formula>SEARCH("IN CORSO",$M91)&gt;0</formula>
    </cfRule>
    <cfRule type="expression" dxfId="2351" priority="2594">
      <formula>SEARCH("CHIUSO",$M91)&gt;0</formula>
    </cfRule>
    <cfRule type="expression" dxfId="2350" priority="2595">
      <formula>SEARCH("EMESSO",$M91)&gt;0</formula>
    </cfRule>
    <cfRule type="expression" dxfId="2349" priority="2596">
      <formula>SEARCH("RICHIESTO",$M91)&gt;0</formula>
    </cfRule>
    <cfRule type="expression" dxfId="2348" priority="2597">
      <formula>SEARCH("DA CHIUDERE",$M91)&gt;0</formula>
    </cfRule>
    <cfRule type="expression" dxfId="2347" priority="2598">
      <formula>SEARCH("INTERROTTO",$M91)&gt;0</formula>
    </cfRule>
  </conditionalFormatting>
  <conditionalFormatting sqref="E90">
    <cfRule type="expression" dxfId="2346" priority="2563">
      <formula>SEARCH("IN CORSO",$M90)&gt;0</formula>
    </cfRule>
    <cfRule type="expression" dxfId="2345" priority="2564">
      <formula>SEARCH("CHIUSO",$M90)&gt;0</formula>
    </cfRule>
    <cfRule type="expression" dxfId="2344" priority="2565">
      <formula>SEARCH("EMESSO",$M90)&gt;0</formula>
    </cfRule>
    <cfRule type="expression" dxfId="2343" priority="2566">
      <formula>SEARCH("RICHIESTO",$M90)&gt;0</formula>
    </cfRule>
    <cfRule type="expression" dxfId="2342" priority="2567">
      <formula>SEARCH("DA CHIUDERE",$M90)&gt;0</formula>
    </cfRule>
    <cfRule type="expression" dxfId="2341" priority="2568">
      <formula>SEARCH("INTERROTTO",$M90)&gt;0</formula>
    </cfRule>
  </conditionalFormatting>
  <conditionalFormatting sqref="G89">
    <cfRule type="expression" dxfId="2340" priority="2533">
      <formula>SEARCH("IN CORSO",$M89)&gt;0</formula>
    </cfRule>
    <cfRule type="expression" dxfId="2339" priority="2534">
      <formula>SEARCH("CHIUSO",$M89)&gt;0</formula>
    </cfRule>
    <cfRule type="expression" dxfId="2338" priority="2535">
      <formula>SEARCH("EMESSO",$M89)&gt;0</formula>
    </cfRule>
    <cfRule type="expression" dxfId="2337" priority="2536">
      <formula>SEARCH("RICHIESTO",$M89)&gt;0</formula>
    </cfRule>
    <cfRule type="expression" dxfId="2336" priority="2537">
      <formula>SEARCH("DA CHIUDERE",$M89)&gt;0</formula>
    </cfRule>
    <cfRule type="expression" dxfId="2335" priority="2538">
      <formula>SEARCH("INTERROTTO",$M89)&gt;0</formula>
    </cfRule>
  </conditionalFormatting>
  <conditionalFormatting sqref="F88">
    <cfRule type="expression" dxfId="2334" priority="2503">
      <formula>SEARCH("IN CORSO",$M88)&gt;0</formula>
    </cfRule>
    <cfRule type="expression" dxfId="2333" priority="2504">
      <formula>SEARCH("CHIUSO",$M88)&gt;0</formula>
    </cfRule>
    <cfRule type="expression" dxfId="2332" priority="2505">
      <formula>SEARCH("EMESSO",$M88)&gt;0</formula>
    </cfRule>
    <cfRule type="expression" dxfId="2331" priority="2506">
      <formula>SEARCH("RICHIESTO",$M88)&gt;0</formula>
    </cfRule>
    <cfRule type="expression" dxfId="2330" priority="2507">
      <formula>SEARCH("DA CHIUDERE",$M88)&gt;0</formula>
    </cfRule>
    <cfRule type="expression" dxfId="2329" priority="2508">
      <formula>SEARCH("INTERROTTO",$M88)&gt;0</formula>
    </cfRule>
  </conditionalFormatting>
  <conditionalFormatting sqref="N86:S86">
    <cfRule type="expression" dxfId="2328" priority="2473">
      <formula>SEARCH("IN CORSO",$M86)&gt;0</formula>
    </cfRule>
    <cfRule type="expression" dxfId="2327" priority="2474">
      <formula>SEARCH("CHIUSO",$M86)&gt;0</formula>
    </cfRule>
    <cfRule type="expression" dxfId="2326" priority="2475">
      <formula>SEARCH("EMESSO",$M86)&gt;0</formula>
    </cfRule>
    <cfRule type="expression" dxfId="2325" priority="2476">
      <formula>SEARCH("RICHIESTO",$M86)&gt;0</formula>
    </cfRule>
    <cfRule type="expression" dxfId="2324" priority="2477">
      <formula>SEARCH("DA CHIUDERE",$M86)&gt;0</formula>
    </cfRule>
    <cfRule type="expression" dxfId="2323" priority="2478">
      <formula>SEARCH("INTERROTTO",$M86)&gt;0</formula>
    </cfRule>
  </conditionalFormatting>
  <conditionalFormatting sqref="E85">
    <cfRule type="expression" dxfId="2322" priority="2443">
      <formula>SEARCH("IN CORSO",$M85)&gt;0</formula>
    </cfRule>
    <cfRule type="expression" dxfId="2321" priority="2444">
      <formula>SEARCH("CHIUSO",$M85)&gt;0</formula>
    </cfRule>
    <cfRule type="expression" dxfId="2320" priority="2445">
      <formula>SEARCH("EMESSO",$M85)&gt;0</formula>
    </cfRule>
    <cfRule type="expression" dxfId="2319" priority="2446">
      <formula>SEARCH("RICHIESTO",$M85)&gt;0</formula>
    </cfRule>
    <cfRule type="expression" dxfId="2318" priority="2447">
      <formula>SEARCH("DA CHIUDERE",$M85)&gt;0</formula>
    </cfRule>
    <cfRule type="expression" dxfId="2317" priority="2448">
      <formula>SEARCH("INTERROTTO",$M85)&gt;0</formula>
    </cfRule>
  </conditionalFormatting>
  <conditionalFormatting sqref="G84">
    <cfRule type="expression" dxfId="2316" priority="2413">
      <formula>SEARCH("IN CORSO",$M84)&gt;0</formula>
    </cfRule>
    <cfRule type="expression" dxfId="2315" priority="2414">
      <formula>SEARCH("CHIUSO",$M84)&gt;0</formula>
    </cfRule>
    <cfRule type="expression" dxfId="2314" priority="2415">
      <formula>SEARCH("EMESSO",$M84)&gt;0</formula>
    </cfRule>
    <cfRule type="expression" dxfId="2313" priority="2416">
      <formula>SEARCH("RICHIESTO",$M84)&gt;0</formula>
    </cfRule>
    <cfRule type="expression" dxfId="2312" priority="2417">
      <formula>SEARCH("DA CHIUDERE",$M84)&gt;0</formula>
    </cfRule>
    <cfRule type="expression" dxfId="2311" priority="2418">
      <formula>SEARCH("INTERROTTO",$M84)&gt;0</formula>
    </cfRule>
  </conditionalFormatting>
  <conditionalFormatting sqref="F84">
    <cfRule type="expression" dxfId="2310" priority="2407">
      <formula>SEARCH("IN CORSO",$M84)&gt;0</formula>
    </cfRule>
    <cfRule type="expression" dxfId="2309" priority="2408">
      <formula>SEARCH("CHIUSO",$M84)&gt;0</formula>
    </cfRule>
    <cfRule type="expression" dxfId="2308" priority="2409">
      <formula>SEARCH("EMESSO",$M84)&gt;0</formula>
    </cfRule>
    <cfRule type="expression" dxfId="2307" priority="2410">
      <formula>SEARCH("RICHIESTO",$M84)&gt;0</formula>
    </cfRule>
    <cfRule type="expression" dxfId="2306" priority="2411">
      <formula>SEARCH("DA CHIUDERE",$M84)&gt;0</formula>
    </cfRule>
    <cfRule type="expression" dxfId="2305" priority="2412">
      <formula>SEARCH("INTERROTTO",$M84)&gt;0</formula>
    </cfRule>
  </conditionalFormatting>
  <conditionalFormatting sqref="M77">
    <cfRule type="expression" dxfId="2304" priority="2221">
      <formula>SEARCH("IN CORSO",$M77)&gt;0</formula>
    </cfRule>
    <cfRule type="expression" dxfId="2303" priority="2222">
      <formula>SEARCH("CHIUSO",$M77)&gt;0</formula>
    </cfRule>
    <cfRule type="expression" dxfId="2302" priority="2223">
      <formula>SEARCH("EMESSO",$M77)&gt;0</formula>
    </cfRule>
    <cfRule type="expression" dxfId="2301" priority="2224">
      <formula>SEARCH("RICHIESTO",$M77)&gt;0</formula>
    </cfRule>
    <cfRule type="expression" dxfId="2300" priority="2225">
      <formula>SEARCH("DA CHIUDERE",$M77)&gt;0</formula>
    </cfRule>
    <cfRule type="expression" dxfId="2299" priority="2226">
      <formula>SEARCH("INTERROTTO",$M77)&gt;0</formula>
    </cfRule>
  </conditionalFormatting>
  <conditionalFormatting sqref="N77:S77">
    <cfRule type="expression" dxfId="2298" priority="2215">
      <formula>SEARCH("IN CORSO",$M77)&gt;0</formula>
    </cfRule>
    <cfRule type="expression" dxfId="2297" priority="2216">
      <formula>SEARCH("CHIUSO",$M77)&gt;0</formula>
    </cfRule>
    <cfRule type="expression" dxfId="2296" priority="2217">
      <formula>SEARCH("EMESSO",$M77)&gt;0</formula>
    </cfRule>
    <cfRule type="expression" dxfId="2295" priority="2218">
      <formula>SEARCH("RICHIESTO",$M77)&gt;0</formula>
    </cfRule>
    <cfRule type="expression" dxfId="2294" priority="2219">
      <formula>SEARCH("DA CHIUDERE",$M77)&gt;0</formula>
    </cfRule>
    <cfRule type="expression" dxfId="2293" priority="2220">
      <formula>SEARCH("INTERROTTO",$M77)&gt;0</formula>
    </cfRule>
  </conditionalFormatting>
  <conditionalFormatting sqref="G77">
    <cfRule type="expression" dxfId="2292" priority="2203">
      <formula>SEARCH("IN CORSO",$M77)&gt;0</formula>
    </cfRule>
    <cfRule type="expression" dxfId="2291" priority="2204">
      <formula>SEARCH("CHIUSO",$M77)&gt;0</formula>
    </cfRule>
    <cfRule type="expression" dxfId="2290" priority="2205">
      <formula>SEARCH("EMESSO",$M77)&gt;0</formula>
    </cfRule>
    <cfRule type="expression" dxfId="2289" priority="2206">
      <formula>SEARCH("RICHIESTO",$M77)&gt;0</formula>
    </cfRule>
    <cfRule type="expression" dxfId="2288" priority="2207">
      <formula>SEARCH("DA CHIUDERE",$M77)&gt;0</formula>
    </cfRule>
    <cfRule type="expression" dxfId="2287" priority="2208">
      <formula>SEARCH("INTERROTTO",$M77)&gt;0</formula>
    </cfRule>
  </conditionalFormatting>
  <conditionalFormatting sqref="E77">
    <cfRule type="expression" dxfId="2286" priority="2209">
      <formula>SEARCH("IN CORSO",$M77)&gt;0</formula>
    </cfRule>
    <cfRule type="expression" dxfId="2285" priority="2210">
      <formula>SEARCH("CHIUSO",$M77)&gt;0</formula>
    </cfRule>
    <cfRule type="expression" dxfId="2284" priority="2211">
      <formula>SEARCH("EMESSO",$M77)&gt;0</formula>
    </cfRule>
    <cfRule type="expression" dxfId="2283" priority="2212">
      <formula>SEARCH("RICHIESTO",$M77)&gt;0</formula>
    </cfRule>
    <cfRule type="expression" dxfId="2282" priority="2213">
      <formula>SEARCH("DA CHIUDERE",$M77)&gt;0</formula>
    </cfRule>
    <cfRule type="expression" dxfId="2281" priority="2214">
      <formula>SEARCH("INTERROTTO",$M77)&gt;0</formula>
    </cfRule>
  </conditionalFormatting>
  <conditionalFormatting sqref="F77">
    <cfRule type="expression" dxfId="2280" priority="2197">
      <formula>SEARCH("IN CORSO",$M77)&gt;0</formula>
    </cfRule>
    <cfRule type="expression" dxfId="2279" priority="2198">
      <formula>SEARCH("CHIUSO",$M77)&gt;0</formula>
    </cfRule>
    <cfRule type="expression" dxfId="2278" priority="2199">
      <formula>SEARCH("EMESSO",$M77)&gt;0</formula>
    </cfRule>
    <cfRule type="expression" dxfId="2277" priority="2200">
      <formula>SEARCH("RICHIESTO",$M77)&gt;0</formula>
    </cfRule>
    <cfRule type="expression" dxfId="2276" priority="2201">
      <formula>SEARCH("DA CHIUDERE",$M77)&gt;0</formula>
    </cfRule>
    <cfRule type="expression" dxfId="2275" priority="2202">
      <formula>SEARCH("INTERROTTO",$M77)&gt;0</formula>
    </cfRule>
  </conditionalFormatting>
  <conditionalFormatting sqref="M76">
    <cfRule type="expression" dxfId="2274" priority="2191">
      <formula>SEARCH("IN CORSO",$M76)&gt;0</formula>
    </cfRule>
    <cfRule type="expression" dxfId="2273" priority="2192">
      <formula>SEARCH("CHIUSO",$M76)&gt;0</formula>
    </cfRule>
    <cfRule type="expression" dxfId="2272" priority="2193">
      <formula>SEARCH("EMESSO",$M76)&gt;0</formula>
    </cfRule>
    <cfRule type="expression" dxfId="2271" priority="2194">
      <formula>SEARCH("RICHIESTO",$M76)&gt;0</formula>
    </cfRule>
    <cfRule type="expression" dxfId="2270" priority="2195">
      <formula>SEARCH("DA CHIUDERE",$M76)&gt;0</formula>
    </cfRule>
    <cfRule type="expression" dxfId="2269" priority="2196">
      <formula>SEARCH("INTERROTTO",$M76)&gt;0</formula>
    </cfRule>
  </conditionalFormatting>
  <conditionalFormatting sqref="N76:S76">
    <cfRule type="expression" dxfId="2268" priority="2185">
      <formula>SEARCH("IN CORSO",$M76)&gt;0</formula>
    </cfRule>
    <cfRule type="expression" dxfId="2267" priority="2186">
      <formula>SEARCH("CHIUSO",$M76)&gt;0</formula>
    </cfRule>
    <cfRule type="expression" dxfId="2266" priority="2187">
      <formula>SEARCH("EMESSO",$M76)&gt;0</formula>
    </cfRule>
    <cfRule type="expression" dxfId="2265" priority="2188">
      <formula>SEARCH("RICHIESTO",$M76)&gt;0</formula>
    </cfRule>
    <cfRule type="expression" dxfId="2264" priority="2189">
      <formula>SEARCH("DA CHIUDERE",$M76)&gt;0</formula>
    </cfRule>
    <cfRule type="expression" dxfId="2263" priority="2190">
      <formula>SEARCH("INTERROTTO",$M76)&gt;0</formula>
    </cfRule>
  </conditionalFormatting>
  <conditionalFormatting sqref="G76">
    <cfRule type="expression" dxfId="2262" priority="2173">
      <formula>SEARCH("IN CORSO",$M76)&gt;0</formula>
    </cfRule>
    <cfRule type="expression" dxfId="2261" priority="2174">
      <formula>SEARCH("CHIUSO",$M76)&gt;0</formula>
    </cfRule>
    <cfRule type="expression" dxfId="2260" priority="2175">
      <formula>SEARCH("EMESSO",$M76)&gt;0</formula>
    </cfRule>
    <cfRule type="expression" dxfId="2259" priority="2176">
      <formula>SEARCH("RICHIESTO",$M76)&gt;0</formula>
    </cfRule>
    <cfRule type="expression" dxfId="2258" priority="2177">
      <formula>SEARCH("DA CHIUDERE",$M76)&gt;0</formula>
    </cfRule>
    <cfRule type="expression" dxfId="2257" priority="2178">
      <formula>SEARCH("INTERROTTO",$M76)&gt;0</formula>
    </cfRule>
  </conditionalFormatting>
  <conditionalFormatting sqref="E76">
    <cfRule type="expression" dxfId="2256" priority="2179">
      <formula>SEARCH("IN CORSO",$M76)&gt;0</formula>
    </cfRule>
    <cfRule type="expression" dxfId="2255" priority="2180">
      <formula>SEARCH("CHIUSO",$M76)&gt;0</formula>
    </cfRule>
    <cfRule type="expression" dxfId="2254" priority="2181">
      <formula>SEARCH("EMESSO",$M76)&gt;0</formula>
    </cfRule>
    <cfRule type="expression" dxfId="2253" priority="2182">
      <formula>SEARCH("RICHIESTO",$M76)&gt;0</formula>
    </cfRule>
    <cfRule type="expression" dxfId="2252" priority="2183">
      <formula>SEARCH("DA CHIUDERE",$M76)&gt;0</formula>
    </cfRule>
    <cfRule type="expression" dxfId="2251" priority="2184">
      <formula>SEARCH("INTERROTTO",$M76)&gt;0</formula>
    </cfRule>
  </conditionalFormatting>
  <conditionalFormatting sqref="F76">
    <cfRule type="expression" dxfId="2250" priority="2167">
      <formula>SEARCH("IN CORSO",$M76)&gt;0</formula>
    </cfRule>
    <cfRule type="expression" dxfId="2249" priority="2168">
      <formula>SEARCH("CHIUSO",$M76)&gt;0</formula>
    </cfRule>
    <cfRule type="expression" dxfId="2248" priority="2169">
      <formula>SEARCH("EMESSO",$M76)&gt;0</formula>
    </cfRule>
    <cfRule type="expression" dxfId="2247" priority="2170">
      <formula>SEARCH("RICHIESTO",$M76)&gt;0</formula>
    </cfRule>
    <cfRule type="expression" dxfId="2246" priority="2171">
      <formula>SEARCH("DA CHIUDERE",$M76)&gt;0</formula>
    </cfRule>
    <cfRule type="expression" dxfId="2245" priority="2172">
      <formula>SEARCH("INTERROTTO",$M76)&gt;0</formula>
    </cfRule>
  </conditionalFormatting>
  <conditionalFormatting sqref="M75">
    <cfRule type="expression" dxfId="2244" priority="2161">
      <formula>SEARCH("IN CORSO",$M75)&gt;0</formula>
    </cfRule>
    <cfRule type="expression" dxfId="2243" priority="2162">
      <formula>SEARCH("CHIUSO",$M75)&gt;0</formula>
    </cfRule>
    <cfRule type="expression" dxfId="2242" priority="2163">
      <formula>SEARCH("EMESSO",$M75)&gt;0</formula>
    </cfRule>
    <cfRule type="expression" dxfId="2241" priority="2164">
      <formula>SEARCH("RICHIESTO",$M75)&gt;0</formula>
    </cfRule>
    <cfRule type="expression" dxfId="2240" priority="2165">
      <formula>SEARCH("DA CHIUDERE",$M75)&gt;0</formula>
    </cfRule>
    <cfRule type="expression" dxfId="2239" priority="2166">
      <formula>SEARCH("INTERROTTO",$M75)&gt;0</formula>
    </cfRule>
  </conditionalFormatting>
  <conditionalFormatting sqref="N75:S75">
    <cfRule type="expression" dxfId="2238" priority="2155">
      <formula>SEARCH("IN CORSO",$M75)&gt;0</formula>
    </cfRule>
    <cfRule type="expression" dxfId="2237" priority="2156">
      <formula>SEARCH("CHIUSO",$M75)&gt;0</formula>
    </cfRule>
    <cfRule type="expression" dxfId="2236" priority="2157">
      <formula>SEARCH("EMESSO",$M75)&gt;0</formula>
    </cfRule>
    <cfRule type="expression" dxfId="2235" priority="2158">
      <formula>SEARCH("RICHIESTO",$M75)&gt;0</formula>
    </cfRule>
    <cfRule type="expression" dxfId="2234" priority="2159">
      <formula>SEARCH("DA CHIUDERE",$M75)&gt;0</formula>
    </cfRule>
    <cfRule type="expression" dxfId="2233" priority="2160">
      <formula>SEARCH("INTERROTTO",$M75)&gt;0</formula>
    </cfRule>
  </conditionalFormatting>
  <conditionalFormatting sqref="G75">
    <cfRule type="expression" dxfId="2232" priority="2143">
      <formula>SEARCH("IN CORSO",$M75)&gt;0</formula>
    </cfRule>
    <cfRule type="expression" dxfId="2231" priority="2144">
      <formula>SEARCH("CHIUSO",$M75)&gt;0</formula>
    </cfRule>
    <cfRule type="expression" dxfId="2230" priority="2145">
      <formula>SEARCH("EMESSO",$M75)&gt;0</formula>
    </cfRule>
    <cfRule type="expression" dxfId="2229" priority="2146">
      <formula>SEARCH("RICHIESTO",$M75)&gt;0</formula>
    </cfRule>
    <cfRule type="expression" dxfId="2228" priority="2147">
      <formula>SEARCH("DA CHIUDERE",$M75)&gt;0</formula>
    </cfRule>
    <cfRule type="expression" dxfId="2227" priority="2148">
      <formula>SEARCH("INTERROTTO",$M75)&gt;0</formula>
    </cfRule>
  </conditionalFormatting>
  <conditionalFormatting sqref="E75">
    <cfRule type="expression" dxfId="2226" priority="2149">
      <formula>SEARCH("IN CORSO",$M75)&gt;0</formula>
    </cfRule>
    <cfRule type="expression" dxfId="2225" priority="2150">
      <formula>SEARCH("CHIUSO",$M75)&gt;0</formula>
    </cfRule>
    <cfRule type="expression" dxfId="2224" priority="2151">
      <formula>SEARCH("EMESSO",$M75)&gt;0</formula>
    </cfRule>
    <cfRule type="expression" dxfId="2223" priority="2152">
      <formula>SEARCH("RICHIESTO",$M75)&gt;0</formula>
    </cfRule>
    <cfRule type="expression" dxfId="2222" priority="2153">
      <formula>SEARCH("DA CHIUDERE",$M75)&gt;0</formula>
    </cfRule>
    <cfRule type="expression" dxfId="2221" priority="2154">
      <formula>SEARCH("INTERROTTO",$M75)&gt;0</formula>
    </cfRule>
  </conditionalFormatting>
  <conditionalFormatting sqref="F75">
    <cfRule type="expression" dxfId="2220" priority="2137">
      <formula>SEARCH("IN CORSO",$M75)&gt;0</formula>
    </cfRule>
    <cfRule type="expression" dxfId="2219" priority="2138">
      <formula>SEARCH("CHIUSO",$M75)&gt;0</formula>
    </cfRule>
    <cfRule type="expression" dxfId="2218" priority="2139">
      <formula>SEARCH("EMESSO",$M75)&gt;0</formula>
    </cfRule>
    <cfRule type="expression" dxfId="2217" priority="2140">
      <formula>SEARCH("RICHIESTO",$M75)&gt;0</formula>
    </cfRule>
    <cfRule type="expression" dxfId="2216" priority="2141">
      <formula>SEARCH("DA CHIUDERE",$M75)&gt;0</formula>
    </cfRule>
    <cfRule type="expression" dxfId="2215" priority="2142">
      <formula>SEARCH("INTERROTTO",$M75)&gt;0</formula>
    </cfRule>
  </conditionalFormatting>
  <conditionalFormatting sqref="M74">
    <cfRule type="expression" dxfId="2214" priority="2131">
      <formula>SEARCH("IN CORSO",$M74)&gt;0</formula>
    </cfRule>
    <cfRule type="expression" dxfId="2213" priority="2132">
      <formula>SEARCH("CHIUSO",$M74)&gt;0</formula>
    </cfRule>
    <cfRule type="expression" dxfId="2212" priority="2133">
      <formula>SEARCH("EMESSO",$M74)&gt;0</formula>
    </cfRule>
    <cfRule type="expression" dxfId="2211" priority="2134">
      <formula>SEARCH("RICHIESTO",$M74)&gt;0</formula>
    </cfRule>
    <cfRule type="expression" dxfId="2210" priority="2135">
      <formula>SEARCH("DA CHIUDERE",$M74)&gt;0</formula>
    </cfRule>
    <cfRule type="expression" dxfId="2209" priority="2136">
      <formula>SEARCH("INTERROTTO",$M74)&gt;0</formula>
    </cfRule>
  </conditionalFormatting>
  <conditionalFormatting sqref="N74:S74">
    <cfRule type="expression" dxfId="2208" priority="2125">
      <formula>SEARCH("IN CORSO",$M74)&gt;0</formula>
    </cfRule>
    <cfRule type="expression" dxfId="2207" priority="2126">
      <formula>SEARCH("CHIUSO",$M74)&gt;0</formula>
    </cfRule>
    <cfRule type="expression" dxfId="2206" priority="2127">
      <formula>SEARCH("EMESSO",$M74)&gt;0</formula>
    </cfRule>
    <cfRule type="expression" dxfId="2205" priority="2128">
      <formula>SEARCH("RICHIESTO",$M74)&gt;0</formula>
    </cfRule>
    <cfRule type="expression" dxfId="2204" priority="2129">
      <formula>SEARCH("DA CHIUDERE",$M74)&gt;0</formula>
    </cfRule>
    <cfRule type="expression" dxfId="2203" priority="2130">
      <formula>SEARCH("INTERROTTO",$M74)&gt;0</formula>
    </cfRule>
  </conditionalFormatting>
  <conditionalFormatting sqref="G74">
    <cfRule type="expression" dxfId="2202" priority="2113">
      <formula>SEARCH("IN CORSO",$M74)&gt;0</formula>
    </cfRule>
    <cfRule type="expression" dxfId="2201" priority="2114">
      <formula>SEARCH("CHIUSO",$M74)&gt;0</formula>
    </cfRule>
    <cfRule type="expression" dxfId="2200" priority="2115">
      <formula>SEARCH("EMESSO",$M74)&gt;0</formula>
    </cfRule>
    <cfRule type="expression" dxfId="2199" priority="2116">
      <formula>SEARCH("RICHIESTO",$M74)&gt;0</formula>
    </cfRule>
    <cfRule type="expression" dxfId="2198" priority="2117">
      <formula>SEARCH("DA CHIUDERE",$M74)&gt;0</formula>
    </cfRule>
    <cfRule type="expression" dxfId="2197" priority="2118">
      <formula>SEARCH("INTERROTTO",$M74)&gt;0</formula>
    </cfRule>
  </conditionalFormatting>
  <conditionalFormatting sqref="E74">
    <cfRule type="expression" dxfId="2196" priority="2119">
      <formula>SEARCH("IN CORSO",$M74)&gt;0</formula>
    </cfRule>
    <cfRule type="expression" dxfId="2195" priority="2120">
      <formula>SEARCH("CHIUSO",$M74)&gt;0</formula>
    </cfRule>
    <cfRule type="expression" dxfId="2194" priority="2121">
      <formula>SEARCH("EMESSO",$M74)&gt;0</formula>
    </cfRule>
    <cfRule type="expression" dxfId="2193" priority="2122">
      <formula>SEARCH("RICHIESTO",$M74)&gt;0</formula>
    </cfRule>
    <cfRule type="expression" dxfId="2192" priority="2123">
      <formula>SEARCH("DA CHIUDERE",$M74)&gt;0</formula>
    </cfRule>
    <cfRule type="expression" dxfId="2191" priority="2124">
      <formula>SEARCH("INTERROTTO",$M74)&gt;0</formula>
    </cfRule>
  </conditionalFormatting>
  <conditionalFormatting sqref="F74">
    <cfRule type="expression" dxfId="2190" priority="2107">
      <formula>SEARCH("IN CORSO",$M74)&gt;0</formula>
    </cfRule>
    <cfRule type="expression" dxfId="2189" priority="2108">
      <formula>SEARCH("CHIUSO",$M74)&gt;0</formula>
    </cfRule>
    <cfRule type="expression" dxfId="2188" priority="2109">
      <formula>SEARCH("EMESSO",$M74)&gt;0</formula>
    </cfRule>
    <cfRule type="expression" dxfId="2187" priority="2110">
      <formula>SEARCH("RICHIESTO",$M74)&gt;0</formula>
    </cfRule>
    <cfRule type="expression" dxfId="2186" priority="2111">
      <formula>SEARCH("DA CHIUDERE",$M74)&gt;0</formula>
    </cfRule>
    <cfRule type="expression" dxfId="2185" priority="2112">
      <formula>SEARCH("INTERROTTO",$M74)&gt;0</formula>
    </cfRule>
  </conditionalFormatting>
  <conditionalFormatting sqref="M73">
    <cfRule type="expression" dxfId="2184" priority="2101">
      <formula>SEARCH("IN CORSO",$M73)&gt;0</formula>
    </cfRule>
    <cfRule type="expression" dxfId="2183" priority="2102">
      <formula>SEARCH("CHIUSO",$M73)&gt;0</formula>
    </cfRule>
    <cfRule type="expression" dxfId="2182" priority="2103">
      <formula>SEARCH("EMESSO",$M73)&gt;0</formula>
    </cfRule>
    <cfRule type="expression" dxfId="2181" priority="2104">
      <formula>SEARCH("RICHIESTO",$M73)&gt;0</formula>
    </cfRule>
    <cfRule type="expression" dxfId="2180" priority="2105">
      <formula>SEARCH("DA CHIUDERE",$M73)&gt;0</formula>
    </cfRule>
    <cfRule type="expression" dxfId="2179" priority="2106">
      <formula>SEARCH("INTERROTTO",$M73)&gt;0</formula>
    </cfRule>
  </conditionalFormatting>
  <conditionalFormatting sqref="N73:S73">
    <cfRule type="expression" dxfId="2178" priority="2095">
      <formula>SEARCH("IN CORSO",$M73)&gt;0</formula>
    </cfRule>
    <cfRule type="expression" dxfId="2177" priority="2096">
      <formula>SEARCH("CHIUSO",$M73)&gt;0</formula>
    </cfRule>
    <cfRule type="expression" dxfId="2176" priority="2097">
      <formula>SEARCH("EMESSO",$M73)&gt;0</formula>
    </cfRule>
    <cfRule type="expression" dxfId="2175" priority="2098">
      <formula>SEARCH("RICHIESTO",$M73)&gt;0</formula>
    </cfRule>
    <cfRule type="expression" dxfId="2174" priority="2099">
      <formula>SEARCH("DA CHIUDERE",$M73)&gt;0</formula>
    </cfRule>
    <cfRule type="expression" dxfId="2173" priority="2100">
      <formula>SEARCH("INTERROTTO",$M73)&gt;0</formula>
    </cfRule>
  </conditionalFormatting>
  <conditionalFormatting sqref="G73">
    <cfRule type="expression" dxfId="2172" priority="2083">
      <formula>SEARCH("IN CORSO",$M73)&gt;0</formula>
    </cfRule>
    <cfRule type="expression" dxfId="2171" priority="2084">
      <formula>SEARCH("CHIUSO",$M73)&gt;0</formula>
    </cfRule>
    <cfRule type="expression" dxfId="2170" priority="2085">
      <formula>SEARCH("EMESSO",$M73)&gt;0</formula>
    </cfRule>
    <cfRule type="expression" dxfId="2169" priority="2086">
      <formula>SEARCH("RICHIESTO",$M73)&gt;0</formula>
    </cfRule>
    <cfRule type="expression" dxfId="2168" priority="2087">
      <formula>SEARCH("DA CHIUDERE",$M73)&gt;0</formula>
    </cfRule>
    <cfRule type="expression" dxfId="2167" priority="2088">
      <formula>SEARCH("INTERROTTO",$M73)&gt;0</formula>
    </cfRule>
  </conditionalFormatting>
  <conditionalFormatting sqref="E73">
    <cfRule type="expression" dxfId="2166" priority="2089">
      <formula>SEARCH("IN CORSO",$M73)&gt;0</formula>
    </cfRule>
    <cfRule type="expression" dxfId="2165" priority="2090">
      <formula>SEARCH("CHIUSO",$M73)&gt;0</formula>
    </cfRule>
    <cfRule type="expression" dxfId="2164" priority="2091">
      <formula>SEARCH("EMESSO",$M73)&gt;0</formula>
    </cfRule>
    <cfRule type="expression" dxfId="2163" priority="2092">
      <formula>SEARCH("RICHIESTO",$M73)&gt;0</formula>
    </cfRule>
    <cfRule type="expression" dxfId="2162" priority="2093">
      <formula>SEARCH("DA CHIUDERE",$M73)&gt;0</formula>
    </cfRule>
    <cfRule type="expression" dxfId="2161" priority="2094">
      <formula>SEARCH("INTERROTTO",$M73)&gt;0</formula>
    </cfRule>
  </conditionalFormatting>
  <conditionalFormatting sqref="F73">
    <cfRule type="expression" dxfId="2160" priority="2077">
      <formula>SEARCH("IN CORSO",$M73)&gt;0</formula>
    </cfRule>
    <cfRule type="expression" dxfId="2159" priority="2078">
      <formula>SEARCH("CHIUSO",$M73)&gt;0</formula>
    </cfRule>
    <cfRule type="expression" dxfId="2158" priority="2079">
      <formula>SEARCH("EMESSO",$M73)&gt;0</formula>
    </cfRule>
    <cfRule type="expression" dxfId="2157" priority="2080">
      <formula>SEARCH("RICHIESTO",$M73)&gt;0</formula>
    </cfRule>
    <cfRule type="expression" dxfId="2156" priority="2081">
      <formula>SEARCH("DA CHIUDERE",$M73)&gt;0</formula>
    </cfRule>
    <cfRule type="expression" dxfId="2155" priority="2082">
      <formula>SEARCH("INTERROTTO",$M73)&gt;0</formula>
    </cfRule>
  </conditionalFormatting>
  <conditionalFormatting sqref="M72">
    <cfRule type="expression" dxfId="2154" priority="2071">
      <formula>SEARCH("IN CORSO",$M72)&gt;0</formula>
    </cfRule>
    <cfRule type="expression" dxfId="2153" priority="2072">
      <formula>SEARCH("CHIUSO",$M72)&gt;0</formula>
    </cfRule>
    <cfRule type="expression" dxfId="2152" priority="2073">
      <formula>SEARCH("EMESSO",$M72)&gt;0</formula>
    </cfRule>
    <cfRule type="expression" dxfId="2151" priority="2074">
      <formula>SEARCH("RICHIESTO",$M72)&gt;0</formula>
    </cfRule>
    <cfRule type="expression" dxfId="2150" priority="2075">
      <formula>SEARCH("DA CHIUDERE",$M72)&gt;0</formula>
    </cfRule>
    <cfRule type="expression" dxfId="2149" priority="2076">
      <formula>SEARCH("INTERROTTO",$M72)&gt;0</formula>
    </cfRule>
  </conditionalFormatting>
  <conditionalFormatting sqref="N72:S72">
    <cfRule type="expression" dxfId="2148" priority="2065">
      <formula>SEARCH("IN CORSO",$M72)&gt;0</formula>
    </cfRule>
    <cfRule type="expression" dxfId="2147" priority="2066">
      <formula>SEARCH("CHIUSO",$M72)&gt;0</formula>
    </cfRule>
    <cfRule type="expression" dxfId="2146" priority="2067">
      <formula>SEARCH("EMESSO",$M72)&gt;0</formula>
    </cfRule>
    <cfRule type="expression" dxfId="2145" priority="2068">
      <formula>SEARCH("RICHIESTO",$M72)&gt;0</formula>
    </cfRule>
    <cfRule type="expression" dxfId="2144" priority="2069">
      <formula>SEARCH("DA CHIUDERE",$M72)&gt;0</formula>
    </cfRule>
    <cfRule type="expression" dxfId="2143" priority="2070">
      <formula>SEARCH("INTERROTTO",$M72)&gt;0</formula>
    </cfRule>
  </conditionalFormatting>
  <conditionalFormatting sqref="G72">
    <cfRule type="expression" dxfId="2142" priority="2053">
      <formula>SEARCH("IN CORSO",$M72)&gt;0</formula>
    </cfRule>
    <cfRule type="expression" dxfId="2141" priority="2054">
      <formula>SEARCH("CHIUSO",$M72)&gt;0</formula>
    </cfRule>
    <cfRule type="expression" dxfId="2140" priority="2055">
      <formula>SEARCH("EMESSO",$M72)&gt;0</formula>
    </cfRule>
    <cfRule type="expression" dxfId="2139" priority="2056">
      <formula>SEARCH("RICHIESTO",$M72)&gt;0</formula>
    </cfRule>
    <cfRule type="expression" dxfId="2138" priority="2057">
      <formula>SEARCH("DA CHIUDERE",$M72)&gt;0</formula>
    </cfRule>
    <cfRule type="expression" dxfId="2137" priority="2058">
      <formula>SEARCH("INTERROTTO",$M72)&gt;0</formula>
    </cfRule>
  </conditionalFormatting>
  <conditionalFormatting sqref="E72">
    <cfRule type="expression" dxfId="2136" priority="2059">
      <formula>SEARCH("IN CORSO",$M72)&gt;0</formula>
    </cfRule>
    <cfRule type="expression" dxfId="2135" priority="2060">
      <formula>SEARCH("CHIUSO",$M72)&gt;0</formula>
    </cfRule>
    <cfRule type="expression" dxfId="2134" priority="2061">
      <formula>SEARCH("EMESSO",$M72)&gt;0</formula>
    </cfRule>
    <cfRule type="expression" dxfId="2133" priority="2062">
      <formula>SEARCH("RICHIESTO",$M72)&gt;0</formula>
    </cfRule>
    <cfRule type="expression" dxfId="2132" priority="2063">
      <formula>SEARCH("DA CHIUDERE",$M72)&gt;0</formula>
    </cfRule>
    <cfRule type="expression" dxfId="2131" priority="2064">
      <formula>SEARCH("INTERROTTO",$M72)&gt;0</formula>
    </cfRule>
  </conditionalFormatting>
  <conditionalFormatting sqref="F72">
    <cfRule type="expression" dxfId="2130" priority="2047">
      <formula>SEARCH("IN CORSO",$M72)&gt;0</formula>
    </cfRule>
    <cfRule type="expression" dxfId="2129" priority="2048">
      <formula>SEARCH("CHIUSO",$M72)&gt;0</formula>
    </cfRule>
    <cfRule type="expression" dxfId="2128" priority="2049">
      <formula>SEARCH("EMESSO",$M72)&gt;0</formula>
    </cfRule>
    <cfRule type="expression" dxfId="2127" priority="2050">
      <formula>SEARCH("RICHIESTO",$M72)&gt;0</formula>
    </cfRule>
    <cfRule type="expression" dxfId="2126" priority="2051">
      <formula>SEARCH("DA CHIUDERE",$M72)&gt;0</formula>
    </cfRule>
    <cfRule type="expression" dxfId="2125" priority="2052">
      <formula>SEARCH("INTERROTTO",$M72)&gt;0</formula>
    </cfRule>
  </conditionalFormatting>
  <conditionalFormatting sqref="M71">
    <cfRule type="expression" dxfId="2124" priority="2041">
      <formula>SEARCH("IN CORSO",$M71)&gt;0</formula>
    </cfRule>
    <cfRule type="expression" dxfId="2123" priority="2042">
      <formula>SEARCH("CHIUSO",$M71)&gt;0</formula>
    </cfRule>
    <cfRule type="expression" dxfId="2122" priority="2043">
      <formula>SEARCH("EMESSO",$M71)&gt;0</formula>
    </cfRule>
    <cfRule type="expression" dxfId="2121" priority="2044">
      <formula>SEARCH("RICHIESTO",$M71)&gt;0</formula>
    </cfRule>
    <cfRule type="expression" dxfId="2120" priority="2045">
      <formula>SEARCH("DA CHIUDERE",$M71)&gt;0</formula>
    </cfRule>
    <cfRule type="expression" dxfId="2119" priority="2046">
      <formula>SEARCH("INTERROTTO",$M71)&gt;0</formula>
    </cfRule>
  </conditionalFormatting>
  <conditionalFormatting sqref="N71:S71">
    <cfRule type="expression" dxfId="2118" priority="2035">
      <formula>SEARCH("IN CORSO",$M71)&gt;0</formula>
    </cfRule>
    <cfRule type="expression" dxfId="2117" priority="2036">
      <formula>SEARCH("CHIUSO",$M71)&gt;0</formula>
    </cfRule>
    <cfRule type="expression" dxfId="2116" priority="2037">
      <formula>SEARCH("EMESSO",$M71)&gt;0</formula>
    </cfRule>
    <cfRule type="expression" dxfId="2115" priority="2038">
      <formula>SEARCH("RICHIESTO",$M71)&gt;0</formula>
    </cfRule>
    <cfRule type="expression" dxfId="2114" priority="2039">
      <formula>SEARCH("DA CHIUDERE",$M71)&gt;0</formula>
    </cfRule>
    <cfRule type="expression" dxfId="2113" priority="2040">
      <formula>SEARCH("INTERROTTO",$M71)&gt;0</formula>
    </cfRule>
  </conditionalFormatting>
  <conditionalFormatting sqref="G71">
    <cfRule type="expression" dxfId="2112" priority="2023">
      <formula>SEARCH("IN CORSO",$M71)&gt;0</formula>
    </cfRule>
    <cfRule type="expression" dxfId="2111" priority="2024">
      <formula>SEARCH("CHIUSO",$M71)&gt;0</formula>
    </cfRule>
    <cfRule type="expression" dxfId="2110" priority="2025">
      <formula>SEARCH("EMESSO",$M71)&gt;0</formula>
    </cfRule>
    <cfRule type="expression" dxfId="2109" priority="2026">
      <formula>SEARCH("RICHIESTO",$M71)&gt;0</formula>
    </cfRule>
    <cfRule type="expression" dxfId="2108" priority="2027">
      <formula>SEARCH("DA CHIUDERE",$M71)&gt;0</formula>
    </cfRule>
    <cfRule type="expression" dxfId="2107" priority="2028">
      <formula>SEARCH("INTERROTTO",$M71)&gt;0</formula>
    </cfRule>
  </conditionalFormatting>
  <conditionalFormatting sqref="E71">
    <cfRule type="expression" dxfId="2106" priority="2029">
      <formula>SEARCH("IN CORSO",$M71)&gt;0</formula>
    </cfRule>
    <cfRule type="expression" dxfId="2105" priority="2030">
      <formula>SEARCH("CHIUSO",$M71)&gt;0</formula>
    </cfRule>
    <cfRule type="expression" dxfId="2104" priority="2031">
      <formula>SEARCH("EMESSO",$M71)&gt;0</formula>
    </cfRule>
    <cfRule type="expression" dxfId="2103" priority="2032">
      <formula>SEARCH("RICHIESTO",$M71)&gt;0</formula>
    </cfRule>
    <cfRule type="expression" dxfId="2102" priority="2033">
      <formula>SEARCH("DA CHIUDERE",$M71)&gt;0</formula>
    </cfRule>
    <cfRule type="expression" dxfId="2101" priority="2034">
      <formula>SEARCH("INTERROTTO",$M71)&gt;0</formula>
    </cfRule>
  </conditionalFormatting>
  <conditionalFormatting sqref="F71">
    <cfRule type="expression" dxfId="2100" priority="2017">
      <formula>SEARCH("IN CORSO",$M71)&gt;0</formula>
    </cfRule>
    <cfRule type="expression" dxfId="2099" priority="2018">
      <formula>SEARCH("CHIUSO",$M71)&gt;0</formula>
    </cfRule>
    <cfRule type="expression" dxfId="2098" priority="2019">
      <formula>SEARCH("EMESSO",$M71)&gt;0</formula>
    </cfRule>
    <cfRule type="expression" dxfId="2097" priority="2020">
      <formula>SEARCH("RICHIESTO",$M71)&gt;0</formula>
    </cfRule>
    <cfRule type="expression" dxfId="2096" priority="2021">
      <formula>SEARCH("DA CHIUDERE",$M71)&gt;0</formula>
    </cfRule>
    <cfRule type="expression" dxfId="2095" priority="2022">
      <formula>SEARCH("INTERROTTO",$M71)&gt;0</formula>
    </cfRule>
  </conditionalFormatting>
  <conditionalFormatting sqref="M70">
    <cfRule type="expression" dxfId="2094" priority="2011">
      <formula>SEARCH("IN CORSO",$M70)&gt;0</formula>
    </cfRule>
    <cfRule type="expression" dxfId="2093" priority="2012">
      <formula>SEARCH("CHIUSO",$M70)&gt;0</formula>
    </cfRule>
    <cfRule type="expression" dxfId="2092" priority="2013">
      <formula>SEARCH("EMESSO",$M70)&gt;0</formula>
    </cfRule>
    <cfRule type="expression" dxfId="2091" priority="2014">
      <formula>SEARCH("RICHIESTO",$M70)&gt;0</formula>
    </cfRule>
    <cfRule type="expression" dxfId="2090" priority="2015">
      <formula>SEARCH("DA CHIUDERE",$M70)&gt;0</formula>
    </cfRule>
    <cfRule type="expression" dxfId="2089" priority="2016">
      <formula>SEARCH("INTERROTTO",$M70)&gt;0</formula>
    </cfRule>
  </conditionalFormatting>
  <conditionalFormatting sqref="N70:S70">
    <cfRule type="expression" dxfId="2088" priority="2005">
      <formula>SEARCH("IN CORSO",$M70)&gt;0</formula>
    </cfRule>
    <cfRule type="expression" dxfId="2087" priority="2006">
      <formula>SEARCH("CHIUSO",$M70)&gt;0</formula>
    </cfRule>
    <cfRule type="expression" dxfId="2086" priority="2007">
      <formula>SEARCH("EMESSO",$M70)&gt;0</formula>
    </cfRule>
    <cfRule type="expression" dxfId="2085" priority="2008">
      <formula>SEARCH("RICHIESTO",$M70)&gt;0</formula>
    </cfRule>
    <cfRule type="expression" dxfId="2084" priority="2009">
      <formula>SEARCH("DA CHIUDERE",$M70)&gt;0</formula>
    </cfRule>
    <cfRule type="expression" dxfId="2083" priority="2010">
      <formula>SEARCH("INTERROTTO",$M70)&gt;0</formula>
    </cfRule>
  </conditionalFormatting>
  <conditionalFormatting sqref="G70">
    <cfRule type="expression" dxfId="2082" priority="1993">
      <formula>SEARCH("IN CORSO",$M70)&gt;0</formula>
    </cfRule>
    <cfRule type="expression" dxfId="2081" priority="1994">
      <formula>SEARCH("CHIUSO",$M70)&gt;0</formula>
    </cfRule>
    <cfRule type="expression" dxfId="2080" priority="1995">
      <formula>SEARCH("EMESSO",$M70)&gt;0</formula>
    </cfRule>
    <cfRule type="expression" dxfId="2079" priority="1996">
      <formula>SEARCH("RICHIESTO",$M70)&gt;0</formula>
    </cfRule>
    <cfRule type="expression" dxfId="2078" priority="1997">
      <formula>SEARCH("DA CHIUDERE",$M70)&gt;0</formula>
    </cfRule>
    <cfRule type="expression" dxfId="2077" priority="1998">
      <formula>SEARCH("INTERROTTO",$M70)&gt;0</formula>
    </cfRule>
  </conditionalFormatting>
  <conditionalFormatting sqref="E70">
    <cfRule type="expression" dxfId="2076" priority="1999">
      <formula>SEARCH("IN CORSO",$M70)&gt;0</formula>
    </cfRule>
    <cfRule type="expression" dxfId="2075" priority="2000">
      <formula>SEARCH("CHIUSO",$M70)&gt;0</formula>
    </cfRule>
    <cfRule type="expression" dxfId="2074" priority="2001">
      <formula>SEARCH("EMESSO",$M70)&gt;0</formula>
    </cfRule>
    <cfRule type="expression" dxfId="2073" priority="2002">
      <formula>SEARCH("RICHIESTO",$M70)&gt;0</formula>
    </cfRule>
    <cfRule type="expression" dxfId="2072" priority="2003">
      <formula>SEARCH("DA CHIUDERE",$M70)&gt;0</formula>
    </cfRule>
    <cfRule type="expression" dxfId="2071" priority="2004">
      <formula>SEARCH("INTERROTTO",$M70)&gt;0</formula>
    </cfRule>
  </conditionalFormatting>
  <conditionalFormatting sqref="F70">
    <cfRule type="expression" dxfId="2070" priority="1987">
      <formula>SEARCH("IN CORSO",$M70)&gt;0</formula>
    </cfRule>
    <cfRule type="expression" dxfId="2069" priority="1988">
      <formula>SEARCH("CHIUSO",$M70)&gt;0</formula>
    </cfRule>
    <cfRule type="expression" dxfId="2068" priority="1989">
      <formula>SEARCH("EMESSO",$M70)&gt;0</formula>
    </cfRule>
    <cfRule type="expression" dxfId="2067" priority="1990">
      <formula>SEARCH("RICHIESTO",$M70)&gt;0</formula>
    </cfRule>
    <cfRule type="expression" dxfId="2066" priority="1991">
      <formula>SEARCH("DA CHIUDERE",$M70)&gt;0</formula>
    </cfRule>
    <cfRule type="expression" dxfId="2065" priority="1992">
      <formula>SEARCH("INTERROTTO",$M70)&gt;0</formula>
    </cfRule>
  </conditionalFormatting>
  <conditionalFormatting sqref="M69">
    <cfRule type="expression" dxfId="2064" priority="1981">
      <formula>SEARCH("IN CORSO",$M69)&gt;0</formula>
    </cfRule>
    <cfRule type="expression" dxfId="2063" priority="1982">
      <formula>SEARCH("CHIUSO",$M69)&gt;0</formula>
    </cfRule>
    <cfRule type="expression" dxfId="2062" priority="1983">
      <formula>SEARCH("EMESSO",$M69)&gt;0</formula>
    </cfRule>
    <cfRule type="expression" dxfId="2061" priority="1984">
      <formula>SEARCH("RICHIESTO",$M69)&gt;0</formula>
    </cfRule>
    <cfRule type="expression" dxfId="2060" priority="1985">
      <formula>SEARCH("DA CHIUDERE",$M69)&gt;0</formula>
    </cfRule>
    <cfRule type="expression" dxfId="2059" priority="1986">
      <formula>SEARCH("INTERROTTO",$M69)&gt;0</formula>
    </cfRule>
  </conditionalFormatting>
  <conditionalFormatting sqref="N69:S69">
    <cfRule type="expression" dxfId="2058" priority="1975">
      <formula>SEARCH("IN CORSO",$M69)&gt;0</formula>
    </cfRule>
    <cfRule type="expression" dxfId="2057" priority="1976">
      <formula>SEARCH("CHIUSO",$M69)&gt;0</formula>
    </cfRule>
    <cfRule type="expression" dxfId="2056" priority="1977">
      <formula>SEARCH("EMESSO",$M69)&gt;0</formula>
    </cfRule>
    <cfRule type="expression" dxfId="2055" priority="1978">
      <formula>SEARCH("RICHIESTO",$M69)&gt;0</formula>
    </cfRule>
    <cfRule type="expression" dxfId="2054" priority="1979">
      <formula>SEARCH("DA CHIUDERE",$M69)&gt;0</formula>
    </cfRule>
    <cfRule type="expression" dxfId="2053" priority="1980">
      <formula>SEARCH("INTERROTTO",$M69)&gt;0</formula>
    </cfRule>
  </conditionalFormatting>
  <conditionalFormatting sqref="G69">
    <cfRule type="expression" dxfId="2052" priority="1963">
      <formula>SEARCH("IN CORSO",$M69)&gt;0</formula>
    </cfRule>
    <cfRule type="expression" dxfId="2051" priority="1964">
      <formula>SEARCH("CHIUSO",$M69)&gt;0</formula>
    </cfRule>
    <cfRule type="expression" dxfId="2050" priority="1965">
      <formula>SEARCH("EMESSO",$M69)&gt;0</formula>
    </cfRule>
    <cfRule type="expression" dxfId="2049" priority="1966">
      <formula>SEARCH("RICHIESTO",$M69)&gt;0</formula>
    </cfRule>
    <cfRule type="expression" dxfId="2048" priority="1967">
      <formula>SEARCH("DA CHIUDERE",$M69)&gt;0</formula>
    </cfRule>
    <cfRule type="expression" dxfId="2047" priority="1968">
      <formula>SEARCH("INTERROTTO",$M69)&gt;0</formula>
    </cfRule>
  </conditionalFormatting>
  <conditionalFormatting sqref="E69">
    <cfRule type="expression" dxfId="2046" priority="1969">
      <formula>SEARCH("IN CORSO",$M69)&gt;0</formula>
    </cfRule>
    <cfRule type="expression" dxfId="2045" priority="1970">
      <formula>SEARCH("CHIUSO",$M69)&gt;0</formula>
    </cfRule>
    <cfRule type="expression" dxfId="2044" priority="1971">
      <formula>SEARCH("EMESSO",$M69)&gt;0</formula>
    </cfRule>
    <cfRule type="expression" dxfId="2043" priority="1972">
      <formula>SEARCH("RICHIESTO",$M69)&gt;0</formula>
    </cfRule>
    <cfRule type="expression" dxfId="2042" priority="1973">
      <formula>SEARCH("DA CHIUDERE",$M69)&gt;0</formula>
    </cfRule>
    <cfRule type="expression" dxfId="2041" priority="1974">
      <formula>SEARCH("INTERROTTO",$M69)&gt;0</formula>
    </cfRule>
  </conditionalFormatting>
  <conditionalFormatting sqref="F69">
    <cfRule type="expression" dxfId="2040" priority="1957">
      <formula>SEARCH("IN CORSO",$M69)&gt;0</formula>
    </cfRule>
    <cfRule type="expression" dxfId="2039" priority="1958">
      <formula>SEARCH("CHIUSO",$M69)&gt;0</formula>
    </cfRule>
    <cfRule type="expression" dxfId="2038" priority="1959">
      <formula>SEARCH("EMESSO",$M69)&gt;0</formula>
    </cfRule>
    <cfRule type="expression" dxfId="2037" priority="1960">
      <formula>SEARCH("RICHIESTO",$M69)&gt;0</formula>
    </cfRule>
    <cfRule type="expression" dxfId="2036" priority="1961">
      <formula>SEARCH("DA CHIUDERE",$M69)&gt;0</formula>
    </cfRule>
    <cfRule type="expression" dxfId="2035" priority="1962">
      <formula>SEARCH("INTERROTTO",$M69)&gt;0</formula>
    </cfRule>
  </conditionalFormatting>
  <conditionalFormatting sqref="M68">
    <cfRule type="expression" dxfId="2034" priority="1951">
      <formula>SEARCH("IN CORSO",$M68)&gt;0</formula>
    </cfRule>
    <cfRule type="expression" dxfId="2033" priority="1952">
      <formula>SEARCH("CHIUSO",$M68)&gt;0</formula>
    </cfRule>
    <cfRule type="expression" dxfId="2032" priority="1953">
      <formula>SEARCH("EMESSO",$M68)&gt;0</formula>
    </cfRule>
    <cfRule type="expression" dxfId="2031" priority="1954">
      <formula>SEARCH("RICHIESTO",$M68)&gt;0</formula>
    </cfRule>
    <cfRule type="expression" dxfId="2030" priority="1955">
      <formula>SEARCH("DA CHIUDERE",$M68)&gt;0</formula>
    </cfRule>
    <cfRule type="expression" dxfId="2029" priority="1956">
      <formula>SEARCH("INTERROTTO",$M68)&gt;0</formula>
    </cfRule>
  </conditionalFormatting>
  <conditionalFormatting sqref="N68:S68">
    <cfRule type="expression" dxfId="2028" priority="1945">
      <formula>SEARCH("IN CORSO",$M68)&gt;0</formula>
    </cfRule>
    <cfRule type="expression" dxfId="2027" priority="1946">
      <formula>SEARCH("CHIUSO",$M68)&gt;0</formula>
    </cfRule>
    <cfRule type="expression" dxfId="2026" priority="1947">
      <formula>SEARCH("EMESSO",$M68)&gt;0</formula>
    </cfRule>
    <cfRule type="expression" dxfId="2025" priority="1948">
      <formula>SEARCH("RICHIESTO",$M68)&gt;0</formula>
    </cfRule>
    <cfRule type="expression" dxfId="2024" priority="1949">
      <formula>SEARCH("DA CHIUDERE",$M68)&gt;0</formula>
    </cfRule>
    <cfRule type="expression" dxfId="2023" priority="1950">
      <formula>SEARCH("INTERROTTO",$M68)&gt;0</formula>
    </cfRule>
  </conditionalFormatting>
  <conditionalFormatting sqref="G68">
    <cfRule type="expression" dxfId="2022" priority="1933">
      <formula>SEARCH("IN CORSO",$M68)&gt;0</formula>
    </cfRule>
    <cfRule type="expression" dxfId="2021" priority="1934">
      <formula>SEARCH("CHIUSO",$M68)&gt;0</formula>
    </cfRule>
    <cfRule type="expression" dxfId="2020" priority="1935">
      <formula>SEARCH("EMESSO",$M68)&gt;0</formula>
    </cfRule>
    <cfRule type="expression" dxfId="2019" priority="1936">
      <formula>SEARCH("RICHIESTO",$M68)&gt;0</formula>
    </cfRule>
    <cfRule type="expression" dxfId="2018" priority="1937">
      <formula>SEARCH("DA CHIUDERE",$M68)&gt;0</formula>
    </cfRule>
    <cfRule type="expression" dxfId="2017" priority="1938">
      <formula>SEARCH("INTERROTTO",$M68)&gt;0</formula>
    </cfRule>
  </conditionalFormatting>
  <conditionalFormatting sqref="E68">
    <cfRule type="expression" dxfId="2016" priority="1939">
      <formula>SEARCH("IN CORSO",$M68)&gt;0</formula>
    </cfRule>
    <cfRule type="expression" dxfId="2015" priority="1940">
      <formula>SEARCH("CHIUSO",$M68)&gt;0</formula>
    </cfRule>
    <cfRule type="expression" dxfId="2014" priority="1941">
      <formula>SEARCH("EMESSO",$M68)&gt;0</formula>
    </cfRule>
    <cfRule type="expression" dxfId="2013" priority="1942">
      <formula>SEARCH("RICHIESTO",$M68)&gt;0</formula>
    </cfRule>
    <cfRule type="expression" dxfId="2012" priority="1943">
      <formula>SEARCH("DA CHIUDERE",$M68)&gt;0</formula>
    </cfRule>
    <cfRule type="expression" dxfId="2011" priority="1944">
      <formula>SEARCH("INTERROTTO",$M68)&gt;0</formula>
    </cfRule>
  </conditionalFormatting>
  <conditionalFormatting sqref="F68">
    <cfRule type="expression" dxfId="2010" priority="1927">
      <formula>SEARCH("IN CORSO",$M68)&gt;0</formula>
    </cfRule>
    <cfRule type="expression" dxfId="2009" priority="1928">
      <formula>SEARCH("CHIUSO",$M68)&gt;0</formula>
    </cfRule>
    <cfRule type="expression" dxfId="2008" priority="1929">
      <formula>SEARCH("EMESSO",$M68)&gt;0</formula>
    </cfRule>
    <cfRule type="expression" dxfId="2007" priority="1930">
      <formula>SEARCH("RICHIESTO",$M68)&gt;0</formula>
    </cfRule>
    <cfRule type="expression" dxfId="2006" priority="1931">
      <formula>SEARCH("DA CHIUDERE",$M68)&gt;0</formula>
    </cfRule>
    <cfRule type="expression" dxfId="2005" priority="1932">
      <formula>SEARCH("INTERROTTO",$M68)&gt;0</formula>
    </cfRule>
  </conditionalFormatting>
  <conditionalFormatting sqref="M67">
    <cfRule type="expression" dxfId="2004" priority="1921">
      <formula>SEARCH("IN CORSO",$M67)&gt;0</formula>
    </cfRule>
    <cfRule type="expression" dxfId="2003" priority="1922">
      <formula>SEARCH("CHIUSO",$M67)&gt;0</formula>
    </cfRule>
    <cfRule type="expression" dxfId="2002" priority="1923">
      <formula>SEARCH("EMESSO",$M67)&gt;0</formula>
    </cfRule>
    <cfRule type="expression" dxfId="2001" priority="1924">
      <formula>SEARCH("RICHIESTO",$M67)&gt;0</formula>
    </cfRule>
    <cfRule type="expression" dxfId="2000" priority="1925">
      <formula>SEARCH("DA CHIUDERE",$M67)&gt;0</formula>
    </cfRule>
    <cfRule type="expression" dxfId="1999" priority="1926">
      <formula>SEARCH("INTERROTTO",$M67)&gt;0</formula>
    </cfRule>
  </conditionalFormatting>
  <conditionalFormatting sqref="N67:S67">
    <cfRule type="expression" dxfId="1998" priority="1915">
      <formula>SEARCH("IN CORSO",$M67)&gt;0</formula>
    </cfRule>
    <cfRule type="expression" dxfId="1997" priority="1916">
      <formula>SEARCH("CHIUSO",$M67)&gt;0</formula>
    </cfRule>
    <cfRule type="expression" dxfId="1996" priority="1917">
      <formula>SEARCH("EMESSO",$M67)&gt;0</formula>
    </cfRule>
    <cfRule type="expression" dxfId="1995" priority="1918">
      <formula>SEARCH("RICHIESTO",$M67)&gt;0</formula>
    </cfRule>
    <cfRule type="expression" dxfId="1994" priority="1919">
      <formula>SEARCH("DA CHIUDERE",$M67)&gt;0</formula>
    </cfRule>
    <cfRule type="expression" dxfId="1993" priority="1920">
      <formula>SEARCH("INTERROTTO",$M67)&gt;0</formula>
    </cfRule>
  </conditionalFormatting>
  <conditionalFormatting sqref="G67">
    <cfRule type="expression" dxfId="1992" priority="1903">
      <formula>SEARCH("IN CORSO",$M67)&gt;0</formula>
    </cfRule>
    <cfRule type="expression" dxfId="1991" priority="1904">
      <formula>SEARCH("CHIUSO",$M67)&gt;0</formula>
    </cfRule>
    <cfRule type="expression" dxfId="1990" priority="1905">
      <formula>SEARCH("EMESSO",$M67)&gt;0</formula>
    </cfRule>
    <cfRule type="expression" dxfId="1989" priority="1906">
      <formula>SEARCH("RICHIESTO",$M67)&gt;0</formula>
    </cfRule>
    <cfRule type="expression" dxfId="1988" priority="1907">
      <formula>SEARCH("DA CHIUDERE",$M67)&gt;0</formula>
    </cfRule>
    <cfRule type="expression" dxfId="1987" priority="1908">
      <formula>SEARCH("INTERROTTO",$M67)&gt;0</formula>
    </cfRule>
  </conditionalFormatting>
  <conditionalFormatting sqref="E67">
    <cfRule type="expression" dxfId="1986" priority="1909">
      <formula>SEARCH("IN CORSO",$M67)&gt;0</formula>
    </cfRule>
    <cfRule type="expression" dxfId="1985" priority="1910">
      <formula>SEARCH("CHIUSO",$M67)&gt;0</formula>
    </cfRule>
    <cfRule type="expression" dxfId="1984" priority="1911">
      <formula>SEARCH("EMESSO",$M67)&gt;0</formula>
    </cfRule>
    <cfRule type="expression" dxfId="1983" priority="1912">
      <formula>SEARCH("RICHIESTO",$M67)&gt;0</formula>
    </cfRule>
    <cfRule type="expression" dxfId="1982" priority="1913">
      <formula>SEARCH("DA CHIUDERE",$M67)&gt;0</formula>
    </cfRule>
    <cfRule type="expression" dxfId="1981" priority="1914">
      <formula>SEARCH("INTERROTTO",$M67)&gt;0</formula>
    </cfRule>
  </conditionalFormatting>
  <conditionalFormatting sqref="F67">
    <cfRule type="expression" dxfId="1980" priority="1897">
      <formula>SEARCH("IN CORSO",$M67)&gt;0</formula>
    </cfRule>
    <cfRule type="expression" dxfId="1979" priority="1898">
      <formula>SEARCH("CHIUSO",$M67)&gt;0</formula>
    </cfRule>
    <cfRule type="expression" dxfId="1978" priority="1899">
      <formula>SEARCH("EMESSO",$M67)&gt;0</formula>
    </cfRule>
    <cfRule type="expression" dxfId="1977" priority="1900">
      <formula>SEARCH("RICHIESTO",$M67)&gt;0</formula>
    </cfRule>
    <cfRule type="expression" dxfId="1976" priority="1901">
      <formula>SEARCH("DA CHIUDERE",$M67)&gt;0</formula>
    </cfRule>
    <cfRule type="expression" dxfId="1975" priority="1902">
      <formula>SEARCH("INTERROTTO",$M67)&gt;0</formula>
    </cfRule>
  </conditionalFormatting>
  <conditionalFormatting sqref="M66">
    <cfRule type="expression" dxfId="1974" priority="1891">
      <formula>SEARCH("IN CORSO",$M66)&gt;0</formula>
    </cfRule>
    <cfRule type="expression" dxfId="1973" priority="1892">
      <formula>SEARCH("CHIUSO",$M66)&gt;0</formula>
    </cfRule>
    <cfRule type="expression" dxfId="1972" priority="1893">
      <formula>SEARCH("EMESSO",$M66)&gt;0</formula>
    </cfRule>
    <cfRule type="expression" dxfId="1971" priority="1894">
      <formula>SEARCH("RICHIESTO",$M66)&gt;0</formula>
    </cfRule>
    <cfRule type="expression" dxfId="1970" priority="1895">
      <formula>SEARCH("DA CHIUDERE",$M66)&gt;0</formula>
    </cfRule>
    <cfRule type="expression" dxfId="1969" priority="1896">
      <formula>SEARCH("INTERROTTO",$M66)&gt;0</formula>
    </cfRule>
  </conditionalFormatting>
  <conditionalFormatting sqref="N66:S66">
    <cfRule type="expression" dxfId="1968" priority="1885">
      <formula>SEARCH("IN CORSO",$M66)&gt;0</formula>
    </cfRule>
    <cfRule type="expression" dxfId="1967" priority="1886">
      <formula>SEARCH("CHIUSO",$M66)&gt;0</formula>
    </cfRule>
    <cfRule type="expression" dxfId="1966" priority="1887">
      <formula>SEARCH("EMESSO",$M66)&gt;0</formula>
    </cfRule>
    <cfRule type="expression" dxfId="1965" priority="1888">
      <formula>SEARCH("RICHIESTO",$M66)&gt;0</formula>
    </cfRule>
    <cfRule type="expression" dxfId="1964" priority="1889">
      <formula>SEARCH("DA CHIUDERE",$M66)&gt;0</formula>
    </cfRule>
    <cfRule type="expression" dxfId="1963" priority="1890">
      <formula>SEARCH("INTERROTTO",$M66)&gt;0</formula>
    </cfRule>
  </conditionalFormatting>
  <conditionalFormatting sqref="G66">
    <cfRule type="expression" dxfId="1962" priority="1873">
      <formula>SEARCH("IN CORSO",$M66)&gt;0</formula>
    </cfRule>
    <cfRule type="expression" dxfId="1961" priority="1874">
      <formula>SEARCH("CHIUSO",$M66)&gt;0</formula>
    </cfRule>
    <cfRule type="expression" dxfId="1960" priority="1875">
      <formula>SEARCH("EMESSO",$M66)&gt;0</formula>
    </cfRule>
    <cfRule type="expression" dxfId="1959" priority="1876">
      <formula>SEARCH("RICHIESTO",$M66)&gt;0</formula>
    </cfRule>
    <cfRule type="expression" dxfId="1958" priority="1877">
      <formula>SEARCH("DA CHIUDERE",$M66)&gt;0</formula>
    </cfRule>
    <cfRule type="expression" dxfId="1957" priority="1878">
      <formula>SEARCH("INTERROTTO",$M66)&gt;0</formula>
    </cfRule>
  </conditionalFormatting>
  <conditionalFormatting sqref="E66">
    <cfRule type="expression" dxfId="1956" priority="1879">
      <formula>SEARCH("IN CORSO",$M66)&gt;0</formula>
    </cfRule>
    <cfRule type="expression" dxfId="1955" priority="1880">
      <formula>SEARCH("CHIUSO",$M66)&gt;0</formula>
    </cfRule>
    <cfRule type="expression" dxfId="1954" priority="1881">
      <formula>SEARCH("EMESSO",$M66)&gt;0</formula>
    </cfRule>
    <cfRule type="expression" dxfId="1953" priority="1882">
      <formula>SEARCH("RICHIESTO",$M66)&gt;0</formula>
    </cfRule>
    <cfRule type="expression" dxfId="1952" priority="1883">
      <formula>SEARCH("DA CHIUDERE",$M66)&gt;0</formula>
    </cfRule>
    <cfRule type="expression" dxfId="1951" priority="1884">
      <formula>SEARCH("INTERROTTO",$M66)&gt;0</formula>
    </cfRule>
  </conditionalFormatting>
  <conditionalFormatting sqref="F66">
    <cfRule type="expression" dxfId="1950" priority="1867">
      <formula>SEARCH("IN CORSO",$M66)&gt;0</formula>
    </cfRule>
    <cfRule type="expression" dxfId="1949" priority="1868">
      <formula>SEARCH("CHIUSO",$M66)&gt;0</formula>
    </cfRule>
    <cfRule type="expression" dxfId="1948" priority="1869">
      <formula>SEARCH("EMESSO",$M66)&gt;0</formula>
    </cfRule>
    <cfRule type="expression" dxfId="1947" priority="1870">
      <formula>SEARCH("RICHIESTO",$M66)&gt;0</formula>
    </cfRule>
    <cfRule type="expression" dxfId="1946" priority="1871">
      <formula>SEARCH("DA CHIUDERE",$M66)&gt;0</formula>
    </cfRule>
    <cfRule type="expression" dxfId="1945" priority="1872">
      <formula>SEARCH("INTERROTTO",$M66)&gt;0</formula>
    </cfRule>
  </conditionalFormatting>
  <conditionalFormatting sqref="M65">
    <cfRule type="expression" dxfId="1944" priority="1861">
      <formula>SEARCH("IN CORSO",$M65)&gt;0</formula>
    </cfRule>
    <cfRule type="expression" dxfId="1943" priority="1862">
      <formula>SEARCH("CHIUSO",$M65)&gt;0</formula>
    </cfRule>
    <cfRule type="expression" dxfId="1942" priority="1863">
      <formula>SEARCH("EMESSO",$M65)&gt;0</formula>
    </cfRule>
    <cfRule type="expression" dxfId="1941" priority="1864">
      <formula>SEARCH("RICHIESTO",$M65)&gt;0</formula>
    </cfRule>
    <cfRule type="expression" dxfId="1940" priority="1865">
      <formula>SEARCH("DA CHIUDERE",$M65)&gt;0</formula>
    </cfRule>
    <cfRule type="expression" dxfId="1939" priority="1866">
      <formula>SEARCH("INTERROTTO",$M65)&gt;0</formula>
    </cfRule>
  </conditionalFormatting>
  <conditionalFormatting sqref="N65:S65">
    <cfRule type="expression" dxfId="1938" priority="1855">
      <formula>SEARCH("IN CORSO",$M65)&gt;0</formula>
    </cfRule>
    <cfRule type="expression" dxfId="1937" priority="1856">
      <formula>SEARCH("CHIUSO",$M65)&gt;0</formula>
    </cfRule>
    <cfRule type="expression" dxfId="1936" priority="1857">
      <formula>SEARCH("EMESSO",$M65)&gt;0</formula>
    </cfRule>
    <cfRule type="expression" dxfId="1935" priority="1858">
      <formula>SEARCH("RICHIESTO",$M65)&gt;0</formula>
    </cfRule>
    <cfRule type="expression" dxfId="1934" priority="1859">
      <formula>SEARCH("DA CHIUDERE",$M65)&gt;0</formula>
    </cfRule>
    <cfRule type="expression" dxfId="1933" priority="1860">
      <formula>SEARCH("INTERROTTO",$M65)&gt;0</formula>
    </cfRule>
  </conditionalFormatting>
  <conditionalFormatting sqref="G65">
    <cfRule type="expression" dxfId="1932" priority="1843">
      <formula>SEARCH("IN CORSO",$M65)&gt;0</formula>
    </cfRule>
    <cfRule type="expression" dxfId="1931" priority="1844">
      <formula>SEARCH("CHIUSO",$M65)&gt;0</formula>
    </cfRule>
    <cfRule type="expression" dxfId="1930" priority="1845">
      <formula>SEARCH("EMESSO",$M65)&gt;0</formula>
    </cfRule>
    <cfRule type="expression" dxfId="1929" priority="1846">
      <formula>SEARCH("RICHIESTO",$M65)&gt;0</formula>
    </cfRule>
    <cfRule type="expression" dxfId="1928" priority="1847">
      <formula>SEARCH("DA CHIUDERE",$M65)&gt;0</formula>
    </cfRule>
    <cfRule type="expression" dxfId="1927" priority="1848">
      <formula>SEARCH("INTERROTTO",$M65)&gt;0</formula>
    </cfRule>
  </conditionalFormatting>
  <conditionalFormatting sqref="E65">
    <cfRule type="expression" dxfId="1926" priority="1849">
      <formula>SEARCH("IN CORSO",$M65)&gt;0</formula>
    </cfRule>
    <cfRule type="expression" dxfId="1925" priority="1850">
      <formula>SEARCH("CHIUSO",$M65)&gt;0</formula>
    </cfRule>
    <cfRule type="expression" dxfId="1924" priority="1851">
      <formula>SEARCH("EMESSO",$M65)&gt;0</formula>
    </cfRule>
    <cfRule type="expression" dxfId="1923" priority="1852">
      <formula>SEARCH("RICHIESTO",$M65)&gt;0</formula>
    </cfRule>
    <cfRule type="expression" dxfId="1922" priority="1853">
      <formula>SEARCH("DA CHIUDERE",$M65)&gt;0</formula>
    </cfRule>
    <cfRule type="expression" dxfId="1921" priority="1854">
      <formula>SEARCH("INTERROTTO",$M65)&gt;0</formula>
    </cfRule>
  </conditionalFormatting>
  <conditionalFormatting sqref="F65">
    <cfRule type="expression" dxfId="1920" priority="1837">
      <formula>SEARCH("IN CORSO",$M65)&gt;0</formula>
    </cfRule>
    <cfRule type="expression" dxfId="1919" priority="1838">
      <formula>SEARCH("CHIUSO",$M65)&gt;0</formula>
    </cfRule>
    <cfRule type="expression" dxfId="1918" priority="1839">
      <formula>SEARCH("EMESSO",$M65)&gt;0</formula>
    </cfRule>
    <cfRule type="expression" dxfId="1917" priority="1840">
      <formula>SEARCH("RICHIESTO",$M65)&gt;0</formula>
    </cfRule>
    <cfRule type="expression" dxfId="1916" priority="1841">
      <formula>SEARCH("DA CHIUDERE",$M65)&gt;0</formula>
    </cfRule>
    <cfRule type="expression" dxfId="1915" priority="1842">
      <formula>SEARCH("INTERROTTO",$M65)&gt;0</formula>
    </cfRule>
  </conditionalFormatting>
  <conditionalFormatting sqref="M64">
    <cfRule type="expression" dxfId="1914" priority="1831">
      <formula>SEARCH("IN CORSO",$M64)&gt;0</formula>
    </cfRule>
    <cfRule type="expression" dxfId="1913" priority="1832">
      <formula>SEARCH("CHIUSO",$M64)&gt;0</formula>
    </cfRule>
    <cfRule type="expression" dxfId="1912" priority="1833">
      <formula>SEARCH("EMESSO",$M64)&gt;0</formula>
    </cfRule>
    <cfRule type="expression" dxfId="1911" priority="1834">
      <formula>SEARCH("RICHIESTO",$M64)&gt;0</formula>
    </cfRule>
    <cfRule type="expression" dxfId="1910" priority="1835">
      <formula>SEARCH("DA CHIUDERE",$M64)&gt;0</formula>
    </cfRule>
    <cfRule type="expression" dxfId="1909" priority="1836">
      <formula>SEARCH("INTERROTTO",$M64)&gt;0</formula>
    </cfRule>
  </conditionalFormatting>
  <conditionalFormatting sqref="N64:S64">
    <cfRule type="expression" dxfId="1908" priority="1825">
      <formula>SEARCH("IN CORSO",$M64)&gt;0</formula>
    </cfRule>
    <cfRule type="expression" dxfId="1907" priority="1826">
      <formula>SEARCH("CHIUSO",$M64)&gt;0</formula>
    </cfRule>
    <cfRule type="expression" dxfId="1906" priority="1827">
      <formula>SEARCH("EMESSO",$M64)&gt;0</formula>
    </cfRule>
    <cfRule type="expression" dxfId="1905" priority="1828">
      <formula>SEARCH("RICHIESTO",$M64)&gt;0</formula>
    </cfRule>
    <cfRule type="expression" dxfId="1904" priority="1829">
      <formula>SEARCH("DA CHIUDERE",$M64)&gt;0</formula>
    </cfRule>
    <cfRule type="expression" dxfId="1903" priority="1830">
      <formula>SEARCH("INTERROTTO",$M64)&gt;0</formula>
    </cfRule>
  </conditionalFormatting>
  <conditionalFormatting sqref="G64">
    <cfRule type="expression" dxfId="1902" priority="1813">
      <formula>SEARCH("IN CORSO",$M64)&gt;0</formula>
    </cfRule>
    <cfRule type="expression" dxfId="1901" priority="1814">
      <formula>SEARCH("CHIUSO",$M64)&gt;0</formula>
    </cfRule>
    <cfRule type="expression" dxfId="1900" priority="1815">
      <formula>SEARCH("EMESSO",$M64)&gt;0</formula>
    </cfRule>
    <cfRule type="expression" dxfId="1899" priority="1816">
      <formula>SEARCH("RICHIESTO",$M64)&gt;0</formula>
    </cfRule>
    <cfRule type="expression" dxfId="1898" priority="1817">
      <formula>SEARCH("DA CHIUDERE",$M64)&gt;0</formula>
    </cfRule>
    <cfRule type="expression" dxfId="1897" priority="1818">
      <formula>SEARCH("INTERROTTO",$M64)&gt;0</formula>
    </cfRule>
  </conditionalFormatting>
  <conditionalFormatting sqref="E64">
    <cfRule type="expression" dxfId="1896" priority="1819">
      <formula>SEARCH("IN CORSO",$M64)&gt;0</formula>
    </cfRule>
    <cfRule type="expression" dxfId="1895" priority="1820">
      <formula>SEARCH("CHIUSO",$M64)&gt;0</formula>
    </cfRule>
    <cfRule type="expression" dxfId="1894" priority="1821">
      <formula>SEARCH("EMESSO",$M64)&gt;0</formula>
    </cfRule>
    <cfRule type="expression" dxfId="1893" priority="1822">
      <formula>SEARCH("RICHIESTO",$M64)&gt;0</formula>
    </cfRule>
    <cfRule type="expression" dxfId="1892" priority="1823">
      <formula>SEARCH("DA CHIUDERE",$M64)&gt;0</formula>
    </cfRule>
    <cfRule type="expression" dxfId="1891" priority="1824">
      <formula>SEARCH("INTERROTTO",$M64)&gt;0</formula>
    </cfRule>
  </conditionalFormatting>
  <conditionalFormatting sqref="F64">
    <cfRule type="expression" dxfId="1890" priority="1807">
      <formula>SEARCH("IN CORSO",$M64)&gt;0</formula>
    </cfRule>
    <cfRule type="expression" dxfId="1889" priority="1808">
      <formula>SEARCH("CHIUSO",$M64)&gt;0</formula>
    </cfRule>
    <cfRule type="expression" dxfId="1888" priority="1809">
      <formula>SEARCH("EMESSO",$M64)&gt;0</formula>
    </cfRule>
    <cfRule type="expression" dxfId="1887" priority="1810">
      <formula>SEARCH("RICHIESTO",$M64)&gt;0</formula>
    </cfRule>
    <cfRule type="expression" dxfId="1886" priority="1811">
      <formula>SEARCH("DA CHIUDERE",$M64)&gt;0</formula>
    </cfRule>
    <cfRule type="expression" dxfId="1885" priority="1812">
      <formula>SEARCH("INTERROTTO",$M64)&gt;0</formula>
    </cfRule>
  </conditionalFormatting>
  <conditionalFormatting sqref="M63">
    <cfRule type="expression" dxfId="1884" priority="1801">
      <formula>SEARCH("IN CORSO",$M63)&gt;0</formula>
    </cfRule>
    <cfRule type="expression" dxfId="1883" priority="1802">
      <formula>SEARCH("CHIUSO",$M63)&gt;0</formula>
    </cfRule>
    <cfRule type="expression" dxfId="1882" priority="1803">
      <formula>SEARCH("EMESSO",$M63)&gt;0</formula>
    </cfRule>
    <cfRule type="expression" dxfId="1881" priority="1804">
      <formula>SEARCH("RICHIESTO",$M63)&gt;0</formula>
    </cfRule>
    <cfRule type="expression" dxfId="1880" priority="1805">
      <formula>SEARCH("DA CHIUDERE",$M63)&gt;0</formula>
    </cfRule>
    <cfRule type="expression" dxfId="1879" priority="1806">
      <formula>SEARCH("INTERROTTO",$M63)&gt;0</formula>
    </cfRule>
  </conditionalFormatting>
  <conditionalFormatting sqref="N63:S63">
    <cfRule type="expression" dxfId="1878" priority="1795">
      <formula>SEARCH("IN CORSO",$M63)&gt;0</formula>
    </cfRule>
    <cfRule type="expression" dxfId="1877" priority="1796">
      <formula>SEARCH("CHIUSO",$M63)&gt;0</formula>
    </cfRule>
    <cfRule type="expression" dxfId="1876" priority="1797">
      <formula>SEARCH("EMESSO",$M63)&gt;0</formula>
    </cfRule>
    <cfRule type="expression" dxfId="1875" priority="1798">
      <formula>SEARCH("RICHIESTO",$M63)&gt;0</formula>
    </cfRule>
    <cfRule type="expression" dxfId="1874" priority="1799">
      <formula>SEARCH("DA CHIUDERE",$M63)&gt;0</formula>
    </cfRule>
    <cfRule type="expression" dxfId="1873" priority="1800">
      <formula>SEARCH("INTERROTTO",$M63)&gt;0</formula>
    </cfRule>
  </conditionalFormatting>
  <conditionalFormatting sqref="G63">
    <cfRule type="expression" dxfId="1872" priority="1783">
      <formula>SEARCH("IN CORSO",$M63)&gt;0</formula>
    </cfRule>
    <cfRule type="expression" dxfId="1871" priority="1784">
      <formula>SEARCH("CHIUSO",$M63)&gt;0</formula>
    </cfRule>
    <cfRule type="expression" dxfId="1870" priority="1785">
      <formula>SEARCH("EMESSO",$M63)&gt;0</formula>
    </cfRule>
    <cfRule type="expression" dxfId="1869" priority="1786">
      <formula>SEARCH("RICHIESTO",$M63)&gt;0</formula>
    </cfRule>
    <cfRule type="expression" dxfId="1868" priority="1787">
      <formula>SEARCH("DA CHIUDERE",$M63)&gt;0</formula>
    </cfRule>
    <cfRule type="expression" dxfId="1867" priority="1788">
      <formula>SEARCH("INTERROTTO",$M63)&gt;0</formula>
    </cfRule>
  </conditionalFormatting>
  <conditionalFormatting sqref="E63">
    <cfRule type="expression" dxfId="1866" priority="1789">
      <formula>SEARCH("IN CORSO",$M63)&gt;0</formula>
    </cfRule>
    <cfRule type="expression" dxfId="1865" priority="1790">
      <formula>SEARCH("CHIUSO",$M63)&gt;0</formula>
    </cfRule>
    <cfRule type="expression" dxfId="1864" priority="1791">
      <formula>SEARCH("EMESSO",$M63)&gt;0</formula>
    </cfRule>
    <cfRule type="expression" dxfId="1863" priority="1792">
      <formula>SEARCH("RICHIESTO",$M63)&gt;0</formula>
    </cfRule>
    <cfRule type="expression" dxfId="1862" priority="1793">
      <formula>SEARCH("DA CHIUDERE",$M63)&gt;0</formula>
    </cfRule>
    <cfRule type="expression" dxfId="1861" priority="1794">
      <formula>SEARCH("INTERROTTO",$M63)&gt;0</formula>
    </cfRule>
  </conditionalFormatting>
  <conditionalFormatting sqref="F63">
    <cfRule type="expression" dxfId="1860" priority="1777">
      <formula>SEARCH("IN CORSO",$M63)&gt;0</formula>
    </cfRule>
    <cfRule type="expression" dxfId="1859" priority="1778">
      <formula>SEARCH("CHIUSO",$M63)&gt;0</formula>
    </cfRule>
    <cfRule type="expression" dxfId="1858" priority="1779">
      <formula>SEARCH("EMESSO",$M63)&gt;0</formula>
    </cfRule>
    <cfRule type="expression" dxfId="1857" priority="1780">
      <formula>SEARCH("RICHIESTO",$M63)&gt;0</formula>
    </cfRule>
    <cfRule type="expression" dxfId="1856" priority="1781">
      <formula>SEARCH("DA CHIUDERE",$M63)&gt;0</formula>
    </cfRule>
    <cfRule type="expression" dxfId="1855" priority="1782">
      <formula>SEARCH("INTERROTTO",$M63)&gt;0</formula>
    </cfRule>
  </conditionalFormatting>
  <conditionalFormatting sqref="M62">
    <cfRule type="expression" dxfId="1854" priority="1771">
      <formula>SEARCH("IN CORSO",$M62)&gt;0</formula>
    </cfRule>
    <cfRule type="expression" dxfId="1853" priority="1772">
      <formula>SEARCH("CHIUSO",$M62)&gt;0</formula>
    </cfRule>
    <cfRule type="expression" dxfId="1852" priority="1773">
      <formula>SEARCH("EMESSO",$M62)&gt;0</formula>
    </cfRule>
    <cfRule type="expression" dxfId="1851" priority="1774">
      <formula>SEARCH("RICHIESTO",$M62)&gt;0</formula>
    </cfRule>
    <cfRule type="expression" dxfId="1850" priority="1775">
      <formula>SEARCH("DA CHIUDERE",$M62)&gt;0</formula>
    </cfRule>
    <cfRule type="expression" dxfId="1849" priority="1776">
      <formula>SEARCH("INTERROTTO",$M62)&gt;0</formula>
    </cfRule>
  </conditionalFormatting>
  <conditionalFormatting sqref="N62:S62">
    <cfRule type="expression" dxfId="1848" priority="1765">
      <formula>SEARCH("IN CORSO",$M62)&gt;0</formula>
    </cfRule>
    <cfRule type="expression" dxfId="1847" priority="1766">
      <formula>SEARCH("CHIUSO",$M62)&gt;0</formula>
    </cfRule>
    <cfRule type="expression" dxfId="1846" priority="1767">
      <formula>SEARCH("EMESSO",$M62)&gt;0</formula>
    </cfRule>
    <cfRule type="expression" dxfId="1845" priority="1768">
      <formula>SEARCH("RICHIESTO",$M62)&gt;0</formula>
    </cfRule>
    <cfRule type="expression" dxfId="1844" priority="1769">
      <formula>SEARCH("DA CHIUDERE",$M62)&gt;0</formula>
    </cfRule>
    <cfRule type="expression" dxfId="1843" priority="1770">
      <formula>SEARCH("INTERROTTO",$M62)&gt;0</formula>
    </cfRule>
  </conditionalFormatting>
  <conditionalFormatting sqref="G62">
    <cfRule type="expression" dxfId="1842" priority="1753">
      <formula>SEARCH("IN CORSO",$M62)&gt;0</formula>
    </cfRule>
    <cfRule type="expression" dxfId="1841" priority="1754">
      <formula>SEARCH("CHIUSO",$M62)&gt;0</formula>
    </cfRule>
    <cfRule type="expression" dxfId="1840" priority="1755">
      <formula>SEARCH("EMESSO",$M62)&gt;0</formula>
    </cfRule>
    <cfRule type="expression" dxfId="1839" priority="1756">
      <formula>SEARCH("RICHIESTO",$M62)&gt;0</formula>
    </cfRule>
    <cfRule type="expression" dxfId="1838" priority="1757">
      <formula>SEARCH("DA CHIUDERE",$M62)&gt;0</formula>
    </cfRule>
    <cfRule type="expression" dxfId="1837" priority="1758">
      <formula>SEARCH("INTERROTTO",$M62)&gt;0</formula>
    </cfRule>
  </conditionalFormatting>
  <conditionalFormatting sqref="E62">
    <cfRule type="expression" dxfId="1836" priority="1759">
      <formula>SEARCH("IN CORSO",$M62)&gt;0</formula>
    </cfRule>
    <cfRule type="expression" dxfId="1835" priority="1760">
      <formula>SEARCH("CHIUSO",$M62)&gt;0</formula>
    </cfRule>
    <cfRule type="expression" dxfId="1834" priority="1761">
      <formula>SEARCH("EMESSO",$M62)&gt;0</formula>
    </cfRule>
    <cfRule type="expression" dxfId="1833" priority="1762">
      <formula>SEARCH("RICHIESTO",$M62)&gt;0</formula>
    </cfRule>
    <cfRule type="expression" dxfId="1832" priority="1763">
      <formula>SEARCH("DA CHIUDERE",$M62)&gt;0</formula>
    </cfRule>
    <cfRule type="expression" dxfId="1831" priority="1764">
      <formula>SEARCH("INTERROTTO",$M62)&gt;0</formula>
    </cfRule>
  </conditionalFormatting>
  <conditionalFormatting sqref="F62">
    <cfRule type="expression" dxfId="1830" priority="1747">
      <formula>SEARCH("IN CORSO",$M62)&gt;0</formula>
    </cfRule>
    <cfRule type="expression" dxfId="1829" priority="1748">
      <formula>SEARCH("CHIUSO",$M62)&gt;0</formula>
    </cfRule>
    <cfRule type="expression" dxfId="1828" priority="1749">
      <formula>SEARCH("EMESSO",$M62)&gt;0</formula>
    </cfRule>
    <cfRule type="expression" dxfId="1827" priority="1750">
      <formula>SEARCH("RICHIESTO",$M62)&gt;0</formula>
    </cfRule>
    <cfRule type="expression" dxfId="1826" priority="1751">
      <formula>SEARCH("DA CHIUDERE",$M62)&gt;0</formula>
    </cfRule>
    <cfRule type="expression" dxfId="1825" priority="1752">
      <formula>SEARCH("INTERROTTO",$M62)&gt;0</formula>
    </cfRule>
  </conditionalFormatting>
  <conditionalFormatting sqref="M61">
    <cfRule type="expression" dxfId="1824" priority="1741">
      <formula>SEARCH("IN CORSO",$M61)&gt;0</formula>
    </cfRule>
    <cfRule type="expression" dxfId="1823" priority="1742">
      <formula>SEARCH("CHIUSO",$M61)&gt;0</formula>
    </cfRule>
    <cfRule type="expression" dxfId="1822" priority="1743">
      <formula>SEARCH("EMESSO",$M61)&gt;0</formula>
    </cfRule>
    <cfRule type="expression" dxfId="1821" priority="1744">
      <formula>SEARCH("RICHIESTO",$M61)&gt;0</formula>
    </cfRule>
    <cfRule type="expression" dxfId="1820" priority="1745">
      <formula>SEARCH("DA CHIUDERE",$M61)&gt;0</formula>
    </cfRule>
    <cfRule type="expression" dxfId="1819" priority="1746">
      <formula>SEARCH("INTERROTTO",$M61)&gt;0</formula>
    </cfRule>
  </conditionalFormatting>
  <conditionalFormatting sqref="N61:S61">
    <cfRule type="expression" dxfId="1818" priority="1735">
      <formula>SEARCH("IN CORSO",$M61)&gt;0</formula>
    </cfRule>
    <cfRule type="expression" dxfId="1817" priority="1736">
      <formula>SEARCH("CHIUSO",$M61)&gt;0</formula>
    </cfRule>
    <cfRule type="expression" dxfId="1816" priority="1737">
      <formula>SEARCH("EMESSO",$M61)&gt;0</formula>
    </cfRule>
    <cfRule type="expression" dxfId="1815" priority="1738">
      <formula>SEARCH("RICHIESTO",$M61)&gt;0</formula>
    </cfRule>
    <cfRule type="expression" dxfId="1814" priority="1739">
      <formula>SEARCH("DA CHIUDERE",$M61)&gt;0</formula>
    </cfRule>
    <cfRule type="expression" dxfId="1813" priority="1740">
      <formula>SEARCH("INTERROTTO",$M61)&gt;0</formula>
    </cfRule>
  </conditionalFormatting>
  <conditionalFormatting sqref="G61">
    <cfRule type="expression" dxfId="1812" priority="1723">
      <formula>SEARCH("IN CORSO",$M61)&gt;0</formula>
    </cfRule>
    <cfRule type="expression" dxfId="1811" priority="1724">
      <formula>SEARCH("CHIUSO",$M61)&gt;0</formula>
    </cfRule>
    <cfRule type="expression" dxfId="1810" priority="1725">
      <formula>SEARCH("EMESSO",$M61)&gt;0</formula>
    </cfRule>
    <cfRule type="expression" dxfId="1809" priority="1726">
      <formula>SEARCH("RICHIESTO",$M61)&gt;0</formula>
    </cfRule>
    <cfRule type="expression" dxfId="1808" priority="1727">
      <formula>SEARCH("DA CHIUDERE",$M61)&gt;0</formula>
    </cfRule>
    <cfRule type="expression" dxfId="1807" priority="1728">
      <formula>SEARCH("INTERROTTO",$M61)&gt;0</formula>
    </cfRule>
  </conditionalFormatting>
  <conditionalFormatting sqref="E61">
    <cfRule type="expression" dxfId="1806" priority="1729">
      <formula>SEARCH("IN CORSO",$M61)&gt;0</formula>
    </cfRule>
    <cfRule type="expression" dxfId="1805" priority="1730">
      <formula>SEARCH("CHIUSO",$M61)&gt;0</formula>
    </cfRule>
    <cfRule type="expression" dxfId="1804" priority="1731">
      <formula>SEARCH("EMESSO",$M61)&gt;0</formula>
    </cfRule>
    <cfRule type="expression" dxfId="1803" priority="1732">
      <formula>SEARCH("RICHIESTO",$M61)&gt;0</formula>
    </cfRule>
    <cfRule type="expression" dxfId="1802" priority="1733">
      <formula>SEARCH("DA CHIUDERE",$M61)&gt;0</formula>
    </cfRule>
    <cfRule type="expression" dxfId="1801" priority="1734">
      <formula>SEARCH("INTERROTTO",$M61)&gt;0</formula>
    </cfRule>
  </conditionalFormatting>
  <conditionalFormatting sqref="F61">
    <cfRule type="expression" dxfId="1800" priority="1717">
      <formula>SEARCH("IN CORSO",$M61)&gt;0</formula>
    </cfRule>
    <cfRule type="expression" dxfId="1799" priority="1718">
      <formula>SEARCH("CHIUSO",$M61)&gt;0</formula>
    </cfRule>
    <cfRule type="expression" dxfId="1798" priority="1719">
      <formula>SEARCH("EMESSO",$M61)&gt;0</formula>
    </cfRule>
    <cfRule type="expression" dxfId="1797" priority="1720">
      <formula>SEARCH("RICHIESTO",$M61)&gt;0</formula>
    </cfRule>
    <cfRule type="expression" dxfId="1796" priority="1721">
      <formula>SEARCH("DA CHIUDERE",$M61)&gt;0</formula>
    </cfRule>
    <cfRule type="expression" dxfId="1795" priority="1722">
      <formula>SEARCH("INTERROTTO",$M61)&gt;0</formula>
    </cfRule>
  </conditionalFormatting>
  <conditionalFormatting sqref="M60">
    <cfRule type="expression" dxfId="1794" priority="1711">
      <formula>SEARCH("IN CORSO",$M60)&gt;0</formula>
    </cfRule>
    <cfRule type="expression" dxfId="1793" priority="1712">
      <formula>SEARCH("CHIUSO",$M60)&gt;0</formula>
    </cfRule>
    <cfRule type="expression" dxfId="1792" priority="1713">
      <formula>SEARCH("EMESSO",$M60)&gt;0</formula>
    </cfRule>
    <cfRule type="expression" dxfId="1791" priority="1714">
      <formula>SEARCH("RICHIESTO",$M60)&gt;0</formula>
    </cfRule>
    <cfRule type="expression" dxfId="1790" priority="1715">
      <formula>SEARCH("DA CHIUDERE",$M60)&gt;0</formula>
    </cfRule>
    <cfRule type="expression" dxfId="1789" priority="1716">
      <formula>SEARCH("INTERROTTO",$M60)&gt;0</formula>
    </cfRule>
  </conditionalFormatting>
  <conditionalFormatting sqref="N60:S60">
    <cfRule type="expression" dxfId="1788" priority="1705">
      <formula>SEARCH("IN CORSO",$M60)&gt;0</formula>
    </cfRule>
    <cfRule type="expression" dxfId="1787" priority="1706">
      <formula>SEARCH("CHIUSO",$M60)&gt;0</formula>
    </cfRule>
    <cfRule type="expression" dxfId="1786" priority="1707">
      <formula>SEARCH("EMESSO",$M60)&gt;0</formula>
    </cfRule>
    <cfRule type="expression" dxfId="1785" priority="1708">
      <formula>SEARCH("RICHIESTO",$M60)&gt;0</formula>
    </cfRule>
    <cfRule type="expression" dxfId="1784" priority="1709">
      <formula>SEARCH("DA CHIUDERE",$M60)&gt;0</formula>
    </cfRule>
    <cfRule type="expression" dxfId="1783" priority="1710">
      <formula>SEARCH("INTERROTTO",$M60)&gt;0</formula>
    </cfRule>
  </conditionalFormatting>
  <conditionalFormatting sqref="G60">
    <cfRule type="expression" dxfId="1782" priority="1693">
      <formula>SEARCH("IN CORSO",$M60)&gt;0</formula>
    </cfRule>
    <cfRule type="expression" dxfId="1781" priority="1694">
      <formula>SEARCH("CHIUSO",$M60)&gt;0</formula>
    </cfRule>
    <cfRule type="expression" dxfId="1780" priority="1695">
      <formula>SEARCH("EMESSO",$M60)&gt;0</formula>
    </cfRule>
    <cfRule type="expression" dxfId="1779" priority="1696">
      <formula>SEARCH("RICHIESTO",$M60)&gt;0</formula>
    </cfRule>
    <cfRule type="expression" dxfId="1778" priority="1697">
      <formula>SEARCH("DA CHIUDERE",$M60)&gt;0</formula>
    </cfRule>
    <cfRule type="expression" dxfId="1777" priority="1698">
      <formula>SEARCH("INTERROTTO",$M60)&gt;0</formula>
    </cfRule>
  </conditionalFormatting>
  <conditionalFormatting sqref="E60">
    <cfRule type="expression" dxfId="1776" priority="1699">
      <formula>SEARCH("IN CORSO",$M60)&gt;0</formula>
    </cfRule>
    <cfRule type="expression" dxfId="1775" priority="1700">
      <formula>SEARCH("CHIUSO",$M60)&gt;0</formula>
    </cfRule>
    <cfRule type="expression" dxfId="1774" priority="1701">
      <formula>SEARCH("EMESSO",$M60)&gt;0</formula>
    </cfRule>
    <cfRule type="expression" dxfId="1773" priority="1702">
      <formula>SEARCH("RICHIESTO",$M60)&gt;0</formula>
    </cfRule>
    <cfRule type="expression" dxfId="1772" priority="1703">
      <formula>SEARCH("DA CHIUDERE",$M60)&gt;0</formula>
    </cfRule>
    <cfRule type="expression" dxfId="1771" priority="1704">
      <formula>SEARCH("INTERROTTO",$M60)&gt;0</formula>
    </cfRule>
  </conditionalFormatting>
  <conditionalFormatting sqref="F60">
    <cfRule type="expression" dxfId="1770" priority="1687">
      <formula>SEARCH("IN CORSO",$M60)&gt;0</formula>
    </cfRule>
    <cfRule type="expression" dxfId="1769" priority="1688">
      <formula>SEARCH("CHIUSO",$M60)&gt;0</formula>
    </cfRule>
    <cfRule type="expression" dxfId="1768" priority="1689">
      <formula>SEARCH("EMESSO",$M60)&gt;0</formula>
    </cfRule>
    <cfRule type="expression" dxfId="1767" priority="1690">
      <formula>SEARCH("RICHIESTO",$M60)&gt;0</formula>
    </cfRule>
    <cfRule type="expression" dxfId="1766" priority="1691">
      <formula>SEARCH("DA CHIUDERE",$M60)&gt;0</formula>
    </cfRule>
    <cfRule type="expression" dxfId="1765" priority="1692">
      <formula>SEARCH("INTERROTTO",$M60)&gt;0</formula>
    </cfRule>
  </conditionalFormatting>
  <conditionalFormatting sqref="M59">
    <cfRule type="expression" dxfId="1764" priority="1681">
      <formula>SEARCH("IN CORSO",$M59)&gt;0</formula>
    </cfRule>
    <cfRule type="expression" dxfId="1763" priority="1682">
      <formula>SEARCH("CHIUSO",$M59)&gt;0</formula>
    </cfRule>
    <cfRule type="expression" dxfId="1762" priority="1683">
      <formula>SEARCH("EMESSO",$M59)&gt;0</formula>
    </cfRule>
    <cfRule type="expression" dxfId="1761" priority="1684">
      <formula>SEARCH("RICHIESTO",$M59)&gt;0</formula>
    </cfRule>
    <cfRule type="expression" dxfId="1760" priority="1685">
      <formula>SEARCH("DA CHIUDERE",$M59)&gt;0</formula>
    </cfRule>
    <cfRule type="expression" dxfId="1759" priority="1686">
      <formula>SEARCH("INTERROTTO",$M59)&gt;0</formula>
    </cfRule>
  </conditionalFormatting>
  <conditionalFormatting sqref="N59:S59">
    <cfRule type="expression" dxfId="1758" priority="1675">
      <formula>SEARCH("IN CORSO",$M59)&gt;0</formula>
    </cfRule>
    <cfRule type="expression" dxfId="1757" priority="1676">
      <formula>SEARCH("CHIUSO",$M59)&gt;0</formula>
    </cfRule>
    <cfRule type="expression" dxfId="1756" priority="1677">
      <formula>SEARCH("EMESSO",$M59)&gt;0</formula>
    </cfRule>
    <cfRule type="expression" dxfId="1755" priority="1678">
      <formula>SEARCH("RICHIESTO",$M59)&gt;0</formula>
    </cfRule>
    <cfRule type="expression" dxfId="1754" priority="1679">
      <formula>SEARCH("DA CHIUDERE",$M59)&gt;0</formula>
    </cfRule>
    <cfRule type="expression" dxfId="1753" priority="1680">
      <formula>SEARCH("INTERROTTO",$M59)&gt;0</formula>
    </cfRule>
  </conditionalFormatting>
  <conditionalFormatting sqref="G59">
    <cfRule type="expression" dxfId="1752" priority="1663">
      <formula>SEARCH("IN CORSO",$M59)&gt;0</formula>
    </cfRule>
    <cfRule type="expression" dxfId="1751" priority="1664">
      <formula>SEARCH("CHIUSO",$M59)&gt;0</formula>
    </cfRule>
    <cfRule type="expression" dxfId="1750" priority="1665">
      <formula>SEARCH("EMESSO",$M59)&gt;0</formula>
    </cfRule>
    <cfRule type="expression" dxfId="1749" priority="1666">
      <formula>SEARCH("RICHIESTO",$M59)&gt;0</formula>
    </cfRule>
    <cfRule type="expression" dxfId="1748" priority="1667">
      <formula>SEARCH("DA CHIUDERE",$M59)&gt;0</formula>
    </cfRule>
    <cfRule type="expression" dxfId="1747" priority="1668">
      <formula>SEARCH("INTERROTTO",$M59)&gt;0</formula>
    </cfRule>
  </conditionalFormatting>
  <conditionalFormatting sqref="E59">
    <cfRule type="expression" dxfId="1746" priority="1669">
      <formula>SEARCH("IN CORSO",$M59)&gt;0</formula>
    </cfRule>
    <cfRule type="expression" dxfId="1745" priority="1670">
      <formula>SEARCH("CHIUSO",$M59)&gt;0</formula>
    </cfRule>
    <cfRule type="expression" dxfId="1744" priority="1671">
      <formula>SEARCH("EMESSO",$M59)&gt;0</formula>
    </cfRule>
    <cfRule type="expression" dxfId="1743" priority="1672">
      <formula>SEARCH("RICHIESTO",$M59)&gt;0</formula>
    </cfRule>
    <cfRule type="expression" dxfId="1742" priority="1673">
      <formula>SEARCH("DA CHIUDERE",$M59)&gt;0</formula>
    </cfRule>
    <cfRule type="expression" dxfId="1741" priority="1674">
      <formula>SEARCH("INTERROTTO",$M59)&gt;0</formula>
    </cfRule>
  </conditionalFormatting>
  <conditionalFormatting sqref="F59">
    <cfRule type="expression" dxfId="1740" priority="1657">
      <formula>SEARCH("IN CORSO",$M59)&gt;0</formula>
    </cfRule>
    <cfRule type="expression" dxfId="1739" priority="1658">
      <formula>SEARCH("CHIUSO",$M59)&gt;0</formula>
    </cfRule>
    <cfRule type="expression" dxfId="1738" priority="1659">
      <formula>SEARCH("EMESSO",$M59)&gt;0</formula>
    </cfRule>
    <cfRule type="expression" dxfId="1737" priority="1660">
      <formula>SEARCH("RICHIESTO",$M59)&gt;0</formula>
    </cfRule>
    <cfRule type="expression" dxfId="1736" priority="1661">
      <formula>SEARCH("DA CHIUDERE",$M59)&gt;0</formula>
    </cfRule>
    <cfRule type="expression" dxfId="1735" priority="1662">
      <formula>SEARCH("INTERROTTO",$M59)&gt;0</formula>
    </cfRule>
  </conditionalFormatting>
  <conditionalFormatting sqref="M58">
    <cfRule type="expression" dxfId="1734" priority="1651">
      <formula>SEARCH("IN CORSO",$M58)&gt;0</formula>
    </cfRule>
    <cfRule type="expression" dxfId="1733" priority="1652">
      <formula>SEARCH("CHIUSO",$M58)&gt;0</formula>
    </cfRule>
    <cfRule type="expression" dxfId="1732" priority="1653">
      <formula>SEARCH("EMESSO",$M58)&gt;0</formula>
    </cfRule>
    <cfRule type="expression" dxfId="1731" priority="1654">
      <formula>SEARCH("RICHIESTO",$M58)&gt;0</formula>
    </cfRule>
    <cfRule type="expression" dxfId="1730" priority="1655">
      <formula>SEARCH("DA CHIUDERE",$M58)&gt;0</formula>
    </cfRule>
    <cfRule type="expression" dxfId="1729" priority="1656">
      <formula>SEARCH("INTERROTTO",$M58)&gt;0</formula>
    </cfRule>
  </conditionalFormatting>
  <conditionalFormatting sqref="N58:S58">
    <cfRule type="expression" dxfId="1728" priority="1645">
      <formula>SEARCH("IN CORSO",$M58)&gt;0</formula>
    </cfRule>
    <cfRule type="expression" dxfId="1727" priority="1646">
      <formula>SEARCH("CHIUSO",$M58)&gt;0</formula>
    </cfRule>
    <cfRule type="expression" dxfId="1726" priority="1647">
      <formula>SEARCH("EMESSO",$M58)&gt;0</formula>
    </cfRule>
    <cfRule type="expression" dxfId="1725" priority="1648">
      <formula>SEARCH("RICHIESTO",$M58)&gt;0</formula>
    </cfRule>
    <cfRule type="expression" dxfId="1724" priority="1649">
      <formula>SEARCH("DA CHIUDERE",$M58)&gt;0</formula>
    </cfRule>
    <cfRule type="expression" dxfId="1723" priority="1650">
      <formula>SEARCH("INTERROTTO",$M58)&gt;0</formula>
    </cfRule>
  </conditionalFormatting>
  <conditionalFormatting sqref="G58">
    <cfRule type="expression" dxfId="1722" priority="1633">
      <formula>SEARCH("IN CORSO",$M58)&gt;0</formula>
    </cfRule>
    <cfRule type="expression" dxfId="1721" priority="1634">
      <formula>SEARCH("CHIUSO",$M58)&gt;0</formula>
    </cfRule>
    <cfRule type="expression" dxfId="1720" priority="1635">
      <formula>SEARCH("EMESSO",$M58)&gt;0</formula>
    </cfRule>
    <cfRule type="expression" dxfId="1719" priority="1636">
      <formula>SEARCH("RICHIESTO",$M58)&gt;0</formula>
    </cfRule>
    <cfRule type="expression" dxfId="1718" priority="1637">
      <formula>SEARCH("DA CHIUDERE",$M58)&gt;0</formula>
    </cfRule>
    <cfRule type="expression" dxfId="1717" priority="1638">
      <formula>SEARCH("INTERROTTO",$M58)&gt;0</formula>
    </cfRule>
  </conditionalFormatting>
  <conditionalFormatting sqref="E58">
    <cfRule type="expression" dxfId="1716" priority="1639">
      <formula>SEARCH("IN CORSO",$M58)&gt;0</formula>
    </cfRule>
    <cfRule type="expression" dxfId="1715" priority="1640">
      <formula>SEARCH("CHIUSO",$M58)&gt;0</formula>
    </cfRule>
    <cfRule type="expression" dxfId="1714" priority="1641">
      <formula>SEARCH("EMESSO",$M58)&gt;0</formula>
    </cfRule>
    <cfRule type="expression" dxfId="1713" priority="1642">
      <formula>SEARCH("RICHIESTO",$M58)&gt;0</formula>
    </cfRule>
    <cfRule type="expression" dxfId="1712" priority="1643">
      <formula>SEARCH("DA CHIUDERE",$M58)&gt;0</formula>
    </cfRule>
    <cfRule type="expression" dxfId="1711" priority="1644">
      <formula>SEARCH("INTERROTTO",$M58)&gt;0</formula>
    </cfRule>
  </conditionalFormatting>
  <conditionalFormatting sqref="F58">
    <cfRule type="expression" dxfId="1710" priority="1627">
      <formula>SEARCH("IN CORSO",$M58)&gt;0</formula>
    </cfRule>
    <cfRule type="expression" dxfId="1709" priority="1628">
      <formula>SEARCH("CHIUSO",$M58)&gt;0</formula>
    </cfRule>
    <cfRule type="expression" dxfId="1708" priority="1629">
      <formula>SEARCH("EMESSO",$M58)&gt;0</formula>
    </cfRule>
    <cfRule type="expression" dxfId="1707" priority="1630">
      <formula>SEARCH("RICHIESTO",$M58)&gt;0</formula>
    </cfRule>
    <cfRule type="expression" dxfId="1706" priority="1631">
      <formula>SEARCH("DA CHIUDERE",$M58)&gt;0</formula>
    </cfRule>
    <cfRule type="expression" dxfId="1705" priority="1632">
      <formula>SEARCH("INTERROTTO",$M58)&gt;0</formula>
    </cfRule>
  </conditionalFormatting>
  <conditionalFormatting sqref="M57">
    <cfRule type="expression" dxfId="1704" priority="1621">
      <formula>SEARCH("IN CORSO",$M57)&gt;0</formula>
    </cfRule>
    <cfRule type="expression" dxfId="1703" priority="1622">
      <formula>SEARCH("CHIUSO",$M57)&gt;0</formula>
    </cfRule>
    <cfRule type="expression" dxfId="1702" priority="1623">
      <formula>SEARCH("EMESSO",$M57)&gt;0</formula>
    </cfRule>
    <cfRule type="expression" dxfId="1701" priority="1624">
      <formula>SEARCH("RICHIESTO",$M57)&gt;0</formula>
    </cfRule>
    <cfRule type="expression" dxfId="1700" priority="1625">
      <formula>SEARCH("DA CHIUDERE",$M57)&gt;0</formula>
    </cfRule>
    <cfRule type="expression" dxfId="1699" priority="1626">
      <formula>SEARCH("INTERROTTO",$M57)&gt;0</formula>
    </cfRule>
  </conditionalFormatting>
  <conditionalFormatting sqref="N57:S57">
    <cfRule type="expression" dxfId="1698" priority="1615">
      <formula>SEARCH("IN CORSO",$M57)&gt;0</formula>
    </cfRule>
    <cfRule type="expression" dxfId="1697" priority="1616">
      <formula>SEARCH("CHIUSO",$M57)&gt;0</formula>
    </cfRule>
    <cfRule type="expression" dxfId="1696" priority="1617">
      <formula>SEARCH("EMESSO",$M57)&gt;0</formula>
    </cfRule>
    <cfRule type="expression" dxfId="1695" priority="1618">
      <formula>SEARCH("RICHIESTO",$M57)&gt;0</formula>
    </cfRule>
    <cfRule type="expression" dxfId="1694" priority="1619">
      <formula>SEARCH("DA CHIUDERE",$M57)&gt;0</formula>
    </cfRule>
    <cfRule type="expression" dxfId="1693" priority="1620">
      <formula>SEARCH("INTERROTTO",$M57)&gt;0</formula>
    </cfRule>
  </conditionalFormatting>
  <conditionalFormatting sqref="G57">
    <cfRule type="expression" dxfId="1692" priority="1603">
      <formula>SEARCH("IN CORSO",$M57)&gt;0</formula>
    </cfRule>
    <cfRule type="expression" dxfId="1691" priority="1604">
      <formula>SEARCH("CHIUSO",$M57)&gt;0</formula>
    </cfRule>
    <cfRule type="expression" dxfId="1690" priority="1605">
      <formula>SEARCH("EMESSO",$M57)&gt;0</formula>
    </cfRule>
    <cfRule type="expression" dxfId="1689" priority="1606">
      <formula>SEARCH("RICHIESTO",$M57)&gt;0</formula>
    </cfRule>
    <cfRule type="expression" dxfId="1688" priority="1607">
      <formula>SEARCH("DA CHIUDERE",$M57)&gt;0</formula>
    </cfRule>
    <cfRule type="expression" dxfId="1687" priority="1608">
      <formula>SEARCH("INTERROTTO",$M57)&gt;0</formula>
    </cfRule>
  </conditionalFormatting>
  <conditionalFormatting sqref="E57">
    <cfRule type="expression" dxfId="1686" priority="1609">
      <formula>SEARCH("IN CORSO",$M57)&gt;0</formula>
    </cfRule>
    <cfRule type="expression" dxfId="1685" priority="1610">
      <formula>SEARCH("CHIUSO",$M57)&gt;0</formula>
    </cfRule>
    <cfRule type="expression" dxfId="1684" priority="1611">
      <formula>SEARCH("EMESSO",$M57)&gt;0</formula>
    </cfRule>
    <cfRule type="expression" dxfId="1683" priority="1612">
      <formula>SEARCH("RICHIESTO",$M57)&gt;0</formula>
    </cfRule>
    <cfRule type="expression" dxfId="1682" priority="1613">
      <formula>SEARCH("DA CHIUDERE",$M57)&gt;0</formula>
    </cfRule>
    <cfRule type="expression" dxfId="1681" priority="1614">
      <formula>SEARCH("INTERROTTO",$M57)&gt;0</formula>
    </cfRule>
  </conditionalFormatting>
  <conditionalFormatting sqref="F57">
    <cfRule type="expression" dxfId="1680" priority="1597">
      <formula>SEARCH("IN CORSO",$M57)&gt;0</formula>
    </cfRule>
    <cfRule type="expression" dxfId="1679" priority="1598">
      <formula>SEARCH("CHIUSO",$M57)&gt;0</formula>
    </cfRule>
    <cfRule type="expression" dxfId="1678" priority="1599">
      <formula>SEARCH("EMESSO",$M57)&gt;0</formula>
    </cfRule>
    <cfRule type="expression" dxfId="1677" priority="1600">
      <formula>SEARCH("RICHIESTO",$M57)&gt;0</formula>
    </cfRule>
    <cfRule type="expression" dxfId="1676" priority="1601">
      <formula>SEARCH("DA CHIUDERE",$M57)&gt;0</formula>
    </cfRule>
    <cfRule type="expression" dxfId="1675" priority="1602">
      <formula>SEARCH("INTERROTTO",$M57)&gt;0</formula>
    </cfRule>
  </conditionalFormatting>
  <conditionalFormatting sqref="M56">
    <cfRule type="expression" dxfId="1674" priority="1591">
      <formula>SEARCH("IN CORSO",$M56)&gt;0</formula>
    </cfRule>
    <cfRule type="expression" dxfId="1673" priority="1592">
      <formula>SEARCH("CHIUSO",$M56)&gt;0</formula>
    </cfRule>
    <cfRule type="expression" dxfId="1672" priority="1593">
      <formula>SEARCH("EMESSO",$M56)&gt;0</formula>
    </cfRule>
    <cfRule type="expression" dxfId="1671" priority="1594">
      <formula>SEARCH("RICHIESTO",$M56)&gt;0</formula>
    </cfRule>
    <cfRule type="expression" dxfId="1670" priority="1595">
      <formula>SEARCH("DA CHIUDERE",$M56)&gt;0</formula>
    </cfRule>
    <cfRule type="expression" dxfId="1669" priority="1596">
      <formula>SEARCH("INTERROTTO",$M56)&gt;0</formula>
    </cfRule>
  </conditionalFormatting>
  <conditionalFormatting sqref="N56:S56">
    <cfRule type="expression" dxfId="1668" priority="1585">
      <formula>SEARCH("IN CORSO",$M56)&gt;0</formula>
    </cfRule>
    <cfRule type="expression" dxfId="1667" priority="1586">
      <formula>SEARCH("CHIUSO",$M56)&gt;0</formula>
    </cfRule>
    <cfRule type="expression" dxfId="1666" priority="1587">
      <formula>SEARCH("EMESSO",$M56)&gt;0</formula>
    </cfRule>
    <cfRule type="expression" dxfId="1665" priority="1588">
      <formula>SEARCH("RICHIESTO",$M56)&gt;0</formula>
    </cfRule>
    <cfRule type="expression" dxfId="1664" priority="1589">
      <formula>SEARCH("DA CHIUDERE",$M56)&gt;0</formula>
    </cfRule>
    <cfRule type="expression" dxfId="1663" priority="1590">
      <formula>SEARCH("INTERROTTO",$M56)&gt;0</formula>
    </cfRule>
  </conditionalFormatting>
  <conditionalFormatting sqref="G56">
    <cfRule type="expression" dxfId="1662" priority="1573">
      <formula>SEARCH("IN CORSO",$M56)&gt;0</formula>
    </cfRule>
    <cfRule type="expression" dxfId="1661" priority="1574">
      <formula>SEARCH("CHIUSO",$M56)&gt;0</formula>
    </cfRule>
    <cfRule type="expression" dxfId="1660" priority="1575">
      <formula>SEARCH("EMESSO",$M56)&gt;0</formula>
    </cfRule>
    <cfRule type="expression" dxfId="1659" priority="1576">
      <formula>SEARCH("RICHIESTO",$M56)&gt;0</formula>
    </cfRule>
    <cfRule type="expression" dxfId="1658" priority="1577">
      <formula>SEARCH("DA CHIUDERE",$M56)&gt;0</formula>
    </cfRule>
    <cfRule type="expression" dxfId="1657" priority="1578">
      <formula>SEARCH("INTERROTTO",$M56)&gt;0</formula>
    </cfRule>
  </conditionalFormatting>
  <conditionalFormatting sqref="E56">
    <cfRule type="expression" dxfId="1656" priority="1579">
      <formula>SEARCH("IN CORSO",$M56)&gt;0</formula>
    </cfRule>
    <cfRule type="expression" dxfId="1655" priority="1580">
      <formula>SEARCH("CHIUSO",$M56)&gt;0</formula>
    </cfRule>
    <cfRule type="expression" dxfId="1654" priority="1581">
      <formula>SEARCH("EMESSO",$M56)&gt;0</formula>
    </cfRule>
    <cfRule type="expression" dxfId="1653" priority="1582">
      <formula>SEARCH("RICHIESTO",$M56)&gt;0</formula>
    </cfRule>
    <cfRule type="expression" dxfId="1652" priority="1583">
      <formula>SEARCH("DA CHIUDERE",$M56)&gt;0</formula>
    </cfRule>
    <cfRule type="expression" dxfId="1651" priority="1584">
      <formula>SEARCH("INTERROTTO",$M56)&gt;0</formula>
    </cfRule>
  </conditionalFormatting>
  <conditionalFormatting sqref="F56">
    <cfRule type="expression" dxfId="1650" priority="1567">
      <formula>SEARCH("IN CORSO",$M56)&gt;0</formula>
    </cfRule>
    <cfRule type="expression" dxfId="1649" priority="1568">
      <formula>SEARCH("CHIUSO",$M56)&gt;0</formula>
    </cfRule>
    <cfRule type="expression" dxfId="1648" priority="1569">
      <formula>SEARCH("EMESSO",$M56)&gt;0</formula>
    </cfRule>
    <cfRule type="expression" dxfId="1647" priority="1570">
      <formula>SEARCH("RICHIESTO",$M56)&gt;0</formula>
    </cfRule>
    <cfRule type="expression" dxfId="1646" priority="1571">
      <formula>SEARCH("DA CHIUDERE",$M56)&gt;0</formula>
    </cfRule>
    <cfRule type="expression" dxfId="1645" priority="1572">
      <formula>SEARCH("INTERROTTO",$M56)&gt;0</formula>
    </cfRule>
  </conditionalFormatting>
  <conditionalFormatting sqref="M55">
    <cfRule type="expression" dxfId="1644" priority="1561">
      <formula>SEARCH("IN CORSO",$M55)&gt;0</formula>
    </cfRule>
    <cfRule type="expression" dxfId="1643" priority="1562">
      <formula>SEARCH("CHIUSO",$M55)&gt;0</formula>
    </cfRule>
    <cfRule type="expression" dxfId="1642" priority="1563">
      <formula>SEARCH("EMESSO",$M55)&gt;0</formula>
    </cfRule>
    <cfRule type="expression" dxfId="1641" priority="1564">
      <formula>SEARCH("RICHIESTO",$M55)&gt;0</formula>
    </cfRule>
    <cfRule type="expression" dxfId="1640" priority="1565">
      <formula>SEARCH("DA CHIUDERE",$M55)&gt;0</formula>
    </cfRule>
    <cfRule type="expression" dxfId="1639" priority="1566">
      <formula>SEARCH("INTERROTTO",$M55)&gt;0</formula>
    </cfRule>
  </conditionalFormatting>
  <conditionalFormatting sqref="N55:S55">
    <cfRule type="expression" dxfId="1638" priority="1555">
      <formula>SEARCH("IN CORSO",$M55)&gt;0</formula>
    </cfRule>
    <cfRule type="expression" dxfId="1637" priority="1556">
      <formula>SEARCH("CHIUSO",$M55)&gt;0</formula>
    </cfRule>
    <cfRule type="expression" dxfId="1636" priority="1557">
      <formula>SEARCH("EMESSO",$M55)&gt;0</formula>
    </cfRule>
    <cfRule type="expression" dxfId="1635" priority="1558">
      <formula>SEARCH("RICHIESTO",$M55)&gt;0</formula>
    </cfRule>
    <cfRule type="expression" dxfId="1634" priority="1559">
      <formula>SEARCH("DA CHIUDERE",$M55)&gt;0</formula>
    </cfRule>
    <cfRule type="expression" dxfId="1633" priority="1560">
      <formula>SEARCH("INTERROTTO",$M55)&gt;0</formula>
    </cfRule>
  </conditionalFormatting>
  <conditionalFormatting sqref="G55">
    <cfRule type="expression" dxfId="1632" priority="1543">
      <formula>SEARCH("IN CORSO",$M55)&gt;0</formula>
    </cfRule>
    <cfRule type="expression" dxfId="1631" priority="1544">
      <formula>SEARCH("CHIUSO",$M55)&gt;0</formula>
    </cfRule>
    <cfRule type="expression" dxfId="1630" priority="1545">
      <formula>SEARCH("EMESSO",$M55)&gt;0</formula>
    </cfRule>
    <cfRule type="expression" dxfId="1629" priority="1546">
      <formula>SEARCH("RICHIESTO",$M55)&gt;0</formula>
    </cfRule>
    <cfRule type="expression" dxfId="1628" priority="1547">
      <formula>SEARCH("DA CHIUDERE",$M55)&gt;0</formula>
    </cfRule>
    <cfRule type="expression" dxfId="1627" priority="1548">
      <formula>SEARCH("INTERROTTO",$M55)&gt;0</formula>
    </cfRule>
  </conditionalFormatting>
  <conditionalFormatting sqref="E55">
    <cfRule type="expression" dxfId="1626" priority="1549">
      <formula>SEARCH("IN CORSO",$M55)&gt;0</formula>
    </cfRule>
    <cfRule type="expression" dxfId="1625" priority="1550">
      <formula>SEARCH("CHIUSO",$M55)&gt;0</formula>
    </cfRule>
    <cfRule type="expression" dxfId="1624" priority="1551">
      <formula>SEARCH("EMESSO",$M55)&gt;0</formula>
    </cfRule>
    <cfRule type="expression" dxfId="1623" priority="1552">
      <formula>SEARCH("RICHIESTO",$M55)&gt;0</formula>
    </cfRule>
    <cfRule type="expression" dxfId="1622" priority="1553">
      <formula>SEARCH("DA CHIUDERE",$M55)&gt;0</formula>
    </cfRule>
    <cfRule type="expression" dxfId="1621" priority="1554">
      <formula>SEARCH("INTERROTTO",$M55)&gt;0</formula>
    </cfRule>
  </conditionalFormatting>
  <conditionalFormatting sqref="F55">
    <cfRule type="expression" dxfId="1620" priority="1537">
      <formula>SEARCH("IN CORSO",$M55)&gt;0</formula>
    </cfRule>
    <cfRule type="expression" dxfId="1619" priority="1538">
      <formula>SEARCH("CHIUSO",$M55)&gt;0</formula>
    </cfRule>
    <cfRule type="expression" dxfId="1618" priority="1539">
      <formula>SEARCH("EMESSO",$M55)&gt;0</formula>
    </cfRule>
    <cfRule type="expression" dxfId="1617" priority="1540">
      <formula>SEARCH("RICHIESTO",$M55)&gt;0</formula>
    </cfRule>
    <cfRule type="expression" dxfId="1616" priority="1541">
      <formula>SEARCH("DA CHIUDERE",$M55)&gt;0</formula>
    </cfRule>
    <cfRule type="expression" dxfId="1615" priority="1542">
      <formula>SEARCH("INTERROTTO",$M55)&gt;0</formula>
    </cfRule>
  </conditionalFormatting>
  <conditionalFormatting sqref="M54">
    <cfRule type="expression" dxfId="1614" priority="1531">
      <formula>SEARCH("IN CORSO",$M54)&gt;0</formula>
    </cfRule>
    <cfRule type="expression" dxfId="1613" priority="1532">
      <formula>SEARCH("CHIUSO",$M54)&gt;0</formula>
    </cfRule>
    <cfRule type="expression" dxfId="1612" priority="1533">
      <formula>SEARCH("EMESSO",$M54)&gt;0</formula>
    </cfRule>
    <cfRule type="expression" dxfId="1611" priority="1534">
      <formula>SEARCH("RICHIESTO",$M54)&gt;0</formula>
    </cfRule>
    <cfRule type="expression" dxfId="1610" priority="1535">
      <formula>SEARCH("DA CHIUDERE",$M54)&gt;0</formula>
    </cfRule>
    <cfRule type="expression" dxfId="1609" priority="1536">
      <formula>SEARCH("INTERROTTO",$M54)&gt;0</formula>
    </cfRule>
  </conditionalFormatting>
  <conditionalFormatting sqref="N54:S54">
    <cfRule type="expression" dxfId="1608" priority="1525">
      <formula>SEARCH("IN CORSO",$M54)&gt;0</formula>
    </cfRule>
    <cfRule type="expression" dxfId="1607" priority="1526">
      <formula>SEARCH("CHIUSO",$M54)&gt;0</formula>
    </cfRule>
    <cfRule type="expression" dxfId="1606" priority="1527">
      <formula>SEARCH("EMESSO",$M54)&gt;0</formula>
    </cfRule>
    <cfRule type="expression" dxfId="1605" priority="1528">
      <formula>SEARCH("RICHIESTO",$M54)&gt;0</formula>
    </cfRule>
    <cfRule type="expression" dxfId="1604" priority="1529">
      <formula>SEARCH("DA CHIUDERE",$M54)&gt;0</formula>
    </cfRule>
    <cfRule type="expression" dxfId="1603" priority="1530">
      <formula>SEARCH("INTERROTTO",$M54)&gt;0</formula>
    </cfRule>
  </conditionalFormatting>
  <conditionalFormatting sqref="G54">
    <cfRule type="expression" dxfId="1602" priority="1513">
      <formula>SEARCH("IN CORSO",$M54)&gt;0</formula>
    </cfRule>
    <cfRule type="expression" dxfId="1601" priority="1514">
      <formula>SEARCH("CHIUSO",$M54)&gt;0</formula>
    </cfRule>
    <cfRule type="expression" dxfId="1600" priority="1515">
      <formula>SEARCH("EMESSO",$M54)&gt;0</formula>
    </cfRule>
    <cfRule type="expression" dxfId="1599" priority="1516">
      <formula>SEARCH("RICHIESTO",$M54)&gt;0</formula>
    </cfRule>
    <cfRule type="expression" dxfId="1598" priority="1517">
      <formula>SEARCH("DA CHIUDERE",$M54)&gt;0</formula>
    </cfRule>
    <cfRule type="expression" dxfId="1597" priority="1518">
      <formula>SEARCH("INTERROTTO",$M54)&gt;0</formula>
    </cfRule>
  </conditionalFormatting>
  <conditionalFormatting sqref="E54">
    <cfRule type="expression" dxfId="1596" priority="1519">
      <formula>SEARCH("IN CORSO",$M54)&gt;0</formula>
    </cfRule>
    <cfRule type="expression" dxfId="1595" priority="1520">
      <formula>SEARCH("CHIUSO",$M54)&gt;0</formula>
    </cfRule>
    <cfRule type="expression" dxfId="1594" priority="1521">
      <formula>SEARCH("EMESSO",$M54)&gt;0</formula>
    </cfRule>
    <cfRule type="expression" dxfId="1593" priority="1522">
      <formula>SEARCH("RICHIESTO",$M54)&gt;0</formula>
    </cfRule>
    <cfRule type="expression" dxfId="1592" priority="1523">
      <formula>SEARCH("DA CHIUDERE",$M54)&gt;0</formula>
    </cfRule>
    <cfRule type="expression" dxfId="1591" priority="1524">
      <formula>SEARCH("INTERROTTO",$M54)&gt;0</formula>
    </cfRule>
  </conditionalFormatting>
  <conditionalFormatting sqref="F54">
    <cfRule type="expression" dxfId="1590" priority="1507">
      <formula>SEARCH("IN CORSO",$M54)&gt;0</formula>
    </cfRule>
    <cfRule type="expression" dxfId="1589" priority="1508">
      <formula>SEARCH("CHIUSO",$M54)&gt;0</formula>
    </cfRule>
    <cfRule type="expression" dxfId="1588" priority="1509">
      <formula>SEARCH("EMESSO",$M54)&gt;0</formula>
    </cfRule>
    <cfRule type="expression" dxfId="1587" priority="1510">
      <formula>SEARCH("RICHIESTO",$M54)&gt;0</formula>
    </cfRule>
    <cfRule type="expression" dxfId="1586" priority="1511">
      <formula>SEARCH("DA CHIUDERE",$M54)&gt;0</formula>
    </cfRule>
    <cfRule type="expression" dxfId="1585" priority="1512">
      <formula>SEARCH("INTERROTTO",$M54)&gt;0</formula>
    </cfRule>
  </conditionalFormatting>
  <conditionalFormatting sqref="M53">
    <cfRule type="expression" dxfId="1584" priority="1501">
      <formula>SEARCH("IN CORSO",$M53)&gt;0</formula>
    </cfRule>
    <cfRule type="expression" dxfId="1583" priority="1502">
      <formula>SEARCH("CHIUSO",$M53)&gt;0</formula>
    </cfRule>
    <cfRule type="expression" dxfId="1582" priority="1503">
      <formula>SEARCH("EMESSO",$M53)&gt;0</formula>
    </cfRule>
    <cfRule type="expression" dxfId="1581" priority="1504">
      <formula>SEARCH("RICHIESTO",$M53)&gt;0</formula>
    </cfRule>
    <cfRule type="expression" dxfId="1580" priority="1505">
      <formula>SEARCH("DA CHIUDERE",$M53)&gt;0</formula>
    </cfRule>
    <cfRule type="expression" dxfId="1579" priority="1506">
      <formula>SEARCH("INTERROTTO",$M53)&gt;0</formula>
    </cfRule>
  </conditionalFormatting>
  <conditionalFormatting sqref="N53:S53">
    <cfRule type="expression" dxfId="1578" priority="1495">
      <formula>SEARCH("IN CORSO",$M53)&gt;0</formula>
    </cfRule>
    <cfRule type="expression" dxfId="1577" priority="1496">
      <formula>SEARCH("CHIUSO",$M53)&gt;0</formula>
    </cfRule>
    <cfRule type="expression" dxfId="1576" priority="1497">
      <formula>SEARCH("EMESSO",$M53)&gt;0</formula>
    </cfRule>
    <cfRule type="expression" dxfId="1575" priority="1498">
      <formula>SEARCH("RICHIESTO",$M53)&gt;0</formula>
    </cfRule>
    <cfRule type="expression" dxfId="1574" priority="1499">
      <formula>SEARCH("DA CHIUDERE",$M53)&gt;0</formula>
    </cfRule>
    <cfRule type="expression" dxfId="1573" priority="1500">
      <formula>SEARCH("INTERROTTO",$M53)&gt;0</formula>
    </cfRule>
  </conditionalFormatting>
  <conditionalFormatting sqref="G53">
    <cfRule type="expression" dxfId="1572" priority="1483">
      <formula>SEARCH("IN CORSO",$M53)&gt;0</formula>
    </cfRule>
    <cfRule type="expression" dxfId="1571" priority="1484">
      <formula>SEARCH("CHIUSO",$M53)&gt;0</formula>
    </cfRule>
    <cfRule type="expression" dxfId="1570" priority="1485">
      <formula>SEARCH("EMESSO",$M53)&gt;0</formula>
    </cfRule>
    <cfRule type="expression" dxfId="1569" priority="1486">
      <formula>SEARCH("RICHIESTO",$M53)&gt;0</formula>
    </cfRule>
    <cfRule type="expression" dxfId="1568" priority="1487">
      <formula>SEARCH("DA CHIUDERE",$M53)&gt;0</formula>
    </cfRule>
    <cfRule type="expression" dxfId="1567" priority="1488">
      <formula>SEARCH("INTERROTTO",$M53)&gt;0</formula>
    </cfRule>
  </conditionalFormatting>
  <conditionalFormatting sqref="E53">
    <cfRule type="expression" dxfId="1566" priority="1489">
      <formula>SEARCH("IN CORSO",$M53)&gt;0</formula>
    </cfRule>
    <cfRule type="expression" dxfId="1565" priority="1490">
      <formula>SEARCH("CHIUSO",$M53)&gt;0</formula>
    </cfRule>
    <cfRule type="expression" dxfId="1564" priority="1491">
      <formula>SEARCH("EMESSO",$M53)&gt;0</formula>
    </cfRule>
    <cfRule type="expression" dxfId="1563" priority="1492">
      <formula>SEARCH("RICHIESTO",$M53)&gt;0</formula>
    </cfRule>
    <cfRule type="expression" dxfId="1562" priority="1493">
      <formula>SEARCH("DA CHIUDERE",$M53)&gt;0</formula>
    </cfRule>
    <cfRule type="expression" dxfId="1561" priority="1494">
      <formula>SEARCH("INTERROTTO",$M53)&gt;0</formula>
    </cfRule>
  </conditionalFormatting>
  <conditionalFormatting sqref="F53">
    <cfRule type="expression" dxfId="1560" priority="1477">
      <formula>SEARCH("IN CORSO",$M53)&gt;0</formula>
    </cfRule>
    <cfRule type="expression" dxfId="1559" priority="1478">
      <formula>SEARCH("CHIUSO",$M53)&gt;0</formula>
    </cfRule>
    <cfRule type="expression" dxfId="1558" priority="1479">
      <formula>SEARCH("EMESSO",$M53)&gt;0</formula>
    </cfRule>
    <cfRule type="expression" dxfId="1557" priority="1480">
      <formula>SEARCH("RICHIESTO",$M53)&gt;0</formula>
    </cfRule>
    <cfRule type="expression" dxfId="1556" priority="1481">
      <formula>SEARCH("DA CHIUDERE",$M53)&gt;0</formula>
    </cfRule>
    <cfRule type="expression" dxfId="1555" priority="1482">
      <formula>SEARCH("INTERROTTO",$M53)&gt;0</formula>
    </cfRule>
  </conditionalFormatting>
  <conditionalFormatting sqref="M52">
    <cfRule type="expression" dxfId="1554" priority="1471">
      <formula>SEARCH("IN CORSO",$M52)&gt;0</formula>
    </cfRule>
    <cfRule type="expression" dxfId="1553" priority="1472">
      <formula>SEARCH("CHIUSO",$M52)&gt;0</formula>
    </cfRule>
    <cfRule type="expression" dxfId="1552" priority="1473">
      <formula>SEARCH("EMESSO",$M52)&gt;0</formula>
    </cfRule>
    <cfRule type="expression" dxfId="1551" priority="1474">
      <formula>SEARCH("RICHIESTO",$M52)&gt;0</formula>
    </cfRule>
    <cfRule type="expression" dxfId="1550" priority="1475">
      <formula>SEARCH("DA CHIUDERE",$M52)&gt;0</formula>
    </cfRule>
    <cfRule type="expression" dxfId="1549" priority="1476">
      <formula>SEARCH("INTERROTTO",$M52)&gt;0</formula>
    </cfRule>
  </conditionalFormatting>
  <conditionalFormatting sqref="N52:S52">
    <cfRule type="expression" dxfId="1548" priority="1465">
      <formula>SEARCH("IN CORSO",$M52)&gt;0</formula>
    </cfRule>
    <cfRule type="expression" dxfId="1547" priority="1466">
      <formula>SEARCH("CHIUSO",$M52)&gt;0</formula>
    </cfRule>
    <cfRule type="expression" dxfId="1546" priority="1467">
      <formula>SEARCH("EMESSO",$M52)&gt;0</formula>
    </cfRule>
    <cfRule type="expression" dxfId="1545" priority="1468">
      <formula>SEARCH("RICHIESTO",$M52)&gt;0</formula>
    </cfRule>
    <cfRule type="expression" dxfId="1544" priority="1469">
      <formula>SEARCH("DA CHIUDERE",$M52)&gt;0</formula>
    </cfRule>
    <cfRule type="expression" dxfId="1543" priority="1470">
      <formula>SEARCH("INTERROTTO",$M52)&gt;0</formula>
    </cfRule>
  </conditionalFormatting>
  <conditionalFormatting sqref="G52">
    <cfRule type="expression" dxfId="1542" priority="1453">
      <formula>SEARCH("IN CORSO",$M52)&gt;0</formula>
    </cfRule>
    <cfRule type="expression" dxfId="1541" priority="1454">
      <formula>SEARCH("CHIUSO",$M52)&gt;0</formula>
    </cfRule>
    <cfRule type="expression" dxfId="1540" priority="1455">
      <formula>SEARCH("EMESSO",$M52)&gt;0</formula>
    </cfRule>
    <cfRule type="expression" dxfId="1539" priority="1456">
      <formula>SEARCH("RICHIESTO",$M52)&gt;0</formula>
    </cfRule>
    <cfRule type="expression" dxfId="1538" priority="1457">
      <formula>SEARCH("DA CHIUDERE",$M52)&gt;0</formula>
    </cfRule>
    <cfRule type="expression" dxfId="1537" priority="1458">
      <formula>SEARCH("INTERROTTO",$M52)&gt;0</formula>
    </cfRule>
  </conditionalFormatting>
  <conditionalFormatting sqref="E52">
    <cfRule type="expression" dxfId="1536" priority="1459">
      <formula>SEARCH("IN CORSO",$M52)&gt;0</formula>
    </cfRule>
    <cfRule type="expression" dxfId="1535" priority="1460">
      <formula>SEARCH("CHIUSO",$M52)&gt;0</formula>
    </cfRule>
    <cfRule type="expression" dxfId="1534" priority="1461">
      <formula>SEARCH("EMESSO",$M52)&gt;0</formula>
    </cfRule>
    <cfRule type="expression" dxfId="1533" priority="1462">
      <formula>SEARCH("RICHIESTO",$M52)&gt;0</formula>
    </cfRule>
    <cfRule type="expression" dxfId="1532" priority="1463">
      <formula>SEARCH("DA CHIUDERE",$M52)&gt;0</formula>
    </cfRule>
    <cfRule type="expression" dxfId="1531" priority="1464">
      <formula>SEARCH("INTERROTTO",$M52)&gt;0</formula>
    </cfRule>
  </conditionalFormatting>
  <conditionalFormatting sqref="F52">
    <cfRule type="expression" dxfId="1530" priority="1447">
      <formula>SEARCH("IN CORSO",$M52)&gt;0</formula>
    </cfRule>
    <cfRule type="expression" dxfId="1529" priority="1448">
      <formula>SEARCH("CHIUSO",$M52)&gt;0</formula>
    </cfRule>
    <cfRule type="expression" dxfId="1528" priority="1449">
      <formula>SEARCH("EMESSO",$M52)&gt;0</formula>
    </cfRule>
    <cfRule type="expression" dxfId="1527" priority="1450">
      <formula>SEARCH("RICHIESTO",$M52)&gt;0</formula>
    </cfRule>
    <cfRule type="expression" dxfId="1526" priority="1451">
      <formula>SEARCH("DA CHIUDERE",$M52)&gt;0</formula>
    </cfRule>
    <cfRule type="expression" dxfId="1525" priority="1452">
      <formula>SEARCH("INTERROTTO",$M52)&gt;0</formula>
    </cfRule>
  </conditionalFormatting>
  <conditionalFormatting sqref="M51">
    <cfRule type="expression" dxfId="1524" priority="1441">
      <formula>SEARCH("IN CORSO",$M51)&gt;0</formula>
    </cfRule>
    <cfRule type="expression" dxfId="1523" priority="1442">
      <formula>SEARCH("CHIUSO",$M51)&gt;0</formula>
    </cfRule>
    <cfRule type="expression" dxfId="1522" priority="1443">
      <formula>SEARCH("EMESSO",$M51)&gt;0</formula>
    </cfRule>
    <cfRule type="expression" dxfId="1521" priority="1444">
      <formula>SEARCH("RICHIESTO",$M51)&gt;0</formula>
    </cfRule>
    <cfRule type="expression" dxfId="1520" priority="1445">
      <formula>SEARCH("DA CHIUDERE",$M51)&gt;0</formula>
    </cfRule>
    <cfRule type="expression" dxfId="1519" priority="1446">
      <formula>SEARCH("INTERROTTO",$M51)&gt;0</formula>
    </cfRule>
  </conditionalFormatting>
  <conditionalFormatting sqref="N51:S51">
    <cfRule type="expression" dxfId="1518" priority="1435">
      <formula>SEARCH("IN CORSO",$M51)&gt;0</formula>
    </cfRule>
    <cfRule type="expression" dxfId="1517" priority="1436">
      <formula>SEARCH("CHIUSO",$M51)&gt;0</formula>
    </cfRule>
    <cfRule type="expression" dxfId="1516" priority="1437">
      <formula>SEARCH("EMESSO",$M51)&gt;0</formula>
    </cfRule>
    <cfRule type="expression" dxfId="1515" priority="1438">
      <formula>SEARCH("RICHIESTO",$M51)&gt;0</formula>
    </cfRule>
    <cfRule type="expression" dxfId="1514" priority="1439">
      <formula>SEARCH("DA CHIUDERE",$M51)&gt;0</formula>
    </cfRule>
    <cfRule type="expression" dxfId="1513" priority="1440">
      <formula>SEARCH("INTERROTTO",$M51)&gt;0</formula>
    </cfRule>
  </conditionalFormatting>
  <conditionalFormatting sqref="G51">
    <cfRule type="expression" dxfId="1512" priority="1423">
      <formula>SEARCH("IN CORSO",$M51)&gt;0</formula>
    </cfRule>
    <cfRule type="expression" dxfId="1511" priority="1424">
      <formula>SEARCH("CHIUSO",$M51)&gt;0</formula>
    </cfRule>
    <cfRule type="expression" dxfId="1510" priority="1425">
      <formula>SEARCH("EMESSO",$M51)&gt;0</formula>
    </cfRule>
    <cfRule type="expression" dxfId="1509" priority="1426">
      <formula>SEARCH("RICHIESTO",$M51)&gt;0</formula>
    </cfRule>
    <cfRule type="expression" dxfId="1508" priority="1427">
      <formula>SEARCH("DA CHIUDERE",$M51)&gt;0</formula>
    </cfRule>
    <cfRule type="expression" dxfId="1507" priority="1428">
      <formula>SEARCH("INTERROTTO",$M51)&gt;0</formula>
    </cfRule>
  </conditionalFormatting>
  <conditionalFormatting sqref="E51">
    <cfRule type="expression" dxfId="1506" priority="1429">
      <formula>SEARCH("IN CORSO",$M51)&gt;0</formula>
    </cfRule>
    <cfRule type="expression" dxfId="1505" priority="1430">
      <formula>SEARCH("CHIUSO",$M51)&gt;0</formula>
    </cfRule>
    <cfRule type="expression" dxfId="1504" priority="1431">
      <formula>SEARCH("EMESSO",$M51)&gt;0</formula>
    </cfRule>
    <cfRule type="expression" dxfId="1503" priority="1432">
      <formula>SEARCH("RICHIESTO",$M51)&gt;0</formula>
    </cfRule>
    <cfRule type="expression" dxfId="1502" priority="1433">
      <formula>SEARCH("DA CHIUDERE",$M51)&gt;0</formula>
    </cfRule>
    <cfRule type="expression" dxfId="1501" priority="1434">
      <formula>SEARCH("INTERROTTO",$M51)&gt;0</formula>
    </cfRule>
  </conditionalFormatting>
  <conditionalFormatting sqref="F51">
    <cfRule type="expression" dxfId="1500" priority="1417">
      <formula>SEARCH("IN CORSO",$M51)&gt;0</formula>
    </cfRule>
    <cfRule type="expression" dxfId="1499" priority="1418">
      <formula>SEARCH("CHIUSO",$M51)&gt;0</formula>
    </cfRule>
    <cfRule type="expression" dxfId="1498" priority="1419">
      <formula>SEARCH("EMESSO",$M51)&gt;0</formula>
    </cfRule>
    <cfRule type="expression" dxfId="1497" priority="1420">
      <formula>SEARCH("RICHIESTO",$M51)&gt;0</formula>
    </cfRule>
    <cfRule type="expression" dxfId="1496" priority="1421">
      <formula>SEARCH("DA CHIUDERE",$M51)&gt;0</formula>
    </cfRule>
    <cfRule type="expression" dxfId="1495" priority="1422">
      <formula>SEARCH("INTERROTTO",$M51)&gt;0</formula>
    </cfRule>
  </conditionalFormatting>
  <conditionalFormatting sqref="M50">
    <cfRule type="expression" dxfId="1494" priority="1411">
      <formula>SEARCH("IN CORSO",$M50)&gt;0</formula>
    </cfRule>
    <cfRule type="expression" dxfId="1493" priority="1412">
      <formula>SEARCH("CHIUSO",$M50)&gt;0</formula>
    </cfRule>
    <cfRule type="expression" dxfId="1492" priority="1413">
      <formula>SEARCH("EMESSO",$M50)&gt;0</formula>
    </cfRule>
    <cfRule type="expression" dxfId="1491" priority="1414">
      <formula>SEARCH("RICHIESTO",$M50)&gt;0</formula>
    </cfRule>
    <cfRule type="expression" dxfId="1490" priority="1415">
      <formula>SEARCH("DA CHIUDERE",$M50)&gt;0</formula>
    </cfRule>
    <cfRule type="expression" dxfId="1489" priority="1416">
      <formula>SEARCH("INTERROTTO",$M50)&gt;0</formula>
    </cfRule>
  </conditionalFormatting>
  <conditionalFormatting sqref="N50:S50">
    <cfRule type="expression" dxfId="1488" priority="1405">
      <formula>SEARCH("IN CORSO",$M50)&gt;0</formula>
    </cfRule>
    <cfRule type="expression" dxfId="1487" priority="1406">
      <formula>SEARCH("CHIUSO",$M50)&gt;0</formula>
    </cfRule>
    <cfRule type="expression" dxfId="1486" priority="1407">
      <formula>SEARCH("EMESSO",$M50)&gt;0</formula>
    </cfRule>
    <cfRule type="expression" dxfId="1485" priority="1408">
      <formula>SEARCH("RICHIESTO",$M50)&gt;0</formula>
    </cfRule>
    <cfRule type="expression" dxfId="1484" priority="1409">
      <formula>SEARCH("DA CHIUDERE",$M50)&gt;0</formula>
    </cfRule>
    <cfRule type="expression" dxfId="1483" priority="1410">
      <formula>SEARCH("INTERROTTO",$M50)&gt;0</formula>
    </cfRule>
  </conditionalFormatting>
  <conditionalFormatting sqref="G50">
    <cfRule type="expression" dxfId="1482" priority="1393">
      <formula>SEARCH("IN CORSO",$M50)&gt;0</formula>
    </cfRule>
    <cfRule type="expression" dxfId="1481" priority="1394">
      <formula>SEARCH("CHIUSO",$M50)&gt;0</formula>
    </cfRule>
    <cfRule type="expression" dxfId="1480" priority="1395">
      <formula>SEARCH("EMESSO",$M50)&gt;0</formula>
    </cfRule>
    <cfRule type="expression" dxfId="1479" priority="1396">
      <formula>SEARCH("RICHIESTO",$M50)&gt;0</formula>
    </cfRule>
    <cfRule type="expression" dxfId="1478" priority="1397">
      <formula>SEARCH("DA CHIUDERE",$M50)&gt;0</formula>
    </cfRule>
    <cfRule type="expression" dxfId="1477" priority="1398">
      <formula>SEARCH("INTERROTTO",$M50)&gt;0</formula>
    </cfRule>
  </conditionalFormatting>
  <conditionalFormatting sqref="E50">
    <cfRule type="expression" dxfId="1476" priority="1399">
      <formula>SEARCH("IN CORSO",$M50)&gt;0</formula>
    </cfRule>
    <cfRule type="expression" dxfId="1475" priority="1400">
      <formula>SEARCH("CHIUSO",$M50)&gt;0</formula>
    </cfRule>
    <cfRule type="expression" dxfId="1474" priority="1401">
      <formula>SEARCH("EMESSO",$M50)&gt;0</formula>
    </cfRule>
    <cfRule type="expression" dxfId="1473" priority="1402">
      <formula>SEARCH("RICHIESTO",$M50)&gt;0</formula>
    </cfRule>
    <cfRule type="expression" dxfId="1472" priority="1403">
      <formula>SEARCH("DA CHIUDERE",$M50)&gt;0</formula>
    </cfRule>
    <cfRule type="expression" dxfId="1471" priority="1404">
      <formula>SEARCH("INTERROTTO",$M50)&gt;0</formula>
    </cfRule>
  </conditionalFormatting>
  <conditionalFormatting sqref="F50">
    <cfRule type="expression" dxfId="1470" priority="1387">
      <formula>SEARCH("IN CORSO",$M50)&gt;0</formula>
    </cfRule>
    <cfRule type="expression" dxfId="1469" priority="1388">
      <formula>SEARCH("CHIUSO",$M50)&gt;0</formula>
    </cfRule>
    <cfRule type="expression" dxfId="1468" priority="1389">
      <formula>SEARCH("EMESSO",$M50)&gt;0</formula>
    </cfRule>
    <cfRule type="expression" dxfId="1467" priority="1390">
      <formula>SEARCH("RICHIESTO",$M50)&gt;0</formula>
    </cfRule>
    <cfRule type="expression" dxfId="1466" priority="1391">
      <formula>SEARCH("DA CHIUDERE",$M50)&gt;0</formula>
    </cfRule>
    <cfRule type="expression" dxfId="1465" priority="1392">
      <formula>SEARCH("INTERROTTO",$M50)&gt;0</formula>
    </cfRule>
  </conditionalFormatting>
  <conditionalFormatting sqref="M49">
    <cfRule type="expression" dxfId="1464" priority="1381">
      <formula>SEARCH("IN CORSO",$M49)&gt;0</formula>
    </cfRule>
    <cfRule type="expression" dxfId="1463" priority="1382">
      <formula>SEARCH("CHIUSO",$M49)&gt;0</formula>
    </cfRule>
    <cfRule type="expression" dxfId="1462" priority="1383">
      <formula>SEARCH("EMESSO",$M49)&gt;0</formula>
    </cfRule>
    <cfRule type="expression" dxfId="1461" priority="1384">
      <formula>SEARCH("RICHIESTO",$M49)&gt;0</formula>
    </cfRule>
    <cfRule type="expression" dxfId="1460" priority="1385">
      <formula>SEARCH("DA CHIUDERE",$M49)&gt;0</formula>
    </cfRule>
    <cfRule type="expression" dxfId="1459" priority="1386">
      <formula>SEARCH("INTERROTTO",$M49)&gt;0</formula>
    </cfRule>
  </conditionalFormatting>
  <conditionalFormatting sqref="N49:S49">
    <cfRule type="expression" dxfId="1458" priority="1375">
      <formula>SEARCH("IN CORSO",$M49)&gt;0</formula>
    </cfRule>
    <cfRule type="expression" dxfId="1457" priority="1376">
      <formula>SEARCH("CHIUSO",$M49)&gt;0</formula>
    </cfRule>
    <cfRule type="expression" dxfId="1456" priority="1377">
      <formula>SEARCH("EMESSO",$M49)&gt;0</formula>
    </cfRule>
    <cfRule type="expression" dxfId="1455" priority="1378">
      <formula>SEARCH("RICHIESTO",$M49)&gt;0</formula>
    </cfRule>
    <cfRule type="expression" dxfId="1454" priority="1379">
      <formula>SEARCH("DA CHIUDERE",$M49)&gt;0</formula>
    </cfRule>
    <cfRule type="expression" dxfId="1453" priority="1380">
      <formula>SEARCH("INTERROTTO",$M49)&gt;0</formula>
    </cfRule>
  </conditionalFormatting>
  <conditionalFormatting sqref="G49">
    <cfRule type="expression" dxfId="1452" priority="1363">
      <formula>SEARCH("IN CORSO",$M49)&gt;0</formula>
    </cfRule>
    <cfRule type="expression" dxfId="1451" priority="1364">
      <formula>SEARCH("CHIUSO",$M49)&gt;0</formula>
    </cfRule>
    <cfRule type="expression" dxfId="1450" priority="1365">
      <formula>SEARCH("EMESSO",$M49)&gt;0</formula>
    </cfRule>
    <cfRule type="expression" dxfId="1449" priority="1366">
      <formula>SEARCH("RICHIESTO",$M49)&gt;0</formula>
    </cfRule>
    <cfRule type="expression" dxfId="1448" priority="1367">
      <formula>SEARCH("DA CHIUDERE",$M49)&gt;0</formula>
    </cfRule>
    <cfRule type="expression" dxfId="1447" priority="1368">
      <formula>SEARCH("INTERROTTO",$M49)&gt;0</formula>
    </cfRule>
  </conditionalFormatting>
  <conditionalFormatting sqref="E49">
    <cfRule type="expression" dxfId="1446" priority="1369">
      <formula>SEARCH("IN CORSO",$M49)&gt;0</formula>
    </cfRule>
    <cfRule type="expression" dxfId="1445" priority="1370">
      <formula>SEARCH("CHIUSO",$M49)&gt;0</formula>
    </cfRule>
    <cfRule type="expression" dxfId="1444" priority="1371">
      <formula>SEARCH("EMESSO",$M49)&gt;0</formula>
    </cfRule>
    <cfRule type="expression" dxfId="1443" priority="1372">
      <formula>SEARCH("RICHIESTO",$M49)&gt;0</formula>
    </cfRule>
    <cfRule type="expression" dxfId="1442" priority="1373">
      <formula>SEARCH("DA CHIUDERE",$M49)&gt;0</formula>
    </cfRule>
    <cfRule type="expression" dxfId="1441" priority="1374">
      <formula>SEARCH("INTERROTTO",$M49)&gt;0</formula>
    </cfRule>
  </conditionalFormatting>
  <conditionalFormatting sqref="F49">
    <cfRule type="expression" dxfId="1440" priority="1357">
      <formula>SEARCH("IN CORSO",$M49)&gt;0</formula>
    </cfRule>
    <cfRule type="expression" dxfId="1439" priority="1358">
      <formula>SEARCH("CHIUSO",$M49)&gt;0</formula>
    </cfRule>
    <cfRule type="expression" dxfId="1438" priority="1359">
      <formula>SEARCH("EMESSO",$M49)&gt;0</formula>
    </cfRule>
    <cfRule type="expression" dxfId="1437" priority="1360">
      <formula>SEARCH("RICHIESTO",$M49)&gt;0</formula>
    </cfRule>
    <cfRule type="expression" dxfId="1436" priority="1361">
      <formula>SEARCH("DA CHIUDERE",$M49)&gt;0</formula>
    </cfRule>
    <cfRule type="expression" dxfId="1435" priority="1362">
      <formula>SEARCH("INTERROTTO",$M49)&gt;0</formula>
    </cfRule>
  </conditionalFormatting>
  <conditionalFormatting sqref="M48">
    <cfRule type="expression" dxfId="1434" priority="1351">
      <formula>SEARCH("IN CORSO",$M48)&gt;0</formula>
    </cfRule>
    <cfRule type="expression" dxfId="1433" priority="1352">
      <formula>SEARCH("CHIUSO",$M48)&gt;0</formula>
    </cfRule>
    <cfRule type="expression" dxfId="1432" priority="1353">
      <formula>SEARCH("EMESSO",$M48)&gt;0</formula>
    </cfRule>
    <cfRule type="expression" dxfId="1431" priority="1354">
      <formula>SEARCH("RICHIESTO",$M48)&gt;0</formula>
    </cfRule>
    <cfRule type="expression" dxfId="1430" priority="1355">
      <formula>SEARCH("DA CHIUDERE",$M48)&gt;0</formula>
    </cfRule>
    <cfRule type="expression" dxfId="1429" priority="1356">
      <formula>SEARCH("INTERROTTO",$M48)&gt;0</formula>
    </cfRule>
  </conditionalFormatting>
  <conditionalFormatting sqref="N48:S48">
    <cfRule type="expression" dxfId="1428" priority="1345">
      <formula>SEARCH("IN CORSO",$M48)&gt;0</formula>
    </cfRule>
    <cfRule type="expression" dxfId="1427" priority="1346">
      <formula>SEARCH("CHIUSO",$M48)&gt;0</formula>
    </cfRule>
    <cfRule type="expression" dxfId="1426" priority="1347">
      <formula>SEARCH("EMESSO",$M48)&gt;0</formula>
    </cfRule>
    <cfRule type="expression" dxfId="1425" priority="1348">
      <formula>SEARCH("RICHIESTO",$M48)&gt;0</formula>
    </cfRule>
    <cfRule type="expression" dxfId="1424" priority="1349">
      <formula>SEARCH("DA CHIUDERE",$M48)&gt;0</formula>
    </cfRule>
    <cfRule type="expression" dxfId="1423" priority="1350">
      <formula>SEARCH("INTERROTTO",$M48)&gt;0</formula>
    </cfRule>
  </conditionalFormatting>
  <conditionalFormatting sqref="G48">
    <cfRule type="expression" dxfId="1422" priority="1333">
      <formula>SEARCH("IN CORSO",$M48)&gt;0</formula>
    </cfRule>
    <cfRule type="expression" dxfId="1421" priority="1334">
      <formula>SEARCH("CHIUSO",$M48)&gt;0</formula>
    </cfRule>
    <cfRule type="expression" dxfId="1420" priority="1335">
      <formula>SEARCH("EMESSO",$M48)&gt;0</formula>
    </cfRule>
    <cfRule type="expression" dxfId="1419" priority="1336">
      <formula>SEARCH("RICHIESTO",$M48)&gt;0</formula>
    </cfRule>
    <cfRule type="expression" dxfId="1418" priority="1337">
      <formula>SEARCH("DA CHIUDERE",$M48)&gt;0</formula>
    </cfRule>
    <cfRule type="expression" dxfId="1417" priority="1338">
      <formula>SEARCH("INTERROTTO",$M48)&gt;0</formula>
    </cfRule>
  </conditionalFormatting>
  <conditionalFormatting sqref="E48">
    <cfRule type="expression" dxfId="1416" priority="1339">
      <formula>SEARCH("IN CORSO",$M48)&gt;0</formula>
    </cfRule>
    <cfRule type="expression" dxfId="1415" priority="1340">
      <formula>SEARCH("CHIUSO",$M48)&gt;0</formula>
    </cfRule>
    <cfRule type="expression" dxfId="1414" priority="1341">
      <formula>SEARCH("EMESSO",$M48)&gt;0</formula>
    </cfRule>
    <cfRule type="expression" dxfId="1413" priority="1342">
      <formula>SEARCH("RICHIESTO",$M48)&gt;0</formula>
    </cfRule>
    <cfRule type="expression" dxfId="1412" priority="1343">
      <formula>SEARCH("DA CHIUDERE",$M48)&gt;0</formula>
    </cfRule>
    <cfRule type="expression" dxfId="1411" priority="1344">
      <formula>SEARCH("INTERROTTO",$M48)&gt;0</formula>
    </cfRule>
  </conditionalFormatting>
  <conditionalFormatting sqref="F48">
    <cfRule type="expression" dxfId="1410" priority="1327">
      <formula>SEARCH("IN CORSO",$M48)&gt;0</formula>
    </cfRule>
    <cfRule type="expression" dxfId="1409" priority="1328">
      <formula>SEARCH("CHIUSO",$M48)&gt;0</formula>
    </cfRule>
    <cfRule type="expression" dxfId="1408" priority="1329">
      <formula>SEARCH("EMESSO",$M48)&gt;0</formula>
    </cfRule>
    <cfRule type="expression" dxfId="1407" priority="1330">
      <formula>SEARCH("RICHIESTO",$M48)&gt;0</formula>
    </cfRule>
    <cfRule type="expression" dxfId="1406" priority="1331">
      <formula>SEARCH("DA CHIUDERE",$M48)&gt;0</formula>
    </cfRule>
    <cfRule type="expression" dxfId="1405" priority="1332">
      <formula>SEARCH("INTERROTTO",$M48)&gt;0</formula>
    </cfRule>
  </conditionalFormatting>
  <conditionalFormatting sqref="M47">
    <cfRule type="expression" dxfId="1404" priority="1321">
      <formula>SEARCH("IN CORSO",$M47)&gt;0</formula>
    </cfRule>
    <cfRule type="expression" dxfId="1403" priority="1322">
      <formula>SEARCH("CHIUSO",$M47)&gt;0</formula>
    </cfRule>
    <cfRule type="expression" dxfId="1402" priority="1323">
      <formula>SEARCH("EMESSO",$M47)&gt;0</formula>
    </cfRule>
    <cfRule type="expression" dxfId="1401" priority="1324">
      <formula>SEARCH("RICHIESTO",$M47)&gt;0</formula>
    </cfRule>
    <cfRule type="expression" dxfId="1400" priority="1325">
      <formula>SEARCH("DA CHIUDERE",$M47)&gt;0</formula>
    </cfRule>
    <cfRule type="expression" dxfId="1399" priority="1326">
      <formula>SEARCH("INTERROTTO",$M47)&gt;0</formula>
    </cfRule>
  </conditionalFormatting>
  <conditionalFormatting sqref="N47:S47">
    <cfRule type="expression" dxfId="1398" priority="1315">
      <formula>SEARCH("IN CORSO",$M47)&gt;0</formula>
    </cfRule>
    <cfRule type="expression" dxfId="1397" priority="1316">
      <formula>SEARCH("CHIUSO",$M47)&gt;0</formula>
    </cfRule>
    <cfRule type="expression" dxfId="1396" priority="1317">
      <formula>SEARCH("EMESSO",$M47)&gt;0</formula>
    </cfRule>
    <cfRule type="expression" dxfId="1395" priority="1318">
      <formula>SEARCH("RICHIESTO",$M47)&gt;0</formula>
    </cfRule>
    <cfRule type="expression" dxfId="1394" priority="1319">
      <formula>SEARCH("DA CHIUDERE",$M47)&gt;0</formula>
    </cfRule>
    <cfRule type="expression" dxfId="1393" priority="1320">
      <formula>SEARCH("INTERROTTO",$M47)&gt;0</formula>
    </cfRule>
  </conditionalFormatting>
  <conditionalFormatting sqref="G47">
    <cfRule type="expression" dxfId="1392" priority="1303">
      <formula>SEARCH("IN CORSO",$M47)&gt;0</formula>
    </cfRule>
    <cfRule type="expression" dxfId="1391" priority="1304">
      <formula>SEARCH("CHIUSO",$M47)&gt;0</formula>
    </cfRule>
    <cfRule type="expression" dxfId="1390" priority="1305">
      <formula>SEARCH("EMESSO",$M47)&gt;0</formula>
    </cfRule>
    <cfRule type="expression" dxfId="1389" priority="1306">
      <formula>SEARCH("RICHIESTO",$M47)&gt;0</formula>
    </cfRule>
    <cfRule type="expression" dxfId="1388" priority="1307">
      <formula>SEARCH("DA CHIUDERE",$M47)&gt;0</formula>
    </cfRule>
    <cfRule type="expression" dxfId="1387" priority="1308">
      <formula>SEARCH("INTERROTTO",$M47)&gt;0</formula>
    </cfRule>
  </conditionalFormatting>
  <conditionalFormatting sqref="E47">
    <cfRule type="expression" dxfId="1386" priority="1309">
      <formula>SEARCH("IN CORSO",$M47)&gt;0</formula>
    </cfRule>
    <cfRule type="expression" dxfId="1385" priority="1310">
      <formula>SEARCH("CHIUSO",$M47)&gt;0</formula>
    </cfRule>
    <cfRule type="expression" dxfId="1384" priority="1311">
      <formula>SEARCH("EMESSO",$M47)&gt;0</formula>
    </cfRule>
    <cfRule type="expression" dxfId="1383" priority="1312">
      <formula>SEARCH("RICHIESTO",$M47)&gt;0</formula>
    </cfRule>
    <cfRule type="expression" dxfId="1382" priority="1313">
      <formula>SEARCH("DA CHIUDERE",$M47)&gt;0</formula>
    </cfRule>
    <cfRule type="expression" dxfId="1381" priority="1314">
      <formula>SEARCH("INTERROTTO",$M47)&gt;0</formula>
    </cfRule>
  </conditionalFormatting>
  <conditionalFormatting sqref="F47">
    <cfRule type="expression" dxfId="1380" priority="1297">
      <formula>SEARCH("IN CORSO",$M47)&gt;0</formula>
    </cfRule>
    <cfRule type="expression" dxfId="1379" priority="1298">
      <formula>SEARCH("CHIUSO",$M47)&gt;0</formula>
    </cfRule>
    <cfRule type="expression" dxfId="1378" priority="1299">
      <formula>SEARCH("EMESSO",$M47)&gt;0</formula>
    </cfRule>
    <cfRule type="expression" dxfId="1377" priority="1300">
      <formula>SEARCH("RICHIESTO",$M47)&gt;0</formula>
    </cfRule>
    <cfRule type="expression" dxfId="1376" priority="1301">
      <formula>SEARCH("DA CHIUDERE",$M47)&gt;0</formula>
    </cfRule>
    <cfRule type="expression" dxfId="1375" priority="1302">
      <formula>SEARCH("INTERROTTO",$M47)&gt;0</formula>
    </cfRule>
  </conditionalFormatting>
  <conditionalFormatting sqref="N46:S46">
    <cfRule type="expression" dxfId="1374" priority="1285">
      <formula>SEARCH("IN CORSO",$M46)&gt;0</formula>
    </cfRule>
    <cfRule type="expression" dxfId="1373" priority="1286">
      <formula>SEARCH("CHIUSO",$M46)&gt;0</formula>
    </cfRule>
    <cfRule type="expression" dxfId="1372" priority="1287">
      <formula>SEARCH("EMESSO",$M46)&gt;0</formula>
    </cfRule>
    <cfRule type="expression" dxfId="1371" priority="1288">
      <formula>SEARCH("RICHIESTO",$M46)&gt;0</formula>
    </cfRule>
    <cfRule type="expression" dxfId="1370" priority="1289">
      <formula>SEARCH("DA CHIUDERE",$M46)&gt;0</formula>
    </cfRule>
    <cfRule type="expression" dxfId="1369" priority="1290">
      <formula>SEARCH("INTERROTTO",$M46)&gt;0</formula>
    </cfRule>
  </conditionalFormatting>
  <conditionalFormatting sqref="G46">
    <cfRule type="expression" dxfId="1368" priority="1273">
      <formula>SEARCH("IN CORSO",$M46)&gt;0</formula>
    </cfRule>
    <cfRule type="expression" dxfId="1367" priority="1274">
      <formula>SEARCH("CHIUSO",$M46)&gt;0</formula>
    </cfRule>
    <cfRule type="expression" dxfId="1366" priority="1275">
      <formula>SEARCH("EMESSO",$M46)&gt;0</formula>
    </cfRule>
    <cfRule type="expression" dxfId="1365" priority="1276">
      <formula>SEARCH("RICHIESTO",$M46)&gt;0</formula>
    </cfRule>
    <cfRule type="expression" dxfId="1364" priority="1277">
      <formula>SEARCH("DA CHIUDERE",$M46)&gt;0</formula>
    </cfRule>
    <cfRule type="expression" dxfId="1363" priority="1278">
      <formula>SEARCH("INTERROTTO",$M46)&gt;0</formula>
    </cfRule>
  </conditionalFormatting>
  <conditionalFormatting sqref="E46">
    <cfRule type="expression" dxfId="1362" priority="1279">
      <formula>SEARCH("IN CORSO",$M46)&gt;0</formula>
    </cfRule>
    <cfRule type="expression" dxfId="1361" priority="1280">
      <formula>SEARCH("CHIUSO",$M46)&gt;0</formula>
    </cfRule>
    <cfRule type="expression" dxfId="1360" priority="1281">
      <formula>SEARCH("EMESSO",$M46)&gt;0</formula>
    </cfRule>
    <cfRule type="expression" dxfId="1359" priority="1282">
      <formula>SEARCH("RICHIESTO",$M46)&gt;0</formula>
    </cfRule>
    <cfRule type="expression" dxfId="1358" priority="1283">
      <formula>SEARCH("DA CHIUDERE",$M46)&gt;0</formula>
    </cfRule>
    <cfRule type="expression" dxfId="1357" priority="1284">
      <formula>SEARCH("INTERROTTO",$M46)&gt;0</formula>
    </cfRule>
  </conditionalFormatting>
  <conditionalFormatting sqref="F46">
    <cfRule type="expression" dxfId="1356" priority="1267">
      <formula>SEARCH("IN CORSO",$M46)&gt;0</formula>
    </cfRule>
    <cfRule type="expression" dxfId="1355" priority="1268">
      <formula>SEARCH("CHIUSO",$M46)&gt;0</formula>
    </cfRule>
    <cfRule type="expression" dxfId="1354" priority="1269">
      <formula>SEARCH("EMESSO",$M46)&gt;0</formula>
    </cfRule>
    <cfRule type="expression" dxfId="1353" priority="1270">
      <formula>SEARCH("RICHIESTO",$M46)&gt;0</formula>
    </cfRule>
    <cfRule type="expression" dxfId="1352" priority="1271">
      <formula>SEARCH("DA CHIUDERE",$M46)&gt;0</formula>
    </cfRule>
    <cfRule type="expression" dxfId="1351" priority="1272">
      <formula>SEARCH("INTERROTTO",$M46)&gt;0</formula>
    </cfRule>
  </conditionalFormatting>
  <conditionalFormatting sqref="M46">
    <cfRule type="expression" dxfId="1350" priority="1261">
      <formula>SEARCH("IN CORSO",$M46)&gt;0</formula>
    </cfRule>
    <cfRule type="expression" dxfId="1349" priority="1262">
      <formula>SEARCH("CHIUSO",$M46)&gt;0</formula>
    </cfRule>
    <cfRule type="expression" dxfId="1348" priority="1263">
      <formula>SEARCH("EMESSO",$M46)&gt;0</formula>
    </cfRule>
    <cfRule type="expression" dxfId="1347" priority="1264">
      <formula>SEARCH("RICHIESTO",$M46)&gt;0</formula>
    </cfRule>
    <cfRule type="expression" dxfId="1346" priority="1265">
      <formula>SEARCH("DA CHIUDERE",$M46)&gt;0</formula>
    </cfRule>
    <cfRule type="expression" dxfId="1345" priority="1266">
      <formula>SEARCH("INTERROTTO",$M46)&gt;0</formula>
    </cfRule>
  </conditionalFormatting>
  <conditionalFormatting sqref="N45:S45">
    <cfRule type="expression" dxfId="1344" priority="1255">
      <formula>SEARCH("IN CORSO",$M45)&gt;0</formula>
    </cfRule>
    <cfRule type="expression" dxfId="1343" priority="1256">
      <formula>SEARCH("CHIUSO",$M45)&gt;0</formula>
    </cfRule>
    <cfRule type="expression" dxfId="1342" priority="1257">
      <formula>SEARCH("EMESSO",$M45)&gt;0</formula>
    </cfRule>
    <cfRule type="expression" dxfId="1341" priority="1258">
      <formula>SEARCH("RICHIESTO",$M45)&gt;0</formula>
    </cfRule>
    <cfRule type="expression" dxfId="1340" priority="1259">
      <formula>SEARCH("DA CHIUDERE",$M45)&gt;0</formula>
    </cfRule>
    <cfRule type="expression" dxfId="1339" priority="1260">
      <formula>SEARCH("INTERROTTO",$M45)&gt;0</formula>
    </cfRule>
  </conditionalFormatting>
  <conditionalFormatting sqref="G45">
    <cfRule type="expression" dxfId="1338" priority="1243">
      <formula>SEARCH("IN CORSO",$M45)&gt;0</formula>
    </cfRule>
    <cfRule type="expression" dxfId="1337" priority="1244">
      <formula>SEARCH("CHIUSO",$M45)&gt;0</formula>
    </cfRule>
    <cfRule type="expression" dxfId="1336" priority="1245">
      <formula>SEARCH("EMESSO",$M45)&gt;0</formula>
    </cfRule>
    <cfRule type="expression" dxfId="1335" priority="1246">
      <formula>SEARCH("RICHIESTO",$M45)&gt;0</formula>
    </cfRule>
    <cfRule type="expression" dxfId="1334" priority="1247">
      <formula>SEARCH("DA CHIUDERE",$M45)&gt;0</formula>
    </cfRule>
    <cfRule type="expression" dxfId="1333" priority="1248">
      <formula>SEARCH("INTERROTTO",$M45)&gt;0</formula>
    </cfRule>
  </conditionalFormatting>
  <conditionalFormatting sqref="E45">
    <cfRule type="expression" dxfId="1332" priority="1249">
      <formula>SEARCH("IN CORSO",$M45)&gt;0</formula>
    </cfRule>
    <cfRule type="expression" dxfId="1331" priority="1250">
      <formula>SEARCH("CHIUSO",$M45)&gt;0</formula>
    </cfRule>
    <cfRule type="expression" dxfId="1330" priority="1251">
      <formula>SEARCH("EMESSO",$M45)&gt;0</formula>
    </cfRule>
    <cfRule type="expression" dxfId="1329" priority="1252">
      <formula>SEARCH("RICHIESTO",$M45)&gt;0</formula>
    </cfRule>
    <cfRule type="expression" dxfId="1328" priority="1253">
      <formula>SEARCH("DA CHIUDERE",$M45)&gt;0</formula>
    </cfRule>
    <cfRule type="expression" dxfId="1327" priority="1254">
      <formula>SEARCH("INTERROTTO",$M45)&gt;0</formula>
    </cfRule>
  </conditionalFormatting>
  <conditionalFormatting sqref="F45">
    <cfRule type="expression" dxfId="1326" priority="1237">
      <formula>SEARCH("IN CORSO",$M45)&gt;0</formula>
    </cfRule>
    <cfRule type="expression" dxfId="1325" priority="1238">
      <formula>SEARCH("CHIUSO",$M45)&gt;0</formula>
    </cfRule>
    <cfRule type="expression" dxfId="1324" priority="1239">
      <formula>SEARCH("EMESSO",$M45)&gt;0</formula>
    </cfRule>
    <cfRule type="expression" dxfId="1323" priority="1240">
      <formula>SEARCH("RICHIESTO",$M45)&gt;0</formula>
    </cfRule>
    <cfRule type="expression" dxfId="1322" priority="1241">
      <formula>SEARCH("DA CHIUDERE",$M45)&gt;0</formula>
    </cfRule>
    <cfRule type="expression" dxfId="1321" priority="1242">
      <formula>SEARCH("INTERROTTO",$M45)&gt;0</formula>
    </cfRule>
  </conditionalFormatting>
  <conditionalFormatting sqref="M45">
    <cfRule type="expression" dxfId="1320" priority="1231">
      <formula>SEARCH("IN CORSO",$M45)&gt;0</formula>
    </cfRule>
    <cfRule type="expression" dxfId="1319" priority="1232">
      <formula>SEARCH("CHIUSO",$M45)&gt;0</formula>
    </cfRule>
    <cfRule type="expression" dxfId="1318" priority="1233">
      <formula>SEARCH("EMESSO",$M45)&gt;0</formula>
    </cfRule>
    <cfRule type="expression" dxfId="1317" priority="1234">
      <formula>SEARCH("RICHIESTO",$M45)&gt;0</formula>
    </cfRule>
    <cfRule type="expression" dxfId="1316" priority="1235">
      <formula>SEARCH("DA CHIUDERE",$M45)&gt;0</formula>
    </cfRule>
    <cfRule type="expression" dxfId="1315" priority="1236">
      <formula>SEARCH("INTERROTTO",$M45)&gt;0</formula>
    </cfRule>
  </conditionalFormatting>
  <conditionalFormatting sqref="N44:S44">
    <cfRule type="expression" dxfId="1314" priority="1225">
      <formula>SEARCH("IN CORSO",$M44)&gt;0</formula>
    </cfRule>
    <cfRule type="expression" dxfId="1313" priority="1226">
      <formula>SEARCH("CHIUSO",$M44)&gt;0</formula>
    </cfRule>
    <cfRule type="expression" dxfId="1312" priority="1227">
      <formula>SEARCH("EMESSO",$M44)&gt;0</formula>
    </cfRule>
    <cfRule type="expression" dxfId="1311" priority="1228">
      <formula>SEARCH("RICHIESTO",$M44)&gt;0</formula>
    </cfRule>
    <cfRule type="expression" dxfId="1310" priority="1229">
      <formula>SEARCH("DA CHIUDERE",$M44)&gt;0</formula>
    </cfRule>
    <cfRule type="expression" dxfId="1309" priority="1230">
      <formula>SEARCH("INTERROTTO",$M44)&gt;0</formula>
    </cfRule>
  </conditionalFormatting>
  <conditionalFormatting sqref="G44">
    <cfRule type="expression" dxfId="1308" priority="1213">
      <formula>SEARCH("IN CORSO",$M44)&gt;0</formula>
    </cfRule>
    <cfRule type="expression" dxfId="1307" priority="1214">
      <formula>SEARCH("CHIUSO",$M44)&gt;0</formula>
    </cfRule>
    <cfRule type="expression" dxfId="1306" priority="1215">
      <formula>SEARCH("EMESSO",$M44)&gt;0</formula>
    </cfRule>
    <cfRule type="expression" dxfId="1305" priority="1216">
      <formula>SEARCH("RICHIESTO",$M44)&gt;0</formula>
    </cfRule>
    <cfRule type="expression" dxfId="1304" priority="1217">
      <formula>SEARCH("DA CHIUDERE",$M44)&gt;0</formula>
    </cfRule>
    <cfRule type="expression" dxfId="1303" priority="1218">
      <formula>SEARCH("INTERROTTO",$M44)&gt;0</formula>
    </cfRule>
  </conditionalFormatting>
  <conditionalFormatting sqref="E44">
    <cfRule type="expression" dxfId="1302" priority="1219">
      <formula>SEARCH("IN CORSO",$M44)&gt;0</formula>
    </cfRule>
    <cfRule type="expression" dxfId="1301" priority="1220">
      <formula>SEARCH("CHIUSO",$M44)&gt;0</formula>
    </cfRule>
    <cfRule type="expression" dxfId="1300" priority="1221">
      <formula>SEARCH("EMESSO",$M44)&gt;0</formula>
    </cfRule>
    <cfRule type="expression" dxfId="1299" priority="1222">
      <formula>SEARCH("RICHIESTO",$M44)&gt;0</formula>
    </cfRule>
    <cfRule type="expression" dxfId="1298" priority="1223">
      <formula>SEARCH("DA CHIUDERE",$M44)&gt;0</formula>
    </cfRule>
    <cfRule type="expression" dxfId="1297" priority="1224">
      <formula>SEARCH("INTERROTTO",$M44)&gt;0</formula>
    </cfRule>
  </conditionalFormatting>
  <conditionalFormatting sqref="F44">
    <cfRule type="expression" dxfId="1296" priority="1207">
      <formula>SEARCH("IN CORSO",$M44)&gt;0</formula>
    </cfRule>
    <cfRule type="expression" dxfId="1295" priority="1208">
      <formula>SEARCH("CHIUSO",$M44)&gt;0</formula>
    </cfRule>
    <cfRule type="expression" dxfId="1294" priority="1209">
      <formula>SEARCH("EMESSO",$M44)&gt;0</formula>
    </cfRule>
    <cfRule type="expression" dxfId="1293" priority="1210">
      <formula>SEARCH("RICHIESTO",$M44)&gt;0</formula>
    </cfRule>
    <cfRule type="expression" dxfId="1292" priority="1211">
      <formula>SEARCH("DA CHIUDERE",$M44)&gt;0</formula>
    </cfRule>
    <cfRule type="expression" dxfId="1291" priority="1212">
      <formula>SEARCH("INTERROTTO",$M44)&gt;0</formula>
    </cfRule>
  </conditionalFormatting>
  <conditionalFormatting sqref="M44">
    <cfRule type="expression" dxfId="1290" priority="1201">
      <formula>SEARCH("IN CORSO",$M44)&gt;0</formula>
    </cfRule>
    <cfRule type="expression" dxfId="1289" priority="1202">
      <formula>SEARCH("CHIUSO",$M44)&gt;0</formula>
    </cfRule>
    <cfRule type="expression" dxfId="1288" priority="1203">
      <formula>SEARCH("EMESSO",$M44)&gt;0</formula>
    </cfRule>
    <cfRule type="expression" dxfId="1287" priority="1204">
      <formula>SEARCH("RICHIESTO",$M44)&gt;0</formula>
    </cfRule>
    <cfRule type="expression" dxfId="1286" priority="1205">
      <formula>SEARCH("DA CHIUDERE",$M44)&gt;0</formula>
    </cfRule>
    <cfRule type="expression" dxfId="1285" priority="1206">
      <formula>SEARCH("INTERROTTO",$M44)&gt;0</formula>
    </cfRule>
  </conditionalFormatting>
  <conditionalFormatting sqref="N43:S43">
    <cfRule type="expression" dxfId="1284" priority="1195">
      <formula>SEARCH("IN CORSO",$M43)&gt;0</formula>
    </cfRule>
    <cfRule type="expression" dxfId="1283" priority="1196">
      <formula>SEARCH("CHIUSO",$M43)&gt;0</formula>
    </cfRule>
    <cfRule type="expression" dxfId="1282" priority="1197">
      <formula>SEARCH("EMESSO",$M43)&gt;0</formula>
    </cfRule>
    <cfRule type="expression" dxfId="1281" priority="1198">
      <formula>SEARCH("RICHIESTO",$M43)&gt;0</formula>
    </cfRule>
    <cfRule type="expression" dxfId="1280" priority="1199">
      <formula>SEARCH("DA CHIUDERE",$M43)&gt;0</formula>
    </cfRule>
    <cfRule type="expression" dxfId="1279" priority="1200">
      <formula>SEARCH("INTERROTTO",$M43)&gt;0</formula>
    </cfRule>
  </conditionalFormatting>
  <conditionalFormatting sqref="G43">
    <cfRule type="expression" dxfId="1278" priority="1183">
      <formula>SEARCH("IN CORSO",$M43)&gt;0</formula>
    </cfRule>
    <cfRule type="expression" dxfId="1277" priority="1184">
      <formula>SEARCH("CHIUSO",$M43)&gt;0</formula>
    </cfRule>
    <cfRule type="expression" dxfId="1276" priority="1185">
      <formula>SEARCH("EMESSO",$M43)&gt;0</formula>
    </cfRule>
    <cfRule type="expression" dxfId="1275" priority="1186">
      <formula>SEARCH("RICHIESTO",$M43)&gt;0</formula>
    </cfRule>
    <cfRule type="expression" dxfId="1274" priority="1187">
      <formula>SEARCH("DA CHIUDERE",$M43)&gt;0</formula>
    </cfRule>
    <cfRule type="expression" dxfId="1273" priority="1188">
      <formula>SEARCH("INTERROTTO",$M43)&gt;0</formula>
    </cfRule>
  </conditionalFormatting>
  <conditionalFormatting sqref="E43">
    <cfRule type="expression" dxfId="1272" priority="1189">
      <formula>SEARCH("IN CORSO",$M43)&gt;0</formula>
    </cfRule>
    <cfRule type="expression" dxfId="1271" priority="1190">
      <formula>SEARCH("CHIUSO",$M43)&gt;0</formula>
    </cfRule>
    <cfRule type="expression" dxfId="1270" priority="1191">
      <formula>SEARCH("EMESSO",$M43)&gt;0</formula>
    </cfRule>
    <cfRule type="expression" dxfId="1269" priority="1192">
      <formula>SEARCH("RICHIESTO",$M43)&gt;0</formula>
    </cfRule>
    <cfRule type="expression" dxfId="1268" priority="1193">
      <formula>SEARCH("DA CHIUDERE",$M43)&gt;0</formula>
    </cfRule>
    <cfRule type="expression" dxfId="1267" priority="1194">
      <formula>SEARCH("INTERROTTO",$M43)&gt;0</formula>
    </cfRule>
  </conditionalFormatting>
  <conditionalFormatting sqref="F43">
    <cfRule type="expression" dxfId="1266" priority="1177">
      <formula>SEARCH("IN CORSO",$M43)&gt;0</formula>
    </cfRule>
    <cfRule type="expression" dxfId="1265" priority="1178">
      <formula>SEARCH("CHIUSO",$M43)&gt;0</formula>
    </cfRule>
    <cfRule type="expression" dxfId="1264" priority="1179">
      <formula>SEARCH("EMESSO",$M43)&gt;0</formula>
    </cfRule>
    <cfRule type="expression" dxfId="1263" priority="1180">
      <formula>SEARCH("RICHIESTO",$M43)&gt;0</formula>
    </cfRule>
    <cfRule type="expression" dxfId="1262" priority="1181">
      <formula>SEARCH("DA CHIUDERE",$M43)&gt;0</formula>
    </cfRule>
    <cfRule type="expression" dxfId="1261" priority="1182">
      <formula>SEARCH("INTERROTTO",$M43)&gt;0</formula>
    </cfRule>
  </conditionalFormatting>
  <conditionalFormatting sqref="M43">
    <cfRule type="expression" dxfId="1260" priority="1171">
      <formula>SEARCH("IN CORSO",$M43)&gt;0</formula>
    </cfRule>
    <cfRule type="expression" dxfId="1259" priority="1172">
      <formula>SEARCH("CHIUSO",$M43)&gt;0</formula>
    </cfRule>
    <cfRule type="expression" dxfId="1258" priority="1173">
      <formula>SEARCH("EMESSO",$M43)&gt;0</formula>
    </cfRule>
    <cfRule type="expression" dxfId="1257" priority="1174">
      <formula>SEARCH("RICHIESTO",$M43)&gt;0</formula>
    </cfRule>
    <cfRule type="expression" dxfId="1256" priority="1175">
      <formula>SEARCH("DA CHIUDERE",$M43)&gt;0</formula>
    </cfRule>
    <cfRule type="expression" dxfId="1255" priority="1176">
      <formula>SEARCH("INTERROTTO",$M43)&gt;0</formula>
    </cfRule>
  </conditionalFormatting>
  <conditionalFormatting sqref="N42:S42">
    <cfRule type="expression" dxfId="1254" priority="1165">
      <formula>SEARCH("IN CORSO",$M42)&gt;0</formula>
    </cfRule>
    <cfRule type="expression" dxfId="1253" priority="1166">
      <formula>SEARCH("CHIUSO",$M42)&gt;0</formula>
    </cfRule>
    <cfRule type="expression" dxfId="1252" priority="1167">
      <formula>SEARCH("EMESSO",$M42)&gt;0</formula>
    </cfRule>
    <cfRule type="expression" dxfId="1251" priority="1168">
      <formula>SEARCH("RICHIESTO",$M42)&gt;0</formula>
    </cfRule>
    <cfRule type="expression" dxfId="1250" priority="1169">
      <formula>SEARCH("DA CHIUDERE",$M42)&gt;0</formula>
    </cfRule>
    <cfRule type="expression" dxfId="1249" priority="1170">
      <formula>SEARCH("INTERROTTO",$M42)&gt;0</formula>
    </cfRule>
  </conditionalFormatting>
  <conditionalFormatting sqref="G42">
    <cfRule type="expression" dxfId="1248" priority="1153">
      <formula>SEARCH("IN CORSO",$M42)&gt;0</formula>
    </cfRule>
    <cfRule type="expression" dxfId="1247" priority="1154">
      <formula>SEARCH("CHIUSO",$M42)&gt;0</formula>
    </cfRule>
    <cfRule type="expression" dxfId="1246" priority="1155">
      <formula>SEARCH("EMESSO",$M42)&gt;0</formula>
    </cfRule>
    <cfRule type="expression" dxfId="1245" priority="1156">
      <formula>SEARCH("RICHIESTO",$M42)&gt;0</formula>
    </cfRule>
    <cfRule type="expression" dxfId="1244" priority="1157">
      <formula>SEARCH("DA CHIUDERE",$M42)&gt;0</formula>
    </cfRule>
    <cfRule type="expression" dxfId="1243" priority="1158">
      <formula>SEARCH("INTERROTTO",$M42)&gt;0</formula>
    </cfRule>
  </conditionalFormatting>
  <conditionalFormatting sqref="E42">
    <cfRule type="expression" dxfId="1242" priority="1159">
      <formula>SEARCH("IN CORSO",$M42)&gt;0</formula>
    </cfRule>
    <cfRule type="expression" dxfId="1241" priority="1160">
      <formula>SEARCH("CHIUSO",$M42)&gt;0</formula>
    </cfRule>
    <cfRule type="expression" dxfId="1240" priority="1161">
      <formula>SEARCH("EMESSO",$M42)&gt;0</formula>
    </cfRule>
    <cfRule type="expression" dxfId="1239" priority="1162">
      <formula>SEARCH("RICHIESTO",$M42)&gt;0</formula>
    </cfRule>
    <cfRule type="expression" dxfId="1238" priority="1163">
      <formula>SEARCH("DA CHIUDERE",$M42)&gt;0</formula>
    </cfRule>
    <cfRule type="expression" dxfId="1237" priority="1164">
      <formula>SEARCH("INTERROTTO",$M42)&gt;0</formula>
    </cfRule>
  </conditionalFormatting>
  <conditionalFormatting sqref="F42">
    <cfRule type="expression" dxfId="1236" priority="1147">
      <formula>SEARCH("IN CORSO",$M42)&gt;0</formula>
    </cfRule>
    <cfRule type="expression" dxfId="1235" priority="1148">
      <formula>SEARCH("CHIUSO",$M42)&gt;0</formula>
    </cfRule>
    <cfRule type="expression" dxfId="1234" priority="1149">
      <formula>SEARCH("EMESSO",$M42)&gt;0</formula>
    </cfRule>
    <cfRule type="expression" dxfId="1233" priority="1150">
      <formula>SEARCH("RICHIESTO",$M42)&gt;0</formula>
    </cfRule>
    <cfRule type="expression" dxfId="1232" priority="1151">
      <formula>SEARCH("DA CHIUDERE",$M42)&gt;0</formula>
    </cfRule>
    <cfRule type="expression" dxfId="1231" priority="1152">
      <formula>SEARCH("INTERROTTO",$M42)&gt;0</formula>
    </cfRule>
  </conditionalFormatting>
  <conditionalFormatting sqref="M42">
    <cfRule type="expression" dxfId="1230" priority="1141">
      <formula>SEARCH("IN CORSO",$M42)&gt;0</formula>
    </cfRule>
    <cfRule type="expression" dxfId="1229" priority="1142">
      <formula>SEARCH("CHIUSO",$M42)&gt;0</formula>
    </cfRule>
    <cfRule type="expression" dxfId="1228" priority="1143">
      <formula>SEARCH("EMESSO",$M42)&gt;0</formula>
    </cfRule>
    <cfRule type="expression" dxfId="1227" priority="1144">
      <formula>SEARCH("RICHIESTO",$M42)&gt;0</formula>
    </cfRule>
    <cfRule type="expression" dxfId="1226" priority="1145">
      <formula>SEARCH("DA CHIUDERE",$M42)&gt;0</formula>
    </cfRule>
    <cfRule type="expression" dxfId="1225" priority="1146">
      <formula>SEARCH("INTERROTTO",$M42)&gt;0</formula>
    </cfRule>
  </conditionalFormatting>
  <conditionalFormatting sqref="N41:S41">
    <cfRule type="expression" dxfId="1224" priority="1135">
      <formula>SEARCH("IN CORSO",$M41)&gt;0</formula>
    </cfRule>
    <cfRule type="expression" dxfId="1223" priority="1136">
      <formula>SEARCH("CHIUSO",$M41)&gt;0</formula>
    </cfRule>
    <cfRule type="expression" dxfId="1222" priority="1137">
      <formula>SEARCH("EMESSO",$M41)&gt;0</formula>
    </cfRule>
    <cfRule type="expression" dxfId="1221" priority="1138">
      <formula>SEARCH("RICHIESTO",$M41)&gt;0</formula>
    </cfRule>
    <cfRule type="expression" dxfId="1220" priority="1139">
      <formula>SEARCH("DA CHIUDERE",$M41)&gt;0</formula>
    </cfRule>
    <cfRule type="expression" dxfId="1219" priority="1140">
      <formula>SEARCH("INTERROTTO",$M41)&gt;0</formula>
    </cfRule>
  </conditionalFormatting>
  <conditionalFormatting sqref="G41">
    <cfRule type="expression" dxfId="1218" priority="1123">
      <formula>SEARCH("IN CORSO",$M41)&gt;0</formula>
    </cfRule>
    <cfRule type="expression" dxfId="1217" priority="1124">
      <formula>SEARCH("CHIUSO",$M41)&gt;0</formula>
    </cfRule>
    <cfRule type="expression" dxfId="1216" priority="1125">
      <formula>SEARCH("EMESSO",$M41)&gt;0</formula>
    </cfRule>
    <cfRule type="expression" dxfId="1215" priority="1126">
      <formula>SEARCH("RICHIESTO",$M41)&gt;0</formula>
    </cfRule>
    <cfRule type="expression" dxfId="1214" priority="1127">
      <formula>SEARCH("DA CHIUDERE",$M41)&gt;0</formula>
    </cfRule>
    <cfRule type="expression" dxfId="1213" priority="1128">
      <formula>SEARCH("INTERROTTO",$M41)&gt;0</formula>
    </cfRule>
  </conditionalFormatting>
  <conditionalFormatting sqref="E41">
    <cfRule type="expression" dxfId="1212" priority="1129">
      <formula>SEARCH("IN CORSO",$M41)&gt;0</formula>
    </cfRule>
    <cfRule type="expression" dxfId="1211" priority="1130">
      <formula>SEARCH("CHIUSO",$M41)&gt;0</formula>
    </cfRule>
    <cfRule type="expression" dxfId="1210" priority="1131">
      <formula>SEARCH("EMESSO",$M41)&gt;0</formula>
    </cfRule>
    <cfRule type="expression" dxfId="1209" priority="1132">
      <formula>SEARCH("RICHIESTO",$M41)&gt;0</formula>
    </cfRule>
    <cfRule type="expression" dxfId="1208" priority="1133">
      <formula>SEARCH("DA CHIUDERE",$M41)&gt;0</formula>
    </cfRule>
    <cfRule type="expression" dxfId="1207" priority="1134">
      <formula>SEARCH("INTERROTTO",$M41)&gt;0</formula>
    </cfRule>
  </conditionalFormatting>
  <conditionalFormatting sqref="F41">
    <cfRule type="expression" dxfId="1206" priority="1117">
      <formula>SEARCH("IN CORSO",$M41)&gt;0</formula>
    </cfRule>
    <cfRule type="expression" dxfId="1205" priority="1118">
      <formula>SEARCH("CHIUSO",$M41)&gt;0</formula>
    </cfRule>
    <cfRule type="expression" dxfId="1204" priority="1119">
      <formula>SEARCH("EMESSO",$M41)&gt;0</formula>
    </cfRule>
    <cfRule type="expression" dxfId="1203" priority="1120">
      <formula>SEARCH("RICHIESTO",$M41)&gt;0</formula>
    </cfRule>
    <cfRule type="expression" dxfId="1202" priority="1121">
      <formula>SEARCH("DA CHIUDERE",$M41)&gt;0</formula>
    </cfRule>
    <cfRule type="expression" dxfId="1201" priority="1122">
      <formula>SEARCH("INTERROTTO",$M41)&gt;0</formula>
    </cfRule>
  </conditionalFormatting>
  <conditionalFormatting sqref="M41">
    <cfRule type="expression" dxfId="1200" priority="1111">
      <formula>SEARCH("IN CORSO",$M41)&gt;0</formula>
    </cfRule>
    <cfRule type="expression" dxfId="1199" priority="1112">
      <formula>SEARCH("CHIUSO",$M41)&gt;0</formula>
    </cfRule>
    <cfRule type="expression" dxfId="1198" priority="1113">
      <formula>SEARCH("EMESSO",$M41)&gt;0</formula>
    </cfRule>
    <cfRule type="expression" dxfId="1197" priority="1114">
      <formula>SEARCH("RICHIESTO",$M41)&gt;0</formula>
    </cfRule>
    <cfRule type="expression" dxfId="1196" priority="1115">
      <formula>SEARCH("DA CHIUDERE",$M41)&gt;0</formula>
    </cfRule>
    <cfRule type="expression" dxfId="1195" priority="1116">
      <formula>SEARCH("INTERROTTO",$M41)&gt;0</formula>
    </cfRule>
  </conditionalFormatting>
  <conditionalFormatting sqref="N40:S40">
    <cfRule type="expression" dxfId="1194" priority="1105">
      <formula>SEARCH("IN CORSO",$M40)&gt;0</formula>
    </cfRule>
    <cfRule type="expression" dxfId="1193" priority="1106">
      <formula>SEARCH("CHIUSO",$M40)&gt;0</formula>
    </cfRule>
    <cfRule type="expression" dxfId="1192" priority="1107">
      <formula>SEARCH("EMESSO",$M40)&gt;0</formula>
    </cfRule>
    <cfRule type="expression" dxfId="1191" priority="1108">
      <formula>SEARCH("RICHIESTO",$M40)&gt;0</formula>
    </cfRule>
    <cfRule type="expression" dxfId="1190" priority="1109">
      <formula>SEARCH("DA CHIUDERE",$M40)&gt;0</formula>
    </cfRule>
    <cfRule type="expression" dxfId="1189" priority="1110">
      <formula>SEARCH("INTERROTTO",$M40)&gt;0</formula>
    </cfRule>
  </conditionalFormatting>
  <conditionalFormatting sqref="G40">
    <cfRule type="expression" dxfId="1188" priority="1093">
      <formula>SEARCH("IN CORSO",$M40)&gt;0</formula>
    </cfRule>
    <cfRule type="expression" dxfId="1187" priority="1094">
      <formula>SEARCH("CHIUSO",$M40)&gt;0</formula>
    </cfRule>
    <cfRule type="expression" dxfId="1186" priority="1095">
      <formula>SEARCH("EMESSO",$M40)&gt;0</formula>
    </cfRule>
    <cfRule type="expression" dxfId="1185" priority="1096">
      <formula>SEARCH("RICHIESTO",$M40)&gt;0</formula>
    </cfRule>
    <cfRule type="expression" dxfId="1184" priority="1097">
      <formula>SEARCH("DA CHIUDERE",$M40)&gt;0</formula>
    </cfRule>
    <cfRule type="expression" dxfId="1183" priority="1098">
      <formula>SEARCH("INTERROTTO",$M40)&gt;0</formula>
    </cfRule>
  </conditionalFormatting>
  <conditionalFormatting sqref="E40">
    <cfRule type="expression" dxfId="1182" priority="1099">
      <formula>SEARCH("IN CORSO",$M40)&gt;0</formula>
    </cfRule>
    <cfRule type="expression" dxfId="1181" priority="1100">
      <formula>SEARCH("CHIUSO",$M40)&gt;0</formula>
    </cfRule>
    <cfRule type="expression" dxfId="1180" priority="1101">
      <formula>SEARCH("EMESSO",$M40)&gt;0</formula>
    </cfRule>
    <cfRule type="expression" dxfId="1179" priority="1102">
      <formula>SEARCH("RICHIESTO",$M40)&gt;0</formula>
    </cfRule>
    <cfRule type="expression" dxfId="1178" priority="1103">
      <formula>SEARCH("DA CHIUDERE",$M40)&gt;0</formula>
    </cfRule>
    <cfRule type="expression" dxfId="1177" priority="1104">
      <formula>SEARCH("INTERROTTO",$M40)&gt;0</formula>
    </cfRule>
  </conditionalFormatting>
  <conditionalFormatting sqref="F40">
    <cfRule type="expression" dxfId="1176" priority="1087">
      <formula>SEARCH("IN CORSO",$M40)&gt;0</formula>
    </cfRule>
    <cfRule type="expression" dxfId="1175" priority="1088">
      <formula>SEARCH("CHIUSO",$M40)&gt;0</formula>
    </cfRule>
    <cfRule type="expression" dxfId="1174" priority="1089">
      <formula>SEARCH("EMESSO",$M40)&gt;0</formula>
    </cfRule>
    <cfRule type="expression" dxfId="1173" priority="1090">
      <formula>SEARCH("RICHIESTO",$M40)&gt;0</formula>
    </cfRule>
    <cfRule type="expression" dxfId="1172" priority="1091">
      <formula>SEARCH("DA CHIUDERE",$M40)&gt;0</formula>
    </cfRule>
    <cfRule type="expression" dxfId="1171" priority="1092">
      <formula>SEARCH("INTERROTTO",$M40)&gt;0</formula>
    </cfRule>
  </conditionalFormatting>
  <conditionalFormatting sqref="M40">
    <cfRule type="expression" dxfId="1170" priority="1081">
      <formula>SEARCH("IN CORSO",$M40)&gt;0</formula>
    </cfRule>
    <cfRule type="expression" dxfId="1169" priority="1082">
      <formula>SEARCH("CHIUSO",$M40)&gt;0</formula>
    </cfRule>
    <cfRule type="expression" dxfId="1168" priority="1083">
      <formula>SEARCH("EMESSO",$M40)&gt;0</formula>
    </cfRule>
    <cfRule type="expression" dxfId="1167" priority="1084">
      <formula>SEARCH("RICHIESTO",$M40)&gt;0</formula>
    </cfRule>
    <cfRule type="expression" dxfId="1166" priority="1085">
      <formula>SEARCH("DA CHIUDERE",$M40)&gt;0</formula>
    </cfRule>
    <cfRule type="expression" dxfId="1165" priority="1086">
      <formula>SEARCH("INTERROTTO",$M40)&gt;0</formula>
    </cfRule>
  </conditionalFormatting>
  <conditionalFormatting sqref="N39:S39">
    <cfRule type="expression" dxfId="1164" priority="1075">
      <formula>SEARCH("IN CORSO",$M39)&gt;0</formula>
    </cfRule>
    <cfRule type="expression" dxfId="1163" priority="1076">
      <formula>SEARCH("CHIUSO",$M39)&gt;0</formula>
    </cfRule>
    <cfRule type="expression" dxfId="1162" priority="1077">
      <formula>SEARCH("EMESSO",$M39)&gt;0</formula>
    </cfRule>
    <cfRule type="expression" dxfId="1161" priority="1078">
      <formula>SEARCH("RICHIESTO",$M39)&gt;0</formula>
    </cfRule>
    <cfRule type="expression" dxfId="1160" priority="1079">
      <formula>SEARCH("DA CHIUDERE",$M39)&gt;0</formula>
    </cfRule>
    <cfRule type="expression" dxfId="1159" priority="1080">
      <formula>SEARCH("INTERROTTO",$M39)&gt;0</formula>
    </cfRule>
  </conditionalFormatting>
  <conditionalFormatting sqref="G39">
    <cfRule type="expression" dxfId="1158" priority="1063">
      <formula>SEARCH("IN CORSO",$M39)&gt;0</formula>
    </cfRule>
    <cfRule type="expression" dxfId="1157" priority="1064">
      <formula>SEARCH("CHIUSO",$M39)&gt;0</formula>
    </cfRule>
    <cfRule type="expression" dxfId="1156" priority="1065">
      <formula>SEARCH("EMESSO",$M39)&gt;0</formula>
    </cfRule>
    <cfRule type="expression" dxfId="1155" priority="1066">
      <formula>SEARCH("RICHIESTO",$M39)&gt;0</formula>
    </cfRule>
    <cfRule type="expression" dxfId="1154" priority="1067">
      <formula>SEARCH("DA CHIUDERE",$M39)&gt;0</formula>
    </cfRule>
    <cfRule type="expression" dxfId="1153" priority="1068">
      <formula>SEARCH("INTERROTTO",$M39)&gt;0</formula>
    </cfRule>
  </conditionalFormatting>
  <conditionalFormatting sqref="E39">
    <cfRule type="expression" dxfId="1152" priority="1069">
      <formula>SEARCH("IN CORSO",$M39)&gt;0</formula>
    </cfRule>
    <cfRule type="expression" dxfId="1151" priority="1070">
      <formula>SEARCH("CHIUSO",$M39)&gt;0</formula>
    </cfRule>
    <cfRule type="expression" dxfId="1150" priority="1071">
      <formula>SEARCH("EMESSO",$M39)&gt;0</formula>
    </cfRule>
    <cfRule type="expression" dxfId="1149" priority="1072">
      <formula>SEARCH("RICHIESTO",$M39)&gt;0</formula>
    </cfRule>
    <cfRule type="expression" dxfId="1148" priority="1073">
      <formula>SEARCH("DA CHIUDERE",$M39)&gt;0</formula>
    </cfRule>
    <cfRule type="expression" dxfId="1147" priority="1074">
      <formula>SEARCH("INTERROTTO",$M39)&gt;0</formula>
    </cfRule>
  </conditionalFormatting>
  <conditionalFormatting sqref="F39">
    <cfRule type="expression" dxfId="1146" priority="1057">
      <formula>SEARCH("IN CORSO",$M39)&gt;0</formula>
    </cfRule>
    <cfRule type="expression" dxfId="1145" priority="1058">
      <formula>SEARCH("CHIUSO",$M39)&gt;0</formula>
    </cfRule>
    <cfRule type="expression" dxfId="1144" priority="1059">
      <formula>SEARCH("EMESSO",$M39)&gt;0</formula>
    </cfRule>
    <cfRule type="expression" dxfId="1143" priority="1060">
      <formula>SEARCH("RICHIESTO",$M39)&gt;0</formula>
    </cfRule>
    <cfRule type="expression" dxfId="1142" priority="1061">
      <formula>SEARCH("DA CHIUDERE",$M39)&gt;0</formula>
    </cfRule>
    <cfRule type="expression" dxfId="1141" priority="1062">
      <formula>SEARCH("INTERROTTO",$M39)&gt;0</formula>
    </cfRule>
  </conditionalFormatting>
  <conditionalFormatting sqref="M39">
    <cfRule type="expression" dxfId="1140" priority="1051">
      <formula>SEARCH("IN CORSO",$M39)&gt;0</formula>
    </cfRule>
    <cfRule type="expression" dxfId="1139" priority="1052">
      <formula>SEARCH("CHIUSO",$M39)&gt;0</formula>
    </cfRule>
    <cfRule type="expression" dxfId="1138" priority="1053">
      <formula>SEARCH("EMESSO",$M39)&gt;0</formula>
    </cfRule>
    <cfRule type="expression" dxfId="1137" priority="1054">
      <formula>SEARCH("RICHIESTO",$M39)&gt;0</formula>
    </cfRule>
    <cfRule type="expression" dxfId="1136" priority="1055">
      <formula>SEARCH("DA CHIUDERE",$M39)&gt;0</formula>
    </cfRule>
    <cfRule type="expression" dxfId="1135" priority="1056">
      <formula>SEARCH("INTERROTTO",$M39)&gt;0</formula>
    </cfRule>
  </conditionalFormatting>
  <conditionalFormatting sqref="N38:S38">
    <cfRule type="expression" dxfId="1134" priority="1045">
      <formula>SEARCH("IN CORSO",$M38)&gt;0</formula>
    </cfRule>
    <cfRule type="expression" dxfId="1133" priority="1046">
      <formula>SEARCH("CHIUSO",$M38)&gt;0</formula>
    </cfRule>
    <cfRule type="expression" dxfId="1132" priority="1047">
      <formula>SEARCH("EMESSO",$M38)&gt;0</formula>
    </cfRule>
    <cfRule type="expression" dxfId="1131" priority="1048">
      <formula>SEARCH("RICHIESTO",$M38)&gt;0</formula>
    </cfRule>
    <cfRule type="expression" dxfId="1130" priority="1049">
      <formula>SEARCH("DA CHIUDERE",$M38)&gt;0</formula>
    </cfRule>
    <cfRule type="expression" dxfId="1129" priority="1050">
      <formula>SEARCH("INTERROTTO",$M38)&gt;0</formula>
    </cfRule>
  </conditionalFormatting>
  <conditionalFormatting sqref="G38">
    <cfRule type="expression" dxfId="1128" priority="1033">
      <formula>SEARCH("IN CORSO",$M38)&gt;0</formula>
    </cfRule>
    <cfRule type="expression" dxfId="1127" priority="1034">
      <formula>SEARCH("CHIUSO",$M38)&gt;0</formula>
    </cfRule>
    <cfRule type="expression" dxfId="1126" priority="1035">
      <formula>SEARCH("EMESSO",$M38)&gt;0</formula>
    </cfRule>
    <cfRule type="expression" dxfId="1125" priority="1036">
      <formula>SEARCH("RICHIESTO",$M38)&gt;0</formula>
    </cfRule>
    <cfRule type="expression" dxfId="1124" priority="1037">
      <formula>SEARCH("DA CHIUDERE",$M38)&gt;0</formula>
    </cfRule>
    <cfRule type="expression" dxfId="1123" priority="1038">
      <formula>SEARCH("INTERROTTO",$M38)&gt;0</formula>
    </cfRule>
  </conditionalFormatting>
  <conditionalFormatting sqref="E38">
    <cfRule type="expression" dxfId="1122" priority="1039">
      <formula>SEARCH("IN CORSO",$M38)&gt;0</formula>
    </cfRule>
    <cfRule type="expression" dxfId="1121" priority="1040">
      <formula>SEARCH("CHIUSO",$M38)&gt;0</formula>
    </cfRule>
    <cfRule type="expression" dxfId="1120" priority="1041">
      <formula>SEARCH("EMESSO",$M38)&gt;0</formula>
    </cfRule>
    <cfRule type="expression" dxfId="1119" priority="1042">
      <formula>SEARCH("RICHIESTO",$M38)&gt;0</formula>
    </cfRule>
    <cfRule type="expression" dxfId="1118" priority="1043">
      <formula>SEARCH("DA CHIUDERE",$M38)&gt;0</formula>
    </cfRule>
    <cfRule type="expression" dxfId="1117" priority="1044">
      <formula>SEARCH("INTERROTTO",$M38)&gt;0</formula>
    </cfRule>
  </conditionalFormatting>
  <conditionalFormatting sqref="F38">
    <cfRule type="expression" dxfId="1116" priority="1027">
      <formula>SEARCH("IN CORSO",$M38)&gt;0</formula>
    </cfRule>
    <cfRule type="expression" dxfId="1115" priority="1028">
      <formula>SEARCH("CHIUSO",$M38)&gt;0</formula>
    </cfRule>
    <cfRule type="expression" dxfId="1114" priority="1029">
      <formula>SEARCH("EMESSO",$M38)&gt;0</formula>
    </cfRule>
    <cfRule type="expression" dxfId="1113" priority="1030">
      <formula>SEARCH("RICHIESTO",$M38)&gt;0</formula>
    </cfRule>
    <cfRule type="expression" dxfId="1112" priority="1031">
      <formula>SEARCH("DA CHIUDERE",$M38)&gt;0</formula>
    </cfRule>
    <cfRule type="expression" dxfId="1111" priority="1032">
      <formula>SEARCH("INTERROTTO",$M38)&gt;0</formula>
    </cfRule>
  </conditionalFormatting>
  <conditionalFormatting sqref="M38">
    <cfRule type="expression" dxfId="1110" priority="1021">
      <formula>SEARCH("IN CORSO",$M38)&gt;0</formula>
    </cfRule>
    <cfRule type="expression" dxfId="1109" priority="1022">
      <formula>SEARCH("CHIUSO",$M38)&gt;0</formula>
    </cfRule>
    <cfRule type="expression" dxfId="1108" priority="1023">
      <formula>SEARCH("EMESSO",$M38)&gt;0</formula>
    </cfRule>
    <cfRule type="expression" dxfId="1107" priority="1024">
      <formula>SEARCH("RICHIESTO",$M38)&gt;0</formula>
    </cfRule>
    <cfRule type="expression" dxfId="1106" priority="1025">
      <formula>SEARCH("DA CHIUDERE",$M38)&gt;0</formula>
    </cfRule>
    <cfRule type="expression" dxfId="1105" priority="1026">
      <formula>SEARCH("INTERROTTO",$M38)&gt;0</formula>
    </cfRule>
  </conditionalFormatting>
  <conditionalFormatting sqref="N37:S37">
    <cfRule type="expression" dxfId="1104" priority="1015">
      <formula>SEARCH("IN CORSO",$M37)&gt;0</formula>
    </cfRule>
    <cfRule type="expression" dxfId="1103" priority="1016">
      <formula>SEARCH("CHIUSO",$M37)&gt;0</formula>
    </cfRule>
    <cfRule type="expression" dxfId="1102" priority="1017">
      <formula>SEARCH("EMESSO",$M37)&gt;0</formula>
    </cfRule>
    <cfRule type="expression" dxfId="1101" priority="1018">
      <formula>SEARCH("RICHIESTO",$M37)&gt;0</formula>
    </cfRule>
    <cfRule type="expression" dxfId="1100" priority="1019">
      <formula>SEARCH("DA CHIUDERE",$M37)&gt;0</formula>
    </cfRule>
    <cfRule type="expression" dxfId="1099" priority="1020">
      <formula>SEARCH("INTERROTTO",$M37)&gt;0</formula>
    </cfRule>
  </conditionalFormatting>
  <conditionalFormatting sqref="G37">
    <cfRule type="expression" dxfId="1098" priority="1003">
      <formula>SEARCH("IN CORSO",$M37)&gt;0</formula>
    </cfRule>
    <cfRule type="expression" dxfId="1097" priority="1004">
      <formula>SEARCH("CHIUSO",$M37)&gt;0</formula>
    </cfRule>
    <cfRule type="expression" dxfId="1096" priority="1005">
      <formula>SEARCH("EMESSO",$M37)&gt;0</formula>
    </cfRule>
    <cfRule type="expression" dxfId="1095" priority="1006">
      <formula>SEARCH("RICHIESTO",$M37)&gt;0</formula>
    </cfRule>
    <cfRule type="expression" dxfId="1094" priority="1007">
      <formula>SEARCH("DA CHIUDERE",$M37)&gt;0</formula>
    </cfRule>
    <cfRule type="expression" dxfId="1093" priority="1008">
      <formula>SEARCH("INTERROTTO",$M37)&gt;0</formula>
    </cfRule>
  </conditionalFormatting>
  <conditionalFormatting sqref="E37">
    <cfRule type="expression" dxfId="1092" priority="1009">
      <formula>SEARCH("IN CORSO",$M37)&gt;0</formula>
    </cfRule>
    <cfRule type="expression" dxfId="1091" priority="1010">
      <formula>SEARCH("CHIUSO",$M37)&gt;0</formula>
    </cfRule>
    <cfRule type="expression" dxfId="1090" priority="1011">
      <formula>SEARCH("EMESSO",$M37)&gt;0</formula>
    </cfRule>
    <cfRule type="expression" dxfId="1089" priority="1012">
      <formula>SEARCH("RICHIESTO",$M37)&gt;0</formula>
    </cfRule>
    <cfRule type="expression" dxfId="1088" priority="1013">
      <formula>SEARCH("DA CHIUDERE",$M37)&gt;0</formula>
    </cfRule>
    <cfRule type="expression" dxfId="1087" priority="1014">
      <formula>SEARCH("INTERROTTO",$M37)&gt;0</formula>
    </cfRule>
  </conditionalFormatting>
  <conditionalFormatting sqref="F37">
    <cfRule type="expression" dxfId="1086" priority="997">
      <formula>SEARCH("IN CORSO",$M37)&gt;0</formula>
    </cfRule>
    <cfRule type="expression" dxfId="1085" priority="998">
      <formula>SEARCH("CHIUSO",$M37)&gt;0</formula>
    </cfRule>
    <cfRule type="expression" dxfId="1084" priority="999">
      <formula>SEARCH("EMESSO",$M37)&gt;0</formula>
    </cfRule>
    <cfRule type="expression" dxfId="1083" priority="1000">
      <formula>SEARCH("RICHIESTO",$M37)&gt;0</formula>
    </cfRule>
    <cfRule type="expression" dxfId="1082" priority="1001">
      <formula>SEARCH("DA CHIUDERE",$M37)&gt;0</formula>
    </cfRule>
    <cfRule type="expression" dxfId="1081" priority="1002">
      <formula>SEARCH("INTERROTTO",$M37)&gt;0</formula>
    </cfRule>
  </conditionalFormatting>
  <conditionalFormatting sqref="M37">
    <cfRule type="expression" dxfId="1080" priority="991">
      <formula>SEARCH("IN CORSO",$M37)&gt;0</formula>
    </cfRule>
    <cfRule type="expression" dxfId="1079" priority="992">
      <formula>SEARCH("CHIUSO",$M37)&gt;0</formula>
    </cfRule>
    <cfRule type="expression" dxfId="1078" priority="993">
      <formula>SEARCH("EMESSO",$M37)&gt;0</formula>
    </cfRule>
    <cfRule type="expression" dxfId="1077" priority="994">
      <formula>SEARCH("RICHIESTO",$M37)&gt;0</formula>
    </cfRule>
    <cfRule type="expression" dxfId="1076" priority="995">
      <formula>SEARCH("DA CHIUDERE",$M37)&gt;0</formula>
    </cfRule>
    <cfRule type="expression" dxfId="1075" priority="996">
      <formula>SEARCH("INTERROTTO",$M37)&gt;0</formula>
    </cfRule>
  </conditionalFormatting>
  <conditionalFormatting sqref="N36:S36">
    <cfRule type="expression" dxfId="1074" priority="985">
      <formula>SEARCH("IN CORSO",$M36)&gt;0</formula>
    </cfRule>
    <cfRule type="expression" dxfId="1073" priority="986">
      <formula>SEARCH("CHIUSO",$M36)&gt;0</formula>
    </cfRule>
    <cfRule type="expression" dxfId="1072" priority="987">
      <formula>SEARCH("EMESSO",$M36)&gt;0</formula>
    </cfRule>
    <cfRule type="expression" dxfId="1071" priority="988">
      <formula>SEARCH("RICHIESTO",$M36)&gt;0</formula>
    </cfRule>
    <cfRule type="expression" dxfId="1070" priority="989">
      <formula>SEARCH("DA CHIUDERE",$M36)&gt;0</formula>
    </cfRule>
    <cfRule type="expression" dxfId="1069" priority="990">
      <formula>SEARCH("INTERROTTO",$M36)&gt;0</formula>
    </cfRule>
  </conditionalFormatting>
  <conditionalFormatting sqref="G36">
    <cfRule type="expression" dxfId="1068" priority="973">
      <formula>SEARCH("IN CORSO",$M36)&gt;0</formula>
    </cfRule>
    <cfRule type="expression" dxfId="1067" priority="974">
      <formula>SEARCH("CHIUSO",$M36)&gt;0</formula>
    </cfRule>
    <cfRule type="expression" dxfId="1066" priority="975">
      <formula>SEARCH("EMESSO",$M36)&gt;0</formula>
    </cfRule>
    <cfRule type="expression" dxfId="1065" priority="976">
      <formula>SEARCH("RICHIESTO",$M36)&gt;0</formula>
    </cfRule>
    <cfRule type="expression" dxfId="1064" priority="977">
      <formula>SEARCH("DA CHIUDERE",$M36)&gt;0</formula>
    </cfRule>
    <cfRule type="expression" dxfId="1063" priority="978">
      <formula>SEARCH("INTERROTTO",$M36)&gt;0</formula>
    </cfRule>
  </conditionalFormatting>
  <conditionalFormatting sqref="E36">
    <cfRule type="expression" dxfId="1062" priority="979">
      <formula>SEARCH("IN CORSO",$M36)&gt;0</formula>
    </cfRule>
    <cfRule type="expression" dxfId="1061" priority="980">
      <formula>SEARCH("CHIUSO",$M36)&gt;0</formula>
    </cfRule>
    <cfRule type="expression" dxfId="1060" priority="981">
      <formula>SEARCH("EMESSO",$M36)&gt;0</formula>
    </cfRule>
    <cfRule type="expression" dxfId="1059" priority="982">
      <formula>SEARCH("RICHIESTO",$M36)&gt;0</formula>
    </cfRule>
    <cfRule type="expression" dxfId="1058" priority="983">
      <formula>SEARCH("DA CHIUDERE",$M36)&gt;0</formula>
    </cfRule>
    <cfRule type="expression" dxfId="1057" priority="984">
      <formula>SEARCH("INTERROTTO",$M36)&gt;0</formula>
    </cfRule>
  </conditionalFormatting>
  <conditionalFormatting sqref="F36">
    <cfRule type="expression" dxfId="1056" priority="967">
      <formula>SEARCH("IN CORSO",$M36)&gt;0</formula>
    </cfRule>
    <cfRule type="expression" dxfId="1055" priority="968">
      <formula>SEARCH("CHIUSO",$M36)&gt;0</formula>
    </cfRule>
    <cfRule type="expression" dxfId="1054" priority="969">
      <formula>SEARCH("EMESSO",$M36)&gt;0</formula>
    </cfRule>
    <cfRule type="expression" dxfId="1053" priority="970">
      <formula>SEARCH("RICHIESTO",$M36)&gt;0</formula>
    </cfRule>
    <cfRule type="expression" dxfId="1052" priority="971">
      <formula>SEARCH("DA CHIUDERE",$M36)&gt;0</formula>
    </cfRule>
    <cfRule type="expression" dxfId="1051" priority="972">
      <formula>SEARCH("INTERROTTO",$M36)&gt;0</formula>
    </cfRule>
  </conditionalFormatting>
  <conditionalFormatting sqref="M36">
    <cfRule type="expression" dxfId="1050" priority="961">
      <formula>SEARCH("IN CORSO",$M36)&gt;0</formula>
    </cfRule>
    <cfRule type="expression" dxfId="1049" priority="962">
      <formula>SEARCH("CHIUSO",$M36)&gt;0</formula>
    </cfRule>
    <cfRule type="expression" dxfId="1048" priority="963">
      <formula>SEARCH("EMESSO",$M36)&gt;0</formula>
    </cfRule>
    <cfRule type="expression" dxfId="1047" priority="964">
      <formula>SEARCH("RICHIESTO",$M36)&gt;0</formula>
    </cfRule>
    <cfRule type="expression" dxfId="1046" priority="965">
      <formula>SEARCH("DA CHIUDERE",$M36)&gt;0</formula>
    </cfRule>
    <cfRule type="expression" dxfId="1045" priority="966">
      <formula>SEARCH("INTERROTTO",$M36)&gt;0</formula>
    </cfRule>
  </conditionalFormatting>
  <conditionalFormatting sqref="N35:S35">
    <cfRule type="expression" dxfId="1044" priority="955">
      <formula>SEARCH("IN CORSO",$M35)&gt;0</formula>
    </cfRule>
    <cfRule type="expression" dxfId="1043" priority="956">
      <formula>SEARCH("CHIUSO",$M35)&gt;0</formula>
    </cfRule>
    <cfRule type="expression" dxfId="1042" priority="957">
      <formula>SEARCH("EMESSO",$M35)&gt;0</formula>
    </cfRule>
    <cfRule type="expression" dxfId="1041" priority="958">
      <formula>SEARCH("RICHIESTO",$M35)&gt;0</formula>
    </cfRule>
    <cfRule type="expression" dxfId="1040" priority="959">
      <formula>SEARCH("DA CHIUDERE",$M35)&gt;0</formula>
    </cfRule>
    <cfRule type="expression" dxfId="1039" priority="960">
      <formula>SEARCH("INTERROTTO",$M35)&gt;0</formula>
    </cfRule>
  </conditionalFormatting>
  <conditionalFormatting sqref="G35">
    <cfRule type="expression" dxfId="1038" priority="943">
      <formula>SEARCH("IN CORSO",$M35)&gt;0</formula>
    </cfRule>
    <cfRule type="expression" dxfId="1037" priority="944">
      <formula>SEARCH("CHIUSO",$M35)&gt;0</formula>
    </cfRule>
    <cfRule type="expression" dxfId="1036" priority="945">
      <formula>SEARCH("EMESSO",$M35)&gt;0</formula>
    </cfRule>
    <cfRule type="expression" dxfId="1035" priority="946">
      <formula>SEARCH("RICHIESTO",$M35)&gt;0</formula>
    </cfRule>
    <cfRule type="expression" dxfId="1034" priority="947">
      <formula>SEARCH("DA CHIUDERE",$M35)&gt;0</formula>
    </cfRule>
    <cfRule type="expression" dxfId="1033" priority="948">
      <formula>SEARCH("INTERROTTO",$M35)&gt;0</formula>
    </cfRule>
  </conditionalFormatting>
  <conditionalFormatting sqref="E35">
    <cfRule type="expression" dxfId="1032" priority="949">
      <formula>SEARCH("IN CORSO",$M35)&gt;0</formula>
    </cfRule>
    <cfRule type="expression" dxfId="1031" priority="950">
      <formula>SEARCH("CHIUSO",$M35)&gt;0</formula>
    </cfRule>
    <cfRule type="expression" dxfId="1030" priority="951">
      <formula>SEARCH("EMESSO",$M35)&gt;0</formula>
    </cfRule>
    <cfRule type="expression" dxfId="1029" priority="952">
      <formula>SEARCH("RICHIESTO",$M35)&gt;0</formula>
    </cfRule>
    <cfRule type="expression" dxfId="1028" priority="953">
      <formula>SEARCH("DA CHIUDERE",$M35)&gt;0</formula>
    </cfRule>
    <cfRule type="expression" dxfId="1027" priority="954">
      <formula>SEARCH("INTERROTTO",$M35)&gt;0</formula>
    </cfRule>
  </conditionalFormatting>
  <conditionalFormatting sqref="F35">
    <cfRule type="expression" dxfId="1026" priority="937">
      <formula>SEARCH("IN CORSO",$M35)&gt;0</formula>
    </cfRule>
    <cfRule type="expression" dxfId="1025" priority="938">
      <formula>SEARCH("CHIUSO",$M35)&gt;0</formula>
    </cfRule>
    <cfRule type="expression" dxfId="1024" priority="939">
      <formula>SEARCH("EMESSO",$M35)&gt;0</formula>
    </cfRule>
    <cfRule type="expression" dxfId="1023" priority="940">
      <formula>SEARCH("RICHIESTO",$M35)&gt;0</formula>
    </cfRule>
    <cfRule type="expression" dxfId="1022" priority="941">
      <formula>SEARCH("DA CHIUDERE",$M35)&gt;0</formula>
    </cfRule>
    <cfRule type="expression" dxfId="1021" priority="942">
      <formula>SEARCH("INTERROTTO",$M35)&gt;0</formula>
    </cfRule>
  </conditionalFormatting>
  <conditionalFormatting sqref="M35">
    <cfRule type="expression" dxfId="1020" priority="931">
      <formula>SEARCH("IN CORSO",$M35)&gt;0</formula>
    </cfRule>
    <cfRule type="expression" dxfId="1019" priority="932">
      <formula>SEARCH("CHIUSO",$M35)&gt;0</formula>
    </cfRule>
    <cfRule type="expression" dxfId="1018" priority="933">
      <formula>SEARCH("EMESSO",$M35)&gt;0</formula>
    </cfRule>
    <cfRule type="expression" dxfId="1017" priority="934">
      <formula>SEARCH("RICHIESTO",$M35)&gt;0</formula>
    </cfRule>
    <cfRule type="expression" dxfId="1016" priority="935">
      <formula>SEARCH("DA CHIUDERE",$M35)&gt;0</formula>
    </cfRule>
    <cfRule type="expression" dxfId="1015" priority="936">
      <formula>SEARCH("INTERROTTO",$M35)&gt;0</formula>
    </cfRule>
  </conditionalFormatting>
  <conditionalFormatting sqref="N34:S34">
    <cfRule type="expression" dxfId="1014" priority="925">
      <formula>SEARCH("IN CORSO",$M34)&gt;0</formula>
    </cfRule>
    <cfRule type="expression" dxfId="1013" priority="926">
      <formula>SEARCH("CHIUSO",$M34)&gt;0</formula>
    </cfRule>
    <cfRule type="expression" dxfId="1012" priority="927">
      <formula>SEARCH("EMESSO",$M34)&gt;0</formula>
    </cfRule>
    <cfRule type="expression" dxfId="1011" priority="928">
      <formula>SEARCH("RICHIESTO",$M34)&gt;0</formula>
    </cfRule>
    <cfRule type="expression" dxfId="1010" priority="929">
      <formula>SEARCH("DA CHIUDERE",$M34)&gt;0</formula>
    </cfRule>
    <cfRule type="expression" dxfId="1009" priority="930">
      <formula>SEARCH("INTERROTTO",$M34)&gt;0</formula>
    </cfRule>
  </conditionalFormatting>
  <conditionalFormatting sqref="G34">
    <cfRule type="expression" dxfId="1008" priority="913">
      <formula>SEARCH("IN CORSO",$M34)&gt;0</formula>
    </cfRule>
    <cfRule type="expression" dxfId="1007" priority="914">
      <formula>SEARCH("CHIUSO",$M34)&gt;0</formula>
    </cfRule>
    <cfRule type="expression" dxfId="1006" priority="915">
      <formula>SEARCH("EMESSO",$M34)&gt;0</formula>
    </cfRule>
    <cfRule type="expression" dxfId="1005" priority="916">
      <formula>SEARCH("RICHIESTO",$M34)&gt;0</formula>
    </cfRule>
    <cfRule type="expression" dxfId="1004" priority="917">
      <formula>SEARCH("DA CHIUDERE",$M34)&gt;0</formula>
    </cfRule>
    <cfRule type="expression" dxfId="1003" priority="918">
      <formula>SEARCH("INTERROTTO",$M34)&gt;0</formula>
    </cfRule>
  </conditionalFormatting>
  <conditionalFormatting sqref="E34">
    <cfRule type="expression" dxfId="1002" priority="919">
      <formula>SEARCH("IN CORSO",$M34)&gt;0</formula>
    </cfRule>
    <cfRule type="expression" dxfId="1001" priority="920">
      <formula>SEARCH("CHIUSO",$M34)&gt;0</formula>
    </cfRule>
    <cfRule type="expression" dxfId="1000" priority="921">
      <formula>SEARCH("EMESSO",$M34)&gt;0</formula>
    </cfRule>
    <cfRule type="expression" dxfId="999" priority="922">
      <formula>SEARCH("RICHIESTO",$M34)&gt;0</formula>
    </cfRule>
    <cfRule type="expression" dxfId="998" priority="923">
      <formula>SEARCH("DA CHIUDERE",$M34)&gt;0</formula>
    </cfRule>
    <cfRule type="expression" dxfId="997" priority="924">
      <formula>SEARCH("INTERROTTO",$M34)&gt;0</formula>
    </cfRule>
  </conditionalFormatting>
  <conditionalFormatting sqref="F34">
    <cfRule type="expression" dxfId="996" priority="907">
      <formula>SEARCH("IN CORSO",$M34)&gt;0</formula>
    </cfRule>
    <cfRule type="expression" dxfId="995" priority="908">
      <formula>SEARCH("CHIUSO",$M34)&gt;0</formula>
    </cfRule>
    <cfRule type="expression" dxfId="994" priority="909">
      <formula>SEARCH("EMESSO",$M34)&gt;0</formula>
    </cfRule>
    <cfRule type="expression" dxfId="993" priority="910">
      <formula>SEARCH("RICHIESTO",$M34)&gt;0</formula>
    </cfRule>
    <cfRule type="expression" dxfId="992" priority="911">
      <formula>SEARCH("DA CHIUDERE",$M34)&gt;0</formula>
    </cfRule>
    <cfRule type="expression" dxfId="991" priority="912">
      <formula>SEARCH("INTERROTTO",$M34)&gt;0</formula>
    </cfRule>
  </conditionalFormatting>
  <conditionalFormatting sqref="M34">
    <cfRule type="expression" dxfId="990" priority="901">
      <formula>SEARCH("IN CORSO",$M34)&gt;0</formula>
    </cfRule>
    <cfRule type="expression" dxfId="989" priority="902">
      <formula>SEARCH("CHIUSO",$M34)&gt;0</formula>
    </cfRule>
    <cfRule type="expression" dxfId="988" priority="903">
      <formula>SEARCH("EMESSO",$M34)&gt;0</formula>
    </cfRule>
    <cfRule type="expression" dxfId="987" priority="904">
      <formula>SEARCH("RICHIESTO",$M34)&gt;0</formula>
    </cfRule>
    <cfRule type="expression" dxfId="986" priority="905">
      <formula>SEARCH("DA CHIUDERE",$M34)&gt;0</formula>
    </cfRule>
    <cfRule type="expression" dxfId="985" priority="906">
      <formula>SEARCH("INTERROTTO",$M34)&gt;0</formula>
    </cfRule>
  </conditionalFormatting>
  <conditionalFormatting sqref="N33:S33">
    <cfRule type="expression" dxfId="984" priority="895">
      <formula>SEARCH("IN CORSO",$M33)&gt;0</formula>
    </cfRule>
    <cfRule type="expression" dxfId="983" priority="896">
      <formula>SEARCH("CHIUSO",$M33)&gt;0</formula>
    </cfRule>
    <cfRule type="expression" dxfId="982" priority="897">
      <formula>SEARCH("EMESSO",$M33)&gt;0</formula>
    </cfRule>
    <cfRule type="expression" dxfId="981" priority="898">
      <formula>SEARCH("RICHIESTO",$M33)&gt;0</formula>
    </cfRule>
    <cfRule type="expression" dxfId="980" priority="899">
      <formula>SEARCH("DA CHIUDERE",$M33)&gt;0</formula>
    </cfRule>
    <cfRule type="expression" dxfId="979" priority="900">
      <formula>SEARCH("INTERROTTO",$M33)&gt;0</formula>
    </cfRule>
  </conditionalFormatting>
  <conditionalFormatting sqref="G33">
    <cfRule type="expression" dxfId="978" priority="883">
      <formula>SEARCH("IN CORSO",$M33)&gt;0</formula>
    </cfRule>
    <cfRule type="expression" dxfId="977" priority="884">
      <formula>SEARCH("CHIUSO",$M33)&gt;0</formula>
    </cfRule>
    <cfRule type="expression" dxfId="976" priority="885">
      <formula>SEARCH("EMESSO",$M33)&gt;0</formula>
    </cfRule>
    <cfRule type="expression" dxfId="975" priority="886">
      <formula>SEARCH("RICHIESTO",$M33)&gt;0</formula>
    </cfRule>
    <cfRule type="expression" dxfId="974" priority="887">
      <formula>SEARCH("DA CHIUDERE",$M33)&gt;0</formula>
    </cfRule>
    <cfRule type="expression" dxfId="973" priority="888">
      <formula>SEARCH("INTERROTTO",$M33)&gt;0</formula>
    </cfRule>
  </conditionalFormatting>
  <conditionalFormatting sqref="E33">
    <cfRule type="expression" dxfId="972" priority="889">
      <formula>SEARCH("IN CORSO",$M33)&gt;0</formula>
    </cfRule>
    <cfRule type="expression" dxfId="971" priority="890">
      <formula>SEARCH("CHIUSO",$M33)&gt;0</formula>
    </cfRule>
    <cfRule type="expression" dxfId="970" priority="891">
      <formula>SEARCH("EMESSO",$M33)&gt;0</formula>
    </cfRule>
    <cfRule type="expression" dxfId="969" priority="892">
      <formula>SEARCH("RICHIESTO",$M33)&gt;0</formula>
    </cfRule>
    <cfRule type="expression" dxfId="968" priority="893">
      <formula>SEARCH("DA CHIUDERE",$M33)&gt;0</formula>
    </cfRule>
    <cfRule type="expression" dxfId="967" priority="894">
      <formula>SEARCH("INTERROTTO",$M33)&gt;0</formula>
    </cfRule>
  </conditionalFormatting>
  <conditionalFormatting sqref="F33">
    <cfRule type="expression" dxfId="966" priority="877">
      <formula>SEARCH("IN CORSO",$M33)&gt;0</formula>
    </cfRule>
    <cfRule type="expression" dxfId="965" priority="878">
      <formula>SEARCH("CHIUSO",$M33)&gt;0</formula>
    </cfRule>
    <cfRule type="expression" dxfId="964" priority="879">
      <formula>SEARCH("EMESSO",$M33)&gt;0</formula>
    </cfRule>
    <cfRule type="expression" dxfId="963" priority="880">
      <formula>SEARCH("RICHIESTO",$M33)&gt;0</formula>
    </cfRule>
    <cfRule type="expression" dxfId="962" priority="881">
      <formula>SEARCH("DA CHIUDERE",$M33)&gt;0</formula>
    </cfRule>
    <cfRule type="expression" dxfId="961" priority="882">
      <formula>SEARCH("INTERROTTO",$M33)&gt;0</formula>
    </cfRule>
  </conditionalFormatting>
  <conditionalFormatting sqref="M33">
    <cfRule type="expression" dxfId="960" priority="871">
      <formula>SEARCH("IN CORSO",$M33)&gt;0</formula>
    </cfRule>
    <cfRule type="expression" dxfId="959" priority="872">
      <formula>SEARCH("CHIUSO",$M33)&gt;0</formula>
    </cfRule>
    <cfRule type="expression" dxfId="958" priority="873">
      <formula>SEARCH("EMESSO",$M33)&gt;0</formula>
    </cfRule>
    <cfRule type="expression" dxfId="957" priority="874">
      <formula>SEARCH("RICHIESTO",$M33)&gt;0</formula>
    </cfRule>
    <cfRule type="expression" dxfId="956" priority="875">
      <formula>SEARCH("DA CHIUDERE",$M33)&gt;0</formula>
    </cfRule>
    <cfRule type="expression" dxfId="955" priority="876">
      <formula>SEARCH("INTERROTTO",$M33)&gt;0</formula>
    </cfRule>
  </conditionalFormatting>
  <conditionalFormatting sqref="N32:S32">
    <cfRule type="expression" dxfId="954" priority="865">
      <formula>SEARCH("IN CORSO",$M32)&gt;0</formula>
    </cfRule>
    <cfRule type="expression" dxfId="953" priority="866">
      <formula>SEARCH("CHIUSO",$M32)&gt;0</formula>
    </cfRule>
    <cfRule type="expression" dxfId="952" priority="867">
      <formula>SEARCH("EMESSO",$M32)&gt;0</formula>
    </cfRule>
    <cfRule type="expression" dxfId="951" priority="868">
      <formula>SEARCH("RICHIESTO",$M32)&gt;0</formula>
    </cfRule>
    <cfRule type="expression" dxfId="950" priority="869">
      <formula>SEARCH("DA CHIUDERE",$M32)&gt;0</formula>
    </cfRule>
    <cfRule type="expression" dxfId="949" priority="870">
      <formula>SEARCH("INTERROTTO",$M32)&gt;0</formula>
    </cfRule>
  </conditionalFormatting>
  <conditionalFormatting sqref="G32">
    <cfRule type="expression" dxfId="948" priority="853">
      <formula>SEARCH("IN CORSO",$M32)&gt;0</formula>
    </cfRule>
    <cfRule type="expression" dxfId="947" priority="854">
      <formula>SEARCH("CHIUSO",$M32)&gt;0</formula>
    </cfRule>
    <cfRule type="expression" dxfId="946" priority="855">
      <formula>SEARCH("EMESSO",$M32)&gt;0</formula>
    </cfRule>
    <cfRule type="expression" dxfId="945" priority="856">
      <formula>SEARCH("RICHIESTO",$M32)&gt;0</formula>
    </cfRule>
    <cfRule type="expression" dxfId="944" priority="857">
      <formula>SEARCH("DA CHIUDERE",$M32)&gt;0</formula>
    </cfRule>
    <cfRule type="expression" dxfId="943" priority="858">
      <formula>SEARCH("INTERROTTO",$M32)&gt;0</formula>
    </cfRule>
  </conditionalFormatting>
  <conditionalFormatting sqref="E32">
    <cfRule type="expression" dxfId="942" priority="859">
      <formula>SEARCH("IN CORSO",$M32)&gt;0</formula>
    </cfRule>
    <cfRule type="expression" dxfId="941" priority="860">
      <formula>SEARCH("CHIUSO",$M32)&gt;0</formula>
    </cfRule>
    <cfRule type="expression" dxfId="940" priority="861">
      <formula>SEARCH("EMESSO",$M32)&gt;0</formula>
    </cfRule>
    <cfRule type="expression" dxfId="939" priority="862">
      <formula>SEARCH("RICHIESTO",$M32)&gt;0</formula>
    </cfRule>
    <cfRule type="expression" dxfId="938" priority="863">
      <formula>SEARCH("DA CHIUDERE",$M32)&gt;0</formula>
    </cfRule>
    <cfRule type="expression" dxfId="937" priority="864">
      <formula>SEARCH("INTERROTTO",$M32)&gt;0</formula>
    </cfRule>
  </conditionalFormatting>
  <conditionalFormatting sqref="F32">
    <cfRule type="expression" dxfId="936" priority="847">
      <formula>SEARCH("IN CORSO",$M32)&gt;0</formula>
    </cfRule>
    <cfRule type="expression" dxfId="935" priority="848">
      <formula>SEARCH("CHIUSO",$M32)&gt;0</formula>
    </cfRule>
    <cfRule type="expression" dxfId="934" priority="849">
      <formula>SEARCH("EMESSO",$M32)&gt;0</formula>
    </cfRule>
    <cfRule type="expression" dxfId="933" priority="850">
      <formula>SEARCH("RICHIESTO",$M32)&gt;0</formula>
    </cfRule>
    <cfRule type="expression" dxfId="932" priority="851">
      <formula>SEARCH("DA CHIUDERE",$M32)&gt;0</formula>
    </cfRule>
    <cfRule type="expression" dxfId="931" priority="852">
      <formula>SEARCH("INTERROTTO",$M32)&gt;0</formula>
    </cfRule>
  </conditionalFormatting>
  <conditionalFormatting sqref="M32">
    <cfRule type="expression" dxfId="930" priority="841">
      <formula>SEARCH("IN CORSO",$M32)&gt;0</formula>
    </cfRule>
    <cfRule type="expression" dxfId="929" priority="842">
      <formula>SEARCH("CHIUSO",$M32)&gt;0</formula>
    </cfRule>
    <cfRule type="expression" dxfId="928" priority="843">
      <formula>SEARCH("EMESSO",$M32)&gt;0</formula>
    </cfRule>
    <cfRule type="expression" dxfId="927" priority="844">
      <formula>SEARCH("RICHIESTO",$M32)&gt;0</formula>
    </cfRule>
    <cfRule type="expression" dxfId="926" priority="845">
      <formula>SEARCH("DA CHIUDERE",$M32)&gt;0</formula>
    </cfRule>
    <cfRule type="expression" dxfId="925" priority="846">
      <formula>SEARCH("INTERROTTO",$M32)&gt;0</formula>
    </cfRule>
  </conditionalFormatting>
  <conditionalFormatting sqref="N31:S31">
    <cfRule type="expression" dxfId="924" priority="835">
      <formula>SEARCH("IN CORSO",$M31)&gt;0</formula>
    </cfRule>
    <cfRule type="expression" dxfId="923" priority="836">
      <formula>SEARCH("CHIUSO",$M31)&gt;0</formula>
    </cfRule>
    <cfRule type="expression" dxfId="922" priority="837">
      <formula>SEARCH("EMESSO",$M31)&gt;0</formula>
    </cfRule>
    <cfRule type="expression" dxfId="921" priority="838">
      <formula>SEARCH("RICHIESTO",$M31)&gt;0</formula>
    </cfRule>
    <cfRule type="expression" dxfId="920" priority="839">
      <formula>SEARCH("DA CHIUDERE",$M31)&gt;0</formula>
    </cfRule>
    <cfRule type="expression" dxfId="919" priority="840">
      <formula>SEARCH("INTERROTTO",$M31)&gt;0</formula>
    </cfRule>
  </conditionalFormatting>
  <conditionalFormatting sqref="G31">
    <cfRule type="expression" dxfId="918" priority="823">
      <formula>SEARCH("IN CORSO",$M31)&gt;0</formula>
    </cfRule>
    <cfRule type="expression" dxfId="917" priority="824">
      <formula>SEARCH("CHIUSO",$M31)&gt;0</formula>
    </cfRule>
    <cfRule type="expression" dxfId="916" priority="825">
      <formula>SEARCH("EMESSO",$M31)&gt;0</formula>
    </cfRule>
    <cfRule type="expression" dxfId="915" priority="826">
      <formula>SEARCH("RICHIESTO",$M31)&gt;0</formula>
    </cfRule>
    <cfRule type="expression" dxfId="914" priority="827">
      <formula>SEARCH("DA CHIUDERE",$M31)&gt;0</formula>
    </cfRule>
    <cfRule type="expression" dxfId="913" priority="828">
      <formula>SEARCH("INTERROTTO",$M31)&gt;0</formula>
    </cfRule>
  </conditionalFormatting>
  <conditionalFormatting sqref="E31">
    <cfRule type="expression" dxfId="912" priority="829">
      <formula>SEARCH("IN CORSO",$M31)&gt;0</formula>
    </cfRule>
    <cfRule type="expression" dxfId="911" priority="830">
      <formula>SEARCH("CHIUSO",$M31)&gt;0</formula>
    </cfRule>
    <cfRule type="expression" dxfId="910" priority="831">
      <formula>SEARCH("EMESSO",$M31)&gt;0</formula>
    </cfRule>
    <cfRule type="expression" dxfId="909" priority="832">
      <formula>SEARCH("RICHIESTO",$M31)&gt;0</formula>
    </cfRule>
    <cfRule type="expression" dxfId="908" priority="833">
      <formula>SEARCH("DA CHIUDERE",$M31)&gt;0</formula>
    </cfRule>
    <cfRule type="expression" dxfId="907" priority="834">
      <formula>SEARCH("INTERROTTO",$M31)&gt;0</formula>
    </cfRule>
  </conditionalFormatting>
  <conditionalFormatting sqref="F31">
    <cfRule type="expression" dxfId="906" priority="817">
      <formula>SEARCH("IN CORSO",$M31)&gt;0</formula>
    </cfRule>
    <cfRule type="expression" dxfId="905" priority="818">
      <formula>SEARCH("CHIUSO",$M31)&gt;0</formula>
    </cfRule>
    <cfRule type="expression" dxfId="904" priority="819">
      <formula>SEARCH("EMESSO",$M31)&gt;0</formula>
    </cfRule>
    <cfRule type="expression" dxfId="903" priority="820">
      <formula>SEARCH("RICHIESTO",$M31)&gt;0</formula>
    </cfRule>
    <cfRule type="expression" dxfId="902" priority="821">
      <formula>SEARCH("DA CHIUDERE",$M31)&gt;0</formula>
    </cfRule>
    <cfRule type="expression" dxfId="901" priority="822">
      <formula>SEARCH("INTERROTTO",$M31)&gt;0</formula>
    </cfRule>
  </conditionalFormatting>
  <conditionalFormatting sqref="M31">
    <cfRule type="expression" dxfId="900" priority="811">
      <formula>SEARCH("IN CORSO",$M31)&gt;0</formula>
    </cfRule>
    <cfRule type="expression" dxfId="899" priority="812">
      <formula>SEARCH("CHIUSO",$M31)&gt;0</formula>
    </cfRule>
    <cfRule type="expression" dxfId="898" priority="813">
      <formula>SEARCH("EMESSO",$M31)&gt;0</formula>
    </cfRule>
    <cfRule type="expression" dxfId="897" priority="814">
      <formula>SEARCH("RICHIESTO",$M31)&gt;0</formula>
    </cfRule>
    <cfRule type="expression" dxfId="896" priority="815">
      <formula>SEARCH("DA CHIUDERE",$M31)&gt;0</formula>
    </cfRule>
    <cfRule type="expression" dxfId="895" priority="816">
      <formula>SEARCH("INTERROTTO",$M31)&gt;0</formula>
    </cfRule>
  </conditionalFormatting>
  <conditionalFormatting sqref="N30:S30">
    <cfRule type="expression" dxfId="894" priority="805">
      <formula>SEARCH("IN CORSO",$M30)&gt;0</formula>
    </cfRule>
    <cfRule type="expression" dxfId="893" priority="806">
      <formula>SEARCH("CHIUSO",$M30)&gt;0</formula>
    </cfRule>
    <cfRule type="expression" dxfId="892" priority="807">
      <formula>SEARCH("EMESSO",$M30)&gt;0</formula>
    </cfRule>
    <cfRule type="expression" dxfId="891" priority="808">
      <formula>SEARCH("RICHIESTO",$M30)&gt;0</formula>
    </cfRule>
    <cfRule type="expression" dxfId="890" priority="809">
      <formula>SEARCH("DA CHIUDERE",$M30)&gt;0</formula>
    </cfRule>
    <cfRule type="expression" dxfId="889" priority="810">
      <formula>SEARCH("INTERROTTO",$M30)&gt;0</formula>
    </cfRule>
  </conditionalFormatting>
  <conditionalFormatting sqref="G30">
    <cfRule type="expression" dxfId="888" priority="793">
      <formula>SEARCH("IN CORSO",$M30)&gt;0</formula>
    </cfRule>
    <cfRule type="expression" dxfId="887" priority="794">
      <formula>SEARCH("CHIUSO",$M30)&gt;0</formula>
    </cfRule>
    <cfRule type="expression" dxfId="886" priority="795">
      <formula>SEARCH("EMESSO",$M30)&gt;0</formula>
    </cfRule>
    <cfRule type="expression" dxfId="885" priority="796">
      <formula>SEARCH("RICHIESTO",$M30)&gt;0</formula>
    </cfRule>
    <cfRule type="expression" dxfId="884" priority="797">
      <formula>SEARCH("DA CHIUDERE",$M30)&gt;0</formula>
    </cfRule>
    <cfRule type="expression" dxfId="883" priority="798">
      <formula>SEARCH("INTERROTTO",$M30)&gt;0</formula>
    </cfRule>
  </conditionalFormatting>
  <conditionalFormatting sqref="E30">
    <cfRule type="expression" dxfId="882" priority="799">
      <formula>SEARCH("IN CORSO",$M30)&gt;0</formula>
    </cfRule>
    <cfRule type="expression" dxfId="881" priority="800">
      <formula>SEARCH("CHIUSO",$M30)&gt;0</formula>
    </cfRule>
    <cfRule type="expression" dxfId="880" priority="801">
      <formula>SEARCH("EMESSO",$M30)&gt;0</formula>
    </cfRule>
    <cfRule type="expression" dxfId="879" priority="802">
      <formula>SEARCH("RICHIESTO",$M30)&gt;0</formula>
    </cfRule>
    <cfRule type="expression" dxfId="878" priority="803">
      <formula>SEARCH("DA CHIUDERE",$M30)&gt;0</formula>
    </cfRule>
    <cfRule type="expression" dxfId="877" priority="804">
      <formula>SEARCH("INTERROTTO",$M30)&gt;0</formula>
    </cfRule>
  </conditionalFormatting>
  <conditionalFormatting sqref="F30">
    <cfRule type="expression" dxfId="876" priority="787">
      <formula>SEARCH("IN CORSO",$M30)&gt;0</formula>
    </cfRule>
    <cfRule type="expression" dxfId="875" priority="788">
      <formula>SEARCH("CHIUSO",$M30)&gt;0</formula>
    </cfRule>
    <cfRule type="expression" dxfId="874" priority="789">
      <formula>SEARCH("EMESSO",$M30)&gt;0</formula>
    </cfRule>
    <cfRule type="expression" dxfId="873" priority="790">
      <formula>SEARCH("RICHIESTO",$M30)&gt;0</formula>
    </cfRule>
    <cfRule type="expression" dxfId="872" priority="791">
      <formula>SEARCH("DA CHIUDERE",$M30)&gt;0</formula>
    </cfRule>
    <cfRule type="expression" dxfId="871" priority="792">
      <formula>SEARCH("INTERROTTO",$M30)&gt;0</formula>
    </cfRule>
  </conditionalFormatting>
  <conditionalFormatting sqref="M30">
    <cfRule type="expression" dxfId="870" priority="781">
      <formula>SEARCH("IN CORSO",$M30)&gt;0</formula>
    </cfRule>
    <cfRule type="expression" dxfId="869" priority="782">
      <formula>SEARCH("CHIUSO",$M30)&gt;0</formula>
    </cfRule>
    <cfRule type="expression" dxfId="868" priority="783">
      <formula>SEARCH("EMESSO",$M30)&gt;0</formula>
    </cfRule>
    <cfRule type="expression" dxfId="867" priority="784">
      <formula>SEARCH("RICHIESTO",$M30)&gt;0</formula>
    </cfRule>
    <cfRule type="expression" dxfId="866" priority="785">
      <formula>SEARCH("DA CHIUDERE",$M30)&gt;0</formula>
    </cfRule>
    <cfRule type="expression" dxfId="865" priority="786">
      <formula>SEARCH("INTERROTTO",$M30)&gt;0</formula>
    </cfRule>
  </conditionalFormatting>
  <conditionalFormatting sqref="N29:S29">
    <cfRule type="expression" dxfId="864" priority="775">
      <formula>SEARCH("IN CORSO",$M29)&gt;0</formula>
    </cfRule>
    <cfRule type="expression" dxfId="863" priority="776">
      <formula>SEARCH("CHIUSO",$M29)&gt;0</formula>
    </cfRule>
    <cfRule type="expression" dxfId="862" priority="777">
      <formula>SEARCH("EMESSO",$M29)&gt;0</formula>
    </cfRule>
    <cfRule type="expression" dxfId="861" priority="778">
      <formula>SEARCH("RICHIESTO",$M29)&gt;0</formula>
    </cfRule>
    <cfRule type="expression" dxfId="860" priority="779">
      <formula>SEARCH("DA CHIUDERE",$M29)&gt;0</formula>
    </cfRule>
    <cfRule type="expression" dxfId="859" priority="780">
      <formula>SEARCH("INTERROTTO",$M29)&gt;0</formula>
    </cfRule>
  </conditionalFormatting>
  <conditionalFormatting sqref="G29">
    <cfRule type="expression" dxfId="858" priority="763">
      <formula>SEARCH("IN CORSO",$M29)&gt;0</formula>
    </cfRule>
    <cfRule type="expression" dxfId="857" priority="764">
      <formula>SEARCH("CHIUSO",$M29)&gt;0</formula>
    </cfRule>
    <cfRule type="expression" dxfId="856" priority="765">
      <formula>SEARCH("EMESSO",$M29)&gt;0</formula>
    </cfRule>
    <cfRule type="expression" dxfId="855" priority="766">
      <formula>SEARCH("RICHIESTO",$M29)&gt;0</formula>
    </cfRule>
    <cfRule type="expression" dxfId="854" priority="767">
      <formula>SEARCH("DA CHIUDERE",$M29)&gt;0</formula>
    </cfRule>
    <cfRule type="expression" dxfId="853" priority="768">
      <formula>SEARCH("INTERROTTO",$M29)&gt;0</formula>
    </cfRule>
  </conditionalFormatting>
  <conditionalFormatting sqref="E29">
    <cfRule type="expression" dxfId="852" priority="769">
      <formula>SEARCH("IN CORSO",$M29)&gt;0</formula>
    </cfRule>
    <cfRule type="expression" dxfId="851" priority="770">
      <formula>SEARCH("CHIUSO",$M29)&gt;0</formula>
    </cfRule>
    <cfRule type="expression" dxfId="850" priority="771">
      <formula>SEARCH("EMESSO",$M29)&gt;0</formula>
    </cfRule>
    <cfRule type="expression" dxfId="849" priority="772">
      <formula>SEARCH("RICHIESTO",$M29)&gt;0</formula>
    </cfRule>
    <cfRule type="expression" dxfId="848" priority="773">
      <formula>SEARCH("DA CHIUDERE",$M29)&gt;0</formula>
    </cfRule>
    <cfRule type="expression" dxfId="847" priority="774">
      <formula>SEARCH("INTERROTTO",$M29)&gt;0</formula>
    </cfRule>
  </conditionalFormatting>
  <conditionalFormatting sqref="F29">
    <cfRule type="expression" dxfId="846" priority="757">
      <formula>SEARCH("IN CORSO",$M29)&gt;0</formula>
    </cfRule>
    <cfRule type="expression" dxfId="845" priority="758">
      <formula>SEARCH("CHIUSO",$M29)&gt;0</formula>
    </cfRule>
    <cfRule type="expression" dxfId="844" priority="759">
      <formula>SEARCH("EMESSO",$M29)&gt;0</formula>
    </cfRule>
    <cfRule type="expression" dxfId="843" priority="760">
      <formula>SEARCH("RICHIESTO",$M29)&gt;0</formula>
    </cfRule>
    <cfRule type="expression" dxfId="842" priority="761">
      <formula>SEARCH("DA CHIUDERE",$M29)&gt;0</formula>
    </cfRule>
    <cfRule type="expression" dxfId="841" priority="762">
      <formula>SEARCH("INTERROTTO",$M29)&gt;0</formula>
    </cfRule>
  </conditionalFormatting>
  <conditionalFormatting sqref="M29">
    <cfRule type="expression" dxfId="840" priority="751">
      <formula>SEARCH("IN CORSO",$M29)&gt;0</formula>
    </cfRule>
    <cfRule type="expression" dxfId="839" priority="752">
      <formula>SEARCH("CHIUSO",$M29)&gt;0</formula>
    </cfRule>
    <cfRule type="expression" dxfId="838" priority="753">
      <formula>SEARCH("EMESSO",$M29)&gt;0</formula>
    </cfRule>
    <cfRule type="expression" dxfId="837" priority="754">
      <formula>SEARCH("RICHIESTO",$M29)&gt;0</formula>
    </cfRule>
    <cfRule type="expression" dxfId="836" priority="755">
      <formula>SEARCH("DA CHIUDERE",$M29)&gt;0</formula>
    </cfRule>
    <cfRule type="expression" dxfId="835" priority="756">
      <formula>SEARCH("INTERROTTO",$M29)&gt;0</formula>
    </cfRule>
  </conditionalFormatting>
  <conditionalFormatting sqref="N28:S28">
    <cfRule type="expression" dxfId="834" priority="745">
      <formula>SEARCH("IN CORSO",$M28)&gt;0</formula>
    </cfRule>
    <cfRule type="expression" dxfId="833" priority="746">
      <formula>SEARCH("CHIUSO",$M28)&gt;0</formula>
    </cfRule>
    <cfRule type="expression" dxfId="832" priority="747">
      <formula>SEARCH("EMESSO",$M28)&gt;0</formula>
    </cfRule>
    <cfRule type="expression" dxfId="831" priority="748">
      <formula>SEARCH("RICHIESTO",$M28)&gt;0</formula>
    </cfRule>
    <cfRule type="expression" dxfId="830" priority="749">
      <formula>SEARCH("DA CHIUDERE",$M28)&gt;0</formula>
    </cfRule>
    <cfRule type="expression" dxfId="829" priority="750">
      <formula>SEARCH("INTERROTTO",$M28)&gt;0</formula>
    </cfRule>
  </conditionalFormatting>
  <conditionalFormatting sqref="G28">
    <cfRule type="expression" dxfId="828" priority="733">
      <formula>SEARCH("IN CORSO",$M28)&gt;0</formula>
    </cfRule>
    <cfRule type="expression" dxfId="827" priority="734">
      <formula>SEARCH("CHIUSO",$M28)&gt;0</formula>
    </cfRule>
    <cfRule type="expression" dxfId="826" priority="735">
      <formula>SEARCH("EMESSO",$M28)&gt;0</formula>
    </cfRule>
    <cfRule type="expression" dxfId="825" priority="736">
      <formula>SEARCH("RICHIESTO",$M28)&gt;0</formula>
    </cfRule>
    <cfRule type="expression" dxfId="824" priority="737">
      <formula>SEARCH("DA CHIUDERE",$M28)&gt;0</formula>
    </cfRule>
    <cfRule type="expression" dxfId="823" priority="738">
      <formula>SEARCH("INTERROTTO",$M28)&gt;0</formula>
    </cfRule>
  </conditionalFormatting>
  <conditionalFormatting sqref="E28">
    <cfRule type="expression" dxfId="822" priority="739">
      <formula>SEARCH("IN CORSO",$M28)&gt;0</formula>
    </cfRule>
    <cfRule type="expression" dxfId="821" priority="740">
      <formula>SEARCH("CHIUSO",$M28)&gt;0</formula>
    </cfRule>
    <cfRule type="expression" dxfId="820" priority="741">
      <formula>SEARCH("EMESSO",$M28)&gt;0</formula>
    </cfRule>
    <cfRule type="expression" dxfId="819" priority="742">
      <formula>SEARCH("RICHIESTO",$M28)&gt;0</formula>
    </cfRule>
    <cfRule type="expression" dxfId="818" priority="743">
      <formula>SEARCH("DA CHIUDERE",$M28)&gt;0</formula>
    </cfRule>
    <cfRule type="expression" dxfId="817" priority="744">
      <formula>SEARCH("INTERROTTO",$M28)&gt;0</formula>
    </cfRule>
  </conditionalFormatting>
  <conditionalFormatting sqref="F28">
    <cfRule type="expression" dxfId="816" priority="727">
      <formula>SEARCH("IN CORSO",$M28)&gt;0</formula>
    </cfRule>
    <cfRule type="expression" dxfId="815" priority="728">
      <formula>SEARCH("CHIUSO",$M28)&gt;0</formula>
    </cfRule>
    <cfRule type="expression" dxfId="814" priority="729">
      <formula>SEARCH("EMESSO",$M28)&gt;0</formula>
    </cfRule>
    <cfRule type="expression" dxfId="813" priority="730">
      <formula>SEARCH("RICHIESTO",$M28)&gt;0</formula>
    </cfRule>
    <cfRule type="expression" dxfId="812" priority="731">
      <formula>SEARCH("DA CHIUDERE",$M28)&gt;0</formula>
    </cfRule>
    <cfRule type="expression" dxfId="811" priority="732">
      <formula>SEARCH("INTERROTTO",$M28)&gt;0</formula>
    </cfRule>
  </conditionalFormatting>
  <conditionalFormatting sqref="M28">
    <cfRule type="expression" dxfId="810" priority="721">
      <formula>SEARCH("IN CORSO",$M28)&gt;0</formula>
    </cfRule>
    <cfRule type="expression" dxfId="809" priority="722">
      <formula>SEARCH("CHIUSO",$M28)&gt;0</formula>
    </cfRule>
    <cfRule type="expression" dxfId="808" priority="723">
      <formula>SEARCH("EMESSO",$M28)&gt;0</formula>
    </cfRule>
    <cfRule type="expression" dxfId="807" priority="724">
      <formula>SEARCH("RICHIESTO",$M28)&gt;0</formula>
    </cfRule>
    <cfRule type="expression" dxfId="806" priority="725">
      <formula>SEARCH("DA CHIUDERE",$M28)&gt;0</formula>
    </cfRule>
    <cfRule type="expression" dxfId="805" priority="726">
      <formula>SEARCH("INTERROTTO",$M28)&gt;0</formula>
    </cfRule>
  </conditionalFormatting>
  <conditionalFormatting sqref="N27:S27">
    <cfRule type="expression" dxfId="804" priority="715">
      <formula>SEARCH("IN CORSO",$M27)&gt;0</formula>
    </cfRule>
    <cfRule type="expression" dxfId="803" priority="716">
      <formula>SEARCH("CHIUSO",$M27)&gt;0</formula>
    </cfRule>
    <cfRule type="expression" dxfId="802" priority="717">
      <formula>SEARCH("EMESSO",$M27)&gt;0</formula>
    </cfRule>
    <cfRule type="expression" dxfId="801" priority="718">
      <formula>SEARCH("RICHIESTO",$M27)&gt;0</formula>
    </cfRule>
    <cfRule type="expression" dxfId="800" priority="719">
      <formula>SEARCH("DA CHIUDERE",$M27)&gt;0</formula>
    </cfRule>
    <cfRule type="expression" dxfId="799" priority="720">
      <formula>SEARCH("INTERROTTO",$M27)&gt;0</formula>
    </cfRule>
  </conditionalFormatting>
  <conditionalFormatting sqref="G27">
    <cfRule type="expression" dxfId="798" priority="703">
      <formula>SEARCH("IN CORSO",$M27)&gt;0</formula>
    </cfRule>
    <cfRule type="expression" dxfId="797" priority="704">
      <formula>SEARCH("CHIUSO",$M27)&gt;0</formula>
    </cfRule>
    <cfRule type="expression" dxfId="796" priority="705">
      <formula>SEARCH("EMESSO",$M27)&gt;0</formula>
    </cfRule>
    <cfRule type="expression" dxfId="795" priority="706">
      <formula>SEARCH("RICHIESTO",$M27)&gt;0</formula>
    </cfRule>
    <cfRule type="expression" dxfId="794" priority="707">
      <formula>SEARCH("DA CHIUDERE",$M27)&gt;0</formula>
    </cfRule>
    <cfRule type="expression" dxfId="793" priority="708">
      <formula>SEARCH("INTERROTTO",$M27)&gt;0</formula>
    </cfRule>
  </conditionalFormatting>
  <conditionalFormatting sqref="E27">
    <cfRule type="expression" dxfId="792" priority="709">
      <formula>SEARCH("IN CORSO",$M27)&gt;0</formula>
    </cfRule>
    <cfRule type="expression" dxfId="791" priority="710">
      <formula>SEARCH("CHIUSO",$M27)&gt;0</formula>
    </cfRule>
    <cfRule type="expression" dxfId="790" priority="711">
      <formula>SEARCH("EMESSO",$M27)&gt;0</formula>
    </cfRule>
    <cfRule type="expression" dxfId="789" priority="712">
      <formula>SEARCH("RICHIESTO",$M27)&gt;0</formula>
    </cfRule>
    <cfRule type="expression" dxfId="788" priority="713">
      <formula>SEARCH("DA CHIUDERE",$M27)&gt;0</formula>
    </cfRule>
    <cfRule type="expression" dxfId="787" priority="714">
      <formula>SEARCH("INTERROTTO",$M27)&gt;0</formula>
    </cfRule>
  </conditionalFormatting>
  <conditionalFormatting sqref="F27">
    <cfRule type="expression" dxfId="786" priority="697">
      <formula>SEARCH("IN CORSO",$M27)&gt;0</formula>
    </cfRule>
    <cfRule type="expression" dxfId="785" priority="698">
      <formula>SEARCH("CHIUSO",$M27)&gt;0</formula>
    </cfRule>
    <cfRule type="expression" dxfId="784" priority="699">
      <formula>SEARCH("EMESSO",$M27)&gt;0</formula>
    </cfRule>
    <cfRule type="expression" dxfId="783" priority="700">
      <formula>SEARCH("RICHIESTO",$M27)&gt;0</formula>
    </cfRule>
    <cfRule type="expression" dxfId="782" priority="701">
      <formula>SEARCH("DA CHIUDERE",$M27)&gt;0</formula>
    </cfRule>
    <cfRule type="expression" dxfId="781" priority="702">
      <formula>SEARCH("INTERROTTO",$M27)&gt;0</formula>
    </cfRule>
  </conditionalFormatting>
  <conditionalFormatting sqref="M27">
    <cfRule type="expression" dxfId="780" priority="691">
      <formula>SEARCH("IN CORSO",$M27)&gt;0</formula>
    </cfRule>
    <cfRule type="expression" dxfId="779" priority="692">
      <formula>SEARCH("CHIUSO",$M27)&gt;0</formula>
    </cfRule>
    <cfRule type="expression" dxfId="778" priority="693">
      <formula>SEARCH("EMESSO",$M27)&gt;0</formula>
    </cfRule>
    <cfRule type="expression" dxfId="777" priority="694">
      <formula>SEARCH("RICHIESTO",$M27)&gt;0</formula>
    </cfRule>
    <cfRule type="expression" dxfId="776" priority="695">
      <formula>SEARCH("DA CHIUDERE",$M27)&gt;0</formula>
    </cfRule>
    <cfRule type="expression" dxfId="775" priority="696">
      <formula>SEARCH("INTERROTTO",$M27)&gt;0</formula>
    </cfRule>
  </conditionalFormatting>
  <conditionalFormatting sqref="N26:S26">
    <cfRule type="expression" dxfId="774" priority="685">
      <formula>SEARCH("IN CORSO",$M26)&gt;0</formula>
    </cfRule>
    <cfRule type="expression" dxfId="773" priority="686">
      <formula>SEARCH("CHIUSO",$M26)&gt;0</formula>
    </cfRule>
    <cfRule type="expression" dxfId="772" priority="687">
      <formula>SEARCH("EMESSO",$M26)&gt;0</formula>
    </cfRule>
    <cfRule type="expression" dxfId="771" priority="688">
      <formula>SEARCH("RICHIESTO",$M26)&gt;0</formula>
    </cfRule>
    <cfRule type="expression" dxfId="770" priority="689">
      <formula>SEARCH("DA CHIUDERE",$M26)&gt;0</formula>
    </cfRule>
    <cfRule type="expression" dxfId="769" priority="690">
      <formula>SEARCH("INTERROTTO",$M26)&gt;0</formula>
    </cfRule>
  </conditionalFormatting>
  <conditionalFormatting sqref="G26">
    <cfRule type="expression" dxfId="768" priority="673">
      <formula>SEARCH("IN CORSO",$M26)&gt;0</formula>
    </cfRule>
    <cfRule type="expression" dxfId="767" priority="674">
      <formula>SEARCH("CHIUSO",$M26)&gt;0</formula>
    </cfRule>
    <cfRule type="expression" dxfId="766" priority="675">
      <formula>SEARCH("EMESSO",$M26)&gt;0</formula>
    </cfRule>
    <cfRule type="expression" dxfId="765" priority="676">
      <formula>SEARCH("RICHIESTO",$M26)&gt;0</formula>
    </cfRule>
    <cfRule type="expression" dxfId="764" priority="677">
      <formula>SEARCH("DA CHIUDERE",$M26)&gt;0</formula>
    </cfRule>
    <cfRule type="expression" dxfId="763" priority="678">
      <formula>SEARCH("INTERROTTO",$M26)&gt;0</formula>
    </cfRule>
  </conditionalFormatting>
  <conditionalFormatting sqref="E26">
    <cfRule type="expression" dxfId="762" priority="679">
      <formula>SEARCH("IN CORSO",$M26)&gt;0</formula>
    </cfRule>
    <cfRule type="expression" dxfId="761" priority="680">
      <formula>SEARCH("CHIUSO",$M26)&gt;0</formula>
    </cfRule>
    <cfRule type="expression" dxfId="760" priority="681">
      <formula>SEARCH("EMESSO",$M26)&gt;0</formula>
    </cfRule>
    <cfRule type="expression" dxfId="759" priority="682">
      <formula>SEARCH("RICHIESTO",$M26)&gt;0</formula>
    </cfRule>
    <cfRule type="expression" dxfId="758" priority="683">
      <formula>SEARCH("DA CHIUDERE",$M26)&gt;0</formula>
    </cfRule>
    <cfRule type="expression" dxfId="757" priority="684">
      <formula>SEARCH("INTERROTTO",$M26)&gt;0</formula>
    </cfRule>
  </conditionalFormatting>
  <conditionalFormatting sqref="F26">
    <cfRule type="expression" dxfId="756" priority="667">
      <formula>SEARCH("IN CORSO",$M26)&gt;0</formula>
    </cfRule>
    <cfRule type="expression" dxfId="755" priority="668">
      <formula>SEARCH("CHIUSO",$M26)&gt;0</formula>
    </cfRule>
    <cfRule type="expression" dxfId="754" priority="669">
      <formula>SEARCH("EMESSO",$M26)&gt;0</formula>
    </cfRule>
    <cfRule type="expression" dxfId="753" priority="670">
      <formula>SEARCH("RICHIESTO",$M26)&gt;0</formula>
    </cfRule>
    <cfRule type="expression" dxfId="752" priority="671">
      <formula>SEARCH("DA CHIUDERE",$M26)&gt;0</formula>
    </cfRule>
    <cfRule type="expression" dxfId="751" priority="672">
      <formula>SEARCH("INTERROTTO",$M26)&gt;0</formula>
    </cfRule>
  </conditionalFormatting>
  <conditionalFormatting sqref="M26">
    <cfRule type="expression" dxfId="750" priority="661">
      <formula>SEARCH("IN CORSO",$M26)&gt;0</formula>
    </cfRule>
    <cfRule type="expression" dxfId="749" priority="662">
      <formula>SEARCH("CHIUSO",$M26)&gt;0</formula>
    </cfRule>
    <cfRule type="expression" dxfId="748" priority="663">
      <formula>SEARCH("EMESSO",$M26)&gt;0</formula>
    </cfRule>
    <cfRule type="expression" dxfId="747" priority="664">
      <formula>SEARCH("RICHIESTO",$M26)&gt;0</formula>
    </cfRule>
    <cfRule type="expression" dxfId="746" priority="665">
      <formula>SEARCH("DA CHIUDERE",$M26)&gt;0</formula>
    </cfRule>
    <cfRule type="expression" dxfId="745" priority="666">
      <formula>SEARCH("INTERROTTO",$M26)&gt;0</formula>
    </cfRule>
  </conditionalFormatting>
  <conditionalFormatting sqref="N25:S25">
    <cfRule type="expression" dxfId="744" priority="655">
      <formula>SEARCH("IN CORSO",$M25)&gt;0</formula>
    </cfRule>
    <cfRule type="expression" dxfId="743" priority="656">
      <formula>SEARCH("CHIUSO",$M25)&gt;0</formula>
    </cfRule>
    <cfRule type="expression" dxfId="742" priority="657">
      <formula>SEARCH("EMESSO",$M25)&gt;0</formula>
    </cfRule>
    <cfRule type="expression" dxfId="741" priority="658">
      <formula>SEARCH("RICHIESTO",$M25)&gt;0</formula>
    </cfRule>
    <cfRule type="expression" dxfId="740" priority="659">
      <formula>SEARCH("DA CHIUDERE",$M25)&gt;0</formula>
    </cfRule>
    <cfRule type="expression" dxfId="739" priority="660">
      <formula>SEARCH("INTERROTTO",$M25)&gt;0</formula>
    </cfRule>
  </conditionalFormatting>
  <conditionalFormatting sqref="G25">
    <cfRule type="expression" dxfId="738" priority="643">
      <formula>SEARCH("IN CORSO",$M25)&gt;0</formula>
    </cfRule>
    <cfRule type="expression" dxfId="737" priority="644">
      <formula>SEARCH("CHIUSO",$M25)&gt;0</formula>
    </cfRule>
    <cfRule type="expression" dxfId="736" priority="645">
      <formula>SEARCH("EMESSO",$M25)&gt;0</formula>
    </cfRule>
    <cfRule type="expression" dxfId="735" priority="646">
      <formula>SEARCH("RICHIESTO",$M25)&gt;0</formula>
    </cfRule>
    <cfRule type="expression" dxfId="734" priority="647">
      <formula>SEARCH("DA CHIUDERE",$M25)&gt;0</formula>
    </cfRule>
    <cfRule type="expression" dxfId="733" priority="648">
      <formula>SEARCH("INTERROTTO",$M25)&gt;0</formula>
    </cfRule>
  </conditionalFormatting>
  <conditionalFormatting sqref="E25">
    <cfRule type="expression" dxfId="732" priority="649">
      <formula>SEARCH("IN CORSO",$M25)&gt;0</formula>
    </cfRule>
    <cfRule type="expression" dxfId="731" priority="650">
      <formula>SEARCH("CHIUSO",$M25)&gt;0</formula>
    </cfRule>
    <cfRule type="expression" dxfId="730" priority="651">
      <formula>SEARCH("EMESSO",$M25)&gt;0</formula>
    </cfRule>
    <cfRule type="expression" dxfId="729" priority="652">
      <formula>SEARCH("RICHIESTO",$M25)&gt;0</formula>
    </cfRule>
    <cfRule type="expression" dxfId="728" priority="653">
      <formula>SEARCH("DA CHIUDERE",$M25)&gt;0</formula>
    </cfRule>
    <cfRule type="expression" dxfId="727" priority="654">
      <formula>SEARCH("INTERROTTO",$M25)&gt;0</formula>
    </cfRule>
  </conditionalFormatting>
  <conditionalFormatting sqref="F25">
    <cfRule type="expression" dxfId="726" priority="637">
      <formula>SEARCH("IN CORSO",$M25)&gt;0</formula>
    </cfRule>
    <cfRule type="expression" dxfId="725" priority="638">
      <formula>SEARCH("CHIUSO",$M25)&gt;0</formula>
    </cfRule>
    <cfRule type="expression" dxfId="724" priority="639">
      <formula>SEARCH("EMESSO",$M25)&gt;0</formula>
    </cfRule>
    <cfRule type="expression" dxfId="723" priority="640">
      <formula>SEARCH("RICHIESTO",$M25)&gt;0</formula>
    </cfRule>
    <cfRule type="expression" dxfId="722" priority="641">
      <formula>SEARCH("DA CHIUDERE",$M25)&gt;0</formula>
    </cfRule>
    <cfRule type="expression" dxfId="721" priority="642">
      <formula>SEARCH("INTERROTTO",$M25)&gt;0</formula>
    </cfRule>
  </conditionalFormatting>
  <conditionalFormatting sqref="M25">
    <cfRule type="expression" dxfId="720" priority="631">
      <formula>SEARCH("IN CORSO",$M25)&gt;0</formula>
    </cfRule>
    <cfRule type="expression" dxfId="719" priority="632">
      <formula>SEARCH("CHIUSO",$M25)&gt;0</formula>
    </cfRule>
    <cfRule type="expression" dxfId="718" priority="633">
      <formula>SEARCH("EMESSO",$M25)&gt;0</formula>
    </cfRule>
    <cfRule type="expression" dxfId="717" priority="634">
      <formula>SEARCH("RICHIESTO",$M25)&gt;0</formula>
    </cfRule>
    <cfRule type="expression" dxfId="716" priority="635">
      <formula>SEARCH("DA CHIUDERE",$M25)&gt;0</formula>
    </cfRule>
    <cfRule type="expression" dxfId="715" priority="636">
      <formula>SEARCH("INTERROTTO",$M25)&gt;0</formula>
    </cfRule>
  </conditionalFormatting>
  <conditionalFormatting sqref="N24:S24">
    <cfRule type="expression" dxfId="714" priority="625">
      <formula>SEARCH("IN CORSO",$M24)&gt;0</formula>
    </cfRule>
    <cfRule type="expression" dxfId="713" priority="626">
      <formula>SEARCH("CHIUSO",$M24)&gt;0</formula>
    </cfRule>
    <cfRule type="expression" dxfId="712" priority="627">
      <formula>SEARCH("EMESSO",$M24)&gt;0</formula>
    </cfRule>
    <cfRule type="expression" dxfId="711" priority="628">
      <formula>SEARCH("RICHIESTO",$M24)&gt;0</formula>
    </cfRule>
    <cfRule type="expression" dxfId="710" priority="629">
      <formula>SEARCH("DA CHIUDERE",$M24)&gt;0</formula>
    </cfRule>
    <cfRule type="expression" dxfId="709" priority="630">
      <formula>SEARCH("INTERROTTO",$M24)&gt;0</formula>
    </cfRule>
  </conditionalFormatting>
  <conditionalFormatting sqref="G24">
    <cfRule type="expression" dxfId="708" priority="613">
      <formula>SEARCH("IN CORSO",$M24)&gt;0</formula>
    </cfRule>
    <cfRule type="expression" dxfId="707" priority="614">
      <formula>SEARCH("CHIUSO",$M24)&gt;0</formula>
    </cfRule>
    <cfRule type="expression" dxfId="706" priority="615">
      <formula>SEARCH("EMESSO",$M24)&gt;0</formula>
    </cfRule>
    <cfRule type="expression" dxfId="705" priority="616">
      <formula>SEARCH("RICHIESTO",$M24)&gt;0</formula>
    </cfRule>
    <cfRule type="expression" dxfId="704" priority="617">
      <formula>SEARCH("DA CHIUDERE",$M24)&gt;0</formula>
    </cfRule>
    <cfRule type="expression" dxfId="703" priority="618">
      <formula>SEARCH("INTERROTTO",$M24)&gt;0</formula>
    </cfRule>
  </conditionalFormatting>
  <conditionalFormatting sqref="E24">
    <cfRule type="expression" dxfId="702" priority="619">
      <formula>SEARCH("IN CORSO",$M24)&gt;0</formula>
    </cfRule>
    <cfRule type="expression" dxfId="701" priority="620">
      <formula>SEARCH("CHIUSO",$M24)&gt;0</formula>
    </cfRule>
    <cfRule type="expression" dxfId="700" priority="621">
      <formula>SEARCH("EMESSO",$M24)&gt;0</formula>
    </cfRule>
    <cfRule type="expression" dxfId="699" priority="622">
      <formula>SEARCH("RICHIESTO",$M24)&gt;0</formula>
    </cfRule>
    <cfRule type="expression" dxfId="698" priority="623">
      <formula>SEARCH("DA CHIUDERE",$M24)&gt;0</formula>
    </cfRule>
    <cfRule type="expression" dxfId="697" priority="624">
      <formula>SEARCH("INTERROTTO",$M24)&gt;0</formula>
    </cfRule>
  </conditionalFormatting>
  <conditionalFormatting sqref="F24">
    <cfRule type="expression" dxfId="696" priority="607">
      <formula>SEARCH("IN CORSO",$M24)&gt;0</formula>
    </cfRule>
    <cfRule type="expression" dxfId="695" priority="608">
      <formula>SEARCH("CHIUSO",$M24)&gt;0</formula>
    </cfRule>
    <cfRule type="expression" dxfId="694" priority="609">
      <formula>SEARCH("EMESSO",$M24)&gt;0</formula>
    </cfRule>
    <cfRule type="expression" dxfId="693" priority="610">
      <formula>SEARCH("RICHIESTO",$M24)&gt;0</formula>
    </cfRule>
    <cfRule type="expression" dxfId="692" priority="611">
      <formula>SEARCH("DA CHIUDERE",$M24)&gt;0</formula>
    </cfRule>
    <cfRule type="expression" dxfId="691" priority="612">
      <formula>SEARCH("INTERROTTO",$M24)&gt;0</formula>
    </cfRule>
  </conditionalFormatting>
  <conditionalFormatting sqref="M24">
    <cfRule type="expression" dxfId="690" priority="601">
      <formula>SEARCH("IN CORSO",$M24)&gt;0</formula>
    </cfRule>
    <cfRule type="expression" dxfId="689" priority="602">
      <formula>SEARCH("CHIUSO",$M24)&gt;0</formula>
    </cfRule>
    <cfRule type="expression" dxfId="688" priority="603">
      <formula>SEARCH("EMESSO",$M24)&gt;0</formula>
    </cfRule>
    <cfRule type="expression" dxfId="687" priority="604">
      <formula>SEARCH("RICHIESTO",$M24)&gt;0</formula>
    </cfRule>
    <cfRule type="expression" dxfId="686" priority="605">
      <formula>SEARCH("DA CHIUDERE",$M24)&gt;0</formula>
    </cfRule>
    <cfRule type="expression" dxfId="685" priority="606">
      <formula>SEARCH("INTERROTTO",$M24)&gt;0</formula>
    </cfRule>
  </conditionalFormatting>
  <conditionalFormatting sqref="N23:S23">
    <cfRule type="expression" dxfId="684" priority="595">
      <formula>SEARCH("IN CORSO",$M23)&gt;0</formula>
    </cfRule>
    <cfRule type="expression" dxfId="683" priority="596">
      <formula>SEARCH("CHIUSO",$M23)&gt;0</formula>
    </cfRule>
    <cfRule type="expression" dxfId="682" priority="597">
      <formula>SEARCH("EMESSO",$M23)&gt;0</formula>
    </cfRule>
    <cfRule type="expression" dxfId="681" priority="598">
      <formula>SEARCH("RICHIESTO",$M23)&gt;0</formula>
    </cfRule>
    <cfRule type="expression" dxfId="680" priority="599">
      <formula>SEARCH("DA CHIUDERE",$M23)&gt;0</formula>
    </cfRule>
    <cfRule type="expression" dxfId="679" priority="600">
      <formula>SEARCH("INTERROTTO",$M23)&gt;0</formula>
    </cfRule>
  </conditionalFormatting>
  <conditionalFormatting sqref="G23">
    <cfRule type="expression" dxfId="678" priority="583">
      <formula>SEARCH("IN CORSO",$M23)&gt;0</formula>
    </cfRule>
    <cfRule type="expression" dxfId="677" priority="584">
      <formula>SEARCH("CHIUSO",$M23)&gt;0</formula>
    </cfRule>
    <cfRule type="expression" dxfId="676" priority="585">
      <formula>SEARCH("EMESSO",$M23)&gt;0</formula>
    </cfRule>
    <cfRule type="expression" dxfId="675" priority="586">
      <formula>SEARCH("RICHIESTO",$M23)&gt;0</formula>
    </cfRule>
    <cfRule type="expression" dxfId="674" priority="587">
      <formula>SEARCH("DA CHIUDERE",$M23)&gt;0</formula>
    </cfRule>
    <cfRule type="expression" dxfId="673" priority="588">
      <formula>SEARCH("INTERROTTO",$M23)&gt;0</formula>
    </cfRule>
  </conditionalFormatting>
  <conditionalFormatting sqref="E23">
    <cfRule type="expression" dxfId="672" priority="589">
      <formula>SEARCH("IN CORSO",$M23)&gt;0</formula>
    </cfRule>
    <cfRule type="expression" dxfId="671" priority="590">
      <formula>SEARCH("CHIUSO",$M23)&gt;0</formula>
    </cfRule>
    <cfRule type="expression" dxfId="670" priority="591">
      <formula>SEARCH("EMESSO",$M23)&gt;0</formula>
    </cfRule>
    <cfRule type="expression" dxfId="669" priority="592">
      <formula>SEARCH("RICHIESTO",$M23)&gt;0</formula>
    </cfRule>
    <cfRule type="expression" dxfId="668" priority="593">
      <formula>SEARCH("DA CHIUDERE",$M23)&gt;0</formula>
    </cfRule>
    <cfRule type="expression" dxfId="667" priority="594">
      <formula>SEARCH("INTERROTTO",$M23)&gt;0</formula>
    </cfRule>
  </conditionalFormatting>
  <conditionalFormatting sqref="F23">
    <cfRule type="expression" dxfId="666" priority="577">
      <formula>SEARCH("IN CORSO",$M23)&gt;0</formula>
    </cfRule>
    <cfRule type="expression" dxfId="665" priority="578">
      <formula>SEARCH("CHIUSO",$M23)&gt;0</formula>
    </cfRule>
    <cfRule type="expression" dxfId="664" priority="579">
      <formula>SEARCH("EMESSO",$M23)&gt;0</formula>
    </cfRule>
    <cfRule type="expression" dxfId="663" priority="580">
      <formula>SEARCH("RICHIESTO",$M23)&gt;0</formula>
    </cfRule>
    <cfRule type="expression" dxfId="662" priority="581">
      <formula>SEARCH("DA CHIUDERE",$M23)&gt;0</formula>
    </cfRule>
    <cfRule type="expression" dxfId="661" priority="582">
      <formula>SEARCH("INTERROTTO",$M23)&gt;0</formula>
    </cfRule>
  </conditionalFormatting>
  <conditionalFormatting sqref="M23">
    <cfRule type="expression" dxfId="660" priority="571">
      <formula>SEARCH("IN CORSO",$M23)&gt;0</formula>
    </cfRule>
    <cfRule type="expression" dxfId="659" priority="572">
      <formula>SEARCH("CHIUSO",$M23)&gt;0</formula>
    </cfRule>
    <cfRule type="expression" dxfId="658" priority="573">
      <formula>SEARCH("EMESSO",$M23)&gt;0</formula>
    </cfRule>
    <cfRule type="expression" dxfId="657" priority="574">
      <formula>SEARCH("RICHIESTO",$M23)&gt;0</formula>
    </cfRule>
    <cfRule type="expression" dxfId="656" priority="575">
      <formula>SEARCH("DA CHIUDERE",$M23)&gt;0</formula>
    </cfRule>
    <cfRule type="expression" dxfId="655" priority="576">
      <formula>SEARCH("INTERROTTO",$M23)&gt;0</formula>
    </cfRule>
  </conditionalFormatting>
  <conditionalFormatting sqref="N22:S22">
    <cfRule type="expression" dxfId="654" priority="565">
      <formula>SEARCH("IN CORSO",$M22)&gt;0</formula>
    </cfRule>
    <cfRule type="expression" dxfId="653" priority="566">
      <formula>SEARCH("CHIUSO",$M22)&gt;0</formula>
    </cfRule>
    <cfRule type="expression" dxfId="652" priority="567">
      <formula>SEARCH("EMESSO",$M22)&gt;0</formula>
    </cfRule>
    <cfRule type="expression" dxfId="651" priority="568">
      <formula>SEARCH("RICHIESTO",$M22)&gt;0</formula>
    </cfRule>
    <cfRule type="expression" dxfId="650" priority="569">
      <formula>SEARCH("DA CHIUDERE",$M22)&gt;0</formula>
    </cfRule>
    <cfRule type="expression" dxfId="649" priority="570">
      <formula>SEARCH("INTERROTTO",$M22)&gt;0</formula>
    </cfRule>
  </conditionalFormatting>
  <conditionalFormatting sqref="G22">
    <cfRule type="expression" dxfId="648" priority="553">
      <formula>SEARCH("IN CORSO",$M22)&gt;0</formula>
    </cfRule>
    <cfRule type="expression" dxfId="647" priority="554">
      <formula>SEARCH("CHIUSO",$M22)&gt;0</formula>
    </cfRule>
    <cfRule type="expression" dxfId="646" priority="555">
      <formula>SEARCH("EMESSO",$M22)&gt;0</formula>
    </cfRule>
    <cfRule type="expression" dxfId="645" priority="556">
      <formula>SEARCH("RICHIESTO",$M22)&gt;0</formula>
    </cfRule>
    <cfRule type="expression" dxfId="644" priority="557">
      <formula>SEARCH("DA CHIUDERE",$M22)&gt;0</formula>
    </cfRule>
    <cfRule type="expression" dxfId="643" priority="558">
      <formula>SEARCH("INTERROTTO",$M22)&gt;0</formula>
    </cfRule>
  </conditionalFormatting>
  <conditionalFormatting sqref="E22">
    <cfRule type="expression" dxfId="642" priority="559">
      <formula>SEARCH("IN CORSO",$M22)&gt;0</formula>
    </cfRule>
    <cfRule type="expression" dxfId="641" priority="560">
      <formula>SEARCH("CHIUSO",$M22)&gt;0</formula>
    </cfRule>
    <cfRule type="expression" dxfId="640" priority="561">
      <formula>SEARCH("EMESSO",$M22)&gt;0</formula>
    </cfRule>
    <cfRule type="expression" dxfId="639" priority="562">
      <formula>SEARCH("RICHIESTO",$M22)&gt;0</formula>
    </cfRule>
    <cfRule type="expression" dxfId="638" priority="563">
      <formula>SEARCH("DA CHIUDERE",$M22)&gt;0</formula>
    </cfRule>
    <cfRule type="expression" dxfId="637" priority="564">
      <formula>SEARCH("INTERROTTO",$M22)&gt;0</formula>
    </cfRule>
  </conditionalFormatting>
  <conditionalFormatting sqref="F22">
    <cfRule type="expression" dxfId="636" priority="547">
      <formula>SEARCH("IN CORSO",$M22)&gt;0</formula>
    </cfRule>
    <cfRule type="expression" dxfId="635" priority="548">
      <formula>SEARCH("CHIUSO",$M22)&gt;0</formula>
    </cfRule>
    <cfRule type="expression" dxfId="634" priority="549">
      <formula>SEARCH("EMESSO",$M22)&gt;0</formula>
    </cfRule>
    <cfRule type="expression" dxfId="633" priority="550">
      <formula>SEARCH("RICHIESTO",$M22)&gt;0</formula>
    </cfRule>
    <cfRule type="expression" dxfId="632" priority="551">
      <formula>SEARCH("DA CHIUDERE",$M22)&gt;0</formula>
    </cfRule>
    <cfRule type="expression" dxfId="631" priority="552">
      <formula>SEARCH("INTERROTTO",$M22)&gt;0</formula>
    </cfRule>
  </conditionalFormatting>
  <conditionalFormatting sqref="M22">
    <cfRule type="expression" dxfId="630" priority="541">
      <formula>SEARCH("IN CORSO",$M22)&gt;0</formula>
    </cfRule>
    <cfRule type="expression" dxfId="629" priority="542">
      <formula>SEARCH("CHIUSO",$M22)&gt;0</formula>
    </cfRule>
    <cfRule type="expression" dxfId="628" priority="543">
      <formula>SEARCH("EMESSO",$M22)&gt;0</formula>
    </cfRule>
    <cfRule type="expression" dxfId="627" priority="544">
      <formula>SEARCH("RICHIESTO",$M22)&gt;0</formula>
    </cfRule>
    <cfRule type="expression" dxfId="626" priority="545">
      <formula>SEARCH("DA CHIUDERE",$M22)&gt;0</formula>
    </cfRule>
    <cfRule type="expression" dxfId="625" priority="546">
      <formula>SEARCH("INTERROTTO",$M22)&gt;0</formula>
    </cfRule>
  </conditionalFormatting>
  <conditionalFormatting sqref="N21:S21">
    <cfRule type="expression" dxfId="624" priority="535">
      <formula>SEARCH("IN CORSO",$M21)&gt;0</formula>
    </cfRule>
    <cfRule type="expression" dxfId="623" priority="536">
      <formula>SEARCH("CHIUSO",$M21)&gt;0</formula>
    </cfRule>
    <cfRule type="expression" dxfId="622" priority="537">
      <formula>SEARCH("EMESSO",$M21)&gt;0</formula>
    </cfRule>
    <cfRule type="expression" dxfId="621" priority="538">
      <formula>SEARCH("RICHIESTO",$M21)&gt;0</formula>
    </cfRule>
    <cfRule type="expression" dxfId="620" priority="539">
      <formula>SEARCH("DA CHIUDERE",$M21)&gt;0</formula>
    </cfRule>
    <cfRule type="expression" dxfId="619" priority="540">
      <formula>SEARCH("INTERROTTO",$M21)&gt;0</formula>
    </cfRule>
  </conditionalFormatting>
  <conditionalFormatting sqref="G21">
    <cfRule type="expression" dxfId="618" priority="523">
      <formula>SEARCH("IN CORSO",$M21)&gt;0</formula>
    </cfRule>
    <cfRule type="expression" dxfId="617" priority="524">
      <formula>SEARCH("CHIUSO",$M21)&gt;0</formula>
    </cfRule>
    <cfRule type="expression" dxfId="616" priority="525">
      <formula>SEARCH("EMESSO",$M21)&gt;0</formula>
    </cfRule>
    <cfRule type="expression" dxfId="615" priority="526">
      <formula>SEARCH("RICHIESTO",$M21)&gt;0</formula>
    </cfRule>
    <cfRule type="expression" dxfId="614" priority="527">
      <formula>SEARCH("DA CHIUDERE",$M21)&gt;0</formula>
    </cfRule>
    <cfRule type="expression" dxfId="613" priority="528">
      <formula>SEARCH("INTERROTTO",$M21)&gt;0</formula>
    </cfRule>
  </conditionalFormatting>
  <conditionalFormatting sqref="E21">
    <cfRule type="expression" dxfId="612" priority="529">
      <formula>SEARCH("IN CORSO",$M21)&gt;0</formula>
    </cfRule>
    <cfRule type="expression" dxfId="611" priority="530">
      <formula>SEARCH("CHIUSO",$M21)&gt;0</formula>
    </cfRule>
    <cfRule type="expression" dxfId="610" priority="531">
      <formula>SEARCH("EMESSO",$M21)&gt;0</formula>
    </cfRule>
    <cfRule type="expression" dxfId="609" priority="532">
      <formula>SEARCH("RICHIESTO",$M21)&gt;0</formula>
    </cfRule>
    <cfRule type="expression" dxfId="608" priority="533">
      <formula>SEARCH("DA CHIUDERE",$M21)&gt;0</formula>
    </cfRule>
    <cfRule type="expression" dxfId="607" priority="534">
      <formula>SEARCH("INTERROTTO",$M21)&gt;0</formula>
    </cfRule>
  </conditionalFormatting>
  <conditionalFormatting sqref="F21">
    <cfRule type="expression" dxfId="606" priority="517">
      <formula>SEARCH("IN CORSO",$M21)&gt;0</formula>
    </cfRule>
    <cfRule type="expression" dxfId="605" priority="518">
      <formula>SEARCH("CHIUSO",$M21)&gt;0</formula>
    </cfRule>
    <cfRule type="expression" dxfId="604" priority="519">
      <formula>SEARCH("EMESSO",$M21)&gt;0</formula>
    </cfRule>
    <cfRule type="expression" dxfId="603" priority="520">
      <formula>SEARCH("RICHIESTO",$M21)&gt;0</formula>
    </cfRule>
    <cfRule type="expression" dxfId="602" priority="521">
      <formula>SEARCH("DA CHIUDERE",$M21)&gt;0</formula>
    </cfRule>
    <cfRule type="expression" dxfId="601" priority="522">
      <formula>SEARCH("INTERROTTO",$M21)&gt;0</formula>
    </cfRule>
  </conditionalFormatting>
  <conditionalFormatting sqref="M21">
    <cfRule type="expression" dxfId="600" priority="511">
      <formula>SEARCH("IN CORSO",$M21)&gt;0</formula>
    </cfRule>
    <cfRule type="expression" dxfId="599" priority="512">
      <formula>SEARCH("CHIUSO",$M21)&gt;0</formula>
    </cfRule>
    <cfRule type="expression" dxfId="598" priority="513">
      <formula>SEARCH("EMESSO",$M21)&gt;0</formula>
    </cfRule>
    <cfRule type="expression" dxfId="597" priority="514">
      <formula>SEARCH("RICHIESTO",$M21)&gt;0</formula>
    </cfRule>
    <cfRule type="expression" dxfId="596" priority="515">
      <formula>SEARCH("DA CHIUDERE",$M21)&gt;0</formula>
    </cfRule>
    <cfRule type="expression" dxfId="595" priority="516">
      <formula>SEARCH("INTERROTTO",$M21)&gt;0</formula>
    </cfRule>
  </conditionalFormatting>
  <conditionalFormatting sqref="N20:S20">
    <cfRule type="expression" dxfId="594" priority="505">
      <formula>SEARCH("IN CORSO",$M20)&gt;0</formula>
    </cfRule>
    <cfRule type="expression" dxfId="593" priority="506">
      <formula>SEARCH("CHIUSO",$M20)&gt;0</formula>
    </cfRule>
    <cfRule type="expression" dxfId="592" priority="507">
      <formula>SEARCH("EMESSO",$M20)&gt;0</formula>
    </cfRule>
    <cfRule type="expression" dxfId="591" priority="508">
      <formula>SEARCH("RICHIESTO",$M20)&gt;0</formula>
    </cfRule>
    <cfRule type="expression" dxfId="590" priority="509">
      <formula>SEARCH("DA CHIUDERE",$M20)&gt;0</formula>
    </cfRule>
    <cfRule type="expression" dxfId="589" priority="510">
      <formula>SEARCH("INTERROTTO",$M20)&gt;0</formula>
    </cfRule>
  </conditionalFormatting>
  <conditionalFormatting sqref="G20">
    <cfRule type="expression" dxfId="588" priority="493">
      <formula>SEARCH("IN CORSO",$M20)&gt;0</formula>
    </cfRule>
    <cfRule type="expression" dxfId="587" priority="494">
      <formula>SEARCH("CHIUSO",$M20)&gt;0</formula>
    </cfRule>
    <cfRule type="expression" dxfId="586" priority="495">
      <formula>SEARCH("EMESSO",$M20)&gt;0</formula>
    </cfRule>
    <cfRule type="expression" dxfId="585" priority="496">
      <formula>SEARCH("RICHIESTO",$M20)&gt;0</formula>
    </cfRule>
    <cfRule type="expression" dxfId="584" priority="497">
      <formula>SEARCH("DA CHIUDERE",$M20)&gt;0</formula>
    </cfRule>
    <cfRule type="expression" dxfId="583" priority="498">
      <formula>SEARCH("INTERROTTO",$M20)&gt;0</formula>
    </cfRule>
  </conditionalFormatting>
  <conditionalFormatting sqref="E20">
    <cfRule type="expression" dxfId="582" priority="499">
      <formula>SEARCH("IN CORSO",$M20)&gt;0</formula>
    </cfRule>
    <cfRule type="expression" dxfId="581" priority="500">
      <formula>SEARCH("CHIUSO",$M20)&gt;0</formula>
    </cfRule>
    <cfRule type="expression" dxfId="580" priority="501">
      <formula>SEARCH("EMESSO",$M20)&gt;0</formula>
    </cfRule>
    <cfRule type="expression" dxfId="579" priority="502">
      <formula>SEARCH("RICHIESTO",$M20)&gt;0</formula>
    </cfRule>
    <cfRule type="expression" dxfId="578" priority="503">
      <formula>SEARCH("DA CHIUDERE",$M20)&gt;0</formula>
    </cfRule>
    <cfRule type="expression" dxfId="577" priority="504">
      <formula>SEARCH("INTERROTTO",$M20)&gt;0</formula>
    </cfRule>
  </conditionalFormatting>
  <conditionalFormatting sqref="F20">
    <cfRule type="expression" dxfId="576" priority="487">
      <formula>SEARCH("IN CORSO",$M20)&gt;0</formula>
    </cfRule>
    <cfRule type="expression" dxfId="575" priority="488">
      <formula>SEARCH("CHIUSO",$M20)&gt;0</formula>
    </cfRule>
    <cfRule type="expression" dxfId="574" priority="489">
      <formula>SEARCH("EMESSO",$M20)&gt;0</formula>
    </cfRule>
    <cfRule type="expression" dxfId="573" priority="490">
      <formula>SEARCH("RICHIESTO",$M20)&gt;0</formula>
    </cfRule>
    <cfRule type="expression" dxfId="572" priority="491">
      <formula>SEARCH("DA CHIUDERE",$M20)&gt;0</formula>
    </cfRule>
    <cfRule type="expression" dxfId="571" priority="492">
      <formula>SEARCH("INTERROTTO",$M20)&gt;0</formula>
    </cfRule>
  </conditionalFormatting>
  <conditionalFormatting sqref="M20">
    <cfRule type="expression" dxfId="570" priority="481">
      <formula>SEARCH("IN CORSO",$M20)&gt;0</formula>
    </cfRule>
    <cfRule type="expression" dxfId="569" priority="482">
      <formula>SEARCH("CHIUSO",$M20)&gt;0</formula>
    </cfRule>
    <cfRule type="expression" dxfId="568" priority="483">
      <formula>SEARCH("EMESSO",$M20)&gt;0</formula>
    </cfRule>
    <cfRule type="expression" dxfId="567" priority="484">
      <formula>SEARCH("RICHIESTO",$M20)&gt;0</formula>
    </cfRule>
    <cfRule type="expression" dxfId="566" priority="485">
      <formula>SEARCH("DA CHIUDERE",$M20)&gt;0</formula>
    </cfRule>
    <cfRule type="expression" dxfId="565" priority="486">
      <formula>SEARCH("INTERROTTO",$M20)&gt;0</formula>
    </cfRule>
  </conditionalFormatting>
  <conditionalFormatting sqref="N19:S19">
    <cfRule type="expression" dxfId="564" priority="475">
      <formula>SEARCH("IN CORSO",$M19)&gt;0</formula>
    </cfRule>
    <cfRule type="expression" dxfId="563" priority="476">
      <formula>SEARCH("CHIUSO",$M19)&gt;0</formula>
    </cfRule>
    <cfRule type="expression" dxfId="562" priority="477">
      <formula>SEARCH("EMESSO",$M19)&gt;0</formula>
    </cfRule>
    <cfRule type="expression" dxfId="561" priority="478">
      <formula>SEARCH("RICHIESTO",$M19)&gt;0</formula>
    </cfRule>
    <cfRule type="expression" dxfId="560" priority="479">
      <formula>SEARCH("DA CHIUDERE",$M19)&gt;0</formula>
    </cfRule>
    <cfRule type="expression" dxfId="559" priority="480">
      <formula>SEARCH("INTERROTTO",$M19)&gt;0</formula>
    </cfRule>
  </conditionalFormatting>
  <conditionalFormatting sqref="G19">
    <cfRule type="expression" dxfId="558" priority="463">
      <formula>SEARCH("IN CORSO",$M19)&gt;0</formula>
    </cfRule>
    <cfRule type="expression" dxfId="557" priority="464">
      <formula>SEARCH("CHIUSO",$M19)&gt;0</formula>
    </cfRule>
    <cfRule type="expression" dxfId="556" priority="465">
      <formula>SEARCH("EMESSO",$M19)&gt;0</formula>
    </cfRule>
    <cfRule type="expression" dxfId="555" priority="466">
      <formula>SEARCH("RICHIESTO",$M19)&gt;0</formula>
    </cfRule>
    <cfRule type="expression" dxfId="554" priority="467">
      <formula>SEARCH("DA CHIUDERE",$M19)&gt;0</formula>
    </cfRule>
    <cfRule type="expression" dxfId="553" priority="468">
      <formula>SEARCH("INTERROTTO",$M19)&gt;0</formula>
    </cfRule>
  </conditionalFormatting>
  <conditionalFormatting sqref="E19">
    <cfRule type="expression" dxfId="552" priority="469">
      <formula>SEARCH("IN CORSO",$M19)&gt;0</formula>
    </cfRule>
    <cfRule type="expression" dxfId="551" priority="470">
      <formula>SEARCH("CHIUSO",$M19)&gt;0</formula>
    </cfRule>
    <cfRule type="expression" dxfId="550" priority="471">
      <formula>SEARCH("EMESSO",$M19)&gt;0</formula>
    </cfRule>
    <cfRule type="expression" dxfId="549" priority="472">
      <formula>SEARCH("RICHIESTO",$M19)&gt;0</formula>
    </cfRule>
    <cfRule type="expression" dxfId="548" priority="473">
      <formula>SEARCH("DA CHIUDERE",$M19)&gt;0</formula>
    </cfRule>
    <cfRule type="expression" dxfId="547" priority="474">
      <formula>SEARCH("INTERROTTO",$M19)&gt;0</formula>
    </cfRule>
  </conditionalFormatting>
  <conditionalFormatting sqref="F19">
    <cfRule type="expression" dxfId="546" priority="457">
      <formula>SEARCH("IN CORSO",$M19)&gt;0</formula>
    </cfRule>
    <cfRule type="expression" dxfId="545" priority="458">
      <formula>SEARCH("CHIUSO",$M19)&gt;0</formula>
    </cfRule>
    <cfRule type="expression" dxfId="544" priority="459">
      <formula>SEARCH("EMESSO",$M19)&gt;0</formula>
    </cfRule>
    <cfRule type="expression" dxfId="543" priority="460">
      <formula>SEARCH("RICHIESTO",$M19)&gt;0</formula>
    </cfRule>
    <cfRule type="expression" dxfId="542" priority="461">
      <formula>SEARCH("DA CHIUDERE",$M19)&gt;0</formula>
    </cfRule>
    <cfRule type="expression" dxfId="541" priority="462">
      <formula>SEARCH("INTERROTTO",$M19)&gt;0</formula>
    </cfRule>
  </conditionalFormatting>
  <conditionalFormatting sqref="M19">
    <cfRule type="expression" dxfId="540" priority="451">
      <formula>SEARCH("IN CORSO",$M19)&gt;0</formula>
    </cfRule>
    <cfRule type="expression" dxfId="539" priority="452">
      <formula>SEARCH("CHIUSO",$M19)&gt;0</formula>
    </cfRule>
    <cfRule type="expression" dxfId="538" priority="453">
      <formula>SEARCH("EMESSO",$M19)&gt;0</formula>
    </cfRule>
    <cfRule type="expression" dxfId="537" priority="454">
      <formula>SEARCH("RICHIESTO",$M19)&gt;0</formula>
    </cfRule>
    <cfRule type="expression" dxfId="536" priority="455">
      <formula>SEARCH("DA CHIUDERE",$M19)&gt;0</formula>
    </cfRule>
    <cfRule type="expression" dxfId="535" priority="456">
      <formula>SEARCH("INTERROTTO",$M19)&gt;0</formula>
    </cfRule>
  </conditionalFormatting>
  <conditionalFormatting sqref="N18:S18">
    <cfRule type="expression" dxfId="534" priority="445">
      <formula>SEARCH("IN CORSO",$M18)&gt;0</formula>
    </cfRule>
    <cfRule type="expression" dxfId="533" priority="446">
      <formula>SEARCH("CHIUSO",$M18)&gt;0</formula>
    </cfRule>
    <cfRule type="expression" dxfId="532" priority="447">
      <formula>SEARCH("EMESSO",$M18)&gt;0</formula>
    </cfRule>
    <cfRule type="expression" dxfId="531" priority="448">
      <formula>SEARCH("RICHIESTO",$M18)&gt;0</formula>
    </cfRule>
    <cfRule type="expression" dxfId="530" priority="449">
      <formula>SEARCH("DA CHIUDERE",$M18)&gt;0</formula>
    </cfRule>
    <cfRule type="expression" dxfId="529" priority="450">
      <formula>SEARCH("INTERROTTO",$M18)&gt;0</formula>
    </cfRule>
  </conditionalFormatting>
  <conditionalFormatting sqref="G18">
    <cfRule type="expression" dxfId="528" priority="433">
      <formula>SEARCH("IN CORSO",$M18)&gt;0</formula>
    </cfRule>
    <cfRule type="expression" dxfId="527" priority="434">
      <formula>SEARCH("CHIUSO",$M18)&gt;0</formula>
    </cfRule>
    <cfRule type="expression" dxfId="526" priority="435">
      <formula>SEARCH("EMESSO",$M18)&gt;0</formula>
    </cfRule>
    <cfRule type="expression" dxfId="525" priority="436">
      <formula>SEARCH("RICHIESTO",$M18)&gt;0</formula>
    </cfRule>
    <cfRule type="expression" dxfId="524" priority="437">
      <formula>SEARCH("DA CHIUDERE",$M18)&gt;0</formula>
    </cfRule>
    <cfRule type="expression" dxfId="523" priority="438">
      <formula>SEARCH("INTERROTTO",$M18)&gt;0</formula>
    </cfRule>
  </conditionalFormatting>
  <conditionalFormatting sqref="E18">
    <cfRule type="expression" dxfId="522" priority="439">
      <formula>SEARCH("IN CORSO",$M18)&gt;0</formula>
    </cfRule>
    <cfRule type="expression" dxfId="521" priority="440">
      <formula>SEARCH("CHIUSO",$M18)&gt;0</formula>
    </cfRule>
    <cfRule type="expression" dxfId="520" priority="441">
      <formula>SEARCH("EMESSO",$M18)&gt;0</formula>
    </cfRule>
    <cfRule type="expression" dxfId="519" priority="442">
      <formula>SEARCH("RICHIESTO",$M18)&gt;0</formula>
    </cfRule>
    <cfRule type="expression" dxfId="518" priority="443">
      <formula>SEARCH("DA CHIUDERE",$M18)&gt;0</formula>
    </cfRule>
    <cfRule type="expression" dxfId="517" priority="444">
      <formula>SEARCH("INTERROTTO",$M18)&gt;0</formula>
    </cfRule>
  </conditionalFormatting>
  <conditionalFormatting sqref="F18">
    <cfRule type="expression" dxfId="516" priority="427">
      <formula>SEARCH("IN CORSO",$M18)&gt;0</formula>
    </cfRule>
    <cfRule type="expression" dxfId="515" priority="428">
      <formula>SEARCH("CHIUSO",$M18)&gt;0</formula>
    </cfRule>
    <cfRule type="expression" dxfId="514" priority="429">
      <formula>SEARCH("EMESSO",$M18)&gt;0</formula>
    </cfRule>
    <cfRule type="expression" dxfId="513" priority="430">
      <formula>SEARCH("RICHIESTO",$M18)&gt;0</formula>
    </cfRule>
    <cfRule type="expression" dxfId="512" priority="431">
      <formula>SEARCH("DA CHIUDERE",$M18)&gt;0</formula>
    </cfRule>
    <cfRule type="expression" dxfId="511" priority="432">
      <formula>SEARCH("INTERROTTO",$M18)&gt;0</formula>
    </cfRule>
  </conditionalFormatting>
  <conditionalFormatting sqref="M18">
    <cfRule type="expression" dxfId="510" priority="421">
      <formula>SEARCH("IN CORSO",$M18)&gt;0</formula>
    </cfRule>
    <cfRule type="expression" dxfId="509" priority="422">
      <formula>SEARCH("CHIUSO",$M18)&gt;0</formula>
    </cfRule>
    <cfRule type="expression" dxfId="508" priority="423">
      <formula>SEARCH("EMESSO",$M18)&gt;0</formula>
    </cfRule>
    <cfRule type="expression" dxfId="507" priority="424">
      <formula>SEARCH("RICHIESTO",$M18)&gt;0</formula>
    </cfRule>
    <cfRule type="expression" dxfId="506" priority="425">
      <formula>SEARCH("DA CHIUDERE",$M18)&gt;0</formula>
    </cfRule>
    <cfRule type="expression" dxfId="505" priority="426">
      <formula>SEARCH("INTERROTTO",$M18)&gt;0</formula>
    </cfRule>
  </conditionalFormatting>
  <conditionalFormatting sqref="N17:S17">
    <cfRule type="expression" dxfId="504" priority="415">
      <formula>SEARCH("IN CORSO",$M17)&gt;0</formula>
    </cfRule>
    <cfRule type="expression" dxfId="503" priority="416">
      <formula>SEARCH("CHIUSO",$M17)&gt;0</formula>
    </cfRule>
    <cfRule type="expression" dxfId="502" priority="417">
      <formula>SEARCH("EMESSO",$M17)&gt;0</formula>
    </cfRule>
    <cfRule type="expression" dxfId="501" priority="418">
      <formula>SEARCH("RICHIESTO",$M17)&gt;0</formula>
    </cfRule>
    <cfRule type="expression" dxfId="500" priority="419">
      <formula>SEARCH("DA CHIUDERE",$M17)&gt;0</formula>
    </cfRule>
    <cfRule type="expression" dxfId="499" priority="420">
      <formula>SEARCH("INTERROTTO",$M17)&gt;0</formula>
    </cfRule>
  </conditionalFormatting>
  <conditionalFormatting sqref="G17">
    <cfRule type="expression" dxfId="498" priority="403">
      <formula>SEARCH("IN CORSO",$M17)&gt;0</formula>
    </cfRule>
    <cfRule type="expression" dxfId="497" priority="404">
      <formula>SEARCH("CHIUSO",$M17)&gt;0</formula>
    </cfRule>
    <cfRule type="expression" dxfId="496" priority="405">
      <formula>SEARCH("EMESSO",$M17)&gt;0</formula>
    </cfRule>
    <cfRule type="expression" dxfId="495" priority="406">
      <formula>SEARCH("RICHIESTO",$M17)&gt;0</formula>
    </cfRule>
    <cfRule type="expression" dxfId="494" priority="407">
      <formula>SEARCH("DA CHIUDERE",$M17)&gt;0</formula>
    </cfRule>
    <cfRule type="expression" dxfId="493" priority="408">
      <formula>SEARCH("INTERROTTO",$M17)&gt;0</formula>
    </cfRule>
  </conditionalFormatting>
  <conditionalFormatting sqref="E17">
    <cfRule type="expression" dxfId="492" priority="409">
      <formula>SEARCH("IN CORSO",$M17)&gt;0</formula>
    </cfRule>
    <cfRule type="expression" dxfId="491" priority="410">
      <formula>SEARCH("CHIUSO",$M17)&gt;0</formula>
    </cfRule>
    <cfRule type="expression" dxfId="490" priority="411">
      <formula>SEARCH("EMESSO",$M17)&gt;0</formula>
    </cfRule>
    <cfRule type="expression" dxfId="489" priority="412">
      <formula>SEARCH("RICHIESTO",$M17)&gt;0</formula>
    </cfRule>
    <cfRule type="expression" dxfId="488" priority="413">
      <formula>SEARCH("DA CHIUDERE",$M17)&gt;0</formula>
    </cfRule>
    <cfRule type="expression" dxfId="487" priority="414">
      <formula>SEARCH("INTERROTTO",$M17)&gt;0</formula>
    </cfRule>
  </conditionalFormatting>
  <conditionalFormatting sqref="F17">
    <cfRule type="expression" dxfId="486" priority="397">
      <formula>SEARCH("IN CORSO",$M17)&gt;0</formula>
    </cfRule>
    <cfRule type="expression" dxfId="485" priority="398">
      <formula>SEARCH("CHIUSO",$M17)&gt;0</formula>
    </cfRule>
    <cfRule type="expression" dxfId="484" priority="399">
      <formula>SEARCH("EMESSO",$M17)&gt;0</formula>
    </cfRule>
    <cfRule type="expression" dxfId="483" priority="400">
      <formula>SEARCH("RICHIESTO",$M17)&gt;0</formula>
    </cfRule>
    <cfRule type="expression" dxfId="482" priority="401">
      <formula>SEARCH("DA CHIUDERE",$M17)&gt;0</formula>
    </cfRule>
    <cfRule type="expression" dxfId="481" priority="402">
      <formula>SEARCH("INTERROTTO",$M17)&gt;0</formula>
    </cfRule>
  </conditionalFormatting>
  <conditionalFormatting sqref="M17">
    <cfRule type="expression" dxfId="480" priority="391">
      <formula>SEARCH("IN CORSO",$M17)&gt;0</formula>
    </cfRule>
    <cfRule type="expression" dxfId="479" priority="392">
      <formula>SEARCH("CHIUSO",$M17)&gt;0</formula>
    </cfRule>
    <cfRule type="expression" dxfId="478" priority="393">
      <formula>SEARCH("EMESSO",$M17)&gt;0</formula>
    </cfRule>
    <cfRule type="expression" dxfId="477" priority="394">
      <formula>SEARCH("RICHIESTO",$M17)&gt;0</formula>
    </cfRule>
    <cfRule type="expression" dxfId="476" priority="395">
      <formula>SEARCH("DA CHIUDERE",$M17)&gt;0</formula>
    </cfRule>
    <cfRule type="expression" dxfId="475" priority="396">
      <formula>SEARCH("INTERROTTO",$M17)&gt;0</formula>
    </cfRule>
  </conditionalFormatting>
  <conditionalFormatting sqref="N16:S16">
    <cfRule type="expression" dxfId="474" priority="385">
      <formula>SEARCH("IN CORSO",$M16)&gt;0</formula>
    </cfRule>
    <cfRule type="expression" dxfId="473" priority="386">
      <formula>SEARCH("CHIUSO",$M16)&gt;0</formula>
    </cfRule>
    <cfRule type="expression" dxfId="472" priority="387">
      <formula>SEARCH("EMESSO",$M16)&gt;0</formula>
    </cfRule>
    <cfRule type="expression" dxfId="471" priority="388">
      <formula>SEARCH("RICHIESTO",$M16)&gt;0</formula>
    </cfRule>
    <cfRule type="expression" dxfId="470" priority="389">
      <formula>SEARCH("DA CHIUDERE",$M16)&gt;0</formula>
    </cfRule>
    <cfRule type="expression" dxfId="469" priority="390">
      <formula>SEARCH("INTERROTTO",$M16)&gt;0</formula>
    </cfRule>
  </conditionalFormatting>
  <conditionalFormatting sqref="G16">
    <cfRule type="expression" dxfId="468" priority="373">
      <formula>SEARCH("IN CORSO",$M16)&gt;0</formula>
    </cfRule>
    <cfRule type="expression" dxfId="467" priority="374">
      <formula>SEARCH("CHIUSO",$M16)&gt;0</formula>
    </cfRule>
    <cfRule type="expression" dxfId="466" priority="375">
      <formula>SEARCH("EMESSO",$M16)&gt;0</formula>
    </cfRule>
    <cfRule type="expression" dxfId="465" priority="376">
      <formula>SEARCH("RICHIESTO",$M16)&gt;0</formula>
    </cfRule>
    <cfRule type="expression" dxfId="464" priority="377">
      <formula>SEARCH("DA CHIUDERE",$M16)&gt;0</formula>
    </cfRule>
    <cfRule type="expression" dxfId="463" priority="378">
      <formula>SEARCH("INTERROTTO",$M16)&gt;0</formula>
    </cfRule>
  </conditionalFormatting>
  <conditionalFormatting sqref="E16">
    <cfRule type="expression" dxfId="462" priority="379">
      <formula>SEARCH("IN CORSO",$M16)&gt;0</formula>
    </cfRule>
    <cfRule type="expression" dxfId="461" priority="380">
      <formula>SEARCH("CHIUSO",$M16)&gt;0</formula>
    </cfRule>
    <cfRule type="expression" dxfId="460" priority="381">
      <formula>SEARCH("EMESSO",$M16)&gt;0</formula>
    </cfRule>
    <cfRule type="expression" dxfId="459" priority="382">
      <formula>SEARCH("RICHIESTO",$M16)&gt;0</formula>
    </cfRule>
    <cfRule type="expression" dxfId="458" priority="383">
      <formula>SEARCH("DA CHIUDERE",$M16)&gt;0</formula>
    </cfRule>
    <cfRule type="expression" dxfId="457" priority="384">
      <formula>SEARCH("INTERROTTO",$M16)&gt;0</formula>
    </cfRule>
  </conditionalFormatting>
  <conditionalFormatting sqref="F16">
    <cfRule type="expression" dxfId="456" priority="367">
      <formula>SEARCH("IN CORSO",$M16)&gt;0</formula>
    </cfRule>
    <cfRule type="expression" dxfId="455" priority="368">
      <formula>SEARCH("CHIUSO",$M16)&gt;0</formula>
    </cfRule>
    <cfRule type="expression" dxfId="454" priority="369">
      <formula>SEARCH("EMESSO",$M16)&gt;0</formula>
    </cfRule>
    <cfRule type="expression" dxfId="453" priority="370">
      <formula>SEARCH("RICHIESTO",$M16)&gt;0</formula>
    </cfRule>
    <cfRule type="expression" dxfId="452" priority="371">
      <formula>SEARCH("DA CHIUDERE",$M16)&gt;0</formula>
    </cfRule>
    <cfRule type="expression" dxfId="451" priority="372">
      <formula>SEARCH("INTERROTTO",$M16)&gt;0</formula>
    </cfRule>
  </conditionalFormatting>
  <conditionalFormatting sqref="M16">
    <cfRule type="expression" dxfId="450" priority="361">
      <formula>SEARCH("IN CORSO",$M16)&gt;0</formula>
    </cfRule>
    <cfRule type="expression" dxfId="449" priority="362">
      <formula>SEARCH("CHIUSO",$M16)&gt;0</formula>
    </cfRule>
    <cfRule type="expression" dxfId="448" priority="363">
      <formula>SEARCH("EMESSO",$M16)&gt;0</formula>
    </cfRule>
    <cfRule type="expression" dxfId="447" priority="364">
      <formula>SEARCH("RICHIESTO",$M16)&gt;0</formula>
    </cfRule>
    <cfRule type="expression" dxfId="446" priority="365">
      <formula>SEARCH("DA CHIUDERE",$M16)&gt;0</formula>
    </cfRule>
    <cfRule type="expression" dxfId="445" priority="366">
      <formula>SEARCH("INTERROTTO",$M16)&gt;0</formula>
    </cfRule>
  </conditionalFormatting>
  <conditionalFormatting sqref="N15:S15">
    <cfRule type="expression" dxfId="444" priority="355">
      <formula>SEARCH("IN CORSO",$M15)&gt;0</formula>
    </cfRule>
    <cfRule type="expression" dxfId="443" priority="356">
      <formula>SEARCH("CHIUSO",$M15)&gt;0</formula>
    </cfRule>
    <cfRule type="expression" dxfId="442" priority="357">
      <formula>SEARCH("EMESSO",$M15)&gt;0</formula>
    </cfRule>
    <cfRule type="expression" dxfId="441" priority="358">
      <formula>SEARCH("RICHIESTO",$M15)&gt;0</formula>
    </cfRule>
    <cfRule type="expression" dxfId="440" priority="359">
      <formula>SEARCH("DA CHIUDERE",$M15)&gt;0</formula>
    </cfRule>
    <cfRule type="expression" dxfId="439" priority="360">
      <formula>SEARCH("INTERROTTO",$M15)&gt;0</formula>
    </cfRule>
  </conditionalFormatting>
  <conditionalFormatting sqref="G15">
    <cfRule type="expression" dxfId="438" priority="343">
      <formula>SEARCH("IN CORSO",$M15)&gt;0</formula>
    </cfRule>
    <cfRule type="expression" dxfId="437" priority="344">
      <formula>SEARCH("CHIUSO",$M15)&gt;0</formula>
    </cfRule>
    <cfRule type="expression" dxfId="436" priority="345">
      <formula>SEARCH("EMESSO",$M15)&gt;0</formula>
    </cfRule>
    <cfRule type="expression" dxfId="435" priority="346">
      <formula>SEARCH("RICHIESTO",$M15)&gt;0</formula>
    </cfRule>
    <cfRule type="expression" dxfId="434" priority="347">
      <formula>SEARCH("DA CHIUDERE",$M15)&gt;0</formula>
    </cfRule>
    <cfRule type="expression" dxfId="433" priority="348">
      <formula>SEARCH("INTERROTTO",$M15)&gt;0</formula>
    </cfRule>
  </conditionalFormatting>
  <conditionalFormatting sqref="E15">
    <cfRule type="expression" dxfId="432" priority="349">
      <formula>SEARCH("IN CORSO",$M15)&gt;0</formula>
    </cfRule>
    <cfRule type="expression" dxfId="431" priority="350">
      <formula>SEARCH("CHIUSO",$M15)&gt;0</formula>
    </cfRule>
    <cfRule type="expression" dxfId="430" priority="351">
      <formula>SEARCH("EMESSO",$M15)&gt;0</formula>
    </cfRule>
    <cfRule type="expression" dxfId="429" priority="352">
      <formula>SEARCH("RICHIESTO",$M15)&gt;0</formula>
    </cfRule>
    <cfRule type="expression" dxfId="428" priority="353">
      <formula>SEARCH("DA CHIUDERE",$M15)&gt;0</formula>
    </cfRule>
    <cfRule type="expression" dxfId="427" priority="354">
      <formula>SEARCH("INTERROTTO",$M15)&gt;0</formula>
    </cfRule>
  </conditionalFormatting>
  <conditionalFormatting sqref="F15">
    <cfRule type="expression" dxfId="426" priority="337">
      <formula>SEARCH("IN CORSO",$M15)&gt;0</formula>
    </cfRule>
    <cfRule type="expression" dxfId="425" priority="338">
      <formula>SEARCH("CHIUSO",$M15)&gt;0</formula>
    </cfRule>
    <cfRule type="expression" dxfId="424" priority="339">
      <formula>SEARCH("EMESSO",$M15)&gt;0</formula>
    </cfRule>
    <cfRule type="expression" dxfId="423" priority="340">
      <formula>SEARCH("RICHIESTO",$M15)&gt;0</formula>
    </cfRule>
    <cfRule type="expression" dxfId="422" priority="341">
      <formula>SEARCH("DA CHIUDERE",$M15)&gt;0</formula>
    </cfRule>
    <cfRule type="expression" dxfId="421" priority="342">
      <formula>SEARCH("INTERROTTO",$M15)&gt;0</formula>
    </cfRule>
  </conditionalFormatting>
  <conditionalFormatting sqref="M15">
    <cfRule type="expression" dxfId="420" priority="331">
      <formula>SEARCH("IN CORSO",$M15)&gt;0</formula>
    </cfRule>
    <cfRule type="expression" dxfId="419" priority="332">
      <formula>SEARCH("CHIUSO",$M15)&gt;0</formula>
    </cfRule>
    <cfRule type="expression" dxfId="418" priority="333">
      <formula>SEARCH("EMESSO",$M15)&gt;0</formula>
    </cfRule>
    <cfRule type="expression" dxfId="417" priority="334">
      <formula>SEARCH("RICHIESTO",$M15)&gt;0</formula>
    </cfRule>
    <cfRule type="expression" dxfId="416" priority="335">
      <formula>SEARCH("DA CHIUDERE",$M15)&gt;0</formula>
    </cfRule>
    <cfRule type="expression" dxfId="415" priority="336">
      <formula>SEARCH("INTERROTTO",$M15)&gt;0</formula>
    </cfRule>
  </conditionalFormatting>
  <conditionalFormatting sqref="N14:S14">
    <cfRule type="expression" dxfId="414" priority="325">
      <formula>SEARCH("IN CORSO",$M14)&gt;0</formula>
    </cfRule>
    <cfRule type="expression" dxfId="413" priority="326">
      <formula>SEARCH("CHIUSO",$M14)&gt;0</formula>
    </cfRule>
    <cfRule type="expression" dxfId="412" priority="327">
      <formula>SEARCH("EMESSO",$M14)&gt;0</formula>
    </cfRule>
    <cfRule type="expression" dxfId="411" priority="328">
      <formula>SEARCH("RICHIESTO",$M14)&gt;0</formula>
    </cfRule>
    <cfRule type="expression" dxfId="410" priority="329">
      <formula>SEARCH("DA CHIUDERE",$M14)&gt;0</formula>
    </cfRule>
    <cfRule type="expression" dxfId="409" priority="330">
      <formula>SEARCH("INTERROTTO",$M14)&gt;0</formula>
    </cfRule>
  </conditionalFormatting>
  <conditionalFormatting sqref="G14">
    <cfRule type="expression" dxfId="408" priority="313">
      <formula>SEARCH("IN CORSO",$M14)&gt;0</formula>
    </cfRule>
    <cfRule type="expression" dxfId="407" priority="314">
      <formula>SEARCH("CHIUSO",$M14)&gt;0</formula>
    </cfRule>
    <cfRule type="expression" dxfId="406" priority="315">
      <formula>SEARCH("EMESSO",$M14)&gt;0</formula>
    </cfRule>
    <cfRule type="expression" dxfId="405" priority="316">
      <formula>SEARCH("RICHIESTO",$M14)&gt;0</formula>
    </cfRule>
    <cfRule type="expression" dxfId="404" priority="317">
      <formula>SEARCH("DA CHIUDERE",$M14)&gt;0</formula>
    </cfRule>
    <cfRule type="expression" dxfId="403" priority="318">
      <formula>SEARCH("INTERROTTO",$M14)&gt;0</formula>
    </cfRule>
  </conditionalFormatting>
  <conditionalFormatting sqref="E14">
    <cfRule type="expression" dxfId="402" priority="319">
      <formula>SEARCH("IN CORSO",$M14)&gt;0</formula>
    </cfRule>
    <cfRule type="expression" dxfId="401" priority="320">
      <formula>SEARCH("CHIUSO",$M14)&gt;0</formula>
    </cfRule>
    <cfRule type="expression" dxfId="400" priority="321">
      <formula>SEARCH("EMESSO",$M14)&gt;0</formula>
    </cfRule>
    <cfRule type="expression" dxfId="399" priority="322">
      <formula>SEARCH("RICHIESTO",$M14)&gt;0</formula>
    </cfRule>
    <cfRule type="expression" dxfId="398" priority="323">
      <formula>SEARCH("DA CHIUDERE",$M14)&gt;0</formula>
    </cfRule>
    <cfRule type="expression" dxfId="397" priority="324">
      <formula>SEARCH("INTERROTTO",$M14)&gt;0</formula>
    </cfRule>
  </conditionalFormatting>
  <conditionalFormatting sqref="F14">
    <cfRule type="expression" dxfId="396" priority="307">
      <formula>SEARCH("IN CORSO",$M14)&gt;0</formula>
    </cfRule>
    <cfRule type="expression" dxfId="395" priority="308">
      <formula>SEARCH("CHIUSO",$M14)&gt;0</formula>
    </cfRule>
    <cfRule type="expression" dxfId="394" priority="309">
      <formula>SEARCH("EMESSO",$M14)&gt;0</formula>
    </cfRule>
    <cfRule type="expression" dxfId="393" priority="310">
      <formula>SEARCH("RICHIESTO",$M14)&gt;0</formula>
    </cfRule>
    <cfRule type="expression" dxfId="392" priority="311">
      <formula>SEARCH("DA CHIUDERE",$M14)&gt;0</formula>
    </cfRule>
    <cfRule type="expression" dxfId="391" priority="312">
      <formula>SEARCH("INTERROTTO",$M14)&gt;0</formula>
    </cfRule>
  </conditionalFormatting>
  <conditionalFormatting sqref="M14">
    <cfRule type="expression" dxfId="390" priority="301">
      <formula>SEARCH("IN CORSO",$M14)&gt;0</formula>
    </cfRule>
    <cfRule type="expression" dxfId="389" priority="302">
      <formula>SEARCH("CHIUSO",$M14)&gt;0</formula>
    </cfRule>
    <cfRule type="expression" dxfId="388" priority="303">
      <formula>SEARCH("EMESSO",$M14)&gt;0</formula>
    </cfRule>
    <cfRule type="expression" dxfId="387" priority="304">
      <formula>SEARCH("RICHIESTO",$M14)&gt;0</formula>
    </cfRule>
    <cfRule type="expression" dxfId="386" priority="305">
      <formula>SEARCH("DA CHIUDERE",$M14)&gt;0</formula>
    </cfRule>
    <cfRule type="expression" dxfId="385" priority="306">
      <formula>SEARCH("INTERROTTO",$M14)&gt;0</formula>
    </cfRule>
  </conditionalFormatting>
  <conditionalFormatting sqref="N13:S13">
    <cfRule type="expression" dxfId="384" priority="295">
      <formula>SEARCH("IN CORSO",$M13)&gt;0</formula>
    </cfRule>
    <cfRule type="expression" dxfId="383" priority="296">
      <formula>SEARCH("CHIUSO",$M13)&gt;0</formula>
    </cfRule>
    <cfRule type="expression" dxfId="382" priority="297">
      <formula>SEARCH("EMESSO",$M13)&gt;0</formula>
    </cfRule>
    <cfRule type="expression" dxfId="381" priority="298">
      <formula>SEARCH("RICHIESTO",$M13)&gt;0</formula>
    </cfRule>
    <cfRule type="expression" dxfId="380" priority="299">
      <formula>SEARCH("DA CHIUDERE",$M13)&gt;0</formula>
    </cfRule>
    <cfRule type="expression" dxfId="379" priority="300">
      <formula>SEARCH("INTERROTTO",$M13)&gt;0</formula>
    </cfRule>
  </conditionalFormatting>
  <conditionalFormatting sqref="G13">
    <cfRule type="expression" dxfId="378" priority="283">
      <formula>SEARCH("IN CORSO",$M13)&gt;0</formula>
    </cfRule>
    <cfRule type="expression" dxfId="377" priority="284">
      <formula>SEARCH("CHIUSO",$M13)&gt;0</formula>
    </cfRule>
    <cfRule type="expression" dxfId="376" priority="285">
      <formula>SEARCH("EMESSO",$M13)&gt;0</formula>
    </cfRule>
    <cfRule type="expression" dxfId="375" priority="286">
      <formula>SEARCH("RICHIESTO",$M13)&gt;0</formula>
    </cfRule>
    <cfRule type="expression" dxfId="374" priority="287">
      <formula>SEARCH("DA CHIUDERE",$M13)&gt;0</formula>
    </cfRule>
    <cfRule type="expression" dxfId="373" priority="288">
      <formula>SEARCH("INTERROTTO",$M13)&gt;0</formula>
    </cfRule>
  </conditionalFormatting>
  <conditionalFormatting sqref="E13">
    <cfRule type="expression" dxfId="372" priority="289">
      <formula>SEARCH("IN CORSO",$M13)&gt;0</formula>
    </cfRule>
    <cfRule type="expression" dxfId="371" priority="290">
      <formula>SEARCH("CHIUSO",$M13)&gt;0</formula>
    </cfRule>
    <cfRule type="expression" dxfId="370" priority="291">
      <formula>SEARCH("EMESSO",$M13)&gt;0</formula>
    </cfRule>
    <cfRule type="expression" dxfId="369" priority="292">
      <formula>SEARCH("RICHIESTO",$M13)&gt;0</formula>
    </cfRule>
    <cfRule type="expression" dxfId="368" priority="293">
      <formula>SEARCH("DA CHIUDERE",$M13)&gt;0</formula>
    </cfRule>
    <cfRule type="expression" dxfId="367" priority="294">
      <formula>SEARCH("INTERROTTO",$M13)&gt;0</formula>
    </cfRule>
  </conditionalFormatting>
  <conditionalFormatting sqref="F13">
    <cfRule type="expression" dxfId="366" priority="277">
      <formula>SEARCH("IN CORSO",$M13)&gt;0</formula>
    </cfRule>
    <cfRule type="expression" dxfId="365" priority="278">
      <formula>SEARCH("CHIUSO",$M13)&gt;0</formula>
    </cfRule>
    <cfRule type="expression" dxfId="364" priority="279">
      <formula>SEARCH("EMESSO",$M13)&gt;0</formula>
    </cfRule>
    <cfRule type="expression" dxfId="363" priority="280">
      <formula>SEARCH("RICHIESTO",$M13)&gt;0</formula>
    </cfRule>
    <cfRule type="expression" dxfId="362" priority="281">
      <formula>SEARCH("DA CHIUDERE",$M13)&gt;0</formula>
    </cfRule>
    <cfRule type="expression" dxfId="361" priority="282">
      <formula>SEARCH("INTERROTTO",$M13)&gt;0</formula>
    </cfRule>
  </conditionalFormatting>
  <conditionalFormatting sqref="M13">
    <cfRule type="expression" dxfId="360" priority="271">
      <formula>SEARCH("IN CORSO",$M13)&gt;0</formula>
    </cfRule>
    <cfRule type="expression" dxfId="359" priority="272">
      <formula>SEARCH("CHIUSO",$M13)&gt;0</formula>
    </cfRule>
    <cfRule type="expression" dxfId="358" priority="273">
      <formula>SEARCH("EMESSO",$M13)&gt;0</formula>
    </cfRule>
    <cfRule type="expression" dxfId="357" priority="274">
      <formula>SEARCH("RICHIESTO",$M13)&gt;0</formula>
    </cfRule>
    <cfRule type="expression" dxfId="356" priority="275">
      <formula>SEARCH("DA CHIUDERE",$M13)&gt;0</formula>
    </cfRule>
    <cfRule type="expression" dxfId="355" priority="276">
      <formula>SEARCH("INTERROTTO",$M13)&gt;0</formula>
    </cfRule>
  </conditionalFormatting>
  <conditionalFormatting sqref="N12:S12">
    <cfRule type="expression" dxfId="354" priority="265">
      <formula>SEARCH("IN CORSO",$M12)&gt;0</formula>
    </cfRule>
    <cfRule type="expression" dxfId="353" priority="266">
      <formula>SEARCH("CHIUSO",$M12)&gt;0</formula>
    </cfRule>
    <cfRule type="expression" dxfId="352" priority="267">
      <formula>SEARCH("EMESSO",$M12)&gt;0</formula>
    </cfRule>
    <cfRule type="expression" dxfId="351" priority="268">
      <formula>SEARCH("RICHIESTO",$M12)&gt;0</formula>
    </cfRule>
    <cfRule type="expression" dxfId="350" priority="269">
      <formula>SEARCH("DA CHIUDERE",$M12)&gt;0</formula>
    </cfRule>
    <cfRule type="expression" dxfId="349" priority="270">
      <formula>SEARCH("INTERROTTO",$M12)&gt;0</formula>
    </cfRule>
  </conditionalFormatting>
  <conditionalFormatting sqref="G12">
    <cfRule type="expression" dxfId="348" priority="253">
      <formula>SEARCH("IN CORSO",$M12)&gt;0</formula>
    </cfRule>
    <cfRule type="expression" dxfId="347" priority="254">
      <formula>SEARCH("CHIUSO",$M12)&gt;0</formula>
    </cfRule>
    <cfRule type="expression" dxfId="346" priority="255">
      <formula>SEARCH("EMESSO",$M12)&gt;0</formula>
    </cfRule>
    <cfRule type="expression" dxfId="345" priority="256">
      <formula>SEARCH("RICHIESTO",$M12)&gt;0</formula>
    </cfRule>
    <cfRule type="expression" dxfId="344" priority="257">
      <formula>SEARCH("DA CHIUDERE",$M12)&gt;0</formula>
    </cfRule>
    <cfRule type="expression" dxfId="343" priority="258">
      <formula>SEARCH("INTERROTTO",$M12)&gt;0</formula>
    </cfRule>
  </conditionalFormatting>
  <conditionalFormatting sqref="E12">
    <cfRule type="expression" dxfId="342" priority="259">
      <formula>SEARCH("IN CORSO",$M12)&gt;0</formula>
    </cfRule>
    <cfRule type="expression" dxfId="341" priority="260">
      <formula>SEARCH("CHIUSO",$M12)&gt;0</formula>
    </cfRule>
    <cfRule type="expression" dxfId="340" priority="261">
      <formula>SEARCH("EMESSO",$M12)&gt;0</formula>
    </cfRule>
    <cfRule type="expression" dxfId="339" priority="262">
      <formula>SEARCH("RICHIESTO",$M12)&gt;0</formula>
    </cfRule>
    <cfRule type="expression" dxfId="338" priority="263">
      <formula>SEARCH("DA CHIUDERE",$M12)&gt;0</formula>
    </cfRule>
    <cfRule type="expression" dxfId="337" priority="264">
      <formula>SEARCH("INTERROTTO",$M12)&gt;0</formula>
    </cfRule>
  </conditionalFormatting>
  <conditionalFormatting sqref="F12">
    <cfRule type="expression" dxfId="336" priority="247">
      <formula>SEARCH("IN CORSO",$M12)&gt;0</formula>
    </cfRule>
    <cfRule type="expression" dxfId="335" priority="248">
      <formula>SEARCH("CHIUSO",$M12)&gt;0</formula>
    </cfRule>
    <cfRule type="expression" dxfId="334" priority="249">
      <formula>SEARCH("EMESSO",$M12)&gt;0</formula>
    </cfRule>
    <cfRule type="expression" dxfId="333" priority="250">
      <formula>SEARCH("RICHIESTO",$M12)&gt;0</formula>
    </cfRule>
    <cfRule type="expression" dxfId="332" priority="251">
      <formula>SEARCH("DA CHIUDERE",$M12)&gt;0</formula>
    </cfRule>
    <cfRule type="expression" dxfId="331" priority="252">
      <formula>SEARCH("INTERROTTO",$M12)&gt;0</formula>
    </cfRule>
  </conditionalFormatting>
  <conditionalFormatting sqref="M12">
    <cfRule type="expression" dxfId="330" priority="241">
      <formula>SEARCH("IN CORSO",$M12)&gt;0</formula>
    </cfRule>
    <cfRule type="expression" dxfId="329" priority="242">
      <formula>SEARCH("CHIUSO",$M12)&gt;0</formula>
    </cfRule>
    <cfRule type="expression" dxfId="328" priority="243">
      <formula>SEARCH("EMESSO",$M12)&gt;0</formula>
    </cfRule>
    <cfRule type="expression" dxfId="327" priority="244">
      <formula>SEARCH("RICHIESTO",$M12)&gt;0</formula>
    </cfRule>
    <cfRule type="expression" dxfId="326" priority="245">
      <formula>SEARCH("DA CHIUDERE",$M12)&gt;0</formula>
    </cfRule>
    <cfRule type="expression" dxfId="325" priority="246">
      <formula>SEARCH("INTERROTTO",$M12)&gt;0</formula>
    </cfRule>
  </conditionalFormatting>
  <conditionalFormatting sqref="N11:S11">
    <cfRule type="expression" dxfId="324" priority="235">
      <formula>SEARCH("IN CORSO",$M11)&gt;0</formula>
    </cfRule>
    <cfRule type="expression" dxfId="323" priority="236">
      <formula>SEARCH("CHIUSO",$M11)&gt;0</formula>
    </cfRule>
    <cfRule type="expression" dxfId="322" priority="237">
      <formula>SEARCH("EMESSO",$M11)&gt;0</formula>
    </cfRule>
    <cfRule type="expression" dxfId="321" priority="238">
      <formula>SEARCH("RICHIESTO",$M11)&gt;0</formula>
    </cfRule>
    <cfRule type="expression" dxfId="320" priority="239">
      <formula>SEARCH("DA CHIUDERE",$M11)&gt;0</formula>
    </cfRule>
    <cfRule type="expression" dxfId="319" priority="240">
      <formula>SEARCH("INTERROTTO",$M11)&gt;0</formula>
    </cfRule>
  </conditionalFormatting>
  <conditionalFormatting sqref="G11">
    <cfRule type="expression" dxfId="318" priority="223">
      <formula>SEARCH("IN CORSO",$M11)&gt;0</formula>
    </cfRule>
    <cfRule type="expression" dxfId="317" priority="224">
      <formula>SEARCH("CHIUSO",$M11)&gt;0</formula>
    </cfRule>
    <cfRule type="expression" dxfId="316" priority="225">
      <formula>SEARCH("EMESSO",$M11)&gt;0</formula>
    </cfRule>
    <cfRule type="expression" dxfId="315" priority="226">
      <formula>SEARCH("RICHIESTO",$M11)&gt;0</formula>
    </cfRule>
    <cfRule type="expression" dxfId="314" priority="227">
      <formula>SEARCH("DA CHIUDERE",$M11)&gt;0</formula>
    </cfRule>
    <cfRule type="expression" dxfId="313" priority="228">
      <formula>SEARCH("INTERROTTO",$M11)&gt;0</formula>
    </cfRule>
  </conditionalFormatting>
  <conditionalFormatting sqref="E11">
    <cfRule type="expression" dxfId="312" priority="229">
      <formula>SEARCH("IN CORSO",$M11)&gt;0</formula>
    </cfRule>
    <cfRule type="expression" dxfId="311" priority="230">
      <formula>SEARCH("CHIUSO",$M11)&gt;0</formula>
    </cfRule>
    <cfRule type="expression" dxfId="310" priority="231">
      <formula>SEARCH("EMESSO",$M11)&gt;0</formula>
    </cfRule>
    <cfRule type="expression" dxfId="309" priority="232">
      <formula>SEARCH("RICHIESTO",$M11)&gt;0</formula>
    </cfRule>
    <cfRule type="expression" dxfId="308" priority="233">
      <formula>SEARCH("DA CHIUDERE",$M11)&gt;0</formula>
    </cfRule>
    <cfRule type="expression" dxfId="307" priority="234">
      <formula>SEARCH("INTERROTTO",$M11)&gt;0</formula>
    </cfRule>
  </conditionalFormatting>
  <conditionalFormatting sqref="F11">
    <cfRule type="expression" dxfId="306" priority="217">
      <formula>SEARCH("IN CORSO",$M11)&gt;0</formula>
    </cfRule>
    <cfRule type="expression" dxfId="305" priority="218">
      <formula>SEARCH("CHIUSO",$M11)&gt;0</formula>
    </cfRule>
    <cfRule type="expression" dxfId="304" priority="219">
      <formula>SEARCH("EMESSO",$M11)&gt;0</formula>
    </cfRule>
    <cfRule type="expression" dxfId="303" priority="220">
      <formula>SEARCH("RICHIESTO",$M11)&gt;0</formula>
    </cfRule>
    <cfRule type="expression" dxfId="302" priority="221">
      <formula>SEARCH("DA CHIUDERE",$M11)&gt;0</formula>
    </cfRule>
    <cfRule type="expression" dxfId="301" priority="222">
      <formula>SEARCH("INTERROTTO",$M11)&gt;0</formula>
    </cfRule>
  </conditionalFormatting>
  <conditionalFormatting sqref="M11">
    <cfRule type="expression" dxfId="300" priority="211">
      <formula>SEARCH("IN CORSO",$M11)&gt;0</formula>
    </cfRule>
    <cfRule type="expression" dxfId="299" priority="212">
      <formula>SEARCH("CHIUSO",$M11)&gt;0</formula>
    </cfRule>
    <cfRule type="expression" dxfId="298" priority="213">
      <formula>SEARCH("EMESSO",$M11)&gt;0</formula>
    </cfRule>
    <cfRule type="expression" dxfId="297" priority="214">
      <formula>SEARCH("RICHIESTO",$M11)&gt;0</formula>
    </cfRule>
    <cfRule type="expression" dxfId="296" priority="215">
      <formula>SEARCH("DA CHIUDERE",$M11)&gt;0</formula>
    </cfRule>
    <cfRule type="expression" dxfId="295" priority="216">
      <formula>SEARCH("INTERROTTO",$M11)&gt;0</formula>
    </cfRule>
  </conditionalFormatting>
  <conditionalFormatting sqref="N10:S10">
    <cfRule type="expression" dxfId="294" priority="205">
      <formula>SEARCH("IN CORSO",$M10)&gt;0</formula>
    </cfRule>
    <cfRule type="expression" dxfId="293" priority="206">
      <formula>SEARCH("CHIUSO",$M10)&gt;0</formula>
    </cfRule>
    <cfRule type="expression" dxfId="292" priority="207">
      <formula>SEARCH("EMESSO",$M10)&gt;0</formula>
    </cfRule>
    <cfRule type="expression" dxfId="291" priority="208">
      <formula>SEARCH("RICHIESTO",$M10)&gt;0</formula>
    </cfRule>
    <cfRule type="expression" dxfId="290" priority="209">
      <formula>SEARCH("DA CHIUDERE",$M10)&gt;0</formula>
    </cfRule>
    <cfRule type="expression" dxfId="289" priority="210">
      <formula>SEARCH("INTERROTTO",$M10)&gt;0</formula>
    </cfRule>
  </conditionalFormatting>
  <conditionalFormatting sqref="G10">
    <cfRule type="expression" dxfId="288" priority="193">
      <formula>SEARCH("IN CORSO",$M10)&gt;0</formula>
    </cfRule>
    <cfRule type="expression" dxfId="287" priority="194">
      <formula>SEARCH("CHIUSO",$M10)&gt;0</formula>
    </cfRule>
    <cfRule type="expression" dxfId="286" priority="195">
      <formula>SEARCH("EMESSO",$M10)&gt;0</formula>
    </cfRule>
    <cfRule type="expression" dxfId="285" priority="196">
      <formula>SEARCH("RICHIESTO",$M10)&gt;0</formula>
    </cfRule>
    <cfRule type="expression" dxfId="284" priority="197">
      <formula>SEARCH("DA CHIUDERE",$M10)&gt;0</formula>
    </cfRule>
    <cfRule type="expression" dxfId="283" priority="198">
      <formula>SEARCH("INTERROTTO",$M10)&gt;0</formula>
    </cfRule>
  </conditionalFormatting>
  <conditionalFormatting sqref="E10">
    <cfRule type="expression" dxfId="282" priority="199">
      <formula>SEARCH("IN CORSO",$M10)&gt;0</formula>
    </cfRule>
    <cfRule type="expression" dxfId="281" priority="200">
      <formula>SEARCH("CHIUSO",$M10)&gt;0</formula>
    </cfRule>
    <cfRule type="expression" dxfId="280" priority="201">
      <formula>SEARCH("EMESSO",$M10)&gt;0</formula>
    </cfRule>
    <cfRule type="expression" dxfId="279" priority="202">
      <formula>SEARCH("RICHIESTO",$M10)&gt;0</formula>
    </cfRule>
    <cfRule type="expression" dxfId="278" priority="203">
      <formula>SEARCH("DA CHIUDERE",$M10)&gt;0</formula>
    </cfRule>
    <cfRule type="expression" dxfId="277" priority="204">
      <formula>SEARCH("INTERROTTO",$M10)&gt;0</formula>
    </cfRule>
  </conditionalFormatting>
  <conditionalFormatting sqref="F10">
    <cfRule type="expression" dxfId="276" priority="187">
      <formula>SEARCH("IN CORSO",$M10)&gt;0</formula>
    </cfRule>
    <cfRule type="expression" dxfId="275" priority="188">
      <formula>SEARCH("CHIUSO",$M10)&gt;0</formula>
    </cfRule>
    <cfRule type="expression" dxfId="274" priority="189">
      <formula>SEARCH("EMESSO",$M10)&gt;0</formula>
    </cfRule>
    <cfRule type="expression" dxfId="273" priority="190">
      <formula>SEARCH("RICHIESTO",$M10)&gt;0</formula>
    </cfRule>
    <cfRule type="expression" dxfId="272" priority="191">
      <formula>SEARCH("DA CHIUDERE",$M10)&gt;0</formula>
    </cfRule>
    <cfRule type="expression" dxfId="271" priority="192">
      <formula>SEARCH("INTERROTTO",$M10)&gt;0</formula>
    </cfRule>
  </conditionalFormatting>
  <conditionalFormatting sqref="M10">
    <cfRule type="expression" dxfId="270" priority="181">
      <formula>SEARCH("IN CORSO",$M10)&gt;0</formula>
    </cfRule>
    <cfRule type="expression" dxfId="269" priority="182">
      <formula>SEARCH("CHIUSO",$M10)&gt;0</formula>
    </cfRule>
    <cfRule type="expression" dxfId="268" priority="183">
      <formula>SEARCH("EMESSO",$M10)&gt;0</formula>
    </cfRule>
    <cfRule type="expression" dxfId="267" priority="184">
      <formula>SEARCH("RICHIESTO",$M10)&gt;0</formula>
    </cfRule>
    <cfRule type="expression" dxfId="266" priority="185">
      <formula>SEARCH("DA CHIUDERE",$M10)&gt;0</formula>
    </cfRule>
    <cfRule type="expression" dxfId="265" priority="186">
      <formula>SEARCH("INTERROTTO",$M10)&gt;0</formula>
    </cfRule>
  </conditionalFormatting>
  <conditionalFormatting sqref="N9:S9">
    <cfRule type="expression" dxfId="264" priority="175">
      <formula>SEARCH("IN CORSO",$M9)&gt;0</formula>
    </cfRule>
    <cfRule type="expression" dxfId="263" priority="176">
      <formula>SEARCH("CHIUSO",$M9)&gt;0</formula>
    </cfRule>
    <cfRule type="expression" dxfId="262" priority="177">
      <formula>SEARCH("EMESSO",$M9)&gt;0</formula>
    </cfRule>
    <cfRule type="expression" dxfId="261" priority="178">
      <formula>SEARCH("RICHIESTO",$M9)&gt;0</formula>
    </cfRule>
    <cfRule type="expression" dxfId="260" priority="179">
      <formula>SEARCH("DA CHIUDERE",$M9)&gt;0</formula>
    </cfRule>
    <cfRule type="expression" dxfId="259" priority="180">
      <formula>SEARCH("INTERROTTO",$M9)&gt;0</formula>
    </cfRule>
  </conditionalFormatting>
  <conditionalFormatting sqref="G9">
    <cfRule type="expression" dxfId="258" priority="163">
      <formula>SEARCH("IN CORSO",$M9)&gt;0</formula>
    </cfRule>
    <cfRule type="expression" dxfId="257" priority="164">
      <formula>SEARCH("CHIUSO",$M9)&gt;0</formula>
    </cfRule>
    <cfRule type="expression" dxfId="256" priority="165">
      <formula>SEARCH("EMESSO",$M9)&gt;0</formula>
    </cfRule>
    <cfRule type="expression" dxfId="255" priority="166">
      <formula>SEARCH("RICHIESTO",$M9)&gt;0</formula>
    </cfRule>
    <cfRule type="expression" dxfId="254" priority="167">
      <formula>SEARCH("DA CHIUDERE",$M9)&gt;0</formula>
    </cfRule>
    <cfRule type="expression" dxfId="253" priority="168">
      <formula>SEARCH("INTERROTTO",$M9)&gt;0</formula>
    </cfRule>
  </conditionalFormatting>
  <conditionalFormatting sqref="E9">
    <cfRule type="expression" dxfId="252" priority="169">
      <formula>SEARCH("IN CORSO",$M9)&gt;0</formula>
    </cfRule>
    <cfRule type="expression" dxfId="251" priority="170">
      <formula>SEARCH("CHIUSO",$M9)&gt;0</formula>
    </cfRule>
    <cfRule type="expression" dxfId="250" priority="171">
      <formula>SEARCH("EMESSO",$M9)&gt;0</formula>
    </cfRule>
    <cfRule type="expression" dxfId="249" priority="172">
      <formula>SEARCH("RICHIESTO",$M9)&gt;0</formula>
    </cfRule>
    <cfRule type="expression" dxfId="248" priority="173">
      <formula>SEARCH("DA CHIUDERE",$M9)&gt;0</formula>
    </cfRule>
    <cfRule type="expression" dxfId="247" priority="174">
      <formula>SEARCH("INTERROTTO",$M9)&gt;0</formula>
    </cfRule>
  </conditionalFormatting>
  <conditionalFormatting sqref="F9">
    <cfRule type="expression" dxfId="246" priority="157">
      <formula>SEARCH("IN CORSO",$M9)&gt;0</formula>
    </cfRule>
    <cfRule type="expression" dxfId="245" priority="158">
      <formula>SEARCH("CHIUSO",$M9)&gt;0</formula>
    </cfRule>
    <cfRule type="expression" dxfId="244" priority="159">
      <formula>SEARCH("EMESSO",$M9)&gt;0</formula>
    </cfRule>
    <cfRule type="expression" dxfId="243" priority="160">
      <formula>SEARCH("RICHIESTO",$M9)&gt;0</formula>
    </cfRule>
    <cfRule type="expression" dxfId="242" priority="161">
      <formula>SEARCH("DA CHIUDERE",$M9)&gt;0</formula>
    </cfRule>
    <cfRule type="expression" dxfId="241" priority="162">
      <formula>SEARCH("INTERROTTO",$M9)&gt;0</formula>
    </cfRule>
  </conditionalFormatting>
  <conditionalFormatting sqref="M9">
    <cfRule type="expression" dxfId="240" priority="151">
      <formula>SEARCH("IN CORSO",$M9)&gt;0</formula>
    </cfRule>
    <cfRule type="expression" dxfId="239" priority="152">
      <formula>SEARCH("CHIUSO",$M9)&gt;0</formula>
    </cfRule>
    <cfRule type="expression" dxfId="238" priority="153">
      <formula>SEARCH("EMESSO",$M9)&gt;0</formula>
    </cfRule>
    <cfRule type="expression" dxfId="237" priority="154">
      <formula>SEARCH("RICHIESTO",$M9)&gt;0</formula>
    </cfRule>
    <cfRule type="expression" dxfId="236" priority="155">
      <formula>SEARCH("DA CHIUDERE",$M9)&gt;0</formula>
    </cfRule>
    <cfRule type="expression" dxfId="235" priority="156">
      <formula>SEARCH("INTERROTTO",$M9)&gt;0</formula>
    </cfRule>
  </conditionalFormatting>
  <conditionalFormatting sqref="N8:S8">
    <cfRule type="expression" dxfId="234" priority="145">
      <formula>SEARCH("IN CORSO",$M8)&gt;0</formula>
    </cfRule>
    <cfRule type="expression" dxfId="233" priority="146">
      <formula>SEARCH("CHIUSO",$M8)&gt;0</formula>
    </cfRule>
    <cfRule type="expression" dxfId="232" priority="147">
      <formula>SEARCH("EMESSO",$M8)&gt;0</formula>
    </cfRule>
    <cfRule type="expression" dxfId="231" priority="148">
      <formula>SEARCH("RICHIESTO",$M8)&gt;0</formula>
    </cfRule>
    <cfRule type="expression" dxfId="230" priority="149">
      <formula>SEARCH("DA CHIUDERE",$M8)&gt;0</formula>
    </cfRule>
    <cfRule type="expression" dxfId="229" priority="150">
      <formula>SEARCH("INTERROTTO",$M8)&gt;0</formula>
    </cfRule>
  </conditionalFormatting>
  <conditionalFormatting sqref="G8">
    <cfRule type="expression" dxfId="228" priority="133">
      <formula>SEARCH("IN CORSO",$M8)&gt;0</formula>
    </cfRule>
    <cfRule type="expression" dxfId="227" priority="134">
      <formula>SEARCH("CHIUSO",$M8)&gt;0</formula>
    </cfRule>
    <cfRule type="expression" dxfId="226" priority="135">
      <formula>SEARCH("EMESSO",$M8)&gt;0</formula>
    </cfRule>
    <cfRule type="expression" dxfId="225" priority="136">
      <formula>SEARCH("RICHIESTO",$M8)&gt;0</formula>
    </cfRule>
    <cfRule type="expression" dxfId="224" priority="137">
      <formula>SEARCH("DA CHIUDERE",$M8)&gt;0</formula>
    </cfRule>
    <cfRule type="expression" dxfId="223" priority="138">
      <formula>SEARCH("INTERROTTO",$M8)&gt;0</formula>
    </cfRule>
  </conditionalFormatting>
  <conditionalFormatting sqref="E8">
    <cfRule type="expression" dxfId="222" priority="139">
      <formula>SEARCH("IN CORSO",$M8)&gt;0</formula>
    </cfRule>
    <cfRule type="expression" dxfId="221" priority="140">
      <formula>SEARCH("CHIUSO",$M8)&gt;0</formula>
    </cfRule>
    <cfRule type="expression" dxfId="220" priority="141">
      <formula>SEARCH("EMESSO",$M8)&gt;0</formula>
    </cfRule>
    <cfRule type="expression" dxfId="219" priority="142">
      <formula>SEARCH("RICHIESTO",$M8)&gt;0</formula>
    </cfRule>
    <cfRule type="expression" dxfId="218" priority="143">
      <formula>SEARCH("DA CHIUDERE",$M8)&gt;0</formula>
    </cfRule>
    <cfRule type="expression" dxfId="217" priority="144">
      <formula>SEARCH("INTERROTTO",$M8)&gt;0</formula>
    </cfRule>
  </conditionalFormatting>
  <conditionalFormatting sqref="F8">
    <cfRule type="expression" dxfId="216" priority="127">
      <formula>SEARCH("IN CORSO",$M8)&gt;0</formula>
    </cfRule>
    <cfRule type="expression" dxfId="215" priority="128">
      <formula>SEARCH("CHIUSO",$M8)&gt;0</formula>
    </cfRule>
    <cfRule type="expression" dxfId="214" priority="129">
      <formula>SEARCH("EMESSO",$M8)&gt;0</formula>
    </cfRule>
    <cfRule type="expression" dxfId="213" priority="130">
      <formula>SEARCH("RICHIESTO",$M8)&gt;0</formula>
    </cfRule>
    <cfRule type="expression" dxfId="212" priority="131">
      <formula>SEARCH("DA CHIUDERE",$M8)&gt;0</formula>
    </cfRule>
    <cfRule type="expression" dxfId="211" priority="132">
      <formula>SEARCH("INTERROTTO",$M8)&gt;0</formula>
    </cfRule>
  </conditionalFormatting>
  <conditionalFormatting sqref="M8">
    <cfRule type="expression" dxfId="210" priority="121">
      <formula>SEARCH("IN CORSO",$M8)&gt;0</formula>
    </cfRule>
    <cfRule type="expression" dxfId="209" priority="122">
      <formula>SEARCH("CHIUSO",$M8)&gt;0</formula>
    </cfRule>
    <cfRule type="expression" dxfId="208" priority="123">
      <formula>SEARCH("EMESSO",$M8)&gt;0</formula>
    </cfRule>
    <cfRule type="expression" dxfId="207" priority="124">
      <formula>SEARCH("RICHIESTO",$M8)&gt;0</formula>
    </cfRule>
    <cfRule type="expression" dxfId="206" priority="125">
      <formula>SEARCH("DA CHIUDERE",$M8)&gt;0</formula>
    </cfRule>
    <cfRule type="expression" dxfId="205" priority="126">
      <formula>SEARCH("INTERROTTO",$M8)&gt;0</formula>
    </cfRule>
  </conditionalFormatting>
  <conditionalFormatting sqref="N7:S7">
    <cfRule type="expression" dxfId="204" priority="115">
      <formula>SEARCH("IN CORSO",$M7)&gt;0</formula>
    </cfRule>
    <cfRule type="expression" dxfId="203" priority="116">
      <formula>SEARCH("CHIUSO",$M7)&gt;0</formula>
    </cfRule>
    <cfRule type="expression" dxfId="202" priority="117">
      <formula>SEARCH("EMESSO",$M7)&gt;0</formula>
    </cfRule>
    <cfRule type="expression" dxfId="201" priority="118">
      <formula>SEARCH("RICHIESTO",$M7)&gt;0</formula>
    </cfRule>
    <cfRule type="expression" dxfId="200" priority="119">
      <formula>SEARCH("DA CHIUDERE",$M7)&gt;0</formula>
    </cfRule>
    <cfRule type="expression" dxfId="199" priority="120">
      <formula>SEARCH("INTERROTTO",$M7)&gt;0</formula>
    </cfRule>
  </conditionalFormatting>
  <conditionalFormatting sqref="G7">
    <cfRule type="expression" dxfId="198" priority="103">
      <formula>SEARCH("IN CORSO",$M7)&gt;0</formula>
    </cfRule>
    <cfRule type="expression" dxfId="197" priority="104">
      <formula>SEARCH("CHIUSO",$M7)&gt;0</formula>
    </cfRule>
    <cfRule type="expression" dxfId="196" priority="105">
      <formula>SEARCH("EMESSO",$M7)&gt;0</formula>
    </cfRule>
    <cfRule type="expression" dxfId="195" priority="106">
      <formula>SEARCH("RICHIESTO",$M7)&gt;0</formula>
    </cfRule>
    <cfRule type="expression" dxfId="194" priority="107">
      <formula>SEARCH("DA CHIUDERE",$M7)&gt;0</formula>
    </cfRule>
    <cfRule type="expression" dxfId="193" priority="108">
      <formula>SEARCH("INTERROTTO",$M7)&gt;0</formula>
    </cfRule>
  </conditionalFormatting>
  <conditionalFormatting sqref="E7">
    <cfRule type="expression" dxfId="192" priority="109">
      <formula>SEARCH("IN CORSO",$M7)&gt;0</formula>
    </cfRule>
    <cfRule type="expression" dxfId="191" priority="110">
      <formula>SEARCH("CHIUSO",$M7)&gt;0</formula>
    </cfRule>
    <cfRule type="expression" dxfId="190" priority="111">
      <formula>SEARCH("EMESSO",$M7)&gt;0</formula>
    </cfRule>
    <cfRule type="expression" dxfId="189" priority="112">
      <formula>SEARCH("RICHIESTO",$M7)&gt;0</formula>
    </cfRule>
    <cfRule type="expression" dxfId="188" priority="113">
      <formula>SEARCH("DA CHIUDERE",$M7)&gt;0</formula>
    </cfRule>
    <cfRule type="expression" dxfId="187" priority="114">
      <formula>SEARCH("INTERROTTO",$M7)&gt;0</formula>
    </cfRule>
  </conditionalFormatting>
  <conditionalFormatting sqref="F7">
    <cfRule type="expression" dxfId="186" priority="97">
      <formula>SEARCH("IN CORSO",$M7)&gt;0</formula>
    </cfRule>
    <cfRule type="expression" dxfId="185" priority="98">
      <formula>SEARCH("CHIUSO",$M7)&gt;0</formula>
    </cfRule>
    <cfRule type="expression" dxfId="184" priority="99">
      <formula>SEARCH("EMESSO",$M7)&gt;0</formula>
    </cfRule>
    <cfRule type="expression" dxfId="183" priority="100">
      <formula>SEARCH("RICHIESTO",$M7)&gt;0</formula>
    </cfRule>
    <cfRule type="expression" dxfId="182" priority="101">
      <formula>SEARCH("DA CHIUDERE",$M7)&gt;0</formula>
    </cfRule>
    <cfRule type="expression" dxfId="181" priority="102">
      <formula>SEARCH("INTERROTTO",$M7)&gt;0</formula>
    </cfRule>
  </conditionalFormatting>
  <conditionalFormatting sqref="M7">
    <cfRule type="expression" dxfId="180" priority="91">
      <formula>SEARCH("IN CORSO",$M7)&gt;0</formula>
    </cfRule>
    <cfRule type="expression" dxfId="179" priority="92">
      <formula>SEARCH("CHIUSO",$M7)&gt;0</formula>
    </cfRule>
    <cfRule type="expression" dxfId="178" priority="93">
      <formula>SEARCH("EMESSO",$M7)&gt;0</formula>
    </cfRule>
    <cfRule type="expression" dxfId="177" priority="94">
      <formula>SEARCH("RICHIESTO",$M7)&gt;0</formula>
    </cfRule>
    <cfRule type="expression" dxfId="176" priority="95">
      <formula>SEARCH("DA CHIUDERE",$M7)&gt;0</formula>
    </cfRule>
    <cfRule type="expression" dxfId="175" priority="96">
      <formula>SEARCH("INTERROTTO",$M7)&gt;0</formula>
    </cfRule>
  </conditionalFormatting>
  <conditionalFormatting sqref="N6:S6">
    <cfRule type="expression" dxfId="174" priority="85">
      <formula>SEARCH("IN CORSO",$M6)&gt;0</formula>
    </cfRule>
    <cfRule type="expression" dxfId="173" priority="86">
      <formula>SEARCH("CHIUSO",$M6)&gt;0</formula>
    </cfRule>
    <cfRule type="expression" dxfId="172" priority="87">
      <formula>SEARCH("EMESSO",$M6)&gt;0</formula>
    </cfRule>
    <cfRule type="expression" dxfId="171" priority="88">
      <formula>SEARCH("RICHIESTO",$M6)&gt;0</formula>
    </cfRule>
    <cfRule type="expression" dxfId="170" priority="89">
      <formula>SEARCH("DA CHIUDERE",$M6)&gt;0</formula>
    </cfRule>
    <cfRule type="expression" dxfId="169" priority="90">
      <formula>SEARCH("INTERROTTO",$M6)&gt;0</formula>
    </cfRule>
  </conditionalFormatting>
  <conditionalFormatting sqref="G6">
    <cfRule type="expression" dxfId="168" priority="73">
      <formula>SEARCH("IN CORSO",$M6)&gt;0</formula>
    </cfRule>
    <cfRule type="expression" dxfId="167" priority="74">
      <formula>SEARCH("CHIUSO",$M6)&gt;0</formula>
    </cfRule>
    <cfRule type="expression" dxfId="166" priority="75">
      <formula>SEARCH("EMESSO",$M6)&gt;0</formula>
    </cfRule>
    <cfRule type="expression" dxfId="165" priority="76">
      <formula>SEARCH("RICHIESTO",$M6)&gt;0</formula>
    </cfRule>
    <cfRule type="expression" dxfId="164" priority="77">
      <formula>SEARCH("DA CHIUDERE",$M6)&gt;0</formula>
    </cfRule>
    <cfRule type="expression" dxfId="163" priority="78">
      <formula>SEARCH("INTERROTTO",$M6)&gt;0</formula>
    </cfRule>
  </conditionalFormatting>
  <conditionalFormatting sqref="E6">
    <cfRule type="expression" dxfId="162" priority="79">
      <formula>SEARCH("IN CORSO",$M6)&gt;0</formula>
    </cfRule>
    <cfRule type="expression" dxfId="161" priority="80">
      <formula>SEARCH("CHIUSO",$M6)&gt;0</formula>
    </cfRule>
    <cfRule type="expression" dxfId="160" priority="81">
      <formula>SEARCH("EMESSO",$M6)&gt;0</formula>
    </cfRule>
    <cfRule type="expression" dxfId="159" priority="82">
      <formula>SEARCH("RICHIESTO",$M6)&gt;0</formula>
    </cfRule>
    <cfRule type="expression" dxfId="158" priority="83">
      <formula>SEARCH("DA CHIUDERE",$M6)&gt;0</formula>
    </cfRule>
    <cfRule type="expression" dxfId="157" priority="84">
      <formula>SEARCH("INTERROTTO",$M6)&gt;0</formula>
    </cfRule>
  </conditionalFormatting>
  <conditionalFormatting sqref="F6">
    <cfRule type="expression" dxfId="156" priority="67">
      <formula>SEARCH("IN CORSO",$M6)&gt;0</formula>
    </cfRule>
    <cfRule type="expression" dxfId="155" priority="68">
      <formula>SEARCH("CHIUSO",$M6)&gt;0</formula>
    </cfRule>
    <cfRule type="expression" dxfId="154" priority="69">
      <formula>SEARCH("EMESSO",$M6)&gt;0</formula>
    </cfRule>
    <cfRule type="expression" dxfId="153" priority="70">
      <formula>SEARCH("RICHIESTO",$M6)&gt;0</formula>
    </cfRule>
    <cfRule type="expression" dxfId="152" priority="71">
      <formula>SEARCH("DA CHIUDERE",$M6)&gt;0</formula>
    </cfRule>
    <cfRule type="expression" dxfId="151" priority="72">
      <formula>SEARCH("INTERROTTO",$M6)&gt;0</formula>
    </cfRule>
  </conditionalFormatting>
  <conditionalFormatting sqref="M6">
    <cfRule type="expression" dxfId="150" priority="61">
      <formula>SEARCH("IN CORSO",$M6)&gt;0</formula>
    </cfRule>
    <cfRule type="expression" dxfId="149" priority="62">
      <formula>SEARCH("CHIUSO",$M6)&gt;0</formula>
    </cfRule>
    <cfRule type="expression" dxfId="148" priority="63">
      <formula>SEARCH("EMESSO",$M6)&gt;0</formula>
    </cfRule>
    <cfRule type="expression" dxfId="147" priority="64">
      <formula>SEARCH("RICHIESTO",$M6)&gt;0</formula>
    </cfRule>
    <cfRule type="expression" dxfId="146" priority="65">
      <formula>SEARCH("DA CHIUDERE",$M6)&gt;0</formula>
    </cfRule>
    <cfRule type="expression" dxfId="145" priority="66">
      <formula>SEARCH("INTERROTTO",$M6)&gt;0</formula>
    </cfRule>
  </conditionalFormatting>
  <conditionalFormatting sqref="N5:S5">
    <cfRule type="expression" dxfId="144" priority="55">
      <formula>SEARCH("IN CORSO",$M5)&gt;0</formula>
    </cfRule>
    <cfRule type="expression" dxfId="143" priority="56">
      <formula>SEARCH("CHIUSO",$M5)&gt;0</formula>
    </cfRule>
    <cfRule type="expression" dxfId="142" priority="57">
      <formula>SEARCH("EMESSO",$M5)&gt;0</formula>
    </cfRule>
    <cfRule type="expression" dxfId="141" priority="58">
      <formula>SEARCH("RICHIESTO",$M5)&gt;0</formula>
    </cfRule>
    <cfRule type="expression" dxfId="140" priority="59">
      <formula>SEARCH("DA CHIUDERE",$M5)&gt;0</formula>
    </cfRule>
    <cfRule type="expression" dxfId="139" priority="60">
      <formula>SEARCH("INTERROTTO",$M5)&gt;0</formula>
    </cfRule>
  </conditionalFormatting>
  <conditionalFormatting sqref="G5">
    <cfRule type="expression" dxfId="138" priority="43">
      <formula>SEARCH("IN CORSO",$M5)&gt;0</formula>
    </cfRule>
    <cfRule type="expression" dxfId="137" priority="44">
      <formula>SEARCH("CHIUSO",$M5)&gt;0</formula>
    </cfRule>
    <cfRule type="expression" dxfId="136" priority="45">
      <formula>SEARCH("EMESSO",$M5)&gt;0</formula>
    </cfRule>
    <cfRule type="expression" dxfId="135" priority="46">
      <formula>SEARCH("RICHIESTO",$M5)&gt;0</formula>
    </cfRule>
    <cfRule type="expression" dxfId="134" priority="47">
      <formula>SEARCH("DA CHIUDERE",$M5)&gt;0</formula>
    </cfRule>
    <cfRule type="expression" dxfId="133" priority="48">
      <formula>SEARCH("INTERROTTO",$M5)&gt;0</formula>
    </cfRule>
  </conditionalFormatting>
  <conditionalFormatting sqref="E5">
    <cfRule type="expression" dxfId="132" priority="49">
      <formula>SEARCH("IN CORSO",$M5)&gt;0</formula>
    </cfRule>
    <cfRule type="expression" dxfId="131" priority="50">
      <formula>SEARCH("CHIUSO",$M5)&gt;0</formula>
    </cfRule>
    <cfRule type="expression" dxfId="130" priority="51">
      <formula>SEARCH("EMESSO",$M5)&gt;0</formula>
    </cfRule>
    <cfRule type="expression" dxfId="129" priority="52">
      <formula>SEARCH("RICHIESTO",$M5)&gt;0</formula>
    </cfRule>
    <cfRule type="expression" dxfId="128" priority="53">
      <formula>SEARCH("DA CHIUDERE",$M5)&gt;0</formula>
    </cfRule>
    <cfRule type="expression" dxfId="127" priority="54">
      <formula>SEARCH("INTERROTTO",$M5)&gt;0</formula>
    </cfRule>
  </conditionalFormatting>
  <conditionalFormatting sqref="F5">
    <cfRule type="expression" dxfId="126" priority="37">
      <formula>SEARCH("IN CORSO",$M5)&gt;0</formula>
    </cfRule>
    <cfRule type="expression" dxfId="125" priority="38">
      <formula>SEARCH("CHIUSO",$M5)&gt;0</formula>
    </cfRule>
    <cfRule type="expression" dxfId="124" priority="39">
      <formula>SEARCH("EMESSO",$M5)&gt;0</formula>
    </cfRule>
    <cfRule type="expression" dxfId="123" priority="40">
      <formula>SEARCH("RICHIESTO",$M5)&gt;0</formula>
    </cfRule>
    <cfRule type="expression" dxfId="122" priority="41">
      <formula>SEARCH("DA CHIUDERE",$M5)&gt;0</formula>
    </cfRule>
    <cfRule type="expression" dxfId="121" priority="42">
      <formula>SEARCH("INTERROTTO",$M5)&gt;0</formula>
    </cfRule>
  </conditionalFormatting>
  <conditionalFormatting sqref="M5">
    <cfRule type="expression" dxfId="120" priority="31">
      <formula>SEARCH("IN CORSO",$M5)&gt;0</formula>
    </cfRule>
    <cfRule type="expression" dxfId="119" priority="32">
      <formula>SEARCH("CHIUSO",$M5)&gt;0</formula>
    </cfRule>
    <cfRule type="expression" dxfId="118" priority="33">
      <formula>SEARCH("EMESSO",$M5)&gt;0</formula>
    </cfRule>
    <cfRule type="expression" dxfId="117" priority="34">
      <formula>SEARCH("RICHIESTO",$M5)&gt;0</formula>
    </cfRule>
    <cfRule type="expression" dxfId="116" priority="35">
      <formula>SEARCH("DA CHIUDERE",$M5)&gt;0</formula>
    </cfRule>
    <cfRule type="expression" dxfId="115" priority="36">
      <formula>SEARCH("INTERROTTO",$M5)&gt;0</formula>
    </cfRule>
  </conditionalFormatting>
  <conditionalFormatting sqref="N4:S4">
    <cfRule type="expression" dxfId="114" priority="25">
      <formula>SEARCH("IN CORSO",$M4)&gt;0</formula>
    </cfRule>
    <cfRule type="expression" dxfId="113" priority="26">
      <formula>SEARCH("CHIUSO",$M4)&gt;0</formula>
    </cfRule>
    <cfRule type="expression" dxfId="112" priority="27">
      <formula>SEARCH("EMESSO",$M4)&gt;0</formula>
    </cfRule>
    <cfRule type="expression" dxfId="111" priority="28">
      <formula>SEARCH("RICHIESTO",$M4)&gt;0</formula>
    </cfRule>
    <cfRule type="expression" dxfId="110" priority="29">
      <formula>SEARCH("DA CHIUDERE",$M4)&gt;0</formula>
    </cfRule>
    <cfRule type="expression" dxfId="109" priority="30">
      <formula>SEARCH("INTERROTTO",$M4)&gt;0</formula>
    </cfRule>
  </conditionalFormatting>
  <conditionalFormatting sqref="G4">
    <cfRule type="expression" dxfId="108" priority="13">
      <formula>SEARCH("IN CORSO",$M4)&gt;0</formula>
    </cfRule>
    <cfRule type="expression" dxfId="107" priority="14">
      <formula>SEARCH("CHIUSO",$M4)&gt;0</formula>
    </cfRule>
    <cfRule type="expression" dxfId="106" priority="15">
      <formula>SEARCH("EMESSO",$M4)&gt;0</formula>
    </cfRule>
    <cfRule type="expression" dxfId="105" priority="16">
      <formula>SEARCH("RICHIESTO",$M4)&gt;0</formula>
    </cfRule>
    <cfRule type="expression" dxfId="104" priority="17">
      <formula>SEARCH("DA CHIUDERE",$M4)&gt;0</formula>
    </cfRule>
    <cfRule type="expression" dxfId="103" priority="18">
      <formula>SEARCH("INTERROTTO",$M4)&gt;0</formula>
    </cfRule>
  </conditionalFormatting>
  <conditionalFormatting sqref="E4">
    <cfRule type="expression" dxfId="102" priority="19">
      <formula>SEARCH("IN CORSO",$M4)&gt;0</formula>
    </cfRule>
    <cfRule type="expression" dxfId="101" priority="20">
      <formula>SEARCH("CHIUSO",$M4)&gt;0</formula>
    </cfRule>
    <cfRule type="expression" dxfId="100" priority="21">
      <formula>SEARCH("EMESSO",$M4)&gt;0</formula>
    </cfRule>
    <cfRule type="expression" dxfId="99" priority="22">
      <formula>SEARCH("RICHIESTO",$M4)&gt;0</formula>
    </cfRule>
    <cfRule type="expression" dxfId="98" priority="23">
      <formula>SEARCH("DA CHIUDERE",$M4)&gt;0</formula>
    </cfRule>
    <cfRule type="expression" dxfId="97" priority="24">
      <formula>SEARCH("INTERROTTO",$M4)&gt;0</formula>
    </cfRule>
  </conditionalFormatting>
  <conditionalFormatting sqref="F4">
    <cfRule type="expression" dxfId="96" priority="7">
      <formula>SEARCH("IN CORSO",$M4)&gt;0</formula>
    </cfRule>
    <cfRule type="expression" dxfId="95" priority="8">
      <formula>SEARCH("CHIUSO",$M4)&gt;0</formula>
    </cfRule>
    <cfRule type="expression" dxfId="94" priority="9">
      <formula>SEARCH("EMESSO",$M4)&gt;0</formula>
    </cfRule>
    <cfRule type="expression" dxfId="93" priority="10">
      <formula>SEARCH("RICHIESTO",$M4)&gt;0</formula>
    </cfRule>
    <cfRule type="expression" dxfId="92" priority="11">
      <formula>SEARCH("DA CHIUDERE",$M4)&gt;0</formula>
    </cfRule>
    <cfRule type="expression" dxfId="91" priority="12">
      <formula>SEARCH("INTERROTTO",$M4)&gt;0</formula>
    </cfRule>
  </conditionalFormatting>
  <conditionalFormatting sqref="M4">
    <cfRule type="expression" dxfId="90" priority="1">
      <formula>SEARCH("IN CORSO",$M4)&gt;0</formula>
    </cfRule>
    <cfRule type="expression" dxfId="89" priority="2">
      <formula>SEARCH("CHIUSO",$M4)&gt;0</formula>
    </cfRule>
    <cfRule type="expression" dxfId="88" priority="3">
      <formula>SEARCH("EMESSO",$M4)&gt;0</formula>
    </cfRule>
    <cfRule type="expression" dxfId="87" priority="4">
      <formula>SEARCH("RICHIESTO",$M4)&gt;0</formula>
    </cfRule>
    <cfRule type="expression" dxfId="86" priority="5">
      <formula>SEARCH("DA CHIUDERE",$M4)&gt;0</formula>
    </cfRule>
    <cfRule type="expression" dxfId="85" priority="6">
      <formula>SEARCH("INTERROTTO",$M4)&gt;0</formula>
    </cfRule>
  </conditionalFormatting>
  <dataValidations count="1">
    <dataValidation type="list" allowBlank="1" showInputMessage="1" showErrorMessage="1" sqref="M4:M182"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50"/>
  <sheetViews>
    <sheetView zoomScale="90" zoomScaleNormal="90" workbookViewId="0">
      <selection activeCell="E1093" sqref="E1093"/>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3"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94"/>
      <c r="B1" s="194"/>
      <c r="C1" s="194"/>
      <c r="D1" s="194"/>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30/09/2025</v>
      </c>
      <c r="H2" s="14">
        <f ca="1">INDIRECT("'Inserimento dati'!B1")</f>
        <v>45929</v>
      </c>
      <c r="I2" s="14">
        <f ca="1">H2 + 1</f>
        <v>45930</v>
      </c>
      <c r="J2" s="14">
        <f ca="1">I2 + 1</f>
        <v>45931</v>
      </c>
      <c r="K2" s="14">
        <f ca="1">J2 + 1</f>
        <v>45932</v>
      </c>
      <c r="L2" s="14">
        <f ca="1">K2 + 1</f>
        <v>45933</v>
      </c>
      <c r="M2" s="38"/>
      <c r="N2" s="195" t="s">
        <v>1256</v>
      </c>
      <c r="O2" s="195"/>
      <c r="P2" s="195"/>
      <c r="Q2" s="41"/>
      <c r="R2" s="174"/>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ht="30" x14ac:dyDescent="0.2">
      <c r="A4" s="47"/>
      <c r="B4" s="108"/>
      <c r="C4" s="47" t="s">
        <v>275</v>
      </c>
      <c r="D4" s="3" t="s">
        <v>8</v>
      </c>
      <c r="E4" s="3" t="s">
        <v>2363</v>
      </c>
      <c r="F4" s="3" t="s">
        <v>3066</v>
      </c>
      <c r="G4" s="3" t="s">
        <v>2364</v>
      </c>
      <c r="H4" s="3"/>
      <c r="I4" s="3"/>
      <c r="J4" s="3"/>
      <c r="K4" s="3"/>
      <c r="L4" s="3"/>
      <c r="M4" s="36" t="s">
        <v>1258</v>
      </c>
      <c r="N4" s="36"/>
      <c r="O4" s="36"/>
      <c r="P4" s="36"/>
      <c r="Q4" s="36" t="s">
        <v>2580</v>
      </c>
      <c r="R4" s="150">
        <v>45880</v>
      </c>
      <c r="S4" s="36" t="s">
        <v>239</v>
      </c>
      <c r="T4" s="47" t="s">
        <v>275</v>
      </c>
      <c r="U4" s="146"/>
      <c r="V4"/>
    </row>
    <row r="5" spans="1:22" s="19" customFormat="1" ht="30" x14ac:dyDescent="0.2">
      <c r="A5" s="109"/>
      <c r="B5" s="109"/>
      <c r="C5" s="109" t="s">
        <v>275</v>
      </c>
      <c r="D5" s="109" t="s">
        <v>8</v>
      </c>
      <c r="E5" s="109" t="s">
        <v>2574</v>
      </c>
      <c r="F5" s="109" t="s">
        <v>3067</v>
      </c>
      <c r="G5" s="109" t="s">
        <v>2575</v>
      </c>
      <c r="H5" s="109"/>
      <c r="I5" s="109"/>
      <c r="J5" s="109"/>
      <c r="K5" s="109"/>
      <c r="L5" s="109"/>
      <c r="M5" s="109" t="s">
        <v>1258</v>
      </c>
      <c r="N5" s="109"/>
      <c r="O5" s="109"/>
      <c r="P5" s="109"/>
      <c r="Q5" s="109" t="s">
        <v>2580</v>
      </c>
      <c r="R5" s="117"/>
      <c r="S5" s="109"/>
      <c r="T5" s="109" t="s">
        <v>275</v>
      </c>
      <c r="U5" s="109"/>
      <c r="V5"/>
    </row>
    <row r="6" spans="1:22" s="19" customFormat="1" x14ac:dyDescent="0.2">
      <c r="A6" s="47"/>
      <c r="B6" s="108"/>
      <c r="C6" s="47" t="s">
        <v>275</v>
      </c>
      <c r="D6" s="3" t="s">
        <v>8</v>
      </c>
      <c r="E6" s="3" t="s">
        <v>2368</v>
      </c>
      <c r="F6" s="3" t="s">
        <v>3066</v>
      </c>
      <c r="G6" s="3" t="s">
        <v>2367</v>
      </c>
      <c r="H6" s="3"/>
      <c r="I6" s="3"/>
      <c r="J6" s="3"/>
      <c r="K6" s="3"/>
      <c r="L6" s="3"/>
      <c r="M6" s="36" t="s">
        <v>1258</v>
      </c>
      <c r="N6" s="36"/>
      <c r="O6" s="36"/>
      <c r="P6" s="36"/>
      <c r="Q6" s="36"/>
      <c r="R6" s="150"/>
      <c r="S6" s="36"/>
      <c r="T6" s="47" t="s">
        <v>275</v>
      </c>
      <c r="U6" s="146"/>
      <c r="V6"/>
    </row>
    <row r="7" spans="1:22" s="19" customFormat="1" x14ac:dyDescent="0.2">
      <c r="A7" s="109"/>
      <c r="B7" s="109"/>
      <c r="C7" s="109" t="s">
        <v>275</v>
      </c>
      <c r="D7" s="109" t="s">
        <v>8</v>
      </c>
      <c r="E7" s="109" t="s">
        <v>1579</v>
      </c>
      <c r="F7" s="109" t="s">
        <v>3068</v>
      </c>
      <c r="G7" s="109" t="s">
        <v>1578</v>
      </c>
      <c r="H7" s="109"/>
      <c r="I7" s="109"/>
      <c r="J7" s="109"/>
      <c r="K7" s="109"/>
      <c r="L7" s="109"/>
      <c r="M7" s="109" t="s">
        <v>1258</v>
      </c>
      <c r="N7" s="109"/>
      <c r="O7" s="109"/>
      <c r="P7" s="109"/>
      <c r="Q7" s="109" t="s">
        <v>1722</v>
      </c>
      <c r="R7" s="117">
        <v>45825</v>
      </c>
      <c r="S7" s="109" t="s">
        <v>203</v>
      </c>
      <c r="T7" s="109" t="s">
        <v>275</v>
      </c>
      <c r="U7" s="109" t="s">
        <v>275</v>
      </c>
      <c r="V7"/>
    </row>
    <row r="8" spans="1:22" s="19" customFormat="1" ht="30" x14ac:dyDescent="0.2">
      <c r="A8" s="47"/>
      <c r="B8" s="108" t="s">
        <v>23</v>
      </c>
      <c r="C8" s="47" t="s">
        <v>275</v>
      </c>
      <c r="D8" s="3" t="s">
        <v>8</v>
      </c>
      <c r="E8" s="3" t="s">
        <v>1603</v>
      </c>
      <c r="F8" s="3" t="s">
        <v>3066</v>
      </c>
      <c r="G8" s="3" t="s">
        <v>1604</v>
      </c>
      <c r="H8" s="3"/>
      <c r="I8" s="3"/>
      <c r="J8" s="3"/>
      <c r="K8" s="3"/>
      <c r="L8" s="3"/>
      <c r="M8" s="36" t="s">
        <v>1258</v>
      </c>
      <c r="N8" s="36"/>
      <c r="O8" s="36"/>
      <c r="P8" s="36"/>
      <c r="Q8" s="36"/>
      <c r="R8" s="150">
        <v>45814</v>
      </c>
      <c r="S8" s="36" t="s">
        <v>239</v>
      </c>
      <c r="T8" s="47" t="s">
        <v>275</v>
      </c>
      <c r="U8" s="146" t="s">
        <v>275</v>
      </c>
      <c r="V8"/>
    </row>
    <row r="9" spans="1:22" s="19" customFormat="1" x14ac:dyDescent="0.2">
      <c r="A9" s="47"/>
      <c r="B9" s="108"/>
      <c r="C9" s="47" t="s">
        <v>275</v>
      </c>
      <c r="D9" s="3" t="s">
        <v>8</v>
      </c>
      <c r="E9" s="3" t="s">
        <v>1567</v>
      </c>
      <c r="F9" s="3" t="s">
        <v>3069</v>
      </c>
      <c r="G9" s="3" t="s">
        <v>1565</v>
      </c>
      <c r="H9" s="3"/>
      <c r="I9" s="3"/>
      <c r="J9" s="3"/>
      <c r="K9" s="3"/>
      <c r="L9" s="3"/>
      <c r="M9" s="36" t="s">
        <v>1258</v>
      </c>
      <c r="N9" s="36"/>
      <c r="O9" s="36"/>
      <c r="P9" s="36"/>
      <c r="Q9" s="36"/>
      <c r="R9" s="150">
        <v>45813</v>
      </c>
      <c r="S9" s="36" t="s">
        <v>705</v>
      </c>
      <c r="T9" s="47" t="s">
        <v>275</v>
      </c>
      <c r="U9" s="146" t="s">
        <v>275</v>
      </c>
      <c r="V9"/>
    </row>
    <row r="10" spans="1:22" s="19" customFormat="1" ht="30" x14ac:dyDescent="0.2">
      <c r="A10" s="47"/>
      <c r="B10" s="108" t="s">
        <v>23</v>
      </c>
      <c r="C10" s="47" t="s">
        <v>275</v>
      </c>
      <c r="D10" s="3" t="s">
        <v>8</v>
      </c>
      <c r="E10" s="3" t="s">
        <v>1387</v>
      </c>
      <c r="F10" s="3" t="s">
        <v>3066</v>
      </c>
      <c r="G10" s="3" t="s">
        <v>1386</v>
      </c>
      <c r="H10" s="3"/>
      <c r="I10" s="3"/>
      <c r="J10" s="3"/>
      <c r="K10" s="3"/>
      <c r="L10" s="3"/>
      <c r="M10" s="36" t="s">
        <v>1258</v>
      </c>
      <c r="N10" s="36"/>
      <c r="O10" s="36"/>
      <c r="P10" s="36"/>
      <c r="Q10" s="36"/>
      <c r="R10" s="150"/>
      <c r="S10" s="36"/>
      <c r="T10" s="47" t="s">
        <v>275</v>
      </c>
      <c r="U10" s="146" t="s">
        <v>275</v>
      </c>
      <c r="V10"/>
    </row>
    <row r="11" spans="1:22" s="19" customFormat="1" x14ac:dyDescent="0.2">
      <c r="A11" s="47"/>
      <c r="B11" s="108"/>
      <c r="C11" s="47" t="s">
        <v>275</v>
      </c>
      <c r="D11" s="3" t="s">
        <v>8</v>
      </c>
      <c r="E11" s="3" t="s">
        <v>1445</v>
      </c>
      <c r="F11" s="3" t="s">
        <v>3068</v>
      </c>
      <c r="G11" s="3" t="s">
        <v>1444</v>
      </c>
      <c r="H11" s="3"/>
      <c r="I11" s="3"/>
      <c r="J11" s="3"/>
      <c r="K11" s="3"/>
      <c r="L11" s="3"/>
      <c r="M11" s="36" t="s">
        <v>1258</v>
      </c>
      <c r="N11" s="36"/>
      <c r="O11" s="36"/>
      <c r="P11" s="36"/>
      <c r="Q11" s="36"/>
      <c r="R11" s="150"/>
      <c r="S11" s="36"/>
      <c r="T11" s="47" t="s">
        <v>275</v>
      </c>
      <c r="U11" s="146" t="s">
        <v>275</v>
      </c>
      <c r="V11"/>
    </row>
    <row r="12" spans="1:22" s="19" customFormat="1" ht="30" x14ac:dyDescent="0.2">
      <c r="A12" s="47"/>
      <c r="B12" s="108" t="s">
        <v>23</v>
      </c>
      <c r="C12" s="47" t="s">
        <v>275</v>
      </c>
      <c r="D12" s="3" t="s">
        <v>8</v>
      </c>
      <c r="E12" s="3" t="s">
        <v>1228</v>
      </c>
      <c r="F12" s="3" t="s">
        <v>3070</v>
      </c>
      <c r="G12" s="3" t="s">
        <v>1222</v>
      </c>
      <c r="H12" s="3"/>
      <c r="I12" s="3"/>
      <c r="J12" s="3"/>
      <c r="K12" s="3"/>
      <c r="L12" s="3"/>
      <c r="M12" s="36" t="s">
        <v>1258</v>
      </c>
      <c r="N12" s="36"/>
      <c r="O12" s="36"/>
      <c r="P12" s="36"/>
      <c r="Q12" s="36" t="s">
        <v>1241</v>
      </c>
      <c r="R12" s="150">
        <v>45782</v>
      </c>
      <c r="S12" s="36" t="s">
        <v>102</v>
      </c>
      <c r="T12" s="47" t="s">
        <v>275</v>
      </c>
      <c r="U12" s="146" t="s">
        <v>275</v>
      </c>
      <c r="V12"/>
    </row>
    <row r="13" spans="1:22" s="19" customFormat="1" x14ac:dyDescent="0.2">
      <c r="A13" s="47"/>
      <c r="B13" s="108" t="s">
        <v>23</v>
      </c>
      <c r="C13" s="47" t="s">
        <v>275</v>
      </c>
      <c r="D13" s="3" t="s">
        <v>8</v>
      </c>
      <c r="E13" s="3" t="s">
        <v>1243</v>
      </c>
      <c r="F13" s="3" t="s">
        <v>3070</v>
      </c>
      <c r="G13" s="3" t="s">
        <v>1234</v>
      </c>
      <c r="H13" s="3"/>
      <c r="I13" s="3"/>
      <c r="J13" s="3"/>
      <c r="K13" s="3"/>
      <c r="L13" s="3"/>
      <c r="M13" s="36" t="s">
        <v>1258</v>
      </c>
      <c r="N13" s="36"/>
      <c r="O13" s="36"/>
      <c r="P13" s="36"/>
      <c r="Q13" s="36" t="s">
        <v>1247</v>
      </c>
      <c r="R13" s="150">
        <v>45783</v>
      </c>
      <c r="S13" s="36" t="s">
        <v>211</v>
      </c>
      <c r="T13" s="47" t="s">
        <v>275</v>
      </c>
      <c r="U13" s="146" t="s">
        <v>275</v>
      </c>
      <c r="V13"/>
    </row>
    <row r="14" spans="1:22" s="19" customFormat="1" ht="30" x14ac:dyDescent="0.2">
      <c r="A14" s="47"/>
      <c r="B14" s="108" t="s">
        <v>23</v>
      </c>
      <c r="C14" s="47" t="s">
        <v>275</v>
      </c>
      <c r="D14" s="3" t="s">
        <v>8</v>
      </c>
      <c r="E14" s="3" t="s">
        <v>1171</v>
      </c>
      <c r="F14" s="3" t="s">
        <v>3068</v>
      </c>
      <c r="G14" s="3" t="s">
        <v>1170</v>
      </c>
      <c r="H14" s="3"/>
      <c r="I14" s="3"/>
      <c r="J14" s="3"/>
      <c r="K14" s="3"/>
      <c r="L14" s="3"/>
      <c r="M14" s="36" t="s">
        <v>1258</v>
      </c>
      <c r="N14" s="36"/>
      <c r="O14" s="36"/>
      <c r="P14" s="36"/>
      <c r="Q14" s="36" t="s">
        <v>1209</v>
      </c>
      <c r="R14" s="150">
        <v>45777</v>
      </c>
      <c r="S14" s="36" t="s">
        <v>1186</v>
      </c>
      <c r="T14" s="47" t="s">
        <v>275</v>
      </c>
      <c r="U14" s="146" t="s">
        <v>275</v>
      </c>
      <c r="V14"/>
    </row>
    <row r="15" spans="1:22" s="19" customFormat="1" ht="30" x14ac:dyDescent="0.2">
      <c r="A15" s="47"/>
      <c r="B15" s="108" t="s">
        <v>23</v>
      </c>
      <c r="C15" s="47" t="s">
        <v>275</v>
      </c>
      <c r="D15" s="3" t="s">
        <v>8</v>
      </c>
      <c r="E15" s="3" t="s">
        <v>1172</v>
      </c>
      <c r="F15" s="3" t="s">
        <v>3067</v>
      </c>
      <c r="G15" s="3" t="s">
        <v>1169</v>
      </c>
      <c r="H15" s="3"/>
      <c r="I15" s="3"/>
      <c r="J15" s="3"/>
      <c r="K15" s="3"/>
      <c r="L15" s="3"/>
      <c r="M15" s="36" t="s">
        <v>1258</v>
      </c>
      <c r="N15" s="36"/>
      <c r="O15" s="36"/>
      <c r="P15" s="36"/>
      <c r="Q15" s="36" t="s">
        <v>1210</v>
      </c>
      <c r="R15" s="150">
        <v>45777</v>
      </c>
      <c r="S15" s="36" t="s">
        <v>50</v>
      </c>
      <c r="T15" s="47" t="s">
        <v>275</v>
      </c>
      <c r="U15" s="146" t="s">
        <v>275</v>
      </c>
      <c r="V15"/>
    </row>
    <row r="16" spans="1:22" s="19" customFormat="1" ht="30" x14ac:dyDescent="0.2">
      <c r="A16" s="109"/>
      <c r="B16" s="109" t="s">
        <v>23</v>
      </c>
      <c r="C16" s="109" t="s">
        <v>275</v>
      </c>
      <c r="D16" s="109" t="s">
        <v>8</v>
      </c>
      <c r="E16" s="109" t="s">
        <v>1133</v>
      </c>
      <c r="F16" s="109" t="s">
        <v>3070</v>
      </c>
      <c r="G16" s="109" t="s">
        <v>1182</v>
      </c>
      <c r="H16" s="109"/>
      <c r="I16" s="109"/>
      <c r="J16" s="109"/>
      <c r="K16" s="109"/>
      <c r="L16" s="109"/>
      <c r="M16" s="109" t="s">
        <v>1258</v>
      </c>
      <c r="N16" s="109"/>
      <c r="O16" s="109"/>
      <c r="P16" s="109"/>
      <c r="Q16" s="109" t="s">
        <v>1258</v>
      </c>
      <c r="R16" s="117">
        <v>45764</v>
      </c>
      <c r="S16" s="109" t="s">
        <v>203</v>
      </c>
      <c r="T16" s="109" t="s">
        <v>275</v>
      </c>
      <c r="U16" s="109" t="s">
        <v>275</v>
      </c>
      <c r="V16"/>
    </row>
    <row r="17" spans="1:24" s="19" customFormat="1" ht="30" x14ac:dyDescent="0.2">
      <c r="A17" s="109"/>
      <c r="B17" s="109" t="s">
        <v>23</v>
      </c>
      <c r="C17" s="109" t="s">
        <v>275</v>
      </c>
      <c r="D17" s="109" t="s">
        <v>8</v>
      </c>
      <c r="E17" s="109" t="s">
        <v>1084</v>
      </c>
      <c r="F17" s="109" t="s">
        <v>3070</v>
      </c>
      <c r="G17" s="109" t="s">
        <v>1079</v>
      </c>
      <c r="H17" s="109"/>
      <c r="I17" s="109"/>
      <c r="J17" s="109"/>
      <c r="K17" s="109"/>
      <c r="L17" s="109"/>
      <c r="M17" s="109" t="s">
        <v>1258</v>
      </c>
      <c r="N17" s="109"/>
      <c r="O17" s="109"/>
      <c r="P17" s="109"/>
      <c r="Q17" s="109" t="s">
        <v>1184</v>
      </c>
      <c r="R17" s="117">
        <v>45764</v>
      </c>
      <c r="S17" s="109" t="s">
        <v>203</v>
      </c>
      <c r="T17" s="109" t="s">
        <v>275</v>
      </c>
      <c r="U17" s="138" t="s">
        <v>275</v>
      </c>
      <c r="V17"/>
    </row>
    <row r="18" spans="1:24" s="19" customFormat="1" x14ac:dyDescent="0.2">
      <c r="A18" s="109"/>
      <c r="B18" s="109" t="s">
        <v>23</v>
      </c>
      <c r="C18" s="109" t="s">
        <v>275</v>
      </c>
      <c r="D18" s="109" t="s">
        <v>8</v>
      </c>
      <c r="E18" s="109" t="s">
        <v>1164</v>
      </c>
      <c r="F18" s="109" t="s">
        <v>3069</v>
      </c>
      <c r="G18" s="109" t="s">
        <v>1156</v>
      </c>
      <c r="H18" s="109"/>
      <c r="I18" s="109"/>
      <c r="J18" s="109"/>
      <c r="K18" s="109"/>
      <c r="L18" s="109"/>
      <c r="M18" s="109" t="s">
        <v>1258</v>
      </c>
      <c r="N18" s="109"/>
      <c r="O18" s="109"/>
      <c r="P18" s="109"/>
      <c r="Q18" s="109" t="s">
        <v>1183</v>
      </c>
      <c r="R18" s="117">
        <v>45775</v>
      </c>
      <c r="S18" s="109" t="s">
        <v>635</v>
      </c>
      <c r="T18" s="109" t="s">
        <v>275</v>
      </c>
      <c r="U18" s="109" t="s">
        <v>275</v>
      </c>
      <c r="V18"/>
    </row>
    <row r="19" spans="1:24" s="19" customFormat="1" ht="30" x14ac:dyDescent="0.2">
      <c r="A19" s="109"/>
      <c r="B19" s="109" t="s">
        <v>23</v>
      </c>
      <c r="C19" s="109" t="s">
        <v>275</v>
      </c>
      <c r="D19" s="109" t="s">
        <v>8</v>
      </c>
      <c r="E19" s="109" t="s">
        <v>1162</v>
      </c>
      <c r="F19" s="109" t="s">
        <v>3069</v>
      </c>
      <c r="G19" s="109" t="s">
        <v>1158</v>
      </c>
      <c r="H19" s="109"/>
      <c r="I19" s="109"/>
      <c r="J19" s="109"/>
      <c r="K19" s="109"/>
      <c r="L19" s="109"/>
      <c r="M19" s="110" t="s">
        <v>1258</v>
      </c>
      <c r="N19" s="110"/>
      <c r="O19" s="110"/>
      <c r="P19" s="110"/>
      <c r="Q19" s="110" t="s">
        <v>1177</v>
      </c>
      <c r="R19" s="117">
        <v>45771</v>
      </c>
      <c r="S19" s="110" t="s">
        <v>203</v>
      </c>
      <c r="T19" s="109" t="s">
        <v>275</v>
      </c>
      <c r="U19" s="138" t="s">
        <v>275</v>
      </c>
      <c r="V19"/>
    </row>
    <row r="20" spans="1:24" s="19" customFormat="1" ht="30" x14ac:dyDescent="0.2">
      <c r="A20" s="47"/>
      <c r="B20" s="108" t="s">
        <v>23</v>
      </c>
      <c r="C20" s="47" t="s">
        <v>275</v>
      </c>
      <c r="D20" s="3" t="s">
        <v>8</v>
      </c>
      <c r="E20" s="3" t="s">
        <v>1163</v>
      </c>
      <c r="F20" s="3" t="s">
        <v>3069</v>
      </c>
      <c r="G20" s="3" t="s">
        <v>1157</v>
      </c>
      <c r="H20" s="3"/>
      <c r="I20" s="3"/>
      <c r="J20" s="3"/>
      <c r="K20" s="3"/>
      <c r="L20" s="3"/>
      <c r="M20" s="36" t="s">
        <v>1258</v>
      </c>
      <c r="N20" s="36"/>
      <c r="O20" s="36"/>
      <c r="P20" s="36"/>
      <c r="Q20" s="36" t="s">
        <v>1176</v>
      </c>
      <c r="R20" s="150">
        <v>45771</v>
      </c>
      <c r="S20" s="36" t="s">
        <v>203</v>
      </c>
      <c r="T20" s="47" t="s">
        <v>275</v>
      </c>
      <c r="U20" s="146" t="s">
        <v>275</v>
      </c>
      <c r="V20"/>
    </row>
    <row r="21" spans="1:24" s="19" customFormat="1" x14ac:dyDescent="0.2">
      <c r="A21" s="109"/>
      <c r="B21" s="109" t="s">
        <v>23</v>
      </c>
      <c r="C21" s="109" t="s">
        <v>275</v>
      </c>
      <c r="D21" s="109" t="s">
        <v>8</v>
      </c>
      <c r="E21" s="109" t="s">
        <v>1147</v>
      </c>
      <c r="F21" s="109" t="s">
        <v>483</v>
      </c>
      <c r="G21" s="109" t="s">
        <v>1146</v>
      </c>
      <c r="H21" s="109"/>
      <c r="I21" s="109"/>
      <c r="J21" s="109"/>
      <c r="K21" s="109"/>
      <c r="L21" s="109"/>
      <c r="M21" s="109" t="s">
        <v>1258</v>
      </c>
      <c r="N21" s="109"/>
      <c r="O21" s="109"/>
      <c r="P21" s="109"/>
      <c r="Q21" s="109"/>
      <c r="R21" s="117"/>
      <c r="S21" s="109"/>
      <c r="T21" s="109" t="s">
        <v>275</v>
      </c>
      <c r="U21" s="138" t="s">
        <v>275</v>
      </c>
      <c r="V21"/>
    </row>
    <row r="22" spans="1:24" s="19" customFormat="1" ht="30" x14ac:dyDescent="0.2">
      <c r="A22" s="109"/>
      <c r="B22" s="109" t="s">
        <v>23</v>
      </c>
      <c r="C22" s="109" t="s">
        <v>275</v>
      </c>
      <c r="D22" s="109" t="s">
        <v>8</v>
      </c>
      <c r="E22" s="109" t="s">
        <v>1134</v>
      </c>
      <c r="F22" s="109" t="s">
        <v>3070</v>
      </c>
      <c r="G22" s="109" t="s">
        <v>1131</v>
      </c>
      <c r="H22" s="109"/>
      <c r="I22" s="109"/>
      <c r="J22" s="109"/>
      <c r="K22" s="109"/>
      <c r="L22" s="109"/>
      <c r="M22" s="109" t="s">
        <v>1258</v>
      </c>
      <c r="N22" s="109"/>
      <c r="O22" s="109"/>
      <c r="P22" s="109"/>
      <c r="Q22" s="109" t="s">
        <v>1160</v>
      </c>
      <c r="R22" s="117">
        <v>45771</v>
      </c>
      <c r="S22" s="109" t="s">
        <v>220</v>
      </c>
      <c r="T22" s="109" t="s">
        <v>275</v>
      </c>
      <c r="U22" s="138" t="s">
        <v>275</v>
      </c>
      <c r="V22"/>
    </row>
    <row r="23" spans="1:24" s="19" customFormat="1" ht="30" x14ac:dyDescent="0.2">
      <c r="A23" s="47"/>
      <c r="B23" s="108" t="s">
        <v>23</v>
      </c>
      <c r="C23" s="47" t="s">
        <v>275</v>
      </c>
      <c r="D23" s="3" t="s">
        <v>8</v>
      </c>
      <c r="E23" s="3" t="s">
        <v>1123</v>
      </c>
      <c r="F23" s="3" t="s">
        <v>3070</v>
      </c>
      <c r="G23" s="3" t="s">
        <v>1121</v>
      </c>
      <c r="H23" s="3"/>
      <c r="I23" s="3"/>
      <c r="J23" s="3"/>
      <c r="K23" s="3"/>
      <c r="L23" s="3"/>
      <c r="M23" s="36" t="s">
        <v>1258</v>
      </c>
      <c r="N23" s="36"/>
      <c r="O23" s="36"/>
      <c r="P23" s="36"/>
      <c r="Q23" s="36" t="s">
        <v>1122</v>
      </c>
      <c r="R23" s="150"/>
      <c r="S23" s="36"/>
      <c r="T23" s="47" t="s">
        <v>275</v>
      </c>
      <c r="U23" s="146" t="s">
        <v>275</v>
      </c>
      <c r="V23"/>
    </row>
    <row r="24" spans="1:24" s="19" customFormat="1" ht="30" x14ac:dyDescent="0.2">
      <c r="A24" s="109"/>
      <c r="B24" s="109" t="s">
        <v>23</v>
      </c>
      <c r="C24" s="109" t="s">
        <v>275</v>
      </c>
      <c r="D24" s="109" t="s">
        <v>8</v>
      </c>
      <c r="E24" s="109" t="s">
        <v>1083</v>
      </c>
      <c r="F24" s="109" t="s">
        <v>3070</v>
      </c>
      <c r="G24" s="109" t="s">
        <v>1080</v>
      </c>
      <c r="H24" s="109"/>
      <c r="I24" s="109"/>
      <c r="J24" s="109"/>
      <c r="K24" s="109"/>
      <c r="L24" s="109"/>
      <c r="M24" s="109" t="s">
        <v>1258</v>
      </c>
      <c r="N24" s="109"/>
      <c r="O24" s="109"/>
      <c r="P24" s="109"/>
      <c r="Q24" s="109"/>
      <c r="R24" s="117"/>
      <c r="S24" s="109"/>
      <c r="T24" s="109" t="s">
        <v>275</v>
      </c>
      <c r="U24" s="138" t="s">
        <v>275</v>
      </c>
      <c r="V24"/>
    </row>
    <row r="25" spans="1:24" s="19" customFormat="1" x14ac:dyDescent="0.2">
      <c r="A25" s="47"/>
      <c r="B25" s="108" t="s">
        <v>23</v>
      </c>
      <c r="C25" s="47" t="s">
        <v>275</v>
      </c>
      <c r="D25" s="3" t="s">
        <v>8</v>
      </c>
      <c r="E25" s="3" t="s">
        <v>1043</v>
      </c>
      <c r="F25" s="3" t="s">
        <v>3067</v>
      </c>
      <c r="G25" s="3" t="s">
        <v>1042</v>
      </c>
      <c r="H25" s="3"/>
      <c r="I25" s="3"/>
      <c r="J25" s="3"/>
      <c r="K25" s="3"/>
      <c r="L25" s="3"/>
      <c r="M25" s="36" t="s">
        <v>1258</v>
      </c>
      <c r="N25" s="36"/>
      <c r="O25" s="36"/>
      <c r="P25" s="36"/>
      <c r="Q25" s="36" t="s">
        <v>1142</v>
      </c>
      <c r="R25" s="150">
        <v>45762</v>
      </c>
      <c r="S25" s="36" t="s">
        <v>635</v>
      </c>
      <c r="T25" s="47" t="s">
        <v>275</v>
      </c>
      <c r="U25" s="146" t="s">
        <v>275</v>
      </c>
      <c r="V25"/>
    </row>
    <row r="26" spans="1:24" s="19" customFormat="1" ht="30" x14ac:dyDescent="0.2">
      <c r="A26" s="47"/>
      <c r="B26" s="108" t="s">
        <v>23</v>
      </c>
      <c r="C26" s="47" t="s">
        <v>275</v>
      </c>
      <c r="D26" s="3" t="s">
        <v>8</v>
      </c>
      <c r="E26" s="3" t="s">
        <v>492</v>
      </c>
      <c r="F26" s="3" t="s">
        <v>483</v>
      </c>
      <c r="G26" s="3" t="s">
        <v>489</v>
      </c>
      <c r="H26" s="3"/>
      <c r="I26" s="3"/>
      <c r="J26" s="3"/>
      <c r="K26" s="3"/>
      <c r="L26" s="3"/>
      <c r="M26" s="36" t="s">
        <v>1258</v>
      </c>
      <c r="N26" s="36"/>
      <c r="O26" s="36" t="s">
        <v>23</v>
      </c>
      <c r="P26" s="36"/>
      <c r="Q26" s="36" t="s">
        <v>1125</v>
      </c>
      <c r="R26" s="150">
        <v>45680</v>
      </c>
      <c r="S26" s="36" t="s">
        <v>102</v>
      </c>
      <c r="T26" s="47" t="s">
        <v>275</v>
      </c>
      <c r="U26" s="146" t="s">
        <v>275</v>
      </c>
      <c r="V26"/>
    </row>
    <row r="27" spans="1:24" s="19" customFormat="1" x14ac:dyDescent="0.2">
      <c r="A27" s="47"/>
      <c r="B27" s="108" t="s">
        <v>23</v>
      </c>
      <c r="C27" s="47" t="s">
        <v>275</v>
      </c>
      <c r="D27" s="3" t="s">
        <v>8</v>
      </c>
      <c r="E27" s="3" t="s">
        <v>787</v>
      </c>
      <c r="F27" s="3" t="s">
        <v>3069</v>
      </c>
      <c r="G27" s="3" t="s">
        <v>778</v>
      </c>
      <c r="H27" s="3"/>
      <c r="I27" s="3"/>
      <c r="J27" s="3"/>
      <c r="K27" s="3"/>
      <c r="L27" s="3"/>
      <c r="M27" s="36" t="s">
        <v>1258</v>
      </c>
      <c r="N27" s="36"/>
      <c r="O27" s="36"/>
      <c r="P27" s="36"/>
      <c r="Q27" s="36" t="s">
        <v>1124</v>
      </c>
      <c r="R27" s="150">
        <v>45715</v>
      </c>
      <c r="S27" s="36" t="s">
        <v>635</v>
      </c>
      <c r="T27" s="47" t="s">
        <v>275</v>
      </c>
      <c r="U27" s="146" t="s">
        <v>275</v>
      </c>
      <c r="V27"/>
    </row>
    <row r="28" spans="1:24" s="1" customFormat="1" ht="45" x14ac:dyDescent="0.25">
      <c r="A28" s="47"/>
      <c r="B28" s="108" t="s">
        <v>23</v>
      </c>
      <c r="C28" s="47" t="s">
        <v>275</v>
      </c>
      <c r="D28" s="3" t="s">
        <v>8</v>
      </c>
      <c r="E28" s="3" t="s">
        <v>1020</v>
      </c>
      <c r="F28" s="3" t="s">
        <v>3067</v>
      </c>
      <c r="G28" s="3" t="s">
        <v>1019</v>
      </c>
      <c r="H28" s="3"/>
      <c r="I28" s="3"/>
      <c r="J28" s="3"/>
      <c r="K28" s="3"/>
      <c r="L28" s="3"/>
      <c r="M28" s="36" t="s">
        <v>1258</v>
      </c>
      <c r="N28" s="36"/>
      <c r="O28" s="36"/>
      <c r="P28" s="36"/>
      <c r="Q28" s="36"/>
      <c r="R28" s="150"/>
      <c r="S28" s="36"/>
      <c r="T28" s="47" t="s">
        <v>275</v>
      </c>
      <c r="U28" s="146" t="s">
        <v>275</v>
      </c>
      <c r="V28"/>
      <c r="W28" s="19"/>
      <c r="X28" s="19"/>
    </row>
    <row r="29" spans="1:24" s="1" customFormat="1" ht="30" x14ac:dyDescent="0.25">
      <c r="A29" s="47"/>
      <c r="B29" s="108" t="s">
        <v>23</v>
      </c>
      <c r="C29" s="47" t="s">
        <v>275</v>
      </c>
      <c r="D29" s="3" t="s">
        <v>8</v>
      </c>
      <c r="E29" s="3" t="s">
        <v>1023</v>
      </c>
      <c r="F29" s="3" t="s">
        <v>3067</v>
      </c>
      <c r="G29" s="3" t="s">
        <v>1022</v>
      </c>
      <c r="H29" s="3"/>
      <c r="I29" s="3"/>
      <c r="J29" s="3"/>
      <c r="K29" s="3"/>
      <c r="L29" s="3"/>
      <c r="M29" s="36" t="s">
        <v>1258</v>
      </c>
      <c r="N29" s="36"/>
      <c r="O29" s="36"/>
      <c r="P29" s="36"/>
      <c r="Q29" s="36"/>
      <c r="R29" s="150"/>
      <c r="S29" s="36"/>
      <c r="T29" s="47" t="s">
        <v>275</v>
      </c>
      <c r="U29" s="146" t="s">
        <v>275</v>
      </c>
      <c r="V29"/>
      <c r="X29" s="20"/>
    </row>
    <row r="30" spans="1:24" s="1" customFormat="1" x14ac:dyDescent="0.25">
      <c r="A30" s="47"/>
      <c r="B30" s="108" t="s">
        <v>23</v>
      </c>
      <c r="C30" s="47" t="s">
        <v>275</v>
      </c>
      <c r="D30" s="3" t="s">
        <v>8</v>
      </c>
      <c r="E30" s="3" t="s">
        <v>1012</v>
      </c>
      <c r="F30" s="3" t="s">
        <v>3070</v>
      </c>
      <c r="G30" s="3" t="s">
        <v>1011</v>
      </c>
      <c r="H30" s="3"/>
      <c r="I30" s="3"/>
      <c r="J30" s="3"/>
      <c r="K30" s="3"/>
      <c r="L30" s="3"/>
      <c r="M30" s="36" t="s">
        <v>1258</v>
      </c>
      <c r="N30" s="36"/>
      <c r="O30" s="36"/>
      <c r="P30" s="36"/>
      <c r="Q30" s="36"/>
      <c r="R30" s="150"/>
      <c r="S30" s="36"/>
      <c r="T30" s="47" t="s">
        <v>275</v>
      </c>
      <c r="U30" s="146" t="s">
        <v>275</v>
      </c>
      <c r="V30"/>
      <c r="X30" s="19"/>
    </row>
    <row r="31" spans="1:24" s="1" customFormat="1" x14ac:dyDescent="0.25">
      <c r="A31" s="47"/>
      <c r="B31" s="108" t="s">
        <v>23</v>
      </c>
      <c r="C31" s="47" t="s">
        <v>275</v>
      </c>
      <c r="D31" s="3" t="s">
        <v>8</v>
      </c>
      <c r="E31" s="3" t="s">
        <v>985</v>
      </c>
      <c r="F31" s="3" t="s">
        <v>3070</v>
      </c>
      <c r="G31" s="3" t="s">
        <v>983</v>
      </c>
      <c r="H31" s="3"/>
      <c r="I31" s="3"/>
      <c r="J31" s="3"/>
      <c r="K31" s="3"/>
      <c r="L31" s="3"/>
      <c r="M31" s="36" t="s">
        <v>1258</v>
      </c>
      <c r="N31" s="36"/>
      <c r="O31" s="36"/>
      <c r="P31" s="36"/>
      <c r="Q31" s="36"/>
      <c r="R31" s="150"/>
      <c r="S31" s="36"/>
      <c r="T31" s="47" t="s">
        <v>275</v>
      </c>
      <c r="U31" s="146" t="s">
        <v>275</v>
      </c>
      <c r="V31"/>
    </row>
    <row r="32" spans="1:24" s="1" customFormat="1" ht="30" x14ac:dyDescent="0.25">
      <c r="A32" s="109"/>
      <c r="B32" s="109" t="s">
        <v>23</v>
      </c>
      <c r="C32" s="109" t="s">
        <v>275</v>
      </c>
      <c r="D32" s="109" t="s">
        <v>8</v>
      </c>
      <c r="E32" s="109" t="s">
        <v>961</v>
      </c>
      <c r="F32" s="109" t="s">
        <v>3067</v>
      </c>
      <c r="G32" s="109" t="s">
        <v>954</v>
      </c>
      <c r="H32" s="109"/>
      <c r="I32" s="109"/>
      <c r="J32" s="109"/>
      <c r="K32" s="109"/>
      <c r="L32" s="109"/>
      <c r="M32" s="109" t="s">
        <v>1258</v>
      </c>
      <c r="N32" s="109"/>
      <c r="O32" s="109"/>
      <c r="P32" s="109"/>
      <c r="Q32" s="109"/>
      <c r="R32" s="117"/>
      <c r="S32" s="109"/>
      <c r="T32" s="109" t="s">
        <v>275</v>
      </c>
      <c r="U32" s="138" t="s">
        <v>275</v>
      </c>
      <c r="V32"/>
    </row>
    <row r="33" spans="1:22" s="1" customFormat="1" x14ac:dyDescent="0.25">
      <c r="A33" s="47"/>
      <c r="B33" s="108" t="s">
        <v>23</v>
      </c>
      <c r="C33" s="47" t="s">
        <v>275</v>
      </c>
      <c r="D33" s="3" t="s">
        <v>8</v>
      </c>
      <c r="E33" s="3" t="s">
        <v>962</v>
      </c>
      <c r="F33" s="3" t="s">
        <v>3070</v>
      </c>
      <c r="G33" s="3" t="s">
        <v>950</v>
      </c>
      <c r="H33" s="3"/>
      <c r="I33" s="3"/>
      <c r="J33" s="3"/>
      <c r="K33" s="3"/>
      <c r="L33" s="3"/>
      <c r="M33" s="36" t="s">
        <v>1258</v>
      </c>
      <c r="N33" s="36"/>
      <c r="O33" s="36"/>
      <c r="P33" s="36"/>
      <c r="Q33" s="36"/>
      <c r="R33" s="150"/>
      <c r="S33" s="36"/>
      <c r="T33" s="47" t="s">
        <v>275</v>
      </c>
      <c r="U33" s="146" t="s">
        <v>275</v>
      </c>
      <c r="V33"/>
    </row>
    <row r="34" spans="1:22" s="1" customFormat="1" x14ac:dyDescent="0.25">
      <c r="A34" s="47"/>
      <c r="B34" s="108" t="s">
        <v>23</v>
      </c>
      <c r="C34" s="47" t="s">
        <v>275</v>
      </c>
      <c r="D34" s="3" t="s">
        <v>8</v>
      </c>
      <c r="E34" s="3" t="s">
        <v>948</v>
      </c>
      <c r="F34" s="3" t="s">
        <v>3067</v>
      </c>
      <c r="G34" s="3" t="s">
        <v>934</v>
      </c>
      <c r="H34" s="3"/>
      <c r="I34" s="3"/>
      <c r="J34" s="3"/>
      <c r="K34" s="3"/>
      <c r="L34" s="3"/>
      <c r="M34" s="36" t="s">
        <v>1258</v>
      </c>
      <c r="N34" s="36"/>
      <c r="O34" s="36"/>
      <c r="P34" s="36"/>
      <c r="Q34" s="36"/>
      <c r="R34" s="150"/>
      <c r="S34" s="36"/>
      <c r="T34" s="47" t="s">
        <v>275</v>
      </c>
      <c r="U34" s="146" t="s">
        <v>275</v>
      </c>
      <c r="V34"/>
    </row>
    <row r="35" spans="1:22" s="1" customFormat="1" x14ac:dyDescent="0.25">
      <c r="A35" s="109"/>
      <c r="B35" s="109" t="s">
        <v>23</v>
      </c>
      <c r="C35" s="109" t="s">
        <v>275</v>
      </c>
      <c r="D35" s="109" t="s">
        <v>8</v>
      </c>
      <c r="E35" s="109" t="s">
        <v>799</v>
      </c>
      <c r="F35" s="109" t="s">
        <v>3070</v>
      </c>
      <c r="G35" s="109" t="s">
        <v>794</v>
      </c>
      <c r="H35" s="109"/>
      <c r="I35" s="109"/>
      <c r="J35" s="109"/>
      <c r="K35" s="109"/>
      <c r="L35" s="109"/>
      <c r="M35" s="109" t="s">
        <v>1258</v>
      </c>
      <c r="N35" s="109"/>
      <c r="O35" s="109"/>
      <c r="P35" s="109"/>
      <c r="Q35" s="109"/>
      <c r="R35" s="117"/>
      <c r="S35" s="109"/>
      <c r="T35" s="109" t="s">
        <v>275</v>
      </c>
      <c r="U35" s="109" t="s">
        <v>275</v>
      </c>
      <c r="V35"/>
    </row>
    <row r="36" spans="1:22" s="1" customFormat="1" ht="30" x14ac:dyDescent="0.25">
      <c r="A36" s="47"/>
      <c r="B36" s="108" t="s">
        <v>23</v>
      </c>
      <c r="C36" s="47" t="s">
        <v>275</v>
      </c>
      <c r="D36" s="3" t="s">
        <v>8</v>
      </c>
      <c r="E36" s="3" t="s">
        <v>964</v>
      </c>
      <c r="F36" s="3" t="s">
        <v>3070</v>
      </c>
      <c r="G36" s="3" t="s">
        <v>963</v>
      </c>
      <c r="H36" s="3"/>
      <c r="I36" s="3"/>
      <c r="J36" s="3"/>
      <c r="K36" s="3"/>
      <c r="L36" s="3"/>
      <c r="M36" s="36" t="s">
        <v>1258</v>
      </c>
      <c r="N36" s="36"/>
      <c r="O36" s="36"/>
      <c r="P36" s="36"/>
      <c r="Q36" s="36"/>
      <c r="R36" s="150"/>
      <c r="S36" s="36"/>
      <c r="T36" s="47" t="s">
        <v>275</v>
      </c>
      <c r="U36" s="146" t="s">
        <v>275</v>
      </c>
      <c r="V36"/>
    </row>
    <row r="37" spans="1:22" s="1" customFormat="1" x14ac:dyDescent="0.25">
      <c r="A37" s="47"/>
      <c r="B37" s="108" t="s">
        <v>23</v>
      </c>
      <c r="C37" s="47" t="s">
        <v>275</v>
      </c>
      <c r="D37" s="3" t="s">
        <v>8</v>
      </c>
      <c r="E37" s="3" t="s">
        <v>921</v>
      </c>
      <c r="F37" s="3" t="s">
        <v>483</v>
      </c>
      <c r="G37" s="3" t="s">
        <v>920</v>
      </c>
      <c r="H37" s="3"/>
      <c r="I37" s="3"/>
      <c r="J37" s="3"/>
      <c r="K37" s="3"/>
      <c r="L37" s="3"/>
      <c r="M37" s="36" t="s">
        <v>1258</v>
      </c>
      <c r="N37" s="36"/>
      <c r="O37" s="36"/>
      <c r="P37" s="36"/>
      <c r="Q37" s="36"/>
      <c r="R37" s="150"/>
      <c r="S37" s="36"/>
      <c r="T37" s="47" t="s">
        <v>275</v>
      </c>
      <c r="U37" s="146" t="s">
        <v>275</v>
      </c>
      <c r="V37"/>
    </row>
    <row r="38" spans="1:22" s="1" customFormat="1" x14ac:dyDescent="0.25">
      <c r="A38" s="47"/>
      <c r="B38" s="108" t="s">
        <v>23</v>
      </c>
      <c r="C38" s="47" t="s">
        <v>275</v>
      </c>
      <c r="D38" s="3" t="s">
        <v>8</v>
      </c>
      <c r="E38" s="3" t="s">
        <v>933</v>
      </c>
      <c r="F38" s="3" t="s">
        <v>3069</v>
      </c>
      <c r="G38" s="3" t="s">
        <v>936</v>
      </c>
      <c r="H38" s="3"/>
      <c r="I38" s="3"/>
      <c r="J38" s="3"/>
      <c r="K38" s="3"/>
      <c r="L38" s="3"/>
      <c r="M38" s="36" t="s">
        <v>1258</v>
      </c>
      <c r="N38" s="36"/>
      <c r="O38" s="36"/>
      <c r="P38" s="36"/>
      <c r="Q38" s="36"/>
      <c r="R38" s="150"/>
      <c r="S38" s="36"/>
      <c r="T38" s="47" t="s">
        <v>275</v>
      </c>
      <c r="U38" s="146" t="s">
        <v>275</v>
      </c>
      <c r="V38"/>
    </row>
    <row r="39" spans="1:22" s="1" customFormat="1" ht="30" x14ac:dyDescent="0.25">
      <c r="A39" s="47"/>
      <c r="B39" s="108" t="s">
        <v>23</v>
      </c>
      <c r="C39" s="47" t="s">
        <v>275</v>
      </c>
      <c r="D39" s="3" t="s">
        <v>8</v>
      </c>
      <c r="E39" s="3" t="s">
        <v>922</v>
      </c>
      <c r="F39" s="3" t="s">
        <v>3070</v>
      </c>
      <c r="G39" s="3" t="s">
        <v>919</v>
      </c>
      <c r="H39" s="3"/>
      <c r="I39" s="3"/>
      <c r="J39" s="3"/>
      <c r="K39" s="3"/>
      <c r="L39" s="3"/>
      <c r="M39" s="36" t="s">
        <v>1258</v>
      </c>
      <c r="N39" s="36"/>
      <c r="O39" s="36"/>
      <c r="P39" s="36"/>
      <c r="Q39" s="36"/>
      <c r="R39" s="150"/>
      <c r="S39" s="36"/>
      <c r="T39" s="47" t="s">
        <v>275</v>
      </c>
      <c r="U39" s="146" t="s">
        <v>275</v>
      </c>
      <c r="V39"/>
    </row>
    <row r="40" spans="1:22" s="1" customFormat="1" ht="30" x14ac:dyDescent="0.25">
      <c r="A40" s="47"/>
      <c r="B40" s="108" t="s">
        <v>23</v>
      </c>
      <c r="C40" s="47" t="s">
        <v>275</v>
      </c>
      <c r="D40" s="3" t="s">
        <v>8</v>
      </c>
      <c r="E40" s="3" t="s">
        <v>874</v>
      </c>
      <c r="F40" s="3" t="s">
        <v>3068</v>
      </c>
      <c r="G40" s="3" t="s">
        <v>863</v>
      </c>
      <c r="H40" s="3"/>
      <c r="I40" s="3"/>
      <c r="J40" s="3"/>
      <c r="K40" s="3"/>
      <c r="L40" s="3"/>
      <c r="M40" s="36" t="s">
        <v>1258</v>
      </c>
      <c r="N40" s="36"/>
      <c r="O40" s="36"/>
      <c r="P40" s="36"/>
      <c r="Q40" s="36"/>
      <c r="R40" s="150"/>
      <c r="S40" s="36"/>
      <c r="T40" s="47" t="s">
        <v>275</v>
      </c>
      <c r="U40" s="146" t="s">
        <v>275</v>
      </c>
      <c r="V40"/>
    </row>
    <row r="41" spans="1:22" s="1" customFormat="1" ht="30" x14ac:dyDescent="0.25">
      <c r="A41" s="47"/>
      <c r="B41" s="108" t="s">
        <v>23</v>
      </c>
      <c r="C41" s="47" t="s">
        <v>275</v>
      </c>
      <c r="D41" s="3" t="s">
        <v>8</v>
      </c>
      <c r="E41" s="3" t="s">
        <v>821</v>
      </c>
      <c r="F41" s="3" t="s">
        <v>3067</v>
      </c>
      <c r="G41" s="3" t="s">
        <v>995</v>
      </c>
      <c r="H41" s="3"/>
      <c r="I41" s="3"/>
      <c r="J41" s="3"/>
      <c r="K41" s="3"/>
      <c r="L41" s="3"/>
      <c r="M41" s="36" t="s">
        <v>1258</v>
      </c>
      <c r="N41" s="36"/>
      <c r="O41" s="36"/>
      <c r="P41" s="36"/>
      <c r="Q41" s="36" t="s">
        <v>834</v>
      </c>
      <c r="R41" s="150">
        <v>45720</v>
      </c>
      <c r="S41" s="36" t="s">
        <v>635</v>
      </c>
      <c r="T41" s="47" t="s">
        <v>275</v>
      </c>
      <c r="U41" s="146" t="s">
        <v>275</v>
      </c>
      <c r="V41"/>
    </row>
    <row r="42" spans="1:22" s="1" customFormat="1" ht="30" x14ac:dyDescent="0.25">
      <c r="A42" s="47"/>
      <c r="B42" s="108" t="s">
        <v>23</v>
      </c>
      <c r="C42" s="47" t="s">
        <v>275</v>
      </c>
      <c r="D42" s="3" t="s">
        <v>8</v>
      </c>
      <c r="E42" s="3" t="s">
        <v>822</v>
      </c>
      <c r="F42" s="3" t="s">
        <v>3067</v>
      </c>
      <c r="G42" s="3" t="s">
        <v>996</v>
      </c>
      <c r="H42" s="3"/>
      <c r="I42" s="3"/>
      <c r="J42" s="3"/>
      <c r="K42" s="3"/>
      <c r="L42" s="3"/>
      <c r="M42" s="36" t="s">
        <v>1258</v>
      </c>
      <c r="N42" s="36"/>
      <c r="O42" s="36"/>
      <c r="P42" s="36"/>
      <c r="Q42" s="36" t="s">
        <v>834</v>
      </c>
      <c r="R42" s="150">
        <v>45720</v>
      </c>
      <c r="S42" s="36" t="s">
        <v>635</v>
      </c>
      <c r="T42" s="47" t="s">
        <v>275</v>
      </c>
      <c r="U42" s="146" t="s">
        <v>275</v>
      </c>
      <c r="V42"/>
    </row>
    <row r="43" spans="1:22" s="1" customFormat="1" ht="30" x14ac:dyDescent="0.25">
      <c r="A43" s="47"/>
      <c r="B43" s="108" t="s">
        <v>23</v>
      </c>
      <c r="C43" s="47" t="s">
        <v>275</v>
      </c>
      <c r="D43" s="3" t="s">
        <v>8</v>
      </c>
      <c r="E43" s="3" t="s">
        <v>820</v>
      </c>
      <c r="F43" s="3" t="s">
        <v>3067</v>
      </c>
      <c r="G43" s="3" t="s">
        <v>997</v>
      </c>
      <c r="H43" s="3"/>
      <c r="I43" s="3"/>
      <c r="J43" s="3"/>
      <c r="K43" s="3"/>
      <c r="L43" s="3"/>
      <c r="M43" s="36" t="s">
        <v>1258</v>
      </c>
      <c r="N43" s="36"/>
      <c r="O43" s="36"/>
      <c r="P43" s="36"/>
      <c r="Q43" s="36" t="s">
        <v>834</v>
      </c>
      <c r="R43" s="150">
        <v>45720</v>
      </c>
      <c r="S43" s="36" t="s">
        <v>635</v>
      </c>
      <c r="T43" s="47" t="s">
        <v>275</v>
      </c>
      <c r="U43" s="146" t="s">
        <v>275</v>
      </c>
      <c r="V43"/>
    </row>
    <row r="44" spans="1:22" s="1" customFormat="1" ht="30" x14ac:dyDescent="0.25">
      <c r="A44" s="109"/>
      <c r="B44" s="109" t="s">
        <v>23</v>
      </c>
      <c r="C44" s="109" t="s">
        <v>275</v>
      </c>
      <c r="D44" s="109" t="s">
        <v>8</v>
      </c>
      <c r="E44" s="109" t="s">
        <v>1109</v>
      </c>
      <c r="F44" s="109" t="s">
        <v>3069</v>
      </c>
      <c r="G44" s="109" t="s">
        <v>1108</v>
      </c>
      <c r="H44" s="109"/>
      <c r="I44" s="109"/>
      <c r="J44" s="109"/>
      <c r="K44" s="109"/>
      <c r="L44" s="109"/>
      <c r="M44" s="109" t="s">
        <v>1258</v>
      </c>
      <c r="N44" s="109"/>
      <c r="O44" s="109"/>
      <c r="P44" s="109"/>
      <c r="Q44" s="109" t="s">
        <v>1116</v>
      </c>
      <c r="R44" s="117">
        <v>45762</v>
      </c>
      <c r="S44" s="109" t="s">
        <v>436</v>
      </c>
      <c r="T44" s="109" t="s">
        <v>275</v>
      </c>
      <c r="U44" s="138" t="s">
        <v>275</v>
      </c>
      <c r="V44"/>
    </row>
    <row r="45" spans="1:22" s="1" customFormat="1" ht="30" x14ac:dyDescent="0.25">
      <c r="A45" s="109"/>
      <c r="B45" s="109" t="s">
        <v>23</v>
      </c>
      <c r="C45" s="109" t="s">
        <v>275</v>
      </c>
      <c r="D45" s="109" t="s">
        <v>8</v>
      </c>
      <c r="E45" s="109" t="s">
        <v>1076</v>
      </c>
      <c r="F45" s="109" t="s">
        <v>3067</v>
      </c>
      <c r="G45" s="109" t="s">
        <v>1073</v>
      </c>
      <c r="H45" s="109"/>
      <c r="I45" s="109"/>
      <c r="J45" s="109"/>
      <c r="K45" s="109"/>
      <c r="L45" s="109"/>
      <c r="M45" s="109" t="s">
        <v>1258</v>
      </c>
      <c r="N45" s="109"/>
      <c r="O45" s="109"/>
      <c r="P45" s="109"/>
      <c r="Q45" s="109" t="s">
        <v>1259</v>
      </c>
      <c r="R45" s="117">
        <v>45762</v>
      </c>
      <c r="S45" s="109" t="s">
        <v>845</v>
      </c>
      <c r="T45" s="109" t="s">
        <v>275</v>
      </c>
      <c r="U45" s="138" t="s">
        <v>275</v>
      </c>
      <c r="V45"/>
    </row>
    <row r="46" spans="1:22" s="1" customFormat="1" ht="30" x14ac:dyDescent="0.25">
      <c r="A46" s="47"/>
      <c r="B46" s="108" t="s">
        <v>23</v>
      </c>
      <c r="C46" s="47" t="s">
        <v>275</v>
      </c>
      <c r="D46" s="3" t="s">
        <v>8</v>
      </c>
      <c r="E46" s="3" t="s">
        <v>1082</v>
      </c>
      <c r="F46" s="3" t="s">
        <v>3069</v>
      </c>
      <c r="G46" s="3" t="s">
        <v>1081</v>
      </c>
      <c r="H46" s="3"/>
      <c r="I46" s="3"/>
      <c r="J46" s="3"/>
      <c r="K46" s="3"/>
      <c r="L46" s="3"/>
      <c r="M46" s="36" t="s">
        <v>1258</v>
      </c>
      <c r="N46" s="36"/>
      <c r="O46" s="36"/>
      <c r="P46" s="36"/>
      <c r="Q46" s="36"/>
      <c r="R46" s="150">
        <v>45757</v>
      </c>
      <c r="S46" s="36" t="s">
        <v>1074</v>
      </c>
      <c r="T46" s="47" t="s">
        <v>275</v>
      </c>
      <c r="U46" s="146" t="s">
        <v>275</v>
      </c>
      <c r="V46"/>
    </row>
    <row r="47" spans="1:22" s="1" customFormat="1" x14ac:dyDescent="0.25">
      <c r="A47" s="47"/>
      <c r="B47" s="108" t="s">
        <v>23</v>
      </c>
      <c r="C47" s="47" t="s">
        <v>275</v>
      </c>
      <c r="D47" s="3" t="s">
        <v>8</v>
      </c>
      <c r="E47" s="3" t="s">
        <v>1005</v>
      </c>
      <c r="F47" s="3" t="s">
        <v>3070</v>
      </c>
      <c r="G47" s="3" t="s">
        <v>1002</v>
      </c>
      <c r="H47" s="3"/>
      <c r="I47" s="3"/>
      <c r="J47" s="3"/>
      <c r="K47" s="3"/>
      <c r="L47" s="3"/>
      <c r="M47" s="36" t="s">
        <v>1258</v>
      </c>
      <c r="N47" s="36"/>
      <c r="O47" s="36"/>
      <c r="P47" s="36"/>
      <c r="Q47" s="36"/>
      <c r="R47" s="150">
        <v>45755</v>
      </c>
      <c r="S47" s="36" t="s">
        <v>203</v>
      </c>
      <c r="T47" s="47" t="s">
        <v>275</v>
      </c>
      <c r="U47" s="146" t="s">
        <v>275</v>
      </c>
      <c r="V47"/>
    </row>
    <row r="48" spans="1:22" s="1" customFormat="1" ht="30" x14ac:dyDescent="0.25">
      <c r="A48" s="47"/>
      <c r="B48" s="108" t="s">
        <v>23</v>
      </c>
      <c r="C48" s="47" t="s">
        <v>275</v>
      </c>
      <c r="D48" s="3" t="s">
        <v>8</v>
      </c>
      <c r="E48" s="3" t="s">
        <v>959</v>
      </c>
      <c r="F48" s="3" t="s">
        <v>3067</v>
      </c>
      <c r="G48" s="3" t="s">
        <v>958</v>
      </c>
      <c r="H48" s="3"/>
      <c r="I48" s="3"/>
      <c r="J48" s="3"/>
      <c r="K48" s="3"/>
      <c r="L48" s="3"/>
      <c r="M48" s="36" t="s">
        <v>1258</v>
      </c>
      <c r="N48" s="36"/>
      <c r="O48" s="36"/>
      <c r="P48" s="36"/>
      <c r="Q48" s="36" t="s">
        <v>715</v>
      </c>
      <c r="R48" s="150">
        <v>45747</v>
      </c>
      <c r="S48" s="36" t="s">
        <v>635</v>
      </c>
      <c r="T48" s="47" t="s">
        <v>275</v>
      </c>
      <c r="U48" s="146" t="s">
        <v>275</v>
      </c>
      <c r="V48"/>
    </row>
    <row r="49" spans="1:22" s="1" customFormat="1" ht="30" x14ac:dyDescent="0.25">
      <c r="A49" s="47"/>
      <c r="B49" s="108" t="s">
        <v>23</v>
      </c>
      <c r="C49" s="47" t="s">
        <v>275</v>
      </c>
      <c r="D49" s="3" t="s">
        <v>8</v>
      </c>
      <c r="E49" s="3" t="s">
        <v>957</v>
      </c>
      <c r="F49" s="3" t="s">
        <v>3067</v>
      </c>
      <c r="G49" s="3" t="s">
        <v>956</v>
      </c>
      <c r="H49" s="3"/>
      <c r="I49" s="3"/>
      <c r="J49" s="3"/>
      <c r="K49" s="3"/>
      <c r="L49" s="3"/>
      <c r="M49" s="36" t="s">
        <v>1258</v>
      </c>
      <c r="N49" s="36"/>
      <c r="O49" s="36"/>
      <c r="P49" s="36"/>
      <c r="Q49" s="36" t="s">
        <v>715</v>
      </c>
      <c r="R49" s="150">
        <v>45747</v>
      </c>
      <c r="S49" s="36" t="s">
        <v>635</v>
      </c>
      <c r="T49" s="47" t="s">
        <v>275</v>
      </c>
      <c r="U49" s="146" t="s">
        <v>275</v>
      </c>
      <c r="V49"/>
    </row>
    <row r="50" spans="1:22" s="1" customFormat="1" ht="30" x14ac:dyDescent="0.25">
      <c r="A50" s="47"/>
      <c r="B50" s="108" t="s">
        <v>23</v>
      </c>
      <c r="C50" s="47" t="s">
        <v>275</v>
      </c>
      <c r="D50" s="3" t="s">
        <v>8</v>
      </c>
      <c r="E50" s="3" t="s">
        <v>960</v>
      </c>
      <c r="F50" s="3" t="s">
        <v>3067</v>
      </c>
      <c r="G50" s="3" t="s">
        <v>955</v>
      </c>
      <c r="H50" s="3"/>
      <c r="I50" s="3"/>
      <c r="J50" s="3"/>
      <c r="K50" s="3"/>
      <c r="L50" s="3"/>
      <c r="M50" s="36" t="s">
        <v>1258</v>
      </c>
      <c r="N50" s="36"/>
      <c r="O50" s="36"/>
      <c r="P50" s="36"/>
      <c r="Q50" s="36" t="s">
        <v>715</v>
      </c>
      <c r="R50" s="150">
        <v>45747</v>
      </c>
      <c r="S50" s="36" t="s">
        <v>635</v>
      </c>
      <c r="T50" s="47" t="s">
        <v>275</v>
      </c>
      <c r="U50" s="146" t="s">
        <v>275</v>
      </c>
      <c r="V50"/>
    </row>
    <row r="51" spans="1:22" s="1" customFormat="1" ht="30" x14ac:dyDescent="0.25">
      <c r="A51" s="47"/>
      <c r="B51" s="108" t="s">
        <v>23</v>
      </c>
      <c r="C51" s="47" t="s">
        <v>275</v>
      </c>
      <c r="D51" s="3" t="s">
        <v>8</v>
      </c>
      <c r="E51" s="3" t="s">
        <v>872</v>
      </c>
      <c r="F51" s="3" t="s">
        <v>3069</v>
      </c>
      <c r="G51" s="3" t="s">
        <v>865</v>
      </c>
      <c r="H51" s="3"/>
      <c r="I51" s="3"/>
      <c r="J51" s="3"/>
      <c r="K51" s="3"/>
      <c r="L51" s="3"/>
      <c r="M51" s="36" t="s">
        <v>1258</v>
      </c>
      <c r="N51" s="36"/>
      <c r="O51" s="36"/>
      <c r="P51" s="36"/>
      <c r="Q51" s="36"/>
      <c r="R51" s="150"/>
      <c r="S51" s="36"/>
      <c r="T51" s="47" t="s">
        <v>275</v>
      </c>
      <c r="U51" s="146" t="s">
        <v>275</v>
      </c>
      <c r="V51"/>
    </row>
    <row r="52" spans="1:22" s="1" customFormat="1" ht="30" x14ac:dyDescent="0.25">
      <c r="A52" s="47"/>
      <c r="B52" s="108" t="s">
        <v>23</v>
      </c>
      <c r="C52" s="47" t="s">
        <v>275</v>
      </c>
      <c r="D52" s="3" t="s">
        <v>8</v>
      </c>
      <c r="E52" s="3" t="s">
        <v>869</v>
      </c>
      <c r="F52" s="3" t="s">
        <v>3069</v>
      </c>
      <c r="G52" s="3" t="s">
        <v>868</v>
      </c>
      <c r="H52" s="3"/>
      <c r="I52" s="3"/>
      <c r="J52" s="3"/>
      <c r="K52" s="3"/>
      <c r="L52" s="3"/>
      <c r="M52" s="36" t="s">
        <v>1258</v>
      </c>
      <c r="N52" s="36"/>
      <c r="O52" s="36"/>
      <c r="P52" s="36"/>
      <c r="Q52" s="36"/>
      <c r="R52" s="150">
        <v>45727</v>
      </c>
      <c r="S52" s="36" t="s">
        <v>203</v>
      </c>
      <c r="T52" s="47" t="s">
        <v>275</v>
      </c>
      <c r="U52" s="146" t="s">
        <v>275</v>
      </c>
      <c r="V52"/>
    </row>
    <row r="53" spans="1:22" s="1" customFormat="1" ht="30" x14ac:dyDescent="0.25">
      <c r="A53" s="109"/>
      <c r="B53" s="109" t="s">
        <v>23</v>
      </c>
      <c r="C53" s="109" t="s">
        <v>275</v>
      </c>
      <c r="D53" s="109" t="s">
        <v>8</v>
      </c>
      <c r="E53" s="109" t="s">
        <v>870</v>
      </c>
      <c r="F53" s="109" t="s">
        <v>3069</v>
      </c>
      <c r="G53" s="109" t="s">
        <v>867</v>
      </c>
      <c r="H53" s="109"/>
      <c r="I53" s="109"/>
      <c r="J53" s="109"/>
      <c r="K53" s="109"/>
      <c r="L53" s="109"/>
      <c r="M53" s="109" t="s">
        <v>1258</v>
      </c>
      <c r="N53" s="109"/>
      <c r="O53" s="109"/>
      <c r="P53" s="109"/>
      <c r="Q53" s="109" t="s">
        <v>895</v>
      </c>
      <c r="R53" s="117">
        <v>45727</v>
      </c>
      <c r="S53" s="109" t="s">
        <v>203</v>
      </c>
      <c r="T53" s="109" t="s">
        <v>275</v>
      </c>
      <c r="U53" s="109" t="s">
        <v>275</v>
      </c>
      <c r="V53"/>
    </row>
    <row r="54" spans="1:22" s="1" customFormat="1" ht="30" x14ac:dyDescent="0.25">
      <c r="A54" s="47"/>
      <c r="B54" s="108" t="s">
        <v>23</v>
      </c>
      <c r="C54" s="47" t="s">
        <v>275</v>
      </c>
      <c r="D54" s="3" t="s">
        <v>8</v>
      </c>
      <c r="E54" s="3" t="s">
        <v>871</v>
      </c>
      <c r="F54" s="3" t="s">
        <v>3069</v>
      </c>
      <c r="G54" s="3" t="s">
        <v>866</v>
      </c>
      <c r="H54" s="3"/>
      <c r="I54" s="3"/>
      <c r="J54" s="3"/>
      <c r="K54" s="3"/>
      <c r="L54" s="3"/>
      <c r="M54" s="36" t="s">
        <v>1258</v>
      </c>
      <c r="N54" s="36"/>
      <c r="O54" s="36"/>
      <c r="P54" s="36"/>
      <c r="Q54" s="36"/>
      <c r="R54" s="150">
        <v>45727</v>
      </c>
      <c r="S54" s="36" t="s">
        <v>203</v>
      </c>
      <c r="T54" s="47" t="s">
        <v>275</v>
      </c>
      <c r="U54" s="146" t="s">
        <v>275</v>
      </c>
      <c r="V54"/>
    </row>
    <row r="55" spans="1:22" s="1" customFormat="1" x14ac:dyDescent="0.25">
      <c r="A55" s="47"/>
      <c r="B55" s="108" t="s">
        <v>23</v>
      </c>
      <c r="C55" s="47" t="s">
        <v>275</v>
      </c>
      <c r="D55" s="3" t="s">
        <v>8</v>
      </c>
      <c r="E55" s="3" t="s">
        <v>932</v>
      </c>
      <c r="F55" s="3" t="s">
        <v>3067</v>
      </c>
      <c r="G55" s="3" t="s">
        <v>935</v>
      </c>
      <c r="H55" s="3"/>
      <c r="I55" s="3"/>
      <c r="J55" s="3"/>
      <c r="K55" s="3"/>
      <c r="L55" s="3"/>
      <c r="M55" s="36" t="s">
        <v>1258</v>
      </c>
      <c r="N55" s="36"/>
      <c r="O55" s="36"/>
      <c r="P55" s="36"/>
      <c r="Q55" s="36" t="s">
        <v>947</v>
      </c>
      <c r="R55" s="150">
        <v>45736</v>
      </c>
      <c r="S55" s="36" t="s">
        <v>211</v>
      </c>
      <c r="T55" s="47" t="s">
        <v>275</v>
      </c>
      <c r="U55" s="146" t="s">
        <v>275</v>
      </c>
      <c r="V55"/>
    </row>
    <row r="56" spans="1:22" s="1" customFormat="1" ht="30" x14ac:dyDescent="0.25">
      <c r="A56" s="109"/>
      <c r="B56" s="109" t="s">
        <v>23</v>
      </c>
      <c r="C56" s="109" t="s">
        <v>275</v>
      </c>
      <c r="D56" s="109" t="s">
        <v>8</v>
      </c>
      <c r="E56" s="109" t="s">
        <v>837</v>
      </c>
      <c r="F56" s="109" t="s">
        <v>3066</v>
      </c>
      <c r="G56" s="109" t="s">
        <v>836</v>
      </c>
      <c r="H56" s="109"/>
      <c r="I56" s="109"/>
      <c r="J56" s="109"/>
      <c r="K56" s="109"/>
      <c r="L56" s="109"/>
      <c r="M56" s="110" t="s">
        <v>1258</v>
      </c>
      <c r="N56" s="110"/>
      <c r="O56" s="110"/>
      <c r="P56" s="110"/>
      <c r="Q56" s="110" t="s">
        <v>931</v>
      </c>
      <c r="R56" s="117">
        <v>45722</v>
      </c>
      <c r="S56" s="110" t="s">
        <v>635</v>
      </c>
      <c r="T56" s="109" t="s">
        <v>275</v>
      </c>
      <c r="U56" s="138" t="s">
        <v>275</v>
      </c>
      <c r="V56"/>
    </row>
    <row r="57" spans="1:22" s="1" customFormat="1" ht="30" x14ac:dyDescent="0.25">
      <c r="A57" s="47"/>
      <c r="B57" s="108" t="s">
        <v>23</v>
      </c>
      <c r="C57" s="47" t="s">
        <v>275</v>
      </c>
      <c r="D57" s="3" t="s">
        <v>8</v>
      </c>
      <c r="E57" s="3" t="s">
        <v>923</v>
      </c>
      <c r="F57" s="3" t="s">
        <v>3070</v>
      </c>
      <c r="G57" s="3" t="s">
        <v>918</v>
      </c>
      <c r="H57" s="3"/>
      <c r="I57" s="3"/>
      <c r="J57" s="3"/>
      <c r="K57" s="3"/>
      <c r="L57" s="3"/>
      <c r="M57" s="36" t="s">
        <v>1258</v>
      </c>
      <c r="N57" s="36"/>
      <c r="O57" s="36"/>
      <c r="P57" s="36"/>
      <c r="Q57" s="36"/>
      <c r="R57" s="150">
        <v>45734</v>
      </c>
      <c r="S57" s="36" t="s">
        <v>554</v>
      </c>
      <c r="T57" s="47" t="s">
        <v>275</v>
      </c>
      <c r="U57" s="146" t="s">
        <v>275</v>
      </c>
      <c r="V57"/>
    </row>
    <row r="58" spans="1:22" s="1" customFormat="1" ht="45" x14ac:dyDescent="0.25">
      <c r="A58" s="47"/>
      <c r="B58" s="108" t="s">
        <v>23</v>
      </c>
      <c r="C58" s="47" t="s">
        <v>275</v>
      </c>
      <c r="D58" s="3" t="s">
        <v>8</v>
      </c>
      <c r="E58" s="3" t="s">
        <v>908</v>
      </c>
      <c r="F58" s="3" t="s">
        <v>3067</v>
      </c>
      <c r="G58" s="3" t="s">
        <v>900</v>
      </c>
      <c r="H58" s="3"/>
      <c r="I58" s="3"/>
      <c r="J58" s="3"/>
      <c r="K58" s="3"/>
      <c r="L58" s="3"/>
      <c r="M58" s="36" t="s">
        <v>1258</v>
      </c>
      <c r="N58" s="36"/>
      <c r="O58" s="36"/>
      <c r="P58" s="36"/>
      <c r="Q58" s="36" t="s">
        <v>1260</v>
      </c>
      <c r="R58" s="150">
        <v>45733</v>
      </c>
      <c r="S58" s="36" t="s">
        <v>554</v>
      </c>
      <c r="T58" s="47" t="s">
        <v>275</v>
      </c>
      <c r="U58" s="146" t="s">
        <v>275</v>
      </c>
      <c r="V58"/>
    </row>
    <row r="59" spans="1:22" s="1" customFormat="1" x14ac:dyDescent="0.25">
      <c r="A59" s="47"/>
      <c r="B59" s="108" t="s">
        <v>23</v>
      </c>
      <c r="C59" s="47" t="s">
        <v>275</v>
      </c>
      <c r="D59" s="3" t="s">
        <v>8</v>
      </c>
      <c r="E59" s="3" t="s">
        <v>909</v>
      </c>
      <c r="F59" s="3" t="s">
        <v>3069</v>
      </c>
      <c r="G59" s="3" t="s">
        <v>899</v>
      </c>
      <c r="H59" s="3"/>
      <c r="I59" s="3"/>
      <c r="J59" s="3"/>
      <c r="K59" s="3"/>
      <c r="L59" s="3"/>
      <c r="M59" s="36" t="s">
        <v>1258</v>
      </c>
      <c r="N59" s="36"/>
      <c r="O59" s="36"/>
      <c r="P59" s="36"/>
      <c r="Q59" s="36"/>
      <c r="R59" s="150">
        <v>45733</v>
      </c>
      <c r="S59" s="36" t="s">
        <v>635</v>
      </c>
      <c r="T59" s="47" t="s">
        <v>275</v>
      </c>
      <c r="U59" s="146" t="s">
        <v>275</v>
      </c>
      <c r="V59"/>
    </row>
    <row r="60" spans="1:22" s="1" customFormat="1" x14ac:dyDescent="0.25">
      <c r="A60" s="47"/>
      <c r="B60" s="108" t="s">
        <v>23</v>
      </c>
      <c r="C60" s="47" t="s">
        <v>275</v>
      </c>
      <c r="D60" s="3" t="s">
        <v>8</v>
      </c>
      <c r="E60" s="3" t="s">
        <v>913</v>
      </c>
      <c r="F60" s="3" t="s">
        <v>3069</v>
      </c>
      <c r="G60" s="3" t="s">
        <v>911</v>
      </c>
      <c r="H60" s="3"/>
      <c r="I60" s="3"/>
      <c r="J60" s="3"/>
      <c r="K60" s="3"/>
      <c r="L60" s="3"/>
      <c r="M60" s="36" t="s">
        <v>1258</v>
      </c>
      <c r="N60" s="36"/>
      <c r="O60" s="36"/>
      <c r="P60" s="36"/>
      <c r="Q60" s="36"/>
      <c r="R60" s="150"/>
      <c r="S60" s="36"/>
      <c r="T60" s="47" t="s">
        <v>275</v>
      </c>
      <c r="U60" s="146" t="s">
        <v>275</v>
      </c>
      <c r="V60"/>
    </row>
    <row r="61" spans="1:22" s="1" customFormat="1" ht="30" x14ac:dyDescent="0.25">
      <c r="A61" s="47"/>
      <c r="B61" s="108" t="s">
        <v>23</v>
      </c>
      <c r="C61" s="47" t="s">
        <v>275</v>
      </c>
      <c r="D61" s="3" t="s">
        <v>8</v>
      </c>
      <c r="E61" s="3" t="s">
        <v>873</v>
      </c>
      <c r="F61" s="3" t="s">
        <v>3068</v>
      </c>
      <c r="G61" s="3" t="s">
        <v>864</v>
      </c>
      <c r="H61" s="3"/>
      <c r="I61" s="3"/>
      <c r="J61" s="3"/>
      <c r="K61" s="3"/>
      <c r="L61" s="3"/>
      <c r="M61" s="36" t="s">
        <v>1258</v>
      </c>
      <c r="N61" s="36"/>
      <c r="O61" s="36"/>
      <c r="P61" s="36"/>
      <c r="Q61" s="36"/>
      <c r="R61" s="150"/>
      <c r="S61" s="36"/>
      <c r="T61" s="47" t="s">
        <v>275</v>
      </c>
      <c r="U61" s="146" t="s">
        <v>275</v>
      </c>
      <c r="V61"/>
    </row>
    <row r="62" spans="1:22" s="1" customFormat="1" x14ac:dyDescent="0.25">
      <c r="A62" s="47"/>
      <c r="B62" s="108" t="s">
        <v>23</v>
      </c>
      <c r="C62" s="47" t="s">
        <v>275</v>
      </c>
      <c r="D62" s="3" t="s">
        <v>8</v>
      </c>
      <c r="E62" s="3" t="s">
        <v>907</v>
      </c>
      <c r="F62" s="3" t="s">
        <v>3068</v>
      </c>
      <c r="G62" s="3" t="s">
        <v>901</v>
      </c>
      <c r="H62" s="3"/>
      <c r="I62" s="3"/>
      <c r="J62" s="3"/>
      <c r="K62" s="3"/>
      <c r="L62" s="3"/>
      <c r="M62" s="36" t="s">
        <v>1258</v>
      </c>
      <c r="N62" s="36"/>
      <c r="O62" s="36"/>
      <c r="P62" s="36"/>
      <c r="Q62" s="36"/>
      <c r="R62" s="150"/>
      <c r="S62" s="36"/>
      <c r="T62" s="47" t="s">
        <v>275</v>
      </c>
      <c r="U62" s="146" t="s">
        <v>275</v>
      </c>
      <c r="V62"/>
    </row>
    <row r="63" spans="1:22" s="1" customFormat="1" x14ac:dyDescent="0.25">
      <c r="A63" s="47"/>
      <c r="B63" s="108" t="s">
        <v>23</v>
      </c>
      <c r="C63" s="47" t="s">
        <v>275</v>
      </c>
      <c r="D63" s="3" t="s">
        <v>8</v>
      </c>
      <c r="E63" s="3" t="s">
        <v>887</v>
      </c>
      <c r="F63" s="3" t="s">
        <v>3066</v>
      </c>
      <c r="G63" s="3" t="s">
        <v>885</v>
      </c>
      <c r="H63" s="3"/>
      <c r="I63" s="3"/>
      <c r="J63" s="3"/>
      <c r="K63" s="3"/>
      <c r="L63" s="3"/>
      <c r="M63" s="36" t="s">
        <v>1258</v>
      </c>
      <c r="N63" s="36"/>
      <c r="O63" s="36"/>
      <c r="P63" s="36"/>
      <c r="Q63" s="36"/>
      <c r="R63" s="150"/>
      <c r="S63" s="36"/>
      <c r="T63" s="47" t="s">
        <v>275</v>
      </c>
      <c r="U63" s="146" t="s">
        <v>275</v>
      </c>
      <c r="V63"/>
    </row>
    <row r="64" spans="1:22" s="1" customFormat="1" x14ac:dyDescent="0.25">
      <c r="A64" s="47"/>
      <c r="B64" s="108" t="s">
        <v>23</v>
      </c>
      <c r="C64" s="47" t="s">
        <v>275</v>
      </c>
      <c r="D64" s="3" t="s">
        <v>8</v>
      </c>
      <c r="E64" s="3" t="s">
        <v>903</v>
      </c>
      <c r="F64" s="3" t="s">
        <v>3070</v>
      </c>
      <c r="G64" s="3" t="s">
        <v>902</v>
      </c>
      <c r="H64" s="3"/>
      <c r="I64" s="3"/>
      <c r="J64" s="3"/>
      <c r="K64" s="3"/>
      <c r="L64" s="3"/>
      <c r="M64" s="36" t="s">
        <v>1258</v>
      </c>
      <c r="N64" s="36"/>
      <c r="O64" s="36"/>
      <c r="P64" s="36"/>
      <c r="Q64" s="36" t="s">
        <v>905</v>
      </c>
      <c r="R64" s="150">
        <v>45728</v>
      </c>
      <c r="S64" s="36" t="s">
        <v>203</v>
      </c>
      <c r="T64" s="47" t="s">
        <v>275</v>
      </c>
      <c r="U64" s="146" t="s">
        <v>275</v>
      </c>
      <c r="V64"/>
    </row>
    <row r="65" spans="1:22" s="1" customFormat="1" ht="30" x14ac:dyDescent="0.25">
      <c r="A65" s="47"/>
      <c r="B65" s="108" t="s">
        <v>23</v>
      </c>
      <c r="C65" s="47" t="s">
        <v>275</v>
      </c>
      <c r="D65" s="3" t="s">
        <v>8</v>
      </c>
      <c r="E65" s="3" t="s">
        <v>847</v>
      </c>
      <c r="F65" s="3" t="s">
        <v>3069</v>
      </c>
      <c r="G65" s="3" t="s">
        <v>848</v>
      </c>
      <c r="H65" s="3"/>
      <c r="I65" s="3"/>
      <c r="J65" s="3"/>
      <c r="K65" s="3"/>
      <c r="L65" s="3"/>
      <c r="M65" s="36" t="s">
        <v>1258</v>
      </c>
      <c r="N65" s="36"/>
      <c r="O65" s="36"/>
      <c r="P65" s="36"/>
      <c r="Q65" s="36" t="s">
        <v>886</v>
      </c>
      <c r="R65" s="150">
        <v>45726</v>
      </c>
      <c r="S65" s="36" t="s">
        <v>102</v>
      </c>
      <c r="T65" s="47" t="s">
        <v>275</v>
      </c>
      <c r="U65" s="146" t="s">
        <v>275</v>
      </c>
      <c r="V65"/>
    </row>
    <row r="66" spans="1:22" s="1" customFormat="1" ht="45" x14ac:dyDescent="0.25">
      <c r="A66" s="47"/>
      <c r="B66" s="108" t="s">
        <v>23</v>
      </c>
      <c r="C66" s="47" t="s">
        <v>275</v>
      </c>
      <c r="D66" s="3" t="s">
        <v>8</v>
      </c>
      <c r="E66" s="3" t="s">
        <v>876</v>
      </c>
      <c r="F66" s="3" t="s">
        <v>3068</v>
      </c>
      <c r="G66" s="3" t="s">
        <v>877</v>
      </c>
      <c r="H66" s="3"/>
      <c r="I66" s="3"/>
      <c r="J66" s="3"/>
      <c r="K66" s="3"/>
      <c r="L66" s="3"/>
      <c r="M66" s="36" t="s">
        <v>1258</v>
      </c>
      <c r="N66" s="36"/>
      <c r="O66" s="36"/>
      <c r="P66" s="36"/>
      <c r="Q66" s="36" t="s">
        <v>878</v>
      </c>
      <c r="R66" s="150">
        <v>45726</v>
      </c>
      <c r="S66" s="36" t="s">
        <v>635</v>
      </c>
      <c r="T66" s="47" t="s">
        <v>275</v>
      </c>
      <c r="U66" s="146" t="s">
        <v>275</v>
      </c>
      <c r="V66"/>
    </row>
    <row r="67" spans="1:22" s="1" customFormat="1" ht="45" x14ac:dyDescent="0.25">
      <c r="A67" s="47"/>
      <c r="B67" s="108" t="s">
        <v>23</v>
      </c>
      <c r="C67" s="47" t="s">
        <v>275</v>
      </c>
      <c r="D67" s="3" t="s">
        <v>8</v>
      </c>
      <c r="E67" s="3" t="s">
        <v>839</v>
      </c>
      <c r="F67" s="3" t="s">
        <v>3066</v>
      </c>
      <c r="G67" s="3" t="s">
        <v>838</v>
      </c>
      <c r="H67" s="3"/>
      <c r="I67" s="3"/>
      <c r="J67" s="3"/>
      <c r="K67" s="3"/>
      <c r="L67" s="3"/>
      <c r="M67" s="36" t="s">
        <v>1258</v>
      </c>
      <c r="N67" s="36"/>
      <c r="O67" s="36"/>
      <c r="P67" s="36"/>
      <c r="Q67" s="36" t="s">
        <v>843</v>
      </c>
      <c r="R67" s="150">
        <v>45722</v>
      </c>
      <c r="S67" s="36" t="s">
        <v>635</v>
      </c>
      <c r="T67" s="47" t="s">
        <v>275</v>
      </c>
      <c r="U67" s="146" t="s">
        <v>275</v>
      </c>
      <c r="V67"/>
    </row>
    <row r="68" spans="1:22" s="1" customFormat="1" ht="30" x14ac:dyDescent="0.25">
      <c r="A68" s="47"/>
      <c r="B68" s="108" t="s">
        <v>23</v>
      </c>
      <c r="C68" s="47" t="s">
        <v>275</v>
      </c>
      <c r="D68" s="3" t="s">
        <v>8</v>
      </c>
      <c r="E68" s="3" t="s">
        <v>849</v>
      </c>
      <c r="F68" s="3" t="s">
        <v>3068</v>
      </c>
      <c r="G68" s="3" t="s">
        <v>806</v>
      </c>
      <c r="H68" s="3"/>
      <c r="I68" s="3"/>
      <c r="J68" s="3"/>
      <c r="K68" s="3"/>
      <c r="L68" s="3"/>
      <c r="M68" s="36" t="s">
        <v>1258</v>
      </c>
      <c r="N68" s="36"/>
      <c r="O68" s="36"/>
      <c r="P68" s="36"/>
      <c r="Q68" s="36" t="s">
        <v>807</v>
      </c>
      <c r="R68" s="150">
        <v>45716</v>
      </c>
      <c r="S68" s="36" t="s">
        <v>635</v>
      </c>
      <c r="T68" s="47" t="s">
        <v>275</v>
      </c>
      <c r="U68" s="146" t="s">
        <v>275</v>
      </c>
      <c r="V68"/>
    </row>
    <row r="69" spans="1:22" s="1" customFormat="1" ht="30" x14ac:dyDescent="0.25">
      <c r="A69" s="47"/>
      <c r="B69" s="108" t="s">
        <v>23</v>
      </c>
      <c r="C69" s="47" t="s">
        <v>275</v>
      </c>
      <c r="D69" s="3" t="s">
        <v>8</v>
      </c>
      <c r="E69" s="3" t="s">
        <v>850</v>
      </c>
      <c r="F69" s="3" t="s">
        <v>3066</v>
      </c>
      <c r="G69" s="3" t="s">
        <v>800</v>
      </c>
      <c r="H69" s="3"/>
      <c r="I69" s="3"/>
      <c r="J69" s="3"/>
      <c r="K69" s="3"/>
      <c r="L69" s="3"/>
      <c r="M69" s="36" t="s">
        <v>1258</v>
      </c>
      <c r="N69" s="36"/>
      <c r="O69" s="36"/>
      <c r="P69" s="36"/>
      <c r="Q69" s="36" t="s">
        <v>805</v>
      </c>
      <c r="R69" s="150">
        <v>45716</v>
      </c>
      <c r="S69" s="36" t="s">
        <v>635</v>
      </c>
      <c r="T69" s="47" t="s">
        <v>275</v>
      </c>
      <c r="U69" s="146" t="s">
        <v>275</v>
      </c>
      <c r="V69"/>
    </row>
    <row r="70" spans="1:22" s="1" customFormat="1" ht="30" x14ac:dyDescent="0.25">
      <c r="A70" s="109"/>
      <c r="B70" s="109" t="s">
        <v>23</v>
      </c>
      <c r="C70" s="109" t="s">
        <v>275</v>
      </c>
      <c r="D70" s="109" t="s">
        <v>8</v>
      </c>
      <c r="E70" s="109" t="s">
        <v>851</v>
      </c>
      <c r="F70" s="109" t="s">
        <v>3066</v>
      </c>
      <c r="G70" s="109" t="s">
        <v>801</v>
      </c>
      <c r="H70" s="109"/>
      <c r="I70" s="109"/>
      <c r="J70" s="109"/>
      <c r="K70" s="109"/>
      <c r="L70" s="109"/>
      <c r="M70" s="110" t="s">
        <v>1258</v>
      </c>
      <c r="N70" s="110"/>
      <c r="O70" s="110"/>
      <c r="P70" s="110"/>
      <c r="Q70" s="110" t="s">
        <v>812</v>
      </c>
      <c r="R70" s="117">
        <v>45716</v>
      </c>
      <c r="S70" s="110" t="s">
        <v>635</v>
      </c>
      <c r="T70" s="109" t="s">
        <v>275</v>
      </c>
      <c r="U70" s="138" t="s">
        <v>275</v>
      </c>
      <c r="V70"/>
    </row>
    <row r="71" spans="1:22" s="1" customFormat="1" ht="30" x14ac:dyDescent="0.25">
      <c r="A71" s="47"/>
      <c r="B71" s="108" t="s">
        <v>23</v>
      </c>
      <c r="C71" s="47" t="s">
        <v>275</v>
      </c>
      <c r="D71" s="3" t="s">
        <v>8</v>
      </c>
      <c r="E71" s="3" t="s">
        <v>664</v>
      </c>
      <c r="F71" s="3" t="s">
        <v>3070</v>
      </c>
      <c r="G71" s="3" t="s">
        <v>654</v>
      </c>
      <c r="H71" s="3"/>
      <c r="I71" s="3"/>
      <c r="J71" s="3"/>
      <c r="K71" s="3"/>
      <c r="L71" s="3"/>
      <c r="M71" s="36" t="s">
        <v>1258</v>
      </c>
      <c r="N71" s="36" t="s">
        <v>23</v>
      </c>
      <c r="O71" s="36"/>
      <c r="P71" s="36"/>
      <c r="Q71" s="36" t="s">
        <v>715</v>
      </c>
      <c r="R71" s="150">
        <v>45715</v>
      </c>
      <c r="S71" s="36" t="s">
        <v>211</v>
      </c>
      <c r="T71" s="47" t="s">
        <v>275</v>
      </c>
      <c r="U71" s="146" t="s">
        <v>275</v>
      </c>
      <c r="V71"/>
    </row>
    <row r="72" spans="1:22" s="1" customFormat="1" ht="30" x14ac:dyDescent="0.25">
      <c r="A72" s="47"/>
      <c r="B72" s="108" t="s">
        <v>23</v>
      </c>
      <c r="C72" s="47" t="s">
        <v>275</v>
      </c>
      <c r="D72" s="3" t="s">
        <v>8</v>
      </c>
      <c r="E72" s="3" t="s">
        <v>786</v>
      </c>
      <c r="F72" s="3" t="s">
        <v>3069</v>
      </c>
      <c r="G72" s="3" t="s">
        <v>779</v>
      </c>
      <c r="H72" s="3"/>
      <c r="I72" s="3"/>
      <c r="J72" s="3"/>
      <c r="K72" s="3"/>
      <c r="L72" s="3"/>
      <c r="M72" s="36" t="s">
        <v>1258</v>
      </c>
      <c r="N72" s="36"/>
      <c r="O72" s="36"/>
      <c r="P72" s="36"/>
      <c r="Q72" s="36" t="s">
        <v>798</v>
      </c>
      <c r="R72" s="150">
        <v>45715</v>
      </c>
      <c r="S72" s="36" t="s">
        <v>635</v>
      </c>
      <c r="T72" s="47" t="s">
        <v>275</v>
      </c>
      <c r="U72" s="146" t="s">
        <v>275</v>
      </c>
      <c r="V72"/>
    </row>
    <row r="73" spans="1:22" ht="30" x14ac:dyDescent="0.25">
      <c r="A73" s="47"/>
      <c r="B73" s="108" t="s">
        <v>23</v>
      </c>
      <c r="C73" s="47" t="s">
        <v>275</v>
      </c>
      <c r="D73" s="3" t="s">
        <v>8</v>
      </c>
      <c r="E73" s="3" t="s">
        <v>748</v>
      </c>
      <c r="F73" s="3" t="s">
        <v>3070</v>
      </c>
      <c r="G73" s="3" t="s">
        <v>746</v>
      </c>
      <c r="H73" s="3"/>
      <c r="I73" s="3"/>
      <c r="J73" s="3"/>
      <c r="K73" s="3"/>
      <c r="L73" s="3"/>
      <c r="M73" s="36" t="s">
        <v>1258</v>
      </c>
      <c r="N73" s="36"/>
      <c r="O73" s="36"/>
      <c r="P73" s="36"/>
      <c r="Q73" s="36" t="s">
        <v>780</v>
      </c>
      <c r="R73" s="150">
        <v>45713</v>
      </c>
      <c r="S73" s="36" t="s">
        <v>635</v>
      </c>
      <c r="T73" s="47" t="s">
        <v>275</v>
      </c>
      <c r="U73" s="146" t="s">
        <v>275</v>
      </c>
      <c r="V73"/>
    </row>
    <row r="74" spans="1:22" ht="30" x14ac:dyDescent="0.25">
      <c r="A74" s="47"/>
      <c r="B74" s="108" t="s">
        <v>23</v>
      </c>
      <c r="C74" s="47" t="s">
        <v>275</v>
      </c>
      <c r="D74" s="3" t="s">
        <v>8</v>
      </c>
      <c r="E74" s="3" t="s">
        <v>768</v>
      </c>
      <c r="F74" s="3" t="s">
        <v>3070</v>
      </c>
      <c r="G74" s="3" t="s">
        <v>767</v>
      </c>
      <c r="H74" s="3"/>
      <c r="I74" s="3"/>
      <c r="J74" s="3"/>
      <c r="K74" s="3"/>
      <c r="L74" s="3"/>
      <c r="M74" s="36" t="s">
        <v>1258</v>
      </c>
      <c r="N74" s="36"/>
      <c r="O74" s="36"/>
      <c r="P74" s="36"/>
      <c r="Q74" s="36" t="s">
        <v>781</v>
      </c>
      <c r="R74" s="150">
        <v>45714</v>
      </c>
      <c r="S74" s="36" t="s">
        <v>102</v>
      </c>
      <c r="T74" s="47" t="s">
        <v>275</v>
      </c>
      <c r="U74" s="146" t="s">
        <v>275</v>
      </c>
      <c r="V74"/>
    </row>
    <row r="75" spans="1:22" ht="30" x14ac:dyDescent="0.25">
      <c r="A75" s="109"/>
      <c r="B75" s="109" t="s">
        <v>23</v>
      </c>
      <c r="C75" s="109" t="s">
        <v>275</v>
      </c>
      <c r="D75" s="109" t="s">
        <v>8</v>
      </c>
      <c r="E75" s="109" t="s">
        <v>765</v>
      </c>
      <c r="F75" s="109" t="s">
        <v>3070</v>
      </c>
      <c r="G75" s="109" t="s">
        <v>766</v>
      </c>
      <c r="H75" s="109"/>
      <c r="I75" s="109"/>
      <c r="J75" s="109"/>
      <c r="K75" s="109"/>
      <c r="L75" s="109"/>
      <c r="M75" s="109" t="s">
        <v>1258</v>
      </c>
      <c r="N75" s="109"/>
      <c r="O75" s="109"/>
      <c r="P75" s="109"/>
      <c r="Q75" s="109" t="s">
        <v>782</v>
      </c>
      <c r="R75" s="117">
        <v>45714</v>
      </c>
      <c r="S75" s="109" t="s">
        <v>102</v>
      </c>
      <c r="T75" s="109" t="s">
        <v>275</v>
      </c>
      <c r="U75" s="109" t="s">
        <v>275</v>
      </c>
      <c r="V75"/>
    </row>
    <row r="76" spans="1:22" ht="30" x14ac:dyDescent="0.25">
      <c r="A76" s="47"/>
      <c r="B76" s="108" t="s">
        <v>23</v>
      </c>
      <c r="C76" s="47" t="s">
        <v>275</v>
      </c>
      <c r="D76" s="3" t="s">
        <v>8</v>
      </c>
      <c r="E76" s="3" t="s">
        <v>757</v>
      </c>
      <c r="F76" s="3" t="s">
        <v>3070</v>
      </c>
      <c r="G76" s="3" t="s">
        <v>752</v>
      </c>
      <c r="H76" s="3"/>
      <c r="I76" s="3"/>
      <c r="J76" s="3"/>
      <c r="K76" s="3"/>
      <c r="L76" s="3"/>
      <c r="M76" s="36" t="s">
        <v>1258</v>
      </c>
      <c r="N76" s="36"/>
      <c r="O76" s="36"/>
      <c r="P76" s="36"/>
      <c r="Q76" s="36" t="s">
        <v>783</v>
      </c>
      <c r="R76" s="150">
        <v>45712</v>
      </c>
      <c r="S76" s="36" t="s">
        <v>554</v>
      </c>
      <c r="T76" s="47" t="s">
        <v>275</v>
      </c>
      <c r="U76" s="146" t="s">
        <v>275</v>
      </c>
      <c r="V76"/>
    </row>
    <row r="77" spans="1:22" ht="30" x14ac:dyDescent="0.25">
      <c r="A77" s="47"/>
      <c r="B77" s="108" t="s">
        <v>23</v>
      </c>
      <c r="C77" s="47" t="s">
        <v>275</v>
      </c>
      <c r="D77" s="3" t="s">
        <v>8</v>
      </c>
      <c r="E77" s="3" t="s">
        <v>730</v>
      </c>
      <c r="F77" s="3" t="s">
        <v>3068</v>
      </c>
      <c r="G77" s="3" t="s">
        <v>729</v>
      </c>
      <c r="H77" s="3"/>
      <c r="I77" s="3"/>
      <c r="J77" s="3"/>
      <c r="K77" s="3"/>
      <c r="L77" s="3"/>
      <c r="M77" s="36" t="s">
        <v>1258</v>
      </c>
      <c r="N77" s="36"/>
      <c r="O77" s="36" t="s">
        <v>23</v>
      </c>
      <c r="P77" s="36"/>
      <c r="Q77" s="36" t="s">
        <v>769</v>
      </c>
      <c r="R77" s="117">
        <v>45712</v>
      </c>
      <c r="S77" s="109" t="s">
        <v>635</v>
      </c>
      <c r="T77" s="47" t="s">
        <v>275</v>
      </c>
      <c r="U77" s="146" t="s">
        <v>275</v>
      </c>
      <c r="V77"/>
    </row>
    <row r="78" spans="1:22" ht="30" x14ac:dyDescent="0.25">
      <c r="A78" s="47"/>
      <c r="B78" s="108" t="s">
        <v>23</v>
      </c>
      <c r="C78" s="47" t="s">
        <v>275</v>
      </c>
      <c r="D78" s="3" t="s">
        <v>8</v>
      </c>
      <c r="E78" s="3" t="s">
        <v>743</v>
      </c>
      <c r="F78" s="3" t="s">
        <v>3069</v>
      </c>
      <c r="G78" s="3" t="s">
        <v>742</v>
      </c>
      <c r="H78" s="3"/>
      <c r="I78" s="3"/>
      <c r="J78" s="3"/>
      <c r="K78" s="3"/>
      <c r="L78" s="3"/>
      <c r="M78" s="36" t="s">
        <v>1258</v>
      </c>
      <c r="N78" s="36"/>
      <c r="O78" s="36"/>
      <c r="P78" s="36"/>
      <c r="Q78" s="36" t="s">
        <v>745</v>
      </c>
      <c r="R78" s="150">
        <v>45708</v>
      </c>
      <c r="S78" s="36" t="s">
        <v>744</v>
      </c>
      <c r="T78" s="47" t="s">
        <v>275</v>
      </c>
      <c r="U78" s="146" t="s">
        <v>275</v>
      </c>
      <c r="V78"/>
    </row>
    <row r="79" spans="1:22" ht="30" x14ac:dyDescent="0.25">
      <c r="A79" s="47"/>
      <c r="B79" s="108" t="s">
        <v>23</v>
      </c>
      <c r="C79" s="47" t="s">
        <v>275</v>
      </c>
      <c r="D79" s="3" t="s">
        <v>8</v>
      </c>
      <c r="E79" s="3" t="s">
        <v>737</v>
      </c>
      <c r="F79" s="3" t="s">
        <v>3066</v>
      </c>
      <c r="G79" s="3" t="s">
        <v>736</v>
      </c>
      <c r="H79" s="3"/>
      <c r="I79" s="3"/>
      <c r="J79" s="3"/>
      <c r="K79" s="3"/>
      <c r="L79" s="3"/>
      <c r="M79" s="36" t="s">
        <v>1258</v>
      </c>
      <c r="N79" s="36"/>
      <c r="O79" s="36"/>
      <c r="P79" s="36"/>
      <c r="Q79" s="36" t="s">
        <v>739</v>
      </c>
      <c r="R79" s="150">
        <v>45708</v>
      </c>
      <c r="S79" s="36" t="s">
        <v>50</v>
      </c>
      <c r="T79" s="47" t="s">
        <v>275</v>
      </c>
      <c r="U79" s="146" t="s">
        <v>275</v>
      </c>
      <c r="V79"/>
    </row>
    <row r="80" spans="1:22" ht="30" x14ac:dyDescent="0.25">
      <c r="A80" s="47"/>
      <c r="B80" s="108" t="s">
        <v>23</v>
      </c>
      <c r="C80" s="47" t="s">
        <v>275</v>
      </c>
      <c r="D80" s="3" t="s">
        <v>8</v>
      </c>
      <c r="E80" s="3" t="s">
        <v>735</v>
      </c>
      <c r="F80" s="3" t="s">
        <v>3066</v>
      </c>
      <c r="G80" s="3" t="s">
        <v>740</v>
      </c>
      <c r="H80" s="3"/>
      <c r="I80" s="3"/>
      <c r="J80" s="3"/>
      <c r="K80" s="3"/>
      <c r="L80" s="3"/>
      <c r="M80" s="36" t="s">
        <v>1258</v>
      </c>
      <c r="N80" s="36"/>
      <c r="O80" s="36"/>
      <c r="P80" s="36"/>
      <c r="Q80" s="36" t="s">
        <v>741</v>
      </c>
      <c r="R80" s="150">
        <v>45708</v>
      </c>
      <c r="S80" s="36" t="s">
        <v>635</v>
      </c>
      <c r="T80" s="47" t="s">
        <v>275</v>
      </c>
      <c r="U80" s="146" t="s">
        <v>275</v>
      </c>
      <c r="V80"/>
    </row>
    <row r="81" spans="1:22" ht="30" x14ac:dyDescent="0.25">
      <c r="A81" s="47"/>
      <c r="B81" s="108" t="s">
        <v>23</v>
      </c>
      <c r="C81" s="47" t="s">
        <v>275</v>
      </c>
      <c r="D81" s="3" t="s">
        <v>8</v>
      </c>
      <c r="E81" s="3" t="s">
        <v>724</v>
      </c>
      <c r="F81" s="3" t="s">
        <v>3068</v>
      </c>
      <c r="G81" s="3" t="s">
        <v>723</v>
      </c>
      <c r="H81" s="3"/>
      <c r="I81" s="3"/>
      <c r="J81" s="3"/>
      <c r="K81" s="3"/>
      <c r="L81" s="3"/>
      <c r="M81" s="36" t="s">
        <v>1258</v>
      </c>
      <c r="N81" s="36"/>
      <c r="O81" s="36"/>
      <c r="P81" s="36"/>
      <c r="Q81" s="36" t="s">
        <v>728</v>
      </c>
      <c r="R81" s="150">
        <v>45706</v>
      </c>
      <c r="S81" s="36" t="s">
        <v>50</v>
      </c>
      <c r="T81" s="47" t="s">
        <v>275</v>
      </c>
      <c r="U81" s="146" t="s">
        <v>275</v>
      </c>
      <c r="V81"/>
    </row>
    <row r="82" spans="1:22" ht="30" x14ac:dyDescent="0.25">
      <c r="A82" s="47"/>
      <c r="B82" s="108" t="s">
        <v>23</v>
      </c>
      <c r="C82" s="47" t="s">
        <v>275</v>
      </c>
      <c r="D82" s="3" t="s">
        <v>8</v>
      </c>
      <c r="E82" s="3" t="s">
        <v>725</v>
      </c>
      <c r="F82" s="3" t="s">
        <v>3068</v>
      </c>
      <c r="G82" s="3" t="s">
        <v>722</v>
      </c>
      <c r="H82" s="3"/>
      <c r="I82" s="3"/>
      <c r="J82" s="3"/>
      <c r="K82" s="3"/>
      <c r="L82" s="3"/>
      <c r="M82" s="36" t="s">
        <v>1258</v>
      </c>
      <c r="N82" s="36"/>
      <c r="O82" s="36"/>
      <c r="P82" s="36"/>
      <c r="Q82" s="36" t="s">
        <v>454</v>
      </c>
      <c r="R82" s="150">
        <v>45706</v>
      </c>
      <c r="S82" s="36" t="s">
        <v>50</v>
      </c>
      <c r="T82" s="47" t="s">
        <v>275</v>
      </c>
      <c r="U82" s="146" t="s">
        <v>275</v>
      </c>
      <c r="V82"/>
    </row>
    <row r="83" spans="1:22" ht="30" x14ac:dyDescent="0.25">
      <c r="A83" s="47"/>
      <c r="B83" s="108" t="s">
        <v>23</v>
      </c>
      <c r="C83" s="47" t="s">
        <v>275</v>
      </c>
      <c r="D83" s="3" t="s">
        <v>8</v>
      </c>
      <c r="E83" s="3" t="s">
        <v>665</v>
      </c>
      <c r="F83" s="3" t="s">
        <v>3070</v>
      </c>
      <c r="G83" s="3" t="s">
        <v>653</v>
      </c>
      <c r="H83" s="3"/>
      <c r="I83" s="3"/>
      <c r="J83" s="3"/>
      <c r="K83" s="3"/>
      <c r="L83" s="3"/>
      <c r="M83" s="36" t="s">
        <v>1258</v>
      </c>
      <c r="N83" s="36" t="s">
        <v>23</v>
      </c>
      <c r="O83" s="36"/>
      <c r="P83" s="36"/>
      <c r="Q83" s="36" t="s">
        <v>715</v>
      </c>
      <c r="R83" s="150"/>
      <c r="S83" s="36" t="s">
        <v>211</v>
      </c>
      <c r="T83" s="47" t="s">
        <v>275</v>
      </c>
      <c r="U83" s="146" t="s">
        <v>275</v>
      </c>
      <c r="V83"/>
    </row>
    <row r="84" spans="1:22" x14ac:dyDescent="0.25">
      <c r="A84" s="47"/>
      <c r="B84" s="108" t="s">
        <v>23</v>
      </c>
      <c r="C84" s="47" t="s">
        <v>275</v>
      </c>
      <c r="D84" s="3" t="s">
        <v>8</v>
      </c>
      <c r="E84" s="3" t="s">
        <v>628</v>
      </c>
      <c r="F84" s="3" t="s">
        <v>3070</v>
      </c>
      <c r="G84" s="3" t="s">
        <v>627</v>
      </c>
      <c r="H84" s="3"/>
      <c r="I84" s="3"/>
      <c r="J84" s="3"/>
      <c r="K84" s="3"/>
      <c r="L84" s="3"/>
      <c r="M84" s="36" t="s">
        <v>1258</v>
      </c>
      <c r="N84" s="36"/>
      <c r="O84" s="36"/>
      <c r="P84" s="36"/>
      <c r="Q84" s="36"/>
      <c r="R84" s="150"/>
      <c r="S84" s="36" t="s">
        <v>211</v>
      </c>
      <c r="T84" s="47" t="s">
        <v>275</v>
      </c>
      <c r="U84" s="146" t="s">
        <v>275</v>
      </c>
      <c r="V84"/>
    </row>
    <row r="85" spans="1:22" ht="30" x14ac:dyDescent="0.25">
      <c r="A85" s="47"/>
      <c r="B85" s="108" t="s">
        <v>23</v>
      </c>
      <c r="C85" s="47" t="s">
        <v>275</v>
      </c>
      <c r="D85" s="3" t="s">
        <v>8</v>
      </c>
      <c r="E85" s="3" t="s">
        <v>717</v>
      </c>
      <c r="F85" s="3" t="s">
        <v>3070</v>
      </c>
      <c r="G85" s="3" t="s">
        <v>734</v>
      </c>
      <c r="H85" s="3"/>
      <c r="I85" s="3"/>
      <c r="J85" s="3"/>
      <c r="K85" s="3"/>
      <c r="L85" s="3"/>
      <c r="M85" s="36" t="s">
        <v>1258</v>
      </c>
      <c r="N85" s="36"/>
      <c r="O85" s="36"/>
      <c r="P85" s="36"/>
      <c r="Q85" s="36" t="s">
        <v>149</v>
      </c>
      <c r="R85" s="150">
        <v>45705</v>
      </c>
      <c r="S85" s="36" t="s">
        <v>325</v>
      </c>
      <c r="T85" s="47" t="s">
        <v>275</v>
      </c>
      <c r="U85" s="146" t="s">
        <v>275</v>
      </c>
      <c r="V85"/>
    </row>
    <row r="86" spans="1:22" x14ac:dyDescent="0.25">
      <c r="A86" s="47"/>
      <c r="B86" s="108" t="s">
        <v>23</v>
      </c>
      <c r="C86" s="47" t="s">
        <v>275</v>
      </c>
      <c r="D86" s="3" t="s">
        <v>8</v>
      </c>
      <c r="E86" s="3" t="s">
        <v>490</v>
      </c>
      <c r="F86" s="3" t="s">
        <v>3066</v>
      </c>
      <c r="G86" s="3" t="s">
        <v>485</v>
      </c>
      <c r="H86" s="3"/>
      <c r="I86" s="3"/>
      <c r="J86" s="3"/>
      <c r="K86" s="3"/>
      <c r="L86" s="3"/>
      <c r="M86" s="36" t="s">
        <v>1258</v>
      </c>
      <c r="N86" s="36"/>
      <c r="O86" s="36"/>
      <c r="P86" s="36"/>
      <c r="Q86" s="36" t="s">
        <v>716</v>
      </c>
      <c r="R86" s="150">
        <v>45705</v>
      </c>
      <c r="S86" s="36" t="s">
        <v>635</v>
      </c>
      <c r="T86" s="47" t="s">
        <v>275</v>
      </c>
      <c r="U86" s="146" t="s">
        <v>275</v>
      </c>
      <c r="V86"/>
    </row>
    <row r="87" spans="1:22" ht="30" x14ac:dyDescent="0.25">
      <c r="A87" s="109"/>
      <c r="B87" s="109" t="s">
        <v>23</v>
      </c>
      <c r="C87" s="109" t="s">
        <v>275</v>
      </c>
      <c r="D87" s="109" t="s">
        <v>8</v>
      </c>
      <c r="E87" s="109" t="s">
        <v>625</v>
      </c>
      <c r="F87" s="109" t="s">
        <v>3070</v>
      </c>
      <c r="G87" s="109" t="s">
        <v>620</v>
      </c>
      <c r="H87" s="109"/>
      <c r="I87" s="109"/>
      <c r="J87" s="109"/>
      <c r="K87" s="109"/>
      <c r="L87" s="109"/>
      <c r="M87" s="109" t="s">
        <v>1258</v>
      </c>
      <c r="N87" s="109"/>
      <c r="O87" s="109"/>
      <c r="P87" s="109"/>
      <c r="Q87" s="109" t="s">
        <v>1267</v>
      </c>
      <c r="R87" s="117"/>
      <c r="S87" s="109"/>
      <c r="T87" s="109" t="s">
        <v>275</v>
      </c>
      <c r="U87" s="138" t="s">
        <v>275</v>
      </c>
      <c r="V87"/>
    </row>
    <row r="88" spans="1:22" ht="30" x14ac:dyDescent="0.25">
      <c r="A88" s="47"/>
      <c r="B88" s="108" t="s">
        <v>23</v>
      </c>
      <c r="C88" s="47" t="s">
        <v>275</v>
      </c>
      <c r="D88" s="3" t="s">
        <v>8</v>
      </c>
      <c r="E88" s="3" t="s">
        <v>663</v>
      </c>
      <c r="F88" s="3" t="s">
        <v>483</v>
      </c>
      <c r="G88" s="3" t="s">
        <v>655</v>
      </c>
      <c r="H88" s="3"/>
      <c r="I88" s="3"/>
      <c r="J88" s="3"/>
      <c r="K88" s="3"/>
      <c r="L88" s="3"/>
      <c r="M88" s="36" t="s">
        <v>1258</v>
      </c>
      <c r="N88" s="36"/>
      <c r="O88" s="36"/>
      <c r="P88" s="36"/>
      <c r="Q88" s="36" t="s">
        <v>1267</v>
      </c>
      <c r="R88" s="150"/>
      <c r="S88" s="36"/>
      <c r="T88" s="47" t="s">
        <v>275</v>
      </c>
      <c r="U88" s="146" t="s">
        <v>275</v>
      </c>
      <c r="V88"/>
    </row>
    <row r="89" spans="1:22" ht="30" x14ac:dyDescent="0.25">
      <c r="A89" s="47"/>
      <c r="B89" s="108" t="s">
        <v>23</v>
      </c>
      <c r="C89" s="47" t="s">
        <v>275</v>
      </c>
      <c r="D89" s="3" t="s">
        <v>8</v>
      </c>
      <c r="E89" s="3" t="s">
        <v>666</v>
      </c>
      <c r="F89" s="3" t="s">
        <v>3070</v>
      </c>
      <c r="G89" s="3" t="s">
        <v>652</v>
      </c>
      <c r="H89" s="3"/>
      <c r="I89" s="3"/>
      <c r="J89" s="3"/>
      <c r="K89" s="3"/>
      <c r="L89" s="3"/>
      <c r="M89" s="36" t="s">
        <v>1258</v>
      </c>
      <c r="N89" s="36"/>
      <c r="O89" s="36"/>
      <c r="P89" s="36"/>
      <c r="Q89" s="36" t="s">
        <v>1267</v>
      </c>
      <c r="R89" s="150"/>
      <c r="S89" s="36"/>
      <c r="T89" s="47" t="s">
        <v>275</v>
      </c>
      <c r="U89" s="146" t="s">
        <v>275</v>
      </c>
      <c r="V89"/>
    </row>
    <row r="90" spans="1:22" ht="30" x14ac:dyDescent="0.25">
      <c r="A90" s="109"/>
      <c r="B90" s="109" t="s">
        <v>23</v>
      </c>
      <c r="C90" s="109" t="s">
        <v>275</v>
      </c>
      <c r="D90" s="109" t="s">
        <v>8</v>
      </c>
      <c r="E90" s="109" t="s">
        <v>662</v>
      </c>
      <c r="F90" s="109" t="s">
        <v>3070</v>
      </c>
      <c r="G90" s="109" t="s">
        <v>658</v>
      </c>
      <c r="H90" s="109"/>
      <c r="I90" s="109"/>
      <c r="J90" s="109"/>
      <c r="K90" s="109"/>
      <c r="L90" s="109"/>
      <c r="M90" s="110" t="s">
        <v>1258</v>
      </c>
      <c r="N90" s="110"/>
      <c r="O90" s="110"/>
      <c r="P90" s="110"/>
      <c r="Q90" s="110"/>
      <c r="R90" s="117"/>
      <c r="S90" s="110"/>
      <c r="T90" s="109" t="s">
        <v>275</v>
      </c>
      <c r="U90" s="138" t="s">
        <v>275</v>
      </c>
      <c r="V90"/>
    </row>
    <row r="91" spans="1:22" ht="60" x14ac:dyDescent="0.25">
      <c r="A91" s="47"/>
      <c r="B91" s="108" t="s">
        <v>23</v>
      </c>
      <c r="C91" s="47" t="s">
        <v>275</v>
      </c>
      <c r="D91" s="3" t="s">
        <v>8</v>
      </c>
      <c r="E91" s="3" t="s">
        <v>647</v>
      </c>
      <c r="F91" s="3" t="s">
        <v>3069</v>
      </c>
      <c r="G91" s="3" t="s">
        <v>704</v>
      </c>
      <c r="H91" s="3"/>
      <c r="I91" s="3"/>
      <c r="J91" s="3"/>
      <c r="K91" s="3"/>
      <c r="L91" s="3"/>
      <c r="M91" s="36" t="s">
        <v>1258</v>
      </c>
      <c r="N91" s="36"/>
      <c r="O91" s="36"/>
      <c r="P91" s="36"/>
      <c r="Q91" s="36" t="s">
        <v>706</v>
      </c>
      <c r="R91" s="150">
        <v>45701</v>
      </c>
      <c r="S91" s="36" t="s">
        <v>705</v>
      </c>
      <c r="T91" s="47" t="s">
        <v>275</v>
      </c>
      <c r="U91" s="146" t="s">
        <v>275</v>
      </c>
      <c r="V91"/>
    </row>
    <row r="92" spans="1:22" ht="90" x14ac:dyDescent="0.25">
      <c r="A92" s="47"/>
      <c r="B92" s="108" t="s">
        <v>23</v>
      </c>
      <c r="C92" s="47" t="s">
        <v>275</v>
      </c>
      <c r="D92" s="3" t="s">
        <v>8</v>
      </c>
      <c r="E92" s="3" t="s">
        <v>1294</v>
      </c>
      <c r="F92" s="3" t="s">
        <v>3068</v>
      </c>
      <c r="G92" s="3" t="s">
        <v>657</v>
      </c>
      <c r="H92" s="3"/>
      <c r="I92" s="3"/>
      <c r="J92" s="3"/>
      <c r="K92" s="3"/>
      <c r="L92" s="3"/>
      <c r="M92" s="36" t="s">
        <v>1258</v>
      </c>
      <c r="N92" s="36"/>
      <c r="O92" s="36"/>
      <c r="P92" s="36"/>
      <c r="Q92" s="36" t="s">
        <v>1522</v>
      </c>
      <c r="R92" s="150">
        <v>45811</v>
      </c>
      <c r="S92" s="36" t="s">
        <v>1521</v>
      </c>
      <c r="T92" s="47" t="s">
        <v>275</v>
      </c>
      <c r="U92" s="146" t="s">
        <v>275</v>
      </c>
      <c r="V92"/>
    </row>
    <row r="93" spans="1:22" ht="30" x14ac:dyDescent="0.25">
      <c r="A93" s="47"/>
      <c r="B93" s="108" t="s">
        <v>23</v>
      </c>
      <c r="C93" s="47" t="s">
        <v>275</v>
      </c>
      <c r="D93" s="3" t="s">
        <v>8</v>
      </c>
      <c r="E93" s="3" t="s">
        <v>623</v>
      </c>
      <c r="F93" s="3" t="s">
        <v>483</v>
      </c>
      <c r="G93" s="3" t="s">
        <v>622</v>
      </c>
      <c r="H93" s="3"/>
      <c r="I93" s="3"/>
      <c r="J93" s="3"/>
      <c r="K93" s="3"/>
      <c r="L93" s="3"/>
      <c r="M93" s="36" t="s">
        <v>1258</v>
      </c>
      <c r="N93" s="36"/>
      <c r="O93" s="36"/>
      <c r="P93" s="36"/>
      <c r="Q93" s="36"/>
      <c r="R93" s="150"/>
      <c r="S93" s="36"/>
      <c r="T93" s="47" t="s">
        <v>275</v>
      </c>
      <c r="U93" s="146" t="s">
        <v>275</v>
      </c>
      <c r="V93"/>
    </row>
    <row r="94" spans="1:22" ht="30" x14ac:dyDescent="0.25">
      <c r="A94" s="47"/>
      <c r="B94" s="108" t="s">
        <v>23</v>
      </c>
      <c r="C94" s="47" t="s">
        <v>275</v>
      </c>
      <c r="D94" s="3" t="s">
        <v>8</v>
      </c>
      <c r="E94" s="3" t="s">
        <v>624</v>
      </c>
      <c r="F94" s="3" t="s">
        <v>483</v>
      </c>
      <c r="G94" s="3" t="s">
        <v>621</v>
      </c>
      <c r="H94" s="3"/>
      <c r="I94" s="3"/>
      <c r="J94" s="3"/>
      <c r="K94" s="3"/>
      <c r="L94" s="3"/>
      <c r="M94" s="36" t="s">
        <v>1258</v>
      </c>
      <c r="N94" s="36"/>
      <c r="O94" s="36"/>
      <c r="P94" s="36"/>
      <c r="Q94" s="36"/>
      <c r="R94" s="150"/>
      <c r="S94" s="36"/>
      <c r="T94" s="47" t="s">
        <v>275</v>
      </c>
      <c r="U94" s="146" t="s">
        <v>275</v>
      </c>
      <c r="V94"/>
    </row>
    <row r="95" spans="1:22" ht="30" x14ac:dyDescent="0.25">
      <c r="A95" s="47"/>
      <c r="B95" s="108" t="s">
        <v>23</v>
      </c>
      <c r="C95" s="47" t="s">
        <v>275</v>
      </c>
      <c r="D95" s="3" t="s">
        <v>8</v>
      </c>
      <c r="E95" s="3" t="s">
        <v>626</v>
      </c>
      <c r="F95" s="3" t="s">
        <v>3066</v>
      </c>
      <c r="G95" s="3" t="s">
        <v>619</v>
      </c>
      <c r="H95" s="3"/>
      <c r="I95" s="3"/>
      <c r="J95" s="3"/>
      <c r="K95" s="3"/>
      <c r="L95" s="3"/>
      <c r="M95" s="36" t="s">
        <v>1258</v>
      </c>
      <c r="N95" s="36"/>
      <c r="O95" s="36"/>
      <c r="P95" s="36"/>
      <c r="Q95" s="36" t="s">
        <v>644</v>
      </c>
      <c r="R95" s="150">
        <v>45694</v>
      </c>
      <c r="S95" s="36" t="s">
        <v>50</v>
      </c>
      <c r="T95" s="47" t="s">
        <v>275</v>
      </c>
      <c r="U95" s="146" t="s">
        <v>275</v>
      </c>
      <c r="V95"/>
    </row>
    <row r="96" spans="1:22" ht="30" x14ac:dyDescent="0.25">
      <c r="A96" s="47"/>
      <c r="B96" s="108" t="s">
        <v>23</v>
      </c>
      <c r="C96" s="47" t="s">
        <v>275</v>
      </c>
      <c r="D96" s="3" t="s">
        <v>8</v>
      </c>
      <c r="E96" s="3" t="s">
        <v>591</v>
      </c>
      <c r="F96" s="3" t="s">
        <v>3069</v>
      </c>
      <c r="G96" s="3" t="s">
        <v>587</v>
      </c>
      <c r="H96" s="3"/>
      <c r="I96" s="3"/>
      <c r="J96" s="3"/>
      <c r="K96" s="3"/>
      <c r="L96" s="3"/>
      <c r="M96" s="36" t="s">
        <v>1258</v>
      </c>
      <c r="N96" s="36"/>
      <c r="O96" s="36"/>
      <c r="P96" s="36"/>
      <c r="Q96" s="36" t="s">
        <v>602</v>
      </c>
      <c r="R96" s="150">
        <v>45691</v>
      </c>
      <c r="S96" s="36" t="s">
        <v>102</v>
      </c>
      <c r="T96" s="47" t="s">
        <v>275</v>
      </c>
      <c r="U96" s="146" t="s">
        <v>275</v>
      </c>
      <c r="V96"/>
    </row>
    <row r="97" spans="1:22" ht="45" x14ac:dyDescent="0.25">
      <c r="A97" s="109"/>
      <c r="B97" s="109" t="s">
        <v>23</v>
      </c>
      <c r="C97" s="109" t="s">
        <v>275</v>
      </c>
      <c r="D97" s="109" t="s">
        <v>8</v>
      </c>
      <c r="E97" s="109" t="s">
        <v>568</v>
      </c>
      <c r="F97" s="109" t="s">
        <v>3066</v>
      </c>
      <c r="G97" s="109" t="s">
        <v>567</v>
      </c>
      <c r="H97" s="109"/>
      <c r="I97" s="109"/>
      <c r="J97" s="109"/>
      <c r="K97" s="109"/>
      <c r="L97" s="109"/>
      <c r="M97" s="109" t="s">
        <v>1258</v>
      </c>
      <c r="N97" s="109"/>
      <c r="O97" s="109"/>
      <c r="P97" s="109"/>
      <c r="Q97" s="109" t="s">
        <v>607</v>
      </c>
      <c r="R97" s="117">
        <v>45692</v>
      </c>
      <c r="S97" s="109" t="s">
        <v>608</v>
      </c>
      <c r="T97" s="109" t="s">
        <v>275</v>
      </c>
      <c r="U97" s="109" t="s">
        <v>275</v>
      </c>
      <c r="V97"/>
    </row>
    <row r="98" spans="1:22" ht="45" x14ac:dyDescent="0.25">
      <c r="A98" s="47"/>
      <c r="B98" s="108" t="s">
        <v>23</v>
      </c>
      <c r="C98" s="47" t="s">
        <v>275</v>
      </c>
      <c r="D98" s="3" t="s">
        <v>8</v>
      </c>
      <c r="E98" s="3" t="s">
        <v>569</v>
      </c>
      <c r="F98" s="3" t="s">
        <v>3066</v>
      </c>
      <c r="G98" s="3" t="s">
        <v>566</v>
      </c>
      <c r="H98" s="3"/>
      <c r="I98" s="3"/>
      <c r="J98" s="3"/>
      <c r="K98" s="3"/>
      <c r="L98" s="3"/>
      <c r="M98" s="36" t="s">
        <v>1258</v>
      </c>
      <c r="N98" s="36"/>
      <c r="O98" s="36"/>
      <c r="P98" s="36"/>
      <c r="Q98" s="36" t="s">
        <v>609</v>
      </c>
      <c r="R98" s="150">
        <v>45692</v>
      </c>
      <c r="S98" s="36" t="s">
        <v>608</v>
      </c>
      <c r="T98" s="47" t="s">
        <v>275</v>
      </c>
      <c r="U98" s="146" t="s">
        <v>275</v>
      </c>
      <c r="V98"/>
    </row>
    <row r="99" spans="1:22" ht="30" x14ac:dyDescent="0.25">
      <c r="A99" s="47"/>
      <c r="B99" s="108" t="s">
        <v>23</v>
      </c>
      <c r="C99" s="47" t="s">
        <v>275</v>
      </c>
      <c r="D99" s="3" t="s">
        <v>8</v>
      </c>
      <c r="E99" s="3" t="s">
        <v>598</v>
      </c>
      <c r="F99" s="3" t="s">
        <v>3067</v>
      </c>
      <c r="G99" s="3" t="s">
        <v>597</v>
      </c>
      <c r="H99" s="3"/>
      <c r="I99" s="3"/>
      <c r="J99" s="3"/>
      <c r="K99" s="3"/>
      <c r="L99" s="3"/>
      <c r="M99" s="36" t="s">
        <v>1258</v>
      </c>
      <c r="N99" s="36"/>
      <c r="O99" s="36"/>
      <c r="P99" s="36"/>
      <c r="Q99" s="36" t="s">
        <v>610</v>
      </c>
      <c r="R99" s="150">
        <v>45692</v>
      </c>
      <c r="S99" s="36" t="s">
        <v>608</v>
      </c>
      <c r="T99" s="47" t="s">
        <v>275</v>
      </c>
      <c r="U99" s="146" t="s">
        <v>275</v>
      </c>
      <c r="V99"/>
    </row>
    <row r="100" spans="1:22" ht="30" x14ac:dyDescent="0.25">
      <c r="A100" s="47"/>
      <c r="B100" s="108" t="s">
        <v>23</v>
      </c>
      <c r="C100" s="47" t="s">
        <v>275</v>
      </c>
      <c r="D100" s="3" t="s">
        <v>8</v>
      </c>
      <c r="E100" s="3" t="s">
        <v>592</v>
      </c>
      <c r="F100" s="3" t="s">
        <v>3069</v>
      </c>
      <c r="G100" s="3" t="s">
        <v>588</v>
      </c>
      <c r="H100" s="3"/>
      <c r="I100" s="3"/>
      <c r="J100" s="3"/>
      <c r="K100" s="3"/>
      <c r="L100" s="3"/>
      <c r="M100" s="36" t="s">
        <v>1258</v>
      </c>
      <c r="N100" s="36"/>
      <c r="O100" s="36"/>
      <c r="P100" s="36"/>
      <c r="Q100" s="36" t="s">
        <v>618</v>
      </c>
      <c r="R100" s="150">
        <v>45686</v>
      </c>
      <c r="S100" s="36" t="s">
        <v>102</v>
      </c>
      <c r="T100" s="47" t="s">
        <v>275</v>
      </c>
      <c r="U100" s="146" t="s">
        <v>275</v>
      </c>
      <c r="V100"/>
    </row>
    <row r="101" spans="1:22" ht="75" x14ac:dyDescent="0.25">
      <c r="A101" s="47"/>
      <c r="B101" s="108" t="s">
        <v>23</v>
      </c>
      <c r="C101" s="47" t="s">
        <v>275</v>
      </c>
      <c r="D101" s="3" t="s">
        <v>8</v>
      </c>
      <c r="E101" s="3" t="s">
        <v>570</v>
      </c>
      <c r="F101" s="3" t="s">
        <v>3066</v>
      </c>
      <c r="G101" s="3" t="s">
        <v>565</v>
      </c>
      <c r="H101" s="3"/>
      <c r="I101" s="3"/>
      <c r="J101" s="3"/>
      <c r="K101" s="3"/>
      <c r="L101" s="3"/>
      <c r="M101" s="36" t="s">
        <v>1258</v>
      </c>
      <c r="N101" s="36"/>
      <c r="O101" s="36"/>
      <c r="P101" s="36"/>
      <c r="Q101" s="36" t="s">
        <v>617</v>
      </c>
      <c r="R101" s="150">
        <v>45693</v>
      </c>
      <c r="S101" s="36" t="s">
        <v>102</v>
      </c>
      <c r="T101" s="47" t="s">
        <v>275</v>
      </c>
      <c r="U101" s="146" t="s">
        <v>275</v>
      </c>
      <c r="V101"/>
    </row>
    <row r="102" spans="1:22" ht="30" x14ac:dyDescent="0.25">
      <c r="A102" s="47"/>
      <c r="B102" s="108" t="s">
        <v>23</v>
      </c>
      <c r="C102" s="47" t="s">
        <v>275</v>
      </c>
      <c r="D102" s="3" t="s">
        <v>8</v>
      </c>
      <c r="E102" s="3" t="s">
        <v>571</v>
      </c>
      <c r="F102" s="3" t="s">
        <v>3066</v>
      </c>
      <c r="G102" s="3" t="s">
        <v>564</v>
      </c>
      <c r="H102" s="3"/>
      <c r="I102" s="3"/>
      <c r="J102" s="3"/>
      <c r="K102" s="3"/>
      <c r="L102" s="3"/>
      <c r="M102" s="36" t="s">
        <v>1258</v>
      </c>
      <c r="N102" s="36"/>
      <c r="O102" s="36"/>
      <c r="P102" s="36"/>
      <c r="Q102" s="36" t="s">
        <v>149</v>
      </c>
      <c r="R102" s="150">
        <v>45687</v>
      </c>
      <c r="S102" s="36" t="s">
        <v>50</v>
      </c>
      <c r="T102" s="47" t="s">
        <v>275</v>
      </c>
      <c r="U102" s="146" t="s">
        <v>275</v>
      </c>
      <c r="V102"/>
    </row>
    <row r="103" spans="1:22" ht="45" x14ac:dyDescent="0.25">
      <c r="A103" s="47"/>
      <c r="B103" s="108" t="s">
        <v>23</v>
      </c>
      <c r="C103" s="47" t="s">
        <v>275</v>
      </c>
      <c r="D103" s="3" t="s">
        <v>8</v>
      </c>
      <c r="E103" s="3" t="s">
        <v>551</v>
      </c>
      <c r="F103" s="3" t="s">
        <v>3069</v>
      </c>
      <c r="G103" s="3" t="s">
        <v>550</v>
      </c>
      <c r="H103" s="3"/>
      <c r="I103" s="3"/>
      <c r="J103" s="3"/>
      <c r="K103" s="3"/>
      <c r="L103" s="3"/>
      <c r="M103" s="36" t="s">
        <v>1258</v>
      </c>
      <c r="N103" s="36"/>
      <c r="O103" s="36"/>
      <c r="P103" s="36"/>
      <c r="Q103" s="36" t="s">
        <v>1037</v>
      </c>
      <c r="R103" s="150">
        <v>45687</v>
      </c>
      <c r="S103" s="36" t="s">
        <v>102</v>
      </c>
      <c r="T103" s="47" t="s">
        <v>275</v>
      </c>
      <c r="U103" s="146" t="s">
        <v>275</v>
      </c>
      <c r="V103"/>
    </row>
    <row r="104" spans="1:22" ht="30" x14ac:dyDescent="0.25">
      <c r="A104" s="47"/>
      <c r="B104" s="108" t="s">
        <v>23</v>
      </c>
      <c r="C104" s="47" t="s">
        <v>275</v>
      </c>
      <c r="D104" s="3" t="s">
        <v>8</v>
      </c>
      <c r="E104" s="3" t="s">
        <v>535</v>
      </c>
      <c r="F104" s="3" t="s">
        <v>3067</v>
      </c>
      <c r="G104" s="3" t="s">
        <v>534</v>
      </c>
      <c r="H104" s="3"/>
      <c r="I104" s="3"/>
      <c r="J104" s="3"/>
      <c r="K104" s="3"/>
      <c r="L104" s="3"/>
      <c r="M104" s="36" t="s">
        <v>1258</v>
      </c>
      <c r="N104" s="36"/>
      <c r="O104" s="36"/>
      <c r="P104" s="36"/>
      <c r="Q104" s="36" t="s">
        <v>576</v>
      </c>
      <c r="R104" s="150">
        <v>45687</v>
      </c>
      <c r="S104" s="36" t="s">
        <v>102</v>
      </c>
      <c r="T104" s="47" t="s">
        <v>275</v>
      </c>
      <c r="U104" s="146" t="s">
        <v>275</v>
      </c>
      <c r="V104"/>
    </row>
    <row r="105" spans="1:22" x14ac:dyDescent="0.25">
      <c r="A105" s="47"/>
      <c r="B105" s="108" t="s">
        <v>23</v>
      </c>
      <c r="C105" s="47" t="s">
        <v>275</v>
      </c>
      <c r="D105" s="3" t="s">
        <v>8</v>
      </c>
      <c r="E105" s="3" t="s">
        <v>575</v>
      </c>
      <c r="F105" s="3" t="s">
        <v>3070</v>
      </c>
      <c r="G105" s="3" t="s">
        <v>572</v>
      </c>
      <c r="H105" s="3"/>
      <c r="I105" s="3"/>
      <c r="J105" s="3"/>
      <c r="K105" s="3"/>
      <c r="L105" s="3"/>
      <c r="M105" s="36" t="s">
        <v>1258</v>
      </c>
      <c r="N105" s="36"/>
      <c r="O105" s="36"/>
      <c r="P105" s="36"/>
      <c r="Q105" s="36" t="s">
        <v>573</v>
      </c>
      <c r="R105" s="150">
        <v>45686</v>
      </c>
      <c r="S105" s="36" t="s">
        <v>554</v>
      </c>
      <c r="T105" s="47" t="s">
        <v>275</v>
      </c>
      <c r="U105" s="146" t="s">
        <v>275</v>
      </c>
      <c r="V105"/>
    </row>
    <row r="106" spans="1:22" ht="30" x14ac:dyDescent="0.25">
      <c r="A106" s="47"/>
      <c r="B106" s="108" t="s">
        <v>23</v>
      </c>
      <c r="C106" s="47" t="s">
        <v>275</v>
      </c>
      <c r="D106" s="3" t="s">
        <v>8</v>
      </c>
      <c r="E106" s="3" t="s">
        <v>505</v>
      </c>
      <c r="F106" s="3" t="s">
        <v>3070</v>
      </c>
      <c r="G106" s="3" t="s">
        <v>504</v>
      </c>
      <c r="H106" s="3"/>
      <c r="I106" s="3"/>
      <c r="J106" s="3"/>
      <c r="K106" s="3"/>
      <c r="L106" s="3"/>
      <c r="M106" s="36" t="s">
        <v>1258</v>
      </c>
      <c r="N106" s="36"/>
      <c r="O106" s="36"/>
      <c r="P106" s="36"/>
      <c r="Q106" s="36" t="s">
        <v>555</v>
      </c>
      <c r="R106" s="150">
        <v>45685</v>
      </c>
      <c r="S106" s="36" t="s">
        <v>203</v>
      </c>
      <c r="T106" s="47" t="s">
        <v>275</v>
      </c>
      <c r="U106" s="146" t="s">
        <v>275</v>
      </c>
      <c r="V106"/>
    </row>
    <row r="107" spans="1:22" ht="30" x14ac:dyDescent="0.25">
      <c r="A107" s="109"/>
      <c r="B107" s="109" t="s">
        <v>23</v>
      </c>
      <c r="C107" s="109" t="s">
        <v>275</v>
      </c>
      <c r="D107" s="109" t="s">
        <v>8</v>
      </c>
      <c r="E107" s="109" t="s">
        <v>350</v>
      </c>
      <c r="F107" s="109" t="s">
        <v>3069</v>
      </c>
      <c r="G107" s="109" t="s">
        <v>418</v>
      </c>
      <c r="H107" s="109"/>
      <c r="I107" s="109"/>
      <c r="J107" s="109"/>
      <c r="K107" s="109"/>
      <c r="L107" s="109"/>
      <c r="M107" s="109" t="s">
        <v>1258</v>
      </c>
      <c r="N107" s="109"/>
      <c r="O107" s="109"/>
      <c r="P107" s="109"/>
      <c r="Q107" s="109" t="s">
        <v>423</v>
      </c>
      <c r="R107" s="117"/>
      <c r="S107" s="109" t="s">
        <v>554</v>
      </c>
      <c r="T107" s="109" t="s">
        <v>275</v>
      </c>
      <c r="U107" s="109" t="s">
        <v>275</v>
      </c>
      <c r="V107"/>
    </row>
    <row r="108" spans="1:22" x14ac:dyDescent="0.25">
      <c r="A108" s="47"/>
      <c r="B108" s="108" t="s">
        <v>23</v>
      </c>
      <c r="C108" s="47" t="s">
        <v>275</v>
      </c>
      <c r="D108" s="3" t="s">
        <v>8</v>
      </c>
      <c r="E108" s="3" t="s">
        <v>540</v>
      </c>
      <c r="F108" s="3" t="s">
        <v>3070</v>
      </c>
      <c r="G108" s="3" t="s">
        <v>533</v>
      </c>
      <c r="H108" s="3"/>
      <c r="I108" s="3"/>
      <c r="J108" s="3"/>
      <c r="K108" s="3"/>
      <c r="L108" s="3"/>
      <c r="M108" s="36" t="s">
        <v>1258</v>
      </c>
      <c r="N108" s="36"/>
      <c r="O108" s="36"/>
      <c r="P108" s="36"/>
      <c r="Q108" s="36" t="s">
        <v>542</v>
      </c>
      <c r="R108" s="150">
        <v>45684</v>
      </c>
      <c r="S108" s="36" t="s">
        <v>211</v>
      </c>
      <c r="T108" s="47" t="s">
        <v>275</v>
      </c>
      <c r="U108" s="146" t="s">
        <v>275</v>
      </c>
      <c r="V108"/>
    </row>
    <row r="109" spans="1:22" ht="45" x14ac:dyDescent="0.25">
      <c r="A109" s="47"/>
      <c r="B109" s="108" t="s">
        <v>23</v>
      </c>
      <c r="C109" s="47" t="s">
        <v>275</v>
      </c>
      <c r="D109" s="3" t="s">
        <v>8</v>
      </c>
      <c r="E109" s="3" t="s">
        <v>491</v>
      </c>
      <c r="F109" s="3" t="s">
        <v>3066</v>
      </c>
      <c r="G109" s="3" t="s">
        <v>484</v>
      </c>
      <c r="H109" s="3"/>
      <c r="I109" s="3"/>
      <c r="J109" s="3"/>
      <c r="K109" s="3"/>
      <c r="L109" s="3"/>
      <c r="M109" s="36" t="s">
        <v>1258</v>
      </c>
      <c r="N109" s="36"/>
      <c r="O109" s="36"/>
      <c r="P109" s="36"/>
      <c r="Q109" s="36" t="s">
        <v>543</v>
      </c>
      <c r="R109" s="150"/>
      <c r="S109" s="36"/>
      <c r="T109" s="47" t="s">
        <v>275</v>
      </c>
      <c r="U109" s="146" t="s">
        <v>275</v>
      </c>
      <c r="V109"/>
    </row>
    <row r="110" spans="1:22" ht="30" x14ac:dyDescent="0.25">
      <c r="A110" s="47"/>
      <c r="B110" s="108" t="s">
        <v>23</v>
      </c>
      <c r="C110" s="47" t="s">
        <v>275</v>
      </c>
      <c r="D110" s="3" t="s">
        <v>8</v>
      </c>
      <c r="E110" s="3" t="s">
        <v>434</v>
      </c>
      <c r="F110" s="3" t="s">
        <v>3069</v>
      </c>
      <c r="G110" s="3" t="s">
        <v>428</v>
      </c>
      <c r="H110" s="3"/>
      <c r="I110" s="3"/>
      <c r="J110" s="3"/>
      <c r="K110" s="3"/>
      <c r="L110" s="3"/>
      <c r="M110" s="36" t="s">
        <v>1258</v>
      </c>
      <c r="N110" s="36"/>
      <c r="O110" s="36"/>
      <c r="P110" s="36"/>
      <c r="Q110" s="36" t="s">
        <v>476</v>
      </c>
      <c r="R110" s="150">
        <v>45678</v>
      </c>
      <c r="S110" s="36" t="s">
        <v>211</v>
      </c>
      <c r="T110" s="47" t="s">
        <v>275</v>
      </c>
      <c r="U110" s="146" t="s">
        <v>275</v>
      </c>
      <c r="V110"/>
    </row>
    <row r="111" spans="1:22" ht="30" x14ac:dyDescent="0.25">
      <c r="A111" s="47"/>
      <c r="B111" s="108" t="s">
        <v>23</v>
      </c>
      <c r="C111" s="47" t="s">
        <v>275</v>
      </c>
      <c r="D111" s="3" t="s">
        <v>8</v>
      </c>
      <c r="E111" s="3" t="s">
        <v>435</v>
      </c>
      <c r="F111" s="3" t="s">
        <v>3069</v>
      </c>
      <c r="G111" s="3" t="s">
        <v>427</v>
      </c>
      <c r="H111" s="3"/>
      <c r="I111" s="3"/>
      <c r="J111" s="3"/>
      <c r="K111" s="3"/>
      <c r="L111" s="3"/>
      <c r="M111" s="36" t="s">
        <v>1258</v>
      </c>
      <c r="N111" s="36"/>
      <c r="O111" s="36"/>
      <c r="P111" s="36"/>
      <c r="Q111" s="36" t="s">
        <v>475</v>
      </c>
      <c r="R111" s="150">
        <v>45678</v>
      </c>
      <c r="S111" s="36" t="s">
        <v>211</v>
      </c>
      <c r="T111" s="47" t="s">
        <v>275</v>
      </c>
      <c r="U111" s="146" t="s">
        <v>275</v>
      </c>
      <c r="V111"/>
    </row>
    <row r="112" spans="1:22" ht="30" x14ac:dyDescent="0.25">
      <c r="A112" s="47"/>
      <c r="B112" s="108" t="s">
        <v>23</v>
      </c>
      <c r="C112" s="47" t="s">
        <v>275</v>
      </c>
      <c r="D112" s="3" t="s">
        <v>8</v>
      </c>
      <c r="E112" s="3" t="s">
        <v>430</v>
      </c>
      <c r="F112" s="3" t="s">
        <v>3069</v>
      </c>
      <c r="G112" s="3" t="s">
        <v>425</v>
      </c>
      <c r="H112" s="3"/>
      <c r="I112" s="3"/>
      <c r="J112" s="3"/>
      <c r="K112" s="3"/>
      <c r="L112" s="3"/>
      <c r="M112" s="36" t="s">
        <v>1258</v>
      </c>
      <c r="N112" s="36"/>
      <c r="O112" s="36"/>
      <c r="P112" s="36"/>
      <c r="Q112" s="36" t="s">
        <v>455</v>
      </c>
      <c r="R112" s="150">
        <v>45677</v>
      </c>
      <c r="S112" s="36" t="s">
        <v>203</v>
      </c>
      <c r="T112" s="47" t="s">
        <v>275</v>
      </c>
      <c r="U112" s="146" t="s">
        <v>275</v>
      </c>
      <c r="V112"/>
    </row>
    <row r="113" spans="1:22" ht="30" x14ac:dyDescent="0.25">
      <c r="A113" s="47"/>
      <c r="B113" s="108" t="s">
        <v>23</v>
      </c>
      <c r="C113" s="47" t="s">
        <v>275</v>
      </c>
      <c r="D113" s="3" t="s">
        <v>8</v>
      </c>
      <c r="E113" s="3" t="s">
        <v>431</v>
      </c>
      <c r="F113" s="3" t="s">
        <v>3069</v>
      </c>
      <c r="G113" s="3" t="s">
        <v>424</v>
      </c>
      <c r="H113" s="3"/>
      <c r="I113" s="3"/>
      <c r="J113" s="3"/>
      <c r="K113" s="3"/>
      <c r="L113" s="3"/>
      <c r="M113" s="36" t="s">
        <v>1258</v>
      </c>
      <c r="N113" s="36"/>
      <c r="O113" s="36"/>
      <c r="P113" s="36"/>
      <c r="Q113" s="36" t="s">
        <v>454</v>
      </c>
      <c r="R113" s="150">
        <v>45677</v>
      </c>
      <c r="S113" s="36" t="s">
        <v>203</v>
      </c>
      <c r="T113" s="47" t="s">
        <v>275</v>
      </c>
      <c r="U113" s="146" t="s">
        <v>275</v>
      </c>
      <c r="V113"/>
    </row>
    <row r="114" spans="1:22" ht="30" x14ac:dyDescent="0.25">
      <c r="A114" s="47"/>
      <c r="B114" s="108" t="s">
        <v>23</v>
      </c>
      <c r="C114" s="47" t="s">
        <v>275</v>
      </c>
      <c r="D114" s="3" t="s">
        <v>8</v>
      </c>
      <c r="E114" s="3" t="s">
        <v>451</v>
      </c>
      <c r="F114" s="3" t="s">
        <v>3068</v>
      </c>
      <c r="G114" s="3" t="s">
        <v>447</v>
      </c>
      <c r="H114" s="3"/>
      <c r="I114" s="3"/>
      <c r="J114" s="3"/>
      <c r="K114" s="3"/>
      <c r="L114" s="3"/>
      <c r="M114" s="36" t="s">
        <v>1258</v>
      </c>
      <c r="N114" s="36"/>
      <c r="O114" s="36"/>
      <c r="P114" s="36"/>
      <c r="Q114" s="36" t="s">
        <v>470</v>
      </c>
      <c r="R114" s="150">
        <v>45677</v>
      </c>
      <c r="S114" s="36" t="s">
        <v>50</v>
      </c>
      <c r="T114" s="47" t="s">
        <v>275</v>
      </c>
      <c r="U114" s="146" t="s">
        <v>275</v>
      </c>
      <c r="V114"/>
    </row>
    <row r="115" spans="1:22" ht="30" x14ac:dyDescent="0.25">
      <c r="A115" s="47"/>
      <c r="B115" s="108" t="s">
        <v>23</v>
      </c>
      <c r="C115" s="47" t="s">
        <v>275</v>
      </c>
      <c r="D115" s="3" t="s">
        <v>8</v>
      </c>
      <c r="E115" s="3" t="s">
        <v>349</v>
      </c>
      <c r="F115" s="3" t="s">
        <v>3070</v>
      </c>
      <c r="G115" s="3" t="s">
        <v>280</v>
      </c>
      <c r="H115" s="3"/>
      <c r="I115" s="3"/>
      <c r="J115" s="3"/>
      <c r="K115" s="3"/>
      <c r="L115" s="3"/>
      <c r="M115" s="36" t="s">
        <v>1258</v>
      </c>
      <c r="N115" s="36"/>
      <c r="O115" s="36"/>
      <c r="P115" s="36"/>
      <c r="Q115" s="36" t="s">
        <v>422</v>
      </c>
      <c r="R115" s="150">
        <v>45656</v>
      </c>
      <c r="S115" s="36" t="s">
        <v>203</v>
      </c>
      <c r="T115" s="47" t="s">
        <v>275</v>
      </c>
      <c r="U115" s="146" t="s">
        <v>275</v>
      </c>
      <c r="V115"/>
    </row>
    <row r="116" spans="1:22" ht="30" x14ac:dyDescent="0.25">
      <c r="A116" s="47"/>
      <c r="B116" s="108" t="s">
        <v>23</v>
      </c>
      <c r="C116" s="47" t="s">
        <v>275</v>
      </c>
      <c r="D116" s="3" t="s">
        <v>8</v>
      </c>
      <c r="E116" s="3" t="s">
        <v>345</v>
      </c>
      <c r="F116" s="3" t="s">
        <v>3066</v>
      </c>
      <c r="G116" s="3" t="s">
        <v>343</v>
      </c>
      <c r="H116" s="3"/>
      <c r="I116" s="3"/>
      <c r="J116" s="3"/>
      <c r="K116" s="3"/>
      <c r="L116" s="3"/>
      <c r="M116" s="36" t="s">
        <v>1258</v>
      </c>
      <c r="N116" s="36"/>
      <c r="O116" s="36"/>
      <c r="P116" s="36"/>
      <c r="Q116" s="36" t="s">
        <v>344</v>
      </c>
      <c r="R116" s="150">
        <v>45672</v>
      </c>
      <c r="S116" s="36" t="s">
        <v>342</v>
      </c>
      <c r="T116" s="47" t="s">
        <v>275</v>
      </c>
      <c r="U116" s="146" t="s">
        <v>275</v>
      </c>
      <c r="V116"/>
    </row>
    <row r="117" spans="1:22" ht="45" x14ac:dyDescent="0.25">
      <c r="A117" s="47"/>
      <c r="B117" s="108" t="s">
        <v>23</v>
      </c>
      <c r="C117" s="47" t="s">
        <v>275</v>
      </c>
      <c r="D117" s="3" t="s">
        <v>8</v>
      </c>
      <c r="E117" s="3" t="s">
        <v>346</v>
      </c>
      <c r="F117" s="3" t="s">
        <v>3070</v>
      </c>
      <c r="G117" s="3" t="s">
        <v>338</v>
      </c>
      <c r="H117" s="3"/>
      <c r="I117" s="3"/>
      <c r="J117" s="3"/>
      <c r="K117" s="3"/>
      <c r="L117" s="3"/>
      <c r="M117" s="36" t="s">
        <v>1258</v>
      </c>
      <c r="N117" s="36"/>
      <c r="O117" s="36"/>
      <c r="P117" s="36"/>
      <c r="Q117" s="36" t="s">
        <v>339</v>
      </c>
      <c r="R117" s="150">
        <v>45672</v>
      </c>
      <c r="S117" s="36" t="s">
        <v>341</v>
      </c>
      <c r="T117" s="47" t="s">
        <v>275</v>
      </c>
      <c r="U117" s="146" t="s">
        <v>275</v>
      </c>
      <c r="V117"/>
    </row>
    <row r="118" spans="1:22" ht="30" x14ac:dyDescent="0.25">
      <c r="A118" s="109"/>
      <c r="B118" s="109" t="s">
        <v>23</v>
      </c>
      <c r="C118" s="109" t="s">
        <v>275</v>
      </c>
      <c r="D118" s="109" t="s">
        <v>8</v>
      </c>
      <c r="E118" s="109" t="s">
        <v>347</v>
      </c>
      <c r="F118" s="109" t="s">
        <v>3070</v>
      </c>
      <c r="G118" s="109" t="s">
        <v>337</v>
      </c>
      <c r="H118" s="109"/>
      <c r="I118" s="109"/>
      <c r="J118" s="109"/>
      <c r="K118" s="109"/>
      <c r="L118" s="109"/>
      <c r="M118" s="110" t="s">
        <v>1258</v>
      </c>
      <c r="N118" s="110"/>
      <c r="O118" s="110"/>
      <c r="P118" s="110"/>
      <c r="Q118" s="110" t="s">
        <v>352</v>
      </c>
      <c r="R118" s="117">
        <v>45672</v>
      </c>
      <c r="S118" s="110" t="s">
        <v>341</v>
      </c>
      <c r="T118" s="109" t="s">
        <v>275</v>
      </c>
      <c r="U118" s="138" t="s">
        <v>275</v>
      </c>
      <c r="V118"/>
    </row>
    <row r="119" spans="1:22" ht="45" x14ac:dyDescent="0.25">
      <c r="A119" s="109"/>
      <c r="B119" s="109" t="s">
        <v>23</v>
      </c>
      <c r="C119" s="109" t="s">
        <v>275</v>
      </c>
      <c r="D119" s="109" t="s">
        <v>8</v>
      </c>
      <c r="E119" s="109" t="s">
        <v>348</v>
      </c>
      <c r="F119" s="109" t="s">
        <v>3070</v>
      </c>
      <c r="G119" s="109" t="s">
        <v>336</v>
      </c>
      <c r="H119" s="109"/>
      <c r="I119" s="109"/>
      <c r="J119" s="109"/>
      <c r="K119" s="109"/>
      <c r="L119" s="109"/>
      <c r="M119" s="109" t="s">
        <v>1258</v>
      </c>
      <c r="N119" s="109"/>
      <c r="O119" s="109"/>
      <c r="P119" s="109"/>
      <c r="Q119" s="109" t="s">
        <v>340</v>
      </c>
      <c r="R119" s="117">
        <v>45672</v>
      </c>
      <c r="S119" s="109" t="s">
        <v>342</v>
      </c>
      <c r="T119" s="109" t="s">
        <v>275</v>
      </c>
      <c r="U119" s="109" t="s">
        <v>275</v>
      </c>
      <c r="V119"/>
    </row>
    <row r="120" spans="1:22" ht="30" x14ac:dyDescent="0.25">
      <c r="A120" s="47"/>
      <c r="B120" s="108" t="s">
        <v>23</v>
      </c>
      <c r="C120" s="47" t="s">
        <v>275</v>
      </c>
      <c r="D120" s="3" t="s">
        <v>8</v>
      </c>
      <c r="E120" s="3" t="s">
        <v>99</v>
      </c>
      <c r="F120" s="3" t="s">
        <v>3070</v>
      </c>
      <c r="G120" s="3" t="s">
        <v>316</v>
      </c>
      <c r="H120" s="3"/>
      <c r="I120" s="3"/>
      <c r="J120" s="3"/>
      <c r="K120" s="3"/>
      <c r="L120" s="3"/>
      <c r="M120" s="36" t="s">
        <v>1258</v>
      </c>
      <c r="N120" s="36"/>
      <c r="O120" s="36"/>
      <c r="P120" s="36"/>
      <c r="Q120" s="36" t="s">
        <v>353</v>
      </c>
      <c r="R120" s="150">
        <v>45671</v>
      </c>
      <c r="S120" s="36" t="s">
        <v>436</v>
      </c>
      <c r="T120" s="47" t="s">
        <v>275</v>
      </c>
      <c r="U120" s="146" t="s">
        <v>2282</v>
      </c>
      <c r="V120"/>
    </row>
    <row r="121" spans="1:22" x14ac:dyDescent="0.25">
      <c r="A121" s="47"/>
      <c r="B121" s="108" t="s">
        <v>23</v>
      </c>
      <c r="C121" s="47" t="s">
        <v>275</v>
      </c>
      <c r="D121" s="3" t="s">
        <v>8</v>
      </c>
      <c r="E121" s="3" t="s">
        <v>395</v>
      </c>
      <c r="F121" s="3" t="s">
        <v>3070</v>
      </c>
      <c r="G121" s="3" t="s">
        <v>281</v>
      </c>
      <c r="H121" s="3"/>
      <c r="I121" s="3"/>
      <c r="J121" s="3"/>
      <c r="K121" s="3"/>
      <c r="L121" s="3"/>
      <c r="M121" s="36" t="s">
        <v>1258</v>
      </c>
      <c r="N121" s="36"/>
      <c r="O121" s="36"/>
      <c r="P121" s="36"/>
      <c r="Q121" s="36"/>
      <c r="R121" s="150">
        <v>45656</v>
      </c>
      <c r="S121" s="36" t="s">
        <v>203</v>
      </c>
      <c r="T121" s="47" t="s">
        <v>275</v>
      </c>
      <c r="U121" s="146" t="s">
        <v>275</v>
      </c>
      <c r="V121"/>
    </row>
    <row r="122" spans="1:22" ht="30" x14ac:dyDescent="0.25">
      <c r="A122" s="109"/>
      <c r="B122" s="109" t="s">
        <v>23</v>
      </c>
      <c r="C122" s="109" t="s">
        <v>275</v>
      </c>
      <c r="D122" s="109" t="s">
        <v>8</v>
      </c>
      <c r="E122" s="109" t="s">
        <v>258</v>
      </c>
      <c r="F122" s="109" t="s">
        <v>3066</v>
      </c>
      <c r="G122" s="109" t="s">
        <v>264</v>
      </c>
      <c r="H122" s="109"/>
      <c r="I122" s="109"/>
      <c r="J122" s="109"/>
      <c r="K122" s="109"/>
      <c r="L122" s="109"/>
      <c r="M122" s="109" t="s">
        <v>1258</v>
      </c>
      <c r="N122" s="109"/>
      <c r="O122" s="109"/>
      <c r="P122" s="109"/>
      <c r="Q122" s="109"/>
      <c r="R122" s="117">
        <v>45649</v>
      </c>
      <c r="S122" s="109" t="s">
        <v>206</v>
      </c>
      <c r="T122" s="109" t="s">
        <v>275</v>
      </c>
      <c r="U122" s="109" t="s">
        <v>275</v>
      </c>
      <c r="V122"/>
    </row>
    <row r="123" spans="1:22" x14ac:dyDescent="0.25">
      <c r="A123" s="47"/>
      <c r="B123" s="108" t="s">
        <v>23</v>
      </c>
      <c r="C123" s="47" t="s">
        <v>275</v>
      </c>
      <c r="D123" s="3" t="s">
        <v>8</v>
      </c>
      <c r="E123" s="3" t="s">
        <v>253</v>
      </c>
      <c r="F123" s="3" t="s">
        <v>3070</v>
      </c>
      <c r="G123" s="3" t="s">
        <v>254</v>
      </c>
      <c r="H123" s="3"/>
      <c r="I123" s="3"/>
      <c r="J123" s="3"/>
      <c r="K123" s="3"/>
      <c r="L123" s="3"/>
      <c r="M123" s="36" t="s">
        <v>1258</v>
      </c>
      <c r="N123" s="36"/>
      <c r="O123" s="36"/>
      <c r="P123" s="36"/>
      <c r="Q123" s="36"/>
      <c r="R123" s="150">
        <v>45646</v>
      </c>
      <c r="S123" s="36" t="s">
        <v>203</v>
      </c>
      <c r="T123" s="47" t="s">
        <v>275</v>
      </c>
      <c r="U123" s="146" t="s">
        <v>275</v>
      </c>
      <c r="V123"/>
    </row>
    <row r="124" spans="1:22" x14ac:dyDescent="0.25">
      <c r="A124" s="47"/>
      <c r="B124" s="108" t="s">
        <v>23</v>
      </c>
      <c r="C124" s="47" t="s">
        <v>275</v>
      </c>
      <c r="D124" s="3" t="s">
        <v>8</v>
      </c>
      <c r="E124" s="3" t="s">
        <v>252</v>
      </c>
      <c r="F124" s="3" t="s">
        <v>3070</v>
      </c>
      <c r="G124" s="3" t="s">
        <v>255</v>
      </c>
      <c r="H124" s="3"/>
      <c r="I124" s="3"/>
      <c r="J124" s="3"/>
      <c r="K124" s="3"/>
      <c r="L124" s="3"/>
      <c r="M124" s="36" t="s">
        <v>1258</v>
      </c>
      <c r="N124" s="36"/>
      <c r="O124" s="36"/>
      <c r="P124" s="36"/>
      <c r="Q124" s="36"/>
      <c r="R124" s="150">
        <v>45646</v>
      </c>
      <c r="S124" s="36" t="s">
        <v>203</v>
      </c>
      <c r="T124" s="47" t="s">
        <v>275</v>
      </c>
      <c r="U124" s="146" t="s">
        <v>275</v>
      </c>
      <c r="V124"/>
    </row>
    <row r="125" spans="1:22" x14ac:dyDescent="0.25">
      <c r="A125" s="47"/>
      <c r="B125" s="108" t="s">
        <v>23</v>
      </c>
      <c r="C125" s="47" t="s">
        <v>275</v>
      </c>
      <c r="D125" s="3" t="s">
        <v>8</v>
      </c>
      <c r="E125" s="3" t="s">
        <v>21</v>
      </c>
      <c r="F125" s="3" t="s">
        <v>3068</v>
      </c>
      <c r="G125" s="3" t="s">
        <v>22</v>
      </c>
      <c r="H125" s="3"/>
      <c r="I125" s="3"/>
      <c r="J125" s="3"/>
      <c r="K125" s="3"/>
      <c r="L125" s="3"/>
      <c r="M125" s="36" t="s">
        <v>1258</v>
      </c>
      <c r="N125" s="36"/>
      <c r="O125" s="36"/>
      <c r="P125" s="36"/>
      <c r="Q125" s="36"/>
      <c r="R125" s="150"/>
      <c r="S125" s="36"/>
      <c r="T125" s="47" t="s">
        <v>275</v>
      </c>
      <c r="U125" s="146" t="s">
        <v>275</v>
      </c>
      <c r="V125"/>
    </row>
    <row r="126" spans="1:22" x14ac:dyDescent="0.25">
      <c r="A126" s="47"/>
      <c r="B126" s="108" t="s">
        <v>23</v>
      </c>
      <c r="C126" s="47" t="s">
        <v>275</v>
      </c>
      <c r="D126" s="3" t="s">
        <v>8</v>
      </c>
      <c r="E126" s="3" t="s">
        <v>24</v>
      </c>
      <c r="F126" s="3" t="s">
        <v>3066</v>
      </c>
      <c r="G126" s="3" t="s">
        <v>25</v>
      </c>
      <c r="H126" s="3"/>
      <c r="I126" s="3"/>
      <c r="J126" s="3"/>
      <c r="K126" s="3"/>
      <c r="L126" s="3"/>
      <c r="M126" s="36" t="s">
        <v>1258</v>
      </c>
      <c r="N126" s="36"/>
      <c r="O126" s="36"/>
      <c r="P126" s="36"/>
      <c r="Q126" s="36"/>
      <c r="R126" s="150"/>
      <c r="S126" s="36"/>
      <c r="T126" s="47" t="s">
        <v>275</v>
      </c>
      <c r="U126" s="146" t="s">
        <v>275</v>
      </c>
      <c r="V126"/>
    </row>
    <row r="127" spans="1:22" ht="30" x14ac:dyDescent="0.25">
      <c r="A127" s="47"/>
      <c r="B127" s="108" t="s">
        <v>23</v>
      </c>
      <c r="C127" s="47" t="s">
        <v>275</v>
      </c>
      <c r="D127" s="3" t="s">
        <v>8</v>
      </c>
      <c r="E127" s="3" t="s">
        <v>16</v>
      </c>
      <c r="F127" s="3" t="s">
        <v>3067</v>
      </c>
      <c r="G127" s="3" t="s">
        <v>17</v>
      </c>
      <c r="H127" s="3"/>
      <c r="I127" s="3"/>
      <c r="J127" s="3"/>
      <c r="K127" s="3"/>
      <c r="L127" s="3"/>
      <c r="M127" s="36" t="s">
        <v>1258</v>
      </c>
      <c r="N127" s="36"/>
      <c r="O127" s="36"/>
      <c r="P127" s="36"/>
      <c r="Q127" s="36"/>
      <c r="R127" s="150">
        <v>45609</v>
      </c>
      <c r="S127" s="36" t="s">
        <v>11</v>
      </c>
      <c r="T127" s="47" t="s">
        <v>275</v>
      </c>
      <c r="U127" s="146" t="s">
        <v>275</v>
      </c>
      <c r="V127"/>
    </row>
    <row r="128" spans="1:22" ht="30" x14ac:dyDescent="0.25">
      <c r="A128" s="109"/>
      <c r="B128" s="109" t="s">
        <v>23</v>
      </c>
      <c r="C128" s="109" t="s">
        <v>275</v>
      </c>
      <c r="D128" s="109" t="s">
        <v>8</v>
      </c>
      <c r="E128" s="109" t="s">
        <v>19</v>
      </c>
      <c r="F128" s="109" t="s">
        <v>3067</v>
      </c>
      <c r="G128" s="109" t="s">
        <v>20</v>
      </c>
      <c r="H128" s="109"/>
      <c r="I128" s="109"/>
      <c r="J128" s="109"/>
      <c r="K128" s="109"/>
      <c r="L128" s="109"/>
      <c r="M128" s="110" t="s">
        <v>1258</v>
      </c>
      <c r="N128" s="110"/>
      <c r="O128" s="110"/>
      <c r="P128" s="110"/>
      <c r="Q128" s="110"/>
      <c r="R128" s="117">
        <v>45609</v>
      </c>
      <c r="S128" s="110" t="s">
        <v>11</v>
      </c>
      <c r="T128" s="109" t="s">
        <v>275</v>
      </c>
      <c r="U128" s="138" t="s">
        <v>275</v>
      </c>
      <c r="V128"/>
    </row>
    <row r="129" spans="1:22" ht="30" x14ac:dyDescent="0.25">
      <c r="A129" s="109"/>
      <c r="B129" s="109" t="s">
        <v>23</v>
      </c>
      <c r="C129" s="109" t="s">
        <v>275</v>
      </c>
      <c r="D129" s="109" t="s">
        <v>8</v>
      </c>
      <c r="E129" s="109" t="s">
        <v>26</v>
      </c>
      <c r="F129" s="109" t="s">
        <v>3068</v>
      </c>
      <c r="G129" s="109" t="s">
        <v>27</v>
      </c>
      <c r="H129" s="109"/>
      <c r="I129" s="109"/>
      <c r="J129" s="109"/>
      <c r="K129" s="109"/>
      <c r="L129" s="109"/>
      <c r="M129" s="109" t="s">
        <v>1258</v>
      </c>
      <c r="N129" s="109"/>
      <c r="O129" s="109"/>
      <c r="P129" s="109"/>
      <c r="Q129" s="109"/>
      <c r="R129" s="117"/>
      <c r="S129" s="109"/>
      <c r="T129" s="109" t="s">
        <v>275</v>
      </c>
      <c r="U129" s="109" t="s">
        <v>275</v>
      </c>
      <c r="V129"/>
    </row>
    <row r="130" spans="1:22" ht="30" x14ac:dyDescent="0.25">
      <c r="A130" s="47"/>
      <c r="B130" s="108" t="s">
        <v>23</v>
      </c>
      <c r="C130" s="47" t="s">
        <v>275</v>
      </c>
      <c r="D130" s="3" t="s">
        <v>8</v>
      </c>
      <c r="E130" s="3" t="s">
        <v>28</v>
      </c>
      <c r="F130" s="3" t="s">
        <v>3070</v>
      </c>
      <c r="G130" s="3" t="s">
        <v>29</v>
      </c>
      <c r="H130" s="3"/>
      <c r="I130" s="3"/>
      <c r="J130" s="3"/>
      <c r="K130" s="3"/>
      <c r="L130" s="3"/>
      <c r="M130" s="36" t="s">
        <v>1258</v>
      </c>
      <c r="N130" s="36"/>
      <c r="O130" s="36"/>
      <c r="P130" s="36"/>
      <c r="Q130" s="36"/>
      <c r="R130" s="150"/>
      <c r="S130" s="36"/>
      <c r="T130" s="47" t="s">
        <v>275</v>
      </c>
      <c r="U130" s="146" t="s">
        <v>275</v>
      </c>
      <c r="V130"/>
    </row>
    <row r="131" spans="1:22" x14ac:dyDescent="0.25">
      <c r="A131" s="47"/>
      <c r="B131" s="108" t="s">
        <v>23</v>
      </c>
      <c r="C131" s="47" t="s">
        <v>275</v>
      </c>
      <c r="D131" s="3" t="s">
        <v>8</v>
      </c>
      <c r="E131" s="3" t="s">
        <v>30</v>
      </c>
      <c r="F131" s="3" t="s">
        <v>3070</v>
      </c>
      <c r="G131" s="3" t="s">
        <v>31</v>
      </c>
      <c r="H131" s="3"/>
      <c r="I131" s="3"/>
      <c r="J131" s="3"/>
      <c r="K131" s="3"/>
      <c r="L131" s="3"/>
      <c r="M131" s="36" t="s">
        <v>1258</v>
      </c>
      <c r="N131" s="36"/>
      <c r="O131" s="36"/>
      <c r="P131" s="36"/>
      <c r="Q131" s="36"/>
      <c r="R131" s="150"/>
      <c r="S131" s="36"/>
      <c r="T131" s="47" t="s">
        <v>275</v>
      </c>
      <c r="U131" s="146" t="s">
        <v>275</v>
      </c>
      <c r="V131"/>
    </row>
    <row r="132" spans="1:22" x14ac:dyDescent="0.25">
      <c r="A132" s="47"/>
      <c r="B132" s="108" t="s">
        <v>23</v>
      </c>
      <c r="C132" s="47" t="s">
        <v>275</v>
      </c>
      <c r="D132" s="3" t="s">
        <v>8</v>
      </c>
      <c r="E132" s="3" t="s">
        <v>32</v>
      </c>
      <c r="F132" s="3" t="s">
        <v>3067</v>
      </c>
      <c r="G132" s="3" t="s">
        <v>33</v>
      </c>
      <c r="H132" s="3"/>
      <c r="I132" s="3"/>
      <c r="J132" s="3"/>
      <c r="K132" s="3"/>
      <c r="L132" s="3"/>
      <c r="M132" s="36" t="s">
        <v>1258</v>
      </c>
      <c r="N132" s="36"/>
      <c r="O132" s="36"/>
      <c r="P132" s="36"/>
      <c r="Q132" s="36"/>
      <c r="R132" s="150"/>
      <c r="S132" s="36"/>
      <c r="T132" s="47" t="s">
        <v>275</v>
      </c>
      <c r="U132" s="146" t="s">
        <v>275</v>
      </c>
      <c r="V132"/>
    </row>
    <row r="133" spans="1:22" x14ac:dyDescent="0.25">
      <c r="A133" s="47"/>
      <c r="B133" s="108" t="s">
        <v>23</v>
      </c>
      <c r="C133" s="47" t="s">
        <v>275</v>
      </c>
      <c r="D133" s="3" t="s">
        <v>8</v>
      </c>
      <c r="E133" s="3" t="s">
        <v>34</v>
      </c>
      <c r="F133" s="3" t="s">
        <v>3067</v>
      </c>
      <c r="G133" s="3" t="s">
        <v>35</v>
      </c>
      <c r="H133" s="3"/>
      <c r="I133" s="3"/>
      <c r="J133" s="3"/>
      <c r="K133" s="3"/>
      <c r="L133" s="3"/>
      <c r="M133" s="36" t="s">
        <v>1258</v>
      </c>
      <c r="N133" s="36"/>
      <c r="O133" s="36"/>
      <c r="P133" s="36"/>
      <c r="Q133" s="36"/>
      <c r="R133" s="150"/>
      <c r="S133" s="36"/>
      <c r="T133" s="47" t="s">
        <v>275</v>
      </c>
      <c r="U133" s="146" t="s">
        <v>275</v>
      </c>
      <c r="V133"/>
    </row>
    <row r="134" spans="1:22" x14ac:dyDescent="0.25">
      <c r="A134" s="47"/>
      <c r="B134" s="108" t="s">
        <v>23</v>
      </c>
      <c r="C134" s="47" t="s">
        <v>275</v>
      </c>
      <c r="D134" s="3" t="s">
        <v>8</v>
      </c>
      <c r="E134" s="3" t="s">
        <v>36</v>
      </c>
      <c r="F134" s="3" t="s">
        <v>3067</v>
      </c>
      <c r="G134" s="3" t="s">
        <v>37</v>
      </c>
      <c r="H134" s="3"/>
      <c r="I134" s="3"/>
      <c r="J134" s="3"/>
      <c r="K134" s="3"/>
      <c r="L134" s="3"/>
      <c r="M134" s="36" t="s">
        <v>1258</v>
      </c>
      <c r="N134" s="36"/>
      <c r="O134" s="36"/>
      <c r="P134" s="36"/>
      <c r="Q134" s="36"/>
      <c r="R134" s="150"/>
      <c r="S134" s="36"/>
      <c r="T134" s="47" t="s">
        <v>275</v>
      </c>
      <c r="U134" s="146" t="s">
        <v>275</v>
      </c>
      <c r="V134"/>
    </row>
    <row r="135" spans="1:22" x14ac:dyDescent="0.25">
      <c r="A135" s="47"/>
      <c r="B135" s="108" t="s">
        <v>23</v>
      </c>
      <c r="C135" s="47" t="s">
        <v>275</v>
      </c>
      <c r="D135" s="3" t="s">
        <v>8</v>
      </c>
      <c r="E135" s="3" t="s">
        <v>38</v>
      </c>
      <c r="F135" s="3" t="s">
        <v>3067</v>
      </c>
      <c r="G135" s="3" t="s">
        <v>39</v>
      </c>
      <c r="H135" s="3"/>
      <c r="I135" s="3"/>
      <c r="J135" s="3"/>
      <c r="K135" s="3"/>
      <c r="L135" s="3"/>
      <c r="M135" s="36" t="s">
        <v>1258</v>
      </c>
      <c r="N135" s="36"/>
      <c r="O135" s="36"/>
      <c r="P135" s="36"/>
      <c r="Q135" s="36"/>
      <c r="R135" s="150"/>
      <c r="S135" s="36"/>
      <c r="T135" s="47" t="s">
        <v>275</v>
      </c>
      <c r="U135" s="146" t="s">
        <v>275</v>
      </c>
      <c r="V135"/>
    </row>
    <row r="136" spans="1:22" x14ac:dyDescent="0.25">
      <c r="A136" s="47"/>
      <c r="B136" s="108" t="s">
        <v>23</v>
      </c>
      <c r="C136" s="47" t="s">
        <v>275</v>
      </c>
      <c r="D136" s="3" t="s">
        <v>8</v>
      </c>
      <c r="E136" s="3" t="s">
        <v>40</v>
      </c>
      <c r="F136" s="3" t="s">
        <v>3068</v>
      </c>
      <c r="G136" s="3" t="s">
        <v>41</v>
      </c>
      <c r="H136" s="3"/>
      <c r="I136" s="3"/>
      <c r="J136" s="3"/>
      <c r="K136" s="3"/>
      <c r="L136" s="3"/>
      <c r="M136" s="36" t="s">
        <v>1258</v>
      </c>
      <c r="N136" s="36"/>
      <c r="O136" s="36"/>
      <c r="P136" s="36"/>
      <c r="Q136" s="36"/>
      <c r="R136" s="150"/>
      <c r="S136" s="36"/>
      <c r="T136" s="47" t="s">
        <v>275</v>
      </c>
      <c r="U136" s="146" t="s">
        <v>275</v>
      </c>
      <c r="V136"/>
    </row>
    <row r="137" spans="1:22" x14ac:dyDescent="0.25">
      <c r="A137" s="47"/>
      <c r="B137" s="108" t="s">
        <v>23</v>
      </c>
      <c r="C137" s="47" t="s">
        <v>275</v>
      </c>
      <c r="D137" s="3" t="s">
        <v>8</v>
      </c>
      <c r="E137" s="3" t="s">
        <v>42</v>
      </c>
      <c r="F137" s="3" t="s">
        <v>3068</v>
      </c>
      <c r="G137" s="3" t="s">
        <v>43</v>
      </c>
      <c r="H137" s="3"/>
      <c r="I137" s="3"/>
      <c r="J137" s="3"/>
      <c r="K137" s="3"/>
      <c r="L137" s="3"/>
      <c r="M137" s="36" t="s">
        <v>1258</v>
      </c>
      <c r="N137" s="36"/>
      <c r="O137" s="36"/>
      <c r="P137" s="36"/>
      <c r="Q137" s="36"/>
      <c r="R137" s="150"/>
      <c r="S137" s="36"/>
      <c r="T137" s="47" t="s">
        <v>275</v>
      </c>
      <c r="U137" s="146" t="s">
        <v>275</v>
      </c>
      <c r="V137"/>
    </row>
    <row r="138" spans="1:22" ht="30" x14ac:dyDescent="0.25">
      <c r="A138" s="47"/>
      <c r="B138" s="108" t="s">
        <v>23</v>
      </c>
      <c r="C138" s="47" t="s">
        <v>275</v>
      </c>
      <c r="D138" s="3" t="s">
        <v>8</v>
      </c>
      <c r="E138" s="3" t="s">
        <v>44</v>
      </c>
      <c r="F138" s="3" t="s">
        <v>3070</v>
      </c>
      <c r="G138" s="3" t="s">
        <v>45</v>
      </c>
      <c r="H138" s="3"/>
      <c r="I138" s="3"/>
      <c r="J138" s="3"/>
      <c r="K138" s="3"/>
      <c r="L138" s="3"/>
      <c r="M138" s="36" t="s">
        <v>1258</v>
      </c>
      <c r="N138" s="36"/>
      <c r="O138" s="36"/>
      <c r="P138" s="36"/>
      <c r="Q138" s="36" t="s">
        <v>46</v>
      </c>
      <c r="R138" s="150"/>
      <c r="S138" s="36"/>
      <c r="T138" s="47" t="s">
        <v>275</v>
      </c>
      <c r="U138" s="146" t="s">
        <v>275</v>
      </c>
      <c r="V138"/>
    </row>
    <row r="139" spans="1:22" ht="30" x14ac:dyDescent="0.25">
      <c r="A139" s="47"/>
      <c r="B139" s="108" t="s">
        <v>23</v>
      </c>
      <c r="C139" s="47" t="s">
        <v>275</v>
      </c>
      <c r="D139" s="3" t="s">
        <v>8</v>
      </c>
      <c r="E139" s="3" t="s">
        <v>47</v>
      </c>
      <c r="F139" s="3" t="s">
        <v>3070</v>
      </c>
      <c r="G139" s="3" t="s">
        <v>48</v>
      </c>
      <c r="H139" s="3"/>
      <c r="I139" s="3"/>
      <c r="J139" s="3"/>
      <c r="K139" s="3"/>
      <c r="L139" s="3"/>
      <c r="M139" s="36" t="s">
        <v>1258</v>
      </c>
      <c r="N139" s="36"/>
      <c r="O139" s="36"/>
      <c r="P139" s="36"/>
      <c r="Q139" s="36" t="s">
        <v>49</v>
      </c>
      <c r="R139" s="150">
        <v>45602</v>
      </c>
      <c r="S139" s="36" t="s">
        <v>50</v>
      </c>
      <c r="T139" s="47" t="s">
        <v>275</v>
      </c>
      <c r="U139" s="146" t="s">
        <v>275</v>
      </c>
      <c r="V139"/>
    </row>
    <row r="140" spans="1:22" ht="30" x14ac:dyDescent="0.25">
      <c r="A140" s="47"/>
      <c r="B140" s="108" t="s">
        <v>23</v>
      </c>
      <c r="C140" s="47" t="s">
        <v>275</v>
      </c>
      <c r="D140" s="3" t="s">
        <v>8</v>
      </c>
      <c r="E140" s="3" t="s">
        <v>201</v>
      </c>
      <c r="F140" s="3" t="s">
        <v>3070</v>
      </c>
      <c r="G140" s="3" t="s">
        <v>202</v>
      </c>
      <c r="H140" s="3"/>
      <c r="I140" s="3"/>
      <c r="J140" s="3"/>
      <c r="K140" s="3"/>
      <c r="L140" s="3"/>
      <c r="M140" s="36" t="s">
        <v>1258</v>
      </c>
      <c r="N140" s="36"/>
      <c r="O140" s="36"/>
      <c r="P140" s="36"/>
      <c r="Q140" s="36"/>
      <c r="R140" s="150">
        <v>45629</v>
      </c>
      <c r="S140" s="36" t="s">
        <v>203</v>
      </c>
      <c r="T140" s="47" t="s">
        <v>275</v>
      </c>
      <c r="U140" s="146" t="s">
        <v>275</v>
      </c>
      <c r="V140"/>
    </row>
    <row r="141" spans="1:22" ht="30" x14ac:dyDescent="0.25">
      <c r="A141" s="47"/>
      <c r="B141" s="108" t="s">
        <v>23</v>
      </c>
      <c r="C141" s="47" t="s">
        <v>275</v>
      </c>
      <c r="D141" s="3" t="s">
        <v>8</v>
      </c>
      <c r="E141" s="3" t="s">
        <v>9</v>
      </c>
      <c r="F141" s="3" t="s">
        <v>3068</v>
      </c>
      <c r="G141" s="3" t="s">
        <v>10</v>
      </c>
      <c r="H141" s="3"/>
      <c r="I141" s="3"/>
      <c r="J141" s="3"/>
      <c r="K141" s="3"/>
      <c r="L141" s="3"/>
      <c r="M141" s="36" t="s">
        <v>1258</v>
      </c>
      <c r="N141" s="36"/>
      <c r="O141" s="36"/>
      <c r="P141" s="36"/>
      <c r="Q141" s="36"/>
      <c r="R141" s="150">
        <v>45622</v>
      </c>
      <c r="S141" s="36" t="s">
        <v>11</v>
      </c>
      <c r="T141" s="47" t="s">
        <v>275</v>
      </c>
      <c r="U141" s="146" t="s">
        <v>275</v>
      </c>
      <c r="V141"/>
    </row>
    <row r="142" spans="1:22" ht="30" x14ac:dyDescent="0.25">
      <c r="A142" s="47"/>
      <c r="B142" s="108" t="s">
        <v>23</v>
      </c>
      <c r="C142" s="47" t="s">
        <v>275</v>
      </c>
      <c r="D142" s="3" t="s">
        <v>8</v>
      </c>
      <c r="E142" s="3" t="s">
        <v>12</v>
      </c>
      <c r="F142" s="3" t="s">
        <v>3070</v>
      </c>
      <c r="G142" s="3" t="s">
        <v>13</v>
      </c>
      <c r="H142" s="3"/>
      <c r="I142" s="3"/>
      <c r="J142" s="3"/>
      <c r="K142" s="3"/>
      <c r="L142" s="3"/>
      <c r="M142" s="36" t="s">
        <v>1258</v>
      </c>
      <c r="N142" s="36"/>
      <c r="O142" s="36"/>
      <c r="P142" s="36"/>
      <c r="Q142" s="36"/>
      <c r="R142" s="150"/>
      <c r="S142" s="36" t="s">
        <v>11</v>
      </c>
      <c r="T142" s="47" t="s">
        <v>275</v>
      </c>
      <c r="U142" s="146" t="s">
        <v>275</v>
      </c>
      <c r="V142"/>
    </row>
    <row r="143" spans="1:22" ht="30" x14ac:dyDescent="0.25">
      <c r="A143" s="47"/>
      <c r="B143" s="108" t="s">
        <v>23</v>
      </c>
      <c r="C143" s="47" t="s">
        <v>275</v>
      </c>
      <c r="D143" s="3" t="s">
        <v>8</v>
      </c>
      <c r="E143" s="3" t="s">
        <v>14</v>
      </c>
      <c r="F143" s="3" t="s">
        <v>3070</v>
      </c>
      <c r="G143" s="3" t="s">
        <v>15</v>
      </c>
      <c r="H143" s="3"/>
      <c r="I143" s="3"/>
      <c r="J143" s="3"/>
      <c r="K143" s="3"/>
      <c r="L143" s="3"/>
      <c r="M143" s="36" t="s">
        <v>1258</v>
      </c>
      <c r="N143" s="36"/>
      <c r="O143" s="36"/>
      <c r="P143" s="36"/>
      <c r="Q143" s="36"/>
      <c r="R143" s="150"/>
      <c r="S143" s="36" t="s">
        <v>11</v>
      </c>
      <c r="T143" s="47" t="s">
        <v>275</v>
      </c>
      <c r="U143" s="146" t="s">
        <v>275</v>
      </c>
      <c r="V143"/>
    </row>
    <row r="144" spans="1:22" x14ac:dyDescent="0.25">
      <c r="A144" s="47"/>
      <c r="B144" s="108" t="s">
        <v>23</v>
      </c>
      <c r="C144" s="47" t="s">
        <v>275</v>
      </c>
      <c r="D144" s="3" t="s">
        <v>8</v>
      </c>
      <c r="E144" s="3" t="s">
        <v>172</v>
      </c>
      <c r="F144" s="3" t="s">
        <v>3069</v>
      </c>
      <c r="G144" s="3" t="s">
        <v>173</v>
      </c>
      <c r="H144" s="3"/>
      <c r="I144" s="3"/>
      <c r="J144" s="3"/>
      <c r="K144" s="3"/>
      <c r="L144" s="3"/>
      <c r="M144" s="36" t="s">
        <v>1258</v>
      </c>
      <c r="N144" s="36"/>
      <c r="O144" s="36"/>
      <c r="P144" s="36"/>
      <c r="Q144" s="36" t="s">
        <v>174</v>
      </c>
      <c r="R144" s="150"/>
      <c r="S144" s="36"/>
      <c r="T144" s="47" t="s">
        <v>275</v>
      </c>
      <c r="U144" s="146" t="s">
        <v>275</v>
      </c>
      <c r="V144"/>
    </row>
    <row r="145" spans="1:22" ht="30" x14ac:dyDescent="0.25">
      <c r="A145" s="47"/>
      <c r="B145" s="108" t="s">
        <v>23</v>
      </c>
      <c r="C145" s="47" t="s">
        <v>275</v>
      </c>
      <c r="D145" s="3" t="s">
        <v>8</v>
      </c>
      <c r="E145" s="3" t="s">
        <v>51</v>
      </c>
      <c r="F145" s="3" t="s">
        <v>3066</v>
      </c>
      <c r="G145" s="3" t="s">
        <v>52</v>
      </c>
      <c r="H145" s="3"/>
      <c r="I145" s="3"/>
      <c r="J145" s="3"/>
      <c r="K145" s="3"/>
      <c r="L145" s="3"/>
      <c r="M145" s="36" t="s">
        <v>1258</v>
      </c>
      <c r="N145" s="36"/>
      <c r="O145" s="36"/>
      <c r="P145" s="36"/>
      <c r="Q145" s="36"/>
      <c r="R145" s="150"/>
      <c r="S145" s="36"/>
      <c r="T145" s="47" t="s">
        <v>275</v>
      </c>
      <c r="U145" s="146" t="s">
        <v>275</v>
      </c>
      <c r="V145"/>
    </row>
    <row r="146" spans="1:22" ht="30" x14ac:dyDescent="0.25">
      <c r="A146" s="47"/>
      <c r="B146" s="108" t="s">
        <v>23</v>
      </c>
      <c r="C146" s="47" t="s">
        <v>275</v>
      </c>
      <c r="D146" s="3" t="s">
        <v>8</v>
      </c>
      <c r="E146" s="3" t="s">
        <v>53</v>
      </c>
      <c r="F146" s="3" t="s">
        <v>3066</v>
      </c>
      <c r="G146" s="3" t="s">
        <v>54</v>
      </c>
      <c r="H146" s="3"/>
      <c r="I146" s="3"/>
      <c r="J146" s="3"/>
      <c r="K146" s="3"/>
      <c r="L146" s="3"/>
      <c r="M146" s="36" t="s">
        <v>1258</v>
      </c>
      <c r="N146" s="36"/>
      <c r="O146" s="36"/>
      <c r="P146" s="36"/>
      <c r="Q146" s="36"/>
      <c r="R146" s="150">
        <v>45615</v>
      </c>
      <c r="S146" s="36" t="s">
        <v>11</v>
      </c>
      <c r="T146" s="47" t="s">
        <v>275</v>
      </c>
      <c r="U146" s="146" t="s">
        <v>275</v>
      </c>
      <c r="V146"/>
    </row>
    <row r="147" spans="1:22" x14ac:dyDescent="0.25">
      <c r="A147" s="109"/>
      <c r="B147" s="109" t="s">
        <v>23</v>
      </c>
      <c r="C147" s="109" t="s">
        <v>275</v>
      </c>
      <c r="D147" s="109" t="s">
        <v>8</v>
      </c>
      <c r="E147" s="109" t="s">
        <v>55</v>
      </c>
      <c r="F147" s="109" t="s">
        <v>3068</v>
      </c>
      <c r="G147" s="109" t="s">
        <v>56</v>
      </c>
      <c r="H147" s="109"/>
      <c r="I147" s="109"/>
      <c r="J147" s="109"/>
      <c r="K147" s="109"/>
      <c r="L147" s="109"/>
      <c r="M147" s="109" t="s">
        <v>1258</v>
      </c>
      <c r="N147" s="109"/>
      <c r="O147" s="109"/>
      <c r="P147" s="109"/>
      <c r="Q147" s="109"/>
      <c r="R147" s="117"/>
      <c r="S147" s="109"/>
      <c r="T147" s="109" t="s">
        <v>275</v>
      </c>
      <c r="U147" s="109" t="s">
        <v>275</v>
      </c>
      <c r="V147"/>
    </row>
    <row r="148" spans="1:22" ht="30" x14ac:dyDescent="0.25">
      <c r="A148" s="109"/>
      <c r="B148" s="109" t="s">
        <v>23</v>
      </c>
      <c r="C148" s="109" t="s">
        <v>275</v>
      </c>
      <c r="D148" s="109" t="s">
        <v>8</v>
      </c>
      <c r="E148" s="109" t="s">
        <v>57</v>
      </c>
      <c r="F148" s="109" t="s">
        <v>3067</v>
      </c>
      <c r="G148" s="109" t="s">
        <v>58</v>
      </c>
      <c r="H148" s="109"/>
      <c r="I148" s="109"/>
      <c r="J148" s="109"/>
      <c r="K148" s="109"/>
      <c r="L148" s="109"/>
      <c r="M148" s="109" t="s">
        <v>1258</v>
      </c>
      <c r="N148" s="109"/>
      <c r="O148" s="109"/>
      <c r="P148" s="109"/>
      <c r="Q148" s="109" t="s">
        <v>18</v>
      </c>
      <c r="R148" s="117">
        <v>45609</v>
      </c>
      <c r="S148" s="109" t="s">
        <v>11</v>
      </c>
      <c r="T148" s="109" t="s">
        <v>275</v>
      </c>
      <c r="U148" s="109" t="s">
        <v>275</v>
      </c>
      <c r="V148"/>
    </row>
    <row r="149" spans="1:22" ht="30" x14ac:dyDescent="0.25">
      <c r="A149" s="47"/>
      <c r="B149" s="108" t="s">
        <v>23</v>
      </c>
      <c r="C149" s="47" t="s">
        <v>275</v>
      </c>
      <c r="D149" s="3" t="s">
        <v>8</v>
      </c>
      <c r="E149" s="3" t="s">
        <v>59</v>
      </c>
      <c r="F149" s="3" t="s">
        <v>3069</v>
      </c>
      <c r="G149" s="3" t="s">
        <v>60</v>
      </c>
      <c r="H149" s="3"/>
      <c r="I149" s="3"/>
      <c r="J149" s="3"/>
      <c r="K149" s="3"/>
      <c r="L149" s="3"/>
      <c r="M149" s="36" t="s">
        <v>1258</v>
      </c>
      <c r="N149" s="36"/>
      <c r="O149" s="36"/>
      <c r="P149" s="36"/>
      <c r="Q149" s="36" t="s">
        <v>1261</v>
      </c>
      <c r="R149" s="150">
        <v>45600</v>
      </c>
      <c r="S149" s="36" t="s">
        <v>11</v>
      </c>
      <c r="T149" s="47" t="s">
        <v>275</v>
      </c>
      <c r="U149" s="146" t="s">
        <v>275</v>
      </c>
      <c r="V149"/>
    </row>
    <row r="150" spans="1:22" ht="30" x14ac:dyDescent="0.25">
      <c r="A150" s="47"/>
      <c r="B150" s="108" t="s">
        <v>23</v>
      </c>
      <c r="C150" s="47" t="s">
        <v>275</v>
      </c>
      <c r="D150" s="3" t="s">
        <v>8</v>
      </c>
      <c r="E150" s="3" t="s">
        <v>61</v>
      </c>
      <c r="F150" s="3" t="s">
        <v>3069</v>
      </c>
      <c r="G150" s="3" t="s">
        <v>62</v>
      </c>
      <c r="H150" s="3"/>
      <c r="I150" s="3"/>
      <c r="J150" s="3"/>
      <c r="K150" s="3"/>
      <c r="L150" s="3"/>
      <c r="M150" s="109" t="s">
        <v>1258</v>
      </c>
      <c r="N150" s="36"/>
      <c r="O150" s="36"/>
      <c r="P150" s="36"/>
      <c r="Q150" s="36" t="s">
        <v>1261</v>
      </c>
      <c r="R150" s="150">
        <v>45600</v>
      </c>
      <c r="S150" s="36" t="s">
        <v>11</v>
      </c>
      <c r="T150" s="47" t="s">
        <v>275</v>
      </c>
      <c r="U150" s="146" t="s">
        <v>275</v>
      </c>
      <c r="V150"/>
    </row>
    <row r="151" spans="1:22" x14ac:dyDescent="0.25">
      <c r="A151" s="109"/>
      <c r="B151" s="109" t="s">
        <v>23</v>
      </c>
      <c r="C151" s="109" t="s">
        <v>275</v>
      </c>
      <c r="D151" s="109" t="s">
        <v>8</v>
      </c>
      <c r="E151" s="109" t="s">
        <v>63</v>
      </c>
      <c r="F151" s="109" t="s">
        <v>3070</v>
      </c>
      <c r="G151" s="109" t="s">
        <v>64</v>
      </c>
      <c r="H151" s="109"/>
      <c r="I151" s="109"/>
      <c r="J151" s="109"/>
      <c r="K151" s="109"/>
      <c r="L151" s="109"/>
      <c r="M151" s="109" t="s">
        <v>1258</v>
      </c>
      <c r="N151" s="110"/>
      <c r="O151" s="110"/>
      <c r="P151" s="110"/>
      <c r="Q151" s="110" t="s">
        <v>65</v>
      </c>
      <c r="R151" s="150"/>
      <c r="S151" s="36"/>
      <c r="T151" s="109" t="s">
        <v>275</v>
      </c>
      <c r="U151" s="138" t="s">
        <v>275</v>
      </c>
      <c r="V151"/>
    </row>
    <row r="152" spans="1:22" x14ac:dyDescent="0.25">
      <c r="A152" s="47"/>
      <c r="B152" s="108" t="s">
        <v>23</v>
      </c>
      <c r="C152" s="47" t="s">
        <v>275</v>
      </c>
      <c r="D152" s="3" t="s">
        <v>8</v>
      </c>
      <c r="E152" s="3" t="s">
        <v>66</v>
      </c>
      <c r="F152" s="3" t="s">
        <v>3070</v>
      </c>
      <c r="G152" s="3" t="s">
        <v>67</v>
      </c>
      <c r="H152" s="3"/>
      <c r="I152" s="3"/>
      <c r="J152" s="3"/>
      <c r="K152" s="3"/>
      <c r="L152" s="3"/>
      <c r="M152" s="36" t="s">
        <v>1258</v>
      </c>
      <c r="N152" s="36"/>
      <c r="O152" s="36"/>
      <c r="P152" s="36"/>
      <c r="Q152" s="36" t="s">
        <v>68</v>
      </c>
      <c r="R152" s="150"/>
      <c r="S152" s="36"/>
      <c r="T152" s="47" t="s">
        <v>275</v>
      </c>
      <c r="U152" s="146" t="s">
        <v>275</v>
      </c>
      <c r="V152"/>
    </row>
    <row r="153" spans="1:22" ht="30" x14ac:dyDescent="0.25">
      <c r="A153" s="47"/>
      <c r="B153" s="108" t="s">
        <v>23</v>
      </c>
      <c r="C153" s="47" t="s">
        <v>275</v>
      </c>
      <c r="D153" s="3" t="s">
        <v>8</v>
      </c>
      <c r="E153" s="3" t="s">
        <v>69</v>
      </c>
      <c r="F153" s="3" t="s">
        <v>3070</v>
      </c>
      <c r="G153" s="3" t="s">
        <v>70</v>
      </c>
      <c r="H153" s="3"/>
      <c r="I153" s="3"/>
      <c r="J153" s="3"/>
      <c r="K153" s="3"/>
      <c r="L153" s="3"/>
      <c r="M153" s="36" t="s">
        <v>1258</v>
      </c>
      <c r="N153" s="36"/>
      <c r="O153" s="36"/>
      <c r="P153" s="36"/>
      <c r="Q153" s="36" t="s">
        <v>71</v>
      </c>
      <c r="R153" s="117">
        <v>45602</v>
      </c>
      <c r="S153" s="36" t="s">
        <v>50</v>
      </c>
      <c r="T153" s="47" t="s">
        <v>275</v>
      </c>
      <c r="U153" s="146" t="s">
        <v>275</v>
      </c>
      <c r="V153"/>
    </row>
    <row r="154" spans="1:22" ht="30" x14ac:dyDescent="0.25">
      <c r="A154" s="47"/>
      <c r="B154" s="108" t="s">
        <v>23</v>
      </c>
      <c r="C154" s="47" t="s">
        <v>275</v>
      </c>
      <c r="D154" s="3" t="s">
        <v>8</v>
      </c>
      <c r="E154" s="3" t="s">
        <v>1292</v>
      </c>
      <c r="F154" s="3" t="s">
        <v>3066</v>
      </c>
      <c r="G154" s="3" t="s">
        <v>1290</v>
      </c>
      <c r="H154" s="3"/>
      <c r="I154" s="3"/>
      <c r="J154" s="3"/>
      <c r="K154" s="3"/>
      <c r="L154" s="3"/>
      <c r="M154" s="36" t="s">
        <v>1258</v>
      </c>
      <c r="N154" s="36"/>
      <c r="O154" s="36"/>
      <c r="P154" s="36"/>
      <c r="Q154" s="36" t="s">
        <v>1335</v>
      </c>
      <c r="R154" s="117">
        <v>45788</v>
      </c>
      <c r="S154" s="36" t="s">
        <v>673</v>
      </c>
      <c r="T154" s="47" t="s">
        <v>275</v>
      </c>
      <c r="U154" s="146" t="s">
        <v>275</v>
      </c>
      <c r="V154"/>
    </row>
    <row r="155" spans="1:22" ht="30" x14ac:dyDescent="0.25">
      <c r="A155" s="47"/>
      <c r="B155" s="108"/>
      <c r="C155" s="47" t="s">
        <v>275</v>
      </c>
      <c r="D155" s="3" t="s">
        <v>8</v>
      </c>
      <c r="E155" s="3" t="s">
        <v>1433</v>
      </c>
      <c r="F155" s="3" t="s">
        <v>3066</v>
      </c>
      <c r="G155" s="3" t="s">
        <v>1423</v>
      </c>
      <c r="H155" s="3"/>
      <c r="I155" s="3"/>
      <c r="J155" s="3"/>
      <c r="K155" s="3"/>
      <c r="L155" s="3"/>
      <c r="M155" s="36" t="s">
        <v>1258</v>
      </c>
      <c r="N155" s="36"/>
      <c r="O155" s="36"/>
      <c r="P155" s="36"/>
      <c r="Q155" s="36" t="s">
        <v>1451</v>
      </c>
      <c r="R155" s="150"/>
      <c r="S155" s="36" t="s">
        <v>1452</v>
      </c>
      <c r="T155" s="47" t="s">
        <v>275</v>
      </c>
      <c r="U155" s="146" t="s">
        <v>275</v>
      </c>
      <c r="V155"/>
    </row>
    <row r="156" spans="1:22" x14ac:dyDescent="0.25">
      <c r="A156" s="47"/>
      <c r="B156" s="108"/>
      <c r="C156" s="47" t="s">
        <v>275</v>
      </c>
      <c r="D156" s="3" t="s">
        <v>8</v>
      </c>
      <c r="E156" s="3" t="s">
        <v>1457</v>
      </c>
      <c r="F156" s="3" t="s">
        <v>3066</v>
      </c>
      <c r="G156" s="3" t="s">
        <v>1455</v>
      </c>
      <c r="H156" s="3"/>
      <c r="I156" s="3"/>
      <c r="J156" s="3"/>
      <c r="K156" s="3"/>
      <c r="L156" s="3"/>
      <c r="M156" s="36" t="s">
        <v>1258</v>
      </c>
      <c r="N156" s="36"/>
      <c r="O156" s="36"/>
      <c r="P156" s="36"/>
      <c r="Q156" s="36"/>
      <c r="R156" s="150"/>
      <c r="S156" s="36"/>
      <c r="T156" s="47" t="s">
        <v>275</v>
      </c>
      <c r="U156" s="146" t="s">
        <v>275</v>
      </c>
      <c r="V156"/>
    </row>
    <row r="157" spans="1:22" ht="30" x14ac:dyDescent="0.25">
      <c r="A157" s="109"/>
      <c r="B157" s="109" t="s">
        <v>23</v>
      </c>
      <c r="C157" s="109" t="s">
        <v>275</v>
      </c>
      <c r="D157" s="109" t="s">
        <v>8</v>
      </c>
      <c r="E157" s="109" t="s">
        <v>1216</v>
      </c>
      <c r="F157" s="109" t="s">
        <v>3070</v>
      </c>
      <c r="G157" s="109" t="s">
        <v>1214</v>
      </c>
      <c r="H157" s="109"/>
      <c r="I157" s="109"/>
      <c r="J157" s="109"/>
      <c r="K157" s="109"/>
      <c r="L157" s="109"/>
      <c r="M157" s="109" t="s">
        <v>1258</v>
      </c>
      <c r="N157" s="109"/>
      <c r="O157" s="109"/>
      <c r="P157" s="109"/>
      <c r="Q157" s="109"/>
      <c r="R157" s="117">
        <v>45800</v>
      </c>
      <c r="S157" s="109" t="s">
        <v>1284</v>
      </c>
      <c r="T157" s="109" t="s">
        <v>275</v>
      </c>
      <c r="U157" s="109" t="s">
        <v>275</v>
      </c>
      <c r="V157"/>
    </row>
    <row r="158" spans="1:22" ht="30" x14ac:dyDescent="0.25">
      <c r="A158" s="109"/>
      <c r="B158" s="109"/>
      <c r="C158" s="109" t="s">
        <v>275</v>
      </c>
      <c r="D158" s="109" t="s">
        <v>8</v>
      </c>
      <c r="E158" s="109" t="s">
        <v>1462</v>
      </c>
      <c r="F158" s="109" t="s">
        <v>3068</v>
      </c>
      <c r="G158" s="109" t="s">
        <v>1461</v>
      </c>
      <c r="H158" s="109"/>
      <c r="I158" s="109"/>
      <c r="J158" s="109"/>
      <c r="K158" s="109"/>
      <c r="L158" s="109"/>
      <c r="M158" s="110" t="s">
        <v>1258</v>
      </c>
      <c r="N158" s="110"/>
      <c r="O158" s="110"/>
      <c r="P158" s="110"/>
      <c r="Q158" s="110" t="s">
        <v>1483</v>
      </c>
      <c r="R158" s="117">
        <v>45803</v>
      </c>
      <c r="S158" s="110" t="s">
        <v>302</v>
      </c>
      <c r="T158" s="109" t="s">
        <v>275</v>
      </c>
      <c r="U158" s="138" t="s">
        <v>275</v>
      </c>
      <c r="V158"/>
    </row>
    <row r="159" spans="1:22" ht="30" x14ac:dyDescent="0.25">
      <c r="A159" s="47"/>
      <c r="B159" s="108"/>
      <c r="C159" s="47" t="s">
        <v>275</v>
      </c>
      <c r="D159" s="3" t="s">
        <v>8</v>
      </c>
      <c r="E159" s="3" t="s">
        <v>1488</v>
      </c>
      <c r="F159" s="3" t="s">
        <v>3066</v>
      </c>
      <c r="G159" s="3" t="s">
        <v>1487</v>
      </c>
      <c r="H159" s="3"/>
      <c r="I159" s="3"/>
      <c r="J159" s="3"/>
      <c r="K159" s="3"/>
      <c r="L159" s="3"/>
      <c r="M159" s="36" t="s">
        <v>1258</v>
      </c>
      <c r="N159" s="36"/>
      <c r="O159" s="36"/>
      <c r="P159" s="36"/>
      <c r="Q159" s="36" t="s">
        <v>1490</v>
      </c>
      <c r="R159" s="150">
        <v>45804</v>
      </c>
      <c r="S159" s="36" t="s">
        <v>1484</v>
      </c>
      <c r="T159" s="47" t="s">
        <v>275</v>
      </c>
      <c r="U159" s="146" t="s">
        <v>275</v>
      </c>
      <c r="V159"/>
    </row>
    <row r="160" spans="1:22" ht="30" x14ac:dyDescent="0.25">
      <c r="A160" s="109"/>
      <c r="B160" s="109"/>
      <c r="C160" s="109" t="s">
        <v>275</v>
      </c>
      <c r="D160" s="109" t="s">
        <v>8</v>
      </c>
      <c r="E160" s="109" t="s">
        <v>1475</v>
      </c>
      <c r="F160" s="109" t="s">
        <v>3066</v>
      </c>
      <c r="G160" s="109" t="s">
        <v>1474</v>
      </c>
      <c r="H160" s="109"/>
      <c r="I160" s="109"/>
      <c r="J160" s="109"/>
      <c r="K160" s="109"/>
      <c r="L160" s="109"/>
      <c r="M160" s="109" t="s">
        <v>1258</v>
      </c>
      <c r="N160" s="109"/>
      <c r="O160" s="109"/>
      <c r="P160" s="109"/>
      <c r="Q160" s="109" t="s">
        <v>1485</v>
      </c>
      <c r="R160" s="117">
        <v>45804</v>
      </c>
      <c r="S160" s="109" t="s">
        <v>1484</v>
      </c>
      <c r="T160" s="109" t="s">
        <v>275</v>
      </c>
      <c r="U160" s="109" t="s">
        <v>275</v>
      </c>
      <c r="V160"/>
    </row>
    <row r="161" spans="1:22" x14ac:dyDescent="0.25">
      <c r="A161" s="47"/>
      <c r="B161" s="108"/>
      <c r="C161" s="47" t="s">
        <v>275</v>
      </c>
      <c r="D161" s="3" t="s">
        <v>8</v>
      </c>
      <c r="E161" s="3" t="s">
        <v>1508</v>
      </c>
      <c r="F161" s="3" t="s">
        <v>3070</v>
      </c>
      <c r="G161" s="3" t="s">
        <v>1502</v>
      </c>
      <c r="H161" s="3"/>
      <c r="I161" s="3"/>
      <c r="J161" s="3"/>
      <c r="K161" s="3"/>
      <c r="L161" s="3"/>
      <c r="M161" s="36" t="s">
        <v>1258</v>
      </c>
      <c r="N161" s="36"/>
      <c r="O161" s="36"/>
      <c r="P161" s="36"/>
      <c r="Q161" s="36"/>
      <c r="R161" s="150"/>
      <c r="S161" s="36"/>
      <c r="T161" s="47" t="s">
        <v>275</v>
      </c>
      <c r="U161" s="146" t="s">
        <v>275</v>
      </c>
      <c r="V161"/>
    </row>
    <row r="162" spans="1:22" ht="45" x14ac:dyDescent="0.25">
      <c r="A162" s="109"/>
      <c r="B162" s="109"/>
      <c r="C162" s="109" t="s">
        <v>275</v>
      </c>
      <c r="D162" s="109" t="s">
        <v>8</v>
      </c>
      <c r="E162" s="109" t="s">
        <v>1519</v>
      </c>
      <c r="F162" s="109" t="s">
        <v>3070</v>
      </c>
      <c r="G162" s="109" t="s">
        <v>1518</v>
      </c>
      <c r="H162" s="109"/>
      <c r="I162" s="109"/>
      <c r="J162" s="109"/>
      <c r="K162" s="109"/>
      <c r="L162" s="109"/>
      <c r="M162" s="109" t="s">
        <v>1258</v>
      </c>
      <c r="N162" s="109"/>
      <c r="O162" s="109"/>
      <c r="P162" s="109"/>
      <c r="Q162" s="109" t="s">
        <v>1523</v>
      </c>
      <c r="R162" s="117"/>
      <c r="S162" s="109"/>
      <c r="T162" s="109" t="s">
        <v>275</v>
      </c>
      <c r="U162" s="109" t="s">
        <v>275</v>
      </c>
      <c r="V162"/>
    </row>
    <row r="163" spans="1:22" ht="30" x14ac:dyDescent="0.25">
      <c r="A163" s="109"/>
      <c r="B163" s="109"/>
      <c r="C163" s="109" t="s">
        <v>275</v>
      </c>
      <c r="D163" s="109" t="s">
        <v>8</v>
      </c>
      <c r="E163" s="109" t="s">
        <v>1735</v>
      </c>
      <c r="F163" s="109" t="s">
        <v>3070</v>
      </c>
      <c r="G163" s="109" t="s">
        <v>1736</v>
      </c>
      <c r="H163" s="109"/>
      <c r="I163" s="109"/>
      <c r="J163" s="109"/>
      <c r="K163" s="109"/>
      <c r="L163" s="109"/>
      <c r="M163" s="109" t="s">
        <v>1258</v>
      </c>
      <c r="N163" s="109"/>
      <c r="O163" s="109"/>
      <c r="P163" s="109"/>
      <c r="Q163" s="109" t="s">
        <v>1743</v>
      </c>
      <c r="R163" s="117">
        <v>45831</v>
      </c>
      <c r="S163" s="109" t="s">
        <v>1744</v>
      </c>
      <c r="T163" s="109" t="s">
        <v>275</v>
      </c>
      <c r="U163" s="109" t="s">
        <v>275</v>
      </c>
      <c r="V163"/>
    </row>
    <row r="164" spans="1:22" ht="30" x14ac:dyDescent="0.25">
      <c r="A164" s="47"/>
      <c r="B164" s="108"/>
      <c r="C164" s="47" t="s">
        <v>275</v>
      </c>
      <c r="D164" s="3" t="s">
        <v>8</v>
      </c>
      <c r="E164" s="3" t="s">
        <v>1737</v>
      </c>
      <c r="F164" s="3" t="s">
        <v>3070</v>
      </c>
      <c r="G164" s="3" t="s">
        <v>1738</v>
      </c>
      <c r="H164" s="3"/>
      <c r="I164" s="3"/>
      <c r="J164" s="3"/>
      <c r="K164" s="3"/>
      <c r="L164" s="3"/>
      <c r="M164" s="36" t="s">
        <v>1258</v>
      </c>
      <c r="N164" s="36"/>
      <c r="O164" s="36"/>
      <c r="P164" s="36"/>
      <c r="Q164" s="36" t="s">
        <v>1751</v>
      </c>
      <c r="R164" s="150">
        <v>45831</v>
      </c>
      <c r="S164" s="36" t="s">
        <v>50</v>
      </c>
      <c r="T164" s="47" t="s">
        <v>275</v>
      </c>
      <c r="U164" s="146" t="s">
        <v>275</v>
      </c>
      <c r="V164"/>
    </row>
    <row r="165" spans="1:22" x14ac:dyDescent="0.25">
      <c r="A165" s="47"/>
      <c r="B165" s="108"/>
      <c r="C165" s="47" t="s">
        <v>275</v>
      </c>
      <c r="D165" s="3" t="s">
        <v>8</v>
      </c>
      <c r="E165" s="3" t="s">
        <v>1739</v>
      </c>
      <c r="F165" s="3" t="s">
        <v>3070</v>
      </c>
      <c r="G165" s="3" t="s">
        <v>1740</v>
      </c>
      <c r="H165" s="3"/>
      <c r="I165" s="3"/>
      <c r="J165" s="3"/>
      <c r="K165" s="3"/>
      <c r="L165" s="3"/>
      <c r="M165" s="36" t="s">
        <v>1258</v>
      </c>
      <c r="N165" s="36"/>
      <c r="O165" s="36"/>
      <c r="P165" s="36"/>
      <c r="Q165" s="36" t="s">
        <v>1752</v>
      </c>
      <c r="R165" s="150">
        <v>45832</v>
      </c>
      <c r="S165" s="36" t="s">
        <v>239</v>
      </c>
      <c r="T165" s="47" t="s">
        <v>275</v>
      </c>
      <c r="U165" s="146" t="s">
        <v>275</v>
      </c>
      <c r="V165"/>
    </row>
    <row r="166" spans="1:22" x14ac:dyDescent="0.25">
      <c r="A166" s="47"/>
      <c r="B166" s="108"/>
      <c r="C166" s="47" t="s">
        <v>275</v>
      </c>
      <c r="D166" s="3" t="s">
        <v>8</v>
      </c>
      <c r="E166" s="3" t="s">
        <v>2243</v>
      </c>
      <c r="F166" s="3" t="s">
        <v>3066</v>
      </c>
      <c r="G166" s="3" t="s">
        <v>2244</v>
      </c>
      <c r="H166" s="3"/>
      <c r="I166" s="3"/>
      <c r="J166" s="3"/>
      <c r="K166" s="3"/>
      <c r="L166" s="3"/>
      <c r="M166" s="36" t="s">
        <v>1258</v>
      </c>
      <c r="N166" s="36"/>
      <c r="O166" s="36"/>
      <c r="P166" s="36"/>
      <c r="Q166" s="36" t="s">
        <v>2259</v>
      </c>
      <c r="R166" s="150">
        <v>45841</v>
      </c>
      <c r="S166" s="36" t="s">
        <v>203</v>
      </c>
      <c r="T166" s="47" t="s">
        <v>275</v>
      </c>
      <c r="U166" s="146" t="s">
        <v>275</v>
      </c>
      <c r="V166"/>
    </row>
    <row r="167" spans="1:22" ht="30" x14ac:dyDescent="0.25">
      <c r="A167" s="109"/>
      <c r="B167" s="109"/>
      <c r="C167" s="109" t="s">
        <v>275</v>
      </c>
      <c r="D167" s="109" t="s">
        <v>8</v>
      </c>
      <c r="E167" s="109" t="s">
        <v>2214</v>
      </c>
      <c r="F167" s="109" t="s">
        <v>483</v>
      </c>
      <c r="G167" s="109" t="s">
        <v>2215</v>
      </c>
      <c r="H167" s="109"/>
      <c r="I167" s="109"/>
      <c r="J167" s="109"/>
      <c r="K167" s="109"/>
      <c r="L167" s="109"/>
      <c r="M167" s="109" t="s">
        <v>1258</v>
      </c>
      <c r="N167" s="109"/>
      <c r="O167" s="109"/>
      <c r="P167" s="109"/>
      <c r="Q167" s="109" t="s">
        <v>2260</v>
      </c>
      <c r="R167" s="117">
        <v>45841</v>
      </c>
      <c r="S167" s="109" t="s">
        <v>1673</v>
      </c>
      <c r="T167" s="109" t="s">
        <v>275</v>
      </c>
      <c r="U167" s="138" t="s">
        <v>275</v>
      </c>
      <c r="V167"/>
    </row>
    <row r="168" spans="1:22" ht="45" x14ac:dyDescent="0.25">
      <c r="A168" s="109"/>
      <c r="B168" s="109"/>
      <c r="C168" s="109" t="s">
        <v>275</v>
      </c>
      <c r="D168" s="109" t="s">
        <v>8</v>
      </c>
      <c r="E168" s="109" t="s">
        <v>2317</v>
      </c>
      <c r="F168" s="109" t="s">
        <v>3070</v>
      </c>
      <c r="G168" s="109" t="s">
        <v>2318</v>
      </c>
      <c r="H168" s="109"/>
      <c r="I168" s="109"/>
      <c r="J168" s="109"/>
      <c r="K168" s="109"/>
      <c r="L168" s="109"/>
      <c r="M168" s="109" t="s">
        <v>1258</v>
      </c>
      <c r="N168" s="109"/>
      <c r="O168" s="109"/>
      <c r="P168" s="109"/>
      <c r="Q168" s="109" t="s">
        <v>2331</v>
      </c>
      <c r="R168" s="117">
        <v>45847</v>
      </c>
      <c r="S168" s="109" t="s">
        <v>302</v>
      </c>
      <c r="T168" s="109" t="s">
        <v>275</v>
      </c>
      <c r="U168" s="109"/>
      <c r="V168"/>
    </row>
    <row r="169" spans="1:22" ht="30" x14ac:dyDescent="0.25">
      <c r="A169" s="47"/>
      <c r="B169" s="108"/>
      <c r="C169" s="47" t="s">
        <v>275</v>
      </c>
      <c r="D169" s="3" t="s">
        <v>8</v>
      </c>
      <c r="E169" s="3" t="s">
        <v>2378</v>
      </c>
      <c r="F169" s="3" t="s">
        <v>3070</v>
      </c>
      <c r="G169" s="3" t="s">
        <v>2379</v>
      </c>
      <c r="H169" s="3"/>
      <c r="I169" s="3"/>
      <c r="J169" s="3"/>
      <c r="K169" s="3"/>
      <c r="L169" s="3"/>
      <c r="M169" s="36" t="s">
        <v>1258</v>
      </c>
      <c r="N169" s="36"/>
      <c r="O169" s="36"/>
      <c r="P169" s="36"/>
      <c r="Q169" s="36" t="s">
        <v>2391</v>
      </c>
      <c r="R169" s="150">
        <v>45853</v>
      </c>
      <c r="S169" s="36" t="s">
        <v>554</v>
      </c>
      <c r="T169" s="47" t="s">
        <v>275</v>
      </c>
      <c r="U169" s="146"/>
      <c r="V169"/>
    </row>
    <row r="170" spans="1:22" x14ac:dyDescent="0.25">
      <c r="A170" s="47"/>
      <c r="B170" s="108"/>
      <c r="C170" s="47" t="s">
        <v>275</v>
      </c>
      <c r="D170" s="3" t="s">
        <v>8</v>
      </c>
      <c r="E170" s="3" t="s">
        <v>2442</v>
      </c>
      <c r="F170" s="3" t="s">
        <v>3068</v>
      </c>
      <c r="G170" s="3" t="s">
        <v>2443</v>
      </c>
      <c r="H170" s="3"/>
      <c r="I170" s="3"/>
      <c r="J170" s="3"/>
      <c r="K170" s="3"/>
      <c r="L170" s="3"/>
      <c r="M170" s="36" t="s">
        <v>1258</v>
      </c>
      <c r="N170" s="36"/>
      <c r="O170" s="36"/>
      <c r="P170" s="36"/>
      <c r="Q170" s="36" t="s">
        <v>2446</v>
      </c>
      <c r="R170" s="150">
        <v>45860</v>
      </c>
      <c r="S170" s="36" t="s">
        <v>239</v>
      </c>
      <c r="T170" s="47" t="s">
        <v>275</v>
      </c>
      <c r="U170" s="146"/>
      <c r="V170"/>
    </row>
    <row r="171" spans="1:22" ht="30" x14ac:dyDescent="0.25">
      <c r="A171" s="47"/>
      <c r="B171" s="108"/>
      <c r="C171" s="47" t="s">
        <v>275</v>
      </c>
      <c r="D171" s="3" t="s">
        <v>8</v>
      </c>
      <c r="E171" s="3" t="s">
        <v>2421</v>
      </c>
      <c r="F171" s="3" t="s">
        <v>483</v>
      </c>
      <c r="G171" s="3" t="s">
        <v>2422</v>
      </c>
      <c r="H171" s="3"/>
      <c r="I171" s="3"/>
      <c r="J171" s="3"/>
      <c r="K171" s="3"/>
      <c r="L171" s="3"/>
      <c r="M171" s="36" t="s">
        <v>1258</v>
      </c>
      <c r="N171" s="36"/>
      <c r="O171" s="36"/>
      <c r="P171" s="36"/>
      <c r="Q171" s="36" t="s">
        <v>2456</v>
      </c>
      <c r="R171" s="150">
        <v>45856</v>
      </c>
      <c r="S171" s="36" t="s">
        <v>1074</v>
      </c>
      <c r="T171" s="47" t="s">
        <v>275</v>
      </c>
      <c r="U171" s="146"/>
      <c r="V171"/>
    </row>
    <row r="172" spans="1:22" x14ac:dyDescent="0.25">
      <c r="A172" s="47"/>
      <c r="B172" s="108"/>
      <c r="C172" s="47" t="s">
        <v>275</v>
      </c>
      <c r="D172" s="3" t="s">
        <v>8</v>
      </c>
      <c r="E172" s="3" t="s">
        <v>2222</v>
      </c>
      <c r="F172" s="3" t="s">
        <v>3069</v>
      </c>
      <c r="G172" s="3" t="s">
        <v>2223</v>
      </c>
      <c r="H172" s="3"/>
      <c r="I172" s="3"/>
      <c r="J172" s="3"/>
      <c r="K172" s="3"/>
      <c r="L172" s="3"/>
      <c r="M172" s="36" t="s">
        <v>1258</v>
      </c>
      <c r="N172" s="36"/>
      <c r="O172" s="36"/>
      <c r="P172" s="36"/>
      <c r="Q172" s="36" t="s">
        <v>2373</v>
      </c>
      <c r="R172" s="150">
        <v>45852</v>
      </c>
      <c r="S172" s="36" t="s">
        <v>203</v>
      </c>
      <c r="T172" s="47" t="s">
        <v>275</v>
      </c>
      <c r="U172" s="146" t="s">
        <v>275</v>
      </c>
      <c r="V172"/>
    </row>
    <row r="173" spans="1:22" x14ac:dyDescent="0.25">
      <c r="A173" s="47"/>
      <c r="B173" s="108"/>
      <c r="C173" s="47" t="s">
        <v>275</v>
      </c>
      <c r="D173" s="3" t="s">
        <v>8</v>
      </c>
      <c r="E173" s="3" t="s">
        <v>2403</v>
      </c>
      <c r="F173" s="3" t="s">
        <v>3066</v>
      </c>
      <c r="G173" s="3" t="s">
        <v>2404</v>
      </c>
      <c r="H173" s="3"/>
      <c r="I173" s="3"/>
      <c r="J173" s="3"/>
      <c r="K173" s="3"/>
      <c r="L173" s="3"/>
      <c r="M173" s="36" t="s">
        <v>1258</v>
      </c>
      <c r="N173" s="36"/>
      <c r="O173" s="36"/>
      <c r="P173" s="36"/>
      <c r="Q173" s="36" t="s">
        <v>2513</v>
      </c>
      <c r="R173" s="150">
        <v>45868</v>
      </c>
      <c r="S173" s="36" t="s">
        <v>211</v>
      </c>
      <c r="T173" s="47" t="s">
        <v>275</v>
      </c>
      <c r="U173" s="146"/>
      <c r="V173"/>
    </row>
    <row r="174" spans="1:22" ht="45" x14ac:dyDescent="0.25">
      <c r="A174" s="47"/>
      <c r="B174" s="108"/>
      <c r="C174" s="47" t="s">
        <v>275</v>
      </c>
      <c r="D174" s="3" t="s">
        <v>8</v>
      </c>
      <c r="E174" s="3" t="s">
        <v>2488</v>
      </c>
      <c r="F174" s="3" t="s">
        <v>3070</v>
      </c>
      <c r="G174" s="3" t="s">
        <v>2489</v>
      </c>
      <c r="H174" s="3"/>
      <c r="I174" s="3"/>
      <c r="J174" s="3"/>
      <c r="K174" s="3"/>
      <c r="L174" s="3"/>
      <c r="M174" s="36" t="s">
        <v>1258</v>
      </c>
      <c r="N174" s="36"/>
      <c r="O174" s="36"/>
      <c r="P174" s="36"/>
      <c r="Q174" s="36" t="s">
        <v>2607</v>
      </c>
      <c r="R174" s="150">
        <v>45882</v>
      </c>
      <c r="S174" s="36" t="s">
        <v>1048</v>
      </c>
      <c r="T174" s="47" t="s">
        <v>275</v>
      </c>
      <c r="U174" s="146"/>
      <c r="V174"/>
    </row>
    <row r="175" spans="1:22" ht="30" x14ac:dyDescent="0.25">
      <c r="A175" s="47"/>
      <c r="B175" s="108"/>
      <c r="C175" s="47" t="s">
        <v>275</v>
      </c>
      <c r="D175" s="3" t="s">
        <v>8</v>
      </c>
      <c r="E175" s="3" t="s">
        <v>2609</v>
      </c>
      <c r="F175" s="3" t="s">
        <v>3070</v>
      </c>
      <c r="G175" s="3" t="s">
        <v>2610</v>
      </c>
      <c r="H175" s="3"/>
      <c r="I175" s="3"/>
      <c r="J175" s="3"/>
      <c r="K175" s="3"/>
      <c r="L175" s="3"/>
      <c r="M175" s="36" t="s">
        <v>1258</v>
      </c>
      <c r="N175" s="36"/>
      <c r="O175" s="36"/>
      <c r="P175" s="36"/>
      <c r="Q175" s="36" t="s">
        <v>2628</v>
      </c>
      <c r="R175" s="150">
        <v>45882</v>
      </c>
      <c r="S175" s="36" t="s">
        <v>203</v>
      </c>
      <c r="T175" s="47" t="s">
        <v>275</v>
      </c>
      <c r="U175" s="146"/>
      <c r="V175"/>
    </row>
    <row r="176" spans="1:22" x14ac:dyDescent="0.25">
      <c r="A176" s="47"/>
      <c r="B176" s="108"/>
      <c r="C176" s="47" t="s">
        <v>275</v>
      </c>
      <c r="D176" s="3" t="s">
        <v>8</v>
      </c>
      <c r="E176" s="3" t="s">
        <v>2615</v>
      </c>
      <c r="F176" s="3" t="s">
        <v>3068</v>
      </c>
      <c r="G176" s="3" t="s">
        <v>2616</v>
      </c>
      <c r="H176" s="3"/>
      <c r="I176" s="3"/>
      <c r="J176" s="3"/>
      <c r="K176" s="3"/>
      <c r="L176" s="3"/>
      <c r="M176" s="36" t="s">
        <v>1258</v>
      </c>
      <c r="N176" s="36"/>
      <c r="O176" s="36"/>
      <c r="P176" s="36"/>
      <c r="Q176" s="36" t="s">
        <v>2629</v>
      </c>
      <c r="R176" s="150"/>
      <c r="S176" s="36"/>
      <c r="T176" s="47" t="s">
        <v>275</v>
      </c>
      <c r="U176" s="146"/>
      <c r="V176"/>
    </row>
    <row r="177" spans="1:22" x14ac:dyDescent="0.25">
      <c r="A177" s="47"/>
      <c r="B177" s="108"/>
      <c r="C177" s="47" t="s">
        <v>275</v>
      </c>
      <c r="D177" s="3" t="s">
        <v>8</v>
      </c>
      <c r="E177" s="3" t="s">
        <v>2642</v>
      </c>
      <c r="F177" s="3" t="s">
        <v>3066</v>
      </c>
      <c r="G177" s="3" t="s">
        <v>2643</v>
      </c>
      <c r="H177" s="3"/>
      <c r="I177" s="3"/>
      <c r="J177" s="3"/>
      <c r="K177" s="3"/>
      <c r="L177" s="3"/>
      <c r="M177" s="36" t="s">
        <v>1258</v>
      </c>
      <c r="N177" s="36"/>
      <c r="O177" s="36"/>
      <c r="P177" s="36"/>
      <c r="Q177" s="36" t="s">
        <v>2660</v>
      </c>
      <c r="R177" s="150">
        <v>45888</v>
      </c>
      <c r="S177" s="36" t="s">
        <v>2608</v>
      </c>
      <c r="T177" s="47" t="s">
        <v>275</v>
      </c>
      <c r="U177" s="146"/>
      <c r="V177"/>
    </row>
    <row r="178" spans="1:22" ht="45" x14ac:dyDescent="0.25">
      <c r="A178" s="47"/>
      <c r="B178" s="108"/>
      <c r="C178" s="47" t="s">
        <v>275</v>
      </c>
      <c r="D178" s="3" t="s">
        <v>8</v>
      </c>
      <c r="E178" s="3" t="s">
        <v>2644</v>
      </c>
      <c r="F178" s="3" t="s">
        <v>3067</v>
      </c>
      <c r="G178" s="3" t="s">
        <v>2645</v>
      </c>
      <c r="H178" s="3"/>
      <c r="I178" s="3"/>
      <c r="J178" s="3"/>
      <c r="K178" s="3"/>
      <c r="L178" s="3"/>
      <c r="M178" s="36" t="s">
        <v>1258</v>
      </c>
      <c r="N178" s="36"/>
      <c r="O178" s="36"/>
      <c r="P178" s="36"/>
      <c r="Q178" s="36" t="s">
        <v>2665</v>
      </c>
      <c r="R178" s="150">
        <v>45888</v>
      </c>
      <c r="S178" s="36" t="s">
        <v>2608</v>
      </c>
      <c r="T178" s="47" t="s">
        <v>275</v>
      </c>
      <c r="U178" s="146"/>
      <c r="V178"/>
    </row>
    <row r="179" spans="1:22" ht="30" x14ac:dyDescent="0.25">
      <c r="A179" s="47"/>
      <c r="B179" s="108"/>
      <c r="C179" s="47" t="s">
        <v>275</v>
      </c>
      <c r="D179" s="3" t="s">
        <v>8</v>
      </c>
      <c r="E179" s="3" t="s">
        <v>2695</v>
      </c>
      <c r="F179" s="3" t="s">
        <v>3069</v>
      </c>
      <c r="G179" s="3" t="s">
        <v>2696</v>
      </c>
      <c r="H179" s="3"/>
      <c r="I179" s="3"/>
      <c r="J179" s="3"/>
      <c r="K179" s="3"/>
      <c r="L179" s="3"/>
      <c r="M179" s="36" t="s">
        <v>1258</v>
      </c>
      <c r="N179" s="36"/>
      <c r="O179" s="36"/>
      <c r="P179" s="36"/>
      <c r="Q179" s="36"/>
      <c r="R179" s="150"/>
      <c r="S179" s="36"/>
      <c r="T179" s="47" t="s">
        <v>275</v>
      </c>
      <c r="U179" s="146"/>
      <c r="V179"/>
    </row>
    <row r="180" spans="1:22" ht="30" x14ac:dyDescent="0.25">
      <c r="A180" s="47"/>
      <c r="B180" s="108"/>
      <c r="C180" s="47" t="s">
        <v>275</v>
      </c>
      <c r="D180" s="3" t="s">
        <v>8</v>
      </c>
      <c r="E180" s="3" t="s">
        <v>2693</v>
      </c>
      <c r="F180" s="3" t="s">
        <v>3069</v>
      </c>
      <c r="G180" s="3" t="s">
        <v>2694</v>
      </c>
      <c r="H180" s="3"/>
      <c r="I180" s="3"/>
      <c r="J180" s="3"/>
      <c r="K180" s="3"/>
      <c r="L180" s="3"/>
      <c r="M180" s="36" t="s">
        <v>1258</v>
      </c>
      <c r="N180" s="36"/>
      <c r="O180" s="36"/>
      <c r="P180" s="36"/>
      <c r="Q180" s="36"/>
      <c r="R180" s="117"/>
      <c r="S180" s="36"/>
      <c r="T180" s="47" t="s">
        <v>275</v>
      </c>
      <c r="U180" s="146"/>
      <c r="V180"/>
    </row>
    <row r="181" spans="1:22" x14ac:dyDescent="0.25">
      <c r="A181" s="47"/>
      <c r="B181" s="108"/>
      <c r="C181" s="47" t="s">
        <v>275</v>
      </c>
      <c r="D181" s="3" t="s">
        <v>8</v>
      </c>
      <c r="E181" s="3" t="s">
        <v>2715</v>
      </c>
      <c r="F181" s="3" t="s">
        <v>3070</v>
      </c>
      <c r="G181" s="3" t="s">
        <v>2716</v>
      </c>
      <c r="H181" s="3"/>
      <c r="I181" s="3"/>
      <c r="J181" s="3"/>
      <c r="K181" s="3"/>
      <c r="L181" s="3"/>
      <c r="M181" s="36" t="s">
        <v>1258</v>
      </c>
      <c r="N181" s="36"/>
      <c r="O181" s="36"/>
      <c r="P181" s="36"/>
      <c r="Q181" s="36"/>
      <c r="R181" s="150">
        <v>45895</v>
      </c>
      <c r="S181" s="36" t="s">
        <v>203</v>
      </c>
      <c r="T181" s="47" t="s">
        <v>275</v>
      </c>
      <c r="U181" s="146"/>
      <c r="V181"/>
    </row>
    <row r="182" spans="1:22" x14ac:dyDescent="0.25">
      <c r="A182" s="47"/>
      <c r="B182" s="108"/>
      <c r="C182" s="47" t="s">
        <v>275</v>
      </c>
      <c r="D182" s="3" t="s">
        <v>8</v>
      </c>
      <c r="E182" s="3" t="s">
        <v>2697</v>
      </c>
      <c r="F182" s="3" t="s">
        <v>3068</v>
      </c>
      <c r="G182" s="3" t="s">
        <v>2698</v>
      </c>
      <c r="H182" s="3"/>
      <c r="I182" s="3"/>
      <c r="J182" s="3"/>
      <c r="K182" s="3"/>
      <c r="L182" s="3"/>
      <c r="M182" s="36" t="s">
        <v>1258</v>
      </c>
      <c r="N182" s="36"/>
      <c r="O182" s="36"/>
      <c r="P182" s="36"/>
      <c r="Q182" s="36" t="s">
        <v>2740</v>
      </c>
      <c r="R182" s="150">
        <v>45896</v>
      </c>
      <c r="S182" s="36" t="s">
        <v>203</v>
      </c>
      <c r="T182" s="47" t="s">
        <v>275</v>
      </c>
      <c r="U182" s="146"/>
      <c r="V182"/>
    </row>
    <row r="183" spans="1:22" ht="30" x14ac:dyDescent="0.25">
      <c r="A183" s="109"/>
      <c r="B183" s="109"/>
      <c r="C183" s="109" t="s">
        <v>275</v>
      </c>
      <c r="D183" s="109" t="s">
        <v>8</v>
      </c>
      <c r="E183" s="109" t="s">
        <v>2722</v>
      </c>
      <c r="F183" s="109" t="s">
        <v>3068</v>
      </c>
      <c r="G183" s="109" t="s">
        <v>2723</v>
      </c>
      <c r="H183" s="109"/>
      <c r="I183" s="109"/>
      <c r="J183" s="109"/>
      <c r="K183" s="109"/>
      <c r="L183" s="109"/>
      <c r="M183" s="110" t="s">
        <v>1258</v>
      </c>
      <c r="N183" s="110"/>
      <c r="O183" s="110"/>
      <c r="P183" s="110"/>
      <c r="Q183" s="110" t="s">
        <v>2741</v>
      </c>
      <c r="R183" s="117">
        <v>45896</v>
      </c>
      <c r="S183" s="110" t="s">
        <v>203</v>
      </c>
      <c r="T183" s="109" t="s">
        <v>275</v>
      </c>
      <c r="U183" s="138"/>
      <c r="V183"/>
    </row>
    <row r="184" spans="1:22" x14ac:dyDescent="0.25">
      <c r="A184" s="47"/>
      <c r="B184" s="108"/>
      <c r="C184" s="47" t="s">
        <v>275</v>
      </c>
      <c r="D184" s="3" t="s">
        <v>8</v>
      </c>
      <c r="E184" s="3" t="s">
        <v>2648</v>
      </c>
      <c r="F184" s="3" t="s">
        <v>3070</v>
      </c>
      <c r="G184" s="3" t="s">
        <v>2649</v>
      </c>
      <c r="H184" s="3"/>
      <c r="I184" s="3"/>
      <c r="J184" s="3"/>
      <c r="K184" s="3"/>
      <c r="L184" s="3"/>
      <c r="M184" s="36" t="s">
        <v>1258</v>
      </c>
      <c r="N184" s="36"/>
      <c r="O184" s="36"/>
      <c r="P184" s="36"/>
      <c r="Q184" s="36"/>
      <c r="R184" s="150">
        <v>45889</v>
      </c>
      <c r="S184" s="36" t="s">
        <v>203</v>
      </c>
      <c r="T184" s="47" t="s">
        <v>275</v>
      </c>
      <c r="U184" s="146"/>
      <c r="V184"/>
    </row>
    <row r="185" spans="1:22" x14ac:dyDescent="0.25">
      <c r="A185" s="47"/>
      <c r="B185" s="108"/>
      <c r="C185" s="47" t="s">
        <v>275</v>
      </c>
      <c r="D185" s="3" t="s">
        <v>8</v>
      </c>
      <c r="E185" s="3" t="s">
        <v>2730</v>
      </c>
      <c r="F185" s="3" t="s">
        <v>3070</v>
      </c>
      <c r="G185" s="3" t="s">
        <v>2731</v>
      </c>
      <c r="H185" s="3"/>
      <c r="I185" s="3"/>
      <c r="J185" s="3"/>
      <c r="K185" s="3"/>
      <c r="L185" s="3"/>
      <c r="M185" s="36" t="s">
        <v>1258</v>
      </c>
      <c r="N185" s="36"/>
      <c r="O185" s="36"/>
      <c r="P185" s="36"/>
      <c r="Q185" s="36"/>
      <c r="R185" s="150">
        <v>45897</v>
      </c>
      <c r="S185" s="36" t="s">
        <v>203</v>
      </c>
      <c r="T185" s="47" t="s">
        <v>275</v>
      </c>
      <c r="U185" s="146"/>
      <c r="V185"/>
    </row>
    <row r="186" spans="1:22" ht="30" x14ac:dyDescent="0.25">
      <c r="A186" s="109"/>
      <c r="B186" s="109"/>
      <c r="C186" s="109" t="s">
        <v>275</v>
      </c>
      <c r="D186" s="109" t="s">
        <v>8</v>
      </c>
      <c r="E186" s="109" t="s">
        <v>2732</v>
      </c>
      <c r="F186" s="109" t="s">
        <v>3067</v>
      </c>
      <c r="G186" s="109" t="s">
        <v>2733</v>
      </c>
      <c r="H186" s="109"/>
      <c r="I186" s="109"/>
      <c r="J186" s="109"/>
      <c r="K186" s="109"/>
      <c r="L186" s="109"/>
      <c r="M186" s="109" t="s">
        <v>1258</v>
      </c>
      <c r="N186" s="109"/>
      <c r="O186" s="109"/>
      <c r="P186" s="109"/>
      <c r="Q186" s="109" t="s">
        <v>149</v>
      </c>
      <c r="R186" s="117">
        <v>45897</v>
      </c>
      <c r="S186" s="109" t="s">
        <v>211</v>
      </c>
      <c r="T186" s="109" t="s">
        <v>275</v>
      </c>
      <c r="U186" s="109"/>
      <c r="V186"/>
    </row>
    <row r="187" spans="1:22" x14ac:dyDescent="0.25">
      <c r="A187" s="47"/>
      <c r="B187" s="108"/>
      <c r="C187" s="47" t="s">
        <v>275</v>
      </c>
      <c r="D187" s="3" t="s">
        <v>8</v>
      </c>
      <c r="E187" s="3" t="s">
        <v>2746</v>
      </c>
      <c r="F187" s="3" t="s">
        <v>3066</v>
      </c>
      <c r="G187" s="3" t="s">
        <v>2747</v>
      </c>
      <c r="H187" s="3"/>
      <c r="I187" s="3"/>
      <c r="J187" s="3"/>
      <c r="K187" s="3"/>
      <c r="L187" s="3"/>
      <c r="M187" s="36" t="s">
        <v>1258</v>
      </c>
      <c r="N187" s="36"/>
      <c r="O187" s="36"/>
      <c r="P187" s="36"/>
      <c r="Q187" s="36"/>
      <c r="R187" s="150">
        <v>45898</v>
      </c>
      <c r="S187" s="36" t="s">
        <v>203</v>
      </c>
      <c r="T187" s="47" t="s">
        <v>275</v>
      </c>
      <c r="U187" s="146"/>
      <c r="V187"/>
    </row>
    <row r="188" spans="1:22" ht="30" x14ac:dyDescent="0.25">
      <c r="A188" s="47"/>
      <c r="B188" s="108"/>
      <c r="C188" s="47" t="s">
        <v>275</v>
      </c>
      <c r="D188" s="3" t="s">
        <v>8</v>
      </c>
      <c r="E188" s="3" t="s">
        <v>2734</v>
      </c>
      <c r="F188" s="3" t="s">
        <v>3067</v>
      </c>
      <c r="G188" s="3" t="s">
        <v>2735</v>
      </c>
      <c r="H188" s="3"/>
      <c r="I188" s="3"/>
      <c r="J188" s="3"/>
      <c r="K188" s="3"/>
      <c r="L188" s="3"/>
      <c r="M188" s="36" t="s">
        <v>1258</v>
      </c>
      <c r="N188" s="36"/>
      <c r="O188" s="36"/>
      <c r="P188" s="36"/>
      <c r="Q188" s="36" t="s">
        <v>2752</v>
      </c>
      <c r="R188" s="150">
        <v>45898</v>
      </c>
      <c r="S188" s="36" t="s">
        <v>203</v>
      </c>
      <c r="T188" s="47" t="s">
        <v>275</v>
      </c>
      <c r="U188" s="146"/>
      <c r="V188"/>
    </row>
    <row r="189" spans="1:22" x14ac:dyDescent="0.25">
      <c r="A189" s="109"/>
      <c r="B189" s="109"/>
      <c r="C189" s="109" t="s">
        <v>275</v>
      </c>
      <c r="D189" s="109" t="s">
        <v>8</v>
      </c>
      <c r="E189" s="109" t="s">
        <v>2754</v>
      </c>
      <c r="F189" s="109" t="s">
        <v>3067</v>
      </c>
      <c r="G189" s="109" t="s">
        <v>2755</v>
      </c>
      <c r="H189" s="109"/>
      <c r="I189" s="109"/>
      <c r="J189" s="109"/>
      <c r="K189" s="109"/>
      <c r="L189" s="109"/>
      <c r="M189" s="109" t="s">
        <v>1258</v>
      </c>
      <c r="N189" s="109"/>
      <c r="O189" s="109"/>
      <c r="P189" s="109"/>
      <c r="Q189" s="109" t="s">
        <v>2780</v>
      </c>
      <c r="R189" s="117">
        <v>45901</v>
      </c>
      <c r="S189" s="109" t="s">
        <v>203</v>
      </c>
      <c r="T189" s="109" t="s">
        <v>275</v>
      </c>
      <c r="U189" s="109"/>
      <c r="V189"/>
    </row>
    <row r="190" spans="1:22" ht="15" customHeight="1" x14ac:dyDescent="0.25">
      <c r="A190" s="109"/>
      <c r="B190" s="109"/>
      <c r="C190" s="109" t="s">
        <v>275</v>
      </c>
      <c r="D190" s="109" t="s">
        <v>8</v>
      </c>
      <c r="E190" s="109" t="s">
        <v>2784</v>
      </c>
      <c r="F190" s="109" t="s">
        <v>483</v>
      </c>
      <c r="G190" s="109" t="s">
        <v>2785</v>
      </c>
      <c r="H190" s="109"/>
      <c r="I190" s="109"/>
      <c r="J190" s="109"/>
      <c r="K190" s="109"/>
      <c r="L190" s="109"/>
      <c r="M190" s="109" t="s">
        <v>1258</v>
      </c>
      <c r="N190" s="109"/>
      <c r="O190" s="109"/>
      <c r="P190" s="109"/>
      <c r="Q190" s="109" t="s">
        <v>2802</v>
      </c>
      <c r="R190" s="117">
        <v>45903</v>
      </c>
      <c r="S190" s="109" t="s">
        <v>203</v>
      </c>
      <c r="T190" s="109" t="s">
        <v>275</v>
      </c>
      <c r="U190" s="138"/>
      <c r="V190"/>
    </row>
    <row r="191" spans="1:22" x14ac:dyDescent="0.25">
      <c r="A191" s="47"/>
      <c r="B191" s="108"/>
      <c r="C191" s="47" t="s">
        <v>275</v>
      </c>
      <c r="D191" s="3" t="s">
        <v>8</v>
      </c>
      <c r="E191" s="3" t="s">
        <v>2758</v>
      </c>
      <c r="F191" s="3" t="s">
        <v>3069</v>
      </c>
      <c r="G191" s="3" t="s">
        <v>2759</v>
      </c>
      <c r="H191" s="3"/>
      <c r="I191" s="3"/>
      <c r="J191" s="3"/>
      <c r="K191" s="3"/>
      <c r="L191" s="3"/>
      <c r="M191" s="36" t="s">
        <v>1258</v>
      </c>
      <c r="N191" s="36"/>
      <c r="O191" s="36"/>
      <c r="P191" s="36"/>
      <c r="Q191" s="36"/>
      <c r="R191" s="150"/>
      <c r="S191" s="36"/>
      <c r="T191" s="47" t="s">
        <v>275</v>
      </c>
      <c r="U191" s="146"/>
      <c r="V191"/>
    </row>
    <row r="192" spans="1:22" x14ac:dyDescent="0.25">
      <c r="A192" s="47"/>
      <c r="B192" s="108"/>
      <c r="C192" s="47" t="s">
        <v>275</v>
      </c>
      <c r="D192" s="3" t="s">
        <v>8</v>
      </c>
      <c r="E192" s="3" t="s">
        <v>2821</v>
      </c>
      <c r="F192" s="3" t="s">
        <v>3070</v>
      </c>
      <c r="G192" s="3" t="s">
        <v>2822</v>
      </c>
      <c r="H192" s="3"/>
      <c r="I192" s="3"/>
      <c r="J192" s="3"/>
      <c r="K192" s="3"/>
      <c r="L192" s="3"/>
      <c r="M192" s="36" t="s">
        <v>1258</v>
      </c>
      <c r="N192" s="36"/>
      <c r="O192" s="36"/>
      <c r="P192" s="36"/>
      <c r="Q192" s="36"/>
      <c r="R192" s="150"/>
      <c r="S192" s="36"/>
      <c r="T192" s="47" t="s">
        <v>275</v>
      </c>
      <c r="U192" s="146"/>
      <c r="V192"/>
    </row>
    <row r="193" spans="1:22" ht="30" x14ac:dyDescent="0.25">
      <c r="A193" s="109"/>
      <c r="B193" s="109"/>
      <c r="C193" s="109" t="s">
        <v>275</v>
      </c>
      <c r="D193" s="109" t="s">
        <v>8</v>
      </c>
      <c r="E193" s="109" t="s">
        <v>2812</v>
      </c>
      <c r="F193" s="109" t="s">
        <v>3070</v>
      </c>
      <c r="G193" s="109" t="s">
        <v>2813</v>
      </c>
      <c r="H193" s="109"/>
      <c r="I193" s="109"/>
      <c r="J193" s="109"/>
      <c r="K193" s="109"/>
      <c r="L193" s="109"/>
      <c r="M193" s="110" t="s">
        <v>1258</v>
      </c>
      <c r="N193" s="110"/>
      <c r="O193" s="110"/>
      <c r="P193" s="110"/>
      <c r="Q193" s="110"/>
      <c r="R193" s="117"/>
      <c r="S193" s="110"/>
      <c r="T193" s="109" t="s">
        <v>275</v>
      </c>
      <c r="U193" s="138"/>
      <c r="V193"/>
    </row>
    <row r="194" spans="1:22" x14ac:dyDescent="0.25">
      <c r="A194" s="47"/>
      <c r="B194" s="108"/>
      <c r="C194" s="47" t="s">
        <v>275</v>
      </c>
      <c r="D194" s="3" t="s">
        <v>8</v>
      </c>
      <c r="E194" s="3" t="s">
        <v>2831</v>
      </c>
      <c r="F194" s="3" t="s">
        <v>3070</v>
      </c>
      <c r="G194" s="3" t="s">
        <v>2832</v>
      </c>
      <c r="H194" s="3"/>
      <c r="I194" s="3"/>
      <c r="J194" s="3"/>
      <c r="K194" s="3"/>
      <c r="L194" s="3"/>
      <c r="M194" s="36" t="s">
        <v>1258</v>
      </c>
      <c r="N194" s="36"/>
      <c r="O194" s="36"/>
      <c r="P194" s="36"/>
      <c r="Q194" s="36" t="s">
        <v>1640</v>
      </c>
      <c r="R194" s="150">
        <v>45905</v>
      </c>
      <c r="S194" s="36" t="s">
        <v>203</v>
      </c>
      <c r="T194" s="47" t="s">
        <v>275</v>
      </c>
      <c r="U194" s="146"/>
      <c r="V194"/>
    </row>
    <row r="195" spans="1:22" x14ac:dyDescent="0.25">
      <c r="A195" s="47"/>
      <c r="B195" s="108"/>
      <c r="C195" s="47" t="s">
        <v>275</v>
      </c>
      <c r="D195" s="3" t="s">
        <v>8</v>
      </c>
      <c r="E195" s="3" t="s">
        <v>2833</v>
      </c>
      <c r="F195" s="3" t="s">
        <v>3070</v>
      </c>
      <c r="G195" s="3" t="s">
        <v>2834</v>
      </c>
      <c r="H195" s="3"/>
      <c r="I195" s="3"/>
      <c r="J195" s="3"/>
      <c r="K195" s="3"/>
      <c r="L195" s="3"/>
      <c r="M195" s="36" t="s">
        <v>1258</v>
      </c>
      <c r="N195" s="36"/>
      <c r="O195" s="36"/>
      <c r="P195" s="36"/>
      <c r="Q195" s="36"/>
      <c r="R195" s="150">
        <v>45905</v>
      </c>
      <c r="S195" s="36" t="s">
        <v>203</v>
      </c>
      <c r="T195" s="47" t="s">
        <v>275</v>
      </c>
      <c r="U195" s="146"/>
      <c r="V195"/>
    </row>
    <row r="196" spans="1:22" x14ac:dyDescent="0.25">
      <c r="A196" s="47"/>
      <c r="B196" s="108"/>
      <c r="C196" s="47" t="s">
        <v>275</v>
      </c>
      <c r="D196" s="3" t="s">
        <v>8</v>
      </c>
      <c r="E196" s="3" t="s">
        <v>2852</v>
      </c>
      <c r="F196" s="3" t="s">
        <v>3070</v>
      </c>
      <c r="G196" s="3" t="s">
        <v>2853</v>
      </c>
      <c r="H196" s="3"/>
      <c r="I196" s="3"/>
      <c r="J196" s="3"/>
      <c r="K196" s="3"/>
      <c r="L196" s="3"/>
      <c r="M196" s="36" t="s">
        <v>1258</v>
      </c>
      <c r="N196" s="36"/>
      <c r="O196" s="36"/>
      <c r="P196" s="36"/>
      <c r="Q196" s="36" t="s">
        <v>1640</v>
      </c>
      <c r="R196" s="150">
        <v>45908</v>
      </c>
      <c r="S196" s="36" t="s">
        <v>2608</v>
      </c>
      <c r="T196" s="47" t="s">
        <v>275</v>
      </c>
      <c r="U196" s="146"/>
      <c r="V196"/>
    </row>
    <row r="197" spans="1:22" ht="30" x14ac:dyDescent="0.25">
      <c r="A197" s="47"/>
      <c r="B197" s="108"/>
      <c r="C197" s="47" t="s">
        <v>275</v>
      </c>
      <c r="D197" s="3" t="s">
        <v>8</v>
      </c>
      <c r="E197" s="3" t="s">
        <v>2859</v>
      </c>
      <c r="F197" s="3" t="s">
        <v>3070</v>
      </c>
      <c r="G197" s="3" t="s">
        <v>2860</v>
      </c>
      <c r="H197" s="3"/>
      <c r="I197" s="3"/>
      <c r="J197" s="3"/>
      <c r="K197" s="3"/>
      <c r="L197" s="3"/>
      <c r="M197" s="36" t="s">
        <v>1258</v>
      </c>
      <c r="N197" s="36"/>
      <c r="O197" s="36"/>
      <c r="P197" s="36"/>
      <c r="Q197" s="36"/>
      <c r="R197" s="150"/>
      <c r="S197" s="36"/>
      <c r="T197" s="47" t="s">
        <v>275</v>
      </c>
      <c r="U197" s="146"/>
      <c r="V197"/>
    </row>
    <row r="198" spans="1:22" ht="30" x14ac:dyDescent="0.25">
      <c r="A198" s="47"/>
      <c r="B198" s="108"/>
      <c r="C198" s="47" t="s">
        <v>275</v>
      </c>
      <c r="D198" s="3" t="s">
        <v>8</v>
      </c>
      <c r="E198" s="3" t="s">
        <v>2886</v>
      </c>
      <c r="F198" s="3" t="s">
        <v>3070</v>
      </c>
      <c r="G198" s="3" t="s">
        <v>2887</v>
      </c>
      <c r="H198" s="3"/>
      <c r="I198" s="3"/>
      <c r="J198" s="3"/>
      <c r="K198" s="3"/>
      <c r="L198" s="3"/>
      <c r="M198" s="36" t="s">
        <v>1258</v>
      </c>
      <c r="N198" s="36"/>
      <c r="O198" s="36"/>
      <c r="P198" s="36"/>
      <c r="Q198" s="36" t="s">
        <v>2926</v>
      </c>
      <c r="R198" s="150">
        <v>45911</v>
      </c>
      <c r="S198" s="36" t="s">
        <v>2603</v>
      </c>
      <c r="T198" s="47" t="s">
        <v>275</v>
      </c>
      <c r="U198" s="146"/>
      <c r="V198"/>
    </row>
    <row r="199" spans="1:22" ht="30" x14ac:dyDescent="0.25">
      <c r="A199" s="47"/>
      <c r="B199" s="108"/>
      <c r="C199" s="47" t="s">
        <v>275</v>
      </c>
      <c r="D199" s="3" t="s">
        <v>8</v>
      </c>
      <c r="E199" s="3" t="s">
        <v>2858</v>
      </c>
      <c r="F199" s="3" t="s">
        <v>3070</v>
      </c>
      <c r="G199" s="3" t="s">
        <v>2217</v>
      </c>
      <c r="H199" s="3"/>
      <c r="I199" s="3"/>
      <c r="J199" s="3"/>
      <c r="K199" s="3"/>
      <c r="L199" s="3"/>
      <c r="M199" s="36" t="s">
        <v>1258</v>
      </c>
      <c r="N199" s="36"/>
      <c r="O199" s="36"/>
      <c r="P199" s="36"/>
      <c r="Q199" s="36" t="s">
        <v>2985</v>
      </c>
      <c r="R199" s="150">
        <v>45915</v>
      </c>
      <c r="S199" s="36" t="s">
        <v>203</v>
      </c>
      <c r="T199" s="47" t="s">
        <v>275</v>
      </c>
      <c r="U199" s="146"/>
      <c r="V199"/>
    </row>
    <row r="200" spans="1:22" ht="45" x14ac:dyDescent="0.25">
      <c r="A200" s="47"/>
      <c r="B200" s="108"/>
      <c r="C200" s="47" t="s">
        <v>275</v>
      </c>
      <c r="D200" s="3" t="s">
        <v>8</v>
      </c>
      <c r="E200" s="3" t="s">
        <v>2854</v>
      </c>
      <c r="F200" s="3" t="s">
        <v>3070</v>
      </c>
      <c r="G200" s="3" t="s">
        <v>2855</v>
      </c>
      <c r="H200" s="3"/>
      <c r="I200" s="3"/>
      <c r="J200" s="3"/>
      <c r="K200" s="3"/>
      <c r="L200" s="3"/>
      <c r="M200" s="36" t="s">
        <v>1258</v>
      </c>
      <c r="N200" s="36"/>
      <c r="O200" s="36"/>
      <c r="P200" s="36"/>
      <c r="Q200" s="36" t="s">
        <v>2984</v>
      </c>
      <c r="R200" s="150">
        <v>45916</v>
      </c>
      <c r="S200" s="36" t="s">
        <v>203</v>
      </c>
      <c r="T200" s="47" t="s">
        <v>275</v>
      </c>
      <c r="U200" s="146"/>
      <c r="V200"/>
    </row>
    <row r="201" spans="1:22" x14ac:dyDescent="0.25">
      <c r="A201" s="47"/>
      <c r="B201" s="108"/>
      <c r="C201" s="47" t="s">
        <v>275</v>
      </c>
      <c r="D201" s="3" t="s">
        <v>8</v>
      </c>
      <c r="E201" s="3" t="s">
        <v>3027</v>
      </c>
      <c r="F201" s="3" t="s">
        <v>3070</v>
      </c>
      <c r="G201" s="3" t="s">
        <v>3028</v>
      </c>
      <c r="H201" s="3"/>
      <c r="I201" s="3"/>
      <c r="J201" s="3"/>
      <c r="K201" s="3"/>
      <c r="L201" s="3"/>
      <c r="M201" s="36" t="s">
        <v>1258</v>
      </c>
      <c r="N201" s="36"/>
      <c r="O201" s="36"/>
      <c r="P201" s="36"/>
      <c r="Q201" s="36" t="s">
        <v>3040</v>
      </c>
      <c r="R201" s="150">
        <v>45922</v>
      </c>
      <c r="S201" s="36" t="s">
        <v>203</v>
      </c>
      <c r="T201" s="47" t="s">
        <v>275</v>
      </c>
      <c r="U201" s="146"/>
      <c r="V201"/>
    </row>
    <row r="202" spans="1:22" x14ac:dyDescent="0.25">
      <c r="A202" s="47"/>
      <c r="B202" s="108"/>
      <c r="C202" s="47" t="s">
        <v>275</v>
      </c>
      <c r="D202" s="3" t="s">
        <v>8</v>
      </c>
      <c r="E202" s="3" t="s">
        <v>2936</v>
      </c>
      <c r="F202" s="3" t="s">
        <v>3066</v>
      </c>
      <c r="G202" s="3" t="s">
        <v>2937</v>
      </c>
      <c r="H202" s="3"/>
      <c r="I202" s="3"/>
      <c r="J202" s="3"/>
      <c r="K202" s="3"/>
      <c r="L202" s="3"/>
      <c r="M202" s="36" t="s">
        <v>1036</v>
      </c>
      <c r="N202" s="36"/>
      <c r="O202" s="36"/>
      <c r="P202" s="36"/>
      <c r="Q202" s="36"/>
      <c r="R202" s="150"/>
      <c r="S202" s="36"/>
      <c r="T202" s="47" t="s">
        <v>275</v>
      </c>
      <c r="U202" s="146"/>
      <c r="V202"/>
    </row>
    <row r="203" spans="1:22" ht="30" x14ac:dyDescent="0.25">
      <c r="A203" s="109"/>
      <c r="B203" s="109"/>
      <c r="C203" s="109" t="s">
        <v>275</v>
      </c>
      <c r="D203" s="109" t="s">
        <v>8</v>
      </c>
      <c r="E203" s="109" t="s">
        <v>2481</v>
      </c>
      <c r="F203" s="109" t="s">
        <v>3066</v>
      </c>
      <c r="G203" s="109" t="s">
        <v>2482</v>
      </c>
      <c r="H203" s="109"/>
      <c r="I203" s="109"/>
      <c r="J203" s="109"/>
      <c r="K203" s="109"/>
      <c r="L203" s="109"/>
      <c r="M203" s="109" t="s">
        <v>1036</v>
      </c>
      <c r="N203" s="109"/>
      <c r="O203" s="109"/>
      <c r="P203" s="109"/>
      <c r="Q203" s="109"/>
      <c r="R203" s="117"/>
      <c r="S203" s="109"/>
      <c r="T203" s="109" t="s">
        <v>275</v>
      </c>
      <c r="U203" s="109"/>
      <c r="V203"/>
    </row>
    <row r="204" spans="1:22" ht="30" x14ac:dyDescent="0.25">
      <c r="A204" s="47"/>
      <c r="B204" s="108"/>
      <c r="C204" s="47" t="s">
        <v>275</v>
      </c>
      <c r="D204" s="3" t="s">
        <v>8</v>
      </c>
      <c r="E204" s="3" t="s">
        <v>2423</v>
      </c>
      <c r="F204" s="3" t="s">
        <v>483</v>
      </c>
      <c r="G204" s="3" t="s">
        <v>2424</v>
      </c>
      <c r="H204" s="3"/>
      <c r="I204" s="3"/>
      <c r="J204" s="3"/>
      <c r="K204" s="3"/>
      <c r="L204" s="3"/>
      <c r="M204" s="36" t="s">
        <v>1036</v>
      </c>
      <c r="N204" s="36"/>
      <c r="O204" s="36"/>
      <c r="P204" s="36"/>
      <c r="Q204" s="36"/>
      <c r="R204" s="150"/>
      <c r="S204" s="36"/>
      <c r="T204" s="47" t="s">
        <v>275</v>
      </c>
      <c r="U204" s="146"/>
      <c r="V204"/>
    </row>
    <row r="205" spans="1:22" ht="30" x14ac:dyDescent="0.25">
      <c r="A205" s="109"/>
      <c r="B205" s="109"/>
      <c r="C205" s="109" t="s">
        <v>275</v>
      </c>
      <c r="D205" s="109" t="s">
        <v>8</v>
      </c>
      <c r="E205" s="109" t="s">
        <v>2361</v>
      </c>
      <c r="F205" s="109" t="s">
        <v>3066</v>
      </c>
      <c r="G205" s="109" t="s">
        <v>2362</v>
      </c>
      <c r="H205" s="109"/>
      <c r="I205" s="109"/>
      <c r="J205" s="109"/>
      <c r="K205" s="109"/>
      <c r="L205" s="109"/>
      <c r="M205" s="109" t="s">
        <v>1036</v>
      </c>
      <c r="N205" s="109"/>
      <c r="O205" s="109"/>
      <c r="P205" s="109"/>
      <c r="Q205" s="109"/>
      <c r="R205" s="117"/>
      <c r="S205" s="109"/>
      <c r="T205" s="109" t="s">
        <v>275</v>
      </c>
      <c r="U205" s="109"/>
      <c r="V205"/>
    </row>
    <row r="206" spans="1:22" ht="30" x14ac:dyDescent="0.25">
      <c r="A206" s="47"/>
      <c r="B206" s="108"/>
      <c r="C206" s="47" t="s">
        <v>275</v>
      </c>
      <c r="D206" s="3" t="s">
        <v>8</v>
      </c>
      <c r="E206" s="3" t="s">
        <v>2284</v>
      </c>
      <c r="F206" s="3" t="s">
        <v>3066</v>
      </c>
      <c r="G206" s="3" t="s">
        <v>2280</v>
      </c>
      <c r="H206" s="3"/>
      <c r="I206" s="3"/>
      <c r="J206" s="3"/>
      <c r="K206" s="3"/>
      <c r="L206" s="3"/>
      <c r="M206" s="36" t="s">
        <v>1036</v>
      </c>
      <c r="N206" s="36"/>
      <c r="O206" s="36"/>
      <c r="P206" s="36"/>
      <c r="Q206" s="36"/>
      <c r="R206" s="150"/>
      <c r="S206" s="36"/>
      <c r="T206" s="47" t="s">
        <v>275</v>
      </c>
      <c r="U206" s="146" t="s">
        <v>2281</v>
      </c>
      <c r="V206"/>
    </row>
    <row r="207" spans="1:22" ht="30" x14ac:dyDescent="0.25">
      <c r="A207" s="47"/>
      <c r="B207" s="108"/>
      <c r="C207" s="47" t="s">
        <v>275</v>
      </c>
      <c r="D207" s="3" t="s">
        <v>8</v>
      </c>
      <c r="E207" s="3" t="s">
        <v>1763</v>
      </c>
      <c r="F207" s="3" t="s">
        <v>3070</v>
      </c>
      <c r="G207" s="3" t="s">
        <v>1764</v>
      </c>
      <c r="H207" s="3"/>
      <c r="I207" s="3"/>
      <c r="J207" s="3"/>
      <c r="K207" s="3"/>
      <c r="L207" s="3"/>
      <c r="M207" s="36" t="s">
        <v>1036</v>
      </c>
      <c r="N207" s="36"/>
      <c r="O207" s="36"/>
      <c r="P207" s="36"/>
      <c r="Q207" s="36" t="s">
        <v>1765</v>
      </c>
      <c r="R207" s="150">
        <v>45833</v>
      </c>
      <c r="S207" s="36" t="s">
        <v>1279</v>
      </c>
      <c r="T207" s="47" t="s">
        <v>275</v>
      </c>
      <c r="U207" s="146" t="s">
        <v>275</v>
      </c>
      <c r="V207"/>
    </row>
    <row r="208" spans="1:22" ht="45" x14ac:dyDescent="0.25">
      <c r="A208" s="47"/>
      <c r="B208" s="108"/>
      <c r="C208" s="47" t="s">
        <v>275</v>
      </c>
      <c r="D208" s="3" t="s">
        <v>8</v>
      </c>
      <c r="E208" s="3" t="s">
        <v>1695</v>
      </c>
      <c r="F208" s="3" t="s">
        <v>3070</v>
      </c>
      <c r="G208" s="3" t="s">
        <v>1696</v>
      </c>
      <c r="H208" s="3"/>
      <c r="I208" s="3"/>
      <c r="J208" s="3"/>
      <c r="K208" s="3"/>
      <c r="L208" s="3"/>
      <c r="M208" s="36" t="s">
        <v>1036</v>
      </c>
      <c r="N208" s="36"/>
      <c r="O208" s="36"/>
      <c r="P208" s="36"/>
      <c r="Q208" s="36" t="s">
        <v>1704</v>
      </c>
      <c r="R208" s="150">
        <v>45824</v>
      </c>
      <c r="S208" s="36" t="s">
        <v>203</v>
      </c>
      <c r="T208" s="47" t="s">
        <v>275</v>
      </c>
      <c r="U208" s="146" t="s">
        <v>275</v>
      </c>
      <c r="V208"/>
    </row>
    <row r="209" spans="1:22" x14ac:dyDescent="0.25">
      <c r="A209" s="47"/>
      <c r="B209" s="108"/>
      <c r="C209" s="47" t="s">
        <v>275</v>
      </c>
      <c r="D209" s="3" t="s">
        <v>8</v>
      </c>
      <c r="E209" s="3" t="s">
        <v>1687</v>
      </c>
      <c r="F209" s="3" t="s">
        <v>3070</v>
      </c>
      <c r="G209" s="3" t="s">
        <v>1688</v>
      </c>
      <c r="H209" s="3"/>
      <c r="I209" s="3"/>
      <c r="J209" s="3"/>
      <c r="K209" s="3"/>
      <c r="L209" s="3"/>
      <c r="M209" s="36" t="s">
        <v>1036</v>
      </c>
      <c r="N209" s="36"/>
      <c r="O209" s="36"/>
      <c r="P209" s="36"/>
      <c r="Q209" s="36"/>
      <c r="R209" s="150"/>
      <c r="S209" s="36"/>
      <c r="T209" s="47" t="s">
        <v>275</v>
      </c>
      <c r="U209" s="146" t="s">
        <v>275</v>
      </c>
      <c r="V209"/>
    </row>
    <row r="210" spans="1:22" x14ac:dyDescent="0.25">
      <c r="A210" s="109"/>
      <c r="B210" s="109" t="s">
        <v>23</v>
      </c>
      <c r="C210" s="109" t="s">
        <v>275</v>
      </c>
      <c r="D210" s="109" t="s">
        <v>8</v>
      </c>
      <c r="E210" s="109" t="s">
        <v>1679</v>
      </c>
      <c r="F210" s="109" t="s">
        <v>3069</v>
      </c>
      <c r="G210" s="109" t="s">
        <v>1680</v>
      </c>
      <c r="H210" s="109"/>
      <c r="I210" s="109"/>
      <c r="J210" s="109"/>
      <c r="K210" s="109"/>
      <c r="L210" s="109"/>
      <c r="M210" s="109" t="s">
        <v>1036</v>
      </c>
      <c r="N210" s="109"/>
      <c r="O210" s="109"/>
      <c r="P210" s="109"/>
      <c r="Q210" s="109"/>
      <c r="R210" s="117"/>
      <c r="S210" s="109"/>
      <c r="T210" s="109" t="s">
        <v>275</v>
      </c>
      <c r="U210" s="109" t="s">
        <v>275</v>
      </c>
      <c r="V210"/>
    </row>
    <row r="211" spans="1:22" x14ac:dyDescent="0.25">
      <c r="A211" s="47"/>
      <c r="B211" s="108" t="s">
        <v>23</v>
      </c>
      <c r="C211" s="47" t="s">
        <v>275</v>
      </c>
      <c r="D211" s="3" t="s">
        <v>8</v>
      </c>
      <c r="E211" s="3" t="s">
        <v>1619</v>
      </c>
      <c r="F211" s="3" t="s">
        <v>483</v>
      </c>
      <c r="G211" s="3" t="s">
        <v>1620</v>
      </c>
      <c r="H211" s="3"/>
      <c r="I211" s="3"/>
      <c r="J211" s="3"/>
      <c r="K211" s="3"/>
      <c r="L211" s="3"/>
      <c r="M211" s="36" t="s">
        <v>1036</v>
      </c>
      <c r="N211" s="36"/>
      <c r="O211" s="36"/>
      <c r="P211" s="36"/>
      <c r="Q211" s="36" t="s">
        <v>1640</v>
      </c>
      <c r="R211" s="150">
        <v>45771</v>
      </c>
      <c r="S211" s="36" t="s">
        <v>239</v>
      </c>
      <c r="T211" s="47" t="s">
        <v>275</v>
      </c>
      <c r="U211" s="146" t="s">
        <v>275</v>
      </c>
      <c r="V211"/>
    </row>
    <row r="212" spans="1:22" ht="30" x14ac:dyDescent="0.25">
      <c r="A212" s="47"/>
      <c r="B212" s="108" t="s">
        <v>23</v>
      </c>
      <c r="C212" s="47" t="s">
        <v>275</v>
      </c>
      <c r="D212" s="3" t="s">
        <v>8</v>
      </c>
      <c r="E212" s="3" t="s">
        <v>1442</v>
      </c>
      <c r="F212" s="3" t="s">
        <v>3069</v>
      </c>
      <c r="G212" s="3" t="s">
        <v>1443</v>
      </c>
      <c r="H212" s="3"/>
      <c r="I212" s="3"/>
      <c r="J212" s="3"/>
      <c r="K212" s="3"/>
      <c r="L212" s="3"/>
      <c r="M212" s="36" t="s">
        <v>1036</v>
      </c>
      <c r="N212" s="36"/>
      <c r="O212" s="36"/>
      <c r="P212" s="36"/>
      <c r="Q212" s="36"/>
      <c r="R212" s="150">
        <v>45798</v>
      </c>
      <c r="S212" s="36" t="s">
        <v>302</v>
      </c>
      <c r="T212" s="47" t="s">
        <v>275</v>
      </c>
      <c r="U212" s="146" t="s">
        <v>275</v>
      </c>
      <c r="V212"/>
    </row>
    <row r="213" spans="1:22" ht="30" x14ac:dyDescent="0.25">
      <c r="A213" s="47"/>
      <c r="B213" s="108"/>
      <c r="C213" s="47" t="s">
        <v>275</v>
      </c>
      <c r="D213" s="3" t="s">
        <v>8</v>
      </c>
      <c r="E213" s="3" t="s">
        <v>1432</v>
      </c>
      <c r="F213" s="3" t="s">
        <v>3067</v>
      </c>
      <c r="G213" s="3" t="s">
        <v>1424</v>
      </c>
      <c r="H213" s="3"/>
      <c r="I213" s="3"/>
      <c r="J213" s="3"/>
      <c r="K213" s="3"/>
      <c r="L213" s="3"/>
      <c r="M213" s="36" t="s">
        <v>1036</v>
      </c>
      <c r="N213" s="36"/>
      <c r="O213" s="36"/>
      <c r="P213" s="36"/>
      <c r="Q213" s="36"/>
      <c r="R213" s="150"/>
      <c r="S213" s="36" t="s">
        <v>1452</v>
      </c>
      <c r="T213" s="47" t="s">
        <v>275</v>
      </c>
      <c r="U213" s="146" t="s">
        <v>275</v>
      </c>
      <c r="V213"/>
    </row>
    <row r="214" spans="1:22" x14ac:dyDescent="0.25">
      <c r="A214" s="109"/>
      <c r="B214" s="109" t="s">
        <v>23</v>
      </c>
      <c r="C214" s="109" t="s">
        <v>275</v>
      </c>
      <c r="D214" s="109" t="s">
        <v>8</v>
      </c>
      <c r="E214" s="109" t="s">
        <v>1345</v>
      </c>
      <c r="F214" s="109" t="s">
        <v>3066</v>
      </c>
      <c r="G214" s="109" t="s">
        <v>1342</v>
      </c>
      <c r="H214" s="109"/>
      <c r="I214" s="109"/>
      <c r="J214" s="109"/>
      <c r="K214" s="109"/>
      <c r="L214" s="109"/>
      <c r="M214" s="109" t="s">
        <v>1036</v>
      </c>
      <c r="N214" s="109"/>
      <c r="O214" s="109"/>
      <c r="P214" s="109"/>
      <c r="Q214" s="109"/>
      <c r="R214" s="117"/>
      <c r="S214" s="109"/>
      <c r="T214" s="109" t="s">
        <v>275</v>
      </c>
      <c r="U214" s="109" t="s">
        <v>275</v>
      </c>
      <c r="V214"/>
    </row>
    <row r="215" spans="1:22" x14ac:dyDescent="0.25">
      <c r="A215" s="47"/>
      <c r="B215" s="108" t="s">
        <v>23</v>
      </c>
      <c r="C215" s="47" t="s">
        <v>275</v>
      </c>
      <c r="D215" s="3" t="s">
        <v>8</v>
      </c>
      <c r="E215" s="3" t="s">
        <v>1104</v>
      </c>
      <c r="F215" s="3" t="s">
        <v>3068</v>
      </c>
      <c r="G215" s="3" t="s">
        <v>1100</v>
      </c>
      <c r="H215" s="3"/>
      <c r="I215" s="3"/>
      <c r="J215" s="3"/>
      <c r="K215" s="3"/>
      <c r="L215" s="3"/>
      <c r="M215" s="36" t="s">
        <v>1036</v>
      </c>
      <c r="N215" s="36"/>
      <c r="O215" s="36"/>
      <c r="P215" s="36"/>
      <c r="Q215" s="36" t="s">
        <v>1181</v>
      </c>
      <c r="R215" s="150"/>
      <c r="S215" s="36"/>
      <c r="T215" s="47" t="s">
        <v>275</v>
      </c>
      <c r="U215" s="146" t="s">
        <v>275</v>
      </c>
      <c r="V215"/>
    </row>
    <row r="216" spans="1:22" ht="30" x14ac:dyDescent="0.25">
      <c r="A216" s="47"/>
      <c r="B216" s="108" t="s">
        <v>23</v>
      </c>
      <c r="C216" s="47" t="s">
        <v>275</v>
      </c>
      <c r="D216" s="3" t="s">
        <v>8</v>
      </c>
      <c r="E216" s="3" t="s">
        <v>1298</v>
      </c>
      <c r="F216" s="3" t="s">
        <v>3070</v>
      </c>
      <c r="G216" s="3" t="s">
        <v>1295</v>
      </c>
      <c r="H216" s="3"/>
      <c r="I216" s="3"/>
      <c r="J216" s="3"/>
      <c r="K216" s="3"/>
      <c r="L216" s="3"/>
      <c r="M216" s="36" t="s">
        <v>1036</v>
      </c>
      <c r="N216" s="36"/>
      <c r="O216" s="36"/>
      <c r="P216" s="36"/>
      <c r="Q216" s="36" t="s">
        <v>1296</v>
      </c>
      <c r="R216" s="150">
        <v>45785</v>
      </c>
      <c r="S216" s="36"/>
      <c r="T216" s="47" t="s">
        <v>275</v>
      </c>
      <c r="U216" s="146" t="s">
        <v>275</v>
      </c>
      <c r="V216"/>
    </row>
    <row r="217" spans="1:22" ht="30" x14ac:dyDescent="0.25">
      <c r="A217" s="109"/>
      <c r="B217" s="109" t="s">
        <v>23</v>
      </c>
      <c r="C217" s="109" t="s">
        <v>275</v>
      </c>
      <c r="D217" s="109" t="s">
        <v>8</v>
      </c>
      <c r="E217" s="109" t="s">
        <v>1312</v>
      </c>
      <c r="F217" s="109" t="s">
        <v>3070</v>
      </c>
      <c r="G217" s="109" t="s">
        <v>1309</v>
      </c>
      <c r="H217" s="109"/>
      <c r="I217" s="109"/>
      <c r="J217" s="109"/>
      <c r="K217" s="109"/>
      <c r="L217" s="109"/>
      <c r="M217" s="109" t="s">
        <v>1036</v>
      </c>
      <c r="N217" s="109"/>
      <c r="O217" s="109"/>
      <c r="P217" s="109"/>
      <c r="Q217" s="109"/>
      <c r="R217" s="117">
        <v>45788</v>
      </c>
      <c r="S217" s="109" t="s">
        <v>50</v>
      </c>
      <c r="T217" s="109" t="s">
        <v>275</v>
      </c>
      <c r="U217" s="109" t="s">
        <v>275</v>
      </c>
      <c r="V217"/>
    </row>
    <row r="218" spans="1:22" ht="30" x14ac:dyDescent="0.25">
      <c r="A218" s="109"/>
      <c r="B218" s="109" t="s">
        <v>23</v>
      </c>
      <c r="C218" s="109" t="s">
        <v>275</v>
      </c>
      <c r="D218" s="109" t="s">
        <v>8</v>
      </c>
      <c r="E218" s="109" t="s">
        <v>1341</v>
      </c>
      <c r="F218" s="109" t="s">
        <v>3070</v>
      </c>
      <c r="G218" s="109" t="s">
        <v>1340</v>
      </c>
      <c r="H218" s="109"/>
      <c r="I218" s="109"/>
      <c r="J218" s="109"/>
      <c r="K218" s="109"/>
      <c r="L218" s="109"/>
      <c r="M218" s="109" t="s">
        <v>1036</v>
      </c>
      <c r="N218" s="109"/>
      <c r="O218" s="109"/>
      <c r="P218" s="109"/>
      <c r="Q218" s="109" t="s">
        <v>1371</v>
      </c>
      <c r="R218" s="117">
        <v>45792</v>
      </c>
      <c r="S218" s="109" t="s">
        <v>693</v>
      </c>
      <c r="T218" s="109" t="s">
        <v>275</v>
      </c>
      <c r="U218" s="109" t="s">
        <v>275</v>
      </c>
      <c r="V218"/>
    </row>
    <row r="219" spans="1:22" x14ac:dyDescent="0.25">
      <c r="A219" s="47"/>
      <c r="B219" s="108" t="s">
        <v>23</v>
      </c>
      <c r="C219" s="47" t="s">
        <v>275</v>
      </c>
      <c r="D219" s="3" t="s">
        <v>8</v>
      </c>
      <c r="E219" s="3" t="s">
        <v>1376</v>
      </c>
      <c r="F219" s="3" t="s">
        <v>3068</v>
      </c>
      <c r="G219" s="3" t="s">
        <v>1375</v>
      </c>
      <c r="H219" s="3"/>
      <c r="I219" s="3"/>
      <c r="J219" s="3"/>
      <c r="K219" s="3"/>
      <c r="L219" s="3"/>
      <c r="M219" s="36" t="s">
        <v>1036</v>
      </c>
      <c r="N219" s="36"/>
      <c r="O219" s="36"/>
      <c r="P219" s="36"/>
      <c r="Q219" s="36"/>
      <c r="R219" s="150"/>
      <c r="S219" s="36"/>
      <c r="T219" s="47" t="s">
        <v>275</v>
      </c>
      <c r="U219" s="146" t="s">
        <v>275</v>
      </c>
      <c r="V219"/>
    </row>
    <row r="220" spans="1:22" ht="30" x14ac:dyDescent="0.25">
      <c r="A220" s="47"/>
      <c r="B220" s="108"/>
      <c r="C220" s="47" t="s">
        <v>275</v>
      </c>
      <c r="D220" s="3" t="s">
        <v>8</v>
      </c>
      <c r="E220" s="3" t="s">
        <v>1463</v>
      </c>
      <c r="F220" s="3" t="s">
        <v>3069</v>
      </c>
      <c r="G220" s="3" t="s">
        <v>1460</v>
      </c>
      <c r="H220" s="3"/>
      <c r="I220" s="3"/>
      <c r="J220" s="3"/>
      <c r="K220" s="3"/>
      <c r="L220" s="3"/>
      <c r="M220" s="36" t="s">
        <v>1036</v>
      </c>
      <c r="N220" s="36"/>
      <c r="O220" s="36"/>
      <c r="P220" s="36"/>
      <c r="Q220" s="36"/>
      <c r="R220" s="150">
        <v>45804</v>
      </c>
      <c r="S220" s="36" t="s">
        <v>1484</v>
      </c>
      <c r="T220" s="47" t="s">
        <v>275</v>
      </c>
      <c r="U220" s="146" t="s">
        <v>275</v>
      </c>
      <c r="V220"/>
    </row>
    <row r="221" spans="1:22" ht="30" x14ac:dyDescent="0.25">
      <c r="A221" s="109"/>
      <c r="B221" s="109" t="s">
        <v>23</v>
      </c>
      <c r="C221" s="109" t="s">
        <v>275</v>
      </c>
      <c r="D221" s="109" t="s">
        <v>8</v>
      </c>
      <c r="E221" s="109" t="s">
        <v>1655</v>
      </c>
      <c r="F221" s="109" t="s">
        <v>3067</v>
      </c>
      <c r="G221" s="109" t="s">
        <v>1656</v>
      </c>
      <c r="H221" s="109"/>
      <c r="I221" s="109"/>
      <c r="J221" s="109"/>
      <c r="K221" s="109"/>
      <c r="L221" s="109"/>
      <c r="M221" s="109" t="s">
        <v>1036</v>
      </c>
      <c r="N221" s="109"/>
      <c r="O221" s="109"/>
      <c r="P221" s="109"/>
      <c r="Q221" s="109"/>
      <c r="R221" s="117">
        <v>45818</v>
      </c>
      <c r="S221" s="109" t="s">
        <v>239</v>
      </c>
      <c r="T221" s="109" t="s">
        <v>275</v>
      </c>
      <c r="U221" s="109" t="s">
        <v>275</v>
      </c>
      <c r="V221"/>
    </row>
    <row r="222" spans="1:22" ht="30" x14ac:dyDescent="0.25">
      <c r="A222" s="109"/>
      <c r="B222" s="109"/>
      <c r="C222" s="109" t="s">
        <v>275</v>
      </c>
      <c r="D222" s="109" t="s">
        <v>8</v>
      </c>
      <c r="E222" s="109" t="s">
        <v>1580</v>
      </c>
      <c r="F222" s="109" t="s">
        <v>3069</v>
      </c>
      <c r="G222" s="109" t="s">
        <v>1577</v>
      </c>
      <c r="H222" s="109"/>
      <c r="I222" s="109"/>
      <c r="J222" s="109"/>
      <c r="K222" s="109"/>
      <c r="L222" s="109"/>
      <c r="M222" s="109" t="s">
        <v>1036</v>
      </c>
      <c r="N222" s="109"/>
      <c r="O222" s="109"/>
      <c r="P222" s="109"/>
      <c r="Q222" s="109"/>
      <c r="R222" s="117"/>
      <c r="S222" s="109"/>
      <c r="T222" s="109" t="s">
        <v>275</v>
      </c>
      <c r="U222" s="109" t="s">
        <v>275</v>
      </c>
      <c r="V222"/>
    </row>
    <row r="223" spans="1:22" ht="45" x14ac:dyDescent="0.25">
      <c r="A223" s="47"/>
      <c r="B223" s="108"/>
      <c r="C223" s="47" t="s">
        <v>275</v>
      </c>
      <c r="D223" s="3" t="s">
        <v>8</v>
      </c>
      <c r="E223" s="3" t="s">
        <v>1741</v>
      </c>
      <c r="F223" s="3" t="s">
        <v>3070</v>
      </c>
      <c r="G223" s="3" t="s">
        <v>1742</v>
      </c>
      <c r="H223" s="3"/>
      <c r="I223" s="3"/>
      <c r="J223" s="3"/>
      <c r="K223" s="3"/>
      <c r="L223" s="3"/>
      <c r="M223" s="36" t="s">
        <v>1036</v>
      </c>
      <c r="N223" s="36"/>
      <c r="O223" s="36"/>
      <c r="P223" s="36"/>
      <c r="Q223" s="36" t="s">
        <v>1779</v>
      </c>
      <c r="R223" s="150">
        <v>45831</v>
      </c>
      <c r="S223" s="36" t="s">
        <v>1780</v>
      </c>
      <c r="T223" s="47" t="s">
        <v>275</v>
      </c>
      <c r="U223" s="146" t="s">
        <v>275</v>
      </c>
      <c r="V223"/>
    </row>
    <row r="224" spans="1:22" ht="30" x14ac:dyDescent="0.25">
      <c r="A224" s="47"/>
      <c r="B224" s="108"/>
      <c r="C224" s="47" t="s">
        <v>275</v>
      </c>
      <c r="D224" s="3" t="s">
        <v>8</v>
      </c>
      <c r="E224" s="3" t="s">
        <v>1775</v>
      </c>
      <c r="F224" s="3" t="s">
        <v>3070</v>
      </c>
      <c r="G224" s="3" t="s">
        <v>1776</v>
      </c>
      <c r="H224" s="3"/>
      <c r="I224" s="3"/>
      <c r="J224" s="3"/>
      <c r="K224" s="3"/>
      <c r="L224" s="3"/>
      <c r="M224" s="36" t="s">
        <v>1036</v>
      </c>
      <c r="N224" s="36"/>
      <c r="O224" s="36"/>
      <c r="P224" s="36"/>
      <c r="Q224" s="36"/>
      <c r="R224" s="150"/>
      <c r="S224" s="36"/>
      <c r="T224" s="47" t="s">
        <v>275</v>
      </c>
      <c r="U224" s="146" t="s">
        <v>275</v>
      </c>
      <c r="V224"/>
    </row>
    <row r="225" spans="1:22" x14ac:dyDescent="0.25">
      <c r="A225" s="47"/>
      <c r="B225" s="108"/>
      <c r="C225" s="47" t="s">
        <v>275</v>
      </c>
      <c r="D225" s="3" t="s">
        <v>8</v>
      </c>
      <c r="E225" s="3" t="s">
        <v>1759</v>
      </c>
      <c r="F225" s="3" t="s">
        <v>3066</v>
      </c>
      <c r="G225" s="3" t="s">
        <v>1760</v>
      </c>
      <c r="H225" s="3"/>
      <c r="I225" s="3"/>
      <c r="J225" s="3"/>
      <c r="K225" s="3"/>
      <c r="L225" s="3"/>
      <c r="M225" s="36" t="s">
        <v>1036</v>
      </c>
      <c r="N225" s="36"/>
      <c r="O225" s="36"/>
      <c r="P225" s="36"/>
      <c r="Q225" s="36"/>
      <c r="R225" s="150"/>
      <c r="S225" s="36"/>
      <c r="T225" s="47" t="s">
        <v>275</v>
      </c>
      <c r="U225" s="146" t="s">
        <v>275</v>
      </c>
      <c r="V225"/>
    </row>
    <row r="226" spans="1:22" ht="30" x14ac:dyDescent="0.25">
      <c r="A226" s="109"/>
      <c r="B226" s="109"/>
      <c r="C226" s="109" t="s">
        <v>275</v>
      </c>
      <c r="D226" s="109" t="s">
        <v>8</v>
      </c>
      <c r="E226" s="109" t="s">
        <v>1761</v>
      </c>
      <c r="F226" s="109" t="s">
        <v>3068</v>
      </c>
      <c r="G226" s="109" t="s">
        <v>1762</v>
      </c>
      <c r="H226" s="109"/>
      <c r="I226" s="109"/>
      <c r="J226" s="109"/>
      <c r="K226" s="109"/>
      <c r="L226" s="109"/>
      <c r="M226" s="109" t="s">
        <v>1036</v>
      </c>
      <c r="N226" s="109"/>
      <c r="O226" s="109"/>
      <c r="P226" s="109"/>
      <c r="Q226" s="109" t="s">
        <v>2261</v>
      </c>
      <c r="R226" s="117">
        <v>45841</v>
      </c>
      <c r="S226" s="109" t="s">
        <v>211</v>
      </c>
      <c r="T226" s="109" t="s">
        <v>275</v>
      </c>
      <c r="U226" s="138" t="s">
        <v>275</v>
      </c>
      <c r="V226"/>
    </row>
    <row r="227" spans="1:22" ht="30" x14ac:dyDescent="0.25">
      <c r="A227" s="47"/>
      <c r="B227" s="108"/>
      <c r="C227" s="47" t="s">
        <v>275</v>
      </c>
      <c r="D227" s="3" t="s">
        <v>8</v>
      </c>
      <c r="E227" s="3" t="s">
        <v>2216</v>
      </c>
      <c r="F227" s="3" t="s">
        <v>3070</v>
      </c>
      <c r="G227" s="3" t="s">
        <v>2217</v>
      </c>
      <c r="H227" s="3"/>
      <c r="I227" s="3"/>
      <c r="J227" s="3"/>
      <c r="K227" s="3"/>
      <c r="L227" s="3"/>
      <c r="M227" s="36" t="s">
        <v>1036</v>
      </c>
      <c r="N227" s="36"/>
      <c r="O227" s="36"/>
      <c r="P227" s="36"/>
      <c r="Q227" s="36"/>
      <c r="R227" s="150"/>
      <c r="S227" s="36"/>
      <c r="T227" s="47" t="s">
        <v>275</v>
      </c>
      <c r="U227" s="146" t="s">
        <v>275</v>
      </c>
      <c r="V227"/>
    </row>
    <row r="228" spans="1:22" ht="30" x14ac:dyDescent="0.25">
      <c r="A228" s="47"/>
      <c r="B228" s="108"/>
      <c r="C228" s="47" t="s">
        <v>275</v>
      </c>
      <c r="D228" s="3" t="s">
        <v>8</v>
      </c>
      <c r="E228" s="3" t="s">
        <v>2353</v>
      </c>
      <c r="F228" s="3" t="s">
        <v>3066</v>
      </c>
      <c r="G228" s="3" t="s">
        <v>2354</v>
      </c>
      <c r="H228" s="3"/>
      <c r="I228" s="3"/>
      <c r="J228" s="3"/>
      <c r="K228" s="3"/>
      <c r="L228" s="3"/>
      <c r="M228" s="36" t="s">
        <v>1036</v>
      </c>
      <c r="N228" s="36"/>
      <c r="O228" s="36"/>
      <c r="P228" s="36"/>
      <c r="Q228" s="36"/>
      <c r="R228" s="150"/>
      <c r="S228" s="36"/>
      <c r="T228" s="47" t="s">
        <v>275</v>
      </c>
      <c r="U228" s="146"/>
      <c r="V228"/>
    </row>
    <row r="229" spans="1:22" ht="30" x14ac:dyDescent="0.25">
      <c r="A229" s="109"/>
      <c r="B229" s="109"/>
      <c r="C229" s="109" t="s">
        <v>275</v>
      </c>
      <c r="D229" s="109" t="s">
        <v>8</v>
      </c>
      <c r="E229" s="109" t="s">
        <v>2399</v>
      </c>
      <c r="F229" s="109" t="s">
        <v>3066</v>
      </c>
      <c r="G229" s="109" t="s">
        <v>2400</v>
      </c>
      <c r="H229" s="109"/>
      <c r="I229" s="109"/>
      <c r="J229" s="109"/>
      <c r="K229" s="109"/>
      <c r="L229" s="109"/>
      <c r="M229" s="109" t="s">
        <v>1036</v>
      </c>
      <c r="N229" s="109"/>
      <c r="O229" s="109"/>
      <c r="P229" s="109"/>
      <c r="Q229" s="109"/>
      <c r="R229" s="117"/>
      <c r="S229" s="109"/>
      <c r="T229" s="109" t="s">
        <v>275</v>
      </c>
      <c r="U229" s="109"/>
      <c r="V229"/>
    </row>
    <row r="230" spans="1:22" ht="30" x14ac:dyDescent="0.25">
      <c r="A230" s="109"/>
      <c r="B230" s="109"/>
      <c r="C230" s="109" t="s">
        <v>275</v>
      </c>
      <c r="D230" s="109" t="s">
        <v>8</v>
      </c>
      <c r="E230" s="109" t="s">
        <v>2401</v>
      </c>
      <c r="F230" s="109" t="s">
        <v>483</v>
      </c>
      <c r="G230" s="109" t="s">
        <v>2402</v>
      </c>
      <c r="H230" s="109"/>
      <c r="I230" s="109"/>
      <c r="J230" s="109"/>
      <c r="K230" s="109"/>
      <c r="L230" s="109"/>
      <c r="M230" s="109" t="s">
        <v>1036</v>
      </c>
      <c r="N230" s="109"/>
      <c r="O230" s="109"/>
      <c r="P230" s="109"/>
      <c r="Q230" s="109"/>
      <c r="R230" s="117"/>
      <c r="S230" s="109"/>
      <c r="T230" s="109" t="s">
        <v>275</v>
      </c>
      <c r="U230" s="138"/>
      <c r="V230"/>
    </row>
    <row r="231" spans="1:22" ht="30" x14ac:dyDescent="0.25">
      <c r="A231" s="47"/>
      <c r="B231" s="108"/>
      <c r="C231" s="47" t="s">
        <v>275</v>
      </c>
      <c r="D231" s="3" t="s">
        <v>8</v>
      </c>
      <c r="E231" s="3" t="s">
        <v>2438</v>
      </c>
      <c r="F231" s="3" t="s">
        <v>483</v>
      </c>
      <c r="G231" s="3" t="s">
        <v>2439</v>
      </c>
      <c r="H231" s="3"/>
      <c r="I231" s="3"/>
      <c r="J231" s="3"/>
      <c r="K231" s="3"/>
      <c r="L231" s="3"/>
      <c r="M231" s="36" t="s">
        <v>1036</v>
      </c>
      <c r="N231" s="36"/>
      <c r="O231" s="36"/>
      <c r="P231" s="36"/>
      <c r="Q231" s="36"/>
      <c r="R231" s="150"/>
      <c r="S231" s="36"/>
      <c r="T231" s="47" t="s">
        <v>275</v>
      </c>
      <c r="U231" s="146"/>
      <c r="V231"/>
    </row>
    <row r="232" spans="1:22" x14ac:dyDescent="0.25">
      <c r="A232" s="47"/>
      <c r="B232" s="108"/>
      <c r="C232" s="47" t="s">
        <v>275</v>
      </c>
      <c r="D232" s="3" t="s">
        <v>8</v>
      </c>
      <c r="E232" s="3" t="s">
        <v>2430</v>
      </c>
      <c r="F232" s="3" t="s">
        <v>3070</v>
      </c>
      <c r="G232" s="3" t="s">
        <v>2431</v>
      </c>
      <c r="H232" s="3"/>
      <c r="I232" s="3"/>
      <c r="J232" s="3"/>
      <c r="K232" s="3"/>
      <c r="L232" s="3"/>
      <c r="M232" s="36" t="s">
        <v>1036</v>
      </c>
      <c r="N232" s="36"/>
      <c r="O232" s="36"/>
      <c r="P232" s="36"/>
      <c r="Q232" s="36"/>
      <c r="R232" s="150"/>
      <c r="S232" s="36"/>
      <c r="T232" s="47" t="s">
        <v>275</v>
      </c>
      <c r="U232" s="146"/>
      <c r="V232"/>
    </row>
    <row r="233" spans="1:22" x14ac:dyDescent="0.25">
      <c r="A233" s="109"/>
      <c r="B233" s="109"/>
      <c r="C233" s="109" t="s">
        <v>275</v>
      </c>
      <c r="D233" s="109" t="s">
        <v>8</v>
      </c>
      <c r="E233" s="109" t="s">
        <v>2436</v>
      </c>
      <c r="F233" s="109" t="s">
        <v>3070</v>
      </c>
      <c r="G233" s="109" t="s">
        <v>2437</v>
      </c>
      <c r="H233" s="109"/>
      <c r="I233" s="109"/>
      <c r="J233" s="109"/>
      <c r="K233" s="109"/>
      <c r="L233" s="109"/>
      <c r="M233" s="109" t="s">
        <v>1036</v>
      </c>
      <c r="N233" s="109"/>
      <c r="O233" s="109"/>
      <c r="P233" s="109"/>
      <c r="Q233" s="109"/>
      <c r="R233" s="117"/>
      <c r="S233" s="109"/>
      <c r="T233" s="109" t="s">
        <v>275</v>
      </c>
      <c r="U233" s="109"/>
      <c r="V233"/>
    </row>
    <row r="234" spans="1:22" ht="30" x14ac:dyDescent="0.25">
      <c r="A234" s="109"/>
      <c r="B234" s="109"/>
      <c r="C234" s="109" t="s">
        <v>275</v>
      </c>
      <c r="D234" s="109" t="s">
        <v>8</v>
      </c>
      <c r="E234" s="109" t="s">
        <v>2461</v>
      </c>
      <c r="F234" s="109" t="s">
        <v>3066</v>
      </c>
      <c r="G234" s="109" t="s">
        <v>2462</v>
      </c>
      <c r="H234" s="109"/>
      <c r="I234" s="109"/>
      <c r="J234" s="109"/>
      <c r="K234" s="109"/>
      <c r="L234" s="109"/>
      <c r="M234" s="110" t="s">
        <v>1036</v>
      </c>
      <c r="N234" s="110"/>
      <c r="O234" s="110"/>
      <c r="P234" s="110"/>
      <c r="Q234" s="110" t="s">
        <v>2475</v>
      </c>
      <c r="R234" s="117">
        <v>45861</v>
      </c>
      <c r="S234" s="110" t="s">
        <v>239</v>
      </c>
      <c r="T234" s="109" t="s">
        <v>275</v>
      </c>
      <c r="U234" s="138"/>
      <c r="V234"/>
    </row>
    <row r="235" spans="1:22" ht="30" x14ac:dyDescent="0.25">
      <c r="A235" s="47"/>
      <c r="B235" s="108"/>
      <c r="C235" s="47" t="s">
        <v>275</v>
      </c>
      <c r="D235" s="3" t="s">
        <v>8</v>
      </c>
      <c r="E235" s="3" t="s">
        <v>2432</v>
      </c>
      <c r="F235" s="3" t="s">
        <v>483</v>
      </c>
      <c r="G235" s="3" t="s">
        <v>2433</v>
      </c>
      <c r="H235" s="3"/>
      <c r="I235" s="3"/>
      <c r="J235" s="3"/>
      <c r="K235" s="3"/>
      <c r="L235" s="3"/>
      <c r="M235" s="36" t="s">
        <v>1036</v>
      </c>
      <c r="N235" s="36"/>
      <c r="O235" s="36"/>
      <c r="P235" s="36"/>
      <c r="Q235" s="36"/>
      <c r="R235" s="150"/>
      <c r="S235" s="36"/>
      <c r="T235" s="47" t="s">
        <v>275</v>
      </c>
      <c r="U235" s="146"/>
      <c r="V235"/>
    </row>
    <row r="236" spans="1:22" ht="30" x14ac:dyDescent="0.25">
      <c r="A236" s="47"/>
      <c r="B236" s="108"/>
      <c r="C236" s="47" t="s">
        <v>275</v>
      </c>
      <c r="D236" s="3" t="s">
        <v>8</v>
      </c>
      <c r="E236" s="3" t="s">
        <v>2434</v>
      </c>
      <c r="F236" s="3" t="s">
        <v>483</v>
      </c>
      <c r="G236" s="3" t="s">
        <v>2435</v>
      </c>
      <c r="H236" s="3"/>
      <c r="I236" s="3"/>
      <c r="J236" s="3"/>
      <c r="K236" s="3"/>
      <c r="L236" s="3"/>
      <c r="M236" s="36" t="s">
        <v>1036</v>
      </c>
      <c r="N236" s="36"/>
      <c r="O236" s="36"/>
      <c r="P236" s="36"/>
      <c r="Q236" s="36"/>
      <c r="R236" s="150"/>
      <c r="S236" s="36"/>
      <c r="T236" s="47" t="s">
        <v>275</v>
      </c>
      <c r="U236" s="146"/>
      <c r="V236"/>
    </row>
    <row r="237" spans="1:22" ht="45" x14ac:dyDescent="0.25">
      <c r="A237" s="47"/>
      <c r="B237" s="108"/>
      <c r="C237" s="47" t="s">
        <v>275</v>
      </c>
      <c r="D237" s="3" t="s">
        <v>8</v>
      </c>
      <c r="E237" s="3" t="s">
        <v>2412</v>
      </c>
      <c r="F237" s="3" t="s">
        <v>3069</v>
      </c>
      <c r="G237" s="3" t="s">
        <v>2413</v>
      </c>
      <c r="H237" s="3"/>
      <c r="I237" s="3"/>
      <c r="J237" s="3"/>
      <c r="K237" s="3"/>
      <c r="L237" s="3"/>
      <c r="M237" s="36" t="s">
        <v>1036</v>
      </c>
      <c r="N237" s="36"/>
      <c r="O237" s="36"/>
      <c r="P237" s="36"/>
      <c r="Q237" s="36" t="s">
        <v>2514</v>
      </c>
      <c r="R237" s="150">
        <v>45868</v>
      </c>
      <c r="S237" s="36" t="s">
        <v>211</v>
      </c>
      <c r="T237" s="47" t="s">
        <v>275</v>
      </c>
      <c r="U237" s="146"/>
      <c r="V237"/>
    </row>
    <row r="238" spans="1:22" x14ac:dyDescent="0.25">
      <c r="A238" s="47"/>
      <c r="B238" s="108"/>
      <c r="C238" s="47" t="s">
        <v>275</v>
      </c>
      <c r="D238" s="3" t="s">
        <v>8</v>
      </c>
      <c r="E238" s="3" t="s">
        <v>2549</v>
      </c>
      <c r="F238" s="3" t="s">
        <v>3066</v>
      </c>
      <c r="G238" s="3" t="s">
        <v>2550</v>
      </c>
      <c r="H238" s="3"/>
      <c r="I238" s="3"/>
      <c r="J238" s="3"/>
      <c r="K238" s="3"/>
      <c r="L238" s="3"/>
      <c r="M238" s="36" t="s">
        <v>1036</v>
      </c>
      <c r="N238" s="36"/>
      <c r="O238" s="36"/>
      <c r="P238" s="36"/>
      <c r="Q238" s="36"/>
      <c r="R238" s="150"/>
      <c r="S238" s="36"/>
      <c r="T238" s="47" t="s">
        <v>275</v>
      </c>
      <c r="U238" s="146"/>
      <c r="V238"/>
    </row>
    <row r="239" spans="1:22" x14ac:dyDescent="0.25">
      <c r="A239" s="47"/>
      <c r="B239" s="108"/>
      <c r="C239" s="47" t="s">
        <v>275</v>
      </c>
      <c r="D239" s="3" t="s">
        <v>8</v>
      </c>
      <c r="E239" s="3" t="s">
        <v>2551</v>
      </c>
      <c r="F239" s="3" t="s">
        <v>3070</v>
      </c>
      <c r="G239" s="3" t="s">
        <v>2552</v>
      </c>
      <c r="H239" s="3"/>
      <c r="I239" s="3"/>
      <c r="J239" s="3"/>
      <c r="K239" s="3"/>
      <c r="L239" s="3"/>
      <c r="M239" s="36" t="s">
        <v>1036</v>
      </c>
      <c r="N239" s="36"/>
      <c r="O239" s="36"/>
      <c r="P239" s="36"/>
      <c r="Q239" s="36"/>
      <c r="R239" s="150"/>
      <c r="S239" s="36"/>
      <c r="T239" s="47" t="s">
        <v>275</v>
      </c>
      <c r="U239" s="146"/>
      <c r="V239"/>
    </row>
    <row r="240" spans="1:22" ht="30" x14ac:dyDescent="0.25">
      <c r="A240" s="47"/>
      <c r="B240" s="108"/>
      <c r="C240" s="47" t="s">
        <v>275</v>
      </c>
      <c r="D240" s="3" t="s">
        <v>8</v>
      </c>
      <c r="E240" s="3" t="s">
        <v>2861</v>
      </c>
      <c r="F240" s="3" t="s">
        <v>3070</v>
      </c>
      <c r="G240" s="3" t="s">
        <v>2862</v>
      </c>
      <c r="H240" s="3"/>
      <c r="I240" s="3"/>
      <c r="J240" s="3"/>
      <c r="K240" s="3"/>
      <c r="L240" s="3"/>
      <c r="M240" s="36" t="s">
        <v>1036</v>
      </c>
      <c r="N240" s="36"/>
      <c r="O240" s="36"/>
      <c r="P240" s="36"/>
      <c r="Q240" s="36"/>
      <c r="R240" s="150"/>
      <c r="S240" s="36"/>
      <c r="T240" s="47" t="s">
        <v>275</v>
      </c>
      <c r="U240" s="146"/>
      <c r="V240"/>
    </row>
    <row r="241" spans="1:22" ht="30" x14ac:dyDescent="0.25">
      <c r="A241" s="109"/>
      <c r="B241" s="109"/>
      <c r="C241" s="109" t="s">
        <v>275</v>
      </c>
      <c r="D241" s="109" t="s">
        <v>8</v>
      </c>
      <c r="E241" s="109" t="s">
        <v>2856</v>
      </c>
      <c r="F241" s="109" t="s">
        <v>3067</v>
      </c>
      <c r="G241" s="109" t="s">
        <v>2857</v>
      </c>
      <c r="H241" s="109"/>
      <c r="I241" s="109"/>
      <c r="J241" s="109"/>
      <c r="K241" s="109"/>
      <c r="L241" s="109"/>
      <c r="M241" s="109" t="s">
        <v>1036</v>
      </c>
      <c r="N241" s="109"/>
      <c r="O241" s="109"/>
      <c r="P241" s="109"/>
      <c r="Q241" s="109"/>
      <c r="R241" s="117"/>
      <c r="S241" s="109"/>
      <c r="T241" s="109" t="s">
        <v>275</v>
      </c>
      <c r="U241" s="109"/>
      <c r="V241"/>
    </row>
    <row r="242" spans="1:22" ht="30" x14ac:dyDescent="0.25">
      <c r="A242" s="109"/>
      <c r="B242" s="109"/>
      <c r="C242" s="109" t="s">
        <v>275</v>
      </c>
      <c r="D242" s="109" t="s">
        <v>8</v>
      </c>
      <c r="E242" s="109" t="s">
        <v>2459</v>
      </c>
      <c r="F242" s="109" t="s">
        <v>3070</v>
      </c>
      <c r="G242" s="109" t="s">
        <v>2460</v>
      </c>
      <c r="H242" s="109"/>
      <c r="I242" s="109"/>
      <c r="J242" s="109"/>
      <c r="K242" s="109"/>
      <c r="L242" s="109"/>
      <c r="M242" s="109" t="s">
        <v>1036</v>
      </c>
      <c r="N242" s="109"/>
      <c r="O242" s="109"/>
      <c r="P242" s="109"/>
      <c r="Q242" s="109" t="s">
        <v>2474</v>
      </c>
      <c r="R242" s="117">
        <v>45862</v>
      </c>
      <c r="S242" s="109" t="s">
        <v>693</v>
      </c>
      <c r="T242" s="109" t="s">
        <v>275</v>
      </c>
      <c r="U242" s="109"/>
      <c r="V242"/>
    </row>
    <row r="243" spans="1:22" x14ac:dyDescent="0.25">
      <c r="A243" s="109"/>
      <c r="B243" s="109"/>
      <c r="C243" s="109" t="s">
        <v>275</v>
      </c>
      <c r="D243" s="109" t="s">
        <v>8</v>
      </c>
      <c r="E243" s="109" t="s">
        <v>2928</v>
      </c>
      <c r="F243" s="109" t="s">
        <v>3070</v>
      </c>
      <c r="G243" s="109" t="s">
        <v>2929</v>
      </c>
      <c r="H243" s="109"/>
      <c r="I243" s="109"/>
      <c r="J243" s="109"/>
      <c r="K243" s="109"/>
      <c r="L243" s="109"/>
      <c r="M243" s="109" t="s">
        <v>1036</v>
      </c>
      <c r="N243" s="109"/>
      <c r="O243" s="109"/>
      <c r="P243" s="109"/>
      <c r="Q243" s="109"/>
      <c r="R243" s="117"/>
      <c r="S243" s="109"/>
      <c r="T243" s="109" t="s">
        <v>275</v>
      </c>
      <c r="U243" s="109"/>
      <c r="V243"/>
    </row>
    <row r="244" spans="1:22" x14ac:dyDescent="0.25">
      <c r="A244" s="47"/>
      <c r="B244" s="108"/>
      <c r="C244" s="47" t="s">
        <v>275</v>
      </c>
      <c r="D244" s="3" t="s">
        <v>8</v>
      </c>
      <c r="E244" s="3" t="s">
        <v>3025</v>
      </c>
      <c r="F244" s="3" t="s">
        <v>3068</v>
      </c>
      <c r="G244" s="3" t="s">
        <v>3026</v>
      </c>
      <c r="H244" s="3"/>
      <c r="I244" s="3"/>
      <c r="J244" s="3"/>
      <c r="K244" s="3"/>
      <c r="L244" s="3"/>
      <c r="M244" s="36" t="s">
        <v>1036</v>
      </c>
      <c r="N244" s="36"/>
      <c r="O244" s="36"/>
      <c r="P244" s="36"/>
      <c r="Q244" s="36"/>
      <c r="R244" s="150"/>
      <c r="S244" s="36"/>
      <c r="T244" s="47" t="s">
        <v>275</v>
      </c>
      <c r="U244" s="146"/>
      <c r="V244"/>
    </row>
    <row r="245" spans="1:22" ht="30" x14ac:dyDescent="0.25">
      <c r="A245" s="47"/>
      <c r="B245" s="108"/>
      <c r="C245" s="47" t="s">
        <v>275</v>
      </c>
      <c r="D245" s="3" t="s">
        <v>8</v>
      </c>
      <c r="E245" s="3" t="s">
        <v>2954</v>
      </c>
      <c r="F245" s="3" t="s">
        <v>3066</v>
      </c>
      <c r="G245" s="3" t="s">
        <v>2955</v>
      </c>
      <c r="H245" s="3"/>
      <c r="I245" s="3"/>
      <c r="J245" s="3"/>
      <c r="K245" s="3"/>
      <c r="L245" s="3"/>
      <c r="M245" s="36" t="s">
        <v>1036</v>
      </c>
      <c r="N245" s="36"/>
      <c r="O245" s="36"/>
      <c r="P245" s="36"/>
      <c r="Q245" s="36" t="s">
        <v>2994</v>
      </c>
      <c r="R245" s="150">
        <v>45917</v>
      </c>
      <c r="S245" s="36" t="s">
        <v>203</v>
      </c>
      <c r="T245" s="47" t="s">
        <v>275</v>
      </c>
      <c r="U245" s="146"/>
      <c r="V245"/>
    </row>
    <row r="246" spans="1:22" ht="30" x14ac:dyDescent="0.25">
      <c r="A246" s="47"/>
      <c r="B246" s="108"/>
      <c r="C246" s="47" t="s">
        <v>275</v>
      </c>
      <c r="D246" s="3" t="s">
        <v>8</v>
      </c>
      <c r="E246" s="3" t="s">
        <v>3103</v>
      </c>
      <c r="F246" s="3" t="s">
        <v>3070</v>
      </c>
      <c r="G246" s="3" t="s">
        <v>3104</v>
      </c>
      <c r="H246" s="3"/>
      <c r="I246" s="3"/>
      <c r="J246" s="3"/>
      <c r="K246" s="3"/>
      <c r="L246" s="3"/>
      <c r="M246" s="36" t="s">
        <v>1036</v>
      </c>
      <c r="N246" s="36"/>
      <c r="O246" s="36"/>
      <c r="P246" s="36"/>
      <c r="Q246" s="36"/>
      <c r="R246" s="150"/>
      <c r="S246" s="36"/>
      <c r="T246" s="47" t="s">
        <v>275</v>
      </c>
      <c r="U246" s="146"/>
      <c r="V246"/>
    </row>
    <row r="247" spans="1:22" ht="30" x14ac:dyDescent="0.25">
      <c r="A247" s="109"/>
      <c r="B247" s="109"/>
      <c r="C247" s="109" t="s">
        <v>23</v>
      </c>
      <c r="D247" s="109" t="s">
        <v>8</v>
      </c>
      <c r="E247" s="109" t="s">
        <v>3128</v>
      </c>
      <c r="F247" s="109" t="s">
        <v>3069</v>
      </c>
      <c r="G247" s="109" t="s">
        <v>3129</v>
      </c>
      <c r="H247" s="109" t="s">
        <v>23</v>
      </c>
      <c r="I247" s="109" t="s">
        <v>23</v>
      </c>
      <c r="J247" s="109"/>
      <c r="K247" s="109"/>
      <c r="L247" s="109"/>
      <c r="M247" s="109" t="s">
        <v>1036</v>
      </c>
      <c r="N247" s="109"/>
      <c r="O247" s="109"/>
      <c r="P247" s="109"/>
      <c r="Q247" s="109"/>
      <c r="R247" s="117"/>
      <c r="S247" s="109"/>
      <c r="T247" s="109" t="s">
        <v>23</v>
      </c>
      <c r="U247" s="109"/>
      <c r="V247"/>
    </row>
    <row r="248" spans="1:22" x14ac:dyDescent="0.25">
      <c r="A248" s="109"/>
      <c r="B248" s="109"/>
      <c r="C248" s="109" t="s">
        <v>23</v>
      </c>
      <c r="D248" s="109" t="s">
        <v>8</v>
      </c>
      <c r="E248" s="109" t="s">
        <v>3132</v>
      </c>
      <c r="F248" s="109" t="s">
        <v>3066</v>
      </c>
      <c r="G248" s="109" t="s">
        <v>3133</v>
      </c>
      <c r="H248" s="109" t="s">
        <v>23</v>
      </c>
      <c r="I248" s="109" t="s">
        <v>23</v>
      </c>
      <c r="J248" s="109"/>
      <c r="K248" s="109"/>
      <c r="L248" s="109"/>
      <c r="M248" s="109" t="s">
        <v>1036</v>
      </c>
      <c r="N248" s="109"/>
      <c r="O248" s="109"/>
      <c r="P248" s="109"/>
      <c r="Q248" s="109"/>
      <c r="R248" s="117"/>
      <c r="S248" s="109"/>
      <c r="T248" s="109" t="s">
        <v>23</v>
      </c>
      <c r="U248" s="109"/>
      <c r="V248"/>
    </row>
    <row r="249" spans="1:22" ht="30" x14ac:dyDescent="0.25">
      <c r="A249" s="109"/>
      <c r="B249" s="109"/>
      <c r="C249" s="109" t="s">
        <v>23</v>
      </c>
      <c r="D249" s="109" t="s">
        <v>8</v>
      </c>
      <c r="E249" s="109" t="s">
        <v>3114</v>
      </c>
      <c r="F249" s="109" t="s">
        <v>3066</v>
      </c>
      <c r="G249" s="109" t="s">
        <v>3115</v>
      </c>
      <c r="H249" s="109" t="s">
        <v>23</v>
      </c>
      <c r="I249" s="109" t="s">
        <v>23</v>
      </c>
      <c r="J249" s="109" t="s">
        <v>23</v>
      </c>
      <c r="K249" s="109" t="s">
        <v>23</v>
      </c>
      <c r="L249" s="109" t="s">
        <v>23</v>
      </c>
      <c r="M249" s="110" t="s">
        <v>1036</v>
      </c>
      <c r="N249" s="110"/>
      <c r="O249" s="110"/>
      <c r="P249" s="110"/>
      <c r="Q249" s="110"/>
      <c r="R249" s="117"/>
      <c r="S249" s="110"/>
      <c r="T249" s="109" t="s">
        <v>23</v>
      </c>
      <c r="U249" s="138"/>
      <c r="V249"/>
    </row>
    <row r="250" spans="1:22" ht="45" x14ac:dyDescent="0.25">
      <c r="A250" s="47"/>
      <c r="B250" s="108"/>
      <c r="C250" s="47" t="s">
        <v>23</v>
      </c>
      <c r="D250" s="3" t="s">
        <v>8</v>
      </c>
      <c r="E250" s="3" t="s">
        <v>3116</v>
      </c>
      <c r="F250" s="3" t="s">
        <v>3066</v>
      </c>
      <c r="G250" s="3" t="s">
        <v>3117</v>
      </c>
      <c r="H250" s="3" t="s">
        <v>23</v>
      </c>
      <c r="I250" s="3" t="s">
        <v>23</v>
      </c>
      <c r="J250" s="3" t="s">
        <v>23</v>
      </c>
      <c r="K250" s="3" t="s">
        <v>23</v>
      </c>
      <c r="L250" s="3" t="s">
        <v>23</v>
      </c>
      <c r="M250" s="36" t="s">
        <v>1036</v>
      </c>
      <c r="N250" s="36"/>
      <c r="O250" s="36"/>
      <c r="P250" s="36"/>
      <c r="Q250" s="36"/>
      <c r="R250" s="150"/>
      <c r="S250" s="36"/>
      <c r="T250" s="47" t="s">
        <v>23</v>
      </c>
      <c r="U250" s="146"/>
      <c r="V250"/>
    </row>
    <row r="251" spans="1:22" ht="30" x14ac:dyDescent="0.25">
      <c r="A251" s="109"/>
      <c r="B251" s="109"/>
      <c r="C251" s="109" t="s">
        <v>23</v>
      </c>
      <c r="D251" s="109" t="s">
        <v>8</v>
      </c>
      <c r="E251" s="109" t="s">
        <v>3118</v>
      </c>
      <c r="F251" s="109" t="s">
        <v>3066</v>
      </c>
      <c r="G251" s="109" t="s">
        <v>3119</v>
      </c>
      <c r="H251" s="109" t="s">
        <v>23</v>
      </c>
      <c r="I251" s="109" t="s">
        <v>23</v>
      </c>
      <c r="J251" s="109" t="s">
        <v>23</v>
      </c>
      <c r="K251" s="109" t="s">
        <v>23</v>
      </c>
      <c r="L251" s="109" t="s">
        <v>23</v>
      </c>
      <c r="M251" s="109" t="s">
        <v>1036</v>
      </c>
      <c r="N251" s="109"/>
      <c r="O251" s="109"/>
      <c r="P251" s="109"/>
      <c r="Q251" s="109"/>
      <c r="R251" s="117"/>
      <c r="S251" s="109"/>
      <c r="T251" s="109" t="s">
        <v>23</v>
      </c>
      <c r="U251" s="109"/>
      <c r="V251"/>
    </row>
    <row r="252" spans="1:22" ht="30" x14ac:dyDescent="0.25">
      <c r="A252" s="109"/>
      <c r="B252" s="109"/>
      <c r="C252" s="109" t="s">
        <v>23</v>
      </c>
      <c r="D252" s="109" t="s">
        <v>8</v>
      </c>
      <c r="E252" s="109" t="s">
        <v>3120</v>
      </c>
      <c r="F252" s="109" t="s">
        <v>3070</v>
      </c>
      <c r="G252" s="109" t="s">
        <v>3104</v>
      </c>
      <c r="H252" s="109" t="s">
        <v>23</v>
      </c>
      <c r="I252" s="109" t="s">
        <v>23</v>
      </c>
      <c r="J252" s="109"/>
      <c r="K252" s="109"/>
      <c r="L252" s="109"/>
      <c r="M252" s="109" t="s">
        <v>1036</v>
      </c>
      <c r="N252" s="109"/>
      <c r="O252" s="109"/>
      <c r="P252" s="109"/>
      <c r="Q252" s="109"/>
      <c r="R252" s="117"/>
      <c r="S252" s="109"/>
      <c r="T252" s="109" t="s">
        <v>23</v>
      </c>
      <c r="U252" s="109"/>
      <c r="V252"/>
    </row>
    <row r="253" spans="1:22" ht="15" customHeight="1" x14ac:dyDescent="0.25">
      <c r="A253" s="47"/>
      <c r="B253" s="108"/>
      <c r="C253" s="47" t="s">
        <v>275</v>
      </c>
      <c r="D253" s="3" t="s">
        <v>8</v>
      </c>
      <c r="E253" s="3" t="s">
        <v>2756</v>
      </c>
      <c r="F253" s="3" t="s">
        <v>3066</v>
      </c>
      <c r="G253" s="3" t="s">
        <v>2757</v>
      </c>
      <c r="H253" s="3"/>
      <c r="I253" s="3"/>
      <c r="J253" s="3"/>
      <c r="K253" s="3"/>
      <c r="L253" s="3"/>
      <c r="M253" s="36" t="s">
        <v>1257</v>
      </c>
      <c r="N253" s="36"/>
      <c r="O253" s="36"/>
      <c r="P253" s="36"/>
      <c r="Q253" s="36" t="s">
        <v>2779</v>
      </c>
      <c r="R253" s="150">
        <v>45901</v>
      </c>
      <c r="S253" s="36" t="s">
        <v>203</v>
      </c>
      <c r="T253" s="47" t="s">
        <v>275</v>
      </c>
      <c r="U253" s="146"/>
      <c r="V253"/>
    </row>
    <row r="254" spans="1:22" ht="30" x14ac:dyDescent="0.25">
      <c r="A254" s="47"/>
      <c r="B254" s="108"/>
      <c r="C254" s="47" t="s">
        <v>275</v>
      </c>
      <c r="D254" s="3" t="s">
        <v>8</v>
      </c>
      <c r="E254" s="3" t="s">
        <v>2656</v>
      </c>
      <c r="F254" s="3" t="s">
        <v>3070</v>
      </c>
      <c r="G254" s="3" t="s">
        <v>2657</v>
      </c>
      <c r="H254" s="3"/>
      <c r="I254" s="3"/>
      <c r="J254" s="3"/>
      <c r="K254" s="3"/>
      <c r="L254" s="3"/>
      <c r="M254" s="36" t="s">
        <v>1257</v>
      </c>
      <c r="N254" s="36"/>
      <c r="O254" s="36"/>
      <c r="P254" s="36"/>
      <c r="Q254" s="36" t="s">
        <v>2677</v>
      </c>
      <c r="R254" s="150">
        <v>45889</v>
      </c>
      <c r="S254" s="36" t="s">
        <v>203</v>
      </c>
      <c r="T254" s="47" t="s">
        <v>275</v>
      </c>
      <c r="U254" s="146"/>
      <c r="V254"/>
    </row>
    <row r="255" spans="1:22" ht="45" x14ac:dyDescent="0.25">
      <c r="A255" s="47"/>
      <c r="B255" s="108"/>
      <c r="C255" s="47" t="s">
        <v>275</v>
      </c>
      <c r="D255" s="3" t="s">
        <v>8</v>
      </c>
      <c r="E255" s="3" t="s">
        <v>2490</v>
      </c>
      <c r="F255" s="3" t="s">
        <v>3069</v>
      </c>
      <c r="G255" s="3" t="s">
        <v>2491</v>
      </c>
      <c r="H255" s="3"/>
      <c r="I255" s="3"/>
      <c r="J255" s="3"/>
      <c r="K255" s="3"/>
      <c r="L255" s="3"/>
      <c r="M255" s="36" t="s">
        <v>1257</v>
      </c>
      <c r="N255" s="36"/>
      <c r="O255" s="36" t="s">
        <v>23</v>
      </c>
      <c r="P255" s="36" t="s">
        <v>23</v>
      </c>
      <c r="Q255" s="36" t="s">
        <v>2678</v>
      </c>
      <c r="R255" s="150">
        <v>45889</v>
      </c>
      <c r="S255" s="36" t="s">
        <v>2668</v>
      </c>
      <c r="T255" s="47" t="s">
        <v>275</v>
      </c>
      <c r="U255" s="146"/>
      <c r="V255"/>
    </row>
    <row r="256" spans="1:22" ht="30" x14ac:dyDescent="0.25">
      <c r="A256" s="47"/>
      <c r="B256" s="108"/>
      <c r="C256" s="47" t="s">
        <v>275</v>
      </c>
      <c r="D256" s="3" t="s">
        <v>8</v>
      </c>
      <c r="E256" s="3" t="s">
        <v>2646</v>
      </c>
      <c r="F256" s="3" t="s">
        <v>3067</v>
      </c>
      <c r="G256" s="3" t="s">
        <v>2647</v>
      </c>
      <c r="H256" s="3"/>
      <c r="I256" s="3"/>
      <c r="J256" s="3"/>
      <c r="K256" s="3"/>
      <c r="L256" s="3"/>
      <c r="M256" s="36" t="s">
        <v>1257</v>
      </c>
      <c r="N256" s="36"/>
      <c r="O256" s="36"/>
      <c r="P256" s="36"/>
      <c r="Q256" s="36" t="s">
        <v>2659</v>
      </c>
      <c r="R256" s="150">
        <v>45888</v>
      </c>
      <c r="S256" s="36" t="s">
        <v>2608</v>
      </c>
      <c r="T256" s="47" t="s">
        <v>275</v>
      </c>
      <c r="U256" s="146"/>
      <c r="V256"/>
    </row>
    <row r="257" spans="1:22" ht="30" x14ac:dyDescent="0.25">
      <c r="A257" s="47"/>
      <c r="B257" s="108"/>
      <c r="C257" s="47" t="s">
        <v>275</v>
      </c>
      <c r="D257" s="3" t="s">
        <v>8</v>
      </c>
      <c r="E257" s="3" t="s">
        <v>2584</v>
      </c>
      <c r="F257" s="3" t="s">
        <v>3068</v>
      </c>
      <c r="G257" s="3" t="s">
        <v>2585</v>
      </c>
      <c r="H257" s="3"/>
      <c r="I257" s="3"/>
      <c r="J257" s="3"/>
      <c r="K257" s="3"/>
      <c r="L257" s="3"/>
      <c r="M257" s="36" t="s">
        <v>1257</v>
      </c>
      <c r="N257" s="36"/>
      <c r="O257" s="36" t="s">
        <v>23</v>
      </c>
      <c r="P257" s="36"/>
      <c r="Q257" s="36" t="s">
        <v>2604</v>
      </c>
      <c r="R257" s="150">
        <v>45881</v>
      </c>
      <c r="S257" s="36" t="s">
        <v>2603</v>
      </c>
      <c r="T257" s="47" t="s">
        <v>275</v>
      </c>
      <c r="U257" s="146"/>
      <c r="V257"/>
    </row>
    <row r="258" spans="1:22" x14ac:dyDescent="0.25">
      <c r="A258" s="109"/>
      <c r="B258" s="109"/>
      <c r="C258" s="109" t="s">
        <v>275</v>
      </c>
      <c r="D258" s="109" t="s">
        <v>8</v>
      </c>
      <c r="E258" s="109" t="s">
        <v>2521</v>
      </c>
      <c r="F258" s="109" t="s">
        <v>3069</v>
      </c>
      <c r="G258" s="109" t="s">
        <v>2522</v>
      </c>
      <c r="H258" s="109"/>
      <c r="I258" s="109"/>
      <c r="J258" s="109"/>
      <c r="K258" s="109"/>
      <c r="L258" s="109"/>
      <c r="M258" s="109" t="s">
        <v>1257</v>
      </c>
      <c r="N258" s="109" t="s">
        <v>23</v>
      </c>
      <c r="O258" s="109"/>
      <c r="P258" s="109"/>
      <c r="Q258" s="109" t="s">
        <v>2525</v>
      </c>
      <c r="R258" s="117">
        <v>45869</v>
      </c>
      <c r="S258" s="109" t="s">
        <v>1074</v>
      </c>
      <c r="T258" s="109" t="s">
        <v>275</v>
      </c>
      <c r="U258" s="109"/>
      <c r="V258"/>
    </row>
    <row r="259" spans="1:22" ht="30" x14ac:dyDescent="0.25">
      <c r="A259" s="109"/>
      <c r="B259" s="109"/>
      <c r="C259" s="109" t="s">
        <v>275</v>
      </c>
      <c r="D259" s="109" t="s">
        <v>8</v>
      </c>
      <c r="E259" s="109" t="s">
        <v>2444</v>
      </c>
      <c r="F259" s="109" t="s">
        <v>483</v>
      </c>
      <c r="G259" s="109" t="s">
        <v>2445</v>
      </c>
      <c r="H259" s="109"/>
      <c r="I259" s="109"/>
      <c r="J259" s="109"/>
      <c r="K259" s="109"/>
      <c r="L259" s="109"/>
      <c r="M259" s="109" t="s">
        <v>1257</v>
      </c>
      <c r="N259" s="109"/>
      <c r="O259" s="109"/>
      <c r="P259" s="109"/>
      <c r="Q259" s="109"/>
      <c r="R259" s="117"/>
      <c r="S259" s="109"/>
      <c r="T259" s="109" t="s">
        <v>275</v>
      </c>
      <c r="U259" s="109"/>
      <c r="V259"/>
    </row>
    <row r="260" spans="1:22" ht="45" x14ac:dyDescent="0.25">
      <c r="A260" s="47"/>
      <c r="B260" s="108"/>
      <c r="C260" s="47" t="s">
        <v>275</v>
      </c>
      <c r="D260" s="3" t="s">
        <v>8</v>
      </c>
      <c r="E260" s="3" t="s">
        <v>1581</v>
      </c>
      <c r="F260" s="3" t="s">
        <v>3069</v>
      </c>
      <c r="G260" s="3" t="s">
        <v>1576</v>
      </c>
      <c r="H260" s="3"/>
      <c r="I260" s="3"/>
      <c r="J260" s="3"/>
      <c r="K260" s="3"/>
      <c r="L260" s="3"/>
      <c r="M260" s="36" t="s">
        <v>1257</v>
      </c>
      <c r="N260" s="36"/>
      <c r="O260" s="36"/>
      <c r="P260" s="36"/>
      <c r="Q260" s="36" t="s">
        <v>1644</v>
      </c>
      <c r="R260" s="150">
        <v>45817</v>
      </c>
      <c r="S260" s="36" t="s">
        <v>239</v>
      </c>
      <c r="T260" s="47" t="s">
        <v>275</v>
      </c>
      <c r="U260" s="146" t="s">
        <v>275</v>
      </c>
      <c r="V260"/>
    </row>
    <row r="261" spans="1:22" ht="45" x14ac:dyDescent="0.25">
      <c r="A261" s="109"/>
      <c r="B261" s="109"/>
      <c r="C261" s="109" t="s">
        <v>275</v>
      </c>
      <c r="D261" s="109" t="s">
        <v>8</v>
      </c>
      <c r="E261" s="109" t="s">
        <v>1582</v>
      </c>
      <c r="F261" s="109" t="s">
        <v>3069</v>
      </c>
      <c r="G261" s="109" t="s">
        <v>1575</v>
      </c>
      <c r="H261" s="109"/>
      <c r="I261" s="109"/>
      <c r="J261" s="109"/>
      <c r="K261" s="109"/>
      <c r="L261" s="109"/>
      <c r="M261" s="109" t="s">
        <v>1257</v>
      </c>
      <c r="N261" s="109"/>
      <c r="O261" s="109"/>
      <c r="P261" s="109"/>
      <c r="Q261" s="109" t="s">
        <v>1643</v>
      </c>
      <c r="R261" s="117">
        <v>45817</v>
      </c>
      <c r="S261" s="109" t="s">
        <v>239</v>
      </c>
      <c r="T261" s="109" t="s">
        <v>275</v>
      </c>
      <c r="U261" s="109" t="s">
        <v>275</v>
      </c>
      <c r="V261"/>
    </row>
    <row r="262" spans="1:22" ht="45" x14ac:dyDescent="0.25">
      <c r="A262" s="109"/>
      <c r="B262" s="109" t="s">
        <v>23</v>
      </c>
      <c r="C262" s="109" t="s">
        <v>275</v>
      </c>
      <c r="D262" s="109" t="s">
        <v>8</v>
      </c>
      <c r="E262" s="109" t="s">
        <v>1291</v>
      </c>
      <c r="F262" s="109" t="s">
        <v>3066</v>
      </c>
      <c r="G262" s="109" t="s">
        <v>1332</v>
      </c>
      <c r="H262" s="109"/>
      <c r="I262" s="109"/>
      <c r="J262" s="109"/>
      <c r="K262" s="109"/>
      <c r="L262" s="109"/>
      <c r="M262" s="109" t="s">
        <v>1257</v>
      </c>
      <c r="N262" s="109"/>
      <c r="O262" s="109"/>
      <c r="P262" s="109"/>
      <c r="Q262" s="109" t="s">
        <v>1333</v>
      </c>
      <c r="R262" s="117">
        <v>45788</v>
      </c>
      <c r="S262" s="109" t="s">
        <v>673</v>
      </c>
      <c r="T262" s="109" t="s">
        <v>275</v>
      </c>
      <c r="U262" s="109" t="s">
        <v>275</v>
      </c>
      <c r="V262"/>
    </row>
    <row r="263" spans="1:22" ht="30" x14ac:dyDescent="0.25">
      <c r="A263" s="47"/>
      <c r="B263" s="108" t="s">
        <v>23</v>
      </c>
      <c r="C263" s="47" t="s">
        <v>275</v>
      </c>
      <c r="D263" s="3" t="s">
        <v>8</v>
      </c>
      <c r="E263" s="3" t="s">
        <v>1246</v>
      </c>
      <c r="F263" s="3" t="s">
        <v>3069</v>
      </c>
      <c r="G263" s="3" t="s">
        <v>1245</v>
      </c>
      <c r="H263" s="3"/>
      <c r="I263" s="3"/>
      <c r="J263" s="3"/>
      <c r="K263" s="3"/>
      <c r="L263" s="3"/>
      <c r="M263" s="36" t="s">
        <v>1257</v>
      </c>
      <c r="N263" s="36"/>
      <c r="O263" s="36"/>
      <c r="P263" s="36"/>
      <c r="Q263" s="36" t="s">
        <v>1286</v>
      </c>
      <c r="R263" s="150">
        <v>45784</v>
      </c>
      <c r="S263" s="36" t="s">
        <v>1284</v>
      </c>
      <c r="T263" s="47" t="s">
        <v>275</v>
      </c>
      <c r="U263" s="146" t="s">
        <v>275</v>
      </c>
      <c r="V263"/>
    </row>
    <row r="264" spans="1:22" ht="30" x14ac:dyDescent="0.25">
      <c r="A264" s="47"/>
      <c r="B264" s="108" t="s">
        <v>23</v>
      </c>
      <c r="C264" s="47" t="s">
        <v>275</v>
      </c>
      <c r="D264" s="3" t="s">
        <v>8</v>
      </c>
      <c r="E264" s="3" t="s">
        <v>1148</v>
      </c>
      <c r="F264" s="3" t="s">
        <v>483</v>
      </c>
      <c r="G264" s="3" t="s">
        <v>1145</v>
      </c>
      <c r="H264" s="3"/>
      <c r="I264" s="3"/>
      <c r="J264" s="3"/>
      <c r="K264" s="3"/>
      <c r="L264" s="3"/>
      <c r="M264" s="36" t="s">
        <v>1257</v>
      </c>
      <c r="N264" s="36"/>
      <c r="O264" s="36"/>
      <c r="P264" s="36"/>
      <c r="Q264" s="36" t="s">
        <v>1151</v>
      </c>
      <c r="R264" s="150">
        <v>45770</v>
      </c>
      <c r="S264" s="36" t="s">
        <v>239</v>
      </c>
      <c r="T264" s="47" t="s">
        <v>275</v>
      </c>
      <c r="U264" s="146" t="s">
        <v>275</v>
      </c>
      <c r="V264"/>
    </row>
    <row r="265" spans="1:22" ht="30" x14ac:dyDescent="0.25">
      <c r="A265" s="47"/>
      <c r="B265" s="108" t="s">
        <v>23</v>
      </c>
      <c r="C265" s="47" t="s">
        <v>275</v>
      </c>
      <c r="D265" s="3" t="s">
        <v>8</v>
      </c>
      <c r="E265" s="3" t="s">
        <v>1085</v>
      </c>
      <c r="F265" s="3" t="s">
        <v>3070</v>
      </c>
      <c r="G265" s="3" t="s">
        <v>1078</v>
      </c>
      <c r="H265" s="3"/>
      <c r="I265" s="3"/>
      <c r="J265" s="3"/>
      <c r="K265" s="3"/>
      <c r="L265" s="3"/>
      <c r="M265" s="36" t="s">
        <v>1257</v>
      </c>
      <c r="N265" s="36"/>
      <c r="O265" s="36"/>
      <c r="P265" s="36"/>
      <c r="Q265" s="36" t="s">
        <v>1265</v>
      </c>
      <c r="R265" s="150">
        <v>45762</v>
      </c>
      <c r="S265" s="36" t="s">
        <v>50</v>
      </c>
      <c r="T265" s="47" t="s">
        <v>275</v>
      </c>
      <c r="U265" s="146" t="s">
        <v>275</v>
      </c>
      <c r="V265"/>
    </row>
    <row r="266" spans="1:22" ht="30" x14ac:dyDescent="0.25">
      <c r="A266" s="109"/>
      <c r="B266" s="109" t="s">
        <v>23</v>
      </c>
      <c r="C266" s="109" t="s">
        <v>275</v>
      </c>
      <c r="D266" s="109" t="s">
        <v>8</v>
      </c>
      <c r="E266" s="109" t="s">
        <v>917</v>
      </c>
      <c r="F266" s="109" t="s">
        <v>3066</v>
      </c>
      <c r="G266" s="109" t="s">
        <v>906</v>
      </c>
      <c r="H266" s="109"/>
      <c r="I266" s="109"/>
      <c r="J266" s="109"/>
      <c r="K266" s="109"/>
      <c r="L266" s="109"/>
      <c r="M266" s="109" t="s">
        <v>1257</v>
      </c>
      <c r="N266" s="109"/>
      <c r="O266" s="109"/>
      <c r="P266" s="109"/>
      <c r="Q266" s="109" t="s">
        <v>931</v>
      </c>
      <c r="R266" s="117">
        <v>45722</v>
      </c>
      <c r="S266" s="109" t="s">
        <v>635</v>
      </c>
      <c r="T266" s="109" t="s">
        <v>275</v>
      </c>
      <c r="U266" s="109" t="s">
        <v>275</v>
      </c>
      <c r="V266"/>
    </row>
    <row r="267" spans="1:22" ht="30" x14ac:dyDescent="0.25">
      <c r="A267" s="47"/>
      <c r="B267" s="108" t="s">
        <v>23</v>
      </c>
      <c r="C267" s="47" t="s">
        <v>275</v>
      </c>
      <c r="D267" s="3" t="s">
        <v>8</v>
      </c>
      <c r="E267" s="3" t="s">
        <v>764</v>
      </c>
      <c r="F267" s="3" t="s">
        <v>3070</v>
      </c>
      <c r="G267" s="3" t="s">
        <v>763</v>
      </c>
      <c r="H267" s="3"/>
      <c r="I267" s="3"/>
      <c r="J267" s="3"/>
      <c r="K267" s="3"/>
      <c r="L267" s="3"/>
      <c r="M267" s="36" t="s">
        <v>1257</v>
      </c>
      <c r="N267" s="36"/>
      <c r="O267" s="36"/>
      <c r="P267" s="36"/>
      <c r="Q267" s="36" t="s">
        <v>1119</v>
      </c>
      <c r="R267" s="150">
        <v>45714</v>
      </c>
      <c r="S267" s="36" t="s">
        <v>635</v>
      </c>
      <c r="T267" s="47" t="s">
        <v>275</v>
      </c>
      <c r="U267" s="146" t="s">
        <v>275</v>
      </c>
      <c r="V267"/>
    </row>
    <row r="268" spans="1:22" ht="30" x14ac:dyDescent="0.25">
      <c r="A268" s="109"/>
      <c r="B268" s="109" t="s">
        <v>23</v>
      </c>
      <c r="C268" s="109" t="s">
        <v>275</v>
      </c>
      <c r="D268" s="109" t="s">
        <v>8</v>
      </c>
      <c r="E268" s="109" t="s">
        <v>429</v>
      </c>
      <c r="F268" s="109" t="s">
        <v>3069</v>
      </c>
      <c r="G268" s="109" t="s">
        <v>426</v>
      </c>
      <c r="H268" s="109"/>
      <c r="I268" s="109"/>
      <c r="J268" s="109"/>
      <c r="K268" s="109"/>
      <c r="L268" s="109"/>
      <c r="M268" s="109" t="s">
        <v>1257</v>
      </c>
      <c r="N268" s="109"/>
      <c r="O268" s="109" t="s">
        <v>23</v>
      </c>
      <c r="P268" s="109"/>
      <c r="Q268" s="109" t="s">
        <v>502</v>
      </c>
      <c r="R268" s="117">
        <v>45680</v>
      </c>
      <c r="S268" s="109" t="s">
        <v>50</v>
      </c>
      <c r="T268" s="109" t="s">
        <v>275</v>
      </c>
      <c r="U268" s="109" t="s">
        <v>275</v>
      </c>
      <c r="V268"/>
    </row>
    <row r="269" spans="1:22" ht="45" x14ac:dyDescent="0.25">
      <c r="A269" s="109"/>
      <c r="B269" s="109" t="s">
        <v>23</v>
      </c>
      <c r="C269" s="109" t="s">
        <v>275</v>
      </c>
      <c r="D269" s="109" t="s">
        <v>8</v>
      </c>
      <c r="E269" s="109" t="s">
        <v>351</v>
      </c>
      <c r="F269" s="109" t="s">
        <v>3069</v>
      </c>
      <c r="G269" s="109" t="s">
        <v>240</v>
      </c>
      <c r="H269" s="109"/>
      <c r="I269" s="109"/>
      <c r="J269" s="109"/>
      <c r="K269" s="109"/>
      <c r="L269" s="109"/>
      <c r="M269" s="110" t="s">
        <v>1257</v>
      </c>
      <c r="N269" s="110"/>
      <c r="O269" s="110" t="s">
        <v>23</v>
      </c>
      <c r="P269" s="110"/>
      <c r="Q269" s="110" t="s">
        <v>361</v>
      </c>
      <c r="R269" s="117">
        <v>45644</v>
      </c>
      <c r="S269" s="110" t="s">
        <v>206</v>
      </c>
      <c r="T269" s="109" t="s">
        <v>275</v>
      </c>
      <c r="U269" s="138" t="s">
        <v>275</v>
      </c>
      <c r="V269"/>
    </row>
    <row r="270" spans="1:22" ht="30" x14ac:dyDescent="0.25">
      <c r="A270" s="109"/>
      <c r="B270" s="109"/>
      <c r="C270" s="109" t="s">
        <v>23</v>
      </c>
      <c r="D270" s="109" t="s">
        <v>8</v>
      </c>
      <c r="E270" s="109" t="s">
        <v>3121</v>
      </c>
      <c r="F270" s="109" t="s">
        <v>3066</v>
      </c>
      <c r="G270" s="109" t="s">
        <v>3122</v>
      </c>
      <c r="H270" s="109" t="s">
        <v>23</v>
      </c>
      <c r="I270" s="109" t="s">
        <v>23</v>
      </c>
      <c r="J270" s="109"/>
      <c r="K270" s="109"/>
      <c r="L270" s="109"/>
      <c r="M270" s="110" t="s">
        <v>3062</v>
      </c>
      <c r="N270" s="110"/>
      <c r="O270" s="110"/>
      <c r="P270" s="110"/>
      <c r="Q270" s="110"/>
      <c r="R270" s="117"/>
      <c r="S270" s="110"/>
      <c r="T270" s="109" t="s">
        <v>23</v>
      </c>
      <c r="U270" s="138"/>
      <c r="V270"/>
    </row>
    <row r="271" spans="1:22" ht="60" x14ac:dyDescent="0.25">
      <c r="A271" s="47"/>
      <c r="B271" s="108"/>
      <c r="C271" s="47" t="s">
        <v>275</v>
      </c>
      <c r="D271" s="3" t="s">
        <v>8</v>
      </c>
      <c r="E271" s="3" t="s">
        <v>3105</v>
      </c>
      <c r="F271" s="3" t="s">
        <v>3070</v>
      </c>
      <c r="G271" s="3" t="s">
        <v>3106</v>
      </c>
      <c r="H271" s="3"/>
      <c r="I271" s="3"/>
      <c r="J271" s="3"/>
      <c r="K271" s="3"/>
      <c r="L271" s="3"/>
      <c r="M271" s="36" t="s">
        <v>3112</v>
      </c>
      <c r="N271" s="36"/>
      <c r="O271" s="36"/>
      <c r="P271" s="36"/>
      <c r="Q271" s="36" t="s">
        <v>3127</v>
      </c>
      <c r="R271" s="150"/>
      <c r="S271" s="36" t="s">
        <v>203</v>
      </c>
      <c r="T271" s="47" t="s">
        <v>275</v>
      </c>
      <c r="U271" s="146"/>
      <c r="V271"/>
    </row>
    <row r="272" spans="1:22" ht="30" x14ac:dyDescent="0.25">
      <c r="A272" s="47"/>
      <c r="B272" s="108"/>
      <c r="C272" s="47" t="s">
        <v>275</v>
      </c>
      <c r="D272" s="3" t="s">
        <v>72</v>
      </c>
      <c r="E272" s="3" t="s">
        <v>1757</v>
      </c>
      <c r="F272" s="3" t="s">
        <v>3071</v>
      </c>
      <c r="G272" s="3" t="s">
        <v>1758</v>
      </c>
      <c r="H272" s="3"/>
      <c r="I272" s="3"/>
      <c r="J272" s="3"/>
      <c r="K272" s="3"/>
      <c r="L272" s="3"/>
      <c r="M272" s="36" t="s">
        <v>1258</v>
      </c>
      <c r="N272" s="36"/>
      <c r="O272" s="36"/>
      <c r="P272" s="36"/>
      <c r="Q272" s="36" t="s">
        <v>2248</v>
      </c>
      <c r="R272" s="150">
        <v>45840</v>
      </c>
      <c r="S272" s="36" t="s">
        <v>102</v>
      </c>
      <c r="T272" s="47" t="s">
        <v>275</v>
      </c>
      <c r="U272" s="146" t="s">
        <v>275</v>
      </c>
      <c r="V272"/>
    </row>
    <row r="273" spans="1:22" ht="30" x14ac:dyDescent="0.25">
      <c r="A273" s="47"/>
      <c r="B273" s="108"/>
      <c r="C273" s="47" t="s">
        <v>275</v>
      </c>
      <c r="D273" s="3" t="s">
        <v>72</v>
      </c>
      <c r="E273" s="3" t="s">
        <v>2590</v>
      </c>
      <c r="F273" s="3" t="s">
        <v>3072</v>
      </c>
      <c r="G273" s="3" t="s">
        <v>2591</v>
      </c>
      <c r="H273" s="3"/>
      <c r="I273" s="3"/>
      <c r="J273" s="3"/>
      <c r="K273" s="3"/>
      <c r="L273" s="3"/>
      <c r="M273" s="36" t="s">
        <v>1258</v>
      </c>
      <c r="N273" s="36"/>
      <c r="O273" s="36"/>
      <c r="P273" s="36"/>
      <c r="Q273" s="36" t="s">
        <v>2594</v>
      </c>
      <c r="R273" s="150">
        <v>45881</v>
      </c>
      <c r="S273" s="36" t="s">
        <v>2595</v>
      </c>
      <c r="T273" s="47" t="s">
        <v>275</v>
      </c>
      <c r="U273" s="146"/>
      <c r="V273"/>
    </row>
    <row r="274" spans="1:22" ht="30" x14ac:dyDescent="0.25">
      <c r="A274" s="47"/>
      <c r="B274" s="108"/>
      <c r="C274" s="47" t="s">
        <v>275</v>
      </c>
      <c r="D274" s="3" t="s">
        <v>72</v>
      </c>
      <c r="E274" s="3" t="s">
        <v>2592</v>
      </c>
      <c r="F274" s="3" t="s">
        <v>3072</v>
      </c>
      <c r="G274" s="3" t="s">
        <v>2593</v>
      </c>
      <c r="H274" s="3"/>
      <c r="I274" s="3"/>
      <c r="J274" s="3"/>
      <c r="K274" s="3"/>
      <c r="L274" s="3"/>
      <c r="M274" s="36" t="s">
        <v>1258</v>
      </c>
      <c r="N274" s="36"/>
      <c r="O274" s="36"/>
      <c r="P274" s="36"/>
      <c r="Q274" s="36" t="s">
        <v>2594</v>
      </c>
      <c r="R274" s="150">
        <v>45881</v>
      </c>
      <c r="S274" s="36" t="s">
        <v>2595</v>
      </c>
      <c r="T274" s="47" t="s">
        <v>275</v>
      </c>
      <c r="U274" s="146"/>
      <c r="V274"/>
    </row>
    <row r="275" spans="1:22" x14ac:dyDescent="0.25">
      <c r="A275" s="47"/>
      <c r="B275" s="108"/>
      <c r="C275" s="47" t="s">
        <v>275</v>
      </c>
      <c r="D275" s="3" t="s">
        <v>72</v>
      </c>
      <c r="E275" s="3" t="s">
        <v>2305</v>
      </c>
      <c r="F275" s="3" t="s">
        <v>3073</v>
      </c>
      <c r="G275" s="3" t="s">
        <v>2306</v>
      </c>
      <c r="H275" s="3"/>
      <c r="I275" s="3"/>
      <c r="J275" s="3"/>
      <c r="K275" s="3"/>
      <c r="L275" s="3"/>
      <c r="M275" s="36" t="s">
        <v>1258</v>
      </c>
      <c r="N275" s="36"/>
      <c r="O275" s="36"/>
      <c r="P275" s="36"/>
      <c r="Q275" s="36" t="s">
        <v>1640</v>
      </c>
      <c r="R275" s="150">
        <v>45845</v>
      </c>
      <c r="S275" s="36" t="s">
        <v>554</v>
      </c>
      <c r="T275" s="47" t="s">
        <v>275</v>
      </c>
      <c r="U275" s="146"/>
      <c r="V275"/>
    </row>
    <row r="276" spans="1:22" ht="30" x14ac:dyDescent="0.25">
      <c r="A276" s="109"/>
      <c r="B276" s="109" t="s">
        <v>23</v>
      </c>
      <c r="C276" s="109" t="s">
        <v>275</v>
      </c>
      <c r="D276" s="109" t="s">
        <v>72</v>
      </c>
      <c r="E276" s="109" t="s">
        <v>1681</v>
      </c>
      <c r="F276" s="109" t="s">
        <v>3072</v>
      </c>
      <c r="G276" s="109" t="s">
        <v>1682</v>
      </c>
      <c r="H276" s="109"/>
      <c r="I276" s="109"/>
      <c r="J276" s="109"/>
      <c r="K276" s="109"/>
      <c r="L276" s="109"/>
      <c r="M276" s="109" t="s">
        <v>1258</v>
      </c>
      <c r="N276" s="109"/>
      <c r="O276" s="109"/>
      <c r="P276" s="109"/>
      <c r="Q276" s="109" t="s">
        <v>1640</v>
      </c>
      <c r="R276" s="117">
        <v>45821</v>
      </c>
      <c r="S276" s="109" t="s">
        <v>554</v>
      </c>
      <c r="T276" s="109" t="s">
        <v>275</v>
      </c>
      <c r="U276" s="109" t="s">
        <v>275</v>
      </c>
      <c r="V276"/>
    </row>
    <row r="277" spans="1:22" ht="30" x14ac:dyDescent="0.25">
      <c r="A277" s="47"/>
      <c r="B277" s="108" t="s">
        <v>23</v>
      </c>
      <c r="C277" s="47" t="s">
        <v>275</v>
      </c>
      <c r="D277" s="3" t="s">
        <v>72</v>
      </c>
      <c r="E277" s="3" t="s">
        <v>1632</v>
      </c>
      <c r="F277" s="3" t="s">
        <v>3071</v>
      </c>
      <c r="G277" s="3" t="s">
        <v>1633</v>
      </c>
      <c r="H277" s="3"/>
      <c r="I277" s="3"/>
      <c r="J277" s="3"/>
      <c r="K277" s="3"/>
      <c r="L277" s="3"/>
      <c r="M277" s="36" t="s">
        <v>1258</v>
      </c>
      <c r="N277" s="36"/>
      <c r="O277" s="36"/>
      <c r="P277" s="36"/>
      <c r="Q277" s="36" t="s">
        <v>1667</v>
      </c>
      <c r="R277" s="150">
        <v>45803</v>
      </c>
      <c r="S277" s="36" t="s">
        <v>1668</v>
      </c>
      <c r="T277" s="47" t="s">
        <v>275</v>
      </c>
      <c r="U277" s="146" t="s">
        <v>275</v>
      </c>
      <c r="V277"/>
    </row>
    <row r="278" spans="1:22" x14ac:dyDescent="0.25">
      <c r="A278" s="47"/>
      <c r="B278" s="108" t="s">
        <v>23</v>
      </c>
      <c r="C278" s="47" t="s">
        <v>275</v>
      </c>
      <c r="D278" s="3" t="s">
        <v>72</v>
      </c>
      <c r="E278" s="3" t="s">
        <v>1661</v>
      </c>
      <c r="F278" s="3" t="s">
        <v>3073</v>
      </c>
      <c r="G278" s="3" t="s">
        <v>1662</v>
      </c>
      <c r="H278" s="3"/>
      <c r="I278" s="3"/>
      <c r="J278" s="3"/>
      <c r="K278" s="3"/>
      <c r="L278" s="3"/>
      <c r="M278" s="36" t="s">
        <v>1258</v>
      </c>
      <c r="N278" s="36"/>
      <c r="O278" s="36"/>
      <c r="P278" s="36"/>
      <c r="Q278" s="36" t="s">
        <v>1669</v>
      </c>
      <c r="R278" s="150">
        <v>45819</v>
      </c>
      <c r="S278" s="36" t="s">
        <v>239</v>
      </c>
      <c r="T278" s="47" t="s">
        <v>275</v>
      </c>
      <c r="U278" s="146" t="s">
        <v>275</v>
      </c>
      <c r="V278"/>
    </row>
    <row r="279" spans="1:22" x14ac:dyDescent="0.25">
      <c r="A279" s="47"/>
      <c r="B279" s="108" t="s">
        <v>23</v>
      </c>
      <c r="C279" s="47" t="s">
        <v>275</v>
      </c>
      <c r="D279" s="3" t="s">
        <v>72</v>
      </c>
      <c r="E279" s="3" t="s">
        <v>1651</v>
      </c>
      <c r="F279" s="3" t="s">
        <v>3071</v>
      </c>
      <c r="G279" s="3" t="s">
        <v>1652</v>
      </c>
      <c r="H279" s="3"/>
      <c r="I279" s="3"/>
      <c r="J279" s="3"/>
      <c r="K279" s="3"/>
      <c r="L279" s="3"/>
      <c r="M279" s="36" t="s">
        <v>1258</v>
      </c>
      <c r="N279" s="36"/>
      <c r="O279" s="36"/>
      <c r="P279" s="36"/>
      <c r="Q279" s="36"/>
      <c r="R279" s="150"/>
      <c r="S279" s="36"/>
      <c r="T279" s="47" t="s">
        <v>275</v>
      </c>
      <c r="U279" s="146" t="s">
        <v>275</v>
      </c>
      <c r="V279"/>
    </row>
    <row r="280" spans="1:22" x14ac:dyDescent="0.25">
      <c r="A280" s="47"/>
      <c r="B280" s="108" t="s">
        <v>23</v>
      </c>
      <c r="C280" s="47" t="s">
        <v>275</v>
      </c>
      <c r="D280" s="3" t="s">
        <v>72</v>
      </c>
      <c r="E280" s="3" t="s">
        <v>1623</v>
      </c>
      <c r="F280" s="3" t="s">
        <v>3071</v>
      </c>
      <c r="G280" s="3" t="s">
        <v>1624</v>
      </c>
      <c r="H280" s="3"/>
      <c r="I280" s="3"/>
      <c r="J280" s="3"/>
      <c r="K280" s="3"/>
      <c r="L280" s="3"/>
      <c r="M280" s="36" t="s">
        <v>1258</v>
      </c>
      <c r="N280" s="36"/>
      <c r="O280" s="36"/>
      <c r="P280" s="36"/>
      <c r="Q280" s="36" t="s">
        <v>1640</v>
      </c>
      <c r="R280" s="150">
        <v>45790</v>
      </c>
      <c r="S280" s="36" t="s">
        <v>239</v>
      </c>
      <c r="T280" s="47" t="s">
        <v>275</v>
      </c>
      <c r="U280" s="146" t="s">
        <v>275</v>
      </c>
      <c r="V280"/>
    </row>
    <row r="281" spans="1:22" x14ac:dyDescent="0.25">
      <c r="A281" s="109"/>
      <c r="B281" s="109" t="s">
        <v>23</v>
      </c>
      <c r="C281" s="109" t="s">
        <v>275</v>
      </c>
      <c r="D281" s="109" t="s">
        <v>72</v>
      </c>
      <c r="E281" s="109" t="s">
        <v>1630</v>
      </c>
      <c r="F281" s="109" t="s">
        <v>3071</v>
      </c>
      <c r="G281" s="109" t="s">
        <v>1631</v>
      </c>
      <c r="H281" s="109"/>
      <c r="I281" s="109"/>
      <c r="J281" s="109"/>
      <c r="K281" s="109"/>
      <c r="L281" s="109"/>
      <c r="M281" s="109" t="s">
        <v>1258</v>
      </c>
      <c r="N281" s="109"/>
      <c r="O281" s="109"/>
      <c r="P281" s="109"/>
      <c r="Q281" s="109" t="s">
        <v>1640</v>
      </c>
      <c r="R281" s="117">
        <v>45800</v>
      </c>
      <c r="S281" s="109" t="s">
        <v>203</v>
      </c>
      <c r="T281" s="109" t="s">
        <v>275</v>
      </c>
      <c r="U281" s="109" t="s">
        <v>275</v>
      </c>
      <c r="V281"/>
    </row>
    <row r="282" spans="1:22" x14ac:dyDescent="0.25">
      <c r="A282" s="109"/>
      <c r="B282" s="109" t="s">
        <v>23</v>
      </c>
      <c r="C282" s="109" t="s">
        <v>275</v>
      </c>
      <c r="D282" s="109" t="s">
        <v>72</v>
      </c>
      <c r="E282" s="109" t="s">
        <v>1636</v>
      </c>
      <c r="F282" s="109" t="s">
        <v>3073</v>
      </c>
      <c r="G282" s="109" t="s">
        <v>1600</v>
      </c>
      <c r="H282" s="109"/>
      <c r="I282" s="109"/>
      <c r="J282" s="109"/>
      <c r="K282" s="109"/>
      <c r="L282" s="109"/>
      <c r="M282" s="109" t="s">
        <v>1258</v>
      </c>
      <c r="N282" s="109"/>
      <c r="O282" s="109"/>
      <c r="P282" s="109"/>
      <c r="Q282" s="109" t="s">
        <v>1640</v>
      </c>
      <c r="R282" s="117">
        <v>45807</v>
      </c>
      <c r="S282" s="109" t="s">
        <v>239</v>
      </c>
      <c r="T282" s="109" t="s">
        <v>275</v>
      </c>
      <c r="U282" s="109" t="s">
        <v>275</v>
      </c>
      <c r="V282"/>
    </row>
    <row r="283" spans="1:22" x14ac:dyDescent="0.25">
      <c r="A283" s="109"/>
      <c r="B283" s="109" t="s">
        <v>23</v>
      </c>
      <c r="C283" s="109" t="s">
        <v>275</v>
      </c>
      <c r="D283" s="109" t="s">
        <v>72</v>
      </c>
      <c r="E283" s="109" t="s">
        <v>1638</v>
      </c>
      <c r="F283" s="109" t="s">
        <v>3071</v>
      </c>
      <c r="G283" s="109" t="s">
        <v>1639</v>
      </c>
      <c r="H283" s="109"/>
      <c r="I283" s="109"/>
      <c r="J283" s="109"/>
      <c r="K283" s="109"/>
      <c r="L283" s="109"/>
      <c r="M283" s="109" t="s">
        <v>1258</v>
      </c>
      <c r="N283" s="109"/>
      <c r="O283" s="109"/>
      <c r="P283" s="109"/>
      <c r="Q283" s="109" t="s">
        <v>1640</v>
      </c>
      <c r="R283" s="117">
        <v>45808</v>
      </c>
      <c r="S283" s="109" t="s">
        <v>1074</v>
      </c>
      <c r="T283" s="109" t="s">
        <v>275</v>
      </c>
      <c r="U283" s="109" t="s">
        <v>275</v>
      </c>
      <c r="V283"/>
    </row>
    <row r="284" spans="1:22" x14ac:dyDescent="0.25">
      <c r="A284" s="47"/>
      <c r="B284" s="108" t="s">
        <v>23</v>
      </c>
      <c r="C284" s="47" t="s">
        <v>275</v>
      </c>
      <c r="D284" s="3" t="s">
        <v>72</v>
      </c>
      <c r="E284" s="3" t="s">
        <v>1599</v>
      </c>
      <c r="F284" s="3" t="s">
        <v>3073</v>
      </c>
      <c r="G284" s="3" t="s">
        <v>1600</v>
      </c>
      <c r="H284" s="3"/>
      <c r="I284" s="3"/>
      <c r="J284" s="3"/>
      <c r="K284" s="3"/>
      <c r="L284" s="3"/>
      <c r="M284" s="36" t="s">
        <v>1258</v>
      </c>
      <c r="N284" s="36"/>
      <c r="O284" s="36"/>
      <c r="P284" s="36"/>
      <c r="Q284" s="36"/>
      <c r="R284" s="150">
        <v>45814</v>
      </c>
      <c r="S284" s="36" t="s">
        <v>1074</v>
      </c>
      <c r="T284" s="47" t="s">
        <v>275</v>
      </c>
      <c r="U284" s="146" t="s">
        <v>275</v>
      </c>
      <c r="V284"/>
    </row>
    <row r="285" spans="1:22" ht="45" x14ac:dyDescent="0.25">
      <c r="A285" s="47"/>
      <c r="B285" s="108" t="s">
        <v>23</v>
      </c>
      <c r="C285" s="47" t="s">
        <v>275</v>
      </c>
      <c r="D285" s="3" t="s">
        <v>72</v>
      </c>
      <c r="E285" s="3" t="s">
        <v>1244</v>
      </c>
      <c r="F285" s="3" t="s">
        <v>3073</v>
      </c>
      <c r="G285" s="3" t="s">
        <v>1240</v>
      </c>
      <c r="H285" s="3"/>
      <c r="I285" s="3"/>
      <c r="J285" s="3"/>
      <c r="K285" s="3"/>
      <c r="L285" s="3"/>
      <c r="M285" s="36" t="s">
        <v>1258</v>
      </c>
      <c r="N285" s="36"/>
      <c r="O285" s="36"/>
      <c r="P285" s="36"/>
      <c r="Q285" s="36" t="s">
        <v>1242</v>
      </c>
      <c r="R285" s="150">
        <v>45782</v>
      </c>
      <c r="S285" s="36" t="s">
        <v>102</v>
      </c>
      <c r="T285" s="47" t="s">
        <v>275</v>
      </c>
      <c r="U285" s="146" t="s">
        <v>275</v>
      </c>
      <c r="V285"/>
    </row>
    <row r="286" spans="1:22" x14ac:dyDescent="0.25">
      <c r="A286" s="47"/>
      <c r="B286" s="108" t="s">
        <v>23</v>
      </c>
      <c r="C286" s="47" t="s">
        <v>275</v>
      </c>
      <c r="D286" s="3" t="s">
        <v>72</v>
      </c>
      <c r="E286" s="3" t="s">
        <v>1218</v>
      </c>
      <c r="F286" s="3" t="s">
        <v>3071</v>
      </c>
      <c r="G286" s="3" t="s">
        <v>1213</v>
      </c>
      <c r="H286" s="3"/>
      <c r="I286" s="3"/>
      <c r="J286" s="3"/>
      <c r="K286" s="3"/>
      <c r="L286" s="3"/>
      <c r="M286" s="36" t="s">
        <v>1258</v>
      </c>
      <c r="N286" s="36"/>
      <c r="O286" s="36"/>
      <c r="P286" s="36"/>
      <c r="Q286" s="36" t="s">
        <v>1236</v>
      </c>
      <c r="R286" s="150">
        <v>45782</v>
      </c>
      <c r="S286" s="36" t="s">
        <v>203</v>
      </c>
      <c r="T286" s="47" t="s">
        <v>275</v>
      </c>
      <c r="U286" s="146" t="s">
        <v>275</v>
      </c>
      <c r="V286"/>
    </row>
    <row r="287" spans="1:22" ht="30" x14ac:dyDescent="0.25">
      <c r="A287" s="47"/>
      <c r="B287" s="108" t="s">
        <v>23</v>
      </c>
      <c r="C287" s="47" t="s">
        <v>275</v>
      </c>
      <c r="D287" s="3" t="s">
        <v>72</v>
      </c>
      <c r="E287" s="3" t="s">
        <v>1201</v>
      </c>
      <c r="F287" s="3" t="s">
        <v>3072</v>
      </c>
      <c r="G287" s="3" t="s">
        <v>1200</v>
      </c>
      <c r="H287" s="3"/>
      <c r="I287" s="3"/>
      <c r="J287" s="3"/>
      <c r="K287" s="3"/>
      <c r="L287" s="3"/>
      <c r="M287" s="36" t="s">
        <v>1258</v>
      </c>
      <c r="N287" s="36"/>
      <c r="O287" s="36"/>
      <c r="P287" s="36"/>
      <c r="Q287" s="36" t="s">
        <v>1226</v>
      </c>
      <c r="R287" s="150">
        <v>45779</v>
      </c>
      <c r="S287" s="36" t="s">
        <v>203</v>
      </c>
      <c r="T287" s="47" t="s">
        <v>275</v>
      </c>
      <c r="U287" s="146" t="s">
        <v>275</v>
      </c>
      <c r="V287"/>
    </row>
    <row r="288" spans="1:22" ht="30" x14ac:dyDescent="0.25">
      <c r="A288" s="47"/>
      <c r="B288" s="108" t="s">
        <v>23</v>
      </c>
      <c r="C288" s="47" t="s">
        <v>275</v>
      </c>
      <c r="D288" s="3" t="s">
        <v>72</v>
      </c>
      <c r="E288" s="3" t="s">
        <v>1143</v>
      </c>
      <c r="F288" s="3" t="s">
        <v>3073</v>
      </c>
      <c r="G288" s="3" t="s">
        <v>1141</v>
      </c>
      <c r="H288" s="3"/>
      <c r="I288" s="3"/>
      <c r="J288" s="3"/>
      <c r="K288" s="3"/>
      <c r="L288" s="3"/>
      <c r="M288" s="36" t="s">
        <v>1258</v>
      </c>
      <c r="N288" s="36"/>
      <c r="O288" s="36"/>
      <c r="P288" s="36"/>
      <c r="Q288" s="36"/>
      <c r="R288" s="150"/>
      <c r="S288" s="36"/>
      <c r="T288" s="47" t="s">
        <v>275</v>
      </c>
      <c r="U288" s="146" t="s">
        <v>275</v>
      </c>
      <c r="V288"/>
    </row>
    <row r="289" spans="1:22" x14ac:dyDescent="0.25">
      <c r="A289" s="109"/>
      <c r="B289" s="109" t="s">
        <v>23</v>
      </c>
      <c r="C289" s="109" t="s">
        <v>275</v>
      </c>
      <c r="D289" s="109" t="s">
        <v>72</v>
      </c>
      <c r="E289" s="109" t="s">
        <v>1289</v>
      </c>
      <c r="F289" s="109" t="s">
        <v>3071</v>
      </c>
      <c r="G289" s="109" t="s">
        <v>1310</v>
      </c>
      <c r="H289" s="109"/>
      <c r="I289" s="109"/>
      <c r="J289" s="109"/>
      <c r="K289" s="109"/>
      <c r="L289" s="109"/>
      <c r="M289" s="109" t="s">
        <v>1258</v>
      </c>
      <c r="N289" s="109"/>
      <c r="O289" s="109"/>
      <c r="P289" s="109"/>
      <c r="Q289" s="109" t="s">
        <v>1307</v>
      </c>
      <c r="R289" s="117">
        <v>45785</v>
      </c>
      <c r="S289" s="109" t="s">
        <v>203</v>
      </c>
      <c r="T289" s="109" t="s">
        <v>275</v>
      </c>
      <c r="U289" s="109" t="s">
        <v>275</v>
      </c>
      <c r="V289"/>
    </row>
    <row r="290" spans="1:22" ht="30" x14ac:dyDescent="0.25">
      <c r="A290" s="47"/>
      <c r="B290" s="108" t="s">
        <v>23</v>
      </c>
      <c r="C290" s="47" t="s">
        <v>275</v>
      </c>
      <c r="D290" s="3" t="s">
        <v>72</v>
      </c>
      <c r="E290" s="3" t="s">
        <v>1165</v>
      </c>
      <c r="F290" s="3" t="s">
        <v>3072</v>
      </c>
      <c r="G290" s="3" t="s">
        <v>1161</v>
      </c>
      <c r="H290" s="3"/>
      <c r="I290" s="3"/>
      <c r="J290" s="3"/>
      <c r="K290" s="3"/>
      <c r="L290" s="3"/>
      <c r="M290" s="36" t="s">
        <v>1258</v>
      </c>
      <c r="N290" s="36"/>
      <c r="O290" s="36"/>
      <c r="P290" s="36"/>
      <c r="Q290" s="36" t="s">
        <v>1185</v>
      </c>
      <c r="R290" s="150">
        <v>45775</v>
      </c>
      <c r="S290" s="36" t="s">
        <v>1186</v>
      </c>
      <c r="T290" s="47" t="s">
        <v>275</v>
      </c>
      <c r="U290" s="146" t="s">
        <v>275</v>
      </c>
      <c r="V290"/>
    </row>
    <row r="291" spans="1:22" ht="30" x14ac:dyDescent="0.25">
      <c r="A291" s="47"/>
      <c r="B291" s="108" t="s">
        <v>23</v>
      </c>
      <c r="C291" s="47" t="s">
        <v>275</v>
      </c>
      <c r="D291" s="3" t="s">
        <v>72</v>
      </c>
      <c r="E291" s="3" t="s">
        <v>1135</v>
      </c>
      <c r="F291" s="3" t="s">
        <v>3071</v>
      </c>
      <c r="G291" s="3" t="s">
        <v>1130</v>
      </c>
      <c r="H291" s="3"/>
      <c r="I291" s="3"/>
      <c r="J291" s="3"/>
      <c r="K291" s="3"/>
      <c r="L291" s="3"/>
      <c r="M291" s="36" t="s">
        <v>1258</v>
      </c>
      <c r="N291" s="36"/>
      <c r="O291" s="36"/>
      <c r="P291" s="36"/>
      <c r="Q291" s="36"/>
      <c r="R291" s="150"/>
      <c r="S291" s="36"/>
      <c r="T291" s="47" t="s">
        <v>275</v>
      </c>
      <c r="U291" s="146" t="s">
        <v>275</v>
      </c>
      <c r="V291"/>
    </row>
    <row r="292" spans="1:22" ht="45" x14ac:dyDescent="0.25">
      <c r="A292" s="109"/>
      <c r="B292" s="109" t="s">
        <v>23</v>
      </c>
      <c r="C292" s="109" t="s">
        <v>275</v>
      </c>
      <c r="D292" s="109" t="s">
        <v>72</v>
      </c>
      <c r="E292" s="109" t="s">
        <v>1140</v>
      </c>
      <c r="F292" s="109" t="s">
        <v>3071</v>
      </c>
      <c r="G292" s="109" t="s">
        <v>1139</v>
      </c>
      <c r="H292" s="109"/>
      <c r="I292" s="109"/>
      <c r="J292" s="109"/>
      <c r="K292" s="109"/>
      <c r="L292" s="109"/>
      <c r="M292" s="109" t="s">
        <v>1258</v>
      </c>
      <c r="N292" s="109"/>
      <c r="O292" s="109"/>
      <c r="P292" s="109"/>
      <c r="Q292" s="109"/>
      <c r="R292" s="117"/>
      <c r="S292" s="109"/>
      <c r="T292" s="109" t="s">
        <v>275</v>
      </c>
      <c r="U292" s="109" t="s">
        <v>275</v>
      </c>
      <c r="V292"/>
    </row>
    <row r="293" spans="1:22" ht="30" x14ac:dyDescent="0.25">
      <c r="A293" s="47"/>
      <c r="B293" s="108" t="s">
        <v>23</v>
      </c>
      <c r="C293" s="47" t="s">
        <v>275</v>
      </c>
      <c r="D293" s="3" t="s">
        <v>72</v>
      </c>
      <c r="E293" s="3" t="s">
        <v>726</v>
      </c>
      <c r="F293" s="3" t="s">
        <v>3073</v>
      </c>
      <c r="G293" s="3" t="s">
        <v>719</v>
      </c>
      <c r="H293" s="3"/>
      <c r="I293" s="3"/>
      <c r="J293" s="3"/>
      <c r="K293" s="3"/>
      <c r="L293" s="3"/>
      <c r="M293" s="36" t="s">
        <v>1258</v>
      </c>
      <c r="N293" s="36"/>
      <c r="O293" s="36"/>
      <c r="P293" s="36"/>
      <c r="Q293" s="36" t="s">
        <v>1127</v>
      </c>
      <c r="R293" s="150">
        <v>45707</v>
      </c>
      <c r="S293" s="36" t="s">
        <v>102</v>
      </c>
      <c r="T293" s="47" t="s">
        <v>275</v>
      </c>
      <c r="U293" s="146" t="s">
        <v>275</v>
      </c>
      <c r="V293"/>
    </row>
    <row r="294" spans="1:22" ht="30" x14ac:dyDescent="0.25">
      <c r="A294" s="47"/>
      <c r="B294" s="108" t="s">
        <v>23</v>
      </c>
      <c r="C294" s="47" t="s">
        <v>275</v>
      </c>
      <c r="D294" s="3" t="s">
        <v>72</v>
      </c>
      <c r="E294" s="3" t="s">
        <v>678</v>
      </c>
      <c r="F294" s="3" t="s">
        <v>3071</v>
      </c>
      <c r="G294" s="3" t="s">
        <v>672</v>
      </c>
      <c r="H294" s="3"/>
      <c r="I294" s="3"/>
      <c r="J294" s="3"/>
      <c r="K294" s="3"/>
      <c r="L294" s="3"/>
      <c r="M294" s="36" t="s">
        <v>1258</v>
      </c>
      <c r="N294" s="36"/>
      <c r="O294" s="36" t="s">
        <v>23</v>
      </c>
      <c r="P294" s="36" t="s">
        <v>23</v>
      </c>
      <c r="Q294" s="36" t="s">
        <v>1126</v>
      </c>
      <c r="R294" s="150">
        <v>45700</v>
      </c>
      <c r="S294" s="36" t="s">
        <v>102</v>
      </c>
      <c r="T294" s="47" t="s">
        <v>275</v>
      </c>
      <c r="U294" s="146" t="s">
        <v>275</v>
      </c>
      <c r="V294"/>
    </row>
    <row r="295" spans="1:22" ht="30" x14ac:dyDescent="0.25">
      <c r="A295" s="109"/>
      <c r="B295" s="109" t="s">
        <v>23</v>
      </c>
      <c r="C295" s="109" t="s">
        <v>275</v>
      </c>
      <c r="D295" s="109" t="s">
        <v>72</v>
      </c>
      <c r="E295" s="109" t="s">
        <v>1105</v>
      </c>
      <c r="F295" s="109" t="s">
        <v>3071</v>
      </c>
      <c r="G295" s="109" t="s">
        <v>1102</v>
      </c>
      <c r="H295" s="109"/>
      <c r="I295" s="109"/>
      <c r="J295" s="109"/>
      <c r="K295" s="109"/>
      <c r="L295" s="109"/>
      <c r="M295" s="109" t="s">
        <v>1258</v>
      </c>
      <c r="N295" s="109"/>
      <c r="O295" s="109"/>
      <c r="P295" s="109"/>
      <c r="Q295" s="109"/>
      <c r="R295" s="117">
        <v>45763</v>
      </c>
      <c r="S295" s="109" t="s">
        <v>211</v>
      </c>
      <c r="T295" s="109" t="s">
        <v>275</v>
      </c>
      <c r="U295" s="109" t="s">
        <v>275</v>
      </c>
      <c r="V295"/>
    </row>
    <row r="296" spans="1:22" x14ac:dyDescent="0.25">
      <c r="A296" s="47"/>
      <c r="B296" s="108" t="s">
        <v>23</v>
      </c>
      <c r="C296" s="47" t="s">
        <v>275</v>
      </c>
      <c r="D296" s="3" t="s">
        <v>72</v>
      </c>
      <c r="E296" s="3" t="s">
        <v>1094</v>
      </c>
      <c r="F296" s="3" t="s">
        <v>3071</v>
      </c>
      <c r="G296" s="3" t="s">
        <v>1091</v>
      </c>
      <c r="H296" s="3"/>
      <c r="I296" s="3"/>
      <c r="J296" s="3"/>
      <c r="K296" s="3"/>
      <c r="L296" s="3"/>
      <c r="M296" s="36" t="s">
        <v>1258</v>
      </c>
      <c r="N296" s="36"/>
      <c r="O296" s="36"/>
      <c r="P296" s="36"/>
      <c r="Q296" s="36"/>
      <c r="R296" s="150">
        <v>45763</v>
      </c>
      <c r="S296" s="36" t="s">
        <v>211</v>
      </c>
      <c r="T296" s="47" t="s">
        <v>275</v>
      </c>
      <c r="U296" s="146" t="s">
        <v>275</v>
      </c>
      <c r="V296"/>
    </row>
    <row r="297" spans="1:22" x14ac:dyDescent="0.25">
      <c r="A297" s="109"/>
      <c r="B297" s="109" t="s">
        <v>23</v>
      </c>
      <c r="C297" s="109" t="s">
        <v>275</v>
      </c>
      <c r="D297" s="109" t="s">
        <v>72</v>
      </c>
      <c r="E297" s="109" t="s">
        <v>853</v>
      </c>
      <c r="F297" s="109" t="s">
        <v>3072</v>
      </c>
      <c r="G297" s="109" t="s">
        <v>1001</v>
      </c>
      <c r="H297" s="109"/>
      <c r="I297" s="109"/>
      <c r="J297" s="109"/>
      <c r="K297" s="109"/>
      <c r="L297" s="109"/>
      <c r="M297" s="110" t="s">
        <v>1258</v>
      </c>
      <c r="N297" s="110"/>
      <c r="O297" s="110"/>
      <c r="P297" s="110"/>
      <c r="Q297" s="110"/>
      <c r="R297" s="117"/>
      <c r="S297" s="110" t="s">
        <v>635</v>
      </c>
      <c r="T297" s="109" t="s">
        <v>275</v>
      </c>
      <c r="U297" s="138" t="s">
        <v>275</v>
      </c>
      <c r="V297"/>
    </row>
    <row r="298" spans="1:22" ht="30" x14ac:dyDescent="0.25">
      <c r="A298" s="47"/>
      <c r="B298" s="108" t="s">
        <v>23</v>
      </c>
      <c r="C298" s="47" t="s">
        <v>275</v>
      </c>
      <c r="D298" s="3" t="s">
        <v>72</v>
      </c>
      <c r="E298" s="3" t="s">
        <v>1114</v>
      </c>
      <c r="F298" s="3" t="s">
        <v>3073</v>
      </c>
      <c r="G298" s="3" t="s">
        <v>1111</v>
      </c>
      <c r="H298" s="3"/>
      <c r="I298" s="3"/>
      <c r="J298" s="3"/>
      <c r="K298" s="3"/>
      <c r="L298" s="3"/>
      <c r="M298" s="36" t="s">
        <v>1258</v>
      </c>
      <c r="N298" s="36"/>
      <c r="O298" s="36"/>
      <c r="P298" s="36"/>
      <c r="Q298" s="36" t="s">
        <v>1113</v>
      </c>
      <c r="R298" s="150">
        <v>45762</v>
      </c>
      <c r="S298" s="36" t="s">
        <v>1112</v>
      </c>
      <c r="T298" s="47" t="s">
        <v>275</v>
      </c>
      <c r="U298" s="146" t="s">
        <v>275</v>
      </c>
      <c r="V298"/>
    </row>
    <row r="299" spans="1:22" x14ac:dyDescent="0.25">
      <c r="A299" s="47"/>
      <c r="B299" s="108" t="s">
        <v>23</v>
      </c>
      <c r="C299" s="47" t="s">
        <v>275</v>
      </c>
      <c r="D299" s="3" t="s">
        <v>72</v>
      </c>
      <c r="E299" s="3" t="s">
        <v>1089</v>
      </c>
      <c r="F299" s="3" t="s">
        <v>1088</v>
      </c>
      <c r="G299" s="3" t="s">
        <v>1087</v>
      </c>
      <c r="H299" s="3"/>
      <c r="I299" s="3"/>
      <c r="J299" s="3"/>
      <c r="K299" s="3"/>
      <c r="L299" s="3"/>
      <c r="M299" s="36" t="s">
        <v>1258</v>
      </c>
      <c r="N299" s="36"/>
      <c r="O299" s="36"/>
      <c r="P299" s="36"/>
      <c r="Q299" s="36"/>
      <c r="R299" s="150"/>
      <c r="S299" s="36"/>
      <c r="T299" s="47" t="s">
        <v>275</v>
      </c>
      <c r="U299" s="146" t="s">
        <v>275</v>
      </c>
      <c r="V299"/>
    </row>
    <row r="300" spans="1:22" ht="30" x14ac:dyDescent="0.25">
      <c r="A300" s="47"/>
      <c r="B300" s="108" t="s">
        <v>23</v>
      </c>
      <c r="C300" s="47" t="s">
        <v>275</v>
      </c>
      <c r="D300" s="3" t="s">
        <v>72</v>
      </c>
      <c r="E300" s="3" t="s">
        <v>1006</v>
      </c>
      <c r="F300" s="3" t="s">
        <v>3073</v>
      </c>
      <c r="G300" s="3" t="s">
        <v>998</v>
      </c>
      <c r="H300" s="3"/>
      <c r="I300" s="3"/>
      <c r="J300" s="3"/>
      <c r="K300" s="3"/>
      <c r="L300" s="3"/>
      <c r="M300" s="36" t="s">
        <v>1258</v>
      </c>
      <c r="N300" s="36"/>
      <c r="O300" s="36"/>
      <c r="P300" s="36"/>
      <c r="Q300" s="36"/>
      <c r="R300" s="150"/>
      <c r="S300" s="36"/>
      <c r="T300" s="47" t="s">
        <v>275</v>
      </c>
      <c r="U300" s="146" t="s">
        <v>275</v>
      </c>
      <c r="V300"/>
    </row>
    <row r="301" spans="1:22" ht="60" x14ac:dyDescent="0.25">
      <c r="A301" s="47"/>
      <c r="B301" s="108" t="s">
        <v>23</v>
      </c>
      <c r="C301" s="47" t="s">
        <v>275</v>
      </c>
      <c r="D301" s="3" t="s">
        <v>72</v>
      </c>
      <c r="E301" s="3" t="s">
        <v>1016</v>
      </c>
      <c r="F301" s="3" t="s">
        <v>3072</v>
      </c>
      <c r="G301" s="3" t="s">
        <v>1009</v>
      </c>
      <c r="H301" s="3"/>
      <c r="I301" s="3"/>
      <c r="J301" s="3"/>
      <c r="K301" s="3"/>
      <c r="L301" s="3"/>
      <c r="M301" s="36" t="s">
        <v>1258</v>
      </c>
      <c r="N301" s="36"/>
      <c r="O301" s="36"/>
      <c r="P301" s="36"/>
      <c r="Q301" s="36" t="s">
        <v>1035</v>
      </c>
      <c r="R301" s="150">
        <v>45747</v>
      </c>
      <c r="S301" s="36" t="s">
        <v>206</v>
      </c>
      <c r="T301" s="47" t="s">
        <v>275</v>
      </c>
      <c r="U301" s="146" t="s">
        <v>275</v>
      </c>
      <c r="V301"/>
    </row>
    <row r="302" spans="1:22" x14ac:dyDescent="0.25">
      <c r="A302" s="47"/>
      <c r="B302" s="108" t="s">
        <v>23</v>
      </c>
      <c r="C302" s="47" t="s">
        <v>275</v>
      </c>
      <c r="D302" s="3" t="s">
        <v>72</v>
      </c>
      <c r="E302" s="3" t="s">
        <v>1015</v>
      </c>
      <c r="F302" s="3" t="s">
        <v>3073</v>
      </c>
      <c r="G302" s="3" t="s">
        <v>1010</v>
      </c>
      <c r="H302" s="3"/>
      <c r="I302" s="3"/>
      <c r="J302" s="3"/>
      <c r="K302" s="3"/>
      <c r="L302" s="3"/>
      <c r="M302" s="36" t="s">
        <v>1258</v>
      </c>
      <c r="N302" s="36"/>
      <c r="O302" s="36"/>
      <c r="P302" s="36"/>
      <c r="Q302" s="36"/>
      <c r="R302" s="150"/>
      <c r="S302" s="36"/>
      <c r="T302" s="47" t="s">
        <v>275</v>
      </c>
      <c r="U302" s="146" t="s">
        <v>275</v>
      </c>
      <c r="V302"/>
    </row>
    <row r="303" spans="1:22" ht="45" x14ac:dyDescent="0.25">
      <c r="A303" s="47"/>
      <c r="B303" s="108" t="s">
        <v>23</v>
      </c>
      <c r="C303" s="47" t="s">
        <v>275</v>
      </c>
      <c r="D303" s="3" t="s">
        <v>72</v>
      </c>
      <c r="E303" s="3" t="s">
        <v>978</v>
      </c>
      <c r="F303" s="3" t="s">
        <v>3073</v>
      </c>
      <c r="G303" s="3" t="s">
        <v>977</v>
      </c>
      <c r="H303" s="3"/>
      <c r="I303" s="3"/>
      <c r="J303" s="3"/>
      <c r="K303" s="3"/>
      <c r="L303" s="3"/>
      <c r="M303" s="36" t="s">
        <v>1258</v>
      </c>
      <c r="N303" s="36"/>
      <c r="O303" s="36"/>
      <c r="P303" s="36"/>
      <c r="Q303" s="36" t="s">
        <v>994</v>
      </c>
      <c r="R303" s="150"/>
      <c r="S303" s="36"/>
      <c r="T303" s="47" t="s">
        <v>275</v>
      </c>
      <c r="U303" s="146" t="s">
        <v>275</v>
      </c>
      <c r="V303"/>
    </row>
    <row r="304" spans="1:22" ht="30" x14ac:dyDescent="0.25">
      <c r="A304" s="109"/>
      <c r="B304" s="109" t="s">
        <v>23</v>
      </c>
      <c r="C304" s="109" t="s">
        <v>275</v>
      </c>
      <c r="D304" s="109" t="s">
        <v>72</v>
      </c>
      <c r="E304" s="109" t="s">
        <v>415</v>
      </c>
      <c r="F304" s="109" t="s">
        <v>3071</v>
      </c>
      <c r="G304" s="109" t="s">
        <v>414</v>
      </c>
      <c r="H304" s="109"/>
      <c r="I304" s="109"/>
      <c r="J304" s="109"/>
      <c r="K304" s="109"/>
      <c r="L304" s="109"/>
      <c r="M304" s="110" t="s">
        <v>1258</v>
      </c>
      <c r="N304" s="110"/>
      <c r="O304" s="110"/>
      <c r="P304" s="110"/>
      <c r="Q304" s="110" t="s">
        <v>1258</v>
      </c>
      <c r="R304" s="117"/>
      <c r="S304" s="110"/>
      <c r="T304" s="109" t="s">
        <v>275</v>
      </c>
      <c r="U304" s="138" t="s">
        <v>275</v>
      </c>
      <c r="V304"/>
    </row>
    <row r="305" spans="1:22" ht="30" x14ac:dyDescent="0.25">
      <c r="A305" s="47"/>
      <c r="B305" s="108" t="s">
        <v>23</v>
      </c>
      <c r="C305" s="47" t="s">
        <v>275</v>
      </c>
      <c r="D305" s="3" t="s">
        <v>72</v>
      </c>
      <c r="E305" s="3" t="s">
        <v>966</v>
      </c>
      <c r="F305" s="3" t="s">
        <v>3071</v>
      </c>
      <c r="G305" s="3" t="s">
        <v>1000</v>
      </c>
      <c r="H305" s="3"/>
      <c r="I305" s="3"/>
      <c r="J305" s="3"/>
      <c r="K305" s="3"/>
      <c r="L305" s="3"/>
      <c r="M305" s="36" t="s">
        <v>1258</v>
      </c>
      <c r="N305" s="36"/>
      <c r="O305" s="36"/>
      <c r="P305" s="36"/>
      <c r="Q305" s="36" t="s">
        <v>1258</v>
      </c>
      <c r="R305" s="150"/>
      <c r="S305" s="36"/>
      <c r="T305" s="47" t="s">
        <v>275</v>
      </c>
      <c r="U305" s="146" t="s">
        <v>275</v>
      </c>
      <c r="V305"/>
    </row>
    <row r="306" spans="1:22" x14ac:dyDescent="0.25">
      <c r="A306" s="109"/>
      <c r="B306" s="109" t="s">
        <v>23</v>
      </c>
      <c r="C306" s="109" t="s">
        <v>275</v>
      </c>
      <c r="D306" s="109" t="s">
        <v>72</v>
      </c>
      <c r="E306" s="109" t="s">
        <v>842</v>
      </c>
      <c r="F306" s="109" t="s">
        <v>3071</v>
      </c>
      <c r="G306" s="109" t="s">
        <v>999</v>
      </c>
      <c r="H306" s="109"/>
      <c r="I306" s="109"/>
      <c r="J306" s="109"/>
      <c r="K306" s="109"/>
      <c r="L306" s="109"/>
      <c r="M306" s="110" t="s">
        <v>1258</v>
      </c>
      <c r="N306" s="110"/>
      <c r="O306" s="110"/>
      <c r="P306" s="110"/>
      <c r="Q306" s="110" t="s">
        <v>846</v>
      </c>
      <c r="R306" s="117"/>
      <c r="S306" s="110"/>
      <c r="T306" s="109" t="s">
        <v>275</v>
      </c>
      <c r="U306" s="138" t="s">
        <v>275</v>
      </c>
      <c r="V306"/>
    </row>
    <row r="307" spans="1:22" x14ac:dyDescent="0.25">
      <c r="A307" s="47"/>
      <c r="B307" s="108" t="s">
        <v>23</v>
      </c>
      <c r="C307" s="47" t="s">
        <v>275</v>
      </c>
      <c r="D307" s="3" t="s">
        <v>72</v>
      </c>
      <c r="E307" s="3" t="s">
        <v>986</v>
      </c>
      <c r="F307" s="3" t="s">
        <v>3072</v>
      </c>
      <c r="G307" s="3" t="s">
        <v>984</v>
      </c>
      <c r="H307" s="3"/>
      <c r="I307" s="3"/>
      <c r="J307" s="3"/>
      <c r="K307" s="3"/>
      <c r="L307" s="3"/>
      <c r="M307" s="36" t="s">
        <v>1258</v>
      </c>
      <c r="N307" s="36"/>
      <c r="O307" s="36"/>
      <c r="P307" s="36"/>
      <c r="Q307" s="36"/>
      <c r="R307" s="150"/>
      <c r="S307" s="36"/>
      <c r="T307" s="47" t="s">
        <v>275</v>
      </c>
      <c r="U307" s="146" t="s">
        <v>275</v>
      </c>
      <c r="V307"/>
    </row>
    <row r="308" spans="1:22" ht="30" x14ac:dyDescent="0.25">
      <c r="A308" s="109"/>
      <c r="B308" s="109" t="s">
        <v>23</v>
      </c>
      <c r="C308" s="109" t="s">
        <v>275</v>
      </c>
      <c r="D308" s="109" t="s">
        <v>72</v>
      </c>
      <c r="E308" s="109" t="s">
        <v>965</v>
      </c>
      <c r="F308" s="109" t="s">
        <v>3071</v>
      </c>
      <c r="G308" s="109" t="s">
        <v>951</v>
      </c>
      <c r="H308" s="109"/>
      <c r="I308" s="109"/>
      <c r="J308" s="109"/>
      <c r="K308" s="109"/>
      <c r="L308" s="109"/>
      <c r="M308" s="109" t="s">
        <v>1258</v>
      </c>
      <c r="N308" s="109"/>
      <c r="O308" s="109"/>
      <c r="P308" s="109"/>
      <c r="Q308" s="109"/>
      <c r="R308" s="117"/>
      <c r="S308" s="109"/>
      <c r="T308" s="109" t="s">
        <v>275</v>
      </c>
      <c r="U308" s="109" t="s">
        <v>275</v>
      </c>
      <c r="V308"/>
    </row>
    <row r="309" spans="1:22" ht="30" x14ac:dyDescent="0.25">
      <c r="A309" s="47"/>
      <c r="B309" s="108" t="s">
        <v>23</v>
      </c>
      <c r="C309" s="47" t="s">
        <v>275</v>
      </c>
      <c r="D309" s="3" t="s">
        <v>72</v>
      </c>
      <c r="E309" s="3" t="s">
        <v>896</v>
      </c>
      <c r="F309" s="3" t="s">
        <v>3073</v>
      </c>
      <c r="G309" s="3" t="s">
        <v>894</v>
      </c>
      <c r="H309" s="3"/>
      <c r="I309" s="3"/>
      <c r="J309" s="3"/>
      <c r="K309" s="3"/>
      <c r="L309" s="3"/>
      <c r="M309" s="36" t="s">
        <v>1258</v>
      </c>
      <c r="N309" s="36" t="s">
        <v>23</v>
      </c>
      <c r="O309" s="36"/>
      <c r="P309" s="36"/>
      <c r="Q309" s="36" t="s">
        <v>912</v>
      </c>
      <c r="R309" s="150">
        <v>45728</v>
      </c>
      <c r="S309" s="36" t="s">
        <v>102</v>
      </c>
      <c r="T309" s="47" t="s">
        <v>275</v>
      </c>
      <c r="U309" s="146" t="s">
        <v>275</v>
      </c>
      <c r="V309"/>
    </row>
    <row r="310" spans="1:22" ht="30" x14ac:dyDescent="0.25">
      <c r="A310" s="47"/>
      <c r="B310" s="108" t="s">
        <v>23</v>
      </c>
      <c r="C310" s="47" t="s">
        <v>275</v>
      </c>
      <c r="D310" s="3" t="s">
        <v>72</v>
      </c>
      <c r="E310" s="3" t="s">
        <v>897</v>
      </c>
      <c r="F310" s="3" t="s">
        <v>3073</v>
      </c>
      <c r="G310" s="3" t="s">
        <v>893</v>
      </c>
      <c r="H310" s="3"/>
      <c r="I310" s="3"/>
      <c r="J310" s="3"/>
      <c r="K310" s="3"/>
      <c r="L310" s="3"/>
      <c r="M310" s="36" t="s">
        <v>1258</v>
      </c>
      <c r="N310" s="36" t="s">
        <v>23</v>
      </c>
      <c r="O310" s="36"/>
      <c r="P310" s="36"/>
      <c r="Q310" s="36" t="s">
        <v>912</v>
      </c>
      <c r="R310" s="150">
        <v>45728</v>
      </c>
      <c r="S310" s="36" t="s">
        <v>102</v>
      </c>
      <c r="T310" s="47" t="s">
        <v>275</v>
      </c>
      <c r="U310" s="146" t="s">
        <v>275</v>
      </c>
      <c r="V310"/>
    </row>
    <row r="311" spans="1:22" ht="30" x14ac:dyDescent="0.25">
      <c r="A311" s="47"/>
      <c r="B311" s="108" t="s">
        <v>23</v>
      </c>
      <c r="C311" s="47" t="s">
        <v>275</v>
      </c>
      <c r="D311" s="3" t="s">
        <v>72</v>
      </c>
      <c r="E311" s="3" t="s">
        <v>830</v>
      </c>
      <c r="F311" s="3" t="s">
        <v>3072</v>
      </c>
      <c r="G311" s="3" t="s">
        <v>831</v>
      </c>
      <c r="H311" s="3"/>
      <c r="I311" s="3"/>
      <c r="J311" s="3"/>
      <c r="K311" s="3"/>
      <c r="L311" s="3"/>
      <c r="M311" s="36" t="s">
        <v>1258</v>
      </c>
      <c r="N311" s="36"/>
      <c r="O311" s="36"/>
      <c r="P311" s="36"/>
      <c r="Q311" s="36" t="s">
        <v>844</v>
      </c>
      <c r="R311" s="150">
        <v>45722</v>
      </c>
      <c r="S311" s="36" t="s">
        <v>845</v>
      </c>
      <c r="T311" s="47" t="s">
        <v>275</v>
      </c>
      <c r="U311" s="146" t="s">
        <v>275</v>
      </c>
      <c r="V311"/>
    </row>
    <row r="312" spans="1:22" ht="30" x14ac:dyDescent="0.25">
      <c r="A312" s="47"/>
      <c r="B312" s="108" t="s">
        <v>23</v>
      </c>
      <c r="C312" s="47" t="s">
        <v>275</v>
      </c>
      <c r="D312" s="3" t="s">
        <v>72</v>
      </c>
      <c r="E312" s="3" t="s">
        <v>788</v>
      </c>
      <c r="F312" s="3" t="s">
        <v>3072</v>
      </c>
      <c r="G312" s="3" t="s">
        <v>761</v>
      </c>
      <c r="H312" s="3"/>
      <c r="I312" s="3"/>
      <c r="J312" s="3"/>
      <c r="K312" s="3"/>
      <c r="L312" s="3"/>
      <c r="M312" s="36" t="s">
        <v>1258</v>
      </c>
      <c r="N312" s="36"/>
      <c r="O312" s="36"/>
      <c r="P312" s="36"/>
      <c r="Q312" s="36" t="s">
        <v>715</v>
      </c>
      <c r="R312" s="150">
        <v>45720</v>
      </c>
      <c r="S312" s="36" t="s">
        <v>785</v>
      </c>
      <c r="T312" s="47" t="s">
        <v>275</v>
      </c>
      <c r="U312" s="146" t="s">
        <v>275</v>
      </c>
      <c r="V312"/>
    </row>
    <row r="313" spans="1:22" ht="45" x14ac:dyDescent="0.25">
      <c r="A313" s="47"/>
      <c r="B313" s="108" t="s">
        <v>23</v>
      </c>
      <c r="C313" s="47" t="s">
        <v>275</v>
      </c>
      <c r="D313" s="3" t="s">
        <v>72</v>
      </c>
      <c r="E313" s="3" t="s">
        <v>760</v>
      </c>
      <c r="F313" s="3" t="s">
        <v>3072</v>
      </c>
      <c r="G313" s="3" t="s">
        <v>753</v>
      </c>
      <c r="H313" s="3"/>
      <c r="I313" s="3"/>
      <c r="J313" s="3"/>
      <c r="K313" s="3"/>
      <c r="L313" s="3"/>
      <c r="M313" s="36" t="s">
        <v>1258</v>
      </c>
      <c r="N313" s="36"/>
      <c r="O313" s="36"/>
      <c r="P313" s="36"/>
      <c r="Q313" s="36" t="s">
        <v>784</v>
      </c>
      <c r="R313" s="150">
        <v>45714</v>
      </c>
      <c r="S313" s="36" t="s">
        <v>635</v>
      </c>
      <c r="T313" s="47" t="s">
        <v>275</v>
      </c>
      <c r="U313" s="146" t="s">
        <v>275</v>
      </c>
      <c r="V313"/>
    </row>
    <row r="314" spans="1:22" ht="45" x14ac:dyDescent="0.25">
      <c r="A314" s="109"/>
      <c r="B314" s="109" t="s">
        <v>23</v>
      </c>
      <c r="C314" s="109" t="s">
        <v>275</v>
      </c>
      <c r="D314" s="109" t="s">
        <v>72</v>
      </c>
      <c r="E314" s="109" t="s">
        <v>774</v>
      </c>
      <c r="F314" s="109" t="s">
        <v>3072</v>
      </c>
      <c r="G314" s="109" t="s">
        <v>761</v>
      </c>
      <c r="H314" s="109"/>
      <c r="I314" s="109"/>
      <c r="J314" s="109"/>
      <c r="K314" s="109"/>
      <c r="L314" s="109"/>
      <c r="M314" s="109" t="s">
        <v>1258</v>
      </c>
      <c r="N314" s="109"/>
      <c r="O314" s="109"/>
      <c r="P314" s="109"/>
      <c r="Q314" s="109" t="s">
        <v>811</v>
      </c>
      <c r="R314" s="117">
        <v>45714</v>
      </c>
      <c r="S314" s="109" t="s">
        <v>785</v>
      </c>
      <c r="T314" s="109" t="s">
        <v>275</v>
      </c>
      <c r="U314" s="109" t="s">
        <v>275</v>
      </c>
      <c r="V314"/>
    </row>
    <row r="315" spans="1:22" ht="30" x14ac:dyDescent="0.25">
      <c r="A315" s="47"/>
      <c r="B315" s="108" t="s">
        <v>23</v>
      </c>
      <c r="C315" s="47" t="s">
        <v>275</v>
      </c>
      <c r="D315" s="3" t="s">
        <v>72</v>
      </c>
      <c r="E315" s="3" t="s">
        <v>758</v>
      </c>
      <c r="F315" s="3" t="s">
        <v>3072</v>
      </c>
      <c r="G315" s="3" t="s">
        <v>755</v>
      </c>
      <c r="H315" s="3"/>
      <c r="I315" s="3"/>
      <c r="J315" s="3"/>
      <c r="K315" s="3"/>
      <c r="L315" s="3"/>
      <c r="M315" s="36" t="s">
        <v>1258</v>
      </c>
      <c r="N315" s="36"/>
      <c r="O315" s="36"/>
      <c r="P315" s="36"/>
      <c r="Q315" s="36" t="s">
        <v>772</v>
      </c>
      <c r="R315" s="150">
        <v>45713</v>
      </c>
      <c r="S315" s="36" t="s">
        <v>102</v>
      </c>
      <c r="T315" s="47" t="s">
        <v>275</v>
      </c>
      <c r="U315" s="146" t="s">
        <v>275</v>
      </c>
      <c r="V315"/>
    </row>
    <row r="316" spans="1:22" ht="30" x14ac:dyDescent="0.25">
      <c r="A316" s="109"/>
      <c r="B316" s="109" t="s">
        <v>23</v>
      </c>
      <c r="C316" s="109" t="s">
        <v>275</v>
      </c>
      <c r="D316" s="109" t="s">
        <v>72</v>
      </c>
      <c r="E316" s="109" t="s">
        <v>759</v>
      </c>
      <c r="F316" s="109" t="s">
        <v>3072</v>
      </c>
      <c r="G316" s="109" t="s">
        <v>754</v>
      </c>
      <c r="H316" s="109"/>
      <c r="I316" s="109"/>
      <c r="J316" s="109"/>
      <c r="K316" s="109"/>
      <c r="L316" s="109"/>
      <c r="M316" s="109" t="s">
        <v>1258</v>
      </c>
      <c r="N316" s="109"/>
      <c r="O316" s="109"/>
      <c r="P316" s="109"/>
      <c r="Q316" s="109" t="s">
        <v>773</v>
      </c>
      <c r="R316" s="117">
        <v>45713</v>
      </c>
      <c r="S316" s="109" t="s">
        <v>102</v>
      </c>
      <c r="T316" s="109" t="s">
        <v>275</v>
      </c>
      <c r="U316" s="109" t="s">
        <v>275</v>
      </c>
      <c r="V316"/>
    </row>
    <row r="317" spans="1:22" ht="45" x14ac:dyDescent="0.25">
      <c r="A317" s="47"/>
      <c r="B317" s="108" t="s">
        <v>23</v>
      </c>
      <c r="C317" s="47" t="s">
        <v>275</v>
      </c>
      <c r="D317" s="3" t="s">
        <v>72</v>
      </c>
      <c r="E317" s="3" t="s">
        <v>750</v>
      </c>
      <c r="F317" s="3" t="s">
        <v>3071</v>
      </c>
      <c r="G317" s="3" t="s">
        <v>747</v>
      </c>
      <c r="H317" s="3"/>
      <c r="I317" s="3"/>
      <c r="J317" s="3"/>
      <c r="K317" s="3"/>
      <c r="L317" s="3"/>
      <c r="M317" s="36" t="s">
        <v>1258</v>
      </c>
      <c r="N317" s="36"/>
      <c r="O317" s="36"/>
      <c r="P317" s="36"/>
      <c r="Q317" s="36" t="s">
        <v>770</v>
      </c>
      <c r="R317" s="150">
        <v>45712</v>
      </c>
      <c r="S317" s="36" t="s">
        <v>50</v>
      </c>
      <c r="T317" s="47" t="s">
        <v>275</v>
      </c>
      <c r="U317" s="146" t="s">
        <v>275</v>
      </c>
      <c r="V317"/>
    </row>
    <row r="318" spans="1:22" ht="45" x14ac:dyDescent="0.25">
      <c r="A318" s="47"/>
      <c r="B318" s="108" t="s">
        <v>23</v>
      </c>
      <c r="C318" s="47" t="s">
        <v>275</v>
      </c>
      <c r="D318" s="3" t="s">
        <v>72</v>
      </c>
      <c r="E318" s="3" t="s">
        <v>710</v>
      </c>
      <c r="F318" s="3" t="s">
        <v>3073</v>
      </c>
      <c r="G318" s="3" t="s">
        <v>711</v>
      </c>
      <c r="H318" s="3"/>
      <c r="I318" s="3"/>
      <c r="J318" s="3"/>
      <c r="K318" s="3"/>
      <c r="L318" s="3"/>
      <c r="M318" s="36" t="s">
        <v>1258</v>
      </c>
      <c r="N318" s="36"/>
      <c r="O318" s="36"/>
      <c r="P318" s="36"/>
      <c r="Q318" s="36" t="s">
        <v>714</v>
      </c>
      <c r="R318" s="150">
        <v>45705</v>
      </c>
      <c r="S318" s="36" t="s">
        <v>239</v>
      </c>
      <c r="T318" s="47" t="s">
        <v>275</v>
      </c>
      <c r="U318" s="146" t="s">
        <v>275</v>
      </c>
      <c r="V318"/>
    </row>
    <row r="319" spans="1:22" ht="45" x14ac:dyDescent="0.25">
      <c r="A319" s="47"/>
      <c r="B319" s="108" t="s">
        <v>23</v>
      </c>
      <c r="C319" s="47" t="s">
        <v>275</v>
      </c>
      <c r="D319" s="3" t="s">
        <v>72</v>
      </c>
      <c r="E319" s="3" t="s">
        <v>679</v>
      </c>
      <c r="F319" s="3" t="s">
        <v>3071</v>
      </c>
      <c r="G319" s="3" t="s">
        <v>656</v>
      </c>
      <c r="H319" s="3"/>
      <c r="I319" s="3"/>
      <c r="J319" s="3"/>
      <c r="K319" s="3"/>
      <c r="L319" s="3"/>
      <c r="M319" s="36" t="s">
        <v>1258</v>
      </c>
      <c r="N319" s="36"/>
      <c r="O319" s="36"/>
      <c r="P319" s="36"/>
      <c r="Q319" s="36" t="s">
        <v>700</v>
      </c>
      <c r="R319" s="150">
        <v>45701</v>
      </c>
      <c r="S319" s="36" t="s">
        <v>220</v>
      </c>
      <c r="T319" s="47" t="s">
        <v>275</v>
      </c>
      <c r="U319" s="146" t="s">
        <v>275</v>
      </c>
      <c r="V319"/>
    </row>
    <row r="320" spans="1:22" ht="30" x14ac:dyDescent="0.25">
      <c r="A320" s="109"/>
      <c r="B320" s="109" t="s">
        <v>23</v>
      </c>
      <c r="C320" s="109" t="s">
        <v>275</v>
      </c>
      <c r="D320" s="109" t="s">
        <v>72</v>
      </c>
      <c r="E320" s="109" t="s">
        <v>553</v>
      </c>
      <c r="F320" s="109" t="s">
        <v>3073</v>
      </c>
      <c r="G320" s="109" t="s">
        <v>548</v>
      </c>
      <c r="H320" s="109"/>
      <c r="I320" s="109"/>
      <c r="J320" s="109"/>
      <c r="K320" s="109"/>
      <c r="L320" s="109"/>
      <c r="M320" s="109" t="s">
        <v>1258</v>
      </c>
      <c r="N320" s="109"/>
      <c r="O320" s="109"/>
      <c r="P320" s="109"/>
      <c r="Q320" s="109" t="s">
        <v>590</v>
      </c>
      <c r="R320" s="117">
        <v>45687</v>
      </c>
      <c r="S320" s="109" t="s">
        <v>554</v>
      </c>
      <c r="T320" s="109" t="s">
        <v>275</v>
      </c>
      <c r="U320" s="109" t="s">
        <v>275</v>
      </c>
      <c r="V320"/>
    </row>
    <row r="321" spans="1:22" x14ac:dyDescent="0.25">
      <c r="A321" s="47"/>
      <c r="B321" s="108" t="s">
        <v>23</v>
      </c>
      <c r="C321" s="47" t="s">
        <v>275</v>
      </c>
      <c r="D321" s="3" t="s">
        <v>72</v>
      </c>
      <c r="E321" s="3" t="s">
        <v>648</v>
      </c>
      <c r="F321" s="3" t="s">
        <v>3072</v>
      </c>
      <c r="G321" s="3" t="s">
        <v>649</v>
      </c>
      <c r="H321" s="3"/>
      <c r="I321" s="3"/>
      <c r="J321" s="3"/>
      <c r="K321" s="3"/>
      <c r="L321" s="3"/>
      <c r="M321" s="36" t="s">
        <v>1258</v>
      </c>
      <c r="N321" s="36"/>
      <c r="O321" s="36"/>
      <c r="P321" s="36"/>
      <c r="Q321" s="36"/>
      <c r="R321" s="150"/>
      <c r="S321" s="36"/>
      <c r="T321" s="47" t="s">
        <v>275</v>
      </c>
      <c r="U321" s="146" t="s">
        <v>275</v>
      </c>
      <c r="V321"/>
    </row>
    <row r="322" spans="1:22" ht="30" x14ac:dyDescent="0.25">
      <c r="A322" s="47"/>
      <c r="B322" s="108" t="s">
        <v>23</v>
      </c>
      <c r="C322" s="47" t="s">
        <v>275</v>
      </c>
      <c r="D322" s="3" t="s">
        <v>72</v>
      </c>
      <c r="E322" s="3" t="s">
        <v>417</v>
      </c>
      <c r="F322" s="3" t="s">
        <v>3071</v>
      </c>
      <c r="G322" s="3" t="s">
        <v>416</v>
      </c>
      <c r="H322" s="3"/>
      <c r="I322" s="3"/>
      <c r="J322" s="3"/>
      <c r="K322" s="3"/>
      <c r="L322" s="3"/>
      <c r="M322" s="36" t="s">
        <v>1258</v>
      </c>
      <c r="N322" s="36"/>
      <c r="O322" s="36"/>
      <c r="P322" s="36"/>
      <c r="Q322" s="36" t="s">
        <v>645</v>
      </c>
      <c r="R322" s="150">
        <v>45694</v>
      </c>
      <c r="S322" s="36" t="s">
        <v>220</v>
      </c>
      <c r="T322" s="47" t="s">
        <v>275</v>
      </c>
      <c r="U322" s="146" t="s">
        <v>275</v>
      </c>
      <c r="V322"/>
    </row>
    <row r="323" spans="1:22" ht="30" x14ac:dyDescent="0.25">
      <c r="A323" s="47"/>
      <c r="B323" s="108" t="s">
        <v>23</v>
      </c>
      <c r="C323" s="47" t="s">
        <v>275</v>
      </c>
      <c r="D323" s="3" t="s">
        <v>72</v>
      </c>
      <c r="E323" s="3" t="s">
        <v>463</v>
      </c>
      <c r="F323" s="3" t="s">
        <v>3073</v>
      </c>
      <c r="G323" s="3" t="s">
        <v>462</v>
      </c>
      <c r="H323" s="3"/>
      <c r="I323" s="3"/>
      <c r="J323" s="3"/>
      <c r="K323" s="3"/>
      <c r="L323" s="3"/>
      <c r="M323" s="36" t="s">
        <v>1258</v>
      </c>
      <c r="N323" s="36"/>
      <c r="O323" s="36"/>
      <c r="P323" s="36"/>
      <c r="Q323" s="36" t="s">
        <v>577</v>
      </c>
      <c r="R323" s="150">
        <v>45684</v>
      </c>
      <c r="S323" s="36" t="s">
        <v>578</v>
      </c>
      <c r="T323" s="47" t="s">
        <v>275</v>
      </c>
      <c r="U323" s="146" t="s">
        <v>275</v>
      </c>
      <c r="V323"/>
    </row>
    <row r="324" spans="1:22" x14ac:dyDescent="0.25">
      <c r="A324" s="47"/>
      <c r="B324" s="108" t="s">
        <v>23</v>
      </c>
      <c r="C324" s="47" t="s">
        <v>275</v>
      </c>
      <c r="D324" s="3" t="s">
        <v>72</v>
      </c>
      <c r="E324" s="3" t="s">
        <v>546</v>
      </c>
      <c r="F324" s="3" t="s">
        <v>3073</v>
      </c>
      <c r="G324" s="3" t="s">
        <v>545</v>
      </c>
      <c r="H324" s="3"/>
      <c r="I324" s="3"/>
      <c r="J324" s="3"/>
      <c r="K324" s="3"/>
      <c r="L324" s="3"/>
      <c r="M324" s="36" t="s">
        <v>1258</v>
      </c>
      <c r="N324" s="36"/>
      <c r="O324" s="36"/>
      <c r="P324" s="36"/>
      <c r="Q324" s="36" t="s">
        <v>556</v>
      </c>
      <c r="R324" s="150">
        <v>45685</v>
      </c>
      <c r="S324" s="36" t="s">
        <v>211</v>
      </c>
      <c r="T324" s="47" t="s">
        <v>275</v>
      </c>
      <c r="U324" s="146" t="s">
        <v>275</v>
      </c>
      <c r="V324"/>
    </row>
    <row r="325" spans="1:22" ht="15" customHeight="1" x14ac:dyDescent="0.25">
      <c r="A325" s="109"/>
      <c r="B325" s="109" t="s">
        <v>23</v>
      </c>
      <c r="C325" s="109" t="s">
        <v>275</v>
      </c>
      <c r="D325" s="109" t="s">
        <v>72</v>
      </c>
      <c r="E325" s="109" t="s">
        <v>525</v>
      </c>
      <c r="F325" s="109" t="s">
        <v>3073</v>
      </c>
      <c r="G325" s="109" t="s">
        <v>503</v>
      </c>
      <c r="H325" s="109"/>
      <c r="I325" s="109"/>
      <c r="J325" s="109"/>
      <c r="K325" s="109"/>
      <c r="L325" s="109"/>
      <c r="M325" s="109" t="s">
        <v>1258</v>
      </c>
      <c r="N325" s="109"/>
      <c r="O325" s="109"/>
      <c r="P325" s="109"/>
      <c r="Q325" s="109" t="s">
        <v>527</v>
      </c>
      <c r="R325" s="117">
        <v>45685</v>
      </c>
      <c r="S325" s="109" t="s">
        <v>211</v>
      </c>
      <c r="T325" s="109" t="s">
        <v>275</v>
      </c>
      <c r="U325" s="109" t="s">
        <v>275</v>
      </c>
      <c r="V325"/>
    </row>
    <row r="326" spans="1:22" x14ac:dyDescent="0.25">
      <c r="A326" s="47"/>
      <c r="B326" s="108" t="s">
        <v>23</v>
      </c>
      <c r="C326" s="47" t="s">
        <v>275</v>
      </c>
      <c r="D326" s="3" t="s">
        <v>72</v>
      </c>
      <c r="E326" s="3" t="s">
        <v>541</v>
      </c>
      <c r="F326" s="3" t="s">
        <v>3072</v>
      </c>
      <c r="G326" s="3" t="s">
        <v>529</v>
      </c>
      <c r="H326" s="3"/>
      <c r="I326" s="3"/>
      <c r="J326" s="3"/>
      <c r="K326" s="3"/>
      <c r="L326" s="3"/>
      <c r="M326" s="36" t="s">
        <v>1258</v>
      </c>
      <c r="N326" s="36"/>
      <c r="O326" s="36"/>
      <c r="P326" s="36"/>
      <c r="Q326" s="36" t="s">
        <v>544</v>
      </c>
      <c r="R326" s="150">
        <v>45685</v>
      </c>
      <c r="S326" s="36" t="s">
        <v>211</v>
      </c>
      <c r="T326" s="47" t="s">
        <v>275</v>
      </c>
      <c r="U326" s="146" t="s">
        <v>275</v>
      </c>
      <c r="V326"/>
    </row>
    <row r="327" spans="1:22" ht="30" x14ac:dyDescent="0.25">
      <c r="A327" s="109"/>
      <c r="B327" s="109" t="s">
        <v>23</v>
      </c>
      <c r="C327" s="109" t="s">
        <v>275</v>
      </c>
      <c r="D327" s="109" t="s">
        <v>72</v>
      </c>
      <c r="E327" s="109" t="s">
        <v>466</v>
      </c>
      <c r="F327" s="109" t="s">
        <v>3072</v>
      </c>
      <c r="G327" s="109" t="s">
        <v>458</v>
      </c>
      <c r="H327" s="109"/>
      <c r="I327" s="109"/>
      <c r="J327" s="109"/>
      <c r="K327" s="109"/>
      <c r="L327" s="109"/>
      <c r="M327" s="109" t="s">
        <v>1258</v>
      </c>
      <c r="N327" s="109"/>
      <c r="O327" s="109"/>
      <c r="P327" s="109"/>
      <c r="Q327" s="109" t="s">
        <v>459</v>
      </c>
      <c r="R327" s="117">
        <v>45680</v>
      </c>
      <c r="S327" s="109" t="s">
        <v>203</v>
      </c>
      <c r="T327" s="109" t="s">
        <v>275</v>
      </c>
      <c r="U327" s="109" t="s">
        <v>275</v>
      </c>
      <c r="V327"/>
    </row>
    <row r="328" spans="1:22" ht="30" x14ac:dyDescent="0.25">
      <c r="A328" s="47"/>
      <c r="B328" s="108" t="s">
        <v>23</v>
      </c>
      <c r="C328" s="47" t="s">
        <v>275</v>
      </c>
      <c r="D328" s="3" t="s">
        <v>72</v>
      </c>
      <c r="E328" s="3" t="s">
        <v>472</v>
      </c>
      <c r="F328" s="3" t="s">
        <v>3071</v>
      </c>
      <c r="G328" s="3" t="s">
        <v>471</v>
      </c>
      <c r="H328" s="3"/>
      <c r="I328" s="3"/>
      <c r="J328" s="3"/>
      <c r="K328" s="3"/>
      <c r="L328" s="3"/>
      <c r="M328" s="36" t="s">
        <v>1258</v>
      </c>
      <c r="N328" s="36"/>
      <c r="O328" s="36"/>
      <c r="P328" s="36"/>
      <c r="Q328" s="36" t="s">
        <v>474</v>
      </c>
      <c r="R328" s="150"/>
      <c r="S328" s="36"/>
      <c r="T328" s="47" t="s">
        <v>275</v>
      </c>
      <c r="U328" s="146" t="s">
        <v>275</v>
      </c>
      <c r="V328"/>
    </row>
    <row r="329" spans="1:22" ht="30" x14ac:dyDescent="0.25">
      <c r="A329" s="109"/>
      <c r="B329" s="109" t="s">
        <v>23</v>
      </c>
      <c r="C329" s="109" t="s">
        <v>275</v>
      </c>
      <c r="D329" s="109" t="s">
        <v>72</v>
      </c>
      <c r="E329" s="109" t="s">
        <v>467</v>
      </c>
      <c r="F329" s="109" t="s">
        <v>3072</v>
      </c>
      <c r="G329" s="109" t="s">
        <v>456</v>
      </c>
      <c r="H329" s="109"/>
      <c r="I329" s="109"/>
      <c r="J329" s="109"/>
      <c r="K329" s="109"/>
      <c r="L329" s="109"/>
      <c r="M329" s="110" t="s">
        <v>1258</v>
      </c>
      <c r="N329" s="110"/>
      <c r="O329" s="110"/>
      <c r="P329" s="110"/>
      <c r="Q329" s="110" t="s">
        <v>479</v>
      </c>
      <c r="R329" s="117">
        <v>45678</v>
      </c>
      <c r="S329" s="110" t="s">
        <v>457</v>
      </c>
      <c r="T329" s="109" t="s">
        <v>275</v>
      </c>
      <c r="U329" s="138" t="s">
        <v>275</v>
      </c>
      <c r="V329"/>
    </row>
    <row r="330" spans="1:22" x14ac:dyDescent="0.25">
      <c r="A330" s="109"/>
      <c r="B330" s="109" t="s">
        <v>23</v>
      </c>
      <c r="C330" s="109" t="s">
        <v>275</v>
      </c>
      <c r="D330" s="109" t="s">
        <v>72</v>
      </c>
      <c r="E330" s="109" t="s">
        <v>464</v>
      </c>
      <c r="F330" s="109" t="s">
        <v>3072</v>
      </c>
      <c r="G330" s="109" t="s">
        <v>461</v>
      </c>
      <c r="H330" s="109"/>
      <c r="I330" s="109"/>
      <c r="J330" s="109"/>
      <c r="K330" s="109"/>
      <c r="L330" s="109"/>
      <c r="M330" s="109" t="s">
        <v>1258</v>
      </c>
      <c r="N330" s="109"/>
      <c r="O330" s="109"/>
      <c r="P330" s="109"/>
      <c r="Q330" s="109" t="s">
        <v>488</v>
      </c>
      <c r="R330" s="117">
        <v>45679</v>
      </c>
      <c r="S330" s="109" t="s">
        <v>203</v>
      </c>
      <c r="T330" s="109" t="s">
        <v>275</v>
      </c>
      <c r="U330" s="109" t="s">
        <v>275</v>
      </c>
      <c r="V330"/>
    </row>
    <row r="331" spans="1:22" x14ac:dyDescent="0.25">
      <c r="A331" s="109"/>
      <c r="B331" s="109" t="s">
        <v>23</v>
      </c>
      <c r="C331" s="109" t="s">
        <v>275</v>
      </c>
      <c r="D331" s="109" t="s">
        <v>72</v>
      </c>
      <c r="E331" s="109" t="s">
        <v>465</v>
      </c>
      <c r="F331" s="109" t="s">
        <v>3072</v>
      </c>
      <c r="G331" s="109" t="s">
        <v>460</v>
      </c>
      <c r="H331" s="109"/>
      <c r="I331" s="109"/>
      <c r="J331" s="109"/>
      <c r="K331" s="109"/>
      <c r="L331" s="109"/>
      <c r="M331" s="109" t="s">
        <v>1258</v>
      </c>
      <c r="N331" s="109"/>
      <c r="O331" s="109"/>
      <c r="P331" s="109"/>
      <c r="Q331" s="109" t="s">
        <v>488</v>
      </c>
      <c r="R331" s="117">
        <v>45679</v>
      </c>
      <c r="S331" s="109" t="s">
        <v>203</v>
      </c>
      <c r="T331" s="109" t="s">
        <v>275</v>
      </c>
      <c r="U331" s="109" t="s">
        <v>275</v>
      </c>
      <c r="V331"/>
    </row>
    <row r="332" spans="1:22" x14ac:dyDescent="0.25">
      <c r="A332" s="47"/>
      <c r="B332" s="108" t="s">
        <v>23</v>
      </c>
      <c r="C332" s="47" t="s">
        <v>275</v>
      </c>
      <c r="D332" s="3" t="s">
        <v>72</v>
      </c>
      <c r="E332" s="3" t="s">
        <v>394</v>
      </c>
      <c r="F332" s="3" t="s">
        <v>3073</v>
      </c>
      <c r="G332" s="3" t="s">
        <v>307</v>
      </c>
      <c r="H332" s="3"/>
      <c r="I332" s="3"/>
      <c r="J332" s="3"/>
      <c r="K332" s="3"/>
      <c r="L332" s="3"/>
      <c r="M332" s="36" t="s">
        <v>1258</v>
      </c>
      <c r="N332" s="36"/>
      <c r="O332" s="36"/>
      <c r="P332" s="36"/>
      <c r="Q332" s="36"/>
      <c r="R332" s="150"/>
      <c r="S332" s="36"/>
      <c r="T332" s="47" t="s">
        <v>275</v>
      </c>
      <c r="U332" s="146" t="s">
        <v>275</v>
      </c>
      <c r="V332"/>
    </row>
    <row r="333" spans="1:22" x14ac:dyDescent="0.25">
      <c r="A333" s="47"/>
      <c r="B333" s="108" t="s">
        <v>23</v>
      </c>
      <c r="C333" s="47" t="s">
        <v>275</v>
      </c>
      <c r="D333" s="3" t="s">
        <v>72</v>
      </c>
      <c r="E333" s="3" t="s">
        <v>285</v>
      </c>
      <c r="F333" s="3" t="s">
        <v>3073</v>
      </c>
      <c r="G333" s="3" t="s">
        <v>284</v>
      </c>
      <c r="H333" s="3"/>
      <c r="I333" s="3"/>
      <c r="J333" s="3"/>
      <c r="K333" s="3"/>
      <c r="L333" s="3"/>
      <c r="M333" s="36" t="s">
        <v>1258</v>
      </c>
      <c r="N333" s="36"/>
      <c r="O333" s="36"/>
      <c r="P333" s="36"/>
      <c r="Q333" s="36"/>
      <c r="R333" s="150"/>
      <c r="S333" s="36"/>
      <c r="T333" s="47" t="s">
        <v>275</v>
      </c>
      <c r="U333" s="146" t="s">
        <v>275</v>
      </c>
      <c r="V333"/>
    </row>
    <row r="334" spans="1:22" ht="30" x14ac:dyDescent="0.25">
      <c r="A334" s="47"/>
      <c r="B334" s="108" t="s">
        <v>23</v>
      </c>
      <c r="C334" s="47" t="s">
        <v>275</v>
      </c>
      <c r="D334" s="3" t="s">
        <v>72</v>
      </c>
      <c r="E334" s="3" t="s">
        <v>257</v>
      </c>
      <c r="F334" s="3" t="s">
        <v>3073</v>
      </c>
      <c r="G334" s="3" t="s">
        <v>282</v>
      </c>
      <c r="H334" s="3"/>
      <c r="I334" s="3"/>
      <c r="J334" s="3"/>
      <c r="K334" s="3"/>
      <c r="L334" s="3"/>
      <c r="M334" s="36" t="s">
        <v>1258</v>
      </c>
      <c r="N334" s="36"/>
      <c r="O334" s="36"/>
      <c r="P334" s="36"/>
      <c r="Q334" s="36" t="s">
        <v>283</v>
      </c>
      <c r="R334" s="150">
        <v>45656</v>
      </c>
      <c r="S334" s="36" t="s">
        <v>295</v>
      </c>
      <c r="T334" s="47" t="s">
        <v>275</v>
      </c>
      <c r="U334" s="146" t="s">
        <v>275</v>
      </c>
      <c r="V334"/>
    </row>
    <row r="335" spans="1:22" ht="30" x14ac:dyDescent="0.25">
      <c r="A335" s="47"/>
      <c r="B335" s="108" t="s">
        <v>23</v>
      </c>
      <c r="C335" s="47" t="s">
        <v>275</v>
      </c>
      <c r="D335" s="3" t="s">
        <v>72</v>
      </c>
      <c r="E335" s="3" t="s">
        <v>392</v>
      </c>
      <c r="F335" s="3" t="s">
        <v>3073</v>
      </c>
      <c r="G335" s="3" t="s">
        <v>279</v>
      </c>
      <c r="H335" s="3"/>
      <c r="I335" s="3"/>
      <c r="J335" s="3"/>
      <c r="K335" s="3"/>
      <c r="L335" s="3"/>
      <c r="M335" s="36" t="s">
        <v>1258</v>
      </c>
      <c r="N335" s="36"/>
      <c r="O335" s="36"/>
      <c r="P335" s="36"/>
      <c r="Q335" s="36" t="s">
        <v>294</v>
      </c>
      <c r="R335" s="150">
        <v>45656</v>
      </c>
      <c r="S335" s="36" t="s">
        <v>102</v>
      </c>
      <c r="T335" s="47" t="s">
        <v>275</v>
      </c>
      <c r="U335" s="146" t="s">
        <v>275</v>
      </c>
      <c r="V335"/>
    </row>
    <row r="336" spans="1:22" x14ac:dyDescent="0.25">
      <c r="A336" s="47"/>
      <c r="B336" s="108" t="s">
        <v>23</v>
      </c>
      <c r="C336" s="47" t="s">
        <v>275</v>
      </c>
      <c r="D336" s="3" t="s">
        <v>72</v>
      </c>
      <c r="E336" s="3" t="s">
        <v>393</v>
      </c>
      <c r="F336" s="3" t="s">
        <v>3073</v>
      </c>
      <c r="G336" s="3" t="s">
        <v>278</v>
      </c>
      <c r="H336" s="3"/>
      <c r="I336" s="3"/>
      <c r="J336" s="3"/>
      <c r="K336" s="3"/>
      <c r="L336" s="3"/>
      <c r="M336" s="36" t="s">
        <v>1258</v>
      </c>
      <c r="N336" s="36"/>
      <c r="O336" s="36"/>
      <c r="P336" s="36"/>
      <c r="Q336" s="36" t="s">
        <v>288</v>
      </c>
      <c r="R336" s="150">
        <v>45656</v>
      </c>
      <c r="S336" s="36" t="s">
        <v>289</v>
      </c>
      <c r="T336" s="47" t="s">
        <v>275</v>
      </c>
      <c r="U336" s="146" t="s">
        <v>275</v>
      </c>
      <c r="V336"/>
    </row>
    <row r="337" spans="1:22" ht="30" x14ac:dyDescent="0.25">
      <c r="A337" s="47"/>
      <c r="B337" s="108" t="s">
        <v>23</v>
      </c>
      <c r="C337" s="47" t="s">
        <v>275</v>
      </c>
      <c r="D337" s="3" t="s">
        <v>72</v>
      </c>
      <c r="E337" s="3" t="s">
        <v>75</v>
      </c>
      <c r="F337" s="3" t="s">
        <v>3073</v>
      </c>
      <c r="G337" s="3" t="s">
        <v>76</v>
      </c>
      <c r="H337" s="3"/>
      <c r="I337" s="3"/>
      <c r="J337" s="3"/>
      <c r="K337" s="3"/>
      <c r="L337" s="3"/>
      <c r="M337" s="36" t="s">
        <v>1258</v>
      </c>
      <c r="N337" s="36"/>
      <c r="O337" s="36"/>
      <c r="P337" s="36"/>
      <c r="Q337" s="36"/>
      <c r="R337" s="150">
        <v>45610</v>
      </c>
      <c r="S337" s="36" t="s">
        <v>11</v>
      </c>
      <c r="T337" s="47" t="s">
        <v>275</v>
      </c>
      <c r="U337" s="146" t="s">
        <v>275</v>
      </c>
      <c r="V337"/>
    </row>
    <row r="338" spans="1:22" ht="30" x14ac:dyDescent="0.25">
      <c r="A338" s="47"/>
      <c r="B338" s="108" t="s">
        <v>23</v>
      </c>
      <c r="C338" s="47" t="s">
        <v>275</v>
      </c>
      <c r="D338" s="3" t="s">
        <v>72</v>
      </c>
      <c r="E338" s="3" t="s">
        <v>167</v>
      </c>
      <c r="F338" s="3" t="s">
        <v>3072</v>
      </c>
      <c r="G338" s="3" t="s">
        <v>168</v>
      </c>
      <c r="H338" s="3"/>
      <c r="I338" s="3"/>
      <c r="J338" s="3"/>
      <c r="K338" s="3"/>
      <c r="L338" s="3"/>
      <c r="M338" s="36" t="s">
        <v>1258</v>
      </c>
      <c r="N338" s="36"/>
      <c r="O338" s="36"/>
      <c r="P338" s="36"/>
      <c r="Q338" s="36"/>
      <c r="R338" s="150">
        <v>45602</v>
      </c>
      <c r="S338" s="36" t="s">
        <v>50</v>
      </c>
      <c r="T338" s="47" t="s">
        <v>275</v>
      </c>
      <c r="U338" s="146" t="s">
        <v>275</v>
      </c>
      <c r="V338"/>
    </row>
    <row r="339" spans="1:22" ht="30" x14ac:dyDescent="0.25">
      <c r="A339" s="47"/>
      <c r="B339" s="108" t="s">
        <v>23</v>
      </c>
      <c r="C339" s="47" t="s">
        <v>275</v>
      </c>
      <c r="D339" s="3" t="s">
        <v>72</v>
      </c>
      <c r="E339" s="3" t="s">
        <v>73</v>
      </c>
      <c r="F339" s="3" t="s">
        <v>3073</v>
      </c>
      <c r="G339" s="3" t="s">
        <v>74</v>
      </c>
      <c r="H339" s="3"/>
      <c r="I339" s="3"/>
      <c r="J339" s="3"/>
      <c r="K339" s="3"/>
      <c r="L339" s="3"/>
      <c r="M339" s="36" t="s">
        <v>1258</v>
      </c>
      <c r="N339" s="36"/>
      <c r="O339" s="36"/>
      <c r="P339" s="36"/>
      <c r="Q339" s="36" t="s">
        <v>77</v>
      </c>
      <c r="R339" s="150">
        <v>45602</v>
      </c>
      <c r="S339" s="36" t="s">
        <v>50</v>
      </c>
      <c r="T339" s="47" t="s">
        <v>275</v>
      </c>
      <c r="U339" s="146" t="s">
        <v>275</v>
      </c>
      <c r="V339"/>
    </row>
    <row r="340" spans="1:22" ht="30" x14ac:dyDescent="0.25">
      <c r="A340" s="109"/>
      <c r="B340" s="109" t="s">
        <v>23</v>
      </c>
      <c r="C340" s="109" t="s">
        <v>275</v>
      </c>
      <c r="D340" s="109" t="s">
        <v>72</v>
      </c>
      <c r="E340" s="109" t="s">
        <v>78</v>
      </c>
      <c r="F340" s="109" t="s">
        <v>3073</v>
      </c>
      <c r="G340" s="109" t="s">
        <v>79</v>
      </c>
      <c r="H340" s="109"/>
      <c r="I340" s="109"/>
      <c r="J340" s="109"/>
      <c r="K340" s="109"/>
      <c r="L340" s="109"/>
      <c r="M340" s="109" t="s">
        <v>1258</v>
      </c>
      <c r="N340" s="109"/>
      <c r="O340" s="109"/>
      <c r="P340" s="109"/>
      <c r="Q340" s="109" t="s">
        <v>80</v>
      </c>
      <c r="R340" s="117"/>
      <c r="S340" s="109"/>
      <c r="T340" s="109" t="s">
        <v>275</v>
      </c>
      <c r="U340" s="109" t="s">
        <v>275</v>
      </c>
      <c r="V340"/>
    </row>
    <row r="341" spans="1:22" x14ac:dyDescent="0.25">
      <c r="A341" s="109"/>
      <c r="B341" s="109" t="s">
        <v>23</v>
      </c>
      <c r="C341" s="109" t="s">
        <v>275</v>
      </c>
      <c r="D341" s="109" t="s">
        <v>72</v>
      </c>
      <c r="E341" s="109" t="s">
        <v>81</v>
      </c>
      <c r="F341" s="109" t="s">
        <v>3074</v>
      </c>
      <c r="G341" s="109" t="s">
        <v>82</v>
      </c>
      <c r="H341" s="109"/>
      <c r="I341" s="109"/>
      <c r="J341" s="109"/>
      <c r="K341" s="109"/>
      <c r="L341" s="109"/>
      <c r="M341" s="109" t="s">
        <v>1258</v>
      </c>
      <c r="N341" s="109"/>
      <c r="O341" s="109"/>
      <c r="P341" s="109"/>
      <c r="Q341" s="109" t="s">
        <v>83</v>
      </c>
      <c r="R341" s="117"/>
      <c r="S341" s="109"/>
      <c r="T341" s="109" t="s">
        <v>275</v>
      </c>
      <c r="U341" s="109" t="s">
        <v>275</v>
      </c>
      <c r="V341"/>
    </row>
    <row r="342" spans="1:22" ht="30" x14ac:dyDescent="0.25">
      <c r="A342" s="109"/>
      <c r="B342" s="109" t="s">
        <v>23</v>
      </c>
      <c r="C342" s="109" t="s">
        <v>275</v>
      </c>
      <c r="D342" s="109" t="s">
        <v>72</v>
      </c>
      <c r="E342" s="109" t="s">
        <v>84</v>
      </c>
      <c r="F342" s="109" t="s">
        <v>3072</v>
      </c>
      <c r="G342" s="109" t="s">
        <v>85</v>
      </c>
      <c r="H342" s="109"/>
      <c r="I342" s="109"/>
      <c r="J342" s="109"/>
      <c r="K342" s="109"/>
      <c r="L342" s="109"/>
      <c r="M342" s="109" t="s">
        <v>1258</v>
      </c>
      <c r="N342" s="109"/>
      <c r="O342" s="109"/>
      <c r="P342" s="109"/>
      <c r="Q342" s="109" t="s">
        <v>86</v>
      </c>
      <c r="R342" s="117"/>
      <c r="S342" s="109"/>
      <c r="T342" s="109" t="s">
        <v>275</v>
      </c>
      <c r="U342" s="109" t="s">
        <v>275</v>
      </c>
      <c r="V342"/>
    </row>
    <row r="343" spans="1:22" x14ac:dyDescent="0.25">
      <c r="A343" s="109"/>
      <c r="B343" s="109" t="s">
        <v>23</v>
      </c>
      <c r="C343" s="109" t="s">
        <v>275</v>
      </c>
      <c r="D343" s="109" t="s">
        <v>72</v>
      </c>
      <c r="E343" s="109" t="s">
        <v>1288</v>
      </c>
      <c r="F343" s="109" t="s">
        <v>3071</v>
      </c>
      <c r="G343" s="109" t="s">
        <v>1211</v>
      </c>
      <c r="H343" s="109"/>
      <c r="I343" s="109"/>
      <c r="J343" s="109"/>
      <c r="K343" s="109"/>
      <c r="L343" s="109"/>
      <c r="M343" s="36" t="s">
        <v>1258</v>
      </c>
      <c r="N343" s="36"/>
      <c r="O343" s="36"/>
      <c r="P343" s="36"/>
      <c r="Q343" s="36" t="s">
        <v>1307</v>
      </c>
      <c r="R343" s="150">
        <v>45785</v>
      </c>
      <c r="S343" s="36" t="s">
        <v>203</v>
      </c>
      <c r="T343" s="47" t="s">
        <v>275</v>
      </c>
      <c r="U343" s="146" t="s">
        <v>275</v>
      </c>
      <c r="V343"/>
    </row>
    <row r="344" spans="1:22" ht="30" x14ac:dyDescent="0.25">
      <c r="A344" s="109"/>
      <c r="B344" s="109" t="s">
        <v>23</v>
      </c>
      <c r="C344" s="109" t="s">
        <v>275</v>
      </c>
      <c r="D344" s="109" t="s">
        <v>72</v>
      </c>
      <c r="E344" s="109" t="s">
        <v>1337</v>
      </c>
      <c r="F344" s="109" t="s">
        <v>3073</v>
      </c>
      <c r="G344" s="109" t="s">
        <v>1336</v>
      </c>
      <c r="H344" s="109"/>
      <c r="I344" s="109"/>
      <c r="J344" s="109"/>
      <c r="K344" s="109"/>
      <c r="L344" s="109"/>
      <c r="M344" s="109" t="s">
        <v>1258</v>
      </c>
      <c r="N344" s="109"/>
      <c r="O344" s="109"/>
      <c r="P344" s="109"/>
      <c r="Q344" s="109"/>
      <c r="R344" s="150"/>
      <c r="S344" s="36" t="s">
        <v>1339</v>
      </c>
      <c r="T344" s="109" t="s">
        <v>275</v>
      </c>
      <c r="U344" s="109" t="s">
        <v>275</v>
      </c>
      <c r="V344"/>
    </row>
    <row r="345" spans="1:22" ht="30" x14ac:dyDescent="0.25">
      <c r="A345" s="47"/>
      <c r="B345" s="108" t="s">
        <v>23</v>
      </c>
      <c r="C345" s="47" t="s">
        <v>275</v>
      </c>
      <c r="D345" s="3" t="s">
        <v>72</v>
      </c>
      <c r="E345" s="3" t="s">
        <v>1325</v>
      </c>
      <c r="F345" s="3" t="s">
        <v>3071</v>
      </c>
      <c r="G345" s="3" t="s">
        <v>1317</v>
      </c>
      <c r="H345" s="3"/>
      <c r="I345" s="3"/>
      <c r="J345" s="3"/>
      <c r="K345" s="3"/>
      <c r="L345" s="3"/>
      <c r="M345" s="36" t="s">
        <v>1258</v>
      </c>
      <c r="N345" s="36"/>
      <c r="O345" s="36"/>
      <c r="P345" s="36"/>
      <c r="Q345" s="36" t="s">
        <v>1350</v>
      </c>
      <c r="R345" s="150"/>
      <c r="S345" s="36" t="s">
        <v>1349</v>
      </c>
      <c r="T345" s="47" t="s">
        <v>275</v>
      </c>
      <c r="U345" s="146" t="s">
        <v>275</v>
      </c>
      <c r="V345"/>
    </row>
    <row r="346" spans="1:22" x14ac:dyDescent="0.25">
      <c r="A346" s="47"/>
      <c r="B346" s="108" t="s">
        <v>23</v>
      </c>
      <c r="C346" s="47" t="s">
        <v>275</v>
      </c>
      <c r="D346" s="3" t="s">
        <v>72</v>
      </c>
      <c r="E346" s="3" t="s">
        <v>1323</v>
      </c>
      <c r="F346" s="3" t="s">
        <v>3071</v>
      </c>
      <c r="G346" s="3" t="s">
        <v>1319</v>
      </c>
      <c r="H346" s="3"/>
      <c r="I346" s="3"/>
      <c r="J346" s="3"/>
      <c r="K346" s="3"/>
      <c r="L346" s="3"/>
      <c r="M346" s="36" t="s">
        <v>1258</v>
      </c>
      <c r="N346" s="36"/>
      <c r="O346" s="36"/>
      <c r="P346" s="36"/>
      <c r="Q346" s="36" t="s">
        <v>1369</v>
      </c>
      <c r="R346" s="150">
        <v>45791</v>
      </c>
      <c r="S346" s="36" t="s">
        <v>203</v>
      </c>
      <c r="T346" s="47" t="s">
        <v>275</v>
      </c>
      <c r="U346" s="146" t="s">
        <v>275</v>
      </c>
      <c r="V346"/>
    </row>
    <row r="347" spans="1:22" ht="30" x14ac:dyDescent="0.25">
      <c r="A347" s="47"/>
      <c r="B347" s="108" t="s">
        <v>23</v>
      </c>
      <c r="C347" s="47" t="s">
        <v>275</v>
      </c>
      <c r="D347" s="3" t="s">
        <v>72</v>
      </c>
      <c r="E347" s="3" t="s">
        <v>1346</v>
      </c>
      <c r="F347" s="3" t="s">
        <v>3073</v>
      </c>
      <c r="G347" s="3" t="s">
        <v>1343</v>
      </c>
      <c r="H347" s="3"/>
      <c r="I347" s="3"/>
      <c r="J347" s="3"/>
      <c r="K347" s="3"/>
      <c r="L347" s="3"/>
      <c r="M347" s="36" t="s">
        <v>1258</v>
      </c>
      <c r="N347" s="36"/>
      <c r="O347" s="36"/>
      <c r="P347" s="36"/>
      <c r="Q347" s="36"/>
      <c r="R347" s="150"/>
      <c r="S347" s="36"/>
      <c r="T347" s="47" t="s">
        <v>275</v>
      </c>
      <c r="U347" s="146" t="s">
        <v>275</v>
      </c>
      <c r="V347"/>
    </row>
    <row r="348" spans="1:22" x14ac:dyDescent="0.25">
      <c r="A348" s="109"/>
      <c r="B348" s="109" t="s">
        <v>23</v>
      </c>
      <c r="C348" s="109" t="s">
        <v>275</v>
      </c>
      <c r="D348" s="109" t="s">
        <v>72</v>
      </c>
      <c r="E348" s="109" t="s">
        <v>1388</v>
      </c>
      <c r="F348" s="109" t="s">
        <v>3073</v>
      </c>
      <c r="G348" s="109" t="s">
        <v>1385</v>
      </c>
      <c r="H348" s="109"/>
      <c r="I348" s="109"/>
      <c r="J348" s="109"/>
      <c r="K348" s="109"/>
      <c r="L348" s="109"/>
      <c r="M348" s="110" t="s">
        <v>1258</v>
      </c>
      <c r="N348" s="110"/>
      <c r="O348" s="110"/>
      <c r="P348" s="110"/>
      <c r="Q348" s="110"/>
      <c r="R348" s="117"/>
      <c r="S348" s="110"/>
      <c r="T348" s="109" t="s">
        <v>275</v>
      </c>
      <c r="U348" s="109" t="s">
        <v>275</v>
      </c>
      <c r="V348"/>
    </row>
    <row r="349" spans="1:22" ht="30" x14ac:dyDescent="0.25">
      <c r="A349" s="47"/>
      <c r="B349" s="108"/>
      <c r="C349" s="47" t="s">
        <v>275</v>
      </c>
      <c r="D349" s="3" t="s">
        <v>72</v>
      </c>
      <c r="E349" s="3" t="s">
        <v>1410</v>
      </c>
      <c r="F349" s="3" t="s">
        <v>3071</v>
      </c>
      <c r="G349" s="3" t="s">
        <v>1407</v>
      </c>
      <c r="H349" s="3"/>
      <c r="I349" s="3"/>
      <c r="J349" s="3"/>
      <c r="K349" s="3"/>
      <c r="L349" s="3"/>
      <c r="M349" s="36" t="s">
        <v>1258</v>
      </c>
      <c r="N349" s="36"/>
      <c r="O349" s="36"/>
      <c r="P349" s="36"/>
      <c r="Q349" s="36"/>
      <c r="R349" s="150">
        <v>45797</v>
      </c>
      <c r="S349" s="36" t="s">
        <v>203</v>
      </c>
      <c r="T349" s="47" t="s">
        <v>275</v>
      </c>
      <c r="U349" s="146" t="s">
        <v>275</v>
      </c>
      <c r="V349"/>
    </row>
    <row r="350" spans="1:22" ht="30" x14ac:dyDescent="0.25">
      <c r="A350" s="47"/>
      <c r="B350" s="108"/>
      <c r="C350" s="47" t="s">
        <v>275</v>
      </c>
      <c r="D350" s="3" t="s">
        <v>72</v>
      </c>
      <c r="E350" s="3" t="s">
        <v>1411</v>
      </c>
      <c r="F350" s="3" t="s">
        <v>3073</v>
      </c>
      <c r="G350" s="3" t="s">
        <v>1406</v>
      </c>
      <c r="H350" s="3"/>
      <c r="I350" s="3"/>
      <c r="J350" s="3"/>
      <c r="K350" s="3"/>
      <c r="L350" s="3"/>
      <c r="M350" s="36" t="s">
        <v>1258</v>
      </c>
      <c r="N350" s="36"/>
      <c r="O350" s="36"/>
      <c r="P350" s="36"/>
      <c r="Q350" s="36" t="s">
        <v>1454</v>
      </c>
      <c r="R350" s="150">
        <v>45797</v>
      </c>
      <c r="S350" s="36" t="s">
        <v>239</v>
      </c>
      <c r="T350" s="47" t="s">
        <v>275</v>
      </c>
      <c r="U350" s="146" t="s">
        <v>275</v>
      </c>
      <c r="V350"/>
    </row>
    <row r="351" spans="1:22" ht="30" x14ac:dyDescent="0.25">
      <c r="A351" s="109"/>
      <c r="B351" s="109"/>
      <c r="C351" s="109" t="s">
        <v>275</v>
      </c>
      <c r="D351" s="109" t="s">
        <v>72</v>
      </c>
      <c r="E351" s="109" t="s">
        <v>1458</v>
      </c>
      <c r="F351" s="109" t="s">
        <v>3071</v>
      </c>
      <c r="G351" s="109" t="s">
        <v>1456</v>
      </c>
      <c r="H351" s="109"/>
      <c r="I351" s="109"/>
      <c r="J351" s="109"/>
      <c r="K351" s="109"/>
      <c r="L351" s="109"/>
      <c r="M351" s="109" t="s">
        <v>1258</v>
      </c>
      <c r="N351" s="109"/>
      <c r="O351" s="109"/>
      <c r="P351" s="109"/>
      <c r="Q351" s="109" t="s">
        <v>1478</v>
      </c>
      <c r="R351" s="117"/>
      <c r="S351" s="109"/>
      <c r="T351" s="109" t="s">
        <v>275</v>
      </c>
      <c r="U351" s="109" t="s">
        <v>275</v>
      </c>
      <c r="V351"/>
    </row>
    <row r="352" spans="1:22" x14ac:dyDescent="0.25">
      <c r="A352" s="47"/>
      <c r="B352" s="108"/>
      <c r="C352" s="47" t="s">
        <v>275</v>
      </c>
      <c r="D352" s="3" t="s">
        <v>72</v>
      </c>
      <c r="E352" s="3" t="s">
        <v>1459</v>
      </c>
      <c r="F352" s="3" t="s">
        <v>3073</v>
      </c>
      <c r="G352" s="3" t="s">
        <v>1500</v>
      </c>
      <c r="H352" s="3"/>
      <c r="I352" s="3"/>
      <c r="J352" s="3"/>
      <c r="K352" s="3"/>
      <c r="L352" s="3"/>
      <c r="M352" s="36" t="s">
        <v>1258</v>
      </c>
      <c r="N352" s="36"/>
      <c r="O352" s="36"/>
      <c r="P352" s="36"/>
      <c r="Q352" s="36"/>
      <c r="R352" s="150"/>
      <c r="S352" s="36"/>
      <c r="T352" s="47" t="s">
        <v>275</v>
      </c>
      <c r="U352" s="146" t="s">
        <v>275</v>
      </c>
      <c r="V352"/>
    </row>
    <row r="353" spans="1:22" ht="30" x14ac:dyDescent="0.25">
      <c r="A353" s="109"/>
      <c r="B353" s="109" t="s">
        <v>23</v>
      </c>
      <c r="C353" s="109" t="s">
        <v>275</v>
      </c>
      <c r="D353" s="109" t="s">
        <v>72</v>
      </c>
      <c r="E353" s="109" t="s">
        <v>1539</v>
      </c>
      <c r="F353" s="109" t="s">
        <v>3071</v>
      </c>
      <c r="G353" s="109" t="s">
        <v>1536</v>
      </c>
      <c r="H353" s="109"/>
      <c r="I353" s="109"/>
      <c r="J353" s="109"/>
      <c r="K353" s="109"/>
      <c r="L353" s="109"/>
      <c r="M353" s="109" t="s">
        <v>1258</v>
      </c>
      <c r="N353" s="109"/>
      <c r="O353" s="109"/>
      <c r="P353" s="109"/>
      <c r="Q353" s="109"/>
      <c r="R353" s="117">
        <v>45812</v>
      </c>
      <c r="S353" s="109" t="s">
        <v>1496</v>
      </c>
      <c r="T353" s="109" t="s">
        <v>275</v>
      </c>
      <c r="U353" s="109" t="s">
        <v>275</v>
      </c>
      <c r="V353"/>
    </row>
    <row r="354" spans="1:22" ht="45" x14ac:dyDescent="0.25">
      <c r="A354" s="47"/>
      <c r="B354" s="108"/>
      <c r="C354" s="47" t="s">
        <v>275</v>
      </c>
      <c r="D354" s="3" t="s">
        <v>72</v>
      </c>
      <c r="E354" s="3" t="s">
        <v>1412</v>
      </c>
      <c r="F354" s="3" t="s">
        <v>3071</v>
      </c>
      <c r="G354" s="3" t="s">
        <v>1405</v>
      </c>
      <c r="H354" s="3"/>
      <c r="I354" s="3"/>
      <c r="J354" s="3"/>
      <c r="K354" s="3"/>
      <c r="L354" s="3"/>
      <c r="M354" s="36" t="s">
        <v>1258</v>
      </c>
      <c r="N354" s="36"/>
      <c r="O354" s="36"/>
      <c r="P354" s="36"/>
      <c r="Q354" s="36" t="s">
        <v>1572</v>
      </c>
      <c r="R354" s="150">
        <v>45797</v>
      </c>
      <c r="S354" s="36" t="s">
        <v>203</v>
      </c>
      <c r="T354" s="47" t="s">
        <v>275</v>
      </c>
      <c r="U354" s="146" t="s">
        <v>275</v>
      </c>
      <c r="V354"/>
    </row>
    <row r="355" spans="1:22" x14ac:dyDescent="0.25">
      <c r="A355" s="109"/>
      <c r="B355" s="109" t="s">
        <v>23</v>
      </c>
      <c r="C355" s="109" t="s">
        <v>275</v>
      </c>
      <c r="D355" s="109" t="s">
        <v>72</v>
      </c>
      <c r="E355" s="109" t="s">
        <v>1538</v>
      </c>
      <c r="F355" s="109" t="s">
        <v>3071</v>
      </c>
      <c r="G355" s="109" t="s">
        <v>1537</v>
      </c>
      <c r="H355" s="109"/>
      <c r="I355" s="109"/>
      <c r="J355" s="109"/>
      <c r="K355" s="109"/>
      <c r="L355" s="109"/>
      <c r="M355" s="109" t="s">
        <v>1258</v>
      </c>
      <c r="N355" s="109"/>
      <c r="O355" s="109"/>
      <c r="P355" s="109"/>
      <c r="Q355" s="109"/>
      <c r="R355" s="117">
        <v>45812</v>
      </c>
      <c r="S355" s="109" t="s">
        <v>1074</v>
      </c>
      <c r="T355" s="109" t="s">
        <v>275</v>
      </c>
      <c r="U355" s="109" t="s">
        <v>275</v>
      </c>
      <c r="V355"/>
    </row>
    <row r="356" spans="1:22" x14ac:dyDescent="0.25">
      <c r="A356" s="47"/>
      <c r="B356" s="108" t="s">
        <v>23</v>
      </c>
      <c r="C356" s="47" t="s">
        <v>275</v>
      </c>
      <c r="D356" s="3" t="s">
        <v>72</v>
      </c>
      <c r="E356" s="3" t="s">
        <v>1646</v>
      </c>
      <c r="F356" s="3" t="s">
        <v>3071</v>
      </c>
      <c r="G356" s="3" t="s">
        <v>1647</v>
      </c>
      <c r="H356" s="3"/>
      <c r="I356" s="3"/>
      <c r="J356" s="3"/>
      <c r="K356" s="3"/>
      <c r="L356" s="3"/>
      <c r="M356" s="36" t="s">
        <v>1258</v>
      </c>
      <c r="N356" s="36"/>
      <c r="O356" s="36"/>
      <c r="P356" s="36"/>
      <c r="Q356" s="36" t="s">
        <v>149</v>
      </c>
      <c r="R356" s="150">
        <v>45817</v>
      </c>
      <c r="S356" s="36" t="s">
        <v>239</v>
      </c>
      <c r="T356" s="47" t="s">
        <v>275</v>
      </c>
      <c r="U356" s="146" t="s">
        <v>275</v>
      </c>
      <c r="V356"/>
    </row>
    <row r="357" spans="1:22" ht="30" x14ac:dyDescent="0.25">
      <c r="A357" s="47"/>
      <c r="B357" s="108"/>
      <c r="C357" s="47" t="s">
        <v>275</v>
      </c>
      <c r="D357" s="3" t="s">
        <v>72</v>
      </c>
      <c r="E357" s="3" t="s">
        <v>1530</v>
      </c>
      <c r="F357" s="3" t="s">
        <v>3072</v>
      </c>
      <c r="G357" s="3" t="s">
        <v>1525</v>
      </c>
      <c r="H357" s="3"/>
      <c r="I357" s="3"/>
      <c r="J357" s="3"/>
      <c r="K357" s="3"/>
      <c r="L357" s="3"/>
      <c r="M357" s="36" t="s">
        <v>1258</v>
      </c>
      <c r="N357" s="36"/>
      <c r="O357" s="36"/>
      <c r="P357" s="36"/>
      <c r="Q357" s="36"/>
      <c r="R357" s="150"/>
      <c r="S357" s="36"/>
      <c r="T357" s="47" t="s">
        <v>275</v>
      </c>
      <c r="U357" s="146" t="s">
        <v>275</v>
      </c>
      <c r="V357"/>
    </row>
    <row r="358" spans="1:22" ht="30" x14ac:dyDescent="0.25">
      <c r="A358" s="47"/>
      <c r="B358" s="108" t="s">
        <v>23</v>
      </c>
      <c r="C358" s="47" t="s">
        <v>275</v>
      </c>
      <c r="D358" s="3" t="s">
        <v>72</v>
      </c>
      <c r="E358" s="3" t="s">
        <v>1601</v>
      </c>
      <c r="F358" s="3" t="s">
        <v>3071</v>
      </c>
      <c r="G358" s="3" t="s">
        <v>1602</v>
      </c>
      <c r="H358" s="3"/>
      <c r="I358" s="3"/>
      <c r="J358" s="3"/>
      <c r="K358" s="3"/>
      <c r="L358" s="3"/>
      <c r="M358" s="36" t="s">
        <v>1258</v>
      </c>
      <c r="N358" s="36"/>
      <c r="O358" s="36"/>
      <c r="P358" s="36"/>
      <c r="Q358" s="36"/>
      <c r="R358" s="150">
        <v>45817</v>
      </c>
      <c r="S358" s="36" t="s">
        <v>203</v>
      </c>
      <c r="T358" s="47" t="s">
        <v>275</v>
      </c>
      <c r="U358" s="146" t="s">
        <v>275</v>
      </c>
      <c r="V358"/>
    </row>
    <row r="359" spans="1:22" ht="45" x14ac:dyDescent="0.25">
      <c r="A359" s="47"/>
      <c r="B359" s="108"/>
      <c r="C359" s="47" t="s">
        <v>275</v>
      </c>
      <c r="D359" s="3" t="s">
        <v>72</v>
      </c>
      <c r="E359" s="3" t="s">
        <v>1648</v>
      </c>
      <c r="F359" s="3" t="s">
        <v>3071</v>
      </c>
      <c r="G359" s="3" t="s">
        <v>1649</v>
      </c>
      <c r="H359" s="3"/>
      <c r="I359" s="3"/>
      <c r="J359" s="3"/>
      <c r="K359" s="3"/>
      <c r="L359" s="3"/>
      <c r="M359" s="36" t="s">
        <v>1258</v>
      </c>
      <c r="N359" s="36"/>
      <c r="O359" s="36"/>
      <c r="P359" s="36"/>
      <c r="Q359" s="36" t="s">
        <v>1692</v>
      </c>
      <c r="R359" s="150">
        <v>45824</v>
      </c>
      <c r="S359" s="36" t="s">
        <v>705</v>
      </c>
      <c r="T359" s="47" t="s">
        <v>275</v>
      </c>
      <c r="U359" s="146" t="s">
        <v>275</v>
      </c>
      <c r="V359"/>
    </row>
    <row r="360" spans="1:22" ht="45" x14ac:dyDescent="0.25">
      <c r="A360" s="47"/>
      <c r="B360" s="108"/>
      <c r="C360" s="47" t="s">
        <v>275</v>
      </c>
      <c r="D360" s="3" t="s">
        <v>72</v>
      </c>
      <c r="E360" s="3" t="s">
        <v>1717</v>
      </c>
      <c r="F360" s="3" t="s">
        <v>3073</v>
      </c>
      <c r="G360" s="3" t="s">
        <v>1716</v>
      </c>
      <c r="H360" s="3"/>
      <c r="I360" s="3"/>
      <c r="J360" s="3"/>
      <c r="K360" s="3"/>
      <c r="L360" s="3"/>
      <c r="M360" s="36" t="s">
        <v>1258</v>
      </c>
      <c r="N360" s="36"/>
      <c r="O360" s="36"/>
      <c r="P360" s="36"/>
      <c r="Q360" s="36" t="s">
        <v>1721</v>
      </c>
      <c r="R360" s="150">
        <v>45825</v>
      </c>
      <c r="S360" s="36" t="s">
        <v>50</v>
      </c>
      <c r="T360" s="47" t="s">
        <v>275</v>
      </c>
      <c r="U360" s="146" t="s">
        <v>275</v>
      </c>
      <c r="V360"/>
    </row>
    <row r="361" spans="1:22" ht="45" x14ac:dyDescent="0.25">
      <c r="A361" s="47"/>
      <c r="B361" s="108"/>
      <c r="C361" s="47" t="s">
        <v>275</v>
      </c>
      <c r="D361" s="3" t="s">
        <v>72</v>
      </c>
      <c r="E361" s="3" t="s">
        <v>1714</v>
      </c>
      <c r="F361" s="3" t="s">
        <v>3073</v>
      </c>
      <c r="G361" s="3" t="s">
        <v>1715</v>
      </c>
      <c r="H361" s="3"/>
      <c r="I361" s="3"/>
      <c r="J361" s="3"/>
      <c r="K361" s="3"/>
      <c r="L361" s="3"/>
      <c r="M361" s="36" t="s">
        <v>1258</v>
      </c>
      <c r="N361" s="36"/>
      <c r="O361" s="36"/>
      <c r="P361" s="36"/>
      <c r="Q361" s="36" t="s">
        <v>1720</v>
      </c>
      <c r="R361" s="150">
        <v>45825</v>
      </c>
      <c r="S361" s="36" t="s">
        <v>239</v>
      </c>
      <c r="T361" s="47" t="s">
        <v>275</v>
      </c>
      <c r="U361" s="146" t="s">
        <v>275</v>
      </c>
      <c r="V361"/>
    </row>
    <row r="362" spans="1:22" ht="45" x14ac:dyDescent="0.25">
      <c r="A362" s="47"/>
      <c r="B362" s="108"/>
      <c r="C362" s="47" t="s">
        <v>275</v>
      </c>
      <c r="D362" s="3" t="s">
        <v>72</v>
      </c>
      <c r="E362" s="3" t="s">
        <v>1729</v>
      </c>
      <c r="F362" s="3" t="s">
        <v>3071</v>
      </c>
      <c r="G362" s="3" t="s">
        <v>1730</v>
      </c>
      <c r="H362" s="3"/>
      <c r="I362" s="3"/>
      <c r="J362" s="3"/>
      <c r="K362" s="3"/>
      <c r="L362" s="3"/>
      <c r="M362" s="36" t="s">
        <v>1258</v>
      </c>
      <c r="N362" s="36"/>
      <c r="O362" s="36"/>
      <c r="P362" s="36"/>
      <c r="Q362" s="36" t="s">
        <v>1755</v>
      </c>
      <c r="R362" s="150">
        <v>45832</v>
      </c>
      <c r="S362" s="36" t="s">
        <v>1754</v>
      </c>
      <c r="T362" s="47" t="s">
        <v>275</v>
      </c>
      <c r="U362" s="146" t="s">
        <v>275</v>
      </c>
      <c r="V362"/>
    </row>
    <row r="363" spans="1:22" ht="30" x14ac:dyDescent="0.25">
      <c r="A363" s="47"/>
      <c r="B363" s="108" t="s">
        <v>23</v>
      </c>
      <c r="C363" s="47" t="s">
        <v>275</v>
      </c>
      <c r="D363" s="3" t="s">
        <v>72</v>
      </c>
      <c r="E363" s="3" t="s">
        <v>1313</v>
      </c>
      <c r="F363" s="3" t="s">
        <v>3072</v>
      </c>
      <c r="G363" s="3" t="s">
        <v>1308</v>
      </c>
      <c r="H363" s="3"/>
      <c r="I363" s="3"/>
      <c r="J363" s="3"/>
      <c r="K363" s="3"/>
      <c r="L363" s="3"/>
      <c r="M363" s="36" t="s">
        <v>1258</v>
      </c>
      <c r="N363" s="36"/>
      <c r="O363" s="36"/>
      <c r="P363" s="36"/>
      <c r="Q363" s="36" t="s">
        <v>1753</v>
      </c>
      <c r="R363" s="150">
        <v>45832</v>
      </c>
      <c r="S363" s="36" t="s">
        <v>1754</v>
      </c>
      <c r="T363" s="47" t="s">
        <v>275</v>
      </c>
      <c r="U363" s="146" t="s">
        <v>275</v>
      </c>
      <c r="V363"/>
    </row>
    <row r="364" spans="1:22" ht="45" x14ac:dyDescent="0.25">
      <c r="A364" s="109"/>
      <c r="B364" s="109"/>
      <c r="C364" s="109" t="s">
        <v>275</v>
      </c>
      <c r="D364" s="109" t="s">
        <v>72</v>
      </c>
      <c r="E364" s="109" t="s">
        <v>1666</v>
      </c>
      <c r="F364" s="109" t="s">
        <v>3071</v>
      </c>
      <c r="G364" s="109" t="s">
        <v>1663</v>
      </c>
      <c r="H364" s="109"/>
      <c r="I364" s="109"/>
      <c r="J364" s="109"/>
      <c r="K364" s="109"/>
      <c r="L364" s="109"/>
      <c r="M364" s="109" t="s">
        <v>1258</v>
      </c>
      <c r="N364" s="109"/>
      <c r="O364" s="109"/>
      <c r="P364" s="109"/>
      <c r="Q364" s="109" t="s">
        <v>1694</v>
      </c>
      <c r="R364" s="117">
        <v>45820</v>
      </c>
      <c r="S364" s="109" t="s">
        <v>1673</v>
      </c>
      <c r="T364" s="109" t="s">
        <v>275</v>
      </c>
      <c r="U364" s="138" t="s">
        <v>275</v>
      </c>
      <c r="V364"/>
    </row>
    <row r="365" spans="1:22" ht="30" x14ac:dyDescent="0.25">
      <c r="A365" s="47"/>
      <c r="B365" s="108"/>
      <c r="C365" s="47" t="s">
        <v>275</v>
      </c>
      <c r="D365" s="3" t="s">
        <v>72</v>
      </c>
      <c r="E365" s="3" t="s">
        <v>1771</v>
      </c>
      <c r="F365" s="3" t="s">
        <v>3072</v>
      </c>
      <c r="G365" s="3" t="s">
        <v>1772</v>
      </c>
      <c r="H365" s="3"/>
      <c r="I365" s="3"/>
      <c r="J365" s="3"/>
      <c r="K365" s="3"/>
      <c r="L365" s="3"/>
      <c r="M365" s="36" t="s">
        <v>1258</v>
      </c>
      <c r="N365" s="36"/>
      <c r="O365" s="36"/>
      <c r="P365" s="36"/>
      <c r="Q365" s="36" t="s">
        <v>2221</v>
      </c>
      <c r="R365" s="150">
        <v>45839</v>
      </c>
      <c r="S365" s="36" t="s">
        <v>203</v>
      </c>
      <c r="T365" s="47" t="s">
        <v>275</v>
      </c>
      <c r="U365" s="146" t="s">
        <v>275</v>
      </c>
      <c r="V365"/>
    </row>
    <row r="366" spans="1:22" ht="30" x14ac:dyDescent="0.25">
      <c r="A366" s="109"/>
      <c r="B366" s="109"/>
      <c r="C366" s="109" t="s">
        <v>275</v>
      </c>
      <c r="D366" s="109" t="s">
        <v>72</v>
      </c>
      <c r="E366" s="109" t="s">
        <v>1769</v>
      </c>
      <c r="F366" s="109" t="s">
        <v>3072</v>
      </c>
      <c r="G366" s="109" t="s">
        <v>1770</v>
      </c>
      <c r="H366" s="109"/>
      <c r="I366" s="109"/>
      <c r="J366" s="109"/>
      <c r="K366" s="109"/>
      <c r="L366" s="109"/>
      <c r="M366" s="109" t="s">
        <v>1258</v>
      </c>
      <c r="N366" s="109"/>
      <c r="O366" s="109"/>
      <c r="P366" s="109"/>
      <c r="Q366" s="109" t="s">
        <v>1226</v>
      </c>
      <c r="R366" s="117">
        <v>45839</v>
      </c>
      <c r="S366" s="109" t="s">
        <v>203</v>
      </c>
      <c r="T366" s="109" t="s">
        <v>275</v>
      </c>
      <c r="U366" s="109" t="s">
        <v>275</v>
      </c>
      <c r="V366"/>
    </row>
    <row r="367" spans="1:22" ht="30" x14ac:dyDescent="0.25">
      <c r="A367" s="47"/>
      <c r="B367" s="108"/>
      <c r="C367" s="47" t="s">
        <v>275</v>
      </c>
      <c r="D367" s="3" t="s">
        <v>72</v>
      </c>
      <c r="E367" s="3" t="s">
        <v>2307</v>
      </c>
      <c r="F367" s="3" t="s">
        <v>3071</v>
      </c>
      <c r="G367" s="3" t="s">
        <v>2308</v>
      </c>
      <c r="H367" s="3"/>
      <c r="I367" s="3"/>
      <c r="J367" s="3"/>
      <c r="K367" s="3"/>
      <c r="L367" s="3"/>
      <c r="M367" s="36" t="s">
        <v>1258</v>
      </c>
      <c r="N367" s="36"/>
      <c r="O367" s="36"/>
      <c r="P367" s="36"/>
      <c r="Q367" s="36" t="s">
        <v>2330</v>
      </c>
      <c r="R367" s="150">
        <v>45847</v>
      </c>
      <c r="S367" s="36" t="s">
        <v>102</v>
      </c>
      <c r="T367" s="47" t="s">
        <v>275</v>
      </c>
      <c r="U367" s="146"/>
      <c r="V367"/>
    </row>
    <row r="368" spans="1:22" ht="30" x14ac:dyDescent="0.25">
      <c r="A368" s="109"/>
      <c r="B368" s="109"/>
      <c r="C368" s="109" t="s">
        <v>275</v>
      </c>
      <c r="D368" s="109" t="s">
        <v>72</v>
      </c>
      <c r="E368" s="109" t="s">
        <v>2345</v>
      </c>
      <c r="F368" s="109" t="s">
        <v>3073</v>
      </c>
      <c r="G368" s="109" t="s">
        <v>2346</v>
      </c>
      <c r="H368" s="109"/>
      <c r="I368" s="109"/>
      <c r="J368" s="109"/>
      <c r="K368" s="109"/>
      <c r="L368" s="109"/>
      <c r="M368" s="109" t="s">
        <v>1258</v>
      </c>
      <c r="N368" s="109"/>
      <c r="O368" s="109"/>
      <c r="P368" s="109"/>
      <c r="Q368" s="109" t="s">
        <v>1753</v>
      </c>
      <c r="R368" s="117">
        <v>45852</v>
      </c>
      <c r="S368" s="109" t="s">
        <v>2372</v>
      </c>
      <c r="T368" s="109" t="s">
        <v>275</v>
      </c>
      <c r="U368" s="109"/>
      <c r="V368"/>
    </row>
    <row r="369" spans="1:22" ht="30" x14ac:dyDescent="0.25">
      <c r="A369" s="109"/>
      <c r="B369" s="109"/>
      <c r="C369" s="109" t="s">
        <v>275</v>
      </c>
      <c r="D369" s="109" t="s">
        <v>72</v>
      </c>
      <c r="E369" s="109" t="s">
        <v>2347</v>
      </c>
      <c r="F369" s="109" t="s">
        <v>3071</v>
      </c>
      <c r="G369" s="109" t="s">
        <v>2348</v>
      </c>
      <c r="H369" s="109"/>
      <c r="I369" s="109"/>
      <c r="J369" s="109"/>
      <c r="K369" s="109"/>
      <c r="L369" s="109"/>
      <c r="M369" s="109" t="s">
        <v>1258</v>
      </c>
      <c r="N369" s="109"/>
      <c r="O369" s="109"/>
      <c r="P369" s="109"/>
      <c r="Q369" s="109" t="s">
        <v>2371</v>
      </c>
      <c r="R369" s="117">
        <v>45852</v>
      </c>
      <c r="S369" s="109" t="s">
        <v>2365</v>
      </c>
      <c r="T369" s="109" t="s">
        <v>275</v>
      </c>
      <c r="U369" s="109"/>
      <c r="V369"/>
    </row>
    <row r="370" spans="1:22" ht="30" x14ac:dyDescent="0.25">
      <c r="A370" s="109"/>
      <c r="B370" s="109"/>
      <c r="C370" s="109" t="s">
        <v>275</v>
      </c>
      <c r="D370" s="109" t="s">
        <v>72</v>
      </c>
      <c r="E370" s="109" t="s">
        <v>2376</v>
      </c>
      <c r="F370" s="109" t="s">
        <v>3073</v>
      </c>
      <c r="G370" s="109" t="s">
        <v>2377</v>
      </c>
      <c r="H370" s="109"/>
      <c r="I370" s="109"/>
      <c r="J370" s="109"/>
      <c r="K370" s="109"/>
      <c r="L370" s="109"/>
      <c r="M370" s="109" t="s">
        <v>1258</v>
      </c>
      <c r="N370" s="109"/>
      <c r="O370" s="109"/>
      <c r="P370" s="109"/>
      <c r="Q370" s="109" t="s">
        <v>2392</v>
      </c>
      <c r="R370" s="117">
        <v>45853</v>
      </c>
      <c r="S370" s="109" t="s">
        <v>1074</v>
      </c>
      <c r="T370" s="109" t="s">
        <v>275</v>
      </c>
      <c r="U370" s="109"/>
      <c r="V370"/>
    </row>
    <row r="371" spans="1:22" ht="30" x14ac:dyDescent="0.25">
      <c r="A371" s="109"/>
      <c r="B371" s="109"/>
      <c r="C371" s="109" t="s">
        <v>275</v>
      </c>
      <c r="D371" s="109" t="s">
        <v>72</v>
      </c>
      <c r="E371" s="109" t="s">
        <v>2385</v>
      </c>
      <c r="F371" s="109" t="s">
        <v>3071</v>
      </c>
      <c r="G371" s="109" t="s">
        <v>2386</v>
      </c>
      <c r="H371" s="109"/>
      <c r="I371" s="109"/>
      <c r="J371" s="109"/>
      <c r="K371" s="109"/>
      <c r="L371" s="109"/>
      <c r="M371" s="109" t="s">
        <v>1258</v>
      </c>
      <c r="N371" s="109"/>
      <c r="O371" s="109"/>
      <c r="P371" s="109"/>
      <c r="Q371" s="109" t="s">
        <v>2407</v>
      </c>
      <c r="R371" s="117">
        <v>45854</v>
      </c>
      <c r="S371" s="109" t="s">
        <v>1074</v>
      </c>
      <c r="T371" s="109" t="s">
        <v>275</v>
      </c>
      <c r="U371" s="109"/>
      <c r="V371"/>
    </row>
    <row r="372" spans="1:22" ht="30" x14ac:dyDescent="0.25">
      <c r="A372" s="47"/>
      <c r="B372" s="108"/>
      <c r="C372" s="47" t="s">
        <v>275</v>
      </c>
      <c r="D372" s="3" t="s">
        <v>72</v>
      </c>
      <c r="E372" s="3" t="s">
        <v>2408</v>
      </c>
      <c r="F372" s="3" t="s">
        <v>3073</v>
      </c>
      <c r="G372" s="3" t="s">
        <v>2409</v>
      </c>
      <c r="H372" s="3"/>
      <c r="I372" s="3"/>
      <c r="J372" s="3"/>
      <c r="K372" s="3"/>
      <c r="L372" s="3"/>
      <c r="M372" s="36" t="s">
        <v>1258</v>
      </c>
      <c r="N372" s="36"/>
      <c r="O372" s="36"/>
      <c r="P372" s="36"/>
      <c r="Q372" s="36"/>
      <c r="R372" s="150"/>
      <c r="S372" s="36"/>
      <c r="T372" s="47" t="s">
        <v>275</v>
      </c>
      <c r="U372" s="146"/>
      <c r="V372"/>
    </row>
    <row r="373" spans="1:22" ht="30" x14ac:dyDescent="0.25">
      <c r="A373" s="47"/>
      <c r="B373" s="108"/>
      <c r="C373" s="47" t="s">
        <v>275</v>
      </c>
      <c r="D373" s="3" t="s">
        <v>72</v>
      </c>
      <c r="E373" s="3" t="s">
        <v>2387</v>
      </c>
      <c r="F373" s="3" t="s">
        <v>3072</v>
      </c>
      <c r="G373" s="3" t="s">
        <v>2388</v>
      </c>
      <c r="H373" s="3"/>
      <c r="I373" s="3"/>
      <c r="J373" s="3"/>
      <c r="K373" s="3"/>
      <c r="L373" s="3"/>
      <c r="M373" s="36" t="s">
        <v>1258</v>
      </c>
      <c r="N373" s="36"/>
      <c r="O373" s="36"/>
      <c r="P373" s="36"/>
      <c r="Q373" s="36" t="s">
        <v>2414</v>
      </c>
      <c r="R373" s="150">
        <v>45856</v>
      </c>
      <c r="S373" s="36" t="s">
        <v>1074</v>
      </c>
      <c r="T373" s="47" t="s">
        <v>275</v>
      </c>
      <c r="U373" s="146"/>
      <c r="V373"/>
    </row>
    <row r="374" spans="1:22" x14ac:dyDescent="0.25">
      <c r="A374" s="47"/>
      <c r="B374" s="108"/>
      <c r="C374" s="47" t="s">
        <v>275</v>
      </c>
      <c r="D374" s="3" t="s">
        <v>72</v>
      </c>
      <c r="E374" s="3" t="s">
        <v>2457</v>
      </c>
      <c r="F374" s="3" t="s">
        <v>3073</v>
      </c>
      <c r="G374" s="3" t="s">
        <v>2458</v>
      </c>
      <c r="H374" s="3"/>
      <c r="I374" s="3"/>
      <c r="J374" s="3"/>
      <c r="K374" s="3"/>
      <c r="L374" s="3"/>
      <c r="M374" s="36" t="s">
        <v>1258</v>
      </c>
      <c r="N374" s="36"/>
      <c r="O374" s="36"/>
      <c r="P374" s="36"/>
      <c r="Q374" s="36" t="s">
        <v>2476</v>
      </c>
      <c r="R374" s="150">
        <v>45862</v>
      </c>
      <c r="S374" s="36" t="s">
        <v>1048</v>
      </c>
      <c r="T374" s="47" t="s">
        <v>275</v>
      </c>
      <c r="U374" s="146"/>
      <c r="V374"/>
    </row>
    <row r="375" spans="1:22" ht="30" x14ac:dyDescent="0.25">
      <c r="A375" s="109"/>
      <c r="B375" s="109"/>
      <c r="C375" s="109" t="s">
        <v>275</v>
      </c>
      <c r="D375" s="109" t="s">
        <v>72</v>
      </c>
      <c r="E375" s="109" t="s">
        <v>2619</v>
      </c>
      <c r="F375" s="109" t="s">
        <v>3073</v>
      </c>
      <c r="G375" s="109" t="s">
        <v>2620</v>
      </c>
      <c r="H375" s="109"/>
      <c r="I375" s="109"/>
      <c r="J375" s="109"/>
      <c r="K375" s="109"/>
      <c r="L375" s="109"/>
      <c r="M375" s="109" t="s">
        <v>1258</v>
      </c>
      <c r="N375" s="109"/>
      <c r="O375" s="109"/>
      <c r="P375" s="109"/>
      <c r="Q375" s="109" t="s">
        <v>2623</v>
      </c>
      <c r="R375" s="117">
        <v>45882</v>
      </c>
      <c r="S375" s="109" t="s">
        <v>203</v>
      </c>
      <c r="T375" s="109" t="s">
        <v>275</v>
      </c>
      <c r="U375" s="109"/>
      <c r="V375"/>
    </row>
    <row r="376" spans="1:22" x14ac:dyDescent="0.25">
      <c r="A376" s="47"/>
      <c r="B376" s="108"/>
      <c r="C376" s="47" t="s">
        <v>275</v>
      </c>
      <c r="D376" s="3" t="s">
        <v>72</v>
      </c>
      <c r="E376" s="3" t="s">
        <v>2626</v>
      </c>
      <c r="F376" s="3" t="s">
        <v>3072</v>
      </c>
      <c r="G376" s="3" t="s">
        <v>2627</v>
      </c>
      <c r="H376" s="3"/>
      <c r="I376" s="3"/>
      <c r="J376" s="3"/>
      <c r="K376" s="3"/>
      <c r="L376" s="3"/>
      <c r="M376" s="36" t="s">
        <v>1258</v>
      </c>
      <c r="N376" s="36"/>
      <c r="O376" s="36"/>
      <c r="P376" s="36"/>
      <c r="Q376" s="36" t="s">
        <v>2639</v>
      </c>
      <c r="R376" s="150">
        <v>45883</v>
      </c>
      <c r="S376" s="36" t="s">
        <v>203</v>
      </c>
      <c r="T376" s="47" t="s">
        <v>275</v>
      </c>
      <c r="U376" s="146"/>
      <c r="V376"/>
    </row>
    <row r="377" spans="1:22" x14ac:dyDescent="0.25">
      <c r="A377" s="47"/>
      <c r="B377" s="108"/>
      <c r="C377" s="47" t="s">
        <v>275</v>
      </c>
      <c r="D377" s="3" t="s">
        <v>72</v>
      </c>
      <c r="E377" s="3" t="s">
        <v>2717</v>
      </c>
      <c r="F377" s="3" t="s">
        <v>3073</v>
      </c>
      <c r="G377" s="3" t="s">
        <v>2718</v>
      </c>
      <c r="H377" s="3"/>
      <c r="I377" s="3"/>
      <c r="J377" s="3"/>
      <c r="K377" s="3"/>
      <c r="L377" s="3"/>
      <c r="M377" s="36" t="s">
        <v>1258</v>
      </c>
      <c r="N377" s="36"/>
      <c r="O377" s="36"/>
      <c r="P377" s="36"/>
      <c r="Q377" s="36" t="s">
        <v>2721</v>
      </c>
      <c r="R377" s="150">
        <v>45895</v>
      </c>
      <c r="S377" s="36" t="s">
        <v>203</v>
      </c>
      <c r="T377" s="47" t="s">
        <v>275</v>
      </c>
      <c r="U377" s="146"/>
      <c r="V377"/>
    </row>
    <row r="378" spans="1:22" ht="30" x14ac:dyDescent="0.25">
      <c r="A378" s="109"/>
      <c r="B378" s="109"/>
      <c r="C378" s="109" t="s">
        <v>275</v>
      </c>
      <c r="D378" s="109" t="s">
        <v>72</v>
      </c>
      <c r="E378" s="109" t="s">
        <v>2719</v>
      </c>
      <c r="F378" s="109" t="s">
        <v>3073</v>
      </c>
      <c r="G378" s="109" t="s">
        <v>2720</v>
      </c>
      <c r="H378" s="109"/>
      <c r="I378" s="109"/>
      <c r="J378" s="109"/>
      <c r="K378" s="109"/>
      <c r="L378" s="109"/>
      <c r="M378" s="109" t="s">
        <v>1258</v>
      </c>
      <c r="N378" s="109"/>
      <c r="O378" s="109"/>
      <c r="P378" s="109"/>
      <c r="Q378" s="109"/>
      <c r="R378" s="117">
        <v>45895</v>
      </c>
      <c r="S378" s="109" t="s">
        <v>203</v>
      </c>
      <c r="T378" s="109" t="s">
        <v>275</v>
      </c>
      <c r="U378" s="109"/>
      <c r="V378"/>
    </row>
    <row r="379" spans="1:22" x14ac:dyDescent="0.25">
      <c r="A379" s="47"/>
      <c r="B379" s="108"/>
      <c r="C379" s="47" t="s">
        <v>275</v>
      </c>
      <c r="D379" s="3" t="s">
        <v>72</v>
      </c>
      <c r="E379" s="3" t="s">
        <v>2738</v>
      </c>
      <c r="F379" s="3" t="s">
        <v>3073</v>
      </c>
      <c r="G379" s="3" t="s">
        <v>2739</v>
      </c>
      <c r="H379" s="3"/>
      <c r="I379" s="3"/>
      <c r="J379" s="3"/>
      <c r="K379" s="3"/>
      <c r="L379" s="3"/>
      <c r="M379" s="36" t="s">
        <v>1258</v>
      </c>
      <c r="N379" s="36"/>
      <c r="O379" s="36"/>
      <c r="P379" s="36"/>
      <c r="Q379" s="36" t="s">
        <v>2742</v>
      </c>
      <c r="R379" s="150">
        <v>45897</v>
      </c>
      <c r="S379" s="36" t="s">
        <v>203</v>
      </c>
      <c r="T379" s="47" t="s">
        <v>275</v>
      </c>
      <c r="U379" s="146"/>
      <c r="V379"/>
    </row>
    <row r="380" spans="1:22" ht="30" x14ac:dyDescent="0.25">
      <c r="A380" s="47"/>
      <c r="B380" s="108"/>
      <c r="C380" s="47" t="s">
        <v>275</v>
      </c>
      <c r="D380" s="3" t="s">
        <v>72</v>
      </c>
      <c r="E380" s="3" t="s">
        <v>2790</v>
      </c>
      <c r="F380" s="3" t="s">
        <v>3071</v>
      </c>
      <c r="G380" s="3" t="s">
        <v>2791</v>
      </c>
      <c r="H380" s="3"/>
      <c r="I380" s="3"/>
      <c r="J380" s="3"/>
      <c r="K380" s="3"/>
      <c r="L380" s="3"/>
      <c r="M380" s="36" t="s">
        <v>1258</v>
      </c>
      <c r="N380" s="36"/>
      <c r="O380" s="36"/>
      <c r="P380" s="36"/>
      <c r="Q380" s="36" t="s">
        <v>2803</v>
      </c>
      <c r="R380" s="150">
        <v>45903</v>
      </c>
      <c r="S380" s="36" t="s">
        <v>203</v>
      </c>
      <c r="T380" s="47" t="s">
        <v>275</v>
      </c>
      <c r="U380" s="146"/>
      <c r="V380"/>
    </row>
    <row r="381" spans="1:22" ht="30" x14ac:dyDescent="0.25">
      <c r="A381" s="47"/>
      <c r="B381" s="108"/>
      <c r="C381" s="47" t="s">
        <v>275</v>
      </c>
      <c r="D381" s="3" t="s">
        <v>72</v>
      </c>
      <c r="E381" s="3" t="s">
        <v>2793</v>
      </c>
      <c r="F381" s="3" t="s">
        <v>3071</v>
      </c>
      <c r="G381" s="3" t="s">
        <v>2794</v>
      </c>
      <c r="H381" s="3"/>
      <c r="I381" s="3"/>
      <c r="J381" s="3"/>
      <c r="K381" s="3"/>
      <c r="L381" s="3"/>
      <c r="M381" s="36" t="s">
        <v>1258</v>
      </c>
      <c r="N381" s="36"/>
      <c r="O381" s="36"/>
      <c r="P381" s="36"/>
      <c r="Q381" s="36" t="s">
        <v>2807</v>
      </c>
      <c r="R381" s="150">
        <v>45903</v>
      </c>
      <c r="S381" s="36" t="s">
        <v>203</v>
      </c>
      <c r="T381" s="47" t="s">
        <v>275</v>
      </c>
      <c r="U381" s="146"/>
      <c r="V381"/>
    </row>
    <row r="382" spans="1:22" x14ac:dyDescent="0.25">
      <c r="A382" s="47"/>
      <c r="B382" s="108"/>
      <c r="C382" s="47" t="s">
        <v>275</v>
      </c>
      <c r="D382" s="3" t="s">
        <v>72</v>
      </c>
      <c r="E382" s="3" t="s">
        <v>2797</v>
      </c>
      <c r="F382" s="3" t="s">
        <v>3073</v>
      </c>
      <c r="G382" s="3" t="s">
        <v>2798</v>
      </c>
      <c r="H382" s="3"/>
      <c r="I382" s="3"/>
      <c r="J382" s="3"/>
      <c r="K382" s="3"/>
      <c r="L382" s="3"/>
      <c r="M382" s="36" t="s">
        <v>1258</v>
      </c>
      <c r="N382" s="36"/>
      <c r="O382" s="36"/>
      <c r="P382" s="36"/>
      <c r="Q382" s="36" t="s">
        <v>2809</v>
      </c>
      <c r="R382" s="150">
        <v>45903</v>
      </c>
      <c r="S382" s="36" t="s">
        <v>203</v>
      </c>
      <c r="T382" s="47" t="s">
        <v>275</v>
      </c>
      <c r="U382" s="146"/>
      <c r="V382"/>
    </row>
    <row r="383" spans="1:22" ht="30" x14ac:dyDescent="0.25">
      <c r="A383" s="109"/>
      <c r="B383" s="109"/>
      <c r="C383" s="109" t="s">
        <v>275</v>
      </c>
      <c r="D383" s="109" t="s">
        <v>72</v>
      </c>
      <c r="E383" s="109" t="s">
        <v>2829</v>
      </c>
      <c r="F383" s="109" t="s">
        <v>3073</v>
      </c>
      <c r="G383" s="109" t="s">
        <v>2830</v>
      </c>
      <c r="H383" s="109"/>
      <c r="I383" s="109"/>
      <c r="J383" s="109"/>
      <c r="K383" s="109"/>
      <c r="L383" s="109"/>
      <c r="M383" s="109" t="s">
        <v>1258</v>
      </c>
      <c r="N383" s="109"/>
      <c r="O383" s="109"/>
      <c r="P383" s="109"/>
      <c r="Q383" s="109"/>
      <c r="R383" s="117"/>
      <c r="S383" s="109"/>
      <c r="T383" s="109" t="s">
        <v>275</v>
      </c>
      <c r="U383" s="138"/>
      <c r="V383"/>
    </row>
    <row r="384" spans="1:22" x14ac:dyDescent="0.25">
      <c r="A384" s="109"/>
      <c r="B384" s="109"/>
      <c r="C384" s="109" t="s">
        <v>275</v>
      </c>
      <c r="D384" s="109" t="s">
        <v>72</v>
      </c>
      <c r="E384" s="109" t="s">
        <v>2817</v>
      </c>
      <c r="F384" s="109" t="s">
        <v>3073</v>
      </c>
      <c r="G384" s="109" t="s">
        <v>2818</v>
      </c>
      <c r="H384" s="109"/>
      <c r="I384" s="109"/>
      <c r="J384" s="109"/>
      <c r="K384" s="109"/>
      <c r="L384" s="109"/>
      <c r="M384" s="109" t="s">
        <v>1258</v>
      </c>
      <c r="N384" s="109"/>
      <c r="O384" s="109"/>
      <c r="P384" s="109"/>
      <c r="Q384" s="109"/>
      <c r="R384" s="117">
        <v>45905</v>
      </c>
      <c r="S384" s="109" t="s">
        <v>1074</v>
      </c>
      <c r="T384" s="109" t="s">
        <v>275</v>
      </c>
      <c r="U384" s="138"/>
      <c r="V384"/>
    </row>
    <row r="385" spans="1:22" x14ac:dyDescent="0.25">
      <c r="A385" s="109"/>
      <c r="B385" s="109"/>
      <c r="C385" s="109" t="s">
        <v>275</v>
      </c>
      <c r="D385" s="109" t="s">
        <v>72</v>
      </c>
      <c r="E385" s="109" t="s">
        <v>2865</v>
      </c>
      <c r="F385" s="109" t="s">
        <v>3071</v>
      </c>
      <c r="G385" s="109" t="s">
        <v>2866</v>
      </c>
      <c r="H385" s="109"/>
      <c r="I385" s="109"/>
      <c r="J385" s="109"/>
      <c r="K385" s="109"/>
      <c r="L385" s="109"/>
      <c r="M385" s="109" t="s">
        <v>1258</v>
      </c>
      <c r="N385" s="109"/>
      <c r="O385" s="109"/>
      <c r="P385" s="109"/>
      <c r="Q385" s="109"/>
      <c r="R385" s="117"/>
      <c r="S385" s="109"/>
      <c r="T385" s="109" t="s">
        <v>275</v>
      </c>
      <c r="U385" s="109"/>
      <c r="V385"/>
    </row>
    <row r="386" spans="1:22" ht="30" x14ac:dyDescent="0.25">
      <c r="A386" s="109"/>
      <c r="B386" s="109"/>
      <c r="C386" s="109" t="s">
        <v>275</v>
      </c>
      <c r="D386" s="109" t="s">
        <v>72</v>
      </c>
      <c r="E386" s="109" t="s">
        <v>2968</v>
      </c>
      <c r="F386" s="109" t="s">
        <v>3072</v>
      </c>
      <c r="G386" s="109" t="s">
        <v>2969</v>
      </c>
      <c r="H386" s="109"/>
      <c r="I386" s="109"/>
      <c r="J386" s="109"/>
      <c r="K386" s="109"/>
      <c r="L386" s="109"/>
      <c r="M386" s="109" t="s">
        <v>1258</v>
      </c>
      <c r="N386" s="109"/>
      <c r="O386" s="109"/>
      <c r="P386" s="109"/>
      <c r="Q386" s="109" t="s">
        <v>2988</v>
      </c>
      <c r="R386" s="117">
        <v>45916</v>
      </c>
      <c r="S386" s="109" t="s">
        <v>203</v>
      </c>
      <c r="T386" s="109" t="s">
        <v>275</v>
      </c>
      <c r="U386" s="109"/>
      <c r="V386"/>
    </row>
    <row r="387" spans="1:22" x14ac:dyDescent="0.25">
      <c r="A387" s="109"/>
      <c r="B387" s="109"/>
      <c r="C387" s="109" t="s">
        <v>275</v>
      </c>
      <c r="D387" s="109" t="s">
        <v>72</v>
      </c>
      <c r="E387" s="109" t="s">
        <v>2970</v>
      </c>
      <c r="F387" s="109" t="s">
        <v>3072</v>
      </c>
      <c r="G387" s="109" t="s">
        <v>2971</v>
      </c>
      <c r="H387" s="109"/>
      <c r="I387" s="109"/>
      <c r="J387" s="109"/>
      <c r="K387" s="109"/>
      <c r="L387" s="109"/>
      <c r="M387" s="109" t="s">
        <v>1258</v>
      </c>
      <c r="N387" s="109"/>
      <c r="O387" s="109"/>
      <c r="P387" s="109"/>
      <c r="Q387" s="109" t="s">
        <v>3013</v>
      </c>
      <c r="R387" s="117">
        <v>45918</v>
      </c>
      <c r="S387" s="109" t="s">
        <v>203</v>
      </c>
      <c r="T387" s="109" t="s">
        <v>275</v>
      </c>
      <c r="U387" s="109"/>
      <c r="V387"/>
    </row>
    <row r="388" spans="1:22" x14ac:dyDescent="0.25">
      <c r="A388" s="109"/>
      <c r="B388" s="109"/>
      <c r="C388" s="109" t="s">
        <v>275</v>
      </c>
      <c r="D388" s="109" t="s">
        <v>72</v>
      </c>
      <c r="E388" s="109" t="s">
        <v>2974</v>
      </c>
      <c r="F388" s="109" t="s">
        <v>3073</v>
      </c>
      <c r="G388" s="109" t="s">
        <v>2975</v>
      </c>
      <c r="H388" s="109"/>
      <c r="I388" s="109"/>
      <c r="J388" s="109"/>
      <c r="K388" s="109"/>
      <c r="L388" s="109"/>
      <c r="M388" s="109" t="s">
        <v>1258</v>
      </c>
      <c r="N388" s="109"/>
      <c r="O388" s="109"/>
      <c r="P388" s="109"/>
      <c r="Q388" s="109" t="s">
        <v>3014</v>
      </c>
      <c r="R388" s="117">
        <v>45918</v>
      </c>
      <c r="S388" s="109" t="s">
        <v>203</v>
      </c>
      <c r="T388" s="109" t="s">
        <v>275</v>
      </c>
      <c r="U388" s="138"/>
      <c r="V388"/>
    </row>
    <row r="389" spans="1:22" ht="60" x14ac:dyDescent="0.25">
      <c r="A389" s="47"/>
      <c r="B389" s="108"/>
      <c r="C389" s="47" t="s">
        <v>275</v>
      </c>
      <c r="D389" s="3" t="s">
        <v>72</v>
      </c>
      <c r="E389" s="3" t="s">
        <v>2997</v>
      </c>
      <c r="F389" s="3" t="s">
        <v>3073</v>
      </c>
      <c r="G389" s="3" t="s">
        <v>2998</v>
      </c>
      <c r="H389" s="3"/>
      <c r="I389" s="3"/>
      <c r="J389" s="3"/>
      <c r="K389" s="3"/>
      <c r="L389" s="3"/>
      <c r="M389" s="36" t="s">
        <v>1258</v>
      </c>
      <c r="N389" s="36"/>
      <c r="O389" s="36"/>
      <c r="P389" s="36"/>
      <c r="Q389" s="36" t="s">
        <v>3017</v>
      </c>
      <c r="R389" s="150">
        <v>45918</v>
      </c>
      <c r="S389" s="36" t="s">
        <v>239</v>
      </c>
      <c r="T389" s="47" t="s">
        <v>275</v>
      </c>
      <c r="U389" s="146"/>
      <c r="V389"/>
    </row>
    <row r="390" spans="1:22" ht="30" x14ac:dyDescent="0.25">
      <c r="A390" s="47"/>
      <c r="B390" s="108"/>
      <c r="C390" s="47" t="s">
        <v>275</v>
      </c>
      <c r="D390" s="3" t="s">
        <v>72</v>
      </c>
      <c r="E390" s="3" t="s">
        <v>3019</v>
      </c>
      <c r="F390" s="3" t="s">
        <v>3071</v>
      </c>
      <c r="G390" s="3" t="s">
        <v>3020</v>
      </c>
      <c r="H390" s="3"/>
      <c r="I390" s="3"/>
      <c r="J390" s="3"/>
      <c r="K390" s="3"/>
      <c r="L390" s="3"/>
      <c r="M390" s="36" t="s">
        <v>1258</v>
      </c>
      <c r="N390" s="36"/>
      <c r="O390" s="36"/>
      <c r="P390" s="36"/>
      <c r="Q390" s="36" t="s">
        <v>3037</v>
      </c>
      <c r="R390" s="150">
        <v>45919</v>
      </c>
      <c r="S390" s="36" t="s">
        <v>203</v>
      </c>
      <c r="T390" s="47" t="s">
        <v>275</v>
      </c>
      <c r="U390" s="146"/>
      <c r="V390"/>
    </row>
    <row r="391" spans="1:22" ht="45" x14ac:dyDescent="0.25">
      <c r="A391" s="109"/>
      <c r="B391" s="109"/>
      <c r="C391" s="109" t="s">
        <v>275</v>
      </c>
      <c r="D391" s="109" t="s">
        <v>72</v>
      </c>
      <c r="E391" s="109" t="s">
        <v>3004</v>
      </c>
      <c r="F391" s="109" t="s">
        <v>3073</v>
      </c>
      <c r="G391" s="109" t="s">
        <v>3005</v>
      </c>
      <c r="H391" s="109"/>
      <c r="I391" s="109"/>
      <c r="J391" s="109"/>
      <c r="K391" s="109"/>
      <c r="L391" s="109"/>
      <c r="M391" s="110" t="s">
        <v>1258</v>
      </c>
      <c r="N391" s="110"/>
      <c r="O391" s="110"/>
      <c r="P391" s="110"/>
      <c r="Q391" s="110" t="s">
        <v>3036</v>
      </c>
      <c r="R391" s="117">
        <v>45919</v>
      </c>
      <c r="S391" s="110" t="s">
        <v>203</v>
      </c>
      <c r="T391" s="109" t="s">
        <v>275</v>
      </c>
      <c r="U391" s="138"/>
      <c r="V391"/>
    </row>
    <row r="392" spans="1:22" ht="90" x14ac:dyDescent="0.25">
      <c r="A392" s="109"/>
      <c r="B392" s="109"/>
      <c r="C392" s="109" t="s">
        <v>275</v>
      </c>
      <c r="D392" s="109" t="s">
        <v>72</v>
      </c>
      <c r="E392" s="109" t="s">
        <v>3031</v>
      </c>
      <c r="F392" s="109" t="s">
        <v>3071</v>
      </c>
      <c r="G392" s="109" t="s">
        <v>3032</v>
      </c>
      <c r="H392" s="109"/>
      <c r="I392" s="109"/>
      <c r="J392" s="109"/>
      <c r="K392" s="109"/>
      <c r="L392" s="109"/>
      <c r="M392" s="109" t="s">
        <v>1258</v>
      </c>
      <c r="N392" s="109"/>
      <c r="O392" s="109"/>
      <c r="P392" s="109"/>
      <c r="Q392" s="109" t="s">
        <v>3046</v>
      </c>
      <c r="R392" s="117">
        <v>45923</v>
      </c>
      <c r="S392" s="109" t="s">
        <v>203</v>
      </c>
      <c r="T392" s="109" t="s">
        <v>275</v>
      </c>
      <c r="U392" s="109"/>
      <c r="V392"/>
    </row>
    <row r="393" spans="1:22" ht="30" x14ac:dyDescent="0.25">
      <c r="A393" s="47"/>
      <c r="B393" s="108"/>
      <c r="C393" s="47" t="s">
        <v>275</v>
      </c>
      <c r="D393" s="3" t="s">
        <v>72</v>
      </c>
      <c r="E393" s="3" t="s">
        <v>3033</v>
      </c>
      <c r="F393" s="3" t="s">
        <v>3073</v>
      </c>
      <c r="G393" s="3" t="s">
        <v>3034</v>
      </c>
      <c r="H393" s="3"/>
      <c r="I393" s="3"/>
      <c r="J393" s="3"/>
      <c r="K393" s="3"/>
      <c r="L393" s="3"/>
      <c r="M393" s="36" t="s">
        <v>1258</v>
      </c>
      <c r="N393" s="36"/>
      <c r="O393" s="36"/>
      <c r="P393" s="36"/>
      <c r="Q393" s="36" t="s">
        <v>3047</v>
      </c>
      <c r="R393" s="150">
        <v>45923</v>
      </c>
      <c r="S393" s="36" t="s">
        <v>211</v>
      </c>
      <c r="T393" s="47" t="s">
        <v>275</v>
      </c>
      <c r="U393" s="146"/>
      <c r="V393"/>
    </row>
    <row r="394" spans="1:22" x14ac:dyDescent="0.25">
      <c r="A394" s="47"/>
      <c r="B394" s="108"/>
      <c r="C394" s="47" t="s">
        <v>275</v>
      </c>
      <c r="D394" s="3" t="s">
        <v>72</v>
      </c>
      <c r="E394" s="3" t="s">
        <v>2701</v>
      </c>
      <c r="F394" s="3" t="s">
        <v>3073</v>
      </c>
      <c r="G394" s="3" t="s">
        <v>2702</v>
      </c>
      <c r="H394" s="3"/>
      <c r="I394" s="3"/>
      <c r="J394" s="3"/>
      <c r="K394" s="3"/>
      <c r="L394" s="3"/>
      <c r="M394" s="36" t="s">
        <v>1036</v>
      </c>
      <c r="N394" s="36"/>
      <c r="O394" s="36"/>
      <c r="P394" s="36"/>
      <c r="Q394" s="36"/>
      <c r="R394" s="150"/>
      <c r="S394" s="36"/>
      <c r="T394" s="47" t="s">
        <v>275</v>
      </c>
      <c r="U394" s="146"/>
      <c r="V394"/>
    </row>
    <row r="395" spans="1:22" x14ac:dyDescent="0.25">
      <c r="A395" s="109"/>
      <c r="B395" s="109"/>
      <c r="C395" s="109" t="s">
        <v>275</v>
      </c>
      <c r="D395" s="109" t="s">
        <v>72</v>
      </c>
      <c r="E395" s="109" t="s">
        <v>2686</v>
      </c>
      <c r="F395" s="109" t="s">
        <v>3073</v>
      </c>
      <c r="G395" s="109" t="s">
        <v>2687</v>
      </c>
      <c r="H395" s="109"/>
      <c r="I395" s="109"/>
      <c r="J395" s="109"/>
      <c r="K395" s="109"/>
      <c r="L395" s="109"/>
      <c r="M395" s="109" t="s">
        <v>1036</v>
      </c>
      <c r="N395" s="109"/>
      <c r="O395" s="109"/>
      <c r="P395" s="109"/>
      <c r="Q395" s="109"/>
      <c r="R395" s="117">
        <v>45891</v>
      </c>
      <c r="S395" s="109"/>
      <c r="T395" s="109" t="s">
        <v>275</v>
      </c>
      <c r="U395" s="109"/>
      <c r="V395"/>
    </row>
    <row r="396" spans="1:22" ht="30" x14ac:dyDescent="0.25">
      <c r="A396" s="47"/>
      <c r="B396" s="108"/>
      <c r="C396" s="47" t="s">
        <v>275</v>
      </c>
      <c r="D396" s="3" t="s">
        <v>72</v>
      </c>
      <c r="E396" s="3" t="s">
        <v>2511</v>
      </c>
      <c r="F396" s="3" t="s">
        <v>3072</v>
      </c>
      <c r="G396" s="3" t="s">
        <v>2512</v>
      </c>
      <c r="H396" s="3"/>
      <c r="I396" s="3"/>
      <c r="J396" s="3"/>
      <c r="K396" s="3"/>
      <c r="L396" s="3"/>
      <c r="M396" s="36" t="s">
        <v>1036</v>
      </c>
      <c r="N396" s="36"/>
      <c r="O396" s="36"/>
      <c r="P396" s="36"/>
      <c r="Q396" s="36"/>
      <c r="R396" s="150"/>
      <c r="S396" s="36"/>
      <c r="T396" s="47" t="s">
        <v>275</v>
      </c>
      <c r="U396" s="146"/>
      <c r="V396"/>
    </row>
    <row r="397" spans="1:22" ht="30" x14ac:dyDescent="0.25">
      <c r="A397" s="109"/>
      <c r="B397" s="109"/>
      <c r="C397" s="109" t="s">
        <v>275</v>
      </c>
      <c r="D397" s="109" t="s">
        <v>72</v>
      </c>
      <c r="E397" s="109" t="s">
        <v>2492</v>
      </c>
      <c r="F397" s="109" t="s">
        <v>3072</v>
      </c>
      <c r="G397" s="109" t="s">
        <v>2493</v>
      </c>
      <c r="H397" s="109"/>
      <c r="I397" s="109"/>
      <c r="J397" s="109"/>
      <c r="K397" s="109"/>
      <c r="L397" s="109"/>
      <c r="M397" s="109" t="s">
        <v>1036</v>
      </c>
      <c r="N397" s="109"/>
      <c r="O397" s="109"/>
      <c r="P397" s="109"/>
      <c r="Q397" s="109" t="s">
        <v>2496</v>
      </c>
      <c r="R397" s="117">
        <v>45866</v>
      </c>
      <c r="S397" s="109" t="s">
        <v>102</v>
      </c>
      <c r="T397" s="109" t="s">
        <v>275</v>
      </c>
      <c r="U397" s="109"/>
      <c r="V397"/>
    </row>
    <row r="398" spans="1:22" ht="30" x14ac:dyDescent="0.25">
      <c r="A398" s="47"/>
      <c r="B398" s="108"/>
      <c r="C398" s="47" t="s">
        <v>275</v>
      </c>
      <c r="D398" s="3" t="s">
        <v>72</v>
      </c>
      <c r="E398" s="3" t="s">
        <v>2472</v>
      </c>
      <c r="F398" s="3" t="s">
        <v>3073</v>
      </c>
      <c r="G398" s="3" t="s">
        <v>2473</v>
      </c>
      <c r="H398" s="3"/>
      <c r="I398" s="3"/>
      <c r="J398" s="3"/>
      <c r="K398" s="3"/>
      <c r="L398" s="3"/>
      <c r="M398" s="36" t="s">
        <v>1036</v>
      </c>
      <c r="N398" s="36"/>
      <c r="O398" s="36"/>
      <c r="P398" s="36"/>
      <c r="Q398" s="36"/>
      <c r="R398" s="150"/>
      <c r="S398" s="36"/>
      <c r="T398" s="47" t="s">
        <v>275</v>
      </c>
      <c r="U398" s="146"/>
      <c r="V398"/>
    </row>
    <row r="399" spans="1:22" ht="30" x14ac:dyDescent="0.25">
      <c r="A399" s="47"/>
      <c r="B399" s="108"/>
      <c r="C399" s="47" t="s">
        <v>275</v>
      </c>
      <c r="D399" s="3" t="s">
        <v>72</v>
      </c>
      <c r="E399" s="3" t="s">
        <v>2343</v>
      </c>
      <c r="F399" s="3" t="s">
        <v>3073</v>
      </c>
      <c r="G399" s="3" t="s">
        <v>2344</v>
      </c>
      <c r="H399" s="3"/>
      <c r="I399" s="3"/>
      <c r="J399" s="3"/>
      <c r="K399" s="3"/>
      <c r="L399" s="3"/>
      <c r="M399" s="36" t="s">
        <v>1036</v>
      </c>
      <c r="N399" s="36"/>
      <c r="O399" s="36"/>
      <c r="P399" s="36"/>
      <c r="Q399" s="36"/>
      <c r="R399" s="150"/>
      <c r="S399" s="36"/>
      <c r="T399" s="47" t="s">
        <v>275</v>
      </c>
      <c r="U399" s="146"/>
      <c r="V399"/>
    </row>
    <row r="400" spans="1:22" x14ac:dyDescent="0.25">
      <c r="A400" s="47"/>
      <c r="B400" s="108"/>
      <c r="C400" s="47" t="s">
        <v>275</v>
      </c>
      <c r="D400" s="3" t="s">
        <v>72</v>
      </c>
      <c r="E400" s="3" t="s">
        <v>2288</v>
      </c>
      <c r="F400" s="3" t="s">
        <v>3073</v>
      </c>
      <c r="G400" s="3" t="s">
        <v>2289</v>
      </c>
      <c r="H400" s="3"/>
      <c r="I400" s="3"/>
      <c r="J400" s="3"/>
      <c r="K400" s="3"/>
      <c r="L400" s="3"/>
      <c r="M400" s="36" t="s">
        <v>1036</v>
      </c>
      <c r="N400" s="36"/>
      <c r="O400" s="36"/>
      <c r="P400" s="36"/>
      <c r="Q400" s="36" t="s">
        <v>2291</v>
      </c>
      <c r="R400" s="150">
        <v>45754</v>
      </c>
      <c r="S400" s="36" t="s">
        <v>203</v>
      </c>
      <c r="T400" s="47" t="s">
        <v>275</v>
      </c>
      <c r="U400" s="146"/>
      <c r="V400"/>
    </row>
    <row r="401" spans="1:22" x14ac:dyDescent="0.25">
      <c r="A401" s="109"/>
      <c r="B401" s="109"/>
      <c r="C401" s="109" t="s">
        <v>275</v>
      </c>
      <c r="D401" s="109" t="s">
        <v>72</v>
      </c>
      <c r="E401" s="109" t="s">
        <v>1665</v>
      </c>
      <c r="F401" s="109" t="s">
        <v>3071</v>
      </c>
      <c r="G401" s="109" t="s">
        <v>1664</v>
      </c>
      <c r="H401" s="109"/>
      <c r="I401" s="109"/>
      <c r="J401" s="109"/>
      <c r="K401" s="109"/>
      <c r="L401" s="109"/>
      <c r="M401" s="109" t="s">
        <v>1036</v>
      </c>
      <c r="N401" s="109"/>
      <c r="O401" s="109"/>
      <c r="P401" s="109"/>
      <c r="Q401" s="109"/>
      <c r="R401" s="117">
        <v>45820</v>
      </c>
      <c r="S401" s="109" t="s">
        <v>705</v>
      </c>
      <c r="T401" s="109" t="s">
        <v>275</v>
      </c>
      <c r="U401" s="109" t="s">
        <v>275</v>
      </c>
      <c r="V401"/>
    </row>
    <row r="402" spans="1:22" ht="30" x14ac:dyDescent="0.25">
      <c r="A402" s="47"/>
      <c r="B402" s="108" t="s">
        <v>23</v>
      </c>
      <c r="C402" s="47" t="s">
        <v>275</v>
      </c>
      <c r="D402" s="3" t="s">
        <v>72</v>
      </c>
      <c r="E402" s="3" t="s">
        <v>1377</v>
      </c>
      <c r="F402" s="3" t="s">
        <v>3073</v>
      </c>
      <c r="G402" s="3" t="s">
        <v>1367</v>
      </c>
      <c r="H402" s="3"/>
      <c r="I402" s="3"/>
      <c r="J402" s="3"/>
      <c r="K402" s="3"/>
      <c r="L402" s="3"/>
      <c r="M402" s="36" t="s">
        <v>1036</v>
      </c>
      <c r="N402" s="36"/>
      <c r="O402" s="36"/>
      <c r="P402" s="36"/>
      <c r="Q402" s="36"/>
      <c r="R402" s="150"/>
      <c r="S402" s="36"/>
      <c r="T402" s="47" t="s">
        <v>275</v>
      </c>
      <c r="U402" s="146" t="s">
        <v>275</v>
      </c>
      <c r="V402"/>
    </row>
    <row r="403" spans="1:22" ht="45" x14ac:dyDescent="0.25">
      <c r="A403" s="109"/>
      <c r="B403" s="109" t="s">
        <v>23</v>
      </c>
      <c r="C403" s="109" t="s">
        <v>275</v>
      </c>
      <c r="D403" s="109" t="s">
        <v>72</v>
      </c>
      <c r="E403" s="109" t="s">
        <v>1166</v>
      </c>
      <c r="F403" s="109" t="s">
        <v>3071</v>
      </c>
      <c r="G403" s="109" t="s">
        <v>1155</v>
      </c>
      <c r="H403" s="109"/>
      <c r="I403" s="109"/>
      <c r="J403" s="109"/>
      <c r="K403" s="109"/>
      <c r="L403" s="109"/>
      <c r="M403" s="109" t="s">
        <v>1036</v>
      </c>
      <c r="N403" s="109"/>
      <c r="O403" s="109"/>
      <c r="P403" s="109"/>
      <c r="Q403" s="109"/>
      <c r="R403" s="117"/>
      <c r="S403" s="109"/>
      <c r="T403" s="109" t="s">
        <v>275</v>
      </c>
      <c r="U403" s="109" t="s">
        <v>275</v>
      </c>
      <c r="V403"/>
    </row>
    <row r="404" spans="1:22" ht="45" x14ac:dyDescent="0.25">
      <c r="A404" s="47"/>
      <c r="B404" s="108" t="s">
        <v>23</v>
      </c>
      <c r="C404" s="47" t="s">
        <v>275</v>
      </c>
      <c r="D404" s="3" t="s">
        <v>72</v>
      </c>
      <c r="E404" s="3" t="s">
        <v>1167</v>
      </c>
      <c r="F404" s="3" t="s">
        <v>3071</v>
      </c>
      <c r="G404" s="3" t="s">
        <v>1154</v>
      </c>
      <c r="H404" s="3"/>
      <c r="I404" s="3"/>
      <c r="J404" s="3"/>
      <c r="K404" s="3"/>
      <c r="L404" s="3"/>
      <c r="M404" s="36" t="s">
        <v>1036</v>
      </c>
      <c r="N404" s="36"/>
      <c r="O404" s="36"/>
      <c r="P404" s="36"/>
      <c r="Q404" s="36"/>
      <c r="R404" s="150"/>
      <c r="S404" s="36"/>
      <c r="T404" s="47" t="s">
        <v>275</v>
      </c>
      <c r="U404" s="146" t="s">
        <v>275</v>
      </c>
      <c r="V404"/>
    </row>
    <row r="405" spans="1:22" x14ac:dyDescent="0.25">
      <c r="A405" s="47"/>
      <c r="B405" s="108" t="s">
        <v>23</v>
      </c>
      <c r="C405" s="47" t="s">
        <v>275</v>
      </c>
      <c r="D405" s="3" t="s">
        <v>72</v>
      </c>
      <c r="E405" s="3" t="s">
        <v>1093</v>
      </c>
      <c r="F405" s="3" t="s">
        <v>3071</v>
      </c>
      <c r="G405" s="3" t="s">
        <v>1092</v>
      </c>
      <c r="H405" s="3"/>
      <c r="I405" s="3"/>
      <c r="J405" s="3"/>
      <c r="K405" s="3"/>
      <c r="L405" s="3"/>
      <c r="M405" s="36" t="s">
        <v>1036</v>
      </c>
      <c r="N405" s="36"/>
      <c r="O405" s="36"/>
      <c r="P405" s="36"/>
      <c r="Q405" s="36"/>
      <c r="R405" s="150"/>
      <c r="S405" s="36"/>
      <c r="T405" s="47" t="s">
        <v>275</v>
      </c>
      <c r="U405" s="146" t="s">
        <v>275</v>
      </c>
      <c r="V405"/>
    </row>
    <row r="406" spans="1:22" x14ac:dyDescent="0.25">
      <c r="A406" s="47"/>
      <c r="B406" s="108" t="s">
        <v>23</v>
      </c>
      <c r="C406" s="47" t="s">
        <v>275</v>
      </c>
      <c r="D406" s="3" t="s">
        <v>72</v>
      </c>
      <c r="E406" s="3" t="s">
        <v>1322</v>
      </c>
      <c r="F406" s="3" t="s">
        <v>3073</v>
      </c>
      <c r="G406" s="3" t="s">
        <v>1321</v>
      </c>
      <c r="H406" s="3"/>
      <c r="I406" s="3"/>
      <c r="J406" s="3"/>
      <c r="K406" s="3"/>
      <c r="L406" s="3"/>
      <c r="M406" s="36" t="s">
        <v>1036</v>
      </c>
      <c r="N406" s="36"/>
      <c r="O406" s="36"/>
      <c r="P406" s="36"/>
      <c r="Q406" s="36" t="s">
        <v>1320</v>
      </c>
      <c r="R406" s="150"/>
      <c r="S406" s="36"/>
      <c r="T406" s="47" t="s">
        <v>275</v>
      </c>
      <c r="U406" s="146" t="s">
        <v>275</v>
      </c>
      <c r="V406"/>
    </row>
    <row r="407" spans="1:22" ht="45" x14ac:dyDescent="0.25">
      <c r="A407" s="109"/>
      <c r="B407" s="109"/>
      <c r="C407" s="109" t="s">
        <v>275</v>
      </c>
      <c r="D407" s="109" t="s">
        <v>72</v>
      </c>
      <c r="E407" s="109" t="s">
        <v>1509</v>
      </c>
      <c r="F407" s="109" t="s">
        <v>3071</v>
      </c>
      <c r="G407" s="109" t="s">
        <v>1507</v>
      </c>
      <c r="H407" s="109"/>
      <c r="I407" s="109"/>
      <c r="J407" s="109"/>
      <c r="K407" s="109"/>
      <c r="L407" s="109"/>
      <c r="M407" s="109" t="s">
        <v>1036</v>
      </c>
      <c r="N407" s="109"/>
      <c r="O407" s="109"/>
      <c r="P407" s="109"/>
      <c r="Q407" s="109"/>
      <c r="R407" s="117"/>
      <c r="S407" s="109"/>
      <c r="T407" s="109" t="s">
        <v>275</v>
      </c>
      <c r="U407" s="109" t="s">
        <v>275</v>
      </c>
      <c r="V407"/>
    </row>
    <row r="408" spans="1:22" ht="30" x14ac:dyDescent="0.25">
      <c r="A408" s="47"/>
      <c r="B408" s="108"/>
      <c r="C408" s="47" t="s">
        <v>275</v>
      </c>
      <c r="D408" s="3" t="s">
        <v>72</v>
      </c>
      <c r="E408" s="3" t="s">
        <v>1568</v>
      </c>
      <c r="F408" s="3" t="s">
        <v>3072</v>
      </c>
      <c r="G408" s="3" t="s">
        <v>1525</v>
      </c>
      <c r="H408" s="3"/>
      <c r="I408" s="3"/>
      <c r="J408" s="3"/>
      <c r="K408" s="3"/>
      <c r="L408" s="3"/>
      <c r="M408" s="36" t="s">
        <v>1036</v>
      </c>
      <c r="N408" s="36"/>
      <c r="O408" s="36"/>
      <c r="P408" s="36"/>
      <c r="Q408" s="36"/>
      <c r="R408" s="150"/>
      <c r="S408" s="36"/>
      <c r="T408" s="47" t="s">
        <v>275</v>
      </c>
      <c r="U408" s="146" t="s">
        <v>275</v>
      </c>
      <c r="V408"/>
    </row>
    <row r="409" spans="1:22" ht="30" x14ac:dyDescent="0.25">
      <c r="A409" s="47"/>
      <c r="B409" s="108"/>
      <c r="C409" s="47" t="s">
        <v>275</v>
      </c>
      <c r="D409" s="3" t="s">
        <v>72</v>
      </c>
      <c r="E409" s="3" t="s">
        <v>1540</v>
      </c>
      <c r="F409" s="3" t="s">
        <v>3071</v>
      </c>
      <c r="G409" s="3" t="s">
        <v>1534</v>
      </c>
      <c r="H409" s="3"/>
      <c r="I409" s="3"/>
      <c r="J409" s="3"/>
      <c r="K409" s="3"/>
      <c r="L409" s="3"/>
      <c r="M409" s="36" t="s">
        <v>1036</v>
      </c>
      <c r="N409" s="36"/>
      <c r="O409" s="36"/>
      <c r="P409" s="36"/>
      <c r="Q409" s="36" t="s">
        <v>1573</v>
      </c>
      <c r="R409" s="150">
        <v>45813</v>
      </c>
      <c r="S409" s="36" t="s">
        <v>1574</v>
      </c>
      <c r="T409" s="47" t="s">
        <v>275</v>
      </c>
      <c r="U409" s="146" t="s">
        <v>275</v>
      </c>
      <c r="V409"/>
    </row>
    <row r="410" spans="1:22" ht="30" x14ac:dyDescent="0.25">
      <c r="A410" s="109"/>
      <c r="B410" s="109" t="s">
        <v>23</v>
      </c>
      <c r="C410" s="109" t="s">
        <v>275</v>
      </c>
      <c r="D410" s="109" t="s">
        <v>72</v>
      </c>
      <c r="E410" s="109" t="s">
        <v>1653</v>
      </c>
      <c r="F410" s="109" t="s">
        <v>3071</v>
      </c>
      <c r="G410" s="109" t="s">
        <v>1654</v>
      </c>
      <c r="H410" s="109"/>
      <c r="I410" s="109"/>
      <c r="J410" s="109"/>
      <c r="K410" s="109"/>
      <c r="L410" s="109"/>
      <c r="M410" s="110" t="s">
        <v>1036</v>
      </c>
      <c r="N410" s="110"/>
      <c r="O410" s="110"/>
      <c r="P410" s="110"/>
      <c r="Q410" s="110" t="s">
        <v>1659</v>
      </c>
      <c r="R410" s="117">
        <v>45818</v>
      </c>
      <c r="S410" s="110" t="s">
        <v>1074</v>
      </c>
      <c r="T410" s="109" t="s">
        <v>275</v>
      </c>
      <c r="U410" s="138" t="s">
        <v>275</v>
      </c>
      <c r="V410"/>
    </row>
    <row r="411" spans="1:22" x14ac:dyDescent="0.25">
      <c r="A411" s="47"/>
      <c r="B411" s="108" t="s">
        <v>23</v>
      </c>
      <c r="C411" s="47" t="s">
        <v>275</v>
      </c>
      <c r="D411" s="3" t="s">
        <v>72</v>
      </c>
      <c r="E411" s="3" t="s">
        <v>1657</v>
      </c>
      <c r="F411" s="3" t="s">
        <v>3071</v>
      </c>
      <c r="G411" s="3" t="s">
        <v>1658</v>
      </c>
      <c r="H411" s="3"/>
      <c r="I411" s="3"/>
      <c r="J411" s="3"/>
      <c r="K411" s="3"/>
      <c r="L411" s="3"/>
      <c r="M411" s="36" t="s">
        <v>1036</v>
      </c>
      <c r="N411" s="36"/>
      <c r="O411" s="36"/>
      <c r="P411" s="36"/>
      <c r="Q411" s="36"/>
      <c r="R411" s="150">
        <v>45818</v>
      </c>
      <c r="S411" s="36" t="s">
        <v>239</v>
      </c>
      <c r="T411" s="47" t="s">
        <v>275</v>
      </c>
      <c r="U411" s="146" t="s">
        <v>275</v>
      </c>
      <c r="V411"/>
    </row>
    <row r="412" spans="1:22" ht="30" x14ac:dyDescent="0.25">
      <c r="A412" s="47"/>
      <c r="B412" s="108" t="s">
        <v>23</v>
      </c>
      <c r="C412" s="47" t="s">
        <v>275</v>
      </c>
      <c r="D412" s="3" t="s">
        <v>8</v>
      </c>
      <c r="E412" s="3" t="s">
        <v>1409</v>
      </c>
      <c r="F412" s="3" t="s">
        <v>3073</v>
      </c>
      <c r="G412" s="3" t="s">
        <v>1724</v>
      </c>
      <c r="H412" s="3"/>
      <c r="I412" s="3"/>
      <c r="J412" s="3"/>
      <c r="K412" s="3"/>
      <c r="L412" s="3"/>
      <c r="M412" s="36" t="s">
        <v>1036</v>
      </c>
      <c r="N412" s="36"/>
      <c r="O412" s="36"/>
      <c r="P412" s="36"/>
      <c r="Q412" s="36"/>
      <c r="R412" s="150"/>
      <c r="S412" s="36"/>
      <c r="T412" s="47" t="s">
        <v>275</v>
      </c>
      <c r="U412" s="146" t="s">
        <v>275</v>
      </c>
      <c r="V412"/>
    </row>
    <row r="413" spans="1:22" ht="30" x14ac:dyDescent="0.25">
      <c r="A413" s="47"/>
      <c r="B413" s="108"/>
      <c r="C413" s="47" t="s">
        <v>275</v>
      </c>
      <c r="D413" s="3" t="s">
        <v>72</v>
      </c>
      <c r="E413" s="3" t="s">
        <v>1773</v>
      </c>
      <c r="F413" s="3" t="s">
        <v>3072</v>
      </c>
      <c r="G413" s="3" t="s">
        <v>1774</v>
      </c>
      <c r="H413" s="3"/>
      <c r="I413" s="3"/>
      <c r="J413" s="3"/>
      <c r="K413" s="3"/>
      <c r="L413" s="3"/>
      <c r="M413" s="36" t="s">
        <v>1036</v>
      </c>
      <c r="N413" s="36"/>
      <c r="O413" s="36"/>
      <c r="P413" s="36"/>
      <c r="Q413" s="36"/>
      <c r="R413" s="150">
        <v>45834</v>
      </c>
      <c r="S413" s="36" t="s">
        <v>1754</v>
      </c>
      <c r="T413" s="47" t="s">
        <v>275</v>
      </c>
      <c r="U413" s="146" t="s">
        <v>275</v>
      </c>
      <c r="V413"/>
    </row>
    <row r="414" spans="1:22" ht="30" x14ac:dyDescent="0.25">
      <c r="A414" s="47"/>
      <c r="B414" s="108"/>
      <c r="C414" s="47" t="s">
        <v>275</v>
      </c>
      <c r="D414" s="3" t="s">
        <v>72</v>
      </c>
      <c r="E414" s="3" t="s">
        <v>2212</v>
      </c>
      <c r="F414" s="3" t="s">
        <v>3072</v>
      </c>
      <c r="G414" s="3" t="s">
        <v>2213</v>
      </c>
      <c r="H414" s="3"/>
      <c r="I414" s="3"/>
      <c r="J414" s="3"/>
      <c r="K414" s="3"/>
      <c r="L414" s="3"/>
      <c r="M414" s="36" t="s">
        <v>1036</v>
      </c>
      <c r="N414" s="36"/>
      <c r="O414" s="36"/>
      <c r="P414" s="36"/>
      <c r="Q414" s="36"/>
      <c r="R414" s="150"/>
      <c r="S414" s="36"/>
      <c r="T414" s="47" t="s">
        <v>275</v>
      </c>
      <c r="U414" s="146" t="s">
        <v>275</v>
      </c>
      <c r="V414"/>
    </row>
    <row r="415" spans="1:22" ht="30" x14ac:dyDescent="0.25">
      <c r="A415" s="47"/>
      <c r="B415" s="108"/>
      <c r="C415" s="47" t="s">
        <v>275</v>
      </c>
      <c r="D415" s="3" t="s">
        <v>72</v>
      </c>
      <c r="E415" s="3" t="s">
        <v>2292</v>
      </c>
      <c r="F415" s="3" t="s">
        <v>3073</v>
      </c>
      <c r="G415" s="3" t="s">
        <v>2293</v>
      </c>
      <c r="H415" s="3"/>
      <c r="I415" s="3"/>
      <c r="J415" s="3"/>
      <c r="K415" s="3"/>
      <c r="L415" s="3"/>
      <c r="M415" s="36" t="s">
        <v>1036</v>
      </c>
      <c r="N415" s="36"/>
      <c r="O415" s="36"/>
      <c r="P415" s="36"/>
      <c r="Q415" s="36" t="s">
        <v>2329</v>
      </c>
      <c r="R415" s="150"/>
      <c r="S415" s="36" t="s">
        <v>3107</v>
      </c>
      <c r="T415" s="47" t="s">
        <v>275</v>
      </c>
      <c r="U415" s="146"/>
      <c r="V415"/>
    </row>
    <row r="416" spans="1:22" ht="30" x14ac:dyDescent="0.25">
      <c r="A416" s="47"/>
      <c r="B416" s="108"/>
      <c r="C416" s="47" t="s">
        <v>275</v>
      </c>
      <c r="D416" s="3" t="s">
        <v>72</v>
      </c>
      <c r="E416" s="3" t="s">
        <v>2309</v>
      </c>
      <c r="F416" s="3" t="s">
        <v>3071</v>
      </c>
      <c r="G416" s="3" t="s">
        <v>2310</v>
      </c>
      <c r="H416" s="3"/>
      <c r="I416" s="3"/>
      <c r="J416" s="3"/>
      <c r="K416" s="3"/>
      <c r="L416" s="3"/>
      <c r="M416" s="36" t="s">
        <v>1036</v>
      </c>
      <c r="N416" s="36"/>
      <c r="O416" s="36"/>
      <c r="P416" s="36"/>
      <c r="Q416" s="36"/>
      <c r="R416" s="150"/>
      <c r="S416" s="36"/>
      <c r="T416" s="47" t="s">
        <v>275</v>
      </c>
      <c r="U416" s="146"/>
      <c r="V416"/>
    </row>
    <row r="417" spans="1:22" ht="30" x14ac:dyDescent="0.25">
      <c r="A417" s="109"/>
      <c r="B417" s="109"/>
      <c r="C417" s="109" t="s">
        <v>275</v>
      </c>
      <c r="D417" s="109" t="s">
        <v>72</v>
      </c>
      <c r="E417" s="109" t="s">
        <v>2296</v>
      </c>
      <c r="F417" s="109" t="s">
        <v>3072</v>
      </c>
      <c r="G417" s="109" t="s">
        <v>2297</v>
      </c>
      <c r="H417" s="109"/>
      <c r="I417" s="109"/>
      <c r="J417" s="109"/>
      <c r="K417" s="109"/>
      <c r="L417" s="109"/>
      <c r="M417" s="109" t="s">
        <v>1036</v>
      </c>
      <c r="N417" s="109"/>
      <c r="O417" s="109"/>
      <c r="P417" s="109"/>
      <c r="Q417" s="109"/>
      <c r="R417" s="117"/>
      <c r="S417" s="109"/>
      <c r="T417" s="109" t="s">
        <v>275</v>
      </c>
      <c r="U417" s="109"/>
      <c r="V417"/>
    </row>
    <row r="418" spans="1:22" x14ac:dyDescent="0.25">
      <c r="A418" s="47"/>
      <c r="B418" s="108"/>
      <c r="C418" s="47" t="s">
        <v>275</v>
      </c>
      <c r="D418" s="3" t="s">
        <v>72</v>
      </c>
      <c r="E418" s="3" t="s">
        <v>2497</v>
      </c>
      <c r="F418" s="3" t="s">
        <v>3072</v>
      </c>
      <c r="G418" s="3" t="s">
        <v>2498</v>
      </c>
      <c r="H418" s="3"/>
      <c r="I418" s="3"/>
      <c r="J418" s="3"/>
      <c r="K418" s="3"/>
      <c r="L418" s="3"/>
      <c r="M418" s="36" t="s">
        <v>1036</v>
      </c>
      <c r="N418" s="36"/>
      <c r="O418" s="36"/>
      <c r="P418" s="36"/>
      <c r="Q418" s="36"/>
      <c r="R418" s="150"/>
      <c r="S418" s="36"/>
      <c r="T418" s="47" t="s">
        <v>275</v>
      </c>
      <c r="U418" s="146"/>
      <c r="V418"/>
    </row>
    <row r="419" spans="1:22" x14ac:dyDescent="0.25">
      <c r="A419" s="47"/>
      <c r="B419" s="108"/>
      <c r="C419" s="47" t="s">
        <v>275</v>
      </c>
      <c r="D419" s="3" t="s">
        <v>72</v>
      </c>
      <c r="E419" s="3" t="s">
        <v>2516</v>
      </c>
      <c r="F419" s="3" t="s">
        <v>3072</v>
      </c>
      <c r="G419" s="3" t="s">
        <v>2515</v>
      </c>
      <c r="H419" s="3"/>
      <c r="I419" s="3"/>
      <c r="J419" s="3"/>
      <c r="K419" s="3"/>
      <c r="L419" s="3"/>
      <c r="M419" s="36" t="s">
        <v>1036</v>
      </c>
      <c r="N419" s="36"/>
      <c r="O419" s="36"/>
      <c r="P419" s="36"/>
      <c r="Q419" s="36"/>
      <c r="R419" s="150"/>
      <c r="S419" s="36"/>
      <c r="T419" s="47" t="s">
        <v>275</v>
      </c>
      <c r="U419" s="146" t="s">
        <v>275</v>
      </c>
      <c r="V419"/>
    </row>
    <row r="420" spans="1:22" x14ac:dyDescent="0.25">
      <c r="A420" s="47"/>
      <c r="B420" s="108"/>
      <c r="C420" s="47" t="s">
        <v>275</v>
      </c>
      <c r="D420" s="3" t="s">
        <v>72</v>
      </c>
      <c r="E420" s="3" t="s">
        <v>2529</v>
      </c>
      <c r="F420" s="3" t="s">
        <v>3072</v>
      </c>
      <c r="G420" s="3" t="s">
        <v>2530</v>
      </c>
      <c r="H420" s="3"/>
      <c r="I420" s="3"/>
      <c r="J420" s="3"/>
      <c r="K420" s="3"/>
      <c r="L420" s="3"/>
      <c r="M420" s="36" t="s">
        <v>1036</v>
      </c>
      <c r="N420" s="36"/>
      <c r="O420" s="36"/>
      <c r="P420" s="36"/>
      <c r="Q420" s="36"/>
      <c r="R420" s="150"/>
      <c r="S420" s="36"/>
      <c r="T420" s="47" t="s">
        <v>275</v>
      </c>
      <c r="U420" s="146"/>
      <c r="V420"/>
    </row>
    <row r="421" spans="1:22" x14ac:dyDescent="0.25">
      <c r="A421" s="109"/>
      <c r="B421" s="109"/>
      <c r="C421" s="109" t="s">
        <v>275</v>
      </c>
      <c r="D421" s="109" t="s">
        <v>72</v>
      </c>
      <c r="E421" s="109" t="s">
        <v>2546</v>
      </c>
      <c r="F421" s="109" t="s">
        <v>3072</v>
      </c>
      <c r="G421" s="109" t="s">
        <v>2547</v>
      </c>
      <c r="H421" s="109"/>
      <c r="I421" s="109"/>
      <c r="J421" s="109"/>
      <c r="K421" s="109"/>
      <c r="L421" s="109"/>
      <c r="M421" s="109" t="s">
        <v>1036</v>
      </c>
      <c r="N421" s="109"/>
      <c r="O421" s="109"/>
      <c r="P421" s="109"/>
      <c r="Q421" s="109" t="s">
        <v>2561</v>
      </c>
      <c r="R421" s="117">
        <v>45876</v>
      </c>
      <c r="S421" s="109" t="s">
        <v>1642</v>
      </c>
      <c r="T421" s="109" t="s">
        <v>275</v>
      </c>
      <c r="U421" s="109"/>
      <c r="V421"/>
    </row>
    <row r="422" spans="1:22" x14ac:dyDescent="0.25">
      <c r="A422" s="47"/>
      <c r="B422" s="108"/>
      <c r="C422" s="47" t="s">
        <v>275</v>
      </c>
      <c r="D422" s="3" t="s">
        <v>72</v>
      </c>
      <c r="E422" s="3" t="s">
        <v>2684</v>
      </c>
      <c r="F422" s="3" t="s">
        <v>3071</v>
      </c>
      <c r="G422" s="3" t="s">
        <v>2685</v>
      </c>
      <c r="H422" s="3"/>
      <c r="I422" s="3"/>
      <c r="J422" s="3"/>
      <c r="K422" s="3"/>
      <c r="L422" s="3"/>
      <c r="M422" s="36" t="s">
        <v>1036</v>
      </c>
      <c r="N422" s="36"/>
      <c r="O422" s="36"/>
      <c r="P422" s="36"/>
      <c r="Q422" s="36"/>
      <c r="R422" s="150">
        <v>45891</v>
      </c>
      <c r="S422" s="36"/>
      <c r="T422" s="47" t="s">
        <v>275</v>
      </c>
      <c r="U422" s="146"/>
      <c r="V422"/>
    </row>
    <row r="423" spans="1:22" ht="30" x14ac:dyDescent="0.25">
      <c r="A423" s="47"/>
      <c r="B423" s="108"/>
      <c r="C423" s="47" t="s">
        <v>275</v>
      </c>
      <c r="D423" s="3" t="s">
        <v>72</v>
      </c>
      <c r="E423" s="3" t="s">
        <v>2699</v>
      </c>
      <c r="F423" s="3" t="s">
        <v>3071</v>
      </c>
      <c r="G423" s="3" t="s">
        <v>2700</v>
      </c>
      <c r="H423" s="3"/>
      <c r="I423" s="3"/>
      <c r="J423" s="3"/>
      <c r="K423" s="3"/>
      <c r="L423" s="3"/>
      <c r="M423" s="36" t="s">
        <v>1036</v>
      </c>
      <c r="N423" s="36"/>
      <c r="O423" s="36"/>
      <c r="P423" s="36"/>
      <c r="Q423" s="36"/>
      <c r="R423" s="150"/>
      <c r="S423" s="36"/>
      <c r="T423" s="47" t="s">
        <v>275</v>
      </c>
      <c r="U423" s="146"/>
      <c r="V423"/>
    </row>
    <row r="424" spans="1:22" ht="30" x14ac:dyDescent="0.25">
      <c r="A424" s="47"/>
      <c r="B424" s="108"/>
      <c r="C424" s="47" t="s">
        <v>275</v>
      </c>
      <c r="D424" s="3" t="s">
        <v>72</v>
      </c>
      <c r="E424" s="3" t="s">
        <v>2786</v>
      </c>
      <c r="F424" s="3" t="s">
        <v>3073</v>
      </c>
      <c r="G424" s="3" t="s">
        <v>2787</v>
      </c>
      <c r="H424" s="3"/>
      <c r="I424" s="3"/>
      <c r="J424" s="3"/>
      <c r="K424" s="3"/>
      <c r="L424" s="3"/>
      <c r="M424" s="109" t="s">
        <v>1036</v>
      </c>
      <c r="N424" s="109"/>
      <c r="O424" s="109"/>
      <c r="P424" s="109"/>
      <c r="Q424" s="109"/>
      <c r="R424" s="117"/>
      <c r="S424" s="109"/>
      <c r="T424" s="109" t="s">
        <v>275</v>
      </c>
      <c r="U424" s="109"/>
      <c r="V424"/>
    </row>
    <row r="425" spans="1:22" x14ac:dyDescent="0.25">
      <c r="A425" s="47"/>
      <c r="B425" s="108"/>
      <c r="C425" s="47" t="s">
        <v>23</v>
      </c>
      <c r="D425" s="3" t="s">
        <v>72</v>
      </c>
      <c r="E425" s="3" t="s">
        <v>3140</v>
      </c>
      <c r="F425" s="3" t="s">
        <v>3073</v>
      </c>
      <c r="G425" s="3" t="s">
        <v>3141</v>
      </c>
      <c r="H425" s="3" t="s">
        <v>23</v>
      </c>
      <c r="I425" s="3" t="s">
        <v>23</v>
      </c>
      <c r="J425" s="3"/>
      <c r="K425" s="3"/>
      <c r="L425" s="3"/>
      <c r="M425" s="36" t="s">
        <v>1036</v>
      </c>
      <c r="N425" s="36"/>
      <c r="O425" s="36"/>
      <c r="P425" s="36"/>
      <c r="Q425" s="36"/>
      <c r="R425" s="150"/>
      <c r="S425" s="36"/>
      <c r="T425" s="47" t="s">
        <v>23</v>
      </c>
      <c r="U425" s="146"/>
      <c r="V425"/>
    </row>
    <row r="426" spans="1:22" ht="30" x14ac:dyDescent="0.25">
      <c r="A426" s="47"/>
      <c r="B426" s="108"/>
      <c r="C426" s="47" t="s">
        <v>275</v>
      </c>
      <c r="D426" s="3" t="s">
        <v>72</v>
      </c>
      <c r="E426" s="3" t="s">
        <v>2736</v>
      </c>
      <c r="F426" s="3" t="s">
        <v>3071</v>
      </c>
      <c r="G426" s="3" t="s">
        <v>2737</v>
      </c>
      <c r="H426" s="3"/>
      <c r="I426" s="3"/>
      <c r="J426" s="3"/>
      <c r="K426" s="3"/>
      <c r="L426" s="3"/>
      <c r="M426" s="36" t="s">
        <v>1257</v>
      </c>
      <c r="N426" s="36"/>
      <c r="O426" s="36"/>
      <c r="P426" s="36"/>
      <c r="Q426" s="36" t="s">
        <v>2743</v>
      </c>
      <c r="R426" s="150">
        <v>45897</v>
      </c>
      <c r="S426" s="36" t="s">
        <v>206</v>
      </c>
      <c r="T426" s="47" t="s">
        <v>275</v>
      </c>
      <c r="U426" s="146"/>
      <c r="V426"/>
    </row>
    <row r="427" spans="1:22" x14ac:dyDescent="0.25">
      <c r="A427" s="47"/>
      <c r="B427" s="108"/>
      <c r="C427" s="47" t="s">
        <v>275</v>
      </c>
      <c r="D427" s="3" t="s">
        <v>72</v>
      </c>
      <c r="E427" s="3" t="s">
        <v>2682</v>
      </c>
      <c r="F427" s="3" t="s">
        <v>3071</v>
      </c>
      <c r="G427" s="3" t="s">
        <v>2683</v>
      </c>
      <c r="H427" s="3"/>
      <c r="I427" s="3"/>
      <c r="J427" s="3"/>
      <c r="K427" s="3"/>
      <c r="L427" s="3"/>
      <c r="M427" s="36" t="s">
        <v>1257</v>
      </c>
      <c r="N427" s="36"/>
      <c r="O427" s="36"/>
      <c r="P427" s="36"/>
      <c r="Q427" s="36" t="s">
        <v>1237</v>
      </c>
      <c r="R427" s="150">
        <v>45891</v>
      </c>
      <c r="S427" s="36" t="s">
        <v>203</v>
      </c>
      <c r="T427" s="47" t="s">
        <v>275</v>
      </c>
      <c r="U427" s="146"/>
      <c r="V427"/>
    </row>
    <row r="428" spans="1:22" ht="30" x14ac:dyDescent="0.25">
      <c r="A428" s="47"/>
      <c r="B428" s="108"/>
      <c r="C428" s="47" t="s">
        <v>275</v>
      </c>
      <c r="D428" s="3" t="s">
        <v>72</v>
      </c>
      <c r="E428" s="3" t="s">
        <v>2624</v>
      </c>
      <c r="F428" s="3" t="s">
        <v>3072</v>
      </c>
      <c r="G428" s="3" t="s">
        <v>2625</v>
      </c>
      <c r="H428" s="3"/>
      <c r="I428" s="3"/>
      <c r="J428" s="3"/>
      <c r="K428" s="3"/>
      <c r="L428" s="3"/>
      <c r="M428" s="36" t="s">
        <v>1257</v>
      </c>
      <c r="N428" s="36"/>
      <c r="O428" s="36"/>
      <c r="P428" s="36"/>
      <c r="Q428" s="36" t="s">
        <v>2638</v>
      </c>
      <c r="R428" s="150">
        <v>45883</v>
      </c>
      <c r="S428" s="36" t="s">
        <v>203</v>
      </c>
      <c r="T428" s="47" t="s">
        <v>275</v>
      </c>
      <c r="U428" s="146"/>
      <c r="V428"/>
    </row>
    <row r="429" spans="1:22" ht="30" x14ac:dyDescent="0.25">
      <c r="A429" s="109"/>
      <c r="B429" s="109"/>
      <c r="C429" s="109" t="s">
        <v>275</v>
      </c>
      <c r="D429" s="109" t="s">
        <v>72</v>
      </c>
      <c r="E429" s="109" t="s">
        <v>2617</v>
      </c>
      <c r="F429" s="109" t="s">
        <v>3073</v>
      </c>
      <c r="G429" s="109" t="s">
        <v>2618</v>
      </c>
      <c r="H429" s="109"/>
      <c r="I429" s="109"/>
      <c r="J429" s="109"/>
      <c r="K429" s="109"/>
      <c r="L429" s="109"/>
      <c r="M429" s="109" t="s">
        <v>1257</v>
      </c>
      <c r="N429" s="109"/>
      <c r="O429" s="109" t="s">
        <v>23</v>
      </c>
      <c r="P429" s="109" t="s">
        <v>23</v>
      </c>
      <c r="Q429" s="109" t="s">
        <v>2630</v>
      </c>
      <c r="R429" s="117">
        <v>45888</v>
      </c>
      <c r="S429" s="109" t="s">
        <v>203</v>
      </c>
      <c r="T429" s="109" t="s">
        <v>275</v>
      </c>
      <c r="U429" s="109"/>
      <c r="V429"/>
    </row>
    <row r="430" spans="1:22" ht="45" x14ac:dyDescent="0.25">
      <c r="A430" s="109"/>
      <c r="B430" s="109"/>
      <c r="C430" s="109" t="s">
        <v>275</v>
      </c>
      <c r="D430" s="109" t="s">
        <v>72</v>
      </c>
      <c r="E430" s="109" t="s">
        <v>2405</v>
      </c>
      <c r="F430" s="109" t="s">
        <v>3071</v>
      </c>
      <c r="G430" s="109" t="s">
        <v>2406</v>
      </c>
      <c r="H430" s="109"/>
      <c r="I430" s="109"/>
      <c r="J430" s="109"/>
      <c r="K430" s="109"/>
      <c r="L430" s="109"/>
      <c r="M430" s="109" t="s">
        <v>1257</v>
      </c>
      <c r="N430" s="109"/>
      <c r="O430" s="109"/>
      <c r="P430" s="109"/>
      <c r="Q430" s="109" t="s">
        <v>2415</v>
      </c>
      <c r="R430" s="117">
        <v>45856</v>
      </c>
      <c r="S430" s="109" t="s">
        <v>1074</v>
      </c>
      <c r="T430" s="109" t="s">
        <v>275</v>
      </c>
      <c r="U430" s="109"/>
      <c r="V430"/>
    </row>
    <row r="431" spans="1:22" ht="45" x14ac:dyDescent="0.25">
      <c r="A431" s="47"/>
      <c r="B431" s="108"/>
      <c r="C431" s="47" t="s">
        <v>275</v>
      </c>
      <c r="D431" s="3" t="s">
        <v>72</v>
      </c>
      <c r="E431" s="3" t="s">
        <v>1767</v>
      </c>
      <c r="F431" s="3" t="s">
        <v>3072</v>
      </c>
      <c r="G431" s="3" t="s">
        <v>1768</v>
      </c>
      <c r="H431" s="3"/>
      <c r="I431" s="3"/>
      <c r="J431" s="3"/>
      <c r="K431" s="3"/>
      <c r="L431" s="3"/>
      <c r="M431" s="36" t="s">
        <v>1257</v>
      </c>
      <c r="N431" s="36"/>
      <c r="O431" s="36"/>
      <c r="P431" s="36"/>
      <c r="Q431" s="36" t="s">
        <v>2220</v>
      </c>
      <c r="R431" s="150">
        <v>45839</v>
      </c>
      <c r="S431" s="36" t="s">
        <v>203</v>
      </c>
      <c r="T431" s="47" t="s">
        <v>275</v>
      </c>
      <c r="U431" s="146" t="s">
        <v>275</v>
      </c>
      <c r="V431"/>
    </row>
    <row r="432" spans="1:22" ht="30" x14ac:dyDescent="0.25">
      <c r="A432" s="47"/>
      <c r="B432" s="108"/>
      <c r="C432" s="47" t="s">
        <v>275</v>
      </c>
      <c r="D432" s="3" t="s">
        <v>72</v>
      </c>
      <c r="E432" s="3" t="s">
        <v>1413</v>
      </c>
      <c r="F432" s="3" t="s">
        <v>3071</v>
      </c>
      <c r="G432" s="3" t="s">
        <v>1404</v>
      </c>
      <c r="H432" s="3"/>
      <c r="I432" s="3"/>
      <c r="J432" s="3"/>
      <c r="K432" s="3"/>
      <c r="L432" s="3"/>
      <c r="M432" s="36" t="s">
        <v>1257</v>
      </c>
      <c r="N432" s="36"/>
      <c r="O432" s="36"/>
      <c r="P432" s="36"/>
      <c r="Q432" s="36" t="s">
        <v>1439</v>
      </c>
      <c r="R432" s="150">
        <v>45797</v>
      </c>
      <c r="S432" s="36" t="s">
        <v>203</v>
      </c>
      <c r="T432" s="47" t="s">
        <v>275</v>
      </c>
      <c r="U432" s="146" t="s">
        <v>275</v>
      </c>
      <c r="V432"/>
    </row>
    <row r="433" spans="1:22" ht="30" x14ac:dyDescent="0.25">
      <c r="A433" s="47"/>
      <c r="B433" s="108" t="s">
        <v>23</v>
      </c>
      <c r="C433" s="47" t="s">
        <v>275</v>
      </c>
      <c r="D433" s="3" t="s">
        <v>72</v>
      </c>
      <c r="E433" s="3" t="s">
        <v>1316</v>
      </c>
      <c r="F433" s="3" t="s">
        <v>3071</v>
      </c>
      <c r="G433" s="3" t="s">
        <v>1315</v>
      </c>
      <c r="H433" s="3"/>
      <c r="I433" s="3"/>
      <c r="J433" s="3"/>
      <c r="K433" s="3"/>
      <c r="L433" s="3"/>
      <c r="M433" s="36" t="s">
        <v>1257</v>
      </c>
      <c r="N433" s="36"/>
      <c r="O433" s="36"/>
      <c r="P433" s="36"/>
      <c r="Q433" s="36" t="s">
        <v>1368</v>
      </c>
      <c r="R433" s="150">
        <v>45791</v>
      </c>
      <c r="S433" s="36" t="s">
        <v>203</v>
      </c>
      <c r="T433" s="47" t="s">
        <v>275</v>
      </c>
      <c r="U433" s="146" t="s">
        <v>275</v>
      </c>
      <c r="V433"/>
    </row>
    <row r="434" spans="1:22" ht="30" x14ac:dyDescent="0.25">
      <c r="A434" s="109"/>
      <c r="B434" s="109" t="s">
        <v>23</v>
      </c>
      <c r="C434" s="109" t="s">
        <v>275</v>
      </c>
      <c r="D434" s="109" t="s">
        <v>72</v>
      </c>
      <c r="E434" s="109" t="s">
        <v>1324</v>
      </c>
      <c r="F434" s="109" t="s">
        <v>3071</v>
      </c>
      <c r="G434" s="109" t="s">
        <v>1318</v>
      </c>
      <c r="H434" s="109"/>
      <c r="I434" s="109"/>
      <c r="J434" s="109"/>
      <c r="K434" s="109"/>
      <c r="L434" s="109"/>
      <c r="M434" s="110" t="s">
        <v>1257</v>
      </c>
      <c r="N434" s="110"/>
      <c r="O434" s="110"/>
      <c r="P434" s="110"/>
      <c r="Q434" s="110" t="s">
        <v>1370</v>
      </c>
      <c r="R434" s="117">
        <v>45791</v>
      </c>
      <c r="S434" s="110" t="s">
        <v>203</v>
      </c>
      <c r="T434" s="109" t="s">
        <v>275</v>
      </c>
      <c r="U434" s="138" t="s">
        <v>275</v>
      </c>
      <c r="V434"/>
    </row>
    <row r="435" spans="1:22" ht="45" x14ac:dyDescent="0.25">
      <c r="A435" s="47"/>
      <c r="B435" s="108" t="s">
        <v>23</v>
      </c>
      <c r="C435" s="47" t="s">
        <v>275</v>
      </c>
      <c r="D435" s="3" t="s">
        <v>72</v>
      </c>
      <c r="E435" s="3" t="s">
        <v>1280</v>
      </c>
      <c r="F435" s="3" t="s">
        <v>3073</v>
      </c>
      <c r="G435" s="3" t="s">
        <v>1293</v>
      </c>
      <c r="H435" s="3"/>
      <c r="I435" s="3"/>
      <c r="J435" s="3"/>
      <c r="K435" s="3"/>
      <c r="L435" s="3"/>
      <c r="M435" s="36" t="s">
        <v>1257</v>
      </c>
      <c r="N435" s="36"/>
      <c r="O435" s="36" t="s">
        <v>23</v>
      </c>
      <c r="P435" s="36"/>
      <c r="Q435" s="36" t="s">
        <v>1283</v>
      </c>
      <c r="R435" s="150">
        <v>45784</v>
      </c>
      <c r="S435" s="36" t="s">
        <v>50</v>
      </c>
      <c r="T435" s="47" t="s">
        <v>275</v>
      </c>
      <c r="U435" s="146" t="s">
        <v>275</v>
      </c>
      <c r="V435"/>
    </row>
    <row r="436" spans="1:22" ht="60" x14ac:dyDescent="0.25">
      <c r="A436" s="47"/>
      <c r="B436" s="108" t="s">
        <v>23</v>
      </c>
      <c r="C436" s="47" t="s">
        <v>275</v>
      </c>
      <c r="D436" s="3" t="s">
        <v>72</v>
      </c>
      <c r="E436" s="3" t="s">
        <v>1219</v>
      </c>
      <c r="F436" s="3" t="s">
        <v>3071</v>
      </c>
      <c r="G436" s="3" t="s">
        <v>1212</v>
      </c>
      <c r="H436" s="3"/>
      <c r="I436" s="3"/>
      <c r="J436" s="3"/>
      <c r="K436" s="3"/>
      <c r="L436" s="3"/>
      <c r="M436" s="36" t="s">
        <v>1257</v>
      </c>
      <c r="N436" s="36"/>
      <c r="O436" s="36"/>
      <c r="P436" s="36"/>
      <c r="Q436" s="36" t="s">
        <v>1235</v>
      </c>
      <c r="R436" s="150">
        <v>45782</v>
      </c>
      <c r="S436" s="36" t="s">
        <v>203</v>
      </c>
      <c r="T436" s="47" t="s">
        <v>275</v>
      </c>
      <c r="U436" s="146" t="s">
        <v>275</v>
      </c>
      <c r="V436"/>
    </row>
    <row r="437" spans="1:22" x14ac:dyDescent="0.25">
      <c r="A437" s="47"/>
      <c r="B437" s="108" t="s">
        <v>23</v>
      </c>
      <c r="C437" s="47" t="s">
        <v>275</v>
      </c>
      <c r="D437" s="3" t="s">
        <v>72</v>
      </c>
      <c r="E437" s="3" t="s">
        <v>1220</v>
      </c>
      <c r="F437" s="3" t="s">
        <v>3071</v>
      </c>
      <c r="G437" s="3" t="s">
        <v>1211</v>
      </c>
      <c r="H437" s="3"/>
      <c r="I437" s="3"/>
      <c r="J437" s="3"/>
      <c r="K437" s="3"/>
      <c r="L437" s="3"/>
      <c r="M437" s="36" t="s">
        <v>1257</v>
      </c>
      <c r="N437" s="36"/>
      <c r="O437" s="36" t="s">
        <v>23</v>
      </c>
      <c r="P437" s="36"/>
      <c r="Q437" s="36" t="s">
        <v>1237</v>
      </c>
      <c r="R437" s="150">
        <v>45782</v>
      </c>
      <c r="S437" s="36" t="s">
        <v>203</v>
      </c>
      <c r="T437" s="47" t="s">
        <v>275</v>
      </c>
      <c r="U437" s="146" t="s">
        <v>275</v>
      </c>
      <c r="V437"/>
    </row>
    <row r="438" spans="1:22" ht="30" x14ac:dyDescent="0.25">
      <c r="A438" s="109"/>
      <c r="B438" s="109" t="s">
        <v>23</v>
      </c>
      <c r="C438" s="109" t="s">
        <v>275</v>
      </c>
      <c r="D438" s="109" t="s">
        <v>72</v>
      </c>
      <c r="E438" s="109" t="s">
        <v>1205</v>
      </c>
      <c r="F438" s="109" t="s">
        <v>3072</v>
      </c>
      <c r="G438" s="109" t="s">
        <v>1199</v>
      </c>
      <c r="H438" s="109"/>
      <c r="I438" s="109"/>
      <c r="J438" s="109"/>
      <c r="K438" s="109"/>
      <c r="L438" s="109"/>
      <c r="M438" s="109" t="s">
        <v>1257</v>
      </c>
      <c r="N438" s="109"/>
      <c r="O438" s="109"/>
      <c r="P438" s="109"/>
      <c r="Q438" s="109" t="s">
        <v>1227</v>
      </c>
      <c r="R438" s="117">
        <v>45779</v>
      </c>
      <c r="S438" s="109" t="s">
        <v>203</v>
      </c>
      <c r="T438" s="109" t="s">
        <v>275</v>
      </c>
      <c r="U438" s="109" t="s">
        <v>275</v>
      </c>
      <c r="V438"/>
    </row>
    <row r="439" spans="1:22" ht="30" x14ac:dyDescent="0.25">
      <c r="A439" s="47"/>
      <c r="B439" s="108" t="s">
        <v>23</v>
      </c>
      <c r="C439" s="47" t="s">
        <v>275</v>
      </c>
      <c r="D439" s="3" t="s">
        <v>72</v>
      </c>
      <c r="E439" s="3" t="s">
        <v>1217</v>
      </c>
      <c r="F439" s="3" t="s">
        <v>3073</v>
      </c>
      <c r="G439" s="3" t="s">
        <v>1215</v>
      </c>
      <c r="H439" s="3"/>
      <c r="I439" s="3"/>
      <c r="J439" s="3"/>
      <c r="K439" s="3"/>
      <c r="L439" s="3"/>
      <c r="M439" s="36" t="s">
        <v>1257</v>
      </c>
      <c r="N439" s="36"/>
      <c r="O439" s="36"/>
      <c r="P439" s="36"/>
      <c r="Q439" s="36" t="s">
        <v>1224</v>
      </c>
      <c r="R439" s="150">
        <v>45782</v>
      </c>
      <c r="S439" s="36" t="s">
        <v>228</v>
      </c>
      <c r="T439" s="47" t="s">
        <v>275</v>
      </c>
      <c r="U439" s="146" t="s">
        <v>275</v>
      </c>
      <c r="V439"/>
    </row>
    <row r="440" spans="1:22" ht="30" x14ac:dyDescent="0.25">
      <c r="A440" s="109"/>
      <c r="B440" s="109" t="s">
        <v>23</v>
      </c>
      <c r="C440" s="109" t="s">
        <v>275</v>
      </c>
      <c r="D440" s="109" t="s">
        <v>72</v>
      </c>
      <c r="E440" s="109" t="s">
        <v>789</v>
      </c>
      <c r="F440" s="109" t="s">
        <v>3072</v>
      </c>
      <c r="G440" s="109" t="s">
        <v>777</v>
      </c>
      <c r="H440" s="109"/>
      <c r="I440" s="109"/>
      <c r="J440" s="109"/>
      <c r="K440" s="109"/>
      <c r="L440" s="109"/>
      <c r="M440" s="109" t="s">
        <v>1257</v>
      </c>
      <c r="N440" s="109"/>
      <c r="O440" s="109"/>
      <c r="P440" s="109"/>
      <c r="Q440" s="109" t="s">
        <v>803</v>
      </c>
      <c r="R440" s="117">
        <v>45715</v>
      </c>
      <c r="S440" s="109" t="s">
        <v>50</v>
      </c>
      <c r="T440" s="109" t="s">
        <v>275</v>
      </c>
      <c r="U440" s="109" t="s">
        <v>275</v>
      </c>
      <c r="V440"/>
    </row>
    <row r="441" spans="1:22" x14ac:dyDescent="0.25">
      <c r="A441" s="47"/>
      <c r="B441" s="108" t="s">
        <v>23</v>
      </c>
      <c r="C441" s="47" t="s">
        <v>275</v>
      </c>
      <c r="D441" s="3" t="s">
        <v>72</v>
      </c>
      <c r="E441" s="3" t="s">
        <v>790</v>
      </c>
      <c r="F441" s="3" t="s">
        <v>3072</v>
      </c>
      <c r="G441" s="3" t="s">
        <v>776</v>
      </c>
      <c r="H441" s="3"/>
      <c r="I441" s="3"/>
      <c r="J441" s="3"/>
      <c r="K441" s="3"/>
      <c r="L441" s="3"/>
      <c r="M441" s="110" t="s">
        <v>1257</v>
      </c>
      <c r="N441" s="36"/>
      <c r="O441" s="36"/>
      <c r="P441" s="36"/>
      <c r="Q441" s="36" t="s">
        <v>802</v>
      </c>
      <c r="R441" s="150">
        <v>45715</v>
      </c>
      <c r="S441" s="36" t="s">
        <v>705</v>
      </c>
      <c r="T441" s="47" t="s">
        <v>275</v>
      </c>
      <c r="U441" s="146" t="s">
        <v>275</v>
      </c>
      <c r="V441"/>
    </row>
    <row r="442" spans="1:22" ht="30" customHeight="1" x14ac:dyDescent="0.25">
      <c r="A442" s="47"/>
      <c r="B442" s="108" t="s">
        <v>23</v>
      </c>
      <c r="C442" s="47" t="s">
        <v>275</v>
      </c>
      <c r="D442" s="3" t="s">
        <v>72</v>
      </c>
      <c r="E442" s="3" t="s">
        <v>731</v>
      </c>
      <c r="F442" s="3" t="s">
        <v>3073</v>
      </c>
      <c r="G442" s="3" t="s">
        <v>727</v>
      </c>
      <c r="H442" s="3"/>
      <c r="I442" s="3"/>
      <c r="J442" s="3"/>
      <c r="K442" s="3"/>
      <c r="L442" s="3"/>
      <c r="M442" s="36" t="s">
        <v>1257</v>
      </c>
      <c r="N442" s="36"/>
      <c r="O442" s="36"/>
      <c r="P442" s="36"/>
      <c r="Q442" s="36" t="s">
        <v>733</v>
      </c>
      <c r="R442" s="150">
        <v>45707</v>
      </c>
      <c r="S442" s="36" t="s">
        <v>50</v>
      </c>
      <c r="T442" s="47" t="s">
        <v>275</v>
      </c>
      <c r="U442" s="146" t="s">
        <v>275</v>
      </c>
      <c r="V442"/>
    </row>
    <row r="443" spans="1:22" ht="30" x14ac:dyDescent="0.25">
      <c r="A443" s="109"/>
      <c r="B443" s="109" t="s">
        <v>23</v>
      </c>
      <c r="C443" s="109" t="s">
        <v>275</v>
      </c>
      <c r="D443" s="109" t="s">
        <v>72</v>
      </c>
      <c r="E443" s="109" t="s">
        <v>718</v>
      </c>
      <c r="F443" s="109" t="s">
        <v>3071</v>
      </c>
      <c r="G443" s="109" t="s">
        <v>709</v>
      </c>
      <c r="H443" s="109"/>
      <c r="I443" s="109"/>
      <c r="J443" s="109"/>
      <c r="K443" s="109"/>
      <c r="L443" s="109"/>
      <c r="M443" s="109" t="s">
        <v>1257</v>
      </c>
      <c r="N443" s="109"/>
      <c r="O443" s="109" t="s">
        <v>23</v>
      </c>
      <c r="P443" s="109"/>
      <c r="Q443" s="109" t="s">
        <v>712</v>
      </c>
      <c r="R443" s="117">
        <v>45705</v>
      </c>
      <c r="S443" s="109" t="s">
        <v>713</v>
      </c>
      <c r="T443" s="109" t="s">
        <v>275</v>
      </c>
      <c r="U443" s="109" t="s">
        <v>275</v>
      </c>
      <c r="V443"/>
    </row>
    <row r="444" spans="1:22" ht="30" x14ac:dyDescent="0.25">
      <c r="A444" s="47"/>
      <c r="B444" s="108" t="s">
        <v>23</v>
      </c>
      <c r="C444" s="47" t="s">
        <v>275</v>
      </c>
      <c r="D444" s="3" t="s">
        <v>72</v>
      </c>
      <c r="E444" s="3" t="s">
        <v>552</v>
      </c>
      <c r="F444" s="3" t="s">
        <v>3072</v>
      </c>
      <c r="G444" s="3" t="s">
        <v>549</v>
      </c>
      <c r="H444" s="3"/>
      <c r="I444" s="3"/>
      <c r="J444" s="3"/>
      <c r="K444" s="3"/>
      <c r="L444" s="3"/>
      <c r="M444" s="36" t="s">
        <v>1257</v>
      </c>
      <c r="N444" s="36"/>
      <c r="O444" s="36" t="s">
        <v>23</v>
      </c>
      <c r="P444" s="36"/>
      <c r="Q444" s="36" t="s">
        <v>1266</v>
      </c>
      <c r="R444" s="150">
        <v>45687</v>
      </c>
      <c r="S444" s="36" t="s">
        <v>211</v>
      </c>
      <c r="T444" s="47" t="s">
        <v>275</v>
      </c>
      <c r="U444" s="146" t="s">
        <v>275</v>
      </c>
      <c r="V444"/>
    </row>
    <row r="445" spans="1:22" x14ac:dyDescent="0.25">
      <c r="A445" s="109"/>
      <c r="B445" s="109"/>
      <c r="C445" s="109" t="s">
        <v>275</v>
      </c>
      <c r="D445" s="109" t="s">
        <v>72</v>
      </c>
      <c r="E445" s="109" t="s">
        <v>2750</v>
      </c>
      <c r="F445" s="109" t="s">
        <v>3073</v>
      </c>
      <c r="G445" s="109" t="s">
        <v>2751</v>
      </c>
      <c r="H445" s="109"/>
      <c r="I445" s="109"/>
      <c r="J445" s="109"/>
      <c r="K445" s="109"/>
      <c r="L445" s="109"/>
      <c r="M445" s="109" t="s">
        <v>1257</v>
      </c>
      <c r="N445" s="109"/>
      <c r="O445" s="109"/>
      <c r="P445" s="109"/>
      <c r="Q445" s="109" t="s">
        <v>2753</v>
      </c>
      <c r="R445" s="117">
        <v>45898</v>
      </c>
      <c r="S445" s="109" t="s">
        <v>1074</v>
      </c>
      <c r="T445" s="109" t="s">
        <v>275</v>
      </c>
      <c r="U445" s="109"/>
      <c r="V445"/>
    </row>
    <row r="446" spans="1:22" x14ac:dyDescent="0.25">
      <c r="A446" s="109"/>
      <c r="B446" s="109"/>
      <c r="C446" s="109" t="s">
        <v>275</v>
      </c>
      <c r="D446" s="109" t="s">
        <v>72</v>
      </c>
      <c r="E446" s="109" t="s">
        <v>2795</v>
      </c>
      <c r="F446" s="109" t="s">
        <v>3073</v>
      </c>
      <c r="G446" s="109" t="s">
        <v>2796</v>
      </c>
      <c r="H446" s="109"/>
      <c r="I446" s="109"/>
      <c r="J446" s="109"/>
      <c r="K446" s="109"/>
      <c r="L446" s="109"/>
      <c r="M446" s="109" t="s">
        <v>1257</v>
      </c>
      <c r="N446" s="109"/>
      <c r="O446" s="109"/>
      <c r="P446" s="109"/>
      <c r="Q446" s="109" t="s">
        <v>2808</v>
      </c>
      <c r="R446" s="117">
        <v>45903</v>
      </c>
      <c r="S446" s="109" t="s">
        <v>203</v>
      </c>
      <c r="T446" s="109" t="s">
        <v>275</v>
      </c>
      <c r="U446" s="138"/>
      <c r="V446"/>
    </row>
    <row r="447" spans="1:22" ht="30" x14ac:dyDescent="0.25">
      <c r="A447" s="47"/>
      <c r="B447" s="108"/>
      <c r="C447" s="47" t="s">
        <v>275</v>
      </c>
      <c r="D447" s="3" t="s">
        <v>87</v>
      </c>
      <c r="E447" s="3" t="s">
        <v>2979</v>
      </c>
      <c r="F447" s="3" t="s">
        <v>3075</v>
      </c>
      <c r="G447" s="3" t="s">
        <v>2980</v>
      </c>
      <c r="H447" s="3"/>
      <c r="I447" s="3"/>
      <c r="J447" s="3"/>
      <c r="K447" s="3"/>
      <c r="L447" s="3"/>
      <c r="M447" s="36" t="s">
        <v>1258</v>
      </c>
      <c r="N447" s="36"/>
      <c r="O447" s="36"/>
      <c r="P447" s="36"/>
      <c r="Q447" s="36" t="s">
        <v>2993</v>
      </c>
      <c r="R447" s="150">
        <v>45917</v>
      </c>
      <c r="S447" s="36" t="s">
        <v>239</v>
      </c>
      <c r="T447" s="47" t="s">
        <v>275</v>
      </c>
      <c r="U447" s="146"/>
      <c r="V447"/>
    </row>
    <row r="448" spans="1:22" ht="15" customHeight="1" x14ac:dyDescent="0.25">
      <c r="A448" s="47"/>
      <c r="B448" s="108"/>
      <c r="C448" s="47" t="s">
        <v>275</v>
      </c>
      <c r="D448" s="3" t="s">
        <v>87</v>
      </c>
      <c r="E448" s="3" t="s">
        <v>2531</v>
      </c>
      <c r="F448" s="3" t="s">
        <v>3076</v>
      </c>
      <c r="G448" s="3" t="s">
        <v>2532</v>
      </c>
      <c r="H448" s="3"/>
      <c r="I448" s="3"/>
      <c r="J448" s="3"/>
      <c r="K448" s="3"/>
      <c r="L448" s="3"/>
      <c r="M448" s="36" t="s">
        <v>1258</v>
      </c>
      <c r="N448" s="36"/>
      <c r="O448" s="36"/>
      <c r="P448" s="36"/>
      <c r="Q448" s="36" t="s">
        <v>2537</v>
      </c>
      <c r="R448" s="150">
        <v>45873</v>
      </c>
      <c r="S448" s="36"/>
      <c r="T448" s="47" t="s">
        <v>275</v>
      </c>
      <c r="U448" s="146" t="s">
        <v>275</v>
      </c>
      <c r="V448"/>
    </row>
    <row r="449" spans="1:22" ht="30" x14ac:dyDescent="0.25">
      <c r="A449" s="47"/>
      <c r="B449" s="108"/>
      <c r="C449" s="47" t="s">
        <v>275</v>
      </c>
      <c r="D449" s="3" t="s">
        <v>87</v>
      </c>
      <c r="E449" s="3" t="s">
        <v>2621</v>
      </c>
      <c r="F449" s="3" t="s">
        <v>3076</v>
      </c>
      <c r="G449" s="3" t="s">
        <v>2622</v>
      </c>
      <c r="H449" s="3"/>
      <c r="I449" s="3"/>
      <c r="J449" s="3"/>
      <c r="K449" s="3"/>
      <c r="L449" s="3"/>
      <c r="M449" s="36" t="s">
        <v>1258</v>
      </c>
      <c r="N449" s="36"/>
      <c r="O449" s="36"/>
      <c r="P449" s="36"/>
      <c r="Q449" s="36" t="s">
        <v>2632</v>
      </c>
      <c r="R449" s="150">
        <v>45883</v>
      </c>
      <c r="S449" s="36" t="s">
        <v>2633</v>
      </c>
      <c r="T449" s="47" t="s">
        <v>275</v>
      </c>
      <c r="U449" s="146" t="s">
        <v>2892</v>
      </c>
      <c r="V449"/>
    </row>
    <row r="450" spans="1:22" ht="30" x14ac:dyDescent="0.25">
      <c r="A450" s="109"/>
      <c r="B450" s="109"/>
      <c r="C450" s="109" t="s">
        <v>275</v>
      </c>
      <c r="D450" s="109" t="s">
        <v>87</v>
      </c>
      <c r="E450" s="109" t="s">
        <v>2661</v>
      </c>
      <c r="F450" s="109" t="s">
        <v>114</v>
      </c>
      <c r="G450" s="109" t="s">
        <v>2662</v>
      </c>
      <c r="H450" s="109"/>
      <c r="I450" s="109"/>
      <c r="J450" s="109"/>
      <c r="K450" s="109"/>
      <c r="L450" s="109"/>
      <c r="M450" s="109" t="s">
        <v>1258</v>
      </c>
      <c r="N450" s="109"/>
      <c r="O450" s="109"/>
      <c r="P450" s="109"/>
      <c r="Q450" s="109" t="s">
        <v>2664</v>
      </c>
      <c r="R450" s="117">
        <v>45888</v>
      </c>
      <c r="S450" s="109" t="s">
        <v>239</v>
      </c>
      <c r="T450" s="109" t="s">
        <v>275</v>
      </c>
      <c r="U450" s="138" t="s">
        <v>2893</v>
      </c>
      <c r="V450"/>
    </row>
    <row r="451" spans="1:22" ht="30" x14ac:dyDescent="0.25">
      <c r="A451" s="47"/>
      <c r="B451" s="108"/>
      <c r="C451" s="47" t="s">
        <v>275</v>
      </c>
      <c r="D451" s="3" t="s">
        <v>87</v>
      </c>
      <c r="E451" s="3" t="s">
        <v>2596</v>
      </c>
      <c r="F451" s="3" t="s">
        <v>3077</v>
      </c>
      <c r="G451" s="3" t="s">
        <v>2597</v>
      </c>
      <c r="H451" s="3"/>
      <c r="I451" s="3"/>
      <c r="J451" s="3"/>
      <c r="K451" s="3"/>
      <c r="L451" s="3"/>
      <c r="M451" s="36" t="s">
        <v>1258</v>
      </c>
      <c r="N451" s="36"/>
      <c r="O451" s="36"/>
      <c r="P451" s="36"/>
      <c r="Q451" s="36" t="s">
        <v>2605</v>
      </c>
      <c r="R451" s="150">
        <v>45881</v>
      </c>
      <c r="S451" s="36" t="s">
        <v>2603</v>
      </c>
      <c r="T451" s="47" t="s">
        <v>275</v>
      </c>
      <c r="U451" s="146" t="s">
        <v>275</v>
      </c>
      <c r="V451"/>
    </row>
    <row r="452" spans="1:22" ht="45" x14ac:dyDescent="0.25">
      <c r="A452" s="109"/>
      <c r="B452" s="109"/>
      <c r="C452" s="109" t="s">
        <v>275</v>
      </c>
      <c r="D452" s="109" t="s">
        <v>87</v>
      </c>
      <c r="E452" s="109" t="s">
        <v>2582</v>
      </c>
      <c r="F452" s="109" t="s">
        <v>3075</v>
      </c>
      <c r="G452" s="109" t="s">
        <v>2583</v>
      </c>
      <c r="H452" s="109"/>
      <c r="I452" s="109"/>
      <c r="J452" s="109"/>
      <c r="K452" s="109"/>
      <c r="L452" s="109"/>
      <c r="M452" s="109" t="s">
        <v>1258</v>
      </c>
      <c r="N452" s="109"/>
      <c r="O452" s="109"/>
      <c r="P452" s="109"/>
      <c r="Q452" s="109" t="s">
        <v>2588</v>
      </c>
      <c r="R452" s="117">
        <v>45881</v>
      </c>
      <c r="S452" s="109" t="s">
        <v>239</v>
      </c>
      <c r="T452" s="109" t="s">
        <v>275</v>
      </c>
      <c r="U452" s="109" t="s">
        <v>2894</v>
      </c>
      <c r="V452"/>
    </row>
    <row r="453" spans="1:22" x14ac:dyDescent="0.25">
      <c r="A453" s="47"/>
      <c r="B453" s="108"/>
      <c r="C453" s="47" t="s">
        <v>275</v>
      </c>
      <c r="D453" s="3" t="s">
        <v>87</v>
      </c>
      <c r="E453" s="3" t="s">
        <v>2523</v>
      </c>
      <c r="F453" s="3" t="s">
        <v>3078</v>
      </c>
      <c r="G453" s="3" t="s">
        <v>2524</v>
      </c>
      <c r="H453" s="3"/>
      <c r="I453" s="3"/>
      <c r="J453" s="3"/>
      <c r="K453" s="3"/>
      <c r="L453" s="3"/>
      <c r="M453" s="36" t="s">
        <v>1258</v>
      </c>
      <c r="N453" s="36"/>
      <c r="O453" s="36"/>
      <c r="P453" s="36"/>
      <c r="Q453" s="36" t="s">
        <v>2528</v>
      </c>
      <c r="R453" s="150">
        <v>45869</v>
      </c>
      <c r="S453" s="36" t="s">
        <v>1074</v>
      </c>
      <c r="T453" s="47" t="s">
        <v>275</v>
      </c>
      <c r="U453" s="146" t="s">
        <v>2895</v>
      </c>
      <c r="V453"/>
    </row>
    <row r="454" spans="1:22" x14ac:dyDescent="0.25">
      <c r="A454" s="109"/>
      <c r="B454" s="109">
        <v>3</v>
      </c>
      <c r="C454" s="109" t="s">
        <v>275</v>
      </c>
      <c r="D454" s="109" t="s">
        <v>87</v>
      </c>
      <c r="E454" s="109" t="s">
        <v>1566</v>
      </c>
      <c r="F454" s="109" t="s">
        <v>112</v>
      </c>
      <c r="G454" s="109" t="s">
        <v>1781</v>
      </c>
      <c r="H454" s="109"/>
      <c r="I454" s="109"/>
      <c r="J454" s="109"/>
      <c r="K454" s="109"/>
      <c r="L454" s="109"/>
      <c r="M454" s="109" t="s">
        <v>1258</v>
      </c>
      <c r="N454" s="109"/>
      <c r="O454" s="109"/>
      <c r="P454" s="109"/>
      <c r="Q454" s="109" t="s">
        <v>1570</v>
      </c>
      <c r="R454" s="117">
        <v>45812</v>
      </c>
      <c r="S454" s="109" t="s">
        <v>1048</v>
      </c>
      <c r="T454" s="109" t="s">
        <v>275</v>
      </c>
      <c r="U454" s="109" t="s">
        <v>275</v>
      </c>
      <c r="V454"/>
    </row>
    <row r="455" spans="1:22" ht="30" x14ac:dyDescent="0.25">
      <c r="A455" s="47"/>
      <c r="B455" s="108">
        <v>3</v>
      </c>
      <c r="C455" s="47" t="s">
        <v>275</v>
      </c>
      <c r="D455" s="3" t="s">
        <v>87</v>
      </c>
      <c r="E455" s="3" t="s">
        <v>1468</v>
      </c>
      <c r="F455" s="3" t="s">
        <v>3075</v>
      </c>
      <c r="G455" s="3" t="s">
        <v>1782</v>
      </c>
      <c r="H455" s="3"/>
      <c r="I455" s="3"/>
      <c r="J455" s="3"/>
      <c r="K455" s="3"/>
      <c r="L455" s="3"/>
      <c r="M455" s="36" t="s">
        <v>1258</v>
      </c>
      <c r="N455" s="36"/>
      <c r="O455" s="36"/>
      <c r="P455" s="36"/>
      <c r="Q455" s="36" t="s">
        <v>1723</v>
      </c>
      <c r="R455" s="150">
        <v>45825</v>
      </c>
      <c r="S455" s="36" t="s">
        <v>1642</v>
      </c>
      <c r="T455" s="47" t="s">
        <v>275</v>
      </c>
      <c r="U455" s="146" t="s">
        <v>2101</v>
      </c>
      <c r="V455"/>
    </row>
    <row r="456" spans="1:22" ht="30" x14ac:dyDescent="0.25">
      <c r="A456" s="47"/>
      <c r="B456" s="108" t="s">
        <v>23</v>
      </c>
      <c r="C456" s="47" t="s">
        <v>275</v>
      </c>
      <c r="D456" s="3" t="s">
        <v>87</v>
      </c>
      <c r="E456" s="3" t="s">
        <v>1611</v>
      </c>
      <c r="F456" s="3" t="s">
        <v>3077</v>
      </c>
      <c r="G456" s="3" t="s">
        <v>1783</v>
      </c>
      <c r="H456" s="3"/>
      <c r="I456" s="3"/>
      <c r="J456" s="3"/>
      <c r="K456" s="3"/>
      <c r="L456" s="3"/>
      <c r="M456" s="36" t="s">
        <v>1258</v>
      </c>
      <c r="N456" s="36"/>
      <c r="O456" s="36"/>
      <c r="P456" s="36"/>
      <c r="Q456" s="36" t="s">
        <v>1640</v>
      </c>
      <c r="R456" s="150">
        <v>45763</v>
      </c>
      <c r="S456" s="36" t="s">
        <v>211</v>
      </c>
      <c r="T456" s="47" t="s">
        <v>275</v>
      </c>
      <c r="U456" s="146" t="s">
        <v>275</v>
      </c>
      <c r="V456"/>
    </row>
    <row r="457" spans="1:22" x14ac:dyDescent="0.25">
      <c r="A457" s="47"/>
      <c r="B457" s="108" t="s">
        <v>23</v>
      </c>
      <c r="C457" s="47" t="s">
        <v>275</v>
      </c>
      <c r="D457" s="3" t="s">
        <v>87</v>
      </c>
      <c r="E457" s="3" t="s">
        <v>1612</v>
      </c>
      <c r="F457" s="3" t="s">
        <v>3077</v>
      </c>
      <c r="G457" s="3" t="s">
        <v>1784</v>
      </c>
      <c r="H457" s="3"/>
      <c r="I457" s="3"/>
      <c r="J457" s="3"/>
      <c r="K457" s="3"/>
      <c r="L457" s="3"/>
      <c r="M457" s="36" t="s">
        <v>1258</v>
      </c>
      <c r="N457" s="36"/>
      <c r="O457" s="36"/>
      <c r="P457" s="36"/>
      <c r="Q457" s="36" t="s">
        <v>1640</v>
      </c>
      <c r="R457" s="150">
        <v>45763</v>
      </c>
      <c r="S457" s="36" t="s">
        <v>211</v>
      </c>
      <c r="T457" s="47" t="s">
        <v>275</v>
      </c>
      <c r="U457" s="146" t="s">
        <v>275</v>
      </c>
      <c r="V457"/>
    </row>
    <row r="458" spans="1:22" x14ac:dyDescent="0.25">
      <c r="A458" s="109"/>
      <c r="B458" s="109" t="s">
        <v>23</v>
      </c>
      <c r="C458" s="109" t="s">
        <v>275</v>
      </c>
      <c r="D458" s="109" t="s">
        <v>87</v>
      </c>
      <c r="E458" s="109" t="s">
        <v>1615</v>
      </c>
      <c r="F458" s="109" t="s">
        <v>1616</v>
      </c>
      <c r="G458" s="109" t="s">
        <v>1785</v>
      </c>
      <c r="H458" s="109"/>
      <c r="I458" s="109"/>
      <c r="J458" s="109"/>
      <c r="K458" s="109"/>
      <c r="L458" s="109"/>
      <c r="M458" s="109" t="s">
        <v>1258</v>
      </c>
      <c r="N458" s="109"/>
      <c r="O458" s="109"/>
      <c r="P458" s="109"/>
      <c r="Q458" s="109" t="s">
        <v>1640</v>
      </c>
      <c r="R458" s="117">
        <v>45765</v>
      </c>
      <c r="S458" s="109" t="s">
        <v>239</v>
      </c>
      <c r="T458" s="109" t="s">
        <v>275</v>
      </c>
      <c r="U458" s="109" t="s">
        <v>2102</v>
      </c>
      <c r="V458"/>
    </row>
    <row r="459" spans="1:22" ht="30" x14ac:dyDescent="0.25">
      <c r="A459" s="109"/>
      <c r="B459" s="109" t="s">
        <v>23</v>
      </c>
      <c r="C459" s="109" t="s">
        <v>275</v>
      </c>
      <c r="D459" s="109" t="s">
        <v>87</v>
      </c>
      <c r="E459" s="109" t="s">
        <v>1626</v>
      </c>
      <c r="F459" s="109" t="s">
        <v>3077</v>
      </c>
      <c r="G459" s="109" t="s">
        <v>1786</v>
      </c>
      <c r="H459" s="109"/>
      <c r="I459" s="109"/>
      <c r="J459" s="109"/>
      <c r="K459" s="109"/>
      <c r="L459" s="109"/>
      <c r="M459" s="109" t="s">
        <v>1258</v>
      </c>
      <c r="N459" s="109"/>
      <c r="O459" s="109"/>
      <c r="P459" s="109"/>
      <c r="Q459" s="109" t="s">
        <v>1640</v>
      </c>
      <c r="R459" s="117">
        <v>45796</v>
      </c>
      <c r="S459" s="109" t="s">
        <v>206</v>
      </c>
      <c r="T459" s="109" t="s">
        <v>275</v>
      </c>
      <c r="U459" s="109" t="s">
        <v>275</v>
      </c>
      <c r="V459"/>
    </row>
    <row r="460" spans="1:22" x14ac:dyDescent="0.25">
      <c r="A460" s="47"/>
      <c r="B460" s="108" t="s">
        <v>23</v>
      </c>
      <c r="C460" s="47" t="s">
        <v>275</v>
      </c>
      <c r="D460" s="3" t="s">
        <v>87</v>
      </c>
      <c r="E460" s="3" t="s">
        <v>1629</v>
      </c>
      <c r="F460" s="3" t="s">
        <v>3077</v>
      </c>
      <c r="G460" s="3" t="s">
        <v>1787</v>
      </c>
      <c r="H460" s="3"/>
      <c r="I460" s="3"/>
      <c r="J460" s="3"/>
      <c r="K460" s="3"/>
      <c r="L460" s="3"/>
      <c r="M460" s="36" t="s">
        <v>1258</v>
      </c>
      <c r="N460" s="36"/>
      <c r="O460" s="36"/>
      <c r="P460" s="36"/>
      <c r="Q460" s="36" t="s">
        <v>1640</v>
      </c>
      <c r="R460" s="150">
        <v>45798</v>
      </c>
      <c r="S460" s="36" t="s">
        <v>239</v>
      </c>
      <c r="T460" s="47" t="s">
        <v>275</v>
      </c>
      <c r="U460" s="146" t="s">
        <v>275</v>
      </c>
      <c r="V460"/>
    </row>
    <row r="461" spans="1:22" x14ac:dyDescent="0.25">
      <c r="A461" s="109"/>
      <c r="B461" s="109" t="s">
        <v>23</v>
      </c>
      <c r="C461" s="109" t="s">
        <v>275</v>
      </c>
      <c r="D461" s="109" t="s">
        <v>87</v>
      </c>
      <c r="E461" s="109" t="s">
        <v>1637</v>
      </c>
      <c r="F461" s="109" t="s">
        <v>3077</v>
      </c>
      <c r="G461" s="109" t="s">
        <v>1788</v>
      </c>
      <c r="H461" s="109"/>
      <c r="I461" s="109"/>
      <c r="J461" s="109"/>
      <c r="K461" s="109"/>
      <c r="L461" s="109"/>
      <c r="M461" s="109" t="s">
        <v>1258</v>
      </c>
      <c r="N461" s="109"/>
      <c r="O461" s="109"/>
      <c r="P461" s="109"/>
      <c r="Q461" s="109" t="s">
        <v>1640</v>
      </c>
      <c r="R461" s="117">
        <v>45807</v>
      </c>
      <c r="S461" s="109" t="s">
        <v>239</v>
      </c>
      <c r="T461" s="109" t="s">
        <v>275</v>
      </c>
      <c r="U461" s="138" t="s">
        <v>275</v>
      </c>
      <c r="V461"/>
    </row>
    <row r="462" spans="1:22" ht="30" x14ac:dyDescent="0.25">
      <c r="A462" s="47"/>
      <c r="B462" s="108">
        <v>3</v>
      </c>
      <c r="C462" s="47" t="s">
        <v>275</v>
      </c>
      <c r="D462" s="3" t="s">
        <v>87</v>
      </c>
      <c r="E462" s="3" t="s">
        <v>1524</v>
      </c>
      <c r="F462" s="3" t="s">
        <v>3074</v>
      </c>
      <c r="G462" s="3" t="s">
        <v>1789</v>
      </c>
      <c r="H462" s="3"/>
      <c r="I462" s="3"/>
      <c r="J462" s="3"/>
      <c r="K462" s="3"/>
      <c r="L462" s="3"/>
      <c r="M462" s="36" t="s">
        <v>1258</v>
      </c>
      <c r="N462" s="36"/>
      <c r="O462" s="36"/>
      <c r="P462" s="36"/>
      <c r="Q462" s="36" t="s">
        <v>1640</v>
      </c>
      <c r="R462" s="150">
        <v>45811</v>
      </c>
      <c r="S462" s="36" t="s">
        <v>1496</v>
      </c>
      <c r="T462" s="47" t="s">
        <v>275</v>
      </c>
      <c r="U462" s="146" t="s">
        <v>275</v>
      </c>
      <c r="V462"/>
    </row>
    <row r="463" spans="1:22" ht="30" x14ac:dyDescent="0.25">
      <c r="A463" s="47"/>
      <c r="B463" s="108" t="s">
        <v>23</v>
      </c>
      <c r="C463" s="47" t="s">
        <v>275</v>
      </c>
      <c r="D463" s="3" t="s">
        <v>87</v>
      </c>
      <c r="E463" s="3" t="s">
        <v>1070</v>
      </c>
      <c r="F463" s="3" t="s">
        <v>88</v>
      </c>
      <c r="G463" s="3" t="s">
        <v>1790</v>
      </c>
      <c r="H463" s="3"/>
      <c r="I463" s="3"/>
      <c r="J463" s="3"/>
      <c r="K463" s="3"/>
      <c r="L463" s="3"/>
      <c r="M463" s="36" t="s">
        <v>1258</v>
      </c>
      <c r="N463" s="36"/>
      <c r="O463" s="36"/>
      <c r="P463" s="36"/>
      <c r="Q463" s="36" t="s">
        <v>1466</v>
      </c>
      <c r="R463" s="150">
        <v>45803</v>
      </c>
      <c r="S463" s="36" t="s">
        <v>50</v>
      </c>
      <c r="T463" s="47" t="s">
        <v>275</v>
      </c>
      <c r="U463" s="146" t="s">
        <v>2103</v>
      </c>
      <c r="V463"/>
    </row>
    <row r="464" spans="1:22" x14ac:dyDescent="0.25">
      <c r="A464" s="109"/>
      <c r="B464" s="109" t="s">
        <v>23</v>
      </c>
      <c r="C464" s="109" t="s">
        <v>275</v>
      </c>
      <c r="D464" s="109" t="s">
        <v>87</v>
      </c>
      <c r="E464" s="109" t="s">
        <v>1434</v>
      </c>
      <c r="F464" s="109" t="s">
        <v>3079</v>
      </c>
      <c r="G464" s="109" t="s">
        <v>1791</v>
      </c>
      <c r="H464" s="109"/>
      <c r="I464" s="109"/>
      <c r="J464" s="109"/>
      <c r="K464" s="109"/>
      <c r="L464" s="109"/>
      <c r="M464" s="109" t="s">
        <v>1258</v>
      </c>
      <c r="N464" s="109"/>
      <c r="O464" s="109"/>
      <c r="P464" s="109"/>
      <c r="Q464" s="109" t="s">
        <v>1428</v>
      </c>
      <c r="R464" s="117">
        <v>45797</v>
      </c>
      <c r="S464" s="109" t="s">
        <v>211</v>
      </c>
      <c r="T464" s="109" t="s">
        <v>275</v>
      </c>
      <c r="U464" s="109" t="s">
        <v>275</v>
      </c>
      <c r="V464"/>
    </row>
    <row r="465" spans="1:22" x14ac:dyDescent="0.25">
      <c r="A465" s="47"/>
      <c r="B465" s="108" t="s">
        <v>23</v>
      </c>
      <c r="C465" s="47" t="s">
        <v>275</v>
      </c>
      <c r="D465" s="3" t="s">
        <v>87</v>
      </c>
      <c r="E465" s="3" t="s">
        <v>1380</v>
      </c>
      <c r="F465" s="3" t="s">
        <v>3079</v>
      </c>
      <c r="G465" s="3" t="s">
        <v>1792</v>
      </c>
      <c r="H465" s="3"/>
      <c r="I465" s="3"/>
      <c r="J465" s="3"/>
      <c r="K465" s="3"/>
      <c r="L465" s="3"/>
      <c r="M465" s="36" t="s">
        <v>1258</v>
      </c>
      <c r="N465" s="36"/>
      <c r="O465" s="36"/>
      <c r="P465" s="36"/>
      <c r="Q465" s="36" t="s">
        <v>1425</v>
      </c>
      <c r="R465" s="150">
        <v>45797</v>
      </c>
      <c r="S465" s="36" t="s">
        <v>203</v>
      </c>
      <c r="T465" s="47" t="s">
        <v>275</v>
      </c>
      <c r="U465" s="146" t="s">
        <v>275</v>
      </c>
      <c r="V465"/>
    </row>
    <row r="466" spans="1:22" ht="45" x14ac:dyDescent="0.25">
      <c r="A466" s="47"/>
      <c r="B466" s="108" t="s">
        <v>23</v>
      </c>
      <c r="C466" s="47" t="s">
        <v>275</v>
      </c>
      <c r="D466" s="3" t="s">
        <v>87</v>
      </c>
      <c r="E466" s="3" t="s">
        <v>1347</v>
      </c>
      <c r="F466" s="3" t="s">
        <v>112</v>
      </c>
      <c r="G466" s="3" t="s">
        <v>1793</v>
      </c>
      <c r="H466" s="3"/>
      <c r="I466" s="3"/>
      <c r="J466" s="3"/>
      <c r="K466" s="3"/>
      <c r="L466" s="3"/>
      <c r="M466" s="36" t="s">
        <v>1258</v>
      </c>
      <c r="N466" s="36"/>
      <c r="O466" s="36"/>
      <c r="P466" s="36"/>
      <c r="Q466" s="36" t="s">
        <v>586</v>
      </c>
      <c r="R466" s="150">
        <v>45791</v>
      </c>
      <c r="S466" s="36" t="s">
        <v>1074</v>
      </c>
      <c r="T466" s="47" t="s">
        <v>275</v>
      </c>
      <c r="U466" s="146" t="s">
        <v>2104</v>
      </c>
      <c r="V466"/>
    </row>
    <row r="467" spans="1:22" ht="30" x14ac:dyDescent="0.25">
      <c r="A467" s="47"/>
      <c r="B467" s="108">
        <v>1</v>
      </c>
      <c r="C467" s="47" t="s">
        <v>275</v>
      </c>
      <c r="D467" s="3" t="s">
        <v>87</v>
      </c>
      <c r="E467" s="3" t="s">
        <v>1435</v>
      </c>
      <c r="F467" s="3" t="s">
        <v>3079</v>
      </c>
      <c r="G467" s="3" t="s">
        <v>1794</v>
      </c>
      <c r="H467" s="3"/>
      <c r="I467" s="3"/>
      <c r="J467" s="3"/>
      <c r="K467" s="3"/>
      <c r="L467" s="3"/>
      <c r="M467" s="36" t="s">
        <v>1258</v>
      </c>
      <c r="N467" s="36"/>
      <c r="O467" s="36"/>
      <c r="P467" s="36"/>
      <c r="Q467" s="36" t="s">
        <v>232</v>
      </c>
      <c r="R467" s="150">
        <v>45797</v>
      </c>
      <c r="S467" s="36" t="s">
        <v>211</v>
      </c>
      <c r="T467" s="47" t="s">
        <v>275</v>
      </c>
      <c r="U467" s="146" t="s">
        <v>275</v>
      </c>
      <c r="V467"/>
    </row>
    <row r="468" spans="1:22" x14ac:dyDescent="0.25">
      <c r="A468" s="109"/>
      <c r="B468" s="109" t="s">
        <v>23</v>
      </c>
      <c r="C468" s="109" t="s">
        <v>275</v>
      </c>
      <c r="D468" s="109" t="s">
        <v>87</v>
      </c>
      <c r="E468" s="109" t="s">
        <v>1437</v>
      </c>
      <c r="F468" s="109" t="s">
        <v>3079</v>
      </c>
      <c r="G468" s="109" t="s">
        <v>1795</v>
      </c>
      <c r="H468" s="109"/>
      <c r="I468" s="109"/>
      <c r="J468" s="109"/>
      <c r="K468" s="109"/>
      <c r="L468" s="109"/>
      <c r="M468" s="109" t="s">
        <v>1258</v>
      </c>
      <c r="N468" s="109"/>
      <c r="O468" s="109"/>
      <c r="P468" s="109"/>
      <c r="Q468" s="109" t="s">
        <v>1449</v>
      </c>
      <c r="R468" s="117">
        <v>45797</v>
      </c>
      <c r="S468" s="109" t="s">
        <v>211</v>
      </c>
      <c r="T468" s="109" t="s">
        <v>275</v>
      </c>
      <c r="U468" s="109" t="s">
        <v>275</v>
      </c>
      <c r="V468"/>
    </row>
    <row r="469" spans="1:22" ht="30" x14ac:dyDescent="0.25">
      <c r="A469" s="47"/>
      <c r="B469" s="108" t="s">
        <v>23</v>
      </c>
      <c r="C469" s="47" t="s">
        <v>275</v>
      </c>
      <c r="D469" s="3" t="s">
        <v>87</v>
      </c>
      <c r="E469" s="3" t="s">
        <v>833</v>
      </c>
      <c r="F469" s="3" t="s">
        <v>112</v>
      </c>
      <c r="G469" s="3" t="s">
        <v>1796</v>
      </c>
      <c r="H469" s="3"/>
      <c r="I469" s="3"/>
      <c r="J469" s="3"/>
      <c r="K469" s="3"/>
      <c r="L469" s="3"/>
      <c r="M469" s="36" t="s">
        <v>1258</v>
      </c>
      <c r="N469" s="36"/>
      <c r="O469" s="36"/>
      <c r="P469" s="36"/>
      <c r="Q469" s="36"/>
      <c r="R469" s="150"/>
      <c r="S469" s="36"/>
      <c r="T469" s="47" t="s">
        <v>275</v>
      </c>
      <c r="U469" s="146" t="s">
        <v>275</v>
      </c>
      <c r="V469"/>
    </row>
    <row r="470" spans="1:22" ht="30" x14ac:dyDescent="0.25">
      <c r="A470" s="109"/>
      <c r="B470" s="109" t="s">
        <v>23</v>
      </c>
      <c r="C470" s="109" t="s">
        <v>275</v>
      </c>
      <c r="D470" s="109" t="s">
        <v>87</v>
      </c>
      <c r="E470" s="109" t="s">
        <v>1063</v>
      </c>
      <c r="F470" s="109" t="s">
        <v>112</v>
      </c>
      <c r="G470" s="109" t="s">
        <v>1797</v>
      </c>
      <c r="H470" s="109"/>
      <c r="I470" s="109"/>
      <c r="J470" s="109"/>
      <c r="K470" s="109"/>
      <c r="L470" s="109"/>
      <c r="M470" s="109" t="s">
        <v>1258</v>
      </c>
      <c r="N470" s="109"/>
      <c r="O470" s="109"/>
      <c r="P470" s="109"/>
      <c r="Q470" s="109" t="s">
        <v>1103</v>
      </c>
      <c r="R470" s="117">
        <v>45754</v>
      </c>
      <c r="S470" s="109" t="s">
        <v>673</v>
      </c>
      <c r="T470" s="109" t="s">
        <v>275</v>
      </c>
      <c r="U470" s="109" t="s">
        <v>275</v>
      </c>
      <c r="V470"/>
    </row>
    <row r="471" spans="1:22" ht="30" x14ac:dyDescent="0.25">
      <c r="A471" s="47"/>
      <c r="B471" s="108" t="s">
        <v>23</v>
      </c>
      <c r="C471" s="47" t="s">
        <v>275</v>
      </c>
      <c r="D471" s="3" t="s">
        <v>87</v>
      </c>
      <c r="E471" s="3" t="s">
        <v>1054</v>
      </c>
      <c r="F471" s="3" t="s">
        <v>3079</v>
      </c>
      <c r="G471" s="3" t="s">
        <v>1798</v>
      </c>
      <c r="H471" s="3"/>
      <c r="I471" s="3"/>
      <c r="J471" s="3"/>
      <c r="K471" s="3"/>
      <c r="L471" s="3"/>
      <c r="M471" s="36" t="s">
        <v>1258</v>
      </c>
      <c r="N471" s="36"/>
      <c r="O471" s="36"/>
      <c r="P471" s="36"/>
      <c r="Q471" s="36"/>
      <c r="R471" s="150"/>
      <c r="S471" s="36"/>
      <c r="T471" s="47" t="s">
        <v>275</v>
      </c>
      <c r="U471" s="146" t="s">
        <v>275</v>
      </c>
      <c r="V471"/>
    </row>
    <row r="472" spans="1:22" x14ac:dyDescent="0.25">
      <c r="A472" s="109"/>
      <c r="B472" s="109" t="s">
        <v>23</v>
      </c>
      <c r="C472" s="109" t="s">
        <v>275</v>
      </c>
      <c r="D472" s="109" t="s">
        <v>87</v>
      </c>
      <c r="E472" s="109" t="s">
        <v>640</v>
      </c>
      <c r="F472" s="109" t="s">
        <v>3079</v>
      </c>
      <c r="G472" s="109" t="s">
        <v>1799</v>
      </c>
      <c r="H472" s="109"/>
      <c r="I472" s="109"/>
      <c r="J472" s="109"/>
      <c r="K472" s="109"/>
      <c r="L472" s="109"/>
      <c r="M472" s="109" t="s">
        <v>1258</v>
      </c>
      <c r="N472" s="109"/>
      <c r="O472" s="109"/>
      <c r="P472" s="109"/>
      <c r="Q472" s="109" t="s">
        <v>914</v>
      </c>
      <c r="R472" s="117">
        <v>45729</v>
      </c>
      <c r="S472" s="109" t="s">
        <v>206</v>
      </c>
      <c r="T472" s="109" t="s">
        <v>275</v>
      </c>
      <c r="U472" s="109" t="s">
        <v>275</v>
      </c>
      <c r="V472"/>
    </row>
    <row r="473" spans="1:22" x14ac:dyDescent="0.25">
      <c r="A473" s="109"/>
      <c r="B473" s="109" t="s">
        <v>23</v>
      </c>
      <c r="C473" s="109" t="s">
        <v>275</v>
      </c>
      <c r="D473" s="109" t="s">
        <v>87</v>
      </c>
      <c r="E473" s="109" t="s">
        <v>855</v>
      </c>
      <c r="F473" s="109" t="s">
        <v>3079</v>
      </c>
      <c r="G473" s="109" t="s">
        <v>1800</v>
      </c>
      <c r="H473" s="109"/>
      <c r="I473" s="109"/>
      <c r="J473" s="109"/>
      <c r="K473" s="109"/>
      <c r="L473" s="109"/>
      <c r="M473" s="109" t="s">
        <v>1258</v>
      </c>
      <c r="N473" s="109"/>
      <c r="O473" s="109"/>
      <c r="P473" s="109"/>
      <c r="Q473" s="109" t="s">
        <v>914</v>
      </c>
      <c r="R473" s="117">
        <v>45729</v>
      </c>
      <c r="S473" s="109" t="s">
        <v>206</v>
      </c>
      <c r="T473" s="109" t="s">
        <v>275</v>
      </c>
      <c r="U473" s="109" t="s">
        <v>275</v>
      </c>
      <c r="V473"/>
    </row>
    <row r="474" spans="1:22" ht="30" x14ac:dyDescent="0.25">
      <c r="A474" s="47"/>
      <c r="B474" s="108" t="s">
        <v>23</v>
      </c>
      <c r="C474" s="47" t="s">
        <v>275</v>
      </c>
      <c r="D474" s="3" t="s">
        <v>87</v>
      </c>
      <c r="E474" s="3" t="s">
        <v>915</v>
      </c>
      <c r="F474" s="3" t="s">
        <v>3079</v>
      </c>
      <c r="G474" s="3" t="s">
        <v>1801</v>
      </c>
      <c r="H474" s="3"/>
      <c r="I474" s="3"/>
      <c r="J474" s="3"/>
      <c r="K474" s="3"/>
      <c r="L474" s="3"/>
      <c r="M474" s="36" t="s">
        <v>1258</v>
      </c>
      <c r="N474" s="36"/>
      <c r="O474" s="36"/>
      <c r="P474" s="36"/>
      <c r="Q474" s="36" t="s">
        <v>149</v>
      </c>
      <c r="R474" s="150">
        <v>45728</v>
      </c>
      <c r="S474" s="36" t="s">
        <v>206</v>
      </c>
      <c r="T474" s="47" t="s">
        <v>275</v>
      </c>
      <c r="U474" s="146" t="s">
        <v>275</v>
      </c>
      <c r="V474"/>
    </row>
    <row r="475" spans="1:22" x14ac:dyDescent="0.25">
      <c r="A475" s="47"/>
      <c r="B475" s="108" t="s">
        <v>23</v>
      </c>
      <c r="C475" s="47" t="s">
        <v>275</v>
      </c>
      <c r="D475" s="3" t="s">
        <v>87</v>
      </c>
      <c r="E475" s="3" t="s">
        <v>857</v>
      </c>
      <c r="F475" s="3" t="s">
        <v>3079</v>
      </c>
      <c r="G475" s="3" t="s">
        <v>1802</v>
      </c>
      <c r="H475" s="3"/>
      <c r="I475" s="3"/>
      <c r="J475" s="3"/>
      <c r="K475" s="3"/>
      <c r="L475" s="3"/>
      <c r="M475" s="36" t="s">
        <v>1258</v>
      </c>
      <c r="N475" s="36"/>
      <c r="O475" s="36"/>
      <c r="P475" s="36"/>
      <c r="Q475" s="36" t="s">
        <v>149</v>
      </c>
      <c r="R475" s="150">
        <v>45728</v>
      </c>
      <c r="S475" s="36" t="s">
        <v>206</v>
      </c>
      <c r="T475" s="47" t="s">
        <v>275</v>
      </c>
      <c r="U475" s="146" t="s">
        <v>275</v>
      </c>
      <c r="V475"/>
    </row>
    <row r="476" spans="1:22" x14ac:dyDescent="0.25">
      <c r="A476" s="47"/>
      <c r="B476" s="108" t="s">
        <v>23</v>
      </c>
      <c r="C476" s="47" t="s">
        <v>275</v>
      </c>
      <c r="D476" s="3" t="s">
        <v>87</v>
      </c>
      <c r="E476" s="3" t="s">
        <v>858</v>
      </c>
      <c r="F476" s="3" t="s">
        <v>3079</v>
      </c>
      <c r="G476" s="3" t="s">
        <v>1803</v>
      </c>
      <c r="H476" s="3"/>
      <c r="I476" s="3"/>
      <c r="J476" s="3"/>
      <c r="K476" s="3"/>
      <c r="L476" s="3"/>
      <c r="M476" s="36" t="s">
        <v>1258</v>
      </c>
      <c r="N476" s="36"/>
      <c r="O476" s="36"/>
      <c r="P476" s="36"/>
      <c r="Q476" s="36" t="s">
        <v>149</v>
      </c>
      <c r="R476" s="150">
        <v>45728</v>
      </c>
      <c r="S476" s="36" t="s">
        <v>206</v>
      </c>
      <c r="T476" s="47" t="s">
        <v>275</v>
      </c>
      <c r="U476" s="146" t="s">
        <v>275</v>
      </c>
      <c r="V476"/>
    </row>
    <row r="477" spans="1:22" x14ac:dyDescent="0.25">
      <c r="A477" s="109"/>
      <c r="B477" s="109" t="s">
        <v>23</v>
      </c>
      <c r="C477" s="109" t="s">
        <v>275</v>
      </c>
      <c r="D477" s="109" t="s">
        <v>87</v>
      </c>
      <c r="E477" s="109" t="s">
        <v>854</v>
      </c>
      <c r="F477" s="109" t="s">
        <v>3079</v>
      </c>
      <c r="G477" s="109" t="s">
        <v>1804</v>
      </c>
      <c r="H477" s="109"/>
      <c r="I477" s="109"/>
      <c r="J477" s="109"/>
      <c r="K477" s="109"/>
      <c r="L477" s="109"/>
      <c r="M477" s="36" t="s">
        <v>1258</v>
      </c>
      <c r="N477" s="110"/>
      <c r="O477" s="110"/>
      <c r="P477" s="110"/>
      <c r="Q477" s="110" t="s">
        <v>910</v>
      </c>
      <c r="R477" s="117">
        <v>45728</v>
      </c>
      <c r="S477" s="110" t="s">
        <v>206</v>
      </c>
      <c r="T477" s="109" t="s">
        <v>275</v>
      </c>
      <c r="U477" s="138" t="s">
        <v>275</v>
      </c>
      <c r="V477"/>
    </row>
    <row r="478" spans="1:22" x14ac:dyDescent="0.25">
      <c r="A478" s="47"/>
      <c r="B478" s="108" t="s">
        <v>23</v>
      </c>
      <c r="C478" s="47" t="s">
        <v>275</v>
      </c>
      <c r="D478" s="3" t="s">
        <v>87</v>
      </c>
      <c r="E478" s="3" t="s">
        <v>856</v>
      </c>
      <c r="F478" s="3" t="s">
        <v>3079</v>
      </c>
      <c r="G478" s="3" t="s">
        <v>1805</v>
      </c>
      <c r="H478" s="3"/>
      <c r="I478" s="3"/>
      <c r="J478" s="3"/>
      <c r="K478" s="3"/>
      <c r="L478" s="3"/>
      <c r="M478" s="36" t="s">
        <v>1258</v>
      </c>
      <c r="N478" s="36"/>
      <c r="O478" s="36"/>
      <c r="P478" s="36"/>
      <c r="Q478" s="36" t="s">
        <v>149</v>
      </c>
      <c r="R478" s="150">
        <v>45728</v>
      </c>
      <c r="S478" s="36" t="s">
        <v>206</v>
      </c>
      <c r="T478" s="47" t="s">
        <v>275</v>
      </c>
      <c r="U478" s="146" t="s">
        <v>275</v>
      </c>
      <c r="V478"/>
    </row>
    <row r="479" spans="1:22" x14ac:dyDescent="0.25">
      <c r="A479" s="109"/>
      <c r="B479" s="109" t="s">
        <v>23</v>
      </c>
      <c r="C479" s="109" t="s">
        <v>275</v>
      </c>
      <c r="D479" s="109" t="s">
        <v>87</v>
      </c>
      <c r="E479" s="109" t="s">
        <v>859</v>
      </c>
      <c r="F479" s="109" t="s">
        <v>3079</v>
      </c>
      <c r="G479" s="109" t="s">
        <v>1806</v>
      </c>
      <c r="H479" s="109"/>
      <c r="I479" s="109"/>
      <c r="J479" s="109"/>
      <c r="K479" s="109"/>
      <c r="L479" s="109"/>
      <c r="M479" s="109" t="s">
        <v>1258</v>
      </c>
      <c r="N479" s="109"/>
      <c r="O479" s="109"/>
      <c r="P479" s="109"/>
      <c r="Q479" s="109" t="s">
        <v>149</v>
      </c>
      <c r="R479" s="117">
        <v>45729</v>
      </c>
      <c r="S479" s="109" t="s">
        <v>206</v>
      </c>
      <c r="T479" s="109" t="s">
        <v>275</v>
      </c>
      <c r="U479" s="109" t="s">
        <v>275</v>
      </c>
      <c r="V479"/>
    </row>
    <row r="480" spans="1:22" ht="45" x14ac:dyDescent="0.25">
      <c r="A480" s="109"/>
      <c r="B480" s="109" t="s">
        <v>23</v>
      </c>
      <c r="C480" s="109" t="s">
        <v>275</v>
      </c>
      <c r="D480" s="109" t="s">
        <v>87</v>
      </c>
      <c r="E480" s="109" t="s">
        <v>1274</v>
      </c>
      <c r="F480" s="109" t="s">
        <v>112</v>
      </c>
      <c r="G480" s="109" t="s">
        <v>1807</v>
      </c>
      <c r="H480" s="109"/>
      <c r="I480" s="109"/>
      <c r="J480" s="109"/>
      <c r="K480" s="109"/>
      <c r="L480" s="109"/>
      <c r="M480" s="109" t="s">
        <v>1258</v>
      </c>
      <c r="N480" s="109"/>
      <c r="O480" s="109"/>
      <c r="P480" s="109"/>
      <c r="Q480" s="109" t="s">
        <v>1138</v>
      </c>
      <c r="R480" s="117"/>
      <c r="S480" s="109"/>
      <c r="T480" s="109" t="s">
        <v>275</v>
      </c>
      <c r="U480" s="109" t="s">
        <v>275</v>
      </c>
      <c r="V480"/>
    </row>
    <row r="481" spans="1:22" ht="45" x14ac:dyDescent="0.25">
      <c r="A481" s="47"/>
      <c r="B481" s="108" t="s">
        <v>23</v>
      </c>
      <c r="C481" s="47" t="s">
        <v>275</v>
      </c>
      <c r="D481" s="3" t="s">
        <v>87</v>
      </c>
      <c r="E481" s="3" t="s">
        <v>1351</v>
      </c>
      <c r="F481" s="3" t="s">
        <v>96</v>
      </c>
      <c r="G481" s="3" t="s">
        <v>1808</v>
      </c>
      <c r="H481" s="3"/>
      <c r="I481" s="3"/>
      <c r="J481" s="3"/>
      <c r="K481" s="3"/>
      <c r="L481" s="3"/>
      <c r="M481" s="36" t="s">
        <v>1258</v>
      </c>
      <c r="N481" s="36"/>
      <c r="O481" s="36"/>
      <c r="P481" s="36"/>
      <c r="Q481" s="36" t="s">
        <v>1352</v>
      </c>
      <c r="R481" s="150">
        <v>45790</v>
      </c>
      <c r="S481" s="36" t="s">
        <v>211</v>
      </c>
      <c r="T481" s="47" t="s">
        <v>275</v>
      </c>
      <c r="U481" s="146" t="s">
        <v>2105</v>
      </c>
      <c r="V481"/>
    </row>
    <row r="482" spans="1:22" x14ac:dyDescent="0.25">
      <c r="A482" s="47"/>
      <c r="B482" s="108" t="s">
        <v>23</v>
      </c>
      <c r="C482" s="47" t="s">
        <v>275</v>
      </c>
      <c r="D482" s="3" t="s">
        <v>87</v>
      </c>
      <c r="E482" s="3" t="s">
        <v>1314</v>
      </c>
      <c r="F482" s="3" t="s">
        <v>3080</v>
      </c>
      <c r="G482" s="3" t="s">
        <v>1809</v>
      </c>
      <c r="H482" s="3"/>
      <c r="I482" s="3"/>
      <c r="J482" s="3"/>
      <c r="K482" s="3"/>
      <c r="L482" s="3"/>
      <c r="M482" s="36" t="s">
        <v>1258</v>
      </c>
      <c r="N482" s="36"/>
      <c r="O482" s="36"/>
      <c r="P482" s="36"/>
      <c r="Q482" s="36" t="s">
        <v>1311</v>
      </c>
      <c r="R482" s="150">
        <v>45874</v>
      </c>
      <c r="S482" s="36" t="s">
        <v>211</v>
      </c>
      <c r="T482" s="47" t="s">
        <v>275</v>
      </c>
      <c r="U482" s="146" t="s">
        <v>275</v>
      </c>
      <c r="V482"/>
    </row>
    <row r="483" spans="1:22" ht="30" x14ac:dyDescent="0.25">
      <c r="A483" s="47"/>
      <c r="B483" s="108" t="s">
        <v>23</v>
      </c>
      <c r="C483" s="47" t="s">
        <v>275</v>
      </c>
      <c r="D483" s="3" t="s">
        <v>87</v>
      </c>
      <c r="E483" s="3" t="s">
        <v>1254</v>
      </c>
      <c r="F483" s="3" t="s">
        <v>3078</v>
      </c>
      <c r="G483" s="3" t="s">
        <v>1810</v>
      </c>
      <c r="H483" s="3"/>
      <c r="I483" s="3"/>
      <c r="J483" s="3"/>
      <c r="K483" s="3"/>
      <c r="L483" s="3"/>
      <c r="M483" s="36" t="s">
        <v>1258</v>
      </c>
      <c r="N483" s="36"/>
      <c r="O483" s="36"/>
      <c r="P483" s="36"/>
      <c r="Q483" s="36" t="s">
        <v>1251</v>
      </c>
      <c r="R483" s="150">
        <v>45813</v>
      </c>
      <c r="S483" s="36" t="s">
        <v>137</v>
      </c>
      <c r="T483" s="47" t="s">
        <v>275</v>
      </c>
      <c r="U483" s="146" t="s">
        <v>2101</v>
      </c>
      <c r="V483"/>
    </row>
    <row r="484" spans="1:22" ht="30" x14ac:dyDescent="0.25">
      <c r="A484" s="47"/>
      <c r="B484" s="108" t="s">
        <v>23</v>
      </c>
      <c r="C484" s="47" t="s">
        <v>275</v>
      </c>
      <c r="D484" s="3" t="s">
        <v>87</v>
      </c>
      <c r="E484" s="3" t="s">
        <v>1208</v>
      </c>
      <c r="F484" s="3" t="s">
        <v>96</v>
      </c>
      <c r="G484" s="3" t="s">
        <v>1811</v>
      </c>
      <c r="H484" s="3"/>
      <c r="I484" s="3"/>
      <c r="J484" s="3"/>
      <c r="K484" s="3"/>
      <c r="L484" s="3"/>
      <c r="M484" s="36" t="s">
        <v>1258</v>
      </c>
      <c r="N484" s="36"/>
      <c r="O484" s="36"/>
      <c r="P484" s="36"/>
      <c r="Q484" s="36" t="s">
        <v>1233</v>
      </c>
      <c r="R484" s="150">
        <v>45779</v>
      </c>
      <c r="S484" s="36" t="s">
        <v>1207</v>
      </c>
      <c r="T484" s="47" t="s">
        <v>275</v>
      </c>
      <c r="U484" s="146" t="s">
        <v>275</v>
      </c>
      <c r="V484"/>
    </row>
    <row r="485" spans="1:22" ht="30" x14ac:dyDescent="0.25">
      <c r="A485" s="47"/>
      <c r="B485" s="108" t="s">
        <v>23</v>
      </c>
      <c r="C485" s="47" t="s">
        <v>275</v>
      </c>
      <c r="D485" s="3" t="s">
        <v>87</v>
      </c>
      <c r="E485" s="3" t="s">
        <v>1086</v>
      </c>
      <c r="F485" s="3" t="s">
        <v>3079</v>
      </c>
      <c r="G485" s="3" t="s">
        <v>1812</v>
      </c>
      <c r="H485" s="3"/>
      <c r="I485" s="3"/>
      <c r="J485" s="3"/>
      <c r="K485" s="3"/>
      <c r="L485" s="3"/>
      <c r="M485" s="36" t="s">
        <v>1258</v>
      </c>
      <c r="N485" s="36"/>
      <c r="O485" s="36"/>
      <c r="P485" s="36"/>
      <c r="Q485" s="36" t="s">
        <v>1053</v>
      </c>
      <c r="R485" s="150">
        <v>45756</v>
      </c>
      <c r="S485" s="36" t="s">
        <v>239</v>
      </c>
      <c r="T485" s="47" t="s">
        <v>275</v>
      </c>
      <c r="U485" s="146" t="s">
        <v>275</v>
      </c>
      <c r="V485"/>
    </row>
    <row r="486" spans="1:22" x14ac:dyDescent="0.25">
      <c r="A486" s="109"/>
      <c r="B486" s="109" t="s">
        <v>23</v>
      </c>
      <c r="C486" s="109" t="s">
        <v>275</v>
      </c>
      <c r="D486" s="109" t="s">
        <v>87</v>
      </c>
      <c r="E486" s="109" t="s">
        <v>1229</v>
      </c>
      <c r="F486" s="109" t="s">
        <v>93</v>
      </c>
      <c r="G486" s="109" t="s">
        <v>1813</v>
      </c>
      <c r="H486" s="109"/>
      <c r="I486" s="109"/>
      <c r="J486" s="109"/>
      <c r="K486" s="109"/>
      <c r="L486" s="109"/>
      <c r="M486" s="109" t="s">
        <v>1258</v>
      </c>
      <c r="N486" s="109"/>
      <c r="O486" s="109"/>
      <c r="P486" s="109"/>
      <c r="Q486" s="109"/>
      <c r="R486" s="117">
        <v>45779</v>
      </c>
      <c r="S486" s="109"/>
      <c r="T486" s="109" t="s">
        <v>275</v>
      </c>
      <c r="U486" s="109" t="s">
        <v>2106</v>
      </c>
      <c r="V486"/>
    </row>
    <row r="487" spans="1:22" x14ac:dyDescent="0.25">
      <c r="A487" s="109"/>
      <c r="B487" s="109" t="s">
        <v>23</v>
      </c>
      <c r="C487" s="109" t="s">
        <v>275</v>
      </c>
      <c r="D487" s="109" t="s">
        <v>87</v>
      </c>
      <c r="E487" s="109" t="s">
        <v>1230</v>
      </c>
      <c r="F487" s="109" t="s">
        <v>3080</v>
      </c>
      <c r="G487" s="109" t="s">
        <v>1814</v>
      </c>
      <c r="H487" s="109"/>
      <c r="I487" s="109"/>
      <c r="J487" s="109"/>
      <c r="K487" s="109"/>
      <c r="L487" s="109"/>
      <c r="M487" s="109" t="s">
        <v>1258</v>
      </c>
      <c r="N487" s="109"/>
      <c r="O487" s="109"/>
      <c r="P487" s="109"/>
      <c r="Q487" s="109" t="s">
        <v>1225</v>
      </c>
      <c r="R487" s="117">
        <v>45779</v>
      </c>
      <c r="S487" s="109" t="s">
        <v>203</v>
      </c>
      <c r="T487" s="109" t="s">
        <v>275</v>
      </c>
      <c r="U487" s="109" t="s">
        <v>275</v>
      </c>
      <c r="V487"/>
    </row>
    <row r="488" spans="1:22" ht="30" x14ac:dyDescent="0.25">
      <c r="A488" s="47"/>
      <c r="B488" s="108" t="s">
        <v>23</v>
      </c>
      <c r="C488" s="47" t="s">
        <v>275</v>
      </c>
      <c r="D488" s="3" t="s">
        <v>87</v>
      </c>
      <c r="E488" s="3" t="s">
        <v>1194</v>
      </c>
      <c r="F488" s="3" t="s">
        <v>96</v>
      </c>
      <c r="G488" s="3" t="s">
        <v>1815</v>
      </c>
      <c r="H488" s="3"/>
      <c r="I488" s="3"/>
      <c r="J488" s="3"/>
      <c r="K488" s="3"/>
      <c r="L488" s="3"/>
      <c r="M488" s="36" t="s">
        <v>1258</v>
      </c>
      <c r="N488" s="36"/>
      <c r="O488" s="36"/>
      <c r="P488" s="36"/>
      <c r="Q488" s="36" t="s">
        <v>1187</v>
      </c>
      <c r="R488" s="150">
        <v>45775</v>
      </c>
      <c r="S488" s="36" t="s">
        <v>102</v>
      </c>
      <c r="T488" s="47" t="s">
        <v>275</v>
      </c>
      <c r="U488" s="146" t="s">
        <v>2101</v>
      </c>
      <c r="V488"/>
    </row>
    <row r="489" spans="1:22" ht="30" x14ac:dyDescent="0.25">
      <c r="A489" s="109"/>
      <c r="B489" s="109" t="s">
        <v>23</v>
      </c>
      <c r="C489" s="109" t="s">
        <v>275</v>
      </c>
      <c r="D489" s="109" t="s">
        <v>87</v>
      </c>
      <c r="E489" s="109" t="s">
        <v>1178</v>
      </c>
      <c r="F489" s="109" t="s">
        <v>3075</v>
      </c>
      <c r="G489" s="109" t="s">
        <v>1816</v>
      </c>
      <c r="H489" s="109"/>
      <c r="I489" s="109"/>
      <c r="J489" s="109"/>
      <c r="K489" s="109"/>
      <c r="L489" s="109"/>
      <c r="M489" s="110" t="s">
        <v>1258</v>
      </c>
      <c r="N489" s="110"/>
      <c r="O489" s="110"/>
      <c r="P489" s="110"/>
      <c r="Q489" s="110" t="s">
        <v>1188</v>
      </c>
      <c r="R489" s="117">
        <v>45775</v>
      </c>
      <c r="S489" s="110" t="s">
        <v>1189</v>
      </c>
      <c r="T489" s="109" t="s">
        <v>275</v>
      </c>
      <c r="U489" s="138" t="s">
        <v>2101</v>
      </c>
      <c r="V489"/>
    </row>
    <row r="490" spans="1:22" ht="30" x14ac:dyDescent="0.25">
      <c r="A490" s="47"/>
      <c r="B490" s="108" t="s">
        <v>23</v>
      </c>
      <c r="C490" s="47" t="s">
        <v>275</v>
      </c>
      <c r="D490" s="3" t="s">
        <v>87</v>
      </c>
      <c r="E490" s="3" t="s">
        <v>882</v>
      </c>
      <c r="F490" s="3" t="s">
        <v>3076</v>
      </c>
      <c r="G490" s="3" t="s">
        <v>1817</v>
      </c>
      <c r="H490" s="3"/>
      <c r="I490" s="3"/>
      <c r="J490" s="3"/>
      <c r="K490" s="3"/>
      <c r="L490" s="3"/>
      <c r="M490" s="36" t="s">
        <v>1258</v>
      </c>
      <c r="N490" s="36"/>
      <c r="O490" s="36"/>
      <c r="P490" s="36"/>
      <c r="Q490" s="36" t="s">
        <v>1190</v>
      </c>
      <c r="R490" s="150">
        <v>45775</v>
      </c>
      <c r="S490" s="36" t="s">
        <v>1186</v>
      </c>
      <c r="T490" s="47" t="s">
        <v>275</v>
      </c>
      <c r="U490" s="146" t="s">
        <v>2107</v>
      </c>
      <c r="V490"/>
    </row>
    <row r="491" spans="1:22" x14ac:dyDescent="0.25">
      <c r="A491" s="47"/>
      <c r="B491" s="108" t="s">
        <v>23</v>
      </c>
      <c r="C491" s="47" t="s">
        <v>275</v>
      </c>
      <c r="D491" s="3" t="s">
        <v>87</v>
      </c>
      <c r="E491" s="3" t="s">
        <v>1168</v>
      </c>
      <c r="F491" s="3" t="s">
        <v>3076</v>
      </c>
      <c r="G491" s="3" t="s">
        <v>1818</v>
      </c>
      <c r="H491" s="3"/>
      <c r="I491" s="3"/>
      <c r="J491" s="3"/>
      <c r="K491" s="3"/>
      <c r="L491" s="3"/>
      <c r="M491" s="36" t="s">
        <v>1258</v>
      </c>
      <c r="N491" s="36"/>
      <c r="O491" s="36"/>
      <c r="P491" s="36"/>
      <c r="Q491" s="36" t="s">
        <v>1175</v>
      </c>
      <c r="R491" s="150">
        <v>45771</v>
      </c>
      <c r="S491" s="36" t="s">
        <v>203</v>
      </c>
      <c r="T491" s="47" t="s">
        <v>275</v>
      </c>
      <c r="U491" s="146" t="s">
        <v>275</v>
      </c>
      <c r="V491"/>
    </row>
    <row r="492" spans="1:22" x14ac:dyDescent="0.25">
      <c r="A492" s="47"/>
      <c r="B492" s="108" t="s">
        <v>23</v>
      </c>
      <c r="C492" s="47" t="s">
        <v>275</v>
      </c>
      <c r="D492" s="3" t="s">
        <v>87</v>
      </c>
      <c r="E492" s="3" t="s">
        <v>928</v>
      </c>
      <c r="F492" s="3" t="s">
        <v>3074</v>
      </c>
      <c r="G492" s="3" t="s">
        <v>1819</v>
      </c>
      <c r="H492" s="3"/>
      <c r="I492" s="3"/>
      <c r="J492" s="3"/>
      <c r="K492" s="3"/>
      <c r="L492" s="3"/>
      <c r="M492" s="36" t="s">
        <v>1258</v>
      </c>
      <c r="N492" s="36"/>
      <c r="O492" s="36"/>
      <c r="P492" s="36"/>
      <c r="Q492" s="36" t="s">
        <v>1174</v>
      </c>
      <c r="R492" s="150">
        <v>45771</v>
      </c>
      <c r="S492" s="36" t="s">
        <v>1153</v>
      </c>
      <c r="T492" s="47" t="s">
        <v>275</v>
      </c>
      <c r="U492" s="146" t="s">
        <v>2108</v>
      </c>
      <c r="V492"/>
    </row>
    <row r="493" spans="1:22" ht="30" x14ac:dyDescent="0.25">
      <c r="A493" s="47"/>
      <c r="B493" s="108" t="s">
        <v>23</v>
      </c>
      <c r="C493" s="47" t="s">
        <v>275</v>
      </c>
      <c r="D493" s="3" t="s">
        <v>87</v>
      </c>
      <c r="E493" s="3" t="s">
        <v>1144</v>
      </c>
      <c r="F493" s="3" t="s">
        <v>96</v>
      </c>
      <c r="G493" s="3" t="s">
        <v>1820</v>
      </c>
      <c r="H493" s="3"/>
      <c r="I493" s="3"/>
      <c r="J493" s="3"/>
      <c r="K493" s="3"/>
      <c r="L493" s="3"/>
      <c r="M493" s="36" t="s">
        <v>1258</v>
      </c>
      <c r="N493" s="36"/>
      <c r="O493" s="36"/>
      <c r="P493" s="36"/>
      <c r="Q493" s="36" t="s">
        <v>1152</v>
      </c>
      <c r="R493" s="150">
        <v>45770</v>
      </c>
      <c r="S493" s="36" t="s">
        <v>211</v>
      </c>
      <c r="T493" s="47" t="s">
        <v>275</v>
      </c>
      <c r="U493" s="146" t="s">
        <v>275</v>
      </c>
      <c r="V493"/>
    </row>
    <row r="494" spans="1:22" x14ac:dyDescent="0.25">
      <c r="A494" s="109"/>
      <c r="B494" s="109" t="s">
        <v>23</v>
      </c>
      <c r="C494" s="109" t="s">
        <v>275</v>
      </c>
      <c r="D494" s="109" t="s">
        <v>87</v>
      </c>
      <c r="E494" s="109" t="s">
        <v>357</v>
      </c>
      <c r="F494" s="109" t="s">
        <v>97</v>
      </c>
      <c r="G494" s="109" t="s">
        <v>1821</v>
      </c>
      <c r="H494" s="109"/>
      <c r="I494" s="109"/>
      <c r="J494" s="109"/>
      <c r="K494" s="109"/>
      <c r="L494" s="109"/>
      <c r="M494" s="110" t="s">
        <v>1258</v>
      </c>
      <c r="N494" s="110"/>
      <c r="O494" s="110"/>
      <c r="P494" s="110"/>
      <c r="Q494" s="110"/>
      <c r="R494" s="117"/>
      <c r="S494" s="110"/>
      <c r="T494" s="109" t="s">
        <v>275</v>
      </c>
      <c r="U494" s="138" t="s">
        <v>275</v>
      </c>
      <c r="V494"/>
    </row>
    <row r="495" spans="1:22" x14ac:dyDescent="0.25">
      <c r="A495" s="47"/>
      <c r="B495" s="108" t="s">
        <v>23</v>
      </c>
      <c r="C495" s="47" t="s">
        <v>275</v>
      </c>
      <c r="D495" s="3" t="s">
        <v>87</v>
      </c>
      <c r="E495" s="3" t="s">
        <v>1066</v>
      </c>
      <c r="F495" s="3" t="s">
        <v>114</v>
      </c>
      <c r="G495" s="3" t="s">
        <v>1822</v>
      </c>
      <c r="H495" s="3"/>
      <c r="I495" s="3"/>
      <c r="J495" s="3"/>
      <c r="K495" s="3"/>
      <c r="L495" s="3"/>
      <c r="M495" s="36" t="s">
        <v>1258</v>
      </c>
      <c r="N495" s="36"/>
      <c r="O495" s="36"/>
      <c r="P495" s="36"/>
      <c r="Q495" s="36" t="s">
        <v>1099</v>
      </c>
      <c r="R495" s="150">
        <v>45761</v>
      </c>
      <c r="S495" s="36" t="s">
        <v>211</v>
      </c>
      <c r="T495" s="47" t="s">
        <v>275</v>
      </c>
      <c r="U495" s="146" t="s">
        <v>2109</v>
      </c>
      <c r="V495"/>
    </row>
    <row r="496" spans="1:22" ht="30" x14ac:dyDescent="0.25">
      <c r="A496" s="109"/>
      <c r="B496" s="109" t="s">
        <v>23</v>
      </c>
      <c r="C496" s="109" t="s">
        <v>275</v>
      </c>
      <c r="D496" s="109" t="s">
        <v>87</v>
      </c>
      <c r="E496" s="109" t="s">
        <v>1068</v>
      </c>
      <c r="F496" s="109" t="s">
        <v>88</v>
      </c>
      <c r="G496" s="109" t="s">
        <v>1823</v>
      </c>
      <c r="H496" s="109"/>
      <c r="I496" s="109"/>
      <c r="J496" s="109"/>
      <c r="K496" s="109"/>
      <c r="L496" s="109"/>
      <c r="M496" s="109" t="s">
        <v>1258</v>
      </c>
      <c r="N496" s="109"/>
      <c r="O496" s="109"/>
      <c r="P496" s="109"/>
      <c r="Q496" s="109" t="s">
        <v>1090</v>
      </c>
      <c r="R496" s="117">
        <v>45758</v>
      </c>
      <c r="S496" s="109" t="s">
        <v>203</v>
      </c>
      <c r="T496" s="109" t="s">
        <v>275</v>
      </c>
      <c r="U496" s="109" t="s">
        <v>2103</v>
      </c>
      <c r="V496"/>
    </row>
    <row r="497" spans="1:22" x14ac:dyDescent="0.25">
      <c r="A497" s="109"/>
      <c r="B497" s="109" t="s">
        <v>23</v>
      </c>
      <c r="C497" s="109" t="s">
        <v>275</v>
      </c>
      <c r="D497" s="109" t="s">
        <v>87</v>
      </c>
      <c r="E497" s="109" t="s">
        <v>1077</v>
      </c>
      <c r="F497" s="109" t="s">
        <v>3075</v>
      </c>
      <c r="G497" s="109" t="s">
        <v>1824</v>
      </c>
      <c r="H497" s="109"/>
      <c r="I497" s="109"/>
      <c r="J497" s="109"/>
      <c r="K497" s="109"/>
      <c r="L497" s="109"/>
      <c r="M497" s="109" t="s">
        <v>1258</v>
      </c>
      <c r="N497" s="109"/>
      <c r="O497" s="109"/>
      <c r="P497" s="109"/>
      <c r="Q497" s="109" t="s">
        <v>1075</v>
      </c>
      <c r="R497" s="117">
        <v>45757</v>
      </c>
      <c r="S497" s="109" t="s">
        <v>1074</v>
      </c>
      <c r="T497" s="109" t="s">
        <v>275</v>
      </c>
      <c r="U497" s="109" t="s">
        <v>275</v>
      </c>
      <c r="V497"/>
    </row>
    <row r="498" spans="1:22" x14ac:dyDescent="0.25">
      <c r="A498" s="109"/>
      <c r="B498" s="109" t="s">
        <v>23</v>
      </c>
      <c r="C498" s="109" t="s">
        <v>275</v>
      </c>
      <c r="D498" s="109" t="s">
        <v>87</v>
      </c>
      <c r="E498" s="109" t="s">
        <v>1072</v>
      </c>
      <c r="F498" s="109" t="s">
        <v>88</v>
      </c>
      <c r="G498" s="109" t="s">
        <v>1825</v>
      </c>
      <c r="H498" s="109"/>
      <c r="I498" s="109"/>
      <c r="J498" s="109"/>
      <c r="K498" s="109"/>
      <c r="L498" s="109"/>
      <c r="M498" s="109" t="s">
        <v>1258</v>
      </c>
      <c r="N498" s="109"/>
      <c r="O498" s="109"/>
      <c r="P498" s="109"/>
      <c r="Q498" s="109"/>
      <c r="R498" s="117">
        <v>45755</v>
      </c>
      <c r="S498" s="109" t="s">
        <v>228</v>
      </c>
      <c r="T498" s="109" t="s">
        <v>275</v>
      </c>
      <c r="U498" s="109" t="s">
        <v>275</v>
      </c>
      <c r="V498"/>
    </row>
    <row r="499" spans="1:22" ht="30" x14ac:dyDescent="0.25">
      <c r="A499" s="109"/>
      <c r="B499" s="109" t="s">
        <v>23</v>
      </c>
      <c r="C499" s="109" t="s">
        <v>275</v>
      </c>
      <c r="D499" s="109" t="s">
        <v>87</v>
      </c>
      <c r="E499" s="109" t="s">
        <v>1057</v>
      </c>
      <c r="F499" s="109" t="s">
        <v>3074</v>
      </c>
      <c r="G499" s="109" t="s">
        <v>1826</v>
      </c>
      <c r="H499" s="109"/>
      <c r="I499" s="109"/>
      <c r="J499" s="109"/>
      <c r="K499" s="109"/>
      <c r="L499" s="109"/>
      <c r="M499" s="109" t="s">
        <v>1258</v>
      </c>
      <c r="N499" s="109"/>
      <c r="O499" s="109"/>
      <c r="P499" s="109"/>
      <c r="Q499" s="109" t="s">
        <v>1047</v>
      </c>
      <c r="R499" s="117">
        <v>45755</v>
      </c>
      <c r="S499" s="109" t="s">
        <v>102</v>
      </c>
      <c r="T499" s="109" t="s">
        <v>275</v>
      </c>
      <c r="U499" s="109" t="s">
        <v>2110</v>
      </c>
      <c r="V499"/>
    </row>
    <row r="500" spans="1:22" ht="30" x14ac:dyDescent="0.25">
      <c r="A500" s="109"/>
      <c r="B500" s="109" t="s">
        <v>23</v>
      </c>
      <c r="C500" s="109" t="s">
        <v>275</v>
      </c>
      <c r="D500" s="109" t="s">
        <v>87</v>
      </c>
      <c r="E500" s="109" t="s">
        <v>1058</v>
      </c>
      <c r="F500" s="109" t="s">
        <v>114</v>
      </c>
      <c r="G500" s="109" t="s">
        <v>1827</v>
      </c>
      <c r="H500" s="109"/>
      <c r="I500" s="109"/>
      <c r="J500" s="109"/>
      <c r="K500" s="109"/>
      <c r="L500" s="109"/>
      <c r="M500" s="109" t="s">
        <v>1258</v>
      </c>
      <c r="N500" s="109"/>
      <c r="O500" s="109"/>
      <c r="P500" s="109"/>
      <c r="Q500" s="109" t="s">
        <v>1046</v>
      </c>
      <c r="R500" s="117">
        <v>45755</v>
      </c>
      <c r="S500" s="109" t="s">
        <v>228</v>
      </c>
      <c r="T500" s="109" t="s">
        <v>275</v>
      </c>
      <c r="U500" s="109" t="s">
        <v>275</v>
      </c>
      <c r="V500"/>
    </row>
    <row r="501" spans="1:22" x14ac:dyDescent="0.25">
      <c r="A501" s="109"/>
      <c r="B501" s="109" t="s">
        <v>23</v>
      </c>
      <c r="C501" s="109" t="s">
        <v>275</v>
      </c>
      <c r="D501" s="109" t="s">
        <v>87</v>
      </c>
      <c r="E501" s="109" t="s">
        <v>1059</v>
      </c>
      <c r="F501" s="109" t="s">
        <v>96</v>
      </c>
      <c r="G501" s="109" t="s">
        <v>1828</v>
      </c>
      <c r="H501" s="109"/>
      <c r="I501" s="109"/>
      <c r="J501" s="109"/>
      <c r="K501" s="109"/>
      <c r="L501" s="109"/>
      <c r="M501" s="109" t="s">
        <v>1258</v>
      </c>
      <c r="N501" s="109"/>
      <c r="O501" s="109"/>
      <c r="P501" s="109"/>
      <c r="Q501" s="109"/>
      <c r="R501" s="117">
        <v>45756</v>
      </c>
      <c r="S501" s="109"/>
      <c r="T501" s="109" t="s">
        <v>275</v>
      </c>
      <c r="U501" s="109" t="s">
        <v>2111</v>
      </c>
      <c r="V501"/>
    </row>
    <row r="502" spans="1:22" ht="30" x14ac:dyDescent="0.25">
      <c r="A502" s="47"/>
      <c r="B502" s="108" t="s">
        <v>23</v>
      </c>
      <c r="C502" s="47" t="s">
        <v>275</v>
      </c>
      <c r="D502" s="3" t="s">
        <v>87</v>
      </c>
      <c r="E502" s="3" t="s">
        <v>1060</v>
      </c>
      <c r="F502" s="3" t="s">
        <v>3074</v>
      </c>
      <c r="G502" s="3" t="s">
        <v>1829</v>
      </c>
      <c r="H502" s="3"/>
      <c r="I502" s="3"/>
      <c r="J502" s="3"/>
      <c r="K502" s="3"/>
      <c r="L502" s="3"/>
      <c r="M502" s="36" t="s">
        <v>1258</v>
      </c>
      <c r="N502" s="36"/>
      <c r="O502" s="36"/>
      <c r="P502" s="36"/>
      <c r="Q502" s="36" t="s">
        <v>1049</v>
      </c>
      <c r="R502" s="150">
        <v>45718</v>
      </c>
      <c r="S502" s="36" t="s">
        <v>239</v>
      </c>
      <c r="T502" s="47" t="s">
        <v>275</v>
      </c>
      <c r="U502" s="146" t="s">
        <v>275</v>
      </c>
      <c r="V502"/>
    </row>
    <row r="503" spans="1:22" x14ac:dyDescent="0.25">
      <c r="A503" s="109"/>
      <c r="B503" s="109" t="s">
        <v>23</v>
      </c>
      <c r="C503" s="109" t="s">
        <v>275</v>
      </c>
      <c r="D503" s="109" t="s">
        <v>87</v>
      </c>
      <c r="E503" s="109" t="s">
        <v>1061</v>
      </c>
      <c r="F503" s="109" t="s">
        <v>3081</v>
      </c>
      <c r="G503" s="109" t="s">
        <v>1830</v>
      </c>
      <c r="H503" s="109"/>
      <c r="I503" s="109"/>
      <c r="J503" s="109"/>
      <c r="K503" s="109"/>
      <c r="L503" s="109"/>
      <c r="M503" s="110" t="s">
        <v>1258</v>
      </c>
      <c r="N503" s="110"/>
      <c r="O503" s="110"/>
      <c r="P503" s="110"/>
      <c r="Q503" s="110" t="s">
        <v>1038</v>
      </c>
      <c r="R503" s="117"/>
      <c r="S503" s="110"/>
      <c r="T503" s="109" t="s">
        <v>275</v>
      </c>
      <c r="U503" s="138" t="s">
        <v>2112</v>
      </c>
      <c r="V503"/>
    </row>
    <row r="504" spans="1:22" x14ac:dyDescent="0.25">
      <c r="A504" s="109"/>
      <c r="B504" s="109" t="s">
        <v>23</v>
      </c>
      <c r="C504" s="109" t="s">
        <v>275</v>
      </c>
      <c r="D504" s="109" t="s">
        <v>87</v>
      </c>
      <c r="E504" s="109" t="s">
        <v>889</v>
      </c>
      <c r="F504" s="109" t="s">
        <v>96</v>
      </c>
      <c r="G504" s="109" t="s">
        <v>1831</v>
      </c>
      <c r="H504" s="109"/>
      <c r="I504" s="109"/>
      <c r="J504" s="109"/>
      <c r="K504" s="109"/>
      <c r="L504" s="109"/>
      <c r="M504" s="109" t="s">
        <v>1258</v>
      </c>
      <c r="N504" s="109"/>
      <c r="O504" s="109"/>
      <c r="P504" s="109"/>
      <c r="Q504" s="109" t="s">
        <v>1030</v>
      </c>
      <c r="R504" s="117">
        <v>45729</v>
      </c>
      <c r="S504" s="109" t="s">
        <v>211</v>
      </c>
      <c r="T504" s="109" t="s">
        <v>275</v>
      </c>
      <c r="U504" s="109" t="s">
        <v>275</v>
      </c>
      <c r="V504"/>
    </row>
    <row r="505" spans="1:22" ht="45" x14ac:dyDescent="0.25">
      <c r="A505" s="47"/>
      <c r="B505" s="108" t="s">
        <v>23</v>
      </c>
      <c r="C505" s="47" t="s">
        <v>275</v>
      </c>
      <c r="D505" s="3" t="s">
        <v>87</v>
      </c>
      <c r="E505" s="3" t="s">
        <v>916</v>
      </c>
      <c r="F505" s="3" t="s">
        <v>92</v>
      </c>
      <c r="G505" s="3" t="s">
        <v>1832</v>
      </c>
      <c r="H505" s="3"/>
      <c r="I505" s="3"/>
      <c r="J505" s="3"/>
      <c r="K505" s="3"/>
      <c r="L505" s="3"/>
      <c r="M505" s="36" t="s">
        <v>1258</v>
      </c>
      <c r="N505" s="36"/>
      <c r="O505" s="36"/>
      <c r="P505" s="36"/>
      <c r="Q505" s="36"/>
      <c r="R505" s="150"/>
      <c r="S505" s="36"/>
      <c r="T505" s="47" t="s">
        <v>275</v>
      </c>
      <c r="U505" s="146" t="s">
        <v>275</v>
      </c>
      <c r="V505"/>
    </row>
    <row r="506" spans="1:22" x14ac:dyDescent="0.25">
      <c r="A506" s="109"/>
      <c r="B506" s="109" t="s">
        <v>23</v>
      </c>
      <c r="C506" s="109" t="s">
        <v>275</v>
      </c>
      <c r="D506" s="109" t="s">
        <v>87</v>
      </c>
      <c r="E506" s="109" t="s">
        <v>1026</v>
      </c>
      <c r="F506" s="109" t="s">
        <v>96</v>
      </c>
      <c r="G506" s="109" t="s">
        <v>1833</v>
      </c>
      <c r="H506" s="109"/>
      <c r="I506" s="109"/>
      <c r="J506" s="109"/>
      <c r="K506" s="109"/>
      <c r="L506" s="109"/>
      <c r="M506" s="109" t="s">
        <v>1258</v>
      </c>
      <c r="N506" s="109"/>
      <c r="O506" s="109"/>
      <c r="P506" s="109"/>
      <c r="Q506" s="109"/>
      <c r="R506" s="117"/>
      <c r="S506" s="109"/>
      <c r="T506" s="109" t="s">
        <v>275</v>
      </c>
      <c r="U506" s="138" t="s">
        <v>2113</v>
      </c>
      <c r="V506"/>
    </row>
    <row r="507" spans="1:22" ht="30" x14ac:dyDescent="0.25">
      <c r="A507" s="109"/>
      <c r="B507" s="109" t="s">
        <v>23</v>
      </c>
      <c r="C507" s="109" t="s">
        <v>275</v>
      </c>
      <c r="D507" s="109" t="s">
        <v>87</v>
      </c>
      <c r="E507" s="109" t="s">
        <v>967</v>
      </c>
      <c r="F507" s="109" t="s">
        <v>96</v>
      </c>
      <c r="G507" s="109" t="s">
        <v>1834</v>
      </c>
      <c r="H507" s="109"/>
      <c r="I507" s="109"/>
      <c r="J507" s="109"/>
      <c r="K507" s="109"/>
      <c r="L507" s="109"/>
      <c r="M507" s="109" t="s">
        <v>1258</v>
      </c>
      <c r="N507" s="109"/>
      <c r="O507" s="109"/>
      <c r="P507" s="109"/>
      <c r="Q507" s="109" t="s">
        <v>1024</v>
      </c>
      <c r="R507" s="117"/>
      <c r="S507" s="185" t="s">
        <v>3108</v>
      </c>
      <c r="T507" s="109" t="s">
        <v>275</v>
      </c>
      <c r="U507" s="109" t="s">
        <v>275</v>
      </c>
      <c r="V507"/>
    </row>
    <row r="508" spans="1:22" x14ac:dyDescent="0.25">
      <c r="A508" s="47"/>
      <c r="B508" s="108" t="s">
        <v>23</v>
      </c>
      <c r="C508" s="47" t="s">
        <v>275</v>
      </c>
      <c r="D508" s="3" t="s">
        <v>87</v>
      </c>
      <c r="E508" s="3" t="s">
        <v>980</v>
      </c>
      <c r="F508" s="3" t="s">
        <v>3075</v>
      </c>
      <c r="G508" s="3" t="s">
        <v>1835</v>
      </c>
      <c r="H508" s="3"/>
      <c r="I508" s="3"/>
      <c r="J508" s="3"/>
      <c r="K508" s="3"/>
      <c r="L508" s="3"/>
      <c r="M508" s="36" t="s">
        <v>1258</v>
      </c>
      <c r="N508" s="36"/>
      <c r="O508" s="36"/>
      <c r="P508" s="36"/>
      <c r="Q508" s="36"/>
      <c r="R508" s="150"/>
      <c r="S508" s="36"/>
      <c r="T508" s="47" t="s">
        <v>275</v>
      </c>
      <c r="U508" s="146" t="s">
        <v>275</v>
      </c>
      <c r="V508"/>
    </row>
    <row r="509" spans="1:22" ht="30" x14ac:dyDescent="0.25">
      <c r="A509" s="47"/>
      <c r="B509" s="108" t="s">
        <v>23</v>
      </c>
      <c r="C509" s="47" t="s">
        <v>275</v>
      </c>
      <c r="D509" s="3" t="s">
        <v>87</v>
      </c>
      <c r="E509" s="3" t="s">
        <v>945</v>
      </c>
      <c r="F509" s="3" t="s">
        <v>3076</v>
      </c>
      <c r="G509" s="3" t="s">
        <v>1836</v>
      </c>
      <c r="H509" s="3"/>
      <c r="I509" s="3"/>
      <c r="J509" s="3"/>
      <c r="K509" s="3"/>
      <c r="L509" s="3"/>
      <c r="M509" s="36" t="s">
        <v>1258</v>
      </c>
      <c r="N509" s="36"/>
      <c r="O509" s="36"/>
      <c r="P509" s="36"/>
      <c r="Q509" s="36"/>
      <c r="R509" s="150"/>
      <c r="S509" s="36"/>
      <c r="T509" s="47" t="s">
        <v>275</v>
      </c>
      <c r="U509" s="146" t="s">
        <v>2114</v>
      </c>
      <c r="V509"/>
    </row>
    <row r="510" spans="1:22" x14ac:dyDescent="0.25">
      <c r="A510" s="47"/>
      <c r="B510" s="108" t="s">
        <v>23</v>
      </c>
      <c r="C510" s="47" t="s">
        <v>275</v>
      </c>
      <c r="D510" s="3" t="s">
        <v>87</v>
      </c>
      <c r="E510" s="3" t="s">
        <v>946</v>
      </c>
      <c r="F510" s="3" t="s">
        <v>88</v>
      </c>
      <c r="G510" s="3" t="s">
        <v>1837</v>
      </c>
      <c r="H510" s="3"/>
      <c r="I510" s="3"/>
      <c r="J510" s="3"/>
      <c r="K510" s="3"/>
      <c r="L510" s="3"/>
      <c r="M510" s="36" t="s">
        <v>1258</v>
      </c>
      <c r="N510" s="36"/>
      <c r="O510" s="36"/>
      <c r="P510" s="36"/>
      <c r="Q510" s="36" t="s">
        <v>199</v>
      </c>
      <c r="R510" s="150"/>
      <c r="S510" s="36"/>
      <c r="T510" s="47" t="s">
        <v>275</v>
      </c>
      <c r="U510" s="146" t="s">
        <v>2115</v>
      </c>
      <c r="V510"/>
    </row>
    <row r="511" spans="1:22" ht="15" customHeight="1" x14ac:dyDescent="0.25">
      <c r="A511" s="47"/>
      <c r="B511" s="108" t="s">
        <v>23</v>
      </c>
      <c r="C511" s="47" t="s">
        <v>275</v>
      </c>
      <c r="D511" s="3" t="s">
        <v>87</v>
      </c>
      <c r="E511" s="3" t="s">
        <v>944</v>
      </c>
      <c r="F511" s="3" t="s">
        <v>88</v>
      </c>
      <c r="G511" s="3" t="s">
        <v>1838</v>
      </c>
      <c r="H511" s="3"/>
      <c r="I511" s="3"/>
      <c r="J511" s="3"/>
      <c r="K511" s="3"/>
      <c r="L511" s="3"/>
      <c r="M511" s="36" t="s">
        <v>1258</v>
      </c>
      <c r="N511" s="36"/>
      <c r="O511" s="36"/>
      <c r="P511" s="36"/>
      <c r="Q511" s="36"/>
      <c r="R511" s="150"/>
      <c r="S511" s="36"/>
      <c r="T511" s="47" t="s">
        <v>275</v>
      </c>
      <c r="U511" s="146" t="s">
        <v>275</v>
      </c>
      <c r="V511"/>
    </row>
    <row r="512" spans="1:22" x14ac:dyDescent="0.25">
      <c r="A512" s="47"/>
      <c r="B512" s="108" t="s">
        <v>23</v>
      </c>
      <c r="C512" s="47" t="s">
        <v>275</v>
      </c>
      <c r="D512" s="3" t="s">
        <v>87</v>
      </c>
      <c r="E512" s="3" t="s">
        <v>898</v>
      </c>
      <c r="F512" s="3" t="s">
        <v>96</v>
      </c>
      <c r="G512" s="3" t="s">
        <v>1839</v>
      </c>
      <c r="H512" s="3"/>
      <c r="I512" s="3"/>
      <c r="J512" s="3"/>
      <c r="K512" s="3"/>
      <c r="L512" s="3"/>
      <c r="M512" s="36" t="s">
        <v>1258</v>
      </c>
      <c r="N512" s="36"/>
      <c r="O512" s="36"/>
      <c r="P512" s="36"/>
      <c r="Q512" s="36" t="s">
        <v>904</v>
      </c>
      <c r="R512" s="150">
        <v>45727</v>
      </c>
      <c r="S512" s="36" t="s">
        <v>203</v>
      </c>
      <c r="T512" s="47" t="s">
        <v>275</v>
      </c>
      <c r="U512" s="146" t="s">
        <v>275</v>
      </c>
      <c r="V512"/>
    </row>
    <row r="513" spans="1:22" x14ac:dyDescent="0.25">
      <c r="A513" s="47"/>
      <c r="B513" s="108" t="s">
        <v>23</v>
      </c>
      <c r="C513" s="47" t="s">
        <v>275</v>
      </c>
      <c r="D513" s="3" t="s">
        <v>87</v>
      </c>
      <c r="E513" s="3" t="s">
        <v>890</v>
      </c>
      <c r="F513" s="3" t="s">
        <v>96</v>
      </c>
      <c r="G513" s="3" t="s">
        <v>1840</v>
      </c>
      <c r="H513" s="3"/>
      <c r="I513" s="3"/>
      <c r="J513" s="3"/>
      <c r="K513" s="3"/>
      <c r="L513" s="3"/>
      <c r="M513" s="36" t="s">
        <v>1258</v>
      </c>
      <c r="N513" s="36"/>
      <c r="O513" s="36"/>
      <c r="P513" s="36"/>
      <c r="Q513" s="36"/>
      <c r="R513" s="150">
        <v>45728</v>
      </c>
      <c r="S513" s="36" t="s">
        <v>206</v>
      </c>
      <c r="T513" s="47" t="s">
        <v>275</v>
      </c>
      <c r="U513" s="146" t="s">
        <v>275</v>
      </c>
      <c r="V513"/>
    </row>
    <row r="514" spans="1:22" x14ac:dyDescent="0.25">
      <c r="A514" s="47"/>
      <c r="B514" s="108" t="s">
        <v>23</v>
      </c>
      <c r="C514" s="47" t="s">
        <v>275</v>
      </c>
      <c r="D514" s="3" t="s">
        <v>87</v>
      </c>
      <c r="E514" s="3" t="s">
        <v>888</v>
      </c>
      <c r="F514" s="3" t="s">
        <v>96</v>
      </c>
      <c r="G514" s="3" t="s">
        <v>1841</v>
      </c>
      <c r="H514" s="3"/>
      <c r="I514" s="3"/>
      <c r="J514" s="3"/>
      <c r="K514" s="3"/>
      <c r="L514" s="3"/>
      <c r="M514" s="36" t="s">
        <v>1258</v>
      </c>
      <c r="N514" s="36"/>
      <c r="O514" s="36"/>
      <c r="P514" s="36"/>
      <c r="Q514" s="36"/>
      <c r="R514" s="150">
        <v>45727</v>
      </c>
      <c r="S514" s="36" t="s">
        <v>211</v>
      </c>
      <c r="T514" s="47" t="s">
        <v>275</v>
      </c>
      <c r="U514" s="146" t="s">
        <v>275</v>
      </c>
      <c r="V514"/>
    </row>
    <row r="515" spans="1:22" x14ac:dyDescent="0.25">
      <c r="A515" s="47"/>
      <c r="B515" s="108" t="s">
        <v>23</v>
      </c>
      <c r="C515" s="47" t="s">
        <v>275</v>
      </c>
      <c r="D515" s="3" t="s">
        <v>87</v>
      </c>
      <c r="E515" s="3" t="s">
        <v>879</v>
      </c>
      <c r="F515" s="3" t="s">
        <v>3078</v>
      </c>
      <c r="G515" s="3" t="s">
        <v>1842</v>
      </c>
      <c r="H515" s="3"/>
      <c r="I515" s="3"/>
      <c r="J515" s="3"/>
      <c r="K515" s="3"/>
      <c r="L515" s="3"/>
      <c r="M515" s="36" t="s">
        <v>1258</v>
      </c>
      <c r="N515" s="36"/>
      <c r="O515" s="36"/>
      <c r="P515" s="36"/>
      <c r="Q515" s="36"/>
      <c r="R515" s="150"/>
      <c r="S515" s="36"/>
      <c r="T515" s="47" t="s">
        <v>275</v>
      </c>
      <c r="U515" s="146" t="s">
        <v>275</v>
      </c>
      <c r="V515"/>
    </row>
    <row r="516" spans="1:22" x14ac:dyDescent="0.25">
      <c r="A516" s="47"/>
      <c r="B516" s="108" t="s">
        <v>23</v>
      </c>
      <c r="C516" s="47" t="s">
        <v>275</v>
      </c>
      <c r="D516" s="3" t="s">
        <v>87</v>
      </c>
      <c r="E516" s="3" t="s">
        <v>880</v>
      </c>
      <c r="F516" s="3" t="s">
        <v>114</v>
      </c>
      <c r="G516" s="3" t="s">
        <v>1843</v>
      </c>
      <c r="H516" s="3"/>
      <c r="I516" s="3"/>
      <c r="J516" s="3"/>
      <c r="K516" s="3"/>
      <c r="L516" s="3"/>
      <c r="M516" s="36" t="s">
        <v>1258</v>
      </c>
      <c r="N516" s="36"/>
      <c r="O516" s="36"/>
      <c r="P516" s="36"/>
      <c r="Q516" s="36"/>
      <c r="R516" s="150"/>
      <c r="S516" s="36"/>
      <c r="T516" s="47" t="s">
        <v>275</v>
      </c>
      <c r="U516" s="146" t="s">
        <v>275</v>
      </c>
      <c r="V516"/>
    </row>
    <row r="517" spans="1:22" ht="30" x14ac:dyDescent="0.25">
      <c r="A517" s="109"/>
      <c r="B517" s="109" t="s">
        <v>23</v>
      </c>
      <c r="C517" s="109" t="s">
        <v>275</v>
      </c>
      <c r="D517" s="109" t="s">
        <v>87</v>
      </c>
      <c r="E517" s="109" t="s">
        <v>883</v>
      </c>
      <c r="F517" s="109" t="s">
        <v>96</v>
      </c>
      <c r="G517" s="109" t="s">
        <v>1844</v>
      </c>
      <c r="H517" s="109"/>
      <c r="I517" s="109"/>
      <c r="J517" s="109"/>
      <c r="K517" s="109"/>
      <c r="L517" s="109"/>
      <c r="M517" s="109" t="s">
        <v>1258</v>
      </c>
      <c r="N517" s="109"/>
      <c r="O517" s="109"/>
      <c r="P517" s="109"/>
      <c r="Q517" s="109" t="s">
        <v>884</v>
      </c>
      <c r="R517" s="117">
        <v>45726</v>
      </c>
      <c r="S517" s="109" t="s">
        <v>825</v>
      </c>
      <c r="T517" s="109" t="s">
        <v>275</v>
      </c>
      <c r="U517" s="109" t="s">
        <v>275</v>
      </c>
      <c r="V517"/>
    </row>
    <row r="518" spans="1:22" ht="30" x14ac:dyDescent="0.25">
      <c r="A518" s="109"/>
      <c r="B518" s="109" t="s">
        <v>23</v>
      </c>
      <c r="C518" s="109" t="s">
        <v>275</v>
      </c>
      <c r="D518" s="109" t="s">
        <v>87</v>
      </c>
      <c r="E518" s="109" t="s">
        <v>512</v>
      </c>
      <c r="F518" s="109" t="s">
        <v>112</v>
      </c>
      <c r="G518" s="109" t="s">
        <v>1845</v>
      </c>
      <c r="H518" s="109"/>
      <c r="I518" s="109"/>
      <c r="J518" s="109"/>
      <c r="K518" s="109"/>
      <c r="L518" s="109"/>
      <c r="M518" s="109" t="s">
        <v>1258</v>
      </c>
      <c r="N518" s="109"/>
      <c r="O518" s="109"/>
      <c r="P518" s="109"/>
      <c r="Q518" s="109" t="s">
        <v>840</v>
      </c>
      <c r="R518" s="117">
        <v>45720</v>
      </c>
      <c r="S518" s="109" t="s">
        <v>616</v>
      </c>
      <c r="T518" s="109" t="s">
        <v>275</v>
      </c>
      <c r="U518" s="109" t="s">
        <v>275</v>
      </c>
      <c r="V518"/>
    </row>
    <row r="519" spans="1:22" ht="30" x14ac:dyDescent="0.25">
      <c r="A519" s="47"/>
      <c r="B519" s="108" t="s">
        <v>23</v>
      </c>
      <c r="C519" s="47" t="s">
        <v>275</v>
      </c>
      <c r="D519" s="3" t="s">
        <v>87</v>
      </c>
      <c r="E519" s="3" t="s">
        <v>824</v>
      </c>
      <c r="F519" s="3" t="s">
        <v>88</v>
      </c>
      <c r="G519" s="3" t="s">
        <v>1846</v>
      </c>
      <c r="H519" s="3"/>
      <c r="I519" s="3"/>
      <c r="J519" s="3"/>
      <c r="K519" s="3"/>
      <c r="L519" s="3"/>
      <c r="M519" s="36" t="s">
        <v>1258</v>
      </c>
      <c r="N519" s="36"/>
      <c r="O519" s="36"/>
      <c r="P519" s="36"/>
      <c r="Q519" s="36" t="s">
        <v>841</v>
      </c>
      <c r="R519" s="150">
        <v>45720</v>
      </c>
      <c r="S519" s="36" t="s">
        <v>825</v>
      </c>
      <c r="T519" s="47" t="s">
        <v>275</v>
      </c>
      <c r="U519" s="146" t="s">
        <v>275</v>
      </c>
      <c r="V519"/>
    </row>
    <row r="520" spans="1:22" ht="30" x14ac:dyDescent="0.25">
      <c r="A520" s="47"/>
      <c r="B520" s="108" t="s">
        <v>23</v>
      </c>
      <c r="C520" s="47" t="s">
        <v>275</v>
      </c>
      <c r="D520" s="3" t="s">
        <v>87</v>
      </c>
      <c r="E520" s="3" t="s">
        <v>817</v>
      </c>
      <c r="F520" s="3" t="s">
        <v>96</v>
      </c>
      <c r="G520" s="3" t="s">
        <v>1847</v>
      </c>
      <c r="H520" s="3"/>
      <c r="I520" s="3"/>
      <c r="J520" s="3"/>
      <c r="K520" s="3"/>
      <c r="L520" s="3"/>
      <c r="M520" s="36" t="s">
        <v>1258</v>
      </c>
      <c r="N520" s="36"/>
      <c r="O520" s="36"/>
      <c r="P520" s="36"/>
      <c r="Q520" s="36" t="s">
        <v>816</v>
      </c>
      <c r="R520" s="150">
        <v>45719</v>
      </c>
      <c r="S520" s="36" t="s">
        <v>713</v>
      </c>
      <c r="T520" s="47" t="s">
        <v>275</v>
      </c>
      <c r="U520" s="146" t="s">
        <v>275</v>
      </c>
      <c r="V520"/>
    </row>
    <row r="521" spans="1:22" ht="30" x14ac:dyDescent="0.25">
      <c r="A521" s="109"/>
      <c r="B521" s="109" t="s">
        <v>23</v>
      </c>
      <c r="C521" s="109" t="s">
        <v>275</v>
      </c>
      <c r="D521" s="109" t="s">
        <v>87</v>
      </c>
      <c r="E521" s="109" t="s">
        <v>808</v>
      </c>
      <c r="F521" s="109" t="s">
        <v>96</v>
      </c>
      <c r="G521" s="109" t="s">
        <v>1848</v>
      </c>
      <c r="H521" s="109"/>
      <c r="I521" s="109"/>
      <c r="J521" s="109"/>
      <c r="K521" s="109"/>
      <c r="L521" s="109"/>
      <c r="M521" s="109" t="s">
        <v>1258</v>
      </c>
      <c r="N521" s="109"/>
      <c r="O521" s="109"/>
      <c r="P521" s="109"/>
      <c r="Q521" s="109" t="s">
        <v>813</v>
      </c>
      <c r="R521" s="117">
        <v>45716</v>
      </c>
      <c r="S521" s="109" t="s">
        <v>50</v>
      </c>
      <c r="T521" s="109" t="s">
        <v>275</v>
      </c>
      <c r="U521" s="109" t="s">
        <v>275</v>
      </c>
      <c r="V521"/>
    </row>
    <row r="522" spans="1:22" ht="60" x14ac:dyDescent="0.25">
      <c r="A522" s="47"/>
      <c r="B522" s="108" t="s">
        <v>23</v>
      </c>
      <c r="C522" s="47" t="s">
        <v>275</v>
      </c>
      <c r="D522" s="3" t="s">
        <v>87</v>
      </c>
      <c r="E522" s="3" t="s">
        <v>756</v>
      </c>
      <c r="F522" s="3" t="s">
        <v>3074</v>
      </c>
      <c r="G522" s="3" t="s">
        <v>1849</v>
      </c>
      <c r="H522" s="3"/>
      <c r="I522" s="3"/>
      <c r="J522" s="3"/>
      <c r="K522" s="3"/>
      <c r="L522" s="3"/>
      <c r="M522" s="36" t="s">
        <v>1258</v>
      </c>
      <c r="N522" s="36"/>
      <c r="O522" s="36"/>
      <c r="P522" s="36"/>
      <c r="Q522" s="36" t="s">
        <v>823</v>
      </c>
      <c r="R522" s="150">
        <v>45719</v>
      </c>
      <c r="S522" s="36" t="s">
        <v>635</v>
      </c>
      <c r="T522" s="47" t="s">
        <v>275</v>
      </c>
      <c r="U522" s="146" t="s">
        <v>2116</v>
      </c>
      <c r="V522"/>
    </row>
    <row r="523" spans="1:22" ht="30" x14ac:dyDescent="0.25">
      <c r="A523" s="47"/>
      <c r="B523" s="108" t="s">
        <v>23</v>
      </c>
      <c r="C523" s="47" t="s">
        <v>275</v>
      </c>
      <c r="D523" s="3" t="s">
        <v>87</v>
      </c>
      <c r="E523" s="3" t="s">
        <v>675</v>
      </c>
      <c r="F523" s="3" t="s">
        <v>96</v>
      </c>
      <c r="G523" s="3" t="s">
        <v>1850</v>
      </c>
      <c r="H523" s="3"/>
      <c r="I523" s="3"/>
      <c r="J523" s="3"/>
      <c r="K523" s="3"/>
      <c r="L523" s="3"/>
      <c r="M523" s="36" t="s">
        <v>1258</v>
      </c>
      <c r="N523" s="36"/>
      <c r="O523" s="36"/>
      <c r="P523" s="36"/>
      <c r="Q523" s="36" t="s">
        <v>707</v>
      </c>
      <c r="R523" s="150">
        <v>45701</v>
      </c>
      <c r="S523" s="36" t="s">
        <v>211</v>
      </c>
      <c r="T523" s="47" t="s">
        <v>275</v>
      </c>
      <c r="U523" s="146" t="s">
        <v>275</v>
      </c>
      <c r="V523"/>
    </row>
    <row r="524" spans="1:22" ht="30" x14ac:dyDescent="0.25">
      <c r="A524" s="47"/>
      <c r="B524" s="108" t="s">
        <v>23</v>
      </c>
      <c r="C524" s="47" t="s">
        <v>275</v>
      </c>
      <c r="D524" s="3" t="s">
        <v>87</v>
      </c>
      <c r="E524" s="3" t="s">
        <v>210</v>
      </c>
      <c r="F524" s="3" t="s">
        <v>3081</v>
      </c>
      <c r="G524" s="3" t="s">
        <v>1851</v>
      </c>
      <c r="H524" s="3"/>
      <c r="I524" s="3"/>
      <c r="J524" s="3"/>
      <c r="K524" s="3"/>
      <c r="L524" s="3"/>
      <c r="M524" s="36" t="s">
        <v>1258</v>
      </c>
      <c r="N524" s="36" t="s">
        <v>23</v>
      </c>
      <c r="O524" s="36"/>
      <c r="P524" s="36"/>
      <c r="Q524" s="36" t="s">
        <v>444</v>
      </c>
      <c r="R524" s="150">
        <v>45635</v>
      </c>
      <c r="S524" s="36"/>
      <c r="T524" s="47" t="s">
        <v>275</v>
      </c>
      <c r="U524" s="146" t="s">
        <v>275</v>
      </c>
      <c r="V524"/>
    </row>
    <row r="525" spans="1:22" ht="30" x14ac:dyDescent="0.25">
      <c r="A525" s="47"/>
      <c r="B525" s="108" t="s">
        <v>23</v>
      </c>
      <c r="C525" s="47" t="s">
        <v>275</v>
      </c>
      <c r="D525" s="3" t="s">
        <v>87</v>
      </c>
      <c r="E525" s="3" t="s">
        <v>797</v>
      </c>
      <c r="F525" s="3" t="s">
        <v>3076</v>
      </c>
      <c r="G525" s="3" t="s">
        <v>1852</v>
      </c>
      <c r="H525" s="3"/>
      <c r="I525" s="3"/>
      <c r="J525" s="3"/>
      <c r="K525" s="3"/>
      <c r="L525" s="3"/>
      <c r="M525" s="36" t="s">
        <v>1258</v>
      </c>
      <c r="N525" s="36"/>
      <c r="O525" s="36"/>
      <c r="P525" s="36"/>
      <c r="Q525" s="36" t="s">
        <v>792</v>
      </c>
      <c r="R525" s="150">
        <v>45714</v>
      </c>
      <c r="S525" s="36" t="s">
        <v>793</v>
      </c>
      <c r="T525" s="47" t="s">
        <v>275</v>
      </c>
      <c r="U525" s="146" t="s">
        <v>275</v>
      </c>
      <c r="V525"/>
    </row>
    <row r="526" spans="1:22" ht="45" x14ac:dyDescent="0.25">
      <c r="A526" s="109"/>
      <c r="B526" s="109" t="s">
        <v>23</v>
      </c>
      <c r="C526" s="109" t="s">
        <v>275</v>
      </c>
      <c r="D526" s="109" t="s">
        <v>87</v>
      </c>
      <c r="E526" s="109" t="s">
        <v>670</v>
      </c>
      <c r="F526" s="109" t="s">
        <v>114</v>
      </c>
      <c r="G526" s="109" t="s">
        <v>1853</v>
      </c>
      <c r="H526" s="109"/>
      <c r="I526" s="109"/>
      <c r="J526" s="109"/>
      <c r="K526" s="109"/>
      <c r="L526" s="109"/>
      <c r="M526" s="109" t="s">
        <v>1258</v>
      </c>
      <c r="N526" s="109"/>
      <c r="O526" s="109"/>
      <c r="P526" s="109"/>
      <c r="Q526" s="109" t="s">
        <v>708</v>
      </c>
      <c r="R526" s="117">
        <v>45700</v>
      </c>
      <c r="S526" s="109" t="s">
        <v>673</v>
      </c>
      <c r="T526" s="109" t="s">
        <v>275</v>
      </c>
      <c r="U526" s="109" t="s">
        <v>275</v>
      </c>
      <c r="V526"/>
    </row>
    <row r="527" spans="1:22" x14ac:dyDescent="0.25">
      <c r="A527" s="109"/>
      <c r="B527" s="109" t="s">
        <v>23</v>
      </c>
      <c r="C527" s="109" t="s">
        <v>275</v>
      </c>
      <c r="D527" s="109" t="s">
        <v>87</v>
      </c>
      <c r="E527" s="109" t="s">
        <v>701</v>
      </c>
      <c r="F527" s="109" t="s">
        <v>114</v>
      </c>
      <c r="G527" s="109" t="s">
        <v>1854</v>
      </c>
      <c r="H527" s="109"/>
      <c r="I527" s="109"/>
      <c r="J527" s="109"/>
      <c r="K527" s="109"/>
      <c r="L527" s="109"/>
      <c r="M527" s="109" t="s">
        <v>1258</v>
      </c>
      <c r="N527" s="109"/>
      <c r="O527" s="109"/>
      <c r="P527" s="109"/>
      <c r="Q527" s="109" t="s">
        <v>699</v>
      </c>
      <c r="R527" s="117"/>
      <c r="S527" s="109"/>
      <c r="T527" s="109" t="s">
        <v>275</v>
      </c>
      <c r="U527" s="109" t="s">
        <v>275</v>
      </c>
      <c r="V527"/>
    </row>
    <row r="528" spans="1:22" x14ac:dyDescent="0.25">
      <c r="A528" s="47"/>
      <c r="B528" s="108" t="s">
        <v>23</v>
      </c>
      <c r="C528" s="47" t="s">
        <v>275</v>
      </c>
      <c r="D528" s="3" t="s">
        <v>87</v>
      </c>
      <c r="E528" s="3" t="s">
        <v>669</v>
      </c>
      <c r="F528" s="3" t="s">
        <v>3076</v>
      </c>
      <c r="G528" s="3" t="s">
        <v>1855</v>
      </c>
      <c r="H528" s="3"/>
      <c r="I528" s="3"/>
      <c r="J528" s="3"/>
      <c r="K528" s="3"/>
      <c r="L528" s="3"/>
      <c r="M528" s="36" t="s">
        <v>1258</v>
      </c>
      <c r="N528" s="36"/>
      <c r="O528" s="36"/>
      <c r="P528" s="36"/>
      <c r="Q528" s="36"/>
      <c r="R528" s="150"/>
      <c r="S528" s="36"/>
      <c r="T528" s="47" t="s">
        <v>275</v>
      </c>
      <c r="U528" s="146" t="s">
        <v>2117</v>
      </c>
      <c r="V528"/>
    </row>
    <row r="529" spans="1:22" x14ac:dyDescent="0.25">
      <c r="A529" s="47"/>
      <c r="B529" s="108" t="s">
        <v>23</v>
      </c>
      <c r="C529" s="47" t="s">
        <v>275</v>
      </c>
      <c r="D529" s="3" t="s">
        <v>87</v>
      </c>
      <c r="E529" s="3" t="s">
        <v>688</v>
      </c>
      <c r="F529" s="3" t="s">
        <v>96</v>
      </c>
      <c r="G529" s="3" t="s">
        <v>1856</v>
      </c>
      <c r="H529" s="3"/>
      <c r="I529" s="3"/>
      <c r="J529" s="3"/>
      <c r="K529" s="3"/>
      <c r="L529" s="3"/>
      <c r="M529" s="36" t="s">
        <v>1258</v>
      </c>
      <c r="N529" s="36"/>
      <c r="O529" s="36"/>
      <c r="P529" s="36"/>
      <c r="Q529" s="36" t="s">
        <v>702</v>
      </c>
      <c r="R529" s="150">
        <v>45701</v>
      </c>
      <c r="S529" s="36" t="s">
        <v>211</v>
      </c>
      <c r="T529" s="47" t="s">
        <v>275</v>
      </c>
      <c r="U529" s="146" t="s">
        <v>275</v>
      </c>
      <c r="V529"/>
    </row>
    <row r="530" spans="1:22" ht="30" x14ac:dyDescent="0.25">
      <c r="A530" s="109"/>
      <c r="B530" s="109" t="s">
        <v>23</v>
      </c>
      <c r="C530" s="109" t="s">
        <v>275</v>
      </c>
      <c r="D530" s="109" t="s">
        <v>87</v>
      </c>
      <c r="E530" s="109" t="s">
        <v>369</v>
      </c>
      <c r="F530" s="109" t="s">
        <v>3078</v>
      </c>
      <c r="G530" s="109" t="s">
        <v>1857</v>
      </c>
      <c r="H530" s="109"/>
      <c r="I530" s="109"/>
      <c r="J530" s="109"/>
      <c r="K530" s="109"/>
      <c r="L530" s="109"/>
      <c r="M530" s="109" t="s">
        <v>1258</v>
      </c>
      <c r="N530" s="109"/>
      <c r="O530" s="109"/>
      <c r="P530" s="109"/>
      <c r="Q530" s="109" t="s">
        <v>217</v>
      </c>
      <c r="R530" s="117">
        <v>45637</v>
      </c>
      <c r="S530" s="109" t="s">
        <v>215</v>
      </c>
      <c r="T530" s="109" t="s">
        <v>275</v>
      </c>
      <c r="U530" s="109" t="s">
        <v>2118</v>
      </c>
      <c r="V530"/>
    </row>
    <row r="531" spans="1:22" ht="30" x14ac:dyDescent="0.25">
      <c r="A531" s="109"/>
      <c r="B531" s="109" t="s">
        <v>23</v>
      </c>
      <c r="C531" s="109" t="s">
        <v>275</v>
      </c>
      <c r="D531" s="109" t="s">
        <v>87</v>
      </c>
      <c r="E531" s="109" t="s">
        <v>370</v>
      </c>
      <c r="F531" s="109" t="s">
        <v>3078</v>
      </c>
      <c r="G531" s="109" t="s">
        <v>1858</v>
      </c>
      <c r="H531" s="109"/>
      <c r="I531" s="109"/>
      <c r="J531" s="109"/>
      <c r="K531" s="109"/>
      <c r="L531" s="109"/>
      <c r="M531" s="109" t="s">
        <v>1258</v>
      </c>
      <c r="N531" s="109"/>
      <c r="O531" s="109"/>
      <c r="P531" s="109"/>
      <c r="Q531" s="109" t="s">
        <v>216</v>
      </c>
      <c r="R531" s="117">
        <v>45637</v>
      </c>
      <c r="S531" s="109" t="s">
        <v>215</v>
      </c>
      <c r="T531" s="109" t="s">
        <v>275</v>
      </c>
      <c r="U531" s="109" t="s">
        <v>2118</v>
      </c>
      <c r="V531"/>
    </row>
    <row r="532" spans="1:22" x14ac:dyDescent="0.25">
      <c r="A532" s="109"/>
      <c r="B532" s="109" t="s">
        <v>23</v>
      </c>
      <c r="C532" s="109" t="s">
        <v>275</v>
      </c>
      <c r="D532" s="109" t="s">
        <v>87</v>
      </c>
      <c r="E532" s="109" t="s">
        <v>331</v>
      </c>
      <c r="F532" s="109" t="s">
        <v>112</v>
      </c>
      <c r="G532" s="109" t="s">
        <v>1859</v>
      </c>
      <c r="H532" s="109"/>
      <c r="I532" s="109"/>
      <c r="J532" s="109"/>
      <c r="K532" s="109"/>
      <c r="L532" s="109"/>
      <c r="M532" s="109" t="s">
        <v>1258</v>
      </c>
      <c r="N532" s="109"/>
      <c r="O532" s="109"/>
      <c r="P532" s="109"/>
      <c r="Q532" s="109" t="s">
        <v>527</v>
      </c>
      <c r="R532" s="117">
        <v>45681</v>
      </c>
      <c r="S532" s="109" t="s">
        <v>211</v>
      </c>
      <c r="T532" s="109" t="s">
        <v>275</v>
      </c>
      <c r="U532" s="138" t="s">
        <v>275</v>
      </c>
      <c r="V532"/>
    </row>
    <row r="533" spans="1:22" ht="30" x14ac:dyDescent="0.25">
      <c r="A533" s="47"/>
      <c r="B533" s="108" t="s">
        <v>23</v>
      </c>
      <c r="C533" s="47" t="s">
        <v>275</v>
      </c>
      <c r="D533" s="3" t="s">
        <v>87</v>
      </c>
      <c r="E533" s="3" t="s">
        <v>107</v>
      </c>
      <c r="F533" s="3" t="s">
        <v>3079</v>
      </c>
      <c r="G533" s="3" t="s">
        <v>1860</v>
      </c>
      <c r="H533" s="3"/>
      <c r="I533" s="3"/>
      <c r="J533" s="3"/>
      <c r="K533" s="3"/>
      <c r="L533" s="3"/>
      <c r="M533" s="36" t="s">
        <v>1258</v>
      </c>
      <c r="N533" s="36"/>
      <c r="O533" s="36"/>
      <c r="P533" s="36"/>
      <c r="Q533" s="36" t="s">
        <v>175</v>
      </c>
      <c r="R533" s="150">
        <v>45590</v>
      </c>
      <c r="S533" s="36" t="s">
        <v>102</v>
      </c>
      <c r="T533" s="47" t="s">
        <v>275</v>
      </c>
      <c r="U533" s="146" t="s">
        <v>275</v>
      </c>
      <c r="V533"/>
    </row>
    <row r="534" spans="1:22" ht="30" x14ac:dyDescent="0.25">
      <c r="A534" s="47"/>
      <c r="B534" s="108" t="s">
        <v>23</v>
      </c>
      <c r="C534" s="47" t="s">
        <v>275</v>
      </c>
      <c r="D534" s="3" t="s">
        <v>87</v>
      </c>
      <c r="E534" s="3" t="s">
        <v>108</v>
      </c>
      <c r="F534" s="3" t="s">
        <v>3079</v>
      </c>
      <c r="G534" s="3" t="s">
        <v>1861</v>
      </c>
      <c r="H534" s="3"/>
      <c r="I534" s="3"/>
      <c r="J534" s="3"/>
      <c r="K534" s="3"/>
      <c r="L534" s="3"/>
      <c r="M534" s="36" t="s">
        <v>1258</v>
      </c>
      <c r="N534" s="36"/>
      <c r="O534" s="36"/>
      <c r="P534" s="36"/>
      <c r="Q534" s="36" t="s">
        <v>175</v>
      </c>
      <c r="R534" s="150">
        <v>45590</v>
      </c>
      <c r="S534" s="36" t="s">
        <v>102</v>
      </c>
      <c r="T534" s="47" t="s">
        <v>275</v>
      </c>
      <c r="U534" s="146" t="s">
        <v>275</v>
      </c>
      <c r="V534"/>
    </row>
    <row r="535" spans="1:22" ht="45" x14ac:dyDescent="0.25">
      <c r="A535" s="47"/>
      <c r="B535" s="108" t="s">
        <v>23</v>
      </c>
      <c r="C535" s="47" t="s">
        <v>275</v>
      </c>
      <c r="D535" s="3" t="s">
        <v>87</v>
      </c>
      <c r="E535" s="3" t="s">
        <v>638</v>
      </c>
      <c r="F535" s="3" t="s">
        <v>114</v>
      </c>
      <c r="G535" s="3" t="s">
        <v>1862</v>
      </c>
      <c r="H535" s="3"/>
      <c r="I535" s="3"/>
      <c r="J535" s="3"/>
      <c r="K535" s="3"/>
      <c r="L535" s="3"/>
      <c r="M535" s="36" t="s">
        <v>1258</v>
      </c>
      <c r="N535" s="36"/>
      <c r="O535" s="36"/>
      <c r="P535" s="36"/>
      <c r="Q535" s="36" t="s">
        <v>1262</v>
      </c>
      <c r="R535" s="150">
        <v>45694</v>
      </c>
      <c r="S535" s="36" t="s">
        <v>50</v>
      </c>
      <c r="T535" s="47" t="s">
        <v>275</v>
      </c>
      <c r="U535" s="146" t="s">
        <v>275</v>
      </c>
      <c r="V535"/>
    </row>
    <row r="536" spans="1:22" ht="30" x14ac:dyDescent="0.25">
      <c r="A536" s="47"/>
      <c r="B536" s="108" t="s">
        <v>23</v>
      </c>
      <c r="C536" s="47" t="s">
        <v>275</v>
      </c>
      <c r="D536" s="3" t="s">
        <v>87</v>
      </c>
      <c r="E536" s="3" t="s">
        <v>668</v>
      </c>
      <c r="F536" s="3" t="s">
        <v>3079</v>
      </c>
      <c r="G536" s="3" t="s">
        <v>1863</v>
      </c>
      <c r="H536" s="3"/>
      <c r="I536" s="3"/>
      <c r="J536" s="3"/>
      <c r="K536" s="3"/>
      <c r="L536" s="3"/>
      <c r="M536" s="36" t="s">
        <v>1258</v>
      </c>
      <c r="N536" s="36"/>
      <c r="O536" s="36"/>
      <c r="P536" s="36"/>
      <c r="Q536" s="36" t="s">
        <v>681</v>
      </c>
      <c r="R536" s="150">
        <v>45700</v>
      </c>
      <c r="S536" s="36"/>
      <c r="T536" s="47" t="s">
        <v>275</v>
      </c>
      <c r="U536" s="146" t="s">
        <v>2119</v>
      </c>
      <c r="V536"/>
    </row>
    <row r="537" spans="1:22" ht="30" x14ac:dyDescent="0.25">
      <c r="A537" s="47"/>
      <c r="B537" s="108" t="s">
        <v>23</v>
      </c>
      <c r="C537" s="47" t="s">
        <v>275</v>
      </c>
      <c r="D537" s="3" t="s">
        <v>87</v>
      </c>
      <c r="E537" s="3" t="s">
        <v>677</v>
      </c>
      <c r="F537" s="3" t="s">
        <v>3076</v>
      </c>
      <c r="G537" s="3" t="s">
        <v>1864</v>
      </c>
      <c r="H537" s="3"/>
      <c r="I537" s="3"/>
      <c r="J537" s="3"/>
      <c r="K537" s="3"/>
      <c r="L537" s="3"/>
      <c r="M537" s="36" t="s">
        <v>1258</v>
      </c>
      <c r="N537" s="36"/>
      <c r="O537" s="36"/>
      <c r="P537" s="36"/>
      <c r="Q537" s="36" t="s">
        <v>674</v>
      </c>
      <c r="R537" s="150">
        <v>45628</v>
      </c>
      <c r="S537" s="36" t="s">
        <v>102</v>
      </c>
      <c r="T537" s="47" t="s">
        <v>275</v>
      </c>
      <c r="U537" s="146" t="s">
        <v>275</v>
      </c>
      <c r="V537"/>
    </row>
    <row r="538" spans="1:22" ht="30" x14ac:dyDescent="0.25">
      <c r="A538" s="47"/>
      <c r="B538" s="108" t="s">
        <v>23</v>
      </c>
      <c r="C538" s="47" t="s">
        <v>275</v>
      </c>
      <c r="D538" s="3" t="s">
        <v>87</v>
      </c>
      <c r="E538" s="3" t="s">
        <v>661</v>
      </c>
      <c r="F538" s="3" t="s">
        <v>3074</v>
      </c>
      <c r="G538" s="3" t="s">
        <v>1865</v>
      </c>
      <c r="H538" s="3"/>
      <c r="I538" s="3"/>
      <c r="J538" s="3"/>
      <c r="K538" s="3"/>
      <c r="L538" s="3"/>
      <c r="M538" s="36" t="s">
        <v>1258</v>
      </c>
      <c r="N538" s="36"/>
      <c r="O538" s="36"/>
      <c r="P538" s="36"/>
      <c r="Q538" s="36" t="s">
        <v>698</v>
      </c>
      <c r="R538" s="150">
        <v>45698</v>
      </c>
      <c r="S538" s="36" t="s">
        <v>150</v>
      </c>
      <c r="T538" s="47" t="s">
        <v>275</v>
      </c>
      <c r="U538" s="146" t="s">
        <v>275</v>
      </c>
      <c r="V538"/>
    </row>
    <row r="539" spans="1:22" ht="30" x14ac:dyDescent="0.25">
      <c r="A539" s="47"/>
      <c r="B539" s="108" t="s">
        <v>23</v>
      </c>
      <c r="C539" s="47" t="s">
        <v>275</v>
      </c>
      <c r="D539" s="3" t="s">
        <v>87</v>
      </c>
      <c r="E539" s="3" t="s">
        <v>639</v>
      </c>
      <c r="F539" s="3" t="s">
        <v>3076</v>
      </c>
      <c r="G539" s="3" t="s">
        <v>1866</v>
      </c>
      <c r="H539" s="3"/>
      <c r="I539" s="3"/>
      <c r="J539" s="3"/>
      <c r="K539" s="3"/>
      <c r="L539" s="3"/>
      <c r="M539" s="36" t="s">
        <v>1258</v>
      </c>
      <c r="N539" s="36"/>
      <c r="O539" s="36"/>
      <c r="P539" s="36"/>
      <c r="Q539" s="36" t="s">
        <v>606</v>
      </c>
      <c r="R539" s="150">
        <v>45692</v>
      </c>
      <c r="S539" s="36" t="s">
        <v>150</v>
      </c>
      <c r="T539" s="47" t="s">
        <v>275</v>
      </c>
      <c r="U539" s="146" t="s">
        <v>2120</v>
      </c>
      <c r="V539"/>
    </row>
    <row r="540" spans="1:22" ht="30" x14ac:dyDescent="0.25">
      <c r="A540" s="109"/>
      <c r="B540" s="109" t="s">
        <v>23</v>
      </c>
      <c r="C540" s="109" t="s">
        <v>275</v>
      </c>
      <c r="D540" s="109" t="s">
        <v>87</v>
      </c>
      <c r="E540" s="109" t="s">
        <v>406</v>
      </c>
      <c r="F540" s="109" t="s">
        <v>3075</v>
      </c>
      <c r="G540" s="109" t="s">
        <v>1867</v>
      </c>
      <c r="H540" s="109"/>
      <c r="I540" s="109"/>
      <c r="J540" s="109"/>
      <c r="K540" s="109"/>
      <c r="L540" s="109"/>
      <c r="M540" s="109" t="s">
        <v>1258</v>
      </c>
      <c r="N540" s="109"/>
      <c r="O540" s="109"/>
      <c r="P540" s="109"/>
      <c r="Q540" s="109" t="s">
        <v>605</v>
      </c>
      <c r="R540" s="117">
        <v>45692</v>
      </c>
      <c r="S540" s="109" t="s">
        <v>50</v>
      </c>
      <c r="T540" s="109" t="s">
        <v>275</v>
      </c>
      <c r="U540" s="138" t="s">
        <v>275</v>
      </c>
      <c r="V540"/>
    </row>
    <row r="541" spans="1:22" ht="30" x14ac:dyDescent="0.25">
      <c r="A541" s="47"/>
      <c r="B541" s="108" t="s">
        <v>23</v>
      </c>
      <c r="C541" s="47" t="s">
        <v>275</v>
      </c>
      <c r="D541" s="3" t="s">
        <v>87</v>
      </c>
      <c r="E541" s="3" t="s">
        <v>405</v>
      </c>
      <c r="F541" s="3" t="s">
        <v>3075</v>
      </c>
      <c r="G541" s="3" t="s">
        <v>1868</v>
      </c>
      <c r="H541" s="3"/>
      <c r="I541" s="3"/>
      <c r="J541" s="3"/>
      <c r="K541" s="3"/>
      <c r="L541" s="3"/>
      <c r="M541" s="36" t="s">
        <v>1258</v>
      </c>
      <c r="N541" s="36"/>
      <c r="O541" s="36"/>
      <c r="P541" s="36"/>
      <c r="Q541" s="36" t="s">
        <v>605</v>
      </c>
      <c r="R541" s="150">
        <v>45692</v>
      </c>
      <c r="S541" s="36" t="s">
        <v>50</v>
      </c>
      <c r="T541" s="47" t="s">
        <v>275</v>
      </c>
      <c r="U541" s="146" t="s">
        <v>275</v>
      </c>
      <c r="V541"/>
    </row>
    <row r="542" spans="1:22" ht="30" x14ac:dyDescent="0.25">
      <c r="A542" s="47"/>
      <c r="B542" s="108" t="s">
        <v>23</v>
      </c>
      <c r="C542" s="47" t="s">
        <v>275</v>
      </c>
      <c r="D542" s="3" t="s">
        <v>87</v>
      </c>
      <c r="E542" s="3" t="s">
        <v>404</v>
      </c>
      <c r="F542" s="3" t="s">
        <v>3075</v>
      </c>
      <c r="G542" s="3" t="s">
        <v>1869</v>
      </c>
      <c r="H542" s="3"/>
      <c r="I542" s="3"/>
      <c r="J542" s="3"/>
      <c r="K542" s="3"/>
      <c r="L542" s="3"/>
      <c r="M542" s="36" t="s">
        <v>1258</v>
      </c>
      <c r="N542" s="36"/>
      <c r="O542" s="36"/>
      <c r="P542" s="36"/>
      <c r="Q542" s="36" t="s">
        <v>605</v>
      </c>
      <c r="R542" s="150">
        <v>45692</v>
      </c>
      <c r="S542" s="36" t="s">
        <v>50</v>
      </c>
      <c r="T542" s="47" t="s">
        <v>275</v>
      </c>
      <c r="U542" s="146" t="s">
        <v>275</v>
      </c>
      <c r="V542"/>
    </row>
    <row r="543" spans="1:22" x14ac:dyDescent="0.25">
      <c r="A543" s="47"/>
      <c r="B543" s="108" t="s">
        <v>23</v>
      </c>
      <c r="C543" s="47" t="s">
        <v>275</v>
      </c>
      <c r="D543" s="3" t="s">
        <v>87</v>
      </c>
      <c r="E543" s="3" t="s">
        <v>314</v>
      </c>
      <c r="F543" s="3" t="s">
        <v>3074</v>
      </c>
      <c r="G543" s="3" t="s">
        <v>1870</v>
      </c>
      <c r="H543" s="3"/>
      <c r="I543" s="3"/>
      <c r="J543" s="3"/>
      <c r="K543" s="3"/>
      <c r="L543" s="3"/>
      <c r="M543" s="36" t="s">
        <v>1258</v>
      </c>
      <c r="N543" s="36"/>
      <c r="O543" s="36"/>
      <c r="P543" s="36"/>
      <c r="Q543" s="36" t="s">
        <v>603</v>
      </c>
      <c r="R543" s="150">
        <v>45674</v>
      </c>
      <c r="S543" s="36" t="s">
        <v>211</v>
      </c>
      <c r="T543" s="47" t="s">
        <v>275</v>
      </c>
      <c r="U543" s="146" t="s">
        <v>275</v>
      </c>
      <c r="V543"/>
    </row>
    <row r="544" spans="1:22" ht="45" x14ac:dyDescent="0.25">
      <c r="A544" s="47"/>
      <c r="B544" s="108" t="s">
        <v>23</v>
      </c>
      <c r="C544" s="47" t="s">
        <v>275</v>
      </c>
      <c r="D544" s="3" t="s">
        <v>87</v>
      </c>
      <c r="E544" s="3" t="s">
        <v>269</v>
      </c>
      <c r="F544" s="3" t="s">
        <v>3075</v>
      </c>
      <c r="G544" s="3" t="s">
        <v>1871</v>
      </c>
      <c r="H544" s="3"/>
      <c r="I544" s="3"/>
      <c r="J544" s="3"/>
      <c r="K544" s="3"/>
      <c r="L544" s="3"/>
      <c r="M544" s="36" t="s">
        <v>1258</v>
      </c>
      <c r="N544" s="36"/>
      <c r="O544" s="36"/>
      <c r="P544" s="36"/>
      <c r="Q544" s="36" t="s">
        <v>615</v>
      </c>
      <c r="R544" s="150">
        <v>45693</v>
      </c>
      <c r="S544" s="36" t="s">
        <v>616</v>
      </c>
      <c r="T544" s="47" t="s">
        <v>275</v>
      </c>
      <c r="U544" s="146" t="s">
        <v>275</v>
      </c>
      <c r="V544"/>
    </row>
    <row r="545" spans="1:22" ht="30" x14ac:dyDescent="0.25">
      <c r="A545" s="47"/>
      <c r="B545" s="108" t="s">
        <v>23</v>
      </c>
      <c r="C545" s="47" t="s">
        <v>275</v>
      </c>
      <c r="D545" s="3" t="s">
        <v>87</v>
      </c>
      <c r="E545" s="3" t="s">
        <v>506</v>
      </c>
      <c r="F545" s="3" t="s">
        <v>97</v>
      </c>
      <c r="G545" s="3" t="s">
        <v>1872</v>
      </c>
      <c r="H545" s="3"/>
      <c r="I545" s="3"/>
      <c r="J545" s="3"/>
      <c r="K545" s="3"/>
      <c r="L545" s="3"/>
      <c r="M545" s="36" t="s">
        <v>1258</v>
      </c>
      <c r="N545" s="36"/>
      <c r="O545" s="36"/>
      <c r="P545" s="36"/>
      <c r="Q545" s="36" t="s">
        <v>634</v>
      </c>
      <c r="R545" s="150">
        <v>45693</v>
      </c>
      <c r="S545" s="36" t="s">
        <v>635</v>
      </c>
      <c r="T545" s="47" t="s">
        <v>275</v>
      </c>
      <c r="U545" s="146" t="s">
        <v>275</v>
      </c>
      <c r="V545"/>
    </row>
    <row r="546" spans="1:22" ht="30" x14ac:dyDescent="0.25">
      <c r="A546" s="109"/>
      <c r="B546" s="109" t="s">
        <v>23</v>
      </c>
      <c r="C546" s="109" t="s">
        <v>275</v>
      </c>
      <c r="D546" s="109" t="s">
        <v>87</v>
      </c>
      <c r="E546" s="109" t="s">
        <v>507</v>
      </c>
      <c r="F546" s="109" t="s">
        <v>97</v>
      </c>
      <c r="G546" s="109" t="s">
        <v>1873</v>
      </c>
      <c r="H546" s="109"/>
      <c r="I546" s="109"/>
      <c r="J546" s="109"/>
      <c r="K546" s="109"/>
      <c r="L546" s="109"/>
      <c r="M546" s="109" t="s">
        <v>1258</v>
      </c>
      <c r="N546" s="109"/>
      <c r="O546" s="109"/>
      <c r="P546" s="109"/>
      <c r="Q546" s="109" t="s">
        <v>642</v>
      </c>
      <c r="R546" s="117">
        <v>45693</v>
      </c>
      <c r="S546" s="109" t="s">
        <v>50</v>
      </c>
      <c r="T546" s="109" t="s">
        <v>275</v>
      </c>
      <c r="U546" s="109" t="s">
        <v>275</v>
      </c>
      <c r="V546"/>
    </row>
    <row r="547" spans="1:22" ht="30" x14ac:dyDescent="0.25">
      <c r="A547" s="47"/>
      <c r="B547" s="108" t="s">
        <v>23</v>
      </c>
      <c r="C547" s="47" t="s">
        <v>275</v>
      </c>
      <c r="D547" s="3" t="s">
        <v>87</v>
      </c>
      <c r="E547" s="3" t="s">
        <v>599</v>
      </c>
      <c r="F547" s="3" t="s">
        <v>96</v>
      </c>
      <c r="G547" s="3" t="s">
        <v>1874</v>
      </c>
      <c r="H547" s="3"/>
      <c r="I547" s="3"/>
      <c r="J547" s="3"/>
      <c r="K547" s="3"/>
      <c r="L547" s="3"/>
      <c r="M547" s="36" t="s">
        <v>1258</v>
      </c>
      <c r="N547" s="36"/>
      <c r="O547" s="36"/>
      <c r="P547" s="36"/>
      <c r="Q547" s="36"/>
      <c r="R547" s="150">
        <v>45691</v>
      </c>
      <c r="S547" s="36" t="s">
        <v>50</v>
      </c>
      <c r="T547" s="47" t="s">
        <v>275</v>
      </c>
      <c r="U547" s="146" t="s">
        <v>275</v>
      </c>
      <c r="V547"/>
    </row>
    <row r="548" spans="1:22" x14ac:dyDescent="0.25">
      <c r="A548" s="109"/>
      <c r="B548" s="109" t="s">
        <v>23</v>
      </c>
      <c r="C548" s="109" t="s">
        <v>275</v>
      </c>
      <c r="D548" s="109" t="s">
        <v>87</v>
      </c>
      <c r="E548" s="109" t="s">
        <v>113</v>
      </c>
      <c r="F548" s="109" t="s">
        <v>114</v>
      </c>
      <c r="G548" s="109" t="s">
        <v>1875</v>
      </c>
      <c r="H548" s="109"/>
      <c r="I548" s="109"/>
      <c r="J548" s="109"/>
      <c r="K548" s="109"/>
      <c r="L548" s="109"/>
      <c r="M548" s="109" t="s">
        <v>1258</v>
      </c>
      <c r="N548" s="109"/>
      <c r="O548" s="109"/>
      <c r="P548" s="109"/>
      <c r="Q548" s="109" t="s">
        <v>115</v>
      </c>
      <c r="R548" s="117">
        <v>45574</v>
      </c>
      <c r="S548" s="109"/>
      <c r="T548" s="109" t="s">
        <v>275</v>
      </c>
      <c r="U548" s="109" t="s">
        <v>275</v>
      </c>
      <c r="V548"/>
    </row>
    <row r="549" spans="1:22" x14ac:dyDescent="0.25">
      <c r="A549" s="47"/>
      <c r="B549" s="108" t="s">
        <v>23</v>
      </c>
      <c r="C549" s="47" t="s">
        <v>275</v>
      </c>
      <c r="D549" s="3" t="s">
        <v>87</v>
      </c>
      <c r="E549" s="3" t="s">
        <v>448</v>
      </c>
      <c r="F549" s="3" t="s">
        <v>88</v>
      </c>
      <c r="G549" s="3" t="s">
        <v>1876</v>
      </c>
      <c r="H549" s="3"/>
      <c r="I549" s="3"/>
      <c r="J549" s="3"/>
      <c r="K549" s="3"/>
      <c r="L549" s="3"/>
      <c r="M549" s="36" t="s">
        <v>1258</v>
      </c>
      <c r="N549" s="36"/>
      <c r="O549" s="36"/>
      <c r="P549" s="36"/>
      <c r="Q549" s="36" t="s">
        <v>1263</v>
      </c>
      <c r="R549" s="150"/>
      <c r="S549" s="36"/>
      <c r="T549" s="47" t="s">
        <v>275</v>
      </c>
      <c r="U549" s="146" t="s">
        <v>275</v>
      </c>
      <c r="V549"/>
    </row>
    <row r="550" spans="1:22" ht="30" x14ac:dyDescent="0.25">
      <c r="A550" s="47"/>
      <c r="B550" s="108" t="s">
        <v>23</v>
      </c>
      <c r="C550" s="47" t="s">
        <v>275</v>
      </c>
      <c r="D550" s="3" t="s">
        <v>87</v>
      </c>
      <c r="E550" s="3" t="s">
        <v>539</v>
      </c>
      <c r="F550" s="3" t="s">
        <v>3076</v>
      </c>
      <c r="G550" s="3" t="s">
        <v>1877</v>
      </c>
      <c r="H550" s="3"/>
      <c r="I550" s="3"/>
      <c r="J550" s="3"/>
      <c r="K550" s="3"/>
      <c r="L550" s="3"/>
      <c r="M550" s="36" t="s">
        <v>1258</v>
      </c>
      <c r="N550" s="36"/>
      <c r="O550" s="36"/>
      <c r="P550" s="36"/>
      <c r="Q550" s="36" t="s">
        <v>589</v>
      </c>
      <c r="R550" s="150">
        <v>45688</v>
      </c>
      <c r="S550" s="36" t="s">
        <v>150</v>
      </c>
      <c r="T550" s="47" t="s">
        <v>275</v>
      </c>
      <c r="U550" s="146" t="s">
        <v>275</v>
      </c>
      <c r="V550"/>
    </row>
    <row r="551" spans="1:22" ht="30" x14ac:dyDescent="0.25">
      <c r="A551" s="47"/>
      <c r="B551" s="108" t="s">
        <v>23</v>
      </c>
      <c r="C551" s="47" t="s">
        <v>275</v>
      </c>
      <c r="D551" s="3" t="s">
        <v>87</v>
      </c>
      <c r="E551" s="3" t="s">
        <v>267</v>
      </c>
      <c r="F551" s="3" t="s">
        <v>3074</v>
      </c>
      <c r="G551" s="3" t="s">
        <v>1878</v>
      </c>
      <c r="H551" s="3"/>
      <c r="I551" s="3"/>
      <c r="J551" s="3"/>
      <c r="K551" s="3"/>
      <c r="L551" s="3"/>
      <c r="M551" s="36" t="s">
        <v>1258</v>
      </c>
      <c r="N551" s="36"/>
      <c r="O551" s="36"/>
      <c r="P551" s="36"/>
      <c r="Q551" s="36"/>
      <c r="R551" s="150">
        <v>45687</v>
      </c>
      <c r="S551" s="36" t="s">
        <v>150</v>
      </c>
      <c r="T551" s="47" t="s">
        <v>275</v>
      </c>
      <c r="U551" s="146" t="s">
        <v>275</v>
      </c>
      <c r="V551"/>
    </row>
    <row r="552" spans="1:22" x14ac:dyDescent="0.25">
      <c r="A552" s="109"/>
      <c r="B552" s="109" t="s">
        <v>23</v>
      </c>
      <c r="C552" s="109" t="s">
        <v>275</v>
      </c>
      <c r="D552" s="109" t="s">
        <v>87</v>
      </c>
      <c r="E552" s="109" t="s">
        <v>524</v>
      </c>
      <c r="F552" s="109" t="s">
        <v>3076</v>
      </c>
      <c r="G552" s="109" t="s">
        <v>1879</v>
      </c>
      <c r="H552" s="109"/>
      <c r="I552" s="109"/>
      <c r="J552" s="109"/>
      <c r="K552" s="109"/>
      <c r="L552" s="109"/>
      <c r="M552" s="109" t="s">
        <v>1258</v>
      </c>
      <c r="N552" s="109"/>
      <c r="O552" s="109"/>
      <c r="P552" s="109"/>
      <c r="Q552" s="109" t="s">
        <v>586</v>
      </c>
      <c r="R552" s="117">
        <v>45682</v>
      </c>
      <c r="S552" s="36" t="s">
        <v>289</v>
      </c>
      <c r="T552" s="109" t="s">
        <v>275</v>
      </c>
      <c r="U552" s="109" t="s">
        <v>275</v>
      </c>
      <c r="V552"/>
    </row>
    <row r="553" spans="1:22" x14ac:dyDescent="0.25">
      <c r="A553" s="47"/>
      <c r="B553" s="108" t="s">
        <v>23</v>
      </c>
      <c r="C553" s="47" t="s">
        <v>275</v>
      </c>
      <c r="D553" s="3" t="s">
        <v>87</v>
      </c>
      <c r="E553" s="3" t="s">
        <v>450</v>
      </c>
      <c r="F553" s="3" t="s">
        <v>3076</v>
      </c>
      <c r="G553" s="3" t="s">
        <v>1880</v>
      </c>
      <c r="H553" s="3"/>
      <c r="I553" s="3"/>
      <c r="J553" s="3"/>
      <c r="K553" s="3"/>
      <c r="L553" s="3"/>
      <c r="M553" s="36" t="s">
        <v>1258</v>
      </c>
      <c r="N553" s="36"/>
      <c r="O553" s="36"/>
      <c r="P553" s="36"/>
      <c r="Q553" s="36" t="s">
        <v>574</v>
      </c>
      <c r="R553" s="150">
        <v>45686</v>
      </c>
      <c r="S553" s="36" t="s">
        <v>211</v>
      </c>
      <c r="T553" s="47" t="s">
        <v>275</v>
      </c>
      <c r="U553" s="146" t="s">
        <v>2121</v>
      </c>
      <c r="V553"/>
    </row>
    <row r="554" spans="1:22" ht="30" x14ac:dyDescent="0.25">
      <c r="A554" s="109"/>
      <c r="B554" s="109" t="s">
        <v>23</v>
      </c>
      <c r="C554" s="109" t="s">
        <v>275</v>
      </c>
      <c r="D554" s="109" t="s">
        <v>87</v>
      </c>
      <c r="E554" s="109" t="s">
        <v>432</v>
      </c>
      <c r="F554" s="109" t="s">
        <v>114</v>
      </c>
      <c r="G554" s="109" t="s">
        <v>1881</v>
      </c>
      <c r="H554" s="109"/>
      <c r="I554" s="109"/>
      <c r="J554" s="109"/>
      <c r="K554" s="109"/>
      <c r="L554" s="109"/>
      <c r="M554" s="109" t="s">
        <v>1258</v>
      </c>
      <c r="N554" s="109"/>
      <c r="O554" s="109"/>
      <c r="P554" s="109"/>
      <c r="Q554" s="109" t="s">
        <v>563</v>
      </c>
      <c r="R554" s="117">
        <v>45685</v>
      </c>
      <c r="S554" s="109" t="s">
        <v>211</v>
      </c>
      <c r="T554" s="109" t="s">
        <v>275</v>
      </c>
      <c r="U554" s="138" t="s">
        <v>275</v>
      </c>
      <c r="V554"/>
    </row>
    <row r="555" spans="1:22" ht="60" x14ac:dyDescent="0.25">
      <c r="A555" s="47"/>
      <c r="B555" s="108" t="s">
        <v>23</v>
      </c>
      <c r="C555" s="47" t="s">
        <v>275</v>
      </c>
      <c r="D555" s="3" t="s">
        <v>87</v>
      </c>
      <c r="E555" s="3" t="s">
        <v>286</v>
      </c>
      <c r="F555" s="3" t="s">
        <v>3074</v>
      </c>
      <c r="G555" s="3" t="s">
        <v>1882</v>
      </c>
      <c r="H555" s="3"/>
      <c r="I555" s="3"/>
      <c r="J555" s="3"/>
      <c r="K555" s="3"/>
      <c r="L555" s="3"/>
      <c r="M555" s="36" t="s">
        <v>1258</v>
      </c>
      <c r="N555" s="36"/>
      <c r="O555" s="36"/>
      <c r="P555" s="36"/>
      <c r="Q555" s="36" t="s">
        <v>581</v>
      </c>
      <c r="R555" s="150">
        <v>45673</v>
      </c>
      <c r="S555" s="36" t="s">
        <v>211</v>
      </c>
      <c r="T555" s="47" t="s">
        <v>275</v>
      </c>
      <c r="U555" s="146" t="s">
        <v>2122</v>
      </c>
      <c r="V555"/>
    </row>
    <row r="556" spans="1:22" x14ac:dyDescent="0.25">
      <c r="A556" s="47"/>
      <c r="B556" s="108" t="s">
        <v>23</v>
      </c>
      <c r="C556" s="47" t="s">
        <v>275</v>
      </c>
      <c r="D556" s="3" t="s">
        <v>87</v>
      </c>
      <c r="E556" s="3" t="s">
        <v>522</v>
      </c>
      <c r="F556" s="3" t="s">
        <v>3079</v>
      </c>
      <c r="G556" s="3" t="s">
        <v>1883</v>
      </c>
      <c r="H556" s="3"/>
      <c r="I556" s="3"/>
      <c r="J556" s="3"/>
      <c r="K556" s="3"/>
      <c r="L556" s="3"/>
      <c r="M556" s="36" t="s">
        <v>1258</v>
      </c>
      <c r="N556" s="36"/>
      <c r="O556" s="36"/>
      <c r="P556" s="36"/>
      <c r="Q556" s="36" t="s">
        <v>561</v>
      </c>
      <c r="R556" s="150">
        <v>45686</v>
      </c>
      <c r="S556" s="36" t="s">
        <v>211</v>
      </c>
      <c r="T556" s="47" t="s">
        <v>275</v>
      </c>
      <c r="U556" s="146" t="s">
        <v>275</v>
      </c>
      <c r="V556"/>
    </row>
    <row r="557" spans="1:22" ht="30" x14ac:dyDescent="0.25">
      <c r="A557" s="109"/>
      <c r="B557" s="109" t="s">
        <v>23</v>
      </c>
      <c r="C557" s="109" t="s">
        <v>275</v>
      </c>
      <c r="D557" s="109" t="s">
        <v>87</v>
      </c>
      <c r="E557" s="109" t="s">
        <v>532</v>
      </c>
      <c r="F557" s="109" t="s">
        <v>3074</v>
      </c>
      <c r="G557" s="109" t="s">
        <v>1884</v>
      </c>
      <c r="H557" s="109"/>
      <c r="I557" s="109"/>
      <c r="J557" s="109"/>
      <c r="K557" s="109"/>
      <c r="L557" s="109"/>
      <c r="M557" s="109" t="s">
        <v>1258</v>
      </c>
      <c r="N557" s="109"/>
      <c r="O557" s="109"/>
      <c r="P557" s="109"/>
      <c r="Q557" s="109" t="s">
        <v>604</v>
      </c>
      <c r="R557" s="117">
        <v>45684</v>
      </c>
      <c r="S557" s="109" t="s">
        <v>211</v>
      </c>
      <c r="T557" s="109" t="s">
        <v>275</v>
      </c>
      <c r="U557" s="109" t="s">
        <v>275</v>
      </c>
      <c r="V557"/>
    </row>
    <row r="558" spans="1:22" x14ac:dyDescent="0.25">
      <c r="A558" s="109"/>
      <c r="B558" s="109" t="s">
        <v>23</v>
      </c>
      <c r="C558" s="109" t="s">
        <v>275</v>
      </c>
      <c r="D558" s="109" t="s">
        <v>87</v>
      </c>
      <c r="E558" s="109" t="s">
        <v>363</v>
      </c>
      <c r="F558" s="109" t="s">
        <v>3079</v>
      </c>
      <c r="G558" s="109" t="s">
        <v>1885</v>
      </c>
      <c r="H558" s="109"/>
      <c r="I558" s="109"/>
      <c r="J558" s="109"/>
      <c r="K558" s="109"/>
      <c r="L558" s="109"/>
      <c r="M558" s="109" t="s">
        <v>1258</v>
      </c>
      <c r="N558" s="109"/>
      <c r="O558" s="109"/>
      <c r="P558" s="109"/>
      <c r="Q558" s="109" t="s">
        <v>527</v>
      </c>
      <c r="R558" s="117">
        <v>45681</v>
      </c>
      <c r="S558" s="109" t="s">
        <v>211</v>
      </c>
      <c r="T558" s="109" t="s">
        <v>275</v>
      </c>
      <c r="U558" s="109" t="s">
        <v>2123</v>
      </c>
      <c r="V558"/>
    </row>
    <row r="559" spans="1:22" ht="30" x14ac:dyDescent="0.25">
      <c r="A559" s="47"/>
      <c r="B559" s="108" t="s">
        <v>23</v>
      </c>
      <c r="C559" s="47" t="s">
        <v>275</v>
      </c>
      <c r="D559" s="3" t="s">
        <v>87</v>
      </c>
      <c r="E559" s="3" t="s">
        <v>319</v>
      </c>
      <c r="F559" s="3" t="s">
        <v>3076</v>
      </c>
      <c r="G559" s="3" t="s">
        <v>1886</v>
      </c>
      <c r="H559" s="3"/>
      <c r="I559" s="3"/>
      <c r="J559" s="3"/>
      <c r="K559" s="3"/>
      <c r="L559" s="3"/>
      <c r="M559" s="36" t="s">
        <v>1258</v>
      </c>
      <c r="N559" s="36"/>
      <c r="O559" s="36"/>
      <c r="P559" s="36"/>
      <c r="Q559" s="36"/>
      <c r="R559" s="150">
        <v>45680</v>
      </c>
      <c r="S559" s="36" t="s">
        <v>203</v>
      </c>
      <c r="T559" s="47" t="s">
        <v>275</v>
      </c>
      <c r="U559" s="146" t="s">
        <v>275</v>
      </c>
      <c r="V559"/>
    </row>
    <row r="560" spans="1:22" x14ac:dyDescent="0.25">
      <c r="A560" s="109"/>
      <c r="B560" s="109" t="s">
        <v>23</v>
      </c>
      <c r="C560" s="109" t="s">
        <v>275</v>
      </c>
      <c r="D560" s="109" t="s">
        <v>87</v>
      </c>
      <c r="E560" s="109" t="s">
        <v>498</v>
      </c>
      <c r="F560" s="109" t="s">
        <v>92</v>
      </c>
      <c r="G560" s="109" t="s">
        <v>1887</v>
      </c>
      <c r="H560" s="109"/>
      <c r="I560" s="109"/>
      <c r="J560" s="109"/>
      <c r="K560" s="109"/>
      <c r="L560" s="109"/>
      <c r="M560" s="109" t="s">
        <v>1258</v>
      </c>
      <c r="N560" s="109"/>
      <c r="O560" s="109"/>
      <c r="P560" s="109"/>
      <c r="Q560" s="109" t="s">
        <v>501</v>
      </c>
      <c r="R560" s="117">
        <v>45680</v>
      </c>
      <c r="S560" s="109" t="s">
        <v>211</v>
      </c>
      <c r="T560" s="109" t="s">
        <v>275</v>
      </c>
      <c r="U560" s="138" t="s">
        <v>275</v>
      </c>
      <c r="V560"/>
    </row>
    <row r="561" spans="1:22" ht="30" x14ac:dyDescent="0.25">
      <c r="A561" s="47"/>
      <c r="B561" s="108" t="s">
        <v>23</v>
      </c>
      <c r="C561" s="47" t="s">
        <v>275</v>
      </c>
      <c r="D561" s="3" t="s">
        <v>87</v>
      </c>
      <c r="E561" s="3" t="s">
        <v>493</v>
      </c>
      <c r="F561" s="3" t="s">
        <v>3080</v>
      </c>
      <c r="G561" s="3" t="s">
        <v>1888</v>
      </c>
      <c r="H561" s="3"/>
      <c r="I561" s="3"/>
      <c r="J561" s="3"/>
      <c r="K561" s="3"/>
      <c r="L561" s="3"/>
      <c r="M561" s="36" t="s">
        <v>1258</v>
      </c>
      <c r="N561" s="36"/>
      <c r="O561" s="36"/>
      <c r="P561" s="36"/>
      <c r="Q561" s="36" t="s">
        <v>500</v>
      </c>
      <c r="R561" s="150">
        <v>45680</v>
      </c>
      <c r="S561" s="36" t="s">
        <v>211</v>
      </c>
      <c r="T561" s="47" t="s">
        <v>275</v>
      </c>
      <c r="U561" s="146" t="s">
        <v>275</v>
      </c>
      <c r="V561"/>
    </row>
    <row r="562" spans="1:22" x14ac:dyDescent="0.25">
      <c r="A562" s="47"/>
      <c r="B562" s="108" t="s">
        <v>23</v>
      </c>
      <c r="C562" s="47" t="s">
        <v>275</v>
      </c>
      <c r="D562" s="3" t="s">
        <v>87</v>
      </c>
      <c r="E562" s="3" t="s">
        <v>468</v>
      </c>
      <c r="F562" s="3" t="s">
        <v>3079</v>
      </c>
      <c r="G562" s="3" t="s">
        <v>1889</v>
      </c>
      <c r="H562" s="3"/>
      <c r="I562" s="3"/>
      <c r="J562" s="3"/>
      <c r="K562" s="3"/>
      <c r="L562" s="3"/>
      <c r="M562" s="36" t="s">
        <v>1258</v>
      </c>
      <c r="N562" s="36"/>
      <c r="O562" s="36"/>
      <c r="P562" s="36"/>
      <c r="Q562" s="36" t="s">
        <v>480</v>
      </c>
      <c r="R562" s="150">
        <v>45678</v>
      </c>
      <c r="S562" s="36" t="s">
        <v>203</v>
      </c>
      <c r="T562" s="47" t="s">
        <v>275</v>
      </c>
      <c r="U562" s="146" t="s">
        <v>275</v>
      </c>
      <c r="V562"/>
    </row>
    <row r="563" spans="1:22" ht="30" x14ac:dyDescent="0.25">
      <c r="A563" s="109"/>
      <c r="B563" s="109" t="s">
        <v>23</v>
      </c>
      <c r="C563" s="109" t="s">
        <v>275</v>
      </c>
      <c r="D563" s="109" t="s">
        <v>87</v>
      </c>
      <c r="E563" s="109" t="s">
        <v>469</v>
      </c>
      <c r="F563" s="109" t="s">
        <v>3079</v>
      </c>
      <c r="G563" s="109" t="s">
        <v>1890</v>
      </c>
      <c r="H563" s="109"/>
      <c r="I563" s="109"/>
      <c r="J563" s="109"/>
      <c r="K563" s="109"/>
      <c r="L563" s="109"/>
      <c r="M563" s="109" t="s">
        <v>1258</v>
      </c>
      <c r="N563" s="109"/>
      <c r="O563" s="109"/>
      <c r="P563" s="109"/>
      <c r="Q563" s="109" t="s">
        <v>473</v>
      </c>
      <c r="R563" s="117">
        <v>45678</v>
      </c>
      <c r="S563" s="109" t="s">
        <v>203</v>
      </c>
      <c r="T563" s="109" t="s">
        <v>275</v>
      </c>
      <c r="U563" s="109" t="s">
        <v>275</v>
      </c>
      <c r="V563"/>
    </row>
    <row r="564" spans="1:22" ht="30" x14ac:dyDescent="0.25">
      <c r="A564" s="109"/>
      <c r="B564" s="109" t="s">
        <v>23</v>
      </c>
      <c r="C564" s="109" t="s">
        <v>275</v>
      </c>
      <c r="D564" s="109" t="s">
        <v>87</v>
      </c>
      <c r="E564" s="109" t="s">
        <v>362</v>
      </c>
      <c r="F564" s="109" t="s">
        <v>92</v>
      </c>
      <c r="G564" s="109" t="s">
        <v>1891</v>
      </c>
      <c r="H564" s="109"/>
      <c r="I564" s="109"/>
      <c r="J564" s="109"/>
      <c r="K564" s="109"/>
      <c r="L564" s="109"/>
      <c r="M564" s="109" t="s">
        <v>1258</v>
      </c>
      <c r="N564" s="109"/>
      <c r="O564" s="109"/>
      <c r="P564" s="109"/>
      <c r="Q564" s="109" t="s">
        <v>452</v>
      </c>
      <c r="R564" s="117">
        <v>45311</v>
      </c>
      <c r="S564" s="109" t="s">
        <v>453</v>
      </c>
      <c r="T564" s="109" t="s">
        <v>275</v>
      </c>
      <c r="U564" s="109" t="s">
        <v>275</v>
      </c>
      <c r="V564"/>
    </row>
    <row r="565" spans="1:22" ht="30" x14ac:dyDescent="0.25">
      <c r="A565" s="47"/>
      <c r="B565" s="108" t="s">
        <v>23</v>
      </c>
      <c r="C565" s="47" t="s">
        <v>275</v>
      </c>
      <c r="D565" s="3" t="s">
        <v>87</v>
      </c>
      <c r="E565" s="3" t="s">
        <v>421</v>
      </c>
      <c r="F565" s="3" t="s">
        <v>93</v>
      </c>
      <c r="G565" s="3" t="s">
        <v>1892</v>
      </c>
      <c r="H565" s="3"/>
      <c r="I565" s="3"/>
      <c r="J565" s="3"/>
      <c r="K565" s="3"/>
      <c r="L565" s="3"/>
      <c r="M565" s="36" t="s">
        <v>1258</v>
      </c>
      <c r="N565" s="36"/>
      <c r="O565" s="36"/>
      <c r="P565" s="36"/>
      <c r="Q565" s="36"/>
      <c r="R565" s="150"/>
      <c r="S565" s="36"/>
      <c r="T565" s="47" t="s">
        <v>275</v>
      </c>
      <c r="U565" s="146" t="s">
        <v>275</v>
      </c>
      <c r="V565"/>
    </row>
    <row r="566" spans="1:22" x14ac:dyDescent="0.25">
      <c r="A566" s="109"/>
      <c r="B566" s="109" t="s">
        <v>23</v>
      </c>
      <c r="C566" s="109" t="s">
        <v>275</v>
      </c>
      <c r="D566" s="109" t="s">
        <v>87</v>
      </c>
      <c r="E566" s="109" t="s">
        <v>233</v>
      </c>
      <c r="F566" s="109" t="s">
        <v>92</v>
      </c>
      <c r="G566" s="109" t="s">
        <v>1893</v>
      </c>
      <c r="H566" s="109"/>
      <c r="I566" s="109"/>
      <c r="J566" s="109"/>
      <c r="K566" s="109"/>
      <c r="L566" s="109"/>
      <c r="M566" s="110" t="s">
        <v>1258</v>
      </c>
      <c r="N566" s="110"/>
      <c r="O566" s="110"/>
      <c r="P566" s="110"/>
      <c r="Q566" s="110" t="s">
        <v>433</v>
      </c>
      <c r="R566" s="117">
        <v>45308</v>
      </c>
      <c r="S566" s="110" t="s">
        <v>211</v>
      </c>
      <c r="T566" s="109" t="s">
        <v>275</v>
      </c>
      <c r="U566" s="138" t="s">
        <v>275</v>
      </c>
      <c r="V566"/>
    </row>
    <row r="567" spans="1:22" x14ac:dyDescent="0.25">
      <c r="A567" s="109"/>
      <c r="B567" s="109" t="s">
        <v>23</v>
      </c>
      <c r="C567" s="109" t="s">
        <v>275</v>
      </c>
      <c r="D567" s="109" t="s">
        <v>87</v>
      </c>
      <c r="E567" s="109" t="s">
        <v>300</v>
      </c>
      <c r="F567" s="109" t="s">
        <v>3076</v>
      </c>
      <c r="G567" s="109" t="s">
        <v>1894</v>
      </c>
      <c r="H567" s="109"/>
      <c r="I567" s="109"/>
      <c r="J567" s="109"/>
      <c r="K567" s="109"/>
      <c r="L567" s="109"/>
      <c r="M567" s="109" t="s">
        <v>1258</v>
      </c>
      <c r="N567" s="109"/>
      <c r="O567" s="109"/>
      <c r="P567" s="109"/>
      <c r="Q567" s="109" t="s">
        <v>409</v>
      </c>
      <c r="R567" s="117">
        <v>45307</v>
      </c>
      <c r="S567" s="109" t="s">
        <v>410</v>
      </c>
      <c r="T567" s="109" t="s">
        <v>275</v>
      </c>
      <c r="U567" s="109" t="s">
        <v>275</v>
      </c>
      <c r="V567"/>
    </row>
    <row r="568" spans="1:22" ht="60" x14ac:dyDescent="0.25">
      <c r="A568" s="109"/>
      <c r="B568" s="109" t="s">
        <v>23</v>
      </c>
      <c r="C568" s="109" t="s">
        <v>275</v>
      </c>
      <c r="D568" s="109" t="s">
        <v>87</v>
      </c>
      <c r="E568" s="109" t="s">
        <v>364</v>
      </c>
      <c r="F568" s="109" t="s">
        <v>3080</v>
      </c>
      <c r="G568" s="109" t="s">
        <v>1895</v>
      </c>
      <c r="H568" s="109"/>
      <c r="I568" s="109"/>
      <c r="J568" s="109"/>
      <c r="K568" s="109"/>
      <c r="L568" s="109"/>
      <c r="M568" s="109" t="s">
        <v>1258</v>
      </c>
      <c r="N568" s="109"/>
      <c r="O568" s="109"/>
      <c r="P568" s="109"/>
      <c r="Q568" s="109" t="s">
        <v>326</v>
      </c>
      <c r="R568" s="117">
        <v>45659</v>
      </c>
      <c r="S568" s="109" t="s">
        <v>102</v>
      </c>
      <c r="T568" s="109" t="s">
        <v>275</v>
      </c>
      <c r="U568" s="109" t="s">
        <v>275</v>
      </c>
      <c r="V568"/>
    </row>
    <row r="569" spans="1:22" x14ac:dyDescent="0.25">
      <c r="A569" s="109"/>
      <c r="B569" s="109" t="s">
        <v>23</v>
      </c>
      <c r="C569" s="109" t="s">
        <v>275</v>
      </c>
      <c r="D569" s="109" t="s">
        <v>87</v>
      </c>
      <c r="E569" s="109" t="s">
        <v>268</v>
      </c>
      <c r="F569" s="109" t="s">
        <v>3075</v>
      </c>
      <c r="G569" s="109" t="s">
        <v>1896</v>
      </c>
      <c r="H569" s="109"/>
      <c r="I569" s="109"/>
      <c r="J569" s="109"/>
      <c r="K569" s="109"/>
      <c r="L569" s="109"/>
      <c r="M569" s="109" t="s">
        <v>1258</v>
      </c>
      <c r="N569" s="109"/>
      <c r="O569" s="109"/>
      <c r="P569" s="109"/>
      <c r="Q569" s="109" t="s">
        <v>407</v>
      </c>
      <c r="R569" s="117">
        <v>45673</v>
      </c>
      <c r="S569" s="109" t="s">
        <v>230</v>
      </c>
      <c r="T569" s="109" t="s">
        <v>275</v>
      </c>
      <c r="U569" s="109" t="s">
        <v>275</v>
      </c>
      <c r="V569"/>
    </row>
    <row r="570" spans="1:22" ht="30" x14ac:dyDescent="0.25">
      <c r="A570" s="47"/>
      <c r="B570" s="108" t="s">
        <v>23</v>
      </c>
      <c r="C570" s="47" t="s">
        <v>275</v>
      </c>
      <c r="D570" s="3" t="s">
        <v>87</v>
      </c>
      <c r="E570" s="3" t="s">
        <v>371</v>
      </c>
      <c r="F570" s="3" t="s">
        <v>88</v>
      </c>
      <c r="G570" s="3" t="s">
        <v>1897</v>
      </c>
      <c r="H570" s="3"/>
      <c r="I570" s="3"/>
      <c r="J570" s="3"/>
      <c r="K570" s="3"/>
      <c r="L570" s="3"/>
      <c r="M570" s="36" t="s">
        <v>1258</v>
      </c>
      <c r="N570" s="36"/>
      <c r="O570" s="36"/>
      <c r="P570" s="36"/>
      <c r="Q570" s="36" t="s">
        <v>324</v>
      </c>
      <c r="R570" s="150">
        <v>45644</v>
      </c>
      <c r="S570" s="36" t="s">
        <v>203</v>
      </c>
      <c r="T570" s="47" t="s">
        <v>275</v>
      </c>
      <c r="U570" s="146" t="s">
        <v>275</v>
      </c>
      <c r="V570"/>
    </row>
    <row r="571" spans="1:22" x14ac:dyDescent="0.25">
      <c r="A571" s="47"/>
      <c r="B571" s="108" t="s">
        <v>23</v>
      </c>
      <c r="C571" s="47" t="s">
        <v>275</v>
      </c>
      <c r="D571" s="3" t="s">
        <v>87</v>
      </c>
      <c r="E571" s="3" t="s">
        <v>333</v>
      </c>
      <c r="F571" s="3" t="s">
        <v>3070</v>
      </c>
      <c r="G571" s="3" t="s">
        <v>1898</v>
      </c>
      <c r="H571" s="3"/>
      <c r="I571" s="3"/>
      <c r="J571" s="3"/>
      <c r="K571" s="3"/>
      <c r="L571" s="3"/>
      <c r="M571" s="36" t="s">
        <v>1258</v>
      </c>
      <c r="N571" s="36"/>
      <c r="O571" s="36"/>
      <c r="P571" s="36"/>
      <c r="Q571" s="36" t="s">
        <v>335</v>
      </c>
      <c r="R571" s="150">
        <v>45671</v>
      </c>
      <c r="S571" s="36" t="s">
        <v>334</v>
      </c>
      <c r="T571" s="47" t="s">
        <v>275</v>
      </c>
      <c r="U571" s="146" t="s">
        <v>275</v>
      </c>
      <c r="V571"/>
    </row>
    <row r="572" spans="1:22" x14ac:dyDescent="0.25">
      <c r="A572" s="109"/>
      <c r="B572" s="109" t="s">
        <v>23</v>
      </c>
      <c r="C572" s="109" t="s">
        <v>275</v>
      </c>
      <c r="D572" s="109" t="s">
        <v>87</v>
      </c>
      <c r="E572" s="109" t="s">
        <v>321</v>
      </c>
      <c r="F572" s="109" t="s">
        <v>96</v>
      </c>
      <c r="G572" s="109" t="s">
        <v>1899</v>
      </c>
      <c r="H572" s="109"/>
      <c r="I572" s="109"/>
      <c r="J572" s="109"/>
      <c r="K572" s="109"/>
      <c r="L572" s="109"/>
      <c r="M572" s="36" t="s">
        <v>1258</v>
      </c>
      <c r="N572" s="109"/>
      <c r="O572" s="109"/>
      <c r="P572" s="109"/>
      <c r="Q572" s="109"/>
      <c r="R572" s="117">
        <v>45667</v>
      </c>
      <c r="S572" s="109" t="s">
        <v>203</v>
      </c>
      <c r="T572" s="109" t="s">
        <v>275</v>
      </c>
      <c r="U572" s="138" t="s">
        <v>2124</v>
      </c>
      <c r="V572"/>
    </row>
    <row r="573" spans="1:22" ht="105" x14ac:dyDescent="0.25">
      <c r="A573" s="47"/>
      <c r="B573" s="108" t="s">
        <v>23</v>
      </c>
      <c r="C573" s="47" t="s">
        <v>275</v>
      </c>
      <c r="D573" s="3" t="s">
        <v>87</v>
      </c>
      <c r="E573" s="3" t="s">
        <v>223</v>
      </c>
      <c r="F573" s="3" t="s">
        <v>114</v>
      </c>
      <c r="G573" s="3" t="s">
        <v>1900</v>
      </c>
      <c r="H573" s="3"/>
      <c r="I573" s="3"/>
      <c r="J573" s="3"/>
      <c r="K573" s="3"/>
      <c r="L573" s="3"/>
      <c r="M573" s="36" t="s">
        <v>1258</v>
      </c>
      <c r="N573" s="36"/>
      <c r="O573" s="36"/>
      <c r="P573" s="36"/>
      <c r="Q573" s="36" t="s">
        <v>327</v>
      </c>
      <c r="R573" s="150">
        <v>45638</v>
      </c>
      <c r="S573" s="36" t="s">
        <v>203</v>
      </c>
      <c r="T573" s="47" t="s">
        <v>275</v>
      </c>
      <c r="U573" s="146" t="s">
        <v>275</v>
      </c>
      <c r="V573"/>
    </row>
    <row r="574" spans="1:22" x14ac:dyDescent="0.25">
      <c r="A574" s="47"/>
      <c r="B574" s="108" t="s">
        <v>23</v>
      </c>
      <c r="C574" s="47" t="s">
        <v>275</v>
      </c>
      <c r="D574" s="3" t="s">
        <v>87</v>
      </c>
      <c r="E574" s="3" t="s">
        <v>372</v>
      </c>
      <c r="F574" s="3" t="s">
        <v>3076</v>
      </c>
      <c r="G574" s="3" t="s">
        <v>1901</v>
      </c>
      <c r="H574" s="3"/>
      <c r="I574" s="3"/>
      <c r="J574" s="3"/>
      <c r="K574" s="3"/>
      <c r="L574" s="3"/>
      <c r="M574" s="36" t="s">
        <v>1258</v>
      </c>
      <c r="N574" s="36"/>
      <c r="O574" s="36"/>
      <c r="P574" s="36"/>
      <c r="Q574" s="36"/>
      <c r="R574" s="150">
        <v>45656</v>
      </c>
      <c r="S574" s="36" t="s">
        <v>325</v>
      </c>
      <c r="T574" s="47" t="s">
        <v>275</v>
      </c>
      <c r="U574" s="146" t="s">
        <v>275</v>
      </c>
      <c r="V574"/>
    </row>
    <row r="575" spans="1:22" ht="60" x14ac:dyDescent="0.25">
      <c r="A575" s="47"/>
      <c r="B575" s="108" t="s">
        <v>23</v>
      </c>
      <c r="C575" s="47" t="s">
        <v>275</v>
      </c>
      <c r="D575" s="3" t="s">
        <v>87</v>
      </c>
      <c r="E575" s="3" t="s">
        <v>373</v>
      </c>
      <c r="F575" s="3" t="s">
        <v>114</v>
      </c>
      <c r="G575" s="3" t="s">
        <v>1902</v>
      </c>
      <c r="H575" s="3"/>
      <c r="I575" s="3"/>
      <c r="J575" s="3"/>
      <c r="K575" s="3"/>
      <c r="L575" s="3"/>
      <c r="M575" s="36" t="s">
        <v>1258</v>
      </c>
      <c r="N575" s="36"/>
      <c r="O575" s="36"/>
      <c r="P575" s="36"/>
      <c r="Q575" s="36" t="s">
        <v>322</v>
      </c>
      <c r="R575" s="150">
        <v>45665</v>
      </c>
      <c r="S575" s="36" t="s">
        <v>308</v>
      </c>
      <c r="T575" s="47" t="s">
        <v>275</v>
      </c>
      <c r="U575" s="146" t="s">
        <v>275</v>
      </c>
      <c r="V575"/>
    </row>
    <row r="576" spans="1:22" ht="30" x14ac:dyDescent="0.25">
      <c r="A576" s="47"/>
      <c r="B576" s="108" t="s">
        <v>23</v>
      </c>
      <c r="C576" s="47" t="s">
        <v>275</v>
      </c>
      <c r="D576" s="3" t="s">
        <v>87</v>
      </c>
      <c r="E576" s="3" t="s">
        <v>301</v>
      </c>
      <c r="F576" s="3" t="s">
        <v>3074</v>
      </c>
      <c r="G576" s="3" t="s">
        <v>1903</v>
      </c>
      <c r="H576" s="3"/>
      <c r="I576" s="3"/>
      <c r="J576" s="3"/>
      <c r="K576" s="3"/>
      <c r="L576" s="3"/>
      <c r="M576" s="36" t="s">
        <v>1258</v>
      </c>
      <c r="N576" s="36"/>
      <c r="O576" s="36"/>
      <c r="P576" s="36"/>
      <c r="Q576" s="36" t="s">
        <v>323</v>
      </c>
      <c r="R576" s="150"/>
      <c r="S576" s="36"/>
      <c r="T576" s="47" t="s">
        <v>275</v>
      </c>
      <c r="U576" s="146" t="s">
        <v>275</v>
      </c>
      <c r="V576"/>
    </row>
    <row r="577" spans="1:22" ht="30" x14ac:dyDescent="0.25">
      <c r="A577" s="109"/>
      <c r="B577" s="109" t="s">
        <v>23</v>
      </c>
      <c r="C577" s="109" t="s">
        <v>275</v>
      </c>
      <c r="D577" s="109" t="s">
        <v>87</v>
      </c>
      <c r="E577" s="109" t="s">
        <v>236</v>
      </c>
      <c r="F577" s="109" t="s">
        <v>3078</v>
      </c>
      <c r="G577" s="109" t="s">
        <v>1904</v>
      </c>
      <c r="H577" s="109"/>
      <c r="I577" s="109"/>
      <c r="J577" s="109"/>
      <c r="K577" s="109"/>
      <c r="L577" s="109"/>
      <c r="M577" s="109" t="s">
        <v>1258</v>
      </c>
      <c r="N577" s="109"/>
      <c r="O577" s="109"/>
      <c r="P577" s="109"/>
      <c r="Q577" s="109" t="s">
        <v>304</v>
      </c>
      <c r="R577" s="117">
        <v>45664</v>
      </c>
      <c r="S577" s="109" t="s">
        <v>305</v>
      </c>
      <c r="T577" s="109" t="s">
        <v>275</v>
      </c>
      <c r="U577" s="109" t="s">
        <v>275</v>
      </c>
      <c r="V577"/>
    </row>
    <row r="578" spans="1:22" x14ac:dyDescent="0.25">
      <c r="A578" s="109"/>
      <c r="B578" s="109" t="s">
        <v>23</v>
      </c>
      <c r="C578" s="109" t="s">
        <v>275</v>
      </c>
      <c r="D578" s="109" t="s">
        <v>87</v>
      </c>
      <c r="E578" s="109" t="s">
        <v>374</v>
      </c>
      <c r="F578" s="109" t="s">
        <v>112</v>
      </c>
      <c r="G578" s="109" t="s">
        <v>1905</v>
      </c>
      <c r="H578" s="109"/>
      <c r="I578" s="109"/>
      <c r="J578" s="109"/>
      <c r="K578" s="109"/>
      <c r="L578" s="109"/>
      <c r="M578" s="109" t="s">
        <v>1258</v>
      </c>
      <c r="N578" s="109"/>
      <c r="O578" s="109"/>
      <c r="P578" s="109"/>
      <c r="Q578" s="109"/>
      <c r="R578" s="117">
        <v>45659</v>
      </c>
      <c r="S578" s="109" t="s">
        <v>203</v>
      </c>
      <c r="T578" s="109" t="s">
        <v>275</v>
      </c>
      <c r="U578" s="109" t="s">
        <v>275</v>
      </c>
      <c r="V578"/>
    </row>
    <row r="579" spans="1:22" ht="45" x14ac:dyDescent="0.25">
      <c r="A579" s="47"/>
      <c r="B579" s="108" t="s">
        <v>23</v>
      </c>
      <c r="C579" s="47" t="s">
        <v>275</v>
      </c>
      <c r="D579" s="3" t="s">
        <v>87</v>
      </c>
      <c r="E579" s="3" t="s">
        <v>234</v>
      </c>
      <c r="F579" s="3" t="s">
        <v>3079</v>
      </c>
      <c r="G579" s="3" t="s">
        <v>1906</v>
      </c>
      <c r="H579" s="3"/>
      <c r="I579" s="3"/>
      <c r="J579" s="3"/>
      <c r="K579" s="3"/>
      <c r="L579" s="3"/>
      <c r="M579" s="36" t="s">
        <v>1258</v>
      </c>
      <c r="N579" s="36"/>
      <c r="O579" s="36"/>
      <c r="P579" s="36"/>
      <c r="Q579" s="36" t="s">
        <v>296</v>
      </c>
      <c r="R579" s="150">
        <v>45659</v>
      </c>
      <c r="S579" s="36" t="s">
        <v>50</v>
      </c>
      <c r="T579" s="47" t="s">
        <v>275</v>
      </c>
      <c r="U579" s="146" t="s">
        <v>275</v>
      </c>
      <c r="V579"/>
    </row>
    <row r="580" spans="1:22" ht="30" x14ac:dyDescent="0.25">
      <c r="A580" s="47"/>
      <c r="B580" s="108" t="s">
        <v>23</v>
      </c>
      <c r="C580" s="47" t="s">
        <v>275</v>
      </c>
      <c r="D580" s="3" t="s">
        <v>87</v>
      </c>
      <c r="E580" s="3" t="s">
        <v>375</v>
      </c>
      <c r="F580" s="3" t="s">
        <v>3079</v>
      </c>
      <c r="G580" s="3" t="s">
        <v>1907</v>
      </c>
      <c r="H580" s="3"/>
      <c r="I580" s="3"/>
      <c r="J580" s="3"/>
      <c r="K580" s="3"/>
      <c r="L580" s="3"/>
      <c r="M580" s="36" t="s">
        <v>1258</v>
      </c>
      <c r="N580" s="36"/>
      <c r="O580" s="36"/>
      <c r="P580" s="36"/>
      <c r="Q580" s="36" t="s">
        <v>298</v>
      </c>
      <c r="R580" s="150">
        <v>45659</v>
      </c>
      <c r="S580" s="36" t="s">
        <v>297</v>
      </c>
      <c r="T580" s="47" t="s">
        <v>275</v>
      </c>
      <c r="U580" s="146" t="s">
        <v>275</v>
      </c>
      <c r="V580"/>
    </row>
    <row r="581" spans="1:22" ht="30" x14ac:dyDescent="0.25">
      <c r="A581" s="47"/>
      <c r="B581" s="108" t="s">
        <v>23</v>
      </c>
      <c r="C581" s="47" t="s">
        <v>275</v>
      </c>
      <c r="D581" s="3" t="s">
        <v>87</v>
      </c>
      <c r="E581" s="3" t="s">
        <v>376</v>
      </c>
      <c r="F581" s="3" t="s">
        <v>3079</v>
      </c>
      <c r="G581" s="3" t="s">
        <v>1908</v>
      </c>
      <c r="H581" s="3"/>
      <c r="I581" s="3"/>
      <c r="J581" s="3"/>
      <c r="K581" s="3"/>
      <c r="L581" s="3"/>
      <c r="M581" s="36" t="s">
        <v>1258</v>
      </c>
      <c r="N581" s="36"/>
      <c r="O581" s="36"/>
      <c r="P581" s="36"/>
      <c r="Q581" s="36" t="s">
        <v>298</v>
      </c>
      <c r="R581" s="150">
        <v>45659</v>
      </c>
      <c r="S581" s="36" t="s">
        <v>297</v>
      </c>
      <c r="T581" s="47" t="s">
        <v>275</v>
      </c>
      <c r="U581" s="146" t="s">
        <v>275</v>
      </c>
      <c r="V581"/>
    </row>
    <row r="582" spans="1:22" ht="30" x14ac:dyDescent="0.25">
      <c r="A582" s="47"/>
      <c r="B582" s="108" t="s">
        <v>23</v>
      </c>
      <c r="C582" s="47" t="s">
        <v>275</v>
      </c>
      <c r="D582" s="3" t="s">
        <v>87</v>
      </c>
      <c r="E582" s="3" t="s">
        <v>271</v>
      </c>
      <c r="F582" s="3" t="s">
        <v>3080</v>
      </c>
      <c r="G582" s="3" t="s">
        <v>1909</v>
      </c>
      <c r="H582" s="3"/>
      <c r="I582" s="3"/>
      <c r="J582" s="3"/>
      <c r="K582" s="3"/>
      <c r="L582" s="3"/>
      <c r="M582" s="36" t="s">
        <v>1258</v>
      </c>
      <c r="N582" s="36"/>
      <c r="O582" s="36"/>
      <c r="P582" s="36"/>
      <c r="Q582" s="36" t="s">
        <v>299</v>
      </c>
      <c r="R582" s="150">
        <v>45659</v>
      </c>
      <c r="S582" s="36" t="s">
        <v>297</v>
      </c>
      <c r="T582" s="47" t="s">
        <v>275</v>
      </c>
      <c r="U582" s="146" t="s">
        <v>275</v>
      </c>
      <c r="V582"/>
    </row>
    <row r="583" spans="1:22" x14ac:dyDescent="0.25">
      <c r="A583" s="47"/>
      <c r="B583" s="108" t="s">
        <v>23</v>
      </c>
      <c r="C583" s="47" t="s">
        <v>275</v>
      </c>
      <c r="D583" s="3" t="s">
        <v>87</v>
      </c>
      <c r="E583" s="3" t="s">
        <v>377</v>
      </c>
      <c r="F583" s="3" t="s">
        <v>3076</v>
      </c>
      <c r="G583" s="3" t="s">
        <v>1910</v>
      </c>
      <c r="H583" s="3"/>
      <c r="I583" s="3"/>
      <c r="J583" s="3"/>
      <c r="K583" s="3"/>
      <c r="L583" s="3"/>
      <c r="M583" s="36" t="s">
        <v>1258</v>
      </c>
      <c r="N583" s="36"/>
      <c r="O583" s="36"/>
      <c r="P583" s="36"/>
      <c r="Q583" s="36"/>
      <c r="R583" s="150">
        <v>45656</v>
      </c>
      <c r="S583" s="36" t="s">
        <v>211</v>
      </c>
      <c r="T583" s="47" t="s">
        <v>275</v>
      </c>
      <c r="U583" s="146" t="s">
        <v>2125</v>
      </c>
      <c r="V583"/>
    </row>
    <row r="584" spans="1:22" x14ac:dyDescent="0.25">
      <c r="A584" s="47"/>
      <c r="B584" s="108" t="s">
        <v>23</v>
      </c>
      <c r="C584" s="47" t="s">
        <v>275</v>
      </c>
      <c r="D584" s="3" t="s">
        <v>87</v>
      </c>
      <c r="E584" s="3" t="s">
        <v>291</v>
      </c>
      <c r="F584" s="3" t="s">
        <v>112</v>
      </c>
      <c r="G584" s="3" t="s">
        <v>1911</v>
      </c>
      <c r="H584" s="3"/>
      <c r="I584" s="3"/>
      <c r="J584" s="3"/>
      <c r="K584" s="3"/>
      <c r="L584" s="3"/>
      <c r="M584" s="36" t="s">
        <v>1258</v>
      </c>
      <c r="N584" s="36"/>
      <c r="O584" s="36"/>
      <c r="P584" s="36"/>
      <c r="Q584" s="36" t="s">
        <v>290</v>
      </c>
      <c r="R584" s="150">
        <v>45656</v>
      </c>
      <c r="S584" s="36" t="s">
        <v>211</v>
      </c>
      <c r="T584" s="47" t="s">
        <v>275</v>
      </c>
      <c r="U584" s="146" t="s">
        <v>275</v>
      </c>
      <c r="V584"/>
    </row>
    <row r="585" spans="1:22" x14ac:dyDescent="0.25">
      <c r="A585" s="47"/>
      <c r="B585" s="108" t="s">
        <v>23</v>
      </c>
      <c r="C585" s="47" t="s">
        <v>275</v>
      </c>
      <c r="D585" s="3" t="s">
        <v>87</v>
      </c>
      <c r="E585" s="3" t="s">
        <v>378</v>
      </c>
      <c r="F585" s="3" t="s">
        <v>3079</v>
      </c>
      <c r="G585" s="3" t="s">
        <v>1912</v>
      </c>
      <c r="H585" s="3"/>
      <c r="I585" s="3"/>
      <c r="J585" s="3"/>
      <c r="K585" s="3"/>
      <c r="L585" s="3"/>
      <c r="M585" s="36" t="s">
        <v>1258</v>
      </c>
      <c r="N585" s="36"/>
      <c r="O585" s="36"/>
      <c r="P585" s="36"/>
      <c r="Q585" s="36"/>
      <c r="R585" s="150"/>
      <c r="S585" s="36" t="s">
        <v>206</v>
      </c>
      <c r="T585" s="47" t="s">
        <v>275</v>
      </c>
      <c r="U585" s="146" t="s">
        <v>275</v>
      </c>
      <c r="V585"/>
    </row>
    <row r="586" spans="1:22" ht="60" x14ac:dyDescent="0.25">
      <c r="A586" s="109"/>
      <c r="B586" s="109" t="s">
        <v>23</v>
      </c>
      <c r="C586" s="109" t="s">
        <v>275</v>
      </c>
      <c r="D586" s="109" t="s">
        <v>87</v>
      </c>
      <c r="E586" s="109" t="s">
        <v>379</v>
      </c>
      <c r="F586" s="109" t="s">
        <v>92</v>
      </c>
      <c r="G586" s="109" t="s">
        <v>1913</v>
      </c>
      <c r="H586" s="109"/>
      <c r="I586" s="109"/>
      <c r="J586" s="109"/>
      <c r="K586" s="109"/>
      <c r="L586" s="109"/>
      <c r="M586" s="109" t="s">
        <v>1258</v>
      </c>
      <c r="N586" s="109"/>
      <c r="O586" s="109"/>
      <c r="P586" s="109"/>
      <c r="Q586" s="109" t="s">
        <v>222</v>
      </c>
      <c r="R586" s="117">
        <v>45623</v>
      </c>
      <c r="S586" s="109" t="s">
        <v>150</v>
      </c>
      <c r="T586" s="109" t="s">
        <v>275</v>
      </c>
      <c r="U586" s="109" t="s">
        <v>275</v>
      </c>
      <c r="V586"/>
    </row>
    <row r="587" spans="1:22" x14ac:dyDescent="0.25">
      <c r="A587" s="109"/>
      <c r="B587" s="109" t="s">
        <v>23</v>
      </c>
      <c r="C587" s="109" t="s">
        <v>275</v>
      </c>
      <c r="D587" s="109" t="s">
        <v>87</v>
      </c>
      <c r="E587" s="109" t="s">
        <v>246</v>
      </c>
      <c r="F587" s="109" t="s">
        <v>96</v>
      </c>
      <c r="G587" s="109" t="s">
        <v>1914</v>
      </c>
      <c r="H587" s="109"/>
      <c r="I587" s="109"/>
      <c r="J587" s="109"/>
      <c r="K587" s="109"/>
      <c r="L587" s="109"/>
      <c r="M587" s="109" t="s">
        <v>1258</v>
      </c>
      <c r="N587" s="109"/>
      <c r="O587" s="109"/>
      <c r="P587" s="109"/>
      <c r="Q587" s="109" t="s">
        <v>256</v>
      </c>
      <c r="R587" s="117">
        <v>45646</v>
      </c>
      <c r="S587" s="109" t="s">
        <v>211</v>
      </c>
      <c r="T587" s="109" t="s">
        <v>275</v>
      </c>
      <c r="U587" s="109" t="s">
        <v>275</v>
      </c>
      <c r="V587"/>
    </row>
    <row r="588" spans="1:22" x14ac:dyDescent="0.25">
      <c r="A588" s="109"/>
      <c r="B588" s="109" t="s">
        <v>23</v>
      </c>
      <c r="C588" s="109" t="s">
        <v>275</v>
      </c>
      <c r="D588" s="109" t="s">
        <v>87</v>
      </c>
      <c r="E588" s="109" t="s">
        <v>380</v>
      </c>
      <c r="F588" s="109" t="s">
        <v>3076</v>
      </c>
      <c r="G588" s="109" t="s">
        <v>1915</v>
      </c>
      <c r="H588" s="109"/>
      <c r="I588" s="109"/>
      <c r="J588" s="109"/>
      <c r="K588" s="109"/>
      <c r="L588" s="109"/>
      <c r="M588" s="109" t="s">
        <v>1258</v>
      </c>
      <c r="N588" s="109"/>
      <c r="O588" s="109"/>
      <c r="P588" s="109"/>
      <c r="Q588" s="109" t="s">
        <v>273</v>
      </c>
      <c r="R588" s="117">
        <v>45649</v>
      </c>
      <c r="S588" s="109" t="s">
        <v>206</v>
      </c>
      <c r="T588" s="109" t="s">
        <v>275</v>
      </c>
      <c r="U588" s="109" t="s">
        <v>275</v>
      </c>
      <c r="V588"/>
    </row>
    <row r="589" spans="1:22" x14ac:dyDescent="0.25">
      <c r="A589" s="47"/>
      <c r="B589" s="108" t="s">
        <v>23</v>
      </c>
      <c r="C589" s="47" t="s">
        <v>275</v>
      </c>
      <c r="D589" s="3" t="s">
        <v>87</v>
      </c>
      <c r="E589" s="3" t="s">
        <v>270</v>
      </c>
      <c r="F589" s="3" t="s">
        <v>3075</v>
      </c>
      <c r="G589" s="3" t="s">
        <v>1916</v>
      </c>
      <c r="H589" s="3"/>
      <c r="I589" s="3"/>
      <c r="J589" s="3"/>
      <c r="K589" s="3"/>
      <c r="L589" s="3"/>
      <c r="M589" s="36" t="s">
        <v>1258</v>
      </c>
      <c r="N589" s="36"/>
      <c r="O589" s="36"/>
      <c r="P589" s="36"/>
      <c r="Q589" s="36"/>
      <c r="R589" s="150"/>
      <c r="S589" s="36"/>
      <c r="T589" s="47" t="s">
        <v>275</v>
      </c>
      <c r="U589" s="146" t="s">
        <v>275</v>
      </c>
      <c r="V589"/>
    </row>
    <row r="590" spans="1:22" ht="30" x14ac:dyDescent="0.25">
      <c r="A590" s="109"/>
      <c r="B590" s="109" t="s">
        <v>23</v>
      </c>
      <c r="C590" s="109" t="s">
        <v>275</v>
      </c>
      <c r="D590" s="109" t="s">
        <v>87</v>
      </c>
      <c r="E590" s="109" t="s">
        <v>141</v>
      </c>
      <c r="F590" s="109" t="s">
        <v>3078</v>
      </c>
      <c r="G590" s="109" t="s">
        <v>1917</v>
      </c>
      <c r="H590" s="109"/>
      <c r="I590" s="109"/>
      <c r="J590" s="109"/>
      <c r="K590" s="109"/>
      <c r="L590" s="109"/>
      <c r="M590" s="109" t="s">
        <v>1258</v>
      </c>
      <c r="N590" s="109"/>
      <c r="O590" s="109"/>
      <c r="P590" s="109"/>
      <c r="Q590" s="109" t="s">
        <v>266</v>
      </c>
      <c r="R590" s="117">
        <v>45646</v>
      </c>
      <c r="S590" s="109" t="s">
        <v>206</v>
      </c>
      <c r="T590" s="109" t="s">
        <v>275</v>
      </c>
      <c r="U590" s="109" t="s">
        <v>275</v>
      </c>
      <c r="V590"/>
    </row>
    <row r="591" spans="1:22" ht="30" x14ac:dyDescent="0.25">
      <c r="A591" s="47"/>
      <c r="B591" s="108" t="s">
        <v>23</v>
      </c>
      <c r="C591" s="47" t="s">
        <v>275</v>
      </c>
      <c r="D591" s="3" t="s">
        <v>87</v>
      </c>
      <c r="E591" s="3" t="s">
        <v>250</v>
      </c>
      <c r="F591" s="3" t="s">
        <v>3076</v>
      </c>
      <c r="G591" s="3" t="s">
        <v>1918</v>
      </c>
      <c r="H591" s="3"/>
      <c r="I591" s="3"/>
      <c r="J591" s="3"/>
      <c r="K591" s="3"/>
      <c r="L591" s="3"/>
      <c r="M591" s="36" t="s">
        <v>1258</v>
      </c>
      <c r="N591" s="36"/>
      <c r="O591" s="36"/>
      <c r="P591" s="36"/>
      <c r="Q591" s="36" t="s">
        <v>265</v>
      </c>
      <c r="R591" s="150"/>
      <c r="S591" s="36"/>
      <c r="T591" s="47" t="s">
        <v>275</v>
      </c>
      <c r="U591" s="146" t="s">
        <v>275</v>
      </c>
      <c r="V591"/>
    </row>
    <row r="592" spans="1:22" ht="30" x14ac:dyDescent="0.25">
      <c r="A592" s="47"/>
      <c r="B592" s="108" t="s">
        <v>23</v>
      </c>
      <c r="C592" s="47" t="s">
        <v>275</v>
      </c>
      <c r="D592" s="3" t="s">
        <v>87</v>
      </c>
      <c r="E592" s="3" t="s">
        <v>381</v>
      </c>
      <c r="F592" s="3" t="s">
        <v>3074</v>
      </c>
      <c r="G592" s="3" t="s">
        <v>1919</v>
      </c>
      <c r="H592" s="3"/>
      <c r="I592" s="3"/>
      <c r="J592" s="3"/>
      <c r="K592" s="3"/>
      <c r="L592" s="3"/>
      <c r="M592" s="36" t="s">
        <v>1258</v>
      </c>
      <c r="N592" s="36"/>
      <c r="O592" s="36"/>
      <c r="P592" s="36"/>
      <c r="Q592" s="36"/>
      <c r="R592" s="150"/>
      <c r="S592" s="36"/>
      <c r="T592" s="47" t="s">
        <v>275</v>
      </c>
      <c r="U592" s="146" t="s">
        <v>275</v>
      </c>
      <c r="V592"/>
    </row>
    <row r="593" spans="1:22" ht="30" x14ac:dyDescent="0.25">
      <c r="A593" s="47"/>
      <c r="B593" s="108" t="s">
        <v>23</v>
      </c>
      <c r="C593" s="47" t="s">
        <v>275</v>
      </c>
      <c r="D593" s="3" t="s">
        <v>87</v>
      </c>
      <c r="E593" s="3" t="s">
        <v>382</v>
      </c>
      <c r="F593" s="3" t="s">
        <v>114</v>
      </c>
      <c r="G593" s="3" t="s">
        <v>1920</v>
      </c>
      <c r="H593" s="3"/>
      <c r="I593" s="3"/>
      <c r="J593" s="3"/>
      <c r="K593" s="3"/>
      <c r="L593" s="3"/>
      <c r="M593" s="36" t="s">
        <v>1258</v>
      </c>
      <c r="N593" s="36"/>
      <c r="O593" s="36"/>
      <c r="P593" s="36"/>
      <c r="Q593" s="36" t="s">
        <v>274</v>
      </c>
      <c r="R593" s="150">
        <v>45644</v>
      </c>
      <c r="S593" s="36" t="s">
        <v>150</v>
      </c>
      <c r="T593" s="47" t="s">
        <v>275</v>
      </c>
      <c r="U593" s="146" t="s">
        <v>275</v>
      </c>
      <c r="V593"/>
    </row>
    <row r="594" spans="1:22" x14ac:dyDescent="0.25">
      <c r="A594" s="109"/>
      <c r="B594" s="109" t="s">
        <v>23</v>
      </c>
      <c r="C594" s="109" t="s">
        <v>275</v>
      </c>
      <c r="D594" s="109" t="s">
        <v>87</v>
      </c>
      <c r="E594" s="109" t="s">
        <v>207</v>
      </c>
      <c r="F594" s="109" t="s">
        <v>3075</v>
      </c>
      <c r="G594" s="109" t="s">
        <v>1921</v>
      </c>
      <c r="H594" s="109"/>
      <c r="I594" s="109"/>
      <c r="J594" s="109"/>
      <c r="K594" s="109"/>
      <c r="L594" s="109"/>
      <c r="M594" s="109" t="s">
        <v>1258</v>
      </c>
      <c r="N594" s="109"/>
      <c r="O594" s="109"/>
      <c r="P594" s="109"/>
      <c r="Q594" s="109"/>
      <c r="R594" s="117">
        <v>45642</v>
      </c>
      <c r="S594" s="109" t="s">
        <v>211</v>
      </c>
      <c r="T594" s="109" t="s">
        <v>275</v>
      </c>
      <c r="U594" s="109" t="s">
        <v>275</v>
      </c>
      <c r="V594"/>
    </row>
    <row r="595" spans="1:22" x14ac:dyDescent="0.25">
      <c r="A595" s="47"/>
      <c r="B595" s="108" t="s">
        <v>23</v>
      </c>
      <c r="C595" s="47" t="s">
        <v>275</v>
      </c>
      <c r="D595" s="3" t="s">
        <v>87</v>
      </c>
      <c r="E595" s="3" t="s">
        <v>383</v>
      </c>
      <c r="F595" s="3" t="s">
        <v>3074</v>
      </c>
      <c r="G595" s="3" t="s">
        <v>1922</v>
      </c>
      <c r="H595" s="3"/>
      <c r="I595" s="3"/>
      <c r="J595" s="3"/>
      <c r="K595" s="3"/>
      <c r="L595" s="3"/>
      <c r="M595" s="36" t="s">
        <v>1258</v>
      </c>
      <c r="N595" s="36"/>
      <c r="O595" s="36"/>
      <c r="P595" s="36"/>
      <c r="Q595" s="36"/>
      <c r="R595" s="150"/>
      <c r="S595" s="36"/>
      <c r="T595" s="47" t="s">
        <v>275</v>
      </c>
      <c r="U595" s="146" t="s">
        <v>275</v>
      </c>
      <c r="V595"/>
    </row>
    <row r="596" spans="1:22" x14ac:dyDescent="0.25">
      <c r="A596" s="47"/>
      <c r="B596" s="108" t="s">
        <v>23</v>
      </c>
      <c r="C596" s="47" t="s">
        <v>275</v>
      </c>
      <c r="D596" s="3" t="s">
        <v>87</v>
      </c>
      <c r="E596" s="3" t="s">
        <v>248</v>
      </c>
      <c r="F596" s="3" t="s">
        <v>3075</v>
      </c>
      <c r="G596" s="3" t="s">
        <v>1923</v>
      </c>
      <c r="H596" s="3"/>
      <c r="I596" s="3"/>
      <c r="J596" s="3"/>
      <c r="K596" s="3"/>
      <c r="L596" s="3"/>
      <c r="M596" s="36" t="s">
        <v>1258</v>
      </c>
      <c r="N596" s="36"/>
      <c r="O596" s="36"/>
      <c r="P596" s="36"/>
      <c r="Q596" s="36"/>
      <c r="R596" s="150"/>
      <c r="S596" s="36"/>
      <c r="T596" s="47" t="s">
        <v>275</v>
      </c>
      <c r="U596" s="146" t="s">
        <v>275</v>
      </c>
      <c r="V596"/>
    </row>
    <row r="597" spans="1:22" x14ac:dyDescent="0.25">
      <c r="A597" s="109"/>
      <c r="B597" s="109" t="s">
        <v>23</v>
      </c>
      <c r="C597" s="109" t="s">
        <v>275</v>
      </c>
      <c r="D597" s="109" t="s">
        <v>87</v>
      </c>
      <c r="E597" s="109" t="s">
        <v>384</v>
      </c>
      <c r="F597" s="109" t="s">
        <v>3076</v>
      </c>
      <c r="G597" s="109" t="s">
        <v>1924</v>
      </c>
      <c r="H597" s="109"/>
      <c r="I597" s="109"/>
      <c r="J597" s="109"/>
      <c r="K597" s="109"/>
      <c r="L597" s="109"/>
      <c r="M597" s="109" t="s">
        <v>1258</v>
      </c>
      <c r="N597" s="109"/>
      <c r="O597" s="109"/>
      <c r="P597" s="109"/>
      <c r="Q597" s="109" t="s">
        <v>247</v>
      </c>
      <c r="R597" s="117"/>
      <c r="S597" s="109"/>
      <c r="T597" s="109" t="s">
        <v>275</v>
      </c>
      <c r="U597" s="109" t="s">
        <v>275</v>
      </c>
      <c r="V597"/>
    </row>
    <row r="598" spans="1:22" x14ac:dyDescent="0.25">
      <c r="A598" s="47"/>
      <c r="B598" s="108" t="s">
        <v>23</v>
      </c>
      <c r="C598" s="47" t="s">
        <v>275</v>
      </c>
      <c r="D598" s="3" t="s">
        <v>87</v>
      </c>
      <c r="E598" s="3" t="s">
        <v>100</v>
      </c>
      <c r="F598" s="3" t="s">
        <v>97</v>
      </c>
      <c r="G598" s="3" t="s">
        <v>1925</v>
      </c>
      <c r="H598" s="3"/>
      <c r="I598" s="3"/>
      <c r="J598" s="3"/>
      <c r="K598" s="3"/>
      <c r="L598" s="3"/>
      <c r="M598" s="36" t="s">
        <v>1258</v>
      </c>
      <c r="N598" s="36"/>
      <c r="O598" s="36"/>
      <c r="P598" s="36"/>
      <c r="Q598" s="36" t="s">
        <v>251</v>
      </c>
      <c r="R598" s="150">
        <v>45645</v>
      </c>
      <c r="S598" s="36" t="s">
        <v>203</v>
      </c>
      <c r="T598" s="47" t="s">
        <v>275</v>
      </c>
      <c r="U598" s="146" t="s">
        <v>2126</v>
      </c>
      <c r="V598"/>
    </row>
    <row r="599" spans="1:22" x14ac:dyDescent="0.25">
      <c r="A599" s="47"/>
      <c r="B599" s="108" t="s">
        <v>23</v>
      </c>
      <c r="C599" s="47" t="s">
        <v>275</v>
      </c>
      <c r="D599" s="3" t="s">
        <v>87</v>
      </c>
      <c r="E599" s="3" t="s">
        <v>224</v>
      </c>
      <c r="F599" s="3" t="s">
        <v>92</v>
      </c>
      <c r="G599" s="3" t="s">
        <v>1926</v>
      </c>
      <c r="H599" s="3"/>
      <c r="I599" s="3"/>
      <c r="J599" s="3"/>
      <c r="K599" s="3"/>
      <c r="L599" s="3"/>
      <c r="M599" s="36" t="s">
        <v>1258</v>
      </c>
      <c r="N599" s="36"/>
      <c r="O599" s="36"/>
      <c r="P599" s="36"/>
      <c r="Q599" s="36" t="s">
        <v>244</v>
      </c>
      <c r="R599" s="150">
        <v>45644</v>
      </c>
      <c r="S599" s="36" t="s">
        <v>203</v>
      </c>
      <c r="T599" s="47" t="s">
        <v>275</v>
      </c>
      <c r="U599" s="146" t="s">
        <v>275</v>
      </c>
      <c r="V599"/>
    </row>
    <row r="600" spans="1:22" x14ac:dyDescent="0.25">
      <c r="A600" s="47"/>
      <c r="B600" s="108" t="s">
        <v>23</v>
      </c>
      <c r="C600" s="47" t="s">
        <v>275</v>
      </c>
      <c r="D600" s="3" t="s">
        <v>87</v>
      </c>
      <c r="E600" s="3" t="s">
        <v>385</v>
      </c>
      <c r="F600" s="3" t="s">
        <v>3075</v>
      </c>
      <c r="G600" s="3" t="s">
        <v>1927</v>
      </c>
      <c r="H600" s="3"/>
      <c r="I600" s="3"/>
      <c r="J600" s="3"/>
      <c r="K600" s="3"/>
      <c r="L600" s="3"/>
      <c r="M600" s="36" t="s">
        <v>1258</v>
      </c>
      <c r="N600" s="36"/>
      <c r="O600" s="36"/>
      <c r="P600" s="36"/>
      <c r="Q600" s="36" t="s">
        <v>245</v>
      </c>
      <c r="R600" s="150">
        <v>45644</v>
      </c>
      <c r="S600" s="36" t="s">
        <v>203</v>
      </c>
      <c r="T600" s="47" t="s">
        <v>275</v>
      </c>
      <c r="U600" s="146" t="s">
        <v>275</v>
      </c>
      <c r="V600"/>
    </row>
    <row r="601" spans="1:22" x14ac:dyDescent="0.25">
      <c r="A601" s="109"/>
      <c r="B601" s="109" t="s">
        <v>23</v>
      </c>
      <c r="C601" s="109" t="s">
        <v>275</v>
      </c>
      <c r="D601" s="109" t="s">
        <v>87</v>
      </c>
      <c r="E601" s="109" t="s">
        <v>386</v>
      </c>
      <c r="F601" s="109" t="s">
        <v>3075</v>
      </c>
      <c r="G601" s="109" t="s">
        <v>1928</v>
      </c>
      <c r="H601" s="109"/>
      <c r="I601" s="109"/>
      <c r="J601" s="109"/>
      <c r="K601" s="109"/>
      <c r="L601" s="109"/>
      <c r="M601" s="110" t="s">
        <v>1258</v>
      </c>
      <c r="N601" s="110"/>
      <c r="O601" s="110"/>
      <c r="P601" s="110"/>
      <c r="Q601" s="110" t="s">
        <v>238</v>
      </c>
      <c r="R601" s="117">
        <v>45643</v>
      </c>
      <c r="S601" s="110" t="s">
        <v>239</v>
      </c>
      <c r="T601" s="109" t="s">
        <v>275</v>
      </c>
      <c r="U601" s="138" t="s">
        <v>275</v>
      </c>
      <c r="V601"/>
    </row>
    <row r="602" spans="1:22" x14ac:dyDescent="0.25">
      <c r="A602" s="109"/>
      <c r="B602" s="109" t="s">
        <v>23</v>
      </c>
      <c r="C602" s="109" t="s">
        <v>275</v>
      </c>
      <c r="D602" s="109" t="s">
        <v>87</v>
      </c>
      <c r="E602" s="109" t="s">
        <v>235</v>
      </c>
      <c r="F602" s="109" t="s">
        <v>3076</v>
      </c>
      <c r="G602" s="109" t="s">
        <v>1929</v>
      </c>
      <c r="H602" s="109"/>
      <c r="I602" s="109"/>
      <c r="J602" s="109"/>
      <c r="K602" s="109"/>
      <c r="L602" s="109"/>
      <c r="M602" s="109" t="s">
        <v>1258</v>
      </c>
      <c r="N602" s="109"/>
      <c r="O602" s="109"/>
      <c r="P602" s="109"/>
      <c r="Q602" s="109"/>
      <c r="R602" s="117">
        <v>45643</v>
      </c>
      <c r="S602" s="109" t="s">
        <v>211</v>
      </c>
      <c r="T602" s="109" t="s">
        <v>275</v>
      </c>
      <c r="U602" s="109" t="s">
        <v>275</v>
      </c>
      <c r="V602"/>
    </row>
    <row r="603" spans="1:22" ht="30" x14ac:dyDescent="0.25">
      <c r="A603" s="109"/>
      <c r="B603" s="109" t="s">
        <v>23</v>
      </c>
      <c r="C603" s="109" t="s">
        <v>275</v>
      </c>
      <c r="D603" s="109" t="s">
        <v>87</v>
      </c>
      <c r="E603" s="109" t="s">
        <v>103</v>
      </c>
      <c r="F603" s="109" t="s">
        <v>3075</v>
      </c>
      <c r="G603" s="109" t="s">
        <v>1923</v>
      </c>
      <c r="H603" s="109"/>
      <c r="I603" s="109"/>
      <c r="J603" s="109"/>
      <c r="K603" s="109"/>
      <c r="L603" s="109"/>
      <c r="M603" s="109" t="s">
        <v>1258</v>
      </c>
      <c r="N603" s="109"/>
      <c r="O603" s="109"/>
      <c r="P603" s="109"/>
      <c r="Q603" s="109" t="s">
        <v>237</v>
      </c>
      <c r="R603" s="117"/>
      <c r="S603" s="109"/>
      <c r="T603" s="109" t="s">
        <v>275</v>
      </c>
      <c r="U603" s="109" t="s">
        <v>275</v>
      </c>
      <c r="V603"/>
    </row>
    <row r="604" spans="1:22" x14ac:dyDescent="0.25">
      <c r="A604" s="47"/>
      <c r="B604" s="108" t="s">
        <v>23</v>
      </c>
      <c r="C604" s="47" t="s">
        <v>275</v>
      </c>
      <c r="D604" s="3" t="s">
        <v>87</v>
      </c>
      <c r="E604" s="3" t="s">
        <v>231</v>
      </c>
      <c r="F604" s="3" t="s">
        <v>93</v>
      </c>
      <c r="G604" s="3" t="s">
        <v>1930</v>
      </c>
      <c r="H604" s="3"/>
      <c r="I604" s="3"/>
      <c r="J604" s="3"/>
      <c r="K604" s="3"/>
      <c r="L604" s="3"/>
      <c r="M604" s="36" t="s">
        <v>1258</v>
      </c>
      <c r="N604" s="36"/>
      <c r="O604" s="36"/>
      <c r="P604" s="36"/>
      <c r="Q604" s="36" t="s">
        <v>232</v>
      </c>
      <c r="R604" s="150">
        <v>45642</v>
      </c>
      <c r="S604" s="36" t="s">
        <v>230</v>
      </c>
      <c r="T604" s="47" t="s">
        <v>275</v>
      </c>
      <c r="U604" s="146" t="s">
        <v>275</v>
      </c>
      <c r="V604"/>
    </row>
    <row r="605" spans="1:22" x14ac:dyDescent="0.25">
      <c r="A605" s="109"/>
      <c r="B605" s="109" t="s">
        <v>23</v>
      </c>
      <c r="C605" s="109" t="s">
        <v>275</v>
      </c>
      <c r="D605" s="109" t="s">
        <v>87</v>
      </c>
      <c r="E605" s="109" t="s">
        <v>387</v>
      </c>
      <c r="F605" s="109" t="s">
        <v>3076</v>
      </c>
      <c r="G605" s="109" t="s">
        <v>1931</v>
      </c>
      <c r="H605" s="109"/>
      <c r="I605" s="109"/>
      <c r="J605" s="109"/>
      <c r="K605" s="109"/>
      <c r="L605" s="109"/>
      <c r="M605" s="109" t="s">
        <v>1258</v>
      </c>
      <c r="N605" s="109"/>
      <c r="O605" s="109"/>
      <c r="P605" s="109"/>
      <c r="Q605" s="109" t="s">
        <v>149</v>
      </c>
      <c r="R605" s="117">
        <v>45642</v>
      </c>
      <c r="S605" s="109" t="s">
        <v>211</v>
      </c>
      <c r="T605" s="109" t="s">
        <v>275</v>
      </c>
      <c r="U605" s="109" t="s">
        <v>275</v>
      </c>
      <c r="V605"/>
    </row>
    <row r="606" spans="1:22" ht="30" x14ac:dyDescent="0.25">
      <c r="A606" s="47"/>
      <c r="B606" s="108" t="s">
        <v>23</v>
      </c>
      <c r="C606" s="47" t="s">
        <v>275</v>
      </c>
      <c r="D606" s="3" t="s">
        <v>87</v>
      </c>
      <c r="E606" s="3" t="s">
        <v>225</v>
      </c>
      <c r="F606" s="3" t="s">
        <v>96</v>
      </c>
      <c r="G606" s="3" t="s">
        <v>1932</v>
      </c>
      <c r="H606" s="3"/>
      <c r="I606" s="3"/>
      <c r="J606" s="3"/>
      <c r="K606" s="3"/>
      <c r="L606" s="3"/>
      <c r="M606" s="36" t="s">
        <v>1258</v>
      </c>
      <c r="N606" s="36"/>
      <c r="O606" s="36"/>
      <c r="P606" s="36"/>
      <c r="Q606" s="36" t="s">
        <v>227</v>
      </c>
      <c r="R606" s="150">
        <v>45642</v>
      </c>
      <c r="S606" s="36" t="s">
        <v>228</v>
      </c>
      <c r="T606" s="47" t="s">
        <v>275</v>
      </c>
      <c r="U606" s="146" t="s">
        <v>275</v>
      </c>
      <c r="V606"/>
    </row>
    <row r="607" spans="1:22" ht="30" x14ac:dyDescent="0.25">
      <c r="A607" s="109"/>
      <c r="B607" s="109" t="s">
        <v>23</v>
      </c>
      <c r="C607" s="109" t="s">
        <v>275</v>
      </c>
      <c r="D607" s="109" t="s">
        <v>87</v>
      </c>
      <c r="E607" s="109" t="s">
        <v>98</v>
      </c>
      <c r="F607" s="109" t="s">
        <v>92</v>
      </c>
      <c r="G607" s="109" t="s">
        <v>1933</v>
      </c>
      <c r="H607" s="109"/>
      <c r="I607" s="109"/>
      <c r="J607" s="109"/>
      <c r="K607" s="109"/>
      <c r="L607" s="109"/>
      <c r="M607" s="109" t="s">
        <v>1258</v>
      </c>
      <c r="N607" s="109"/>
      <c r="O607" s="109"/>
      <c r="P607" s="109"/>
      <c r="Q607" s="109"/>
      <c r="R607" s="117">
        <v>45638</v>
      </c>
      <c r="S607" s="109" t="s">
        <v>50</v>
      </c>
      <c r="T607" s="109" t="s">
        <v>275</v>
      </c>
      <c r="U607" s="109" t="s">
        <v>2127</v>
      </c>
      <c r="V607"/>
    </row>
    <row r="608" spans="1:22" x14ac:dyDescent="0.25">
      <c r="A608" s="47"/>
      <c r="B608" s="108" t="s">
        <v>23</v>
      </c>
      <c r="C608" s="47" t="s">
        <v>275</v>
      </c>
      <c r="D608" s="3" t="s">
        <v>87</v>
      </c>
      <c r="E608" s="3" t="s">
        <v>169</v>
      </c>
      <c r="F608" s="3" t="s">
        <v>112</v>
      </c>
      <c r="G608" s="3" t="s">
        <v>1934</v>
      </c>
      <c r="H608" s="3"/>
      <c r="I608" s="3"/>
      <c r="J608" s="3"/>
      <c r="K608" s="3"/>
      <c r="L608" s="3"/>
      <c r="M608" s="36" t="s">
        <v>1258</v>
      </c>
      <c r="N608" s="36"/>
      <c r="O608" s="36"/>
      <c r="P608" s="36"/>
      <c r="Q608" s="36" t="s">
        <v>212</v>
      </c>
      <c r="R608" s="150">
        <v>45636</v>
      </c>
      <c r="S608" s="36" t="s">
        <v>211</v>
      </c>
      <c r="T608" s="47" t="s">
        <v>275</v>
      </c>
      <c r="U608" s="146" t="s">
        <v>2128</v>
      </c>
      <c r="V608"/>
    </row>
    <row r="609" spans="1:22" x14ac:dyDescent="0.25">
      <c r="A609" s="47"/>
      <c r="B609" s="108" t="s">
        <v>23</v>
      </c>
      <c r="C609" s="47" t="s">
        <v>275</v>
      </c>
      <c r="D609" s="3" t="s">
        <v>87</v>
      </c>
      <c r="E609" s="3" t="s">
        <v>91</v>
      </c>
      <c r="F609" s="3" t="s">
        <v>92</v>
      </c>
      <c r="G609" s="3" t="s">
        <v>1935</v>
      </c>
      <c r="H609" s="3"/>
      <c r="I609" s="3"/>
      <c r="J609" s="3"/>
      <c r="K609" s="3"/>
      <c r="L609" s="3"/>
      <c r="M609" s="36" t="s">
        <v>1258</v>
      </c>
      <c r="N609" s="36"/>
      <c r="O609" s="36"/>
      <c r="P609" s="36"/>
      <c r="Q609" s="36"/>
      <c r="R609" s="150">
        <v>45632</v>
      </c>
      <c r="S609" s="36"/>
      <c r="T609" s="47" t="s">
        <v>275</v>
      </c>
      <c r="U609" s="146" t="s">
        <v>275</v>
      </c>
      <c r="V609"/>
    </row>
    <row r="610" spans="1:22" x14ac:dyDescent="0.25">
      <c r="A610" s="109"/>
      <c r="B610" s="109" t="s">
        <v>23</v>
      </c>
      <c r="C610" s="109" t="s">
        <v>275</v>
      </c>
      <c r="D610" s="109" t="s">
        <v>87</v>
      </c>
      <c r="E610" s="109" t="s">
        <v>442</v>
      </c>
      <c r="F610" s="109" t="s">
        <v>93</v>
      </c>
      <c r="G610" s="109" t="s">
        <v>1936</v>
      </c>
      <c r="H610" s="109"/>
      <c r="I610" s="109"/>
      <c r="J610" s="109"/>
      <c r="K610" s="109"/>
      <c r="L610" s="109"/>
      <c r="M610" s="36" t="s">
        <v>1258</v>
      </c>
      <c r="N610" s="109"/>
      <c r="O610" s="109"/>
      <c r="P610" s="109"/>
      <c r="Q610" s="109"/>
      <c r="R610" s="150">
        <v>45632</v>
      </c>
      <c r="S610" s="36"/>
      <c r="T610" s="109" t="s">
        <v>275</v>
      </c>
      <c r="U610" s="109" t="s">
        <v>275</v>
      </c>
      <c r="V610"/>
    </row>
    <row r="611" spans="1:22" x14ac:dyDescent="0.25">
      <c r="A611" s="47"/>
      <c r="B611" s="108" t="s">
        <v>23</v>
      </c>
      <c r="C611" s="47" t="s">
        <v>275</v>
      </c>
      <c r="D611" s="3" t="s">
        <v>87</v>
      </c>
      <c r="E611" s="3" t="s">
        <v>94</v>
      </c>
      <c r="F611" s="3" t="s">
        <v>3080</v>
      </c>
      <c r="G611" s="3" t="s">
        <v>1937</v>
      </c>
      <c r="H611" s="3"/>
      <c r="I611" s="3"/>
      <c r="J611" s="3"/>
      <c r="K611" s="3"/>
      <c r="L611" s="3"/>
      <c r="M611" s="36" t="s">
        <v>1258</v>
      </c>
      <c r="N611" s="36"/>
      <c r="O611" s="36"/>
      <c r="P611" s="36"/>
      <c r="Q611" s="36"/>
      <c r="R611" s="150">
        <v>45623</v>
      </c>
      <c r="S611" s="36" t="s">
        <v>211</v>
      </c>
      <c r="T611" s="47" t="s">
        <v>275</v>
      </c>
      <c r="U611" s="146" t="s">
        <v>275</v>
      </c>
      <c r="V611"/>
    </row>
    <row r="612" spans="1:22" ht="30" x14ac:dyDescent="0.25">
      <c r="A612" s="109"/>
      <c r="B612" s="109" t="s">
        <v>23</v>
      </c>
      <c r="C612" s="109" t="s">
        <v>275</v>
      </c>
      <c r="D612" s="109" t="s">
        <v>87</v>
      </c>
      <c r="E612" s="109" t="s">
        <v>205</v>
      </c>
      <c r="F612" s="109" t="s">
        <v>3081</v>
      </c>
      <c r="G612" s="109" t="s">
        <v>1938</v>
      </c>
      <c r="H612" s="109"/>
      <c r="I612" s="109"/>
      <c r="J612" s="109"/>
      <c r="K612" s="109"/>
      <c r="L612" s="109"/>
      <c r="M612" s="109" t="s">
        <v>1258</v>
      </c>
      <c r="N612" s="109"/>
      <c r="O612" s="109"/>
      <c r="P612" s="109"/>
      <c r="Q612" s="109" t="s">
        <v>209</v>
      </c>
      <c r="R612" s="117">
        <v>45635</v>
      </c>
      <c r="S612" s="109" t="s">
        <v>203</v>
      </c>
      <c r="T612" s="109" t="s">
        <v>275</v>
      </c>
      <c r="U612" s="138" t="s">
        <v>275</v>
      </c>
      <c r="V612"/>
    </row>
    <row r="613" spans="1:22" ht="30" x14ac:dyDescent="0.25">
      <c r="A613" s="47"/>
      <c r="B613" s="108" t="s">
        <v>23</v>
      </c>
      <c r="C613" s="47" t="s">
        <v>275</v>
      </c>
      <c r="D613" s="3" t="s">
        <v>87</v>
      </c>
      <c r="E613" s="3" t="s">
        <v>388</v>
      </c>
      <c r="F613" s="3" t="s">
        <v>3074</v>
      </c>
      <c r="G613" s="3" t="s">
        <v>1939</v>
      </c>
      <c r="H613" s="3"/>
      <c r="I613" s="3"/>
      <c r="J613" s="3"/>
      <c r="K613" s="3"/>
      <c r="L613" s="3"/>
      <c r="M613" s="36" t="s">
        <v>1258</v>
      </c>
      <c r="N613" s="36"/>
      <c r="O613" s="36"/>
      <c r="P613" s="36"/>
      <c r="Q613" s="36" t="s">
        <v>208</v>
      </c>
      <c r="R613" s="150">
        <v>45635</v>
      </c>
      <c r="S613" s="36" t="s">
        <v>206</v>
      </c>
      <c r="T613" s="47" t="s">
        <v>275</v>
      </c>
      <c r="U613" s="146" t="s">
        <v>275</v>
      </c>
      <c r="V613"/>
    </row>
    <row r="614" spans="1:22" ht="30" x14ac:dyDescent="0.25">
      <c r="A614" s="109"/>
      <c r="B614" s="109" t="s">
        <v>23</v>
      </c>
      <c r="C614" s="109" t="s">
        <v>275</v>
      </c>
      <c r="D614" s="109" t="s">
        <v>87</v>
      </c>
      <c r="E614" s="109" t="s">
        <v>90</v>
      </c>
      <c r="F614" s="109" t="s">
        <v>3078</v>
      </c>
      <c r="G614" s="109" t="s">
        <v>1940</v>
      </c>
      <c r="H614" s="109"/>
      <c r="I614" s="109"/>
      <c r="J614" s="109"/>
      <c r="K614" s="109"/>
      <c r="L614" s="109"/>
      <c r="M614" s="109" t="s">
        <v>1258</v>
      </c>
      <c r="N614" s="109"/>
      <c r="O614" s="109"/>
      <c r="P614" s="109"/>
      <c r="Q614" s="109" t="s">
        <v>221</v>
      </c>
      <c r="R614" s="117">
        <v>45635</v>
      </c>
      <c r="S614" s="109" t="s">
        <v>50</v>
      </c>
      <c r="T614" s="109" t="s">
        <v>275</v>
      </c>
      <c r="U614" s="109" t="s">
        <v>275</v>
      </c>
      <c r="V614"/>
    </row>
    <row r="615" spans="1:22" x14ac:dyDescent="0.25">
      <c r="A615" s="47"/>
      <c r="B615" s="108" t="s">
        <v>23</v>
      </c>
      <c r="C615" s="47" t="s">
        <v>275</v>
      </c>
      <c r="D615" s="3" t="s">
        <v>87</v>
      </c>
      <c r="E615" s="3" t="s">
        <v>389</v>
      </c>
      <c r="F615" s="3" t="s">
        <v>3080</v>
      </c>
      <c r="G615" s="3" t="s">
        <v>1941</v>
      </c>
      <c r="H615" s="3"/>
      <c r="I615" s="3"/>
      <c r="J615" s="3"/>
      <c r="K615" s="3"/>
      <c r="L615" s="3"/>
      <c r="M615" s="36" t="s">
        <v>1258</v>
      </c>
      <c r="N615" s="36"/>
      <c r="O615" s="36"/>
      <c r="P615" s="36"/>
      <c r="Q615" s="36"/>
      <c r="R615" s="150">
        <v>45631</v>
      </c>
      <c r="S615" s="36"/>
      <c r="T615" s="47" t="s">
        <v>275</v>
      </c>
      <c r="U615" s="146" t="s">
        <v>275</v>
      </c>
      <c r="V615"/>
    </row>
    <row r="616" spans="1:22" x14ac:dyDescent="0.25">
      <c r="A616" s="47"/>
      <c r="B616" s="108" t="s">
        <v>23</v>
      </c>
      <c r="C616" s="47" t="s">
        <v>275</v>
      </c>
      <c r="D616" s="3" t="s">
        <v>87</v>
      </c>
      <c r="E616" s="3" t="s">
        <v>390</v>
      </c>
      <c r="F616" s="3" t="s">
        <v>3080</v>
      </c>
      <c r="G616" s="3" t="s">
        <v>1942</v>
      </c>
      <c r="H616" s="3"/>
      <c r="I616" s="3"/>
      <c r="J616" s="3"/>
      <c r="K616" s="3"/>
      <c r="L616" s="3"/>
      <c r="M616" s="36" t="s">
        <v>1258</v>
      </c>
      <c r="N616" s="36"/>
      <c r="O616" s="36"/>
      <c r="P616" s="36"/>
      <c r="Q616" s="36"/>
      <c r="R616" s="150">
        <v>45631</v>
      </c>
      <c r="S616" s="36"/>
      <c r="T616" s="47" t="s">
        <v>275</v>
      </c>
      <c r="U616" s="146" t="s">
        <v>275</v>
      </c>
      <c r="V616"/>
    </row>
    <row r="617" spans="1:22" ht="30" x14ac:dyDescent="0.25">
      <c r="A617" s="47"/>
      <c r="B617" s="108" t="s">
        <v>23</v>
      </c>
      <c r="C617" s="47" t="s">
        <v>275</v>
      </c>
      <c r="D617" s="3" t="s">
        <v>87</v>
      </c>
      <c r="E617" s="3" t="s">
        <v>95</v>
      </c>
      <c r="F617" s="3" t="s">
        <v>96</v>
      </c>
      <c r="G617" s="3" t="s">
        <v>1943</v>
      </c>
      <c r="H617" s="3"/>
      <c r="I617" s="3"/>
      <c r="J617" s="3"/>
      <c r="K617" s="3"/>
      <c r="L617" s="3"/>
      <c r="M617" s="36" t="s">
        <v>1258</v>
      </c>
      <c r="N617" s="36"/>
      <c r="O617" s="36"/>
      <c r="P617" s="36"/>
      <c r="Q617" s="36" t="s">
        <v>219</v>
      </c>
      <c r="R617" s="150">
        <v>45628</v>
      </c>
      <c r="S617" s="36" t="s">
        <v>220</v>
      </c>
      <c r="T617" s="47" t="s">
        <v>275</v>
      </c>
      <c r="U617" s="146" t="s">
        <v>275</v>
      </c>
      <c r="V617"/>
    </row>
    <row r="618" spans="1:22" ht="30" x14ac:dyDescent="0.25">
      <c r="A618" s="47"/>
      <c r="B618" s="108" t="s">
        <v>23</v>
      </c>
      <c r="C618" s="47" t="s">
        <v>275</v>
      </c>
      <c r="D618" s="3" t="s">
        <v>87</v>
      </c>
      <c r="E618" s="3" t="s">
        <v>391</v>
      </c>
      <c r="F618" s="3" t="s">
        <v>3076</v>
      </c>
      <c r="G618" s="3" t="s">
        <v>1944</v>
      </c>
      <c r="H618" s="3"/>
      <c r="I618" s="3"/>
      <c r="J618" s="3"/>
      <c r="K618" s="3"/>
      <c r="L618" s="3"/>
      <c r="M618" s="36" t="s">
        <v>1258</v>
      </c>
      <c r="N618" s="36"/>
      <c r="O618" s="36"/>
      <c r="P618" s="36"/>
      <c r="Q618" s="36" t="s">
        <v>200</v>
      </c>
      <c r="R618" s="150">
        <v>45624</v>
      </c>
      <c r="S618" s="36" t="s">
        <v>50</v>
      </c>
      <c r="T618" s="47" t="s">
        <v>275</v>
      </c>
      <c r="U618" s="146" t="s">
        <v>275</v>
      </c>
      <c r="V618"/>
    </row>
    <row r="619" spans="1:22" ht="60" x14ac:dyDescent="0.25">
      <c r="A619" s="109"/>
      <c r="B619" s="109" t="s">
        <v>23</v>
      </c>
      <c r="C619" s="109" t="s">
        <v>275</v>
      </c>
      <c r="D619" s="109" t="s">
        <v>87</v>
      </c>
      <c r="E619" s="109" t="s">
        <v>120</v>
      </c>
      <c r="F619" s="109" t="s">
        <v>96</v>
      </c>
      <c r="G619" s="109" t="s">
        <v>1945</v>
      </c>
      <c r="H619" s="109"/>
      <c r="I619" s="109"/>
      <c r="J619" s="109"/>
      <c r="K619" s="109"/>
      <c r="L619" s="109"/>
      <c r="M619" s="109" t="s">
        <v>1258</v>
      </c>
      <c r="N619" s="109"/>
      <c r="O619" s="109"/>
      <c r="P619" s="109"/>
      <c r="Q619" s="109" t="s">
        <v>176</v>
      </c>
      <c r="R619" s="117">
        <v>45614</v>
      </c>
      <c r="S619" s="109" t="s">
        <v>177</v>
      </c>
      <c r="T619" s="109" t="s">
        <v>275</v>
      </c>
      <c r="U619" s="109" t="s">
        <v>275</v>
      </c>
      <c r="V619"/>
    </row>
    <row r="620" spans="1:22" x14ac:dyDescent="0.25">
      <c r="A620" s="109"/>
      <c r="B620" s="109" t="s">
        <v>23</v>
      </c>
      <c r="C620" s="109" t="s">
        <v>275</v>
      </c>
      <c r="D620" s="109" t="s">
        <v>87</v>
      </c>
      <c r="E620" s="109" t="s">
        <v>170</v>
      </c>
      <c r="F620" s="109" t="s">
        <v>171</v>
      </c>
      <c r="G620" s="109" t="s">
        <v>1946</v>
      </c>
      <c r="H620" s="109"/>
      <c r="I620" s="109"/>
      <c r="J620" s="109"/>
      <c r="K620" s="109"/>
      <c r="L620" s="109"/>
      <c r="M620" s="109" t="s">
        <v>1258</v>
      </c>
      <c r="N620" s="109"/>
      <c r="O620" s="109"/>
      <c r="P620" s="109"/>
      <c r="Q620" s="109"/>
      <c r="R620" s="117">
        <v>45623</v>
      </c>
      <c r="S620" s="109"/>
      <c r="T620" s="109" t="s">
        <v>275</v>
      </c>
      <c r="U620" s="109" t="s">
        <v>275</v>
      </c>
      <c r="V620"/>
    </row>
    <row r="621" spans="1:22" x14ac:dyDescent="0.25">
      <c r="A621" s="109"/>
      <c r="B621" s="109" t="s">
        <v>23</v>
      </c>
      <c r="C621" s="109" t="s">
        <v>275</v>
      </c>
      <c r="D621" s="109" t="s">
        <v>87</v>
      </c>
      <c r="E621" s="109" t="s">
        <v>121</v>
      </c>
      <c r="F621" s="109" t="s">
        <v>97</v>
      </c>
      <c r="G621" s="109" t="s">
        <v>1947</v>
      </c>
      <c r="H621" s="109"/>
      <c r="I621" s="109"/>
      <c r="J621" s="109"/>
      <c r="K621" s="109"/>
      <c r="L621" s="109"/>
      <c r="M621" s="109" t="s">
        <v>1258</v>
      </c>
      <c r="N621" s="109"/>
      <c r="O621" s="109"/>
      <c r="P621" s="109"/>
      <c r="Q621" s="109" t="s">
        <v>179</v>
      </c>
      <c r="R621" s="117">
        <v>45617</v>
      </c>
      <c r="S621" s="109"/>
      <c r="T621" s="109" t="s">
        <v>275</v>
      </c>
      <c r="U621" s="109" t="s">
        <v>2129</v>
      </c>
      <c r="V621"/>
    </row>
    <row r="622" spans="1:22" x14ac:dyDescent="0.25">
      <c r="A622" s="47"/>
      <c r="B622" s="108" t="s">
        <v>23</v>
      </c>
      <c r="C622" s="47" t="s">
        <v>275</v>
      </c>
      <c r="D622" s="3" t="s">
        <v>87</v>
      </c>
      <c r="E622" s="3" t="s">
        <v>122</v>
      </c>
      <c r="F622" s="3" t="s">
        <v>97</v>
      </c>
      <c r="G622" s="3" t="s">
        <v>1948</v>
      </c>
      <c r="H622" s="3"/>
      <c r="I622" s="3"/>
      <c r="J622" s="3"/>
      <c r="K622" s="3"/>
      <c r="L622" s="3"/>
      <c r="M622" s="36" t="s">
        <v>1258</v>
      </c>
      <c r="N622" s="36"/>
      <c r="O622" s="36"/>
      <c r="P622" s="36"/>
      <c r="Q622" s="36" t="s">
        <v>179</v>
      </c>
      <c r="R622" s="150">
        <v>45617</v>
      </c>
      <c r="S622" s="36"/>
      <c r="T622" s="47" t="s">
        <v>275</v>
      </c>
      <c r="U622" s="146" t="s">
        <v>275</v>
      </c>
      <c r="V622"/>
    </row>
    <row r="623" spans="1:22" ht="30" x14ac:dyDescent="0.25">
      <c r="A623" s="47"/>
      <c r="B623" s="108" t="s">
        <v>23</v>
      </c>
      <c r="C623" s="47" t="s">
        <v>275</v>
      </c>
      <c r="D623" s="3" t="s">
        <v>87</v>
      </c>
      <c r="E623" s="3" t="s">
        <v>123</v>
      </c>
      <c r="F623" s="3" t="s">
        <v>96</v>
      </c>
      <c r="G623" s="3" t="s">
        <v>1949</v>
      </c>
      <c r="H623" s="3"/>
      <c r="I623" s="3"/>
      <c r="J623" s="3"/>
      <c r="K623" s="3"/>
      <c r="L623" s="3"/>
      <c r="M623" s="36" t="s">
        <v>1258</v>
      </c>
      <c r="N623" s="36"/>
      <c r="O623" s="36"/>
      <c r="P623" s="36"/>
      <c r="Q623" s="36" t="s">
        <v>124</v>
      </c>
      <c r="R623" s="150">
        <v>45610</v>
      </c>
      <c r="S623" s="36" t="s">
        <v>50</v>
      </c>
      <c r="T623" s="47" t="s">
        <v>275</v>
      </c>
      <c r="U623" s="146" t="s">
        <v>275</v>
      </c>
      <c r="V623"/>
    </row>
    <row r="624" spans="1:22" ht="60" x14ac:dyDescent="0.25">
      <c r="A624" s="47"/>
      <c r="B624" s="108" t="s">
        <v>23</v>
      </c>
      <c r="C624" s="47" t="s">
        <v>275</v>
      </c>
      <c r="D624" s="3" t="s">
        <v>87</v>
      </c>
      <c r="E624" s="3" t="s">
        <v>125</v>
      </c>
      <c r="F624" s="3" t="s">
        <v>88</v>
      </c>
      <c r="G624" s="3" t="s">
        <v>1950</v>
      </c>
      <c r="H624" s="3"/>
      <c r="I624" s="3"/>
      <c r="J624" s="3"/>
      <c r="K624" s="3"/>
      <c r="L624" s="3"/>
      <c r="M624" s="36" t="s">
        <v>1258</v>
      </c>
      <c r="N624" s="36"/>
      <c r="O624" s="36"/>
      <c r="P624" s="36"/>
      <c r="Q624" s="36" t="s">
        <v>126</v>
      </c>
      <c r="R624" s="150">
        <v>45615</v>
      </c>
      <c r="S624" s="36" t="s">
        <v>50</v>
      </c>
      <c r="T624" s="47" t="s">
        <v>275</v>
      </c>
      <c r="U624" s="146" t="s">
        <v>275</v>
      </c>
      <c r="V624"/>
    </row>
    <row r="625" spans="1:22" ht="30" x14ac:dyDescent="0.25">
      <c r="A625" s="47"/>
      <c r="B625" s="108" t="s">
        <v>23</v>
      </c>
      <c r="C625" s="47" t="s">
        <v>275</v>
      </c>
      <c r="D625" s="3" t="s">
        <v>87</v>
      </c>
      <c r="E625" s="3" t="s">
        <v>127</v>
      </c>
      <c r="F625" s="3" t="s">
        <v>3074</v>
      </c>
      <c r="G625" s="3" t="s">
        <v>1951</v>
      </c>
      <c r="H625" s="3"/>
      <c r="I625" s="3"/>
      <c r="J625" s="3"/>
      <c r="K625" s="3"/>
      <c r="L625" s="3"/>
      <c r="M625" s="36" t="s">
        <v>1258</v>
      </c>
      <c r="N625" s="36"/>
      <c r="O625" s="36"/>
      <c r="P625" s="36"/>
      <c r="Q625" s="36" t="s">
        <v>128</v>
      </c>
      <c r="R625" s="150">
        <v>45617</v>
      </c>
      <c r="S625" s="36" t="s">
        <v>50</v>
      </c>
      <c r="T625" s="47" t="s">
        <v>275</v>
      </c>
      <c r="U625" s="146" t="s">
        <v>275</v>
      </c>
      <c r="V625"/>
    </row>
    <row r="626" spans="1:22" ht="30" x14ac:dyDescent="0.25">
      <c r="A626" s="47"/>
      <c r="B626" s="108" t="s">
        <v>23</v>
      </c>
      <c r="C626" s="47" t="s">
        <v>275</v>
      </c>
      <c r="D626" s="3" t="s">
        <v>87</v>
      </c>
      <c r="E626" s="3" t="s">
        <v>129</v>
      </c>
      <c r="F626" s="3" t="s">
        <v>3074</v>
      </c>
      <c r="G626" s="3" t="s">
        <v>1952</v>
      </c>
      <c r="H626" s="3"/>
      <c r="I626" s="3"/>
      <c r="J626" s="3"/>
      <c r="K626" s="3"/>
      <c r="L626" s="3"/>
      <c r="M626" s="36" t="s">
        <v>1258</v>
      </c>
      <c r="N626" s="36"/>
      <c r="O626" s="36"/>
      <c r="P626" s="36"/>
      <c r="Q626" s="36" t="s">
        <v>130</v>
      </c>
      <c r="R626" s="150">
        <v>45617</v>
      </c>
      <c r="S626" s="36" t="s">
        <v>50</v>
      </c>
      <c r="T626" s="47" t="s">
        <v>275</v>
      </c>
      <c r="U626" s="146" t="s">
        <v>2130</v>
      </c>
      <c r="V626"/>
    </row>
    <row r="627" spans="1:22" ht="30" x14ac:dyDescent="0.25">
      <c r="A627" s="47"/>
      <c r="B627" s="108" t="s">
        <v>23</v>
      </c>
      <c r="C627" s="47" t="s">
        <v>275</v>
      </c>
      <c r="D627" s="3" t="s">
        <v>87</v>
      </c>
      <c r="E627" s="3" t="s">
        <v>131</v>
      </c>
      <c r="F627" s="3" t="s">
        <v>3074</v>
      </c>
      <c r="G627" s="3" t="s">
        <v>1953</v>
      </c>
      <c r="H627" s="3"/>
      <c r="I627" s="3"/>
      <c r="J627" s="3"/>
      <c r="K627" s="3"/>
      <c r="L627" s="3"/>
      <c r="M627" s="36" t="s">
        <v>1258</v>
      </c>
      <c r="N627" s="36"/>
      <c r="O627" s="36"/>
      <c r="P627" s="36"/>
      <c r="Q627" s="36" t="s">
        <v>132</v>
      </c>
      <c r="R627" s="150">
        <v>45617</v>
      </c>
      <c r="S627" s="36" t="s">
        <v>50</v>
      </c>
      <c r="T627" s="47" t="s">
        <v>275</v>
      </c>
      <c r="U627" s="146" t="s">
        <v>275</v>
      </c>
      <c r="V627"/>
    </row>
    <row r="628" spans="1:22" ht="45" x14ac:dyDescent="0.25">
      <c r="A628" s="47"/>
      <c r="B628" s="108" t="s">
        <v>23</v>
      </c>
      <c r="C628" s="47" t="s">
        <v>275</v>
      </c>
      <c r="D628" s="3" t="s">
        <v>87</v>
      </c>
      <c r="E628" s="3" t="s">
        <v>133</v>
      </c>
      <c r="F628" s="3" t="s">
        <v>3078</v>
      </c>
      <c r="G628" s="3" t="s">
        <v>1954</v>
      </c>
      <c r="H628" s="3"/>
      <c r="I628" s="3"/>
      <c r="J628" s="3"/>
      <c r="K628" s="3"/>
      <c r="L628" s="3"/>
      <c r="M628" s="36" t="s">
        <v>1258</v>
      </c>
      <c r="N628" s="36"/>
      <c r="O628" s="36"/>
      <c r="P628" s="36"/>
      <c r="Q628" s="36" t="s">
        <v>134</v>
      </c>
      <c r="R628" s="150">
        <v>45617</v>
      </c>
      <c r="S628" s="36" t="s">
        <v>102</v>
      </c>
      <c r="T628" s="47" t="s">
        <v>275</v>
      </c>
      <c r="U628" s="146" t="s">
        <v>275</v>
      </c>
      <c r="V628"/>
    </row>
    <row r="629" spans="1:22" ht="30" x14ac:dyDescent="0.25">
      <c r="A629" s="47"/>
      <c r="B629" s="108" t="s">
        <v>23</v>
      </c>
      <c r="C629" s="47" t="s">
        <v>275</v>
      </c>
      <c r="D629" s="3" t="s">
        <v>87</v>
      </c>
      <c r="E629" s="3" t="s">
        <v>135</v>
      </c>
      <c r="F629" s="3" t="s">
        <v>3075</v>
      </c>
      <c r="G629" s="3" t="s">
        <v>1955</v>
      </c>
      <c r="H629" s="3"/>
      <c r="I629" s="3"/>
      <c r="J629" s="3"/>
      <c r="K629" s="3"/>
      <c r="L629" s="3"/>
      <c r="M629" s="36" t="s">
        <v>1258</v>
      </c>
      <c r="N629" s="36"/>
      <c r="O629" s="36"/>
      <c r="P629" s="36"/>
      <c r="Q629" s="36" t="s">
        <v>136</v>
      </c>
      <c r="R629" s="150">
        <v>45614</v>
      </c>
      <c r="S629" s="36" t="s">
        <v>137</v>
      </c>
      <c r="T629" s="47" t="s">
        <v>275</v>
      </c>
      <c r="U629" s="146" t="s">
        <v>275</v>
      </c>
      <c r="V629"/>
    </row>
    <row r="630" spans="1:22" ht="30" x14ac:dyDescent="0.25">
      <c r="A630" s="47"/>
      <c r="B630" s="108" t="s">
        <v>23</v>
      </c>
      <c r="C630" s="47" t="s">
        <v>275</v>
      </c>
      <c r="D630" s="3" t="s">
        <v>87</v>
      </c>
      <c r="E630" s="3" t="s">
        <v>138</v>
      </c>
      <c r="F630" s="3" t="s">
        <v>96</v>
      </c>
      <c r="G630" s="3" t="s">
        <v>1956</v>
      </c>
      <c r="H630" s="3"/>
      <c r="I630" s="3"/>
      <c r="J630" s="3"/>
      <c r="K630" s="3"/>
      <c r="L630" s="3"/>
      <c r="M630" s="36" t="s">
        <v>1258</v>
      </c>
      <c r="N630" s="36"/>
      <c r="O630" s="36"/>
      <c r="P630" s="36"/>
      <c r="Q630" s="36" t="s">
        <v>180</v>
      </c>
      <c r="R630" s="150">
        <v>45610</v>
      </c>
      <c r="S630" s="36" t="s">
        <v>139</v>
      </c>
      <c r="T630" s="47" t="s">
        <v>275</v>
      </c>
      <c r="U630" s="146" t="s">
        <v>275</v>
      </c>
    </row>
    <row r="631" spans="1:22" ht="30" x14ac:dyDescent="0.25">
      <c r="A631" s="47"/>
      <c r="B631" s="108" t="s">
        <v>23</v>
      </c>
      <c r="C631" s="47" t="s">
        <v>275</v>
      </c>
      <c r="D631" s="3" t="s">
        <v>87</v>
      </c>
      <c r="E631" s="3" t="s">
        <v>140</v>
      </c>
      <c r="F631" s="3" t="s">
        <v>3074</v>
      </c>
      <c r="G631" s="3" t="s">
        <v>1957</v>
      </c>
      <c r="H631" s="3"/>
      <c r="I631" s="3"/>
      <c r="J631" s="3"/>
      <c r="K631" s="3"/>
      <c r="L631" s="3"/>
      <c r="M631" s="36" t="s">
        <v>1258</v>
      </c>
      <c r="N631" s="36"/>
      <c r="O631" s="36"/>
      <c r="P631" s="36"/>
      <c r="Q631" s="36" t="s">
        <v>1264</v>
      </c>
      <c r="R631" s="150">
        <v>45603</v>
      </c>
      <c r="S631" s="36" t="s">
        <v>11</v>
      </c>
      <c r="T631" s="47" t="s">
        <v>275</v>
      </c>
      <c r="U631" s="146" t="s">
        <v>275</v>
      </c>
    </row>
    <row r="632" spans="1:22" ht="30" x14ac:dyDescent="0.25">
      <c r="A632" s="109"/>
      <c r="B632" s="109" t="s">
        <v>23</v>
      </c>
      <c r="C632" s="109" t="s">
        <v>275</v>
      </c>
      <c r="D632" s="109" t="s">
        <v>87</v>
      </c>
      <c r="E632" s="109" t="s">
        <v>142</v>
      </c>
      <c r="F632" s="109" t="s">
        <v>3076</v>
      </c>
      <c r="G632" s="109" t="s">
        <v>1958</v>
      </c>
      <c r="H632" s="109"/>
      <c r="I632" s="109"/>
      <c r="J632" s="109"/>
      <c r="K632" s="109"/>
      <c r="L632" s="109"/>
      <c r="M632" s="109" t="s">
        <v>1258</v>
      </c>
      <c r="N632" s="109"/>
      <c r="O632" s="109"/>
      <c r="P632" s="109"/>
      <c r="Q632" s="109" t="s">
        <v>1264</v>
      </c>
      <c r="R632" s="117">
        <v>45600</v>
      </c>
      <c r="S632" s="109" t="s">
        <v>102</v>
      </c>
      <c r="T632" s="109" t="s">
        <v>275</v>
      </c>
      <c r="U632" s="109" t="s">
        <v>275</v>
      </c>
    </row>
    <row r="633" spans="1:22" ht="30" x14ac:dyDescent="0.25">
      <c r="A633" s="109"/>
      <c r="B633" s="109" t="s">
        <v>23</v>
      </c>
      <c r="C633" s="109" t="s">
        <v>275</v>
      </c>
      <c r="D633" s="109" t="s">
        <v>87</v>
      </c>
      <c r="E633" s="109" t="s">
        <v>143</v>
      </c>
      <c r="F633" s="109" t="s">
        <v>3074</v>
      </c>
      <c r="G633" s="109" t="s">
        <v>1959</v>
      </c>
      <c r="H633" s="109"/>
      <c r="I633" s="109"/>
      <c r="J633" s="109"/>
      <c r="K633" s="109"/>
      <c r="L633" s="109"/>
      <c r="M633" s="109" t="s">
        <v>1258</v>
      </c>
      <c r="N633" s="109"/>
      <c r="O633" s="109"/>
      <c r="P633" s="109"/>
      <c r="Q633" s="109" t="s">
        <v>144</v>
      </c>
      <c r="R633" s="117">
        <v>45600</v>
      </c>
      <c r="S633" s="109" t="s">
        <v>102</v>
      </c>
      <c r="T633" s="109" t="s">
        <v>275</v>
      </c>
      <c r="U633" s="109" t="s">
        <v>275</v>
      </c>
    </row>
    <row r="634" spans="1:22" ht="15" customHeight="1" x14ac:dyDescent="0.25">
      <c r="A634" s="109"/>
      <c r="B634" s="109" t="s">
        <v>23</v>
      </c>
      <c r="C634" s="109" t="s">
        <v>275</v>
      </c>
      <c r="D634" s="109" t="s">
        <v>87</v>
      </c>
      <c r="E634" s="109" t="s">
        <v>145</v>
      </c>
      <c r="F634" s="109" t="s">
        <v>3074</v>
      </c>
      <c r="G634" s="109" t="s">
        <v>1960</v>
      </c>
      <c r="H634" s="109"/>
      <c r="I634" s="109"/>
      <c r="J634" s="109"/>
      <c r="K634" s="109"/>
      <c r="L634" s="109"/>
      <c r="M634" s="109" t="s">
        <v>1258</v>
      </c>
      <c r="N634" s="109"/>
      <c r="O634" s="109"/>
      <c r="P634" s="109"/>
      <c r="Q634" s="109" t="s">
        <v>146</v>
      </c>
      <c r="R634" s="117">
        <v>45598</v>
      </c>
      <c r="S634" s="109" t="s">
        <v>147</v>
      </c>
      <c r="T634" s="109" t="s">
        <v>275</v>
      </c>
      <c r="U634" s="109" t="s">
        <v>275</v>
      </c>
    </row>
    <row r="635" spans="1:22" ht="30" x14ac:dyDescent="0.25">
      <c r="A635" s="47"/>
      <c r="B635" s="108" t="s">
        <v>23</v>
      </c>
      <c r="C635" s="47" t="s">
        <v>275</v>
      </c>
      <c r="D635" s="3" t="s">
        <v>87</v>
      </c>
      <c r="E635" s="3" t="s">
        <v>148</v>
      </c>
      <c r="F635" s="3" t="s">
        <v>3074</v>
      </c>
      <c r="G635" s="3" t="s">
        <v>1961</v>
      </c>
      <c r="H635" s="3"/>
      <c r="I635" s="3"/>
      <c r="J635" s="3"/>
      <c r="K635" s="3"/>
      <c r="L635" s="3"/>
      <c r="M635" s="36" t="s">
        <v>1258</v>
      </c>
      <c r="N635" s="36"/>
      <c r="O635" s="36"/>
      <c r="P635" s="36"/>
      <c r="Q635" s="36" t="s">
        <v>149</v>
      </c>
      <c r="R635" s="150">
        <v>45593</v>
      </c>
      <c r="S635" s="36" t="s">
        <v>150</v>
      </c>
      <c r="T635" s="47" t="s">
        <v>275</v>
      </c>
      <c r="U635" s="146" t="s">
        <v>275</v>
      </c>
    </row>
    <row r="636" spans="1:22" ht="30" x14ac:dyDescent="0.25">
      <c r="A636" s="47"/>
      <c r="B636" s="108" t="s">
        <v>23</v>
      </c>
      <c r="C636" s="47" t="s">
        <v>275</v>
      </c>
      <c r="D636" s="3" t="s">
        <v>87</v>
      </c>
      <c r="E636" s="3" t="s">
        <v>151</v>
      </c>
      <c r="F636" s="3" t="s">
        <v>3079</v>
      </c>
      <c r="G636" s="3" t="s">
        <v>1962</v>
      </c>
      <c r="H636" s="3"/>
      <c r="I636" s="3"/>
      <c r="J636" s="3"/>
      <c r="K636" s="3"/>
      <c r="L636" s="3"/>
      <c r="M636" s="36" t="s">
        <v>1258</v>
      </c>
      <c r="N636" s="36"/>
      <c r="O636" s="36"/>
      <c r="P636" s="36"/>
      <c r="Q636" s="36" t="s">
        <v>152</v>
      </c>
      <c r="R636" s="150">
        <v>45600</v>
      </c>
      <c r="S636" s="36" t="s">
        <v>50</v>
      </c>
      <c r="T636" s="47" t="s">
        <v>275</v>
      </c>
      <c r="U636" s="146" t="s">
        <v>275</v>
      </c>
    </row>
    <row r="637" spans="1:22" ht="30" x14ac:dyDescent="0.25">
      <c r="A637" s="109"/>
      <c r="B637" s="109" t="s">
        <v>23</v>
      </c>
      <c r="C637" s="109" t="s">
        <v>275</v>
      </c>
      <c r="D637" s="109" t="s">
        <v>87</v>
      </c>
      <c r="E637" s="109" t="s">
        <v>153</v>
      </c>
      <c r="F637" s="109" t="s">
        <v>3076</v>
      </c>
      <c r="G637" s="109" t="s">
        <v>1963</v>
      </c>
      <c r="H637" s="109"/>
      <c r="I637" s="109"/>
      <c r="J637" s="109"/>
      <c r="K637" s="109"/>
      <c r="L637" s="109"/>
      <c r="M637" s="109" t="s">
        <v>1258</v>
      </c>
      <c r="N637" s="109"/>
      <c r="O637" s="109"/>
      <c r="P637" s="109"/>
      <c r="Q637" s="109" t="s">
        <v>154</v>
      </c>
      <c r="R637" s="117">
        <v>45600</v>
      </c>
      <c r="S637" s="109" t="s">
        <v>50</v>
      </c>
      <c r="T637" s="109" t="s">
        <v>275</v>
      </c>
      <c r="U637" s="109" t="s">
        <v>275</v>
      </c>
    </row>
    <row r="638" spans="1:22" ht="30" x14ac:dyDescent="0.25">
      <c r="A638" s="109"/>
      <c r="B638" s="109" t="s">
        <v>23</v>
      </c>
      <c r="C638" s="109" t="s">
        <v>275</v>
      </c>
      <c r="D638" s="109" t="s">
        <v>87</v>
      </c>
      <c r="E638" s="109" t="s">
        <v>155</v>
      </c>
      <c r="F638" s="109" t="s">
        <v>3078</v>
      </c>
      <c r="G638" s="109" t="s">
        <v>1964</v>
      </c>
      <c r="H638" s="109"/>
      <c r="I638" s="109"/>
      <c r="J638" s="109"/>
      <c r="K638" s="109"/>
      <c r="L638" s="109"/>
      <c r="M638" s="109" t="s">
        <v>1258</v>
      </c>
      <c r="N638" s="109"/>
      <c r="O638" s="109"/>
      <c r="P638" s="109"/>
      <c r="Q638" s="109" t="s">
        <v>156</v>
      </c>
      <c r="R638" s="117">
        <v>45601</v>
      </c>
      <c r="S638" s="109" t="s">
        <v>102</v>
      </c>
      <c r="T638" s="109" t="s">
        <v>275</v>
      </c>
      <c r="U638" s="109" t="s">
        <v>275</v>
      </c>
    </row>
    <row r="639" spans="1:22" ht="30" x14ac:dyDescent="0.25">
      <c r="A639" s="47"/>
      <c r="B639" s="108" t="s">
        <v>23</v>
      </c>
      <c r="C639" s="47" t="s">
        <v>275</v>
      </c>
      <c r="D639" s="3" t="s">
        <v>87</v>
      </c>
      <c r="E639" s="3" t="s">
        <v>157</v>
      </c>
      <c r="F639" s="3" t="s">
        <v>88</v>
      </c>
      <c r="G639" s="3" t="s">
        <v>1965</v>
      </c>
      <c r="H639" s="3"/>
      <c r="I639" s="3"/>
      <c r="J639" s="3"/>
      <c r="K639" s="3"/>
      <c r="L639" s="3"/>
      <c r="M639" s="36" t="s">
        <v>1258</v>
      </c>
      <c r="N639" s="36"/>
      <c r="O639" s="36"/>
      <c r="P639" s="36"/>
      <c r="Q639" s="36" t="s">
        <v>1264</v>
      </c>
      <c r="R639" s="150">
        <v>45598</v>
      </c>
      <c r="S639" s="36" t="s">
        <v>150</v>
      </c>
      <c r="T639" s="47" t="s">
        <v>275</v>
      </c>
      <c r="U639" s="146" t="s">
        <v>275</v>
      </c>
    </row>
    <row r="640" spans="1:22" x14ac:dyDescent="0.25">
      <c r="A640" s="47"/>
      <c r="B640" s="108" t="s">
        <v>23</v>
      </c>
      <c r="C640" s="47" t="s">
        <v>275</v>
      </c>
      <c r="D640" s="3" t="s">
        <v>87</v>
      </c>
      <c r="E640" s="3" t="s">
        <v>1029</v>
      </c>
      <c r="F640" s="3" t="s">
        <v>114</v>
      </c>
      <c r="G640" s="3" t="s">
        <v>1966</v>
      </c>
      <c r="H640" s="3"/>
      <c r="I640" s="3"/>
      <c r="J640" s="3"/>
      <c r="K640" s="3"/>
      <c r="L640" s="3"/>
      <c r="M640" s="36" t="s">
        <v>1258</v>
      </c>
      <c r="N640" s="36"/>
      <c r="O640" s="36"/>
      <c r="P640" s="36"/>
      <c r="Q640" s="36" t="s">
        <v>1028</v>
      </c>
      <c r="R640" s="150">
        <v>45743</v>
      </c>
      <c r="S640" s="36" t="s">
        <v>203</v>
      </c>
      <c r="T640" s="47" t="s">
        <v>275</v>
      </c>
      <c r="U640" s="146" t="s">
        <v>275</v>
      </c>
    </row>
    <row r="641" spans="1:21" ht="60" x14ac:dyDescent="0.25">
      <c r="A641" s="47"/>
      <c r="B641" s="108" t="s">
        <v>23</v>
      </c>
      <c r="C641" s="47" t="s">
        <v>275</v>
      </c>
      <c r="D641" s="3" t="s">
        <v>87</v>
      </c>
      <c r="E641" s="3" t="s">
        <v>1129</v>
      </c>
      <c r="F641" s="3" t="s">
        <v>88</v>
      </c>
      <c r="G641" s="3" t="s">
        <v>1967</v>
      </c>
      <c r="H641" s="3"/>
      <c r="I641" s="3"/>
      <c r="J641" s="3"/>
      <c r="K641" s="3"/>
      <c r="L641" s="3"/>
      <c r="M641" s="36" t="s">
        <v>1258</v>
      </c>
      <c r="N641" s="36"/>
      <c r="O641" s="36"/>
      <c r="P641" s="36"/>
      <c r="Q641" s="36" t="s">
        <v>1281</v>
      </c>
      <c r="R641" s="150">
        <v>45784</v>
      </c>
      <c r="S641" s="36" t="s">
        <v>50</v>
      </c>
      <c r="T641" s="47" t="s">
        <v>275</v>
      </c>
      <c r="U641" s="146" t="s">
        <v>2131</v>
      </c>
    </row>
    <row r="642" spans="1:21" x14ac:dyDescent="0.25">
      <c r="A642" s="109"/>
      <c r="B642" s="109" t="s">
        <v>23</v>
      </c>
      <c r="C642" s="109" t="s">
        <v>275</v>
      </c>
      <c r="D642" s="109" t="s">
        <v>87</v>
      </c>
      <c r="E642" s="109" t="s">
        <v>1326</v>
      </c>
      <c r="F642" s="109" t="s">
        <v>114</v>
      </c>
      <c r="G642" s="109" t="s">
        <v>1968</v>
      </c>
      <c r="H642" s="109"/>
      <c r="I642" s="109"/>
      <c r="J642" s="109"/>
      <c r="K642" s="109"/>
      <c r="L642" s="109"/>
      <c r="M642" s="109" t="s">
        <v>1258</v>
      </c>
      <c r="N642" s="109"/>
      <c r="O642" s="109"/>
      <c r="P642" s="109"/>
      <c r="Q642" s="109"/>
      <c r="R642" s="117"/>
      <c r="S642" s="109"/>
      <c r="T642" s="109" t="s">
        <v>275</v>
      </c>
      <c r="U642" s="109" t="s">
        <v>275</v>
      </c>
    </row>
    <row r="643" spans="1:21" ht="30" x14ac:dyDescent="0.25">
      <c r="A643" s="109"/>
      <c r="B643" s="109" t="s">
        <v>23</v>
      </c>
      <c r="C643" s="109" t="s">
        <v>275</v>
      </c>
      <c r="D643" s="109" t="s">
        <v>87</v>
      </c>
      <c r="E643" s="109" t="s">
        <v>927</v>
      </c>
      <c r="F643" s="109" t="s">
        <v>3078</v>
      </c>
      <c r="G643" s="109" t="s">
        <v>1969</v>
      </c>
      <c r="H643" s="109"/>
      <c r="I643" s="109"/>
      <c r="J643" s="109"/>
      <c r="K643" s="109"/>
      <c r="L643" s="109"/>
      <c r="M643" s="110" t="s">
        <v>1258</v>
      </c>
      <c r="N643" s="110"/>
      <c r="O643" s="110"/>
      <c r="P643" s="110"/>
      <c r="Q643" s="110" t="s">
        <v>1353</v>
      </c>
      <c r="R643" s="117">
        <v>45775</v>
      </c>
      <c r="S643" s="110" t="s">
        <v>1189</v>
      </c>
      <c r="T643" s="109" t="s">
        <v>275</v>
      </c>
      <c r="U643" s="138" t="s">
        <v>2132</v>
      </c>
    </row>
    <row r="644" spans="1:21" ht="45" x14ac:dyDescent="0.25">
      <c r="A644" s="47"/>
      <c r="B644" s="108" t="s">
        <v>23</v>
      </c>
      <c r="C644" s="47" t="s">
        <v>275</v>
      </c>
      <c r="D644" s="3" t="s">
        <v>87</v>
      </c>
      <c r="E644" s="3" t="s">
        <v>1303</v>
      </c>
      <c r="F644" s="3" t="s">
        <v>3076</v>
      </c>
      <c r="G644" s="3" t="s">
        <v>1970</v>
      </c>
      <c r="H644" s="3"/>
      <c r="I644" s="3"/>
      <c r="J644" s="3"/>
      <c r="K644" s="3"/>
      <c r="L644" s="3"/>
      <c r="M644" s="36" t="s">
        <v>1258</v>
      </c>
      <c r="N644" s="36"/>
      <c r="O644" s="36"/>
      <c r="P644" s="36"/>
      <c r="Q644" s="36" t="s">
        <v>1372</v>
      </c>
      <c r="R644" s="150">
        <v>45791</v>
      </c>
      <c r="S644" s="36" t="s">
        <v>239</v>
      </c>
      <c r="T644" s="47" t="s">
        <v>275</v>
      </c>
      <c r="U644" s="146" t="s">
        <v>2133</v>
      </c>
    </row>
    <row r="645" spans="1:21" x14ac:dyDescent="0.25">
      <c r="A645" s="47"/>
      <c r="B645" s="108" t="s">
        <v>23</v>
      </c>
      <c r="C645" s="47" t="s">
        <v>275</v>
      </c>
      <c r="D645" s="3" t="s">
        <v>87</v>
      </c>
      <c r="E645" s="3" t="s">
        <v>1334</v>
      </c>
      <c r="F645" s="3" t="s">
        <v>3075</v>
      </c>
      <c r="G645" s="3" t="s">
        <v>1971</v>
      </c>
      <c r="H645" s="3"/>
      <c r="I645" s="3"/>
      <c r="J645" s="3"/>
      <c r="K645" s="3"/>
      <c r="L645" s="3"/>
      <c r="M645" s="36" t="s">
        <v>1258</v>
      </c>
      <c r="N645" s="36"/>
      <c r="O645" s="36"/>
      <c r="P645" s="36"/>
      <c r="Q645" s="36" t="s">
        <v>1374</v>
      </c>
      <c r="R645" s="150">
        <v>45790</v>
      </c>
      <c r="S645" s="36" t="s">
        <v>211</v>
      </c>
      <c r="T645" s="47" t="s">
        <v>275</v>
      </c>
      <c r="U645" s="146" t="s">
        <v>275</v>
      </c>
    </row>
    <row r="646" spans="1:21" x14ac:dyDescent="0.25">
      <c r="A646" s="109"/>
      <c r="B646" s="109" t="s">
        <v>23</v>
      </c>
      <c r="C646" s="109" t="s">
        <v>275</v>
      </c>
      <c r="D646" s="109" t="s">
        <v>87</v>
      </c>
      <c r="E646" s="109" t="s">
        <v>1356</v>
      </c>
      <c r="F646" s="109" t="s">
        <v>114</v>
      </c>
      <c r="G646" s="109" t="s">
        <v>1972</v>
      </c>
      <c r="H646" s="109"/>
      <c r="I646" s="109"/>
      <c r="J646" s="109"/>
      <c r="K646" s="109"/>
      <c r="L646" s="109"/>
      <c r="M646" s="109" t="s">
        <v>1258</v>
      </c>
      <c r="N646" s="109"/>
      <c r="O646" s="109"/>
      <c r="P646" s="109"/>
      <c r="Q646" s="109" t="s">
        <v>1372</v>
      </c>
      <c r="R646" s="117">
        <v>45791</v>
      </c>
      <c r="S646" s="109" t="s">
        <v>239</v>
      </c>
      <c r="T646" s="109" t="s">
        <v>275</v>
      </c>
      <c r="U646" s="109" t="s">
        <v>2134</v>
      </c>
    </row>
    <row r="647" spans="1:21" x14ac:dyDescent="0.25">
      <c r="A647" s="47"/>
      <c r="B647" s="108" t="s">
        <v>23</v>
      </c>
      <c r="C647" s="47" t="s">
        <v>275</v>
      </c>
      <c r="D647" s="3" t="s">
        <v>87</v>
      </c>
      <c r="E647" s="3" t="s">
        <v>1359</v>
      </c>
      <c r="F647" s="3" t="s">
        <v>114</v>
      </c>
      <c r="G647" s="3" t="s">
        <v>1973</v>
      </c>
      <c r="H647" s="3"/>
      <c r="I647" s="3"/>
      <c r="J647" s="3"/>
      <c r="K647" s="3"/>
      <c r="L647" s="3"/>
      <c r="M647" s="36" t="s">
        <v>1258</v>
      </c>
      <c r="N647" s="36"/>
      <c r="O647" s="36"/>
      <c r="P647" s="36"/>
      <c r="Q647" s="36" t="s">
        <v>1372</v>
      </c>
      <c r="R647" s="150">
        <v>45791</v>
      </c>
      <c r="S647" s="36" t="s">
        <v>239</v>
      </c>
      <c r="T647" s="47" t="s">
        <v>275</v>
      </c>
      <c r="U647" s="146" t="s">
        <v>2135</v>
      </c>
    </row>
    <row r="648" spans="1:21" x14ac:dyDescent="0.25">
      <c r="A648" s="47"/>
      <c r="B648" s="108" t="s">
        <v>23</v>
      </c>
      <c r="C648" s="47" t="s">
        <v>275</v>
      </c>
      <c r="D648" s="3" t="s">
        <v>87</v>
      </c>
      <c r="E648" s="3" t="s">
        <v>1360</v>
      </c>
      <c r="F648" s="3" t="s">
        <v>114</v>
      </c>
      <c r="G648" s="3" t="s">
        <v>1974</v>
      </c>
      <c r="H648" s="3"/>
      <c r="I648" s="3"/>
      <c r="J648" s="3"/>
      <c r="K648" s="3"/>
      <c r="L648" s="3"/>
      <c r="M648" s="36" t="s">
        <v>1258</v>
      </c>
      <c r="N648" s="36"/>
      <c r="O648" s="36"/>
      <c r="P648" s="36"/>
      <c r="Q648" s="36" t="s">
        <v>1372</v>
      </c>
      <c r="R648" s="150">
        <v>45791</v>
      </c>
      <c r="S648" s="36" t="s">
        <v>239</v>
      </c>
      <c r="T648" s="47" t="s">
        <v>275</v>
      </c>
      <c r="U648" s="146" t="s">
        <v>2136</v>
      </c>
    </row>
    <row r="649" spans="1:21" ht="30" x14ac:dyDescent="0.25">
      <c r="A649" s="47"/>
      <c r="B649" s="108" t="s">
        <v>23</v>
      </c>
      <c r="C649" s="47" t="s">
        <v>275</v>
      </c>
      <c r="D649" s="3" t="s">
        <v>87</v>
      </c>
      <c r="E649" s="3" t="s">
        <v>1275</v>
      </c>
      <c r="F649" s="3" t="s">
        <v>112</v>
      </c>
      <c r="G649" s="3" t="s">
        <v>1975</v>
      </c>
      <c r="H649" s="3"/>
      <c r="I649" s="3"/>
      <c r="J649" s="3"/>
      <c r="K649" s="3"/>
      <c r="L649" s="3"/>
      <c r="M649" s="36" t="s">
        <v>1258</v>
      </c>
      <c r="N649" s="36"/>
      <c r="O649" s="36"/>
      <c r="P649" s="36"/>
      <c r="Q649" s="36"/>
      <c r="R649" s="150">
        <v>45785</v>
      </c>
      <c r="S649" s="36" t="s">
        <v>239</v>
      </c>
      <c r="T649" s="47" t="s">
        <v>275</v>
      </c>
      <c r="U649" s="146" t="s">
        <v>275</v>
      </c>
    </row>
    <row r="650" spans="1:21" ht="30" x14ac:dyDescent="0.25">
      <c r="A650" s="109"/>
      <c r="B650" s="109" t="s">
        <v>23</v>
      </c>
      <c r="C650" s="109" t="s">
        <v>275</v>
      </c>
      <c r="D650" s="109" t="s">
        <v>87</v>
      </c>
      <c r="E650" s="109" t="s">
        <v>1276</v>
      </c>
      <c r="F650" s="109" t="s">
        <v>112</v>
      </c>
      <c r="G650" s="109" t="s">
        <v>1976</v>
      </c>
      <c r="H650" s="109"/>
      <c r="I650" s="109"/>
      <c r="J650" s="109"/>
      <c r="K650" s="109"/>
      <c r="L650" s="109"/>
      <c r="M650" s="109" t="s">
        <v>1258</v>
      </c>
      <c r="N650" s="109"/>
      <c r="O650" s="109"/>
      <c r="P650" s="109"/>
      <c r="Q650" s="109"/>
      <c r="R650" s="117">
        <v>45785</v>
      </c>
      <c r="S650" s="109" t="s">
        <v>239</v>
      </c>
      <c r="T650" s="109" t="s">
        <v>275</v>
      </c>
      <c r="U650" s="109" t="s">
        <v>275</v>
      </c>
    </row>
    <row r="651" spans="1:21" ht="45" x14ac:dyDescent="0.25">
      <c r="A651" s="47"/>
      <c r="B651" s="108" t="s">
        <v>23</v>
      </c>
      <c r="C651" s="47" t="s">
        <v>275</v>
      </c>
      <c r="D651" s="3" t="s">
        <v>87</v>
      </c>
      <c r="E651" s="3" t="s">
        <v>968</v>
      </c>
      <c r="F651" s="3" t="s">
        <v>112</v>
      </c>
      <c r="G651" s="3" t="s">
        <v>1977</v>
      </c>
      <c r="H651" s="3"/>
      <c r="I651" s="3"/>
      <c r="J651" s="3"/>
      <c r="K651" s="3"/>
      <c r="L651" s="3"/>
      <c r="M651" s="36" t="s">
        <v>1258</v>
      </c>
      <c r="N651" s="36"/>
      <c r="O651" s="36"/>
      <c r="P651" s="36"/>
      <c r="Q651" s="36" t="s">
        <v>1118</v>
      </c>
      <c r="R651" s="150">
        <v>45762</v>
      </c>
      <c r="S651" s="36" t="s">
        <v>1117</v>
      </c>
      <c r="T651" s="47" t="s">
        <v>275</v>
      </c>
      <c r="U651" s="146" t="s">
        <v>275</v>
      </c>
    </row>
    <row r="652" spans="1:21" x14ac:dyDescent="0.25">
      <c r="A652" s="47"/>
      <c r="B652" s="108" t="s">
        <v>23</v>
      </c>
      <c r="C652" s="47" t="s">
        <v>275</v>
      </c>
      <c r="D652" s="3" t="s">
        <v>87</v>
      </c>
      <c r="E652" s="3" t="s">
        <v>1383</v>
      </c>
      <c r="F652" s="3" t="s">
        <v>96</v>
      </c>
      <c r="G652" s="3" t="s">
        <v>1978</v>
      </c>
      <c r="H652" s="3"/>
      <c r="I652" s="3"/>
      <c r="J652" s="3"/>
      <c r="K652" s="3"/>
      <c r="L652" s="3"/>
      <c r="M652" s="36" t="s">
        <v>1258</v>
      </c>
      <c r="N652" s="36"/>
      <c r="O652" s="36"/>
      <c r="P652" s="36"/>
      <c r="Q652" s="36" t="s">
        <v>586</v>
      </c>
      <c r="R652" s="150">
        <v>45798</v>
      </c>
      <c r="S652" s="36" t="s">
        <v>220</v>
      </c>
      <c r="T652" s="47" t="s">
        <v>275</v>
      </c>
      <c r="U652" s="146" t="s">
        <v>275</v>
      </c>
    </row>
    <row r="653" spans="1:21" ht="30" x14ac:dyDescent="0.25">
      <c r="A653" s="47"/>
      <c r="B653" s="108">
        <v>1</v>
      </c>
      <c r="C653" s="47" t="s">
        <v>275</v>
      </c>
      <c r="D653" s="3" t="s">
        <v>87</v>
      </c>
      <c r="E653" s="3" t="s">
        <v>1095</v>
      </c>
      <c r="F653" s="3" t="s">
        <v>114</v>
      </c>
      <c r="G653" s="3" t="s">
        <v>1979</v>
      </c>
      <c r="H653" s="3"/>
      <c r="I653" s="3"/>
      <c r="J653" s="3"/>
      <c r="K653" s="3"/>
      <c r="L653" s="3"/>
      <c r="M653" s="36" t="s">
        <v>1258</v>
      </c>
      <c r="N653" s="36"/>
      <c r="O653" s="36"/>
      <c r="P653" s="36"/>
      <c r="Q653" s="36" t="s">
        <v>1670</v>
      </c>
      <c r="R653" s="150">
        <v>45800</v>
      </c>
      <c r="S653" s="36" t="s">
        <v>1671</v>
      </c>
      <c r="T653" s="47" t="s">
        <v>275</v>
      </c>
      <c r="U653" s="146" t="s">
        <v>2137</v>
      </c>
    </row>
    <row r="654" spans="1:21" ht="30" x14ac:dyDescent="0.25">
      <c r="A654" s="47"/>
      <c r="B654" s="108">
        <v>4</v>
      </c>
      <c r="C654" s="47" t="s">
        <v>275</v>
      </c>
      <c r="D654" s="3" t="s">
        <v>87</v>
      </c>
      <c r="E654" s="3" t="s">
        <v>1378</v>
      </c>
      <c r="F654" s="3" t="s">
        <v>96</v>
      </c>
      <c r="G654" s="3" t="s">
        <v>1980</v>
      </c>
      <c r="H654" s="3"/>
      <c r="I654" s="3"/>
      <c r="J654" s="3"/>
      <c r="K654" s="3"/>
      <c r="L654" s="3"/>
      <c r="M654" s="36" t="s">
        <v>1258</v>
      </c>
      <c r="N654" s="36"/>
      <c r="O654" s="36"/>
      <c r="P654" s="36"/>
      <c r="Q654" s="36" t="s">
        <v>1381</v>
      </c>
      <c r="R654" s="150">
        <v>45792</v>
      </c>
      <c r="S654" s="36" t="s">
        <v>713</v>
      </c>
      <c r="T654" s="47" t="s">
        <v>275</v>
      </c>
      <c r="U654" s="146" t="s">
        <v>275</v>
      </c>
    </row>
    <row r="655" spans="1:21" x14ac:dyDescent="0.25">
      <c r="A655" s="109"/>
      <c r="B655" s="109">
        <v>1</v>
      </c>
      <c r="C655" s="109" t="s">
        <v>275</v>
      </c>
      <c r="D655" s="109" t="s">
        <v>87</v>
      </c>
      <c r="E655" s="109" t="s">
        <v>1305</v>
      </c>
      <c r="F655" s="109" t="s">
        <v>112</v>
      </c>
      <c r="G655" s="109" t="s">
        <v>1981</v>
      </c>
      <c r="H655" s="109"/>
      <c r="I655" s="109"/>
      <c r="J655" s="109"/>
      <c r="K655" s="109"/>
      <c r="L655" s="109"/>
      <c r="M655" s="110" t="s">
        <v>1258</v>
      </c>
      <c r="N655" s="110"/>
      <c r="O655" s="110"/>
      <c r="P655" s="110"/>
      <c r="Q655" s="110"/>
      <c r="R655" s="117"/>
      <c r="S655" s="110"/>
      <c r="T655" s="109" t="s">
        <v>275</v>
      </c>
      <c r="U655" s="138" t="s">
        <v>275</v>
      </c>
    </row>
    <row r="656" spans="1:21" ht="30" x14ac:dyDescent="0.25">
      <c r="A656" s="47"/>
      <c r="B656" s="108">
        <v>1</v>
      </c>
      <c r="C656" s="47" t="s">
        <v>275</v>
      </c>
      <c r="D656" s="3" t="s">
        <v>87</v>
      </c>
      <c r="E656" s="3" t="s">
        <v>1403</v>
      </c>
      <c r="F656" s="3" t="s">
        <v>112</v>
      </c>
      <c r="G656" s="3" t="s">
        <v>1982</v>
      </c>
      <c r="H656" s="3"/>
      <c r="I656" s="3"/>
      <c r="J656" s="3"/>
      <c r="K656" s="3"/>
      <c r="L656" s="3"/>
      <c r="M656" s="36" t="s">
        <v>1258</v>
      </c>
      <c r="N656" s="36"/>
      <c r="O656" s="36"/>
      <c r="P656" s="36"/>
      <c r="Q656" s="36" t="s">
        <v>1429</v>
      </c>
      <c r="R656" s="150">
        <v>45797</v>
      </c>
      <c r="S656" s="36" t="s">
        <v>211</v>
      </c>
      <c r="T656" s="47" t="s">
        <v>275</v>
      </c>
      <c r="U656" s="146" t="s">
        <v>275</v>
      </c>
    </row>
    <row r="657" spans="1:21" ht="60" x14ac:dyDescent="0.25">
      <c r="A657" s="109"/>
      <c r="B657" s="109" t="s">
        <v>23</v>
      </c>
      <c r="C657" s="109" t="s">
        <v>275</v>
      </c>
      <c r="D657" s="109" t="s">
        <v>87</v>
      </c>
      <c r="E657" s="109" t="s">
        <v>1479</v>
      </c>
      <c r="F657" s="109" t="s">
        <v>93</v>
      </c>
      <c r="G657" s="109" t="s">
        <v>1983</v>
      </c>
      <c r="H657" s="109"/>
      <c r="I657" s="109"/>
      <c r="J657" s="109"/>
      <c r="K657" s="109"/>
      <c r="L657" s="109"/>
      <c r="M657" s="109" t="s">
        <v>1258</v>
      </c>
      <c r="N657" s="109"/>
      <c r="O657" s="109"/>
      <c r="P657" s="109"/>
      <c r="Q657" s="109" t="s">
        <v>1486</v>
      </c>
      <c r="R657" s="117">
        <v>45804</v>
      </c>
      <c r="S657" s="109" t="s">
        <v>1480</v>
      </c>
      <c r="T657" s="109" t="s">
        <v>275</v>
      </c>
      <c r="U657" s="109" t="s">
        <v>275</v>
      </c>
    </row>
    <row r="658" spans="1:21" ht="30" x14ac:dyDescent="0.25">
      <c r="A658" s="47"/>
      <c r="B658" s="108" t="s">
        <v>23</v>
      </c>
      <c r="C658" s="47" t="s">
        <v>275</v>
      </c>
      <c r="D658" s="3" t="s">
        <v>87</v>
      </c>
      <c r="E658" s="3" t="s">
        <v>1481</v>
      </c>
      <c r="F658" s="3" t="s">
        <v>93</v>
      </c>
      <c r="G658" s="3" t="s">
        <v>1984</v>
      </c>
      <c r="H658" s="3"/>
      <c r="I658" s="3"/>
      <c r="J658" s="3"/>
      <c r="K658" s="3"/>
      <c r="L658" s="3"/>
      <c r="M658" s="36" t="s">
        <v>1258</v>
      </c>
      <c r="N658" s="36"/>
      <c r="O658" s="36"/>
      <c r="P658" s="36"/>
      <c r="Q658" s="36" t="s">
        <v>1482</v>
      </c>
      <c r="R658" s="150">
        <v>45804</v>
      </c>
      <c r="S658" s="36" t="s">
        <v>50</v>
      </c>
      <c r="T658" s="47" t="s">
        <v>275</v>
      </c>
      <c r="U658" s="146" t="s">
        <v>275</v>
      </c>
    </row>
    <row r="659" spans="1:21" ht="30" x14ac:dyDescent="0.25">
      <c r="A659" s="47"/>
      <c r="B659" s="108" t="s">
        <v>23</v>
      </c>
      <c r="C659" s="47" t="s">
        <v>275</v>
      </c>
      <c r="D659" s="3" t="s">
        <v>87</v>
      </c>
      <c r="E659" s="3" t="s">
        <v>1446</v>
      </c>
      <c r="F659" s="3" t="s">
        <v>114</v>
      </c>
      <c r="G659" s="3" t="s">
        <v>1985</v>
      </c>
      <c r="H659" s="3"/>
      <c r="I659" s="3"/>
      <c r="J659" s="3"/>
      <c r="K659" s="3"/>
      <c r="L659" s="3"/>
      <c r="M659" s="36" t="s">
        <v>1258</v>
      </c>
      <c r="N659" s="36"/>
      <c r="O659" s="36"/>
      <c r="P659" s="36"/>
      <c r="Q659" s="36" t="s">
        <v>1495</v>
      </c>
      <c r="R659" s="150">
        <v>45805</v>
      </c>
      <c r="S659" s="36" t="s">
        <v>1496</v>
      </c>
      <c r="T659" s="47" t="s">
        <v>275</v>
      </c>
      <c r="U659" s="146" t="s">
        <v>2138</v>
      </c>
    </row>
    <row r="660" spans="1:21" ht="30" x14ac:dyDescent="0.25">
      <c r="A660" s="109"/>
      <c r="B660" s="109">
        <v>1</v>
      </c>
      <c r="C660" s="109" t="s">
        <v>275</v>
      </c>
      <c r="D660" s="109" t="s">
        <v>87</v>
      </c>
      <c r="E660" s="109" t="s">
        <v>1302</v>
      </c>
      <c r="F660" s="109" t="s">
        <v>88</v>
      </c>
      <c r="G660" s="109" t="s">
        <v>1986</v>
      </c>
      <c r="H660" s="109"/>
      <c r="I660" s="109"/>
      <c r="J660" s="109"/>
      <c r="K660" s="109"/>
      <c r="L660" s="109"/>
      <c r="M660" s="109" t="s">
        <v>1258</v>
      </c>
      <c r="N660" s="109"/>
      <c r="O660" s="109"/>
      <c r="P660" s="109"/>
      <c r="Q660" s="109" t="s">
        <v>1492</v>
      </c>
      <c r="R660" s="117">
        <v>45805</v>
      </c>
      <c r="S660" s="109" t="s">
        <v>1493</v>
      </c>
      <c r="T660" s="109" t="s">
        <v>275</v>
      </c>
      <c r="U660" s="138" t="s">
        <v>275</v>
      </c>
    </row>
    <row r="661" spans="1:21" x14ac:dyDescent="0.25">
      <c r="A661" s="109"/>
      <c r="B661" s="109" t="s">
        <v>23</v>
      </c>
      <c r="C661" s="109" t="s">
        <v>275</v>
      </c>
      <c r="D661" s="109" t="s">
        <v>87</v>
      </c>
      <c r="E661" s="109" t="s">
        <v>1489</v>
      </c>
      <c r="F661" s="109" t="s">
        <v>3080</v>
      </c>
      <c r="G661" s="109" t="s">
        <v>1987</v>
      </c>
      <c r="H661" s="109"/>
      <c r="I661" s="109"/>
      <c r="J661" s="109"/>
      <c r="K661" s="109"/>
      <c r="L661" s="109"/>
      <c r="M661" s="109" t="s">
        <v>1258</v>
      </c>
      <c r="N661" s="109"/>
      <c r="O661" s="109"/>
      <c r="P661" s="109"/>
      <c r="Q661" s="109" t="s">
        <v>1497</v>
      </c>
      <c r="R661" s="117">
        <v>45805</v>
      </c>
      <c r="S661" s="109" t="s">
        <v>1498</v>
      </c>
      <c r="T661" s="109" t="s">
        <v>275</v>
      </c>
      <c r="U661" s="109" t="s">
        <v>275</v>
      </c>
    </row>
    <row r="662" spans="1:21" ht="45" x14ac:dyDescent="0.25">
      <c r="A662" s="47"/>
      <c r="B662" s="108" t="s">
        <v>23</v>
      </c>
      <c r="C662" s="47" t="s">
        <v>275</v>
      </c>
      <c r="D662" s="3" t="s">
        <v>87</v>
      </c>
      <c r="E662" s="3" t="s">
        <v>1304</v>
      </c>
      <c r="F662" s="3" t="s">
        <v>112</v>
      </c>
      <c r="G662" s="3" t="s">
        <v>1988</v>
      </c>
      <c r="H662" s="3"/>
      <c r="I662" s="3"/>
      <c r="J662" s="3"/>
      <c r="K662" s="3"/>
      <c r="L662" s="3"/>
      <c r="M662" s="36" t="s">
        <v>1258</v>
      </c>
      <c r="N662" s="36"/>
      <c r="O662" s="36"/>
      <c r="P662" s="36"/>
      <c r="Q662" s="36" t="s">
        <v>1450</v>
      </c>
      <c r="R662" s="150">
        <v>45785</v>
      </c>
      <c r="S662" s="36" t="s">
        <v>239</v>
      </c>
      <c r="T662" s="47" t="s">
        <v>275</v>
      </c>
      <c r="U662" s="146" t="s">
        <v>275</v>
      </c>
    </row>
    <row r="663" spans="1:21" x14ac:dyDescent="0.25">
      <c r="A663" s="109"/>
      <c r="B663" s="109" t="s">
        <v>23</v>
      </c>
      <c r="C663" s="109" t="s">
        <v>275</v>
      </c>
      <c r="D663" s="109" t="s">
        <v>87</v>
      </c>
      <c r="E663" s="109" t="s">
        <v>1491</v>
      </c>
      <c r="F663" s="109" t="s">
        <v>93</v>
      </c>
      <c r="G663" s="109" t="s">
        <v>1989</v>
      </c>
      <c r="H663" s="109"/>
      <c r="I663" s="109"/>
      <c r="J663" s="109"/>
      <c r="K663" s="109"/>
      <c r="L663" s="109"/>
      <c r="M663" s="109" t="s">
        <v>1258</v>
      </c>
      <c r="N663" s="109"/>
      <c r="O663" s="109"/>
      <c r="P663" s="109"/>
      <c r="Q663" s="109"/>
      <c r="R663" s="117"/>
      <c r="S663" s="109"/>
      <c r="T663" s="109" t="s">
        <v>275</v>
      </c>
      <c r="U663" s="109" t="s">
        <v>275</v>
      </c>
    </row>
    <row r="664" spans="1:21" x14ac:dyDescent="0.25">
      <c r="A664" s="47"/>
      <c r="B664" s="108">
        <v>1</v>
      </c>
      <c r="C664" s="47" t="s">
        <v>275</v>
      </c>
      <c r="D664" s="3" t="s">
        <v>87</v>
      </c>
      <c r="E664" s="3" t="s">
        <v>1285</v>
      </c>
      <c r="F664" s="3" t="s">
        <v>3074</v>
      </c>
      <c r="G664" s="3" t="s">
        <v>1990</v>
      </c>
      <c r="H664" s="3"/>
      <c r="I664" s="3"/>
      <c r="J664" s="3"/>
      <c r="K664" s="3"/>
      <c r="L664" s="3"/>
      <c r="M664" s="36" t="s">
        <v>1258</v>
      </c>
      <c r="N664" s="36"/>
      <c r="O664" s="36"/>
      <c r="P664" s="36"/>
      <c r="Q664" s="36"/>
      <c r="R664" s="150"/>
      <c r="S664" s="36"/>
      <c r="T664" s="47" t="s">
        <v>275</v>
      </c>
      <c r="U664" s="146" t="s">
        <v>2139</v>
      </c>
    </row>
    <row r="665" spans="1:21" ht="45" x14ac:dyDescent="0.25">
      <c r="A665" s="47"/>
      <c r="B665" s="108">
        <v>2</v>
      </c>
      <c r="C665" s="47" t="s">
        <v>275</v>
      </c>
      <c r="D665" s="3" t="s">
        <v>87</v>
      </c>
      <c r="E665" s="3" t="s">
        <v>1517</v>
      </c>
      <c r="F665" s="3" t="s">
        <v>3075</v>
      </c>
      <c r="G665" s="3" t="s">
        <v>1991</v>
      </c>
      <c r="H665" s="3"/>
      <c r="I665" s="3"/>
      <c r="J665" s="3"/>
      <c r="K665" s="3"/>
      <c r="L665" s="3"/>
      <c r="M665" s="36" t="s">
        <v>1258</v>
      </c>
      <c r="N665" s="36"/>
      <c r="O665" s="36"/>
      <c r="P665" s="36"/>
      <c r="Q665" s="36" t="s">
        <v>1535</v>
      </c>
      <c r="R665" s="150">
        <v>45770</v>
      </c>
      <c r="S665" s="36" t="s">
        <v>1153</v>
      </c>
      <c r="T665" s="47" t="s">
        <v>275</v>
      </c>
      <c r="U665" s="146" t="s">
        <v>2140</v>
      </c>
    </row>
    <row r="666" spans="1:21" ht="30" x14ac:dyDescent="0.25">
      <c r="A666" s="109"/>
      <c r="B666" s="109">
        <v>3</v>
      </c>
      <c r="C666" s="109" t="s">
        <v>275</v>
      </c>
      <c r="D666" s="109" t="s">
        <v>87</v>
      </c>
      <c r="E666" s="109" t="s">
        <v>1569</v>
      </c>
      <c r="F666" s="109" t="s">
        <v>3079</v>
      </c>
      <c r="G666" s="109" t="s">
        <v>1992</v>
      </c>
      <c r="H666" s="109"/>
      <c r="I666" s="109"/>
      <c r="J666" s="109"/>
      <c r="K666" s="109"/>
      <c r="L666" s="109"/>
      <c r="M666" s="109" t="s">
        <v>1258</v>
      </c>
      <c r="N666" s="109"/>
      <c r="O666" s="109"/>
      <c r="P666" s="109"/>
      <c r="Q666" s="109" t="s">
        <v>1584</v>
      </c>
      <c r="R666" s="117">
        <v>45812</v>
      </c>
      <c r="S666" s="109" t="s">
        <v>1571</v>
      </c>
      <c r="T666" s="109" t="s">
        <v>275</v>
      </c>
      <c r="U666" s="109" t="s">
        <v>2141</v>
      </c>
    </row>
    <row r="667" spans="1:21" x14ac:dyDescent="0.25">
      <c r="A667" s="47"/>
      <c r="B667" s="108">
        <v>4</v>
      </c>
      <c r="C667" s="47" t="s">
        <v>275</v>
      </c>
      <c r="D667" s="3" t="s">
        <v>87</v>
      </c>
      <c r="E667" s="3" t="s">
        <v>1401</v>
      </c>
      <c r="F667" s="3" t="s">
        <v>93</v>
      </c>
      <c r="G667" s="3" t="s">
        <v>1993</v>
      </c>
      <c r="H667" s="3"/>
      <c r="I667" s="3"/>
      <c r="J667" s="3"/>
      <c r="K667" s="3"/>
      <c r="L667" s="3"/>
      <c r="M667" s="36" t="s">
        <v>1258</v>
      </c>
      <c r="N667" s="36"/>
      <c r="O667" s="36"/>
      <c r="P667" s="36"/>
      <c r="Q667" s="36"/>
      <c r="R667" s="150"/>
      <c r="S667" s="36"/>
      <c r="T667" s="47" t="s">
        <v>275</v>
      </c>
      <c r="U667" s="146" t="s">
        <v>2142</v>
      </c>
    </row>
    <row r="668" spans="1:21" x14ac:dyDescent="0.25">
      <c r="A668" s="109"/>
      <c r="B668" s="109">
        <v>4</v>
      </c>
      <c r="C668" s="109" t="s">
        <v>275</v>
      </c>
      <c r="D668" s="109" t="s">
        <v>87</v>
      </c>
      <c r="E668" s="109" t="s">
        <v>1287</v>
      </c>
      <c r="F668" s="109" t="s">
        <v>3074</v>
      </c>
      <c r="G668" s="109" t="s">
        <v>1994</v>
      </c>
      <c r="H668" s="109"/>
      <c r="I668" s="109"/>
      <c r="J668" s="109"/>
      <c r="K668" s="109"/>
      <c r="L668" s="109"/>
      <c r="M668" s="109" t="s">
        <v>1258</v>
      </c>
      <c r="N668" s="109"/>
      <c r="O668" s="109"/>
      <c r="P668" s="109"/>
      <c r="Q668" s="109"/>
      <c r="R668" s="117"/>
      <c r="S668" s="109"/>
      <c r="T668" s="109" t="s">
        <v>275</v>
      </c>
      <c r="U668" s="109" t="s">
        <v>2143</v>
      </c>
    </row>
    <row r="669" spans="1:21" x14ac:dyDescent="0.25">
      <c r="A669" s="109"/>
      <c r="B669" s="109">
        <v>4</v>
      </c>
      <c r="C669" s="109" t="s">
        <v>275</v>
      </c>
      <c r="D669" s="109" t="s">
        <v>87</v>
      </c>
      <c r="E669" s="109" t="s">
        <v>949</v>
      </c>
      <c r="F669" s="109" t="s">
        <v>3076</v>
      </c>
      <c r="G669" s="109" t="s">
        <v>1995</v>
      </c>
      <c r="H669" s="109"/>
      <c r="I669" s="109"/>
      <c r="J669" s="109"/>
      <c r="K669" s="109"/>
      <c r="L669" s="109"/>
      <c r="M669" s="109" t="s">
        <v>1258</v>
      </c>
      <c r="N669" s="109"/>
      <c r="O669" s="109"/>
      <c r="P669" s="109"/>
      <c r="Q669" s="109"/>
      <c r="R669" s="117"/>
      <c r="S669" s="109"/>
      <c r="T669" s="109" t="s">
        <v>275</v>
      </c>
      <c r="U669" s="109" t="s">
        <v>2144</v>
      </c>
    </row>
    <row r="670" spans="1:21" x14ac:dyDescent="0.25">
      <c r="A670" s="109"/>
      <c r="B670" s="109">
        <v>4</v>
      </c>
      <c r="C670" s="109" t="s">
        <v>275</v>
      </c>
      <c r="D670" s="109" t="s">
        <v>87</v>
      </c>
      <c r="E670" s="109" t="s">
        <v>1149</v>
      </c>
      <c r="F670" s="109" t="s">
        <v>3080</v>
      </c>
      <c r="G670" s="109" t="s">
        <v>1996</v>
      </c>
      <c r="H670" s="109"/>
      <c r="I670" s="109"/>
      <c r="J670" s="109"/>
      <c r="K670" s="109"/>
      <c r="L670" s="109"/>
      <c r="M670" s="109" t="s">
        <v>1258</v>
      </c>
      <c r="N670" s="109"/>
      <c r="O670" s="109"/>
      <c r="P670" s="109"/>
      <c r="Q670" s="109"/>
      <c r="R670" s="117"/>
      <c r="S670" s="109"/>
      <c r="T670" s="109" t="s">
        <v>275</v>
      </c>
      <c r="U670" s="109" t="s">
        <v>2145</v>
      </c>
    </row>
    <row r="671" spans="1:21" x14ac:dyDescent="0.25">
      <c r="A671" s="47"/>
      <c r="B671" s="108">
        <v>4</v>
      </c>
      <c r="C671" s="47" t="s">
        <v>275</v>
      </c>
      <c r="D671" s="3" t="s">
        <v>87</v>
      </c>
      <c r="E671" s="3" t="s">
        <v>1128</v>
      </c>
      <c r="F671" s="3" t="s">
        <v>114</v>
      </c>
      <c r="G671" s="3" t="s">
        <v>1997</v>
      </c>
      <c r="H671" s="3"/>
      <c r="I671" s="3"/>
      <c r="J671" s="3"/>
      <c r="K671" s="3"/>
      <c r="L671" s="3"/>
      <c r="M671" s="36" t="s">
        <v>1258</v>
      </c>
      <c r="N671" s="36"/>
      <c r="O671" s="36"/>
      <c r="P671" s="36"/>
      <c r="Q671" s="36"/>
      <c r="R671" s="150"/>
      <c r="S671" s="36"/>
      <c r="T671" s="47" t="s">
        <v>275</v>
      </c>
      <c r="U671" s="146" t="s">
        <v>2146</v>
      </c>
    </row>
    <row r="672" spans="1:21" x14ac:dyDescent="0.25">
      <c r="A672" s="47"/>
      <c r="B672" s="108">
        <v>4</v>
      </c>
      <c r="C672" s="47" t="s">
        <v>275</v>
      </c>
      <c r="D672" s="3" t="s">
        <v>87</v>
      </c>
      <c r="E672" s="3" t="s">
        <v>1065</v>
      </c>
      <c r="F672" s="3" t="s">
        <v>3078</v>
      </c>
      <c r="G672" s="3" t="s">
        <v>1998</v>
      </c>
      <c r="H672" s="3"/>
      <c r="I672" s="3"/>
      <c r="J672" s="3"/>
      <c r="K672" s="3"/>
      <c r="L672" s="3"/>
      <c r="M672" s="36" t="s">
        <v>1258</v>
      </c>
      <c r="N672" s="36"/>
      <c r="O672" s="36"/>
      <c r="P672" s="36"/>
      <c r="Q672" s="36"/>
      <c r="R672" s="150"/>
      <c r="S672" s="36"/>
      <c r="T672" s="47" t="s">
        <v>275</v>
      </c>
      <c r="U672" s="146" t="s">
        <v>2147</v>
      </c>
    </row>
    <row r="673" spans="1:21" x14ac:dyDescent="0.25">
      <c r="A673" s="47"/>
      <c r="B673" s="108">
        <v>4</v>
      </c>
      <c r="C673" s="47" t="s">
        <v>275</v>
      </c>
      <c r="D673" s="3" t="s">
        <v>87</v>
      </c>
      <c r="E673" s="3" t="s">
        <v>1062</v>
      </c>
      <c r="F673" s="3" t="s">
        <v>3074</v>
      </c>
      <c r="G673" s="3" t="s">
        <v>1999</v>
      </c>
      <c r="H673" s="3"/>
      <c r="I673" s="3"/>
      <c r="J673" s="3"/>
      <c r="K673" s="3"/>
      <c r="L673" s="3"/>
      <c r="M673" s="36" t="s">
        <v>1258</v>
      </c>
      <c r="N673" s="36"/>
      <c r="O673" s="36"/>
      <c r="P673" s="36"/>
      <c r="Q673" s="36"/>
      <c r="R673" s="150"/>
      <c r="S673" s="36"/>
      <c r="T673" s="47" t="s">
        <v>275</v>
      </c>
      <c r="U673" s="146" t="s">
        <v>2148</v>
      </c>
    </row>
    <row r="674" spans="1:21" x14ac:dyDescent="0.25">
      <c r="A674" s="109"/>
      <c r="B674" s="109">
        <v>4</v>
      </c>
      <c r="C674" s="109" t="s">
        <v>275</v>
      </c>
      <c r="D674" s="109" t="s">
        <v>87</v>
      </c>
      <c r="E674" s="109" t="s">
        <v>1069</v>
      </c>
      <c r="F674" s="109" t="s">
        <v>3079</v>
      </c>
      <c r="G674" s="109" t="s">
        <v>2000</v>
      </c>
      <c r="H674" s="109"/>
      <c r="I674" s="109"/>
      <c r="J674" s="109"/>
      <c r="K674" s="109"/>
      <c r="L674" s="109"/>
      <c r="M674" s="110" t="s">
        <v>1258</v>
      </c>
      <c r="N674" s="110"/>
      <c r="O674" s="110"/>
      <c r="P674" s="110"/>
      <c r="Q674" s="110"/>
      <c r="R674" s="117"/>
      <c r="S674" s="110"/>
      <c r="T674" s="109" t="s">
        <v>275</v>
      </c>
      <c r="U674" s="138" t="s">
        <v>2149</v>
      </c>
    </row>
    <row r="675" spans="1:21" x14ac:dyDescent="0.25">
      <c r="A675" s="47"/>
      <c r="B675" s="108">
        <v>4</v>
      </c>
      <c r="C675" s="47" t="s">
        <v>275</v>
      </c>
      <c r="D675" s="3" t="s">
        <v>87</v>
      </c>
      <c r="E675" s="3" t="s">
        <v>636</v>
      </c>
      <c r="F675" s="3" t="s">
        <v>93</v>
      </c>
      <c r="G675" s="3" t="s">
        <v>2001</v>
      </c>
      <c r="H675" s="3"/>
      <c r="I675" s="3"/>
      <c r="J675" s="3"/>
      <c r="K675" s="3"/>
      <c r="L675" s="3"/>
      <c r="M675" s="36" t="s">
        <v>1258</v>
      </c>
      <c r="N675" s="36"/>
      <c r="O675" s="36"/>
      <c r="P675" s="36"/>
      <c r="Q675" s="36"/>
      <c r="R675" s="150"/>
      <c r="S675" s="36"/>
      <c r="T675" s="47" t="s">
        <v>275</v>
      </c>
      <c r="U675" s="146" t="s">
        <v>2150</v>
      </c>
    </row>
    <row r="676" spans="1:21" x14ac:dyDescent="0.25">
      <c r="A676" s="47"/>
      <c r="B676" s="108">
        <v>4</v>
      </c>
      <c r="C676" s="47" t="s">
        <v>275</v>
      </c>
      <c r="D676" s="3" t="s">
        <v>87</v>
      </c>
      <c r="E676" s="3" t="s">
        <v>439</v>
      </c>
      <c r="F676" s="3" t="s">
        <v>114</v>
      </c>
      <c r="G676" s="3" t="s">
        <v>2002</v>
      </c>
      <c r="H676" s="3"/>
      <c r="I676" s="3"/>
      <c r="J676" s="3"/>
      <c r="K676" s="3"/>
      <c r="L676" s="3"/>
      <c r="M676" s="36" t="s">
        <v>1258</v>
      </c>
      <c r="N676" s="36"/>
      <c r="O676" s="36"/>
      <c r="P676" s="36"/>
      <c r="Q676" s="36"/>
      <c r="R676" s="150"/>
      <c r="S676" s="36"/>
      <c r="T676" s="47" t="s">
        <v>275</v>
      </c>
      <c r="U676" s="146" t="s">
        <v>2151</v>
      </c>
    </row>
    <row r="677" spans="1:21" x14ac:dyDescent="0.25">
      <c r="A677" s="47"/>
      <c r="B677" s="108">
        <v>4</v>
      </c>
      <c r="C677" s="47" t="s">
        <v>275</v>
      </c>
      <c r="D677" s="3" t="s">
        <v>87</v>
      </c>
      <c r="E677" s="3" t="s">
        <v>440</v>
      </c>
      <c r="F677" s="3" t="s">
        <v>114</v>
      </c>
      <c r="G677" s="3" t="s">
        <v>2003</v>
      </c>
      <c r="H677" s="3"/>
      <c r="I677" s="3"/>
      <c r="J677" s="3"/>
      <c r="K677" s="3"/>
      <c r="L677" s="3"/>
      <c r="M677" s="36" t="s">
        <v>1258</v>
      </c>
      <c r="N677" s="36"/>
      <c r="O677" s="36"/>
      <c r="P677" s="36"/>
      <c r="Q677" s="36"/>
      <c r="R677" s="150"/>
      <c r="S677" s="36"/>
      <c r="T677" s="47" t="s">
        <v>275</v>
      </c>
      <c r="U677" s="146" t="s">
        <v>275</v>
      </c>
    </row>
    <row r="678" spans="1:21" x14ac:dyDescent="0.25">
      <c r="A678" s="47"/>
      <c r="B678" s="108">
        <v>4</v>
      </c>
      <c r="C678" s="47" t="s">
        <v>275</v>
      </c>
      <c r="D678" s="3" t="s">
        <v>87</v>
      </c>
      <c r="E678" s="3" t="s">
        <v>317</v>
      </c>
      <c r="F678" s="3" t="s">
        <v>114</v>
      </c>
      <c r="G678" s="3" t="s">
        <v>2004</v>
      </c>
      <c r="H678" s="3"/>
      <c r="I678" s="3"/>
      <c r="J678" s="3"/>
      <c r="K678" s="3"/>
      <c r="L678" s="3"/>
      <c r="M678" s="36" t="s">
        <v>1258</v>
      </c>
      <c r="N678" s="36"/>
      <c r="O678" s="36"/>
      <c r="P678" s="36"/>
      <c r="Q678" s="36"/>
      <c r="R678" s="150"/>
      <c r="S678" s="36"/>
      <c r="T678" s="47" t="s">
        <v>275</v>
      </c>
      <c r="U678" s="146" t="s">
        <v>2152</v>
      </c>
    </row>
    <row r="679" spans="1:21" x14ac:dyDescent="0.25">
      <c r="A679" s="47"/>
      <c r="B679" s="108">
        <v>4</v>
      </c>
      <c r="C679" s="47" t="s">
        <v>275</v>
      </c>
      <c r="D679" s="3" t="s">
        <v>87</v>
      </c>
      <c r="E679" s="3" t="s">
        <v>312</v>
      </c>
      <c r="F679" s="3" t="s">
        <v>3074</v>
      </c>
      <c r="G679" s="3" t="s">
        <v>2005</v>
      </c>
      <c r="H679" s="3"/>
      <c r="I679" s="3"/>
      <c r="J679" s="3"/>
      <c r="K679" s="3"/>
      <c r="L679" s="3"/>
      <c r="M679" s="36" t="s">
        <v>1258</v>
      </c>
      <c r="N679" s="36"/>
      <c r="O679" s="36"/>
      <c r="P679" s="36"/>
      <c r="Q679" s="36"/>
      <c r="R679" s="150"/>
      <c r="S679" s="36"/>
      <c r="T679" s="47" t="s">
        <v>275</v>
      </c>
      <c r="U679" s="146" t="s">
        <v>2153</v>
      </c>
    </row>
    <row r="680" spans="1:21" x14ac:dyDescent="0.25">
      <c r="A680" s="109"/>
      <c r="B680" s="109">
        <v>4</v>
      </c>
      <c r="C680" s="109" t="s">
        <v>275</v>
      </c>
      <c r="D680" s="109" t="s">
        <v>87</v>
      </c>
      <c r="E680" s="109" t="s">
        <v>449</v>
      </c>
      <c r="F680" s="109" t="s">
        <v>3074</v>
      </c>
      <c r="G680" s="109" t="s">
        <v>2006</v>
      </c>
      <c r="H680" s="109"/>
      <c r="I680" s="109"/>
      <c r="J680" s="109"/>
      <c r="K680" s="109"/>
      <c r="L680" s="109"/>
      <c r="M680" s="109" t="s">
        <v>1258</v>
      </c>
      <c r="N680" s="109"/>
      <c r="O680" s="109"/>
      <c r="P680" s="109"/>
      <c r="Q680" s="109"/>
      <c r="R680" s="117"/>
      <c r="S680" s="109"/>
      <c r="T680" s="109" t="s">
        <v>275</v>
      </c>
      <c r="U680" s="109" t="s">
        <v>2154</v>
      </c>
    </row>
    <row r="681" spans="1:21" x14ac:dyDescent="0.25">
      <c r="A681" s="109"/>
      <c r="B681" s="109">
        <v>4</v>
      </c>
      <c r="C681" s="109" t="s">
        <v>275</v>
      </c>
      <c r="D681" s="109" t="s">
        <v>87</v>
      </c>
      <c r="E681" s="109" t="s">
        <v>511</v>
      </c>
      <c r="F681" s="109" t="s">
        <v>88</v>
      </c>
      <c r="G681" s="109" t="s">
        <v>2007</v>
      </c>
      <c r="H681" s="109"/>
      <c r="I681" s="109"/>
      <c r="J681" s="109"/>
      <c r="K681" s="109"/>
      <c r="L681" s="109"/>
      <c r="M681" s="109" t="s">
        <v>1258</v>
      </c>
      <c r="N681" s="109"/>
      <c r="O681" s="109"/>
      <c r="P681" s="109"/>
      <c r="Q681" s="109"/>
      <c r="R681" s="117"/>
      <c r="S681" s="109"/>
      <c r="T681" s="109" t="s">
        <v>275</v>
      </c>
      <c r="U681" s="109" t="s">
        <v>2155</v>
      </c>
    </row>
    <row r="682" spans="1:21" x14ac:dyDescent="0.25">
      <c r="A682" s="47"/>
      <c r="B682" s="108">
        <v>4</v>
      </c>
      <c r="C682" s="47" t="s">
        <v>275</v>
      </c>
      <c r="D682" s="3" t="s">
        <v>87</v>
      </c>
      <c r="E682" s="3" t="s">
        <v>513</v>
      </c>
      <c r="F682" s="3" t="s">
        <v>97</v>
      </c>
      <c r="G682" s="3" t="s">
        <v>2008</v>
      </c>
      <c r="H682" s="3"/>
      <c r="I682" s="3"/>
      <c r="J682" s="3"/>
      <c r="K682" s="3"/>
      <c r="L682" s="3"/>
      <c r="M682" s="36" t="s">
        <v>1258</v>
      </c>
      <c r="N682" s="36"/>
      <c r="O682" s="36"/>
      <c r="P682" s="36"/>
      <c r="Q682" s="36"/>
      <c r="R682" s="150"/>
      <c r="S682" s="36"/>
      <c r="T682" s="47" t="s">
        <v>275</v>
      </c>
      <c r="U682" s="146" t="s">
        <v>2155</v>
      </c>
    </row>
    <row r="683" spans="1:21" x14ac:dyDescent="0.25">
      <c r="A683" s="47"/>
      <c r="B683" s="108">
        <v>4</v>
      </c>
      <c r="C683" s="47" t="s">
        <v>275</v>
      </c>
      <c r="D683" s="3" t="s">
        <v>87</v>
      </c>
      <c r="E683" s="3" t="s">
        <v>514</v>
      </c>
      <c r="F683" s="3" t="s">
        <v>97</v>
      </c>
      <c r="G683" s="3" t="s">
        <v>2009</v>
      </c>
      <c r="H683" s="3"/>
      <c r="I683" s="3"/>
      <c r="J683" s="3"/>
      <c r="K683" s="3"/>
      <c r="L683" s="3"/>
      <c r="M683" s="36" t="s">
        <v>1258</v>
      </c>
      <c r="N683" s="36"/>
      <c r="O683" s="36"/>
      <c r="P683" s="36"/>
      <c r="Q683" s="36"/>
      <c r="R683" s="150"/>
      <c r="S683" s="36"/>
      <c r="T683" s="47" t="s">
        <v>275</v>
      </c>
      <c r="U683" s="146" t="s">
        <v>2155</v>
      </c>
    </row>
    <row r="684" spans="1:21" x14ac:dyDescent="0.25">
      <c r="A684" s="47"/>
      <c r="B684" s="108">
        <v>4</v>
      </c>
      <c r="C684" s="47" t="s">
        <v>275</v>
      </c>
      <c r="D684" s="3" t="s">
        <v>87</v>
      </c>
      <c r="E684" s="3" t="s">
        <v>515</v>
      </c>
      <c r="F684" s="3" t="s">
        <v>112</v>
      </c>
      <c r="G684" s="3" t="s">
        <v>2010</v>
      </c>
      <c r="H684" s="3"/>
      <c r="I684" s="3"/>
      <c r="J684" s="3"/>
      <c r="K684" s="3"/>
      <c r="L684" s="3"/>
      <c r="M684" s="36" t="s">
        <v>1258</v>
      </c>
      <c r="N684" s="36"/>
      <c r="O684" s="36"/>
      <c r="P684" s="36"/>
      <c r="Q684" s="36"/>
      <c r="R684" s="150"/>
      <c r="S684" s="36"/>
      <c r="T684" s="47" t="s">
        <v>275</v>
      </c>
      <c r="U684" s="146" t="s">
        <v>2155</v>
      </c>
    </row>
    <row r="685" spans="1:21" x14ac:dyDescent="0.25">
      <c r="A685" s="109"/>
      <c r="B685" s="109">
        <v>4</v>
      </c>
      <c r="C685" s="109" t="s">
        <v>275</v>
      </c>
      <c r="D685" s="109" t="s">
        <v>87</v>
      </c>
      <c r="E685" s="109" t="s">
        <v>516</v>
      </c>
      <c r="F685" s="109" t="s">
        <v>93</v>
      </c>
      <c r="G685" s="109" t="s">
        <v>2011</v>
      </c>
      <c r="H685" s="109"/>
      <c r="I685" s="109"/>
      <c r="J685" s="109"/>
      <c r="K685" s="109"/>
      <c r="L685" s="109"/>
      <c r="M685" s="109" t="s">
        <v>1258</v>
      </c>
      <c r="N685" s="109"/>
      <c r="O685" s="109"/>
      <c r="P685" s="109"/>
      <c r="Q685" s="109"/>
      <c r="R685" s="117"/>
      <c r="S685" s="109"/>
      <c r="T685" s="109" t="s">
        <v>275</v>
      </c>
      <c r="U685" s="109" t="s">
        <v>2155</v>
      </c>
    </row>
    <row r="686" spans="1:21" x14ac:dyDescent="0.25">
      <c r="A686" s="47"/>
      <c r="B686" s="108">
        <v>4</v>
      </c>
      <c r="C686" s="47" t="s">
        <v>275</v>
      </c>
      <c r="D686" s="3" t="s">
        <v>87</v>
      </c>
      <c r="E686" s="3" t="s">
        <v>517</v>
      </c>
      <c r="F686" s="3" t="s">
        <v>3078</v>
      </c>
      <c r="G686" s="3" t="s">
        <v>2012</v>
      </c>
      <c r="H686" s="3"/>
      <c r="I686" s="3"/>
      <c r="J686" s="3"/>
      <c r="K686" s="3"/>
      <c r="L686" s="3"/>
      <c r="M686" s="36" t="s">
        <v>1258</v>
      </c>
      <c r="N686" s="36"/>
      <c r="O686" s="36"/>
      <c r="P686" s="36"/>
      <c r="Q686" s="36"/>
      <c r="R686" s="150"/>
      <c r="S686" s="36"/>
      <c r="T686" s="47" t="s">
        <v>275</v>
      </c>
      <c r="U686" s="146" t="s">
        <v>2147</v>
      </c>
    </row>
    <row r="687" spans="1:21" x14ac:dyDescent="0.25">
      <c r="A687" s="109"/>
      <c r="B687" s="109">
        <v>4</v>
      </c>
      <c r="C687" s="109" t="s">
        <v>275</v>
      </c>
      <c r="D687" s="109" t="s">
        <v>87</v>
      </c>
      <c r="E687" s="109" t="s">
        <v>518</v>
      </c>
      <c r="F687" s="109" t="s">
        <v>3078</v>
      </c>
      <c r="G687" s="109" t="s">
        <v>2013</v>
      </c>
      <c r="H687" s="109"/>
      <c r="I687" s="109"/>
      <c r="J687" s="109"/>
      <c r="K687" s="109"/>
      <c r="L687" s="109"/>
      <c r="M687" s="109" t="s">
        <v>1258</v>
      </c>
      <c r="N687" s="109"/>
      <c r="O687" s="109"/>
      <c r="P687" s="109"/>
      <c r="Q687" s="109"/>
      <c r="R687" s="117"/>
      <c r="S687" s="109"/>
      <c r="T687" s="109" t="s">
        <v>275</v>
      </c>
      <c r="U687" s="109" t="s">
        <v>2147</v>
      </c>
    </row>
    <row r="688" spans="1:21" x14ac:dyDescent="0.25">
      <c r="A688" s="109"/>
      <c r="B688" s="109">
        <v>4</v>
      </c>
      <c r="C688" s="109" t="s">
        <v>275</v>
      </c>
      <c r="D688" s="109" t="s">
        <v>87</v>
      </c>
      <c r="E688" s="109" t="s">
        <v>494</v>
      </c>
      <c r="F688" s="109" t="s">
        <v>114</v>
      </c>
      <c r="G688" s="109" t="s">
        <v>2014</v>
      </c>
      <c r="H688" s="109"/>
      <c r="I688" s="109"/>
      <c r="J688" s="109"/>
      <c r="K688" s="109"/>
      <c r="L688" s="109"/>
      <c r="M688" s="109" t="s">
        <v>1258</v>
      </c>
      <c r="N688" s="109"/>
      <c r="O688" s="109"/>
      <c r="P688" s="109"/>
      <c r="Q688" s="109"/>
      <c r="R688" s="117"/>
      <c r="S688" s="109"/>
      <c r="T688" s="109" t="s">
        <v>275</v>
      </c>
      <c r="U688" s="109" t="s">
        <v>2156</v>
      </c>
    </row>
    <row r="689" spans="1:21" x14ac:dyDescent="0.25">
      <c r="A689" s="109"/>
      <c r="B689" s="109">
        <v>4</v>
      </c>
      <c r="C689" s="109" t="s">
        <v>275</v>
      </c>
      <c r="D689" s="109" t="s">
        <v>87</v>
      </c>
      <c r="E689" s="109" t="s">
        <v>660</v>
      </c>
      <c r="F689" s="109" t="s">
        <v>3074</v>
      </c>
      <c r="G689" s="109" t="s">
        <v>2015</v>
      </c>
      <c r="H689" s="109"/>
      <c r="I689" s="109"/>
      <c r="J689" s="109"/>
      <c r="K689" s="109"/>
      <c r="L689" s="109"/>
      <c r="M689" s="109" t="s">
        <v>1258</v>
      </c>
      <c r="N689" s="109"/>
      <c r="O689" s="109"/>
      <c r="P689" s="109"/>
      <c r="Q689" s="109"/>
      <c r="R689" s="117"/>
      <c r="S689" s="109"/>
      <c r="T689" s="109" t="s">
        <v>275</v>
      </c>
      <c r="U689" s="109" t="s">
        <v>2157</v>
      </c>
    </row>
    <row r="690" spans="1:21" x14ac:dyDescent="0.25">
      <c r="A690" s="109"/>
      <c r="B690" s="109">
        <v>4</v>
      </c>
      <c r="C690" s="109" t="s">
        <v>275</v>
      </c>
      <c r="D690" s="109" t="s">
        <v>87</v>
      </c>
      <c r="E690" s="109" t="s">
        <v>659</v>
      </c>
      <c r="F690" s="109" t="s">
        <v>3078</v>
      </c>
      <c r="G690" s="109" t="s">
        <v>2016</v>
      </c>
      <c r="H690" s="109"/>
      <c r="I690" s="109"/>
      <c r="J690" s="109"/>
      <c r="K690" s="109"/>
      <c r="L690" s="109"/>
      <c r="M690" s="110" t="s">
        <v>1258</v>
      </c>
      <c r="N690" s="110"/>
      <c r="O690" s="110"/>
      <c r="P690" s="110"/>
      <c r="Q690" s="110"/>
      <c r="R690" s="117"/>
      <c r="S690" s="110"/>
      <c r="T690" s="109" t="s">
        <v>275</v>
      </c>
      <c r="U690" s="138" t="s">
        <v>275</v>
      </c>
    </row>
    <row r="691" spans="1:21" x14ac:dyDescent="0.25">
      <c r="A691" s="47"/>
      <c r="B691" s="108">
        <v>4</v>
      </c>
      <c r="C691" s="47" t="s">
        <v>275</v>
      </c>
      <c r="D691" s="3" t="s">
        <v>87</v>
      </c>
      <c r="E691" s="3" t="s">
        <v>891</v>
      </c>
      <c r="F691" s="3" t="s">
        <v>3076</v>
      </c>
      <c r="G691" s="3" t="s">
        <v>2017</v>
      </c>
      <c r="H691" s="3"/>
      <c r="I691" s="3"/>
      <c r="J691" s="3"/>
      <c r="K691" s="3"/>
      <c r="L691" s="3"/>
      <c r="M691" s="36" t="s">
        <v>1258</v>
      </c>
      <c r="N691" s="36"/>
      <c r="O691" s="36"/>
      <c r="P691" s="36"/>
      <c r="Q691" s="36"/>
      <c r="R691" s="150"/>
      <c r="S691" s="36"/>
      <c r="T691" s="47" t="s">
        <v>275</v>
      </c>
      <c r="U691" s="146" t="s">
        <v>2158</v>
      </c>
    </row>
    <row r="692" spans="1:21" ht="30" x14ac:dyDescent="0.25">
      <c r="A692" s="109"/>
      <c r="B692" s="109">
        <v>4</v>
      </c>
      <c r="C692" s="109" t="s">
        <v>275</v>
      </c>
      <c r="D692" s="109" t="s">
        <v>87</v>
      </c>
      <c r="E692" s="109" t="s">
        <v>892</v>
      </c>
      <c r="F692" s="109" t="s">
        <v>3074</v>
      </c>
      <c r="G692" s="109" t="s">
        <v>2018</v>
      </c>
      <c r="H692" s="109"/>
      <c r="I692" s="109"/>
      <c r="J692" s="109"/>
      <c r="K692" s="109"/>
      <c r="L692" s="109"/>
      <c r="M692" s="109" t="s">
        <v>1258</v>
      </c>
      <c r="N692" s="109"/>
      <c r="O692" s="109"/>
      <c r="P692" s="109"/>
      <c r="Q692" s="109"/>
      <c r="R692" s="117"/>
      <c r="S692" s="109"/>
      <c r="T692" s="109" t="s">
        <v>275</v>
      </c>
      <c r="U692" s="109" t="s">
        <v>2159</v>
      </c>
    </row>
    <row r="693" spans="1:21" x14ac:dyDescent="0.25">
      <c r="A693" s="47"/>
      <c r="B693" s="108">
        <v>4</v>
      </c>
      <c r="C693" s="47" t="s">
        <v>275</v>
      </c>
      <c r="D693" s="3" t="s">
        <v>87</v>
      </c>
      <c r="E693" s="3" t="s">
        <v>987</v>
      </c>
      <c r="F693" s="3" t="s">
        <v>3074</v>
      </c>
      <c r="G693" s="3" t="s">
        <v>2019</v>
      </c>
      <c r="H693" s="3"/>
      <c r="I693" s="3"/>
      <c r="J693" s="3"/>
      <c r="K693" s="3"/>
      <c r="L693" s="3"/>
      <c r="M693" s="110" t="s">
        <v>1258</v>
      </c>
      <c r="N693" s="110"/>
      <c r="O693" s="110"/>
      <c r="P693" s="110"/>
      <c r="Q693" s="110"/>
      <c r="R693" s="117"/>
      <c r="S693" s="110"/>
      <c r="T693" s="109" t="s">
        <v>275</v>
      </c>
      <c r="U693" s="138" t="s">
        <v>275</v>
      </c>
    </row>
    <row r="694" spans="1:21" x14ac:dyDescent="0.25">
      <c r="A694" s="109"/>
      <c r="B694" s="109">
        <v>4</v>
      </c>
      <c r="C694" s="109" t="s">
        <v>275</v>
      </c>
      <c r="D694" s="109" t="s">
        <v>87</v>
      </c>
      <c r="E694" s="109" t="s">
        <v>1025</v>
      </c>
      <c r="F694" s="109" t="s">
        <v>3080</v>
      </c>
      <c r="G694" s="109" t="s">
        <v>2020</v>
      </c>
      <c r="H694" s="109"/>
      <c r="I694" s="109"/>
      <c r="J694" s="109"/>
      <c r="K694" s="109"/>
      <c r="L694" s="109"/>
      <c r="M694" s="109" t="s">
        <v>1258</v>
      </c>
      <c r="N694" s="109"/>
      <c r="O694" s="109"/>
      <c r="P694" s="109"/>
      <c r="Q694" s="109"/>
      <c r="R694" s="117"/>
      <c r="S694" s="109"/>
      <c r="T694" s="109" t="s">
        <v>275</v>
      </c>
      <c r="U694" s="109" t="s">
        <v>2160</v>
      </c>
    </row>
    <row r="695" spans="1:21" x14ac:dyDescent="0.25">
      <c r="A695" s="109"/>
      <c r="B695" s="109">
        <v>4</v>
      </c>
      <c r="C695" s="109" t="s">
        <v>275</v>
      </c>
      <c r="D695" s="109" t="s">
        <v>87</v>
      </c>
      <c r="E695" s="109" t="s">
        <v>1096</v>
      </c>
      <c r="F695" s="109" t="s">
        <v>3076</v>
      </c>
      <c r="G695" s="109" t="s">
        <v>2021</v>
      </c>
      <c r="H695" s="109"/>
      <c r="I695" s="109"/>
      <c r="J695" s="109"/>
      <c r="K695" s="109"/>
      <c r="L695" s="109"/>
      <c r="M695" s="109" t="s">
        <v>1258</v>
      </c>
      <c r="N695" s="109"/>
      <c r="O695" s="109"/>
      <c r="P695" s="109"/>
      <c r="Q695" s="109"/>
      <c r="R695" s="117"/>
      <c r="S695" s="109"/>
      <c r="T695" s="109" t="s">
        <v>275</v>
      </c>
      <c r="U695" s="109" t="s">
        <v>2161</v>
      </c>
    </row>
    <row r="696" spans="1:21" ht="30" x14ac:dyDescent="0.25">
      <c r="A696" s="109"/>
      <c r="B696" s="109">
        <v>4</v>
      </c>
      <c r="C696" s="109" t="s">
        <v>275</v>
      </c>
      <c r="D696" s="109" t="s">
        <v>87</v>
      </c>
      <c r="E696" s="109" t="s">
        <v>1106</v>
      </c>
      <c r="F696" s="109" t="s">
        <v>114</v>
      </c>
      <c r="G696" s="109" t="s">
        <v>2022</v>
      </c>
      <c r="H696" s="109"/>
      <c r="I696" s="109"/>
      <c r="J696" s="109"/>
      <c r="K696" s="109"/>
      <c r="L696" s="109"/>
      <c r="M696" s="110" t="s">
        <v>1258</v>
      </c>
      <c r="N696" s="110"/>
      <c r="O696" s="110"/>
      <c r="P696" s="110"/>
      <c r="Q696" s="110"/>
      <c r="R696" s="117"/>
      <c r="S696" s="110"/>
      <c r="T696" s="109" t="s">
        <v>275</v>
      </c>
      <c r="U696" s="138" t="s">
        <v>275</v>
      </c>
    </row>
    <row r="697" spans="1:21" x14ac:dyDescent="0.25">
      <c r="A697" s="47"/>
      <c r="B697" s="108">
        <v>4</v>
      </c>
      <c r="C697" s="47" t="s">
        <v>275</v>
      </c>
      <c r="D697" s="3" t="s">
        <v>87</v>
      </c>
      <c r="E697" s="3" t="s">
        <v>1150</v>
      </c>
      <c r="F697" s="3" t="s">
        <v>114</v>
      </c>
      <c r="G697" s="3" t="s">
        <v>2023</v>
      </c>
      <c r="H697" s="3"/>
      <c r="I697" s="3"/>
      <c r="J697" s="3"/>
      <c r="K697" s="3"/>
      <c r="L697" s="3"/>
      <c r="M697" s="36" t="s">
        <v>1258</v>
      </c>
      <c r="N697" s="36" t="s">
        <v>23</v>
      </c>
      <c r="O697" s="36"/>
      <c r="P697" s="36"/>
      <c r="Q697" s="36" t="s">
        <v>1173</v>
      </c>
      <c r="R697" s="150"/>
      <c r="S697" s="36"/>
      <c r="T697" s="47" t="s">
        <v>275</v>
      </c>
      <c r="U697" s="146" t="s">
        <v>2162</v>
      </c>
    </row>
    <row r="698" spans="1:21" x14ac:dyDescent="0.25">
      <c r="A698" s="47"/>
      <c r="B698" s="108">
        <v>4</v>
      </c>
      <c r="C698" s="47" t="s">
        <v>275</v>
      </c>
      <c r="D698" s="3" t="s">
        <v>87</v>
      </c>
      <c r="E698" s="3" t="s">
        <v>1071</v>
      </c>
      <c r="F698" s="3" t="s">
        <v>3078</v>
      </c>
      <c r="G698" s="3" t="s">
        <v>2024</v>
      </c>
      <c r="H698" s="3"/>
      <c r="I698" s="3"/>
      <c r="J698" s="3"/>
      <c r="K698" s="3"/>
      <c r="L698" s="3"/>
      <c r="M698" s="36" t="s">
        <v>1258</v>
      </c>
      <c r="N698" s="36"/>
      <c r="O698" s="36"/>
      <c r="P698" s="36"/>
      <c r="Q698" s="36"/>
      <c r="R698" s="150"/>
      <c r="S698" s="36"/>
      <c r="T698" s="47" t="s">
        <v>275</v>
      </c>
      <c r="U698" s="146" t="s">
        <v>2147</v>
      </c>
    </row>
    <row r="699" spans="1:21" ht="45" x14ac:dyDescent="0.25">
      <c r="A699" s="47"/>
      <c r="B699" s="108">
        <v>4</v>
      </c>
      <c r="C699" s="47" t="s">
        <v>275</v>
      </c>
      <c r="D699" s="3" t="s">
        <v>87</v>
      </c>
      <c r="E699" s="3" t="s">
        <v>1277</v>
      </c>
      <c r="F699" s="3" t="s">
        <v>88</v>
      </c>
      <c r="G699" s="3" t="s">
        <v>2025</v>
      </c>
      <c r="H699" s="3"/>
      <c r="I699" s="3"/>
      <c r="J699" s="3"/>
      <c r="K699" s="3"/>
      <c r="L699" s="3"/>
      <c r="M699" s="36" t="s">
        <v>1258</v>
      </c>
      <c r="N699" s="36"/>
      <c r="O699" s="36"/>
      <c r="P699" s="36"/>
      <c r="Q699" s="36" t="s">
        <v>1282</v>
      </c>
      <c r="R699" s="150">
        <v>45641</v>
      </c>
      <c r="S699" s="36" t="s">
        <v>693</v>
      </c>
      <c r="T699" s="47" t="s">
        <v>275</v>
      </c>
      <c r="U699" s="146" t="s">
        <v>2155</v>
      </c>
    </row>
    <row r="700" spans="1:21" x14ac:dyDescent="0.25">
      <c r="A700" s="47"/>
      <c r="B700" s="108">
        <v>4</v>
      </c>
      <c r="C700" s="47" t="s">
        <v>275</v>
      </c>
      <c r="D700" s="3" t="s">
        <v>87</v>
      </c>
      <c r="E700" s="3" t="s">
        <v>1389</v>
      </c>
      <c r="F700" s="3" t="s">
        <v>114</v>
      </c>
      <c r="G700" s="3" t="s">
        <v>2026</v>
      </c>
      <c r="H700" s="3"/>
      <c r="I700" s="3"/>
      <c r="J700" s="3"/>
      <c r="K700" s="3"/>
      <c r="L700" s="3"/>
      <c r="M700" s="36" t="s">
        <v>1258</v>
      </c>
      <c r="N700" s="36"/>
      <c r="O700" s="36"/>
      <c r="P700" s="36"/>
      <c r="Q700" s="36"/>
      <c r="R700" s="150"/>
      <c r="S700" s="36"/>
      <c r="T700" s="47" t="s">
        <v>275</v>
      </c>
      <c r="U700" s="146" t="s">
        <v>275</v>
      </c>
    </row>
    <row r="701" spans="1:21" ht="30" x14ac:dyDescent="0.25">
      <c r="A701" s="47"/>
      <c r="B701" s="108">
        <v>1</v>
      </c>
      <c r="C701" s="47" t="s">
        <v>275</v>
      </c>
      <c r="D701" s="3" t="s">
        <v>87</v>
      </c>
      <c r="E701" s="3" t="s">
        <v>1464</v>
      </c>
      <c r="F701" s="3" t="s">
        <v>112</v>
      </c>
      <c r="G701" s="3" t="s">
        <v>2028</v>
      </c>
      <c r="H701" s="3"/>
      <c r="I701" s="3"/>
      <c r="J701" s="3"/>
      <c r="K701" s="3"/>
      <c r="L701" s="3"/>
      <c r="M701" s="36" t="s">
        <v>1258</v>
      </c>
      <c r="N701" s="36"/>
      <c r="O701" s="36"/>
      <c r="P701" s="36"/>
      <c r="Q701" s="36" t="s">
        <v>1749</v>
      </c>
      <c r="R701" s="150">
        <v>45826</v>
      </c>
      <c r="S701" s="36" t="s">
        <v>211</v>
      </c>
      <c r="T701" s="47" t="s">
        <v>275</v>
      </c>
      <c r="U701" s="146" t="s">
        <v>2164</v>
      </c>
    </row>
    <row r="702" spans="1:21" x14ac:dyDescent="0.25">
      <c r="A702" s="47"/>
      <c r="B702" s="108">
        <v>3</v>
      </c>
      <c r="C702" s="47" t="s">
        <v>275</v>
      </c>
      <c r="D702" s="3" t="s">
        <v>87</v>
      </c>
      <c r="E702" s="3" t="s">
        <v>1727</v>
      </c>
      <c r="F702" s="3" t="s">
        <v>3077</v>
      </c>
      <c r="G702" s="3" t="s">
        <v>2033</v>
      </c>
      <c r="H702" s="3"/>
      <c r="I702" s="3"/>
      <c r="J702" s="3"/>
      <c r="K702" s="3"/>
      <c r="L702" s="3"/>
      <c r="M702" s="36" t="s">
        <v>1258</v>
      </c>
      <c r="N702" s="36"/>
      <c r="O702" s="36"/>
      <c r="P702" s="36"/>
      <c r="Q702" s="36"/>
      <c r="R702" s="150"/>
      <c r="S702" s="36"/>
      <c r="T702" s="47" t="s">
        <v>275</v>
      </c>
      <c r="U702" s="146" t="s">
        <v>275</v>
      </c>
    </row>
    <row r="703" spans="1:21" x14ac:dyDescent="0.25">
      <c r="A703" s="47"/>
      <c r="B703" s="108">
        <v>3</v>
      </c>
      <c r="C703" s="47" t="s">
        <v>275</v>
      </c>
      <c r="D703" s="3" t="s">
        <v>87</v>
      </c>
      <c r="E703" s="3" t="s">
        <v>1728</v>
      </c>
      <c r="F703" s="3" t="s">
        <v>3077</v>
      </c>
      <c r="G703" s="3" t="s">
        <v>2034</v>
      </c>
      <c r="H703" s="3"/>
      <c r="I703" s="3"/>
      <c r="J703" s="3"/>
      <c r="K703" s="3"/>
      <c r="L703" s="3"/>
      <c r="M703" s="36" t="s">
        <v>1258</v>
      </c>
      <c r="N703" s="36"/>
      <c r="O703" s="36"/>
      <c r="P703" s="36"/>
      <c r="Q703" s="36"/>
      <c r="R703" s="150"/>
      <c r="S703" s="36"/>
      <c r="T703" s="47" t="s">
        <v>275</v>
      </c>
      <c r="U703" s="146" t="s">
        <v>275</v>
      </c>
    </row>
    <row r="704" spans="1:21" x14ac:dyDescent="0.25">
      <c r="A704" s="47"/>
      <c r="B704" s="108"/>
      <c r="C704" s="47" t="s">
        <v>275</v>
      </c>
      <c r="D704" s="3" t="s">
        <v>87</v>
      </c>
      <c r="E704" s="3" t="s">
        <v>2193</v>
      </c>
      <c r="F704" s="3" t="s">
        <v>3077</v>
      </c>
      <c r="G704" s="3" t="s">
        <v>2194</v>
      </c>
      <c r="H704" s="3"/>
      <c r="I704" s="3"/>
      <c r="J704" s="3"/>
      <c r="K704" s="3"/>
      <c r="L704" s="3"/>
      <c r="M704" s="36" t="s">
        <v>1258</v>
      </c>
      <c r="N704" s="36"/>
      <c r="O704" s="36"/>
      <c r="P704" s="36"/>
      <c r="Q704" s="36"/>
      <c r="R704" s="150"/>
      <c r="S704" s="36"/>
      <c r="T704" s="47" t="s">
        <v>275</v>
      </c>
      <c r="U704" s="146" t="s">
        <v>2202</v>
      </c>
    </row>
    <row r="705" spans="1:21" x14ac:dyDescent="0.25">
      <c r="A705" s="47"/>
      <c r="B705" s="108" t="s">
        <v>23</v>
      </c>
      <c r="C705" s="47" t="s">
        <v>275</v>
      </c>
      <c r="D705" s="3" t="s">
        <v>87</v>
      </c>
      <c r="E705" s="3" t="s">
        <v>1650</v>
      </c>
      <c r="F705" s="3" t="s">
        <v>3079</v>
      </c>
      <c r="G705" s="3" t="s">
        <v>2036</v>
      </c>
      <c r="H705" s="3"/>
      <c r="I705" s="3"/>
      <c r="J705" s="3"/>
      <c r="K705" s="3"/>
      <c r="L705" s="3"/>
      <c r="M705" s="36" t="s">
        <v>1258</v>
      </c>
      <c r="N705" s="36"/>
      <c r="O705" s="36"/>
      <c r="P705" s="36"/>
      <c r="Q705" s="36" t="s">
        <v>232</v>
      </c>
      <c r="R705" s="150">
        <v>45835</v>
      </c>
      <c r="S705" s="36" t="s">
        <v>211</v>
      </c>
      <c r="T705" s="47" t="s">
        <v>275</v>
      </c>
      <c r="U705" s="146" t="s">
        <v>2168</v>
      </c>
    </row>
    <row r="706" spans="1:21" ht="30" x14ac:dyDescent="0.25">
      <c r="A706" s="109"/>
      <c r="B706" s="109" t="s">
        <v>23</v>
      </c>
      <c r="C706" s="109" t="s">
        <v>275</v>
      </c>
      <c r="D706" s="109" t="s">
        <v>87</v>
      </c>
      <c r="E706" s="109" t="s">
        <v>1625</v>
      </c>
      <c r="F706" s="109" t="s">
        <v>3077</v>
      </c>
      <c r="G706" s="109" t="s">
        <v>2027</v>
      </c>
      <c r="H706" s="109"/>
      <c r="I706" s="109"/>
      <c r="J706" s="109"/>
      <c r="K706" s="109"/>
      <c r="L706" s="109"/>
      <c r="M706" s="109" t="s">
        <v>1258</v>
      </c>
      <c r="N706" s="109"/>
      <c r="O706" s="109"/>
      <c r="P706" s="109"/>
      <c r="Q706" s="109" t="s">
        <v>2218</v>
      </c>
      <c r="R706" s="117">
        <v>45838</v>
      </c>
      <c r="S706" s="109" t="s">
        <v>50</v>
      </c>
      <c r="T706" s="109" t="s">
        <v>275</v>
      </c>
      <c r="U706" s="109" t="s">
        <v>2163</v>
      </c>
    </row>
    <row r="707" spans="1:21" ht="30" x14ac:dyDescent="0.25">
      <c r="A707" s="47"/>
      <c r="B707" s="108">
        <v>3</v>
      </c>
      <c r="C707" s="47" t="s">
        <v>275</v>
      </c>
      <c r="D707" s="3" t="s">
        <v>87</v>
      </c>
      <c r="E707" s="3" t="s">
        <v>1583</v>
      </c>
      <c r="F707" s="3" t="s">
        <v>3078</v>
      </c>
      <c r="G707" s="3" t="s">
        <v>2030</v>
      </c>
      <c r="H707" s="3"/>
      <c r="I707" s="3"/>
      <c r="J707" s="3"/>
      <c r="K707" s="3"/>
      <c r="L707" s="3"/>
      <c r="M707" s="36" t="s">
        <v>1258</v>
      </c>
      <c r="N707" s="36"/>
      <c r="O707" s="36"/>
      <c r="P707" s="36"/>
      <c r="Q707" s="36" t="s">
        <v>2219</v>
      </c>
      <c r="R707" s="150">
        <v>45838</v>
      </c>
      <c r="S707" s="36" t="s">
        <v>453</v>
      </c>
      <c r="T707" s="47" t="s">
        <v>275</v>
      </c>
      <c r="U707" s="146" t="s">
        <v>2166</v>
      </c>
    </row>
    <row r="708" spans="1:21" ht="30" x14ac:dyDescent="0.25">
      <c r="A708" s="47"/>
      <c r="B708" s="108">
        <v>3</v>
      </c>
      <c r="C708" s="47" t="s">
        <v>275</v>
      </c>
      <c r="D708" s="3" t="s">
        <v>87</v>
      </c>
      <c r="E708" s="3" t="s">
        <v>1711</v>
      </c>
      <c r="F708" s="3" t="s">
        <v>92</v>
      </c>
      <c r="G708" s="3" t="s">
        <v>2029</v>
      </c>
      <c r="H708" s="3"/>
      <c r="I708" s="3"/>
      <c r="J708" s="3"/>
      <c r="K708" s="3"/>
      <c r="L708" s="3"/>
      <c r="M708" s="36" t="s">
        <v>1258</v>
      </c>
      <c r="N708" s="36"/>
      <c r="O708" s="36"/>
      <c r="P708" s="36"/>
      <c r="Q708" s="36" t="s">
        <v>2245</v>
      </c>
      <c r="R708" s="150">
        <v>45840</v>
      </c>
      <c r="S708" s="36" t="s">
        <v>2246</v>
      </c>
      <c r="T708" s="47" t="s">
        <v>275</v>
      </c>
      <c r="U708" s="146" t="s">
        <v>2165</v>
      </c>
    </row>
    <row r="709" spans="1:21" ht="30" x14ac:dyDescent="0.25">
      <c r="A709" s="47"/>
      <c r="B709" s="108">
        <v>3</v>
      </c>
      <c r="C709" s="47" t="s">
        <v>275</v>
      </c>
      <c r="D709" s="3" t="s">
        <v>87</v>
      </c>
      <c r="E709" s="3" t="s">
        <v>1691</v>
      </c>
      <c r="F709" s="3" t="s">
        <v>96</v>
      </c>
      <c r="G709" s="3" t="s">
        <v>2048</v>
      </c>
      <c r="H709" s="3"/>
      <c r="I709" s="3"/>
      <c r="J709" s="3"/>
      <c r="K709" s="3"/>
      <c r="L709" s="3"/>
      <c r="M709" s="36" t="s">
        <v>1258</v>
      </c>
      <c r="N709" s="36"/>
      <c r="O709" s="36"/>
      <c r="P709" s="36"/>
      <c r="Q709" s="36" t="s">
        <v>2247</v>
      </c>
      <c r="R709" s="150">
        <v>45840</v>
      </c>
      <c r="S709" s="36" t="s">
        <v>2246</v>
      </c>
      <c r="T709" s="47" t="s">
        <v>275</v>
      </c>
      <c r="U709" s="146" t="s">
        <v>2175</v>
      </c>
    </row>
    <row r="710" spans="1:21" ht="30" x14ac:dyDescent="0.25">
      <c r="A710" s="47"/>
      <c r="B710" s="108"/>
      <c r="C710" s="47" t="s">
        <v>275</v>
      </c>
      <c r="D710" s="3" t="s">
        <v>87</v>
      </c>
      <c r="E710" s="3" t="s">
        <v>2208</v>
      </c>
      <c r="F710" s="3" t="s">
        <v>97</v>
      </c>
      <c r="G710" s="3" t="s">
        <v>2205</v>
      </c>
      <c r="H710" s="3"/>
      <c r="I710" s="3"/>
      <c r="J710" s="3"/>
      <c r="K710" s="3"/>
      <c r="L710" s="3"/>
      <c r="M710" s="36" t="s">
        <v>1258</v>
      </c>
      <c r="N710" s="36"/>
      <c r="O710" s="36"/>
      <c r="P710" s="36"/>
      <c r="Q710" s="36" t="s">
        <v>2265</v>
      </c>
      <c r="R710" s="150">
        <v>45840</v>
      </c>
      <c r="S710" s="36" t="s">
        <v>1496</v>
      </c>
      <c r="T710" s="47" t="s">
        <v>275</v>
      </c>
      <c r="U710" s="146" t="s">
        <v>2206</v>
      </c>
    </row>
    <row r="711" spans="1:21" ht="30" x14ac:dyDescent="0.25">
      <c r="A711" s="47"/>
      <c r="B711" s="108"/>
      <c r="C711" s="47" t="s">
        <v>275</v>
      </c>
      <c r="D711" s="3" t="s">
        <v>87</v>
      </c>
      <c r="E711" s="3" t="s">
        <v>2209</v>
      </c>
      <c r="F711" s="3" t="s">
        <v>97</v>
      </c>
      <c r="G711" s="3" t="s">
        <v>2204</v>
      </c>
      <c r="H711" s="3"/>
      <c r="I711" s="3"/>
      <c r="J711" s="3"/>
      <c r="K711" s="3"/>
      <c r="L711" s="3"/>
      <c r="M711" s="36" t="s">
        <v>1258</v>
      </c>
      <c r="N711" s="36"/>
      <c r="O711" s="36"/>
      <c r="P711" s="36"/>
      <c r="Q711" s="36" t="s">
        <v>2265</v>
      </c>
      <c r="R711" s="150">
        <v>45840</v>
      </c>
      <c r="S711" s="36" t="s">
        <v>1496</v>
      </c>
      <c r="T711" s="47" t="s">
        <v>275</v>
      </c>
      <c r="U711" s="146" t="s">
        <v>2207</v>
      </c>
    </row>
    <row r="712" spans="1:21" ht="30" x14ac:dyDescent="0.25">
      <c r="A712" s="47"/>
      <c r="B712" s="108"/>
      <c r="C712" s="47" t="s">
        <v>275</v>
      </c>
      <c r="D712" s="3" t="s">
        <v>87</v>
      </c>
      <c r="E712" s="3" t="s">
        <v>1750</v>
      </c>
      <c r="F712" s="3" t="s">
        <v>3077</v>
      </c>
      <c r="G712" s="3" t="s">
        <v>2267</v>
      </c>
      <c r="H712" s="3"/>
      <c r="I712" s="3"/>
      <c r="J712" s="3"/>
      <c r="K712" s="3"/>
      <c r="L712" s="3"/>
      <c r="M712" s="36" t="s">
        <v>1258</v>
      </c>
      <c r="N712" s="36"/>
      <c r="O712" s="36"/>
      <c r="P712" s="36"/>
      <c r="Q712" s="36" t="s">
        <v>2285</v>
      </c>
      <c r="R712" s="150">
        <v>45841</v>
      </c>
      <c r="S712" s="36" t="s">
        <v>1048</v>
      </c>
      <c r="T712" s="47" t="s">
        <v>275</v>
      </c>
      <c r="U712" s="146" t="s">
        <v>2269</v>
      </c>
    </row>
    <row r="713" spans="1:21" x14ac:dyDescent="0.25">
      <c r="A713" s="47"/>
      <c r="B713" s="108"/>
      <c r="C713" s="47" t="s">
        <v>275</v>
      </c>
      <c r="D713" s="3" t="s">
        <v>87</v>
      </c>
      <c r="E713" s="3" t="s">
        <v>2251</v>
      </c>
      <c r="F713" s="3" t="s">
        <v>3077</v>
      </c>
      <c r="G713" s="3" t="s">
        <v>2252</v>
      </c>
      <c r="H713" s="3"/>
      <c r="I713" s="3"/>
      <c r="J713" s="3"/>
      <c r="K713" s="3"/>
      <c r="L713" s="3"/>
      <c r="M713" s="36" t="s">
        <v>1258</v>
      </c>
      <c r="N713" s="36"/>
      <c r="O713" s="36"/>
      <c r="P713" s="36"/>
      <c r="Q713" s="36" t="s">
        <v>2312</v>
      </c>
      <c r="R713" s="150">
        <v>45845</v>
      </c>
      <c r="S713" s="36" t="s">
        <v>211</v>
      </c>
      <c r="T713" s="47" t="s">
        <v>275</v>
      </c>
      <c r="U713" s="146" t="s">
        <v>2258</v>
      </c>
    </row>
    <row r="714" spans="1:21" x14ac:dyDescent="0.25">
      <c r="A714" s="109"/>
      <c r="B714" s="109"/>
      <c r="C714" s="109" t="s">
        <v>275</v>
      </c>
      <c r="D714" s="109" t="s">
        <v>87</v>
      </c>
      <c r="E714" s="109" t="s">
        <v>2313</v>
      </c>
      <c r="F714" s="109" t="s">
        <v>1616</v>
      </c>
      <c r="G714" s="109" t="s">
        <v>2314</v>
      </c>
      <c r="H714" s="109"/>
      <c r="I714" s="109"/>
      <c r="J714" s="109"/>
      <c r="K714" s="109"/>
      <c r="L714" s="109"/>
      <c r="M714" s="109" t="s">
        <v>1258</v>
      </c>
      <c r="N714" s="109"/>
      <c r="O714" s="109"/>
      <c r="P714" s="109"/>
      <c r="Q714" s="109" t="s">
        <v>2315</v>
      </c>
      <c r="R714" s="117"/>
      <c r="S714" s="109"/>
      <c r="T714" s="109" t="s">
        <v>275</v>
      </c>
      <c r="U714" s="138" t="s">
        <v>2327</v>
      </c>
    </row>
    <row r="715" spans="1:21" ht="45" x14ac:dyDescent="0.25">
      <c r="A715" s="47"/>
      <c r="B715" s="108"/>
      <c r="C715" s="47" t="s">
        <v>275</v>
      </c>
      <c r="D715" s="3" t="s">
        <v>87</v>
      </c>
      <c r="E715" s="3" t="s">
        <v>2294</v>
      </c>
      <c r="F715" s="3" t="s">
        <v>1616</v>
      </c>
      <c r="G715" s="3" t="s">
        <v>2295</v>
      </c>
      <c r="H715" s="3"/>
      <c r="I715" s="3"/>
      <c r="J715" s="3"/>
      <c r="K715" s="3"/>
      <c r="L715" s="3"/>
      <c r="M715" s="36" t="s">
        <v>1258</v>
      </c>
      <c r="N715" s="36"/>
      <c r="O715" s="36"/>
      <c r="P715" s="36"/>
      <c r="Q715" s="36" t="s">
        <v>2325</v>
      </c>
      <c r="R715" s="150">
        <v>45847</v>
      </c>
      <c r="S715" s="36" t="s">
        <v>2324</v>
      </c>
      <c r="T715" s="47" t="s">
        <v>275</v>
      </c>
      <c r="U715" s="146" t="s">
        <v>2302</v>
      </c>
    </row>
    <row r="716" spans="1:21" ht="30" x14ac:dyDescent="0.25">
      <c r="A716" s="47"/>
      <c r="B716" s="108"/>
      <c r="C716" s="47" t="s">
        <v>275</v>
      </c>
      <c r="D716" s="3" t="s">
        <v>87</v>
      </c>
      <c r="E716" s="3" t="s">
        <v>2254</v>
      </c>
      <c r="F716" s="3" t="s">
        <v>3074</v>
      </c>
      <c r="G716" s="3" t="s">
        <v>2255</v>
      </c>
      <c r="H716" s="3"/>
      <c r="I716" s="3"/>
      <c r="J716" s="3"/>
      <c r="K716" s="3"/>
      <c r="L716" s="3"/>
      <c r="M716" s="36" t="s">
        <v>1258</v>
      </c>
      <c r="N716" s="36"/>
      <c r="O716" s="36"/>
      <c r="P716" s="36"/>
      <c r="Q716" s="36" t="s">
        <v>2332</v>
      </c>
      <c r="R716" s="150">
        <v>45847</v>
      </c>
      <c r="S716" s="36" t="s">
        <v>50</v>
      </c>
      <c r="T716" s="47" t="s">
        <v>275</v>
      </c>
      <c r="U716" s="146" t="s">
        <v>2257</v>
      </c>
    </row>
    <row r="717" spans="1:21" ht="30" x14ac:dyDescent="0.25">
      <c r="A717" s="47"/>
      <c r="B717" s="108"/>
      <c r="C717" s="47" t="s">
        <v>275</v>
      </c>
      <c r="D717" s="3" t="s">
        <v>87</v>
      </c>
      <c r="E717" s="3" t="s">
        <v>2256</v>
      </c>
      <c r="F717" s="3" t="s">
        <v>3074</v>
      </c>
      <c r="G717" s="3" t="s">
        <v>2273</v>
      </c>
      <c r="H717" s="3"/>
      <c r="I717" s="3"/>
      <c r="J717" s="3"/>
      <c r="K717" s="3"/>
      <c r="L717" s="3"/>
      <c r="M717" s="36" t="s">
        <v>1258</v>
      </c>
      <c r="N717" s="36"/>
      <c r="O717" s="36"/>
      <c r="P717" s="36"/>
      <c r="Q717" s="36" t="s">
        <v>2332</v>
      </c>
      <c r="R717" s="150">
        <v>45847</v>
      </c>
      <c r="S717" s="36" t="s">
        <v>50</v>
      </c>
      <c r="T717" s="47" t="s">
        <v>275</v>
      </c>
      <c r="U717" s="146" t="s">
        <v>2276</v>
      </c>
    </row>
    <row r="718" spans="1:21" ht="30" x14ac:dyDescent="0.25">
      <c r="A718" s="109"/>
      <c r="B718" s="109">
        <v>2</v>
      </c>
      <c r="C718" s="109" t="s">
        <v>275</v>
      </c>
      <c r="D718" s="109" t="s">
        <v>87</v>
      </c>
      <c r="E718" s="109" t="s">
        <v>2358</v>
      </c>
      <c r="F718" s="109" t="s">
        <v>114</v>
      </c>
      <c r="G718" s="109" t="s">
        <v>2035</v>
      </c>
      <c r="H718" s="109"/>
      <c r="I718" s="109"/>
      <c r="J718" s="109"/>
      <c r="K718" s="109"/>
      <c r="L718" s="109"/>
      <c r="M718" s="110" t="s">
        <v>1258</v>
      </c>
      <c r="N718" s="110"/>
      <c r="O718" s="110"/>
      <c r="P718" s="110"/>
      <c r="Q718" s="110" t="s">
        <v>2375</v>
      </c>
      <c r="R718" s="117">
        <v>45852</v>
      </c>
      <c r="S718" s="110" t="s">
        <v>554</v>
      </c>
      <c r="T718" s="109" t="s">
        <v>275</v>
      </c>
      <c r="U718" s="109" t="s">
        <v>2167</v>
      </c>
    </row>
    <row r="719" spans="1:21" ht="30" x14ac:dyDescent="0.25">
      <c r="A719" s="109"/>
      <c r="B719" s="109">
        <v>2</v>
      </c>
      <c r="C719" s="109" t="s">
        <v>275</v>
      </c>
      <c r="D719" s="109" t="s">
        <v>87</v>
      </c>
      <c r="E719" s="109" t="s">
        <v>2357</v>
      </c>
      <c r="F719" s="109" t="s">
        <v>3080</v>
      </c>
      <c r="G719" s="109" t="s">
        <v>2045</v>
      </c>
      <c r="H719" s="109"/>
      <c r="I719" s="109"/>
      <c r="J719" s="109"/>
      <c r="K719" s="109"/>
      <c r="L719" s="109"/>
      <c r="M719" s="110" t="s">
        <v>1258</v>
      </c>
      <c r="N719" s="110"/>
      <c r="O719" s="110"/>
      <c r="P719" s="110"/>
      <c r="Q719" s="110" t="s">
        <v>2418</v>
      </c>
      <c r="R719" s="117">
        <v>45853</v>
      </c>
      <c r="S719" s="110" t="s">
        <v>102</v>
      </c>
      <c r="T719" s="109" t="s">
        <v>275</v>
      </c>
      <c r="U719" s="109" t="s">
        <v>2174</v>
      </c>
    </row>
    <row r="720" spans="1:21" ht="30" x14ac:dyDescent="0.25">
      <c r="A720" s="47"/>
      <c r="B720" s="108"/>
      <c r="C720" s="47" t="s">
        <v>275</v>
      </c>
      <c r="D720" s="3" t="s">
        <v>87</v>
      </c>
      <c r="E720" s="3" t="s">
        <v>1766</v>
      </c>
      <c r="F720" s="3" t="s">
        <v>3079</v>
      </c>
      <c r="G720" s="3" t="s">
        <v>2266</v>
      </c>
      <c r="H720" s="3"/>
      <c r="I720" s="3"/>
      <c r="J720" s="3"/>
      <c r="K720" s="3"/>
      <c r="L720" s="3"/>
      <c r="M720" s="36" t="s">
        <v>1258</v>
      </c>
      <c r="N720" s="36"/>
      <c r="O720" s="36" t="s">
        <v>23</v>
      </c>
      <c r="P720" s="36"/>
      <c r="Q720" s="36" t="s">
        <v>2411</v>
      </c>
      <c r="R720" s="150">
        <v>45840</v>
      </c>
      <c r="S720" s="36" t="s">
        <v>102</v>
      </c>
      <c r="T720" s="47" t="s">
        <v>275</v>
      </c>
      <c r="U720" s="146" t="s">
        <v>2271</v>
      </c>
    </row>
    <row r="721" spans="1:21" ht="30" x14ac:dyDescent="0.25">
      <c r="A721" s="109"/>
      <c r="B721" s="109"/>
      <c r="C721" s="109" t="s">
        <v>275</v>
      </c>
      <c r="D721" s="109" t="s">
        <v>87</v>
      </c>
      <c r="E721" s="109" t="s">
        <v>2395</v>
      </c>
      <c r="F721" s="109" t="s">
        <v>3079</v>
      </c>
      <c r="G721" s="109" t="s">
        <v>2396</v>
      </c>
      <c r="H721" s="109"/>
      <c r="I721" s="109"/>
      <c r="J721" s="109"/>
      <c r="K721" s="109"/>
      <c r="L721" s="109"/>
      <c r="M721" s="109" t="s">
        <v>1258</v>
      </c>
      <c r="N721" s="109"/>
      <c r="O721" s="109"/>
      <c r="P721" s="109"/>
      <c r="Q721" s="109" t="s">
        <v>2410</v>
      </c>
      <c r="R721" s="117">
        <v>45855</v>
      </c>
      <c r="S721" s="109" t="s">
        <v>102</v>
      </c>
      <c r="T721" s="109" t="s">
        <v>275</v>
      </c>
      <c r="U721" s="109" t="s">
        <v>275</v>
      </c>
    </row>
    <row r="722" spans="1:21" ht="30" x14ac:dyDescent="0.25">
      <c r="A722" s="47"/>
      <c r="B722" s="108"/>
      <c r="C722" s="47" t="s">
        <v>275</v>
      </c>
      <c r="D722" s="3" t="s">
        <v>87</v>
      </c>
      <c r="E722" s="3" t="s">
        <v>2397</v>
      </c>
      <c r="F722" s="3" t="s">
        <v>3074</v>
      </c>
      <c r="G722" s="3" t="s">
        <v>2398</v>
      </c>
      <c r="H722" s="3"/>
      <c r="I722" s="3"/>
      <c r="J722" s="3"/>
      <c r="K722" s="3"/>
      <c r="L722" s="3"/>
      <c r="M722" s="36" t="s">
        <v>1258</v>
      </c>
      <c r="N722" s="36"/>
      <c r="O722" s="36"/>
      <c r="P722" s="36"/>
      <c r="Q722" s="36" t="s">
        <v>1175</v>
      </c>
      <c r="R722" s="150">
        <v>45855</v>
      </c>
      <c r="S722" s="36" t="s">
        <v>203</v>
      </c>
      <c r="T722" s="47" t="s">
        <v>275</v>
      </c>
      <c r="U722" s="146" t="s">
        <v>275</v>
      </c>
    </row>
    <row r="723" spans="1:21" ht="45" x14ac:dyDescent="0.25">
      <c r="A723" s="47"/>
      <c r="B723" s="108"/>
      <c r="C723" s="47" t="s">
        <v>275</v>
      </c>
      <c r="D723" s="3" t="s">
        <v>87</v>
      </c>
      <c r="E723" s="3" t="s">
        <v>2440</v>
      </c>
      <c r="F723" s="3" t="s">
        <v>3081</v>
      </c>
      <c r="G723" s="3" t="s">
        <v>2441</v>
      </c>
      <c r="H723" s="3"/>
      <c r="I723" s="3"/>
      <c r="J723" s="3"/>
      <c r="K723" s="3"/>
      <c r="L723" s="3"/>
      <c r="M723" s="36" t="s">
        <v>1258</v>
      </c>
      <c r="N723" s="36"/>
      <c r="O723" s="36"/>
      <c r="P723" s="36"/>
      <c r="Q723" s="36" t="s">
        <v>2447</v>
      </c>
      <c r="R723" s="150">
        <v>45859</v>
      </c>
      <c r="S723" s="36" t="s">
        <v>239</v>
      </c>
      <c r="T723" s="47" t="s">
        <v>275</v>
      </c>
      <c r="U723" s="146" t="s">
        <v>2467</v>
      </c>
    </row>
    <row r="724" spans="1:21" ht="45" x14ac:dyDescent="0.25">
      <c r="A724" s="47" t="s">
        <v>23</v>
      </c>
      <c r="B724" s="108"/>
      <c r="C724" s="47" t="s">
        <v>275</v>
      </c>
      <c r="D724" s="3" t="s">
        <v>87</v>
      </c>
      <c r="E724" s="3" t="s">
        <v>2338</v>
      </c>
      <c r="F724" s="3" t="s">
        <v>3077</v>
      </c>
      <c r="G724" s="3" t="s">
        <v>2339</v>
      </c>
      <c r="H724" s="3"/>
      <c r="I724" s="3"/>
      <c r="J724" s="3"/>
      <c r="K724" s="3"/>
      <c r="L724" s="3"/>
      <c r="M724" s="36" t="s">
        <v>1258</v>
      </c>
      <c r="N724" s="36"/>
      <c r="O724" s="36"/>
      <c r="P724" s="36"/>
      <c r="Q724" s="36"/>
      <c r="R724" s="150"/>
      <c r="S724" s="36"/>
      <c r="T724" s="47" t="s">
        <v>275</v>
      </c>
      <c r="U724" s="146" t="s">
        <v>275</v>
      </c>
    </row>
    <row r="725" spans="1:21" ht="45" x14ac:dyDescent="0.25">
      <c r="A725" s="47"/>
      <c r="B725" s="108"/>
      <c r="C725" s="47" t="s">
        <v>275</v>
      </c>
      <c r="D725" s="3" t="s">
        <v>87</v>
      </c>
      <c r="E725" s="3" t="s">
        <v>2383</v>
      </c>
      <c r="F725" s="3" t="s">
        <v>3076</v>
      </c>
      <c r="G725" s="3" t="s">
        <v>2384</v>
      </c>
      <c r="H725" s="3"/>
      <c r="I725" s="3"/>
      <c r="J725" s="3"/>
      <c r="K725" s="3"/>
      <c r="L725" s="3"/>
      <c r="M725" s="36" t="s">
        <v>1258</v>
      </c>
      <c r="N725" s="36"/>
      <c r="O725" s="36"/>
      <c r="P725" s="36"/>
      <c r="Q725" s="36" t="s">
        <v>2468</v>
      </c>
      <c r="R725" s="150">
        <v>45861</v>
      </c>
      <c r="S725" s="36" t="s">
        <v>239</v>
      </c>
      <c r="T725" s="47" t="s">
        <v>275</v>
      </c>
      <c r="U725" s="146" t="s">
        <v>2428</v>
      </c>
    </row>
    <row r="726" spans="1:21" x14ac:dyDescent="0.25">
      <c r="A726" s="109"/>
      <c r="B726" s="109"/>
      <c r="C726" s="109" t="s">
        <v>275</v>
      </c>
      <c r="D726" s="109" t="s">
        <v>87</v>
      </c>
      <c r="E726" s="109" t="s">
        <v>2298</v>
      </c>
      <c r="F726" s="109" t="s">
        <v>3081</v>
      </c>
      <c r="G726" s="109" t="s">
        <v>2299</v>
      </c>
      <c r="H726" s="109"/>
      <c r="I726" s="109"/>
      <c r="J726" s="109"/>
      <c r="K726" s="109"/>
      <c r="L726" s="109"/>
      <c r="M726" s="109" t="s">
        <v>1258</v>
      </c>
      <c r="N726" s="109"/>
      <c r="O726" s="109"/>
      <c r="P726" s="109"/>
      <c r="Q726" s="109" t="s">
        <v>1174</v>
      </c>
      <c r="R726" s="117">
        <v>45855</v>
      </c>
      <c r="S726" s="109" t="s">
        <v>239</v>
      </c>
      <c r="T726" s="109" t="s">
        <v>275</v>
      </c>
      <c r="U726" s="109" t="s">
        <v>2303</v>
      </c>
    </row>
    <row r="727" spans="1:21" ht="30" x14ac:dyDescent="0.25">
      <c r="A727" s="47"/>
      <c r="B727" s="108"/>
      <c r="C727" s="47" t="s">
        <v>275</v>
      </c>
      <c r="D727" s="3" t="s">
        <v>87</v>
      </c>
      <c r="E727" s="3" t="s">
        <v>2486</v>
      </c>
      <c r="F727" s="3" t="s">
        <v>3076</v>
      </c>
      <c r="G727" s="3" t="s">
        <v>2487</v>
      </c>
      <c r="H727" s="3"/>
      <c r="I727" s="3"/>
      <c r="J727" s="3"/>
      <c r="K727" s="3"/>
      <c r="L727" s="3"/>
      <c r="M727" s="36" t="s">
        <v>1258</v>
      </c>
      <c r="N727" s="36"/>
      <c r="O727" s="36"/>
      <c r="P727" s="36"/>
      <c r="Q727" s="36" t="s">
        <v>2505</v>
      </c>
      <c r="R727" s="150">
        <v>45867</v>
      </c>
      <c r="S727" s="36" t="s">
        <v>2506</v>
      </c>
      <c r="T727" s="47" t="s">
        <v>275</v>
      </c>
      <c r="U727" s="146" t="s">
        <v>2896</v>
      </c>
    </row>
    <row r="728" spans="1:21" ht="30" x14ac:dyDescent="0.25">
      <c r="A728" s="109"/>
      <c r="B728" s="109"/>
      <c r="C728" s="109" t="s">
        <v>275</v>
      </c>
      <c r="D728" s="109" t="s">
        <v>87</v>
      </c>
      <c r="E728" s="109" t="s">
        <v>2479</v>
      </c>
      <c r="F728" s="109" t="s">
        <v>3076</v>
      </c>
      <c r="G728" s="109" t="s">
        <v>2480</v>
      </c>
      <c r="H728" s="109"/>
      <c r="I728" s="109"/>
      <c r="J728" s="109"/>
      <c r="K728" s="109"/>
      <c r="L728" s="109"/>
      <c r="M728" s="109" t="s">
        <v>1258</v>
      </c>
      <c r="N728" s="109"/>
      <c r="O728" s="109"/>
      <c r="P728" s="109"/>
      <c r="Q728" s="109" t="s">
        <v>2527</v>
      </c>
      <c r="R728" s="117">
        <v>45868</v>
      </c>
      <c r="S728" s="109" t="s">
        <v>239</v>
      </c>
      <c r="T728" s="109" t="s">
        <v>275</v>
      </c>
      <c r="U728" s="109" t="s">
        <v>2281</v>
      </c>
    </row>
    <row r="729" spans="1:21" ht="45" x14ac:dyDescent="0.25">
      <c r="A729" s="47"/>
      <c r="B729" s="108"/>
      <c r="C729" s="47" t="s">
        <v>275</v>
      </c>
      <c r="D729" s="3" t="s">
        <v>87</v>
      </c>
      <c r="E729" s="3" t="s">
        <v>2499</v>
      </c>
      <c r="F729" s="3" t="s">
        <v>1616</v>
      </c>
      <c r="G729" s="3" t="s">
        <v>2500</v>
      </c>
      <c r="H729" s="3"/>
      <c r="I729" s="3"/>
      <c r="J729" s="3"/>
      <c r="K729" s="3"/>
      <c r="L729" s="3"/>
      <c r="M729" s="36" t="s">
        <v>1258</v>
      </c>
      <c r="N729" s="36"/>
      <c r="O729" s="36"/>
      <c r="P729" s="36"/>
      <c r="Q729" s="36" t="s">
        <v>2526</v>
      </c>
      <c r="R729" s="150">
        <v>45868</v>
      </c>
      <c r="S729" s="36" t="s">
        <v>239</v>
      </c>
      <c r="T729" s="47" t="s">
        <v>275</v>
      </c>
      <c r="U729" s="146" t="s">
        <v>2897</v>
      </c>
    </row>
    <row r="730" spans="1:21" ht="30" x14ac:dyDescent="0.25">
      <c r="A730" s="109"/>
      <c r="B730" s="109"/>
      <c r="C730" s="109" t="s">
        <v>275</v>
      </c>
      <c r="D730" s="109" t="s">
        <v>87</v>
      </c>
      <c r="E730" s="109" t="s">
        <v>2380</v>
      </c>
      <c r="F730" s="109" t="s">
        <v>3078</v>
      </c>
      <c r="G730" s="109" t="s">
        <v>2381</v>
      </c>
      <c r="H730" s="109"/>
      <c r="I730" s="109"/>
      <c r="J730" s="109"/>
      <c r="K730" s="109"/>
      <c r="L730" s="109"/>
      <c r="M730" s="109" t="s">
        <v>1258</v>
      </c>
      <c r="N730" s="109"/>
      <c r="O730" s="109"/>
      <c r="P730" s="109"/>
      <c r="Q730" s="109" t="s">
        <v>2548</v>
      </c>
      <c r="R730" s="117"/>
      <c r="S730" s="109"/>
      <c r="T730" s="109" t="s">
        <v>275</v>
      </c>
      <c r="U730" s="109" t="s">
        <v>2382</v>
      </c>
    </row>
    <row r="731" spans="1:21" x14ac:dyDescent="0.25">
      <c r="A731" s="47"/>
      <c r="B731" s="108"/>
      <c r="C731" s="47" t="s">
        <v>275</v>
      </c>
      <c r="D731" s="3" t="s">
        <v>87</v>
      </c>
      <c r="E731" s="3" t="s">
        <v>2463</v>
      </c>
      <c r="F731" s="3" t="s">
        <v>3074</v>
      </c>
      <c r="G731" s="3" t="s">
        <v>2464</v>
      </c>
      <c r="H731" s="3"/>
      <c r="I731" s="3"/>
      <c r="J731" s="3"/>
      <c r="K731" s="3"/>
      <c r="L731" s="3"/>
      <c r="M731" s="36" t="s">
        <v>1258</v>
      </c>
      <c r="N731" s="36"/>
      <c r="O731" s="36"/>
      <c r="P731" s="36"/>
      <c r="Q731" s="36" t="s">
        <v>2559</v>
      </c>
      <c r="R731" s="150"/>
      <c r="S731" s="36"/>
      <c r="T731" s="47" t="s">
        <v>275</v>
      </c>
      <c r="U731" s="146" t="s">
        <v>2466</v>
      </c>
    </row>
    <row r="732" spans="1:21" ht="30" x14ac:dyDescent="0.25">
      <c r="A732" s="109"/>
      <c r="B732" s="109"/>
      <c r="C732" s="109" t="s">
        <v>275</v>
      </c>
      <c r="D732" s="109" t="s">
        <v>87</v>
      </c>
      <c r="E732" s="109" t="s">
        <v>2286</v>
      </c>
      <c r="F732" s="109" t="s">
        <v>3074</v>
      </c>
      <c r="G732" s="109" t="s">
        <v>2287</v>
      </c>
      <c r="H732" s="109"/>
      <c r="I732" s="109"/>
      <c r="J732" s="109"/>
      <c r="K732" s="109"/>
      <c r="L732" s="109"/>
      <c r="M732" s="109" t="s">
        <v>1258</v>
      </c>
      <c r="N732" s="109"/>
      <c r="O732" s="109"/>
      <c r="P732" s="109"/>
      <c r="Q732" s="109" t="s">
        <v>2290</v>
      </c>
      <c r="R732" s="117">
        <v>45754</v>
      </c>
      <c r="S732" s="109" t="s">
        <v>211</v>
      </c>
      <c r="T732" s="109" t="s">
        <v>275</v>
      </c>
      <c r="U732" s="138" t="s">
        <v>2301</v>
      </c>
    </row>
    <row r="733" spans="1:21" x14ac:dyDescent="0.25">
      <c r="A733" s="109"/>
      <c r="B733" s="109"/>
      <c r="C733" s="109" t="s">
        <v>275</v>
      </c>
      <c r="D733" s="109" t="s">
        <v>87</v>
      </c>
      <c r="E733" s="109" t="s">
        <v>1756</v>
      </c>
      <c r="F733" s="109" t="s">
        <v>3075</v>
      </c>
      <c r="G733" s="109" t="s">
        <v>2031</v>
      </c>
      <c r="H733" s="109"/>
      <c r="I733" s="109"/>
      <c r="J733" s="109"/>
      <c r="K733" s="109"/>
      <c r="L733" s="109"/>
      <c r="M733" s="109" t="s">
        <v>1258</v>
      </c>
      <c r="N733" s="109"/>
      <c r="O733" s="109"/>
      <c r="P733" s="109"/>
      <c r="Q733" s="109" t="s">
        <v>149</v>
      </c>
      <c r="R733" s="117">
        <v>45833</v>
      </c>
      <c r="S733" s="109" t="s">
        <v>211</v>
      </c>
      <c r="T733" s="109" t="s">
        <v>275</v>
      </c>
      <c r="U733" s="138" t="s">
        <v>275</v>
      </c>
    </row>
    <row r="734" spans="1:21" ht="30" x14ac:dyDescent="0.25">
      <c r="A734" s="47"/>
      <c r="B734" s="108"/>
      <c r="C734" s="47" t="s">
        <v>275</v>
      </c>
      <c r="D734" s="3" t="s">
        <v>87</v>
      </c>
      <c r="E734" s="3" t="s">
        <v>2568</v>
      </c>
      <c r="F734" s="3" t="s">
        <v>1616</v>
      </c>
      <c r="G734" s="3" t="s">
        <v>2569</v>
      </c>
      <c r="H734" s="3"/>
      <c r="I734" s="3"/>
      <c r="J734" s="3"/>
      <c r="K734" s="3"/>
      <c r="L734" s="3"/>
      <c r="M734" s="36" t="s">
        <v>1258</v>
      </c>
      <c r="N734" s="36"/>
      <c r="O734" s="36"/>
      <c r="P734" s="36"/>
      <c r="Q734" s="36" t="s">
        <v>2589</v>
      </c>
      <c r="R734" s="150">
        <v>45881</v>
      </c>
      <c r="S734" s="36" t="s">
        <v>203</v>
      </c>
      <c r="T734" s="47" t="s">
        <v>275</v>
      </c>
      <c r="U734" s="146" t="s">
        <v>2898</v>
      </c>
    </row>
    <row r="735" spans="1:21" ht="30" x14ac:dyDescent="0.25">
      <c r="A735" s="109"/>
      <c r="B735" s="109"/>
      <c r="C735" s="109" t="s">
        <v>275</v>
      </c>
      <c r="D735" s="109" t="s">
        <v>87</v>
      </c>
      <c r="E735" s="109" t="s">
        <v>2570</v>
      </c>
      <c r="F735" s="109" t="s">
        <v>3079</v>
      </c>
      <c r="G735" s="109" t="s">
        <v>2571</v>
      </c>
      <c r="H735" s="109"/>
      <c r="I735" s="109"/>
      <c r="J735" s="109"/>
      <c r="K735" s="109"/>
      <c r="L735" s="109"/>
      <c r="M735" s="109" t="s">
        <v>1258</v>
      </c>
      <c r="N735" s="109"/>
      <c r="O735" s="109"/>
      <c r="P735" s="109"/>
      <c r="Q735" s="109" t="s">
        <v>2606</v>
      </c>
      <c r="R735" s="117">
        <v>45882</v>
      </c>
      <c r="S735" s="109" t="s">
        <v>239</v>
      </c>
      <c r="T735" s="109" t="s">
        <v>275</v>
      </c>
      <c r="U735" s="109" t="s">
        <v>2899</v>
      </c>
    </row>
    <row r="736" spans="1:21" x14ac:dyDescent="0.25">
      <c r="A736" s="47"/>
      <c r="B736" s="108"/>
      <c r="C736" s="47" t="s">
        <v>275</v>
      </c>
      <c r="D736" s="3" t="s">
        <v>87</v>
      </c>
      <c r="E736" s="3" t="s">
        <v>2572</v>
      </c>
      <c r="F736" s="3" t="s">
        <v>3077</v>
      </c>
      <c r="G736" s="3" t="s">
        <v>2573</v>
      </c>
      <c r="H736" s="3"/>
      <c r="I736" s="3"/>
      <c r="J736" s="3"/>
      <c r="K736" s="3"/>
      <c r="L736" s="3"/>
      <c r="M736" s="36" t="s">
        <v>1258</v>
      </c>
      <c r="N736" s="36"/>
      <c r="O736" s="36"/>
      <c r="P736" s="36"/>
      <c r="Q736" s="36" t="s">
        <v>2631</v>
      </c>
      <c r="R736" s="150">
        <v>45882</v>
      </c>
      <c r="S736" s="36" t="s">
        <v>1207</v>
      </c>
      <c r="T736" s="47" t="s">
        <v>275</v>
      </c>
      <c r="U736" s="146" t="s">
        <v>275</v>
      </c>
    </row>
    <row r="737" spans="1:21" x14ac:dyDescent="0.25">
      <c r="A737" s="47"/>
      <c r="B737" s="108"/>
      <c r="C737" s="47" t="s">
        <v>275</v>
      </c>
      <c r="D737" s="3" t="s">
        <v>87</v>
      </c>
      <c r="E737" s="3" t="s">
        <v>2688</v>
      </c>
      <c r="F737" s="3" t="s">
        <v>3074</v>
      </c>
      <c r="G737" s="3" t="s">
        <v>2689</v>
      </c>
      <c r="H737" s="3"/>
      <c r="I737" s="3"/>
      <c r="J737" s="3"/>
      <c r="K737" s="3"/>
      <c r="L737" s="3"/>
      <c r="M737" s="36" t="s">
        <v>1258</v>
      </c>
      <c r="N737" s="36"/>
      <c r="O737" s="36"/>
      <c r="P737" s="36"/>
      <c r="Q737" s="36"/>
      <c r="R737" s="150">
        <v>45891</v>
      </c>
      <c r="S737" s="36" t="s">
        <v>206</v>
      </c>
      <c r="T737" s="47" t="s">
        <v>275</v>
      </c>
      <c r="U737" s="146" t="s">
        <v>275</v>
      </c>
    </row>
    <row r="738" spans="1:21" x14ac:dyDescent="0.25">
      <c r="A738" s="47"/>
      <c r="B738" s="108"/>
      <c r="C738" s="47" t="s">
        <v>275</v>
      </c>
      <c r="D738" s="3" t="s">
        <v>87</v>
      </c>
      <c r="E738" s="3" t="s">
        <v>2636</v>
      </c>
      <c r="F738" s="3" t="s">
        <v>3076</v>
      </c>
      <c r="G738" s="3" t="s">
        <v>2637</v>
      </c>
      <c r="H738" s="3"/>
      <c r="I738" s="3"/>
      <c r="J738" s="3"/>
      <c r="K738" s="3"/>
      <c r="L738" s="3"/>
      <c r="M738" s="36" t="s">
        <v>1258</v>
      </c>
      <c r="N738" s="36"/>
      <c r="O738" s="36"/>
      <c r="P738" s="36"/>
      <c r="Q738" s="36"/>
      <c r="R738" s="150">
        <v>45891</v>
      </c>
      <c r="S738" s="36" t="s">
        <v>1048</v>
      </c>
      <c r="T738" s="47" t="s">
        <v>275</v>
      </c>
      <c r="U738" s="146" t="s">
        <v>275</v>
      </c>
    </row>
    <row r="739" spans="1:21" x14ac:dyDescent="0.25">
      <c r="A739" s="47"/>
      <c r="B739" s="108"/>
      <c r="C739" s="47" t="s">
        <v>275</v>
      </c>
      <c r="D739" s="3" t="s">
        <v>87</v>
      </c>
      <c r="E739" s="3" t="s">
        <v>2565</v>
      </c>
      <c r="F739" s="3" t="s">
        <v>3079</v>
      </c>
      <c r="G739" s="3" t="s">
        <v>2564</v>
      </c>
      <c r="H739" s="3"/>
      <c r="I739" s="3"/>
      <c r="J739" s="3"/>
      <c r="K739" s="3"/>
      <c r="L739" s="3"/>
      <c r="M739" s="36" t="s">
        <v>1258</v>
      </c>
      <c r="N739" s="36"/>
      <c r="O739" s="36"/>
      <c r="P739" s="36"/>
      <c r="Q739" s="36"/>
      <c r="R739" s="150"/>
      <c r="S739" s="36"/>
      <c r="T739" s="47" t="s">
        <v>275</v>
      </c>
      <c r="U739" s="146" t="s">
        <v>275</v>
      </c>
    </row>
    <row r="740" spans="1:21" x14ac:dyDescent="0.25">
      <c r="A740" s="47"/>
      <c r="B740" s="108"/>
      <c r="C740" s="47" t="s">
        <v>275</v>
      </c>
      <c r="D740" s="3" t="s">
        <v>87</v>
      </c>
      <c r="E740" s="3" t="s">
        <v>2709</v>
      </c>
      <c r="F740" s="3" t="s">
        <v>3075</v>
      </c>
      <c r="G740" s="3" t="s">
        <v>2710</v>
      </c>
      <c r="H740" s="3"/>
      <c r="I740" s="3"/>
      <c r="J740" s="3"/>
      <c r="K740" s="3"/>
      <c r="L740" s="3"/>
      <c r="M740" s="36" t="s">
        <v>1258</v>
      </c>
      <c r="N740" s="36"/>
      <c r="O740" s="36"/>
      <c r="P740" s="36"/>
      <c r="Q740" s="36"/>
      <c r="R740" s="150">
        <v>45896</v>
      </c>
      <c r="S740" s="36" t="s">
        <v>1048</v>
      </c>
      <c r="T740" s="47" t="s">
        <v>275</v>
      </c>
      <c r="U740" s="146" t="s">
        <v>275</v>
      </c>
    </row>
    <row r="741" spans="1:21" x14ac:dyDescent="0.25">
      <c r="A741" s="109"/>
      <c r="B741" s="109"/>
      <c r="C741" s="109" t="s">
        <v>275</v>
      </c>
      <c r="D741" s="109" t="s">
        <v>87</v>
      </c>
      <c r="E741" s="109" t="s">
        <v>2766</v>
      </c>
      <c r="F741" s="109" t="s">
        <v>3074</v>
      </c>
      <c r="G741" s="109" t="s">
        <v>2767</v>
      </c>
      <c r="H741" s="109"/>
      <c r="I741" s="109"/>
      <c r="J741" s="109"/>
      <c r="K741" s="109"/>
      <c r="L741" s="109"/>
      <c r="M741" s="109" t="s">
        <v>1258</v>
      </c>
      <c r="N741" s="109"/>
      <c r="O741" s="109"/>
      <c r="P741" s="109"/>
      <c r="Q741" s="109"/>
      <c r="R741" s="117"/>
      <c r="S741" s="109"/>
      <c r="T741" s="109" t="s">
        <v>275</v>
      </c>
      <c r="U741" s="109" t="s">
        <v>2900</v>
      </c>
    </row>
    <row r="742" spans="1:21" x14ac:dyDescent="0.25">
      <c r="A742" s="47"/>
      <c r="B742" s="108"/>
      <c r="C742" s="47" t="s">
        <v>275</v>
      </c>
      <c r="D742" s="3" t="s">
        <v>87</v>
      </c>
      <c r="E742" s="3" t="s">
        <v>2690</v>
      </c>
      <c r="F742" s="3" t="s">
        <v>3077</v>
      </c>
      <c r="G742" s="3" t="s">
        <v>2691</v>
      </c>
      <c r="H742" s="3"/>
      <c r="I742" s="3"/>
      <c r="J742" s="3"/>
      <c r="K742" s="3"/>
      <c r="L742" s="3"/>
      <c r="M742" s="36" t="s">
        <v>1258</v>
      </c>
      <c r="N742" s="36"/>
      <c r="O742" s="36"/>
      <c r="P742" s="36"/>
      <c r="Q742" s="36"/>
      <c r="R742" s="150">
        <v>45903</v>
      </c>
      <c r="S742" s="36" t="s">
        <v>211</v>
      </c>
      <c r="T742" s="47" t="s">
        <v>275</v>
      </c>
      <c r="U742" s="146" t="s">
        <v>2901</v>
      </c>
    </row>
    <row r="743" spans="1:21" x14ac:dyDescent="0.25">
      <c r="A743" s="109"/>
      <c r="B743" s="109"/>
      <c r="C743" s="109" t="s">
        <v>275</v>
      </c>
      <c r="D743" s="109" t="s">
        <v>87</v>
      </c>
      <c r="E743" s="109" t="s">
        <v>2692</v>
      </c>
      <c r="F743" s="109" t="s">
        <v>3077</v>
      </c>
      <c r="G743" s="109" t="s">
        <v>2708</v>
      </c>
      <c r="H743" s="109"/>
      <c r="I743" s="109"/>
      <c r="J743" s="109"/>
      <c r="K743" s="109"/>
      <c r="L743" s="109"/>
      <c r="M743" s="109" t="s">
        <v>1258</v>
      </c>
      <c r="N743" s="109"/>
      <c r="O743" s="109"/>
      <c r="P743" s="109"/>
      <c r="Q743" s="109"/>
      <c r="R743" s="117">
        <v>45903</v>
      </c>
      <c r="S743" s="109" t="s">
        <v>211</v>
      </c>
      <c r="T743" s="109" t="s">
        <v>275</v>
      </c>
      <c r="U743" s="109" t="s">
        <v>2902</v>
      </c>
    </row>
    <row r="744" spans="1:21" x14ac:dyDescent="0.25">
      <c r="A744" s="109"/>
      <c r="B744" s="109"/>
      <c r="C744" s="109" t="s">
        <v>275</v>
      </c>
      <c r="D744" s="109" t="s">
        <v>87</v>
      </c>
      <c r="E744" s="109" t="s">
        <v>2772</v>
      </c>
      <c r="F744" s="109" t="s">
        <v>3078</v>
      </c>
      <c r="G744" s="109" t="s">
        <v>2773</v>
      </c>
      <c r="H744" s="109"/>
      <c r="I744" s="109"/>
      <c r="J744" s="109"/>
      <c r="K744" s="109"/>
      <c r="L744" s="109"/>
      <c r="M744" s="109" t="s">
        <v>1258</v>
      </c>
      <c r="N744" s="109"/>
      <c r="O744" s="109"/>
      <c r="P744" s="109"/>
      <c r="Q744" s="109"/>
      <c r="R744" s="117"/>
      <c r="S744" s="109"/>
      <c r="T744" s="109" t="s">
        <v>275</v>
      </c>
      <c r="U744" s="138" t="s">
        <v>2903</v>
      </c>
    </row>
    <row r="745" spans="1:21" x14ac:dyDescent="0.25">
      <c r="A745" s="47"/>
      <c r="B745" s="108"/>
      <c r="C745" s="47" t="s">
        <v>275</v>
      </c>
      <c r="D745" s="3" t="s">
        <v>87</v>
      </c>
      <c r="E745" s="3" t="s">
        <v>2815</v>
      </c>
      <c r="F745" s="3" t="s">
        <v>3074</v>
      </c>
      <c r="G745" s="3" t="s">
        <v>2816</v>
      </c>
      <c r="H745" s="3"/>
      <c r="I745" s="3"/>
      <c r="J745" s="3"/>
      <c r="K745" s="3"/>
      <c r="L745" s="3"/>
      <c r="M745" s="36" t="s">
        <v>1258</v>
      </c>
      <c r="N745" s="36"/>
      <c r="O745" s="36"/>
      <c r="P745" s="36"/>
      <c r="Q745" s="36"/>
      <c r="R745" s="150"/>
      <c r="S745" s="36"/>
      <c r="T745" s="47" t="s">
        <v>275</v>
      </c>
      <c r="U745" s="146" t="s">
        <v>2904</v>
      </c>
    </row>
    <row r="746" spans="1:21" ht="30" x14ac:dyDescent="0.25">
      <c r="A746" s="47"/>
      <c r="B746" s="108"/>
      <c r="C746" s="47" t="s">
        <v>275</v>
      </c>
      <c r="D746" s="3" t="s">
        <v>87</v>
      </c>
      <c r="E746" s="3" t="s">
        <v>2819</v>
      </c>
      <c r="F746" s="3" t="s">
        <v>3075</v>
      </c>
      <c r="G746" s="3" t="s">
        <v>2820</v>
      </c>
      <c r="H746" s="3"/>
      <c r="I746" s="3"/>
      <c r="J746" s="3"/>
      <c r="K746" s="3"/>
      <c r="L746" s="3"/>
      <c r="M746" s="36" t="s">
        <v>1258</v>
      </c>
      <c r="N746" s="36"/>
      <c r="O746" s="36"/>
      <c r="P746" s="36"/>
      <c r="Q746" s="36"/>
      <c r="R746" s="150"/>
      <c r="S746" s="36"/>
      <c r="T746" s="47" t="s">
        <v>275</v>
      </c>
      <c r="U746" s="146" t="s">
        <v>275</v>
      </c>
    </row>
    <row r="747" spans="1:21" x14ac:dyDescent="0.25">
      <c r="A747" s="109"/>
      <c r="B747" s="109"/>
      <c r="C747" s="109" t="s">
        <v>275</v>
      </c>
      <c r="D747" s="109" t="s">
        <v>87</v>
      </c>
      <c r="E747" s="109" t="s">
        <v>2847</v>
      </c>
      <c r="F747" s="109" t="s">
        <v>3077</v>
      </c>
      <c r="G747" s="109" t="s">
        <v>2848</v>
      </c>
      <c r="H747" s="109"/>
      <c r="I747" s="109"/>
      <c r="J747" s="109"/>
      <c r="K747" s="109"/>
      <c r="L747" s="109"/>
      <c r="M747" s="109" t="s">
        <v>1258</v>
      </c>
      <c r="N747" s="109"/>
      <c r="O747" s="109"/>
      <c r="P747" s="109"/>
      <c r="Q747" s="109"/>
      <c r="R747" s="117">
        <v>45908</v>
      </c>
      <c r="S747" s="109" t="s">
        <v>211</v>
      </c>
      <c r="T747" s="109" t="s">
        <v>275</v>
      </c>
      <c r="U747" s="109" t="s">
        <v>275</v>
      </c>
    </row>
    <row r="748" spans="1:21" x14ac:dyDescent="0.25">
      <c r="A748" s="47"/>
      <c r="B748" s="108"/>
      <c r="C748" s="47" t="s">
        <v>275</v>
      </c>
      <c r="D748" s="3" t="s">
        <v>87</v>
      </c>
      <c r="E748" s="3" t="s">
        <v>2880</v>
      </c>
      <c r="F748" s="3" t="s">
        <v>3077</v>
      </c>
      <c r="G748" s="3" t="s">
        <v>2881</v>
      </c>
      <c r="H748" s="3"/>
      <c r="I748" s="3"/>
      <c r="J748" s="3"/>
      <c r="K748" s="3"/>
      <c r="L748" s="3"/>
      <c r="M748" s="36" t="s">
        <v>1258</v>
      </c>
      <c r="N748" s="36"/>
      <c r="O748" s="36"/>
      <c r="P748" s="36"/>
      <c r="Q748" s="36"/>
      <c r="R748" s="150"/>
      <c r="S748" s="36"/>
      <c r="T748" s="47" t="s">
        <v>275</v>
      </c>
      <c r="U748" s="146" t="s">
        <v>275</v>
      </c>
    </row>
    <row r="749" spans="1:21" ht="30" x14ac:dyDescent="0.25">
      <c r="A749" s="47"/>
      <c r="B749" s="108"/>
      <c r="C749" s="47" t="s">
        <v>275</v>
      </c>
      <c r="D749" s="3" t="s">
        <v>87</v>
      </c>
      <c r="E749" s="3" t="s">
        <v>2884</v>
      </c>
      <c r="F749" s="3" t="s">
        <v>3076</v>
      </c>
      <c r="G749" s="3" t="s">
        <v>2885</v>
      </c>
      <c r="H749" s="3"/>
      <c r="I749" s="3"/>
      <c r="J749" s="3"/>
      <c r="K749" s="3"/>
      <c r="L749" s="3"/>
      <c r="M749" s="36" t="s">
        <v>1258</v>
      </c>
      <c r="N749" s="36"/>
      <c r="O749" s="36"/>
      <c r="P749" s="36"/>
      <c r="Q749" s="36"/>
      <c r="R749" s="150">
        <v>45911</v>
      </c>
      <c r="S749" s="36" t="s">
        <v>102</v>
      </c>
      <c r="T749" s="47" t="s">
        <v>275</v>
      </c>
      <c r="U749" s="146" t="s">
        <v>2919</v>
      </c>
    </row>
    <row r="750" spans="1:21" ht="30" x14ac:dyDescent="0.25">
      <c r="A750" s="47"/>
      <c r="B750" s="108"/>
      <c r="C750" s="47" t="s">
        <v>275</v>
      </c>
      <c r="D750" s="3" t="s">
        <v>87</v>
      </c>
      <c r="E750" s="3" t="s">
        <v>2888</v>
      </c>
      <c r="F750" s="3" t="s">
        <v>3074</v>
      </c>
      <c r="G750" s="3" t="s">
        <v>2889</v>
      </c>
      <c r="H750" s="3"/>
      <c r="I750" s="3"/>
      <c r="J750" s="3"/>
      <c r="K750" s="3"/>
      <c r="L750" s="3"/>
      <c r="M750" s="36" t="s">
        <v>1258</v>
      </c>
      <c r="N750" s="36"/>
      <c r="O750" s="36"/>
      <c r="P750" s="36"/>
      <c r="Q750" s="36" t="s">
        <v>2933</v>
      </c>
      <c r="R750" s="150">
        <v>45912</v>
      </c>
      <c r="S750" s="36" t="s">
        <v>211</v>
      </c>
      <c r="T750" s="47" t="s">
        <v>275</v>
      </c>
      <c r="U750" s="146"/>
    </row>
    <row r="751" spans="1:21" ht="105" x14ac:dyDescent="0.25">
      <c r="A751" s="47"/>
      <c r="B751" s="108"/>
      <c r="C751" s="47" t="s">
        <v>275</v>
      </c>
      <c r="D751" s="3" t="s">
        <v>87</v>
      </c>
      <c r="E751" s="3" t="s">
        <v>2874</v>
      </c>
      <c r="F751" s="3" t="s">
        <v>3074</v>
      </c>
      <c r="G751" s="3" t="s">
        <v>2875</v>
      </c>
      <c r="H751" s="3"/>
      <c r="I751" s="3"/>
      <c r="J751" s="3"/>
      <c r="K751" s="3"/>
      <c r="L751" s="3"/>
      <c r="M751" s="36" t="s">
        <v>1258</v>
      </c>
      <c r="N751" s="36"/>
      <c r="O751" s="36"/>
      <c r="P751" s="36"/>
      <c r="Q751" s="36" t="s">
        <v>2932</v>
      </c>
      <c r="R751" s="150">
        <v>45912</v>
      </c>
      <c r="S751" s="36" t="s">
        <v>705</v>
      </c>
      <c r="T751" s="47" t="s">
        <v>275</v>
      </c>
      <c r="U751" s="146" t="s">
        <v>2917</v>
      </c>
    </row>
    <row r="752" spans="1:21" ht="45" x14ac:dyDescent="0.25">
      <c r="A752" s="47"/>
      <c r="B752" s="108"/>
      <c r="C752" s="47" t="s">
        <v>275</v>
      </c>
      <c r="D752" s="3" t="s">
        <v>87</v>
      </c>
      <c r="E752" s="3" t="s">
        <v>2930</v>
      </c>
      <c r="F752" s="3" t="s">
        <v>3081</v>
      </c>
      <c r="G752" s="3" t="s">
        <v>2931</v>
      </c>
      <c r="H752" s="3"/>
      <c r="I752" s="3"/>
      <c r="J752" s="3"/>
      <c r="K752" s="3"/>
      <c r="L752" s="3"/>
      <c r="M752" s="36" t="s">
        <v>1258</v>
      </c>
      <c r="N752" s="36"/>
      <c r="O752" s="36"/>
      <c r="P752" s="36"/>
      <c r="Q752" s="36" t="s">
        <v>2983</v>
      </c>
      <c r="R752" s="150">
        <v>45917</v>
      </c>
      <c r="S752" s="36" t="s">
        <v>1074</v>
      </c>
      <c r="T752" s="47" t="s">
        <v>275</v>
      </c>
      <c r="U752" s="146"/>
    </row>
    <row r="753" spans="1:21" ht="45" x14ac:dyDescent="0.25">
      <c r="A753" s="47"/>
      <c r="B753" s="108"/>
      <c r="C753" s="47" t="s">
        <v>275</v>
      </c>
      <c r="D753" s="3" t="s">
        <v>87</v>
      </c>
      <c r="E753" s="3" t="s">
        <v>2981</v>
      </c>
      <c r="F753" s="3" t="s">
        <v>3075</v>
      </c>
      <c r="G753" s="3" t="s">
        <v>2982</v>
      </c>
      <c r="H753" s="3"/>
      <c r="I753" s="3"/>
      <c r="J753" s="3"/>
      <c r="K753" s="3"/>
      <c r="L753" s="3"/>
      <c r="M753" s="36" t="s">
        <v>1258</v>
      </c>
      <c r="N753" s="36"/>
      <c r="O753" s="36"/>
      <c r="P753" s="36"/>
      <c r="Q753" s="36" t="s">
        <v>3015</v>
      </c>
      <c r="R753" s="150">
        <v>45918</v>
      </c>
      <c r="S753" s="36" t="s">
        <v>211</v>
      </c>
      <c r="T753" s="47" t="s">
        <v>275</v>
      </c>
      <c r="U753" s="146"/>
    </row>
    <row r="754" spans="1:21" ht="30" x14ac:dyDescent="0.25">
      <c r="A754" s="47"/>
      <c r="B754" s="108"/>
      <c r="C754" s="47" t="s">
        <v>275</v>
      </c>
      <c r="D754" s="3" t="s">
        <v>87</v>
      </c>
      <c r="E754" s="3" t="s">
        <v>3100</v>
      </c>
      <c r="F754" s="3" t="s">
        <v>3102</v>
      </c>
      <c r="G754" s="3" t="s">
        <v>3101</v>
      </c>
      <c r="H754" s="3"/>
      <c r="I754" s="3"/>
      <c r="J754" s="3"/>
      <c r="K754" s="3"/>
      <c r="L754" s="3"/>
      <c r="M754" s="36" t="s">
        <v>1258</v>
      </c>
      <c r="N754" s="36"/>
      <c r="O754" s="36"/>
      <c r="P754" s="36"/>
      <c r="Q754" s="36" t="s">
        <v>3110</v>
      </c>
      <c r="R754" s="150">
        <v>45925</v>
      </c>
      <c r="S754" s="36" t="s">
        <v>3109</v>
      </c>
      <c r="T754" s="47" t="s">
        <v>275</v>
      </c>
      <c r="U754" s="146" t="s">
        <v>275</v>
      </c>
    </row>
    <row r="755" spans="1:21" ht="30" x14ac:dyDescent="0.25">
      <c r="A755" s="47"/>
      <c r="B755" s="108"/>
      <c r="C755" s="47" t="s">
        <v>275</v>
      </c>
      <c r="D755" s="3" t="s">
        <v>87</v>
      </c>
      <c r="E755" s="3" t="s">
        <v>2810</v>
      </c>
      <c r="F755" s="3" t="s">
        <v>3077</v>
      </c>
      <c r="G755" s="3" t="s">
        <v>2814</v>
      </c>
      <c r="H755" s="3"/>
      <c r="I755" s="3"/>
      <c r="J755" s="3"/>
      <c r="K755" s="3"/>
      <c r="L755" s="3"/>
      <c r="M755" s="36" t="s">
        <v>1036</v>
      </c>
      <c r="N755" s="36"/>
      <c r="O755" s="36"/>
      <c r="P755" s="36"/>
      <c r="Q755" s="36"/>
      <c r="R755" s="150"/>
      <c r="S755" s="36"/>
      <c r="T755" s="47" t="s">
        <v>275</v>
      </c>
      <c r="U755" s="146" t="s">
        <v>275</v>
      </c>
    </row>
    <row r="756" spans="1:21" x14ac:dyDescent="0.25">
      <c r="A756" s="47"/>
      <c r="B756" s="108"/>
      <c r="C756" s="47" t="s">
        <v>275</v>
      </c>
      <c r="D756" s="3" t="s">
        <v>87</v>
      </c>
      <c r="E756" s="3" t="s">
        <v>2762</v>
      </c>
      <c r="F756" s="3" t="s">
        <v>3074</v>
      </c>
      <c r="G756" s="3" t="s">
        <v>2763</v>
      </c>
      <c r="H756" s="3"/>
      <c r="I756" s="3"/>
      <c r="J756" s="3"/>
      <c r="K756" s="3"/>
      <c r="L756" s="3"/>
      <c r="M756" s="36" t="s">
        <v>1036</v>
      </c>
      <c r="N756" s="36"/>
      <c r="O756" s="36"/>
      <c r="P756" s="36"/>
      <c r="Q756" s="36"/>
      <c r="R756" s="150"/>
      <c r="S756" s="36"/>
      <c r="T756" s="47" t="s">
        <v>275</v>
      </c>
      <c r="U756" s="146" t="s">
        <v>275</v>
      </c>
    </row>
    <row r="757" spans="1:21" x14ac:dyDescent="0.25">
      <c r="A757" s="47"/>
      <c r="B757" s="108"/>
      <c r="C757" s="47" t="s">
        <v>275</v>
      </c>
      <c r="D757" s="3" t="s">
        <v>87</v>
      </c>
      <c r="E757" s="3" t="s">
        <v>2533</v>
      </c>
      <c r="F757" s="3" t="s">
        <v>3074</v>
      </c>
      <c r="G757" s="3" t="s">
        <v>2534</v>
      </c>
      <c r="H757" s="3"/>
      <c r="I757" s="3"/>
      <c r="J757" s="3"/>
      <c r="K757" s="3"/>
      <c r="L757" s="3"/>
      <c r="M757" s="36" t="s">
        <v>1036</v>
      </c>
      <c r="N757" s="36"/>
      <c r="O757" s="36"/>
      <c r="P757" s="36"/>
      <c r="Q757" s="36"/>
      <c r="R757" s="150"/>
      <c r="S757" s="36"/>
      <c r="T757" s="47" t="s">
        <v>275</v>
      </c>
      <c r="U757" s="146" t="s">
        <v>2905</v>
      </c>
    </row>
    <row r="758" spans="1:21" x14ac:dyDescent="0.25">
      <c r="A758" s="47"/>
      <c r="B758" s="108"/>
      <c r="C758" s="47" t="s">
        <v>275</v>
      </c>
      <c r="D758" s="3" t="s">
        <v>87</v>
      </c>
      <c r="E758" s="3" t="s">
        <v>2535</v>
      </c>
      <c r="F758" s="3" t="s">
        <v>114</v>
      </c>
      <c r="G758" s="3" t="s">
        <v>2536</v>
      </c>
      <c r="H758" s="3"/>
      <c r="I758" s="3"/>
      <c r="J758" s="3"/>
      <c r="K758" s="3"/>
      <c r="L758" s="3"/>
      <c r="M758" s="36" t="s">
        <v>1036</v>
      </c>
      <c r="N758" s="36"/>
      <c r="O758" s="36"/>
      <c r="P758" s="36"/>
      <c r="Q758" s="36"/>
      <c r="R758" s="150"/>
      <c r="S758" s="36"/>
      <c r="T758" s="47" t="s">
        <v>275</v>
      </c>
      <c r="U758" s="146" t="s">
        <v>2906</v>
      </c>
    </row>
    <row r="759" spans="1:21" ht="30" x14ac:dyDescent="0.25">
      <c r="A759" s="47"/>
      <c r="B759" s="108"/>
      <c r="C759" s="47" t="s">
        <v>275</v>
      </c>
      <c r="D759" s="3" t="s">
        <v>87</v>
      </c>
      <c r="E759" s="3" t="s">
        <v>1733</v>
      </c>
      <c r="F759" s="3" t="s">
        <v>3077</v>
      </c>
      <c r="G759" s="3" t="s">
        <v>2032</v>
      </c>
      <c r="H759" s="3"/>
      <c r="I759" s="3"/>
      <c r="J759" s="3"/>
      <c r="K759" s="3"/>
      <c r="L759" s="3"/>
      <c r="M759" s="36" t="s">
        <v>1036</v>
      </c>
      <c r="N759" s="36"/>
      <c r="O759" s="36"/>
      <c r="P759" s="36"/>
      <c r="Q759" s="36"/>
      <c r="R759" s="150"/>
      <c r="S759" s="36"/>
      <c r="T759" s="47" t="s">
        <v>275</v>
      </c>
      <c r="U759" s="146" t="s">
        <v>275</v>
      </c>
    </row>
    <row r="760" spans="1:21" ht="30" x14ac:dyDescent="0.25">
      <c r="A760" s="109"/>
      <c r="B760" s="109">
        <v>3</v>
      </c>
      <c r="C760" s="109" t="s">
        <v>275</v>
      </c>
      <c r="D760" s="109" t="s">
        <v>87</v>
      </c>
      <c r="E760" s="109" t="s">
        <v>1683</v>
      </c>
      <c r="F760" s="109" t="s">
        <v>88</v>
      </c>
      <c r="G760" s="109" t="s">
        <v>2037</v>
      </c>
      <c r="H760" s="109"/>
      <c r="I760" s="109"/>
      <c r="J760" s="109"/>
      <c r="K760" s="109"/>
      <c r="L760" s="109"/>
      <c r="M760" s="109" t="s">
        <v>1036</v>
      </c>
      <c r="N760" s="109"/>
      <c r="O760" s="109"/>
      <c r="P760" s="109"/>
      <c r="Q760" s="109"/>
      <c r="R760" s="117"/>
      <c r="S760" s="109"/>
      <c r="T760" s="109" t="s">
        <v>275</v>
      </c>
      <c r="U760" s="109" t="s">
        <v>2169</v>
      </c>
    </row>
    <row r="761" spans="1:21" x14ac:dyDescent="0.25">
      <c r="A761" s="47"/>
      <c r="B761" s="108">
        <v>1</v>
      </c>
      <c r="C761" s="47" t="s">
        <v>275</v>
      </c>
      <c r="D761" s="3" t="s">
        <v>87</v>
      </c>
      <c r="E761" s="3" t="s">
        <v>1520</v>
      </c>
      <c r="F761" s="3" t="s">
        <v>96</v>
      </c>
      <c r="G761" s="3" t="s">
        <v>2038</v>
      </c>
      <c r="H761" s="3"/>
      <c r="I761" s="3"/>
      <c r="J761" s="3"/>
      <c r="K761" s="3"/>
      <c r="L761" s="3"/>
      <c r="M761" s="36" t="s">
        <v>1036</v>
      </c>
      <c r="N761" s="36"/>
      <c r="O761" s="36"/>
      <c r="P761" s="36"/>
      <c r="Q761" s="36"/>
      <c r="R761" s="150"/>
      <c r="S761" s="36"/>
      <c r="T761" s="47" t="s">
        <v>275</v>
      </c>
      <c r="U761" s="146" t="s">
        <v>275</v>
      </c>
    </row>
    <row r="762" spans="1:21" ht="30" x14ac:dyDescent="0.25">
      <c r="A762" s="47"/>
      <c r="B762" s="108">
        <v>1</v>
      </c>
      <c r="C762" s="47" t="s">
        <v>275</v>
      </c>
      <c r="D762" s="3" t="s">
        <v>87</v>
      </c>
      <c r="E762" s="3" t="s">
        <v>1436</v>
      </c>
      <c r="F762" s="3" t="s">
        <v>3079</v>
      </c>
      <c r="G762" s="3" t="s">
        <v>2039</v>
      </c>
      <c r="H762" s="3"/>
      <c r="I762" s="3"/>
      <c r="J762" s="3"/>
      <c r="K762" s="3"/>
      <c r="L762" s="3"/>
      <c r="M762" s="36" t="s">
        <v>1036</v>
      </c>
      <c r="N762" s="36"/>
      <c r="O762" s="36"/>
      <c r="P762" s="36"/>
      <c r="Q762" s="36"/>
      <c r="R762" s="150"/>
      <c r="S762" s="36"/>
      <c r="T762" s="47" t="s">
        <v>275</v>
      </c>
      <c r="U762" s="146" t="s">
        <v>275</v>
      </c>
    </row>
    <row r="763" spans="1:21" x14ac:dyDescent="0.25">
      <c r="A763" s="109"/>
      <c r="B763" s="109">
        <v>2</v>
      </c>
      <c r="C763" s="109" t="s">
        <v>275</v>
      </c>
      <c r="D763" s="109" t="s">
        <v>87</v>
      </c>
      <c r="E763" s="109" t="s">
        <v>924</v>
      </c>
      <c r="F763" s="109" t="s">
        <v>3076</v>
      </c>
      <c r="G763" s="109" t="s">
        <v>2040</v>
      </c>
      <c r="H763" s="109"/>
      <c r="I763" s="109"/>
      <c r="J763" s="109"/>
      <c r="K763" s="109"/>
      <c r="L763" s="109"/>
      <c r="M763" s="109" t="s">
        <v>1036</v>
      </c>
      <c r="N763" s="109"/>
      <c r="O763" s="109"/>
      <c r="P763" s="109"/>
      <c r="Q763" s="109"/>
      <c r="R763" s="117"/>
      <c r="S763" s="109"/>
      <c r="T763" s="109" t="s">
        <v>275</v>
      </c>
      <c r="U763" s="109" t="s">
        <v>2170</v>
      </c>
    </row>
    <row r="764" spans="1:21" x14ac:dyDescent="0.25">
      <c r="A764" s="109"/>
      <c r="B764" s="109">
        <v>2</v>
      </c>
      <c r="C764" s="109" t="s">
        <v>275</v>
      </c>
      <c r="D764" s="109" t="s">
        <v>87</v>
      </c>
      <c r="E764" s="109" t="s">
        <v>925</v>
      </c>
      <c r="F764" s="109" t="s">
        <v>3078</v>
      </c>
      <c r="G764" s="109" t="s">
        <v>2041</v>
      </c>
      <c r="H764" s="109"/>
      <c r="I764" s="109"/>
      <c r="J764" s="109"/>
      <c r="K764" s="109"/>
      <c r="L764" s="109"/>
      <c r="M764" s="109" t="s">
        <v>1036</v>
      </c>
      <c r="N764" s="109"/>
      <c r="O764" s="109"/>
      <c r="P764" s="109"/>
      <c r="Q764" s="109"/>
      <c r="R764" s="117"/>
      <c r="S764" s="109"/>
      <c r="T764" s="109" t="s">
        <v>275</v>
      </c>
      <c r="U764" s="109" t="s">
        <v>2171</v>
      </c>
    </row>
    <row r="765" spans="1:21" x14ac:dyDescent="0.25">
      <c r="A765" s="109"/>
      <c r="B765" s="109">
        <v>2</v>
      </c>
      <c r="C765" s="109" t="s">
        <v>275</v>
      </c>
      <c r="D765" s="109" t="s">
        <v>87</v>
      </c>
      <c r="E765" s="109" t="s">
        <v>1400</v>
      </c>
      <c r="F765" s="109" t="s">
        <v>93</v>
      </c>
      <c r="G765" s="109" t="s">
        <v>2042</v>
      </c>
      <c r="H765" s="109"/>
      <c r="I765" s="109"/>
      <c r="J765" s="109"/>
      <c r="K765" s="109"/>
      <c r="L765" s="109"/>
      <c r="M765" s="110" t="s">
        <v>1036</v>
      </c>
      <c r="N765" s="110"/>
      <c r="O765" s="110"/>
      <c r="P765" s="110"/>
      <c r="Q765" s="110"/>
      <c r="R765" s="117"/>
      <c r="S765" s="110"/>
      <c r="T765" s="109" t="s">
        <v>275</v>
      </c>
      <c r="U765" s="109" t="s">
        <v>2172</v>
      </c>
    </row>
    <row r="766" spans="1:21" ht="30" x14ac:dyDescent="0.25">
      <c r="A766" s="47"/>
      <c r="B766" s="108" t="s">
        <v>23</v>
      </c>
      <c r="C766" s="47" t="s">
        <v>275</v>
      </c>
      <c r="D766" s="3" t="s">
        <v>87</v>
      </c>
      <c r="E766" s="3" t="s">
        <v>832</v>
      </c>
      <c r="F766" s="3" t="s">
        <v>112</v>
      </c>
      <c r="G766" s="3" t="s">
        <v>2043</v>
      </c>
      <c r="H766" s="3"/>
      <c r="I766" s="3"/>
      <c r="J766" s="3"/>
      <c r="K766" s="3"/>
      <c r="L766" s="3"/>
      <c r="M766" s="36" t="s">
        <v>1036</v>
      </c>
      <c r="N766" s="36"/>
      <c r="O766" s="36"/>
      <c r="P766" s="36"/>
      <c r="Q766" s="36" t="s">
        <v>1300</v>
      </c>
      <c r="R766" s="150">
        <v>45783</v>
      </c>
      <c r="S766" s="36" t="s">
        <v>1074</v>
      </c>
      <c r="T766" s="47" t="s">
        <v>275</v>
      </c>
      <c r="U766" s="146" t="s">
        <v>275</v>
      </c>
    </row>
    <row r="767" spans="1:21" ht="30" x14ac:dyDescent="0.25">
      <c r="A767" s="47"/>
      <c r="B767" s="108">
        <v>3</v>
      </c>
      <c r="C767" s="47" t="s">
        <v>275</v>
      </c>
      <c r="D767" s="3" t="s">
        <v>87</v>
      </c>
      <c r="E767" s="3" t="s">
        <v>1469</v>
      </c>
      <c r="F767" s="3" t="s">
        <v>3074</v>
      </c>
      <c r="G767" s="3" t="s">
        <v>2044</v>
      </c>
      <c r="H767" s="3"/>
      <c r="I767" s="3"/>
      <c r="J767" s="3"/>
      <c r="K767" s="3"/>
      <c r="L767" s="3"/>
      <c r="M767" s="36" t="s">
        <v>1036</v>
      </c>
      <c r="N767" s="36"/>
      <c r="O767" s="36"/>
      <c r="P767" s="36"/>
      <c r="Q767" s="36"/>
      <c r="R767" s="150"/>
      <c r="S767" s="36"/>
      <c r="T767" s="47" t="s">
        <v>275</v>
      </c>
      <c r="U767" s="146" t="s">
        <v>2173</v>
      </c>
    </row>
    <row r="768" spans="1:21" x14ac:dyDescent="0.25">
      <c r="A768" s="47"/>
      <c r="B768" s="108">
        <v>1</v>
      </c>
      <c r="C768" s="47" t="s">
        <v>275</v>
      </c>
      <c r="D768" s="3" t="s">
        <v>87</v>
      </c>
      <c r="E768" s="3" t="s">
        <v>1306</v>
      </c>
      <c r="F768" s="3" t="s">
        <v>88</v>
      </c>
      <c r="G768" s="3" t="s">
        <v>2049</v>
      </c>
      <c r="H768" s="3"/>
      <c r="I768" s="3"/>
      <c r="J768" s="3"/>
      <c r="K768" s="3"/>
      <c r="L768" s="3"/>
      <c r="M768" s="36" t="s">
        <v>1036</v>
      </c>
      <c r="N768" s="36"/>
      <c r="O768" s="36"/>
      <c r="P768" s="36"/>
      <c r="Q768" s="36" t="s">
        <v>89</v>
      </c>
      <c r="R768" s="150"/>
      <c r="S768" s="36"/>
      <c r="T768" s="47" t="s">
        <v>275</v>
      </c>
      <c r="U768" s="146" t="s">
        <v>275</v>
      </c>
    </row>
    <row r="769" spans="1:21" x14ac:dyDescent="0.25">
      <c r="A769" s="47"/>
      <c r="B769" s="108">
        <v>3</v>
      </c>
      <c r="C769" s="47" t="s">
        <v>275</v>
      </c>
      <c r="D769" s="3" t="s">
        <v>87</v>
      </c>
      <c r="E769" s="3" t="s">
        <v>1712</v>
      </c>
      <c r="F769" s="3" t="s">
        <v>96</v>
      </c>
      <c r="G769" s="3" t="s">
        <v>2047</v>
      </c>
      <c r="H769" s="3"/>
      <c r="I769" s="3"/>
      <c r="J769" s="3"/>
      <c r="K769" s="3"/>
      <c r="L769" s="3"/>
      <c r="M769" s="36" t="s">
        <v>1036</v>
      </c>
      <c r="N769" s="36"/>
      <c r="O769" s="36"/>
      <c r="P769" s="36"/>
      <c r="Q769" s="36" t="s">
        <v>1713</v>
      </c>
      <c r="R769" s="150">
        <v>45825</v>
      </c>
      <c r="S769" s="36" t="s">
        <v>211</v>
      </c>
      <c r="T769" s="47" t="s">
        <v>275</v>
      </c>
      <c r="U769" s="146" t="s">
        <v>275</v>
      </c>
    </row>
    <row r="770" spans="1:21" ht="30" x14ac:dyDescent="0.25">
      <c r="A770" s="47"/>
      <c r="B770" s="108"/>
      <c r="C770" s="47" t="s">
        <v>275</v>
      </c>
      <c r="D770" s="3" t="s">
        <v>87</v>
      </c>
      <c r="E770" s="3" t="s">
        <v>1734</v>
      </c>
      <c r="F770" s="3" t="s">
        <v>3076</v>
      </c>
      <c r="G770" s="3" t="s">
        <v>2051</v>
      </c>
      <c r="H770" s="3"/>
      <c r="I770" s="3"/>
      <c r="J770" s="3"/>
      <c r="K770" s="3"/>
      <c r="L770" s="3"/>
      <c r="M770" s="36" t="s">
        <v>1036</v>
      </c>
      <c r="N770" s="36"/>
      <c r="O770" s="36"/>
      <c r="P770" s="36"/>
      <c r="Q770" s="36"/>
      <c r="R770" s="150"/>
      <c r="S770" s="36"/>
      <c r="T770" s="47" t="s">
        <v>275</v>
      </c>
      <c r="U770" s="146" t="s">
        <v>275</v>
      </c>
    </row>
    <row r="771" spans="1:21" ht="30" x14ac:dyDescent="0.25">
      <c r="A771" s="47" t="s">
        <v>23</v>
      </c>
      <c r="B771" s="108"/>
      <c r="C771" s="47" t="s">
        <v>275</v>
      </c>
      <c r="D771" s="3" t="s">
        <v>87</v>
      </c>
      <c r="E771" s="3" t="s">
        <v>2351</v>
      </c>
      <c r="F771" s="3" t="s">
        <v>3077</v>
      </c>
      <c r="G771" s="3" t="s">
        <v>2352</v>
      </c>
      <c r="H771" s="3"/>
      <c r="I771" s="3"/>
      <c r="J771" s="3"/>
      <c r="K771" s="3"/>
      <c r="L771" s="3"/>
      <c r="M771" s="36" t="s">
        <v>1036</v>
      </c>
      <c r="N771" s="36"/>
      <c r="O771" s="36"/>
      <c r="P771" s="36"/>
      <c r="Q771" s="36" t="s">
        <v>2562</v>
      </c>
      <c r="R771" s="150"/>
      <c r="S771" s="36"/>
      <c r="T771" s="47" t="s">
        <v>275</v>
      </c>
      <c r="U771" s="146" t="s">
        <v>275</v>
      </c>
    </row>
    <row r="772" spans="1:21" x14ac:dyDescent="0.25">
      <c r="A772" s="109" t="s">
        <v>23</v>
      </c>
      <c r="B772" s="109"/>
      <c r="C772" s="109" t="s">
        <v>275</v>
      </c>
      <c r="D772" s="109" t="s">
        <v>87</v>
      </c>
      <c r="E772" s="109" t="s">
        <v>2340</v>
      </c>
      <c r="F772" s="109" t="s">
        <v>3077</v>
      </c>
      <c r="G772" s="109" t="s">
        <v>2341</v>
      </c>
      <c r="H772" s="109"/>
      <c r="I772" s="109"/>
      <c r="J772" s="109"/>
      <c r="K772" s="109"/>
      <c r="L772" s="109"/>
      <c r="M772" s="109" t="s">
        <v>1036</v>
      </c>
      <c r="N772" s="109"/>
      <c r="O772" s="109"/>
      <c r="P772" s="109"/>
      <c r="Q772" s="109" t="s">
        <v>2562</v>
      </c>
      <c r="R772" s="117"/>
      <c r="S772" s="109"/>
      <c r="T772" s="109" t="s">
        <v>275</v>
      </c>
      <c r="U772" s="138" t="s">
        <v>275</v>
      </c>
    </row>
    <row r="773" spans="1:21" ht="45" x14ac:dyDescent="0.25">
      <c r="A773" s="47" t="s">
        <v>23</v>
      </c>
      <c r="B773" s="108"/>
      <c r="C773" s="47" t="s">
        <v>275</v>
      </c>
      <c r="D773" s="3" t="s">
        <v>87</v>
      </c>
      <c r="E773" s="3" t="s">
        <v>2359</v>
      </c>
      <c r="F773" s="3" t="s">
        <v>3077</v>
      </c>
      <c r="G773" s="3" t="s">
        <v>2360</v>
      </c>
      <c r="H773" s="3"/>
      <c r="I773" s="3"/>
      <c r="J773" s="3"/>
      <c r="K773" s="3"/>
      <c r="L773" s="3"/>
      <c r="M773" s="36" t="s">
        <v>1036</v>
      </c>
      <c r="N773" s="36"/>
      <c r="O773" s="36"/>
      <c r="P773" s="36"/>
      <c r="Q773" s="36" t="s">
        <v>2562</v>
      </c>
      <c r="R773" s="150"/>
      <c r="S773" s="36"/>
      <c r="T773" s="47" t="s">
        <v>275</v>
      </c>
      <c r="U773" s="146" t="s">
        <v>275</v>
      </c>
    </row>
    <row r="774" spans="1:21" x14ac:dyDescent="0.25">
      <c r="A774" s="47"/>
      <c r="B774" s="108"/>
      <c r="C774" s="47" t="s">
        <v>275</v>
      </c>
      <c r="D774" s="3" t="s">
        <v>87</v>
      </c>
      <c r="E774" s="3" t="s">
        <v>2333</v>
      </c>
      <c r="F774" s="3" t="s">
        <v>3076</v>
      </c>
      <c r="G774" s="3" t="s">
        <v>2334</v>
      </c>
      <c r="H774" s="3"/>
      <c r="I774" s="3"/>
      <c r="J774" s="3"/>
      <c r="K774" s="3"/>
      <c r="L774" s="3"/>
      <c r="M774" s="36" t="s">
        <v>1036</v>
      </c>
      <c r="N774" s="36"/>
      <c r="O774" s="36"/>
      <c r="P774" s="36"/>
      <c r="Q774" s="36" t="s">
        <v>2337</v>
      </c>
      <c r="R774" s="150">
        <v>45847</v>
      </c>
      <c r="S774" s="36" t="s">
        <v>211</v>
      </c>
      <c r="T774" s="47" t="s">
        <v>275</v>
      </c>
      <c r="U774" s="146" t="s">
        <v>275</v>
      </c>
    </row>
    <row r="775" spans="1:21" ht="135" x14ac:dyDescent="0.25">
      <c r="A775" s="47"/>
      <c r="B775" s="108" t="s">
        <v>23</v>
      </c>
      <c r="C775" s="47" t="s">
        <v>275</v>
      </c>
      <c r="D775" s="3" t="s">
        <v>87</v>
      </c>
      <c r="E775" s="3" t="s">
        <v>1598</v>
      </c>
      <c r="F775" s="3" t="s">
        <v>114</v>
      </c>
      <c r="G775" s="3" t="s">
        <v>2272</v>
      </c>
      <c r="H775" s="3"/>
      <c r="I775" s="3"/>
      <c r="J775" s="3"/>
      <c r="K775" s="3"/>
      <c r="L775" s="3"/>
      <c r="M775" s="36" t="s">
        <v>1036</v>
      </c>
      <c r="N775" s="36" t="s">
        <v>23</v>
      </c>
      <c r="O775" s="36"/>
      <c r="P775" s="36"/>
      <c r="Q775" s="36" t="s">
        <v>1672</v>
      </c>
      <c r="R775" s="150">
        <v>45817</v>
      </c>
      <c r="S775" s="36" t="s">
        <v>1645</v>
      </c>
      <c r="T775" s="47" t="s">
        <v>275</v>
      </c>
      <c r="U775" s="146" t="s">
        <v>2275</v>
      </c>
    </row>
    <row r="776" spans="1:21" ht="30" x14ac:dyDescent="0.25">
      <c r="A776" s="109" t="s">
        <v>23</v>
      </c>
      <c r="B776" s="109"/>
      <c r="C776" s="109" t="s">
        <v>275</v>
      </c>
      <c r="D776" s="109" t="s">
        <v>87</v>
      </c>
      <c r="E776" s="109" t="s">
        <v>2355</v>
      </c>
      <c r="F776" s="109" t="s">
        <v>3077</v>
      </c>
      <c r="G776" s="109" t="s">
        <v>2356</v>
      </c>
      <c r="H776" s="109"/>
      <c r="I776" s="109"/>
      <c r="J776" s="109"/>
      <c r="K776" s="109"/>
      <c r="L776" s="109"/>
      <c r="M776" s="109" t="s">
        <v>1036</v>
      </c>
      <c r="N776" s="109"/>
      <c r="O776" s="109"/>
      <c r="P776" s="109"/>
      <c r="Q776" s="109" t="s">
        <v>2419</v>
      </c>
      <c r="R776" s="117">
        <v>45856</v>
      </c>
      <c r="S776" s="109" t="s">
        <v>2420</v>
      </c>
      <c r="T776" s="109" t="s">
        <v>275</v>
      </c>
      <c r="U776" s="109" t="s">
        <v>275</v>
      </c>
    </row>
    <row r="777" spans="1:21" ht="30" x14ac:dyDescent="0.25">
      <c r="A777" s="47"/>
      <c r="B777" s="108"/>
      <c r="C777" s="47" t="s">
        <v>275</v>
      </c>
      <c r="D777" s="3" t="s">
        <v>87</v>
      </c>
      <c r="E777" s="3" t="s">
        <v>2477</v>
      </c>
      <c r="F777" s="3" t="s">
        <v>3077</v>
      </c>
      <c r="G777" s="3" t="s">
        <v>2478</v>
      </c>
      <c r="H777" s="3"/>
      <c r="I777" s="3"/>
      <c r="J777" s="3"/>
      <c r="K777" s="3"/>
      <c r="L777" s="3"/>
      <c r="M777" s="36" t="s">
        <v>1036</v>
      </c>
      <c r="N777" s="36"/>
      <c r="O777" s="36"/>
      <c r="P777" s="36"/>
      <c r="Q777" s="36"/>
      <c r="R777" s="150"/>
      <c r="S777" s="36"/>
      <c r="T777" s="47" t="s">
        <v>275</v>
      </c>
      <c r="U777" s="146" t="s">
        <v>2907</v>
      </c>
    </row>
    <row r="778" spans="1:21" ht="30" x14ac:dyDescent="0.25">
      <c r="A778" s="109"/>
      <c r="B778" s="109"/>
      <c r="C778" s="109" t="s">
        <v>275</v>
      </c>
      <c r="D778" s="109" t="s">
        <v>87</v>
      </c>
      <c r="E778" s="109" t="s">
        <v>2540</v>
      </c>
      <c r="F778" s="109" t="s">
        <v>3077</v>
      </c>
      <c r="G778" s="109" t="s">
        <v>2541</v>
      </c>
      <c r="H778" s="109"/>
      <c r="I778" s="109"/>
      <c r="J778" s="109"/>
      <c r="K778" s="109"/>
      <c r="L778" s="109"/>
      <c r="M778" s="36" t="s">
        <v>1036</v>
      </c>
      <c r="N778" s="36"/>
      <c r="O778" s="36"/>
      <c r="P778" s="36"/>
      <c r="Q778" s="36"/>
      <c r="R778" s="150"/>
      <c r="S778" s="36"/>
      <c r="T778" s="47" t="s">
        <v>275</v>
      </c>
      <c r="U778" s="146" t="s">
        <v>275</v>
      </c>
    </row>
    <row r="779" spans="1:21" ht="45" x14ac:dyDescent="0.25">
      <c r="A779" s="109"/>
      <c r="B779" s="109"/>
      <c r="C779" s="109" t="s">
        <v>275</v>
      </c>
      <c r="D779" s="109" t="s">
        <v>87</v>
      </c>
      <c r="E779" s="109" t="s">
        <v>2389</v>
      </c>
      <c r="F779" s="109" t="s">
        <v>3077</v>
      </c>
      <c r="G779" s="109" t="s">
        <v>2390</v>
      </c>
      <c r="H779" s="109"/>
      <c r="I779" s="109"/>
      <c r="J779" s="109"/>
      <c r="K779" s="109"/>
      <c r="L779" s="109"/>
      <c r="M779" s="109" t="s">
        <v>1036</v>
      </c>
      <c r="N779" s="109"/>
      <c r="O779" s="109"/>
      <c r="P779" s="109"/>
      <c r="Q779" s="109" t="s">
        <v>2560</v>
      </c>
      <c r="R779" s="117"/>
      <c r="S779" s="109"/>
      <c r="T779" s="109" t="s">
        <v>275</v>
      </c>
      <c r="U779" s="109" t="s">
        <v>2427</v>
      </c>
    </row>
    <row r="780" spans="1:21" x14ac:dyDescent="0.25">
      <c r="A780" s="47"/>
      <c r="B780" s="108"/>
      <c r="C780" s="47" t="s">
        <v>275</v>
      </c>
      <c r="D780" s="3" t="s">
        <v>87</v>
      </c>
      <c r="E780" s="3" t="s">
        <v>2576</v>
      </c>
      <c r="F780" s="3" t="s">
        <v>3075</v>
      </c>
      <c r="G780" s="3" t="s">
        <v>2577</v>
      </c>
      <c r="H780" s="3"/>
      <c r="I780" s="3"/>
      <c r="J780" s="3"/>
      <c r="K780" s="3"/>
      <c r="L780" s="3"/>
      <c r="M780" s="36" t="s">
        <v>1036</v>
      </c>
      <c r="N780" s="36"/>
      <c r="O780" s="36"/>
      <c r="P780" s="36"/>
      <c r="Q780" s="36" t="s">
        <v>2581</v>
      </c>
      <c r="R780" s="150">
        <v>45880</v>
      </c>
      <c r="S780" s="36" t="s">
        <v>1642</v>
      </c>
      <c r="T780" s="47" t="s">
        <v>275</v>
      </c>
      <c r="U780" s="146" t="s">
        <v>2909</v>
      </c>
    </row>
    <row r="781" spans="1:21" x14ac:dyDescent="0.25">
      <c r="A781" s="109"/>
      <c r="B781" s="109"/>
      <c r="C781" s="109" t="s">
        <v>275</v>
      </c>
      <c r="D781" s="109" t="s">
        <v>87</v>
      </c>
      <c r="E781" s="109" t="s">
        <v>2640</v>
      </c>
      <c r="F781" s="109" t="s">
        <v>3074</v>
      </c>
      <c r="G781" s="109" t="s">
        <v>2641</v>
      </c>
      <c r="H781" s="109"/>
      <c r="I781" s="109"/>
      <c r="J781" s="109"/>
      <c r="K781" s="109"/>
      <c r="L781" s="109"/>
      <c r="M781" s="109" t="s">
        <v>1036</v>
      </c>
      <c r="N781" s="109"/>
      <c r="O781" s="109"/>
      <c r="P781" s="109"/>
      <c r="Q781" s="109"/>
      <c r="R781" s="117"/>
      <c r="S781" s="109"/>
      <c r="T781" s="109" t="s">
        <v>275</v>
      </c>
      <c r="U781" s="109" t="s">
        <v>275</v>
      </c>
    </row>
    <row r="782" spans="1:21" x14ac:dyDescent="0.25">
      <c r="A782" s="109"/>
      <c r="B782" s="109"/>
      <c r="C782" s="109" t="s">
        <v>275</v>
      </c>
      <c r="D782" s="109" t="s">
        <v>87</v>
      </c>
      <c r="E782" s="109" t="s">
        <v>2650</v>
      </c>
      <c r="F782" s="109" t="s">
        <v>3077</v>
      </c>
      <c r="G782" s="109" t="s">
        <v>2651</v>
      </c>
      <c r="H782" s="109"/>
      <c r="I782" s="109"/>
      <c r="J782" s="109"/>
      <c r="K782" s="109"/>
      <c r="L782" s="109"/>
      <c r="M782" s="109" t="s">
        <v>1036</v>
      </c>
      <c r="N782" s="109"/>
      <c r="O782" s="109"/>
      <c r="P782" s="109"/>
      <c r="Q782" s="109"/>
      <c r="R782" s="117"/>
      <c r="S782" s="109"/>
      <c r="T782" s="109" t="s">
        <v>275</v>
      </c>
      <c r="U782" s="109" t="s">
        <v>275</v>
      </c>
    </row>
    <row r="783" spans="1:21" ht="30" x14ac:dyDescent="0.25">
      <c r="A783" s="109"/>
      <c r="B783" s="109"/>
      <c r="C783" s="109" t="s">
        <v>275</v>
      </c>
      <c r="D783" s="109" t="s">
        <v>87</v>
      </c>
      <c r="E783" s="109" t="s">
        <v>2652</v>
      </c>
      <c r="F783" s="109" t="s">
        <v>3077</v>
      </c>
      <c r="G783" s="109" t="s">
        <v>2653</v>
      </c>
      <c r="H783" s="109"/>
      <c r="I783" s="109"/>
      <c r="J783" s="109"/>
      <c r="K783" s="109"/>
      <c r="L783" s="109"/>
      <c r="M783" s="110" t="s">
        <v>1036</v>
      </c>
      <c r="N783" s="110"/>
      <c r="O783" s="110"/>
      <c r="P783" s="110"/>
      <c r="Q783" s="110"/>
      <c r="R783" s="117"/>
      <c r="S783" s="110"/>
      <c r="T783" s="109" t="s">
        <v>275</v>
      </c>
      <c r="U783" s="138" t="s">
        <v>275</v>
      </c>
    </row>
    <row r="784" spans="1:21" ht="30" x14ac:dyDescent="0.25">
      <c r="A784" s="47"/>
      <c r="B784" s="108"/>
      <c r="C784" s="47" t="s">
        <v>275</v>
      </c>
      <c r="D784" s="3" t="s">
        <v>87</v>
      </c>
      <c r="E784" s="3" t="s">
        <v>2586</v>
      </c>
      <c r="F784" s="3" t="s">
        <v>3079</v>
      </c>
      <c r="G784" s="3" t="s">
        <v>2587</v>
      </c>
      <c r="H784" s="3"/>
      <c r="I784" s="3"/>
      <c r="J784" s="3"/>
      <c r="K784" s="3"/>
      <c r="L784" s="3"/>
      <c r="M784" s="36" t="s">
        <v>1036</v>
      </c>
      <c r="N784" s="36"/>
      <c r="O784" s="36"/>
      <c r="P784" s="36"/>
      <c r="Q784" s="36"/>
      <c r="R784" s="150">
        <v>45889</v>
      </c>
      <c r="S784" s="36" t="s">
        <v>211</v>
      </c>
      <c r="T784" s="47" t="s">
        <v>275</v>
      </c>
      <c r="U784" s="146" t="s">
        <v>2910</v>
      </c>
    </row>
    <row r="785" spans="1:21" x14ac:dyDescent="0.25">
      <c r="A785" s="109"/>
      <c r="B785" s="109"/>
      <c r="C785" s="109" t="s">
        <v>275</v>
      </c>
      <c r="D785" s="109" t="s">
        <v>87</v>
      </c>
      <c r="E785" s="109" t="s">
        <v>2666</v>
      </c>
      <c r="F785" s="109" t="s">
        <v>3079</v>
      </c>
      <c r="G785" s="109" t="s">
        <v>2667</v>
      </c>
      <c r="H785" s="109"/>
      <c r="I785" s="109"/>
      <c r="J785" s="109"/>
      <c r="K785" s="109"/>
      <c r="L785" s="109"/>
      <c r="M785" s="109" t="s">
        <v>1036</v>
      </c>
      <c r="N785" s="109"/>
      <c r="O785" s="109"/>
      <c r="P785" s="109"/>
      <c r="Q785" s="109"/>
      <c r="R785" s="117">
        <v>45889</v>
      </c>
      <c r="S785" s="109" t="s">
        <v>1048</v>
      </c>
      <c r="T785" s="109" t="s">
        <v>275</v>
      </c>
      <c r="U785" s="109" t="s">
        <v>275</v>
      </c>
    </row>
    <row r="786" spans="1:21" ht="30" x14ac:dyDescent="0.25">
      <c r="A786" s="47"/>
      <c r="B786" s="108"/>
      <c r="C786" s="47" t="s">
        <v>275</v>
      </c>
      <c r="D786" s="3" t="s">
        <v>87</v>
      </c>
      <c r="E786" s="3" t="s">
        <v>2634</v>
      </c>
      <c r="F786" s="3" t="s">
        <v>3077</v>
      </c>
      <c r="G786" s="3" t="s">
        <v>2635</v>
      </c>
      <c r="H786" s="3"/>
      <c r="I786" s="3"/>
      <c r="J786" s="3"/>
      <c r="K786" s="3"/>
      <c r="L786" s="3"/>
      <c r="M786" s="36" t="s">
        <v>1036</v>
      </c>
      <c r="N786" s="36"/>
      <c r="O786" s="36"/>
      <c r="P786" s="36"/>
      <c r="Q786" s="36" t="s">
        <v>2658</v>
      </c>
      <c r="R786" s="150">
        <v>45887</v>
      </c>
      <c r="S786" s="36" t="s">
        <v>50</v>
      </c>
      <c r="T786" s="47" t="s">
        <v>275</v>
      </c>
      <c r="U786" s="146" t="s">
        <v>275</v>
      </c>
    </row>
    <row r="787" spans="1:21" x14ac:dyDescent="0.25">
      <c r="A787" s="47"/>
      <c r="B787" s="108"/>
      <c r="C787" s="47" t="s">
        <v>275</v>
      </c>
      <c r="D787" s="3" t="s">
        <v>87</v>
      </c>
      <c r="E787" s="3" t="s">
        <v>2744</v>
      </c>
      <c r="F787" s="3" t="s">
        <v>3074</v>
      </c>
      <c r="G787" s="3" t="s">
        <v>2745</v>
      </c>
      <c r="H787" s="3"/>
      <c r="I787" s="3"/>
      <c r="J787" s="3"/>
      <c r="K787" s="3"/>
      <c r="L787" s="3"/>
      <c r="M787" s="36" t="s">
        <v>1036</v>
      </c>
      <c r="N787" s="36"/>
      <c r="O787" s="36"/>
      <c r="P787" s="36"/>
      <c r="Q787" s="36"/>
      <c r="R787" s="150"/>
      <c r="S787" s="36"/>
      <c r="T787" s="47" t="s">
        <v>275</v>
      </c>
      <c r="U787" s="146" t="s">
        <v>2911</v>
      </c>
    </row>
    <row r="788" spans="1:21" x14ac:dyDescent="0.25">
      <c r="A788" s="47"/>
      <c r="B788" s="108"/>
      <c r="C788" s="47" t="s">
        <v>275</v>
      </c>
      <c r="D788" s="3" t="s">
        <v>87</v>
      </c>
      <c r="E788" s="3" t="s">
        <v>2770</v>
      </c>
      <c r="F788" s="3" t="s">
        <v>3075</v>
      </c>
      <c r="G788" s="3" t="s">
        <v>2771</v>
      </c>
      <c r="H788" s="3"/>
      <c r="I788" s="3"/>
      <c r="J788" s="3"/>
      <c r="K788" s="3"/>
      <c r="L788" s="3"/>
      <c r="M788" s="36" t="s">
        <v>1036</v>
      </c>
      <c r="N788" s="36"/>
      <c r="O788" s="36"/>
      <c r="P788" s="36"/>
      <c r="Q788" s="36"/>
      <c r="R788" s="150"/>
      <c r="S788" s="36"/>
      <c r="T788" s="47" t="s">
        <v>275</v>
      </c>
      <c r="U788" s="146" t="s">
        <v>2912</v>
      </c>
    </row>
    <row r="789" spans="1:21" x14ac:dyDescent="0.25">
      <c r="A789" s="47"/>
      <c r="B789" s="108"/>
      <c r="C789" s="47" t="s">
        <v>275</v>
      </c>
      <c r="D789" s="3" t="s">
        <v>87</v>
      </c>
      <c r="E789" s="3" t="s">
        <v>2748</v>
      </c>
      <c r="F789" s="3" t="s">
        <v>1616</v>
      </c>
      <c r="G789" s="3" t="s">
        <v>2749</v>
      </c>
      <c r="H789" s="3"/>
      <c r="I789" s="3"/>
      <c r="J789" s="3"/>
      <c r="K789" s="3"/>
      <c r="L789" s="3"/>
      <c r="M789" s="36" t="s">
        <v>1036</v>
      </c>
      <c r="N789" s="36"/>
      <c r="O789" s="36"/>
      <c r="P789" s="36"/>
      <c r="Q789" s="36"/>
      <c r="R789" s="150"/>
      <c r="S789" s="36"/>
      <c r="T789" s="47" t="s">
        <v>275</v>
      </c>
      <c r="U789" s="146" t="s">
        <v>2913</v>
      </c>
    </row>
    <row r="790" spans="1:21" ht="30" x14ac:dyDescent="0.25">
      <c r="A790" s="47"/>
      <c r="B790" s="108"/>
      <c r="C790" s="47" t="s">
        <v>275</v>
      </c>
      <c r="D790" s="3" t="s">
        <v>87</v>
      </c>
      <c r="E790" s="3" t="s">
        <v>2788</v>
      </c>
      <c r="F790" s="3" t="s">
        <v>3077</v>
      </c>
      <c r="G790" s="3" t="s">
        <v>2789</v>
      </c>
      <c r="H790" s="3"/>
      <c r="I790" s="3"/>
      <c r="J790" s="3"/>
      <c r="K790" s="3"/>
      <c r="L790" s="3"/>
      <c r="M790" s="36" t="s">
        <v>1036</v>
      </c>
      <c r="N790" s="36"/>
      <c r="O790" s="36"/>
      <c r="P790" s="36"/>
      <c r="Q790" s="36"/>
      <c r="R790" s="150"/>
      <c r="S790" s="36"/>
      <c r="T790" s="47" t="s">
        <v>275</v>
      </c>
      <c r="U790" s="146" t="s">
        <v>275</v>
      </c>
    </row>
    <row r="791" spans="1:21" ht="30" x14ac:dyDescent="0.25">
      <c r="A791" s="47" t="s">
        <v>23</v>
      </c>
      <c r="B791" s="108"/>
      <c r="C791" s="47" t="s">
        <v>275</v>
      </c>
      <c r="D791" s="3" t="s">
        <v>87</v>
      </c>
      <c r="E791" s="3" t="s">
        <v>2349</v>
      </c>
      <c r="F791" s="3" t="s">
        <v>3077</v>
      </c>
      <c r="G791" s="3" t="s">
        <v>2350</v>
      </c>
      <c r="H791" s="3"/>
      <c r="I791" s="3"/>
      <c r="J791" s="3"/>
      <c r="K791" s="3"/>
      <c r="L791" s="3"/>
      <c r="M791" s="36" t="s">
        <v>1036</v>
      </c>
      <c r="N791" s="36"/>
      <c r="O791" s="36"/>
      <c r="P791" s="36"/>
      <c r="Q791" s="36" t="s">
        <v>2562</v>
      </c>
      <c r="R791" s="150"/>
      <c r="S791" s="36"/>
      <c r="T791" s="47" t="s">
        <v>275</v>
      </c>
      <c r="U791" s="146" t="s">
        <v>275</v>
      </c>
    </row>
    <row r="792" spans="1:21" x14ac:dyDescent="0.25">
      <c r="A792" s="47"/>
      <c r="B792" s="108"/>
      <c r="C792" s="47" t="s">
        <v>275</v>
      </c>
      <c r="D792" s="3" t="s">
        <v>87</v>
      </c>
      <c r="E792" s="3" t="s">
        <v>2768</v>
      </c>
      <c r="F792" s="3" t="s">
        <v>1616</v>
      </c>
      <c r="G792" s="3" t="s">
        <v>2769</v>
      </c>
      <c r="H792" s="3"/>
      <c r="I792" s="3"/>
      <c r="J792" s="3"/>
      <c r="K792" s="3"/>
      <c r="L792" s="3"/>
      <c r="M792" s="36" t="s">
        <v>1036</v>
      </c>
      <c r="N792" s="36"/>
      <c r="O792" s="36"/>
      <c r="P792" s="36"/>
      <c r="Q792" s="36"/>
      <c r="R792" s="150"/>
      <c r="S792" s="36"/>
      <c r="T792" s="47" t="s">
        <v>275</v>
      </c>
      <c r="U792" s="146" t="s">
        <v>2914</v>
      </c>
    </row>
    <row r="793" spans="1:21" ht="30" x14ac:dyDescent="0.25">
      <c r="A793" s="109"/>
      <c r="B793" s="109"/>
      <c r="C793" s="109" t="s">
        <v>275</v>
      </c>
      <c r="D793" s="109" t="s">
        <v>87</v>
      </c>
      <c r="E793" s="109" t="s">
        <v>2713</v>
      </c>
      <c r="F793" s="109" t="s">
        <v>3079</v>
      </c>
      <c r="G793" s="109" t="s">
        <v>2714</v>
      </c>
      <c r="H793" s="109"/>
      <c r="I793" s="109"/>
      <c r="J793" s="109"/>
      <c r="K793" s="109"/>
      <c r="L793" s="109"/>
      <c r="M793" s="109" t="s">
        <v>1036</v>
      </c>
      <c r="N793" s="109"/>
      <c r="O793" s="109"/>
      <c r="P793" s="109"/>
      <c r="Q793" s="109" t="s">
        <v>2806</v>
      </c>
      <c r="R793" s="117">
        <v>45903</v>
      </c>
      <c r="S793" s="109" t="s">
        <v>211</v>
      </c>
      <c r="T793" s="109" t="s">
        <v>275</v>
      </c>
      <c r="U793" s="109" t="s">
        <v>275</v>
      </c>
    </row>
    <row r="794" spans="1:21" x14ac:dyDescent="0.25">
      <c r="A794" s="47"/>
      <c r="B794" s="108"/>
      <c r="C794" s="47" t="s">
        <v>275</v>
      </c>
      <c r="D794" s="3" t="s">
        <v>87</v>
      </c>
      <c r="E794" s="3" t="s">
        <v>2675</v>
      </c>
      <c r="F794" s="3" t="s">
        <v>3077</v>
      </c>
      <c r="G794" s="3" t="s">
        <v>2676</v>
      </c>
      <c r="H794" s="3"/>
      <c r="I794" s="3"/>
      <c r="J794" s="3"/>
      <c r="K794" s="3"/>
      <c r="L794" s="3"/>
      <c r="M794" s="36" t="s">
        <v>1036</v>
      </c>
      <c r="N794" s="36"/>
      <c r="O794" s="36"/>
      <c r="P794" s="36"/>
      <c r="Q794" s="36"/>
      <c r="R794" s="150"/>
      <c r="S794" s="36"/>
      <c r="T794" s="47" t="s">
        <v>275</v>
      </c>
      <c r="U794" s="146" t="s">
        <v>275</v>
      </c>
    </row>
    <row r="795" spans="1:21" ht="60" x14ac:dyDescent="0.25">
      <c r="A795" s="109"/>
      <c r="B795" s="109"/>
      <c r="C795" s="109" t="s">
        <v>275</v>
      </c>
      <c r="D795" s="109" t="s">
        <v>87</v>
      </c>
      <c r="E795" s="109" t="s">
        <v>2335</v>
      </c>
      <c r="F795" s="109" t="s">
        <v>3077</v>
      </c>
      <c r="G795" s="109" t="s">
        <v>2336</v>
      </c>
      <c r="H795" s="109"/>
      <c r="I795" s="109"/>
      <c r="J795" s="109"/>
      <c r="K795" s="109"/>
      <c r="L795" s="109"/>
      <c r="M795" s="109" t="s">
        <v>1036</v>
      </c>
      <c r="N795" s="109"/>
      <c r="O795" s="109"/>
      <c r="P795" s="109"/>
      <c r="Q795" s="109" t="s">
        <v>2507</v>
      </c>
      <c r="R795" s="117">
        <v>45867</v>
      </c>
      <c r="S795" s="109" t="s">
        <v>1074</v>
      </c>
      <c r="T795" s="109" t="s">
        <v>275</v>
      </c>
      <c r="U795" s="109" t="s">
        <v>275</v>
      </c>
    </row>
    <row r="796" spans="1:21" x14ac:dyDescent="0.25">
      <c r="A796" s="47"/>
      <c r="B796" s="108"/>
      <c r="C796" s="47" t="s">
        <v>275</v>
      </c>
      <c r="D796" s="3" t="s">
        <v>87</v>
      </c>
      <c r="E796" s="3" t="s">
        <v>2870</v>
      </c>
      <c r="F796" s="3" t="s">
        <v>3074</v>
      </c>
      <c r="G796" s="3" t="s">
        <v>2871</v>
      </c>
      <c r="H796" s="3"/>
      <c r="I796" s="3"/>
      <c r="J796" s="3"/>
      <c r="K796" s="3"/>
      <c r="L796" s="3"/>
      <c r="M796" s="36" t="s">
        <v>1036</v>
      </c>
      <c r="N796" s="36"/>
      <c r="O796" s="36"/>
      <c r="P796" s="36"/>
      <c r="Q796" s="36"/>
      <c r="R796" s="150"/>
      <c r="S796" s="36"/>
      <c r="T796" s="47" t="s">
        <v>275</v>
      </c>
      <c r="U796" s="146" t="s">
        <v>275</v>
      </c>
    </row>
    <row r="797" spans="1:21" x14ac:dyDescent="0.25">
      <c r="A797" s="47"/>
      <c r="B797" s="108"/>
      <c r="C797" s="47" t="s">
        <v>275</v>
      </c>
      <c r="D797" s="3" t="s">
        <v>87</v>
      </c>
      <c r="E797" s="3" t="s">
        <v>2825</v>
      </c>
      <c r="F797" s="3" t="s">
        <v>3074</v>
      </c>
      <c r="G797" s="3" t="s">
        <v>2826</v>
      </c>
      <c r="H797" s="3"/>
      <c r="I797" s="3"/>
      <c r="J797" s="3"/>
      <c r="K797" s="3"/>
      <c r="L797" s="3"/>
      <c r="M797" s="36" t="s">
        <v>1036</v>
      </c>
      <c r="N797" s="36"/>
      <c r="O797" s="36"/>
      <c r="P797" s="36"/>
      <c r="Q797" s="36" t="s">
        <v>2843</v>
      </c>
      <c r="R797" s="150">
        <v>45905</v>
      </c>
      <c r="S797" s="36" t="s">
        <v>211</v>
      </c>
      <c r="T797" s="47" t="s">
        <v>275</v>
      </c>
      <c r="U797" s="146" t="s">
        <v>275</v>
      </c>
    </row>
    <row r="798" spans="1:21" x14ac:dyDescent="0.25">
      <c r="A798" s="109"/>
      <c r="B798" s="109"/>
      <c r="C798" s="109" t="s">
        <v>275</v>
      </c>
      <c r="D798" s="109" t="s">
        <v>87</v>
      </c>
      <c r="E798" s="109" t="s">
        <v>2867</v>
      </c>
      <c r="F798" s="109" t="s">
        <v>3077</v>
      </c>
      <c r="G798" s="109" t="s">
        <v>2868</v>
      </c>
      <c r="H798" s="109"/>
      <c r="I798" s="109"/>
      <c r="J798" s="109"/>
      <c r="K798" s="109"/>
      <c r="L798" s="109"/>
      <c r="M798" s="109" t="s">
        <v>1036</v>
      </c>
      <c r="N798" s="109"/>
      <c r="O798" s="109"/>
      <c r="P798" s="109"/>
      <c r="Q798" s="109"/>
      <c r="R798" s="117"/>
      <c r="S798" s="109"/>
      <c r="T798" s="109" t="s">
        <v>275</v>
      </c>
      <c r="U798" s="109" t="s">
        <v>2920</v>
      </c>
    </row>
    <row r="799" spans="1:21" ht="30" x14ac:dyDescent="0.25">
      <c r="A799" s="47"/>
      <c r="B799" s="108"/>
      <c r="C799" s="47" t="s">
        <v>275</v>
      </c>
      <c r="D799" s="3" t="s">
        <v>87</v>
      </c>
      <c r="E799" s="3" t="s">
        <v>2890</v>
      </c>
      <c r="F799" s="3" t="s">
        <v>3081</v>
      </c>
      <c r="G799" s="3" t="s">
        <v>2891</v>
      </c>
      <c r="H799" s="3"/>
      <c r="I799" s="3"/>
      <c r="J799" s="3"/>
      <c r="K799" s="3"/>
      <c r="L799" s="3"/>
      <c r="M799" s="36" t="s">
        <v>1036</v>
      </c>
      <c r="N799" s="36"/>
      <c r="O799" s="36"/>
      <c r="P799" s="36"/>
      <c r="Q799" s="36" t="s">
        <v>2934</v>
      </c>
      <c r="R799" s="150">
        <v>45911</v>
      </c>
      <c r="S799" s="36" t="s">
        <v>1074</v>
      </c>
      <c r="T799" s="47" t="s">
        <v>275</v>
      </c>
      <c r="U799" s="146" t="s">
        <v>275</v>
      </c>
    </row>
    <row r="800" spans="1:21" x14ac:dyDescent="0.25">
      <c r="A800" s="47"/>
      <c r="B800" s="108"/>
      <c r="C800" s="47" t="s">
        <v>275</v>
      </c>
      <c r="D800" s="3" t="s">
        <v>87</v>
      </c>
      <c r="E800" s="3" t="s">
        <v>2953</v>
      </c>
      <c r="F800" s="3" t="s">
        <v>3077</v>
      </c>
      <c r="G800" s="3" t="s">
        <v>2965</v>
      </c>
      <c r="H800" s="3"/>
      <c r="I800" s="3"/>
      <c r="J800" s="3"/>
      <c r="K800" s="3"/>
      <c r="L800" s="3"/>
      <c r="M800" s="36" t="s">
        <v>1036</v>
      </c>
      <c r="N800" s="36"/>
      <c r="O800" s="36"/>
      <c r="P800" s="36"/>
      <c r="Q800" s="36"/>
      <c r="R800" s="150"/>
      <c r="S800" s="36"/>
      <c r="T800" s="47" t="s">
        <v>275</v>
      </c>
      <c r="U800" s="146"/>
    </row>
    <row r="801" spans="1:21" x14ac:dyDescent="0.25">
      <c r="A801" s="109"/>
      <c r="B801" s="109"/>
      <c r="C801" s="109" t="s">
        <v>275</v>
      </c>
      <c r="D801" s="109" t="s">
        <v>87</v>
      </c>
      <c r="E801" s="109" t="s">
        <v>2944</v>
      </c>
      <c r="F801" s="109" t="s">
        <v>3077</v>
      </c>
      <c r="G801" s="109" t="s">
        <v>2945</v>
      </c>
      <c r="H801" s="109"/>
      <c r="I801" s="109"/>
      <c r="J801" s="109"/>
      <c r="K801" s="109"/>
      <c r="L801" s="109"/>
      <c r="M801" s="109" t="s">
        <v>1036</v>
      </c>
      <c r="N801" s="109"/>
      <c r="O801" s="109"/>
      <c r="P801" s="109"/>
      <c r="Q801" s="109"/>
      <c r="R801" s="117"/>
      <c r="S801" s="109"/>
      <c r="T801" s="109" t="s">
        <v>275</v>
      </c>
      <c r="U801" s="109"/>
    </row>
    <row r="802" spans="1:21" ht="30" x14ac:dyDescent="0.25">
      <c r="A802" s="47"/>
      <c r="B802" s="108"/>
      <c r="C802" s="47" t="s">
        <v>275</v>
      </c>
      <c r="D802" s="3" t="s">
        <v>87</v>
      </c>
      <c r="E802" s="3" t="s">
        <v>2863</v>
      </c>
      <c r="F802" s="3" t="s">
        <v>3075</v>
      </c>
      <c r="G802" s="3" t="s">
        <v>2864</v>
      </c>
      <c r="H802" s="3"/>
      <c r="I802" s="3"/>
      <c r="J802" s="3"/>
      <c r="K802" s="3"/>
      <c r="L802" s="3"/>
      <c r="M802" s="36" t="s">
        <v>1036</v>
      </c>
      <c r="N802" s="36"/>
      <c r="O802" s="36"/>
      <c r="P802" s="36"/>
      <c r="Q802" s="36" t="s">
        <v>2927</v>
      </c>
      <c r="R802" s="150">
        <v>45910</v>
      </c>
      <c r="S802" s="36" t="s">
        <v>1074</v>
      </c>
      <c r="T802" s="47" t="s">
        <v>275</v>
      </c>
      <c r="U802" s="146" t="s">
        <v>275</v>
      </c>
    </row>
    <row r="803" spans="1:21" x14ac:dyDescent="0.25">
      <c r="A803" s="47"/>
      <c r="B803" s="108"/>
      <c r="C803" s="47" t="s">
        <v>275</v>
      </c>
      <c r="D803" s="3" t="s">
        <v>87</v>
      </c>
      <c r="E803" s="3" t="s">
        <v>2957</v>
      </c>
      <c r="F803" s="3" t="s">
        <v>3077</v>
      </c>
      <c r="G803" s="3" t="s">
        <v>2958</v>
      </c>
      <c r="H803" s="3"/>
      <c r="I803" s="3"/>
      <c r="J803" s="3"/>
      <c r="K803" s="3"/>
      <c r="L803" s="3"/>
      <c r="M803" s="36" t="s">
        <v>1036</v>
      </c>
      <c r="N803" s="36"/>
      <c r="O803" s="36"/>
      <c r="P803" s="36"/>
      <c r="Q803" s="36"/>
      <c r="R803" s="150"/>
      <c r="S803" s="36"/>
      <c r="T803" s="47" t="s">
        <v>275</v>
      </c>
      <c r="U803" s="146"/>
    </row>
    <row r="804" spans="1:21" ht="30" x14ac:dyDescent="0.25">
      <c r="A804" s="47"/>
      <c r="B804" s="108"/>
      <c r="C804" s="47" t="s">
        <v>275</v>
      </c>
      <c r="D804" s="3" t="s">
        <v>87</v>
      </c>
      <c r="E804" s="3" t="s">
        <v>2961</v>
      </c>
      <c r="F804" s="3" t="s">
        <v>3077</v>
      </c>
      <c r="G804" s="3" t="s">
        <v>2962</v>
      </c>
      <c r="H804" s="3"/>
      <c r="I804" s="3"/>
      <c r="J804" s="3"/>
      <c r="K804" s="3"/>
      <c r="L804" s="3"/>
      <c r="M804" s="36" t="s">
        <v>1036</v>
      </c>
      <c r="N804" s="36"/>
      <c r="O804" s="36"/>
      <c r="P804" s="36"/>
      <c r="Q804" s="36"/>
      <c r="R804" s="150"/>
      <c r="S804" s="36"/>
      <c r="T804" s="47" t="s">
        <v>275</v>
      </c>
      <c r="U804" s="146"/>
    </row>
    <row r="805" spans="1:21" ht="30" x14ac:dyDescent="0.25">
      <c r="A805" s="47"/>
      <c r="B805" s="108"/>
      <c r="C805" s="47" t="s">
        <v>275</v>
      </c>
      <c r="D805" s="3" t="s">
        <v>87</v>
      </c>
      <c r="E805" s="3" t="s">
        <v>2963</v>
      </c>
      <c r="F805" s="3" t="s">
        <v>3077</v>
      </c>
      <c r="G805" s="3" t="s">
        <v>2964</v>
      </c>
      <c r="H805" s="3"/>
      <c r="I805" s="3"/>
      <c r="J805" s="3"/>
      <c r="K805" s="3"/>
      <c r="L805" s="3"/>
      <c r="M805" s="36" t="s">
        <v>1036</v>
      </c>
      <c r="N805" s="36"/>
      <c r="O805" s="36"/>
      <c r="P805" s="36"/>
      <c r="Q805" s="36"/>
      <c r="R805" s="150"/>
      <c r="S805" s="36"/>
      <c r="T805" s="47" t="s">
        <v>275</v>
      </c>
      <c r="U805" s="146"/>
    </row>
    <row r="806" spans="1:21" x14ac:dyDescent="0.25">
      <c r="A806" s="109"/>
      <c r="B806" s="109"/>
      <c r="C806" s="109" t="s">
        <v>275</v>
      </c>
      <c r="D806" s="109" t="s">
        <v>87</v>
      </c>
      <c r="E806" s="109" t="s">
        <v>2959</v>
      </c>
      <c r="F806" s="109" t="s">
        <v>3077</v>
      </c>
      <c r="G806" s="109" t="s">
        <v>2960</v>
      </c>
      <c r="H806" s="109"/>
      <c r="I806" s="109"/>
      <c r="J806" s="109"/>
      <c r="K806" s="109"/>
      <c r="L806" s="109"/>
      <c r="M806" s="109" t="s">
        <v>1036</v>
      </c>
      <c r="N806" s="109"/>
      <c r="O806" s="109"/>
      <c r="P806" s="109"/>
      <c r="Q806" s="109"/>
      <c r="R806" s="117"/>
      <c r="S806" s="109"/>
      <c r="T806" s="109" t="s">
        <v>275</v>
      </c>
      <c r="U806" s="109"/>
    </row>
    <row r="807" spans="1:21" ht="165" x14ac:dyDescent="0.25">
      <c r="A807" s="47"/>
      <c r="B807" s="108"/>
      <c r="C807" s="47" t="s">
        <v>275</v>
      </c>
      <c r="D807" s="3" t="s">
        <v>87</v>
      </c>
      <c r="E807" s="3" t="s">
        <v>2940</v>
      </c>
      <c r="F807" s="3" t="s">
        <v>114</v>
      </c>
      <c r="G807" s="3" t="s">
        <v>2941</v>
      </c>
      <c r="H807" s="3"/>
      <c r="I807" s="3"/>
      <c r="J807" s="3"/>
      <c r="K807" s="3"/>
      <c r="L807" s="3"/>
      <c r="M807" s="36" t="s">
        <v>1036</v>
      </c>
      <c r="N807" s="36"/>
      <c r="O807" s="36"/>
      <c r="P807" s="36"/>
      <c r="Q807" s="36" t="s">
        <v>2986</v>
      </c>
      <c r="R807" s="150">
        <v>45916</v>
      </c>
      <c r="S807" s="36" t="s">
        <v>239</v>
      </c>
      <c r="T807" s="47" t="s">
        <v>275</v>
      </c>
      <c r="U807" s="146"/>
    </row>
    <row r="808" spans="1:21" ht="30" x14ac:dyDescent="0.25">
      <c r="A808" s="109"/>
      <c r="B808" s="109"/>
      <c r="C808" s="109" t="s">
        <v>275</v>
      </c>
      <c r="D808" s="109" t="s">
        <v>87</v>
      </c>
      <c r="E808" s="109" t="s">
        <v>2999</v>
      </c>
      <c r="F808" s="109" t="s">
        <v>3074</v>
      </c>
      <c r="G808" s="109" t="s">
        <v>3000</v>
      </c>
      <c r="H808" s="109"/>
      <c r="I808" s="109"/>
      <c r="J808" s="109"/>
      <c r="K808" s="109"/>
      <c r="L808" s="109"/>
      <c r="M808" s="110" t="s">
        <v>1036</v>
      </c>
      <c r="N808" s="110"/>
      <c r="O808" s="110"/>
      <c r="P808" s="110"/>
      <c r="Q808" s="110" t="s">
        <v>3018</v>
      </c>
      <c r="R808" s="117">
        <v>45918</v>
      </c>
      <c r="S808" s="110" t="s">
        <v>239</v>
      </c>
      <c r="T808" s="109" t="s">
        <v>275</v>
      </c>
      <c r="U808" s="138"/>
    </row>
    <row r="809" spans="1:21" x14ac:dyDescent="0.25">
      <c r="A809" s="47"/>
      <c r="B809" s="108"/>
      <c r="C809" s="47" t="s">
        <v>275</v>
      </c>
      <c r="D809" s="3" t="s">
        <v>87</v>
      </c>
      <c r="E809" s="3" t="s">
        <v>2956</v>
      </c>
      <c r="F809" s="3" t="s">
        <v>3077</v>
      </c>
      <c r="G809" s="3" t="s">
        <v>3051</v>
      </c>
      <c r="H809" s="3"/>
      <c r="I809" s="3"/>
      <c r="J809" s="3"/>
      <c r="K809" s="3"/>
      <c r="L809" s="3"/>
      <c r="M809" s="36" t="s">
        <v>1036</v>
      </c>
      <c r="N809" s="36"/>
      <c r="O809" s="36"/>
      <c r="P809" s="36"/>
      <c r="Q809" s="36"/>
      <c r="R809" s="150"/>
      <c r="S809" s="36"/>
      <c r="T809" s="47" t="s">
        <v>275</v>
      </c>
      <c r="U809" s="146"/>
    </row>
    <row r="810" spans="1:21" ht="30" x14ac:dyDescent="0.25">
      <c r="A810" s="109"/>
      <c r="B810" s="109"/>
      <c r="C810" s="109" t="s">
        <v>275</v>
      </c>
      <c r="D810" s="109" t="s">
        <v>87</v>
      </c>
      <c r="E810" s="109" t="s">
        <v>3029</v>
      </c>
      <c r="F810" s="109" t="s">
        <v>1616</v>
      </c>
      <c r="G810" s="109" t="s">
        <v>3030</v>
      </c>
      <c r="H810" s="109"/>
      <c r="I810" s="109"/>
      <c r="J810" s="109"/>
      <c r="K810" s="109"/>
      <c r="L810" s="109"/>
      <c r="M810" s="110" t="s">
        <v>1036</v>
      </c>
      <c r="N810" s="110"/>
      <c r="O810" s="110"/>
      <c r="P810" s="110"/>
      <c r="Q810" s="110" t="s">
        <v>3063</v>
      </c>
      <c r="R810" s="117">
        <v>45924</v>
      </c>
      <c r="S810" s="110" t="s">
        <v>211</v>
      </c>
      <c r="T810" s="109" t="s">
        <v>275</v>
      </c>
      <c r="U810" s="138"/>
    </row>
    <row r="811" spans="1:21" ht="45" x14ac:dyDescent="0.25">
      <c r="A811" s="47"/>
      <c r="B811" s="108"/>
      <c r="C811" s="47" t="s">
        <v>275</v>
      </c>
      <c r="D811" s="3" t="s">
        <v>87</v>
      </c>
      <c r="E811" s="3" t="s">
        <v>3123</v>
      </c>
      <c r="F811" s="3" t="s">
        <v>3077</v>
      </c>
      <c r="G811" s="3" t="s">
        <v>3124</v>
      </c>
      <c r="H811" s="3"/>
      <c r="I811" s="3"/>
      <c r="J811" s="3"/>
      <c r="K811" s="3"/>
      <c r="L811" s="3"/>
      <c r="M811" s="36" t="s">
        <v>1036</v>
      </c>
      <c r="N811" s="36"/>
      <c r="O811" s="36"/>
      <c r="P811" s="36"/>
      <c r="Q811" s="36"/>
      <c r="R811" s="150"/>
      <c r="S811" s="36"/>
      <c r="T811" s="47" t="s">
        <v>275</v>
      </c>
      <c r="U811" s="146"/>
    </row>
    <row r="812" spans="1:21" x14ac:dyDescent="0.25">
      <c r="A812" s="47"/>
      <c r="B812" s="108"/>
      <c r="C812" s="47" t="s">
        <v>23</v>
      </c>
      <c r="D812" s="3" t="s">
        <v>87</v>
      </c>
      <c r="E812" s="3" t="s">
        <v>3125</v>
      </c>
      <c r="F812" s="3" t="s">
        <v>3074</v>
      </c>
      <c r="G812" s="3" t="s">
        <v>3126</v>
      </c>
      <c r="H812" s="3"/>
      <c r="I812" s="3" t="s">
        <v>23</v>
      </c>
      <c r="J812" s="3" t="s">
        <v>23</v>
      </c>
      <c r="K812" s="3" t="s">
        <v>23</v>
      </c>
      <c r="L812" s="3" t="s">
        <v>23</v>
      </c>
      <c r="M812" s="36" t="s">
        <v>1036</v>
      </c>
      <c r="N812" s="36"/>
      <c r="O812" s="36"/>
      <c r="P812" s="36"/>
      <c r="Q812" s="36"/>
      <c r="R812" s="150"/>
      <c r="S812" s="36"/>
      <c r="T812" s="47" t="s">
        <v>23</v>
      </c>
      <c r="U812" s="146"/>
    </row>
    <row r="813" spans="1:21" x14ac:dyDescent="0.25">
      <c r="A813" s="47"/>
      <c r="B813" s="108"/>
      <c r="C813" s="47" t="s">
        <v>23</v>
      </c>
      <c r="D813" s="3" t="s">
        <v>87</v>
      </c>
      <c r="E813" s="3" t="s">
        <v>3052</v>
      </c>
      <c r="F813" s="3" t="s">
        <v>3074</v>
      </c>
      <c r="G813" s="3" t="s">
        <v>3053</v>
      </c>
      <c r="H813" s="3" t="s">
        <v>23</v>
      </c>
      <c r="I813" s="3" t="s">
        <v>23</v>
      </c>
      <c r="J813" s="3"/>
      <c r="K813" s="3"/>
      <c r="L813" s="3"/>
      <c r="M813" s="36" t="s">
        <v>1036</v>
      </c>
      <c r="N813" s="36"/>
      <c r="O813" s="36"/>
      <c r="P813" s="36"/>
      <c r="Q813" s="36"/>
      <c r="R813" s="150"/>
      <c r="S813" s="36"/>
      <c r="T813" s="47" t="s">
        <v>23</v>
      </c>
      <c r="U813" s="146"/>
    </row>
    <row r="814" spans="1:21" x14ac:dyDescent="0.25">
      <c r="A814" s="109"/>
      <c r="B814" s="109"/>
      <c r="C814" s="109" t="s">
        <v>23</v>
      </c>
      <c r="D814" s="109" t="s">
        <v>87</v>
      </c>
      <c r="E814" s="109" t="s">
        <v>3130</v>
      </c>
      <c r="F814" s="109" t="s">
        <v>1616</v>
      </c>
      <c r="G814" s="109" t="s">
        <v>3131</v>
      </c>
      <c r="H814" s="109" t="s">
        <v>23</v>
      </c>
      <c r="I814" s="109" t="s">
        <v>23</v>
      </c>
      <c r="J814" s="109"/>
      <c r="K814" s="109"/>
      <c r="L814" s="109"/>
      <c r="M814" s="110" t="s">
        <v>1036</v>
      </c>
      <c r="N814" s="110"/>
      <c r="O814" s="110"/>
      <c r="P814" s="110"/>
      <c r="Q814" s="110"/>
      <c r="R814" s="117"/>
      <c r="S814" s="110"/>
      <c r="T814" s="109" t="s">
        <v>23</v>
      </c>
      <c r="U814" s="109"/>
    </row>
    <row r="815" spans="1:21" x14ac:dyDescent="0.25">
      <c r="A815" s="47"/>
      <c r="B815" s="108"/>
      <c r="C815" s="47" t="s">
        <v>23</v>
      </c>
      <c r="D815" s="3" t="s">
        <v>87</v>
      </c>
      <c r="E815" s="3" t="s">
        <v>2538</v>
      </c>
      <c r="F815" s="3" t="s">
        <v>3076</v>
      </c>
      <c r="G815" s="3" t="s">
        <v>2539</v>
      </c>
      <c r="H815" s="3" t="s">
        <v>23</v>
      </c>
      <c r="I815" s="3"/>
      <c r="J815" s="3"/>
      <c r="K815" s="3"/>
      <c r="L815" s="3"/>
      <c r="M815" s="36" t="s">
        <v>1036</v>
      </c>
      <c r="N815" s="36"/>
      <c r="O815" s="36"/>
      <c r="P815" s="36"/>
      <c r="Q815" s="36"/>
      <c r="R815" s="150"/>
      <c r="S815" s="36"/>
      <c r="T815" s="47" t="s">
        <v>275</v>
      </c>
      <c r="U815" s="146" t="s">
        <v>2908</v>
      </c>
    </row>
    <row r="816" spans="1:21" x14ac:dyDescent="0.25">
      <c r="A816" s="47"/>
      <c r="B816" s="108"/>
      <c r="C816" s="47" t="s">
        <v>23</v>
      </c>
      <c r="D816" s="3" t="s">
        <v>87</v>
      </c>
      <c r="E816" s="3" t="s">
        <v>3044</v>
      </c>
      <c r="F816" s="3" t="s">
        <v>114</v>
      </c>
      <c r="G816" s="3" t="s">
        <v>3045</v>
      </c>
      <c r="H816" s="3" t="s">
        <v>23</v>
      </c>
      <c r="I816" s="3" t="s">
        <v>23</v>
      </c>
      <c r="J816" s="3" t="s">
        <v>23</v>
      </c>
      <c r="K816" s="3" t="s">
        <v>23</v>
      </c>
      <c r="L816" s="3" t="s">
        <v>23</v>
      </c>
      <c r="M816" s="36" t="s">
        <v>1036</v>
      </c>
      <c r="N816" s="36"/>
      <c r="O816" s="36"/>
      <c r="P816" s="36"/>
      <c r="Q816" s="36"/>
      <c r="R816" s="150"/>
      <c r="S816" s="36"/>
      <c r="T816" s="47" t="s">
        <v>23</v>
      </c>
      <c r="U816" s="146"/>
    </row>
    <row r="817" spans="1:21" x14ac:dyDescent="0.25">
      <c r="A817" s="109"/>
      <c r="B817" s="109"/>
      <c r="C817" s="109" t="s">
        <v>23</v>
      </c>
      <c r="D817" s="109" t="s">
        <v>87</v>
      </c>
      <c r="E817" s="109" t="s">
        <v>2869</v>
      </c>
      <c r="F817" s="109" t="s">
        <v>3077</v>
      </c>
      <c r="G817" s="109" t="s">
        <v>2336</v>
      </c>
      <c r="H817" s="109" t="s">
        <v>23</v>
      </c>
      <c r="I817" s="109" t="s">
        <v>23</v>
      </c>
      <c r="J817" s="109"/>
      <c r="K817" s="109"/>
      <c r="L817" s="109"/>
      <c r="M817" s="109" t="s">
        <v>1036</v>
      </c>
      <c r="N817" s="109"/>
      <c r="O817" s="109"/>
      <c r="P817" s="109"/>
      <c r="Q817" s="109" t="s">
        <v>2989</v>
      </c>
      <c r="R817" s="117">
        <v>45915</v>
      </c>
      <c r="S817" s="109" t="s">
        <v>239</v>
      </c>
      <c r="T817" s="109" t="s">
        <v>23</v>
      </c>
      <c r="U817" s="109" t="s">
        <v>275</v>
      </c>
    </row>
    <row r="818" spans="1:21" x14ac:dyDescent="0.25">
      <c r="A818" s="109"/>
      <c r="B818" s="109"/>
      <c r="C818" s="109" t="s">
        <v>23</v>
      </c>
      <c r="D818" s="109" t="s">
        <v>87</v>
      </c>
      <c r="E818" s="109" t="s">
        <v>2827</v>
      </c>
      <c r="F818" s="109" t="s">
        <v>3077</v>
      </c>
      <c r="G818" s="109" t="s">
        <v>2828</v>
      </c>
      <c r="H818" s="109" t="s">
        <v>23</v>
      </c>
      <c r="I818" s="109" t="s">
        <v>23</v>
      </c>
      <c r="J818" s="109"/>
      <c r="K818" s="109"/>
      <c r="L818" s="109"/>
      <c r="M818" s="109" t="s">
        <v>1036</v>
      </c>
      <c r="N818" s="109"/>
      <c r="O818" s="109"/>
      <c r="P818" s="109"/>
      <c r="Q818" s="109"/>
      <c r="R818" s="117"/>
      <c r="S818" s="109"/>
      <c r="T818" s="109" t="s">
        <v>23</v>
      </c>
      <c r="U818" s="109" t="s">
        <v>2916</v>
      </c>
    </row>
    <row r="819" spans="1:21" x14ac:dyDescent="0.25">
      <c r="A819" s="109"/>
      <c r="B819" s="109"/>
      <c r="C819" s="109" t="s">
        <v>275</v>
      </c>
      <c r="D819" s="109" t="s">
        <v>87</v>
      </c>
      <c r="E819" s="109" t="s">
        <v>3134</v>
      </c>
      <c r="F819" s="109" t="s">
        <v>1616</v>
      </c>
      <c r="G819" s="109" t="s">
        <v>3135</v>
      </c>
      <c r="H819" s="109"/>
      <c r="I819" s="109"/>
      <c r="J819" s="109"/>
      <c r="K819" s="109"/>
      <c r="L819" s="109"/>
      <c r="M819" s="109" t="s">
        <v>1036</v>
      </c>
      <c r="N819" s="109"/>
      <c r="O819" s="109"/>
      <c r="P819" s="109"/>
      <c r="Q819" s="109"/>
      <c r="R819" s="117"/>
      <c r="S819" s="109"/>
      <c r="T819" s="109" t="s">
        <v>275</v>
      </c>
      <c r="U819" s="109"/>
    </row>
    <row r="820" spans="1:21" x14ac:dyDescent="0.25">
      <c r="A820" s="47"/>
      <c r="B820" s="108"/>
      <c r="C820" s="47" t="s">
        <v>275</v>
      </c>
      <c r="D820" s="3" t="s">
        <v>87</v>
      </c>
      <c r="E820" s="3" t="s">
        <v>3054</v>
      </c>
      <c r="F820" s="3" t="s">
        <v>3074</v>
      </c>
      <c r="G820" s="3" t="s">
        <v>3055</v>
      </c>
      <c r="H820" s="3"/>
      <c r="I820" s="3"/>
      <c r="J820" s="3"/>
      <c r="K820" s="3"/>
      <c r="L820" s="3"/>
      <c r="M820" s="36" t="s">
        <v>1036</v>
      </c>
      <c r="N820" s="36"/>
      <c r="O820" s="36"/>
      <c r="P820" s="36"/>
      <c r="Q820" s="36"/>
      <c r="R820" s="150"/>
      <c r="S820" s="36"/>
      <c r="T820" s="47" t="s">
        <v>275</v>
      </c>
      <c r="U820" s="146"/>
    </row>
    <row r="821" spans="1:21" ht="30" x14ac:dyDescent="0.25">
      <c r="A821" s="47"/>
      <c r="B821" s="108"/>
      <c r="C821" s="47" t="s">
        <v>275</v>
      </c>
      <c r="D821" s="3" t="s">
        <v>87</v>
      </c>
      <c r="E821" s="3" t="s">
        <v>2922</v>
      </c>
      <c r="F821" s="3" t="s">
        <v>3074</v>
      </c>
      <c r="G821" s="3" t="s">
        <v>2923</v>
      </c>
      <c r="H821" s="3"/>
      <c r="I821" s="3"/>
      <c r="J821" s="3"/>
      <c r="K821" s="3"/>
      <c r="L821" s="3"/>
      <c r="M821" s="36" t="s">
        <v>1257</v>
      </c>
      <c r="N821" s="36"/>
      <c r="O821" s="36"/>
      <c r="P821" s="36"/>
      <c r="Q821" s="36" t="s">
        <v>2990</v>
      </c>
      <c r="R821" s="150">
        <v>45915</v>
      </c>
      <c r="S821" s="36" t="s">
        <v>211</v>
      </c>
      <c r="T821" s="47" t="s">
        <v>275</v>
      </c>
      <c r="U821" s="146"/>
    </row>
    <row r="822" spans="1:21" ht="30" x14ac:dyDescent="0.25">
      <c r="A822" s="47"/>
      <c r="B822" s="108"/>
      <c r="C822" s="47" t="s">
        <v>275</v>
      </c>
      <c r="D822" s="3" t="s">
        <v>87</v>
      </c>
      <c r="E822" s="3" t="s">
        <v>2924</v>
      </c>
      <c r="F822" s="3" t="s">
        <v>3074</v>
      </c>
      <c r="G822" s="3" t="s">
        <v>2925</v>
      </c>
      <c r="H822" s="3"/>
      <c r="I822" s="3"/>
      <c r="J822" s="3"/>
      <c r="K822" s="3"/>
      <c r="L822" s="3"/>
      <c r="M822" s="36" t="s">
        <v>1257</v>
      </c>
      <c r="N822" s="36"/>
      <c r="O822" s="36"/>
      <c r="P822" s="36"/>
      <c r="Q822" s="36" t="s">
        <v>2990</v>
      </c>
      <c r="R822" s="150">
        <v>45915</v>
      </c>
      <c r="S822" s="36" t="s">
        <v>211</v>
      </c>
      <c r="T822" s="47" t="s">
        <v>275</v>
      </c>
      <c r="U822" s="146"/>
    </row>
    <row r="823" spans="1:21" ht="30" x14ac:dyDescent="0.25">
      <c r="A823" s="47"/>
      <c r="B823" s="108"/>
      <c r="C823" s="47" t="s">
        <v>275</v>
      </c>
      <c r="D823" s="3" t="s">
        <v>87</v>
      </c>
      <c r="E823" s="3" t="s">
        <v>2673</v>
      </c>
      <c r="F823" s="3" t="s">
        <v>3078</v>
      </c>
      <c r="G823" s="3" t="s">
        <v>2674</v>
      </c>
      <c r="H823" s="3"/>
      <c r="I823" s="3"/>
      <c r="J823" s="3"/>
      <c r="K823" s="3"/>
      <c r="L823" s="3"/>
      <c r="M823" s="36" t="s">
        <v>1257</v>
      </c>
      <c r="N823" s="36"/>
      <c r="O823" s="36"/>
      <c r="P823" s="36"/>
      <c r="Q823" s="36" t="s">
        <v>2991</v>
      </c>
      <c r="R823" s="150">
        <v>45917</v>
      </c>
      <c r="S823" s="36" t="s">
        <v>211</v>
      </c>
      <c r="T823" s="47" t="s">
        <v>275</v>
      </c>
      <c r="U823" s="146" t="s">
        <v>2915</v>
      </c>
    </row>
    <row r="824" spans="1:21" ht="60" x14ac:dyDescent="0.25">
      <c r="A824" s="47"/>
      <c r="B824" s="108"/>
      <c r="C824" s="47" t="s">
        <v>275</v>
      </c>
      <c r="D824" s="3" t="s">
        <v>87</v>
      </c>
      <c r="E824" s="3" t="s">
        <v>2966</v>
      </c>
      <c r="F824" s="3" t="s">
        <v>3077</v>
      </c>
      <c r="G824" s="3" t="s">
        <v>2967</v>
      </c>
      <c r="H824" s="3"/>
      <c r="I824" s="3"/>
      <c r="J824" s="3"/>
      <c r="K824" s="3"/>
      <c r="L824" s="3"/>
      <c r="M824" s="36" t="s">
        <v>1257</v>
      </c>
      <c r="N824" s="36"/>
      <c r="O824" s="36"/>
      <c r="P824" s="36"/>
      <c r="Q824" s="36" t="s">
        <v>2987</v>
      </c>
      <c r="R824" s="150">
        <v>45916</v>
      </c>
      <c r="S824" s="36" t="s">
        <v>211</v>
      </c>
      <c r="T824" s="47" t="s">
        <v>275</v>
      </c>
      <c r="U824" s="146"/>
    </row>
    <row r="825" spans="1:21" ht="45" x14ac:dyDescent="0.25">
      <c r="A825" s="47"/>
      <c r="B825" s="108"/>
      <c r="C825" s="47" t="s">
        <v>275</v>
      </c>
      <c r="D825" s="3" t="s">
        <v>87</v>
      </c>
      <c r="E825" s="3" t="s">
        <v>2878</v>
      </c>
      <c r="F825" s="3" t="s">
        <v>3077</v>
      </c>
      <c r="G825" s="3" t="s">
        <v>2879</v>
      </c>
      <c r="H825" s="3"/>
      <c r="I825" s="3"/>
      <c r="J825" s="3"/>
      <c r="K825" s="3"/>
      <c r="L825" s="3"/>
      <c r="M825" s="36" t="s">
        <v>1257</v>
      </c>
      <c r="N825" s="36"/>
      <c r="O825" s="36"/>
      <c r="P825" s="36"/>
      <c r="Q825" s="36" t="s">
        <v>2935</v>
      </c>
      <c r="R825" s="150">
        <v>45912</v>
      </c>
      <c r="S825" s="36" t="s">
        <v>211</v>
      </c>
      <c r="T825" s="47" t="s">
        <v>275</v>
      </c>
      <c r="U825" s="146" t="s">
        <v>2918</v>
      </c>
    </row>
    <row r="826" spans="1:21" x14ac:dyDescent="0.25">
      <c r="A826" s="47"/>
      <c r="B826" s="108"/>
      <c r="C826" s="47" t="s">
        <v>275</v>
      </c>
      <c r="D826" s="3" t="s">
        <v>87</v>
      </c>
      <c r="E826" s="3" t="s">
        <v>2800</v>
      </c>
      <c r="F826" s="3" t="s">
        <v>3077</v>
      </c>
      <c r="G826" s="3" t="s">
        <v>2801</v>
      </c>
      <c r="H826" s="3"/>
      <c r="I826" s="3"/>
      <c r="J826" s="3"/>
      <c r="K826" s="3"/>
      <c r="L826" s="3"/>
      <c r="M826" s="36" t="s">
        <v>1257</v>
      </c>
      <c r="N826" s="36"/>
      <c r="O826" s="36"/>
      <c r="P826" s="36"/>
      <c r="Q826" s="36" t="s">
        <v>2844</v>
      </c>
      <c r="R826" s="150">
        <v>45905</v>
      </c>
      <c r="S826" s="36" t="s">
        <v>211</v>
      </c>
      <c r="T826" s="47" t="s">
        <v>275</v>
      </c>
      <c r="U826" s="146" t="s">
        <v>275</v>
      </c>
    </row>
    <row r="827" spans="1:21" x14ac:dyDescent="0.25">
      <c r="A827" s="47"/>
      <c r="B827" s="108"/>
      <c r="C827" s="47" t="s">
        <v>275</v>
      </c>
      <c r="D827" s="3" t="s">
        <v>87</v>
      </c>
      <c r="E827" s="3" t="s">
        <v>2837</v>
      </c>
      <c r="F827" s="3" t="s">
        <v>3074</v>
      </c>
      <c r="G827" s="3" t="s">
        <v>2838</v>
      </c>
      <c r="H827" s="3"/>
      <c r="I827" s="3"/>
      <c r="J827" s="3"/>
      <c r="K827" s="3"/>
      <c r="L827" s="3"/>
      <c r="M827" s="36" t="s">
        <v>1257</v>
      </c>
      <c r="N827" s="36"/>
      <c r="O827" s="36"/>
      <c r="P827" s="36"/>
      <c r="Q827" s="47"/>
      <c r="R827" s="150">
        <v>45905</v>
      </c>
      <c r="S827" s="36" t="s">
        <v>211</v>
      </c>
      <c r="T827" s="47" t="s">
        <v>275</v>
      </c>
      <c r="U827" s="146" t="s">
        <v>2921</v>
      </c>
    </row>
    <row r="828" spans="1:21" ht="30" x14ac:dyDescent="0.25">
      <c r="A828" s="47"/>
      <c r="B828" s="108"/>
      <c r="C828" s="47" t="s">
        <v>275</v>
      </c>
      <c r="D828" s="3" t="s">
        <v>87</v>
      </c>
      <c r="E828" s="3" t="s">
        <v>2654</v>
      </c>
      <c r="F828" s="3" t="s">
        <v>3077</v>
      </c>
      <c r="G828" s="3" t="s">
        <v>2655</v>
      </c>
      <c r="H828" s="3"/>
      <c r="I828" s="3"/>
      <c r="J828" s="3"/>
      <c r="K828" s="3"/>
      <c r="L828" s="3"/>
      <c r="M828" s="36" t="s">
        <v>1257</v>
      </c>
      <c r="N828" s="36"/>
      <c r="O828" s="36"/>
      <c r="P828" s="36"/>
      <c r="Q828" s="36" t="s">
        <v>2724</v>
      </c>
      <c r="R828" s="150">
        <v>45896</v>
      </c>
      <c r="S828" s="36" t="s">
        <v>211</v>
      </c>
      <c r="T828" s="47" t="s">
        <v>275</v>
      </c>
      <c r="U828" s="146" t="s">
        <v>275</v>
      </c>
    </row>
    <row r="829" spans="1:21" ht="45" x14ac:dyDescent="0.25">
      <c r="A829" s="47"/>
      <c r="B829" s="108"/>
      <c r="C829" s="47" t="s">
        <v>275</v>
      </c>
      <c r="D829" s="3" t="s">
        <v>87</v>
      </c>
      <c r="E829" s="3" t="s">
        <v>1660</v>
      </c>
      <c r="F829" s="3" t="s">
        <v>3079</v>
      </c>
      <c r="G829" s="3" t="s">
        <v>2054</v>
      </c>
      <c r="H829" s="3"/>
      <c r="I829" s="3"/>
      <c r="J829" s="3"/>
      <c r="K829" s="3"/>
      <c r="L829" s="3"/>
      <c r="M829" s="36" t="s">
        <v>1257</v>
      </c>
      <c r="N829" s="36"/>
      <c r="O829" s="36" t="s">
        <v>23</v>
      </c>
      <c r="P829" s="36" t="s">
        <v>23</v>
      </c>
      <c r="Q829" s="36" t="s">
        <v>1693</v>
      </c>
      <c r="R829" s="150">
        <v>45824</v>
      </c>
      <c r="S829" s="36" t="s">
        <v>50</v>
      </c>
      <c r="T829" s="47" t="s">
        <v>275</v>
      </c>
      <c r="U829" s="146" t="s">
        <v>2178</v>
      </c>
    </row>
    <row r="830" spans="1:21" ht="60" x14ac:dyDescent="0.25">
      <c r="A830" s="47"/>
      <c r="B830" s="108"/>
      <c r="C830" s="47" t="s">
        <v>275</v>
      </c>
      <c r="D830" s="3" t="s">
        <v>87</v>
      </c>
      <c r="E830" s="3" t="s">
        <v>2494</v>
      </c>
      <c r="F830" s="3" t="s">
        <v>114</v>
      </c>
      <c r="G830" s="3" t="s">
        <v>2495</v>
      </c>
      <c r="H830" s="3"/>
      <c r="I830" s="3"/>
      <c r="J830" s="3"/>
      <c r="K830" s="3"/>
      <c r="L830" s="3"/>
      <c r="M830" s="36" t="s">
        <v>1257</v>
      </c>
      <c r="N830" s="36"/>
      <c r="O830" s="36" t="s">
        <v>23</v>
      </c>
      <c r="P830" s="36"/>
      <c r="Q830" s="36" t="s">
        <v>2508</v>
      </c>
      <c r="R830" s="150">
        <v>45866</v>
      </c>
      <c r="S830" s="36" t="s">
        <v>50</v>
      </c>
      <c r="T830" s="47" t="s">
        <v>275</v>
      </c>
      <c r="U830" s="146" t="s">
        <v>275</v>
      </c>
    </row>
    <row r="831" spans="1:21" ht="30" x14ac:dyDescent="0.25">
      <c r="A831" s="47"/>
      <c r="B831" s="108">
        <v>3</v>
      </c>
      <c r="C831" s="47" t="s">
        <v>275</v>
      </c>
      <c r="D831" s="3" t="s">
        <v>87</v>
      </c>
      <c r="E831" s="3" t="s">
        <v>1684</v>
      </c>
      <c r="F831" s="3" t="s">
        <v>88</v>
      </c>
      <c r="G831" s="3" t="s">
        <v>2046</v>
      </c>
      <c r="H831" s="3"/>
      <c r="I831" s="3"/>
      <c r="J831" s="3"/>
      <c r="K831" s="3"/>
      <c r="L831" s="3"/>
      <c r="M831" s="36" t="s">
        <v>1257</v>
      </c>
      <c r="N831" s="36" t="s">
        <v>23</v>
      </c>
      <c r="O831" s="36"/>
      <c r="P831" s="36"/>
      <c r="Q831" s="36" t="s">
        <v>2417</v>
      </c>
      <c r="R831" s="150">
        <v>45856</v>
      </c>
      <c r="S831" s="36" t="s">
        <v>239</v>
      </c>
      <c r="T831" s="47" t="s">
        <v>275</v>
      </c>
      <c r="U831" s="146" t="s">
        <v>2169</v>
      </c>
    </row>
    <row r="832" spans="1:21" ht="30" x14ac:dyDescent="0.25">
      <c r="A832" s="47"/>
      <c r="B832" s="108"/>
      <c r="C832" s="47" t="s">
        <v>275</v>
      </c>
      <c r="D832" s="3" t="s">
        <v>87</v>
      </c>
      <c r="E832" s="3" t="s">
        <v>2300</v>
      </c>
      <c r="F832" s="3" t="s">
        <v>114</v>
      </c>
      <c r="G832" s="3" t="s">
        <v>2316</v>
      </c>
      <c r="H832" s="3"/>
      <c r="I832" s="3"/>
      <c r="J832" s="3"/>
      <c r="K832" s="3"/>
      <c r="L832" s="3"/>
      <c r="M832" s="36" t="s">
        <v>1257</v>
      </c>
      <c r="N832" s="36"/>
      <c r="O832" s="36" t="s">
        <v>23</v>
      </c>
      <c r="P832" s="36"/>
      <c r="Q832" s="36" t="s">
        <v>2366</v>
      </c>
      <c r="R832" s="150">
        <v>45846</v>
      </c>
      <c r="S832" s="36" t="s">
        <v>1074</v>
      </c>
      <c r="T832" s="47" t="s">
        <v>275</v>
      </c>
      <c r="U832" s="146" t="s">
        <v>2304</v>
      </c>
    </row>
    <row r="833" spans="1:21" ht="30" x14ac:dyDescent="0.25">
      <c r="A833" s="47"/>
      <c r="B833" s="108">
        <v>2</v>
      </c>
      <c r="C833" s="47" t="s">
        <v>275</v>
      </c>
      <c r="D833" s="3" t="s">
        <v>87</v>
      </c>
      <c r="E833" s="3" t="s">
        <v>1402</v>
      </c>
      <c r="F833" s="3" t="s">
        <v>3076</v>
      </c>
      <c r="G833" s="3" t="s">
        <v>2053</v>
      </c>
      <c r="H833" s="3"/>
      <c r="I833" s="3"/>
      <c r="J833" s="3"/>
      <c r="K833" s="3"/>
      <c r="L833" s="3"/>
      <c r="M833" s="36" t="s">
        <v>1257</v>
      </c>
      <c r="N833" s="36"/>
      <c r="O833" s="36"/>
      <c r="P833" s="36"/>
      <c r="Q833" s="36" t="s">
        <v>2416</v>
      </c>
      <c r="R833" s="150">
        <v>45855</v>
      </c>
      <c r="S833" s="36" t="s">
        <v>203</v>
      </c>
      <c r="T833" s="47" t="s">
        <v>275</v>
      </c>
      <c r="U833" s="146" t="s">
        <v>2177</v>
      </c>
    </row>
    <row r="834" spans="1:21" ht="75" x14ac:dyDescent="0.25">
      <c r="A834" s="47"/>
      <c r="B834" s="108"/>
      <c r="C834" s="47" t="s">
        <v>275</v>
      </c>
      <c r="D834" s="3" t="s">
        <v>87</v>
      </c>
      <c r="E834" s="3" t="s">
        <v>2253</v>
      </c>
      <c r="F834" s="3" t="s">
        <v>3074</v>
      </c>
      <c r="G834" s="3" t="s">
        <v>2274</v>
      </c>
      <c r="H834" s="3"/>
      <c r="I834" s="3"/>
      <c r="J834" s="3"/>
      <c r="K834" s="3"/>
      <c r="L834" s="3"/>
      <c r="M834" s="36" t="s">
        <v>1257</v>
      </c>
      <c r="N834" s="36"/>
      <c r="O834" s="36"/>
      <c r="P834" s="36"/>
      <c r="Q834" s="36" t="s">
        <v>2326</v>
      </c>
      <c r="R834" s="150">
        <v>45846</v>
      </c>
      <c r="S834" s="36" t="s">
        <v>239</v>
      </c>
      <c r="T834" s="47" t="s">
        <v>275</v>
      </c>
      <c r="U834" s="146" t="s">
        <v>2277</v>
      </c>
    </row>
    <row r="835" spans="1:21" ht="120" x14ac:dyDescent="0.25">
      <c r="A835" s="47"/>
      <c r="B835" s="108"/>
      <c r="C835" s="47" t="s">
        <v>275</v>
      </c>
      <c r="D835" s="3" t="s">
        <v>87</v>
      </c>
      <c r="E835" s="3" t="s">
        <v>2200</v>
      </c>
      <c r="F835" s="3" t="s">
        <v>3075</v>
      </c>
      <c r="G835" s="3" t="s">
        <v>2199</v>
      </c>
      <c r="H835" s="3"/>
      <c r="I835" s="3"/>
      <c r="J835" s="3"/>
      <c r="K835" s="3"/>
      <c r="L835" s="3"/>
      <c r="M835" s="36" t="s">
        <v>1257</v>
      </c>
      <c r="N835" s="36"/>
      <c r="O835" s="36"/>
      <c r="P835" s="36"/>
      <c r="Q835" s="36" t="s">
        <v>2264</v>
      </c>
      <c r="R835" s="150">
        <v>45838</v>
      </c>
      <c r="S835" s="36" t="s">
        <v>2262</v>
      </c>
      <c r="T835" s="47" t="s">
        <v>275</v>
      </c>
      <c r="U835" s="146" t="s">
        <v>2201</v>
      </c>
    </row>
    <row r="836" spans="1:21" ht="30" x14ac:dyDescent="0.25">
      <c r="A836" s="47"/>
      <c r="B836" s="108">
        <v>2</v>
      </c>
      <c r="C836" s="47" t="s">
        <v>275</v>
      </c>
      <c r="D836" s="3" t="s">
        <v>87</v>
      </c>
      <c r="E836" s="3" t="s">
        <v>1470</v>
      </c>
      <c r="F836" s="3" t="s">
        <v>3076</v>
      </c>
      <c r="G836" s="3" t="s">
        <v>2052</v>
      </c>
      <c r="H836" s="3"/>
      <c r="I836" s="3"/>
      <c r="J836" s="3"/>
      <c r="K836" s="3"/>
      <c r="L836" s="3"/>
      <c r="M836" s="36" t="s">
        <v>1257</v>
      </c>
      <c r="N836" s="36"/>
      <c r="O836" s="36"/>
      <c r="P836" s="36"/>
      <c r="Q836" s="36" t="s">
        <v>1708</v>
      </c>
      <c r="R836" s="117">
        <v>45824</v>
      </c>
      <c r="S836" s="36" t="s">
        <v>1074</v>
      </c>
      <c r="T836" s="47" t="s">
        <v>275</v>
      </c>
      <c r="U836" s="146" t="s">
        <v>2176</v>
      </c>
    </row>
    <row r="837" spans="1:21" ht="45" x14ac:dyDescent="0.25">
      <c r="A837" s="47"/>
      <c r="B837" s="108">
        <v>3</v>
      </c>
      <c r="C837" s="47" t="s">
        <v>275</v>
      </c>
      <c r="D837" s="3" t="s">
        <v>87</v>
      </c>
      <c r="E837" s="3" t="s">
        <v>1467</v>
      </c>
      <c r="F837" s="3" t="s">
        <v>3079</v>
      </c>
      <c r="G837" s="3" t="s">
        <v>2055</v>
      </c>
      <c r="H837" s="3"/>
      <c r="I837" s="3"/>
      <c r="J837" s="3"/>
      <c r="K837" s="3"/>
      <c r="L837" s="3"/>
      <c r="M837" s="36" t="s">
        <v>1257</v>
      </c>
      <c r="N837" s="36"/>
      <c r="O837" s="36" t="s">
        <v>23</v>
      </c>
      <c r="P837" s="36" t="s">
        <v>23</v>
      </c>
      <c r="Q837" s="36" t="s">
        <v>1693</v>
      </c>
      <c r="R837" s="150">
        <v>45824</v>
      </c>
      <c r="S837" s="36" t="s">
        <v>50</v>
      </c>
      <c r="T837" s="47" t="s">
        <v>275</v>
      </c>
      <c r="U837" s="146" t="s">
        <v>2179</v>
      </c>
    </row>
    <row r="838" spans="1:21" ht="30" x14ac:dyDescent="0.25">
      <c r="A838" s="47"/>
      <c r="B838" s="108">
        <v>2</v>
      </c>
      <c r="C838" s="47" t="s">
        <v>275</v>
      </c>
      <c r="D838" s="3" t="s">
        <v>87</v>
      </c>
      <c r="E838" s="3" t="s">
        <v>1097</v>
      </c>
      <c r="F838" s="3" t="s">
        <v>114</v>
      </c>
      <c r="G838" s="3" t="s">
        <v>2056</v>
      </c>
      <c r="H838" s="3"/>
      <c r="I838" s="3"/>
      <c r="J838" s="3"/>
      <c r="K838" s="3"/>
      <c r="L838" s="3"/>
      <c r="M838" s="36" t="s">
        <v>1257</v>
      </c>
      <c r="N838" s="36" t="s">
        <v>23</v>
      </c>
      <c r="O838" s="36"/>
      <c r="P838" s="36"/>
      <c r="Q838" s="36" t="s">
        <v>2263</v>
      </c>
      <c r="R838" s="150">
        <v>45782</v>
      </c>
      <c r="S838" s="36" t="s">
        <v>302</v>
      </c>
      <c r="T838" s="47" t="s">
        <v>275</v>
      </c>
      <c r="U838" s="146" t="s">
        <v>2180</v>
      </c>
    </row>
    <row r="839" spans="1:21" ht="30" x14ac:dyDescent="0.25">
      <c r="A839" s="47"/>
      <c r="B839" s="108">
        <v>2</v>
      </c>
      <c r="C839" s="47" t="s">
        <v>275</v>
      </c>
      <c r="D839" s="3" t="s">
        <v>87</v>
      </c>
      <c r="E839" s="3" t="s">
        <v>1098</v>
      </c>
      <c r="F839" s="3" t="s">
        <v>114</v>
      </c>
      <c r="G839" s="3" t="s">
        <v>2057</v>
      </c>
      <c r="H839" s="3"/>
      <c r="I839" s="3"/>
      <c r="J839" s="3"/>
      <c r="K839" s="3"/>
      <c r="L839" s="3"/>
      <c r="M839" s="36" t="s">
        <v>1257</v>
      </c>
      <c r="N839" s="36" t="s">
        <v>23</v>
      </c>
      <c r="O839" s="36"/>
      <c r="P839" s="36"/>
      <c r="Q839" s="36" t="s">
        <v>2263</v>
      </c>
      <c r="R839" s="150">
        <v>45782</v>
      </c>
      <c r="S839" s="36" t="s">
        <v>302</v>
      </c>
      <c r="T839" s="47" t="s">
        <v>275</v>
      </c>
      <c r="U839" s="146" t="s">
        <v>2181</v>
      </c>
    </row>
    <row r="840" spans="1:21" ht="135" x14ac:dyDescent="0.25">
      <c r="A840" s="47"/>
      <c r="B840" s="108">
        <v>1</v>
      </c>
      <c r="C840" s="47" t="s">
        <v>275</v>
      </c>
      <c r="D840" s="3" t="s">
        <v>87</v>
      </c>
      <c r="E840" s="3" t="s">
        <v>1050</v>
      </c>
      <c r="F840" s="3" t="s">
        <v>114</v>
      </c>
      <c r="G840" s="3" t="s">
        <v>2050</v>
      </c>
      <c r="H840" s="3"/>
      <c r="I840" s="3"/>
      <c r="J840" s="3"/>
      <c r="K840" s="3"/>
      <c r="L840" s="3"/>
      <c r="M840" s="36" t="s">
        <v>1257</v>
      </c>
      <c r="N840" s="36" t="s">
        <v>23</v>
      </c>
      <c r="O840" s="36"/>
      <c r="P840" s="36"/>
      <c r="Q840" s="36" t="s">
        <v>1672</v>
      </c>
      <c r="R840" s="150">
        <v>45817</v>
      </c>
      <c r="S840" s="36" t="s">
        <v>1645</v>
      </c>
      <c r="T840" s="47" t="s">
        <v>275</v>
      </c>
      <c r="U840" s="146" t="s">
        <v>275</v>
      </c>
    </row>
    <row r="841" spans="1:21" ht="30" x14ac:dyDescent="0.25">
      <c r="A841" s="109"/>
      <c r="B841" s="109">
        <v>2</v>
      </c>
      <c r="C841" s="109" t="s">
        <v>275</v>
      </c>
      <c r="D841" s="109" t="s">
        <v>87</v>
      </c>
      <c r="E841" s="109" t="s">
        <v>1338</v>
      </c>
      <c r="F841" s="109" t="s">
        <v>3078</v>
      </c>
      <c r="G841" s="109" t="s">
        <v>2058</v>
      </c>
      <c r="H841" s="109"/>
      <c r="I841" s="109"/>
      <c r="J841" s="109"/>
      <c r="K841" s="109"/>
      <c r="L841" s="109"/>
      <c r="M841" s="109" t="s">
        <v>1257</v>
      </c>
      <c r="N841" s="109"/>
      <c r="O841" s="109" t="s">
        <v>23</v>
      </c>
      <c r="P841" s="109" t="s">
        <v>23</v>
      </c>
      <c r="Q841" s="109" t="s">
        <v>1608</v>
      </c>
      <c r="R841" s="117">
        <v>45814</v>
      </c>
      <c r="S841" s="109" t="s">
        <v>50</v>
      </c>
      <c r="T841" s="109" t="s">
        <v>275</v>
      </c>
      <c r="U841" s="138" t="s">
        <v>2182</v>
      </c>
    </row>
    <row r="842" spans="1:21" ht="45" x14ac:dyDescent="0.25">
      <c r="A842" s="47"/>
      <c r="B842" s="108">
        <v>3</v>
      </c>
      <c r="C842" s="47" t="s">
        <v>275</v>
      </c>
      <c r="D842" s="3" t="s">
        <v>87</v>
      </c>
      <c r="E842" s="3" t="s">
        <v>1447</v>
      </c>
      <c r="F842" s="3" t="s">
        <v>97</v>
      </c>
      <c r="G842" s="3" t="s">
        <v>2059</v>
      </c>
      <c r="H842" s="3"/>
      <c r="I842" s="3"/>
      <c r="J842" s="3"/>
      <c r="K842" s="3"/>
      <c r="L842" s="3"/>
      <c r="M842" s="36" t="s">
        <v>1257</v>
      </c>
      <c r="N842" s="36"/>
      <c r="O842" s="36"/>
      <c r="P842" s="36"/>
      <c r="Q842" s="36" t="s">
        <v>1494</v>
      </c>
      <c r="R842" s="150"/>
      <c r="S842" s="36"/>
      <c r="T842" s="47" t="s">
        <v>275</v>
      </c>
      <c r="U842" s="146" t="s">
        <v>2183</v>
      </c>
    </row>
    <row r="843" spans="1:21" ht="30" x14ac:dyDescent="0.25">
      <c r="A843" s="109"/>
      <c r="B843" s="109">
        <v>4</v>
      </c>
      <c r="C843" s="109" t="s">
        <v>275</v>
      </c>
      <c r="D843" s="109" t="s">
        <v>87</v>
      </c>
      <c r="E843" s="109" t="s">
        <v>1379</v>
      </c>
      <c r="F843" s="109" t="s">
        <v>96</v>
      </c>
      <c r="G843" s="109" t="s">
        <v>2060</v>
      </c>
      <c r="H843" s="109"/>
      <c r="I843" s="109"/>
      <c r="J843" s="109"/>
      <c r="K843" s="109"/>
      <c r="L843" s="109"/>
      <c r="M843" s="110" t="s">
        <v>1257</v>
      </c>
      <c r="N843" s="110"/>
      <c r="O843" s="110"/>
      <c r="P843" s="110"/>
      <c r="Q843" s="110" t="s">
        <v>1373</v>
      </c>
      <c r="R843" s="117">
        <v>45791</v>
      </c>
      <c r="S843" s="110" t="s">
        <v>239</v>
      </c>
      <c r="T843" s="109" t="s">
        <v>275</v>
      </c>
      <c r="U843" s="138" t="s">
        <v>2184</v>
      </c>
    </row>
    <row r="844" spans="1:21" ht="30" x14ac:dyDescent="0.25">
      <c r="A844" s="47"/>
      <c r="B844" s="108">
        <v>4</v>
      </c>
      <c r="C844" s="47" t="s">
        <v>275</v>
      </c>
      <c r="D844" s="3" t="s">
        <v>87</v>
      </c>
      <c r="E844" s="3" t="s">
        <v>926</v>
      </c>
      <c r="F844" s="3" t="s">
        <v>3079</v>
      </c>
      <c r="G844" s="3" t="s">
        <v>2061</v>
      </c>
      <c r="H844" s="3"/>
      <c r="I844" s="3"/>
      <c r="J844" s="3"/>
      <c r="K844" s="3"/>
      <c r="L844" s="3"/>
      <c r="M844" s="36" t="s">
        <v>1257</v>
      </c>
      <c r="N844" s="36" t="s">
        <v>23</v>
      </c>
      <c r="O844" s="36"/>
      <c r="P844" s="36"/>
      <c r="Q844" s="36" t="s">
        <v>1301</v>
      </c>
      <c r="R844" s="150"/>
      <c r="S844" s="36"/>
      <c r="T844" s="47" t="s">
        <v>275</v>
      </c>
      <c r="U844" s="146" t="s">
        <v>2185</v>
      </c>
    </row>
    <row r="845" spans="1:21" ht="30" x14ac:dyDescent="0.25">
      <c r="A845" s="109"/>
      <c r="B845" s="109">
        <v>4</v>
      </c>
      <c r="C845" s="109" t="s">
        <v>275</v>
      </c>
      <c r="D845" s="109" t="s">
        <v>87</v>
      </c>
      <c r="E845" s="109" t="s">
        <v>938</v>
      </c>
      <c r="F845" s="109" t="s">
        <v>3075</v>
      </c>
      <c r="G845" s="109" t="s">
        <v>2062</v>
      </c>
      <c r="H845" s="109"/>
      <c r="I845" s="109"/>
      <c r="J845" s="109"/>
      <c r="K845" s="109"/>
      <c r="L845" s="109"/>
      <c r="M845" s="109" t="s">
        <v>1257</v>
      </c>
      <c r="N845" s="109"/>
      <c r="O845" s="109"/>
      <c r="P845" s="109"/>
      <c r="Q845" s="109"/>
      <c r="R845" s="117"/>
      <c r="S845" s="109"/>
      <c r="T845" s="109" t="s">
        <v>275</v>
      </c>
      <c r="U845" s="109" t="s">
        <v>2186</v>
      </c>
    </row>
    <row r="846" spans="1:21" ht="30" x14ac:dyDescent="0.25">
      <c r="A846" s="47"/>
      <c r="B846" s="108">
        <v>4</v>
      </c>
      <c r="C846" s="47" t="s">
        <v>275</v>
      </c>
      <c r="D846" s="3" t="s">
        <v>87</v>
      </c>
      <c r="E846" s="3" t="s">
        <v>815</v>
      </c>
      <c r="F846" s="3" t="s">
        <v>93</v>
      </c>
      <c r="G846" s="3" t="s">
        <v>2063</v>
      </c>
      <c r="H846" s="3"/>
      <c r="I846" s="3"/>
      <c r="J846" s="3"/>
      <c r="K846" s="3"/>
      <c r="L846" s="3"/>
      <c r="M846" s="36" t="s">
        <v>1257</v>
      </c>
      <c r="N846" s="36" t="s">
        <v>23</v>
      </c>
      <c r="O846" s="36"/>
      <c r="P846" s="36"/>
      <c r="Q846" s="36" t="s">
        <v>1191</v>
      </c>
      <c r="R846" s="150">
        <v>45775</v>
      </c>
      <c r="S846" s="36" t="s">
        <v>1186</v>
      </c>
      <c r="T846" s="47" t="s">
        <v>275</v>
      </c>
      <c r="U846" s="146" t="s">
        <v>2187</v>
      </c>
    </row>
    <row r="847" spans="1:21" x14ac:dyDescent="0.25">
      <c r="A847" s="109"/>
      <c r="B847" s="109">
        <v>4</v>
      </c>
      <c r="C847" s="109" t="s">
        <v>275</v>
      </c>
      <c r="D847" s="109" t="s">
        <v>87</v>
      </c>
      <c r="E847" s="109" t="s">
        <v>1067</v>
      </c>
      <c r="F847" s="109" t="s">
        <v>88</v>
      </c>
      <c r="G847" s="109" t="s">
        <v>2064</v>
      </c>
      <c r="H847" s="109"/>
      <c r="I847" s="109"/>
      <c r="J847" s="109"/>
      <c r="K847" s="109"/>
      <c r="L847" s="109"/>
      <c r="M847" s="109" t="s">
        <v>1257</v>
      </c>
      <c r="N847" s="109"/>
      <c r="O847" s="109"/>
      <c r="P847" s="109"/>
      <c r="Q847" s="109" t="s">
        <v>1120</v>
      </c>
      <c r="R847" s="117"/>
      <c r="S847" s="109"/>
      <c r="T847" s="109" t="s">
        <v>275</v>
      </c>
      <c r="U847" s="109" t="s">
        <v>2155</v>
      </c>
    </row>
    <row r="848" spans="1:21" ht="30" x14ac:dyDescent="0.25">
      <c r="A848" s="47"/>
      <c r="B848" s="108">
        <v>4</v>
      </c>
      <c r="C848" s="47" t="s">
        <v>275</v>
      </c>
      <c r="D848" s="3" t="s">
        <v>87</v>
      </c>
      <c r="E848" s="3" t="s">
        <v>1064</v>
      </c>
      <c r="F848" s="3" t="s">
        <v>3076</v>
      </c>
      <c r="G848" s="3" t="s">
        <v>2065</v>
      </c>
      <c r="H848" s="3"/>
      <c r="I848" s="3"/>
      <c r="J848" s="3"/>
      <c r="K848" s="3"/>
      <c r="L848" s="3"/>
      <c r="M848" s="36" t="s">
        <v>1257</v>
      </c>
      <c r="N848" s="36"/>
      <c r="O848" s="36"/>
      <c r="P848" s="36"/>
      <c r="Q848" s="36" t="s">
        <v>1052</v>
      </c>
      <c r="R848" s="150">
        <v>45715</v>
      </c>
      <c r="S848" s="36" t="s">
        <v>102</v>
      </c>
      <c r="T848" s="47" t="s">
        <v>275</v>
      </c>
      <c r="U848" s="146" t="s">
        <v>275</v>
      </c>
    </row>
    <row r="849" spans="1:21" ht="45" x14ac:dyDescent="0.25">
      <c r="A849" s="109"/>
      <c r="B849" s="109">
        <v>4</v>
      </c>
      <c r="C849" s="109" t="s">
        <v>275</v>
      </c>
      <c r="D849" s="109" t="s">
        <v>87</v>
      </c>
      <c r="E849" s="109" t="s">
        <v>1051</v>
      </c>
      <c r="F849" s="109" t="s">
        <v>3076</v>
      </c>
      <c r="G849" s="109" t="s">
        <v>2066</v>
      </c>
      <c r="H849" s="109"/>
      <c r="I849" s="109"/>
      <c r="J849" s="109"/>
      <c r="K849" s="109"/>
      <c r="L849" s="109"/>
      <c r="M849" s="109" t="s">
        <v>1257</v>
      </c>
      <c r="N849" s="109"/>
      <c r="O849" s="109"/>
      <c r="P849" s="109"/>
      <c r="Q849" s="109" t="s">
        <v>1382</v>
      </c>
      <c r="R849" s="117">
        <v>45756</v>
      </c>
      <c r="S849" s="109" t="s">
        <v>1048</v>
      </c>
      <c r="T849" s="109" t="s">
        <v>275</v>
      </c>
      <c r="U849" s="109" t="s">
        <v>275</v>
      </c>
    </row>
    <row r="850" spans="1:21" ht="30" x14ac:dyDescent="0.25">
      <c r="A850" s="47"/>
      <c r="B850" s="108">
        <v>4</v>
      </c>
      <c r="C850" s="47" t="s">
        <v>275</v>
      </c>
      <c r="D850" s="3" t="s">
        <v>87</v>
      </c>
      <c r="E850" s="3" t="s">
        <v>676</v>
      </c>
      <c r="F850" s="3" t="s">
        <v>96</v>
      </c>
      <c r="G850" s="3" t="s">
        <v>2067</v>
      </c>
      <c r="H850" s="3"/>
      <c r="I850" s="3"/>
      <c r="J850" s="3"/>
      <c r="K850" s="3"/>
      <c r="L850" s="3"/>
      <c r="M850" s="36" t="s">
        <v>1257</v>
      </c>
      <c r="N850" s="36"/>
      <c r="O850" s="36"/>
      <c r="P850" s="36"/>
      <c r="Q850" s="36" t="s">
        <v>881</v>
      </c>
      <c r="R850" s="150">
        <v>45726</v>
      </c>
      <c r="S850" s="36" t="s">
        <v>211</v>
      </c>
      <c r="T850" s="47" t="s">
        <v>275</v>
      </c>
      <c r="U850" s="146" t="s">
        <v>275</v>
      </c>
    </row>
    <row r="851" spans="1:21" ht="30" x14ac:dyDescent="0.25">
      <c r="A851" s="109"/>
      <c r="B851" s="109">
        <v>4</v>
      </c>
      <c r="C851" s="109" t="s">
        <v>275</v>
      </c>
      <c r="D851" s="109" t="s">
        <v>87</v>
      </c>
      <c r="E851" s="109" t="s">
        <v>796</v>
      </c>
      <c r="F851" s="109" t="s">
        <v>3078</v>
      </c>
      <c r="G851" s="109" t="s">
        <v>2068</v>
      </c>
      <c r="H851" s="109"/>
      <c r="I851" s="109"/>
      <c r="J851" s="109"/>
      <c r="K851" s="109"/>
      <c r="L851" s="109"/>
      <c r="M851" s="110" t="s">
        <v>1257</v>
      </c>
      <c r="N851" s="110"/>
      <c r="O851" s="110"/>
      <c r="P851" s="110"/>
      <c r="Q851" s="110" t="s">
        <v>835</v>
      </c>
      <c r="R851" s="117">
        <v>45720</v>
      </c>
      <c r="S851" s="110" t="s">
        <v>616</v>
      </c>
      <c r="T851" s="109" t="s">
        <v>275</v>
      </c>
      <c r="U851" s="138" t="s">
        <v>275</v>
      </c>
    </row>
    <row r="852" spans="1:21" ht="30" x14ac:dyDescent="0.25">
      <c r="A852" s="47"/>
      <c r="B852" s="108">
        <v>4</v>
      </c>
      <c r="C852" s="47" t="s">
        <v>275</v>
      </c>
      <c r="D852" s="3" t="s">
        <v>87</v>
      </c>
      <c r="E852" s="3" t="s">
        <v>795</v>
      </c>
      <c r="F852" s="3" t="s">
        <v>3075</v>
      </c>
      <c r="G852" s="3" t="s">
        <v>2069</v>
      </c>
      <c r="H852" s="3"/>
      <c r="I852" s="3"/>
      <c r="J852" s="3"/>
      <c r="K852" s="3"/>
      <c r="L852" s="3"/>
      <c r="M852" s="36" t="s">
        <v>1257</v>
      </c>
      <c r="N852" s="36"/>
      <c r="O852" s="36"/>
      <c r="P852" s="36"/>
      <c r="Q852" s="36" t="s">
        <v>814</v>
      </c>
      <c r="R852" s="150">
        <v>45719</v>
      </c>
      <c r="S852" s="36" t="s">
        <v>616</v>
      </c>
      <c r="T852" s="47" t="s">
        <v>275</v>
      </c>
      <c r="U852" s="146" t="s">
        <v>275</v>
      </c>
    </row>
    <row r="853" spans="1:21" ht="30" x14ac:dyDescent="0.25">
      <c r="A853" s="109"/>
      <c r="B853" s="109">
        <v>4</v>
      </c>
      <c r="C853" s="109" t="s">
        <v>275</v>
      </c>
      <c r="D853" s="109" t="s">
        <v>87</v>
      </c>
      <c r="E853" s="109" t="s">
        <v>749</v>
      </c>
      <c r="F853" s="109" t="s">
        <v>3075</v>
      </c>
      <c r="G853" s="109" t="s">
        <v>2070</v>
      </c>
      <c r="H853" s="109"/>
      <c r="I853" s="109"/>
      <c r="J853" s="109"/>
      <c r="K853" s="109"/>
      <c r="L853" s="109"/>
      <c r="M853" s="109" t="s">
        <v>1257</v>
      </c>
      <c r="N853" s="109" t="s">
        <v>23</v>
      </c>
      <c r="O853" s="109"/>
      <c r="P853" s="109"/>
      <c r="Q853" s="109" t="s">
        <v>738</v>
      </c>
      <c r="R853" s="117">
        <v>45707</v>
      </c>
      <c r="S853" s="109" t="s">
        <v>150</v>
      </c>
      <c r="T853" s="109" t="s">
        <v>275</v>
      </c>
      <c r="U853" s="109" t="s">
        <v>275</v>
      </c>
    </row>
    <row r="854" spans="1:21" ht="30" x14ac:dyDescent="0.25">
      <c r="A854" s="109"/>
      <c r="B854" s="109">
        <v>4</v>
      </c>
      <c r="C854" s="109" t="s">
        <v>275</v>
      </c>
      <c r="D854" s="109" t="s">
        <v>87</v>
      </c>
      <c r="E854" s="109" t="s">
        <v>637</v>
      </c>
      <c r="F854" s="109" t="s">
        <v>92</v>
      </c>
      <c r="G854" s="109" t="s">
        <v>2071</v>
      </c>
      <c r="H854" s="109"/>
      <c r="I854" s="109"/>
      <c r="J854" s="109"/>
      <c r="K854" s="109"/>
      <c r="L854" s="109"/>
      <c r="M854" s="109" t="s">
        <v>1257</v>
      </c>
      <c r="N854" s="109" t="s">
        <v>23</v>
      </c>
      <c r="O854" s="109" t="s">
        <v>23</v>
      </c>
      <c r="P854" s="109"/>
      <c r="Q854" s="109" t="s">
        <v>703</v>
      </c>
      <c r="R854" s="117">
        <v>45694</v>
      </c>
      <c r="S854" s="109" t="s">
        <v>50</v>
      </c>
      <c r="T854" s="109" t="s">
        <v>275</v>
      </c>
      <c r="U854" s="109" t="s">
        <v>275</v>
      </c>
    </row>
    <row r="855" spans="1:21" ht="30" x14ac:dyDescent="0.25">
      <c r="A855" s="109"/>
      <c r="B855" s="109">
        <v>4</v>
      </c>
      <c r="C855" s="109" t="s">
        <v>275</v>
      </c>
      <c r="D855" s="109" t="s">
        <v>87</v>
      </c>
      <c r="E855" s="109" t="s">
        <v>508</v>
      </c>
      <c r="F855" s="109" t="s">
        <v>97</v>
      </c>
      <c r="G855" s="109" t="s">
        <v>2072</v>
      </c>
      <c r="H855" s="109"/>
      <c r="I855" s="109"/>
      <c r="J855" s="109"/>
      <c r="K855" s="109"/>
      <c r="L855" s="109"/>
      <c r="M855" s="109" t="s">
        <v>1257</v>
      </c>
      <c r="N855" s="109"/>
      <c r="O855" s="109" t="s">
        <v>23</v>
      </c>
      <c r="P855" s="109"/>
      <c r="Q855" s="109" t="s">
        <v>689</v>
      </c>
      <c r="R855" s="117">
        <v>45694</v>
      </c>
      <c r="S855" s="109" t="s">
        <v>50</v>
      </c>
      <c r="T855" s="109" t="s">
        <v>275</v>
      </c>
      <c r="U855" s="109" t="s">
        <v>275</v>
      </c>
    </row>
    <row r="856" spans="1:21" ht="30" x14ac:dyDescent="0.25">
      <c r="A856" s="109"/>
      <c r="B856" s="109">
        <v>4</v>
      </c>
      <c r="C856" s="109" t="s">
        <v>275</v>
      </c>
      <c r="D856" s="109" t="s">
        <v>87</v>
      </c>
      <c r="E856" s="109" t="s">
        <v>509</v>
      </c>
      <c r="F856" s="109" t="s">
        <v>97</v>
      </c>
      <c r="G856" s="109" t="s">
        <v>2073</v>
      </c>
      <c r="H856" s="109"/>
      <c r="I856" s="109"/>
      <c r="J856" s="109"/>
      <c r="K856" s="109"/>
      <c r="L856" s="109"/>
      <c r="M856" s="109" t="s">
        <v>1257</v>
      </c>
      <c r="N856" s="109" t="s">
        <v>23</v>
      </c>
      <c r="O856" s="109" t="s">
        <v>23</v>
      </c>
      <c r="P856" s="109"/>
      <c r="Q856" s="109" t="s">
        <v>690</v>
      </c>
      <c r="R856" s="117">
        <v>45694</v>
      </c>
      <c r="S856" s="109" t="s">
        <v>50</v>
      </c>
      <c r="T856" s="109" t="s">
        <v>275</v>
      </c>
      <c r="U856" s="109" t="s">
        <v>275</v>
      </c>
    </row>
    <row r="857" spans="1:21" ht="30" x14ac:dyDescent="0.25">
      <c r="A857" s="47"/>
      <c r="B857" s="108">
        <v>4</v>
      </c>
      <c r="C857" s="47" t="s">
        <v>275</v>
      </c>
      <c r="D857" s="3" t="s">
        <v>87</v>
      </c>
      <c r="E857" s="3" t="s">
        <v>510</v>
      </c>
      <c r="F857" s="3" t="s">
        <v>88</v>
      </c>
      <c r="G857" s="3" t="s">
        <v>2074</v>
      </c>
      <c r="H857" s="3"/>
      <c r="I857" s="3"/>
      <c r="J857" s="3"/>
      <c r="K857" s="3"/>
      <c r="L857" s="3"/>
      <c r="M857" s="36" t="s">
        <v>1257</v>
      </c>
      <c r="N857" s="36"/>
      <c r="O857" s="36"/>
      <c r="P857" s="36" t="s">
        <v>23</v>
      </c>
      <c r="Q857" s="36" t="s">
        <v>641</v>
      </c>
      <c r="R857" s="150">
        <v>45694</v>
      </c>
      <c r="S857" s="36" t="s">
        <v>50</v>
      </c>
      <c r="T857" s="47" t="s">
        <v>275</v>
      </c>
      <c r="U857" s="146" t="s">
        <v>275</v>
      </c>
    </row>
    <row r="858" spans="1:21" ht="45" x14ac:dyDescent="0.25">
      <c r="A858" s="109"/>
      <c r="B858" s="109">
        <v>4</v>
      </c>
      <c r="C858" s="109" t="s">
        <v>275</v>
      </c>
      <c r="D858" s="109" t="s">
        <v>87</v>
      </c>
      <c r="E858" s="109" t="s">
        <v>441</v>
      </c>
      <c r="F858" s="109" t="s">
        <v>97</v>
      </c>
      <c r="G858" s="109" t="s">
        <v>2075</v>
      </c>
      <c r="H858" s="109"/>
      <c r="I858" s="109"/>
      <c r="J858" s="109"/>
      <c r="K858" s="109"/>
      <c r="L858" s="109"/>
      <c r="M858" s="109" t="s">
        <v>1257</v>
      </c>
      <c r="N858" s="109" t="s">
        <v>23</v>
      </c>
      <c r="O858" s="109"/>
      <c r="P858" s="109"/>
      <c r="Q858" s="109" t="s">
        <v>408</v>
      </c>
      <c r="R858" s="117">
        <v>45673</v>
      </c>
      <c r="S858" s="109" t="s">
        <v>150</v>
      </c>
      <c r="T858" s="109" t="s">
        <v>275</v>
      </c>
      <c r="U858" s="109" t="s">
        <v>275</v>
      </c>
    </row>
    <row r="859" spans="1:21" ht="45" x14ac:dyDescent="0.25">
      <c r="A859" s="109"/>
      <c r="B859" s="109">
        <v>4</v>
      </c>
      <c r="C859" s="109" t="s">
        <v>275</v>
      </c>
      <c r="D859" s="109" t="s">
        <v>87</v>
      </c>
      <c r="E859" s="109" t="s">
        <v>101</v>
      </c>
      <c r="F859" s="109" t="s">
        <v>93</v>
      </c>
      <c r="G859" s="109" t="s">
        <v>2076</v>
      </c>
      <c r="H859" s="109"/>
      <c r="I859" s="109"/>
      <c r="J859" s="109"/>
      <c r="K859" s="109"/>
      <c r="L859" s="109"/>
      <c r="M859" s="109" t="s">
        <v>1257</v>
      </c>
      <c r="N859" s="109"/>
      <c r="O859" s="109"/>
      <c r="P859" s="109" t="s">
        <v>23</v>
      </c>
      <c r="Q859" s="109" t="s">
        <v>276</v>
      </c>
      <c r="R859" s="117">
        <v>45621</v>
      </c>
      <c r="S859" s="109" t="s">
        <v>11</v>
      </c>
      <c r="T859" s="109" t="s">
        <v>275</v>
      </c>
      <c r="U859" s="109" t="s">
        <v>275</v>
      </c>
    </row>
    <row r="860" spans="1:21" ht="30" x14ac:dyDescent="0.25">
      <c r="A860" s="109"/>
      <c r="B860" s="109">
        <v>4</v>
      </c>
      <c r="C860" s="109" t="s">
        <v>275</v>
      </c>
      <c r="D860" s="109" t="s">
        <v>87</v>
      </c>
      <c r="E860" s="109" t="s">
        <v>519</v>
      </c>
      <c r="F860" s="109" t="s">
        <v>3078</v>
      </c>
      <c r="G860" s="109" t="s">
        <v>2077</v>
      </c>
      <c r="H860" s="109"/>
      <c r="I860" s="109"/>
      <c r="J860" s="109"/>
      <c r="K860" s="109"/>
      <c r="L860" s="109"/>
      <c r="M860" s="109" t="s">
        <v>1257</v>
      </c>
      <c r="N860" s="109"/>
      <c r="O860" s="109" t="s">
        <v>23</v>
      </c>
      <c r="P860" s="109" t="s">
        <v>23</v>
      </c>
      <c r="Q860" s="109" t="s">
        <v>633</v>
      </c>
      <c r="R860" s="117">
        <v>45693</v>
      </c>
      <c r="S860" s="109" t="s">
        <v>50</v>
      </c>
      <c r="T860" s="109" t="s">
        <v>275</v>
      </c>
      <c r="U860" s="109" t="s">
        <v>275</v>
      </c>
    </row>
    <row r="861" spans="1:21" ht="30" x14ac:dyDescent="0.25">
      <c r="A861" s="47"/>
      <c r="B861" s="108">
        <v>4</v>
      </c>
      <c r="C861" s="47" t="s">
        <v>275</v>
      </c>
      <c r="D861" s="3" t="s">
        <v>87</v>
      </c>
      <c r="E861" s="3" t="s">
        <v>520</v>
      </c>
      <c r="F861" s="3" t="s">
        <v>3078</v>
      </c>
      <c r="G861" s="3" t="s">
        <v>2078</v>
      </c>
      <c r="H861" s="3"/>
      <c r="I861" s="3"/>
      <c r="J861" s="3"/>
      <c r="K861" s="3"/>
      <c r="L861" s="3"/>
      <c r="M861" s="36" t="s">
        <v>1257</v>
      </c>
      <c r="N861" s="36"/>
      <c r="O861" s="36" t="s">
        <v>23</v>
      </c>
      <c r="P861" s="36" t="s">
        <v>23</v>
      </c>
      <c r="Q861" s="36" t="s">
        <v>633</v>
      </c>
      <c r="R861" s="150">
        <v>45693</v>
      </c>
      <c r="S861" s="36" t="s">
        <v>50</v>
      </c>
      <c r="T861" s="47" t="s">
        <v>275</v>
      </c>
      <c r="U861" s="146" t="s">
        <v>275</v>
      </c>
    </row>
    <row r="862" spans="1:21" ht="45" x14ac:dyDescent="0.25">
      <c r="A862" s="109"/>
      <c r="B862" s="109">
        <v>4</v>
      </c>
      <c r="C862" s="109" t="s">
        <v>275</v>
      </c>
      <c r="D862" s="109" t="s">
        <v>87</v>
      </c>
      <c r="E862" s="109" t="s">
        <v>521</v>
      </c>
      <c r="F862" s="109" t="s">
        <v>3079</v>
      </c>
      <c r="G862" s="109" t="s">
        <v>2079</v>
      </c>
      <c r="H862" s="109"/>
      <c r="I862" s="109"/>
      <c r="J862" s="109"/>
      <c r="K862" s="109"/>
      <c r="L862" s="109"/>
      <c r="M862" s="109" t="s">
        <v>1257</v>
      </c>
      <c r="N862" s="109"/>
      <c r="O862" s="109"/>
      <c r="P862" s="109" t="s">
        <v>23</v>
      </c>
      <c r="Q862" s="109" t="s">
        <v>600</v>
      </c>
      <c r="R862" s="117">
        <v>45688</v>
      </c>
      <c r="S862" s="109" t="s">
        <v>50</v>
      </c>
      <c r="T862" s="109" t="s">
        <v>275</v>
      </c>
      <c r="U862" s="109" t="s">
        <v>275</v>
      </c>
    </row>
    <row r="863" spans="1:21" ht="30" x14ac:dyDescent="0.25">
      <c r="A863" s="109"/>
      <c r="B863" s="109">
        <v>4</v>
      </c>
      <c r="C863" s="109" t="s">
        <v>275</v>
      </c>
      <c r="D863" s="109" t="s">
        <v>87</v>
      </c>
      <c r="E863" s="109" t="s">
        <v>537</v>
      </c>
      <c r="F863" s="109" t="s">
        <v>3076</v>
      </c>
      <c r="G863" s="109" t="s">
        <v>2080</v>
      </c>
      <c r="H863" s="109"/>
      <c r="I863" s="109"/>
      <c r="J863" s="109"/>
      <c r="K863" s="109"/>
      <c r="L863" s="109"/>
      <c r="M863" s="110" t="s">
        <v>1257</v>
      </c>
      <c r="N863" s="110"/>
      <c r="O863" s="110" t="s">
        <v>23</v>
      </c>
      <c r="P863" s="110"/>
      <c r="Q863" s="110" t="s">
        <v>601</v>
      </c>
      <c r="R863" s="117">
        <v>45687</v>
      </c>
      <c r="S863" s="110" t="s">
        <v>203</v>
      </c>
      <c r="T863" s="109" t="s">
        <v>275</v>
      </c>
      <c r="U863" s="109" t="s">
        <v>275</v>
      </c>
    </row>
    <row r="864" spans="1:21" ht="30" x14ac:dyDescent="0.25">
      <c r="A864" s="109"/>
      <c r="B864" s="109">
        <v>4</v>
      </c>
      <c r="C864" s="109" t="s">
        <v>275</v>
      </c>
      <c r="D864" s="109" t="s">
        <v>87</v>
      </c>
      <c r="E864" s="109" t="s">
        <v>538</v>
      </c>
      <c r="F864" s="109" t="s">
        <v>3076</v>
      </c>
      <c r="G864" s="109" t="s">
        <v>2081</v>
      </c>
      <c r="H864" s="109"/>
      <c r="I864" s="109"/>
      <c r="J864" s="109"/>
      <c r="K864" s="109"/>
      <c r="L864" s="109"/>
      <c r="M864" s="110" t="s">
        <v>1257</v>
      </c>
      <c r="N864" s="110"/>
      <c r="O864" s="110" t="s">
        <v>23</v>
      </c>
      <c r="P864" s="110"/>
      <c r="Q864" s="110" t="s">
        <v>601</v>
      </c>
      <c r="R864" s="117">
        <v>45687</v>
      </c>
      <c r="S864" s="110" t="s">
        <v>203</v>
      </c>
      <c r="T864" s="109" t="s">
        <v>275</v>
      </c>
      <c r="U864" s="109" t="s">
        <v>275</v>
      </c>
    </row>
    <row r="865" spans="1:21" ht="30" x14ac:dyDescent="0.25">
      <c r="A865" s="109"/>
      <c r="B865" s="109">
        <v>4</v>
      </c>
      <c r="C865" s="109" t="s">
        <v>275</v>
      </c>
      <c r="D865" s="109" t="s">
        <v>87</v>
      </c>
      <c r="E865" s="109" t="s">
        <v>536</v>
      </c>
      <c r="F865" s="109" t="s">
        <v>3076</v>
      </c>
      <c r="G865" s="109" t="s">
        <v>2082</v>
      </c>
      <c r="H865" s="109"/>
      <c r="I865" s="109"/>
      <c r="J865" s="109"/>
      <c r="K865" s="109"/>
      <c r="L865" s="109"/>
      <c r="M865" s="110" t="s">
        <v>1257</v>
      </c>
      <c r="N865" s="110"/>
      <c r="O865" s="110" t="s">
        <v>23</v>
      </c>
      <c r="P865" s="110"/>
      <c r="Q865" s="110" t="s">
        <v>601</v>
      </c>
      <c r="R865" s="117">
        <v>45687</v>
      </c>
      <c r="S865" s="110" t="s">
        <v>203</v>
      </c>
      <c r="T865" s="109" t="s">
        <v>275</v>
      </c>
      <c r="U865" s="109" t="s">
        <v>275</v>
      </c>
    </row>
    <row r="866" spans="1:21" ht="45" x14ac:dyDescent="0.25">
      <c r="A866" s="47"/>
      <c r="B866" s="108">
        <v>4</v>
      </c>
      <c r="C866" s="47" t="s">
        <v>275</v>
      </c>
      <c r="D866" s="3" t="s">
        <v>87</v>
      </c>
      <c r="E866" s="3" t="s">
        <v>523</v>
      </c>
      <c r="F866" s="3" t="s">
        <v>3079</v>
      </c>
      <c r="G866" s="3" t="s">
        <v>2083</v>
      </c>
      <c r="H866" s="3"/>
      <c r="I866" s="3"/>
      <c r="J866" s="3"/>
      <c r="K866" s="3"/>
      <c r="L866" s="3"/>
      <c r="M866" s="36" t="s">
        <v>1257</v>
      </c>
      <c r="N866" s="36"/>
      <c r="O866" s="36"/>
      <c r="P866" s="36" t="s">
        <v>23</v>
      </c>
      <c r="Q866" s="36" t="s">
        <v>562</v>
      </c>
      <c r="R866" s="150">
        <v>45686</v>
      </c>
      <c r="S866" s="36" t="s">
        <v>211</v>
      </c>
      <c r="T866" s="47" t="s">
        <v>275</v>
      </c>
      <c r="U866" s="146" t="s">
        <v>275</v>
      </c>
    </row>
    <row r="867" spans="1:21" ht="45" x14ac:dyDescent="0.25">
      <c r="A867" s="47"/>
      <c r="B867" s="108">
        <v>4</v>
      </c>
      <c r="C867" s="47" t="s">
        <v>275</v>
      </c>
      <c r="D867" s="3" t="s">
        <v>87</v>
      </c>
      <c r="E867" s="3" t="s">
        <v>311</v>
      </c>
      <c r="F867" s="3" t="s">
        <v>114</v>
      </c>
      <c r="G867" s="3" t="s">
        <v>2084</v>
      </c>
      <c r="H867" s="3"/>
      <c r="I867" s="3"/>
      <c r="J867" s="3"/>
      <c r="K867" s="3"/>
      <c r="L867" s="3"/>
      <c r="M867" s="36" t="s">
        <v>1257</v>
      </c>
      <c r="N867" s="36" t="s">
        <v>23</v>
      </c>
      <c r="O867" s="36"/>
      <c r="P867" s="36"/>
      <c r="Q867" s="36" t="s">
        <v>691</v>
      </c>
      <c r="R867" s="150">
        <v>45674</v>
      </c>
      <c r="S867" s="36" t="s">
        <v>203</v>
      </c>
      <c r="T867" s="47" t="s">
        <v>275</v>
      </c>
      <c r="U867" s="146" t="s">
        <v>275</v>
      </c>
    </row>
    <row r="868" spans="1:21" ht="60" x14ac:dyDescent="0.25">
      <c r="A868" s="109"/>
      <c r="B868" s="109">
        <v>4</v>
      </c>
      <c r="C868" s="109" t="s">
        <v>275</v>
      </c>
      <c r="D868" s="109" t="s">
        <v>87</v>
      </c>
      <c r="E868" s="109" t="s">
        <v>318</v>
      </c>
      <c r="F868" s="109" t="s">
        <v>313</v>
      </c>
      <c r="G868" s="109" t="s">
        <v>2085</v>
      </c>
      <c r="H868" s="109"/>
      <c r="I868" s="109"/>
      <c r="J868" s="109"/>
      <c r="K868" s="109"/>
      <c r="L868" s="109"/>
      <c r="M868" s="109" t="s">
        <v>1257</v>
      </c>
      <c r="N868" s="109" t="s">
        <v>23</v>
      </c>
      <c r="O868" s="109"/>
      <c r="P868" s="109"/>
      <c r="Q868" s="109" t="s">
        <v>692</v>
      </c>
      <c r="R868" s="117">
        <v>45679</v>
      </c>
      <c r="S868" s="109" t="s">
        <v>203</v>
      </c>
      <c r="T868" s="109" t="s">
        <v>275</v>
      </c>
      <c r="U868" s="109" t="s">
        <v>2188</v>
      </c>
    </row>
    <row r="869" spans="1:21" ht="90" x14ac:dyDescent="0.25">
      <c r="A869" s="109"/>
      <c r="B869" s="109">
        <v>4</v>
      </c>
      <c r="C869" s="109" t="s">
        <v>275</v>
      </c>
      <c r="D869" s="109" t="s">
        <v>87</v>
      </c>
      <c r="E869" s="109" t="s">
        <v>332</v>
      </c>
      <c r="F869" s="109" t="s">
        <v>3075</v>
      </c>
      <c r="G869" s="109" t="s">
        <v>2086</v>
      </c>
      <c r="H869" s="109"/>
      <c r="I869" s="109"/>
      <c r="J869" s="109"/>
      <c r="K869" s="109"/>
      <c r="L869" s="109"/>
      <c r="M869" s="109" t="s">
        <v>1257</v>
      </c>
      <c r="N869" s="109"/>
      <c r="O869" s="109" t="s">
        <v>23</v>
      </c>
      <c r="P869" s="109"/>
      <c r="Q869" s="109" t="s">
        <v>481</v>
      </c>
      <c r="R869" s="117">
        <v>45679</v>
      </c>
      <c r="S869" s="109" t="s">
        <v>203</v>
      </c>
      <c r="T869" s="109" t="s">
        <v>275</v>
      </c>
      <c r="U869" s="109" t="s">
        <v>275</v>
      </c>
    </row>
    <row r="870" spans="1:21" ht="30" x14ac:dyDescent="0.25">
      <c r="A870" s="47"/>
      <c r="B870" s="108">
        <v>4</v>
      </c>
      <c r="C870" s="47" t="s">
        <v>275</v>
      </c>
      <c r="D870" s="3" t="s">
        <v>87</v>
      </c>
      <c r="E870" s="3" t="s">
        <v>315</v>
      </c>
      <c r="F870" s="3" t="s">
        <v>3081</v>
      </c>
      <c r="G870" s="3" t="s">
        <v>2087</v>
      </c>
      <c r="H870" s="3"/>
      <c r="I870" s="3"/>
      <c r="J870" s="3"/>
      <c r="K870" s="3"/>
      <c r="L870" s="3"/>
      <c r="M870" s="36" t="s">
        <v>1257</v>
      </c>
      <c r="N870" s="36" t="s">
        <v>23</v>
      </c>
      <c r="O870" s="36"/>
      <c r="P870" s="36"/>
      <c r="Q870" s="36" t="s">
        <v>446</v>
      </c>
      <c r="R870" s="150"/>
      <c r="S870" s="36"/>
      <c r="T870" s="47" t="s">
        <v>275</v>
      </c>
      <c r="U870" s="146" t="s">
        <v>2189</v>
      </c>
    </row>
    <row r="871" spans="1:21" ht="45" x14ac:dyDescent="0.25">
      <c r="A871" s="109"/>
      <c r="B871" s="109">
        <v>4</v>
      </c>
      <c r="C871" s="109" t="s">
        <v>275</v>
      </c>
      <c r="D871" s="109" t="s">
        <v>87</v>
      </c>
      <c r="E871" s="109" t="s">
        <v>320</v>
      </c>
      <c r="F871" s="109" t="s">
        <v>88</v>
      </c>
      <c r="G871" s="109" t="s">
        <v>2088</v>
      </c>
      <c r="H871" s="109"/>
      <c r="I871" s="109"/>
      <c r="J871" s="109"/>
      <c r="K871" s="109"/>
      <c r="L871" s="109"/>
      <c r="M871" s="109" t="s">
        <v>1257</v>
      </c>
      <c r="N871" s="109"/>
      <c r="O871" s="109" t="s">
        <v>23</v>
      </c>
      <c r="P871" s="109" t="s">
        <v>23</v>
      </c>
      <c r="Q871" s="109" t="s">
        <v>249</v>
      </c>
      <c r="R871" s="117">
        <v>45645</v>
      </c>
      <c r="S871" s="109" t="s">
        <v>203</v>
      </c>
      <c r="T871" s="109" t="s">
        <v>275</v>
      </c>
      <c r="U871" s="109" t="s">
        <v>275</v>
      </c>
    </row>
    <row r="872" spans="1:21" x14ac:dyDescent="0.25">
      <c r="A872" s="47"/>
      <c r="B872" s="108">
        <v>4</v>
      </c>
      <c r="C872" s="47" t="s">
        <v>275</v>
      </c>
      <c r="D872" s="3" t="s">
        <v>87</v>
      </c>
      <c r="E872" s="3" t="s">
        <v>229</v>
      </c>
      <c r="F872" s="3" t="s">
        <v>96</v>
      </c>
      <c r="G872" s="3" t="s">
        <v>2089</v>
      </c>
      <c r="H872" s="3"/>
      <c r="I872" s="3"/>
      <c r="J872" s="3"/>
      <c r="K872" s="3"/>
      <c r="L872" s="3"/>
      <c r="M872" s="109" t="s">
        <v>1257</v>
      </c>
      <c r="N872" s="109" t="s">
        <v>23</v>
      </c>
      <c r="O872" s="109"/>
      <c r="P872" s="109"/>
      <c r="Q872" s="109" t="s">
        <v>445</v>
      </c>
      <c r="R872" s="117">
        <v>45642</v>
      </c>
      <c r="S872" s="109" t="s">
        <v>230</v>
      </c>
      <c r="T872" s="109" t="s">
        <v>275</v>
      </c>
      <c r="U872" s="109" t="s">
        <v>275</v>
      </c>
    </row>
    <row r="873" spans="1:21" ht="45" x14ac:dyDescent="0.25">
      <c r="A873" s="109"/>
      <c r="B873" s="109">
        <v>4</v>
      </c>
      <c r="C873" s="109" t="s">
        <v>275</v>
      </c>
      <c r="D873" s="109" t="s">
        <v>87</v>
      </c>
      <c r="E873" s="109" t="s">
        <v>365</v>
      </c>
      <c r="F873" s="109" t="s">
        <v>97</v>
      </c>
      <c r="G873" s="109" t="s">
        <v>2090</v>
      </c>
      <c r="H873" s="109"/>
      <c r="I873" s="109"/>
      <c r="J873" s="109"/>
      <c r="K873" s="109"/>
      <c r="L873" s="109"/>
      <c r="M873" s="109" t="s">
        <v>1257</v>
      </c>
      <c r="N873" s="109" t="s">
        <v>23</v>
      </c>
      <c r="O873" s="109"/>
      <c r="P873" s="109"/>
      <c r="Q873" s="109" t="s">
        <v>218</v>
      </c>
      <c r="R873" s="117">
        <v>45629</v>
      </c>
      <c r="S873" s="109" t="s">
        <v>150</v>
      </c>
      <c r="T873" s="109" t="s">
        <v>275</v>
      </c>
      <c r="U873" s="109" t="s">
        <v>275</v>
      </c>
    </row>
    <row r="874" spans="1:21" ht="45" x14ac:dyDescent="0.25">
      <c r="A874" s="47"/>
      <c r="B874" s="108">
        <v>4</v>
      </c>
      <c r="C874" s="47" t="s">
        <v>275</v>
      </c>
      <c r="D874" s="3" t="s">
        <v>87</v>
      </c>
      <c r="E874" s="3" t="s">
        <v>366</v>
      </c>
      <c r="F874" s="3" t="s">
        <v>97</v>
      </c>
      <c r="G874" s="3" t="s">
        <v>2091</v>
      </c>
      <c r="H874" s="3"/>
      <c r="I874" s="3"/>
      <c r="J874" s="3"/>
      <c r="K874" s="3"/>
      <c r="L874" s="3"/>
      <c r="M874" s="36" t="s">
        <v>1257</v>
      </c>
      <c r="N874" s="36" t="s">
        <v>23</v>
      </c>
      <c r="O874" s="36"/>
      <c r="P874" s="36"/>
      <c r="Q874" s="36" t="s">
        <v>218</v>
      </c>
      <c r="R874" s="150">
        <v>45636</v>
      </c>
      <c r="S874" s="36" t="s">
        <v>150</v>
      </c>
      <c r="T874" s="47" t="s">
        <v>275</v>
      </c>
      <c r="U874" s="146" t="s">
        <v>275</v>
      </c>
    </row>
    <row r="875" spans="1:21" ht="45" x14ac:dyDescent="0.25">
      <c r="A875" s="47"/>
      <c r="B875" s="108">
        <v>4</v>
      </c>
      <c r="C875" s="47" t="s">
        <v>275</v>
      </c>
      <c r="D875" s="3" t="s">
        <v>87</v>
      </c>
      <c r="E875" s="3" t="s">
        <v>367</v>
      </c>
      <c r="F875" s="3" t="s">
        <v>97</v>
      </c>
      <c r="G875" s="3" t="s">
        <v>2092</v>
      </c>
      <c r="H875" s="3"/>
      <c r="I875" s="3"/>
      <c r="J875" s="3"/>
      <c r="K875" s="3"/>
      <c r="L875" s="3"/>
      <c r="M875" s="36" t="s">
        <v>1257</v>
      </c>
      <c r="N875" s="36" t="s">
        <v>23</v>
      </c>
      <c r="O875" s="36"/>
      <c r="P875" s="36"/>
      <c r="Q875" s="36" t="s">
        <v>218</v>
      </c>
      <c r="R875" s="150">
        <v>45629</v>
      </c>
      <c r="S875" s="36" t="s">
        <v>150</v>
      </c>
      <c r="T875" s="47" t="s">
        <v>275</v>
      </c>
      <c r="U875" s="146" t="s">
        <v>275</v>
      </c>
    </row>
    <row r="876" spans="1:21" ht="45" x14ac:dyDescent="0.25">
      <c r="A876" s="47"/>
      <c r="B876" s="108">
        <v>4</v>
      </c>
      <c r="C876" s="47" t="s">
        <v>275</v>
      </c>
      <c r="D876" s="3" t="s">
        <v>87</v>
      </c>
      <c r="E876" s="3" t="s">
        <v>368</v>
      </c>
      <c r="F876" s="3" t="s">
        <v>97</v>
      </c>
      <c r="G876" s="3" t="s">
        <v>2093</v>
      </c>
      <c r="H876" s="3"/>
      <c r="I876" s="3"/>
      <c r="J876" s="3"/>
      <c r="K876" s="3"/>
      <c r="L876" s="3"/>
      <c r="M876" s="36" t="s">
        <v>1257</v>
      </c>
      <c r="N876" s="36" t="s">
        <v>23</v>
      </c>
      <c r="O876" s="36"/>
      <c r="P876" s="36"/>
      <c r="Q876" s="36" t="s">
        <v>218</v>
      </c>
      <c r="R876" s="150">
        <v>45636</v>
      </c>
      <c r="S876" s="36" t="s">
        <v>150</v>
      </c>
      <c r="T876" s="47" t="s">
        <v>275</v>
      </c>
      <c r="U876" s="146" t="s">
        <v>275</v>
      </c>
    </row>
    <row r="877" spans="1:21" x14ac:dyDescent="0.25">
      <c r="A877" s="47"/>
      <c r="B877" s="108">
        <v>4</v>
      </c>
      <c r="C877" s="47" t="s">
        <v>275</v>
      </c>
      <c r="D877" s="3" t="s">
        <v>87</v>
      </c>
      <c r="E877" s="3" t="s">
        <v>104</v>
      </c>
      <c r="F877" s="3" t="s">
        <v>3074</v>
      </c>
      <c r="G877" s="3" t="s">
        <v>2094</v>
      </c>
      <c r="H877" s="3"/>
      <c r="I877" s="3"/>
      <c r="J877" s="3"/>
      <c r="K877" s="3"/>
      <c r="L877" s="3"/>
      <c r="M877" s="36" t="s">
        <v>1257</v>
      </c>
      <c r="N877" s="36"/>
      <c r="O877" s="36" t="s">
        <v>23</v>
      </c>
      <c r="P877" s="36"/>
      <c r="Q877" s="36" t="s">
        <v>105</v>
      </c>
      <c r="R877" s="150">
        <v>45579</v>
      </c>
      <c r="S877" s="36"/>
      <c r="T877" s="47" t="s">
        <v>275</v>
      </c>
      <c r="U877" s="146" t="s">
        <v>275</v>
      </c>
    </row>
    <row r="878" spans="1:21" ht="60" x14ac:dyDescent="0.25">
      <c r="A878" s="109"/>
      <c r="B878" s="109">
        <v>4</v>
      </c>
      <c r="C878" s="109" t="s">
        <v>275</v>
      </c>
      <c r="D878" s="109" t="s">
        <v>87</v>
      </c>
      <c r="E878" s="109" t="s">
        <v>106</v>
      </c>
      <c r="F878" s="109" t="s">
        <v>3074</v>
      </c>
      <c r="G878" s="109" t="s">
        <v>2095</v>
      </c>
      <c r="H878" s="109"/>
      <c r="I878" s="109"/>
      <c r="J878" s="109"/>
      <c r="K878" s="109"/>
      <c r="L878" s="109"/>
      <c r="M878" s="110" t="s">
        <v>1257</v>
      </c>
      <c r="N878" s="110" t="s">
        <v>23</v>
      </c>
      <c r="O878" s="110"/>
      <c r="P878" s="110"/>
      <c r="Q878" s="110" t="s">
        <v>694</v>
      </c>
      <c r="R878" s="117">
        <v>45582</v>
      </c>
      <c r="S878" s="110" t="s">
        <v>693</v>
      </c>
      <c r="T878" s="109" t="s">
        <v>275</v>
      </c>
      <c r="U878" s="138" t="s">
        <v>275</v>
      </c>
    </row>
    <row r="879" spans="1:21" x14ac:dyDescent="0.25">
      <c r="A879" s="47"/>
      <c r="B879" s="108">
        <v>4</v>
      </c>
      <c r="C879" s="47" t="s">
        <v>275</v>
      </c>
      <c r="D879" s="3" t="s">
        <v>87</v>
      </c>
      <c r="E879" s="3" t="s">
        <v>109</v>
      </c>
      <c r="F879" s="3" t="s">
        <v>3076</v>
      </c>
      <c r="G879" s="3" t="s">
        <v>2096</v>
      </c>
      <c r="H879" s="3"/>
      <c r="I879" s="3"/>
      <c r="J879" s="3"/>
      <c r="K879" s="3"/>
      <c r="L879" s="3"/>
      <c r="M879" s="36" t="s">
        <v>1257</v>
      </c>
      <c r="N879" s="36"/>
      <c r="O879" s="36" t="s">
        <v>23</v>
      </c>
      <c r="P879" s="36"/>
      <c r="Q879" s="36" t="s">
        <v>110</v>
      </c>
      <c r="R879" s="150">
        <v>45580</v>
      </c>
      <c r="S879" s="36"/>
      <c r="T879" s="47" t="s">
        <v>275</v>
      </c>
      <c r="U879" s="146" t="s">
        <v>275</v>
      </c>
    </row>
    <row r="880" spans="1:21" x14ac:dyDescent="0.25">
      <c r="A880" s="47"/>
      <c r="B880" s="108">
        <v>4</v>
      </c>
      <c r="C880" s="47" t="s">
        <v>275</v>
      </c>
      <c r="D880" s="3" t="s">
        <v>87</v>
      </c>
      <c r="E880" s="3" t="s">
        <v>116</v>
      </c>
      <c r="F880" s="3" t="s">
        <v>93</v>
      </c>
      <c r="G880" s="3" t="s">
        <v>2097</v>
      </c>
      <c r="H880" s="3"/>
      <c r="I880" s="3"/>
      <c r="J880" s="3"/>
      <c r="K880" s="3"/>
      <c r="L880" s="3"/>
      <c r="M880" s="36" t="s">
        <v>1257</v>
      </c>
      <c r="N880" s="36"/>
      <c r="O880" s="36" t="s">
        <v>23</v>
      </c>
      <c r="P880" s="36"/>
      <c r="Q880" s="36" t="s">
        <v>117</v>
      </c>
      <c r="R880" s="150">
        <v>45616</v>
      </c>
      <c r="S880" s="36"/>
      <c r="T880" s="47" t="s">
        <v>275</v>
      </c>
      <c r="U880" s="146" t="s">
        <v>2190</v>
      </c>
    </row>
    <row r="881" spans="1:21" ht="30" x14ac:dyDescent="0.25">
      <c r="A881" s="47"/>
      <c r="B881" s="108">
        <v>4</v>
      </c>
      <c r="C881" s="47" t="s">
        <v>275</v>
      </c>
      <c r="D881" s="3" t="s">
        <v>87</v>
      </c>
      <c r="E881" s="3" t="s">
        <v>118</v>
      </c>
      <c r="F881" s="3" t="s">
        <v>88</v>
      </c>
      <c r="G881" s="3" t="s">
        <v>2098</v>
      </c>
      <c r="H881" s="3"/>
      <c r="I881" s="3"/>
      <c r="J881" s="3"/>
      <c r="K881" s="3"/>
      <c r="L881" s="3"/>
      <c r="M881" s="36" t="s">
        <v>1257</v>
      </c>
      <c r="N881" s="36"/>
      <c r="O881" s="36"/>
      <c r="P881" s="36" t="s">
        <v>23</v>
      </c>
      <c r="Q881" s="36" t="s">
        <v>119</v>
      </c>
      <c r="R881" s="150">
        <v>45615</v>
      </c>
      <c r="S881" s="36" t="s">
        <v>50</v>
      </c>
      <c r="T881" s="47" t="s">
        <v>275</v>
      </c>
      <c r="U881" s="146" t="s">
        <v>275</v>
      </c>
    </row>
    <row r="882" spans="1:21" ht="30" x14ac:dyDescent="0.25">
      <c r="A882" s="47"/>
      <c r="B882" s="108">
        <v>4</v>
      </c>
      <c r="C882" s="47" t="s">
        <v>275</v>
      </c>
      <c r="D882" s="3" t="s">
        <v>87</v>
      </c>
      <c r="E882" s="3" t="s">
        <v>111</v>
      </c>
      <c r="F882" s="3" t="s">
        <v>112</v>
      </c>
      <c r="G882" s="3" t="s">
        <v>2099</v>
      </c>
      <c r="H882" s="3"/>
      <c r="I882" s="3"/>
      <c r="J882" s="3"/>
      <c r="K882" s="3"/>
      <c r="L882" s="3"/>
      <c r="M882" s="36" t="s">
        <v>1257</v>
      </c>
      <c r="N882" s="36" t="s">
        <v>23</v>
      </c>
      <c r="O882" s="36"/>
      <c r="P882" s="36"/>
      <c r="Q882" s="36" t="s">
        <v>178</v>
      </c>
      <c r="R882" s="150">
        <v>45595</v>
      </c>
      <c r="S882" s="36" t="s">
        <v>50</v>
      </c>
      <c r="T882" s="47" t="s">
        <v>275</v>
      </c>
      <c r="U882" s="146" t="s">
        <v>2191</v>
      </c>
    </row>
    <row r="883" spans="1:21" ht="45" x14ac:dyDescent="0.25">
      <c r="A883" s="109"/>
      <c r="B883" s="109">
        <v>4</v>
      </c>
      <c r="C883" s="109" t="s">
        <v>275</v>
      </c>
      <c r="D883" s="109" t="s">
        <v>87</v>
      </c>
      <c r="E883" s="109" t="s">
        <v>272</v>
      </c>
      <c r="F883" s="109" t="s">
        <v>93</v>
      </c>
      <c r="G883" s="109" t="s">
        <v>2100</v>
      </c>
      <c r="H883" s="109"/>
      <c r="I883" s="109"/>
      <c r="J883" s="109"/>
      <c r="K883" s="109"/>
      <c r="L883" s="109"/>
      <c r="M883" s="109" t="s">
        <v>1257</v>
      </c>
      <c r="N883" s="109" t="s">
        <v>23</v>
      </c>
      <c r="O883" s="109"/>
      <c r="P883" s="109"/>
      <c r="Q883" s="109" t="s">
        <v>303</v>
      </c>
      <c r="R883" s="117">
        <v>45664</v>
      </c>
      <c r="S883" s="109" t="s">
        <v>302</v>
      </c>
      <c r="T883" s="109" t="s">
        <v>275</v>
      </c>
      <c r="U883" s="109" t="s">
        <v>2192</v>
      </c>
    </row>
    <row r="884" spans="1:21" ht="30" x14ac:dyDescent="0.25">
      <c r="A884" s="47"/>
      <c r="B884" s="108"/>
      <c r="C884" s="47" t="s">
        <v>275</v>
      </c>
      <c r="D884" s="3" t="s">
        <v>87</v>
      </c>
      <c r="E884" s="3" t="s">
        <v>2203</v>
      </c>
      <c r="F884" s="3" t="s">
        <v>3075</v>
      </c>
      <c r="G884" s="3" t="s">
        <v>2268</v>
      </c>
      <c r="H884" s="3"/>
      <c r="I884" s="3"/>
      <c r="J884" s="3"/>
      <c r="K884" s="3"/>
      <c r="L884" s="3"/>
      <c r="M884" s="36" t="s">
        <v>1257</v>
      </c>
      <c r="N884" s="36"/>
      <c r="O884" s="36"/>
      <c r="P884" s="36"/>
      <c r="Q884" s="36" t="s">
        <v>2337</v>
      </c>
      <c r="R884" s="150">
        <v>45848</v>
      </c>
      <c r="S884" s="36" t="s">
        <v>239</v>
      </c>
      <c r="T884" s="47" t="s">
        <v>275</v>
      </c>
      <c r="U884" s="146" t="s">
        <v>2270</v>
      </c>
    </row>
    <row r="885" spans="1:21" ht="45" x14ac:dyDescent="0.25">
      <c r="A885" s="109"/>
      <c r="B885" s="109">
        <v>3</v>
      </c>
      <c r="C885" s="109" t="s">
        <v>275</v>
      </c>
      <c r="D885" s="109" t="s">
        <v>87</v>
      </c>
      <c r="E885" s="109" t="s">
        <v>1660</v>
      </c>
      <c r="F885" s="109" t="s">
        <v>3079</v>
      </c>
      <c r="G885" s="109" t="s">
        <v>2054</v>
      </c>
      <c r="H885" s="109"/>
      <c r="I885" s="109"/>
      <c r="J885" s="109"/>
      <c r="K885" s="109"/>
      <c r="L885" s="109"/>
      <c r="M885" s="109" t="s">
        <v>1257</v>
      </c>
      <c r="N885" s="109"/>
      <c r="O885" s="109" t="s">
        <v>23</v>
      </c>
      <c r="P885" s="109" t="s">
        <v>23</v>
      </c>
      <c r="Q885" s="109" t="s">
        <v>1693</v>
      </c>
      <c r="R885" s="117">
        <v>45824</v>
      </c>
      <c r="S885" s="109" t="s">
        <v>50</v>
      </c>
      <c r="T885" s="109" t="s">
        <v>275</v>
      </c>
      <c r="U885" s="109" t="s">
        <v>2178</v>
      </c>
    </row>
    <row r="886" spans="1:21" x14ac:dyDescent="0.25">
      <c r="A886" s="109"/>
      <c r="B886" s="109"/>
      <c r="C886" s="109" t="s">
        <v>275</v>
      </c>
      <c r="D886" s="109" t="s">
        <v>87</v>
      </c>
      <c r="E886" s="109" t="s">
        <v>2563</v>
      </c>
      <c r="F886" s="109" t="s">
        <v>3079</v>
      </c>
      <c r="G886" s="109" t="s">
        <v>2564</v>
      </c>
      <c r="H886" s="109"/>
      <c r="I886" s="109"/>
      <c r="J886" s="109"/>
      <c r="K886" s="109"/>
      <c r="L886" s="109"/>
      <c r="M886" s="109" t="s">
        <v>3112</v>
      </c>
      <c r="N886" s="109"/>
      <c r="O886" s="109"/>
      <c r="P886" s="109"/>
      <c r="Q886" s="109" t="s">
        <v>3113</v>
      </c>
      <c r="R886" s="117"/>
      <c r="S886" s="109" t="s">
        <v>211</v>
      </c>
      <c r="T886" s="109" t="s">
        <v>275</v>
      </c>
      <c r="U886" s="109" t="s">
        <v>275</v>
      </c>
    </row>
    <row r="887" spans="1:21" x14ac:dyDescent="0.25">
      <c r="A887" s="109"/>
      <c r="B887" s="109" t="s">
        <v>23</v>
      </c>
      <c r="C887" s="109" t="s">
        <v>275</v>
      </c>
      <c r="D887" s="109" t="s">
        <v>158</v>
      </c>
      <c r="E887" s="109" t="s">
        <v>1621</v>
      </c>
      <c r="F887" s="109" t="s">
        <v>3082</v>
      </c>
      <c r="G887" s="109" t="s">
        <v>1622</v>
      </c>
      <c r="H887" s="109"/>
      <c r="I887" s="109"/>
      <c r="J887" s="109"/>
      <c r="K887" s="109"/>
      <c r="L887" s="109"/>
      <c r="M887" s="109" t="s">
        <v>1258</v>
      </c>
      <c r="N887" s="109"/>
      <c r="O887" s="109"/>
      <c r="P887" s="109"/>
      <c r="Q887" s="109" t="s">
        <v>1641</v>
      </c>
      <c r="R887" s="117">
        <v>45789</v>
      </c>
      <c r="S887" s="109" t="s">
        <v>1642</v>
      </c>
      <c r="T887" s="109" t="s">
        <v>275</v>
      </c>
      <c r="U887" s="109" t="s">
        <v>275</v>
      </c>
    </row>
    <row r="888" spans="1:21" x14ac:dyDescent="0.25">
      <c r="A888" s="47"/>
      <c r="B888" s="108" t="s">
        <v>23</v>
      </c>
      <c r="C888" s="47" t="s">
        <v>275</v>
      </c>
      <c r="D888" s="3" t="s">
        <v>158</v>
      </c>
      <c r="E888" s="3" t="s">
        <v>1034</v>
      </c>
      <c r="F888" s="3" t="s">
        <v>3082</v>
      </c>
      <c r="G888" s="3" t="s">
        <v>1033</v>
      </c>
      <c r="H888" s="3"/>
      <c r="I888" s="3"/>
      <c r="J888" s="3"/>
      <c r="K888" s="3"/>
      <c r="L888" s="3"/>
      <c r="M888" s="36" t="s">
        <v>1258</v>
      </c>
      <c r="N888" s="36"/>
      <c r="O888" s="36"/>
      <c r="P888" s="36"/>
      <c r="Q888" s="36"/>
      <c r="R888" s="150"/>
      <c r="S888" s="36"/>
      <c r="T888" s="47" t="s">
        <v>275</v>
      </c>
      <c r="U888" s="146" t="s">
        <v>275</v>
      </c>
    </row>
    <row r="889" spans="1:21" x14ac:dyDescent="0.25">
      <c r="A889" s="47"/>
      <c r="B889" s="108" t="s">
        <v>23</v>
      </c>
      <c r="C889" s="47" t="s">
        <v>275</v>
      </c>
      <c r="D889" s="3" t="s">
        <v>158</v>
      </c>
      <c r="E889" s="3" t="s">
        <v>988</v>
      </c>
      <c r="F889" s="3" t="s">
        <v>3083</v>
      </c>
      <c r="G889" s="3" t="s">
        <v>862</v>
      </c>
      <c r="H889" s="3"/>
      <c r="I889" s="3"/>
      <c r="J889" s="3"/>
      <c r="K889" s="3"/>
      <c r="L889" s="3"/>
      <c r="M889" s="36" t="s">
        <v>1258</v>
      </c>
      <c r="N889" s="36"/>
      <c r="O889" s="36"/>
      <c r="P889" s="36"/>
      <c r="Q889" s="36"/>
      <c r="R889" s="150"/>
      <c r="S889" s="36"/>
      <c r="T889" s="47" t="s">
        <v>275</v>
      </c>
      <c r="U889" s="146" t="s">
        <v>275</v>
      </c>
    </row>
    <row r="890" spans="1:21" x14ac:dyDescent="0.25">
      <c r="A890" s="47"/>
      <c r="B890" s="108" t="s">
        <v>23</v>
      </c>
      <c r="C890" s="47" t="s">
        <v>275</v>
      </c>
      <c r="D890" s="3" t="s">
        <v>158</v>
      </c>
      <c r="E890" s="3" t="s">
        <v>810</v>
      </c>
      <c r="F890" s="3" t="s">
        <v>3082</v>
      </c>
      <c r="G890" s="3" t="s">
        <v>804</v>
      </c>
      <c r="H890" s="3"/>
      <c r="I890" s="3"/>
      <c r="J890" s="3"/>
      <c r="K890" s="3"/>
      <c r="L890" s="3"/>
      <c r="M890" s="36" t="s">
        <v>1258</v>
      </c>
      <c r="N890" s="36"/>
      <c r="O890" s="36"/>
      <c r="P890" s="36"/>
      <c r="Q890" s="36" t="s">
        <v>828</v>
      </c>
      <c r="R890" s="150">
        <v>45720</v>
      </c>
      <c r="S890" s="36" t="s">
        <v>239</v>
      </c>
      <c r="T890" s="47" t="s">
        <v>275</v>
      </c>
      <c r="U890" s="146" t="s">
        <v>275</v>
      </c>
    </row>
    <row r="891" spans="1:21" ht="30" x14ac:dyDescent="0.25">
      <c r="A891" s="47"/>
      <c r="B891" s="108" t="s">
        <v>23</v>
      </c>
      <c r="C891" s="47" t="s">
        <v>275</v>
      </c>
      <c r="D891" s="3" t="s">
        <v>158</v>
      </c>
      <c r="E891" s="3" t="s">
        <v>680</v>
      </c>
      <c r="F891" s="3" t="s">
        <v>3082</v>
      </c>
      <c r="G891" s="3" t="s">
        <v>646</v>
      </c>
      <c r="H891" s="3"/>
      <c r="I891" s="3"/>
      <c r="J891" s="3"/>
      <c r="K891" s="3"/>
      <c r="L891" s="3"/>
      <c r="M891" s="36" t="s">
        <v>1258</v>
      </c>
      <c r="N891" s="36"/>
      <c r="O891" s="36"/>
      <c r="P891" s="36"/>
      <c r="Q891" s="36" t="s">
        <v>809</v>
      </c>
      <c r="R891" s="150">
        <v>45716</v>
      </c>
      <c r="S891" s="36" t="s">
        <v>213</v>
      </c>
      <c r="T891" s="47" t="s">
        <v>275</v>
      </c>
      <c r="U891" s="146" t="s">
        <v>275</v>
      </c>
    </row>
    <row r="892" spans="1:21" x14ac:dyDescent="0.25">
      <c r="A892" s="47"/>
      <c r="B892" s="108" t="s">
        <v>23</v>
      </c>
      <c r="C892" s="47" t="s">
        <v>275</v>
      </c>
      <c r="D892" s="3" t="s">
        <v>158</v>
      </c>
      <c r="E892" s="3" t="s">
        <v>403</v>
      </c>
      <c r="F892" s="3" t="s">
        <v>3083</v>
      </c>
      <c r="G892" s="3" t="s">
        <v>241</v>
      </c>
      <c r="H892" s="3"/>
      <c r="I892" s="3"/>
      <c r="J892" s="3"/>
      <c r="K892" s="3"/>
      <c r="L892" s="3"/>
      <c r="M892" s="36" t="s">
        <v>1258</v>
      </c>
      <c r="N892" s="36"/>
      <c r="O892" s="36"/>
      <c r="P892" s="36"/>
      <c r="Q892" s="36"/>
      <c r="R892" s="150"/>
      <c r="S892" s="36"/>
      <c r="T892" s="47" t="s">
        <v>275</v>
      </c>
      <c r="U892" s="146" t="s">
        <v>275</v>
      </c>
    </row>
    <row r="893" spans="1:21" ht="30" x14ac:dyDescent="0.25">
      <c r="A893" s="47"/>
      <c r="B893" s="108" t="s">
        <v>23</v>
      </c>
      <c r="C893" s="47" t="s">
        <v>275</v>
      </c>
      <c r="D893" s="3" t="s">
        <v>158</v>
      </c>
      <c r="E893" s="3" t="s">
        <v>355</v>
      </c>
      <c r="F893" s="3" t="s">
        <v>190</v>
      </c>
      <c r="G893" s="3" t="s">
        <v>356</v>
      </c>
      <c r="H893" s="3"/>
      <c r="I893" s="3"/>
      <c r="J893" s="3"/>
      <c r="K893" s="3"/>
      <c r="L893" s="3"/>
      <c r="M893" s="36" t="s">
        <v>1258</v>
      </c>
      <c r="N893" s="36"/>
      <c r="O893" s="36"/>
      <c r="P893" s="36"/>
      <c r="Q893" s="36" t="s">
        <v>547</v>
      </c>
      <c r="R893" s="150">
        <v>45685</v>
      </c>
      <c r="S893" s="36" t="s">
        <v>213</v>
      </c>
      <c r="T893" s="47" t="s">
        <v>275</v>
      </c>
      <c r="U893" s="146" t="s">
        <v>275</v>
      </c>
    </row>
    <row r="894" spans="1:21" x14ac:dyDescent="0.25">
      <c r="A894" s="47"/>
      <c r="B894" s="108" t="s">
        <v>23</v>
      </c>
      <c r="C894" s="47" t="s">
        <v>275</v>
      </c>
      <c r="D894" s="3" t="s">
        <v>158</v>
      </c>
      <c r="E894" s="3" t="s">
        <v>309</v>
      </c>
      <c r="F894" s="3" t="s">
        <v>3083</v>
      </c>
      <c r="G894" s="3" t="s">
        <v>310</v>
      </c>
      <c r="H894" s="3"/>
      <c r="I894" s="3"/>
      <c r="J894" s="3"/>
      <c r="K894" s="3"/>
      <c r="L894" s="3"/>
      <c r="M894" s="36" t="s">
        <v>1258</v>
      </c>
      <c r="N894" s="36"/>
      <c r="O894" s="36"/>
      <c r="P894" s="36"/>
      <c r="Q894" s="36"/>
      <c r="R894" s="150"/>
      <c r="S894" s="36"/>
      <c r="T894" s="47" t="s">
        <v>275</v>
      </c>
      <c r="U894" s="146" t="s">
        <v>275</v>
      </c>
    </row>
    <row r="895" spans="1:21" ht="30" x14ac:dyDescent="0.25">
      <c r="A895" s="47"/>
      <c r="B895" s="108" t="s">
        <v>23</v>
      </c>
      <c r="C895" s="47" t="s">
        <v>275</v>
      </c>
      <c r="D895" s="3" t="s">
        <v>158</v>
      </c>
      <c r="E895" s="3" t="s">
        <v>400</v>
      </c>
      <c r="F895" s="3" t="s">
        <v>3084</v>
      </c>
      <c r="G895" s="3" t="s">
        <v>306</v>
      </c>
      <c r="H895" s="3"/>
      <c r="I895" s="3"/>
      <c r="J895" s="3"/>
      <c r="K895" s="3"/>
      <c r="L895" s="3"/>
      <c r="M895" s="36" t="s">
        <v>1258</v>
      </c>
      <c r="N895" s="36"/>
      <c r="O895" s="36"/>
      <c r="P895" s="36"/>
      <c r="Q895" s="36"/>
      <c r="R895" s="150"/>
      <c r="S895" s="36"/>
      <c r="T895" s="47" t="s">
        <v>275</v>
      </c>
      <c r="U895" s="146" t="s">
        <v>275</v>
      </c>
    </row>
    <row r="896" spans="1:21" ht="30" x14ac:dyDescent="0.25">
      <c r="A896" s="47"/>
      <c r="B896" s="108" t="s">
        <v>23</v>
      </c>
      <c r="C896" s="47" t="s">
        <v>275</v>
      </c>
      <c r="D896" s="3" t="s">
        <v>158</v>
      </c>
      <c r="E896" s="3" t="s">
        <v>242</v>
      </c>
      <c r="F896" s="3" t="s">
        <v>3083</v>
      </c>
      <c r="G896" s="3" t="s">
        <v>243</v>
      </c>
      <c r="H896" s="3"/>
      <c r="I896" s="3"/>
      <c r="J896" s="3"/>
      <c r="K896" s="3"/>
      <c r="L896" s="3"/>
      <c r="M896" s="36" t="s">
        <v>1258</v>
      </c>
      <c r="N896" s="36"/>
      <c r="O896" s="36"/>
      <c r="P896" s="36"/>
      <c r="Q896" s="36"/>
      <c r="R896" s="150"/>
      <c r="S896" s="36"/>
      <c r="T896" s="47" t="s">
        <v>275</v>
      </c>
      <c r="U896" s="146" t="s">
        <v>275</v>
      </c>
    </row>
    <row r="897" spans="1:21" x14ac:dyDescent="0.25">
      <c r="A897" s="109"/>
      <c r="B897" s="109" t="s">
        <v>23</v>
      </c>
      <c r="C897" s="109" t="s">
        <v>275</v>
      </c>
      <c r="D897" s="109" t="s">
        <v>158</v>
      </c>
      <c r="E897" s="109" t="s">
        <v>159</v>
      </c>
      <c r="F897" s="109" t="s">
        <v>3083</v>
      </c>
      <c r="G897" s="109" t="s">
        <v>160</v>
      </c>
      <c r="H897" s="109"/>
      <c r="I897" s="109"/>
      <c r="J897" s="109"/>
      <c r="K897" s="109"/>
      <c r="L897" s="109"/>
      <c r="M897" s="109" t="s">
        <v>1258</v>
      </c>
      <c r="N897" s="109"/>
      <c r="O897" s="109"/>
      <c r="P897" s="109"/>
      <c r="Q897" s="109" t="s">
        <v>89</v>
      </c>
      <c r="R897" s="117"/>
      <c r="S897" s="109"/>
      <c r="T897" s="109" t="s">
        <v>275</v>
      </c>
      <c r="U897" s="109" t="s">
        <v>275</v>
      </c>
    </row>
    <row r="898" spans="1:21" x14ac:dyDescent="0.25">
      <c r="A898" s="47"/>
      <c r="B898" s="108" t="s">
        <v>23</v>
      </c>
      <c r="C898" s="47" t="s">
        <v>275</v>
      </c>
      <c r="D898" s="3" t="s">
        <v>158</v>
      </c>
      <c r="E898" s="3" t="s">
        <v>161</v>
      </c>
      <c r="F898" s="3" t="s">
        <v>158</v>
      </c>
      <c r="G898" s="3" t="s">
        <v>162</v>
      </c>
      <c r="H898" s="3"/>
      <c r="I898" s="3"/>
      <c r="J898" s="3"/>
      <c r="K898" s="3"/>
      <c r="L898" s="3"/>
      <c r="M898" s="36" t="s">
        <v>1258</v>
      </c>
      <c r="N898" s="36"/>
      <c r="O898" s="36"/>
      <c r="P898" s="36"/>
      <c r="Q898" s="36" t="s">
        <v>89</v>
      </c>
      <c r="R898" s="150"/>
      <c r="S898" s="36"/>
      <c r="T898" s="47" t="s">
        <v>275</v>
      </c>
      <c r="U898" s="146" t="s">
        <v>275</v>
      </c>
    </row>
    <row r="899" spans="1:21" x14ac:dyDescent="0.25">
      <c r="A899" s="47"/>
      <c r="B899" s="108" t="s">
        <v>23</v>
      </c>
      <c r="C899" s="47" t="s">
        <v>275</v>
      </c>
      <c r="D899" s="3" t="s">
        <v>158</v>
      </c>
      <c r="E899" s="3" t="s">
        <v>163</v>
      </c>
      <c r="F899" s="3" t="s">
        <v>3084</v>
      </c>
      <c r="G899" s="3" t="s">
        <v>164</v>
      </c>
      <c r="H899" s="3"/>
      <c r="I899" s="3"/>
      <c r="J899" s="3"/>
      <c r="K899" s="3"/>
      <c r="L899" s="3"/>
      <c r="M899" s="36" t="s">
        <v>1258</v>
      </c>
      <c r="N899" s="36"/>
      <c r="O899" s="36"/>
      <c r="P899" s="36"/>
      <c r="Q899" s="36" t="s">
        <v>89</v>
      </c>
      <c r="R899" s="150"/>
      <c r="S899" s="36"/>
      <c r="T899" s="47" t="s">
        <v>275</v>
      </c>
      <c r="U899" s="146" t="s">
        <v>275</v>
      </c>
    </row>
    <row r="900" spans="1:21" ht="30" x14ac:dyDescent="0.25">
      <c r="A900" s="47"/>
      <c r="B900" s="108" t="s">
        <v>23</v>
      </c>
      <c r="C900" s="47" t="s">
        <v>275</v>
      </c>
      <c r="D900" s="3" t="s">
        <v>158</v>
      </c>
      <c r="E900" s="3" t="s">
        <v>401</v>
      </c>
      <c r="F900" s="3" t="s">
        <v>3082</v>
      </c>
      <c r="G900" s="3" t="s">
        <v>166</v>
      </c>
      <c r="H900" s="3"/>
      <c r="I900" s="3"/>
      <c r="J900" s="3"/>
      <c r="K900" s="3"/>
      <c r="L900" s="3"/>
      <c r="M900" s="36" t="s">
        <v>1258</v>
      </c>
      <c r="N900" s="36"/>
      <c r="O900" s="36"/>
      <c r="P900" s="36"/>
      <c r="Q900" s="36"/>
      <c r="R900" s="150">
        <v>45638</v>
      </c>
      <c r="S900" s="36" t="s">
        <v>213</v>
      </c>
      <c r="T900" s="47" t="s">
        <v>275</v>
      </c>
      <c r="U900" s="146" t="s">
        <v>275</v>
      </c>
    </row>
    <row r="901" spans="1:21" ht="30" x14ac:dyDescent="0.25">
      <c r="A901" s="47"/>
      <c r="B901" s="108" t="s">
        <v>23</v>
      </c>
      <c r="C901" s="47" t="s">
        <v>275</v>
      </c>
      <c r="D901" s="3" t="s">
        <v>158</v>
      </c>
      <c r="E901" s="3" t="s">
        <v>402</v>
      </c>
      <c r="F901" s="3" t="s">
        <v>3082</v>
      </c>
      <c r="G901" s="3" t="s">
        <v>165</v>
      </c>
      <c r="H901" s="3"/>
      <c r="I901" s="3"/>
      <c r="J901" s="3"/>
      <c r="K901" s="3"/>
      <c r="L901" s="3"/>
      <c r="M901" s="36" t="s">
        <v>1258</v>
      </c>
      <c r="N901" s="36"/>
      <c r="O901" s="36"/>
      <c r="P901" s="36"/>
      <c r="Q901" s="36" t="s">
        <v>214</v>
      </c>
      <c r="R901" s="150">
        <v>45637</v>
      </c>
      <c r="S901" s="36" t="s">
        <v>213</v>
      </c>
      <c r="T901" s="47" t="s">
        <v>275</v>
      </c>
      <c r="U901" s="146" t="s">
        <v>275</v>
      </c>
    </row>
    <row r="902" spans="1:21" x14ac:dyDescent="0.25">
      <c r="A902" s="109"/>
      <c r="B902" s="109" t="s">
        <v>23</v>
      </c>
      <c r="C902" s="109" t="s">
        <v>275</v>
      </c>
      <c r="D902" s="109" t="s">
        <v>158</v>
      </c>
      <c r="E902" s="109" t="s">
        <v>195</v>
      </c>
      <c r="F902" s="109" t="s">
        <v>190</v>
      </c>
      <c r="G902" s="109" t="s">
        <v>198</v>
      </c>
      <c r="H902" s="109"/>
      <c r="I902" s="109"/>
      <c r="J902" s="109"/>
      <c r="K902" s="109"/>
      <c r="L902" s="109"/>
      <c r="M902" s="109" t="s">
        <v>1258</v>
      </c>
      <c r="N902" s="109"/>
      <c r="O902" s="109"/>
      <c r="P902" s="109"/>
      <c r="Q902" s="109"/>
      <c r="R902" s="117"/>
      <c r="S902" s="109"/>
      <c r="T902" s="109" t="s">
        <v>275</v>
      </c>
      <c r="U902" s="109" t="s">
        <v>275</v>
      </c>
    </row>
    <row r="903" spans="1:21" x14ac:dyDescent="0.25">
      <c r="A903" s="47"/>
      <c r="B903" s="108" t="s">
        <v>23</v>
      </c>
      <c r="C903" s="47" t="s">
        <v>275</v>
      </c>
      <c r="D903" s="3" t="s">
        <v>158</v>
      </c>
      <c r="E903" s="3" t="s">
        <v>196</v>
      </c>
      <c r="F903" s="3" t="s">
        <v>190</v>
      </c>
      <c r="G903" s="3" t="s">
        <v>197</v>
      </c>
      <c r="H903" s="3"/>
      <c r="I903" s="3"/>
      <c r="J903" s="3"/>
      <c r="K903" s="3"/>
      <c r="L903" s="3"/>
      <c r="M903" s="36" t="s">
        <v>1258</v>
      </c>
      <c r="N903" s="36"/>
      <c r="O903" s="36"/>
      <c r="P903" s="36"/>
      <c r="Q903" s="36"/>
      <c r="R903" s="150"/>
      <c r="S903" s="36"/>
      <c r="T903" s="47" t="s">
        <v>275</v>
      </c>
      <c r="U903" s="146" t="s">
        <v>275</v>
      </c>
    </row>
    <row r="904" spans="1:21" x14ac:dyDescent="0.25">
      <c r="A904" s="47"/>
      <c r="B904" s="108" t="s">
        <v>23</v>
      </c>
      <c r="C904" s="47" t="s">
        <v>275</v>
      </c>
      <c r="D904" s="3" t="s">
        <v>158</v>
      </c>
      <c r="E904" s="3" t="s">
        <v>193</v>
      </c>
      <c r="F904" s="3" t="s">
        <v>190</v>
      </c>
      <c r="G904" s="3" t="s">
        <v>194</v>
      </c>
      <c r="H904" s="3"/>
      <c r="I904" s="3"/>
      <c r="J904" s="3"/>
      <c r="K904" s="3"/>
      <c r="L904" s="3"/>
      <c r="M904" s="36" t="s">
        <v>1258</v>
      </c>
      <c r="N904" s="36"/>
      <c r="O904" s="36"/>
      <c r="P904" s="36"/>
      <c r="Q904" s="36"/>
      <c r="R904" s="150"/>
      <c r="S904" s="36"/>
      <c r="T904" s="47" t="s">
        <v>275</v>
      </c>
      <c r="U904" s="146" t="s">
        <v>275</v>
      </c>
    </row>
    <row r="905" spans="1:21" ht="30" x14ac:dyDescent="0.25">
      <c r="A905" s="47"/>
      <c r="B905" s="108" t="s">
        <v>23</v>
      </c>
      <c r="C905" s="47" t="s">
        <v>275</v>
      </c>
      <c r="D905" s="3" t="s">
        <v>158</v>
      </c>
      <c r="E905" s="3" t="s">
        <v>188</v>
      </c>
      <c r="F905" s="3" t="s">
        <v>190</v>
      </c>
      <c r="G905" s="3" t="s">
        <v>192</v>
      </c>
      <c r="H905" s="3"/>
      <c r="I905" s="3"/>
      <c r="J905" s="3"/>
      <c r="K905" s="3"/>
      <c r="L905" s="3"/>
      <c r="M905" s="36" t="s">
        <v>1258</v>
      </c>
      <c r="N905" s="36"/>
      <c r="O905" s="36"/>
      <c r="P905" s="36"/>
      <c r="Q905" s="36"/>
      <c r="R905" s="150"/>
      <c r="S905" s="36"/>
      <c r="T905" s="47" t="s">
        <v>275</v>
      </c>
      <c r="U905" s="146" t="s">
        <v>275</v>
      </c>
    </row>
    <row r="906" spans="1:21" x14ac:dyDescent="0.25">
      <c r="A906" s="47"/>
      <c r="B906" s="108" t="s">
        <v>23</v>
      </c>
      <c r="C906" s="47" t="s">
        <v>275</v>
      </c>
      <c r="D906" s="3" t="s">
        <v>158</v>
      </c>
      <c r="E906" s="3" t="s">
        <v>191</v>
      </c>
      <c r="F906" s="3" t="s">
        <v>190</v>
      </c>
      <c r="G906" s="3" t="s">
        <v>189</v>
      </c>
      <c r="H906" s="3"/>
      <c r="I906" s="3"/>
      <c r="J906" s="3"/>
      <c r="K906" s="3"/>
      <c r="L906" s="3"/>
      <c r="M906" s="36" t="s">
        <v>1258</v>
      </c>
      <c r="N906" s="36"/>
      <c r="O906" s="36"/>
      <c r="P906" s="36"/>
      <c r="Q906" s="36"/>
      <c r="R906" s="150"/>
      <c r="S906" s="36"/>
      <c r="T906" s="47" t="s">
        <v>275</v>
      </c>
      <c r="U906" s="146" t="s">
        <v>275</v>
      </c>
    </row>
    <row r="907" spans="1:21" ht="30" x14ac:dyDescent="0.25">
      <c r="A907" s="109"/>
      <c r="B907" s="109" t="s">
        <v>23</v>
      </c>
      <c r="C907" s="109" t="s">
        <v>275</v>
      </c>
      <c r="D907" s="109" t="s">
        <v>158</v>
      </c>
      <c r="E907" s="109" t="s">
        <v>1255</v>
      </c>
      <c r="F907" s="109" t="s">
        <v>3082</v>
      </c>
      <c r="G907" s="109" t="s">
        <v>1331</v>
      </c>
      <c r="H907" s="109"/>
      <c r="I907" s="109"/>
      <c r="J907" s="109"/>
      <c r="K907" s="109"/>
      <c r="L907" s="109"/>
      <c r="M907" s="110" t="s">
        <v>1258</v>
      </c>
      <c r="N907" s="110"/>
      <c r="O907" s="110"/>
      <c r="P907" s="110"/>
      <c r="Q907" s="110" t="s">
        <v>1253</v>
      </c>
      <c r="R907" s="117">
        <v>45813</v>
      </c>
      <c r="S907" s="110" t="s">
        <v>1252</v>
      </c>
      <c r="T907" s="109" t="s">
        <v>275</v>
      </c>
      <c r="U907" s="138" t="s">
        <v>275</v>
      </c>
    </row>
    <row r="908" spans="1:21" ht="30" x14ac:dyDescent="0.25">
      <c r="A908" s="109"/>
      <c r="B908" s="109" t="s">
        <v>23</v>
      </c>
      <c r="C908" s="109" t="s">
        <v>275</v>
      </c>
      <c r="D908" s="109" t="s">
        <v>158</v>
      </c>
      <c r="E908" s="109" t="s">
        <v>1355</v>
      </c>
      <c r="F908" s="109" t="s">
        <v>3082</v>
      </c>
      <c r="G908" s="109" t="s">
        <v>1354</v>
      </c>
      <c r="H908" s="109"/>
      <c r="I908" s="109"/>
      <c r="J908" s="109"/>
      <c r="K908" s="109"/>
      <c r="L908" s="109"/>
      <c r="M908" s="110" t="s">
        <v>1258</v>
      </c>
      <c r="N908" s="110"/>
      <c r="O908" s="110"/>
      <c r="P908" s="110"/>
      <c r="Q908" s="110" t="s">
        <v>1710</v>
      </c>
      <c r="R908" s="117"/>
      <c r="S908" s="110"/>
      <c r="T908" s="109" t="s">
        <v>275</v>
      </c>
      <c r="U908" s="138" t="s">
        <v>275</v>
      </c>
    </row>
    <row r="909" spans="1:21" x14ac:dyDescent="0.25">
      <c r="A909" s="47"/>
      <c r="B909" s="108" t="s">
        <v>23</v>
      </c>
      <c r="C909" s="47" t="s">
        <v>275</v>
      </c>
      <c r="D909" s="3" t="s">
        <v>158</v>
      </c>
      <c r="E909" s="3" t="s">
        <v>2764</v>
      </c>
      <c r="F909" s="3" t="s">
        <v>3083</v>
      </c>
      <c r="G909" s="3" t="s">
        <v>2765</v>
      </c>
      <c r="H909" s="3"/>
      <c r="I909" s="3"/>
      <c r="J909" s="3"/>
      <c r="K909" s="3"/>
      <c r="L909" s="3"/>
      <c r="M909" s="36" t="s">
        <v>1036</v>
      </c>
      <c r="N909" s="36"/>
      <c r="O909" s="36"/>
      <c r="P909" s="36"/>
      <c r="Q909" s="36"/>
      <c r="R909" s="150"/>
      <c r="S909" s="36"/>
      <c r="T909" s="47" t="s">
        <v>275</v>
      </c>
      <c r="U909" s="146"/>
    </row>
    <row r="910" spans="1:21" ht="45" x14ac:dyDescent="0.25">
      <c r="A910" s="47"/>
      <c r="B910" s="108" t="s">
        <v>23</v>
      </c>
      <c r="C910" s="47" t="s">
        <v>275</v>
      </c>
      <c r="D910" s="3" t="s">
        <v>158</v>
      </c>
      <c r="E910" s="3" t="s">
        <v>2448</v>
      </c>
      <c r="F910" s="3" t="s">
        <v>190</v>
      </c>
      <c r="G910" s="3" t="s">
        <v>2449</v>
      </c>
      <c r="H910" s="3"/>
      <c r="I910" s="3"/>
      <c r="J910" s="3"/>
      <c r="K910" s="3"/>
      <c r="L910" s="3"/>
      <c r="M910" s="36" t="s">
        <v>1036</v>
      </c>
      <c r="N910" s="36"/>
      <c r="O910" s="36"/>
      <c r="P910" s="36"/>
      <c r="Q910" s="36"/>
      <c r="R910" s="150"/>
      <c r="S910" s="36"/>
      <c r="T910" s="47" t="s">
        <v>275</v>
      </c>
      <c r="U910" s="146"/>
    </row>
    <row r="911" spans="1:21" ht="30" x14ac:dyDescent="0.25">
      <c r="A911" s="47"/>
      <c r="B911" s="108" t="s">
        <v>23</v>
      </c>
      <c r="C911" s="47" t="s">
        <v>275</v>
      </c>
      <c r="D911" s="3" t="s">
        <v>158</v>
      </c>
      <c r="E911" s="3" t="s">
        <v>1778</v>
      </c>
      <c r="F911" s="3" t="s">
        <v>190</v>
      </c>
      <c r="G911" s="3" t="s">
        <v>1777</v>
      </c>
      <c r="H911" s="3"/>
      <c r="I911" s="3"/>
      <c r="J911" s="3"/>
      <c r="K911" s="3"/>
      <c r="L911" s="3"/>
      <c r="M911" s="36" t="s">
        <v>1036</v>
      </c>
      <c r="N911" s="36"/>
      <c r="O911" s="36"/>
      <c r="P911" s="36"/>
      <c r="Q911" s="36"/>
      <c r="R911" s="150"/>
      <c r="S911" s="36"/>
      <c r="T911" s="47" t="s">
        <v>275</v>
      </c>
      <c r="U911" s="146" t="s">
        <v>275</v>
      </c>
    </row>
    <row r="912" spans="1:21" ht="30" x14ac:dyDescent="0.25">
      <c r="A912" s="109"/>
      <c r="B912" s="109" t="s">
        <v>23</v>
      </c>
      <c r="C912" s="109" t="s">
        <v>275</v>
      </c>
      <c r="D912" s="109" t="s">
        <v>158</v>
      </c>
      <c r="E912" s="109" t="s">
        <v>1685</v>
      </c>
      <c r="F912" s="109" t="s">
        <v>190</v>
      </c>
      <c r="G912" s="109" t="s">
        <v>1686</v>
      </c>
      <c r="H912" s="109"/>
      <c r="I912" s="109"/>
      <c r="J912" s="109"/>
      <c r="K912" s="109"/>
      <c r="L912" s="109"/>
      <c r="M912" s="109" t="s">
        <v>1036</v>
      </c>
      <c r="N912" s="109"/>
      <c r="O912" s="109"/>
      <c r="P912" s="109"/>
      <c r="Q912" s="109" t="s">
        <v>1709</v>
      </c>
      <c r="R912" s="117"/>
      <c r="S912" s="109"/>
      <c r="T912" s="109" t="s">
        <v>275</v>
      </c>
      <c r="U912" s="109" t="s">
        <v>275</v>
      </c>
    </row>
    <row r="913" spans="1:21" ht="45" x14ac:dyDescent="0.25">
      <c r="A913" s="47"/>
      <c r="B913" s="108"/>
      <c r="C913" s="47" t="s">
        <v>275</v>
      </c>
      <c r="D913" s="3" t="s">
        <v>287</v>
      </c>
      <c r="E913" s="3" t="s">
        <v>2483</v>
      </c>
      <c r="F913" s="3" t="s">
        <v>1703</v>
      </c>
      <c r="G913" s="3" t="s">
        <v>2484</v>
      </c>
      <c r="H913" s="3"/>
      <c r="I913" s="3"/>
      <c r="J913" s="3"/>
      <c r="K913" s="3"/>
      <c r="L913" s="3"/>
      <c r="M913" s="36" t="s">
        <v>1258</v>
      </c>
      <c r="N913" s="36"/>
      <c r="O913" s="36"/>
      <c r="P913" s="36"/>
      <c r="Q913" s="36" t="s">
        <v>2485</v>
      </c>
      <c r="R913" s="150">
        <v>45863</v>
      </c>
      <c r="S913" s="36" t="s">
        <v>239</v>
      </c>
      <c r="T913" s="47" t="s">
        <v>275</v>
      </c>
      <c r="U913" s="146"/>
    </row>
    <row r="914" spans="1:21" ht="30" x14ac:dyDescent="0.25">
      <c r="A914" s="109"/>
      <c r="B914" s="109" t="s">
        <v>23</v>
      </c>
      <c r="C914" s="109" t="s">
        <v>275</v>
      </c>
      <c r="D914" s="109" t="s">
        <v>287</v>
      </c>
      <c r="E914" s="109" t="s">
        <v>1556</v>
      </c>
      <c r="F914" s="109" t="s">
        <v>287</v>
      </c>
      <c r="G914" s="109" t="s">
        <v>1546</v>
      </c>
      <c r="H914" s="109"/>
      <c r="I914" s="109"/>
      <c r="J914" s="109"/>
      <c r="K914" s="109"/>
      <c r="L914" s="109"/>
      <c r="M914" s="110" t="s">
        <v>1258</v>
      </c>
      <c r="N914" s="110"/>
      <c r="O914" s="110"/>
      <c r="P914" s="110"/>
      <c r="Q914" s="110"/>
      <c r="R914" s="117"/>
      <c r="S914" s="110"/>
      <c r="T914" s="109" t="s">
        <v>275</v>
      </c>
      <c r="U914" s="138" t="s">
        <v>275</v>
      </c>
    </row>
    <row r="915" spans="1:21" ht="30" x14ac:dyDescent="0.25">
      <c r="A915" s="47"/>
      <c r="B915" s="108" t="s">
        <v>23</v>
      </c>
      <c r="C915" s="47" t="s">
        <v>275</v>
      </c>
      <c r="D915" s="3" t="s">
        <v>287</v>
      </c>
      <c r="E915" s="3" t="s">
        <v>1613</v>
      </c>
      <c r="F915" s="3" t="s">
        <v>3085</v>
      </c>
      <c r="G915" s="3" t="s">
        <v>1614</v>
      </c>
      <c r="H915" s="3"/>
      <c r="I915" s="3"/>
      <c r="J915" s="3"/>
      <c r="K915" s="3"/>
      <c r="L915" s="3"/>
      <c r="M915" s="36" t="s">
        <v>1258</v>
      </c>
      <c r="N915" s="36"/>
      <c r="O915" s="36"/>
      <c r="P915" s="36"/>
      <c r="Q915" s="36" t="s">
        <v>1640</v>
      </c>
      <c r="R915" s="117">
        <v>45763</v>
      </c>
      <c r="S915" s="109" t="s">
        <v>239</v>
      </c>
      <c r="T915" s="47" t="s">
        <v>275</v>
      </c>
      <c r="U915" s="146" t="s">
        <v>275</v>
      </c>
    </row>
    <row r="916" spans="1:21" x14ac:dyDescent="0.25">
      <c r="A916" s="109"/>
      <c r="B916" s="109" t="s">
        <v>23</v>
      </c>
      <c r="C916" s="109" t="s">
        <v>275</v>
      </c>
      <c r="D916" s="109" t="s">
        <v>287</v>
      </c>
      <c r="E916" s="109" t="s">
        <v>1617</v>
      </c>
      <c r="F916" s="109" t="s">
        <v>3085</v>
      </c>
      <c r="G916" s="109" t="s">
        <v>1618</v>
      </c>
      <c r="H916" s="109"/>
      <c r="I916" s="109"/>
      <c r="J916" s="109"/>
      <c r="K916" s="109"/>
      <c r="L916" s="109"/>
      <c r="M916" s="109" t="s">
        <v>1258</v>
      </c>
      <c r="N916" s="109"/>
      <c r="O916" s="109"/>
      <c r="P916" s="109"/>
      <c r="Q916" s="109" t="s">
        <v>1640</v>
      </c>
      <c r="R916" s="117">
        <v>45769</v>
      </c>
      <c r="S916" s="36" t="s">
        <v>1074</v>
      </c>
      <c r="T916" s="109" t="s">
        <v>275</v>
      </c>
      <c r="U916" s="109" t="s">
        <v>275</v>
      </c>
    </row>
    <row r="917" spans="1:21" x14ac:dyDescent="0.25">
      <c r="A917" s="47"/>
      <c r="B917" s="108" t="s">
        <v>23</v>
      </c>
      <c r="C917" s="47" t="s">
        <v>275</v>
      </c>
      <c r="D917" s="3" t="s">
        <v>287</v>
      </c>
      <c r="E917" s="3" t="s">
        <v>1627</v>
      </c>
      <c r="F917" s="3" t="s">
        <v>3085</v>
      </c>
      <c r="G917" s="3" t="s">
        <v>1628</v>
      </c>
      <c r="H917" s="3"/>
      <c r="I917" s="3"/>
      <c r="J917" s="3"/>
      <c r="K917" s="3"/>
      <c r="L917" s="3"/>
      <c r="M917" s="36" t="s">
        <v>1258</v>
      </c>
      <c r="N917" s="36"/>
      <c r="O917" s="36"/>
      <c r="P917" s="36"/>
      <c r="Q917" s="36" t="s">
        <v>1640</v>
      </c>
      <c r="R917" s="150">
        <v>45797</v>
      </c>
      <c r="S917" s="36" t="s">
        <v>206</v>
      </c>
      <c r="T917" s="47" t="s">
        <v>275</v>
      </c>
      <c r="U917" s="146" t="s">
        <v>275</v>
      </c>
    </row>
    <row r="918" spans="1:21" ht="30" x14ac:dyDescent="0.25">
      <c r="A918" s="47"/>
      <c r="B918" s="108" t="s">
        <v>23</v>
      </c>
      <c r="C918" s="47" t="s">
        <v>275</v>
      </c>
      <c r="D918" s="3" t="s">
        <v>287</v>
      </c>
      <c r="E918" s="3" t="s">
        <v>1634</v>
      </c>
      <c r="F918" s="3" t="s">
        <v>3086</v>
      </c>
      <c r="G918" s="3" t="s">
        <v>1635</v>
      </c>
      <c r="H918" s="3"/>
      <c r="I918" s="3"/>
      <c r="J918" s="3"/>
      <c r="K918" s="3"/>
      <c r="L918" s="3"/>
      <c r="M918" s="36" t="s">
        <v>1258</v>
      </c>
      <c r="N918" s="36"/>
      <c r="O918" s="36"/>
      <c r="P918" s="36"/>
      <c r="Q918" s="36" t="s">
        <v>1640</v>
      </c>
      <c r="R918" s="150">
        <v>45806</v>
      </c>
      <c r="S918" s="36" t="s">
        <v>239</v>
      </c>
      <c r="T918" s="47" t="s">
        <v>275</v>
      </c>
      <c r="U918" s="146" t="s">
        <v>275</v>
      </c>
    </row>
    <row r="919" spans="1:21" ht="30" x14ac:dyDescent="0.25">
      <c r="A919" s="47"/>
      <c r="B919" s="108" t="s">
        <v>23</v>
      </c>
      <c r="C919" s="47" t="s">
        <v>275</v>
      </c>
      <c r="D919" s="3" t="s">
        <v>287</v>
      </c>
      <c r="E919" s="3" t="s">
        <v>1328</v>
      </c>
      <c r="F919" s="3" t="s">
        <v>287</v>
      </c>
      <c r="G919" s="3" t="s">
        <v>1330</v>
      </c>
      <c r="H919" s="3"/>
      <c r="I919" s="3"/>
      <c r="J919" s="3"/>
      <c r="K919" s="3"/>
      <c r="L919" s="3"/>
      <c r="M919" s="36" t="s">
        <v>1258</v>
      </c>
      <c r="N919" s="36"/>
      <c r="O919" s="36"/>
      <c r="P919" s="36"/>
      <c r="Q919" s="36"/>
      <c r="R919" s="150"/>
      <c r="S919" s="36"/>
      <c r="T919" s="47" t="s">
        <v>275</v>
      </c>
      <c r="U919" s="146" t="s">
        <v>275</v>
      </c>
    </row>
    <row r="920" spans="1:21" ht="30" x14ac:dyDescent="0.25">
      <c r="A920" s="109"/>
      <c r="B920" s="109" t="s">
        <v>23</v>
      </c>
      <c r="C920" s="109" t="s">
        <v>275</v>
      </c>
      <c r="D920" s="109" t="s">
        <v>287</v>
      </c>
      <c r="E920" s="109" t="s">
        <v>1055</v>
      </c>
      <c r="F920" s="109" t="s">
        <v>287</v>
      </c>
      <c r="G920" s="109" t="s">
        <v>1032</v>
      </c>
      <c r="H920" s="109"/>
      <c r="I920" s="109"/>
      <c r="J920" s="109"/>
      <c r="K920" s="109"/>
      <c r="L920" s="109"/>
      <c r="M920" s="109" t="s">
        <v>1258</v>
      </c>
      <c r="N920" s="109" t="s">
        <v>23</v>
      </c>
      <c r="O920" s="109"/>
      <c r="P920" s="109"/>
      <c r="Q920" s="109" t="s">
        <v>1239</v>
      </c>
      <c r="R920" s="117">
        <v>45782</v>
      </c>
      <c r="S920" s="109" t="s">
        <v>206</v>
      </c>
      <c r="T920" s="109" t="s">
        <v>275</v>
      </c>
      <c r="U920" s="138" t="s">
        <v>275</v>
      </c>
    </row>
    <row r="921" spans="1:21" ht="30" x14ac:dyDescent="0.25">
      <c r="A921" s="47"/>
      <c r="B921" s="108" t="s">
        <v>23</v>
      </c>
      <c r="C921" s="47" t="s">
        <v>275</v>
      </c>
      <c r="D921" s="3" t="s">
        <v>287</v>
      </c>
      <c r="E921" s="3" t="s">
        <v>1017</v>
      </c>
      <c r="F921" s="3" t="s">
        <v>287</v>
      </c>
      <c r="G921" s="3" t="s">
        <v>1014</v>
      </c>
      <c r="H921" s="3"/>
      <c r="I921" s="3"/>
      <c r="J921" s="3"/>
      <c r="K921" s="3"/>
      <c r="L921" s="3"/>
      <c r="M921" s="36" t="s">
        <v>1258</v>
      </c>
      <c r="N921" s="36"/>
      <c r="O921" s="36"/>
      <c r="P921" s="36"/>
      <c r="Q921" s="36"/>
      <c r="R921" s="150"/>
      <c r="S921" s="36"/>
      <c r="T921" s="47" t="s">
        <v>275</v>
      </c>
      <c r="U921" s="146" t="s">
        <v>275</v>
      </c>
    </row>
    <row r="922" spans="1:21" ht="30" x14ac:dyDescent="0.25">
      <c r="A922" s="47"/>
      <c r="B922" s="108" t="s">
        <v>23</v>
      </c>
      <c r="C922" s="47" t="s">
        <v>275</v>
      </c>
      <c r="D922" s="3" t="s">
        <v>287</v>
      </c>
      <c r="E922" s="3" t="s">
        <v>1137</v>
      </c>
      <c r="F922" s="3" t="s">
        <v>287</v>
      </c>
      <c r="G922" s="3" t="s">
        <v>1132</v>
      </c>
      <c r="H922" s="3"/>
      <c r="I922" s="3"/>
      <c r="J922" s="3"/>
      <c r="K922" s="3"/>
      <c r="L922" s="3"/>
      <c r="M922" s="36" t="s">
        <v>1258</v>
      </c>
      <c r="N922" s="36"/>
      <c r="O922" s="36"/>
      <c r="P922" s="36"/>
      <c r="Q922" s="36"/>
      <c r="R922" s="150"/>
      <c r="S922" s="36"/>
      <c r="T922" s="47" t="s">
        <v>275</v>
      </c>
      <c r="U922" s="146" t="s">
        <v>275</v>
      </c>
    </row>
    <row r="923" spans="1:21" ht="30" x14ac:dyDescent="0.25">
      <c r="A923" s="47"/>
      <c r="B923" s="108" t="s">
        <v>23</v>
      </c>
      <c r="C923" s="47" t="s">
        <v>275</v>
      </c>
      <c r="D923" s="3" t="s">
        <v>287</v>
      </c>
      <c r="E923" s="3" t="s">
        <v>1056</v>
      </c>
      <c r="F923" s="3" t="s">
        <v>287</v>
      </c>
      <c r="G923" s="3" t="s">
        <v>1031</v>
      </c>
      <c r="H923" s="3"/>
      <c r="I923" s="3"/>
      <c r="J923" s="3"/>
      <c r="K923" s="3"/>
      <c r="L923" s="3"/>
      <c r="M923" s="36" t="s">
        <v>1258</v>
      </c>
      <c r="N923" s="36"/>
      <c r="O923" s="36"/>
      <c r="P923" s="36"/>
      <c r="Q923" s="36" t="s">
        <v>1238</v>
      </c>
      <c r="R923" s="150">
        <v>45782</v>
      </c>
      <c r="S923" s="36" t="s">
        <v>206</v>
      </c>
      <c r="T923" s="47" t="s">
        <v>275</v>
      </c>
      <c r="U923" s="146" t="s">
        <v>275</v>
      </c>
    </row>
    <row r="924" spans="1:21" ht="30" x14ac:dyDescent="0.25">
      <c r="A924" s="109"/>
      <c r="B924" s="109" t="s">
        <v>23</v>
      </c>
      <c r="C924" s="109" t="s">
        <v>275</v>
      </c>
      <c r="D924" s="109" t="s">
        <v>287</v>
      </c>
      <c r="E924" s="109" t="s">
        <v>1206</v>
      </c>
      <c r="F924" s="109" t="s">
        <v>287</v>
      </c>
      <c r="G924" s="109" t="s">
        <v>1202</v>
      </c>
      <c r="H924" s="109"/>
      <c r="I924" s="109"/>
      <c r="J924" s="109"/>
      <c r="K924" s="109"/>
      <c r="L924" s="109"/>
      <c r="M924" s="110" t="s">
        <v>1258</v>
      </c>
      <c r="N924" s="110"/>
      <c r="O924" s="110"/>
      <c r="P924" s="110"/>
      <c r="Q924" s="110" t="s">
        <v>1221</v>
      </c>
      <c r="R924" s="117">
        <v>45779</v>
      </c>
      <c r="S924" s="110" t="s">
        <v>206</v>
      </c>
      <c r="T924" s="109" t="s">
        <v>275</v>
      </c>
      <c r="U924" s="138" t="s">
        <v>275</v>
      </c>
    </row>
    <row r="925" spans="1:21" ht="30" x14ac:dyDescent="0.25">
      <c r="A925" s="47"/>
      <c r="B925" s="108" t="s">
        <v>23</v>
      </c>
      <c r="C925" s="47" t="s">
        <v>275</v>
      </c>
      <c r="D925" s="3" t="s">
        <v>287</v>
      </c>
      <c r="E925" s="3" t="s">
        <v>1195</v>
      </c>
      <c r="F925" s="3" t="s">
        <v>287</v>
      </c>
      <c r="G925" s="3" t="s">
        <v>1180</v>
      </c>
      <c r="H925" s="3"/>
      <c r="I925" s="3"/>
      <c r="J925" s="3"/>
      <c r="K925" s="3"/>
      <c r="L925" s="3"/>
      <c r="M925" s="36" t="s">
        <v>1258</v>
      </c>
      <c r="N925" s="36"/>
      <c r="O925" s="36"/>
      <c r="P925" s="36"/>
      <c r="Q925" s="36" t="s">
        <v>1204</v>
      </c>
      <c r="R925" s="150">
        <v>45775</v>
      </c>
      <c r="S925" s="36" t="s">
        <v>1193</v>
      </c>
      <c r="T925" s="47" t="s">
        <v>275</v>
      </c>
      <c r="U925" s="146" t="s">
        <v>275</v>
      </c>
    </row>
    <row r="926" spans="1:21" ht="30" x14ac:dyDescent="0.25">
      <c r="A926" s="47"/>
      <c r="B926" s="108" t="s">
        <v>23</v>
      </c>
      <c r="C926" s="47" t="s">
        <v>275</v>
      </c>
      <c r="D926" s="3" t="s">
        <v>287</v>
      </c>
      <c r="E926" s="3" t="s">
        <v>1196</v>
      </c>
      <c r="F926" s="3" t="s">
        <v>287</v>
      </c>
      <c r="G926" s="3" t="s">
        <v>1179</v>
      </c>
      <c r="H926" s="3"/>
      <c r="I926" s="3"/>
      <c r="J926" s="3"/>
      <c r="K926" s="3"/>
      <c r="L926" s="3"/>
      <c r="M926" s="36" t="s">
        <v>1258</v>
      </c>
      <c r="N926" s="36"/>
      <c r="O926" s="36"/>
      <c r="P926" s="36"/>
      <c r="Q926" s="36" t="s">
        <v>1203</v>
      </c>
      <c r="R926" s="150">
        <v>45775</v>
      </c>
      <c r="S926" s="36" t="s">
        <v>1193</v>
      </c>
      <c r="T926" s="47" t="s">
        <v>275</v>
      </c>
      <c r="U926" s="146" t="s">
        <v>275</v>
      </c>
    </row>
    <row r="927" spans="1:21" ht="30" x14ac:dyDescent="0.25">
      <c r="A927" s="47"/>
      <c r="B927" s="108" t="s">
        <v>23</v>
      </c>
      <c r="C927" s="47" t="s">
        <v>275</v>
      </c>
      <c r="D927" s="3" t="s">
        <v>287</v>
      </c>
      <c r="E927" s="3" t="s">
        <v>1136</v>
      </c>
      <c r="F927" s="3" t="s">
        <v>287</v>
      </c>
      <c r="G927" s="3" t="s">
        <v>413</v>
      </c>
      <c r="H927" s="3"/>
      <c r="I927" s="3"/>
      <c r="J927" s="3"/>
      <c r="K927" s="3"/>
      <c r="L927" s="3"/>
      <c r="M927" s="36" t="s">
        <v>1258</v>
      </c>
      <c r="N927" s="36"/>
      <c r="O927" s="36"/>
      <c r="P927" s="36"/>
      <c r="Q927" s="36"/>
      <c r="R927" s="150"/>
      <c r="S927" s="36"/>
      <c r="T927" s="47" t="s">
        <v>275</v>
      </c>
      <c r="U927" s="146" t="s">
        <v>275</v>
      </c>
    </row>
    <row r="928" spans="1:21" ht="30" x14ac:dyDescent="0.25">
      <c r="A928" s="109"/>
      <c r="B928" s="109" t="s">
        <v>23</v>
      </c>
      <c r="C928" s="109" t="s">
        <v>275</v>
      </c>
      <c r="D928" s="109" t="s">
        <v>287</v>
      </c>
      <c r="E928" s="109" t="s">
        <v>751</v>
      </c>
      <c r="F928" s="109" t="s">
        <v>287</v>
      </c>
      <c r="G928" s="109" t="s">
        <v>732</v>
      </c>
      <c r="H928" s="109"/>
      <c r="I928" s="109"/>
      <c r="J928" s="109"/>
      <c r="K928" s="109"/>
      <c r="L928" s="109"/>
      <c r="M928" s="109" t="s">
        <v>1258</v>
      </c>
      <c r="N928" s="109"/>
      <c r="O928" s="109"/>
      <c r="P928" s="109"/>
      <c r="Q928" s="109"/>
      <c r="R928" s="117">
        <v>45710</v>
      </c>
      <c r="S928" s="109"/>
      <c r="T928" s="109" t="s">
        <v>275</v>
      </c>
      <c r="U928" s="109" t="s">
        <v>275</v>
      </c>
    </row>
    <row r="929" spans="1:21" ht="30" x14ac:dyDescent="0.25">
      <c r="A929" s="47"/>
      <c r="B929" s="108" t="s">
        <v>23</v>
      </c>
      <c r="C929" s="47" t="s">
        <v>275</v>
      </c>
      <c r="D929" s="3" t="s">
        <v>287</v>
      </c>
      <c r="E929" s="3" t="s">
        <v>1115</v>
      </c>
      <c r="F929" s="3" t="s">
        <v>287</v>
      </c>
      <c r="G929" s="3" t="s">
        <v>1110</v>
      </c>
      <c r="H929" s="3"/>
      <c r="I929" s="3"/>
      <c r="J929" s="3"/>
      <c r="K929" s="3"/>
      <c r="L929" s="3"/>
      <c r="M929" s="36" t="s">
        <v>1258</v>
      </c>
      <c r="N929" s="36"/>
      <c r="O929" s="36"/>
      <c r="P929" s="36"/>
      <c r="Q929" s="36"/>
      <c r="R929" s="150"/>
      <c r="S929" s="36"/>
      <c r="T929" s="47" t="s">
        <v>275</v>
      </c>
      <c r="U929" s="146" t="s">
        <v>275</v>
      </c>
    </row>
    <row r="930" spans="1:21" ht="30" x14ac:dyDescent="0.25">
      <c r="A930" s="47"/>
      <c r="B930" s="108" t="s">
        <v>23</v>
      </c>
      <c r="C930" s="47" t="s">
        <v>275</v>
      </c>
      <c r="D930" s="3" t="s">
        <v>287</v>
      </c>
      <c r="E930" s="3" t="s">
        <v>1107</v>
      </c>
      <c r="F930" s="3" t="s">
        <v>287</v>
      </c>
      <c r="G930" s="3" t="s">
        <v>1101</v>
      </c>
      <c r="H930" s="3"/>
      <c r="I930" s="3"/>
      <c r="J930" s="3"/>
      <c r="K930" s="3"/>
      <c r="L930" s="3"/>
      <c r="M930" s="36" t="s">
        <v>1258</v>
      </c>
      <c r="N930" s="36"/>
      <c r="O930" s="36"/>
      <c r="P930" s="36"/>
      <c r="Q930" s="36"/>
      <c r="R930" s="150"/>
      <c r="S930" s="36"/>
      <c r="T930" s="47" t="s">
        <v>275</v>
      </c>
      <c r="U930" s="146" t="s">
        <v>275</v>
      </c>
    </row>
    <row r="931" spans="1:21" ht="30" x14ac:dyDescent="0.25">
      <c r="A931" s="47"/>
      <c r="B931" s="108" t="s">
        <v>23</v>
      </c>
      <c r="C931" s="47" t="s">
        <v>275</v>
      </c>
      <c r="D931" s="3" t="s">
        <v>287</v>
      </c>
      <c r="E931" s="3" t="s">
        <v>1045</v>
      </c>
      <c r="F931" s="3" t="s">
        <v>287</v>
      </c>
      <c r="G931" s="3" t="s">
        <v>1044</v>
      </c>
      <c r="H931" s="3"/>
      <c r="I931" s="3"/>
      <c r="J931" s="3"/>
      <c r="K931" s="3"/>
      <c r="L931" s="3"/>
      <c r="M931" s="36" t="s">
        <v>1258</v>
      </c>
      <c r="N931" s="36"/>
      <c r="O931" s="36"/>
      <c r="P931" s="36"/>
      <c r="Q931" s="36"/>
      <c r="R931" s="150"/>
      <c r="S931" s="36"/>
      <c r="T931" s="47" t="s">
        <v>275</v>
      </c>
      <c r="U931" s="146" t="s">
        <v>275</v>
      </c>
    </row>
    <row r="932" spans="1:21" x14ac:dyDescent="0.25">
      <c r="A932" s="47"/>
      <c r="B932" s="108" t="s">
        <v>23</v>
      </c>
      <c r="C932" s="47" t="s">
        <v>275</v>
      </c>
      <c r="D932" s="3" t="s">
        <v>287</v>
      </c>
      <c r="E932" s="3" t="s">
        <v>1041</v>
      </c>
      <c r="F932" s="3" t="s">
        <v>292</v>
      </c>
      <c r="G932" s="3" t="s">
        <v>1039</v>
      </c>
      <c r="H932" s="3"/>
      <c r="I932" s="3"/>
      <c r="J932" s="3"/>
      <c r="K932" s="3"/>
      <c r="L932" s="3"/>
      <c r="M932" s="36" t="s">
        <v>1258</v>
      </c>
      <c r="N932" s="36"/>
      <c r="O932" s="36"/>
      <c r="P932" s="36"/>
      <c r="Q932" s="36"/>
      <c r="R932" s="150"/>
      <c r="S932" s="36"/>
      <c r="T932" s="47" t="s">
        <v>275</v>
      </c>
      <c r="U932" s="146" t="s">
        <v>275</v>
      </c>
    </row>
    <row r="933" spans="1:21" ht="30" x14ac:dyDescent="0.25">
      <c r="A933" s="109"/>
      <c r="B933" s="109" t="s">
        <v>23</v>
      </c>
      <c r="C933" s="109" t="s">
        <v>275</v>
      </c>
      <c r="D933" s="109" t="s">
        <v>287</v>
      </c>
      <c r="E933" s="109" t="s">
        <v>1027</v>
      </c>
      <c r="F933" s="109" t="s">
        <v>287</v>
      </c>
      <c r="G933" s="109" t="s">
        <v>1021</v>
      </c>
      <c r="H933" s="109"/>
      <c r="I933" s="109"/>
      <c r="J933" s="109"/>
      <c r="K933" s="109"/>
      <c r="L933" s="109"/>
      <c r="M933" s="109" t="s">
        <v>1258</v>
      </c>
      <c r="N933" s="109"/>
      <c r="O933" s="109"/>
      <c r="P933" s="109"/>
      <c r="Q933" s="109"/>
      <c r="R933" s="117"/>
      <c r="S933" s="109"/>
      <c r="T933" s="109" t="s">
        <v>275</v>
      </c>
      <c r="U933" s="109" t="s">
        <v>275</v>
      </c>
    </row>
    <row r="934" spans="1:21" ht="30" x14ac:dyDescent="0.25">
      <c r="A934" s="109"/>
      <c r="B934" s="109" t="s">
        <v>23</v>
      </c>
      <c r="C934" s="109" t="s">
        <v>275</v>
      </c>
      <c r="D934" s="109" t="s">
        <v>287</v>
      </c>
      <c r="E934" s="109" t="s">
        <v>1018</v>
      </c>
      <c r="F934" s="109" t="s">
        <v>287</v>
      </c>
      <c r="G934" s="109" t="s">
        <v>1013</v>
      </c>
      <c r="H934" s="109"/>
      <c r="I934" s="109"/>
      <c r="J934" s="109"/>
      <c r="K934" s="109"/>
      <c r="L934" s="109"/>
      <c r="M934" s="109" t="s">
        <v>1258</v>
      </c>
      <c r="N934" s="109"/>
      <c r="O934" s="109"/>
      <c r="P934" s="109"/>
      <c r="Q934" s="109"/>
      <c r="R934" s="117"/>
      <c r="S934" s="109"/>
      <c r="T934" s="109" t="s">
        <v>275</v>
      </c>
      <c r="U934" s="109" t="s">
        <v>275</v>
      </c>
    </row>
    <row r="935" spans="1:21" x14ac:dyDescent="0.25">
      <c r="A935" s="47"/>
      <c r="B935" s="108" t="s">
        <v>23</v>
      </c>
      <c r="C935" s="47" t="s">
        <v>275</v>
      </c>
      <c r="D935" s="3" t="s">
        <v>287</v>
      </c>
      <c r="E935" s="3" t="s">
        <v>1007</v>
      </c>
      <c r="F935" s="3" t="s">
        <v>292</v>
      </c>
      <c r="G935" s="3" t="s">
        <v>1004</v>
      </c>
      <c r="H935" s="3"/>
      <c r="I935" s="3"/>
      <c r="J935" s="3"/>
      <c r="K935" s="3"/>
      <c r="L935" s="3"/>
      <c r="M935" s="36" t="s">
        <v>1258</v>
      </c>
      <c r="N935" s="36"/>
      <c r="O935" s="36"/>
      <c r="P935" s="36"/>
      <c r="Q935" s="36"/>
      <c r="R935" s="150"/>
      <c r="S935" s="36"/>
      <c r="T935" s="47" t="s">
        <v>275</v>
      </c>
      <c r="U935" s="146" t="s">
        <v>275</v>
      </c>
    </row>
    <row r="936" spans="1:21" x14ac:dyDescent="0.25">
      <c r="A936" s="109"/>
      <c r="B936" s="109" t="s">
        <v>23</v>
      </c>
      <c r="C936" s="109" t="s">
        <v>275</v>
      </c>
      <c r="D936" s="109" t="s">
        <v>287</v>
      </c>
      <c r="E936" s="109" t="s">
        <v>989</v>
      </c>
      <c r="F936" s="109" t="s">
        <v>530</v>
      </c>
      <c r="G936" s="109" t="s">
        <v>982</v>
      </c>
      <c r="H936" s="109"/>
      <c r="I936" s="109"/>
      <c r="J936" s="109"/>
      <c r="K936" s="109"/>
      <c r="L936" s="109"/>
      <c r="M936" s="109" t="s">
        <v>1258</v>
      </c>
      <c r="N936" s="109"/>
      <c r="O936" s="109"/>
      <c r="P936" s="109"/>
      <c r="Q936" s="109"/>
      <c r="R936" s="117"/>
      <c r="S936" s="109"/>
      <c r="T936" s="109" t="s">
        <v>275</v>
      </c>
      <c r="U936" s="138" t="s">
        <v>275</v>
      </c>
    </row>
    <row r="937" spans="1:21" x14ac:dyDescent="0.25">
      <c r="A937" s="47"/>
      <c r="B937" s="108" t="s">
        <v>23</v>
      </c>
      <c r="C937" s="47" t="s">
        <v>275</v>
      </c>
      <c r="D937" s="3" t="s">
        <v>287</v>
      </c>
      <c r="E937" s="3" t="s">
        <v>990</v>
      </c>
      <c r="F937" s="3" t="s">
        <v>530</v>
      </c>
      <c r="G937" s="3" t="s">
        <v>981</v>
      </c>
      <c r="H937" s="3"/>
      <c r="I937" s="3"/>
      <c r="J937" s="3"/>
      <c r="K937" s="3"/>
      <c r="L937" s="3"/>
      <c r="M937" s="36" t="s">
        <v>1258</v>
      </c>
      <c r="N937" s="36"/>
      <c r="O937" s="36"/>
      <c r="P937" s="36"/>
      <c r="Q937" s="36"/>
      <c r="R937" s="150"/>
      <c r="S937" s="36"/>
      <c r="T937" s="47" t="s">
        <v>275</v>
      </c>
      <c r="U937" s="146" t="s">
        <v>275</v>
      </c>
    </row>
    <row r="938" spans="1:21" ht="45" x14ac:dyDescent="0.25">
      <c r="A938" s="109"/>
      <c r="B938" s="109" t="s">
        <v>23</v>
      </c>
      <c r="C938" s="109" t="s">
        <v>275</v>
      </c>
      <c r="D938" s="109" t="s">
        <v>287</v>
      </c>
      <c r="E938" s="109" t="s">
        <v>1008</v>
      </c>
      <c r="F938" s="109" t="s">
        <v>287</v>
      </c>
      <c r="G938" s="109" t="s">
        <v>1003</v>
      </c>
      <c r="H938" s="109"/>
      <c r="I938" s="109"/>
      <c r="J938" s="109"/>
      <c r="K938" s="109"/>
      <c r="L938" s="109"/>
      <c r="M938" s="109" t="s">
        <v>1258</v>
      </c>
      <c r="N938" s="109"/>
      <c r="O938" s="109"/>
      <c r="P938" s="109"/>
      <c r="Q938" s="109"/>
      <c r="R938" s="117"/>
      <c r="S938" s="109"/>
      <c r="T938" s="109" t="s">
        <v>275</v>
      </c>
      <c r="U938" s="109" t="s">
        <v>275</v>
      </c>
    </row>
    <row r="939" spans="1:21" ht="30" x14ac:dyDescent="0.25">
      <c r="A939" s="47"/>
      <c r="B939" s="108" t="s">
        <v>23</v>
      </c>
      <c r="C939" s="47" t="s">
        <v>275</v>
      </c>
      <c r="D939" s="3" t="s">
        <v>287</v>
      </c>
      <c r="E939" s="3" t="s">
        <v>971</v>
      </c>
      <c r="F939" s="3" t="s">
        <v>287</v>
      </c>
      <c r="G939" s="3" t="s">
        <v>941</v>
      </c>
      <c r="H939" s="3"/>
      <c r="I939" s="3"/>
      <c r="J939" s="3"/>
      <c r="K939" s="3"/>
      <c r="L939" s="3"/>
      <c r="M939" s="36" t="s">
        <v>1258</v>
      </c>
      <c r="N939" s="36"/>
      <c r="O939" s="36"/>
      <c r="P939" s="36"/>
      <c r="Q939" s="36"/>
      <c r="R939" s="150"/>
      <c r="S939" s="36"/>
      <c r="T939" s="47" t="s">
        <v>275</v>
      </c>
      <c r="U939" s="146" t="s">
        <v>275</v>
      </c>
    </row>
    <row r="940" spans="1:21" ht="30" x14ac:dyDescent="0.25">
      <c r="A940" s="109"/>
      <c r="B940" s="109" t="s">
        <v>23</v>
      </c>
      <c r="C940" s="109" t="s">
        <v>275</v>
      </c>
      <c r="D940" s="109" t="s">
        <v>287</v>
      </c>
      <c r="E940" s="109" t="s">
        <v>972</v>
      </c>
      <c r="F940" s="109" t="s">
        <v>287</v>
      </c>
      <c r="G940" s="109" t="s">
        <v>940</v>
      </c>
      <c r="H940" s="109"/>
      <c r="I940" s="109"/>
      <c r="J940" s="109"/>
      <c r="K940" s="109"/>
      <c r="L940" s="109"/>
      <c r="M940" s="109" t="s">
        <v>1258</v>
      </c>
      <c r="N940" s="109"/>
      <c r="O940" s="109"/>
      <c r="P940" s="109"/>
      <c r="Q940" s="109"/>
      <c r="R940" s="117"/>
      <c r="S940" s="109"/>
      <c r="T940" s="109" t="s">
        <v>275</v>
      </c>
      <c r="U940" s="109" t="s">
        <v>275</v>
      </c>
    </row>
    <row r="941" spans="1:21" ht="30" x14ac:dyDescent="0.25">
      <c r="A941" s="109"/>
      <c r="B941" s="109" t="s">
        <v>23</v>
      </c>
      <c r="C941" s="109" t="s">
        <v>275</v>
      </c>
      <c r="D941" s="109" t="s">
        <v>287</v>
      </c>
      <c r="E941" s="109" t="s">
        <v>973</v>
      </c>
      <c r="F941" s="109" t="s">
        <v>287</v>
      </c>
      <c r="G941" s="109" t="s">
        <v>942</v>
      </c>
      <c r="H941" s="109"/>
      <c r="I941" s="109"/>
      <c r="J941" s="109"/>
      <c r="K941" s="109"/>
      <c r="L941" s="109"/>
      <c r="M941" s="109" t="s">
        <v>1258</v>
      </c>
      <c r="N941" s="109"/>
      <c r="O941" s="109"/>
      <c r="P941" s="109"/>
      <c r="Q941" s="109"/>
      <c r="R941" s="117"/>
      <c r="S941" s="109"/>
      <c r="T941" s="109" t="s">
        <v>275</v>
      </c>
      <c r="U941" s="109" t="s">
        <v>275</v>
      </c>
    </row>
    <row r="942" spans="1:21" ht="30" x14ac:dyDescent="0.25">
      <c r="A942" s="109"/>
      <c r="B942" s="109" t="s">
        <v>23</v>
      </c>
      <c r="C942" s="109" t="s">
        <v>275</v>
      </c>
      <c r="D942" s="109" t="s">
        <v>287</v>
      </c>
      <c r="E942" s="109" t="s">
        <v>974</v>
      </c>
      <c r="F942" s="109" t="s">
        <v>287</v>
      </c>
      <c r="G942" s="109" t="s">
        <v>943</v>
      </c>
      <c r="H942" s="109"/>
      <c r="I942" s="109"/>
      <c r="J942" s="109"/>
      <c r="K942" s="109"/>
      <c r="L942" s="109"/>
      <c r="M942" s="110" t="s">
        <v>1258</v>
      </c>
      <c r="N942" s="110"/>
      <c r="O942" s="110"/>
      <c r="P942" s="110"/>
      <c r="Q942" s="110"/>
      <c r="R942" s="117"/>
      <c r="S942" s="110"/>
      <c r="T942" s="109" t="s">
        <v>275</v>
      </c>
      <c r="U942" s="138" t="s">
        <v>275</v>
      </c>
    </row>
    <row r="943" spans="1:21" ht="30" x14ac:dyDescent="0.25">
      <c r="A943" s="47"/>
      <c r="B943" s="108" t="s">
        <v>23</v>
      </c>
      <c r="C943" s="47" t="s">
        <v>275</v>
      </c>
      <c r="D943" s="3" t="s">
        <v>287</v>
      </c>
      <c r="E943" s="3" t="s">
        <v>930</v>
      </c>
      <c r="F943" s="3" t="s">
        <v>287</v>
      </c>
      <c r="G943" s="3" t="s">
        <v>929</v>
      </c>
      <c r="H943" s="3"/>
      <c r="I943" s="3"/>
      <c r="J943" s="3"/>
      <c r="K943" s="3"/>
      <c r="L943" s="3"/>
      <c r="M943" s="36" t="s">
        <v>1258</v>
      </c>
      <c r="N943" s="36"/>
      <c r="O943" s="36"/>
      <c r="P943" s="36"/>
      <c r="Q943" s="36"/>
      <c r="R943" s="150"/>
      <c r="S943" s="36"/>
      <c r="T943" s="47" t="s">
        <v>275</v>
      </c>
      <c r="U943" s="146" t="s">
        <v>275</v>
      </c>
    </row>
    <row r="944" spans="1:21" ht="30" x14ac:dyDescent="0.25">
      <c r="A944" s="109"/>
      <c r="B944" s="109" t="s">
        <v>23</v>
      </c>
      <c r="C944" s="109" t="s">
        <v>275</v>
      </c>
      <c r="D944" s="109" t="s">
        <v>287</v>
      </c>
      <c r="E944" s="109" t="s">
        <v>860</v>
      </c>
      <c r="F944" s="109" t="s">
        <v>287</v>
      </c>
      <c r="G944" s="109" t="s">
        <v>861</v>
      </c>
      <c r="H944" s="109"/>
      <c r="I944" s="109"/>
      <c r="J944" s="109"/>
      <c r="K944" s="109"/>
      <c r="L944" s="109"/>
      <c r="M944" s="109" t="s">
        <v>1258</v>
      </c>
      <c r="N944" s="109"/>
      <c r="O944" s="109"/>
      <c r="P944" s="109"/>
      <c r="Q944" s="109"/>
      <c r="R944" s="117"/>
      <c r="S944" s="109" t="s">
        <v>635</v>
      </c>
      <c r="T944" s="109" t="s">
        <v>275</v>
      </c>
      <c r="U944" s="109" t="s">
        <v>275</v>
      </c>
    </row>
    <row r="945" spans="1:21" ht="30" x14ac:dyDescent="0.25">
      <c r="A945" s="109"/>
      <c r="B945" s="109" t="s">
        <v>23</v>
      </c>
      <c r="C945" s="109" t="s">
        <v>275</v>
      </c>
      <c r="D945" s="109" t="s">
        <v>287</v>
      </c>
      <c r="E945" s="109" t="s">
        <v>969</v>
      </c>
      <c r="F945" s="109" t="s">
        <v>530</v>
      </c>
      <c r="G945" s="109" t="s">
        <v>953</v>
      </c>
      <c r="H945" s="109"/>
      <c r="I945" s="109"/>
      <c r="J945" s="109"/>
      <c r="K945" s="109"/>
      <c r="L945" s="109"/>
      <c r="M945" s="109" t="s">
        <v>1258</v>
      </c>
      <c r="N945" s="109"/>
      <c r="O945" s="109"/>
      <c r="P945" s="109"/>
      <c r="Q945" s="109"/>
      <c r="R945" s="117"/>
      <c r="S945" s="109"/>
      <c r="T945" s="109" t="s">
        <v>275</v>
      </c>
      <c r="U945" s="109" t="s">
        <v>275</v>
      </c>
    </row>
    <row r="946" spans="1:21" ht="30" x14ac:dyDescent="0.25">
      <c r="A946" s="109"/>
      <c r="B946" s="109" t="s">
        <v>23</v>
      </c>
      <c r="C946" s="109" t="s">
        <v>275</v>
      </c>
      <c r="D946" s="109" t="s">
        <v>287</v>
      </c>
      <c r="E946" s="109" t="s">
        <v>970</v>
      </c>
      <c r="F946" s="109" t="s">
        <v>287</v>
      </c>
      <c r="G946" s="109" t="s">
        <v>952</v>
      </c>
      <c r="H946" s="109"/>
      <c r="I946" s="109"/>
      <c r="J946" s="109"/>
      <c r="K946" s="109"/>
      <c r="L946" s="109"/>
      <c r="M946" s="109" t="s">
        <v>1258</v>
      </c>
      <c r="N946" s="109"/>
      <c r="O946" s="109"/>
      <c r="P946" s="109"/>
      <c r="Q946" s="109"/>
      <c r="R946" s="117"/>
      <c r="S946" s="109"/>
      <c r="T946" s="109" t="s">
        <v>275</v>
      </c>
      <c r="U946" s="109" t="s">
        <v>275</v>
      </c>
    </row>
    <row r="947" spans="1:21" x14ac:dyDescent="0.25">
      <c r="A947" s="47"/>
      <c r="B947" s="108" t="s">
        <v>23</v>
      </c>
      <c r="C947" s="47" t="s">
        <v>275</v>
      </c>
      <c r="D947" s="3" t="s">
        <v>287</v>
      </c>
      <c r="E947" s="3" t="s">
        <v>975</v>
      </c>
      <c r="F947" s="3" t="s">
        <v>292</v>
      </c>
      <c r="G947" s="3" t="s">
        <v>939</v>
      </c>
      <c r="H947" s="3"/>
      <c r="I947" s="3"/>
      <c r="J947" s="3"/>
      <c r="K947" s="3"/>
      <c r="L947" s="3"/>
      <c r="M947" s="36" t="s">
        <v>1258</v>
      </c>
      <c r="N947" s="36"/>
      <c r="O947" s="36"/>
      <c r="P947" s="36"/>
      <c r="Q947" s="36"/>
      <c r="R947" s="150"/>
      <c r="S947" s="36"/>
      <c r="T947" s="47" t="s">
        <v>275</v>
      </c>
      <c r="U947" s="146" t="s">
        <v>275</v>
      </c>
    </row>
    <row r="948" spans="1:21" ht="30" x14ac:dyDescent="0.25">
      <c r="A948" s="47"/>
      <c r="B948" s="108" t="s">
        <v>23</v>
      </c>
      <c r="C948" s="47" t="s">
        <v>275</v>
      </c>
      <c r="D948" s="3" t="s">
        <v>287</v>
      </c>
      <c r="E948" s="3" t="s">
        <v>976</v>
      </c>
      <c r="F948" s="3" t="s">
        <v>287</v>
      </c>
      <c r="G948" s="3" t="s">
        <v>937</v>
      </c>
      <c r="H948" s="3"/>
      <c r="I948" s="3"/>
      <c r="J948" s="3"/>
      <c r="K948" s="3"/>
      <c r="L948" s="3"/>
      <c r="M948" s="36" t="s">
        <v>1258</v>
      </c>
      <c r="N948" s="36"/>
      <c r="O948" s="36"/>
      <c r="P948" s="36"/>
      <c r="Q948" s="36"/>
      <c r="R948" s="150"/>
      <c r="S948" s="36"/>
      <c r="T948" s="47" t="s">
        <v>275</v>
      </c>
      <c r="U948" s="146" t="s">
        <v>275</v>
      </c>
    </row>
    <row r="949" spans="1:21" ht="30" x14ac:dyDescent="0.25">
      <c r="A949" s="47"/>
      <c r="B949" s="108" t="s">
        <v>23</v>
      </c>
      <c r="C949" s="47" t="s">
        <v>275</v>
      </c>
      <c r="D949" s="3" t="s">
        <v>287</v>
      </c>
      <c r="E949" s="3" t="s">
        <v>852</v>
      </c>
      <c r="F949" s="3" t="s">
        <v>287</v>
      </c>
      <c r="G949" s="3" t="s">
        <v>875</v>
      </c>
      <c r="H949" s="3"/>
      <c r="I949" s="3"/>
      <c r="J949" s="3"/>
      <c r="K949" s="3"/>
      <c r="L949" s="3"/>
      <c r="M949" s="36" t="s">
        <v>1258</v>
      </c>
      <c r="N949" s="36"/>
      <c r="O949" s="36"/>
      <c r="P949" s="36"/>
      <c r="Q949" s="36"/>
      <c r="R949" s="150"/>
      <c r="S949" s="36" t="s">
        <v>554</v>
      </c>
      <c r="T949" s="47" t="s">
        <v>275</v>
      </c>
      <c r="U949" s="146" t="s">
        <v>275</v>
      </c>
    </row>
    <row r="950" spans="1:21" ht="45" x14ac:dyDescent="0.25">
      <c r="A950" s="47"/>
      <c r="B950" s="108" t="s">
        <v>23</v>
      </c>
      <c r="C950" s="47" t="s">
        <v>275</v>
      </c>
      <c r="D950" s="3" t="s">
        <v>287</v>
      </c>
      <c r="E950" s="3" t="s">
        <v>818</v>
      </c>
      <c r="F950" s="3" t="s">
        <v>287</v>
      </c>
      <c r="G950" s="3" t="s">
        <v>819</v>
      </c>
      <c r="H950" s="3"/>
      <c r="I950" s="3"/>
      <c r="J950" s="3"/>
      <c r="K950" s="3"/>
      <c r="L950" s="3"/>
      <c r="M950" s="36" t="s">
        <v>1258</v>
      </c>
      <c r="N950" s="36"/>
      <c r="O950" s="36"/>
      <c r="P950" s="36"/>
      <c r="Q950" s="36" t="s">
        <v>829</v>
      </c>
      <c r="R950" s="150">
        <v>45720</v>
      </c>
      <c r="S950" s="36" t="s">
        <v>635</v>
      </c>
      <c r="T950" s="47" t="s">
        <v>275</v>
      </c>
      <c r="U950" s="146" t="s">
        <v>275</v>
      </c>
    </row>
    <row r="951" spans="1:21" ht="30" x14ac:dyDescent="0.25">
      <c r="A951" s="47"/>
      <c r="B951" s="108" t="s">
        <v>23</v>
      </c>
      <c r="C951" s="47" t="s">
        <v>275</v>
      </c>
      <c r="D951" s="3" t="s">
        <v>287</v>
      </c>
      <c r="E951" s="3" t="s">
        <v>827</v>
      </c>
      <c r="F951" s="3" t="s">
        <v>287</v>
      </c>
      <c r="G951" s="3" t="s">
        <v>775</v>
      </c>
      <c r="H951" s="3"/>
      <c r="I951" s="3"/>
      <c r="J951" s="3"/>
      <c r="K951" s="3"/>
      <c r="L951" s="3"/>
      <c r="M951" s="36" t="s">
        <v>1258</v>
      </c>
      <c r="N951" s="36"/>
      <c r="O951" s="36"/>
      <c r="P951" s="36"/>
      <c r="Q951" s="36" t="s">
        <v>791</v>
      </c>
      <c r="R951" s="150">
        <v>45715</v>
      </c>
      <c r="S951" s="36" t="s">
        <v>50</v>
      </c>
      <c r="T951" s="47" t="s">
        <v>275</v>
      </c>
      <c r="U951" s="146" t="s">
        <v>275</v>
      </c>
    </row>
    <row r="952" spans="1:21" ht="30" x14ac:dyDescent="0.25">
      <c r="A952" s="47"/>
      <c r="B952" s="108" t="s">
        <v>23</v>
      </c>
      <c r="C952" s="47" t="s">
        <v>275</v>
      </c>
      <c r="D952" s="3" t="s">
        <v>287</v>
      </c>
      <c r="E952" s="3" t="s">
        <v>721</v>
      </c>
      <c r="F952" s="3" t="s">
        <v>287</v>
      </c>
      <c r="G952" s="3" t="s">
        <v>720</v>
      </c>
      <c r="H952" s="3"/>
      <c r="I952" s="3"/>
      <c r="J952" s="3"/>
      <c r="K952" s="3"/>
      <c r="L952" s="3"/>
      <c r="M952" s="36" t="s">
        <v>1258</v>
      </c>
      <c r="N952" s="36"/>
      <c r="O952" s="36"/>
      <c r="P952" s="36"/>
      <c r="Q952" s="36" t="s">
        <v>1264</v>
      </c>
      <c r="R952" s="150">
        <v>45706</v>
      </c>
      <c r="S952" s="36" t="s">
        <v>635</v>
      </c>
      <c r="T952" s="47" t="s">
        <v>275</v>
      </c>
      <c r="U952" s="146" t="s">
        <v>275</v>
      </c>
    </row>
    <row r="953" spans="1:21" ht="30" x14ac:dyDescent="0.25">
      <c r="A953" s="47"/>
      <c r="B953" s="108" t="s">
        <v>23</v>
      </c>
      <c r="C953" s="47" t="s">
        <v>275</v>
      </c>
      <c r="D953" s="3" t="s">
        <v>287</v>
      </c>
      <c r="E953" s="3" t="s">
        <v>683</v>
      </c>
      <c r="F953" s="3" t="s">
        <v>287</v>
      </c>
      <c r="G953" s="3" t="s">
        <v>671</v>
      </c>
      <c r="H953" s="3"/>
      <c r="I953" s="3"/>
      <c r="J953" s="3"/>
      <c r="K953" s="3"/>
      <c r="L953" s="3"/>
      <c r="M953" s="36" t="s">
        <v>1258</v>
      </c>
      <c r="N953" s="36"/>
      <c r="O953" s="36"/>
      <c r="P953" s="36"/>
      <c r="Q953" s="36" t="s">
        <v>1264</v>
      </c>
      <c r="R953" s="150">
        <v>45701</v>
      </c>
      <c r="S953" s="36" t="s">
        <v>635</v>
      </c>
      <c r="T953" s="47" t="s">
        <v>275</v>
      </c>
      <c r="U953" s="146" t="s">
        <v>275</v>
      </c>
    </row>
    <row r="954" spans="1:21" x14ac:dyDescent="0.25">
      <c r="A954" s="109"/>
      <c r="B954" s="109" t="s">
        <v>23</v>
      </c>
      <c r="C954" s="109" t="s">
        <v>275</v>
      </c>
      <c r="D954" s="109" t="s">
        <v>287</v>
      </c>
      <c r="E954" s="109" t="s">
        <v>685</v>
      </c>
      <c r="F954" s="109" t="s">
        <v>3087</v>
      </c>
      <c r="G954" s="109" t="s">
        <v>650</v>
      </c>
      <c r="H954" s="109"/>
      <c r="I954" s="109"/>
      <c r="J954" s="109"/>
      <c r="K954" s="109"/>
      <c r="L954" s="109"/>
      <c r="M954" s="110" t="s">
        <v>1258</v>
      </c>
      <c r="N954" s="110"/>
      <c r="O954" s="110"/>
      <c r="P954" s="110"/>
      <c r="Q954" s="110"/>
      <c r="R954" s="117"/>
      <c r="S954" s="110" t="s">
        <v>635</v>
      </c>
      <c r="T954" s="109" t="s">
        <v>275</v>
      </c>
      <c r="U954" s="138" t="s">
        <v>275</v>
      </c>
    </row>
    <row r="955" spans="1:21" x14ac:dyDescent="0.25">
      <c r="A955" s="47"/>
      <c r="B955" s="108" t="s">
        <v>23</v>
      </c>
      <c r="C955" s="47" t="s">
        <v>275</v>
      </c>
      <c r="D955" s="3" t="s">
        <v>287</v>
      </c>
      <c r="E955" s="3" t="s">
        <v>686</v>
      </c>
      <c r="F955" s="3" t="s">
        <v>3087</v>
      </c>
      <c r="G955" s="3" t="s">
        <v>651</v>
      </c>
      <c r="H955" s="3"/>
      <c r="I955" s="3"/>
      <c r="J955" s="3"/>
      <c r="K955" s="3"/>
      <c r="L955" s="3"/>
      <c r="M955" s="36" t="s">
        <v>1258</v>
      </c>
      <c r="N955" s="36"/>
      <c r="O955" s="36"/>
      <c r="P955" s="36"/>
      <c r="Q955" s="36"/>
      <c r="R955" s="150"/>
      <c r="S955" s="36" t="s">
        <v>635</v>
      </c>
      <c r="T955" s="47" t="s">
        <v>275</v>
      </c>
      <c r="U955" s="146" t="s">
        <v>275</v>
      </c>
    </row>
    <row r="956" spans="1:21" ht="30" x14ac:dyDescent="0.25">
      <c r="A956" s="47"/>
      <c r="B956" s="108" t="s">
        <v>23</v>
      </c>
      <c r="C956" s="47" t="s">
        <v>275</v>
      </c>
      <c r="D956" s="3" t="s">
        <v>287</v>
      </c>
      <c r="E956" s="3" t="s">
        <v>687</v>
      </c>
      <c r="F956" s="3" t="s">
        <v>287</v>
      </c>
      <c r="G956" s="3" t="s">
        <v>643</v>
      </c>
      <c r="H956" s="3"/>
      <c r="I956" s="3"/>
      <c r="J956" s="3"/>
      <c r="K956" s="3"/>
      <c r="L956" s="3"/>
      <c r="M956" s="36" t="s">
        <v>1258</v>
      </c>
      <c r="N956" s="36"/>
      <c r="O956" s="36"/>
      <c r="P956" s="36"/>
      <c r="Q956" s="36"/>
      <c r="R956" s="150">
        <v>45700</v>
      </c>
      <c r="S956" s="36" t="s">
        <v>635</v>
      </c>
      <c r="T956" s="47" t="s">
        <v>275</v>
      </c>
      <c r="U956" s="146" t="s">
        <v>275</v>
      </c>
    </row>
    <row r="957" spans="1:21" ht="30" x14ac:dyDescent="0.25">
      <c r="A957" s="47"/>
      <c r="B957" s="108" t="s">
        <v>23</v>
      </c>
      <c r="C957" s="47" t="s">
        <v>275</v>
      </c>
      <c r="D957" s="3" t="s">
        <v>287</v>
      </c>
      <c r="E957" s="3" t="s">
        <v>629</v>
      </c>
      <c r="F957" s="3" t="s">
        <v>287</v>
      </c>
      <c r="G957" s="3" t="s">
        <v>614</v>
      </c>
      <c r="H957" s="3"/>
      <c r="I957" s="3"/>
      <c r="J957" s="3"/>
      <c r="K957" s="3"/>
      <c r="L957" s="3"/>
      <c r="M957" s="36" t="s">
        <v>1258</v>
      </c>
      <c r="N957" s="36"/>
      <c r="O957" s="36"/>
      <c r="P957" s="36"/>
      <c r="Q957" s="36"/>
      <c r="R957" s="150"/>
      <c r="S957" s="36" t="s">
        <v>635</v>
      </c>
      <c r="T957" s="47" t="s">
        <v>275</v>
      </c>
      <c r="U957" s="146" t="s">
        <v>275</v>
      </c>
    </row>
    <row r="958" spans="1:21" ht="30" x14ac:dyDescent="0.25">
      <c r="A958" s="109"/>
      <c r="B958" s="109" t="s">
        <v>23</v>
      </c>
      <c r="C958" s="109" t="s">
        <v>275</v>
      </c>
      <c r="D958" s="109" t="s">
        <v>287</v>
      </c>
      <c r="E958" s="109" t="s">
        <v>630</v>
      </c>
      <c r="F958" s="109" t="s">
        <v>287</v>
      </c>
      <c r="G958" s="109" t="s">
        <v>613</v>
      </c>
      <c r="H958" s="109"/>
      <c r="I958" s="109"/>
      <c r="J958" s="109"/>
      <c r="K958" s="109"/>
      <c r="L958" s="109"/>
      <c r="M958" s="109" t="s">
        <v>1258</v>
      </c>
      <c r="N958" s="109"/>
      <c r="O958" s="109"/>
      <c r="P958" s="109"/>
      <c r="Q958" s="109"/>
      <c r="R958" s="117"/>
      <c r="S958" s="109" t="s">
        <v>635</v>
      </c>
      <c r="T958" s="109" t="s">
        <v>275</v>
      </c>
      <c r="U958" s="109" t="s">
        <v>275</v>
      </c>
    </row>
    <row r="959" spans="1:21" ht="30" x14ac:dyDescent="0.25">
      <c r="A959" s="47"/>
      <c r="B959" s="108" t="s">
        <v>23</v>
      </c>
      <c r="C959" s="47" t="s">
        <v>275</v>
      </c>
      <c r="D959" s="3" t="s">
        <v>287</v>
      </c>
      <c r="E959" s="3" t="s">
        <v>631</v>
      </c>
      <c r="F959" s="3" t="s">
        <v>287</v>
      </c>
      <c r="G959" s="3" t="s">
        <v>612</v>
      </c>
      <c r="H959" s="3"/>
      <c r="I959" s="3"/>
      <c r="J959" s="3"/>
      <c r="K959" s="3"/>
      <c r="L959" s="3"/>
      <c r="M959" s="36" t="s">
        <v>1258</v>
      </c>
      <c r="N959" s="36"/>
      <c r="O959" s="36"/>
      <c r="P959" s="36"/>
      <c r="Q959" s="36"/>
      <c r="R959" s="150"/>
      <c r="S959" s="36" t="s">
        <v>635</v>
      </c>
      <c r="T959" s="47" t="s">
        <v>275</v>
      </c>
      <c r="U959" s="146" t="s">
        <v>275</v>
      </c>
    </row>
    <row r="960" spans="1:21" ht="30" x14ac:dyDescent="0.25">
      <c r="A960" s="47"/>
      <c r="B960" s="108" t="s">
        <v>23</v>
      </c>
      <c r="C960" s="47" t="s">
        <v>275</v>
      </c>
      <c r="D960" s="3" t="s">
        <v>287</v>
      </c>
      <c r="E960" s="3" t="s">
        <v>632</v>
      </c>
      <c r="F960" s="3" t="s">
        <v>287</v>
      </c>
      <c r="G960" s="3" t="s">
        <v>611</v>
      </c>
      <c r="H960" s="3"/>
      <c r="I960" s="3"/>
      <c r="J960" s="3"/>
      <c r="K960" s="3"/>
      <c r="L960" s="3"/>
      <c r="M960" s="36" t="s">
        <v>1258</v>
      </c>
      <c r="N960" s="36"/>
      <c r="O960" s="36"/>
      <c r="P960" s="36"/>
      <c r="Q960" s="36"/>
      <c r="R960" s="150"/>
      <c r="S960" s="36" t="s">
        <v>635</v>
      </c>
      <c r="T960" s="47" t="s">
        <v>275</v>
      </c>
      <c r="U960" s="146" t="s">
        <v>275</v>
      </c>
    </row>
    <row r="961" spans="1:21" x14ac:dyDescent="0.25">
      <c r="A961" s="109"/>
      <c r="B961" s="109" t="s">
        <v>23</v>
      </c>
      <c r="C961" s="109" t="s">
        <v>275</v>
      </c>
      <c r="D961" s="109" t="s">
        <v>287</v>
      </c>
      <c r="E961" s="109" t="s">
        <v>559</v>
      </c>
      <c r="F961" s="109" t="s">
        <v>530</v>
      </c>
      <c r="G961" s="109" t="s">
        <v>558</v>
      </c>
      <c r="H961" s="109"/>
      <c r="I961" s="109"/>
      <c r="J961" s="109"/>
      <c r="K961" s="109"/>
      <c r="L961" s="109"/>
      <c r="M961" s="109" t="s">
        <v>1258</v>
      </c>
      <c r="N961" s="109"/>
      <c r="O961" s="109"/>
      <c r="P961" s="109"/>
      <c r="Q961" s="109"/>
      <c r="R961" s="117"/>
      <c r="S961" s="109"/>
      <c r="T961" s="109" t="s">
        <v>275</v>
      </c>
      <c r="U961" s="109" t="s">
        <v>275</v>
      </c>
    </row>
    <row r="962" spans="1:21" ht="30" x14ac:dyDescent="0.25">
      <c r="A962" s="47"/>
      <c r="B962" s="108" t="s">
        <v>23</v>
      </c>
      <c r="C962" s="47" t="s">
        <v>275</v>
      </c>
      <c r="D962" s="3" t="s">
        <v>287</v>
      </c>
      <c r="E962" s="3" t="s">
        <v>585</v>
      </c>
      <c r="F962" s="3" t="s">
        <v>3087</v>
      </c>
      <c r="G962" s="3" t="s">
        <v>584</v>
      </c>
      <c r="H962" s="3"/>
      <c r="I962" s="3"/>
      <c r="J962" s="3"/>
      <c r="K962" s="3"/>
      <c r="L962" s="3"/>
      <c r="M962" s="36" t="s">
        <v>1258</v>
      </c>
      <c r="N962" s="36"/>
      <c r="O962" s="36"/>
      <c r="P962" s="36"/>
      <c r="Q962" s="36"/>
      <c r="R962" s="150"/>
      <c r="S962" s="36"/>
      <c r="T962" s="47" t="s">
        <v>275</v>
      </c>
      <c r="U962" s="146" t="s">
        <v>275</v>
      </c>
    </row>
    <row r="963" spans="1:21" x14ac:dyDescent="0.25">
      <c r="A963" s="109"/>
      <c r="B963" s="109" t="s">
        <v>23</v>
      </c>
      <c r="C963" s="109" t="s">
        <v>275</v>
      </c>
      <c r="D963" s="109" t="s">
        <v>287</v>
      </c>
      <c r="E963" s="109" t="s">
        <v>583</v>
      </c>
      <c r="F963" s="109" t="s">
        <v>530</v>
      </c>
      <c r="G963" s="109" t="s">
        <v>582</v>
      </c>
      <c r="H963" s="109"/>
      <c r="I963" s="109"/>
      <c r="J963" s="109"/>
      <c r="K963" s="109"/>
      <c r="L963" s="109"/>
      <c r="M963" s="110" t="s">
        <v>1258</v>
      </c>
      <c r="N963" s="110"/>
      <c r="O963" s="110"/>
      <c r="P963" s="110"/>
      <c r="Q963" s="110"/>
      <c r="R963" s="117"/>
      <c r="S963" s="110"/>
      <c r="T963" s="109" t="s">
        <v>275</v>
      </c>
      <c r="U963" s="138" t="s">
        <v>275</v>
      </c>
    </row>
    <row r="964" spans="1:21" x14ac:dyDescent="0.25">
      <c r="A964" s="109"/>
      <c r="B964" s="109" t="s">
        <v>23</v>
      </c>
      <c r="C964" s="109" t="s">
        <v>275</v>
      </c>
      <c r="D964" s="109" t="s">
        <v>287</v>
      </c>
      <c r="E964" s="109" t="s">
        <v>595</v>
      </c>
      <c r="F964" s="109" t="s">
        <v>530</v>
      </c>
      <c r="G964" s="109" t="s">
        <v>594</v>
      </c>
      <c r="H964" s="109"/>
      <c r="I964" s="109"/>
      <c r="J964" s="109"/>
      <c r="K964" s="109"/>
      <c r="L964" s="109"/>
      <c r="M964" s="109" t="s">
        <v>1258</v>
      </c>
      <c r="N964" s="109"/>
      <c r="O964" s="109"/>
      <c r="P964" s="109"/>
      <c r="Q964" s="109"/>
      <c r="R964" s="117"/>
      <c r="S964" s="109"/>
      <c r="T964" s="109" t="s">
        <v>275</v>
      </c>
      <c r="U964" s="109" t="s">
        <v>275</v>
      </c>
    </row>
    <row r="965" spans="1:21" ht="30" x14ac:dyDescent="0.25">
      <c r="A965" s="109"/>
      <c r="B965" s="109" t="s">
        <v>23</v>
      </c>
      <c r="C965" s="109" t="s">
        <v>275</v>
      </c>
      <c r="D965" s="109" t="s">
        <v>287</v>
      </c>
      <c r="E965" s="109" t="s">
        <v>596</v>
      </c>
      <c r="F965" s="109" t="s">
        <v>287</v>
      </c>
      <c r="G965" s="109" t="s">
        <v>593</v>
      </c>
      <c r="H965" s="109"/>
      <c r="I965" s="109"/>
      <c r="J965" s="109"/>
      <c r="K965" s="109"/>
      <c r="L965" s="109"/>
      <c r="M965" s="109" t="s">
        <v>1258</v>
      </c>
      <c r="N965" s="109"/>
      <c r="O965" s="109"/>
      <c r="P965" s="109"/>
      <c r="Q965" s="109"/>
      <c r="R965" s="117"/>
      <c r="S965" s="109"/>
      <c r="T965" s="109" t="s">
        <v>275</v>
      </c>
      <c r="U965" s="138" t="s">
        <v>275</v>
      </c>
    </row>
    <row r="966" spans="1:21" ht="30" x14ac:dyDescent="0.25">
      <c r="A966" s="47"/>
      <c r="B966" s="108" t="s">
        <v>23</v>
      </c>
      <c r="C966" s="47" t="s">
        <v>275</v>
      </c>
      <c r="D966" s="3" t="s">
        <v>287</v>
      </c>
      <c r="E966" s="3" t="s">
        <v>580</v>
      </c>
      <c r="F966" s="3" t="s">
        <v>287</v>
      </c>
      <c r="G966" s="3" t="s">
        <v>579</v>
      </c>
      <c r="H966" s="3"/>
      <c r="I966" s="3"/>
      <c r="J966" s="3"/>
      <c r="K966" s="3"/>
      <c r="L966" s="3"/>
      <c r="M966" s="36" t="s">
        <v>1258</v>
      </c>
      <c r="N966" s="36"/>
      <c r="O966" s="36"/>
      <c r="P966" s="36"/>
      <c r="Q966" s="36"/>
      <c r="R966" s="150"/>
      <c r="S966" s="36"/>
      <c r="T966" s="47" t="s">
        <v>275</v>
      </c>
      <c r="U966" s="146" t="s">
        <v>275</v>
      </c>
    </row>
    <row r="967" spans="1:21" ht="30" x14ac:dyDescent="0.25">
      <c r="A967" s="47"/>
      <c r="B967" s="108" t="s">
        <v>23</v>
      </c>
      <c r="C967" s="47" t="s">
        <v>275</v>
      </c>
      <c r="D967" s="3" t="s">
        <v>287</v>
      </c>
      <c r="E967" s="3" t="s">
        <v>437</v>
      </c>
      <c r="F967" s="3" t="s">
        <v>412</v>
      </c>
      <c r="G967" s="3" t="s">
        <v>413</v>
      </c>
      <c r="H967" s="3"/>
      <c r="I967" s="3"/>
      <c r="J967" s="3"/>
      <c r="K967" s="3"/>
      <c r="L967" s="3"/>
      <c r="M967" s="36" t="s">
        <v>1258</v>
      </c>
      <c r="N967" s="36"/>
      <c r="O967" s="36"/>
      <c r="P967" s="36"/>
      <c r="Q967" s="36"/>
      <c r="R967" s="150"/>
      <c r="S967" s="36"/>
      <c r="T967" s="47" t="s">
        <v>275</v>
      </c>
      <c r="U967" s="146" t="s">
        <v>275</v>
      </c>
    </row>
    <row r="968" spans="1:21" x14ac:dyDescent="0.25">
      <c r="A968" s="109"/>
      <c r="B968" s="109" t="s">
        <v>23</v>
      </c>
      <c r="C968" s="109" t="s">
        <v>275</v>
      </c>
      <c r="D968" s="109" t="s">
        <v>287</v>
      </c>
      <c r="E968" s="109" t="s">
        <v>560</v>
      </c>
      <c r="F968" s="109" t="s">
        <v>530</v>
      </c>
      <c r="G968" s="109" t="s">
        <v>557</v>
      </c>
      <c r="H968" s="109"/>
      <c r="I968" s="109"/>
      <c r="J968" s="109"/>
      <c r="K968" s="109"/>
      <c r="L968" s="109"/>
      <c r="M968" s="109" t="s">
        <v>1258</v>
      </c>
      <c r="N968" s="109"/>
      <c r="O968" s="109"/>
      <c r="P968" s="109"/>
      <c r="Q968" s="109"/>
      <c r="R968" s="117"/>
      <c r="S968" s="109"/>
      <c r="T968" s="109" t="s">
        <v>275</v>
      </c>
      <c r="U968" s="109" t="s">
        <v>275</v>
      </c>
    </row>
    <row r="969" spans="1:21" ht="30" customHeight="1" x14ac:dyDescent="0.25">
      <c r="A969" s="109"/>
      <c r="B969" s="109" t="s">
        <v>23</v>
      </c>
      <c r="C969" s="109" t="s">
        <v>275</v>
      </c>
      <c r="D969" s="109" t="s">
        <v>287</v>
      </c>
      <c r="E969" s="109" t="s">
        <v>531</v>
      </c>
      <c r="F969" s="109" t="s">
        <v>530</v>
      </c>
      <c r="G969" s="109" t="s">
        <v>528</v>
      </c>
      <c r="H969" s="109"/>
      <c r="I969" s="109"/>
      <c r="J969" s="109"/>
      <c r="K969" s="109"/>
      <c r="L969" s="109"/>
      <c r="M969" s="109" t="s">
        <v>1258</v>
      </c>
      <c r="N969" s="109"/>
      <c r="O969" s="109"/>
      <c r="P969" s="109"/>
      <c r="Q969" s="109"/>
      <c r="R969" s="117"/>
      <c r="S969" s="109"/>
      <c r="T969" s="109" t="s">
        <v>275</v>
      </c>
      <c r="U969" s="138" t="s">
        <v>275</v>
      </c>
    </row>
    <row r="970" spans="1:21" ht="30" x14ac:dyDescent="0.25">
      <c r="A970" s="47"/>
      <c r="B970" s="108" t="s">
        <v>23</v>
      </c>
      <c r="C970" s="47" t="s">
        <v>275</v>
      </c>
      <c r="D970" s="3" t="s">
        <v>287</v>
      </c>
      <c r="E970" s="3" t="s">
        <v>526</v>
      </c>
      <c r="F970" s="3" t="s">
        <v>287</v>
      </c>
      <c r="G970" s="3" t="s">
        <v>499</v>
      </c>
      <c r="H970" s="3"/>
      <c r="I970" s="3"/>
      <c r="J970" s="3"/>
      <c r="K970" s="3"/>
      <c r="L970" s="3"/>
      <c r="M970" s="36" t="s">
        <v>1258</v>
      </c>
      <c r="N970" s="36"/>
      <c r="O970" s="36"/>
      <c r="P970" s="36"/>
      <c r="Q970" s="36"/>
      <c r="R970" s="150">
        <v>45681</v>
      </c>
      <c r="S970" s="36" t="s">
        <v>206</v>
      </c>
      <c r="T970" s="47" t="s">
        <v>275</v>
      </c>
      <c r="U970" s="146" t="s">
        <v>275</v>
      </c>
    </row>
    <row r="971" spans="1:21" x14ac:dyDescent="0.25">
      <c r="A971" s="47"/>
      <c r="B971" s="108" t="s">
        <v>23</v>
      </c>
      <c r="C971" s="47" t="s">
        <v>275</v>
      </c>
      <c r="D971" s="3" t="s">
        <v>287</v>
      </c>
      <c r="E971" s="3" t="s">
        <v>487</v>
      </c>
      <c r="F971" s="3" t="s">
        <v>3085</v>
      </c>
      <c r="G971" s="3" t="s">
        <v>486</v>
      </c>
      <c r="H971" s="3"/>
      <c r="I971" s="3"/>
      <c r="J971" s="3"/>
      <c r="K971" s="3"/>
      <c r="L971" s="3"/>
      <c r="M971" s="36" t="s">
        <v>1258</v>
      </c>
      <c r="N971" s="36"/>
      <c r="O971" s="36"/>
      <c r="P971" s="36"/>
      <c r="Q971" s="36"/>
      <c r="R971" s="150">
        <v>45680</v>
      </c>
      <c r="S971" s="36" t="s">
        <v>206</v>
      </c>
      <c r="T971" s="47" t="s">
        <v>275</v>
      </c>
      <c r="U971" s="146" t="s">
        <v>275</v>
      </c>
    </row>
    <row r="972" spans="1:21" x14ac:dyDescent="0.25">
      <c r="A972" s="109"/>
      <c r="B972" s="109" t="s">
        <v>23</v>
      </c>
      <c r="C972" s="109" t="s">
        <v>275</v>
      </c>
      <c r="D972" s="109" t="s">
        <v>287</v>
      </c>
      <c r="E972" s="109" t="s">
        <v>495</v>
      </c>
      <c r="F972" s="109" t="s">
        <v>3085</v>
      </c>
      <c r="G972" s="109" t="s">
        <v>482</v>
      </c>
      <c r="H972" s="109"/>
      <c r="I972" s="109"/>
      <c r="J972" s="109"/>
      <c r="K972" s="109"/>
      <c r="L972" s="109"/>
      <c r="M972" s="109" t="s">
        <v>1258</v>
      </c>
      <c r="N972" s="109"/>
      <c r="O972" s="109"/>
      <c r="P972" s="109"/>
      <c r="Q972" s="109"/>
      <c r="R972" s="117">
        <v>45681</v>
      </c>
      <c r="S972" s="109" t="s">
        <v>206</v>
      </c>
      <c r="T972" s="109" t="s">
        <v>275</v>
      </c>
      <c r="U972" s="109" t="s">
        <v>275</v>
      </c>
    </row>
    <row r="973" spans="1:21" x14ac:dyDescent="0.25">
      <c r="A973" s="47"/>
      <c r="B973" s="108" t="s">
        <v>23</v>
      </c>
      <c r="C973" s="47" t="s">
        <v>275</v>
      </c>
      <c r="D973" s="3" t="s">
        <v>287</v>
      </c>
      <c r="E973" s="3" t="s">
        <v>477</v>
      </c>
      <c r="F973" s="3" t="s">
        <v>292</v>
      </c>
      <c r="G973" s="3" t="s">
        <v>478</v>
      </c>
      <c r="H973" s="3"/>
      <c r="I973" s="3"/>
      <c r="J973" s="3"/>
      <c r="K973" s="3"/>
      <c r="L973" s="3"/>
      <c r="M973" s="36" t="s">
        <v>1258</v>
      </c>
      <c r="N973" s="36"/>
      <c r="O973" s="36"/>
      <c r="P973" s="36"/>
      <c r="Q973" s="36" t="s">
        <v>496</v>
      </c>
      <c r="R973" s="150">
        <v>45679</v>
      </c>
      <c r="S973" s="36" t="s">
        <v>497</v>
      </c>
      <c r="T973" s="47" t="s">
        <v>275</v>
      </c>
      <c r="U973" s="146" t="s">
        <v>275</v>
      </c>
    </row>
    <row r="974" spans="1:21" ht="30" x14ac:dyDescent="0.25">
      <c r="A974" s="47"/>
      <c r="B974" s="108" t="s">
        <v>23</v>
      </c>
      <c r="C974" s="47" t="s">
        <v>275</v>
      </c>
      <c r="D974" s="3" t="s">
        <v>287</v>
      </c>
      <c r="E974" s="3" t="s">
        <v>438</v>
      </c>
      <c r="F974" s="3" t="s">
        <v>412</v>
      </c>
      <c r="G974" s="3" t="s">
        <v>411</v>
      </c>
      <c r="H974" s="3"/>
      <c r="I974" s="3"/>
      <c r="J974" s="3"/>
      <c r="K974" s="3"/>
      <c r="L974" s="3"/>
      <c r="M974" s="36" t="s">
        <v>1258</v>
      </c>
      <c r="N974" s="36"/>
      <c r="O974" s="36"/>
      <c r="P974" s="36"/>
      <c r="Q974" s="36" t="s">
        <v>496</v>
      </c>
      <c r="R974" s="150">
        <v>45679</v>
      </c>
      <c r="S974" s="36" t="s">
        <v>497</v>
      </c>
      <c r="T974" s="47" t="s">
        <v>275</v>
      </c>
      <c r="U974" s="146" t="s">
        <v>275</v>
      </c>
    </row>
    <row r="975" spans="1:21" ht="30" x14ac:dyDescent="0.25">
      <c r="A975" s="47"/>
      <c r="B975" s="108" t="s">
        <v>23</v>
      </c>
      <c r="C975" s="47" t="s">
        <v>275</v>
      </c>
      <c r="D975" s="3" t="s">
        <v>287</v>
      </c>
      <c r="E975" s="3" t="s">
        <v>396</v>
      </c>
      <c r="F975" s="3" t="s">
        <v>287</v>
      </c>
      <c r="G975" s="3" t="s">
        <v>329</v>
      </c>
      <c r="H975" s="3"/>
      <c r="I975" s="3"/>
      <c r="J975" s="3"/>
      <c r="K975" s="3"/>
      <c r="L975" s="3"/>
      <c r="M975" s="36" t="s">
        <v>1258</v>
      </c>
      <c r="N975" s="36"/>
      <c r="O975" s="36"/>
      <c r="P975" s="36"/>
      <c r="Q975" s="36" t="s">
        <v>496</v>
      </c>
      <c r="R975" s="150">
        <v>45674</v>
      </c>
      <c r="S975" s="36" t="s">
        <v>497</v>
      </c>
      <c r="T975" s="47" t="s">
        <v>275</v>
      </c>
      <c r="U975" s="146" t="s">
        <v>275</v>
      </c>
    </row>
    <row r="976" spans="1:21" ht="30" x14ac:dyDescent="0.25">
      <c r="A976" s="109"/>
      <c r="B976" s="109" t="s">
        <v>23</v>
      </c>
      <c r="C976" s="109" t="s">
        <v>275</v>
      </c>
      <c r="D976" s="109" t="s">
        <v>287</v>
      </c>
      <c r="E976" s="109" t="s">
        <v>397</v>
      </c>
      <c r="F976" s="109" t="s">
        <v>287</v>
      </c>
      <c r="G976" s="109" t="s">
        <v>329</v>
      </c>
      <c r="H976" s="109"/>
      <c r="I976" s="109"/>
      <c r="J976" s="109"/>
      <c r="K976" s="109"/>
      <c r="L976" s="109"/>
      <c r="M976" s="109" t="s">
        <v>1258</v>
      </c>
      <c r="N976" s="109"/>
      <c r="O976" s="109"/>
      <c r="P976" s="109"/>
      <c r="Q976" s="109"/>
      <c r="R976" s="117">
        <v>45672</v>
      </c>
      <c r="S976" s="109" t="s">
        <v>354</v>
      </c>
      <c r="T976" s="109" t="s">
        <v>275</v>
      </c>
      <c r="U976" s="109" t="s">
        <v>275</v>
      </c>
    </row>
    <row r="977" spans="1:21" ht="30" x14ac:dyDescent="0.25">
      <c r="A977" s="47"/>
      <c r="B977" s="108" t="s">
        <v>23</v>
      </c>
      <c r="C977" s="47" t="s">
        <v>275</v>
      </c>
      <c r="D977" s="3" t="s">
        <v>287</v>
      </c>
      <c r="E977" s="3" t="s">
        <v>398</v>
      </c>
      <c r="F977" s="3" t="s">
        <v>287</v>
      </c>
      <c r="G977" s="3" t="s">
        <v>328</v>
      </c>
      <c r="H977" s="3"/>
      <c r="I977" s="3"/>
      <c r="J977" s="3"/>
      <c r="K977" s="3"/>
      <c r="L977" s="3"/>
      <c r="M977" s="36" t="s">
        <v>1258</v>
      </c>
      <c r="N977" s="36"/>
      <c r="O977" s="36"/>
      <c r="P977" s="36"/>
      <c r="Q977" s="36"/>
      <c r="R977" s="150"/>
      <c r="S977" s="36"/>
      <c r="T977" s="47" t="s">
        <v>275</v>
      </c>
      <c r="U977" s="146" t="s">
        <v>275</v>
      </c>
    </row>
    <row r="978" spans="1:21" ht="30" x14ac:dyDescent="0.25">
      <c r="A978" s="109"/>
      <c r="B978" s="109" t="s">
        <v>23</v>
      </c>
      <c r="C978" s="109" t="s">
        <v>275</v>
      </c>
      <c r="D978" s="109" t="s">
        <v>287</v>
      </c>
      <c r="E978" s="109" t="s">
        <v>399</v>
      </c>
      <c r="F978" s="109" t="s">
        <v>292</v>
      </c>
      <c r="G978" s="109" t="s">
        <v>293</v>
      </c>
      <c r="H978" s="109"/>
      <c r="I978" s="109"/>
      <c r="J978" s="109"/>
      <c r="K978" s="109"/>
      <c r="L978" s="109"/>
      <c r="M978" s="109" t="s">
        <v>1258</v>
      </c>
      <c r="N978" s="109"/>
      <c r="O978" s="109"/>
      <c r="P978" s="109"/>
      <c r="Q978" s="109"/>
      <c r="R978" s="117"/>
      <c r="S978" s="109"/>
      <c r="T978" s="109" t="s">
        <v>275</v>
      </c>
      <c r="U978" s="138" t="s">
        <v>275</v>
      </c>
    </row>
    <row r="979" spans="1:21" ht="30" x14ac:dyDescent="0.25">
      <c r="A979" s="47"/>
      <c r="B979" s="108" t="s">
        <v>23</v>
      </c>
      <c r="C979" s="47" t="s">
        <v>275</v>
      </c>
      <c r="D979" s="3" t="s">
        <v>287</v>
      </c>
      <c r="E979" s="3" t="s">
        <v>1250</v>
      </c>
      <c r="F979" s="3" t="s">
        <v>287</v>
      </c>
      <c r="G979" s="3" t="s">
        <v>1249</v>
      </c>
      <c r="H979" s="3"/>
      <c r="I979" s="3"/>
      <c r="J979" s="3"/>
      <c r="K979" s="3"/>
      <c r="L979" s="3"/>
      <c r="M979" s="36" t="s">
        <v>1258</v>
      </c>
      <c r="N979" s="36"/>
      <c r="O979" s="36"/>
      <c r="P979" s="36"/>
      <c r="Q979" s="36"/>
      <c r="R979" s="150">
        <v>45784</v>
      </c>
      <c r="S979" s="36" t="s">
        <v>1279</v>
      </c>
      <c r="T979" s="47" t="s">
        <v>275</v>
      </c>
      <c r="U979" s="146" t="s">
        <v>275</v>
      </c>
    </row>
    <row r="980" spans="1:21" ht="30" x14ac:dyDescent="0.25">
      <c r="A980" s="47"/>
      <c r="B980" s="108" t="s">
        <v>23</v>
      </c>
      <c r="C980" s="47" t="s">
        <v>275</v>
      </c>
      <c r="D980" s="3" t="s">
        <v>287</v>
      </c>
      <c r="E980" s="3" t="s">
        <v>1231</v>
      </c>
      <c r="F980" s="3" t="s">
        <v>287</v>
      </c>
      <c r="G980" s="3" t="s">
        <v>1248</v>
      </c>
      <c r="H980" s="3"/>
      <c r="I980" s="3"/>
      <c r="J980" s="3"/>
      <c r="K980" s="3"/>
      <c r="L980" s="3"/>
      <c r="M980" s="36" t="s">
        <v>1258</v>
      </c>
      <c r="N980" s="36"/>
      <c r="O980" s="36"/>
      <c r="P980" s="36"/>
      <c r="Q980" s="36"/>
      <c r="R980" s="150">
        <v>45785</v>
      </c>
      <c r="S980" s="36" t="s">
        <v>1279</v>
      </c>
      <c r="T980" s="47" t="s">
        <v>275</v>
      </c>
      <c r="U980" s="146" t="s">
        <v>275</v>
      </c>
    </row>
    <row r="981" spans="1:21" ht="30" x14ac:dyDescent="0.25">
      <c r="A981" s="47"/>
      <c r="B981" s="108" t="s">
        <v>23</v>
      </c>
      <c r="C981" s="47" t="s">
        <v>275</v>
      </c>
      <c r="D981" s="3" t="s">
        <v>287</v>
      </c>
      <c r="E981" s="3" t="s">
        <v>992</v>
      </c>
      <c r="F981" s="3" t="s">
        <v>287</v>
      </c>
      <c r="G981" s="3" t="s">
        <v>979</v>
      </c>
      <c r="H981" s="3"/>
      <c r="I981" s="3"/>
      <c r="J981" s="3"/>
      <c r="K981" s="3"/>
      <c r="L981" s="3"/>
      <c r="M981" s="36" t="s">
        <v>1258</v>
      </c>
      <c r="N981" s="36"/>
      <c r="O981" s="36"/>
      <c r="P981" s="36"/>
      <c r="Q981" s="36" t="s">
        <v>1192</v>
      </c>
      <c r="R981" s="150">
        <v>45775</v>
      </c>
      <c r="S981" s="36" t="s">
        <v>1193</v>
      </c>
      <c r="T981" s="47" t="s">
        <v>275</v>
      </c>
      <c r="U981" s="146" t="s">
        <v>275</v>
      </c>
    </row>
    <row r="982" spans="1:21" ht="15" customHeight="1" x14ac:dyDescent="0.25">
      <c r="A982" s="109"/>
      <c r="B982" s="109" t="s">
        <v>23</v>
      </c>
      <c r="C982" s="109" t="s">
        <v>275</v>
      </c>
      <c r="D982" s="109" t="s">
        <v>287</v>
      </c>
      <c r="E982" s="109" t="s">
        <v>1232</v>
      </c>
      <c r="F982" s="109" t="s">
        <v>287</v>
      </c>
      <c r="G982" s="109" t="s">
        <v>1223</v>
      </c>
      <c r="H982" s="109"/>
      <c r="I982" s="109"/>
      <c r="J982" s="109"/>
      <c r="K982" s="109"/>
      <c r="L982" s="109"/>
      <c r="M982" s="109" t="s">
        <v>1258</v>
      </c>
      <c r="N982" s="109"/>
      <c r="O982" s="109"/>
      <c r="P982" s="109"/>
      <c r="Q982" s="109" t="s">
        <v>1278</v>
      </c>
      <c r="R982" s="117">
        <v>45784</v>
      </c>
      <c r="S982" s="109" t="s">
        <v>1252</v>
      </c>
      <c r="T982" s="109" t="s">
        <v>275</v>
      </c>
      <c r="U982" s="109" t="s">
        <v>275</v>
      </c>
    </row>
    <row r="983" spans="1:21" ht="30" x14ac:dyDescent="0.25">
      <c r="A983" s="47"/>
      <c r="B983" s="108" t="s">
        <v>23</v>
      </c>
      <c r="C983" s="47" t="s">
        <v>275</v>
      </c>
      <c r="D983" s="3" t="s">
        <v>287</v>
      </c>
      <c r="E983" s="3" t="s">
        <v>1299</v>
      </c>
      <c r="F983" s="3" t="s">
        <v>287</v>
      </c>
      <c r="G983" s="3" t="s">
        <v>1297</v>
      </c>
      <c r="H983" s="3"/>
      <c r="I983" s="3"/>
      <c r="J983" s="3"/>
      <c r="K983" s="3"/>
      <c r="L983" s="3"/>
      <c r="M983" s="36" t="s">
        <v>1258</v>
      </c>
      <c r="N983" s="36"/>
      <c r="O983" s="36"/>
      <c r="P983" s="36"/>
      <c r="Q983" s="36"/>
      <c r="R983" s="150"/>
      <c r="S983" s="36"/>
      <c r="T983" s="47" t="s">
        <v>275</v>
      </c>
      <c r="U983" s="146" t="s">
        <v>275</v>
      </c>
    </row>
    <row r="984" spans="1:21" x14ac:dyDescent="0.25">
      <c r="A984" s="47"/>
      <c r="B984" s="108" t="s">
        <v>23</v>
      </c>
      <c r="C984" s="47" t="s">
        <v>275</v>
      </c>
      <c r="D984" s="3" t="s">
        <v>287</v>
      </c>
      <c r="E984" s="3" t="s">
        <v>1348</v>
      </c>
      <c r="F984" s="3" t="s">
        <v>530</v>
      </c>
      <c r="G984" s="3" t="s">
        <v>1344</v>
      </c>
      <c r="H984" s="3"/>
      <c r="I984" s="3"/>
      <c r="J984" s="3"/>
      <c r="K984" s="3"/>
      <c r="L984" s="3"/>
      <c r="M984" s="36" t="s">
        <v>1258</v>
      </c>
      <c r="N984" s="36"/>
      <c r="O984" s="36"/>
      <c r="P984" s="36"/>
      <c r="Q984" s="36"/>
      <c r="R984" s="150"/>
      <c r="S984" s="36"/>
      <c r="T984" s="47" t="s">
        <v>275</v>
      </c>
      <c r="U984" s="146" t="s">
        <v>275</v>
      </c>
    </row>
    <row r="985" spans="1:21" ht="30" x14ac:dyDescent="0.25">
      <c r="A985" s="47"/>
      <c r="B985" s="108" t="s">
        <v>23</v>
      </c>
      <c r="C985" s="47" t="s">
        <v>275</v>
      </c>
      <c r="D985" s="3" t="s">
        <v>287</v>
      </c>
      <c r="E985" s="3" t="s">
        <v>1365</v>
      </c>
      <c r="F985" s="3" t="s">
        <v>287</v>
      </c>
      <c r="G985" s="3" t="s">
        <v>1364</v>
      </c>
      <c r="H985" s="3"/>
      <c r="I985" s="3"/>
      <c r="J985" s="3"/>
      <c r="K985" s="3"/>
      <c r="L985" s="3"/>
      <c r="M985" s="36" t="s">
        <v>1258</v>
      </c>
      <c r="N985" s="36"/>
      <c r="O985" s="36"/>
      <c r="P985" s="36"/>
      <c r="Q985" s="36"/>
      <c r="R985" s="150"/>
      <c r="S985" s="36"/>
      <c r="T985" s="47" t="s">
        <v>275</v>
      </c>
      <c r="U985" s="146" t="s">
        <v>275</v>
      </c>
    </row>
    <row r="986" spans="1:21" ht="30" x14ac:dyDescent="0.25">
      <c r="A986" s="47"/>
      <c r="B986" s="108" t="s">
        <v>23</v>
      </c>
      <c r="C986" s="47" t="s">
        <v>275</v>
      </c>
      <c r="D986" s="3" t="s">
        <v>287</v>
      </c>
      <c r="E986" s="3" t="s">
        <v>1366</v>
      </c>
      <c r="F986" s="3" t="s">
        <v>287</v>
      </c>
      <c r="G986" s="3" t="s">
        <v>1363</v>
      </c>
      <c r="H986" s="3"/>
      <c r="I986" s="3"/>
      <c r="J986" s="3"/>
      <c r="K986" s="3"/>
      <c r="L986" s="3"/>
      <c r="M986" s="36" t="s">
        <v>1258</v>
      </c>
      <c r="N986" s="36"/>
      <c r="O986" s="36"/>
      <c r="P986" s="36"/>
      <c r="Q986" s="36"/>
      <c r="R986" s="150"/>
      <c r="S986" s="36"/>
      <c r="T986" s="47" t="s">
        <v>275</v>
      </c>
      <c r="U986" s="146" t="s">
        <v>275</v>
      </c>
    </row>
    <row r="987" spans="1:21" ht="30" x14ac:dyDescent="0.25">
      <c r="A987" s="47"/>
      <c r="B987" s="108"/>
      <c r="C987" s="47" t="s">
        <v>275</v>
      </c>
      <c r="D987" s="3" t="s">
        <v>287</v>
      </c>
      <c r="E987" s="3" t="s">
        <v>1453</v>
      </c>
      <c r="F987" s="3" t="s">
        <v>287</v>
      </c>
      <c r="G987" s="3" t="s">
        <v>1448</v>
      </c>
      <c r="H987" s="3"/>
      <c r="I987" s="3"/>
      <c r="J987" s="3"/>
      <c r="K987" s="3"/>
      <c r="L987" s="3"/>
      <c r="M987" s="36" t="s">
        <v>1258</v>
      </c>
      <c r="N987" s="36"/>
      <c r="O987" s="36"/>
      <c r="P987" s="36"/>
      <c r="Q987" s="36"/>
      <c r="R987" s="150"/>
      <c r="S987" s="36"/>
      <c r="T987" s="47" t="s">
        <v>275</v>
      </c>
      <c r="U987" s="146" t="s">
        <v>275</v>
      </c>
    </row>
    <row r="988" spans="1:21" x14ac:dyDescent="0.25">
      <c r="A988" s="109"/>
      <c r="B988" s="109"/>
      <c r="C988" s="109" t="s">
        <v>275</v>
      </c>
      <c r="D988" s="109" t="s">
        <v>287</v>
      </c>
      <c r="E988" s="109" t="s">
        <v>1476</v>
      </c>
      <c r="F988" s="109" t="s">
        <v>530</v>
      </c>
      <c r="G988" s="109" t="s">
        <v>1473</v>
      </c>
      <c r="H988" s="109"/>
      <c r="I988" s="109"/>
      <c r="J988" s="109"/>
      <c r="K988" s="109"/>
      <c r="L988" s="109"/>
      <c r="M988" s="110" t="s">
        <v>1258</v>
      </c>
      <c r="N988" s="110"/>
      <c r="O988" s="110"/>
      <c r="P988" s="110"/>
      <c r="Q988" s="110"/>
      <c r="R988" s="117"/>
      <c r="S988" s="110"/>
      <c r="T988" s="109" t="s">
        <v>275</v>
      </c>
      <c r="U988" s="109" t="s">
        <v>275</v>
      </c>
    </row>
    <row r="989" spans="1:21" x14ac:dyDescent="0.25">
      <c r="A989" s="109"/>
      <c r="B989" s="109"/>
      <c r="C989" s="109" t="s">
        <v>275</v>
      </c>
      <c r="D989" s="109" t="s">
        <v>287</v>
      </c>
      <c r="E989" s="109" t="s">
        <v>1477</v>
      </c>
      <c r="F989" s="109" t="s">
        <v>530</v>
      </c>
      <c r="G989" s="109" t="s">
        <v>1472</v>
      </c>
      <c r="H989" s="109"/>
      <c r="I989" s="109"/>
      <c r="J989" s="109"/>
      <c r="K989" s="109"/>
      <c r="L989" s="109"/>
      <c r="M989" s="109" t="s">
        <v>1258</v>
      </c>
      <c r="N989" s="109"/>
      <c r="O989" s="109"/>
      <c r="P989" s="109"/>
      <c r="Q989" s="109"/>
      <c r="R989" s="117"/>
      <c r="S989" s="109"/>
      <c r="T989" s="109" t="s">
        <v>275</v>
      </c>
      <c r="U989" s="109" t="s">
        <v>275</v>
      </c>
    </row>
    <row r="990" spans="1:21" ht="30" x14ac:dyDescent="0.25">
      <c r="A990" s="109"/>
      <c r="B990" s="109"/>
      <c r="C990" s="109" t="s">
        <v>275</v>
      </c>
      <c r="D990" s="109" t="s">
        <v>287</v>
      </c>
      <c r="E990" s="109" t="s">
        <v>1501</v>
      </c>
      <c r="F990" s="109" t="s">
        <v>287</v>
      </c>
      <c r="G990" s="109" t="s">
        <v>1499</v>
      </c>
      <c r="H990" s="109"/>
      <c r="I990" s="109"/>
      <c r="J990" s="109"/>
      <c r="K990" s="109"/>
      <c r="L990" s="109"/>
      <c r="M990" s="109" t="s">
        <v>1258</v>
      </c>
      <c r="N990" s="109"/>
      <c r="O990" s="109"/>
      <c r="P990" s="109"/>
      <c r="Q990" s="109"/>
      <c r="R990" s="117"/>
      <c r="S990" s="109"/>
      <c r="T990" s="109" t="s">
        <v>275</v>
      </c>
      <c r="U990" s="109" t="s">
        <v>275</v>
      </c>
    </row>
    <row r="991" spans="1:21" ht="30" x14ac:dyDescent="0.25">
      <c r="A991" s="109"/>
      <c r="B991" s="109" t="s">
        <v>23</v>
      </c>
      <c r="C991" s="109" t="s">
        <v>275</v>
      </c>
      <c r="D991" s="109" t="s">
        <v>287</v>
      </c>
      <c r="E991" s="109" t="s">
        <v>1515</v>
      </c>
      <c r="F991" s="109" t="s">
        <v>287</v>
      </c>
      <c r="G991" s="109" t="s">
        <v>1528</v>
      </c>
      <c r="H991" s="109"/>
      <c r="I991" s="109"/>
      <c r="J991" s="109"/>
      <c r="K991" s="109"/>
      <c r="L991" s="109"/>
      <c r="M991" s="109" t="s">
        <v>1258</v>
      </c>
      <c r="N991" s="109"/>
      <c r="O991" s="109"/>
      <c r="P991" s="109"/>
      <c r="Q991" s="109"/>
      <c r="R991" s="117"/>
      <c r="S991" s="109"/>
      <c r="T991" s="109" t="s">
        <v>275</v>
      </c>
      <c r="U991" s="109" t="s">
        <v>275</v>
      </c>
    </row>
    <row r="992" spans="1:21" ht="30" x14ac:dyDescent="0.25">
      <c r="A992" s="109"/>
      <c r="B992" s="109"/>
      <c r="C992" s="109" t="s">
        <v>275</v>
      </c>
      <c r="D992" s="109" t="s">
        <v>287</v>
      </c>
      <c r="E992" s="109" t="s">
        <v>1516</v>
      </c>
      <c r="F992" s="109" t="s">
        <v>287</v>
      </c>
      <c r="G992" s="109" t="s">
        <v>1529</v>
      </c>
      <c r="H992" s="109"/>
      <c r="I992" s="109"/>
      <c r="J992" s="109"/>
      <c r="K992" s="109"/>
      <c r="L992" s="109"/>
      <c r="M992" s="109" t="s">
        <v>1258</v>
      </c>
      <c r="N992" s="109"/>
      <c r="O992" s="109"/>
      <c r="P992" s="109"/>
      <c r="Q992" s="109"/>
      <c r="R992" s="117"/>
      <c r="S992" s="109"/>
      <c r="T992" s="109" t="s">
        <v>275</v>
      </c>
      <c r="U992" s="109" t="s">
        <v>275</v>
      </c>
    </row>
    <row r="993" spans="1:21" ht="30" x14ac:dyDescent="0.25">
      <c r="A993" s="47"/>
      <c r="B993" s="108" t="s">
        <v>23</v>
      </c>
      <c r="C993" s="47" t="s">
        <v>275</v>
      </c>
      <c r="D993" s="3" t="s">
        <v>287</v>
      </c>
      <c r="E993" s="3" t="s">
        <v>1514</v>
      </c>
      <c r="F993" s="3" t="s">
        <v>287</v>
      </c>
      <c r="G993" s="3" t="s">
        <v>1527</v>
      </c>
      <c r="H993" s="3"/>
      <c r="I993" s="3"/>
      <c r="J993" s="3"/>
      <c r="K993" s="3"/>
      <c r="L993" s="3"/>
      <c r="M993" s="36" t="s">
        <v>1258</v>
      </c>
      <c r="N993" s="36"/>
      <c r="O993" s="36"/>
      <c r="P993" s="36"/>
      <c r="Q993" s="36"/>
      <c r="R993" s="150"/>
      <c r="S993" s="36"/>
      <c r="T993" s="47" t="s">
        <v>275</v>
      </c>
      <c r="U993" s="146" t="s">
        <v>275</v>
      </c>
    </row>
    <row r="994" spans="1:21" ht="30" x14ac:dyDescent="0.25">
      <c r="A994" s="47"/>
      <c r="B994" s="108" t="s">
        <v>23</v>
      </c>
      <c r="C994" s="47" t="s">
        <v>275</v>
      </c>
      <c r="D994" s="3" t="s">
        <v>287</v>
      </c>
      <c r="E994" s="3" t="s">
        <v>1512</v>
      </c>
      <c r="F994" s="3" t="s">
        <v>287</v>
      </c>
      <c r="G994" s="3" t="s">
        <v>1505</v>
      </c>
      <c r="H994" s="3"/>
      <c r="I994" s="3"/>
      <c r="J994" s="3"/>
      <c r="K994" s="3"/>
      <c r="L994" s="3"/>
      <c r="M994" s="36" t="s">
        <v>1258</v>
      </c>
      <c r="N994" s="36"/>
      <c r="O994" s="36"/>
      <c r="P994" s="36"/>
      <c r="Q994" s="36"/>
      <c r="R994" s="150"/>
      <c r="S994" s="36"/>
      <c r="T994" s="47" t="s">
        <v>275</v>
      </c>
      <c r="U994" s="146" t="s">
        <v>275</v>
      </c>
    </row>
    <row r="995" spans="1:21" ht="30" x14ac:dyDescent="0.25">
      <c r="A995" s="109"/>
      <c r="B995" s="109" t="s">
        <v>23</v>
      </c>
      <c r="C995" s="109" t="s">
        <v>275</v>
      </c>
      <c r="D995" s="109" t="s">
        <v>287</v>
      </c>
      <c r="E995" s="109" t="s">
        <v>1510</v>
      </c>
      <c r="F995" s="109" t="s">
        <v>287</v>
      </c>
      <c r="G995" s="109" t="s">
        <v>1503</v>
      </c>
      <c r="H995" s="109"/>
      <c r="I995" s="109"/>
      <c r="J995" s="109"/>
      <c r="K995" s="109"/>
      <c r="L995" s="109"/>
      <c r="M995" s="109" t="s">
        <v>1258</v>
      </c>
      <c r="N995" s="109"/>
      <c r="O995" s="109"/>
      <c r="P995" s="109"/>
      <c r="Q995" s="109"/>
      <c r="R995" s="117"/>
      <c r="S995" s="109"/>
      <c r="T995" s="109" t="s">
        <v>275</v>
      </c>
      <c r="U995" s="109" t="s">
        <v>275</v>
      </c>
    </row>
    <row r="996" spans="1:21" ht="30" x14ac:dyDescent="0.25">
      <c r="A996" s="47"/>
      <c r="B996" s="108" t="s">
        <v>23</v>
      </c>
      <c r="C996" s="47" t="s">
        <v>275</v>
      </c>
      <c r="D996" s="3" t="s">
        <v>287</v>
      </c>
      <c r="E996" s="3" t="s">
        <v>1511</v>
      </c>
      <c r="F996" s="3" t="s">
        <v>287</v>
      </c>
      <c r="G996" s="3" t="s">
        <v>1504</v>
      </c>
      <c r="H996" s="3"/>
      <c r="I996" s="3"/>
      <c r="J996" s="3"/>
      <c r="K996" s="3"/>
      <c r="L996" s="3"/>
      <c r="M996" s="36" t="s">
        <v>1258</v>
      </c>
      <c r="N996" s="36"/>
      <c r="O996" s="36"/>
      <c r="P996" s="36"/>
      <c r="Q996" s="36"/>
      <c r="R996" s="150"/>
      <c r="S996" s="36"/>
      <c r="T996" s="47" t="s">
        <v>275</v>
      </c>
      <c r="U996" s="146" t="s">
        <v>275</v>
      </c>
    </row>
    <row r="997" spans="1:21" ht="30" x14ac:dyDescent="0.25">
      <c r="A997" s="47"/>
      <c r="B997" s="108" t="s">
        <v>23</v>
      </c>
      <c r="C997" s="47" t="s">
        <v>275</v>
      </c>
      <c r="D997" s="3" t="s">
        <v>287</v>
      </c>
      <c r="E997" s="3" t="s">
        <v>1533</v>
      </c>
      <c r="F997" s="3" t="s">
        <v>287</v>
      </c>
      <c r="G997" s="3" t="s">
        <v>1541</v>
      </c>
      <c r="H997" s="3"/>
      <c r="I997" s="3"/>
      <c r="J997" s="3"/>
      <c r="K997" s="3"/>
      <c r="L997" s="3"/>
      <c r="M997" s="36" t="s">
        <v>1258</v>
      </c>
      <c r="N997" s="36"/>
      <c r="O997" s="36"/>
      <c r="P997" s="36"/>
      <c r="Q997" s="36"/>
      <c r="R997" s="150"/>
      <c r="S997" s="36"/>
      <c r="T997" s="47" t="s">
        <v>275</v>
      </c>
      <c r="U997" s="146" t="s">
        <v>275</v>
      </c>
    </row>
    <row r="998" spans="1:21" ht="30" x14ac:dyDescent="0.25">
      <c r="A998" s="47"/>
      <c r="B998" s="108" t="s">
        <v>23</v>
      </c>
      <c r="C998" s="47" t="s">
        <v>275</v>
      </c>
      <c r="D998" s="3" t="s">
        <v>287</v>
      </c>
      <c r="E998" s="3" t="s">
        <v>1555</v>
      </c>
      <c r="F998" s="3" t="s">
        <v>287</v>
      </c>
      <c r="G998" s="3" t="s">
        <v>1545</v>
      </c>
      <c r="H998" s="3"/>
      <c r="I998" s="3"/>
      <c r="J998" s="3"/>
      <c r="K998" s="3"/>
      <c r="L998" s="3"/>
      <c r="M998" s="36" t="s">
        <v>1258</v>
      </c>
      <c r="N998" s="36"/>
      <c r="O998" s="36"/>
      <c r="P998" s="36"/>
      <c r="Q998" s="36"/>
      <c r="R998" s="150"/>
      <c r="S998" s="36"/>
      <c r="T998" s="47" t="s">
        <v>275</v>
      </c>
      <c r="U998" s="146" t="s">
        <v>275</v>
      </c>
    </row>
    <row r="999" spans="1:21" ht="30" x14ac:dyDescent="0.25">
      <c r="A999" s="47"/>
      <c r="B999" s="108" t="s">
        <v>23</v>
      </c>
      <c r="C999" s="47" t="s">
        <v>275</v>
      </c>
      <c r="D999" s="3" t="s">
        <v>287</v>
      </c>
      <c r="E999" s="3" t="s">
        <v>1531</v>
      </c>
      <c r="F999" s="3" t="s">
        <v>287</v>
      </c>
      <c r="G999" s="3" t="s">
        <v>1544</v>
      </c>
      <c r="H999" s="3"/>
      <c r="I999" s="3"/>
      <c r="J999" s="3"/>
      <c r="K999" s="3"/>
      <c r="L999" s="3"/>
      <c r="M999" s="36" t="s">
        <v>1258</v>
      </c>
      <c r="N999" s="36"/>
      <c r="O999" s="36"/>
      <c r="P999" s="36"/>
      <c r="Q999" s="36"/>
      <c r="R999" s="150"/>
      <c r="S999" s="36"/>
      <c r="T999" s="47" t="s">
        <v>275</v>
      </c>
      <c r="U999" s="146" t="s">
        <v>275</v>
      </c>
    </row>
    <row r="1000" spans="1:21" x14ac:dyDescent="0.25">
      <c r="A1000" s="109"/>
      <c r="B1000" s="109"/>
      <c r="C1000" s="109" t="s">
        <v>275</v>
      </c>
      <c r="D1000" s="109" t="s">
        <v>287</v>
      </c>
      <c r="E1000" s="109" t="s">
        <v>2249</v>
      </c>
      <c r="F1000" s="109" t="s">
        <v>3085</v>
      </c>
      <c r="G1000" s="109" t="s">
        <v>2250</v>
      </c>
      <c r="H1000" s="109"/>
      <c r="I1000" s="109"/>
      <c r="J1000" s="109"/>
      <c r="K1000" s="109"/>
      <c r="L1000" s="109"/>
      <c r="M1000" s="109" t="s">
        <v>1258</v>
      </c>
      <c r="N1000" s="109"/>
      <c r="O1000" s="109"/>
      <c r="P1000" s="109"/>
      <c r="Q1000" s="109"/>
      <c r="R1000" s="117"/>
      <c r="S1000" s="109"/>
      <c r="T1000" s="109" t="s">
        <v>275</v>
      </c>
      <c r="U1000" s="109" t="s">
        <v>275</v>
      </c>
    </row>
    <row r="1001" spans="1:21" x14ac:dyDescent="0.25">
      <c r="A1001" s="47"/>
      <c r="B1001" s="108"/>
      <c r="C1001" s="47" t="s">
        <v>275</v>
      </c>
      <c r="D1001" s="3" t="s">
        <v>287</v>
      </c>
      <c r="E1001" s="3" t="s">
        <v>2226</v>
      </c>
      <c r="F1001" s="3" t="s">
        <v>3088</v>
      </c>
      <c r="G1001" s="3" t="s">
        <v>2227</v>
      </c>
      <c r="H1001" s="3"/>
      <c r="I1001" s="3"/>
      <c r="J1001" s="3"/>
      <c r="K1001" s="3"/>
      <c r="L1001" s="3"/>
      <c r="M1001" s="36" t="s">
        <v>1258</v>
      </c>
      <c r="N1001" s="36"/>
      <c r="O1001" s="36"/>
      <c r="P1001" s="36"/>
      <c r="Q1001" s="36"/>
      <c r="R1001" s="150"/>
      <c r="S1001" s="36"/>
      <c r="T1001" s="47" t="s">
        <v>275</v>
      </c>
      <c r="U1001" s="146" t="s">
        <v>275</v>
      </c>
    </row>
    <row r="1002" spans="1:21" ht="30" x14ac:dyDescent="0.25">
      <c r="A1002" s="47"/>
      <c r="B1002" s="108" t="s">
        <v>23</v>
      </c>
      <c r="C1002" s="47" t="s">
        <v>275</v>
      </c>
      <c r="D1002" s="3" t="s">
        <v>287</v>
      </c>
      <c r="E1002" s="3" t="s">
        <v>1513</v>
      </c>
      <c r="F1002" s="3" t="s">
        <v>287</v>
      </c>
      <c r="G1002" s="3" t="s">
        <v>1506</v>
      </c>
      <c r="H1002" s="3"/>
      <c r="I1002" s="3"/>
      <c r="J1002" s="3"/>
      <c r="K1002" s="3"/>
      <c r="L1002" s="3"/>
      <c r="M1002" s="36" t="s">
        <v>1258</v>
      </c>
      <c r="N1002" s="36"/>
      <c r="O1002" s="36"/>
      <c r="P1002" s="36"/>
      <c r="Q1002" s="36"/>
      <c r="R1002" s="150"/>
      <c r="S1002" s="36"/>
      <c r="T1002" s="47" t="s">
        <v>275</v>
      </c>
      <c r="U1002" s="146" t="s">
        <v>275</v>
      </c>
    </row>
    <row r="1003" spans="1:21" x14ac:dyDescent="0.25">
      <c r="A1003" s="109"/>
      <c r="B1003" s="109"/>
      <c r="C1003" s="109" t="s">
        <v>275</v>
      </c>
      <c r="D1003" s="109" t="s">
        <v>287</v>
      </c>
      <c r="E1003" s="109" t="s">
        <v>2239</v>
      </c>
      <c r="F1003" s="109" t="s">
        <v>3088</v>
      </c>
      <c r="G1003" s="109" t="s">
        <v>2240</v>
      </c>
      <c r="H1003" s="109"/>
      <c r="I1003" s="109"/>
      <c r="J1003" s="109"/>
      <c r="K1003" s="109"/>
      <c r="L1003" s="109"/>
      <c r="M1003" s="109" t="s">
        <v>1258</v>
      </c>
      <c r="N1003" s="109"/>
      <c r="O1003" s="109"/>
      <c r="P1003" s="109"/>
      <c r="Q1003" s="109"/>
      <c r="R1003" s="117"/>
      <c r="S1003" s="109"/>
      <c r="T1003" s="109" t="s">
        <v>275</v>
      </c>
      <c r="U1003" s="109" t="s">
        <v>275</v>
      </c>
    </row>
    <row r="1004" spans="1:21" ht="30" x14ac:dyDescent="0.25">
      <c r="A1004" s="47"/>
      <c r="B1004" s="108"/>
      <c r="C1004" s="47" t="s">
        <v>275</v>
      </c>
      <c r="D1004" s="3" t="s">
        <v>287</v>
      </c>
      <c r="E1004" s="3" t="s">
        <v>2452</v>
      </c>
      <c r="F1004" s="3" t="s">
        <v>1595</v>
      </c>
      <c r="G1004" s="3" t="s">
        <v>2453</v>
      </c>
      <c r="H1004" s="3"/>
      <c r="I1004" s="3"/>
      <c r="J1004" s="3"/>
      <c r="K1004" s="3"/>
      <c r="L1004" s="3"/>
      <c r="M1004" s="36" t="s">
        <v>1258</v>
      </c>
      <c r="N1004" s="36"/>
      <c r="O1004" s="36"/>
      <c r="P1004" s="36"/>
      <c r="Q1004" s="36"/>
      <c r="R1004" s="150"/>
      <c r="S1004" s="36"/>
      <c r="T1004" s="47" t="s">
        <v>275</v>
      </c>
      <c r="U1004" s="146"/>
    </row>
    <row r="1005" spans="1:21" ht="30" x14ac:dyDescent="0.25">
      <c r="A1005" s="47"/>
      <c r="B1005" s="108"/>
      <c r="C1005" s="47" t="s">
        <v>275</v>
      </c>
      <c r="D1005" s="3" t="s">
        <v>287</v>
      </c>
      <c r="E1005" s="3" t="s">
        <v>2450</v>
      </c>
      <c r="F1005" s="3" t="s">
        <v>1595</v>
      </c>
      <c r="G1005" s="3" t="s">
        <v>2451</v>
      </c>
      <c r="H1005" s="3"/>
      <c r="I1005" s="3"/>
      <c r="J1005" s="3"/>
      <c r="K1005" s="3"/>
      <c r="L1005" s="3"/>
      <c r="M1005" s="36" t="s">
        <v>1258</v>
      </c>
      <c r="N1005" s="36"/>
      <c r="O1005" s="36"/>
      <c r="P1005" s="36"/>
      <c r="Q1005" s="36"/>
      <c r="R1005" s="150"/>
      <c r="S1005" s="36"/>
      <c r="T1005" s="47" t="s">
        <v>275</v>
      </c>
      <c r="U1005" s="146"/>
    </row>
    <row r="1006" spans="1:21" x14ac:dyDescent="0.25">
      <c r="A1006" s="47"/>
      <c r="B1006" s="108"/>
      <c r="C1006" s="47" t="s">
        <v>275</v>
      </c>
      <c r="D1006" s="3" t="s">
        <v>287</v>
      </c>
      <c r="E1006" s="3" t="s">
        <v>2519</v>
      </c>
      <c r="F1006" s="3" t="s">
        <v>1595</v>
      </c>
      <c r="G1006" s="3" t="s">
        <v>2520</v>
      </c>
      <c r="H1006" s="3"/>
      <c r="I1006" s="3"/>
      <c r="J1006" s="3"/>
      <c r="K1006" s="3"/>
      <c r="L1006" s="3"/>
      <c r="M1006" s="36" t="s">
        <v>1258</v>
      </c>
      <c r="N1006" s="36"/>
      <c r="O1006" s="36"/>
      <c r="P1006" s="36"/>
      <c r="Q1006" s="36"/>
      <c r="R1006" s="150"/>
      <c r="S1006" s="36"/>
      <c r="T1006" s="47" t="s">
        <v>275</v>
      </c>
      <c r="U1006" s="146"/>
    </row>
    <row r="1007" spans="1:21" ht="30" x14ac:dyDescent="0.25">
      <c r="A1007" s="109"/>
      <c r="B1007" s="109" t="s">
        <v>23</v>
      </c>
      <c r="C1007" s="109" t="s">
        <v>275</v>
      </c>
      <c r="D1007" s="109" t="s">
        <v>287</v>
      </c>
      <c r="E1007" s="109" t="s">
        <v>1563</v>
      </c>
      <c r="F1007" s="109" t="s">
        <v>287</v>
      </c>
      <c r="G1007" s="109" t="s">
        <v>1553</v>
      </c>
      <c r="H1007" s="109"/>
      <c r="I1007" s="109"/>
      <c r="J1007" s="109"/>
      <c r="K1007" s="109"/>
      <c r="L1007" s="109"/>
      <c r="M1007" s="109" t="s">
        <v>1258</v>
      </c>
      <c r="N1007" s="109"/>
      <c r="O1007" s="109"/>
      <c r="P1007" s="109"/>
      <c r="Q1007" s="109"/>
      <c r="R1007" s="117">
        <v>45894</v>
      </c>
      <c r="S1007" s="109" t="s">
        <v>206</v>
      </c>
      <c r="T1007" s="109" t="s">
        <v>275</v>
      </c>
      <c r="U1007" s="138" t="s">
        <v>275</v>
      </c>
    </row>
    <row r="1008" spans="1:21" ht="30" x14ac:dyDescent="0.25">
      <c r="A1008" s="109"/>
      <c r="B1008" s="109" t="s">
        <v>23</v>
      </c>
      <c r="C1008" s="109" t="s">
        <v>275</v>
      </c>
      <c r="D1008" s="109" t="s">
        <v>287</v>
      </c>
      <c r="E1008" s="109" t="s">
        <v>1564</v>
      </c>
      <c r="F1008" s="109" t="s">
        <v>287</v>
      </c>
      <c r="G1008" s="109" t="s">
        <v>1554</v>
      </c>
      <c r="H1008" s="109"/>
      <c r="I1008" s="109"/>
      <c r="J1008" s="109"/>
      <c r="K1008" s="109"/>
      <c r="L1008" s="109"/>
      <c r="M1008" s="36" t="s">
        <v>1258</v>
      </c>
      <c r="N1008" s="110"/>
      <c r="O1008" s="110"/>
      <c r="P1008" s="110"/>
      <c r="Q1008" s="110"/>
      <c r="R1008" s="150">
        <v>45894</v>
      </c>
      <c r="S1008" s="36" t="s">
        <v>206</v>
      </c>
      <c r="T1008" s="109" t="s">
        <v>275</v>
      </c>
      <c r="U1008" s="138" t="s">
        <v>275</v>
      </c>
    </row>
    <row r="1009" spans="1:21" x14ac:dyDescent="0.25">
      <c r="A1009" s="47"/>
      <c r="B1009" s="108"/>
      <c r="C1009" s="47" t="s">
        <v>275</v>
      </c>
      <c r="D1009" s="3" t="s">
        <v>287</v>
      </c>
      <c r="E1009" s="3" t="s">
        <v>2774</v>
      </c>
      <c r="F1009" s="3" t="s">
        <v>3089</v>
      </c>
      <c r="G1009" s="3" t="s">
        <v>478</v>
      </c>
      <c r="H1009" s="3"/>
      <c r="I1009" s="3"/>
      <c r="J1009" s="3"/>
      <c r="K1009" s="3"/>
      <c r="L1009" s="3"/>
      <c r="M1009" s="36" t="s">
        <v>1258</v>
      </c>
      <c r="N1009" s="36"/>
      <c r="O1009" s="36"/>
      <c r="P1009" s="36"/>
      <c r="Q1009" s="36"/>
      <c r="R1009" s="150"/>
      <c r="S1009" s="36"/>
      <c r="T1009" s="47" t="s">
        <v>275</v>
      </c>
      <c r="U1009" s="146"/>
    </row>
    <row r="1010" spans="1:21" ht="30" x14ac:dyDescent="0.25">
      <c r="A1010" s="109"/>
      <c r="B1010" s="109"/>
      <c r="C1010" s="109" t="s">
        <v>275</v>
      </c>
      <c r="D1010" s="109" t="s">
        <v>287</v>
      </c>
      <c r="E1010" s="109" t="s">
        <v>2777</v>
      </c>
      <c r="F1010" s="109" t="s">
        <v>3089</v>
      </c>
      <c r="G1010" s="109" t="s">
        <v>2778</v>
      </c>
      <c r="H1010" s="109"/>
      <c r="I1010" s="109"/>
      <c r="J1010" s="109"/>
      <c r="K1010" s="109"/>
      <c r="L1010" s="109"/>
      <c r="M1010" s="109" t="s">
        <v>1258</v>
      </c>
      <c r="N1010" s="109"/>
      <c r="O1010" s="109"/>
      <c r="P1010" s="109"/>
      <c r="Q1010" s="109"/>
      <c r="R1010" s="117"/>
      <c r="S1010" s="109"/>
      <c r="T1010" s="109" t="s">
        <v>275</v>
      </c>
      <c r="U1010" s="109"/>
    </row>
    <row r="1011" spans="1:21" x14ac:dyDescent="0.25">
      <c r="A1011" s="109"/>
      <c r="B1011" s="109"/>
      <c r="C1011" s="109" t="s">
        <v>275</v>
      </c>
      <c r="D1011" s="109" t="s">
        <v>287</v>
      </c>
      <c r="E1011" s="109" t="s">
        <v>2782</v>
      </c>
      <c r="F1011" s="109" t="s">
        <v>3087</v>
      </c>
      <c r="G1011" s="109" t="s">
        <v>2783</v>
      </c>
      <c r="H1011" s="109"/>
      <c r="I1011" s="109"/>
      <c r="J1011" s="109"/>
      <c r="K1011" s="109"/>
      <c r="L1011" s="109"/>
      <c r="M1011" s="110" t="s">
        <v>1258</v>
      </c>
      <c r="N1011" s="110"/>
      <c r="O1011" s="110"/>
      <c r="P1011" s="110"/>
      <c r="Q1011" s="110"/>
      <c r="R1011" s="117">
        <v>45903</v>
      </c>
      <c r="S1011" s="110" t="s">
        <v>206</v>
      </c>
      <c r="T1011" s="109" t="s">
        <v>275</v>
      </c>
      <c r="U1011" s="138"/>
    </row>
    <row r="1012" spans="1:21" ht="30" x14ac:dyDescent="0.25">
      <c r="A1012" s="109"/>
      <c r="B1012" s="109"/>
      <c r="C1012" s="109" t="s">
        <v>275</v>
      </c>
      <c r="D1012" s="109" t="s">
        <v>287</v>
      </c>
      <c r="E1012" s="109" t="s">
        <v>2804</v>
      </c>
      <c r="F1012" s="109" t="s">
        <v>3089</v>
      </c>
      <c r="G1012" s="109" t="s">
        <v>2805</v>
      </c>
      <c r="H1012" s="109"/>
      <c r="I1012" s="109"/>
      <c r="J1012" s="109"/>
      <c r="K1012" s="109"/>
      <c r="L1012" s="109"/>
      <c r="M1012" s="109" t="s">
        <v>1258</v>
      </c>
      <c r="N1012" s="109"/>
      <c r="O1012" s="109"/>
      <c r="P1012" s="109"/>
      <c r="Q1012" s="109"/>
      <c r="R1012" s="117"/>
      <c r="S1012" s="109"/>
      <c r="T1012" s="109" t="s">
        <v>275</v>
      </c>
      <c r="U1012" s="109"/>
    </row>
    <row r="1013" spans="1:21" ht="30" x14ac:dyDescent="0.25">
      <c r="A1013" s="47"/>
      <c r="B1013" s="108"/>
      <c r="C1013" s="47" t="s">
        <v>275</v>
      </c>
      <c r="D1013" s="3" t="s">
        <v>287</v>
      </c>
      <c r="E1013" s="3" t="s">
        <v>2760</v>
      </c>
      <c r="F1013" s="3" t="s">
        <v>1703</v>
      </c>
      <c r="G1013" s="3" t="s">
        <v>2761</v>
      </c>
      <c r="H1013" s="3"/>
      <c r="I1013" s="3"/>
      <c r="J1013" s="3"/>
      <c r="K1013" s="3"/>
      <c r="L1013" s="3"/>
      <c r="M1013" s="36" t="s">
        <v>1258</v>
      </c>
      <c r="N1013" s="36"/>
      <c r="O1013" s="36"/>
      <c r="P1013" s="36"/>
      <c r="Q1013" s="36"/>
      <c r="R1013" s="150"/>
      <c r="S1013" s="36"/>
      <c r="T1013" s="47" t="s">
        <v>275</v>
      </c>
      <c r="U1013" s="146"/>
    </row>
    <row r="1014" spans="1:21" ht="30" x14ac:dyDescent="0.25">
      <c r="A1014" s="47"/>
      <c r="B1014" s="108"/>
      <c r="C1014" s="47" t="s">
        <v>275</v>
      </c>
      <c r="D1014" s="3" t="s">
        <v>287</v>
      </c>
      <c r="E1014" s="3" t="s">
        <v>2823</v>
      </c>
      <c r="F1014" s="3" t="s">
        <v>3089</v>
      </c>
      <c r="G1014" s="3" t="s">
        <v>2824</v>
      </c>
      <c r="H1014" s="3"/>
      <c r="I1014" s="3"/>
      <c r="J1014" s="3"/>
      <c r="K1014" s="3"/>
      <c r="L1014" s="3"/>
      <c r="M1014" s="36" t="s">
        <v>1258</v>
      </c>
      <c r="N1014" s="36"/>
      <c r="O1014" s="36"/>
      <c r="P1014" s="36"/>
      <c r="Q1014" s="36"/>
      <c r="R1014" s="150"/>
      <c r="S1014" s="36"/>
      <c r="T1014" s="47" t="s">
        <v>275</v>
      </c>
      <c r="U1014" s="146"/>
    </row>
    <row r="1015" spans="1:21" ht="30" customHeight="1" x14ac:dyDescent="0.25">
      <c r="A1015" s="47"/>
      <c r="B1015" s="108"/>
      <c r="C1015" s="47" t="s">
        <v>275</v>
      </c>
      <c r="D1015" s="3" t="s">
        <v>287</v>
      </c>
      <c r="E1015" s="3" t="s">
        <v>2775</v>
      </c>
      <c r="F1015" s="3" t="s">
        <v>1703</v>
      </c>
      <c r="G1015" s="3" t="s">
        <v>2776</v>
      </c>
      <c r="H1015" s="3"/>
      <c r="I1015" s="3"/>
      <c r="J1015" s="3"/>
      <c r="K1015" s="3"/>
      <c r="L1015" s="3"/>
      <c r="M1015" s="36" t="s">
        <v>1258</v>
      </c>
      <c r="N1015" s="36"/>
      <c r="O1015" s="36"/>
      <c r="P1015" s="36"/>
      <c r="Q1015" s="36"/>
      <c r="R1015" s="150"/>
      <c r="S1015" s="36"/>
      <c r="T1015" s="47" t="s">
        <v>275</v>
      </c>
      <c r="U1015" s="146"/>
    </row>
    <row r="1016" spans="1:21" ht="30" x14ac:dyDescent="0.25">
      <c r="A1016" s="47"/>
      <c r="B1016" s="108"/>
      <c r="C1016" s="47" t="s">
        <v>275</v>
      </c>
      <c r="D1016" s="3" t="s">
        <v>287</v>
      </c>
      <c r="E1016" s="3" t="s">
        <v>2835</v>
      </c>
      <c r="F1016" s="3" t="s">
        <v>1595</v>
      </c>
      <c r="G1016" s="3" t="s">
        <v>2836</v>
      </c>
      <c r="H1016" s="3"/>
      <c r="I1016" s="3"/>
      <c r="J1016" s="3"/>
      <c r="K1016" s="3"/>
      <c r="L1016" s="3"/>
      <c r="M1016" s="36" t="s">
        <v>1258</v>
      </c>
      <c r="N1016" s="36"/>
      <c r="O1016" s="36"/>
      <c r="P1016" s="36"/>
      <c r="Q1016" s="36"/>
      <c r="R1016" s="150"/>
      <c r="S1016" s="36"/>
      <c r="T1016" s="47" t="s">
        <v>275</v>
      </c>
      <c r="U1016" s="146"/>
    </row>
    <row r="1017" spans="1:21" x14ac:dyDescent="0.25">
      <c r="A1017" s="109"/>
      <c r="B1017" s="109"/>
      <c r="C1017" s="109" t="s">
        <v>275</v>
      </c>
      <c r="D1017" s="109" t="s">
        <v>287</v>
      </c>
      <c r="E1017" s="109" t="s">
        <v>2872</v>
      </c>
      <c r="F1017" s="109" t="s">
        <v>3085</v>
      </c>
      <c r="G1017" s="109" t="s">
        <v>2873</v>
      </c>
      <c r="H1017" s="109"/>
      <c r="I1017" s="109"/>
      <c r="J1017" s="109"/>
      <c r="K1017" s="109"/>
      <c r="L1017" s="109"/>
      <c r="M1017" s="109" t="s">
        <v>1258</v>
      </c>
      <c r="N1017" s="109"/>
      <c r="O1017" s="109"/>
      <c r="P1017" s="109"/>
      <c r="Q1017" s="109"/>
      <c r="R1017" s="117"/>
      <c r="S1017" s="109"/>
      <c r="T1017" s="109" t="s">
        <v>275</v>
      </c>
      <c r="U1017" s="109"/>
    </row>
    <row r="1018" spans="1:21" ht="75" x14ac:dyDescent="0.25">
      <c r="A1018" s="109"/>
      <c r="B1018" s="109"/>
      <c r="C1018" s="109" t="s">
        <v>275</v>
      </c>
      <c r="D1018" s="109" t="s">
        <v>287</v>
      </c>
      <c r="E1018" s="109" t="s">
        <v>2972</v>
      </c>
      <c r="F1018" s="109" t="s">
        <v>1595</v>
      </c>
      <c r="G1018" s="109" t="s">
        <v>2973</v>
      </c>
      <c r="H1018" s="109"/>
      <c r="I1018" s="109"/>
      <c r="J1018" s="109"/>
      <c r="K1018" s="109"/>
      <c r="L1018" s="109"/>
      <c r="M1018" s="109" t="s">
        <v>1258</v>
      </c>
      <c r="N1018" s="109"/>
      <c r="O1018" s="109"/>
      <c r="P1018" s="109"/>
      <c r="Q1018" s="109" t="s">
        <v>2992</v>
      </c>
      <c r="R1018" s="117">
        <v>45917</v>
      </c>
      <c r="S1018" s="109" t="s">
        <v>206</v>
      </c>
      <c r="T1018" s="109" t="s">
        <v>275</v>
      </c>
      <c r="U1018" s="109"/>
    </row>
    <row r="1019" spans="1:21" x14ac:dyDescent="0.25">
      <c r="A1019" s="47"/>
      <c r="B1019" s="108"/>
      <c r="C1019" s="47" t="s">
        <v>275</v>
      </c>
      <c r="D1019" s="3" t="s">
        <v>287</v>
      </c>
      <c r="E1019" s="3" t="s">
        <v>2995</v>
      </c>
      <c r="F1019" s="3" t="s">
        <v>3085</v>
      </c>
      <c r="G1019" s="3" t="s">
        <v>2996</v>
      </c>
      <c r="H1019" s="3"/>
      <c r="I1019" s="3"/>
      <c r="J1019" s="3"/>
      <c r="K1019" s="3"/>
      <c r="L1019" s="3"/>
      <c r="M1019" s="36" t="s">
        <v>1258</v>
      </c>
      <c r="N1019" s="36"/>
      <c r="O1019" s="36"/>
      <c r="P1019" s="36"/>
      <c r="Q1019" s="36" t="s">
        <v>3016</v>
      </c>
      <c r="R1019" s="150">
        <v>45918</v>
      </c>
      <c r="S1019" s="36" t="s">
        <v>206</v>
      </c>
      <c r="T1019" s="47" t="s">
        <v>275</v>
      </c>
      <c r="U1019" s="146"/>
    </row>
    <row r="1020" spans="1:21" ht="30" x14ac:dyDescent="0.25">
      <c r="A1020" s="47"/>
      <c r="B1020" s="108"/>
      <c r="C1020" s="47" t="s">
        <v>275</v>
      </c>
      <c r="D1020" s="3" t="s">
        <v>287</v>
      </c>
      <c r="E1020" s="3" t="s">
        <v>2876</v>
      </c>
      <c r="F1020" s="3" t="s">
        <v>3085</v>
      </c>
      <c r="G1020" s="3" t="s">
        <v>2877</v>
      </c>
      <c r="H1020" s="3"/>
      <c r="I1020" s="3"/>
      <c r="J1020" s="3"/>
      <c r="K1020" s="3"/>
      <c r="L1020" s="3"/>
      <c r="M1020" s="36" t="s">
        <v>1258</v>
      </c>
      <c r="N1020" s="36"/>
      <c r="O1020" s="36"/>
      <c r="P1020" s="36"/>
      <c r="Q1020" s="36" t="s">
        <v>3012</v>
      </c>
      <c r="R1020" s="150">
        <v>45918</v>
      </c>
      <c r="S1020" s="36" t="s">
        <v>206</v>
      </c>
      <c r="T1020" s="47" t="s">
        <v>275</v>
      </c>
      <c r="U1020" s="146"/>
    </row>
    <row r="1021" spans="1:21" x14ac:dyDescent="0.25">
      <c r="A1021" s="47"/>
      <c r="B1021" s="108"/>
      <c r="C1021" s="47" t="s">
        <v>275</v>
      </c>
      <c r="D1021" s="3" t="s">
        <v>287</v>
      </c>
      <c r="E1021" s="3" t="s">
        <v>3008</v>
      </c>
      <c r="F1021" s="3" t="s">
        <v>3085</v>
      </c>
      <c r="G1021" s="3" t="s">
        <v>3009</v>
      </c>
      <c r="H1021" s="3"/>
      <c r="I1021" s="3"/>
      <c r="J1021" s="3"/>
      <c r="K1021" s="3"/>
      <c r="L1021" s="3"/>
      <c r="M1021" s="36" t="s">
        <v>1258</v>
      </c>
      <c r="N1021" s="36"/>
      <c r="O1021" s="36"/>
      <c r="P1021" s="36"/>
      <c r="Q1021" s="36" t="s">
        <v>3035</v>
      </c>
      <c r="R1021" s="150">
        <v>45919</v>
      </c>
      <c r="S1021" s="36" t="s">
        <v>206</v>
      </c>
      <c r="T1021" s="47" t="s">
        <v>275</v>
      </c>
      <c r="U1021" s="146"/>
    </row>
    <row r="1022" spans="1:21" x14ac:dyDescent="0.25">
      <c r="A1022" s="109"/>
      <c r="B1022" s="109"/>
      <c r="C1022" s="109" t="s">
        <v>275</v>
      </c>
      <c r="D1022" s="109" t="s">
        <v>287</v>
      </c>
      <c r="E1022" s="109" t="s">
        <v>3006</v>
      </c>
      <c r="F1022" s="109" t="s">
        <v>1595</v>
      </c>
      <c r="G1022" s="109" t="s">
        <v>3007</v>
      </c>
      <c r="H1022" s="109"/>
      <c r="I1022" s="109"/>
      <c r="J1022" s="109"/>
      <c r="K1022" s="109"/>
      <c r="L1022" s="109"/>
      <c r="M1022" s="109" t="s">
        <v>1258</v>
      </c>
      <c r="N1022" s="109"/>
      <c r="O1022" s="109"/>
      <c r="P1022" s="109"/>
      <c r="Q1022" s="109" t="s">
        <v>3038</v>
      </c>
      <c r="R1022" s="117">
        <v>45922</v>
      </c>
      <c r="S1022" s="109" t="s">
        <v>206</v>
      </c>
      <c r="T1022" s="109" t="s">
        <v>275</v>
      </c>
      <c r="U1022" s="138"/>
    </row>
    <row r="1023" spans="1:21" x14ac:dyDescent="0.25">
      <c r="A1023" s="109"/>
      <c r="B1023" s="109"/>
      <c r="C1023" s="109" t="s">
        <v>275</v>
      </c>
      <c r="D1023" s="109" t="s">
        <v>287</v>
      </c>
      <c r="E1023" s="109" t="s">
        <v>3021</v>
      </c>
      <c r="F1023" s="109" t="s">
        <v>1595</v>
      </c>
      <c r="G1023" s="109" t="s">
        <v>3022</v>
      </c>
      <c r="H1023" s="109"/>
      <c r="I1023" s="109"/>
      <c r="J1023" s="109"/>
      <c r="K1023" s="109"/>
      <c r="L1023" s="109"/>
      <c r="M1023" s="109" t="s">
        <v>1258</v>
      </c>
      <c r="N1023" s="109"/>
      <c r="O1023" s="109"/>
      <c r="P1023" s="109"/>
      <c r="Q1023" s="109" t="s">
        <v>3039</v>
      </c>
      <c r="R1023" s="117">
        <v>45922</v>
      </c>
      <c r="S1023" s="109" t="s">
        <v>206</v>
      </c>
      <c r="T1023" s="109" t="s">
        <v>275</v>
      </c>
      <c r="U1023" s="109"/>
    </row>
    <row r="1024" spans="1:21" x14ac:dyDescent="0.25">
      <c r="A1024" s="109"/>
      <c r="B1024" s="109"/>
      <c r="C1024" s="109" t="s">
        <v>23</v>
      </c>
      <c r="D1024" s="109" t="s">
        <v>287</v>
      </c>
      <c r="E1024" s="109" t="s">
        <v>3138</v>
      </c>
      <c r="F1024" s="109" t="s">
        <v>3090</v>
      </c>
      <c r="G1024" s="109" t="s">
        <v>3139</v>
      </c>
      <c r="H1024" s="109"/>
      <c r="I1024" s="109" t="s">
        <v>23</v>
      </c>
      <c r="J1024" s="109" t="s">
        <v>23</v>
      </c>
      <c r="K1024" s="109"/>
      <c r="L1024" s="109"/>
      <c r="M1024" s="109" t="s">
        <v>1036</v>
      </c>
      <c r="N1024" s="109"/>
      <c r="O1024" s="109"/>
      <c r="P1024" s="109"/>
      <c r="Q1024" s="109"/>
      <c r="R1024" s="117"/>
      <c r="S1024" s="109"/>
      <c r="T1024" s="109" t="s">
        <v>23</v>
      </c>
      <c r="U1024" s="109"/>
    </row>
    <row r="1025" spans="1:21" x14ac:dyDescent="0.25">
      <c r="A1025" s="109"/>
      <c r="B1025" s="109"/>
      <c r="C1025" s="109" t="s">
        <v>23</v>
      </c>
      <c r="D1025" s="109" t="s">
        <v>287</v>
      </c>
      <c r="E1025" s="109" t="s">
        <v>3056</v>
      </c>
      <c r="F1025" s="109" t="s">
        <v>3085</v>
      </c>
      <c r="G1025" s="109" t="s">
        <v>3057</v>
      </c>
      <c r="H1025" s="109"/>
      <c r="I1025" s="109" t="s">
        <v>23</v>
      </c>
      <c r="J1025" s="109"/>
      <c r="K1025" s="109"/>
      <c r="L1025" s="109"/>
      <c r="M1025" s="109" t="s">
        <v>1036</v>
      </c>
      <c r="N1025" s="109"/>
      <c r="O1025" s="109"/>
      <c r="P1025" s="109"/>
      <c r="Q1025" s="109"/>
      <c r="R1025" s="117"/>
      <c r="S1025" s="109"/>
      <c r="T1025" s="109" t="s">
        <v>23</v>
      </c>
      <c r="U1025" s="109"/>
    </row>
    <row r="1026" spans="1:21" x14ac:dyDescent="0.25">
      <c r="A1026" s="47"/>
      <c r="B1026" s="108"/>
      <c r="C1026" s="47" t="s">
        <v>23</v>
      </c>
      <c r="D1026" s="3" t="s">
        <v>287</v>
      </c>
      <c r="E1026" s="3" t="s">
        <v>3058</v>
      </c>
      <c r="F1026" s="3" t="s">
        <v>1595</v>
      </c>
      <c r="G1026" s="3" t="s">
        <v>3059</v>
      </c>
      <c r="H1026" s="3"/>
      <c r="I1026" s="3" t="s">
        <v>23</v>
      </c>
      <c r="J1026" s="3"/>
      <c r="K1026" s="3"/>
      <c r="L1026" s="3"/>
      <c r="M1026" s="36" t="s">
        <v>1036</v>
      </c>
      <c r="N1026" s="36"/>
      <c r="O1026" s="36"/>
      <c r="P1026" s="36"/>
      <c r="Q1026" s="36"/>
      <c r="R1026" s="150"/>
      <c r="S1026" s="36"/>
      <c r="T1026" s="47" t="s">
        <v>23</v>
      </c>
      <c r="U1026" s="146"/>
    </row>
    <row r="1027" spans="1:21" x14ac:dyDescent="0.25">
      <c r="A1027" s="47"/>
      <c r="B1027" s="108"/>
      <c r="C1027" s="47" t="s">
        <v>275</v>
      </c>
      <c r="D1027" s="3" t="s">
        <v>287</v>
      </c>
      <c r="E1027" s="3" t="s">
        <v>2711</v>
      </c>
      <c r="F1027" s="3" t="s">
        <v>3085</v>
      </c>
      <c r="G1027" s="3" t="s">
        <v>2712</v>
      </c>
      <c r="H1027" s="3"/>
      <c r="I1027" s="3"/>
      <c r="J1027" s="3"/>
      <c r="K1027" s="3"/>
      <c r="L1027" s="3"/>
      <c r="M1027" s="36" t="s">
        <v>1036</v>
      </c>
      <c r="N1027" s="36"/>
      <c r="O1027" s="36"/>
      <c r="P1027" s="36"/>
      <c r="Q1027" s="36"/>
      <c r="R1027" s="150">
        <v>45895</v>
      </c>
      <c r="S1027" s="36" t="s">
        <v>206</v>
      </c>
      <c r="T1027" s="47" t="s">
        <v>275</v>
      </c>
      <c r="U1027" s="146"/>
    </row>
    <row r="1028" spans="1:21" x14ac:dyDescent="0.25">
      <c r="A1028" s="47"/>
      <c r="B1028" s="108"/>
      <c r="C1028" s="47" t="s">
        <v>275</v>
      </c>
      <c r="D1028" s="3" t="s">
        <v>287</v>
      </c>
      <c r="E1028" s="3" t="s">
        <v>2598</v>
      </c>
      <c r="F1028" s="3" t="s">
        <v>1703</v>
      </c>
      <c r="G1028" s="3" t="s">
        <v>2599</v>
      </c>
      <c r="H1028" s="3"/>
      <c r="I1028" s="3"/>
      <c r="J1028" s="3"/>
      <c r="K1028" s="3"/>
      <c r="L1028" s="3"/>
      <c r="M1028" s="36" t="s">
        <v>1036</v>
      </c>
      <c r="N1028" s="36"/>
      <c r="O1028" s="36"/>
      <c r="P1028" s="36"/>
      <c r="Q1028" s="36"/>
      <c r="R1028" s="150"/>
      <c r="S1028" s="36"/>
      <c r="T1028" s="47" t="s">
        <v>275</v>
      </c>
      <c r="U1028" s="146"/>
    </row>
    <row r="1029" spans="1:21" x14ac:dyDescent="0.25">
      <c r="A1029" s="47"/>
      <c r="B1029" s="108"/>
      <c r="C1029" s="47" t="s">
        <v>275</v>
      </c>
      <c r="D1029" s="3" t="s">
        <v>287</v>
      </c>
      <c r="E1029" s="3" t="s">
        <v>2578</v>
      </c>
      <c r="F1029" s="3" t="s">
        <v>3085</v>
      </c>
      <c r="G1029" s="3" t="s">
        <v>2579</v>
      </c>
      <c r="H1029" s="3"/>
      <c r="I1029" s="3"/>
      <c r="J1029" s="3"/>
      <c r="K1029" s="3"/>
      <c r="L1029" s="3"/>
      <c r="M1029" s="36" t="s">
        <v>1036</v>
      </c>
      <c r="N1029" s="36"/>
      <c r="O1029" s="36"/>
      <c r="P1029" s="36"/>
      <c r="Q1029" s="36"/>
      <c r="R1029" s="150"/>
      <c r="S1029" s="36"/>
      <c r="T1029" s="47" t="s">
        <v>275</v>
      </c>
      <c r="U1029" s="146"/>
    </row>
    <row r="1030" spans="1:21" x14ac:dyDescent="0.25">
      <c r="A1030" s="109"/>
      <c r="B1030" s="109"/>
      <c r="C1030" s="109" t="s">
        <v>275</v>
      </c>
      <c r="D1030" s="109" t="s">
        <v>287</v>
      </c>
      <c r="E1030" s="109" t="s">
        <v>2566</v>
      </c>
      <c r="F1030" s="109" t="s">
        <v>1703</v>
      </c>
      <c r="G1030" s="109" t="s">
        <v>2567</v>
      </c>
      <c r="H1030" s="109"/>
      <c r="I1030" s="109"/>
      <c r="J1030" s="109"/>
      <c r="K1030" s="109"/>
      <c r="L1030" s="109"/>
      <c r="M1030" s="109" t="s">
        <v>1036</v>
      </c>
      <c r="N1030" s="109"/>
      <c r="O1030" s="109"/>
      <c r="P1030" s="109"/>
      <c r="Q1030" s="109"/>
      <c r="R1030" s="117"/>
      <c r="S1030" s="109"/>
      <c r="T1030" s="109" t="s">
        <v>275</v>
      </c>
      <c r="U1030" s="138"/>
    </row>
    <row r="1031" spans="1:21" x14ac:dyDescent="0.25">
      <c r="A1031" s="109"/>
      <c r="B1031" s="109"/>
      <c r="C1031" s="109" t="s">
        <v>275</v>
      </c>
      <c r="D1031" s="109" t="s">
        <v>287</v>
      </c>
      <c r="E1031" s="109" t="s">
        <v>2553</v>
      </c>
      <c r="F1031" s="109" t="s">
        <v>1703</v>
      </c>
      <c r="G1031" s="109" t="s">
        <v>2554</v>
      </c>
      <c r="H1031" s="109"/>
      <c r="I1031" s="109"/>
      <c r="J1031" s="109"/>
      <c r="K1031" s="109"/>
      <c r="L1031" s="109"/>
      <c r="M1031" s="110" t="s">
        <v>1036</v>
      </c>
      <c r="N1031" s="110"/>
      <c r="O1031" s="110"/>
      <c r="P1031" s="110"/>
      <c r="Q1031" s="110"/>
      <c r="R1031" s="117"/>
      <c r="S1031" s="110"/>
      <c r="T1031" s="109" t="s">
        <v>275</v>
      </c>
      <c r="U1031" s="138"/>
    </row>
    <row r="1032" spans="1:21" x14ac:dyDescent="0.25">
      <c r="A1032" s="47"/>
      <c r="B1032" s="108"/>
      <c r="C1032" s="47" t="s">
        <v>275</v>
      </c>
      <c r="D1032" s="3" t="s">
        <v>287</v>
      </c>
      <c r="E1032" s="3" t="s">
        <v>2542</v>
      </c>
      <c r="F1032" s="3" t="s">
        <v>1703</v>
      </c>
      <c r="G1032" s="3" t="s">
        <v>2543</v>
      </c>
      <c r="H1032" s="3"/>
      <c r="I1032" s="3"/>
      <c r="J1032" s="3"/>
      <c r="K1032" s="3"/>
      <c r="L1032" s="3"/>
      <c r="M1032" s="36" t="s">
        <v>1036</v>
      </c>
      <c r="N1032" s="36"/>
      <c r="O1032" s="36"/>
      <c r="P1032" s="36"/>
      <c r="Q1032" s="36"/>
      <c r="R1032" s="150"/>
      <c r="S1032" s="36"/>
      <c r="T1032" s="47" t="s">
        <v>275</v>
      </c>
      <c r="U1032" s="146"/>
    </row>
    <row r="1033" spans="1:21" ht="30" x14ac:dyDescent="0.25">
      <c r="A1033" s="109"/>
      <c r="B1033" s="109"/>
      <c r="C1033" s="109" t="s">
        <v>275</v>
      </c>
      <c r="D1033" s="109" t="s">
        <v>287</v>
      </c>
      <c r="E1033" s="109" t="s">
        <v>2470</v>
      </c>
      <c r="F1033" s="109" t="s">
        <v>1595</v>
      </c>
      <c r="G1033" s="109" t="s">
        <v>2471</v>
      </c>
      <c r="H1033" s="109"/>
      <c r="I1033" s="109"/>
      <c r="J1033" s="109"/>
      <c r="K1033" s="109"/>
      <c r="L1033" s="109"/>
      <c r="M1033" s="109" t="s">
        <v>1036</v>
      </c>
      <c r="N1033" s="109"/>
      <c r="O1033" s="109"/>
      <c r="P1033" s="109"/>
      <c r="Q1033" s="109"/>
      <c r="R1033" s="117"/>
      <c r="S1033" s="109"/>
      <c r="T1033" s="109" t="s">
        <v>275</v>
      </c>
      <c r="U1033" s="109"/>
    </row>
    <row r="1034" spans="1:21" x14ac:dyDescent="0.25">
      <c r="A1034" s="47"/>
      <c r="B1034" s="108"/>
      <c r="C1034" s="47" t="s">
        <v>275</v>
      </c>
      <c r="D1034" s="3" t="s">
        <v>287</v>
      </c>
      <c r="E1034" s="3" t="s">
        <v>2393</v>
      </c>
      <c r="F1034" s="3" t="s">
        <v>3085</v>
      </c>
      <c r="G1034" s="3" t="s">
        <v>2394</v>
      </c>
      <c r="H1034" s="3"/>
      <c r="I1034" s="3"/>
      <c r="J1034" s="3"/>
      <c r="K1034" s="3"/>
      <c r="L1034" s="3"/>
      <c r="M1034" s="36" t="s">
        <v>1036</v>
      </c>
      <c r="N1034" s="36"/>
      <c r="O1034" s="36"/>
      <c r="P1034" s="36"/>
      <c r="Q1034" s="36"/>
      <c r="R1034" s="150"/>
      <c r="S1034" s="36"/>
      <c r="T1034" s="47" t="s">
        <v>275</v>
      </c>
      <c r="U1034" s="146"/>
    </row>
    <row r="1035" spans="1:21" x14ac:dyDescent="0.25">
      <c r="A1035" s="109"/>
      <c r="B1035" s="109"/>
      <c r="C1035" s="109" t="s">
        <v>275</v>
      </c>
      <c r="D1035" s="109" t="s">
        <v>287</v>
      </c>
      <c r="E1035" s="109" t="s">
        <v>2234</v>
      </c>
      <c r="F1035" s="109" t="s">
        <v>3088</v>
      </c>
      <c r="G1035" s="109" t="s">
        <v>2235</v>
      </c>
      <c r="H1035" s="109"/>
      <c r="I1035" s="109"/>
      <c r="J1035" s="109"/>
      <c r="K1035" s="109"/>
      <c r="L1035" s="109"/>
      <c r="M1035" s="36" t="s">
        <v>1036</v>
      </c>
      <c r="N1035" s="36"/>
      <c r="O1035" s="36"/>
      <c r="P1035" s="36"/>
      <c r="Q1035" s="36"/>
      <c r="R1035" s="150"/>
      <c r="S1035" s="36"/>
      <c r="T1035" s="47" t="s">
        <v>275</v>
      </c>
      <c r="U1035" s="146" t="s">
        <v>275</v>
      </c>
    </row>
    <row r="1036" spans="1:21" x14ac:dyDescent="0.25">
      <c r="A1036" s="47"/>
      <c r="B1036" s="108"/>
      <c r="C1036" s="47" t="s">
        <v>275</v>
      </c>
      <c r="D1036" s="3" t="s">
        <v>287</v>
      </c>
      <c r="E1036" s="3" t="s">
        <v>2195</v>
      </c>
      <c r="F1036" s="3" t="s">
        <v>3085</v>
      </c>
      <c r="G1036" s="3" t="s">
        <v>528</v>
      </c>
      <c r="H1036" s="3"/>
      <c r="I1036" s="3"/>
      <c r="J1036" s="3"/>
      <c r="K1036" s="3"/>
      <c r="L1036" s="3"/>
      <c r="M1036" s="36" t="s">
        <v>1036</v>
      </c>
      <c r="N1036" s="36"/>
      <c r="O1036" s="36"/>
      <c r="P1036" s="36"/>
      <c r="Q1036" s="36"/>
      <c r="R1036" s="150"/>
      <c r="S1036" s="36"/>
      <c r="T1036" s="47" t="s">
        <v>275</v>
      </c>
      <c r="U1036" s="146" t="s">
        <v>275</v>
      </c>
    </row>
    <row r="1037" spans="1:21" x14ac:dyDescent="0.25">
      <c r="A1037" s="109"/>
      <c r="B1037" s="109"/>
      <c r="C1037" s="109" t="s">
        <v>275</v>
      </c>
      <c r="D1037" s="109" t="s">
        <v>287</v>
      </c>
      <c r="E1037" s="109" t="s">
        <v>1689</v>
      </c>
      <c r="F1037" s="109" t="s">
        <v>3085</v>
      </c>
      <c r="G1037" s="109" t="s">
        <v>1690</v>
      </c>
      <c r="H1037" s="109"/>
      <c r="I1037" s="109"/>
      <c r="J1037" s="109"/>
      <c r="K1037" s="109"/>
      <c r="L1037" s="109"/>
      <c r="M1037" s="109" t="s">
        <v>1036</v>
      </c>
      <c r="N1037" s="109"/>
      <c r="O1037" s="109"/>
      <c r="P1037" s="109"/>
      <c r="Q1037" s="109"/>
      <c r="R1037" s="117">
        <v>45824</v>
      </c>
      <c r="S1037" s="109" t="s">
        <v>206</v>
      </c>
      <c r="T1037" s="109" t="s">
        <v>275</v>
      </c>
      <c r="U1037" s="138" t="s">
        <v>275</v>
      </c>
    </row>
    <row r="1038" spans="1:21" x14ac:dyDescent="0.25">
      <c r="A1038" s="109"/>
      <c r="B1038" s="109"/>
      <c r="C1038" s="109" t="s">
        <v>275</v>
      </c>
      <c r="D1038" s="109" t="s">
        <v>287</v>
      </c>
      <c r="E1038" s="109" t="s">
        <v>1438</v>
      </c>
      <c r="F1038" s="109" t="s">
        <v>530</v>
      </c>
      <c r="G1038" s="109" t="s">
        <v>1430</v>
      </c>
      <c r="H1038" s="109"/>
      <c r="I1038" s="109"/>
      <c r="J1038" s="109"/>
      <c r="K1038" s="109"/>
      <c r="L1038" s="109"/>
      <c r="M1038" s="109" t="s">
        <v>1036</v>
      </c>
      <c r="N1038" s="109"/>
      <c r="O1038" s="109"/>
      <c r="P1038" s="109"/>
      <c r="Q1038" s="109"/>
      <c r="R1038" s="117"/>
      <c r="S1038" s="109"/>
      <c r="T1038" s="109" t="s">
        <v>275</v>
      </c>
      <c r="U1038" s="109" t="s">
        <v>275</v>
      </c>
    </row>
    <row r="1039" spans="1:21" ht="30" x14ac:dyDescent="0.25">
      <c r="A1039" s="109"/>
      <c r="B1039" s="109" t="s">
        <v>23</v>
      </c>
      <c r="C1039" s="109" t="s">
        <v>275</v>
      </c>
      <c r="D1039" s="109" t="s">
        <v>287</v>
      </c>
      <c r="E1039" s="109" t="s">
        <v>1391</v>
      </c>
      <c r="F1039" s="109" t="s">
        <v>287</v>
      </c>
      <c r="G1039" s="109" t="s">
        <v>1390</v>
      </c>
      <c r="H1039" s="109"/>
      <c r="I1039" s="109"/>
      <c r="J1039" s="109"/>
      <c r="K1039" s="109"/>
      <c r="L1039" s="109"/>
      <c r="M1039" s="109" t="s">
        <v>1036</v>
      </c>
      <c r="N1039" s="109"/>
      <c r="O1039" s="109"/>
      <c r="P1039" s="109"/>
      <c r="Q1039" s="109"/>
      <c r="R1039" s="117"/>
      <c r="S1039" s="109"/>
      <c r="T1039" s="109" t="s">
        <v>275</v>
      </c>
      <c r="U1039" s="109" t="s">
        <v>275</v>
      </c>
    </row>
    <row r="1040" spans="1:21" ht="30" x14ac:dyDescent="0.25">
      <c r="A1040" s="47"/>
      <c r="B1040" s="108" t="s">
        <v>23</v>
      </c>
      <c r="C1040" s="47" t="s">
        <v>275</v>
      </c>
      <c r="D1040" s="3" t="s">
        <v>287</v>
      </c>
      <c r="E1040" s="3" t="s">
        <v>1327</v>
      </c>
      <c r="F1040" s="3" t="s">
        <v>287</v>
      </c>
      <c r="G1040" s="3" t="s">
        <v>1329</v>
      </c>
      <c r="H1040" s="3"/>
      <c r="I1040" s="3"/>
      <c r="J1040" s="3"/>
      <c r="K1040" s="3"/>
      <c r="L1040" s="3"/>
      <c r="M1040" s="36" t="s">
        <v>1036</v>
      </c>
      <c r="N1040" s="36"/>
      <c r="O1040" s="36"/>
      <c r="P1040" s="36"/>
      <c r="Q1040" s="36"/>
      <c r="R1040" s="150"/>
      <c r="S1040" s="36"/>
      <c r="T1040" s="47" t="s">
        <v>275</v>
      </c>
      <c r="U1040" s="146" t="s">
        <v>275</v>
      </c>
    </row>
    <row r="1041" spans="1:21" ht="30" x14ac:dyDescent="0.25">
      <c r="A1041" s="47"/>
      <c r="B1041" s="108" t="s">
        <v>23</v>
      </c>
      <c r="C1041" s="47" t="s">
        <v>275</v>
      </c>
      <c r="D1041" s="3" t="s">
        <v>287</v>
      </c>
      <c r="E1041" s="3" t="s">
        <v>1361</v>
      </c>
      <c r="F1041" s="3" t="s">
        <v>287</v>
      </c>
      <c r="G1041" s="3" t="s">
        <v>1358</v>
      </c>
      <c r="H1041" s="3"/>
      <c r="I1041" s="3"/>
      <c r="J1041" s="3"/>
      <c r="K1041" s="3"/>
      <c r="L1041" s="3"/>
      <c r="M1041" s="36" t="s">
        <v>1036</v>
      </c>
      <c r="N1041" s="36"/>
      <c r="O1041" s="36"/>
      <c r="P1041" s="36"/>
      <c r="Q1041" s="36"/>
      <c r="R1041" s="150">
        <v>45792</v>
      </c>
      <c r="S1041" s="36" t="s">
        <v>1279</v>
      </c>
      <c r="T1041" s="47" t="s">
        <v>275</v>
      </c>
      <c r="U1041" s="146" t="s">
        <v>275</v>
      </c>
    </row>
    <row r="1042" spans="1:21" ht="30" x14ac:dyDescent="0.25">
      <c r="A1042" s="109"/>
      <c r="B1042" s="109" t="s">
        <v>23</v>
      </c>
      <c r="C1042" s="109" t="s">
        <v>275</v>
      </c>
      <c r="D1042" s="109" t="s">
        <v>287</v>
      </c>
      <c r="E1042" s="109" t="s">
        <v>1362</v>
      </c>
      <c r="F1042" s="109" t="s">
        <v>287</v>
      </c>
      <c r="G1042" s="109" t="s">
        <v>1357</v>
      </c>
      <c r="H1042" s="109"/>
      <c r="I1042" s="109"/>
      <c r="J1042" s="109"/>
      <c r="K1042" s="109"/>
      <c r="L1042" s="109"/>
      <c r="M1042" s="109" t="s">
        <v>1036</v>
      </c>
      <c r="N1042" s="109"/>
      <c r="O1042" s="109"/>
      <c r="P1042" s="109"/>
      <c r="Q1042" s="109"/>
      <c r="R1042" s="117">
        <v>45792</v>
      </c>
      <c r="S1042" s="109" t="s">
        <v>1279</v>
      </c>
      <c r="T1042" s="109" t="s">
        <v>275</v>
      </c>
      <c r="U1042" s="109" t="s">
        <v>275</v>
      </c>
    </row>
    <row r="1043" spans="1:21" ht="30" x14ac:dyDescent="0.25">
      <c r="A1043" s="109"/>
      <c r="B1043" s="109" t="s">
        <v>23</v>
      </c>
      <c r="C1043" s="109" t="s">
        <v>275</v>
      </c>
      <c r="D1043" s="109" t="s">
        <v>287</v>
      </c>
      <c r="E1043" s="109" t="s">
        <v>991</v>
      </c>
      <c r="F1043" s="109" t="s">
        <v>287</v>
      </c>
      <c r="G1043" s="109" t="s">
        <v>1159</v>
      </c>
      <c r="H1043" s="109"/>
      <c r="I1043" s="109"/>
      <c r="J1043" s="109"/>
      <c r="K1043" s="109"/>
      <c r="L1043" s="109"/>
      <c r="M1043" s="110" t="s">
        <v>1036</v>
      </c>
      <c r="N1043" s="110"/>
      <c r="O1043" s="110"/>
      <c r="P1043" s="110"/>
      <c r="Q1043" s="110"/>
      <c r="R1043" s="117"/>
      <c r="S1043" s="110"/>
      <c r="T1043" s="109" t="s">
        <v>275</v>
      </c>
      <c r="U1043" s="138" t="s">
        <v>275</v>
      </c>
    </row>
    <row r="1044" spans="1:21" ht="30" x14ac:dyDescent="0.25">
      <c r="A1044" s="109"/>
      <c r="B1044" s="109" t="s">
        <v>23</v>
      </c>
      <c r="C1044" s="109" t="s">
        <v>275</v>
      </c>
      <c r="D1044" s="109" t="s">
        <v>287</v>
      </c>
      <c r="E1044" s="109" t="s">
        <v>1440</v>
      </c>
      <c r="F1044" s="109" t="s">
        <v>287</v>
      </c>
      <c r="G1044" s="109" t="s">
        <v>1441</v>
      </c>
      <c r="H1044" s="109"/>
      <c r="I1044" s="109"/>
      <c r="J1044" s="109"/>
      <c r="K1044" s="109"/>
      <c r="L1044" s="109"/>
      <c r="M1044" s="109" t="s">
        <v>1036</v>
      </c>
      <c r="N1044" s="109"/>
      <c r="O1044" s="109"/>
      <c r="P1044" s="109"/>
      <c r="Q1044" s="109"/>
      <c r="R1044" s="117"/>
      <c r="S1044" s="109"/>
      <c r="T1044" s="109" t="s">
        <v>275</v>
      </c>
      <c r="U1044" s="109" t="s">
        <v>275</v>
      </c>
    </row>
    <row r="1045" spans="1:21" ht="30" x14ac:dyDescent="0.25">
      <c r="A1045" s="109"/>
      <c r="B1045" s="109" t="s">
        <v>23</v>
      </c>
      <c r="C1045" s="109" t="s">
        <v>275</v>
      </c>
      <c r="D1045" s="109" t="s">
        <v>287</v>
      </c>
      <c r="E1045" s="109" t="s">
        <v>1526</v>
      </c>
      <c r="F1045" s="109" t="s">
        <v>287</v>
      </c>
      <c r="G1045" s="109" t="s">
        <v>1542</v>
      </c>
      <c r="H1045" s="109"/>
      <c r="I1045" s="109"/>
      <c r="J1045" s="109"/>
      <c r="K1045" s="109"/>
      <c r="L1045" s="109"/>
      <c r="M1045" s="109" t="s">
        <v>1036</v>
      </c>
      <c r="N1045" s="109"/>
      <c r="O1045" s="109"/>
      <c r="P1045" s="109"/>
      <c r="Q1045" s="109"/>
      <c r="R1045" s="117"/>
      <c r="S1045" s="109"/>
      <c r="T1045" s="109" t="s">
        <v>275</v>
      </c>
      <c r="U1045" s="109" t="s">
        <v>275</v>
      </c>
    </row>
    <row r="1046" spans="1:21" ht="30" x14ac:dyDescent="0.25">
      <c r="A1046" s="47"/>
      <c r="B1046" s="108" t="s">
        <v>23</v>
      </c>
      <c r="C1046" s="47" t="s">
        <v>275</v>
      </c>
      <c r="D1046" s="3" t="s">
        <v>287</v>
      </c>
      <c r="E1046" s="3" t="s">
        <v>1559</v>
      </c>
      <c r="F1046" s="3" t="s">
        <v>287</v>
      </c>
      <c r="G1046" s="3" t="s">
        <v>1549</v>
      </c>
      <c r="H1046" s="3"/>
      <c r="I1046" s="3"/>
      <c r="J1046" s="3"/>
      <c r="K1046" s="3"/>
      <c r="L1046" s="3"/>
      <c r="M1046" s="36" t="s">
        <v>1036</v>
      </c>
      <c r="N1046" s="36"/>
      <c r="O1046" s="36"/>
      <c r="P1046" s="36"/>
      <c r="Q1046" s="36"/>
      <c r="R1046" s="150"/>
      <c r="S1046" s="36"/>
      <c r="T1046" s="47" t="s">
        <v>275</v>
      </c>
      <c r="U1046" s="146" t="s">
        <v>275</v>
      </c>
    </row>
    <row r="1047" spans="1:21" ht="30" x14ac:dyDescent="0.25">
      <c r="A1047" s="47"/>
      <c r="B1047" s="108" t="s">
        <v>23</v>
      </c>
      <c r="C1047" s="47" t="s">
        <v>275</v>
      </c>
      <c r="D1047" s="3" t="s">
        <v>287</v>
      </c>
      <c r="E1047" s="3" t="s">
        <v>1532</v>
      </c>
      <c r="F1047" s="3" t="s">
        <v>287</v>
      </c>
      <c r="G1047" s="3" t="s">
        <v>1543</v>
      </c>
      <c r="H1047" s="3"/>
      <c r="I1047" s="3"/>
      <c r="J1047" s="3"/>
      <c r="K1047" s="3"/>
      <c r="L1047" s="3"/>
      <c r="M1047" s="36" t="s">
        <v>1036</v>
      </c>
      <c r="N1047" s="36"/>
      <c r="O1047" s="36"/>
      <c r="P1047" s="36"/>
      <c r="Q1047" s="36"/>
      <c r="R1047" s="150"/>
      <c r="S1047" s="36"/>
      <c r="T1047" s="47" t="s">
        <v>275</v>
      </c>
      <c r="U1047" s="146" t="s">
        <v>275</v>
      </c>
    </row>
    <row r="1048" spans="1:21" x14ac:dyDescent="0.25">
      <c r="A1048" s="47"/>
      <c r="B1048" s="108"/>
      <c r="C1048" s="47" t="s">
        <v>275</v>
      </c>
      <c r="D1048" s="3" t="s">
        <v>287</v>
      </c>
      <c r="E1048" s="3" t="s">
        <v>1697</v>
      </c>
      <c r="F1048" s="3" t="s">
        <v>1595</v>
      </c>
      <c r="G1048" s="3" t="s">
        <v>1698</v>
      </c>
      <c r="H1048" s="3"/>
      <c r="I1048" s="3"/>
      <c r="J1048" s="3"/>
      <c r="K1048" s="3"/>
      <c r="L1048" s="3"/>
      <c r="M1048" s="36" t="s">
        <v>1036</v>
      </c>
      <c r="N1048" s="36"/>
      <c r="O1048" s="36"/>
      <c r="P1048" s="36"/>
      <c r="Q1048" s="36"/>
      <c r="R1048" s="150"/>
      <c r="S1048" s="36"/>
      <c r="T1048" s="47" t="s">
        <v>275</v>
      </c>
      <c r="U1048" s="146" t="s">
        <v>275</v>
      </c>
    </row>
    <row r="1049" spans="1:21" x14ac:dyDescent="0.25">
      <c r="A1049" s="47"/>
      <c r="B1049" s="108"/>
      <c r="C1049" s="47" t="s">
        <v>275</v>
      </c>
      <c r="D1049" s="3" t="s">
        <v>287</v>
      </c>
      <c r="E1049" s="3" t="s">
        <v>2224</v>
      </c>
      <c r="F1049" s="3" t="s">
        <v>3088</v>
      </c>
      <c r="G1049" s="3" t="s">
        <v>2225</v>
      </c>
      <c r="H1049" s="3"/>
      <c r="I1049" s="3"/>
      <c r="J1049" s="3"/>
      <c r="K1049" s="3"/>
      <c r="L1049" s="3"/>
      <c r="M1049" s="36" t="s">
        <v>1036</v>
      </c>
      <c r="N1049" s="36"/>
      <c r="O1049" s="36"/>
      <c r="P1049" s="36"/>
      <c r="Q1049" s="36"/>
      <c r="R1049" s="150"/>
      <c r="S1049" s="36"/>
      <c r="T1049" s="47" t="s">
        <v>275</v>
      </c>
      <c r="U1049" s="146" t="s">
        <v>275</v>
      </c>
    </row>
    <row r="1050" spans="1:21" x14ac:dyDescent="0.25">
      <c r="A1050" s="47"/>
      <c r="B1050" s="108"/>
      <c r="C1050" s="47" t="s">
        <v>275</v>
      </c>
      <c r="D1050" s="3" t="s">
        <v>287</v>
      </c>
      <c r="E1050" s="3" t="s">
        <v>1731</v>
      </c>
      <c r="F1050" s="3" t="s">
        <v>3090</v>
      </c>
      <c r="G1050" s="3" t="s">
        <v>1732</v>
      </c>
      <c r="H1050" s="3"/>
      <c r="I1050" s="3"/>
      <c r="J1050" s="3"/>
      <c r="K1050" s="3"/>
      <c r="L1050" s="3"/>
      <c r="M1050" s="36" t="s">
        <v>1036</v>
      </c>
      <c r="N1050" s="36"/>
      <c r="O1050" s="36"/>
      <c r="P1050" s="36"/>
      <c r="Q1050" s="36"/>
      <c r="R1050" s="150"/>
      <c r="S1050" s="36"/>
      <c r="T1050" s="47" t="s">
        <v>275</v>
      </c>
      <c r="U1050" s="146" t="s">
        <v>275</v>
      </c>
    </row>
    <row r="1051" spans="1:21" x14ac:dyDescent="0.25">
      <c r="A1051" s="109"/>
      <c r="B1051" s="109"/>
      <c r="C1051" s="109" t="s">
        <v>275</v>
      </c>
      <c r="D1051" s="109" t="s">
        <v>287</v>
      </c>
      <c r="E1051" s="109" t="s">
        <v>1747</v>
      </c>
      <c r="F1051" s="109" t="s">
        <v>1703</v>
      </c>
      <c r="G1051" s="109" t="s">
        <v>1748</v>
      </c>
      <c r="H1051" s="109"/>
      <c r="I1051" s="109"/>
      <c r="J1051" s="109"/>
      <c r="K1051" s="109"/>
      <c r="L1051" s="109"/>
      <c r="M1051" s="109" t="s">
        <v>1036</v>
      </c>
      <c r="N1051" s="109"/>
      <c r="O1051" s="109"/>
      <c r="P1051" s="109"/>
      <c r="Q1051" s="109"/>
      <c r="R1051" s="117"/>
      <c r="S1051" s="109"/>
      <c r="T1051" s="109" t="s">
        <v>275</v>
      </c>
      <c r="U1051" s="138" t="s">
        <v>275</v>
      </c>
    </row>
    <row r="1052" spans="1:21" x14ac:dyDescent="0.25">
      <c r="A1052" s="176"/>
      <c r="B1052" s="177"/>
      <c r="C1052" s="176" t="s">
        <v>275</v>
      </c>
      <c r="D1052" s="178" t="s">
        <v>287</v>
      </c>
      <c r="E1052" s="178" t="s">
        <v>1745</v>
      </c>
      <c r="F1052" s="178" t="s">
        <v>3085</v>
      </c>
      <c r="G1052" s="178" t="s">
        <v>1746</v>
      </c>
      <c r="H1052" s="178"/>
      <c r="I1052" s="178"/>
      <c r="J1052" s="178"/>
      <c r="K1052" s="178"/>
      <c r="L1052" s="178"/>
      <c r="M1052" s="179" t="s">
        <v>1036</v>
      </c>
      <c r="N1052" s="179"/>
      <c r="O1052" s="179"/>
      <c r="P1052" s="179"/>
      <c r="Q1052" s="179"/>
      <c r="R1052" s="181"/>
      <c r="S1052" s="179"/>
      <c r="T1052" s="176" t="s">
        <v>275</v>
      </c>
      <c r="U1052" s="182" t="s">
        <v>275</v>
      </c>
    </row>
    <row r="1053" spans="1:21" ht="30" x14ac:dyDescent="0.25">
      <c r="A1053" s="175"/>
      <c r="B1053" s="175"/>
      <c r="C1053" s="175" t="s">
        <v>275</v>
      </c>
      <c r="D1053" s="175" t="s">
        <v>287</v>
      </c>
      <c r="E1053" s="175" t="s">
        <v>2197</v>
      </c>
      <c r="F1053" s="175" t="s">
        <v>3085</v>
      </c>
      <c r="G1053" s="175" t="s">
        <v>2198</v>
      </c>
      <c r="H1053" s="175"/>
      <c r="I1053" s="175"/>
      <c r="J1053" s="175"/>
      <c r="K1053" s="175"/>
      <c r="L1053" s="175"/>
      <c r="M1053" s="175" t="s">
        <v>1036</v>
      </c>
      <c r="N1053" s="175"/>
      <c r="O1053" s="175"/>
      <c r="P1053" s="175"/>
      <c r="Q1053" s="175"/>
      <c r="R1053" s="180"/>
      <c r="S1053" s="175"/>
      <c r="T1053" s="175" t="s">
        <v>275</v>
      </c>
      <c r="U1053" s="175" t="s">
        <v>2283</v>
      </c>
    </row>
    <row r="1054" spans="1:21" x14ac:dyDescent="0.25">
      <c r="A1054" s="176"/>
      <c r="B1054" s="177" t="s">
        <v>23</v>
      </c>
      <c r="C1054" s="176" t="s">
        <v>275</v>
      </c>
      <c r="D1054" s="178" t="s">
        <v>287</v>
      </c>
      <c r="E1054" s="178" t="s">
        <v>1593</v>
      </c>
      <c r="F1054" s="178" t="s">
        <v>1595</v>
      </c>
      <c r="G1054" s="178" t="s">
        <v>1594</v>
      </c>
      <c r="H1054" s="178"/>
      <c r="I1054" s="178"/>
      <c r="J1054" s="178"/>
      <c r="K1054" s="178"/>
      <c r="L1054" s="178"/>
      <c r="M1054" s="179" t="s">
        <v>1036</v>
      </c>
      <c r="N1054" s="179"/>
      <c r="O1054" s="179"/>
      <c r="P1054" s="179"/>
      <c r="Q1054" s="179"/>
      <c r="R1054" s="181"/>
      <c r="S1054" s="179"/>
      <c r="T1054" s="176" t="s">
        <v>275</v>
      </c>
      <c r="U1054" s="182" t="s">
        <v>275</v>
      </c>
    </row>
    <row r="1055" spans="1:21" ht="30" x14ac:dyDescent="0.25">
      <c r="A1055" s="176"/>
      <c r="B1055" s="177"/>
      <c r="C1055" s="176" t="s">
        <v>275</v>
      </c>
      <c r="D1055" s="178" t="s">
        <v>287</v>
      </c>
      <c r="E1055" s="178" t="s">
        <v>1699</v>
      </c>
      <c r="F1055" s="178" t="s">
        <v>3085</v>
      </c>
      <c r="G1055" s="178" t="s">
        <v>1700</v>
      </c>
      <c r="H1055" s="178"/>
      <c r="I1055" s="178"/>
      <c r="J1055" s="178"/>
      <c r="K1055" s="178"/>
      <c r="L1055" s="178"/>
      <c r="M1055" s="179" t="s">
        <v>1036</v>
      </c>
      <c r="N1055" s="179"/>
      <c r="O1055" s="179"/>
      <c r="P1055" s="179"/>
      <c r="Q1055" s="179"/>
      <c r="R1055" s="181"/>
      <c r="S1055" s="179"/>
      <c r="T1055" s="176" t="s">
        <v>275</v>
      </c>
      <c r="U1055" s="182" t="s">
        <v>275</v>
      </c>
    </row>
    <row r="1056" spans="1:21" x14ac:dyDescent="0.25">
      <c r="A1056" s="176"/>
      <c r="B1056" s="177"/>
      <c r="C1056" s="176" t="s">
        <v>275</v>
      </c>
      <c r="D1056" s="178" t="s">
        <v>287</v>
      </c>
      <c r="E1056" s="178" t="s">
        <v>2210</v>
      </c>
      <c r="F1056" s="178" t="s">
        <v>1703</v>
      </c>
      <c r="G1056" s="178" t="s">
        <v>2211</v>
      </c>
      <c r="H1056" s="178"/>
      <c r="I1056" s="178"/>
      <c r="J1056" s="178"/>
      <c r="K1056" s="178"/>
      <c r="L1056" s="178"/>
      <c r="M1056" s="179" t="s">
        <v>1036</v>
      </c>
      <c r="N1056" s="179"/>
      <c r="O1056" s="179"/>
      <c r="P1056" s="179"/>
      <c r="Q1056" s="179"/>
      <c r="R1056" s="181"/>
      <c r="S1056" s="179"/>
      <c r="T1056" s="176" t="s">
        <v>275</v>
      </c>
      <c r="U1056" s="182" t="s">
        <v>275</v>
      </c>
    </row>
    <row r="1057" spans="1:21" ht="30" x14ac:dyDescent="0.25">
      <c r="A1057" s="176"/>
      <c r="B1057" s="177"/>
      <c r="C1057" s="176" t="s">
        <v>275</v>
      </c>
      <c r="D1057" s="178" t="s">
        <v>287</v>
      </c>
      <c r="E1057" s="178" t="s">
        <v>1471</v>
      </c>
      <c r="F1057" s="178" t="s">
        <v>292</v>
      </c>
      <c r="G1057" s="178" t="s">
        <v>1465</v>
      </c>
      <c r="H1057" s="178"/>
      <c r="I1057" s="178"/>
      <c r="J1057" s="178"/>
      <c r="K1057" s="178"/>
      <c r="L1057" s="178"/>
      <c r="M1057" s="179" t="s">
        <v>1036</v>
      </c>
      <c r="N1057" s="179"/>
      <c r="O1057" s="179"/>
      <c r="P1057" s="179"/>
      <c r="Q1057" s="179"/>
      <c r="R1057" s="181"/>
      <c r="S1057" s="179"/>
      <c r="T1057" s="176" t="s">
        <v>275</v>
      </c>
      <c r="U1057" s="182" t="s">
        <v>275</v>
      </c>
    </row>
    <row r="1058" spans="1:21" ht="30" x14ac:dyDescent="0.25">
      <c r="A1058" s="176"/>
      <c r="B1058" s="177" t="s">
        <v>23</v>
      </c>
      <c r="C1058" s="176" t="s">
        <v>275</v>
      </c>
      <c r="D1058" s="178" t="s">
        <v>287</v>
      </c>
      <c r="E1058" s="178" t="s">
        <v>1557</v>
      </c>
      <c r="F1058" s="178" t="s">
        <v>287</v>
      </c>
      <c r="G1058" s="178" t="s">
        <v>1547</v>
      </c>
      <c r="H1058" s="178"/>
      <c r="I1058" s="178"/>
      <c r="J1058" s="178"/>
      <c r="K1058" s="178"/>
      <c r="L1058" s="178"/>
      <c r="M1058" s="179" t="s">
        <v>1036</v>
      </c>
      <c r="N1058" s="179"/>
      <c r="O1058" s="179"/>
      <c r="P1058" s="179"/>
      <c r="Q1058" s="179"/>
      <c r="R1058" s="181"/>
      <c r="S1058" s="179"/>
      <c r="T1058" s="176" t="s">
        <v>275</v>
      </c>
      <c r="U1058" s="182" t="s">
        <v>275</v>
      </c>
    </row>
    <row r="1059" spans="1:21" ht="30" x14ac:dyDescent="0.25">
      <c r="A1059" s="175"/>
      <c r="B1059" s="175" t="s">
        <v>23</v>
      </c>
      <c r="C1059" s="175" t="s">
        <v>275</v>
      </c>
      <c r="D1059" s="175" t="s">
        <v>287</v>
      </c>
      <c r="E1059" s="175" t="s">
        <v>1558</v>
      </c>
      <c r="F1059" s="175" t="s">
        <v>287</v>
      </c>
      <c r="G1059" s="175" t="s">
        <v>1548</v>
      </c>
      <c r="H1059" s="175"/>
      <c r="I1059" s="175"/>
      <c r="J1059" s="175"/>
      <c r="K1059" s="175"/>
      <c r="L1059" s="175"/>
      <c r="M1059" s="175" t="s">
        <v>1036</v>
      </c>
      <c r="N1059" s="175"/>
      <c r="O1059" s="175"/>
      <c r="P1059" s="175"/>
      <c r="Q1059" s="175"/>
      <c r="R1059" s="180"/>
      <c r="S1059" s="175"/>
      <c r="T1059" s="175" t="s">
        <v>275</v>
      </c>
      <c r="U1059" s="175" t="s">
        <v>275</v>
      </c>
    </row>
    <row r="1060" spans="1:21" x14ac:dyDescent="0.25">
      <c r="A1060" s="176"/>
      <c r="B1060" s="177"/>
      <c r="C1060" s="176" t="s">
        <v>275</v>
      </c>
      <c r="D1060" s="178" t="s">
        <v>287</v>
      </c>
      <c r="E1060" s="178" t="s">
        <v>2228</v>
      </c>
      <c r="F1060" s="178" t="s">
        <v>3088</v>
      </c>
      <c r="G1060" s="178" t="s">
        <v>2229</v>
      </c>
      <c r="H1060" s="178"/>
      <c r="I1060" s="178"/>
      <c r="J1060" s="178"/>
      <c r="K1060" s="178"/>
      <c r="L1060" s="178"/>
      <c r="M1060" s="179" t="s">
        <v>1036</v>
      </c>
      <c r="N1060" s="179"/>
      <c r="O1060" s="179"/>
      <c r="P1060" s="179"/>
      <c r="Q1060" s="179"/>
      <c r="R1060" s="181"/>
      <c r="S1060" s="179"/>
      <c r="T1060" s="176" t="s">
        <v>275</v>
      </c>
      <c r="U1060" s="182" t="s">
        <v>275</v>
      </c>
    </row>
    <row r="1061" spans="1:21" x14ac:dyDescent="0.25">
      <c r="A1061" s="176"/>
      <c r="B1061" s="177"/>
      <c r="C1061" s="176" t="s">
        <v>275</v>
      </c>
      <c r="D1061" s="178" t="s">
        <v>287</v>
      </c>
      <c r="E1061" s="178" t="s">
        <v>2320</v>
      </c>
      <c r="F1061" s="178" t="s">
        <v>3085</v>
      </c>
      <c r="G1061" s="178" t="s">
        <v>2321</v>
      </c>
      <c r="H1061" s="178"/>
      <c r="I1061" s="178"/>
      <c r="J1061" s="178"/>
      <c r="K1061" s="178"/>
      <c r="L1061" s="178"/>
      <c r="M1061" s="179" t="s">
        <v>1036</v>
      </c>
      <c r="N1061" s="179"/>
      <c r="O1061" s="179"/>
      <c r="P1061" s="179"/>
      <c r="Q1061" s="179"/>
      <c r="R1061" s="181"/>
      <c r="S1061" s="179"/>
      <c r="T1061" s="176" t="s">
        <v>275</v>
      </c>
      <c r="U1061" s="182" t="s">
        <v>275</v>
      </c>
    </row>
    <row r="1062" spans="1:21" x14ac:dyDescent="0.25">
      <c r="A1062" s="176"/>
      <c r="B1062" s="177"/>
      <c r="C1062" s="176" t="s">
        <v>275</v>
      </c>
      <c r="D1062" s="178" t="s">
        <v>287</v>
      </c>
      <c r="E1062" s="178" t="s">
        <v>1701</v>
      </c>
      <c r="F1062" s="178" t="s">
        <v>1703</v>
      </c>
      <c r="G1062" s="178" t="s">
        <v>1702</v>
      </c>
      <c r="H1062" s="178"/>
      <c r="I1062" s="178"/>
      <c r="J1062" s="178"/>
      <c r="K1062" s="178"/>
      <c r="L1062" s="178"/>
      <c r="M1062" s="179" t="s">
        <v>1036</v>
      </c>
      <c r="N1062" s="179"/>
      <c r="O1062" s="179"/>
      <c r="P1062" s="179"/>
      <c r="Q1062" s="179"/>
      <c r="R1062" s="181"/>
      <c r="S1062" s="179"/>
      <c r="T1062" s="176" t="s">
        <v>275</v>
      </c>
      <c r="U1062" s="182" t="s">
        <v>275</v>
      </c>
    </row>
    <row r="1063" spans="1:21" x14ac:dyDescent="0.25">
      <c r="A1063" s="176"/>
      <c r="B1063" s="177"/>
      <c r="C1063" s="176" t="s">
        <v>275</v>
      </c>
      <c r="D1063" s="178" t="s">
        <v>287</v>
      </c>
      <c r="E1063" s="178" t="s">
        <v>2230</v>
      </c>
      <c r="F1063" s="178" t="s">
        <v>3088</v>
      </c>
      <c r="G1063" s="178" t="s">
        <v>2231</v>
      </c>
      <c r="H1063" s="178"/>
      <c r="I1063" s="178"/>
      <c r="J1063" s="178"/>
      <c r="K1063" s="178"/>
      <c r="L1063" s="178"/>
      <c r="M1063" s="179" t="s">
        <v>1036</v>
      </c>
      <c r="N1063" s="179"/>
      <c r="O1063" s="179"/>
      <c r="P1063" s="179"/>
      <c r="Q1063" s="179"/>
      <c r="R1063" s="181"/>
      <c r="S1063" s="179"/>
      <c r="T1063" s="176" t="s">
        <v>275</v>
      </c>
      <c r="U1063" s="182" t="s">
        <v>275</v>
      </c>
    </row>
    <row r="1064" spans="1:21" x14ac:dyDescent="0.25">
      <c r="A1064" s="176"/>
      <c r="B1064" s="177"/>
      <c r="C1064" s="176" t="s">
        <v>275</v>
      </c>
      <c r="D1064" s="178" t="s">
        <v>287</v>
      </c>
      <c r="E1064" s="178" t="s">
        <v>2322</v>
      </c>
      <c r="F1064" s="178" t="s">
        <v>3085</v>
      </c>
      <c r="G1064" s="178" t="s">
        <v>2323</v>
      </c>
      <c r="H1064" s="178"/>
      <c r="I1064" s="178"/>
      <c r="J1064" s="178"/>
      <c r="K1064" s="178"/>
      <c r="L1064" s="178"/>
      <c r="M1064" s="179" t="s">
        <v>1036</v>
      </c>
      <c r="N1064" s="179"/>
      <c r="O1064" s="179"/>
      <c r="P1064" s="179"/>
      <c r="Q1064" s="179"/>
      <c r="R1064" s="181"/>
      <c r="S1064" s="179"/>
      <c r="T1064" s="176" t="s">
        <v>275</v>
      </c>
      <c r="U1064" s="182" t="s">
        <v>275</v>
      </c>
    </row>
    <row r="1065" spans="1:21" x14ac:dyDescent="0.25">
      <c r="A1065" s="176"/>
      <c r="B1065" s="177"/>
      <c r="C1065" s="176" t="s">
        <v>275</v>
      </c>
      <c r="D1065" s="178" t="s">
        <v>287</v>
      </c>
      <c r="E1065" s="178" t="s">
        <v>2236</v>
      </c>
      <c r="F1065" s="178" t="s">
        <v>3088</v>
      </c>
      <c r="G1065" s="178" t="s">
        <v>2237</v>
      </c>
      <c r="H1065" s="178"/>
      <c r="I1065" s="178"/>
      <c r="J1065" s="178"/>
      <c r="K1065" s="178"/>
      <c r="L1065" s="178"/>
      <c r="M1065" s="179" t="s">
        <v>1036</v>
      </c>
      <c r="N1065" s="179"/>
      <c r="O1065" s="179"/>
      <c r="P1065" s="179"/>
      <c r="Q1065" s="179"/>
      <c r="R1065" s="181"/>
      <c r="S1065" s="179"/>
      <c r="T1065" s="176" t="s">
        <v>275</v>
      </c>
      <c r="U1065" s="182" t="s">
        <v>275</v>
      </c>
    </row>
    <row r="1066" spans="1:21" x14ac:dyDescent="0.25">
      <c r="A1066" s="175"/>
      <c r="B1066" s="175"/>
      <c r="C1066" s="175" t="s">
        <v>275</v>
      </c>
      <c r="D1066" s="175" t="s">
        <v>287</v>
      </c>
      <c r="E1066" s="175" t="s">
        <v>2232</v>
      </c>
      <c r="F1066" s="175" t="s">
        <v>3088</v>
      </c>
      <c r="G1066" s="175" t="s">
        <v>2233</v>
      </c>
      <c r="H1066" s="175"/>
      <c r="I1066" s="175"/>
      <c r="J1066" s="175"/>
      <c r="K1066" s="175"/>
      <c r="L1066" s="175"/>
      <c r="M1066" s="175" t="s">
        <v>1036</v>
      </c>
      <c r="N1066" s="175"/>
      <c r="O1066" s="175"/>
      <c r="P1066" s="175"/>
      <c r="Q1066" s="175"/>
      <c r="R1066" s="180"/>
      <c r="S1066" s="175"/>
      <c r="T1066" s="175" t="s">
        <v>275</v>
      </c>
      <c r="U1066" s="175" t="s">
        <v>275</v>
      </c>
    </row>
    <row r="1067" spans="1:21" x14ac:dyDescent="0.25">
      <c r="A1067" s="176"/>
      <c r="B1067" s="177"/>
      <c r="C1067" s="176" t="s">
        <v>275</v>
      </c>
      <c r="D1067" s="178" t="s">
        <v>287</v>
      </c>
      <c r="E1067" s="178" t="s">
        <v>2369</v>
      </c>
      <c r="F1067" s="178" t="s">
        <v>1703</v>
      </c>
      <c r="G1067" s="178" t="s">
        <v>2370</v>
      </c>
      <c r="H1067" s="178"/>
      <c r="I1067" s="178"/>
      <c r="J1067" s="178"/>
      <c r="K1067" s="178"/>
      <c r="L1067" s="178"/>
      <c r="M1067" s="179" t="s">
        <v>1036</v>
      </c>
      <c r="N1067" s="179"/>
      <c r="O1067" s="179"/>
      <c r="P1067" s="179"/>
      <c r="Q1067" s="179"/>
      <c r="R1067" s="181"/>
      <c r="S1067" s="179"/>
      <c r="T1067" s="176" t="s">
        <v>275</v>
      </c>
      <c r="U1067" s="182"/>
    </row>
    <row r="1068" spans="1:21" ht="30" x14ac:dyDescent="0.25">
      <c r="A1068" s="176"/>
      <c r="B1068" s="177"/>
      <c r="C1068" s="176" t="s">
        <v>275</v>
      </c>
      <c r="D1068" s="178" t="s">
        <v>287</v>
      </c>
      <c r="E1068" s="178" t="s">
        <v>2454</v>
      </c>
      <c r="F1068" s="178" t="s">
        <v>1595</v>
      </c>
      <c r="G1068" s="178" t="s">
        <v>2455</v>
      </c>
      <c r="H1068" s="178"/>
      <c r="I1068" s="178"/>
      <c r="J1068" s="178"/>
      <c r="K1068" s="178"/>
      <c r="L1068" s="178"/>
      <c r="M1068" s="179" t="s">
        <v>1036</v>
      </c>
      <c r="N1068" s="179"/>
      <c r="O1068" s="179"/>
      <c r="P1068" s="179"/>
      <c r="Q1068" s="179"/>
      <c r="R1068" s="181"/>
      <c r="S1068" s="179"/>
      <c r="T1068" s="176" t="s">
        <v>275</v>
      </c>
      <c r="U1068" s="182"/>
    </row>
    <row r="1069" spans="1:21" x14ac:dyDescent="0.25">
      <c r="A1069" s="176"/>
      <c r="B1069" s="177"/>
      <c r="C1069" s="176" t="s">
        <v>275</v>
      </c>
      <c r="D1069" s="178" t="s">
        <v>287</v>
      </c>
      <c r="E1069" s="178" t="s">
        <v>2544</v>
      </c>
      <c r="F1069" s="178" t="s">
        <v>3091</v>
      </c>
      <c r="G1069" s="178" t="s">
        <v>2545</v>
      </c>
      <c r="H1069" s="178"/>
      <c r="I1069" s="178"/>
      <c r="J1069" s="178"/>
      <c r="K1069" s="178"/>
      <c r="L1069" s="178"/>
      <c r="M1069" s="179" t="s">
        <v>1036</v>
      </c>
      <c r="N1069" s="179"/>
      <c r="O1069" s="179"/>
      <c r="P1069" s="179"/>
      <c r="Q1069" s="179"/>
      <c r="R1069" s="181"/>
      <c r="S1069" s="179"/>
      <c r="T1069" s="176" t="s">
        <v>275</v>
      </c>
      <c r="U1069" s="182"/>
    </row>
    <row r="1070" spans="1:21" ht="30" x14ac:dyDescent="0.25">
      <c r="A1070" s="176"/>
      <c r="B1070" s="177"/>
      <c r="C1070" s="176" t="s">
        <v>275</v>
      </c>
      <c r="D1070" s="178" t="s">
        <v>287</v>
      </c>
      <c r="E1070" s="178" t="s">
        <v>2600</v>
      </c>
      <c r="F1070" s="178" t="s">
        <v>2602</v>
      </c>
      <c r="G1070" s="178" t="s">
        <v>2601</v>
      </c>
      <c r="H1070" s="178"/>
      <c r="I1070" s="178"/>
      <c r="J1070" s="178"/>
      <c r="K1070" s="178"/>
      <c r="L1070" s="178"/>
      <c r="M1070" s="179" t="s">
        <v>1036</v>
      </c>
      <c r="N1070" s="179"/>
      <c r="O1070" s="179"/>
      <c r="P1070" s="179"/>
      <c r="Q1070" s="179"/>
      <c r="R1070" s="181"/>
      <c r="S1070" s="179"/>
      <c r="T1070" s="176" t="s">
        <v>275</v>
      </c>
      <c r="U1070" s="182"/>
    </row>
    <row r="1071" spans="1:21" ht="30" x14ac:dyDescent="0.25">
      <c r="A1071" s="176"/>
      <c r="B1071" s="177"/>
      <c r="C1071" s="176" t="s">
        <v>275</v>
      </c>
      <c r="D1071" s="178" t="s">
        <v>287</v>
      </c>
      <c r="E1071" s="178" t="s">
        <v>2611</v>
      </c>
      <c r="F1071" s="178" t="s">
        <v>1703</v>
      </c>
      <c r="G1071" s="178" t="s">
        <v>2612</v>
      </c>
      <c r="H1071" s="178"/>
      <c r="I1071" s="178"/>
      <c r="J1071" s="178"/>
      <c r="K1071" s="178"/>
      <c r="L1071" s="178"/>
      <c r="M1071" s="179" t="s">
        <v>1036</v>
      </c>
      <c r="N1071" s="179"/>
      <c r="O1071" s="179"/>
      <c r="P1071" s="179"/>
      <c r="Q1071" s="179"/>
      <c r="R1071" s="181"/>
      <c r="S1071" s="179"/>
      <c r="T1071" s="176" t="s">
        <v>275</v>
      </c>
      <c r="U1071" s="182"/>
    </row>
    <row r="1072" spans="1:21" ht="30" x14ac:dyDescent="0.25">
      <c r="A1072" s="176"/>
      <c r="B1072" s="177"/>
      <c r="C1072" s="176" t="s">
        <v>275</v>
      </c>
      <c r="D1072" s="178" t="s">
        <v>287</v>
      </c>
      <c r="E1072" s="178" t="s">
        <v>2555</v>
      </c>
      <c r="F1072" s="178" t="s">
        <v>1703</v>
      </c>
      <c r="G1072" s="178" t="s">
        <v>2556</v>
      </c>
      <c r="H1072" s="178"/>
      <c r="I1072" s="178"/>
      <c r="J1072" s="178"/>
      <c r="K1072" s="178"/>
      <c r="L1072" s="178"/>
      <c r="M1072" s="179" t="s">
        <v>1036</v>
      </c>
      <c r="N1072" s="179"/>
      <c r="O1072" s="179"/>
      <c r="P1072" s="179"/>
      <c r="Q1072" s="179" t="s">
        <v>2669</v>
      </c>
      <c r="R1072" s="181">
        <v>45888</v>
      </c>
      <c r="S1072" s="179" t="s">
        <v>206</v>
      </c>
      <c r="T1072" s="176" t="s">
        <v>275</v>
      </c>
      <c r="U1072" s="182"/>
    </row>
    <row r="1073" spans="1:21" ht="30" x14ac:dyDescent="0.25">
      <c r="A1073" s="176"/>
      <c r="B1073" s="177"/>
      <c r="C1073" s="176" t="s">
        <v>275</v>
      </c>
      <c r="D1073" s="178" t="s">
        <v>287</v>
      </c>
      <c r="E1073" s="178" t="s">
        <v>2613</v>
      </c>
      <c r="F1073" s="178" t="s">
        <v>1703</v>
      </c>
      <c r="G1073" s="178" t="s">
        <v>2614</v>
      </c>
      <c r="H1073" s="178"/>
      <c r="I1073" s="178"/>
      <c r="J1073" s="178"/>
      <c r="K1073" s="178"/>
      <c r="L1073" s="178"/>
      <c r="M1073" s="179" t="s">
        <v>1036</v>
      </c>
      <c r="N1073" s="179"/>
      <c r="O1073" s="179"/>
      <c r="P1073" s="179"/>
      <c r="Q1073" s="179"/>
      <c r="R1073" s="181"/>
      <c r="S1073" s="179"/>
      <c r="T1073" s="176" t="s">
        <v>275</v>
      </c>
      <c r="U1073" s="182"/>
    </row>
    <row r="1074" spans="1:21" x14ac:dyDescent="0.25">
      <c r="A1074" s="175"/>
      <c r="B1074" s="175"/>
      <c r="C1074" s="175" t="s">
        <v>275</v>
      </c>
      <c r="D1074" s="175" t="s">
        <v>287</v>
      </c>
      <c r="E1074" s="175" t="s">
        <v>2841</v>
      </c>
      <c r="F1074" s="175" t="s">
        <v>1703</v>
      </c>
      <c r="G1074" s="175" t="s">
        <v>2842</v>
      </c>
      <c r="H1074" s="175"/>
      <c r="I1074" s="175"/>
      <c r="J1074" s="175"/>
      <c r="K1074" s="175"/>
      <c r="L1074" s="175"/>
      <c r="M1074" s="175" t="s">
        <v>1036</v>
      </c>
      <c r="N1074" s="175"/>
      <c r="O1074" s="175"/>
      <c r="P1074" s="175"/>
      <c r="Q1074" s="175"/>
      <c r="R1074" s="180"/>
      <c r="S1074" s="175"/>
      <c r="T1074" s="175" t="s">
        <v>275</v>
      </c>
      <c r="U1074" s="175"/>
    </row>
    <row r="1075" spans="1:21" ht="30" customHeight="1" x14ac:dyDescent="0.25">
      <c r="A1075" s="175"/>
      <c r="B1075" s="175"/>
      <c r="C1075" s="175" t="s">
        <v>275</v>
      </c>
      <c r="D1075" s="175" t="s">
        <v>287</v>
      </c>
      <c r="E1075" s="175" t="s">
        <v>2845</v>
      </c>
      <c r="F1075" s="175" t="s">
        <v>1595</v>
      </c>
      <c r="G1075" s="175" t="s">
        <v>2846</v>
      </c>
      <c r="H1075" s="175"/>
      <c r="I1075" s="175"/>
      <c r="J1075" s="175"/>
      <c r="K1075" s="175"/>
      <c r="L1075" s="175"/>
      <c r="M1075" s="175" t="s">
        <v>1036</v>
      </c>
      <c r="N1075" s="175"/>
      <c r="O1075" s="175"/>
      <c r="P1075" s="175"/>
      <c r="Q1075" s="175"/>
      <c r="R1075" s="180"/>
      <c r="S1075" s="175"/>
      <c r="T1075" s="175" t="s">
        <v>275</v>
      </c>
      <c r="U1075" s="175"/>
    </row>
    <row r="1076" spans="1:21" ht="30" x14ac:dyDescent="0.25">
      <c r="A1076" s="176"/>
      <c r="B1076" s="177" t="s">
        <v>23</v>
      </c>
      <c r="C1076" s="176" t="s">
        <v>275</v>
      </c>
      <c r="D1076" s="178" t="s">
        <v>287</v>
      </c>
      <c r="E1076" s="178" t="s">
        <v>1562</v>
      </c>
      <c r="F1076" s="178" t="s">
        <v>287</v>
      </c>
      <c r="G1076" s="178" t="s">
        <v>1552</v>
      </c>
      <c r="H1076" s="178"/>
      <c r="I1076" s="178"/>
      <c r="J1076" s="178"/>
      <c r="K1076" s="178"/>
      <c r="L1076" s="178"/>
      <c r="M1076" s="179" t="s">
        <v>1036</v>
      </c>
      <c r="N1076" s="179"/>
      <c r="O1076" s="179"/>
      <c r="P1076" s="179"/>
      <c r="Q1076" s="179"/>
      <c r="R1076" s="181">
        <v>45894</v>
      </c>
      <c r="S1076" s="179" t="s">
        <v>206</v>
      </c>
      <c r="T1076" s="176" t="s">
        <v>275</v>
      </c>
      <c r="U1076" s="182" t="s">
        <v>275</v>
      </c>
    </row>
    <row r="1077" spans="1:21" ht="30" x14ac:dyDescent="0.25">
      <c r="A1077" s="176"/>
      <c r="B1077" s="177" t="s">
        <v>23</v>
      </c>
      <c r="C1077" s="176" t="s">
        <v>275</v>
      </c>
      <c r="D1077" s="178" t="s">
        <v>287</v>
      </c>
      <c r="E1077" s="178" t="s">
        <v>1561</v>
      </c>
      <c r="F1077" s="178" t="s">
        <v>287</v>
      </c>
      <c r="G1077" s="178" t="s">
        <v>1551</v>
      </c>
      <c r="H1077" s="178"/>
      <c r="I1077" s="178"/>
      <c r="J1077" s="178"/>
      <c r="K1077" s="178"/>
      <c r="L1077" s="178"/>
      <c r="M1077" s="179" t="s">
        <v>1036</v>
      </c>
      <c r="N1077" s="179"/>
      <c r="O1077" s="179"/>
      <c r="P1077" s="179"/>
      <c r="Q1077" s="179"/>
      <c r="R1077" s="181"/>
      <c r="S1077" s="179"/>
      <c r="T1077" s="176" t="s">
        <v>275</v>
      </c>
      <c r="U1077" s="182" t="s">
        <v>275</v>
      </c>
    </row>
    <row r="1078" spans="1:21" ht="30" x14ac:dyDescent="0.25">
      <c r="A1078" s="176"/>
      <c r="B1078" s="177" t="s">
        <v>23</v>
      </c>
      <c r="C1078" s="176" t="s">
        <v>275</v>
      </c>
      <c r="D1078" s="178" t="s">
        <v>287</v>
      </c>
      <c r="E1078" s="178" t="s">
        <v>1560</v>
      </c>
      <c r="F1078" s="178" t="s">
        <v>287</v>
      </c>
      <c r="G1078" s="178" t="s">
        <v>1550</v>
      </c>
      <c r="H1078" s="178"/>
      <c r="I1078" s="178"/>
      <c r="J1078" s="178"/>
      <c r="K1078" s="178"/>
      <c r="L1078" s="178"/>
      <c r="M1078" s="179" t="s">
        <v>1036</v>
      </c>
      <c r="N1078" s="179"/>
      <c r="O1078" s="179"/>
      <c r="P1078" s="179"/>
      <c r="Q1078" s="179"/>
      <c r="R1078" s="181"/>
      <c r="S1078" s="179"/>
      <c r="T1078" s="176" t="s">
        <v>275</v>
      </c>
      <c r="U1078" s="182" t="s">
        <v>275</v>
      </c>
    </row>
    <row r="1079" spans="1:21" x14ac:dyDescent="0.25">
      <c r="A1079" s="176"/>
      <c r="B1079" s="177"/>
      <c r="C1079" s="176" t="s">
        <v>275</v>
      </c>
      <c r="D1079" s="178" t="s">
        <v>287</v>
      </c>
      <c r="E1079" s="178" t="s">
        <v>2882</v>
      </c>
      <c r="F1079" s="178" t="s">
        <v>1595</v>
      </c>
      <c r="G1079" s="178" t="s">
        <v>2883</v>
      </c>
      <c r="H1079" s="178"/>
      <c r="I1079" s="178"/>
      <c r="J1079" s="178"/>
      <c r="K1079" s="178"/>
      <c r="L1079" s="178"/>
      <c r="M1079" s="179" t="s">
        <v>1036</v>
      </c>
      <c r="N1079" s="179"/>
      <c r="O1079" s="179"/>
      <c r="P1079" s="179"/>
      <c r="Q1079" s="179"/>
      <c r="R1079" s="181"/>
      <c r="S1079" s="179"/>
      <c r="T1079" s="176" t="s">
        <v>275</v>
      </c>
      <c r="U1079" s="182"/>
    </row>
    <row r="1080" spans="1:21" ht="30" x14ac:dyDescent="0.25">
      <c r="A1080" s="175"/>
      <c r="B1080" s="175"/>
      <c r="C1080" s="175" t="s">
        <v>275</v>
      </c>
      <c r="D1080" s="175" t="s">
        <v>287</v>
      </c>
      <c r="E1080" s="175" t="s">
        <v>2938</v>
      </c>
      <c r="F1080" s="175" t="s">
        <v>3087</v>
      </c>
      <c r="G1080" s="175" t="s">
        <v>2939</v>
      </c>
      <c r="H1080" s="175"/>
      <c r="I1080" s="175"/>
      <c r="J1080" s="175"/>
      <c r="K1080" s="175"/>
      <c r="L1080" s="175"/>
      <c r="M1080" s="175" t="s">
        <v>1036</v>
      </c>
      <c r="N1080" s="175"/>
      <c r="O1080" s="175"/>
      <c r="P1080" s="175"/>
      <c r="Q1080" s="175"/>
      <c r="R1080" s="180"/>
      <c r="S1080" s="175"/>
      <c r="T1080" s="175" t="s">
        <v>275</v>
      </c>
      <c r="U1080" s="175"/>
    </row>
    <row r="1081" spans="1:21" ht="30" x14ac:dyDescent="0.25">
      <c r="A1081" s="176"/>
      <c r="B1081" s="177"/>
      <c r="C1081" s="176" t="s">
        <v>275</v>
      </c>
      <c r="D1081" s="178" t="s">
        <v>287</v>
      </c>
      <c r="E1081" s="178" t="s">
        <v>2839</v>
      </c>
      <c r="F1081" s="178" t="s">
        <v>3087</v>
      </c>
      <c r="G1081" s="178" t="s">
        <v>2840</v>
      </c>
      <c r="H1081" s="178"/>
      <c r="I1081" s="178"/>
      <c r="J1081" s="178"/>
      <c r="K1081" s="178"/>
      <c r="L1081" s="178"/>
      <c r="M1081" s="179" t="s">
        <v>1036</v>
      </c>
      <c r="N1081" s="179"/>
      <c r="O1081" s="179"/>
      <c r="P1081" s="179"/>
      <c r="Q1081" s="179"/>
      <c r="R1081" s="181"/>
      <c r="S1081" s="179"/>
      <c r="T1081" s="176" t="s">
        <v>275</v>
      </c>
      <c r="U1081" s="182"/>
    </row>
    <row r="1082" spans="1:21" x14ac:dyDescent="0.25">
      <c r="A1082" s="175"/>
      <c r="B1082" s="175"/>
      <c r="C1082" s="175" t="s">
        <v>275</v>
      </c>
      <c r="D1082" s="175" t="s">
        <v>287</v>
      </c>
      <c r="E1082" s="175" t="s">
        <v>3023</v>
      </c>
      <c r="F1082" s="175" t="s">
        <v>3090</v>
      </c>
      <c r="G1082" s="175" t="s">
        <v>3024</v>
      </c>
      <c r="H1082" s="175"/>
      <c r="I1082" s="175"/>
      <c r="J1082" s="175"/>
      <c r="K1082" s="175"/>
      <c r="L1082" s="175"/>
      <c r="M1082" s="175" t="s">
        <v>1036</v>
      </c>
      <c r="N1082" s="175"/>
      <c r="O1082" s="175"/>
      <c r="P1082" s="175"/>
      <c r="Q1082" s="175"/>
      <c r="R1082" s="180"/>
      <c r="S1082" s="175"/>
      <c r="T1082" s="175" t="s">
        <v>275</v>
      </c>
      <c r="U1082" s="175"/>
    </row>
    <row r="1083" spans="1:21" ht="45" x14ac:dyDescent="0.25">
      <c r="A1083" s="175"/>
      <c r="B1083" s="175"/>
      <c r="C1083" s="175" t="s">
        <v>275</v>
      </c>
      <c r="D1083" s="175" t="s">
        <v>287</v>
      </c>
      <c r="E1083" s="175" t="s">
        <v>3041</v>
      </c>
      <c r="F1083" s="175" t="s">
        <v>3085</v>
      </c>
      <c r="G1083" s="175" t="s">
        <v>3042</v>
      </c>
      <c r="H1083" s="175"/>
      <c r="I1083" s="175"/>
      <c r="J1083" s="175"/>
      <c r="K1083" s="175"/>
      <c r="L1083" s="175"/>
      <c r="M1083" s="175" t="s">
        <v>1036</v>
      </c>
      <c r="N1083" s="175"/>
      <c r="O1083" s="175"/>
      <c r="P1083" s="175"/>
      <c r="Q1083" s="175" t="s">
        <v>3064</v>
      </c>
      <c r="R1083" s="180">
        <v>45924</v>
      </c>
      <c r="S1083" s="175" t="s">
        <v>203</v>
      </c>
      <c r="T1083" s="175" t="s">
        <v>275</v>
      </c>
      <c r="U1083" s="175"/>
    </row>
    <row r="1084" spans="1:21" ht="90" x14ac:dyDescent="0.25">
      <c r="A1084" s="175"/>
      <c r="B1084" s="175"/>
      <c r="C1084" s="175" t="s">
        <v>275</v>
      </c>
      <c r="D1084" s="175" t="s">
        <v>287</v>
      </c>
      <c r="E1084" s="175" t="s">
        <v>3010</v>
      </c>
      <c r="F1084" s="175" t="s">
        <v>3090</v>
      </c>
      <c r="G1084" s="175" t="s">
        <v>3011</v>
      </c>
      <c r="H1084" s="175"/>
      <c r="I1084" s="175"/>
      <c r="J1084" s="175"/>
      <c r="K1084" s="175"/>
      <c r="L1084" s="175"/>
      <c r="M1084" s="175" t="s">
        <v>1036</v>
      </c>
      <c r="N1084" s="175"/>
      <c r="O1084" s="175"/>
      <c r="P1084" s="175"/>
      <c r="Q1084" s="175" t="s">
        <v>3065</v>
      </c>
      <c r="R1084" s="180">
        <v>45924</v>
      </c>
      <c r="S1084" s="175" t="s">
        <v>206</v>
      </c>
      <c r="T1084" s="175" t="s">
        <v>275</v>
      </c>
      <c r="U1084" s="183"/>
    </row>
    <row r="1085" spans="1:21" x14ac:dyDescent="0.25">
      <c r="A1085" s="176"/>
      <c r="B1085" s="177"/>
      <c r="C1085" s="176" t="s">
        <v>23</v>
      </c>
      <c r="D1085" s="178" t="s">
        <v>287</v>
      </c>
      <c r="E1085" s="178" t="s">
        <v>3060</v>
      </c>
      <c r="F1085" s="178" t="s">
        <v>3092</v>
      </c>
      <c r="G1085" s="178" t="s">
        <v>3061</v>
      </c>
      <c r="H1085" s="178"/>
      <c r="I1085" s="178" t="s">
        <v>23</v>
      </c>
      <c r="J1085" s="178"/>
      <c r="K1085" s="178"/>
      <c r="L1085" s="178"/>
      <c r="M1085" s="179" t="s">
        <v>1036</v>
      </c>
      <c r="N1085" s="179"/>
      <c r="O1085" s="179"/>
      <c r="P1085" s="179"/>
      <c r="Q1085" s="179"/>
      <c r="R1085" s="181"/>
      <c r="S1085" s="179"/>
      <c r="T1085" s="176" t="s">
        <v>23</v>
      </c>
      <c r="U1085" s="182"/>
    </row>
    <row r="1086" spans="1:21" x14ac:dyDescent="0.25">
      <c r="A1086" s="175"/>
      <c r="B1086" s="175"/>
      <c r="C1086" s="175" t="s">
        <v>275</v>
      </c>
      <c r="D1086" s="175" t="s">
        <v>287</v>
      </c>
      <c r="E1086" s="175" t="s">
        <v>3043</v>
      </c>
      <c r="F1086" s="175" t="s">
        <v>3085</v>
      </c>
      <c r="G1086" s="175" t="s">
        <v>3042</v>
      </c>
      <c r="H1086" s="175"/>
      <c r="I1086" s="175"/>
      <c r="J1086" s="175"/>
      <c r="K1086" s="175"/>
      <c r="L1086" s="175"/>
      <c r="M1086" s="175" t="s">
        <v>1036</v>
      </c>
      <c r="N1086" s="175"/>
      <c r="O1086" s="175"/>
      <c r="P1086" s="175"/>
      <c r="Q1086" s="175"/>
      <c r="R1086" s="180"/>
      <c r="S1086" s="175"/>
      <c r="T1086" s="175" t="s">
        <v>275</v>
      </c>
      <c r="U1086" s="175"/>
    </row>
    <row r="1087" spans="1:21" x14ac:dyDescent="0.25">
      <c r="A1087" s="176"/>
      <c r="B1087" s="177"/>
      <c r="C1087" s="176" t="s">
        <v>23</v>
      </c>
      <c r="D1087" s="178" t="s">
        <v>287</v>
      </c>
      <c r="E1087" s="178" t="s">
        <v>3136</v>
      </c>
      <c r="F1087" s="178" t="s">
        <v>3090</v>
      </c>
      <c r="G1087" s="178" t="s">
        <v>3137</v>
      </c>
      <c r="H1087" s="178"/>
      <c r="I1087" s="178" t="s">
        <v>23</v>
      </c>
      <c r="J1087" s="178" t="s">
        <v>23</v>
      </c>
      <c r="K1087" s="178"/>
      <c r="L1087" s="178"/>
      <c r="M1087" s="179" t="s">
        <v>1036</v>
      </c>
      <c r="N1087" s="179"/>
      <c r="O1087" s="179"/>
      <c r="P1087" s="179"/>
      <c r="Q1087" s="179"/>
      <c r="R1087" s="181"/>
      <c r="S1087" s="179"/>
      <c r="T1087" s="176" t="s">
        <v>23</v>
      </c>
      <c r="U1087" s="182"/>
    </row>
    <row r="1088" spans="1:21" ht="30" x14ac:dyDescent="0.25">
      <c r="A1088" s="175"/>
      <c r="B1088" s="175" t="s">
        <v>23</v>
      </c>
      <c r="C1088" s="175" t="s">
        <v>275</v>
      </c>
      <c r="D1088" s="175" t="s">
        <v>287</v>
      </c>
      <c r="E1088" s="175" t="s">
        <v>826</v>
      </c>
      <c r="F1088" s="175" t="s">
        <v>292</v>
      </c>
      <c r="G1088" s="175" t="s">
        <v>762</v>
      </c>
      <c r="H1088" s="175"/>
      <c r="I1088" s="175"/>
      <c r="J1088" s="175"/>
      <c r="K1088" s="175"/>
      <c r="L1088" s="175"/>
      <c r="M1088" s="186" t="s">
        <v>1257</v>
      </c>
      <c r="N1088" s="186"/>
      <c r="O1088" s="186"/>
      <c r="P1088" s="186"/>
      <c r="Q1088" s="186" t="s">
        <v>771</v>
      </c>
      <c r="R1088" s="180">
        <v>45712</v>
      </c>
      <c r="S1088" s="186" t="s">
        <v>554</v>
      </c>
      <c r="T1088" s="175" t="s">
        <v>275</v>
      </c>
      <c r="U1088" s="175" t="s">
        <v>275</v>
      </c>
    </row>
    <row r="1089" spans="1:21" ht="30" x14ac:dyDescent="0.25">
      <c r="A1089" s="175"/>
      <c r="B1089" s="175" t="s">
        <v>23</v>
      </c>
      <c r="C1089" s="175" t="s">
        <v>275</v>
      </c>
      <c r="D1089" s="175" t="s">
        <v>287</v>
      </c>
      <c r="E1089" s="175" t="s">
        <v>684</v>
      </c>
      <c r="F1089" s="175" t="s">
        <v>287</v>
      </c>
      <c r="G1089" s="175" t="s">
        <v>667</v>
      </c>
      <c r="H1089" s="175"/>
      <c r="I1089" s="175"/>
      <c r="J1089" s="175"/>
      <c r="K1089" s="175"/>
      <c r="L1089" s="175"/>
      <c r="M1089" s="186" t="s">
        <v>1257</v>
      </c>
      <c r="N1089" s="186"/>
      <c r="O1089" s="186"/>
      <c r="P1089" s="186"/>
      <c r="Q1089" s="186" t="s">
        <v>682</v>
      </c>
      <c r="R1089" s="180">
        <v>45700</v>
      </c>
      <c r="S1089" s="186" t="s">
        <v>635</v>
      </c>
      <c r="T1089" s="175" t="s">
        <v>275</v>
      </c>
      <c r="U1089" s="183" t="s">
        <v>275</v>
      </c>
    </row>
    <row r="1090" spans="1:21" x14ac:dyDescent="0.25">
      <c r="A1090" s="175"/>
      <c r="B1090" s="175"/>
      <c r="C1090" s="175" t="s">
        <v>275</v>
      </c>
      <c r="D1090" s="175" t="s">
        <v>287</v>
      </c>
      <c r="E1090" s="175" t="s">
        <v>2238</v>
      </c>
      <c r="F1090" s="175" t="s">
        <v>3088</v>
      </c>
      <c r="G1090" s="175" t="s">
        <v>2237</v>
      </c>
      <c r="H1090" s="175"/>
      <c r="I1090" s="175"/>
      <c r="J1090" s="175"/>
      <c r="K1090" s="175"/>
      <c r="L1090" s="175"/>
      <c r="M1090" s="186" t="s">
        <v>2663</v>
      </c>
      <c r="N1090" s="186"/>
      <c r="O1090" s="186"/>
      <c r="P1090" s="186"/>
      <c r="Q1090" s="186"/>
      <c r="R1090" s="180"/>
      <c r="S1090" s="186"/>
      <c r="T1090" s="175" t="s">
        <v>275</v>
      </c>
      <c r="U1090" s="183" t="s">
        <v>275</v>
      </c>
    </row>
    <row r="1091" spans="1:21" x14ac:dyDescent="0.25">
      <c r="A1091" s="175"/>
      <c r="B1091" s="175"/>
      <c r="C1091" s="175" t="s">
        <v>275</v>
      </c>
      <c r="D1091" s="175" t="s">
        <v>287</v>
      </c>
      <c r="E1091" s="175" t="s">
        <v>2241</v>
      </c>
      <c r="F1091" s="175" t="s">
        <v>3088</v>
      </c>
      <c r="G1091" s="175" t="s">
        <v>2242</v>
      </c>
      <c r="H1091" s="175"/>
      <c r="I1091" s="175"/>
      <c r="J1091" s="175"/>
      <c r="K1091" s="175"/>
      <c r="L1091" s="175"/>
      <c r="M1091" s="175" t="s">
        <v>2663</v>
      </c>
      <c r="N1091" s="175"/>
      <c r="O1091" s="175"/>
      <c r="P1091" s="175"/>
      <c r="Q1091" s="175"/>
      <c r="R1091" s="180"/>
      <c r="S1091" s="175"/>
      <c r="T1091" s="175" t="s">
        <v>275</v>
      </c>
      <c r="U1091" s="175" t="s">
        <v>275</v>
      </c>
    </row>
    <row r="1092" spans="1:21" ht="23.25" x14ac:dyDescent="0.25">
      <c r="H1092" s="55"/>
      <c r="I1092" s="55"/>
      <c r="J1092" s="55"/>
      <c r="K1092" s="55"/>
      <c r="L1092" s="56"/>
      <c r="M1092" s="38"/>
      <c r="N1092" s="38"/>
      <c r="O1092" s="38"/>
      <c r="P1092" s="38"/>
    </row>
    <row r="1093" spans="1:21" ht="23.25" x14ac:dyDescent="0.25">
      <c r="H1093" s="55"/>
      <c r="I1093" s="55"/>
      <c r="J1093" s="55"/>
      <c r="K1093" s="55"/>
      <c r="L1093" s="56"/>
    </row>
    <row r="1094" spans="1:21" ht="23.25" x14ac:dyDescent="0.25">
      <c r="H1094" s="55"/>
      <c r="I1094" s="55"/>
      <c r="J1094" s="55"/>
      <c r="K1094" s="55"/>
      <c r="L1094" s="56"/>
      <c r="M1094" s="8"/>
    </row>
    <row r="1095" spans="1:21" ht="23.25" x14ac:dyDescent="0.25">
      <c r="H1095" s="55"/>
      <c r="I1095" s="55"/>
      <c r="J1095" s="55"/>
      <c r="K1095" s="55"/>
      <c r="L1095" s="56"/>
    </row>
    <row r="1096" spans="1:21" ht="23.25" x14ac:dyDescent="0.25">
      <c r="H1096" s="55"/>
      <c r="I1096" s="55"/>
      <c r="J1096" s="55"/>
      <c r="K1096" s="55"/>
      <c r="L1096" s="56"/>
    </row>
    <row r="1097" spans="1:21" ht="23.25" x14ac:dyDescent="0.25">
      <c r="H1097" s="55"/>
      <c r="I1097" s="55"/>
      <c r="J1097" s="55"/>
      <c r="K1097" s="55"/>
      <c r="L1097" s="56"/>
    </row>
    <row r="1098" spans="1:21" ht="23.25" x14ac:dyDescent="0.25">
      <c r="H1098" s="55"/>
      <c r="I1098" s="55"/>
      <c r="J1098" s="55"/>
      <c r="K1098" s="55"/>
      <c r="L1098" s="56"/>
    </row>
    <row r="1099" spans="1:21" ht="23.25" x14ac:dyDescent="0.25">
      <c r="H1099" s="55"/>
      <c r="I1099" s="55"/>
      <c r="J1099" s="55"/>
      <c r="K1099" s="55"/>
      <c r="L1099" s="56"/>
    </row>
    <row r="1100" spans="1:21" ht="23.25" x14ac:dyDescent="0.25">
      <c r="H1100" s="55"/>
      <c r="I1100" s="55"/>
      <c r="J1100" s="55"/>
      <c r="K1100" s="55"/>
      <c r="L1100" s="56"/>
    </row>
    <row r="1101" spans="1:21" ht="23.25" x14ac:dyDescent="0.25">
      <c r="H1101" s="55"/>
      <c r="I1101" s="55"/>
      <c r="J1101" s="55"/>
      <c r="K1101" s="55"/>
      <c r="L1101" s="56"/>
    </row>
    <row r="1102" spans="1:21" ht="23.25" x14ac:dyDescent="0.25">
      <c r="H1102" s="55"/>
      <c r="I1102" s="55"/>
      <c r="J1102" s="55"/>
      <c r="K1102" s="55"/>
      <c r="L1102" s="56"/>
    </row>
    <row r="1103" spans="1:21" ht="23.25" x14ac:dyDescent="0.25">
      <c r="H1103" s="55"/>
      <c r="I1103" s="55"/>
      <c r="J1103" s="55"/>
      <c r="K1103" s="55"/>
      <c r="L1103" s="56"/>
    </row>
    <row r="1104" spans="1:21" ht="23.25" x14ac:dyDescent="0.25">
      <c r="H1104" s="55"/>
      <c r="I1104" s="55"/>
      <c r="J1104" s="55"/>
      <c r="K1104" s="55"/>
      <c r="L1104" s="56"/>
    </row>
    <row r="1105" spans="8:12" ht="23.25" x14ac:dyDescent="0.25">
      <c r="H1105" s="55"/>
      <c r="I1105" s="55"/>
      <c r="J1105" s="55"/>
      <c r="K1105" s="55"/>
      <c r="L1105" s="56"/>
    </row>
    <row r="1106" spans="8:12" ht="23.25" x14ac:dyDescent="0.25">
      <c r="H1106" s="55"/>
      <c r="I1106" s="55"/>
      <c r="J1106" s="55"/>
      <c r="K1106" s="55"/>
      <c r="L1106" s="56"/>
    </row>
    <row r="1107" spans="8:12" ht="23.25" x14ac:dyDescent="0.25">
      <c r="H1107" s="55"/>
      <c r="I1107" s="55"/>
      <c r="J1107" s="55"/>
      <c r="K1107" s="55"/>
      <c r="L1107" s="56"/>
    </row>
    <row r="1108" spans="8:12" ht="23.25" x14ac:dyDescent="0.25">
      <c r="H1108" s="55"/>
      <c r="I1108" s="55"/>
      <c r="J1108" s="55"/>
      <c r="K1108" s="55"/>
      <c r="L1108" s="56"/>
    </row>
    <row r="1109" spans="8:12" ht="23.25" x14ac:dyDescent="0.25">
      <c r="H1109" s="55"/>
      <c r="I1109" s="55"/>
      <c r="J1109" s="55"/>
      <c r="K1109" s="55"/>
      <c r="L1109" s="56"/>
    </row>
    <row r="1110" spans="8:12" ht="23.25" x14ac:dyDescent="0.25">
      <c r="H1110" s="55"/>
      <c r="I1110" s="55"/>
      <c r="J1110" s="55"/>
      <c r="K1110" s="55"/>
      <c r="L1110" s="56"/>
    </row>
    <row r="1111" spans="8:12" ht="23.25" x14ac:dyDescent="0.25">
      <c r="H1111" s="55"/>
      <c r="I1111" s="55"/>
      <c r="J1111" s="55"/>
      <c r="K1111" s="55"/>
      <c r="L1111" s="56"/>
    </row>
    <row r="1112" spans="8:12" ht="23.25" x14ac:dyDescent="0.25">
      <c r="H1112" s="55"/>
      <c r="I1112" s="55"/>
      <c r="J1112" s="55"/>
      <c r="K1112" s="55"/>
      <c r="L1112" s="56"/>
    </row>
    <row r="1113" spans="8:12" ht="23.25" x14ac:dyDescent="0.25">
      <c r="H1113" s="55"/>
      <c r="I1113" s="55"/>
      <c r="J1113" s="55"/>
      <c r="K1113" s="55"/>
      <c r="L1113" s="56"/>
    </row>
    <row r="1114" spans="8:12" ht="23.25" x14ac:dyDescent="0.25">
      <c r="H1114" s="55"/>
      <c r="I1114" s="55"/>
      <c r="J1114" s="55"/>
      <c r="K1114" s="55"/>
      <c r="L1114" s="56"/>
    </row>
    <row r="1115" spans="8:12" ht="23.25" x14ac:dyDescent="0.25">
      <c r="H1115" s="55"/>
      <c r="I1115" s="55"/>
      <c r="J1115" s="55"/>
      <c r="K1115" s="55"/>
      <c r="L1115" s="56"/>
    </row>
    <row r="1116" spans="8:12" ht="23.25" x14ac:dyDescent="0.25">
      <c r="H1116" s="55"/>
      <c r="I1116" s="55"/>
      <c r="J1116" s="55"/>
      <c r="K1116" s="55"/>
      <c r="L1116" s="56"/>
    </row>
    <row r="1117" spans="8:12" ht="23.25" x14ac:dyDescent="0.25">
      <c r="H1117" s="55"/>
      <c r="I1117" s="55"/>
      <c r="J1117" s="55"/>
      <c r="K1117" s="55"/>
      <c r="L1117" s="56"/>
    </row>
    <row r="1118" spans="8:12" ht="23.25" x14ac:dyDescent="0.25">
      <c r="H1118" s="55"/>
      <c r="I1118" s="55"/>
      <c r="J1118" s="55"/>
      <c r="K1118" s="55"/>
      <c r="L1118" s="56"/>
    </row>
    <row r="1119" spans="8:12" ht="23.25" x14ac:dyDescent="0.25">
      <c r="H1119" s="55"/>
      <c r="I1119" s="55"/>
      <c r="J1119" s="55"/>
      <c r="K1119" s="55"/>
      <c r="L1119" s="56"/>
    </row>
    <row r="1120" spans="8:12"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sheetData>
  <sortState ref="A3:L936">
    <sortCondition ref="A3" customList="AREA 1,AREA 2,AREA 3,BLENDING"/>
  </sortState>
  <mergeCells count="2">
    <mergeCell ref="A1:D1"/>
    <mergeCell ref="N2:P2"/>
  </mergeCells>
  <conditionalFormatting sqref="E4:G1091 M4:S1091">
    <cfRule type="expression" dxfId="60" priority="16">
      <formula>SEARCH("IN CORSO",$M4)&gt;0</formula>
    </cfRule>
    <cfRule type="expression" dxfId="59" priority="97">
      <formula>SEARCH("CHIUSO",$M4)&gt;0</formula>
    </cfRule>
    <cfRule type="expression" dxfId="58" priority="98">
      <formula>SEARCH("EMESSO",$M4)&gt;0</formula>
    </cfRule>
    <cfRule type="expression" dxfId="57" priority="99">
      <formula>SEARCH("RICHIESTO",$M4)&gt;0</formula>
    </cfRule>
    <cfRule type="expression" dxfId="56" priority="100">
      <formula>SEARCH("DA CHIUDERE",$M4)&gt;0</formula>
    </cfRule>
    <cfRule type="expression" dxfId="55"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4" t="s">
        <v>2502</v>
      </c>
      <c r="B1" s="164" t="s">
        <v>2503</v>
      </c>
      <c r="C1" s="164" t="s">
        <v>1418</v>
      </c>
      <c r="D1" s="165" t="s">
        <v>2504</v>
      </c>
      <c r="E1" s="197" t="s">
        <v>2501</v>
      </c>
      <c r="F1" s="197"/>
      <c r="G1" s="197"/>
      <c r="H1" s="197"/>
    </row>
    <row r="2" spans="1:8" ht="68.25" x14ac:dyDescent="0.2">
      <c r="A2" s="166" t="s">
        <v>87</v>
      </c>
      <c r="B2" s="72" t="s">
        <v>1616</v>
      </c>
      <c r="C2" s="72" t="s">
        <v>2499</v>
      </c>
      <c r="D2" s="166" t="s">
        <v>2500</v>
      </c>
      <c r="E2" s="196" t="str">
        <f t="shared" ref="E2:E10" si="0">IF(C2="", "", "*" &amp; C2 &amp; "*")</f>
        <v>*545915/C*</v>
      </c>
      <c r="F2" s="196"/>
      <c r="G2" s="196"/>
      <c r="H2" s="196"/>
    </row>
    <row r="3" spans="1:8" ht="68.25" x14ac:dyDescent="0.2">
      <c r="A3" s="166" t="s">
        <v>87</v>
      </c>
      <c r="B3" s="72">
        <v>700</v>
      </c>
      <c r="C3" s="72" t="s">
        <v>2463</v>
      </c>
      <c r="D3" s="166" t="s">
        <v>2464</v>
      </c>
      <c r="E3" s="196" t="str">
        <f t="shared" si="0"/>
        <v>*545575/C*</v>
      </c>
      <c r="F3" s="196"/>
      <c r="G3" s="196"/>
      <c r="H3" s="196"/>
    </row>
    <row r="4" spans="1:8" ht="68.25" x14ac:dyDescent="0.2">
      <c r="A4" s="166" t="s">
        <v>287</v>
      </c>
      <c r="B4" s="72" t="s">
        <v>287</v>
      </c>
      <c r="C4" s="72" t="s">
        <v>1561</v>
      </c>
      <c r="D4" s="166" t="s">
        <v>1551</v>
      </c>
      <c r="E4" s="196" t="str">
        <f t="shared" si="0"/>
        <v>*539444/C*</v>
      </c>
      <c r="F4" s="196"/>
      <c r="G4" s="196"/>
      <c r="H4" s="196"/>
    </row>
    <row r="5" spans="1:8" ht="68.25" x14ac:dyDescent="0.2">
      <c r="A5" s="166" t="s">
        <v>287</v>
      </c>
      <c r="B5" s="72" t="s">
        <v>287</v>
      </c>
      <c r="C5" s="72" t="s">
        <v>1562</v>
      </c>
      <c r="D5" s="166" t="s">
        <v>1552</v>
      </c>
      <c r="E5" s="196" t="str">
        <f t="shared" si="0"/>
        <v>*539448/C*</v>
      </c>
      <c r="F5" s="196"/>
      <c r="G5" s="196"/>
      <c r="H5" s="196"/>
    </row>
    <row r="6" spans="1:8" ht="68.25" x14ac:dyDescent="0.2">
      <c r="A6" s="166" t="s">
        <v>287</v>
      </c>
      <c r="B6" s="72" t="s">
        <v>287</v>
      </c>
      <c r="C6" s="72" t="s">
        <v>1563</v>
      </c>
      <c r="D6" s="166" t="s">
        <v>1553</v>
      </c>
      <c r="E6" s="196" t="str">
        <f t="shared" si="0"/>
        <v>*539454/C*</v>
      </c>
      <c r="F6" s="196"/>
      <c r="G6" s="196"/>
      <c r="H6" s="196"/>
    </row>
    <row r="7" spans="1:8" ht="68.25" x14ac:dyDescent="0.2">
      <c r="A7" s="166" t="s">
        <v>287</v>
      </c>
      <c r="B7" s="72" t="s">
        <v>287</v>
      </c>
      <c r="C7" s="72" t="s">
        <v>1560</v>
      </c>
      <c r="D7" s="166" t="s">
        <v>1550</v>
      </c>
      <c r="E7" s="196" t="str">
        <f t="shared" si="0"/>
        <v>*539438/C*</v>
      </c>
      <c r="F7" s="196"/>
      <c r="G7" s="196"/>
      <c r="H7" s="196"/>
    </row>
    <row r="8" spans="1:8" ht="68.25" x14ac:dyDescent="0.2">
      <c r="A8" s="166" t="s">
        <v>287</v>
      </c>
      <c r="B8" s="72" t="s">
        <v>287</v>
      </c>
      <c r="C8" s="72" t="s">
        <v>1564</v>
      </c>
      <c r="D8" s="166" t="s">
        <v>1554</v>
      </c>
      <c r="E8" s="196" t="str">
        <f t="shared" si="0"/>
        <v>*539467/C*</v>
      </c>
      <c r="F8" s="196"/>
      <c r="G8" s="196"/>
      <c r="H8" s="196"/>
    </row>
    <row r="9" spans="1:8" ht="68.25" x14ac:dyDescent="0.2">
      <c r="A9" s="166" t="s">
        <v>287</v>
      </c>
      <c r="B9" s="72">
        <v>6000</v>
      </c>
      <c r="C9" s="72" t="s">
        <v>2238</v>
      </c>
      <c r="D9" s="166" t="s">
        <v>2237</v>
      </c>
      <c r="E9" s="196" t="str">
        <f t="shared" si="0"/>
        <v>*543006/C*</v>
      </c>
      <c r="F9" s="196"/>
      <c r="G9" s="196"/>
      <c r="H9" s="196"/>
    </row>
    <row r="10" spans="1:8" ht="68.25" x14ac:dyDescent="0.2">
      <c r="A10" s="166" t="s">
        <v>287</v>
      </c>
      <c r="B10" s="72">
        <v>6000</v>
      </c>
      <c r="C10" s="72" t="s">
        <v>2241</v>
      </c>
      <c r="D10" s="166" t="s">
        <v>2242</v>
      </c>
      <c r="E10" s="196" t="str">
        <f t="shared" si="0"/>
        <v>*543010/C*</v>
      </c>
      <c r="F10" s="196"/>
      <c r="G10" s="196"/>
      <c r="H10" s="196"/>
    </row>
    <row r="11" spans="1:8" ht="68.25" x14ac:dyDescent="0.2">
      <c r="A11" s="166"/>
      <c r="B11" s="72"/>
      <c r="C11" s="72"/>
      <c r="D11" s="166"/>
      <c r="E11" s="196" t="str">
        <f>IF(C11="", "", "*" &amp; C11 &amp; "*")</f>
        <v/>
      </c>
      <c r="F11" s="196"/>
      <c r="G11" s="196"/>
      <c r="H11" s="196"/>
    </row>
    <row r="12" spans="1:8" ht="68.25" x14ac:dyDescent="0.2">
      <c r="A12" s="166"/>
      <c r="B12" s="72"/>
      <c r="C12" s="72"/>
      <c r="D12" s="166"/>
      <c r="E12" s="196" t="str">
        <f t="shared" ref="E12:E20" si="1">IF(C12="", "", "*" &amp; C12 &amp; "*")</f>
        <v/>
      </c>
      <c r="F12" s="196"/>
      <c r="G12" s="196"/>
      <c r="H12" s="196"/>
    </row>
    <row r="13" spans="1:8" ht="68.25" x14ac:dyDescent="0.2">
      <c r="A13" s="166"/>
      <c r="B13" s="72"/>
      <c r="C13" s="72"/>
      <c r="D13" s="166"/>
      <c r="E13" s="196" t="str">
        <f t="shared" si="1"/>
        <v/>
      </c>
      <c r="F13" s="196"/>
      <c r="G13" s="196"/>
      <c r="H13" s="196"/>
    </row>
    <row r="14" spans="1:8" ht="68.25" x14ac:dyDescent="0.2">
      <c r="A14" s="166"/>
      <c r="B14" s="72"/>
      <c r="C14" s="72"/>
      <c r="D14" s="166"/>
      <c r="E14" s="196" t="str">
        <f t="shared" si="1"/>
        <v/>
      </c>
      <c r="F14" s="196"/>
      <c r="G14" s="196"/>
      <c r="H14" s="196"/>
    </row>
    <row r="15" spans="1:8" ht="68.25" x14ac:dyDescent="0.2">
      <c r="A15" s="166"/>
      <c r="B15" s="72"/>
      <c r="C15" s="72"/>
      <c r="D15" s="166"/>
      <c r="E15" s="196" t="str">
        <f t="shared" si="1"/>
        <v/>
      </c>
      <c r="F15" s="196"/>
      <c r="G15" s="196"/>
      <c r="H15" s="196"/>
    </row>
    <row r="16" spans="1:8" ht="68.25" x14ac:dyDescent="0.2">
      <c r="A16" s="166"/>
      <c r="B16" s="72"/>
      <c r="C16" s="72"/>
      <c r="D16" s="166"/>
      <c r="E16" s="196" t="str">
        <f t="shared" si="1"/>
        <v/>
      </c>
      <c r="F16" s="196"/>
      <c r="G16" s="196"/>
      <c r="H16" s="196"/>
    </row>
    <row r="17" spans="1:8" ht="68.25" x14ac:dyDescent="0.2">
      <c r="A17" s="166"/>
      <c r="B17" s="72"/>
      <c r="C17" s="72"/>
      <c r="D17" s="166"/>
      <c r="E17" s="196" t="str">
        <f t="shared" si="1"/>
        <v/>
      </c>
      <c r="F17" s="196"/>
      <c r="G17" s="196"/>
      <c r="H17" s="196"/>
    </row>
    <row r="18" spans="1:8" ht="68.25" x14ac:dyDescent="0.2">
      <c r="A18" s="166"/>
      <c r="B18" s="72"/>
      <c r="C18" s="72"/>
      <c r="D18" s="166"/>
      <c r="E18" s="196" t="str">
        <f t="shared" si="1"/>
        <v/>
      </c>
      <c r="F18" s="196"/>
      <c r="G18" s="196"/>
      <c r="H18" s="196"/>
    </row>
    <row r="19" spans="1:8" ht="68.25" x14ac:dyDescent="0.2">
      <c r="A19" s="166"/>
      <c r="B19" s="72"/>
      <c r="C19" s="72"/>
      <c r="D19" s="166"/>
      <c r="E19" s="196" t="str">
        <f t="shared" si="1"/>
        <v/>
      </c>
      <c r="F19" s="196"/>
      <c r="G19" s="196"/>
      <c r="H19" s="196"/>
    </row>
    <row r="20" spans="1:8" ht="68.25" x14ac:dyDescent="0.2">
      <c r="A20" s="166"/>
      <c r="B20" s="72"/>
      <c r="C20" s="72"/>
      <c r="D20" s="166"/>
      <c r="E20" s="196" t="str">
        <f t="shared" si="1"/>
        <v/>
      </c>
      <c r="F20" s="196"/>
      <c r="G20" s="196"/>
      <c r="H20" s="196"/>
    </row>
    <row r="21" spans="1:8" ht="68.25" x14ac:dyDescent="0.2">
      <c r="A21" s="163"/>
      <c r="B21" s="162"/>
      <c r="C21" s="162"/>
      <c r="D21" s="163"/>
      <c r="E21" s="198"/>
      <c r="F21" s="198"/>
      <c r="G21" s="198"/>
      <c r="H21" s="198"/>
    </row>
    <row r="22" spans="1:8" ht="68.25" x14ac:dyDescent="0.2">
      <c r="A22" s="163"/>
      <c r="B22" s="162"/>
      <c r="C22" s="162"/>
      <c r="D22" s="163"/>
      <c r="E22" s="198"/>
      <c r="F22" s="198"/>
      <c r="G22" s="198"/>
      <c r="H22" s="198"/>
    </row>
    <row r="23" spans="1:8" ht="68.25" x14ac:dyDescent="0.2">
      <c r="A23" s="163"/>
      <c r="B23" s="162"/>
      <c r="C23" s="162"/>
      <c r="D23" s="163"/>
      <c r="E23" s="198"/>
      <c r="F23" s="198"/>
      <c r="G23" s="198"/>
      <c r="H23" s="198"/>
    </row>
    <row r="24" spans="1:8" ht="68.25" x14ac:dyDescent="0.2">
      <c r="A24" s="163"/>
      <c r="B24" s="162"/>
      <c r="C24" s="162"/>
      <c r="D24" s="163"/>
      <c r="E24" s="198"/>
      <c r="F24" s="198"/>
      <c r="G24" s="198"/>
      <c r="H24" s="198"/>
    </row>
    <row r="25" spans="1:8" ht="68.25" x14ac:dyDescent="0.2">
      <c r="A25" s="163"/>
      <c r="B25" s="162"/>
      <c r="C25" s="162"/>
      <c r="D25" s="163"/>
      <c r="E25" s="198"/>
      <c r="F25" s="198"/>
      <c r="G25" s="198"/>
      <c r="H25" s="198"/>
    </row>
    <row r="26" spans="1:8" ht="68.25" x14ac:dyDescent="0.2">
      <c r="A26" s="163"/>
      <c r="B26" s="162"/>
      <c r="C26" s="162"/>
      <c r="D26" s="163"/>
      <c r="E26" s="198"/>
      <c r="F26" s="198"/>
      <c r="G26" s="198"/>
      <c r="H26" s="198"/>
    </row>
    <row r="27" spans="1:8" ht="68.25" x14ac:dyDescent="0.2">
      <c r="A27" s="163"/>
      <c r="B27" s="162"/>
      <c r="C27" s="162"/>
      <c r="D27" s="163"/>
      <c r="E27" s="198"/>
      <c r="F27" s="198"/>
      <c r="G27" s="198"/>
      <c r="H27" s="198"/>
    </row>
    <row r="28" spans="1:8" ht="68.25" x14ac:dyDescent="0.2">
      <c r="A28" s="163"/>
      <c r="B28" s="162"/>
      <c r="C28" s="162"/>
      <c r="D28" s="163"/>
      <c r="E28" s="198"/>
      <c r="F28" s="198"/>
      <c r="G28" s="198"/>
      <c r="H28" s="198"/>
    </row>
    <row r="29" spans="1:8" ht="68.25" x14ac:dyDescent="0.2">
      <c r="A29" s="163"/>
      <c r="B29" s="162"/>
      <c r="C29" s="162"/>
      <c r="D29" s="163"/>
      <c r="E29" s="198"/>
      <c r="F29" s="198"/>
      <c r="G29" s="198"/>
      <c r="H29" s="198"/>
    </row>
    <row r="30" spans="1:8" ht="68.25" x14ac:dyDescent="0.2">
      <c r="A30" s="163"/>
      <c r="B30" s="162"/>
      <c r="C30" s="162"/>
      <c r="D30" s="163"/>
      <c r="E30" s="198"/>
      <c r="F30" s="198"/>
      <c r="G30" s="198"/>
      <c r="H30" s="198"/>
    </row>
    <row r="31" spans="1:8" ht="68.25" x14ac:dyDescent="0.2">
      <c r="A31" s="163"/>
      <c r="B31" s="162"/>
      <c r="C31" s="162"/>
      <c r="D31" s="163"/>
      <c r="E31" s="198"/>
      <c r="F31" s="198"/>
      <c r="G31" s="198"/>
      <c r="H31" s="198"/>
    </row>
    <row r="32" spans="1:8" ht="68.25" x14ac:dyDescent="0.2">
      <c r="A32" s="163"/>
      <c r="B32" s="162"/>
      <c r="C32" s="162"/>
      <c r="D32" s="163"/>
      <c r="E32" s="198"/>
      <c r="F32" s="198"/>
      <c r="G32" s="198"/>
      <c r="H32" s="198"/>
    </row>
    <row r="33" spans="1:8" ht="68.25" x14ac:dyDescent="0.2">
      <c r="A33" s="163"/>
      <c r="B33" s="162"/>
      <c r="C33" s="162"/>
      <c r="D33" s="163"/>
      <c r="E33" s="198"/>
      <c r="F33" s="198"/>
      <c r="G33" s="198"/>
      <c r="H33" s="198"/>
    </row>
    <row r="34" spans="1:8" ht="68.25" x14ac:dyDescent="0.2">
      <c r="A34" s="163"/>
      <c r="B34" s="162"/>
      <c r="C34" s="162"/>
      <c r="D34" s="163"/>
      <c r="E34" s="198"/>
      <c r="F34" s="198"/>
      <c r="G34" s="198"/>
      <c r="H34" s="198"/>
    </row>
    <row r="35" spans="1:8" ht="68.25" x14ac:dyDescent="0.2">
      <c r="A35" s="163"/>
      <c r="B35" s="162"/>
      <c r="C35" s="162"/>
      <c r="D35" s="163"/>
      <c r="E35" s="198"/>
      <c r="F35" s="198"/>
      <c r="G35" s="198"/>
      <c r="H35" s="198"/>
    </row>
    <row r="36" spans="1:8" ht="68.25" x14ac:dyDescent="0.2">
      <c r="A36" s="163"/>
      <c r="B36" s="162"/>
      <c r="C36" s="162"/>
      <c r="D36" s="163"/>
      <c r="E36" s="198"/>
      <c r="F36" s="198"/>
      <c r="G36" s="198"/>
      <c r="H36" s="198"/>
    </row>
    <row r="37" spans="1:8" ht="68.25" x14ac:dyDescent="0.2">
      <c r="A37" s="163"/>
      <c r="B37" s="162"/>
      <c r="C37" s="162"/>
      <c r="D37" s="163"/>
      <c r="E37" s="198"/>
      <c r="F37" s="198"/>
      <c r="G37" s="198"/>
      <c r="H37" s="198"/>
    </row>
    <row r="38" spans="1:8" ht="68.25" x14ac:dyDescent="0.2">
      <c r="A38" s="163"/>
      <c r="B38" s="162"/>
      <c r="C38" s="162"/>
      <c r="D38" s="163"/>
      <c r="E38" s="198"/>
      <c r="F38" s="198"/>
      <c r="G38" s="198"/>
      <c r="H38" s="198"/>
    </row>
    <row r="39" spans="1:8" ht="68.25" x14ac:dyDescent="0.2">
      <c r="A39" s="163"/>
      <c r="B39" s="162"/>
      <c r="C39" s="162"/>
      <c r="D39" s="163"/>
      <c r="E39" s="198"/>
      <c r="F39" s="198"/>
      <c r="G39" s="198"/>
      <c r="H39" s="198"/>
    </row>
    <row r="40" spans="1:8" ht="68.25" x14ac:dyDescent="0.2">
      <c r="A40" s="163"/>
      <c r="B40" s="162"/>
      <c r="C40" s="162"/>
      <c r="D40" s="163"/>
      <c r="E40" s="198"/>
      <c r="F40" s="198"/>
      <c r="G40" s="198"/>
      <c r="H40" s="198"/>
    </row>
    <row r="41" spans="1:8" ht="68.25" x14ac:dyDescent="0.2">
      <c r="A41" s="163"/>
      <c r="B41" s="162"/>
      <c r="C41" s="162"/>
      <c r="D41" s="163"/>
      <c r="E41" s="198"/>
      <c r="F41" s="198"/>
      <c r="G41" s="198"/>
      <c r="H41" s="198"/>
    </row>
    <row r="42" spans="1:8" ht="68.25" x14ac:dyDescent="0.2">
      <c r="A42" s="163"/>
      <c r="B42" s="162"/>
      <c r="C42" s="162"/>
      <c r="D42" s="163"/>
      <c r="E42" s="198"/>
      <c r="F42" s="198"/>
      <c r="G42" s="198"/>
      <c r="H42" s="198"/>
    </row>
    <row r="43" spans="1:8" ht="68.25" x14ac:dyDescent="0.2">
      <c r="A43" s="163"/>
      <c r="B43" s="162"/>
      <c r="C43" s="162"/>
      <c r="D43" s="163"/>
      <c r="E43" s="198"/>
      <c r="F43" s="198"/>
      <c r="G43" s="198"/>
      <c r="H43" s="198"/>
    </row>
    <row r="44" spans="1:8" ht="68.25" x14ac:dyDescent="0.2">
      <c r="A44" s="163"/>
      <c r="B44" s="162"/>
      <c r="C44" s="162"/>
      <c r="D44" s="163"/>
      <c r="E44" s="198"/>
      <c r="F44" s="198"/>
      <c r="G44" s="198"/>
      <c r="H44" s="198"/>
    </row>
    <row r="45" spans="1:8" ht="68.25" x14ac:dyDescent="0.2">
      <c r="A45" s="163"/>
      <c r="B45" s="162"/>
      <c r="C45" s="162"/>
      <c r="D45" s="163"/>
      <c r="E45" s="198"/>
      <c r="F45" s="198"/>
      <c r="G45" s="198"/>
      <c r="H45" s="198"/>
    </row>
  </sheetData>
  <mergeCells count="45">
    <mergeCell ref="E42:H42"/>
    <mergeCell ref="E43:H43"/>
    <mergeCell ref="E44:H44"/>
    <mergeCell ref="E45:H45"/>
    <mergeCell ref="E36:H36"/>
    <mergeCell ref="E37:H37"/>
    <mergeCell ref="E38:H38"/>
    <mergeCell ref="E39:H39"/>
    <mergeCell ref="E40:H40"/>
    <mergeCell ref="E41:H41"/>
    <mergeCell ref="E35:H35"/>
    <mergeCell ref="E24:H24"/>
    <mergeCell ref="E25:H25"/>
    <mergeCell ref="E26:H26"/>
    <mergeCell ref="E27:H27"/>
    <mergeCell ref="E28:H28"/>
    <mergeCell ref="E29:H29"/>
    <mergeCell ref="E30:H30"/>
    <mergeCell ref="E31:H31"/>
    <mergeCell ref="E32:H32"/>
    <mergeCell ref="E33:H33"/>
    <mergeCell ref="E34:H34"/>
    <mergeCell ref="E23:H23"/>
    <mergeCell ref="E12:H12"/>
    <mergeCell ref="E13:H13"/>
    <mergeCell ref="E14:H14"/>
    <mergeCell ref="E15:H15"/>
    <mergeCell ref="E16:H16"/>
    <mergeCell ref="E17:H17"/>
    <mergeCell ref="E18:H18"/>
    <mergeCell ref="E19:H19"/>
    <mergeCell ref="E20:H20"/>
    <mergeCell ref="E21:H21"/>
    <mergeCell ref="E22:H22"/>
    <mergeCell ref="E11:H11"/>
    <mergeCell ref="E2:H2"/>
    <mergeCell ref="E1:H1"/>
    <mergeCell ref="E3:H3"/>
    <mergeCell ref="E4:H4"/>
    <mergeCell ref="E5:H5"/>
    <mergeCell ref="E6:H6"/>
    <mergeCell ref="E7:H7"/>
    <mergeCell ref="E8:H8"/>
    <mergeCell ref="E9:H9"/>
    <mergeCell ref="E10:H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5" t="s">
        <v>259</v>
      </c>
      <c r="F1" s="206"/>
      <c r="G1" s="207"/>
      <c r="I1" s="205" t="s">
        <v>262</v>
      </c>
      <c r="J1" s="206"/>
      <c r="K1" s="207"/>
      <c r="N1" s="21" t="s">
        <v>419</v>
      </c>
      <c r="O1" s="21" t="s">
        <v>420</v>
      </c>
      <c r="P1" t="s">
        <v>1395</v>
      </c>
      <c r="Q1" t="s">
        <v>1396</v>
      </c>
      <c r="R1" t="s">
        <v>1397</v>
      </c>
    </row>
    <row r="2" spans="1:18" ht="15.75" x14ac:dyDescent="0.25">
      <c r="A2" s="210" t="str">
        <f ca="1">"Programmazione dal "&amp;TEXT(N2,"gg/mm/aaaa")&amp;" al "&amp;TEXT(O2,"gg/mm/aaaa")</f>
        <v>Programmazione dal 29/09/2025 al 03/10/2025</v>
      </c>
      <c r="B2" s="210"/>
      <c r="E2" s="208" t="s">
        <v>204</v>
      </c>
      <c r="F2" s="209"/>
      <c r="G2" s="57">
        <f>COUNTIF(TabellaA1[STATO
PdL], "RICHIESTO")</f>
        <v>1</v>
      </c>
      <c r="I2" s="208" t="s">
        <v>204</v>
      </c>
      <c r="J2" s="209"/>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45930</v>
      </c>
      <c r="E3" s="199" t="s">
        <v>1040</v>
      </c>
      <c r="F3" s="200"/>
      <c r="G3" s="57">
        <f>COUNTIF(TabellaA1[STATO
PdL], "EMESSO")</f>
        <v>51</v>
      </c>
      <c r="I3" s="199" t="s">
        <v>1040</v>
      </c>
      <c r="J3" s="200"/>
      <c r="K3" s="57">
        <f>COUNTIF(TabellaCTE[STATO
PdL], "EMESSO")</f>
        <v>4</v>
      </c>
      <c r="O3">
        <f>MONTH(B1)</f>
        <v>9</v>
      </c>
      <c r="P3" t="str">
        <f>IF(R1="Caldarella","fcaldarella",IF(ISBLANK(R1),"",""))</f>
        <v>fcaldarella</v>
      </c>
      <c r="Q3" t="str">
        <f>IF(R1="Caldarella","freddy69$","")</f>
        <v>freddy69$</v>
      </c>
    </row>
    <row r="4" spans="1:18" ht="15.6" customHeight="1" x14ac:dyDescent="0.25">
      <c r="A4" s="37"/>
      <c r="B4" s="46"/>
      <c r="E4" s="201" t="s">
        <v>2342</v>
      </c>
      <c r="F4" s="202"/>
      <c r="G4" s="57">
        <f>COUNTIF(TabellaA1[STATO
PdL], "IN CORSO")</f>
        <v>0</v>
      </c>
      <c r="I4" s="201" t="s">
        <v>2342</v>
      </c>
      <c r="J4" s="202"/>
      <c r="K4" s="57">
        <f>COUNTIF(TabellaCTE[STATO
PdL], "IN CORSO")</f>
        <v>0</v>
      </c>
      <c r="O4">
        <f>DAY(B1)</f>
        <v>29</v>
      </c>
    </row>
    <row r="5" spans="1:18" ht="15.6" customHeight="1" x14ac:dyDescent="0.25">
      <c r="A5" t="s">
        <v>330</v>
      </c>
      <c r="B5">
        <v>2025</v>
      </c>
      <c r="E5" s="199" t="s">
        <v>1272</v>
      </c>
      <c r="F5" s="200"/>
      <c r="G5" s="57">
        <f>COUNTIF(TabellaA1[STATO
PdL], "INTERROTTO")</f>
        <v>17</v>
      </c>
      <c r="I5" s="199" t="s">
        <v>1272</v>
      </c>
      <c r="J5" s="200"/>
      <c r="K5" s="57">
        <f>COUNTIF(TabellaCTE[STATO
PdL], "INTERROTTO")</f>
        <v>0</v>
      </c>
      <c r="P5" t="s">
        <v>1395</v>
      </c>
      <c r="Q5" t="s">
        <v>1396</v>
      </c>
      <c r="R5" t="s">
        <v>2311</v>
      </c>
    </row>
    <row r="6" spans="1:18" ht="15.6" customHeight="1" x14ac:dyDescent="0.25">
      <c r="A6" s="37" t="s">
        <v>1198</v>
      </c>
      <c r="B6" s="46" t="s">
        <v>1408</v>
      </c>
      <c r="E6" s="201" t="s">
        <v>1258</v>
      </c>
      <c r="F6" s="202"/>
      <c r="G6" s="57">
        <f>COUNTIF(TabellaA1[STATO
PdL], "DA CHIUDERE")</f>
        <v>198</v>
      </c>
      <c r="I6" s="201" t="s">
        <v>1258</v>
      </c>
      <c r="J6" s="202"/>
      <c r="K6" s="57">
        <f>COUNTIF(TabellaCTE[STATO
PdL], "DA CHIUDERE")</f>
        <v>22</v>
      </c>
      <c r="P6" t="s">
        <v>1398</v>
      </c>
      <c r="Q6" t="s">
        <v>1399</v>
      </c>
    </row>
    <row r="7" spans="1:18" ht="15.75" customHeight="1" x14ac:dyDescent="0.25">
      <c r="A7" s="37" t="s">
        <v>1197</v>
      </c>
      <c r="B7" s="46" t="s">
        <v>1408</v>
      </c>
      <c r="E7" s="201" t="s">
        <v>1273</v>
      </c>
      <c r="F7" s="202"/>
      <c r="G7" s="57">
        <f>COUNTIF(TabellaA1[STATO
PdL], "CHIUSO")</f>
        <v>0</v>
      </c>
      <c r="I7" s="201" t="s">
        <v>1273</v>
      </c>
      <c r="J7" s="202"/>
      <c r="K7" s="58">
        <f>COUNTIF(TabellaCTE[STATO
PdL], "CHIUSO")</f>
        <v>0</v>
      </c>
      <c r="P7" t="str">
        <f>IF(R5="Allegretti","gallegretti95",IF(R5="Millo","fmillo73",IF(ISBLANK(R5),"","")))</f>
        <v>gallegretti95</v>
      </c>
      <c r="Q7" t="str">
        <f>IF(R5="Allegretti","coemi.2024",IF(R5="Millo","millo.1973",""))</f>
        <v>coemi.2024</v>
      </c>
    </row>
    <row r="8" spans="1:18" ht="15.75" customHeight="1" x14ac:dyDescent="0.25">
      <c r="E8" s="201" t="s">
        <v>226</v>
      </c>
      <c r="F8" s="202"/>
      <c r="G8" s="57">
        <f ca="1">COUNTIF(TabellaA1[PO], "X")</f>
        <v>7</v>
      </c>
      <c r="I8" s="201" t="s">
        <v>226</v>
      </c>
      <c r="J8" s="202"/>
      <c r="K8" s="57">
        <f ca="1">COUNTIF(TabellaCTE[PO], "X")</f>
        <v>0</v>
      </c>
    </row>
    <row r="9" spans="1:18" ht="16.5" customHeight="1" thickBot="1" x14ac:dyDescent="0.3">
      <c r="E9" s="203" t="s">
        <v>360</v>
      </c>
      <c r="F9" s="204"/>
      <c r="G9" s="59">
        <f>COUNTIF(TabellaA1[PS], "X")</f>
        <v>7</v>
      </c>
      <c r="I9" s="203" t="s">
        <v>360</v>
      </c>
      <c r="J9" s="204"/>
      <c r="K9" s="59">
        <f>COUNTIF(TabellaCTE[PS], "X")</f>
        <v>0</v>
      </c>
    </row>
    <row r="10" spans="1:18" ht="38.25" customHeight="1" thickBot="1" x14ac:dyDescent="0.25">
      <c r="R10" s="42"/>
    </row>
    <row r="11" spans="1:18" ht="15.6" customHeight="1" x14ac:dyDescent="0.35">
      <c r="A11" s="43"/>
      <c r="E11" s="205" t="s">
        <v>260</v>
      </c>
      <c r="F11" s="206"/>
      <c r="G11" s="207"/>
      <c r="I11" s="205" t="s">
        <v>263</v>
      </c>
      <c r="J11" s="206"/>
      <c r="K11" s="207"/>
    </row>
    <row r="12" spans="1:18" ht="15.6" customHeight="1" x14ac:dyDescent="0.25">
      <c r="E12" s="208" t="s">
        <v>204</v>
      </c>
      <c r="F12" s="209"/>
      <c r="G12" s="57">
        <f>COUNTIF(Tabella1[STATO
PdL], "RICHIESTO")</f>
        <v>0</v>
      </c>
      <c r="I12" s="208" t="s">
        <v>204</v>
      </c>
      <c r="J12" s="209"/>
      <c r="K12" s="57">
        <f>COUNTIF(TabellaBLENDING[STATO
PdL], "RICHIESTO")</f>
        <v>0</v>
      </c>
    </row>
    <row r="13" spans="1:18" ht="15.6" customHeight="1" x14ac:dyDescent="0.25">
      <c r="E13" s="199" t="s">
        <v>1040</v>
      </c>
      <c r="F13" s="200"/>
      <c r="G13" s="57">
        <f>COUNTIF(Tabella1[STATO
PdL], "EMESSO")</f>
        <v>32</v>
      </c>
      <c r="I13" s="199" t="s">
        <v>1040</v>
      </c>
      <c r="J13" s="200"/>
      <c r="K13" s="57">
        <f>COUNTIF(TabellaBLENDING[STATO
PdL], "EMESSO")</f>
        <v>64</v>
      </c>
    </row>
    <row r="14" spans="1:18" ht="15.6" customHeight="1" x14ac:dyDescent="0.25">
      <c r="E14" s="201" t="s">
        <v>2342</v>
      </c>
      <c r="F14" s="202"/>
      <c r="G14" s="57">
        <f>COUNTIF(Tabella1[STATO
PdL], "IN CORSO")</f>
        <v>0</v>
      </c>
      <c r="I14" s="201" t="s">
        <v>2342</v>
      </c>
      <c r="J14" s="202"/>
      <c r="K14" s="57">
        <f>COUNTIF(TabellaBLENDING[STATO
PdL], "IN CORSO")</f>
        <v>0</v>
      </c>
    </row>
    <row r="15" spans="1:18" ht="15.75" customHeight="1" x14ac:dyDescent="0.25">
      <c r="E15" s="199" t="s">
        <v>1272</v>
      </c>
      <c r="F15" s="200"/>
      <c r="G15" s="57">
        <f>COUNTIF(Tabella1[STATO
PdL], "INTERROTTO")</f>
        <v>21</v>
      </c>
      <c r="I15" s="199" t="s">
        <v>1272</v>
      </c>
      <c r="J15" s="200"/>
      <c r="K15" s="57">
        <f>COUNTIF(TabellaBLENDING[STATO
PdL], "INTERROTTO")</f>
        <v>2</v>
      </c>
    </row>
    <row r="16" spans="1:18" ht="15.75" customHeight="1" x14ac:dyDescent="0.25">
      <c r="E16" s="201" t="s">
        <v>1258</v>
      </c>
      <c r="F16" s="202"/>
      <c r="G16" s="57">
        <f>COUNTIF(Tabella1[STATO
PdL], "DA CHIUDERE")</f>
        <v>122</v>
      </c>
      <c r="I16" s="201" t="s">
        <v>1258</v>
      </c>
      <c r="J16" s="202"/>
      <c r="K16" s="57">
        <f>COUNTIF(TabellaBLENDING[STATO
PdL], "DA CHIUDERE")</f>
        <v>111</v>
      </c>
    </row>
    <row r="17" spans="1:11" ht="15.75" customHeight="1" x14ac:dyDescent="0.25">
      <c r="E17" s="201" t="s">
        <v>1273</v>
      </c>
      <c r="F17" s="202"/>
      <c r="G17" s="58">
        <f>COUNTIF(Tabella1[STATO
PdL], "CHIUSO")</f>
        <v>0</v>
      </c>
      <c r="I17" s="201" t="s">
        <v>1273</v>
      </c>
      <c r="J17" s="202"/>
      <c r="K17" s="58">
        <f>COUNTIF(TabellaBLENDING[STATO
PdL], "CHIUSO")</f>
        <v>0</v>
      </c>
    </row>
    <row r="18" spans="1:11" ht="15.6" customHeight="1" x14ac:dyDescent="0.25">
      <c r="E18" s="201" t="s">
        <v>226</v>
      </c>
      <c r="F18" s="202"/>
      <c r="G18" s="57">
        <f ca="1">COUNTIF(Tabella1[PO], "X")</f>
        <v>1</v>
      </c>
      <c r="I18" s="201" t="s">
        <v>226</v>
      </c>
      <c r="J18" s="202"/>
      <c r="K18" s="57">
        <f ca="1">COUNTIF(TabellaBLENDING[PO], "X")</f>
        <v>5</v>
      </c>
    </row>
    <row r="19" spans="1:11" ht="15.6" customHeight="1" thickBot="1" x14ac:dyDescent="0.3">
      <c r="E19" s="203" t="s">
        <v>360</v>
      </c>
      <c r="F19" s="204"/>
      <c r="G19" s="59">
        <f>COUNTIF(Tabella1[PS], "X")</f>
        <v>1</v>
      </c>
      <c r="I19" s="203" t="s">
        <v>360</v>
      </c>
      <c r="J19" s="204"/>
      <c r="K19" s="59">
        <f>COUNTIF(TabellaBLENDING[PS], "X")</f>
        <v>5</v>
      </c>
    </row>
    <row r="20" spans="1:11" ht="47.25" customHeight="1" thickBot="1" x14ac:dyDescent="0.25"/>
    <row r="21" spans="1:11" ht="15.6" customHeight="1" x14ac:dyDescent="0.3">
      <c r="E21" s="205" t="s">
        <v>261</v>
      </c>
      <c r="F21" s="206"/>
      <c r="G21" s="207"/>
      <c r="I21" s="205" t="s">
        <v>277</v>
      </c>
      <c r="J21" s="206"/>
      <c r="K21" s="207"/>
    </row>
    <row r="22" spans="1:11" ht="15.75" x14ac:dyDescent="0.25">
      <c r="E22" s="208" t="s">
        <v>204</v>
      </c>
      <c r="F22" s="209"/>
      <c r="G22" s="57">
        <f>COUNTIF(Tabella3[STATO
PdL], "RICHIESTO")</f>
        <v>0</v>
      </c>
      <c r="I22" s="208" t="s">
        <v>204</v>
      </c>
      <c r="J22" s="209"/>
      <c r="K22" s="57">
        <f>COUNTIF(QueryGenerale[STATO
PdL], "RICHIESTO")</f>
        <v>1</v>
      </c>
    </row>
    <row r="23" spans="1:11" ht="15.75" x14ac:dyDescent="0.25">
      <c r="E23" s="199" t="s">
        <v>1040</v>
      </c>
      <c r="F23" s="200"/>
      <c r="G23" s="57">
        <f>COUNTIF(Tabella3[STATO
PdL], "EMESSO")</f>
        <v>66</v>
      </c>
      <c r="I23" s="199" t="s">
        <v>1040</v>
      </c>
      <c r="J23" s="200"/>
      <c r="K23" s="57">
        <f>COUNTIF(QueryGenerale[STATO
PdL], "EMESSO")</f>
        <v>217</v>
      </c>
    </row>
    <row r="24" spans="1:11" ht="15.75" customHeight="1" x14ac:dyDescent="0.25">
      <c r="E24" s="201" t="s">
        <v>2342</v>
      </c>
      <c r="F24" s="202"/>
      <c r="G24" s="57">
        <f>COUNTIF(Tabella3[STATO
PdL], "IN CORSO")</f>
        <v>0</v>
      </c>
      <c r="I24" s="201" t="s">
        <v>2342</v>
      </c>
      <c r="J24" s="202"/>
      <c r="K24" s="57">
        <f>COUNTIF(QueryGenerale[STATO
PdL], "IN CORSO")</f>
        <v>0</v>
      </c>
    </row>
    <row r="25" spans="1:11" ht="18.600000000000001" customHeight="1" x14ac:dyDescent="0.25">
      <c r="A25" s="60" t="s">
        <v>993</v>
      </c>
      <c r="B25" s="52" t="s">
        <v>1394</v>
      </c>
      <c r="E25" s="199" t="s">
        <v>1272</v>
      </c>
      <c r="F25" s="200"/>
      <c r="G25" s="57">
        <f>COUNTIF(Tabella3[STATO
PdL], "INTERROTTO")</f>
        <v>65</v>
      </c>
      <c r="I25" s="199" t="s">
        <v>1272</v>
      </c>
      <c r="J25" s="200"/>
      <c r="K25" s="57">
        <f>COUNTIF(QueryGenerale[STATO
PdL], "INTERROTTO")</f>
        <v>105</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201" t="s">
        <v>1258</v>
      </c>
      <c r="F26" s="202"/>
      <c r="G26" s="57">
        <f>COUNTIF(Tabella3[STATO
PdL], "DA CHIUDERE")</f>
        <v>308</v>
      </c>
      <c r="H26" s="54"/>
      <c r="I26" s="201" t="s">
        <v>1258</v>
      </c>
      <c r="J26" s="202"/>
      <c r="K26" s="57">
        <f>COUNTIF(QueryGenerale[STATO
PdL], "DA CHIUDERE")</f>
        <v>761</v>
      </c>
    </row>
    <row r="27" spans="1:11" ht="15.75" customHeight="1" x14ac:dyDescent="0.25">
      <c r="A27" s="60" t="s">
        <v>1393</v>
      </c>
      <c r="E27" s="201" t="s">
        <v>1273</v>
      </c>
      <c r="F27" s="202"/>
      <c r="G27" s="58">
        <f>COUNTIF(Tabella3[STATO
PdL], "CHIUSO")</f>
        <v>0</v>
      </c>
      <c r="I27" s="201" t="s">
        <v>1273</v>
      </c>
      <c r="J27" s="202"/>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201" t="s">
        <v>226</v>
      </c>
      <c r="F28" s="202"/>
      <c r="G28" s="57">
        <f ca="1">COUNTIF(Tabella3[PO], "X")</f>
        <v>6</v>
      </c>
      <c r="I28" s="201" t="s">
        <v>226</v>
      </c>
      <c r="J28" s="202"/>
      <c r="K28" s="57">
        <f>COUNTIF(QueryGenerale[PO], "X")</f>
        <v>19</v>
      </c>
    </row>
    <row r="29" spans="1:11" ht="16.5" customHeight="1" thickBot="1" x14ac:dyDescent="0.3">
      <c r="E29" s="203" t="s">
        <v>360</v>
      </c>
      <c r="F29" s="204"/>
      <c r="G29" s="59">
        <f>COUNTIF(Tabella3[PS], "X")</f>
        <v>7</v>
      </c>
      <c r="I29" s="203" t="s">
        <v>360</v>
      </c>
      <c r="J29" s="204"/>
      <c r="K29" s="59">
        <f>COUNTIF(QueryGenerale[PS], "X")</f>
        <v>20</v>
      </c>
    </row>
  </sheetData>
  <mergeCells count="5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 ref="I1:K1"/>
    <mergeCell ref="I2:J2"/>
    <mergeCell ref="I3:J3"/>
    <mergeCell ref="E1:G1"/>
    <mergeCell ref="E7:F7"/>
    <mergeCell ref="E3:F3"/>
    <mergeCell ref="E4:F4"/>
    <mergeCell ref="E5:F5"/>
    <mergeCell ref="E17:F17"/>
    <mergeCell ref="E18:F18"/>
    <mergeCell ref="E19:F19"/>
    <mergeCell ref="E21:G21"/>
    <mergeCell ref="E22:F22"/>
    <mergeCell ref="E23:F23"/>
    <mergeCell ref="E24:F24"/>
    <mergeCell ref="E25:F25"/>
    <mergeCell ref="E26:F26"/>
    <mergeCell ref="E27:F27"/>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I25:J25"/>
    <mergeCell ref="I26:J26"/>
    <mergeCell ref="I27:J27"/>
    <mergeCell ref="I28:J28"/>
    <mergeCell ref="I29:J29"/>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topLeftCell="A25" workbookViewId="0">
      <selection activeCell="B19" sqref="B19"/>
    </sheetView>
  </sheetViews>
  <sheetFormatPr defaultColWidth="8.75" defaultRowHeight="14.25" x14ac:dyDescent="0.2"/>
  <cols>
    <col min="1" max="1" width="8.75" style="105" bestFit="1" customWidth="1"/>
    <col min="2" max="2" width="156.5" style="107" bestFit="1" customWidth="1"/>
    <col min="3" max="3" width="23"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11" t="s">
        <v>1609</v>
      </c>
      <c r="B1" s="212"/>
      <c r="C1" s="212"/>
      <c r="D1" s="212"/>
      <c r="E1" s="212"/>
      <c r="F1" s="212"/>
      <c r="G1" s="212"/>
      <c r="H1" s="212"/>
      <c r="I1" s="212"/>
      <c r="J1" s="118"/>
      <c r="K1" s="118"/>
      <c r="L1" s="118"/>
      <c r="M1" s="118"/>
      <c r="N1" s="118"/>
      <c r="O1" s="118"/>
      <c r="P1" s="118"/>
      <c r="Q1" s="118"/>
      <c r="R1" s="118"/>
    </row>
    <row r="2" spans="1:19" ht="15" customHeight="1" x14ac:dyDescent="0.2">
      <c r="A2" s="122" t="s">
        <v>1585</v>
      </c>
      <c r="B2" s="123" t="s">
        <v>1586</v>
      </c>
      <c r="C2" s="122" t="s">
        <v>1587</v>
      </c>
      <c r="D2" s="122" t="s">
        <v>1588</v>
      </c>
      <c r="E2" s="122" t="s">
        <v>1589</v>
      </c>
      <c r="F2" s="122" t="s">
        <v>1590</v>
      </c>
      <c r="G2" s="122" t="s">
        <v>1591</v>
      </c>
      <c r="H2" s="122" t="s">
        <v>1592</v>
      </c>
      <c r="I2" s="122" t="s">
        <v>1392</v>
      </c>
      <c r="J2" s="106" t="s">
        <v>1707</v>
      </c>
      <c r="K2" s="122" t="s">
        <v>1705</v>
      </c>
      <c r="L2" s="122" t="s">
        <v>695</v>
      </c>
      <c r="M2" s="122" t="s">
        <v>696</v>
      </c>
      <c r="N2" s="122" t="s">
        <v>1607</v>
      </c>
      <c r="O2" s="122" t="s">
        <v>1420</v>
      </c>
      <c r="P2" s="122" t="s">
        <v>1605</v>
      </c>
      <c r="Q2" s="122" t="s">
        <v>1422</v>
      </c>
      <c r="R2" s="105" t="s">
        <v>1706</v>
      </c>
      <c r="S2" s="124" t="s">
        <v>1597</v>
      </c>
    </row>
    <row r="3" spans="1:19" x14ac:dyDescent="0.2">
      <c r="A3" s="121" t="s">
        <v>3142</v>
      </c>
      <c r="B3" s="172" t="s">
        <v>3143</v>
      </c>
      <c r="C3" s="121" t="s">
        <v>3144</v>
      </c>
      <c r="D3" s="121">
        <v>5400261233</v>
      </c>
      <c r="E3" s="121" t="s">
        <v>3145</v>
      </c>
      <c r="F3" s="121">
        <v>500</v>
      </c>
      <c r="G3" s="121" t="s">
        <v>1719</v>
      </c>
      <c r="H3" s="121" t="s">
        <v>2952</v>
      </c>
      <c r="I3" s="121"/>
      <c r="J3" s="121"/>
      <c r="K3" s="121"/>
      <c r="L3" s="121"/>
      <c r="M3" s="121"/>
      <c r="N3" s="121"/>
      <c r="O3" s="121"/>
      <c r="P3" s="171"/>
      <c r="Q3" s="121"/>
      <c r="R3" s="121"/>
      <c r="S3" s="125"/>
    </row>
    <row r="4" spans="1:19" x14ac:dyDescent="0.2">
      <c r="A4" s="125" t="s">
        <v>3146</v>
      </c>
      <c r="B4" s="125" t="s">
        <v>3147</v>
      </c>
      <c r="C4" s="125" t="s">
        <v>3144</v>
      </c>
      <c r="D4" s="125">
        <v>5400261233</v>
      </c>
      <c r="E4" s="125" t="s">
        <v>3148</v>
      </c>
      <c r="F4" s="125">
        <v>1000</v>
      </c>
      <c r="G4" s="125" t="s">
        <v>1719</v>
      </c>
      <c r="H4" s="125" t="s">
        <v>2952</v>
      </c>
      <c r="I4" s="125"/>
      <c r="J4" s="125"/>
      <c r="K4" s="125"/>
      <c r="L4" s="125"/>
      <c r="M4" s="125"/>
      <c r="N4" s="125"/>
      <c r="O4" s="125"/>
      <c r="P4" s="171"/>
      <c r="Q4" s="125"/>
      <c r="R4" s="125"/>
      <c r="S4" s="125"/>
    </row>
    <row r="5" spans="1:19" x14ac:dyDescent="0.2">
      <c r="A5" s="125" t="s">
        <v>3149</v>
      </c>
      <c r="B5" s="125" t="s">
        <v>3150</v>
      </c>
      <c r="C5" s="125" t="s">
        <v>3144</v>
      </c>
      <c r="D5" s="125">
        <v>5400261233</v>
      </c>
      <c r="E5" s="125" t="s">
        <v>3151</v>
      </c>
      <c r="F5" s="125">
        <v>1000</v>
      </c>
      <c r="G5" s="125" t="s">
        <v>1719</v>
      </c>
      <c r="H5" s="125" t="s">
        <v>2952</v>
      </c>
      <c r="I5" s="125"/>
      <c r="J5" s="125"/>
      <c r="K5" s="125"/>
      <c r="L5" s="125"/>
      <c r="M5" s="125"/>
      <c r="N5" s="125"/>
      <c r="O5" s="125"/>
      <c r="P5" s="171"/>
      <c r="Q5" s="125"/>
      <c r="R5" s="125"/>
      <c r="S5" s="125"/>
    </row>
    <row r="6" spans="1:19" x14ac:dyDescent="0.2">
      <c r="A6" s="125" t="s">
        <v>3152</v>
      </c>
      <c r="B6" s="125" t="s">
        <v>3153</v>
      </c>
      <c r="C6" s="125" t="s">
        <v>1725</v>
      </c>
      <c r="D6" s="125">
        <v>5400261233</v>
      </c>
      <c r="E6" s="125" t="s">
        <v>3154</v>
      </c>
      <c r="F6" s="125">
        <v>900</v>
      </c>
      <c r="G6" s="125" t="s">
        <v>2951</v>
      </c>
      <c r="H6" s="125" t="s">
        <v>2952</v>
      </c>
      <c r="I6" s="125"/>
      <c r="J6" s="125"/>
      <c r="K6" s="125"/>
      <c r="L6" s="125"/>
      <c r="M6" s="125"/>
      <c r="N6" s="125"/>
      <c r="O6" s="125"/>
      <c r="P6" s="125"/>
      <c r="Q6" s="125"/>
      <c r="R6" s="125"/>
      <c r="S6" s="125"/>
    </row>
    <row r="7" spans="1:19" ht="15" customHeight="1" x14ac:dyDescent="0.2">
      <c r="A7" s="125" t="s">
        <v>3155</v>
      </c>
      <c r="B7" s="125" t="s">
        <v>3156</v>
      </c>
      <c r="C7" s="125" t="s">
        <v>1725</v>
      </c>
      <c r="D7" s="125">
        <v>5400261233</v>
      </c>
      <c r="E7" s="125" t="s">
        <v>3157</v>
      </c>
      <c r="F7" s="125">
        <v>100</v>
      </c>
      <c r="G7" s="125" t="s">
        <v>2951</v>
      </c>
      <c r="H7" s="125" t="s">
        <v>2952</v>
      </c>
      <c r="I7" s="125"/>
      <c r="J7" s="125"/>
      <c r="K7" s="125"/>
      <c r="L7" s="125"/>
      <c r="M7" s="125"/>
      <c r="N7" s="125"/>
      <c r="O7" s="125"/>
      <c r="P7" s="125"/>
      <c r="Q7" s="125"/>
      <c r="R7" s="125"/>
      <c r="S7" s="125"/>
    </row>
    <row r="8" spans="1:19" ht="15" customHeight="1" x14ac:dyDescent="0.2">
      <c r="A8" s="125"/>
      <c r="B8" s="125"/>
      <c r="C8" s="125"/>
      <c r="D8" s="125"/>
      <c r="E8" s="125"/>
      <c r="F8" s="125"/>
      <c r="G8" s="125"/>
      <c r="H8" s="125"/>
      <c r="I8" s="125"/>
      <c r="J8" s="125"/>
      <c r="K8" s="125"/>
      <c r="L8" s="125"/>
      <c r="M8" s="125"/>
      <c r="N8" s="125"/>
      <c r="O8" s="125"/>
      <c r="P8" s="125"/>
      <c r="Q8" s="125"/>
      <c r="R8" s="125"/>
      <c r="S8" s="125"/>
    </row>
    <row r="9" spans="1:19" ht="15" customHeight="1" x14ac:dyDescent="0.2">
      <c r="A9" s="125"/>
      <c r="B9" s="125"/>
      <c r="C9" s="125"/>
      <c r="D9" s="125"/>
      <c r="E9" s="125"/>
      <c r="F9" s="125"/>
      <c r="G9" s="125"/>
      <c r="H9" s="125"/>
      <c r="I9" s="125"/>
      <c r="J9" s="125"/>
      <c r="K9" s="125"/>
      <c r="L9" s="125"/>
      <c r="M9" s="125"/>
      <c r="N9" s="125"/>
      <c r="O9" s="125"/>
      <c r="P9" s="125"/>
      <c r="Q9" s="125"/>
      <c r="R9" s="125"/>
      <c r="S9" s="125"/>
    </row>
    <row r="10" spans="1:19" ht="15" customHeight="1" x14ac:dyDescent="0.2">
      <c r="A10" s="125"/>
      <c r="B10" s="125"/>
      <c r="C10" s="125"/>
      <c r="D10" s="125"/>
      <c r="E10" s="125"/>
      <c r="F10" s="125"/>
      <c r="G10" s="125"/>
      <c r="H10" s="125"/>
      <c r="I10" s="125"/>
      <c r="J10" s="125"/>
      <c r="K10" s="125"/>
      <c r="L10" s="125"/>
      <c r="M10" s="125"/>
      <c r="N10" s="125"/>
      <c r="O10" s="125"/>
      <c r="P10" s="125"/>
      <c r="Q10" s="125"/>
      <c r="R10" s="125"/>
      <c r="S10" s="125"/>
    </row>
    <row r="11" spans="1:19" ht="15" customHeight="1" x14ac:dyDescent="0.2">
      <c r="A11" s="125"/>
      <c r="B11" s="125"/>
      <c r="C11" s="125"/>
      <c r="D11" s="125"/>
      <c r="E11" s="125"/>
      <c r="F11" s="125"/>
      <c r="G11" s="125"/>
      <c r="H11" s="125"/>
      <c r="I11" s="125"/>
      <c r="J11" s="125"/>
      <c r="K11" s="125"/>
      <c r="L11" s="125"/>
      <c r="M11" s="125"/>
      <c r="N11" s="125"/>
      <c r="O11" s="125"/>
      <c r="P11" s="125"/>
      <c r="Q11" s="125"/>
      <c r="R11" s="125"/>
      <c r="S11" s="125"/>
    </row>
    <row r="12" spans="1:19" ht="15" customHeight="1" x14ac:dyDescent="0.2">
      <c r="A12" s="125"/>
      <c r="B12" s="125" t="s">
        <v>199</v>
      </c>
      <c r="C12" s="125"/>
      <c r="D12" s="125"/>
      <c r="E12" s="125"/>
      <c r="F12" s="125"/>
      <c r="G12" s="125"/>
      <c r="H12" s="125"/>
      <c r="I12" s="125"/>
      <c r="J12" s="125"/>
      <c r="K12" s="125"/>
      <c r="L12" s="125"/>
      <c r="M12" s="125"/>
      <c r="N12" s="125"/>
      <c r="O12" s="125"/>
      <c r="P12" s="125"/>
      <c r="Q12" s="125"/>
      <c r="R12" s="125"/>
      <c r="S12" s="125"/>
    </row>
    <row r="13" spans="1:19" ht="15" customHeight="1" x14ac:dyDescent="0.2">
      <c r="A13" s="125"/>
      <c r="B13" s="125"/>
      <c r="C13" s="125"/>
      <c r="D13" s="125"/>
      <c r="E13" s="125"/>
      <c r="F13" s="125"/>
      <c r="G13" s="125"/>
      <c r="H13" s="125"/>
      <c r="I13" s="125"/>
      <c r="J13" s="125"/>
      <c r="K13" s="125"/>
      <c r="L13" s="125"/>
      <c r="M13" s="125"/>
      <c r="N13" s="125"/>
      <c r="O13" s="125"/>
      <c r="P13" s="125"/>
      <c r="Q13" s="125"/>
      <c r="R13" s="125"/>
      <c r="S13" s="125"/>
    </row>
    <row r="14" spans="1:19" ht="15" customHeight="1" x14ac:dyDescent="0.2">
      <c r="A14" s="125"/>
      <c r="B14" s="125"/>
      <c r="C14" s="125"/>
      <c r="D14" s="125"/>
      <c r="E14" s="125"/>
      <c r="F14" s="125"/>
      <c r="G14" s="125"/>
      <c r="H14" s="125"/>
      <c r="I14" s="125"/>
      <c r="J14" s="125"/>
      <c r="K14" s="125"/>
      <c r="L14" s="125"/>
      <c r="M14" s="125"/>
      <c r="N14" s="125"/>
      <c r="O14" s="125"/>
      <c r="P14" s="125"/>
      <c r="Q14" s="125"/>
      <c r="R14" s="125"/>
      <c r="S14" s="125"/>
    </row>
    <row r="15" spans="1:19" x14ac:dyDescent="0.2">
      <c r="A15" s="125"/>
      <c r="B15" s="125"/>
      <c r="C15" s="125"/>
      <c r="D15" s="125"/>
      <c r="E15" s="125"/>
      <c r="F15" s="125"/>
      <c r="G15" s="125"/>
      <c r="H15" s="125"/>
      <c r="I15" s="125"/>
      <c r="J15" s="125"/>
      <c r="K15" s="125"/>
      <c r="L15" s="125"/>
      <c r="M15" s="125"/>
      <c r="N15" s="125"/>
      <c r="O15" s="125"/>
      <c r="P15" s="125"/>
      <c r="Q15" s="125"/>
      <c r="R15" s="125"/>
      <c r="S15" s="125"/>
    </row>
    <row r="16" spans="1:19" ht="15" customHeight="1" x14ac:dyDescent="0.2">
      <c r="A16" s="125"/>
      <c r="B16" s="125"/>
      <c r="C16" s="125"/>
      <c r="D16" s="125"/>
      <c r="E16" s="125"/>
      <c r="F16" s="125"/>
      <c r="G16" s="125"/>
      <c r="H16" s="125"/>
      <c r="I16" s="125"/>
      <c r="J16" s="125"/>
      <c r="K16" s="125"/>
      <c r="L16" s="125"/>
      <c r="M16" s="125"/>
      <c r="N16" s="125"/>
      <c r="O16" s="125"/>
      <c r="P16" s="125"/>
      <c r="Q16" s="125"/>
      <c r="R16" s="125"/>
      <c r="S16" s="125"/>
    </row>
    <row r="17" spans="1:19" ht="15" customHeight="1" x14ac:dyDescent="0.2">
      <c r="A17" s="125"/>
      <c r="B17" s="125"/>
      <c r="C17" s="125"/>
      <c r="D17" s="125"/>
      <c r="E17" s="125"/>
      <c r="F17" s="125"/>
      <c r="G17" s="125"/>
      <c r="H17" s="125"/>
      <c r="I17" s="125"/>
      <c r="J17" s="125"/>
      <c r="K17" s="125"/>
      <c r="L17" s="125"/>
      <c r="M17" s="125"/>
      <c r="N17" s="125"/>
      <c r="O17" s="125"/>
      <c r="P17" s="125"/>
      <c r="Q17" s="125"/>
      <c r="R17" s="125"/>
      <c r="S17" s="125"/>
    </row>
    <row r="18" spans="1:19" ht="15" customHeight="1" x14ac:dyDescent="0.2">
      <c r="A18" s="125"/>
      <c r="B18" s="125"/>
      <c r="C18" s="125"/>
      <c r="D18" s="125"/>
      <c r="E18" s="125"/>
      <c r="F18" s="125"/>
      <c r="G18" s="125"/>
      <c r="H18" s="125"/>
      <c r="I18" s="125"/>
      <c r="J18" s="125"/>
      <c r="K18" s="125"/>
      <c r="L18" s="125"/>
      <c r="M18" s="125"/>
      <c r="N18" s="125"/>
      <c r="O18" s="125"/>
      <c r="P18" s="125"/>
      <c r="Q18" s="125"/>
      <c r="R18" s="125"/>
      <c r="S18" s="125"/>
    </row>
    <row r="19" spans="1:19" ht="15" customHeight="1" x14ac:dyDescent="0.2">
      <c r="A19" s="184"/>
      <c r="B19" s="184"/>
      <c r="C19" s="184"/>
      <c r="D19" s="184"/>
      <c r="E19" s="184"/>
      <c r="F19" s="184"/>
      <c r="G19" s="184"/>
      <c r="H19" s="184"/>
      <c r="I19" s="184"/>
      <c r="J19" s="184"/>
      <c r="K19" s="184"/>
      <c r="L19" s="184"/>
      <c r="M19" s="184"/>
      <c r="N19" s="184"/>
      <c r="O19" s="184"/>
      <c r="P19" s="184"/>
      <c r="Q19" s="184"/>
      <c r="R19" s="184"/>
      <c r="S19" s="184"/>
    </row>
    <row r="20" spans="1:19" x14ac:dyDescent="0.2">
      <c r="A20" s="125"/>
      <c r="B20" s="125"/>
      <c r="C20" s="125"/>
      <c r="D20" s="125"/>
      <c r="E20" s="125"/>
      <c r="F20" s="125"/>
      <c r="G20" s="125"/>
      <c r="H20" s="125"/>
      <c r="I20" s="125"/>
      <c r="J20" s="125"/>
      <c r="K20" s="125"/>
      <c r="L20" s="125"/>
      <c r="M20" s="125"/>
      <c r="N20" s="125"/>
      <c r="O20" s="125"/>
      <c r="P20" s="125"/>
      <c r="Q20" s="125"/>
      <c r="R20" s="125"/>
      <c r="S20" s="125"/>
    </row>
    <row r="21" spans="1:19" x14ac:dyDescent="0.2">
      <c r="A21" s="125"/>
      <c r="B21" s="125"/>
      <c r="C21" s="125"/>
      <c r="D21" s="125"/>
      <c r="E21" s="125"/>
      <c r="F21" s="125"/>
      <c r="G21" s="125"/>
      <c r="H21" s="125"/>
      <c r="I21" s="125"/>
      <c r="J21" s="125"/>
      <c r="K21" s="125"/>
      <c r="L21" s="125"/>
      <c r="M21" s="125"/>
      <c r="N21" s="125"/>
      <c r="O21" s="125"/>
      <c r="P21" s="125"/>
      <c r="Q21" s="125"/>
      <c r="R21" s="125"/>
      <c r="S21" s="125"/>
    </row>
    <row r="22" spans="1:19" ht="15" customHeight="1" x14ac:dyDescent="0.2">
      <c r="A22" s="125"/>
      <c r="B22" s="125"/>
      <c r="C22" s="125"/>
      <c r="D22" s="125"/>
      <c r="E22" s="125"/>
      <c r="F22" s="125"/>
      <c r="G22" s="125"/>
      <c r="H22" s="125"/>
      <c r="I22" s="125"/>
      <c r="J22" s="125"/>
      <c r="K22" s="125"/>
      <c r="L22" s="125"/>
      <c r="M22" s="125"/>
      <c r="N22" s="125"/>
      <c r="O22" s="125"/>
      <c r="P22" s="125"/>
      <c r="Q22" s="125"/>
      <c r="R22" s="125"/>
      <c r="S22" s="125"/>
    </row>
    <row r="23" spans="1:19" ht="15" customHeight="1" x14ac:dyDescent="0.2">
      <c r="A23" s="125"/>
      <c r="B23" s="125"/>
      <c r="C23" s="125"/>
      <c r="D23" s="125"/>
      <c r="E23" s="125"/>
      <c r="F23" s="125"/>
      <c r="G23" s="125"/>
      <c r="H23" s="125"/>
      <c r="I23" s="125"/>
      <c r="J23" s="125"/>
      <c r="K23" s="125"/>
      <c r="L23" s="125"/>
      <c r="M23" s="125"/>
      <c r="N23" s="125"/>
      <c r="O23" s="125"/>
      <c r="P23" s="125"/>
      <c r="Q23" s="125"/>
      <c r="R23" s="125"/>
      <c r="S23" s="125"/>
    </row>
    <row r="24" spans="1:19" ht="15" customHeight="1" x14ac:dyDescent="0.2">
      <c r="A24" s="125"/>
      <c r="B24" s="125"/>
      <c r="C24" s="125"/>
      <c r="D24" s="125"/>
      <c r="E24" s="125"/>
      <c r="F24" s="125"/>
      <c r="G24" s="125"/>
      <c r="H24" s="125"/>
      <c r="I24" s="125"/>
      <c r="J24" s="125"/>
      <c r="K24" s="125"/>
      <c r="L24" s="125"/>
      <c r="M24" s="125"/>
      <c r="N24" s="125"/>
      <c r="O24" s="125"/>
      <c r="P24" s="125"/>
      <c r="Q24" s="125"/>
      <c r="R24" s="125"/>
      <c r="S24" s="125"/>
    </row>
    <row r="25" spans="1:19" ht="15" customHeight="1" x14ac:dyDescent="0.2">
      <c r="A25" s="125"/>
      <c r="B25" s="125"/>
      <c r="C25" s="125"/>
      <c r="D25" s="125"/>
      <c r="E25" s="125"/>
      <c r="F25" s="125"/>
      <c r="G25" s="125"/>
      <c r="H25" s="125"/>
      <c r="I25" s="125"/>
      <c r="J25" s="125"/>
      <c r="K25" s="125"/>
      <c r="L25" s="125"/>
      <c r="M25" s="125"/>
      <c r="N25" s="125"/>
      <c r="O25" s="125"/>
      <c r="P25" s="125"/>
      <c r="Q25" s="125"/>
      <c r="R25" s="125"/>
      <c r="S25" s="125"/>
    </row>
    <row r="26" spans="1:19" x14ac:dyDescent="0.2">
      <c r="A26" s="125"/>
      <c r="B26" s="125"/>
      <c r="C26" s="125"/>
      <c r="D26" s="125"/>
      <c r="E26" s="125"/>
      <c r="F26" s="125"/>
      <c r="G26" s="125"/>
      <c r="H26" s="125"/>
      <c r="I26" s="125"/>
      <c r="J26" s="125"/>
      <c r="K26" s="125"/>
      <c r="L26" s="125"/>
      <c r="M26" s="125"/>
      <c r="N26" s="125"/>
      <c r="O26" s="125"/>
      <c r="P26" s="125"/>
      <c r="Q26" s="125"/>
      <c r="R26" s="125"/>
      <c r="S26" s="125"/>
    </row>
    <row r="27" spans="1:19" x14ac:dyDescent="0.2">
      <c r="A27" s="125"/>
      <c r="B27" s="125"/>
      <c r="C27" s="125"/>
      <c r="D27" s="125"/>
      <c r="E27" s="125"/>
      <c r="F27" s="125"/>
      <c r="G27" s="125"/>
      <c r="H27" s="125"/>
      <c r="I27" s="125"/>
      <c r="J27" s="125"/>
      <c r="K27" s="125"/>
      <c r="L27" s="125"/>
      <c r="M27" s="125"/>
      <c r="N27" s="125"/>
      <c r="O27" s="125"/>
      <c r="P27" s="125"/>
      <c r="Q27" s="125"/>
      <c r="R27" s="125"/>
      <c r="S27" s="125"/>
    </row>
    <row r="28" spans="1:19" x14ac:dyDescent="0.2">
      <c r="A28" s="125"/>
      <c r="B28" s="125"/>
      <c r="C28" s="125"/>
      <c r="D28" s="125"/>
      <c r="E28" s="125"/>
      <c r="F28" s="125"/>
      <c r="G28" s="125"/>
      <c r="H28" s="125"/>
      <c r="I28" s="125"/>
      <c r="J28" s="125"/>
      <c r="K28" s="125"/>
      <c r="L28" s="125"/>
      <c r="M28" s="125"/>
      <c r="N28" s="125"/>
      <c r="O28" s="125"/>
      <c r="P28" s="125"/>
      <c r="Q28" s="125"/>
      <c r="R28" s="125"/>
      <c r="S28" s="125"/>
    </row>
    <row r="29" spans="1:19" x14ac:dyDescent="0.2">
      <c r="A29" s="125"/>
      <c r="B29" s="125"/>
      <c r="C29" s="125"/>
      <c r="D29" s="125"/>
      <c r="E29" s="125"/>
      <c r="F29" s="125"/>
      <c r="G29" s="125"/>
      <c r="H29" s="125"/>
      <c r="I29" s="125"/>
      <c r="J29" s="125"/>
      <c r="K29" s="125"/>
      <c r="L29" s="125"/>
      <c r="M29" s="125"/>
      <c r="N29" s="125"/>
      <c r="O29" s="125"/>
      <c r="P29" s="125"/>
      <c r="Q29" s="125"/>
      <c r="R29" s="125"/>
      <c r="S29" s="125"/>
    </row>
    <row r="30" spans="1:19" x14ac:dyDescent="0.2">
      <c r="A30" s="125"/>
      <c r="B30" s="125"/>
      <c r="C30" s="125"/>
      <c r="D30" s="125"/>
      <c r="E30" s="125"/>
      <c r="F30" s="125"/>
      <c r="G30" s="125"/>
      <c r="H30" s="125"/>
      <c r="I30" s="125"/>
      <c r="J30" s="125"/>
      <c r="K30" s="125"/>
      <c r="L30" s="125"/>
      <c r="M30" s="125"/>
      <c r="N30" s="125"/>
      <c r="O30" s="125"/>
      <c r="P30" s="125"/>
      <c r="Q30" s="125"/>
      <c r="R30" s="125"/>
      <c r="S30" s="125"/>
    </row>
    <row r="31" spans="1:19" x14ac:dyDescent="0.2">
      <c r="A31" s="121"/>
      <c r="B31" s="121"/>
      <c r="C31" s="121"/>
      <c r="D31" s="121"/>
      <c r="E31" s="121"/>
      <c r="F31" s="121"/>
      <c r="G31" s="121"/>
      <c r="H31" s="121"/>
      <c r="I31" s="121"/>
      <c r="J31" s="121"/>
      <c r="K31" s="121"/>
      <c r="L31" s="121"/>
      <c r="M31" s="121"/>
      <c r="N31" s="121"/>
      <c r="O31" s="121"/>
      <c r="P31" s="121"/>
      <c r="Q31" s="121"/>
      <c r="R31" s="121"/>
      <c r="S31" s="121"/>
    </row>
    <row r="32" spans="1:19" x14ac:dyDescent="0.2">
      <c r="A32" s="121"/>
      <c r="B32" s="121"/>
      <c r="C32" s="121"/>
      <c r="D32" s="121"/>
      <c r="E32" s="121"/>
      <c r="F32" s="121"/>
      <c r="G32" s="121"/>
      <c r="H32" s="121"/>
      <c r="I32" s="121"/>
      <c r="J32" s="121"/>
      <c r="K32" s="121"/>
      <c r="L32" s="121"/>
      <c r="M32" s="121"/>
      <c r="N32" s="121"/>
      <c r="O32" s="121"/>
      <c r="P32" s="121"/>
      <c r="Q32" s="121"/>
      <c r="R32" s="121"/>
      <c r="S32" s="121"/>
    </row>
    <row r="33" spans="1:19" x14ac:dyDescent="0.2">
      <c r="A33" s="121"/>
      <c r="B33" s="121"/>
      <c r="C33" s="121"/>
      <c r="D33" s="121"/>
      <c r="E33" s="121"/>
      <c r="F33" s="121"/>
      <c r="G33" s="121"/>
      <c r="H33" s="121"/>
      <c r="I33" s="121"/>
      <c r="J33" s="121"/>
      <c r="K33" s="121"/>
      <c r="L33" s="121"/>
      <c r="M33" s="121"/>
      <c r="N33" s="121"/>
      <c r="O33" s="121"/>
      <c r="P33" s="121"/>
      <c r="Q33" s="121"/>
      <c r="R33" s="121"/>
      <c r="S33" s="121"/>
    </row>
    <row r="34" spans="1:19" x14ac:dyDescent="0.2">
      <c r="A34" s="121"/>
      <c r="B34" s="121"/>
      <c r="C34" s="121"/>
      <c r="D34" s="121"/>
      <c r="E34" s="121"/>
      <c r="F34" s="121"/>
      <c r="G34" s="121"/>
      <c r="H34" s="121"/>
      <c r="I34" s="121"/>
      <c r="J34" s="121"/>
      <c r="K34" s="121"/>
      <c r="L34" s="121"/>
      <c r="M34" s="121"/>
      <c r="N34" s="121"/>
      <c r="O34" s="121"/>
      <c r="P34" s="121"/>
      <c r="Q34" s="121"/>
      <c r="R34" s="121"/>
      <c r="S34" s="121"/>
    </row>
    <row r="35" spans="1:19" x14ac:dyDescent="0.2">
      <c r="A35" s="121"/>
      <c r="B35" s="121"/>
      <c r="C35" s="121"/>
      <c r="D35" s="121"/>
      <c r="E35" s="121"/>
      <c r="F35" s="121"/>
      <c r="G35" s="121"/>
      <c r="H35" s="121"/>
      <c r="I35" s="121"/>
      <c r="J35" s="121"/>
      <c r="K35" s="121"/>
      <c r="L35" s="121"/>
      <c r="M35" s="121"/>
      <c r="N35" s="121"/>
      <c r="O35" s="121"/>
      <c r="P35" s="121"/>
      <c r="Q35" s="121"/>
      <c r="R35" s="121"/>
      <c r="S35" s="121"/>
    </row>
    <row r="36" spans="1:19" x14ac:dyDescent="0.2">
      <c r="A36" s="121"/>
      <c r="B36" s="121"/>
      <c r="C36" s="121"/>
      <c r="D36" s="121"/>
      <c r="E36" s="121"/>
      <c r="F36" s="121"/>
      <c r="G36" s="121"/>
      <c r="H36" s="121"/>
      <c r="I36" s="121"/>
      <c r="J36" s="121"/>
      <c r="K36" s="121"/>
      <c r="L36" s="121"/>
      <c r="M36" s="121"/>
      <c r="N36" s="121"/>
      <c r="O36" s="121"/>
      <c r="P36" s="121"/>
      <c r="Q36" s="121"/>
      <c r="R36" s="121"/>
      <c r="S36" s="121"/>
    </row>
    <row r="37" spans="1:19" x14ac:dyDescent="0.2">
      <c r="A37" s="121"/>
      <c r="B37" s="121"/>
      <c r="C37" s="121"/>
      <c r="D37" s="121"/>
      <c r="E37" s="121"/>
      <c r="F37" s="121"/>
      <c r="G37" s="121"/>
      <c r="H37" s="121"/>
      <c r="I37" s="121"/>
      <c r="J37" s="121"/>
      <c r="K37" s="121"/>
      <c r="L37" s="121"/>
      <c r="M37" s="121"/>
      <c r="N37" s="121"/>
      <c r="O37" s="121"/>
      <c r="P37" s="121"/>
      <c r="Q37" s="121"/>
      <c r="R37" s="121"/>
      <c r="S37" s="121"/>
    </row>
    <row r="38" spans="1:19" x14ac:dyDescent="0.2">
      <c r="A38" s="121"/>
      <c r="B38" s="121"/>
      <c r="C38" s="121"/>
      <c r="D38" s="121"/>
      <c r="E38" s="121"/>
      <c r="F38" s="121"/>
      <c r="G38" s="121"/>
      <c r="H38" s="121"/>
      <c r="I38" s="121"/>
      <c r="J38" s="121"/>
      <c r="K38" s="121"/>
      <c r="L38" s="121"/>
      <c r="M38" s="121"/>
      <c r="N38" s="121"/>
      <c r="O38" s="121"/>
      <c r="P38" s="121"/>
      <c r="Q38" s="121"/>
      <c r="R38" s="121"/>
      <c r="S38" s="121"/>
    </row>
    <row r="39" spans="1:19" x14ac:dyDescent="0.2">
      <c r="A39" s="121" t="s">
        <v>2517</v>
      </c>
      <c r="B39" s="121" t="s">
        <v>2278</v>
      </c>
      <c r="C39" s="121" t="s">
        <v>2518</v>
      </c>
      <c r="D39" s="121">
        <v>5400251870</v>
      </c>
      <c r="E39" s="121" t="s">
        <v>2279</v>
      </c>
      <c r="F39" s="121">
        <v>500</v>
      </c>
      <c r="G39" s="121" t="s">
        <v>1719</v>
      </c>
      <c r="H39" s="121" t="s">
        <v>1718</v>
      </c>
      <c r="I39" s="121"/>
      <c r="J39" s="121"/>
      <c r="K39" s="121"/>
      <c r="L39" s="121"/>
      <c r="M39" s="121"/>
      <c r="N39" s="121"/>
      <c r="O39" s="121"/>
      <c r="P39" s="121"/>
      <c r="Q39" s="121"/>
      <c r="R39" s="121"/>
      <c r="S39" s="121" t="s">
        <v>1408</v>
      </c>
    </row>
    <row r="40" spans="1:19" x14ac:dyDescent="0.2">
      <c r="A40" s="121" t="s">
        <v>2509</v>
      </c>
      <c r="B40" s="121" t="s">
        <v>2510</v>
      </c>
      <c r="C40" s="121"/>
      <c r="D40" s="121"/>
      <c r="E40" s="121"/>
      <c r="F40" s="121"/>
      <c r="G40" s="121"/>
      <c r="H40" s="121"/>
      <c r="I40" s="121"/>
      <c r="J40" s="121"/>
      <c r="K40" s="121"/>
      <c r="L40" s="121"/>
      <c r="M40" s="121"/>
      <c r="N40" s="121"/>
      <c r="O40" s="121"/>
      <c r="P40" s="121"/>
      <c r="Q40" s="121"/>
      <c r="R40" s="121"/>
      <c r="S40" s="121" t="s">
        <v>1408</v>
      </c>
    </row>
    <row r="41" spans="1:19" x14ac:dyDescent="0.2">
      <c r="A41" s="121" t="s">
        <v>2670</v>
      </c>
      <c r="B41" s="121" t="s">
        <v>2671</v>
      </c>
      <c r="C41" s="121" t="s">
        <v>2469</v>
      </c>
      <c r="D41" s="121">
        <v>5400245426</v>
      </c>
      <c r="E41" s="121" t="s">
        <v>2319</v>
      </c>
      <c r="F41" s="121" t="s">
        <v>1677</v>
      </c>
      <c r="G41" s="121" t="s">
        <v>1678</v>
      </c>
      <c r="H41" s="121" t="s">
        <v>1676</v>
      </c>
      <c r="I41" s="121"/>
      <c r="J41" s="121"/>
      <c r="K41" s="121"/>
      <c r="L41" s="121"/>
      <c r="M41" s="121"/>
      <c r="N41" s="121"/>
      <c r="O41" s="121"/>
      <c r="P41" s="121"/>
      <c r="Q41" s="121"/>
      <c r="R41" s="121"/>
      <c r="S41" s="121" t="s">
        <v>2672</v>
      </c>
    </row>
    <row r="42" spans="1:19" x14ac:dyDescent="0.2">
      <c r="A42" s="121" t="s">
        <v>2704</v>
      </c>
      <c r="B42" s="121" t="s">
        <v>2705</v>
      </c>
      <c r="C42" s="121" t="s">
        <v>1610</v>
      </c>
      <c r="D42" s="121" t="s">
        <v>2703</v>
      </c>
      <c r="E42" s="121" t="s">
        <v>2706</v>
      </c>
      <c r="F42" s="121">
        <v>2100</v>
      </c>
      <c r="G42" s="121" t="s">
        <v>2707</v>
      </c>
      <c r="H42" s="121" t="s">
        <v>1676</v>
      </c>
      <c r="I42" s="121"/>
      <c r="J42" s="121"/>
      <c r="K42" s="121"/>
      <c r="L42" s="121"/>
      <c r="M42" s="121"/>
      <c r="N42" s="121"/>
      <c r="O42" s="121"/>
      <c r="P42" s="121"/>
      <c r="Q42" s="121"/>
      <c r="R42" s="121"/>
      <c r="S42" s="121" t="s">
        <v>2672</v>
      </c>
    </row>
    <row r="43" spans="1:19" x14ac:dyDescent="0.2">
      <c r="A43" s="121" t="s">
        <v>2679</v>
      </c>
      <c r="B43" s="121" t="s">
        <v>2680</v>
      </c>
      <c r="C43" s="121" t="s">
        <v>2681</v>
      </c>
      <c r="D43" s="121">
        <v>5400251870</v>
      </c>
      <c r="E43" s="121" t="s">
        <v>2279</v>
      </c>
      <c r="F43" s="121">
        <v>500</v>
      </c>
      <c r="G43" s="121" t="s">
        <v>1719</v>
      </c>
      <c r="H43" s="121" t="s">
        <v>1718</v>
      </c>
      <c r="I43" s="121"/>
      <c r="J43" s="121"/>
      <c r="K43" s="121"/>
      <c r="L43" s="121"/>
      <c r="M43" s="121"/>
      <c r="N43" s="121"/>
      <c r="O43" s="121"/>
      <c r="P43" s="121"/>
      <c r="Q43" s="121"/>
      <c r="R43" s="121"/>
      <c r="S43" s="121" t="s">
        <v>2672</v>
      </c>
    </row>
    <row r="44" spans="1:19" x14ac:dyDescent="0.2">
      <c r="A44" s="121" t="s">
        <v>2725</v>
      </c>
      <c r="B44" s="121" t="s">
        <v>2726</v>
      </c>
      <c r="C44" s="121" t="s">
        <v>1610</v>
      </c>
      <c r="D44" s="121" t="s">
        <v>2703</v>
      </c>
      <c r="E44" s="121" t="s">
        <v>2727</v>
      </c>
      <c r="F44" s="121">
        <v>4900</v>
      </c>
      <c r="G44" s="121" t="s">
        <v>2728</v>
      </c>
      <c r="H44" s="121" t="s">
        <v>1676</v>
      </c>
      <c r="I44" s="121"/>
      <c r="J44" s="121"/>
      <c r="K44" s="121"/>
      <c r="L44" s="121"/>
      <c r="M44" s="121"/>
      <c r="N44" s="121"/>
      <c r="O44" s="121"/>
      <c r="P44" s="121"/>
      <c r="Q44" s="121"/>
      <c r="R44" s="121"/>
      <c r="S44" s="121" t="s">
        <v>2672</v>
      </c>
    </row>
    <row r="45" spans="1:19" x14ac:dyDescent="0.2">
      <c r="A45" s="121" t="s">
        <v>2557</v>
      </c>
      <c r="B45" s="121" t="s">
        <v>2558</v>
      </c>
      <c r="C45" s="121" t="s">
        <v>1725</v>
      </c>
      <c r="D45" s="121">
        <v>5400259470</v>
      </c>
      <c r="E45" s="121" t="s">
        <v>2781</v>
      </c>
      <c r="F45" s="121">
        <v>6300</v>
      </c>
      <c r="G45" s="121" t="s">
        <v>1726</v>
      </c>
      <c r="H45" s="121" t="s">
        <v>1596</v>
      </c>
      <c r="I45" s="121"/>
      <c r="J45" s="121"/>
      <c r="K45" s="121"/>
      <c r="L45" s="121"/>
      <c r="M45" s="121"/>
      <c r="N45" s="121"/>
      <c r="O45" s="121"/>
      <c r="P45" s="121"/>
      <c r="Q45" s="121"/>
      <c r="R45" s="121"/>
      <c r="S45" s="121" t="s">
        <v>1408</v>
      </c>
    </row>
    <row r="46" spans="1:19" x14ac:dyDescent="0.2">
      <c r="A46" s="121" t="s">
        <v>2792</v>
      </c>
      <c r="B46" s="121"/>
      <c r="C46" s="121"/>
      <c r="D46" s="121"/>
      <c r="E46" s="121"/>
      <c r="F46" s="121"/>
      <c r="G46" s="121"/>
      <c r="H46" s="121"/>
      <c r="I46" s="121"/>
      <c r="J46" s="121"/>
      <c r="K46" s="121"/>
      <c r="L46" s="121"/>
      <c r="M46" s="121"/>
      <c r="N46" s="121"/>
      <c r="O46" s="121"/>
      <c r="P46" s="121"/>
      <c r="Q46" s="121"/>
      <c r="R46" s="121"/>
      <c r="S46" s="121" t="s">
        <v>1408</v>
      </c>
    </row>
    <row r="47" spans="1:19" x14ac:dyDescent="0.2">
      <c r="A47" s="121" t="s">
        <v>2811</v>
      </c>
      <c r="B47" s="121"/>
      <c r="C47" s="121"/>
      <c r="D47" s="121"/>
      <c r="E47" s="121"/>
      <c r="F47" s="121"/>
      <c r="G47" s="121"/>
      <c r="H47" s="121"/>
      <c r="I47" s="121"/>
      <c r="J47" s="121"/>
      <c r="K47" s="121"/>
      <c r="L47" s="121"/>
      <c r="M47" s="121"/>
      <c r="N47" s="121"/>
      <c r="O47" s="121"/>
      <c r="P47" s="121"/>
      <c r="Q47" s="121"/>
      <c r="R47" s="121"/>
      <c r="S47" s="121" t="s">
        <v>1408</v>
      </c>
    </row>
    <row r="48" spans="1:19" x14ac:dyDescent="0.2">
      <c r="A48" s="121" t="s">
        <v>2799</v>
      </c>
      <c r="B48" s="121"/>
      <c r="C48" s="121"/>
      <c r="D48" s="121"/>
      <c r="E48" s="121"/>
      <c r="F48" s="121"/>
      <c r="G48" s="121"/>
      <c r="H48" s="121"/>
      <c r="I48" s="121"/>
      <c r="J48" s="121"/>
      <c r="K48" s="121"/>
      <c r="L48" s="121"/>
      <c r="M48" s="121"/>
      <c r="N48" s="121"/>
      <c r="O48" s="121"/>
      <c r="P48" s="121"/>
      <c r="Q48" s="121"/>
      <c r="R48" s="121"/>
      <c r="S48" s="121" t="s">
        <v>1408</v>
      </c>
    </row>
    <row r="49" spans="1:19" x14ac:dyDescent="0.2">
      <c r="A49" s="121" t="s">
        <v>2849</v>
      </c>
      <c r="B49" s="121" t="s">
        <v>2850</v>
      </c>
      <c r="C49" s="121" t="s">
        <v>1725</v>
      </c>
      <c r="D49" s="121">
        <v>5400251870</v>
      </c>
      <c r="E49" s="121" t="s">
        <v>2851</v>
      </c>
      <c r="F49" s="121">
        <v>500</v>
      </c>
      <c r="G49" s="121" t="s">
        <v>1719</v>
      </c>
      <c r="H49" s="121" t="s">
        <v>1718</v>
      </c>
      <c r="I49" s="121"/>
      <c r="J49" s="121"/>
      <c r="K49" s="121"/>
      <c r="L49" s="121"/>
      <c r="M49" s="121"/>
      <c r="N49" s="121"/>
      <c r="O49" s="121"/>
      <c r="P49" s="121"/>
      <c r="Q49" s="121"/>
      <c r="R49" s="121"/>
      <c r="S49" s="121" t="s">
        <v>2672</v>
      </c>
    </row>
    <row r="50" spans="1:19" x14ac:dyDescent="0.2">
      <c r="A50" s="121" t="s">
        <v>2948</v>
      </c>
      <c r="B50" s="121" t="s">
        <v>2949</v>
      </c>
      <c r="C50" s="121" t="s">
        <v>2681</v>
      </c>
      <c r="D50" s="121">
        <v>5400262073</v>
      </c>
      <c r="E50" s="121" t="s">
        <v>2950</v>
      </c>
      <c r="F50" s="121">
        <v>100</v>
      </c>
      <c r="G50" s="121" t="s">
        <v>2951</v>
      </c>
      <c r="H50" s="121" t="s">
        <v>2952</v>
      </c>
      <c r="I50" s="121"/>
      <c r="J50" s="121"/>
      <c r="K50" s="121"/>
      <c r="L50" s="121"/>
      <c r="M50" s="121"/>
      <c r="N50" s="121"/>
      <c r="O50" s="121"/>
      <c r="P50" s="121"/>
      <c r="Q50" s="121"/>
      <c r="R50" s="121"/>
      <c r="S50" s="121" t="s">
        <v>1408</v>
      </c>
    </row>
    <row r="51" spans="1:19" x14ac:dyDescent="0.2">
      <c r="A51" s="121" t="s">
        <v>2947</v>
      </c>
      <c r="B51" s="121" t="s">
        <v>2945</v>
      </c>
      <c r="C51" s="121" t="s">
        <v>1725</v>
      </c>
      <c r="D51" s="121" t="s">
        <v>2703</v>
      </c>
      <c r="E51" s="121" t="s">
        <v>2946</v>
      </c>
      <c r="F51" s="121">
        <v>1200</v>
      </c>
      <c r="G51" s="121" t="s">
        <v>1675</v>
      </c>
      <c r="H51" s="121" t="s">
        <v>1676</v>
      </c>
      <c r="I51" s="121"/>
      <c r="J51" s="121"/>
      <c r="K51" s="121"/>
      <c r="L51" s="121"/>
      <c r="M51" s="121"/>
      <c r="N51" s="121"/>
      <c r="O51" s="121"/>
      <c r="P51" s="121"/>
      <c r="Q51" s="121"/>
      <c r="R51" s="121"/>
      <c r="S51" s="121" t="s">
        <v>1408</v>
      </c>
    </row>
    <row r="52" spans="1:19" x14ac:dyDescent="0.2">
      <c r="A52" s="121" t="s">
        <v>2976</v>
      </c>
      <c r="B52" s="121" t="s">
        <v>2977</v>
      </c>
      <c r="C52" s="121" t="s">
        <v>1610</v>
      </c>
      <c r="D52" s="121" t="s">
        <v>1707</v>
      </c>
      <c r="E52" s="121" t="s">
        <v>2978</v>
      </c>
      <c r="F52" s="121">
        <v>4000</v>
      </c>
      <c r="G52" s="121" t="s">
        <v>2728</v>
      </c>
      <c r="H52" s="121" t="s">
        <v>2729</v>
      </c>
      <c r="I52" s="121"/>
      <c r="J52" s="121"/>
      <c r="K52" s="121"/>
      <c r="L52" s="121"/>
      <c r="M52" s="121"/>
      <c r="N52" s="121"/>
      <c r="O52" s="121"/>
      <c r="P52" s="121"/>
      <c r="Q52" s="121"/>
      <c r="R52" s="121"/>
      <c r="S52" s="121" t="s">
        <v>2672</v>
      </c>
    </row>
    <row r="53" spans="1:19" x14ac:dyDescent="0.2">
      <c r="A53" s="121" t="s">
        <v>2999</v>
      </c>
      <c r="B53" s="121" t="s">
        <v>3000</v>
      </c>
      <c r="C53" s="121" t="s">
        <v>1725</v>
      </c>
      <c r="D53" s="121" t="s">
        <v>3001</v>
      </c>
      <c r="E53" s="121" t="s">
        <v>3002</v>
      </c>
      <c r="F53" s="121" t="s">
        <v>3003</v>
      </c>
      <c r="G53" s="121" t="s">
        <v>3002</v>
      </c>
      <c r="H53" s="121" t="s">
        <v>1676</v>
      </c>
      <c r="I53" s="121"/>
      <c r="J53" s="121"/>
      <c r="K53" s="121"/>
      <c r="L53" s="121"/>
      <c r="M53" s="121"/>
      <c r="N53" s="121"/>
      <c r="O53" s="121"/>
      <c r="P53" s="121"/>
      <c r="Q53" s="121"/>
      <c r="R53" s="121"/>
      <c r="S53" s="121" t="s">
        <v>2672</v>
      </c>
    </row>
    <row r="54" spans="1:19" x14ac:dyDescent="0.2">
      <c r="A54" s="121" t="s">
        <v>3048</v>
      </c>
      <c r="B54" s="172" t="s">
        <v>3049</v>
      </c>
      <c r="C54" s="121" t="s">
        <v>2681</v>
      </c>
      <c r="D54" s="121">
        <v>5400261235</v>
      </c>
      <c r="E54" s="121" t="s">
        <v>3050</v>
      </c>
      <c r="F54" s="121" t="s">
        <v>1595</v>
      </c>
      <c r="G54" s="121" t="s">
        <v>1726</v>
      </c>
      <c r="H54" s="121" t="s">
        <v>1596</v>
      </c>
      <c r="I54" s="121"/>
      <c r="J54" s="121"/>
      <c r="K54" s="121"/>
      <c r="L54" s="121"/>
      <c r="M54" s="121"/>
      <c r="N54" s="121"/>
      <c r="O54" s="121"/>
      <c r="P54" s="121"/>
      <c r="Q54" s="121"/>
      <c r="R54" s="121"/>
      <c r="S54" s="121" t="s">
        <v>2672</v>
      </c>
    </row>
    <row r="55" spans="1:19" x14ac:dyDescent="0.2">
      <c r="A55" s="121" t="s">
        <v>3098</v>
      </c>
      <c r="B55" s="121" t="s">
        <v>3099</v>
      </c>
      <c r="C55" s="121" t="s">
        <v>2681</v>
      </c>
      <c r="D55" s="121">
        <v>5400261992</v>
      </c>
      <c r="E55" s="121" t="s">
        <v>3095</v>
      </c>
      <c r="F55" s="121">
        <v>1800</v>
      </c>
      <c r="G55" s="121" t="s">
        <v>1675</v>
      </c>
      <c r="H55" s="121" t="s">
        <v>1718</v>
      </c>
      <c r="I55" s="121"/>
      <c r="J55" s="121"/>
      <c r="K55" s="121"/>
      <c r="L55" s="121"/>
      <c r="M55" s="121"/>
      <c r="N55" s="121"/>
      <c r="O55" s="121"/>
      <c r="P55" s="121"/>
      <c r="Q55" s="121"/>
      <c r="R55" s="121"/>
      <c r="S55" s="121" t="s">
        <v>2672</v>
      </c>
    </row>
    <row r="56" spans="1:19" x14ac:dyDescent="0.2">
      <c r="A56" s="121" t="s">
        <v>3096</v>
      </c>
      <c r="B56" s="121" t="s">
        <v>3097</v>
      </c>
      <c r="C56" s="121" t="s">
        <v>2681</v>
      </c>
      <c r="D56" s="121">
        <v>5400261992</v>
      </c>
      <c r="E56" s="121" t="s">
        <v>3095</v>
      </c>
      <c r="F56" s="121">
        <v>1800</v>
      </c>
      <c r="G56" s="121" t="s">
        <v>1675</v>
      </c>
      <c r="H56" s="121" t="s">
        <v>1718</v>
      </c>
      <c r="I56" s="121"/>
      <c r="J56" s="121"/>
      <c r="K56" s="121"/>
      <c r="L56" s="121"/>
      <c r="M56" s="121"/>
      <c r="N56" s="121"/>
      <c r="O56" s="121"/>
      <c r="P56" s="121"/>
      <c r="Q56" s="121"/>
      <c r="R56" s="121"/>
      <c r="S56" s="121" t="s">
        <v>2672</v>
      </c>
    </row>
    <row r="57" spans="1:19" x14ac:dyDescent="0.2">
      <c r="A57" s="121" t="s">
        <v>3093</v>
      </c>
      <c r="B57" s="121" t="s">
        <v>3094</v>
      </c>
      <c r="C57" s="121" t="s">
        <v>2681</v>
      </c>
      <c r="D57" s="121">
        <v>5400261992</v>
      </c>
      <c r="E57" s="121" t="s">
        <v>3095</v>
      </c>
      <c r="F57" s="121">
        <v>1800</v>
      </c>
      <c r="G57" s="121" t="s">
        <v>1675</v>
      </c>
      <c r="H57" s="121" t="s">
        <v>1718</v>
      </c>
      <c r="I57" s="121"/>
      <c r="J57" s="121"/>
      <c r="K57" s="121"/>
      <c r="L57" s="121"/>
      <c r="M57" s="121"/>
      <c r="N57" s="121"/>
      <c r="O57" s="121"/>
      <c r="P57" s="121"/>
      <c r="Q57" s="121"/>
      <c r="R57" s="121"/>
      <c r="S57" s="121" t="s">
        <v>2672</v>
      </c>
    </row>
    <row r="58" spans="1:19" x14ac:dyDescent="0.2">
      <c r="A58" s="121"/>
      <c r="B58" s="121"/>
      <c r="C58" s="121"/>
      <c r="D58" s="121"/>
      <c r="E58" s="121"/>
      <c r="F58" s="121"/>
      <c r="G58" s="121"/>
      <c r="H58" s="121"/>
      <c r="I58" s="121"/>
      <c r="J58" s="121"/>
      <c r="K58" s="121"/>
      <c r="L58" s="121"/>
      <c r="M58" s="121"/>
      <c r="N58" s="121"/>
      <c r="O58" s="121"/>
      <c r="P58" s="121"/>
      <c r="Q58" s="121"/>
      <c r="R58" s="121"/>
      <c r="S58" s="121"/>
    </row>
    <row r="59" spans="1:19" x14ac:dyDescent="0.2">
      <c r="A59" s="121"/>
      <c r="B59" s="121"/>
      <c r="C59" s="121"/>
      <c r="D59" s="121"/>
      <c r="E59" s="121"/>
      <c r="F59" s="121"/>
      <c r="G59" s="121"/>
      <c r="H59" s="121"/>
      <c r="I59" s="121"/>
      <c r="J59" s="121"/>
      <c r="K59" s="121"/>
      <c r="L59" s="121"/>
      <c r="M59" s="121"/>
      <c r="N59" s="121"/>
      <c r="O59" s="121"/>
      <c r="P59" s="121"/>
      <c r="Q59" s="121"/>
      <c r="R59" s="121"/>
      <c r="S59" s="121"/>
    </row>
    <row r="60" spans="1:19" x14ac:dyDescent="0.2">
      <c r="A60" s="121"/>
      <c r="B60" s="121"/>
      <c r="C60" s="121"/>
      <c r="D60" s="121"/>
      <c r="E60" s="121"/>
      <c r="F60" s="121"/>
      <c r="G60" s="121"/>
      <c r="H60" s="121"/>
      <c r="I60" s="121"/>
      <c r="J60" s="121"/>
      <c r="K60" s="121"/>
      <c r="L60" s="121"/>
      <c r="M60" s="121"/>
      <c r="N60" s="121"/>
      <c r="O60" s="121"/>
      <c r="P60" s="121"/>
      <c r="Q60" s="121"/>
      <c r="R60" s="121"/>
      <c r="S60" s="121"/>
    </row>
    <row r="61" spans="1:19" x14ac:dyDescent="0.2">
      <c r="A61" s="121"/>
      <c r="B61" s="121"/>
      <c r="C61" s="121"/>
      <c r="D61" s="121"/>
      <c r="E61" s="121"/>
      <c r="F61" s="121"/>
      <c r="G61" s="121"/>
      <c r="H61" s="121"/>
      <c r="I61" s="121"/>
      <c r="J61" s="121"/>
      <c r="K61" s="121"/>
      <c r="L61" s="121"/>
      <c r="M61" s="121"/>
      <c r="N61" s="121"/>
      <c r="O61" s="121"/>
      <c r="P61" s="121"/>
      <c r="Q61" s="121"/>
      <c r="R61" s="121"/>
      <c r="S61" s="121"/>
    </row>
    <row r="62" spans="1:19" x14ac:dyDescent="0.2">
      <c r="A62" s="121"/>
      <c r="B62" s="121"/>
      <c r="C62" s="121"/>
      <c r="D62" s="121"/>
      <c r="E62" s="121"/>
      <c r="F62" s="121"/>
      <c r="G62" s="121"/>
      <c r="H62" s="121"/>
      <c r="I62" s="121"/>
      <c r="J62" s="121"/>
      <c r="K62" s="121"/>
      <c r="L62" s="121"/>
      <c r="M62" s="121"/>
      <c r="N62" s="121"/>
      <c r="O62" s="121"/>
      <c r="P62" s="121"/>
      <c r="Q62" s="121"/>
      <c r="R62" s="121"/>
      <c r="S62" s="121"/>
    </row>
    <row r="63" spans="1:19" x14ac:dyDescent="0.2">
      <c r="A63" s="121"/>
      <c r="B63" s="121"/>
      <c r="C63" s="121"/>
      <c r="D63" s="121"/>
      <c r="E63" s="121"/>
      <c r="F63" s="121"/>
      <c r="G63" s="121"/>
      <c r="H63" s="121"/>
      <c r="I63" s="121"/>
      <c r="J63" s="121"/>
      <c r="K63" s="121"/>
      <c r="L63" s="121"/>
      <c r="M63" s="121"/>
      <c r="N63" s="121"/>
      <c r="O63" s="121"/>
      <c r="P63" s="121"/>
      <c r="Q63" s="121"/>
      <c r="R63" s="121"/>
      <c r="S63" s="121"/>
    </row>
    <row r="64" spans="1:19" x14ac:dyDescent="0.2">
      <c r="A64" s="121"/>
      <c r="B64" s="121"/>
      <c r="C64" s="121"/>
      <c r="D64" s="121"/>
      <c r="E64" s="121"/>
      <c r="F64" s="121"/>
      <c r="G64" s="121"/>
      <c r="H64" s="121"/>
      <c r="I64" s="121"/>
      <c r="J64" s="121"/>
      <c r="K64" s="121"/>
      <c r="L64" s="121"/>
      <c r="M64" s="121"/>
      <c r="N64" s="121"/>
      <c r="O64" s="121"/>
      <c r="P64" s="121"/>
      <c r="Q64" s="121"/>
      <c r="R64" s="121"/>
      <c r="S64" s="121"/>
    </row>
    <row r="65" spans="1:19" x14ac:dyDescent="0.2">
      <c r="A65" s="121"/>
      <c r="B65" s="121"/>
      <c r="C65" s="121"/>
      <c r="D65" s="121"/>
      <c r="E65" s="121"/>
      <c r="F65" s="121"/>
      <c r="G65" s="121"/>
      <c r="H65" s="121"/>
      <c r="I65" s="121"/>
      <c r="J65" s="121"/>
      <c r="K65" s="121"/>
      <c r="L65" s="121"/>
      <c r="M65" s="121"/>
      <c r="N65" s="121"/>
      <c r="O65" s="121"/>
      <c r="P65" s="121"/>
      <c r="Q65" s="121"/>
      <c r="R65" s="121"/>
      <c r="S65" s="121"/>
    </row>
    <row r="66" spans="1:19" x14ac:dyDescent="0.2">
      <c r="A66" s="121"/>
      <c r="B66" s="121"/>
      <c r="C66" s="121"/>
      <c r="D66" s="121"/>
      <c r="E66" s="121"/>
      <c r="F66" s="121"/>
      <c r="G66" s="121"/>
      <c r="H66" s="121"/>
      <c r="I66" s="121"/>
      <c r="J66" s="121"/>
      <c r="K66" s="121"/>
      <c r="L66" s="121"/>
      <c r="M66" s="121"/>
      <c r="N66" s="121"/>
      <c r="O66" s="121"/>
      <c r="P66" s="121"/>
      <c r="Q66" s="121"/>
      <c r="R66" s="121"/>
      <c r="S66" s="121"/>
    </row>
    <row r="67" spans="1:19" x14ac:dyDescent="0.2">
      <c r="A67" s="121"/>
      <c r="B67" s="121"/>
      <c r="C67" s="121"/>
      <c r="D67" s="121"/>
      <c r="E67" s="121"/>
      <c r="F67" s="121"/>
      <c r="G67" s="121"/>
      <c r="H67" s="121"/>
      <c r="I67" s="121"/>
      <c r="J67" s="121"/>
      <c r="K67" s="121"/>
      <c r="L67" s="121"/>
      <c r="M67" s="121"/>
      <c r="N67" s="121"/>
      <c r="O67" s="121"/>
      <c r="P67" s="121"/>
      <c r="Q67" s="121"/>
      <c r="R67" s="121"/>
      <c r="S67" s="121"/>
    </row>
    <row r="68" spans="1:19" x14ac:dyDescent="0.2">
      <c r="A68" s="121"/>
      <c r="B68" s="121"/>
      <c r="C68" s="121"/>
      <c r="D68" s="121"/>
      <c r="E68" s="121"/>
      <c r="F68" s="121"/>
      <c r="G68" s="121"/>
      <c r="H68" s="121"/>
      <c r="I68" s="121"/>
      <c r="J68" s="121"/>
      <c r="K68" s="121"/>
      <c r="L68" s="121"/>
      <c r="M68" s="121"/>
      <c r="N68" s="121"/>
      <c r="O68" s="121"/>
      <c r="P68" s="121"/>
      <c r="Q68" s="121"/>
      <c r="R68" s="121"/>
      <c r="S68" s="121"/>
    </row>
    <row r="69" spans="1:19" x14ac:dyDescent="0.2">
      <c r="A69" s="121"/>
      <c r="B69" s="121"/>
      <c r="C69" s="121"/>
      <c r="D69" s="121"/>
      <c r="E69" s="121"/>
      <c r="F69" s="121"/>
      <c r="G69" s="121"/>
      <c r="H69" s="121"/>
      <c r="I69" s="121"/>
      <c r="J69" s="121"/>
      <c r="K69" s="121"/>
      <c r="L69" s="121"/>
      <c r="M69" s="121"/>
      <c r="N69" s="121"/>
      <c r="O69" s="121"/>
      <c r="P69" s="121"/>
      <c r="Q69" s="121"/>
      <c r="R69" s="121"/>
      <c r="S69" s="121"/>
    </row>
    <row r="70" spans="1:19" x14ac:dyDescent="0.2">
      <c r="A70" s="121"/>
      <c r="B70" s="121"/>
      <c r="C70" s="121"/>
      <c r="D70" s="121"/>
      <c r="E70" s="121"/>
      <c r="F70" s="121"/>
      <c r="G70" s="121"/>
      <c r="H70" s="121"/>
      <c r="I70" s="121"/>
      <c r="J70" s="121"/>
      <c r="K70" s="121"/>
      <c r="L70" s="121"/>
      <c r="M70" s="121"/>
      <c r="N70" s="121"/>
      <c r="O70" s="121"/>
      <c r="P70" s="121"/>
      <c r="Q70" s="121"/>
      <c r="R70" s="121"/>
      <c r="S70" s="121"/>
    </row>
    <row r="71" spans="1:19" x14ac:dyDescent="0.2">
      <c r="A71" s="121"/>
      <c r="B71" s="121"/>
      <c r="C71" s="121"/>
      <c r="D71" s="121"/>
      <c r="E71" s="121"/>
      <c r="F71" s="121"/>
      <c r="G71" s="121"/>
      <c r="H71" s="121"/>
      <c r="I71" s="121"/>
      <c r="J71" s="121"/>
      <c r="K71" s="121"/>
      <c r="L71" s="121"/>
      <c r="M71" s="121"/>
      <c r="N71" s="121"/>
      <c r="O71" s="121"/>
      <c r="P71" s="121"/>
      <c r="Q71" s="121"/>
      <c r="R71" s="121"/>
      <c r="S71" s="121"/>
    </row>
    <row r="72" spans="1:19" x14ac:dyDescent="0.2">
      <c r="A72" s="121"/>
      <c r="B72" s="121"/>
      <c r="C72" s="121"/>
      <c r="D72" s="121"/>
      <c r="E72" s="121"/>
      <c r="F72" s="121"/>
      <c r="G72" s="121"/>
      <c r="H72" s="121"/>
      <c r="I72" s="121"/>
      <c r="J72" s="121"/>
      <c r="K72" s="121"/>
      <c r="L72" s="121"/>
      <c r="M72" s="121"/>
      <c r="N72" s="121"/>
      <c r="O72" s="121"/>
      <c r="P72" s="121"/>
      <c r="Q72" s="121"/>
      <c r="R72" s="121"/>
      <c r="S72" s="121"/>
    </row>
    <row r="73" spans="1:19" x14ac:dyDescent="0.2">
      <c r="A73" s="121"/>
      <c r="B73" s="121"/>
      <c r="C73" s="121"/>
      <c r="D73" s="121"/>
      <c r="E73" s="121"/>
      <c r="F73" s="121"/>
      <c r="G73" s="121"/>
      <c r="H73" s="121"/>
      <c r="I73" s="121"/>
      <c r="J73" s="121"/>
      <c r="K73" s="121"/>
      <c r="L73" s="121"/>
      <c r="M73" s="121"/>
      <c r="N73" s="121"/>
      <c r="O73" s="121"/>
      <c r="P73" s="121"/>
      <c r="Q73" s="121"/>
      <c r="R73" s="121"/>
      <c r="S73" s="121"/>
    </row>
    <row r="74" spans="1:19" x14ac:dyDescent="0.2">
      <c r="A74" s="121"/>
      <c r="B74" s="121"/>
      <c r="C74" s="121"/>
      <c r="D74" s="121"/>
      <c r="E74" s="121"/>
      <c r="F74" s="121"/>
      <c r="G74" s="121"/>
      <c r="H74" s="121"/>
      <c r="I74" s="121"/>
      <c r="J74" s="121"/>
      <c r="K74" s="121"/>
      <c r="L74" s="121"/>
      <c r="M74" s="121"/>
      <c r="N74" s="121"/>
      <c r="O74" s="121"/>
      <c r="P74" s="121"/>
      <c r="Q74" s="121"/>
      <c r="R74" s="121"/>
      <c r="S74" s="121"/>
    </row>
    <row r="75" spans="1:19" x14ac:dyDescent="0.2">
      <c r="A75" s="121"/>
      <c r="B75" s="121"/>
      <c r="C75" s="121"/>
      <c r="D75" s="121"/>
      <c r="E75" s="121"/>
      <c r="F75" s="121"/>
      <c r="G75" s="121"/>
      <c r="H75" s="121"/>
      <c r="I75" s="121"/>
      <c r="J75" s="121"/>
      <c r="K75" s="121"/>
      <c r="L75" s="121"/>
      <c r="M75" s="121"/>
      <c r="N75" s="121"/>
      <c r="O75" s="121"/>
      <c r="P75" s="121"/>
      <c r="Q75" s="121"/>
      <c r="R75" s="121"/>
      <c r="S75" s="121"/>
    </row>
    <row r="76" spans="1:19" x14ac:dyDescent="0.2">
      <c r="A76" s="121"/>
      <c r="B76" s="121"/>
      <c r="C76" s="121"/>
      <c r="D76" s="121"/>
      <c r="E76" s="121"/>
      <c r="F76" s="121"/>
      <c r="G76" s="121"/>
      <c r="H76" s="121"/>
      <c r="I76" s="121"/>
      <c r="J76" s="121"/>
      <c r="K76" s="121"/>
      <c r="L76" s="121"/>
      <c r="M76" s="121"/>
      <c r="N76" s="121"/>
      <c r="O76" s="121"/>
      <c r="P76" s="121"/>
      <c r="Q76" s="121"/>
      <c r="R76" s="121"/>
      <c r="S76" s="121"/>
    </row>
    <row r="77" spans="1:19" x14ac:dyDescent="0.2">
      <c r="A77" s="121"/>
      <c r="B77" s="121"/>
      <c r="C77" s="121"/>
      <c r="D77" s="121"/>
      <c r="E77" s="121"/>
      <c r="F77" s="121"/>
      <c r="G77" s="121"/>
      <c r="H77" s="121"/>
      <c r="I77" s="121"/>
      <c r="J77" s="121"/>
      <c r="K77" s="121"/>
      <c r="L77" s="121"/>
      <c r="M77" s="121"/>
      <c r="N77" s="121"/>
      <c r="O77" s="121"/>
      <c r="P77" s="121"/>
      <c r="Q77" s="121"/>
      <c r="R77" s="121"/>
      <c r="S77" s="121"/>
    </row>
    <row r="78" spans="1:19" x14ac:dyDescent="0.2">
      <c r="A78" s="121"/>
      <c r="B78" s="121"/>
      <c r="C78" s="121"/>
      <c r="D78" s="121"/>
      <c r="E78" s="121"/>
      <c r="F78" s="121"/>
      <c r="G78" s="121"/>
      <c r="H78" s="121"/>
      <c r="I78" s="121"/>
      <c r="J78" s="121"/>
      <c r="K78" s="121"/>
      <c r="L78" s="121"/>
      <c r="M78" s="121"/>
      <c r="N78" s="121"/>
      <c r="O78" s="121"/>
      <c r="P78" s="121"/>
      <c r="Q78" s="121"/>
      <c r="R78" s="121"/>
      <c r="S78" s="121"/>
    </row>
    <row r="79" spans="1:19" x14ac:dyDescent="0.2">
      <c r="A79" s="121"/>
      <c r="B79" s="121"/>
      <c r="C79" s="121"/>
      <c r="D79" s="121"/>
      <c r="E79" s="121"/>
      <c r="F79" s="121"/>
      <c r="G79" s="121"/>
      <c r="H79" s="121"/>
      <c r="I79" s="121"/>
      <c r="J79" s="121"/>
      <c r="K79" s="121"/>
      <c r="L79" s="121"/>
      <c r="M79" s="121"/>
      <c r="N79" s="121"/>
      <c r="O79" s="121"/>
      <c r="P79" s="121"/>
      <c r="Q79" s="121"/>
      <c r="R79" s="121"/>
      <c r="S79" s="121"/>
    </row>
    <row r="80" spans="1:19" x14ac:dyDescent="0.2">
      <c r="A80" s="121"/>
      <c r="B80" s="121"/>
      <c r="C80" s="121"/>
      <c r="D80" s="121"/>
      <c r="E80" s="121"/>
      <c r="F80" s="121"/>
      <c r="G80" s="121"/>
      <c r="H80" s="121"/>
      <c r="I80" s="121"/>
      <c r="J80" s="121"/>
      <c r="K80" s="121"/>
      <c r="L80" s="121"/>
      <c r="M80" s="121"/>
      <c r="N80" s="121"/>
      <c r="O80" s="121"/>
      <c r="P80" s="121"/>
      <c r="Q80" s="121"/>
      <c r="R80" s="121"/>
      <c r="S80" s="121"/>
    </row>
    <row r="81" spans="1:19" x14ac:dyDescent="0.2">
      <c r="A81" s="121"/>
      <c r="B81" s="121"/>
      <c r="C81" s="121"/>
      <c r="D81" s="121"/>
      <c r="E81" s="121"/>
      <c r="F81" s="121"/>
      <c r="G81" s="121"/>
      <c r="H81" s="121"/>
      <c r="I81" s="121"/>
      <c r="J81" s="121"/>
      <c r="K81" s="121"/>
      <c r="L81" s="121"/>
      <c r="M81" s="121"/>
      <c r="N81" s="121"/>
      <c r="O81" s="121"/>
      <c r="P81" s="121"/>
      <c r="Q81" s="121"/>
      <c r="R81" s="121"/>
      <c r="S81" s="121"/>
    </row>
    <row r="82" spans="1:19" x14ac:dyDescent="0.2">
      <c r="A82" s="121"/>
      <c r="B82" s="121"/>
      <c r="C82" s="121"/>
      <c r="D82" s="121"/>
      <c r="E82" s="121"/>
      <c r="F82" s="121"/>
      <c r="G82" s="121"/>
      <c r="H82" s="121"/>
      <c r="I82" s="121"/>
      <c r="J82" s="121"/>
      <c r="K82" s="121"/>
      <c r="L82" s="121"/>
      <c r="M82" s="121"/>
      <c r="N82" s="121"/>
      <c r="O82" s="121"/>
      <c r="P82" s="121"/>
      <c r="Q82" s="121"/>
      <c r="R82" s="121"/>
      <c r="S82" s="121"/>
    </row>
    <row r="83" spans="1:19" x14ac:dyDescent="0.2">
      <c r="A83" s="121"/>
      <c r="B83" s="121"/>
      <c r="C83" s="121"/>
      <c r="D83" s="121"/>
      <c r="E83" s="121"/>
      <c r="F83" s="121"/>
      <c r="G83" s="121"/>
      <c r="H83" s="121"/>
      <c r="I83" s="121"/>
      <c r="J83" s="121"/>
      <c r="K83" s="121"/>
      <c r="L83" s="121"/>
      <c r="M83" s="121"/>
      <c r="N83" s="121"/>
      <c r="O83" s="121"/>
      <c r="P83" s="121"/>
      <c r="Q83" s="121"/>
      <c r="R83" s="121"/>
      <c r="S83" s="121"/>
    </row>
    <row r="84" spans="1:19" x14ac:dyDescent="0.2">
      <c r="A84" s="121"/>
      <c r="B84" s="121"/>
      <c r="C84" s="121"/>
      <c r="D84" s="121"/>
      <c r="E84" s="121"/>
      <c r="F84" s="121"/>
      <c r="G84" s="121"/>
      <c r="H84" s="121"/>
      <c r="I84" s="121"/>
      <c r="J84" s="121"/>
      <c r="K84" s="121"/>
      <c r="L84" s="121"/>
      <c r="M84" s="121"/>
      <c r="N84" s="121"/>
      <c r="O84" s="121"/>
      <c r="P84" s="121"/>
      <c r="Q84" s="121"/>
      <c r="R84" s="121"/>
      <c r="S84" s="121"/>
    </row>
    <row r="85" spans="1:19" x14ac:dyDescent="0.2">
      <c r="A85" s="121"/>
      <c r="B85" s="121"/>
      <c r="C85" s="121"/>
      <c r="D85" s="121"/>
      <c r="E85" s="121"/>
      <c r="F85" s="121"/>
      <c r="G85" s="121"/>
      <c r="H85" s="121"/>
      <c r="I85" s="121"/>
      <c r="J85" s="121"/>
      <c r="K85" s="121"/>
      <c r="L85" s="121"/>
      <c r="M85" s="121"/>
      <c r="N85" s="121"/>
      <c r="O85" s="121"/>
      <c r="P85" s="121"/>
      <c r="Q85" s="121"/>
      <c r="R85" s="121"/>
      <c r="S85" s="121"/>
    </row>
    <row r="86" spans="1:19" x14ac:dyDescent="0.2">
      <c r="A86" s="121"/>
      <c r="B86" s="121"/>
      <c r="C86" s="121"/>
      <c r="D86" s="121"/>
      <c r="E86" s="121"/>
      <c r="F86" s="121"/>
      <c r="G86" s="121"/>
      <c r="H86" s="121"/>
      <c r="I86" s="121"/>
      <c r="J86" s="121"/>
      <c r="K86" s="121"/>
      <c r="L86" s="121"/>
      <c r="M86" s="121"/>
      <c r="N86" s="121"/>
      <c r="O86" s="121"/>
      <c r="P86" s="121"/>
      <c r="Q86" s="121"/>
      <c r="R86" s="121"/>
      <c r="S86" s="121"/>
    </row>
    <row r="87" spans="1:19" x14ac:dyDescent="0.2">
      <c r="A87" s="121"/>
      <c r="B87" s="121"/>
      <c r="C87" s="121"/>
      <c r="D87" s="121"/>
      <c r="E87" s="121"/>
      <c r="F87" s="121"/>
      <c r="G87" s="121"/>
      <c r="H87" s="121"/>
      <c r="I87" s="121"/>
      <c r="J87" s="121"/>
      <c r="K87" s="121"/>
      <c r="L87" s="121"/>
      <c r="M87" s="121"/>
      <c r="N87" s="121"/>
      <c r="O87" s="121"/>
      <c r="P87" s="121"/>
      <c r="Q87" s="121"/>
      <c r="R87" s="121"/>
      <c r="S87" s="121"/>
    </row>
    <row r="88" spans="1:19" x14ac:dyDescent="0.2">
      <c r="A88" s="121"/>
      <c r="B88" s="121"/>
      <c r="C88" s="121"/>
      <c r="D88" s="121"/>
      <c r="E88" s="121"/>
      <c r="F88" s="121"/>
      <c r="G88" s="121"/>
      <c r="H88" s="121"/>
      <c r="I88" s="121"/>
      <c r="J88" s="121"/>
      <c r="K88" s="121"/>
      <c r="L88" s="121"/>
      <c r="M88" s="121"/>
      <c r="N88" s="121"/>
      <c r="O88" s="121"/>
      <c r="P88" s="121"/>
      <c r="Q88" s="121"/>
      <c r="R88" s="121"/>
      <c r="S88" s="121"/>
    </row>
    <row r="89" spans="1:19" x14ac:dyDescent="0.2">
      <c r="A89" s="121"/>
      <c r="B89" s="121"/>
      <c r="C89" s="121"/>
      <c r="D89" s="121"/>
      <c r="E89" s="121"/>
      <c r="F89" s="121"/>
      <c r="G89" s="121"/>
      <c r="H89" s="121"/>
      <c r="I89" s="121"/>
      <c r="J89" s="121"/>
      <c r="K89" s="121"/>
      <c r="L89" s="121"/>
      <c r="M89" s="121"/>
      <c r="N89" s="121"/>
      <c r="O89" s="121"/>
      <c r="P89" s="121"/>
      <c r="Q89" s="121"/>
      <c r="R89" s="121"/>
      <c r="S89" s="121"/>
    </row>
    <row r="90" spans="1:19" x14ac:dyDescent="0.2">
      <c r="A90" s="121"/>
      <c r="B90" s="121"/>
      <c r="C90" s="121"/>
      <c r="D90" s="121"/>
      <c r="E90" s="121"/>
      <c r="F90" s="121"/>
      <c r="G90" s="121"/>
      <c r="H90" s="121"/>
      <c r="I90" s="121"/>
      <c r="J90" s="121"/>
      <c r="K90" s="121"/>
      <c r="L90" s="121"/>
      <c r="M90" s="121"/>
      <c r="N90" s="121"/>
      <c r="O90" s="121"/>
      <c r="P90" s="121"/>
      <c r="Q90" s="121"/>
      <c r="R90" s="121"/>
      <c r="S90" s="121"/>
    </row>
    <row r="91" spans="1:19" x14ac:dyDescent="0.2">
      <c r="A91" s="121"/>
      <c r="B91" s="121"/>
      <c r="C91" s="121"/>
      <c r="D91" s="121"/>
      <c r="E91" s="121"/>
      <c r="F91" s="121"/>
      <c r="G91" s="121"/>
      <c r="H91" s="121"/>
      <c r="I91" s="121"/>
      <c r="J91" s="121"/>
      <c r="K91" s="121"/>
      <c r="L91" s="121"/>
      <c r="M91" s="121"/>
      <c r="N91" s="121"/>
      <c r="O91" s="121"/>
      <c r="P91" s="121"/>
      <c r="Q91" s="121"/>
      <c r="R91" s="121"/>
      <c r="S91" s="121"/>
    </row>
    <row r="92" spans="1:19" x14ac:dyDescent="0.2">
      <c r="A92" s="121"/>
      <c r="B92" s="121"/>
      <c r="C92" s="121"/>
      <c r="D92" s="121"/>
      <c r="E92" s="121"/>
      <c r="F92" s="121"/>
      <c r="G92" s="121"/>
      <c r="H92" s="121"/>
      <c r="I92" s="121"/>
      <c r="J92" s="121"/>
      <c r="K92" s="121"/>
      <c r="L92" s="121"/>
      <c r="M92" s="121"/>
      <c r="N92" s="121"/>
      <c r="O92" s="121"/>
      <c r="P92" s="121"/>
      <c r="Q92" s="121"/>
      <c r="R92" s="121"/>
      <c r="S92" s="121"/>
    </row>
    <row r="93" spans="1:19" x14ac:dyDescent="0.2">
      <c r="A93" s="121"/>
      <c r="B93" s="121"/>
      <c r="C93" s="121"/>
      <c r="D93" s="121"/>
      <c r="E93" s="121"/>
      <c r="F93" s="121"/>
      <c r="G93" s="121"/>
      <c r="H93" s="121"/>
      <c r="I93" s="121"/>
      <c r="J93" s="121"/>
      <c r="K93" s="121"/>
      <c r="L93" s="121"/>
      <c r="M93" s="121"/>
      <c r="N93" s="121"/>
      <c r="O93" s="121"/>
      <c r="P93" s="121"/>
      <c r="Q93" s="121"/>
      <c r="R93" s="121"/>
      <c r="S93" s="121"/>
    </row>
    <row r="94" spans="1:19" x14ac:dyDescent="0.2">
      <c r="A94" s="121"/>
      <c r="B94" s="121"/>
      <c r="C94" s="121"/>
      <c r="D94" s="121"/>
      <c r="E94" s="121"/>
      <c r="F94" s="121"/>
      <c r="G94" s="121"/>
      <c r="H94" s="121"/>
      <c r="I94" s="121"/>
      <c r="J94" s="121"/>
      <c r="K94" s="121"/>
      <c r="L94" s="121"/>
      <c r="M94" s="121"/>
      <c r="N94" s="121"/>
      <c r="O94" s="121"/>
      <c r="P94" s="121"/>
      <c r="Q94" s="121"/>
      <c r="R94" s="121"/>
      <c r="S94" s="121"/>
    </row>
    <row r="95" spans="1:19" x14ac:dyDescent="0.2">
      <c r="A95" s="121"/>
      <c r="B95" s="121"/>
      <c r="C95" s="121"/>
      <c r="D95" s="121"/>
      <c r="E95" s="121"/>
      <c r="F95" s="121"/>
      <c r="G95" s="121"/>
      <c r="H95" s="121"/>
      <c r="I95" s="121"/>
      <c r="J95" s="121"/>
      <c r="K95" s="121"/>
      <c r="L95" s="121"/>
      <c r="M95" s="121"/>
      <c r="N95" s="121"/>
      <c r="O95" s="121"/>
      <c r="P95" s="121"/>
      <c r="Q95" s="121"/>
      <c r="R95" s="121"/>
      <c r="S95" s="121"/>
    </row>
    <row r="96" spans="1:19" x14ac:dyDescent="0.2">
      <c r="A96" s="121"/>
      <c r="B96" s="121"/>
      <c r="C96" s="121"/>
      <c r="D96" s="121"/>
      <c r="E96" s="121"/>
      <c r="F96" s="121"/>
      <c r="G96" s="121"/>
      <c r="H96" s="121"/>
      <c r="I96" s="121"/>
      <c r="J96" s="121"/>
      <c r="K96" s="121"/>
      <c r="L96" s="121"/>
      <c r="M96" s="121"/>
      <c r="N96" s="121"/>
      <c r="O96" s="121"/>
      <c r="P96" s="121"/>
      <c r="Q96" s="121"/>
      <c r="R96" s="121"/>
      <c r="S96" s="121"/>
    </row>
    <row r="97" spans="1:19" x14ac:dyDescent="0.2">
      <c r="A97" s="121"/>
      <c r="B97" s="121"/>
      <c r="C97" s="121"/>
      <c r="D97" s="121"/>
      <c r="E97" s="121"/>
      <c r="F97" s="121"/>
      <c r="G97" s="121"/>
      <c r="H97" s="121"/>
      <c r="I97" s="121"/>
      <c r="J97" s="121"/>
      <c r="K97" s="121"/>
      <c r="L97" s="121"/>
      <c r="M97" s="121"/>
      <c r="N97" s="121"/>
      <c r="O97" s="121"/>
      <c r="P97" s="121"/>
      <c r="Q97" s="121"/>
      <c r="R97" s="121"/>
      <c r="S97" s="121"/>
    </row>
    <row r="98" spans="1:19" x14ac:dyDescent="0.2">
      <c r="A98" s="121"/>
      <c r="B98" s="121"/>
      <c r="C98" s="121"/>
      <c r="D98" s="121"/>
      <c r="E98" s="121"/>
      <c r="F98" s="121"/>
      <c r="G98" s="121"/>
      <c r="H98" s="121"/>
      <c r="I98" s="121"/>
      <c r="J98" s="121"/>
      <c r="K98" s="121"/>
      <c r="L98" s="121"/>
      <c r="M98" s="121"/>
      <c r="N98" s="121"/>
      <c r="O98" s="121"/>
      <c r="P98" s="121"/>
      <c r="Q98" s="121"/>
      <c r="R98" s="121"/>
      <c r="S98" s="121"/>
    </row>
    <row r="99" spans="1:19" x14ac:dyDescent="0.2">
      <c r="A99" s="121"/>
      <c r="B99" s="121"/>
      <c r="C99" s="121"/>
      <c r="D99" s="121"/>
      <c r="E99" s="121"/>
      <c r="F99" s="121"/>
      <c r="G99" s="121"/>
      <c r="H99" s="121"/>
      <c r="I99" s="121"/>
      <c r="J99" s="121"/>
      <c r="K99" s="121"/>
      <c r="L99" s="121"/>
      <c r="M99" s="121"/>
      <c r="N99" s="121"/>
      <c r="O99" s="121"/>
      <c r="P99" s="121"/>
      <c r="Q99" s="121"/>
      <c r="R99" s="121"/>
      <c r="S99" s="121"/>
    </row>
    <row r="100" spans="1:19" x14ac:dyDescent="0.2">
      <c r="A100" s="121"/>
      <c r="B100" s="121"/>
      <c r="C100" s="121"/>
      <c r="D100" s="121"/>
      <c r="E100" s="121"/>
      <c r="F100" s="121"/>
      <c r="G100" s="121"/>
      <c r="H100" s="121"/>
      <c r="I100" s="121"/>
      <c r="J100" s="121"/>
      <c r="K100" s="121"/>
      <c r="L100" s="121"/>
      <c r="M100" s="121"/>
      <c r="N100" s="121"/>
      <c r="O100" s="121"/>
      <c r="P100" s="121"/>
      <c r="Q100" s="121"/>
      <c r="R100" s="121"/>
      <c r="S100" s="121"/>
    </row>
    <row r="101" spans="1:19" x14ac:dyDescent="0.2">
      <c r="A101" s="121"/>
      <c r="B101" s="121"/>
      <c r="C101" s="121"/>
      <c r="D101" s="121"/>
      <c r="E101" s="121"/>
      <c r="F101" s="121"/>
      <c r="G101" s="121"/>
      <c r="H101" s="121"/>
      <c r="I101" s="121"/>
      <c r="J101" s="121"/>
      <c r="K101" s="121"/>
      <c r="L101" s="121"/>
      <c r="M101" s="121"/>
      <c r="N101" s="121"/>
      <c r="O101" s="121"/>
      <c r="P101" s="121"/>
      <c r="Q101" s="121"/>
      <c r="R101" s="121"/>
      <c r="S101" s="121"/>
    </row>
    <row r="102" spans="1:19" x14ac:dyDescent="0.2">
      <c r="A102" s="121"/>
      <c r="B102" s="121"/>
      <c r="C102" s="121"/>
      <c r="D102" s="121"/>
      <c r="E102" s="121"/>
      <c r="F102" s="121"/>
      <c r="G102" s="121"/>
      <c r="H102" s="121"/>
      <c r="I102" s="121"/>
      <c r="J102" s="121"/>
      <c r="K102" s="121"/>
      <c r="L102" s="121"/>
      <c r="M102" s="121"/>
      <c r="N102" s="121"/>
      <c r="O102" s="121"/>
      <c r="P102" s="121"/>
      <c r="Q102" s="121"/>
      <c r="R102" s="121"/>
      <c r="S102" s="121"/>
    </row>
    <row r="103" spans="1:19" x14ac:dyDescent="0.2">
      <c r="A103" s="121"/>
      <c r="B103" s="121"/>
      <c r="C103" s="121"/>
      <c r="D103" s="121"/>
      <c r="E103" s="121"/>
      <c r="F103" s="121"/>
      <c r="G103" s="121"/>
      <c r="H103" s="121"/>
      <c r="I103" s="121"/>
      <c r="J103" s="121"/>
      <c r="K103" s="121"/>
      <c r="L103" s="121"/>
      <c r="M103" s="121"/>
      <c r="N103" s="121"/>
      <c r="O103" s="121"/>
      <c r="P103" s="121"/>
      <c r="Q103" s="121"/>
      <c r="R103" s="121"/>
      <c r="S103" s="121"/>
    </row>
    <row r="104" spans="1:19" x14ac:dyDescent="0.2">
      <c r="A104" s="121"/>
      <c r="B104" s="121"/>
      <c r="C104" s="121"/>
      <c r="D104" s="121"/>
      <c r="E104" s="121"/>
      <c r="F104" s="121"/>
      <c r="G104" s="121"/>
      <c r="H104" s="121"/>
      <c r="I104" s="121"/>
      <c r="J104" s="121"/>
      <c r="K104" s="121"/>
      <c r="L104" s="121"/>
      <c r="M104" s="121"/>
      <c r="N104" s="121"/>
      <c r="O104" s="121"/>
      <c r="P104" s="121"/>
      <c r="Q104" s="121"/>
      <c r="R104" s="121"/>
      <c r="S104" s="121"/>
    </row>
    <row r="105" spans="1:19" x14ac:dyDescent="0.2">
      <c r="A105" s="121"/>
      <c r="B105" s="121"/>
      <c r="C105" s="121"/>
      <c r="D105" s="121"/>
      <c r="E105" s="121"/>
      <c r="F105" s="121"/>
      <c r="G105" s="121"/>
      <c r="H105" s="121"/>
      <c r="I105" s="121"/>
      <c r="J105" s="121"/>
      <c r="K105" s="121"/>
      <c r="L105" s="121"/>
      <c r="M105" s="121"/>
      <c r="N105" s="121"/>
      <c r="O105" s="121"/>
      <c r="P105" s="121"/>
      <c r="Q105" s="121"/>
      <c r="R105" s="121"/>
      <c r="S105" s="121"/>
    </row>
    <row r="106" spans="1:19" x14ac:dyDescent="0.2">
      <c r="A106" s="121"/>
      <c r="B106" s="121"/>
      <c r="C106" s="121"/>
      <c r="D106" s="121"/>
      <c r="E106" s="121"/>
      <c r="F106" s="121"/>
      <c r="G106" s="121"/>
      <c r="H106" s="121"/>
      <c r="I106" s="121"/>
      <c r="J106" s="121"/>
      <c r="K106" s="121"/>
      <c r="L106" s="121"/>
      <c r="M106" s="121"/>
      <c r="N106" s="121"/>
      <c r="O106" s="121"/>
      <c r="P106" s="121"/>
      <c r="Q106" s="121"/>
      <c r="R106" s="121"/>
      <c r="S106" s="121"/>
    </row>
    <row r="107" spans="1:19" x14ac:dyDescent="0.2">
      <c r="A107" s="121"/>
      <c r="B107" s="121"/>
      <c r="C107" s="121"/>
      <c r="D107" s="121"/>
      <c r="E107" s="121"/>
      <c r="F107" s="121"/>
      <c r="G107" s="121"/>
      <c r="H107" s="121"/>
      <c r="I107" s="121"/>
      <c r="J107" s="121"/>
      <c r="K107" s="121"/>
      <c r="L107" s="121"/>
      <c r="M107" s="121"/>
      <c r="N107" s="121"/>
      <c r="O107" s="121"/>
      <c r="P107" s="121"/>
      <c r="Q107" s="121"/>
      <c r="R107" s="121"/>
      <c r="S107" s="121"/>
    </row>
    <row r="108" spans="1:19" x14ac:dyDescent="0.2">
      <c r="A108" s="121"/>
      <c r="B108" s="121"/>
      <c r="C108" s="121"/>
      <c r="D108" s="121"/>
      <c r="E108" s="121"/>
      <c r="F108" s="121"/>
      <c r="G108" s="121"/>
      <c r="H108" s="121"/>
      <c r="I108" s="121"/>
      <c r="J108" s="121"/>
      <c r="K108" s="121"/>
      <c r="L108" s="121"/>
      <c r="M108" s="121"/>
      <c r="N108" s="121"/>
      <c r="O108" s="121"/>
      <c r="P108" s="121"/>
      <c r="Q108" s="121"/>
      <c r="R108" s="121"/>
      <c r="S108" s="121"/>
    </row>
    <row r="109" spans="1:19" x14ac:dyDescent="0.2">
      <c r="A109" s="121"/>
      <c r="B109" s="121"/>
      <c r="C109" s="121"/>
      <c r="D109" s="121"/>
      <c r="E109" s="121"/>
      <c r="F109" s="121"/>
      <c r="G109" s="121"/>
      <c r="H109" s="121"/>
      <c r="I109" s="121"/>
      <c r="J109" s="121"/>
      <c r="K109" s="121"/>
      <c r="L109" s="121"/>
      <c r="M109" s="121"/>
      <c r="N109" s="121"/>
      <c r="O109" s="121"/>
      <c r="P109" s="121"/>
      <c r="Q109" s="121"/>
      <c r="R109" s="121"/>
      <c r="S109" s="121"/>
    </row>
    <row r="110" spans="1:19" x14ac:dyDescent="0.2">
      <c r="A110" s="121"/>
      <c r="B110" s="121"/>
      <c r="C110" s="121"/>
      <c r="D110" s="121"/>
      <c r="E110" s="121"/>
      <c r="F110" s="121"/>
      <c r="G110" s="121"/>
      <c r="H110" s="121"/>
      <c r="I110" s="121"/>
      <c r="J110" s="121"/>
      <c r="K110" s="121"/>
      <c r="L110" s="121"/>
      <c r="M110" s="121"/>
      <c r="N110" s="121"/>
      <c r="O110" s="121"/>
      <c r="P110" s="121"/>
      <c r="Q110" s="121"/>
      <c r="R110" s="121"/>
      <c r="S110" s="121"/>
    </row>
    <row r="111" spans="1:19" x14ac:dyDescent="0.2">
      <c r="A111" s="121"/>
      <c r="B111" s="121"/>
      <c r="C111" s="121"/>
      <c r="D111" s="121"/>
      <c r="E111" s="121"/>
      <c r="F111" s="121"/>
      <c r="G111" s="121"/>
      <c r="H111" s="121"/>
      <c r="I111" s="121"/>
      <c r="J111" s="121"/>
      <c r="K111" s="121"/>
      <c r="L111" s="121"/>
      <c r="M111" s="121"/>
      <c r="N111" s="121"/>
      <c r="O111" s="121"/>
      <c r="P111" s="121"/>
      <c r="Q111" s="121"/>
      <c r="R111" s="121"/>
      <c r="S111" s="121"/>
    </row>
    <row r="112" spans="1:19" x14ac:dyDescent="0.2">
      <c r="A112" s="121"/>
      <c r="B112" s="121"/>
      <c r="C112" s="121"/>
      <c r="D112" s="121"/>
      <c r="E112" s="121"/>
      <c r="F112" s="121"/>
      <c r="G112" s="121"/>
      <c r="H112" s="121"/>
      <c r="I112" s="121"/>
      <c r="J112" s="121"/>
      <c r="K112" s="121"/>
      <c r="L112" s="121"/>
      <c r="M112" s="121"/>
      <c r="N112" s="121"/>
      <c r="O112" s="121"/>
      <c r="P112" s="121"/>
      <c r="Q112" s="121"/>
      <c r="R112" s="121"/>
      <c r="S112" s="121"/>
    </row>
    <row r="113" spans="1:19" x14ac:dyDescent="0.2">
      <c r="A113" s="121"/>
      <c r="B113" s="121"/>
      <c r="C113" s="121"/>
      <c r="D113" s="121"/>
      <c r="E113" s="121"/>
      <c r="F113" s="121"/>
      <c r="G113" s="121"/>
      <c r="H113" s="121"/>
      <c r="I113" s="121"/>
      <c r="J113" s="121"/>
      <c r="K113" s="121"/>
      <c r="L113" s="121"/>
      <c r="M113" s="121"/>
      <c r="N113" s="121"/>
      <c r="O113" s="121"/>
      <c r="P113" s="121"/>
      <c r="Q113" s="121"/>
      <c r="R113" s="121"/>
      <c r="S113" s="121"/>
    </row>
    <row r="114" spans="1:19" x14ac:dyDescent="0.2">
      <c r="A114" s="121"/>
      <c r="B114" s="121"/>
      <c r="C114" s="121"/>
      <c r="D114" s="121"/>
      <c r="E114" s="121"/>
      <c r="F114" s="121"/>
      <c r="G114" s="121"/>
      <c r="H114" s="121"/>
      <c r="I114" s="121"/>
      <c r="J114" s="121"/>
      <c r="K114" s="121"/>
      <c r="L114" s="121"/>
      <c r="M114" s="121"/>
      <c r="N114" s="121"/>
      <c r="O114" s="121"/>
      <c r="P114" s="121"/>
      <c r="Q114" s="121"/>
      <c r="R114" s="121"/>
      <c r="S114" s="121"/>
    </row>
    <row r="115" spans="1:19" x14ac:dyDescent="0.2">
      <c r="A115" s="121"/>
      <c r="B115" s="121"/>
      <c r="C115" s="121"/>
      <c r="D115" s="121"/>
      <c r="E115" s="121"/>
      <c r="F115" s="121"/>
      <c r="G115" s="121"/>
      <c r="H115" s="121"/>
      <c r="I115" s="121"/>
      <c r="J115" s="121"/>
      <c r="K115" s="121"/>
      <c r="L115" s="121"/>
      <c r="M115" s="121"/>
      <c r="N115" s="121"/>
      <c r="O115" s="121"/>
      <c r="P115" s="121"/>
      <c r="Q115" s="121"/>
      <c r="R115" s="121"/>
      <c r="S115" s="121"/>
    </row>
    <row r="116" spans="1:19" x14ac:dyDescent="0.2">
      <c r="A116" s="121"/>
      <c r="B116" s="121"/>
      <c r="C116" s="121"/>
      <c r="D116" s="121"/>
      <c r="E116" s="121"/>
      <c r="F116" s="121"/>
      <c r="G116" s="121"/>
      <c r="H116" s="121"/>
      <c r="I116" s="121"/>
      <c r="J116" s="121"/>
      <c r="K116" s="121"/>
      <c r="L116" s="121"/>
      <c r="M116" s="121"/>
      <c r="N116" s="121"/>
      <c r="O116" s="121"/>
      <c r="P116" s="121"/>
      <c r="Q116" s="121"/>
      <c r="R116" s="121"/>
      <c r="S116" s="121"/>
    </row>
    <row r="117" spans="1:19" x14ac:dyDescent="0.2">
      <c r="A117" s="121"/>
      <c r="B117" s="121"/>
      <c r="C117" s="121"/>
      <c r="D117" s="121"/>
      <c r="E117" s="121"/>
      <c r="F117" s="121"/>
      <c r="G117" s="121"/>
      <c r="H117" s="121"/>
      <c r="I117" s="121"/>
      <c r="J117" s="121"/>
      <c r="K117" s="121"/>
      <c r="L117" s="121"/>
      <c r="M117" s="121"/>
      <c r="N117" s="121"/>
      <c r="O117" s="121"/>
      <c r="P117" s="121"/>
      <c r="Q117" s="121"/>
      <c r="R117" s="121"/>
      <c r="S117" s="121"/>
    </row>
    <row r="118" spans="1:19" x14ac:dyDescent="0.2">
      <c r="A118" s="121"/>
      <c r="B118" s="121"/>
      <c r="C118" s="121"/>
      <c r="D118" s="121"/>
      <c r="E118" s="121"/>
      <c r="F118" s="121"/>
      <c r="G118" s="121"/>
      <c r="H118" s="121"/>
      <c r="I118" s="121"/>
      <c r="J118" s="121"/>
      <c r="K118" s="121"/>
      <c r="L118" s="121"/>
      <c r="M118" s="121"/>
      <c r="N118" s="121"/>
      <c r="O118" s="121"/>
      <c r="P118" s="121"/>
      <c r="Q118" s="121"/>
      <c r="R118" s="121"/>
      <c r="S118" s="121"/>
    </row>
    <row r="119" spans="1:19" x14ac:dyDescent="0.2">
      <c r="A119" s="121"/>
      <c r="B119" s="121"/>
      <c r="C119" s="121"/>
      <c r="D119" s="121"/>
      <c r="E119" s="121"/>
      <c r="F119" s="121"/>
      <c r="G119" s="121"/>
      <c r="H119" s="121"/>
      <c r="I119" s="121"/>
      <c r="J119" s="121"/>
      <c r="K119" s="121"/>
      <c r="L119" s="121"/>
      <c r="M119" s="121"/>
      <c r="N119" s="121"/>
      <c r="O119" s="121"/>
      <c r="P119" s="121"/>
      <c r="Q119" s="121"/>
      <c r="R119" s="121"/>
      <c r="S119" s="121"/>
    </row>
    <row r="120" spans="1:19" x14ac:dyDescent="0.2">
      <c r="A120" s="121"/>
      <c r="B120" s="121"/>
      <c r="C120" s="121"/>
      <c r="D120" s="121"/>
      <c r="E120" s="121"/>
      <c r="F120" s="121"/>
      <c r="G120" s="121"/>
      <c r="H120" s="121"/>
      <c r="I120" s="121"/>
      <c r="J120" s="121"/>
      <c r="K120" s="121"/>
      <c r="L120" s="121"/>
      <c r="M120" s="121"/>
      <c r="N120" s="121"/>
      <c r="O120" s="121"/>
      <c r="P120" s="121"/>
      <c r="Q120" s="121"/>
      <c r="R120" s="121"/>
      <c r="S120" s="121"/>
    </row>
    <row r="121" spans="1:19" x14ac:dyDescent="0.2">
      <c r="A121" s="121"/>
      <c r="B121" s="121"/>
      <c r="C121" s="121"/>
      <c r="D121" s="121"/>
      <c r="E121" s="121"/>
      <c r="F121" s="121"/>
      <c r="G121" s="121"/>
      <c r="H121" s="121"/>
      <c r="I121" s="121"/>
      <c r="J121" s="121"/>
      <c r="K121" s="121"/>
      <c r="L121" s="121"/>
      <c r="M121" s="121"/>
      <c r="N121" s="121"/>
      <c r="O121" s="121"/>
      <c r="P121" s="121"/>
      <c r="Q121" s="121"/>
      <c r="R121" s="121"/>
      <c r="S121" s="121"/>
    </row>
    <row r="122" spans="1:19" x14ac:dyDescent="0.2">
      <c r="A122" s="121"/>
      <c r="B122" s="121"/>
      <c r="C122" s="121"/>
      <c r="D122" s="121"/>
      <c r="E122" s="121"/>
      <c r="F122" s="121"/>
      <c r="G122" s="121"/>
      <c r="H122" s="121"/>
      <c r="I122" s="121"/>
      <c r="J122" s="121"/>
      <c r="K122" s="121"/>
      <c r="L122" s="121"/>
      <c r="M122" s="121"/>
      <c r="N122" s="121"/>
      <c r="O122" s="121"/>
      <c r="P122" s="121"/>
      <c r="Q122" s="121"/>
      <c r="R122" s="121"/>
      <c r="S122" s="121"/>
    </row>
    <row r="135" spans="1:19" x14ac:dyDescent="0.2">
      <c r="A135" s="121"/>
      <c r="B135" s="121"/>
      <c r="C135" s="121"/>
      <c r="D135" s="121"/>
      <c r="E135" s="121"/>
      <c r="F135" s="121"/>
      <c r="G135" s="121"/>
      <c r="H135" s="121"/>
      <c r="I135" s="121"/>
      <c r="J135" s="121"/>
      <c r="K135" s="121"/>
      <c r="L135" s="121"/>
      <c r="M135" s="121"/>
      <c r="N135" s="121"/>
      <c r="O135" s="121"/>
      <c r="P135" s="121"/>
      <c r="Q135" s="121"/>
      <c r="R135" s="121"/>
      <c r="S135" s="121"/>
    </row>
    <row r="136" spans="1:19" x14ac:dyDescent="0.2">
      <c r="A136" s="121"/>
      <c r="B136" s="121"/>
      <c r="C136" s="121"/>
      <c r="D136" s="121"/>
      <c r="E136" s="121"/>
      <c r="F136" s="121"/>
      <c r="G136" s="121"/>
      <c r="H136" s="121"/>
      <c r="I136" s="121"/>
      <c r="J136" s="121"/>
      <c r="K136" s="121"/>
      <c r="L136" s="121"/>
      <c r="M136" s="121"/>
      <c r="N136" s="121"/>
      <c r="O136" s="121"/>
      <c r="P136" s="121"/>
      <c r="Q136" s="121"/>
      <c r="R136" s="121"/>
      <c r="S136" s="121"/>
    </row>
    <row r="137" spans="1:19" x14ac:dyDescent="0.2">
      <c r="A137" s="121"/>
      <c r="B137" s="121"/>
      <c r="C137" s="121"/>
      <c r="D137" s="121"/>
      <c r="E137" s="121"/>
      <c r="F137" s="121"/>
      <c r="G137" s="121"/>
      <c r="H137" s="121"/>
      <c r="I137" s="121"/>
      <c r="J137" s="121"/>
      <c r="K137" s="121"/>
      <c r="L137" s="121"/>
      <c r="M137" s="121"/>
      <c r="N137" s="121"/>
      <c r="O137" s="121"/>
      <c r="P137" s="121"/>
      <c r="Q137" s="121"/>
      <c r="R137" s="121"/>
      <c r="S137" s="121"/>
    </row>
    <row r="138" spans="1:19" x14ac:dyDescent="0.2">
      <c r="B138" s="121"/>
      <c r="C138" s="121"/>
      <c r="D138" s="121"/>
      <c r="E138" s="121"/>
      <c r="F138" s="121"/>
      <c r="G138" s="121"/>
      <c r="H138" s="121"/>
      <c r="I138" s="121"/>
      <c r="J138" s="121"/>
      <c r="K138" s="121"/>
      <c r="L138" s="121"/>
      <c r="M138" s="121"/>
      <c r="N138" s="121"/>
      <c r="O138" s="121"/>
      <c r="P138" s="121"/>
      <c r="Q138" s="121"/>
      <c r="R138" s="121"/>
      <c r="S138" s="121"/>
    </row>
    <row r="139" spans="1:19" x14ac:dyDescent="0.2">
      <c r="A139" s="121"/>
      <c r="B139" s="121"/>
      <c r="C139" s="121"/>
      <c r="D139" s="121"/>
      <c r="E139" s="121"/>
      <c r="F139" s="121"/>
      <c r="G139" s="121"/>
      <c r="H139" s="121"/>
      <c r="I139" s="121"/>
      <c r="J139" s="121"/>
      <c r="K139" s="121"/>
      <c r="L139" s="121"/>
      <c r="M139" s="121"/>
      <c r="N139" s="121"/>
      <c r="O139" s="121"/>
      <c r="P139" s="121"/>
      <c r="Q139" s="121"/>
      <c r="R139" s="121"/>
      <c r="S139" s="121"/>
    </row>
    <row r="140" spans="1:19" x14ac:dyDescent="0.2">
      <c r="A140" s="121"/>
      <c r="B140" s="121"/>
      <c r="C140" s="121"/>
      <c r="D140" s="121"/>
      <c r="E140" s="121"/>
      <c r="F140" s="121"/>
      <c r="G140" s="121"/>
      <c r="H140" s="121"/>
      <c r="I140" s="121"/>
      <c r="J140" s="121"/>
      <c r="K140" s="121"/>
      <c r="L140" s="121"/>
      <c r="M140" s="121"/>
      <c r="N140" s="121"/>
      <c r="O140" s="121"/>
      <c r="P140" s="121"/>
      <c r="Q140" s="121"/>
      <c r="R140" s="121"/>
      <c r="S140" s="121"/>
    </row>
    <row r="141" spans="1:19" x14ac:dyDescent="0.2">
      <c r="A141" s="121"/>
      <c r="B141" s="121"/>
      <c r="C141" s="121"/>
      <c r="D141" s="121"/>
      <c r="E141" s="121"/>
      <c r="F141" s="121"/>
      <c r="G141" s="121"/>
      <c r="H141" s="121"/>
      <c r="I141" s="121"/>
      <c r="J141" s="121"/>
      <c r="K141" s="121"/>
      <c r="L141" s="121"/>
      <c r="M141" s="121"/>
      <c r="N141" s="121"/>
      <c r="O141" s="121"/>
      <c r="P141" s="121"/>
      <c r="Q141" s="121"/>
      <c r="R141" s="121"/>
      <c r="S141" s="121"/>
    </row>
    <row r="142" spans="1:19" x14ac:dyDescent="0.2">
      <c r="A142" s="121"/>
      <c r="B142" s="121"/>
      <c r="C142" s="121"/>
      <c r="D142" s="121"/>
      <c r="E142" s="121"/>
      <c r="F142" s="121"/>
      <c r="G142" s="121"/>
      <c r="H142" s="121"/>
      <c r="I142" s="121"/>
      <c r="J142" s="121"/>
      <c r="K142" s="121"/>
      <c r="L142" s="121"/>
      <c r="M142" s="121"/>
      <c r="N142" s="121"/>
      <c r="O142" s="121"/>
      <c r="P142" s="121"/>
      <c r="Q142" s="121"/>
      <c r="R142" s="121"/>
      <c r="S142" s="121"/>
    </row>
    <row r="143" spans="1:19" x14ac:dyDescent="0.2">
      <c r="A143" s="121"/>
      <c r="B143" s="121"/>
      <c r="C143" s="121"/>
      <c r="D143" s="121"/>
      <c r="E143" s="121"/>
      <c r="F143" s="121"/>
      <c r="G143" s="121"/>
      <c r="H143" s="121"/>
      <c r="I143" s="121"/>
      <c r="J143" s="121"/>
      <c r="K143" s="121"/>
      <c r="L143" s="121"/>
      <c r="M143" s="121"/>
      <c r="N143" s="121"/>
      <c r="O143" s="121"/>
      <c r="P143" s="121"/>
      <c r="Q143" s="121"/>
      <c r="R143" s="121"/>
      <c r="S143" s="121"/>
    </row>
    <row r="144" spans="1:19" x14ac:dyDescent="0.2">
      <c r="A144" s="121"/>
      <c r="B144" s="121"/>
      <c r="C144" s="121"/>
      <c r="D144" s="121"/>
      <c r="E144" s="121"/>
      <c r="F144" s="121"/>
      <c r="G144" s="121"/>
      <c r="H144" s="121"/>
      <c r="I144" s="121"/>
      <c r="J144" s="121"/>
      <c r="K144" s="121"/>
      <c r="L144" s="121"/>
      <c r="M144" s="121"/>
      <c r="N144" s="121"/>
      <c r="O144" s="121"/>
      <c r="P144" s="121"/>
      <c r="Q144" s="121"/>
      <c r="R144" s="121"/>
      <c r="S144" s="121"/>
    </row>
    <row r="145" spans="1:19" x14ac:dyDescent="0.2">
      <c r="A145" s="121"/>
      <c r="B145" s="121"/>
      <c r="C145" s="121"/>
      <c r="D145" s="121"/>
      <c r="E145" s="121"/>
      <c r="F145" s="121"/>
      <c r="G145" s="121"/>
      <c r="H145" s="121"/>
      <c r="I145" s="121"/>
      <c r="J145" s="121"/>
      <c r="K145" s="121"/>
      <c r="L145" s="121"/>
      <c r="M145" s="121"/>
      <c r="N145" s="121"/>
      <c r="O145" s="121"/>
      <c r="P145" s="121"/>
      <c r="Q145" s="121"/>
      <c r="R145" s="121"/>
      <c r="S145" s="121"/>
    </row>
    <row r="146" spans="1:19" x14ac:dyDescent="0.2">
      <c r="A146" s="121"/>
      <c r="B146" s="121"/>
      <c r="C146" s="121"/>
      <c r="D146" s="121"/>
      <c r="E146" s="121"/>
      <c r="F146" s="121"/>
      <c r="G146" s="121"/>
      <c r="H146" s="121"/>
      <c r="I146" s="121"/>
      <c r="J146" s="121"/>
      <c r="K146" s="121"/>
      <c r="L146" s="121"/>
      <c r="M146" s="121"/>
      <c r="N146" s="121"/>
      <c r="O146" s="121"/>
      <c r="P146" s="121"/>
      <c r="Q146" s="121"/>
      <c r="R146" s="121"/>
      <c r="S146" s="121"/>
    </row>
    <row r="147" spans="1:19" x14ac:dyDescent="0.2">
      <c r="A147" s="121"/>
      <c r="B147" s="121"/>
      <c r="C147" s="121"/>
      <c r="D147" s="121"/>
      <c r="E147" s="121"/>
      <c r="F147" s="121"/>
      <c r="G147" s="121"/>
      <c r="H147" s="121"/>
      <c r="I147" s="121"/>
      <c r="J147" s="121"/>
      <c r="K147" s="121"/>
      <c r="L147" s="121"/>
      <c r="M147" s="121"/>
      <c r="N147" s="121"/>
      <c r="O147" s="121"/>
      <c r="P147" s="121"/>
      <c r="Q147" s="121"/>
      <c r="R147" s="121"/>
      <c r="S147" s="121"/>
    </row>
    <row r="161" spans="1:19" x14ac:dyDescent="0.2">
      <c r="A161" s="121"/>
      <c r="B161" s="121"/>
      <c r="C161" s="121"/>
      <c r="D161" s="121"/>
      <c r="E161" s="121"/>
      <c r="F161" s="121"/>
      <c r="G161" s="121"/>
      <c r="H161" s="121"/>
      <c r="I161" s="121"/>
      <c r="J161" s="121"/>
      <c r="K161" s="121"/>
      <c r="L161" s="121"/>
      <c r="M161" s="121"/>
      <c r="N161" s="121"/>
      <c r="O161" s="121"/>
      <c r="P161" s="121"/>
      <c r="Q161" s="121"/>
      <c r="R161" s="121"/>
      <c r="S161" s="121"/>
    </row>
  </sheetData>
  <mergeCells count="1">
    <mergeCell ref="A1:I1"/>
  </mergeCells>
  <conditionalFormatting sqref="A161:S161 A32:S35">
    <cfRule type="expression" dxfId="31" priority="20">
      <formula>$S32="NO"</formula>
    </cfRule>
  </conditionalFormatting>
  <conditionalFormatting sqref="A4:O4 Q4:R4 A5:R9 S3 A10:S13">
    <cfRule type="expression" dxfId="30" priority="16">
      <formula>$S3="NO"</formula>
    </cfRule>
  </conditionalFormatting>
  <conditionalFormatting sqref="A31:R31">
    <cfRule type="expression" dxfId="29" priority="1510">
      <formula>#REF!="NO"</formula>
    </cfRule>
  </conditionalFormatting>
  <conditionalFormatting sqref="A36:S44">
    <cfRule type="expression" dxfId="28" priority="8">
      <formula>$S36="NO"</formula>
    </cfRule>
  </conditionalFormatting>
  <conditionalFormatting sqref="A45:R47 A48:S104">
    <cfRule type="expression" dxfId="27" priority="7">
      <formula>$S45="NO"</formula>
    </cfRule>
  </conditionalFormatting>
  <conditionalFormatting sqref="A14:S30">
    <cfRule type="expression" dxfId="26" priority="6">
      <formula>$S14="NO"</formula>
    </cfRule>
  </conditionalFormatting>
  <conditionalFormatting sqref="S45:S47">
    <cfRule type="expression" dxfId="25" priority="5">
      <formula>$S45="NO"</formula>
    </cfRule>
  </conditionalFormatting>
  <conditionalFormatting sqref="P3:P4">
    <cfRule type="expression" dxfId="24" priority="4">
      <formula>$S3="NO"</formula>
    </cfRule>
  </conditionalFormatting>
  <conditionalFormatting sqref="S5:S8">
    <cfRule type="expression" dxfId="23" priority="3">
      <formula>$S5="NO"</formula>
    </cfRule>
  </conditionalFormatting>
  <conditionalFormatting sqref="S4">
    <cfRule type="expression" dxfId="22" priority="2">
      <formula>$S4="NO"</formula>
    </cfRule>
  </conditionalFormatting>
  <conditionalFormatting sqref="S9">
    <cfRule type="expression" dxfId="21"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6"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2"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2"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3"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3" t="s">
        <v>2942</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3" t="s">
        <v>2943</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3"/>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3"/>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4"/>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4"/>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5"/>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6"/>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2"/>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3" t="str">
        <f>'caricamento Desiderata'!A1</f>
        <v>Desiderata manutentiva PA3S 14.07.25</v>
      </c>
      <c r="B1" s="213"/>
      <c r="C1" s="213"/>
      <c r="D1" s="213"/>
      <c r="E1" s="213"/>
      <c r="F1" s="213"/>
      <c r="G1" s="213"/>
      <c r="H1" s="213"/>
      <c r="I1" s="213"/>
      <c r="J1" s="213"/>
      <c r="K1" s="213"/>
      <c r="L1" s="213"/>
      <c r="M1" s="213"/>
      <c r="N1" s="213"/>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4" t="s">
        <v>1420</v>
      </c>
      <c r="I18" s="214"/>
      <c r="J18" s="214"/>
      <c r="K18" s="214"/>
      <c r="L18" s="214"/>
      <c r="M18" s="214"/>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5" t="str">
        <f>IF(TRIM('caricamento Desiderata'!K2)="INTERROTTO", 'caricamento Desiderata'!O2, "")</f>
        <v/>
      </c>
      <c r="I19" s="216"/>
      <c r="J19" s="216"/>
      <c r="K19" s="216"/>
      <c r="L19" s="216"/>
      <c r="M19" s="217"/>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5" t="str">
        <f>IF(TRIM('caricamento Desiderata'!K5)="INTERROTTO", 'caricamento Desiderata'!O5, "")</f>
        <v>STRUMENTO DI PRESSIONE NON TROVATO INSIEME AD OPERATORE.  IL PUNTO A DCS RISULTA ALLARMATO.</v>
      </c>
      <c r="I20" s="216"/>
      <c r="J20" s="216"/>
      <c r="K20" s="216"/>
      <c r="L20" s="216"/>
      <c r="M20" s="217"/>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5" t="str">
        <f>IF(TRIM('caricamento Desiderata'!K7)="INTERROTTO", 'caricamento Desiderata'!O7, "")</f>
        <v xml:space="preserve"> STRUMENTO SOSTITUITO, COSTRUITA PALINA, NECESSITA INTERVENTO PONTEROSSO PER STASATURA RADICE NEGATIVA</v>
      </c>
      <c r="I21" s="216"/>
      <c r="J21" s="216"/>
      <c r="K21" s="216"/>
      <c r="L21" s="216"/>
      <c r="M21" s="217"/>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5" t="str">
        <f>IF(TRIM('caricamento Desiderata'!K19)="INTERROTTO", 'caricamento Desiderata'!O19, "")</f>
        <v>NECESSITA PONTEGGIO PER LO SMONTAGGIO.</v>
      </c>
      <c r="I22" s="216"/>
      <c r="J22" s="216"/>
      <c r="K22" s="216"/>
      <c r="L22" s="216"/>
      <c r="M22" s="217"/>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8" t="s">
        <v>1420</v>
      </c>
      <c r="F25" s="219"/>
      <c r="G25" s="219"/>
      <c r="H25" s="219"/>
      <c r="I25" s="219"/>
      <c r="J25" s="219"/>
      <c r="K25" s="219"/>
      <c r="L25" s="219"/>
      <c r="M25" s="220"/>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21" t="str">
        <f>IF(OR(TRIM('caricamento Desiderata'!K2)="DA CHIUDERE", TRIM('caricamento Desiderata'!K2)="CHIUSO"), TRIM('caricamento Desiderata'!O2), "")</f>
        <v/>
      </c>
      <c r="F26" s="222"/>
      <c r="G26" s="222"/>
      <c r="H26" s="222"/>
      <c r="I26" s="222"/>
      <c r="J26" s="222"/>
      <c r="K26" s="222"/>
      <c r="L26" s="222"/>
      <c r="M26" s="223"/>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21" t="str">
        <f>IF(OR(TRIM('caricamento Desiderata'!K3)="DA CHIUDERE", TRIM('caricamento Desiderata'!K3)="CHIUSO"), TRIM('caricamento Desiderata'!O3), "")</f>
        <v>NESSUNA ANOMALIA DA SEGNALARE. STRUMENTO DOPPIO CON F302I, TRASMETTONO LA STESSA IDENTICA MISURA.</v>
      </c>
      <c r="F27" s="222"/>
      <c r="G27" s="222"/>
      <c r="H27" s="222"/>
      <c r="I27" s="222"/>
      <c r="J27" s="222"/>
      <c r="K27" s="222"/>
      <c r="L27" s="222"/>
      <c r="M27" s="223"/>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21" t="str">
        <f>IF(OR(TRIM('caricamento Desiderata'!K4)="DA CHIUDERE", TRIM('caricamento Desiderata'!K4)="CHIUSO"), TRIM('caricamento Desiderata'!O4), "")</f>
        <v>ESEGUITO CONTROLLO FUNZIONALE</v>
      </c>
      <c r="F28" s="222"/>
      <c r="G28" s="222"/>
      <c r="H28" s="222"/>
      <c r="I28" s="222"/>
      <c r="J28" s="222"/>
      <c r="K28" s="222"/>
      <c r="L28" s="222"/>
      <c r="M28" s="223"/>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21" t="str">
        <f>IF(OR(TRIM('caricamento Desiderata'!K6)="DA CHIUDERE", TRIM('caricamento Desiderata'!K6)="CHIUSO"), TRIM('caricamento Desiderata'!O6), "")</f>
        <v>LIVELLO FUNZIONANTE, VALVOLA STARATA DEL 30% E RIPRISTINATA LA FUNZIONALITA'</v>
      </c>
      <c r="F29" s="222"/>
      <c r="G29" s="222"/>
      <c r="H29" s="222"/>
      <c r="I29" s="222"/>
      <c r="J29" s="222"/>
      <c r="K29" s="222"/>
      <c r="L29" s="222"/>
      <c r="M29" s="223"/>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21"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22"/>
      <c r="G30" s="222"/>
      <c r="H30" s="222"/>
      <c r="I30" s="222"/>
      <c r="J30" s="222"/>
      <c r="K30" s="222"/>
      <c r="L30" s="222"/>
      <c r="M30" s="223"/>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21" t="str">
        <f>IF(OR(TRIM('caricamento Desiderata'!K18)="DA CHIUDERE", TRIM('caricamento Desiderata'!K18)="CHIUSO"), TRIM('caricamento Desiderata'!O18), "")</f>
        <v>TROVATA POLARITA' INVERTITA SU SEGNALE ANALOGICO. SISTEMATA ED ALLINEATA MISURA A DCS</v>
      </c>
      <c r="F31" s="222"/>
      <c r="G31" s="222"/>
      <c r="H31" s="222"/>
      <c r="I31" s="222"/>
      <c r="J31" s="222"/>
      <c r="K31" s="222"/>
      <c r="L31" s="222"/>
      <c r="M31" s="223"/>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21" t="str">
        <f>IF(OR(TRIM('caricamento Desiderata'!K21)="DA CHIUDERE", TRIM('caricamento Desiderata'!K21)="CHIUSO"), TRIM('caricamento Desiderata'!O21), "")</f>
        <v>NULLA DA SEGNALARE .</v>
      </c>
      <c r="F32" s="222"/>
      <c r="G32" s="222"/>
      <c r="H32" s="222"/>
      <c r="I32" s="222"/>
      <c r="J32" s="222"/>
      <c r="K32" s="222"/>
      <c r="L32" s="222"/>
      <c r="M32" s="223"/>
      <c r="N32" s="98" t="str">
        <f>IF(OR(TRIM('caricamento Desiderata'!K21)="DA CHIUDERE", TRIM('caricamento Desiderata'!K21)="CHIUSO"), TRIM('caricamento Desiderata'!Q21), "")</f>
        <v/>
      </c>
    </row>
  </sheetData>
  <mergeCells count="14">
    <mergeCell ref="E32:M32"/>
    <mergeCell ref="H22:M22"/>
    <mergeCell ref="E31:M31"/>
    <mergeCell ref="E29:M29"/>
    <mergeCell ref="E30:M30"/>
    <mergeCell ref="E27:M27"/>
    <mergeCell ref="E28:M28"/>
    <mergeCell ref="A1:N1"/>
    <mergeCell ref="H18:M18"/>
    <mergeCell ref="H19:M19"/>
    <mergeCell ref="E25:M25"/>
    <mergeCell ref="E26:M26"/>
    <mergeCell ref="H20:M20"/>
    <mergeCell ref="H21:M21"/>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32</vt:i4>
      </vt:variant>
    </vt:vector>
  </HeadingPairs>
  <TitlesOfParts>
    <vt:vector size="43"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'A1'!Print_Area</vt:lpstr>
      <vt:lpstr>'A2'!Print_Area</vt:lpstr>
      <vt:lpstr>BLENDING!Print_Area</vt:lpstr>
      <vt:lpstr>'caricamento Desiderata'!Print_Area</vt:lpstr>
      <vt:lpstr>CTE!Print_Area</vt:lpstr>
      <vt:lpstr>Riepilogo!Print_Area</vt:lpstr>
      <vt:lpstr>'A1'!Print_Titles</vt:lpstr>
      <vt:lpstr>'caricamento Desiderata'!Print_Titles</vt:lpstr>
      <vt:lpstr>CTE!Print_Titles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2025-09-26T05:41:39Z</cp:lastPrinted>
  <dcterms:created xsi:type="dcterms:W3CDTF">2024-11-26T11:39:08Z</dcterms:created>
  <dcterms:modified xsi:type="dcterms:W3CDTF">2025-09-30T18:53:44Z</dcterms:modified>
</cp:coreProperties>
</file>